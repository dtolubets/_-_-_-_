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xr:revisionPtr revIDLastSave="0" documentId="13_ncr:1_{D8EB9473-810A-4D66-998E-FABA9B769E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2-01-18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'02-01-18'!$34:$34</definedName>
    <definedName name="_xlnm.Print_Titles" localSheetId="1">'Ведомость объемов работ'!$17:$17</definedName>
    <definedName name="_xlnm.Print_Area" localSheetId="0">'02-01-18'!$A$1:$K$822</definedName>
    <definedName name="_xlnm.Print_Area" localSheetId="1">'Ведомость объемов работ'!$A$1:$H$158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8" l="1"/>
  <c r="D156" i="8"/>
  <c r="D154" i="8"/>
  <c r="F151" i="8"/>
  <c r="E151" i="8"/>
  <c r="C151" i="8"/>
  <c r="B151" i="8"/>
  <c r="G150" i="8"/>
  <c r="F150" i="8"/>
  <c r="E150" i="8"/>
  <c r="C150" i="8"/>
  <c r="B150" i="8"/>
  <c r="F149" i="8"/>
  <c r="E149" i="8"/>
  <c r="C149" i="8"/>
  <c r="B149" i="8"/>
  <c r="G148" i="8"/>
  <c r="F148" i="8"/>
  <c r="E148" i="8"/>
  <c r="C148" i="8"/>
  <c r="B148" i="8"/>
  <c r="G147" i="8"/>
  <c r="F147" i="8"/>
  <c r="E147" i="8"/>
  <c r="C147" i="8"/>
  <c r="B147" i="8"/>
  <c r="G146" i="8"/>
  <c r="F146" i="8"/>
  <c r="E146" i="8"/>
  <c r="C146" i="8"/>
  <c r="B146" i="8"/>
  <c r="G145" i="8"/>
  <c r="F145" i="8"/>
  <c r="E145" i="8"/>
  <c r="C145" i="8"/>
  <c r="B145" i="8"/>
  <c r="G144" i="8"/>
  <c r="F144" i="8"/>
  <c r="E144" i="8"/>
  <c r="C144" i="8"/>
  <c r="B144" i="8"/>
  <c r="F143" i="8"/>
  <c r="E143" i="8"/>
  <c r="C143" i="8"/>
  <c r="B143" i="8"/>
  <c r="G142" i="8"/>
  <c r="F142" i="8"/>
  <c r="E142" i="8"/>
  <c r="C142" i="8"/>
  <c r="B142" i="8"/>
  <c r="A141" i="8"/>
  <c r="F140" i="8"/>
  <c r="E140" i="8"/>
  <c r="C140" i="8"/>
  <c r="B140" i="8"/>
  <c r="G139" i="8"/>
  <c r="F139" i="8"/>
  <c r="E139" i="8"/>
  <c r="C139" i="8"/>
  <c r="B139" i="8"/>
  <c r="F138" i="8"/>
  <c r="E138" i="8"/>
  <c r="C138" i="8"/>
  <c r="B138" i="8"/>
  <c r="G137" i="8"/>
  <c r="F137" i="8"/>
  <c r="E137" i="8"/>
  <c r="C137" i="8"/>
  <c r="B137" i="8"/>
  <c r="G136" i="8"/>
  <c r="F136" i="8"/>
  <c r="E136" i="8"/>
  <c r="C136" i="8"/>
  <c r="B136" i="8"/>
  <c r="G135" i="8"/>
  <c r="F135" i="8"/>
  <c r="E135" i="8"/>
  <c r="C135" i="8"/>
  <c r="B135" i="8"/>
  <c r="F134" i="8"/>
  <c r="E134" i="8"/>
  <c r="C134" i="8"/>
  <c r="B134" i="8"/>
  <c r="G133" i="8"/>
  <c r="F133" i="8"/>
  <c r="E133" i="8"/>
  <c r="C133" i="8"/>
  <c r="B133" i="8"/>
  <c r="A132" i="8"/>
  <c r="F131" i="8"/>
  <c r="E131" i="8"/>
  <c r="C131" i="8"/>
  <c r="B131" i="8"/>
  <c r="G130" i="8"/>
  <c r="F130" i="8"/>
  <c r="E130" i="8"/>
  <c r="C130" i="8"/>
  <c r="B130" i="8"/>
  <c r="F129" i="8"/>
  <c r="E129" i="8"/>
  <c r="C129" i="8"/>
  <c r="B129" i="8"/>
  <c r="G128" i="8"/>
  <c r="F128" i="8"/>
  <c r="E128" i="8"/>
  <c r="C128" i="8"/>
  <c r="B128" i="8"/>
  <c r="G127" i="8"/>
  <c r="F127" i="8"/>
  <c r="E127" i="8"/>
  <c r="C127" i="8"/>
  <c r="B127" i="8"/>
  <c r="G126" i="8"/>
  <c r="F126" i="8"/>
  <c r="E126" i="8"/>
  <c r="C126" i="8"/>
  <c r="B126" i="8"/>
  <c r="G125" i="8"/>
  <c r="F125" i="8"/>
  <c r="E125" i="8"/>
  <c r="C125" i="8"/>
  <c r="B125" i="8"/>
  <c r="G124" i="8"/>
  <c r="F124" i="8"/>
  <c r="E124" i="8"/>
  <c r="C124" i="8"/>
  <c r="B124" i="8"/>
  <c r="G123" i="8"/>
  <c r="F123" i="8"/>
  <c r="E123" i="8"/>
  <c r="C123" i="8"/>
  <c r="B123" i="8"/>
  <c r="G122" i="8"/>
  <c r="F122" i="8"/>
  <c r="E122" i="8"/>
  <c r="C122" i="8"/>
  <c r="B122" i="8"/>
  <c r="A121" i="8"/>
  <c r="F120" i="8"/>
  <c r="E120" i="8"/>
  <c r="C120" i="8"/>
  <c r="B120" i="8"/>
  <c r="G119" i="8"/>
  <c r="F119" i="8"/>
  <c r="E119" i="8"/>
  <c r="C119" i="8"/>
  <c r="B119" i="8"/>
  <c r="F118" i="8"/>
  <c r="E118" i="8"/>
  <c r="C118" i="8"/>
  <c r="B118" i="8"/>
  <c r="G117" i="8"/>
  <c r="F117" i="8"/>
  <c r="E117" i="8"/>
  <c r="C117" i="8"/>
  <c r="B117" i="8"/>
  <c r="G116" i="8"/>
  <c r="F116" i="8"/>
  <c r="E116" i="8"/>
  <c r="C116" i="8"/>
  <c r="B116" i="8"/>
  <c r="F115" i="8"/>
  <c r="E115" i="8"/>
  <c r="C115" i="8"/>
  <c r="B115" i="8"/>
  <c r="G114" i="8"/>
  <c r="F114" i="8"/>
  <c r="E114" i="8"/>
  <c r="C114" i="8"/>
  <c r="B114" i="8"/>
  <c r="G113" i="8"/>
  <c r="F113" i="8"/>
  <c r="E113" i="8"/>
  <c r="C113" i="8"/>
  <c r="B113" i="8"/>
  <c r="G112" i="8"/>
  <c r="F112" i="8"/>
  <c r="E112" i="8"/>
  <c r="C112" i="8"/>
  <c r="B112" i="8"/>
  <c r="G111" i="8"/>
  <c r="F111" i="8"/>
  <c r="E111" i="8"/>
  <c r="C111" i="8"/>
  <c r="B111" i="8"/>
  <c r="G110" i="8"/>
  <c r="F110" i="8"/>
  <c r="E110" i="8"/>
  <c r="C110" i="8"/>
  <c r="B110" i="8"/>
  <c r="G109" i="8"/>
  <c r="F109" i="8"/>
  <c r="E109" i="8"/>
  <c r="C109" i="8"/>
  <c r="B109" i="8"/>
  <c r="F108" i="8"/>
  <c r="E108" i="8"/>
  <c r="C108" i="8"/>
  <c r="B108" i="8"/>
  <c r="G107" i="8"/>
  <c r="F107" i="8"/>
  <c r="E107" i="8"/>
  <c r="C107" i="8"/>
  <c r="B107" i="8"/>
  <c r="G106" i="8"/>
  <c r="F106" i="8"/>
  <c r="E106" i="8"/>
  <c r="C106" i="8"/>
  <c r="B106" i="8"/>
  <c r="G105" i="8"/>
  <c r="F105" i="8"/>
  <c r="E105" i="8"/>
  <c r="C105" i="8"/>
  <c r="B105" i="8"/>
  <c r="G104" i="8"/>
  <c r="F104" i="8"/>
  <c r="E104" i="8"/>
  <c r="C104" i="8"/>
  <c r="B104" i="8"/>
  <c r="G103" i="8"/>
  <c r="F103" i="8"/>
  <c r="E103" i="8"/>
  <c r="C103" i="8"/>
  <c r="B103" i="8"/>
  <c r="G102" i="8"/>
  <c r="F102" i="8"/>
  <c r="E102" i="8"/>
  <c r="C102" i="8"/>
  <c r="B102" i="8"/>
  <c r="G101" i="8"/>
  <c r="F101" i="8"/>
  <c r="E101" i="8"/>
  <c r="C101" i="8"/>
  <c r="B101" i="8"/>
  <c r="G100" i="8"/>
  <c r="F100" i="8"/>
  <c r="E100" i="8"/>
  <c r="C100" i="8"/>
  <c r="B100" i="8"/>
  <c r="G99" i="8"/>
  <c r="F99" i="8"/>
  <c r="E99" i="8"/>
  <c r="C99" i="8"/>
  <c r="B99" i="8"/>
  <c r="A98" i="8"/>
  <c r="G97" i="8"/>
  <c r="F97" i="8"/>
  <c r="E97" i="8"/>
  <c r="C97" i="8"/>
  <c r="B97" i="8"/>
  <c r="G96" i="8"/>
  <c r="F96" i="8"/>
  <c r="E96" i="8"/>
  <c r="C96" i="8"/>
  <c r="B96" i="8"/>
  <c r="G95" i="8"/>
  <c r="F95" i="8"/>
  <c r="E95" i="8"/>
  <c r="C95" i="8"/>
  <c r="B95" i="8"/>
  <c r="G94" i="8"/>
  <c r="F94" i="8"/>
  <c r="E94" i="8"/>
  <c r="C94" i="8"/>
  <c r="B94" i="8"/>
  <c r="G93" i="8"/>
  <c r="F93" i="8"/>
  <c r="E93" i="8"/>
  <c r="C93" i="8"/>
  <c r="B93" i="8"/>
  <c r="F92" i="8"/>
  <c r="E92" i="8"/>
  <c r="C92" i="8"/>
  <c r="B92" i="8"/>
  <c r="G91" i="8"/>
  <c r="F91" i="8"/>
  <c r="E91" i="8"/>
  <c r="C91" i="8"/>
  <c r="B91" i="8"/>
  <c r="G90" i="8"/>
  <c r="F90" i="8"/>
  <c r="E90" i="8"/>
  <c r="C90" i="8"/>
  <c r="B90" i="8"/>
  <c r="G89" i="8"/>
  <c r="F89" i="8"/>
  <c r="E89" i="8"/>
  <c r="C89" i="8"/>
  <c r="B89" i="8"/>
  <c r="G88" i="8"/>
  <c r="F88" i="8"/>
  <c r="E88" i="8"/>
  <c r="C88" i="8"/>
  <c r="B88" i="8"/>
  <c r="G87" i="8"/>
  <c r="F87" i="8"/>
  <c r="E87" i="8"/>
  <c r="C87" i="8"/>
  <c r="B87" i="8"/>
  <c r="G86" i="8"/>
  <c r="F86" i="8"/>
  <c r="E86" i="8"/>
  <c r="C86" i="8"/>
  <c r="B86" i="8"/>
  <c r="G85" i="8"/>
  <c r="F85" i="8"/>
  <c r="E85" i="8"/>
  <c r="C85" i="8"/>
  <c r="B85" i="8"/>
  <c r="G84" i="8"/>
  <c r="F84" i="8"/>
  <c r="E84" i="8"/>
  <c r="C84" i="8"/>
  <c r="B84" i="8"/>
  <c r="G83" i="8"/>
  <c r="F83" i="8"/>
  <c r="E83" i="8"/>
  <c r="C83" i="8"/>
  <c r="B83" i="8"/>
  <c r="G82" i="8"/>
  <c r="F82" i="8"/>
  <c r="E82" i="8"/>
  <c r="C82" i="8"/>
  <c r="B82" i="8"/>
  <c r="G81" i="8"/>
  <c r="F81" i="8"/>
  <c r="E81" i="8"/>
  <c r="C81" i="8"/>
  <c r="B81" i="8"/>
  <c r="G80" i="8"/>
  <c r="F80" i="8"/>
  <c r="E80" i="8"/>
  <c r="C80" i="8"/>
  <c r="B80" i="8"/>
  <c r="F79" i="8"/>
  <c r="E79" i="8"/>
  <c r="C79" i="8"/>
  <c r="B79" i="8"/>
  <c r="G78" i="8"/>
  <c r="F78" i="8"/>
  <c r="E78" i="8"/>
  <c r="C78" i="8"/>
  <c r="B78" i="8"/>
  <c r="A77" i="8"/>
  <c r="F76" i="8"/>
  <c r="E76" i="8"/>
  <c r="C76" i="8"/>
  <c r="B76" i="8"/>
  <c r="G75" i="8"/>
  <c r="F75" i="8"/>
  <c r="E75" i="8"/>
  <c r="C75" i="8"/>
  <c r="B75" i="8"/>
  <c r="F74" i="8"/>
  <c r="E74" i="8"/>
  <c r="C74" i="8"/>
  <c r="B74" i="8"/>
  <c r="G73" i="8"/>
  <c r="F73" i="8"/>
  <c r="E73" i="8"/>
  <c r="C73" i="8"/>
  <c r="B73" i="8"/>
  <c r="F72" i="8"/>
  <c r="E72" i="8"/>
  <c r="C72" i="8"/>
  <c r="B72" i="8"/>
  <c r="G71" i="8"/>
  <c r="F71" i="8"/>
  <c r="E71" i="8"/>
  <c r="C71" i="8"/>
  <c r="B71" i="8"/>
  <c r="G70" i="8"/>
  <c r="F70" i="8"/>
  <c r="E70" i="8"/>
  <c r="C70" i="8"/>
  <c r="B70" i="8"/>
  <c r="G69" i="8"/>
  <c r="F69" i="8"/>
  <c r="E69" i="8"/>
  <c r="C69" i="8"/>
  <c r="B69" i="8"/>
  <c r="G68" i="8"/>
  <c r="F68" i="8"/>
  <c r="E68" i="8"/>
  <c r="C68" i="8"/>
  <c r="B68" i="8"/>
  <c r="G67" i="8"/>
  <c r="F67" i="8"/>
  <c r="E67" i="8"/>
  <c r="C67" i="8"/>
  <c r="B67" i="8"/>
  <c r="G66" i="8"/>
  <c r="F66" i="8"/>
  <c r="E66" i="8"/>
  <c r="C66" i="8"/>
  <c r="B66" i="8"/>
  <c r="F65" i="8"/>
  <c r="E65" i="8"/>
  <c r="C65" i="8"/>
  <c r="B65" i="8"/>
  <c r="G64" i="8"/>
  <c r="F64" i="8"/>
  <c r="E64" i="8"/>
  <c r="C64" i="8"/>
  <c r="B64" i="8"/>
  <c r="G63" i="8"/>
  <c r="F63" i="8"/>
  <c r="E63" i="8"/>
  <c r="C63" i="8"/>
  <c r="B63" i="8"/>
  <c r="G62" i="8"/>
  <c r="F62" i="8"/>
  <c r="E62" i="8"/>
  <c r="C62" i="8"/>
  <c r="B62" i="8"/>
  <c r="G61" i="8"/>
  <c r="F61" i="8"/>
  <c r="E61" i="8"/>
  <c r="C61" i="8"/>
  <c r="B61" i="8"/>
  <c r="G60" i="8"/>
  <c r="F60" i="8"/>
  <c r="E60" i="8"/>
  <c r="C60" i="8"/>
  <c r="B60" i="8"/>
  <c r="G59" i="8"/>
  <c r="F59" i="8"/>
  <c r="E59" i="8"/>
  <c r="C59" i="8"/>
  <c r="B59" i="8"/>
  <c r="G58" i="8"/>
  <c r="F58" i="8"/>
  <c r="E58" i="8"/>
  <c r="C58" i="8"/>
  <c r="B58" i="8"/>
  <c r="G57" i="8"/>
  <c r="F57" i="8"/>
  <c r="E57" i="8"/>
  <c r="C57" i="8"/>
  <c r="B57" i="8"/>
  <c r="G56" i="8"/>
  <c r="F56" i="8"/>
  <c r="E56" i="8"/>
  <c r="C56" i="8"/>
  <c r="B56" i="8"/>
  <c r="G55" i="8"/>
  <c r="F55" i="8"/>
  <c r="E55" i="8"/>
  <c r="C55" i="8"/>
  <c r="B55" i="8"/>
  <c r="G54" i="8"/>
  <c r="F54" i="8"/>
  <c r="E54" i="8"/>
  <c r="C54" i="8"/>
  <c r="B54" i="8"/>
  <c r="G53" i="8"/>
  <c r="F53" i="8"/>
  <c r="E53" i="8"/>
  <c r="C53" i="8"/>
  <c r="B53" i="8"/>
  <c r="A52" i="8"/>
  <c r="F51" i="8"/>
  <c r="E51" i="8"/>
  <c r="C51" i="8"/>
  <c r="B51" i="8"/>
  <c r="G50" i="8"/>
  <c r="F50" i="8"/>
  <c r="E50" i="8"/>
  <c r="C50" i="8"/>
  <c r="B50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A45" i="8"/>
  <c r="G44" i="8"/>
  <c r="F44" i="8"/>
  <c r="E44" i="8"/>
  <c r="C44" i="8"/>
  <c r="B44" i="8"/>
  <c r="G43" i="8"/>
  <c r="F43" i="8"/>
  <c r="E43" i="8"/>
  <c r="C43" i="8"/>
  <c r="B43" i="8"/>
  <c r="A42" i="8"/>
  <c r="F41" i="8"/>
  <c r="E41" i="8"/>
  <c r="C41" i="8"/>
  <c r="B41" i="8"/>
  <c r="G40" i="8"/>
  <c r="F40" i="8"/>
  <c r="E40" i="8"/>
  <c r="C40" i="8"/>
  <c r="B40" i="8"/>
  <c r="F39" i="8"/>
  <c r="E39" i="8"/>
  <c r="C39" i="8"/>
  <c r="B39" i="8"/>
  <c r="G38" i="8"/>
  <c r="F38" i="8"/>
  <c r="E38" i="8"/>
  <c r="C38" i="8"/>
  <c r="B38" i="8"/>
  <c r="F37" i="8"/>
  <c r="E37" i="8"/>
  <c r="C37" i="8"/>
  <c r="B37" i="8"/>
  <c r="G36" i="8"/>
  <c r="F36" i="8"/>
  <c r="E36" i="8"/>
  <c r="C36" i="8"/>
  <c r="B36" i="8"/>
  <c r="F35" i="8"/>
  <c r="E35" i="8"/>
  <c r="C35" i="8"/>
  <c r="B35" i="8"/>
  <c r="G34" i="8"/>
  <c r="F34" i="8"/>
  <c r="E34" i="8"/>
  <c r="C34" i="8"/>
  <c r="B34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A19" i="8"/>
  <c r="A18" i="8"/>
  <c r="AE13" i="8"/>
  <c r="B12" i="8"/>
  <c r="A1" i="8"/>
  <c r="H820" i="7"/>
  <c r="C820" i="7"/>
  <c r="C817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2" i="7"/>
  <c r="I21" i="7" s="1"/>
  <c r="I814" i="7"/>
  <c r="J814" i="7"/>
  <c r="I813" i="7"/>
  <c r="J813" i="7"/>
  <c r="AQ812" i="7"/>
  <c r="A812" i="7"/>
  <c r="I810" i="7"/>
  <c r="J810" i="7"/>
  <c r="I809" i="7"/>
  <c r="J809" i="7"/>
  <c r="A808" i="7"/>
  <c r="H805" i="7"/>
  <c r="H804" i="7"/>
  <c r="J804" i="7"/>
  <c r="I802" i="7"/>
  <c r="H802" i="7"/>
  <c r="G802" i="7"/>
  <c r="E802" i="7"/>
  <c r="J801" i="7"/>
  <c r="E801" i="7"/>
  <c r="J800" i="7"/>
  <c r="E800" i="7"/>
  <c r="K799" i="7"/>
  <c r="J799" i="7"/>
  <c r="H799" i="7"/>
  <c r="I799" i="7"/>
  <c r="F799" i="7"/>
  <c r="V799" i="7"/>
  <c r="T799" i="7"/>
  <c r="R799" i="7"/>
  <c r="U799" i="7"/>
  <c r="S799" i="7"/>
  <c r="I801" i="7" s="1"/>
  <c r="Q799" i="7"/>
  <c r="I800" i="7" s="1"/>
  <c r="E799" i="7"/>
  <c r="D799" i="7"/>
  <c r="B799" i="7"/>
  <c r="K798" i="7"/>
  <c r="J798" i="7"/>
  <c r="I798" i="7"/>
  <c r="H798" i="7"/>
  <c r="G798" i="7"/>
  <c r="F798" i="7"/>
  <c r="K797" i="7"/>
  <c r="J797" i="7"/>
  <c r="I797" i="7"/>
  <c r="H797" i="7"/>
  <c r="G797" i="7"/>
  <c r="F797" i="7"/>
  <c r="K796" i="7"/>
  <c r="J796" i="7"/>
  <c r="I796" i="7"/>
  <c r="H796" i="7"/>
  <c r="G796" i="7"/>
  <c r="F796" i="7"/>
  <c r="K795" i="7"/>
  <c r="J795" i="7"/>
  <c r="I795" i="7"/>
  <c r="H795" i="7"/>
  <c r="G795" i="7"/>
  <c r="F795" i="7"/>
  <c r="C794" i="7"/>
  <c r="V793" i="7"/>
  <c r="T793" i="7"/>
  <c r="K801" i="7" s="1"/>
  <c r="R793" i="7"/>
  <c r="K800" i="7" s="1"/>
  <c r="J805" i="7" s="1"/>
  <c r="U793" i="7"/>
  <c r="S793" i="7"/>
  <c r="Q793" i="7"/>
  <c r="E793" i="7"/>
  <c r="D793" i="7"/>
  <c r="H790" i="7"/>
  <c r="J790" i="7"/>
  <c r="I788" i="7"/>
  <c r="H788" i="7"/>
  <c r="G788" i="7"/>
  <c r="E788" i="7"/>
  <c r="J787" i="7"/>
  <c r="I787" i="7"/>
  <c r="E787" i="7"/>
  <c r="J786" i="7"/>
  <c r="E786" i="7"/>
  <c r="K785" i="7"/>
  <c r="J785" i="7"/>
  <c r="H785" i="7"/>
  <c r="I785" i="7"/>
  <c r="F785" i="7"/>
  <c r="V785" i="7"/>
  <c r="T785" i="7"/>
  <c r="R785" i="7"/>
  <c r="U785" i="7"/>
  <c r="S785" i="7"/>
  <c r="Q785" i="7"/>
  <c r="I786" i="7" s="1"/>
  <c r="E785" i="7"/>
  <c r="D785" i="7"/>
  <c r="B785" i="7"/>
  <c r="K784" i="7"/>
  <c r="J784" i="7"/>
  <c r="I784" i="7"/>
  <c r="H784" i="7"/>
  <c r="G784" i="7"/>
  <c r="F784" i="7"/>
  <c r="K783" i="7"/>
  <c r="J783" i="7"/>
  <c r="I783" i="7"/>
  <c r="H783" i="7"/>
  <c r="G783" i="7"/>
  <c r="F783" i="7"/>
  <c r="K782" i="7"/>
  <c r="J782" i="7"/>
  <c r="I782" i="7"/>
  <c r="H782" i="7"/>
  <c r="G782" i="7"/>
  <c r="F782" i="7"/>
  <c r="K781" i="7"/>
  <c r="J781" i="7"/>
  <c r="I781" i="7"/>
  <c r="H781" i="7"/>
  <c r="G781" i="7"/>
  <c r="F781" i="7"/>
  <c r="C780" i="7"/>
  <c r="V779" i="7"/>
  <c r="T779" i="7"/>
  <c r="K787" i="7" s="1"/>
  <c r="R779" i="7"/>
  <c r="K786" i="7" s="1"/>
  <c r="U779" i="7"/>
  <c r="S779" i="7"/>
  <c r="Q779" i="7"/>
  <c r="E779" i="7"/>
  <c r="D779" i="7"/>
  <c r="O777" i="7"/>
  <c r="H777" i="7"/>
  <c r="J777" i="7"/>
  <c r="K776" i="7"/>
  <c r="P777" i="7" s="1"/>
  <c r="J776" i="7"/>
  <c r="I776" i="7"/>
  <c r="H776" i="7"/>
  <c r="G776" i="7"/>
  <c r="F776" i="7"/>
  <c r="V776" i="7"/>
  <c r="T776" i="7"/>
  <c r="R776" i="7"/>
  <c r="U776" i="7"/>
  <c r="S776" i="7"/>
  <c r="Q776" i="7"/>
  <c r="E776" i="7"/>
  <c r="D776" i="7"/>
  <c r="B776" i="7"/>
  <c r="O774" i="7"/>
  <c r="H773" i="7"/>
  <c r="J773" i="7"/>
  <c r="I771" i="7"/>
  <c r="H771" i="7"/>
  <c r="G771" i="7"/>
  <c r="E771" i="7"/>
  <c r="K770" i="7"/>
  <c r="J770" i="7"/>
  <c r="E770" i="7"/>
  <c r="J769" i="7"/>
  <c r="I769" i="7"/>
  <c r="E769" i="7"/>
  <c r="K768" i="7"/>
  <c r="J768" i="7"/>
  <c r="I768" i="7"/>
  <c r="H768" i="7"/>
  <c r="G768" i="7"/>
  <c r="F768" i="7"/>
  <c r="V767" i="7"/>
  <c r="T767" i="7"/>
  <c r="R767" i="7"/>
  <c r="K769" i="7" s="1"/>
  <c r="U767" i="7"/>
  <c r="S767" i="7"/>
  <c r="I770" i="7" s="1"/>
  <c r="H774" i="7" s="1"/>
  <c r="Q767" i="7"/>
  <c r="E767" i="7"/>
  <c r="D767" i="7"/>
  <c r="P765" i="7"/>
  <c r="J765" i="7"/>
  <c r="K764" i="7"/>
  <c r="J764" i="7"/>
  <c r="I764" i="7"/>
  <c r="H764" i="7"/>
  <c r="G764" i="7"/>
  <c r="F764" i="7"/>
  <c r="V764" i="7"/>
  <c r="T764" i="7"/>
  <c r="R764" i="7"/>
  <c r="U764" i="7"/>
  <c r="S764" i="7"/>
  <c r="Q764" i="7"/>
  <c r="E764" i="7"/>
  <c r="D764" i="7"/>
  <c r="B764" i="7"/>
  <c r="H761" i="7"/>
  <c r="J761" i="7"/>
  <c r="J760" i="7"/>
  <c r="I759" i="7"/>
  <c r="H759" i="7"/>
  <c r="G759" i="7"/>
  <c r="E759" i="7"/>
  <c r="K758" i="7"/>
  <c r="J758" i="7"/>
  <c r="E758" i="7"/>
  <c r="J757" i="7"/>
  <c r="E757" i="7"/>
  <c r="K756" i="7"/>
  <c r="J756" i="7"/>
  <c r="I756" i="7"/>
  <c r="H756" i="7"/>
  <c r="G756" i="7"/>
  <c r="F756" i="7"/>
  <c r="K755" i="7"/>
  <c r="J755" i="7"/>
  <c r="I755" i="7"/>
  <c r="H755" i="7"/>
  <c r="G755" i="7"/>
  <c r="F755" i="7"/>
  <c r="K754" i="7"/>
  <c r="P762" i="7" s="1"/>
  <c r="J754" i="7"/>
  <c r="I754" i="7"/>
  <c r="H754" i="7"/>
  <c r="G754" i="7"/>
  <c r="F754" i="7"/>
  <c r="K753" i="7"/>
  <c r="J762" i="7" s="1"/>
  <c r="J753" i="7"/>
  <c r="I753" i="7"/>
  <c r="H753" i="7"/>
  <c r="G753" i="7"/>
  <c r="F753" i="7"/>
  <c r="C752" i="7"/>
  <c r="V751" i="7"/>
  <c r="T751" i="7"/>
  <c r="R751" i="7"/>
  <c r="K757" i="7" s="1"/>
  <c r="U751" i="7"/>
  <c r="S751" i="7"/>
  <c r="I758" i="7" s="1"/>
  <c r="H760" i="7" s="1"/>
  <c r="Q751" i="7"/>
  <c r="I757" i="7" s="1"/>
  <c r="E751" i="7"/>
  <c r="D751" i="7"/>
  <c r="H748" i="7"/>
  <c r="J748" i="7"/>
  <c r="I746" i="7"/>
  <c r="H746" i="7"/>
  <c r="G746" i="7"/>
  <c r="E746" i="7"/>
  <c r="J745" i="7"/>
  <c r="I745" i="7"/>
  <c r="E745" i="7"/>
  <c r="J744" i="7"/>
  <c r="E744" i="7"/>
  <c r="K743" i="7"/>
  <c r="J743" i="7"/>
  <c r="H743" i="7"/>
  <c r="I743" i="7"/>
  <c r="F743" i="7"/>
  <c r="V743" i="7"/>
  <c r="T743" i="7"/>
  <c r="R743" i="7"/>
  <c r="U743" i="7"/>
  <c r="S743" i="7"/>
  <c r="Q743" i="7"/>
  <c r="I744" i="7" s="1"/>
  <c r="E743" i="7"/>
  <c r="D743" i="7"/>
  <c r="B743" i="7"/>
  <c r="K742" i="7"/>
  <c r="J742" i="7"/>
  <c r="I742" i="7"/>
  <c r="H742" i="7"/>
  <c r="G742" i="7"/>
  <c r="F742" i="7"/>
  <c r="K741" i="7"/>
  <c r="J741" i="7"/>
  <c r="I741" i="7"/>
  <c r="H741" i="7"/>
  <c r="G741" i="7"/>
  <c r="F741" i="7"/>
  <c r="K740" i="7"/>
  <c r="J740" i="7"/>
  <c r="I740" i="7"/>
  <c r="H740" i="7"/>
  <c r="G740" i="7"/>
  <c r="F740" i="7"/>
  <c r="K739" i="7"/>
  <c r="J739" i="7"/>
  <c r="I739" i="7"/>
  <c r="H739" i="7"/>
  <c r="G739" i="7"/>
  <c r="F739" i="7"/>
  <c r="V738" i="7"/>
  <c r="T738" i="7"/>
  <c r="K745" i="7" s="1"/>
  <c r="R738" i="7"/>
  <c r="K744" i="7" s="1"/>
  <c r="U738" i="7"/>
  <c r="S738" i="7"/>
  <c r="Q738" i="7"/>
  <c r="E738" i="7"/>
  <c r="D738" i="7"/>
  <c r="A737" i="7"/>
  <c r="I735" i="7"/>
  <c r="J735" i="7"/>
  <c r="I734" i="7"/>
  <c r="J734" i="7"/>
  <c r="A733" i="7"/>
  <c r="O730" i="7"/>
  <c r="H729" i="7"/>
  <c r="J729" i="7"/>
  <c r="I727" i="7"/>
  <c r="H727" i="7"/>
  <c r="G727" i="7"/>
  <c r="E727" i="7"/>
  <c r="K726" i="7"/>
  <c r="J726" i="7"/>
  <c r="E726" i="7"/>
  <c r="K725" i="7"/>
  <c r="J725" i="7"/>
  <c r="E725" i="7"/>
  <c r="K724" i="7"/>
  <c r="J724" i="7"/>
  <c r="H724" i="7"/>
  <c r="I724" i="7"/>
  <c r="F724" i="7"/>
  <c r="V724" i="7"/>
  <c r="T724" i="7"/>
  <c r="R724" i="7"/>
  <c r="U724" i="7"/>
  <c r="S724" i="7"/>
  <c r="Q724" i="7"/>
  <c r="E724" i="7"/>
  <c r="D724" i="7"/>
  <c r="B724" i="7"/>
  <c r="K723" i="7"/>
  <c r="J723" i="7"/>
  <c r="I723" i="7"/>
  <c r="H723" i="7"/>
  <c r="G723" i="7"/>
  <c r="F723" i="7"/>
  <c r="K722" i="7"/>
  <c r="J722" i="7"/>
  <c r="I722" i="7"/>
  <c r="H722" i="7"/>
  <c r="G722" i="7"/>
  <c r="F722" i="7"/>
  <c r="K721" i="7"/>
  <c r="J721" i="7"/>
  <c r="I721" i="7"/>
  <c r="H721" i="7"/>
  <c r="G721" i="7"/>
  <c r="F721" i="7"/>
  <c r="K720" i="7"/>
  <c r="J720" i="7"/>
  <c r="I720" i="7"/>
  <c r="H728" i="7" s="1"/>
  <c r="H720" i="7"/>
  <c r="G720" i="7"/>
  <c r="F720" i="7"/>
  <c r="C719" i="7"/>
  <c r="V718" i="7"/>
  <c r="T718" i="7"/>
  <c r="R718" i="7"/>
  <c r="U718" i="7"/>
  <c r="S718" i="7"/>
  <c r="I726" i="7" s="1"/>
  <c r="Q718" i="7"/>
  <c r="I725" i="7" s="1"/>
  <c r="E718" i="7"/>
  <c r="D718" i="7"/>
  <c r="H715" i="7"/>
  <c r="J715" i="7"/>
  <c r="I713" i="7"/>
  <c r="H713" i="7"/>
  <c r="G713" i="7"/>
  <c r="E713" i="7"/>
  <c r="J712" i="7"/>
  <c r="E712" i="7"/>
  <c r="J711" i="7"/>
  <c r="E711" i="7"/>
  <c r="K710" i="7"/>
  <c r="J710" i="7"/>
  <c r="H710" i="7"/>
  <c r="I710" i="7"/>
  <c r="F710" i="7"/>
  <c r="V710" i="7"/>
  <c r="T710" i="7"/>
  <c r="R710" i="7"/>
  <c r="U710" i="7"/>
  <c r="S710" i="7"/>
  <c r="Q710" i="7"/>
  <c r="I711" i="7" s="1"/>
  <c r="H716" i="7" s="1"/>
  <c r="E710" i="7"/>
  <c r="D710" i="7"/>
  <c r="B710" i="7"/>
  <c r="K709" i="7"/>
  <c r="J709" i="7"/>
  <c r="I709" i="7"/>
  <c r="H709" i="7"/>
  <c r="G709" i="7"/>
  <c r="F709" i="7"/>
  <c r="K708" i="7"/>
  <c r="J708" i="7"/>
  <c r="I708" i="7"/>
  <c r="H708" i="7"/>
  <c r="G708" i="7"/>
  <c r="F708" i="7"/>
  <c r="K707" i="7"/>
  <c r="J707" i="7"/>
  <c r="I707" i="7"/>
  <c r="H707" i="7"/>
  <c r="G707" i="7"/>
  <c r="F707" i="7"/>
  <c r="K706" i="7"/>
  <c r="J706" i="7"/>
  <c r="I706" i="7"/>
  <c r="H706" i="7"/>
  <c r="G706" i="7"/>
  <c r="F706" i="7"/>
  <c r="C705" i="7"/>
  <c r="V704" i="7"/>
  <c r="T704" i="7"/>
  <c r="K712" i="7" s="1"/>
  <c r="J716" i="7" s="1"/>
  <c r="R704" i="7"/>
  <c r="K711" i="7" s="1"/>
  <c r="U704" i="7"/>
  <c r="S704" i="7"/>
  <c r="I712" i="7" s="1"/>
  <c r="Q704" i="7"/>
  <c r="E704" i="7"/>
  <c r="D704" i="7"/>
  <c r="P702" i="7"/>
  <c r="J702" i="7"/>
  <c r="K701" i="7"/>
  <c r="J701" i="7"/>
  <c r="I701" i="7"/>
  <c r="H701" i="7"/>
  <c r="G701" i="7"/>
  <c r="F701" i="7"/>
  <c r="V701" i="7"/>
  <c r="T701" i="7"/>
  <c r="R701" i="7"/>
  <c r="U701" i="7"/>
  <c r="S701" i="7"/>
  <c r="Q701" i="7"/>
  <c r="E701" i="7"/>
  <c r="D701" i="7"/>
  <c r="B701" i="7"/>
  <c r="H698" i="7"/>
  <c r="J698" i="7"/>
  <c r="J697" i="7"/>
  <c r="I696" i="7"/>
  <c r="H696" i="7"/>
  <c r="G696" i="7"/>
  <c r="E696" i="7"/>
  <c r="K695" i="7"/>
  <c r="J695" i="7"/>
  <c r="E695" i="7"/>
  <c r="J694" i="7"/>
  <c r="E694" i="7"/>
  <c r="K693" i="7"/>
  <c r="J693" i="7"/>
  <c r="I693" i="7"/>
  <c r="H693" i="7"/>
  <c r="G693" i="7"/>
  <c r="F693" i="7"/>
  <c r="K692" i="7"/>
  <c r="J692" i="7"/>
  <c r="I692" i="7"/>
  <c r="H692" i="7"/>
  <c r="G692" i="7"/>
  <c r="F692" i="7"/>
  <c r="K691" i="7"/>
  <c r="J691" i="7"/>
  <c r="I691" i="7"/>
  <c r="H691" i="7"/>
  <c r="G691" i="7"/>
  <c r="F691" i="7"/>
  <c r="K690" i="7"/>
  <c r="J699" i="7" s="1"/>
  <c r="J690" i="7"/>
  <c r="I690" i="7"/>
  <c r="H690" i="7"/>
  <c r="G690" i="7"/>
  <c r="F690" i="7"/>
  <c r="C689" i="7"/>
  <c r="V688" i="7"/>
  <c r="T688" i="7"/>
  <c r="R688" i="7"/>
  <c r="K694" i="7" s="1"/>
  <c r="U688" i="7"/>
  <c r="S688" i="7"/>
  <c r="I695" i="7" s="1"/>
  <c r="Q688" i="7"/>
  <c r="I694" i="7" s="1"/>
  <c r="H697" i="7" s="1"/>
  <c r="E688" i="7"/>
  <c r="D688" i="7"/>
  <c r="H685" i="7"/>
  <c r="J685" i="7"/>
  <c r="I683" i="7"/>
  <c r="H683" i="7"/>
  <c r="G683" i="7"/>
  <c r="E683" i="7"/>
  <c r="J682" i="7"/>
  <c r="E682" i="7"/>
  <c r="J681" i="7"/>
  <c r="E681" i="7"/>
  <c r="K680" i="7"/>
  <c r="J680" i="7"/>
  <c r="H680" i="7"/>
  <c r="I680" i="7"/>
  <c r="F680" i="7"/>
  <c r="V680" i="7"/>
  <c r="T680" i="7"/>
  <c r="R680" i="7"/>
  <c r="U680" i="7"/>
  <c r="S680" i="7"/>
  <c r="Q680" i="7"/>
  <c r="I681" i="7" s="1"/>
  <c r="E680" i="7"/>
  <c r="D680" i="7"/>
  <c r="B680" i="7"/>
  <c r="K679" i="7"/>
  <c r="J679" i="7"/>
  <c r="I679" i="7"/>
  <c r="H679" i="7"/>
  <c r="G679" i="7"/>
  <c r="F679" i="7"/>
  <c r="K678" i="7"/>
  <c r="J678" i="7"/>
  <c r="I678" i="7"/>
  <c r="H678" i="7"/>
  <c r="G678" i="7"/>
  <c r="F678" i="7"/>
  <c r="K677" i="7"/>
  <c r="J677" i="7"/>
  <c r="I677" i="7"/>
  <c r="H677" i="7"/>
  <c r="G677" i="7"/>
  <c r="F677" i="7"/>
  <c r="K676" i="7"/>
  <c r="J676" i="7"/>
  <c r="I676" i="7"/>
  <c r="H676" i="7"/>
  <c r="G676" i="7"/>
  <c r="F676" i="7"/>
  <c r="V675" i="7"/>
  <c r="T675" i="7"/>
  <c r="R675" i="7"/>
  <c r="K681" i="7" s="1"/>
  <c r="U675" i="7"/>
  <c r="S675" i="7"/>
  <c r="I682" i="7" s="1"/>
  <c r="Q675" i="7"/>
  <c r="E675" i="7"/>
  <c r="D675" i="7"/>
  <c r="A674" i="7"/>
  <c r="I672" i="7"/>
  <c r="J672" i="7"/>
  <c r="I671" i="7"/>
  <c r="J671" i="7"/>
  <c r="A670" i="7"/>
  <c r="H666" i="7"/>
  <c r="J666" i="7"/>
  <c r="I664" i="7"/>
  <c r="H664" i="7"/>
  <c r="G664" i="7"/>
  <c r="E664" i="7"/>
  <c r="J663" i="7"/>
  <c r="E663" i="7"/>
  <c r="K662" i="7"/>
  <c r="J662" i="7"/>
  <c r="E662" i="7"/>
  <c r="K661" i="7"/>
  <c r="J661" i="7"/>
  <c r="H661" i="7"/>
  <c r="I661" i="7"/>
  <c r="F661" i="7"/>
  <c r="V661" i="7"/>
  <c r="T661" i="7"/>
  <c r="R661" i="7"/>
  <c r="U661" i="7"/>
  <c r="S661" i="7"/>
  <c r="Q661" i="7"/>
  <c r="E661" i="7"/>
  <c r="D661" i="7"/>
  <c r="B661" i="7"/>
  <c r="K660" i="7"/>
  <c r="J660" i="7"/>
  <c r="I660" i="7"/>
  <c r="H660" i="7"/>
  <c r="G660" i="7"/>
  <c r="F660" i="7"/>
  <c r="K659" i="7"/>
  <c r="J659" i="7"/>
  <c r="I659" i="7"/>
  <c r="H659" i="7"/>
  <c r="G659" i="7"/>
  <c r="F659" i="7"/>
  <c r="K658" i="7"/>
  <c r="J658" i="7"/>
  <c r="I658" i="7"/>
  <c r="O667" i="7" s="1"/>
  <c r="H658" i="7"/>
  <c r="G658" i="7"/>
  <c r="F658" i="7"/>
  <c r="K657" i="7"/>
  <c r="J657" i="7"/>
  <c r="I657" i="7"/>
  <c r="H657" i="7"/>
  <c r="G657" i="7"/>
  <c r="F657" i="7"/>
  <c r="C656" i="7"/>
  <c r="V655" i="7"/>
  <c r="T655" i="7"/>
  <c r="K663" i="7" s="1"/>
  <c r="R655" i="7"/>
  <c r="U655" i="7"/>
  <c r="S655" i="7"/>
  <c r="I663" i="7" s="1"/>
  <c r="Q655" i="7"/>
  <c r="I662" i="7" s="1"/>
  <c r="E655" i="7"/>
  <c r="D655" i="7"/>
  <c r="H652" i="7"/>
  <c r="J652" i="7"/>
  <c r="I650" i="7"/>
  <c r="H650" i="7"/>
  <c r="G650" i="7"/>
  <c r="E650" i="7"/>
  <c r="J649" i="7"/>
  <c r="E649" i="7"/>
  <c r="J648" i="7"/>
  <c r="E648" i="7"/>
  <c r="K647" i="7"/>
  <c r="J647" i="7"/>
  <c r="H647" i="7"/>
  <c r="I647" i="7"/>
  <c r="F647" i="7"/>
  <c r="V647" i="7"/>
  <c r="T647" i="7"/>
  <c r="R647" i="7"/>
  <c r="U647" i="7"/>
  <c r="S647" i="7"/>
  <c r="Q647" i="7"/>
  <c r="E647" i="7"/>
  <c r="D647" i="7"/>
  <c r="B647" i="7"/>
  <c r="K646" i="7"/>
  <c r="J646" i="7"/>
  <c r="I646" i="7"/>
  <c r="H646" i="7"/>
  <c r="G646" i="7"/>
  <c r="F646" i="7"/>
  <c r="K645" i="7"/>
  <c r="J645" i="7"/>
  <c r="I645" i="7"/>
  <c r="H645" i="7"/>
  <c r="G645" i="7"/>
  <c r="F645" i="7"/>
  <c r="K644" i="7"/>
  <c r="J644" i="7"/>
  <c r="I644" i="7"/>
  <c r="H644" i="7"/>
  <c r="G644" i="7"/>
  <c r="F644" i="7"/>
  <c r="K643" i="7"/>
  <c r="J643" i="7"/>
  <c r="I643" i="7"/>
  <c r="H643" i="7"/>
  <c r="G643" i="7"/>
  <c r="F643" i="7"/>
  <c r="C642" i="7"/>
  <c r="V641" i="7"/>
  <c r="T641" i="7"/>
  <c r="K649" i="7" s="1"/>
  <c r="R641" i="7"/>
  <c r="K648" i="7" s="1"/>
  <c r="J653" i="7" s="1"/>
  <c r="U641" i="7"/>
  <c r="S641" i="7"/>
  <c r="Q641" i="7"/>
  <c r="I648" i="7" s="1"/>
  <c r="E641" i="7"/>
  <c r="D641" i="7"/>
  <c r="P639" i="7"/>
  <c r="J639" i="7"/>
  <c r="K638" i="7"/>
  <c r="J638" i="7"/>
  <c r="I638" i="7"/>
  <c r="H638" i="7"/>
  <c r="G638" i="7"/>
  <c r="F638" i="7"/>
  <c r="V638" i="7"/>
  <c r="T638" i="7"/>
  <c r="R638" i="7"/>
  <c r="U638" i="7"/>
  <c r="S638" i="7"/>
  <c r="Q638" i="7"/>
  <c r="E638" i="7"/>
  <c r="D638" i="7"/>
  <c r="B638" i="7"/>
  <c r="H635" i="7"/>
  <c r="J635" i="7"/>
  <c r="I633" i="7"/>
  <c r="H633" i="7"/>
  <c r="G633" i="7"/>
  <c r="E633" i="7"/>
  <c r="J632" i="7"/>
  <c r="E632" i="7"/>
  <c r="J631" i="7"/>
  <c r="E631" i="7"/>
  <c r="K630" i="7"/>
  <c r="J630" i="7"/>
  <c r="I630" i="7"/>
  <c r="H630" i="7"/>
  <c r="G630" i="7"/>
  <c r="F630" i="7"/>
  <c r="K629" i="7"/>
  <c r="J629" i="7"/>
  <c r="I629" i="7"/>
  <c r="H629" i="7"/>
  <c r="G629" i="7"/>
  <c r="F629" i="7"/>
  <c r="K628" i="7"/>
  <c r="J628" i="7"/>
  <c r="I628" i="7"/>
  <c r="H628" i="7"/>
  <c r="G628" i="7"/>
  <c r="F628" i="7"/>
  <c r="K627" i="7"/>
  <c r="J627" i="7"/>
  <c r="I627" i="7"/>
  <c r="H627" i="7"/>
  <c r="G627" i="7"/>
  <c r="F627" i="7"/>
  <c r="V626" i="7"/>
  <c r="T626" i="7"/>
  <c r="K632" i="7" s="1"/>
  <c r="J634" i="7" s="1"/>
  <c r="R626" i="7"/>
  <c r="K631" i="7" s="1"/>
  <c r="U626" i="7"/>
  <c r="S626" i="7"/>
  <c r="I632" i="7" s="1"/>
  <c r="Q626" i="7"/>
  <c r="I631" i="7" s="1"/>
  <c r="H634" i="7" s="1"/>
  <c r="E626" i="7"/>
  <c r="D626" i="7"/>
  <c r="O624" i="7"/>
  <c r="J624" i="7"/>
  <c r="K623" i="7"/>
  <c r="P624" i="7" s="1"/>
  <c r="J623" i="7"/>
  <c r="I623" i="7"/>
  <c r="H624" i="7" s="1"/>
  <c r="H623" i="7"/>
  <c r="G623" i="7"/>
  <c r="F623" i="7"/>
  <c r="V623" i="7"/>
  <c r="T623" i="7"/>
  <c r="R623" i="7"/>
  <c r="U623" i="7"/>
  <c r="S623" i="7"/>
  <c r="Q623" i="7"/>
  <c r="E623" i="7"/>
  <c r="D623" i="7"/>
  <c r="B623" i="7"/>
  <c r="H620" i="7"/>
  <c r="J620" i="7"/>
  <c r="I618" i="7"/>
  <c r="H618" i="7"/>
  <c r="G618" i="7"/>
  <c r="E618" i="7"/>
  <c r="K617" i="7"/>
  <c r="J617" i="7"/>
  <c r="E617" i="7"/>
  <c r="K616" i="7"/>
  <c r="J616" i="7"/>
  <c r="E616" i="7"/>
  <c r="K615" i="7"/>
  <c r="J615" i="7"/>
  <c r="I615" i="7"/>
  <c r="H615" i="7"/>
  <c r="G615" i="7"/>
  <c r="F615" i="7"/>
  <c r="K614" i="7"/>
  <c r="J614" i="7"/>
  <c r="I614" i="7"/>
  <c r="H614" i="7"/>
  <c r="G614" i="7"/>
  <c r="F614" i="7"/>
  <c r="K613" i="7"/>
  <c r="J613" i="7"/>
  <c r="I613" i="7"/>
  <c r="H613" i="7"/>
  <c r="G613" i="7"/>
  <c r="F613" i="7"/>
  <c r="V612" i="7"/>
  <c r="T612" i="7"/>
  <c r="R612" i="7"/>
  <c r="U612" i="7"/>
  <c r="S612" i="7"/>
  <c r="I617" i="7" s="1"/>
  <c r="O621" i="7" s="1"/>
  <c r="Q612" i="7"/>
  <c r="I616" i="7" s="1"/>
  <c r="E612" i="7"/>
  <c r="D612" i="7"/>
  <c r="P610" i="7"/>
  <c r="J610" i="7"/>
  <c r="K609" i="7"/>
  <c r="J609" i="7"/>
  <c r="I609" i="7"/>
  <c r="H609" i="7"/>
  <c r="G609" i="7"/>
  <c r="F609" i="7"/>
  <c r="V609" i="7"/>
  <c r="T609" i="7"/>
  <c r="R609" i="7"/>
  <c r="U609" i="7"/>
  <c r="S609" i="7"/>
  <c r="Q609" i="7"/>
  <c r="E609" i="7"/>
  <c r="D609" i="7"/>
  <c r="B609" i="7"/>
  <c r="H606" i="7"/>
  <c r="J606" i="7"/>
  <c r="I604" i="7"/>
  <c r="H604" i="7"/>
  <c r="G604" i="7"/>
  <c r="E604" i="7"/>
  <c r="J603" i="7"/>
  <c r="E603" i="7"/>
  <c r="J602" i="7"/>
  <c r="E602" i="7"/>
  <c r="K601" i="7"/>
  <c r="J601" i="7"/>
  <c r="I601" i="7"/>
  <c r="H601" i="7"/>
  <c r="G601" i="7"/>
  <c r="F601" i="7"/>
  <c r="K600" i="7"/>
  <c r="J600" i="7"/>
  <c r="I600" i="7"/>
  <c r="H600" i="7"/>
  <c r="G600" i="7"/>
  <c r="F600" i="7"/>
  <c r="K599" i="7"/>
  <c r="J599" i="7"/>
  <c r="I599" i="7"/>
  <c r="H599" i="7"/>
  <c r="G599" i="7"/>
  <c r="F599" i="7"/>
  <c r="V598" i="7"/>
  <c r="T598" i="7"/>
  <c r="K603" i="7" s="1"/>
  <c r="J605" i="7" s="1"/>
  <c r="R598" i="7"/>
  <c r="K602" i="7" s="1"/>
  <c r="U598" i="7"/>
  <c r="S598" i="7"/>
  <c r="I603" i="7" s="1"/>
  <c r="Q598" i="7"/>
  <c r="I602" i="7" s="1"/>
  <c r="H605" i="7" s="1"/>
  <c r="E598" i="7"/>
  <c r="D598" i="7"/>
  <c r="A597" i="7"/>
  <c r="I595" i="7"/>
  <c r="J595" i="7"/>
  <c r="I594" i="7"/>
  <c r="J594" i="7"/>
  <c r="A593" i="7"/>
  <c r="H589" i="7"/>
  <c r="J589" i="7"/>
  <c r="I587" i="7"/>
  <c r="H587" i="7"/>
  <c r="G587" i="7"/>
  <c r="E587" i="7"/>
  <c r="J586" i="7"/>
  <c r="E586" i="7"/>
  <c r="J585" i="7"/>
  <c r="E585" i="7"/>
  <c r="K584" i="7"/>
  <c r="J584" i="7"/>
  <c r="H584" i="7"/>
  <c r="I584" i="7"/>
  <c r="F584" i="7"/>
  <c r="V584" i="7"/>
  <c r="T584" i="7"/>
  <c r="R584" i="7"/>
  <c r="U584" i="7"/>
  <c r="S584" i="7"/>
  <c r="Q584" i="7"/>
  <c r="E584" i="7"/>
  <c r="D584" i="7"/>
  <c r="B584" i="7"/>
  <c r="K583" i="7"/>
  <c r="J583" i="7"/>
  <c r="I583" i="7"/>
  <c r="H583" i="7"/>
  <c r="G583" i="7"/>
  <c r="F583" i="7"/>
  <c r="K582" i="7"/>
  <c r="J582" i="7"/>
  <c r="I582" i="7"/>
  <c r="H582" i="7"/>
  <c r="G582" i="7"/>
  <c r="F582" i="7"/>
  <c r="K581" i="7"/>
  <c r="J581" i="7"/>
  <c r="I581" i="7"/>
  <c r="H581" i="7"/>
  <c r="G581" i="7"/>
  <c r="F581" i="7"/>
  <c r="K580" i="7"/>
  <c r="J580" i="7"/>
  <c r="I580" i="7"/>
  <c r="H580" i="7"/>
  <c r="G580" i="7"/>
  <c r="F580" i="7"/>
  <c r="C579" i="7"/>
  <c r="V578" i="7"/>
  <c r="T578" i="7"/>
  <c r="K586" i="7" s="1"/>
  <c r="R578" i="7"/>
  <c r="K585" i="7" s="1"/>
  <c r="J590" i="7" s="1"/>
  <c r="U578" i="7"/>
  <c r="S578" i="7"/>
  <c r="Q578" i="7"/>
  <c r="I585" i="7" s="1"/>
  <c r="E578" i="7"/>
  <c r="D578" i="7"/>
  <c r="H575" i="7"/>
  <c r="J575" i="7"/>
  <c r="I573" i="7"/>
  <c r="H573" i="7"/>
  <c r="G573" i="7"/>
  <c r="E573" i="7"/>
  <c r="J572" i="7"/>
  <c r="I572" i="7"/>
  <c r="E572" i="7"/>
  <c r="J571" i="7"/>
  <c r="E571" i="7"/>
  <c r="K570" i="7"/>
  <c r="J570" i="7"/>
  <c r="H570" i="7"/>
  <c r="I570" i="7"/>
  <c r="F570" i="7"/>
  <c r="V570" i="7"/>
  <c r="T570" i="7"/>
  <c r="R570" i="7"/>
  <c r="U570" i="7"/>
  <c r="S570" i="7"/>
  <c r="Q570" i="7"/>
  <c r="I571" i="7" s="1"/>
  <c r="E570" i="7"/>
  <c r="D570" i="7"/>
  <c r="B570" i="7"/>
  <c r="K569" i="7"/>
  <c r="J569" i="7"/>
  <c r="I569" i="7"/>
  <c r="H569" i="7"/>
  <c r="G569" i="7"/>
  <c r="F569" i="7"/>
  <c r="K568" i="7"/>
  <c r="J568" i="7"/>
  <c r="I568" i="7"/>
  <c r="H568" i="7"/>
  <c r="G568" i="7"/>
  <c r="F568" i="7"/>
  <c r="K567" i="7"/>
  <c r="J567" i="7"/>
  <c r="I567" i="7"/>
  <c r="H567" i="7"/>
  <c r="G567" i="7"/>
  <c r="F567" i="7"/>
  <c r="K566" i="7"/>
  <c r="J566" i="7"/>
  <c r="I566" i="7"/>
  <c r="H566" i="7"/>
  <c r="G566" i="7"/>
  <c r="F566" i="7"/>
  <c r="C565" i="7"/>
  <c r="V564" i="7"/>
  <c r="T564" i="7"/>
  <c r="R564" i="7"/>
  <c r="K571" i="7" s="1"/>
  <c r="U564" i="7"/>
  <c r="S564" i="7"/>
  <c r="Q564" i="7"/>
  <c r="E564" i="7"/>
  <c r="D564" i="7"/>
  <c r="O562" i="7"/>
  <c r="H562" i="7"/>
  <c r="J562" i="7"/>
  <c r="K561" i="7"/>
  <c r="P562" i="7" s="1"/>
  <c r="J561" i="7"/>
  <c r="I561" i="7"/>
  <c r="H561" i="7"/>
  <c r="G561" i="7"/>
  <c r="F561" i="7"/>
  <c r="V561" i="7"/>
  <c r="T561" i="7"/>
  <c r="R561" i="7"/>
  <c r="U561" i="7"/>
  <c r="S561" i="7"/>
  <c r="Q561" i="7"/>
  <c r="E561" i="7"/>
  <c r="D561" i="7"/>
  <c r="B561" i="7"/>
  <c r="H558" i="7"/>
  <c r="J558" i="7"/>
  <c r="I556" i="7"/>
  <c r="H556" i="7"/>
  <c r="G556" i="7"/>
  <c r="E556" i="7"/>
  <c r="K555" i="7"/>
  <c r="J555" i="7"/>
  <c r="E555" i="7"/>
  <c r="K554" i="7"/>
  <c r="J554" i="7"/>
  <c r="E554" i="7"/>
  <c r="K553" i="7"/>
  <c r="P559" i="7" s="1"/>
  <c r="J553" i="7"/>
  <c r="H553" i="7"/>
  <c r="I553" i="7"/>
  <c r="F553" i="7"/>
  <c r="V553" i="7"/>
  <c r="T553" i="7"/>
  <c r="R553" i="7"/>
  <c r="U553" i="7"/>
  <c r="S553" i="7"/>
  <c r="Q553" i="7"/>
  <c r="E553" i="7"/>
  <c r="D553" i="7"/>
  <c r="B553" i="7"/>
  <c r="K552" i="7"/>
  <c r="J552" i="7"/>
  <c r="I552" i="7"/>
  <c r="H552" i="7"/>
  <c r="G552" i="7"/>
  <c r="F552" i="7"/>
  <c r="V551" i="7"/>
  <c r="T551" i="7"/>
  <c r="R551" i="7"/>
  <c r="U551" i="7"/>
  <c r="S551" i="7"/>
  <c r="I555" i="7" s="1"/>
  <c r="Q551" i="7"/>
  <c r="I554" i="7" s="1"/>
  <c r="E551" i="7"/>
  <c r="D551" i="7"/>
  <c r="O549" i="7"/>
  <c r="K548" i="7"/>
  <c r="J548" i="7"/>
  <c r="I548" i="7"/>
  <c r="H549" i="7" s="1"/>
  <c r="H548" i="7"/>
  <c r="G548" i="7"/>
  <c r="F548" i="7"/>
  <c r="V548" i="7"/>
  <c r="T548" i="7"/>
  <c r="R548" i="7"/>
  <c r="U548" i="7"/>
  <c r="S548" i="7"/>
  <c r="Q548" i="7"/>
  <c r="E548" i="7"/>
  <c r="D548" i="7"/>
  <c r="B548" i="7"/>
  <c r="H546" i="7"/>
  <c r="P546" i="7"/>
  <c r="J546" i="7"/>
  <c r="K545" i="7"/>
  <c r="J545" i="7"/>
  <c r="I545" i="7"/>
  <c r="O546" i="7" s="1"/>
  <c r="H545" i="7"/>
  <c r="G545" i="7"/>
  <c r="F545" i="7"/>
  <c r="V545" i="7"/>
  <c r="T545" i="7"/>
  <c r="R545" i="7"/>
  <c r="U545" i="7"/>
  <c r="S545" i="7"/>
  <c r="Q545" i="7"/>
  <c r="E545" i="7"/>
  <c r="D545" i="7"/>
  <c r="B545" i="7"/>
  <c r="P543" i="7"/>
  <c r="J543" i="7"/>
  <c r="K542" i="7"/>
  <c r="J542" i="7"/>
  <c r="I542" i="7"/>
  <c r="H542" i="7"/>
  <c r="G542" i="7"/>
  <c r="F542" i="7"/>
  <c r="V542" i="7"/>
  <c r="T542" i="7"/>
  <c r="R542" i="7"/>
  <c r="U542" i="7"/>
  <c r="S542" i="7"/>
  <c r="Q542" i="7"/>
  <c r="E542" i="7"/>
  <c r="D542" i="7"/>
  <c r="B542" i="7"/>
  <c r="O540" i="7"/>
  <c r="H540" i="7"/>
  <c r="J540" i="7"/>
  <c r="K539" i="7"/>
  <c r="P540" i="7" s="1"/>
  <c r="J539" i="7"/>
  <c r="I539" i="7"/>
  <c r="H539" i="7"/>
  <c r="G539" i="7"/>
  <c r="F539" i="7"/>
  <c r="V539" i="7"/>
  <c r="T539" i="7"/>
  <c r="R539" i="7"/>
  <c r="U539" i="7"/>
  <c r="S539" i="7"/>
  <c r="Q539" i="7"/>
  <c r="E539" i="7"/>
  <c r="D539" i="7"/>
  <c r="B539" i="7"/>
  <c r="O537" i="7"/>
  <c r="K536" i="7"/>
  <c r="J536" i="7"/>
  <c r="I536" i="7"/>
  <c r="H537" i="7" s="1"/>
  <c r="H536" i="7"/>
  <c r="G536" i="7"/>
  <c r="F536" i="7"/>
  <c r="V536" i="7"/>
  <c r="T536" i="7"/>
  <c r="R536" i="7"/>
  <c r="U536" i="7"/>
  <c r="S536" i="7"/>
  <c r="Q536" i="7"/>
  <c r="E536" i="7"/>
  <c r="D536" i="7"/>
  <c r="B536" i="7"/>
  <c r="H533" i="7"/>
  <c r="J533" i="7"/>
  <c r="I531" i="7"/>
  <c r="H531" i="7"/>
  <c r="G531" i="7"/>
  <c r="E531" i="7"/>
  <c r="J530" i="7"/>
  <c r="E530" i="7"/>
  <c r="J529" i="7"/>
  <c r="E529" i="7"/>
  <c r="K528" i="7"/>
  <c r="J528" i="7"/>
  <c r="H528" i="7"/>
  <c r="I528" i="7"/>
  <c r="F528" i="7"/>
  <c r="V528" i="7"/>
  <c r="T528" i="7"/>
  <c r="R528" i="7"/>
  <c r="U528" i="7"/>
  <c r="S528" i="7"/>
  <c r="Q528" i="7"/>
  <c r="E528" i="7"/>
  <c r="D528" i="7"/>
  <c r="B528" i="7"/>
  <c r="K527" i="7"/>
  <c r="J527" i="7"/>
  <c r="I527" i="7"/>
  <c r="H527" i="7"/>
  <c r="G527" i="7"/>
  <c r="F527" i="7"/>
  <c r="C526" i="7"/>
  <c r="V525" i="7"/>
  <c r="T525" i="7"/>
  <c r="K530" i="7" s="1"/>
  <c r="J534" i="7" s="1"/>
  <c r="R525" i="7"/>
  <c r="K529" i="7" s="1"/>
  <c r="U525" i="7"/>
  <c r="S525" i="7"/>
  <c r="I530" i="7" s="1"/>
  <c r="Q525" i="7"/>
  <c r="I529" i="7" s="1"/>
  <c r="H534" i="7" s="1"/>
  <c r="E525" i="7"/>
  <c r="D525" i="7"/>
  <c r="O523" i="7"/>
  <c r="H523" i="7"/>
  <c r="K522" i="7"/>
  <c r="J522" i="7"/>
  <c r="I522" i="7"/>
  <c r="H522" i="7"/>
  <c r="G522" i="7"/>
  <c r="F522" i="7"/>
  <c r="V522" i="7"/>
  <c r="T522" i="7"/>
  <c r="R522" i="7"/>
  <c r="U522" i="7"/>
  <c r="S522" i="7"/>
  <c r="Q522" i="7"/>
  <c r="E522" i="7"/>
  <c r="D522" i="7"/>
  <c r="B522" i="7"/>
  <c r="O520" i="7"/>
  <c r="H520" i="7"/>
  <c r="K519" i="7"/>
  <c r="P520" i="7" s="1"/>
  <c r="J519" i="7"/>
  <c r="I519" i="7"/>
  <c r="H519" i="7"/>
  <c r="G519" i="7"/>
  <c r="F519" i="7"/>
  <c r="V519" i="7"/>
  <c r="T519" i="7"/>
  <c r="R519" i="7"/>
  <c r="U519" i="7"/>
  <c r="S519" i="7"/>
  <c r="Q519" i="7"/>
  <c r="E519" i="7"/>
  <c r="D519" i="7"/>
  <c r="B519" i="7"/>
  <c r="P517" i="7"/>
  <c r="J517" i="7"/>
  <c r="K516" i="7"/>
  <c r="J516" i="7"/>
  <c r="I516" i="7"/>
  <c r="H516" i="7"/>
  <c r="G516" i="7"/>
  <c r="F516" i="7"/>
  <c r="V516" i="7"/>
  <c r="T516" i="7"/>
  <c r="R516" i="7"/>
  <c r="U516" i="7"/>
  <c r="S516" i="7"/>
  <c r="Q516" i="7"/>
  <c r="E516" i="7"/>
  <c r="D516" i="7"/>
  <c r="B516" i="7"/>
  <c r="P514" i="7"/>
  <c r="J514" i="7"/>
  <c r="K513" i="7"/>
  <c r="J513" i="7"/>
  <c r="I513" i="7"/>
  <c r="O514" i="7" s="1"/>
  <c r="H513" i="7"/>
  <c r="G513" i="7"/>
  <c r="F513" i="7"/>
  <c r="V513" i="7"/>
  <c r="T513" i="7"/>
  <c r="R513" i="7"/>
  <c r="U513" i="7"/>
  <c r="S513" i="7"/>
  <c r="Q513" i="7"/>
  <c r="E513" i="7"/>
  <c r="D513" i="7"/>
  <c r="B513" i="7"/>
  <c r="O511" i="7"/>
  <c r="K510" i="7"/>
  <c r="J510" i="7"/>
  <c r="I510" i="7"/>
  <c r="H511" i="7" s="1"/>
  <c r="H510" i="7"/>
  <c r="G510" i="7"/>
  <c r="F510" i="7"/>
  <c r="V510" i="7"/>
  <c r="T510" i="7"/>
  <c r="R510" i="7"/>
  <c r="U510" i="7"/>
  <c r="S510" i="7"/>
  <c r="Q510" i="7"/>
  <c r="E510" i="7"/>
  <c r="D510" i="7"/>
  <c r="B510" i="7"/>
  <c r="H508" i="7"/>
  <c r="K507" i="7"/>
  <c r="P508" i="7" s="1"/>
  <c r="J507" i="7"/>
  <c r="I507" i="7"/>
  <c r="O508" i="7" s="1"/>
  <c r="H507" i="7"/>
  <c r="G507" i="7"/>
  <c r="F507" i="7"/>
  <c r="V507" i="7"/>
  <c r="T507" i="7"/>
  <c r="R507" i="7"/>
  <c r="U507" i="7"/>
  <c r="S507" i="7"/>
  <c r="Q507" i="7"/>
  <c r="E507" i="7"/>
  <c r="D507" i="7"/>
  <c r="B507" i="7"/>
  <c r="P505" i="7"/>
  <c r="J505" i="7"/>
  <c r="K504" i="7"/>
  <c r="J504" i="7"/>
  <c r="I504" i="7"/>
  <c r="H504" i="7"/>
  <c r="G504" i="7"/>
  <c r="F504" i="7"/>
  <c r="V504" i="7"/>
  <c r="T504" i="7"/>
  <c r="R504" i="7"/>
  <c r="U504" i="7"/>
  <c r="S504" i="7"/>
  <c r="Q504" i="7"/>
  <c r="E504" i="7"/>
  <c r="D504" i="7"/>
  <c r="B504" i="7"/>
  <c r="H501" i="7"/>
  <c r="J501" i="7"/>
  <c r="I499" i="7"/>
  <c r="H499" i="7"/>
  <c r="G499" i="7"/>
  <c r="E499" i="7"/>
  <c r="J498" i="7"/>
  <c r="E498" i="7"/>
  <c r="J497" i="7"/>
  <c r="E497" i="7"/>
  <c r="K496" i="7"/>
  <c r="J496" i="7"/>
  <c r="I496" i="7"/>
  <c r="H496" i="7"/>
  <c r="G496" i="7"/>
  <c r="F496" i="7"/>
  <c r="K495" i="7"/>
  <c r="J495" i="7"/>
  <c r="I495" i="7"/>
  <c r="H495" i="7"/>
  <c r="G495" i="7"/>
  <c r="F495" i="7"/>
  <c r="K494" i="7"/>
  <c r="J494" i="7"/>
  <c r="I494" i="7"/>
  <c r="H494" i="7"/>
  <c r="G494" i="7"/>
  <c r="F494" i="7"/>
  <c r="K493" i="7"/>
  <c r="J493" i="7"/>
  <c r="I493" i="7"/>
  <c r="O502" i="7" s="1"/>
  <c r="H493" i="7"/>
  <c r="G493" i="7"/>
  <c r="F493" i="7"/>
  <c r="C492" i="7"/>
  <c r="V491" i="7"/>
  <c r="T491" i="7"/>
  <c r="K498" i="7" s="1"/>
  <c r="R491" i="7"/>
  <c r="K497" i="7" s="1"/>
  <c r="J500" i="7" s="1"/>
  <c r="U491" i="7"/>
  <c r="S491" i="7"/>
  <c r="I498" i="7" s="1"/>
  <c r="H500" i="7" s="1"/>
  <c r="Q491" i="7"/>
  <c r="I497" i="7" s="1"/>
  <c r="E491" i="7"/>
  <c r="D491" i="7"/>
  <c r="A490" i="7"/>
  <c r="I488" i="7"/>
  <c r="J488" i="7"/>
  <c r="I487" i="7"/>
  <c r="J487" i="7"/>
  <c r="A486" i="7"/>
  <c r="P483" i="7"/>
  <c r="J483" i="7"/>
  <c r="K482" i="7"/>
  <c r="J482" i="7"/>
  <c r="I482" i="7"/>
  <c r="H482" i="7"/>
  <c r="G482" i="7"/>
  <c r="F482" i="7"/>
  <c r="V482" i="7"/>
  <c r="T482" i="7"/>
  <c r="R482" i="7"/>
  <c r="U482" i="7"/>
  <c r="S482" i="7"/>
  <c r="Q482" i="7"/>
  <c r="E482" i="7"/>
  <c r="D482" i="7"/>
  <c r="B482" i="7"/>
  <c r="O480" i="7"/>
  <c r="J480" i="7"/>
  <c r="K479" i="7"/>
  <c r="P480" i="7" s="1"/>
  <c r="J479" i="7"/>
  <c r="I479" i="7"/>
  <c r="H480" i="7" s="1"/>
  <c r="H479" i="7"/>
  <c r="G479" i="7"/>
  <c r="F479" i="7"/>
  <c r="V479" i="7"/>
  <c r="T479" i="7"/>
  <c r="R479" i="7"/>
  <c r="U479" i="7"/>
  <c r="S479" i="7"/>
  <c r="Q479" i="7"/>
  <c r="E479" i="7"/>
  <c r="D479" i="7"/>
  <c r="B479" i="7"/>
  <c r="O477" i="7"/>
  <c r="H477" i="7"/>
  <c r="K476" i="7"/>
  <c r="J476" i="7"/>
  <c r="I476" i="7"/>
  <c r="H476" i="7"/>
  <c r="G476" i="7"/>
  <c r="F476" i="7"/>
  <c r="V476" i="7"/>
  <c r="T476" i="7"/>
  <c r="R476" i="7"/>
  <c r="U476" i="7"/>
  <c r="S476" i="7"/>
  <c r="Q476" i="7"/>
  <c r="E476" i="7"/>
  <c r="D476" i="7"/>
  <c r="B476" i="7"/>
  <c r="H474" i="7"/>
  <c r="P474" i="7"/>
  <c r="J474" i="7"/>
  <c r="K473" i="7"/>
  <c r="J473" i="7"/>
  <c r="I473" i="7"/>
  <c r="O474" i="7" s="1"/>
  <c r="H473" i="7"/>
  <c r="G473" i="7"/>
  <c r="F473" i="7"/>
  <c r="V473" i="7"/>
  <c r="T473" i="7"/>
  <c r="R473" i="7"/>
  <c r="U473" i="7"/>
  <c r="S473" i="7"/>
  <c r="Q473" i="7"/>
  <c r="E473" i="7"/>
  <c r="D473" i="7"/>
  <c r="B473" i="7"/>
  <c r="P471" i="7"/>
  <c r="J471" i="7"/>
  <c r="K470" i="7"/>
  <c r="J470" i="7"/>
  <c r="I470" i="7"/>
  <c r="H470" i="7"/>
  <c r="G470" i="7"/>
  <c r="F470" i="7"/>
  <c r="V470" i="7"/>
  <c r="T470" i="7"/>
  <c r="R470" i="7"/>
  <c r="U470" i="7"/>
  <c r="S470" i="7"/>
  <c r="Q470" i="7"/>
  <c r="E470" i="7"/>
  <c r="D470" i="7"/>
  <c r="B470" i="7"/>
  <c r="H467" i="7"/>
  <c r="J467" i="7"/>
  <c r="I465" i="7"/>
  <c r="H465" i="7"/>
  <c r="G465" i="7"/>
  <c r="E465" i="7"/>
  <c r="J464" i="7"/>
  <c r="I464" i="7"/>
  <c r="E464" i="7"/>
  <c r="J463" i="7"/>
  <c r="E463" i="7"/>
  <c r="K462" i="7"/>
  <c r="J462" i="7"/>
  <c r="H462" i="7"/>
  <c r="I462" i="7"/>
  <c r="F462" i="7"/>
  <c r="V462" i="7"/>
  <c r="T462" i="7"/>
  <c r="R462" i="7"/>
  <c r="U462" i="7"/>
  <c r="S462" i="7"/>
  <c r="Q462" i="7"/>
  <c r="E462" i="7"/>
  <c r="D462" i="7"/>
  <c r="B462" i="7"/>
  <c r="K461" i="7"/>
  <c r="J461" i="7"/>
  <c r="I461" i="7"/>
  <c r="H461" i="7"/>
  <c r="G461" i="7"/>
  <c r="F461" i="7"/>
  <c r="K460" i="7"/>
  <c r="J460" i="7"/>
  <c r="I460" i="7"/>
  <c r="H460" i="7"/>
  <c r="G460" i="7"/>
  <c r="F460" i="7"/>
  <c r="K459" i="7"/>
  <c r="J459" i="7"/>
  <c r="I459" i="7"/>
  <c r="H459" i="7"/>
  <c r="G459" i="7"/>
  <c r="F459" i="7"/>
  <c r="C458" i="7"/>
  <c r="V457" i="7"/>
  <c r="T457" i="7"/>
  <c r="K464" i="7" s="1"/>
  <c r="J466" i="7" s="1"/>
  <c r="R457" i="7"/>
  <c r="K463" i="7" s="1"/>
  <c r="U457" i="7"/>
  <c r="S457" i="7"/>
  <c r="Q457" i="7"/>
  <c r="I463" i="7" s="1"/>
  <c r="H466" i="7" s="1"/>
  <c r="E457" i="7"/>
  <c r="D457" i="7"/>
  <c r="P455" i="7"/>
  <c r="J455" i="7"/>
  <c r="K454" i="7"/>
  <c r="J454" i="7"/>
  <c r="I454" i="7"/>
  <c r="H454" i="7"/>
  <c r="G454" i="7"/>
  <c r="F454" i="7"/>
  <c r="V454" i="7"/>
  <c r="T454" i="7"/>
  <c r="R454" i="7"/>
  <c r="U454" i="7"/>
  <c r="S454" i="7"/>
  <c r="Q454" i="7"/>
  <c r="E454" i="7"/>
  <c r="D454" i="7"/>
  <c r="B454" i="7"/>
  <c r="P452" i="7"/>
  <c r="J452" i="7"/>
  <c r="K451" i="7"/>
  <c r="J451" i="7"/>
  <c r="I451" i="7"/>
  <c r="O452" i="7" s="1"/>
  <c r="H451" i="7"/>
  <c r="G451" i="7"/>
  <c r="F451" i="7"/>
  <c r="V451" i="7"/>
  <c r="T451" i="7"/>
  <c r="R451" i="7"/>
  <c r="U451" i="7"/>
  <c r="S451" i="7"/>
  <c r="Q451" i="7"/>
  <c r="E451" i="7"/>
  <c r="D451" i="7"/>
  <c r="B451" i="7"/>
  <c r="O449" i="7"/>
  <c r="H449" i="7"/>
  <c r="K448" i="7"/>
  <c r="J448" i="7"/>
  <c r="I448" i="7"/>
  <c r="H448" i="7"/>
  <c r="G448" i="7"/>
  <c r="F448" i="7"/>
  <c r="V448" i="7"/>
  <c r="T448" i="7"/>
  <c r="R448" i="7"/>
  <c r="U448" i="7"/>
  <c r="S448" i="7"/>
  <c r="Q448" i="7"/>
  <c r="E448" i="7"/>
  <c r="D448" i="7"/>
  <c r="B448" i="7"/>
  <c r="H446" i="7"/>
  <c r="K445" i="7"/>
  <c r="P446" i="7" s="1"/>
  <c r="J445" i="7"/>
  <c r="I445" i="7"/>
  <c r="O446" i="7" s="1"/>
  <c r="H445" i="7"/>
  <c r="G445" i="7"/>
  <c r="F445" i="7"/>
  <c r="V445" i="7"/>
  <c r="T445" i="7"/>
  <c r="R445" i="7"/>
  <c r="U445" i="7"/>
  <c r="S445" i="7"/>
  <c r="Q445" i="7"/>
  <c r="E445" i="7"/>
  <c r="D445" i="7"/>
  <c r="B445" i="7"/>
  <c r="P443" i="7"/>
  <c r="J443" i="7"/>
  <c r="K442" i="7"/>
  <c r="J442" i="7"/>
  <c r="I442" i="7"/>
  <c r="H442" i="7"/>
  <c r="G442" i="7"/>
  <c r="F442" i="7"/>
  <c r="V442" i="7"/>
  <c r="T442" i="7"/>
  <c r="R442" i="7"/>
  <c r="U442" i="7"/>
  <c r="S442" i="7"/>
  <c r="Q442" i="7"/>
  <c r="E442" i="7"/>
  <c r="D442" i="7"/>
  <c r="B442" i="7"/>
  <c r="P440" i="7"/>
  <c r="J440" i="7"/>
  <c r="K439" i="7"/>
  <c r="J439" i="7"/>
  <c r="I439" i="7"/>
  <c r="O440" i="7" s="1"/>
  <c r="H439" i="7"/>
  <c r="G439" i="7"/>
  <c r="F439" i="7"/>
  <c r="V439" i="7"/>
  <c r="T439" i="7"/>
  <c r="R439" i="7"/>
  <c r="U439" i="7"/>
  <c r="S439" i="7"/>
  <c r="Q439" i="7"/>
  <c r="E439" i="7"/>
  <c r="D439" i="7"/>
  <c r="B439" i="7"/>
  <c r="O437" i="7"/>
  <c r="H437" i="7"/>
  <c r="K436" i="7"/>
  <c r="J436" i="7"/>
  <c r="I436" i="7"/>
  <c r="H436" i="7"/>
  <c r="G436" i="7"/>
  <c r="F436" i="7"/>
  <c r="V436" i="7"/>
  <c r="T436" i="7"/>
  <c r="R436" i="7"/>
  <c r="U436" i="7"/>
  <c r="S436" i="7"/>
  <c r="Q436" i="7"/>
  <c r="E436" i="7"/>
  <c r="D436" i="7"/>
  <c r="B436" i="7"/>
  <c r="H433" i="7"/>
  <c r="J434" i="7"/>
  <c r="J433" i="7"/>
  <c r="I431" i="7"/>
  <c r="H431" i="7"/>
  <c r="G431" i="7"/>
  <c r="E431" i="7"/>
  <c r="J430" i="7"/>
  <c r="E430" i="7"/>
  <c r="K429" i="7"/>
  <c r="J429" i="7"/>
  <c r="E429" i="7"/>
  <c r="K428" i="7"/>
  <c r="J428" i="7"/>
  <c r="I428" i="7"/>
  <c r="H428" i="7"/>
  <c r="G428" i="7"/>
  <c r="F428" i="7"/>
  <c r="K427" i="7"/>
  <c r="J427" i="7"/>
  <c r="I427" i="7"/>
  <c r="H427" i="7"/>
  <c r="G427" i="7"/>
  <c r="F427" i="7"/>
  <c r="C426" i="7"/>
  <c r="V425" i="7"/>
  <c r="T425" i="7"/>
  <c r="K430" i="7" s="1"/>
  <c r="R425" i="7"/>
  <c r="U425" i="7"/>
  <c r="S425" i="7"/>
  <c r="I430" i="7" s="1"/>
  <c r="Q425" i="7"/>
  <c r="I429" i="7" s="1"/>
  <c r="H434" i="7" s="1"/>
  <c r="E425" i="7"/>
  <c r="D425" i="7"/>
  <c r="O423" i="7"/>
  <c r="H423" i="7"/>
  <c r="K422" i="7"/>
  <c r="J422" i="7"/>
  <c r="I422" i="7"/>
  <c r="H422" i="7"/>
  <c r="G422" i="7"/>
  <c r="F422" i="7"/>
  <c r="V422" i="7"/>
  <c r="T422" i="7"/>
  <c r="R422" i="7"/>
  <c r="U422" i="7"/>
  <c r="S422" i="7"/>
  <c r="Q422" i="7"/>
  <c r="E422" i="7"/>
  <c r="D422" i="7"/>
  <c r="B422" i="7"/>
  <c r="O420" i="7"/>
  <c r="H420" i="7"/>
  <c r="K419" i="7"/>
  <c r="P420" i="7" s="1"/>
  <c r="J419" i="7"/>
  <c r="I419" i="7"/>
  <c r="H419" i="7"/>
  <c r="G419" i="7"/>
  <c r="F419" i="7"/>
  <c r="V419" i="7"/>
  <c r="T419" i="7"/>
  <c r="R419" i="7"/>
  <c r="U419" i="7"/>
  <c r="S419" i="7"/>
  <c r="Q419" i="7"/>
  <c r="E419" i="7"/>
  <c r="D419" i="7"/>
  <c r="B419" i="7"/>
  <c r="P417" i="7"/>
  <c r="J417" i="7"/>
  <c r="K416" i="7"/>
  <c r="J416" i="7"/>
  <c r="I416" i="7"/>
  <c r="H416" i="7"/>
  <c r="G416" i="7"/>
  <c r="F416" i="7"/>
  <c r="V416" i="7"/>
  <c r="T416" i="7"/>
  <c r="R416" i="7"/>
  <c r="U416" i="7"/>
  <c r="S416" i="7"/>
  <c r="Q416" i="7"/>
  <c r="E416" i="7"/>
  <c r="D416" i="7"/>
  <c r="B416" i="7"/>
  <c r="H413" i="7"/>
  <c r="H412" i="7"/>
  <c r="J413" i="7"/>
  <c r="I411" i="7"/>
  <c r="H411" i="7"/>
  <c r="G411" i="7"/>
  <c r="E411" i="7"/>
  <c r="J410" i="7"/>
  <c r="I410" i="7"/>
  <c r="E410" i="7"/>
  <c r="J409" i="7"/>
  <c r="E409" i="7"/>
  <c r="K408" i="7"/>
  <c r="J408" i="7"/>
  <c r="H408" i="7"/>
  <c r="I408" i="7"/>
  <c r="F408" i="7"/>
  <c r="V408" i="7"/>
  <c r="T408" i="7"/>
  <c r="R408" i="7"/>
  <c r="U408" i="7"/>
  <c r="S408" i="7"/>
  <c r="Q408" i="7"/>
  <c r="E408" i="7"/>
  <c r="D408" i="7"/>
  <c r="B408" i="7"/>
  <c r="K407" i="7"/>
  <c r="J407" i="7"/>
  <c r="I407" i="7"/>
  <c r="O414" i="7" s="1"/>
  <c r="H407" i="7"/>
  <c r="G407" i="7"/>
  <c r="F407" i="7"/>
  <c r="C406" i="7"/>
  <c r="V405" i="7"/>
  <c r="T405" i="7"/>
  <c r="K410" i="7" s="1"/>
  <c r="R405" i="7"/>
  <c r="K409" i="7" s="1"/>
  <c r="U405" i="7"/>
  <c r="S405" i="7"/>
  <c r="Q405" i="7"/>
  <c r="I409" i="7" s="1"/>
  <c r="E405" i="7"/>
  <c r="D405" i="7"/>
  <c r="A404" i="7"/>
  <c r="I402" i="7"/>
  <c r="J402" i="7"/>
  <c r="I401" i="7"/>
  <c r="J401" i="7"/>
  <c r="A400" i="7"/>
  <c r="H396" i="7"/>
  <c r="J396" i="7"/>
  <c r="I394" i="7"/>
  <c r="H394" i="7"/>
  <c r="G394" i="7"/>
  <c r="E394" i="7"/>
  <c r="J393" i="7"/>
  <c r="E393" i="7"/>
  <c r="J392" i="7"/>
  <c r="E392" i="7"/>
  <c r="K391" i="7"/>
  <c r="J391" i="7"/>
  <c r="H391" i="7"/>
  <c r="I391" i="7"/>
  <c r="F391" i="7"/>
  <c r="V391" i="7"/>
  <c r="T391" i="7"/>
  <c r="R391" i="7"/>
  <c r="K392" i="7" s="1"/>
  <c r="J395" i="7" s="1"/>
  <c r="U391" i="7"/>
  <c r="S391" i="7"/>
  <c r="Q391" i="7"/>
  <c r="E391" i="7"/>
  <c r="D391" i="7"/>
  <c r="B391" i="7"/>
  <c r="K390" i="7"/>
  <c r="J390" i="7"/>
  <c r="I390" i="7"/>
  <c r="H390" i="7"/>
  <c r="G390" i="7"/>
  <c r="F390" i="7"/>
  <c r="K389" i="7"/>
  <c r="J389" i="7"/>
  <c r="I389" i="7"/>
  <c r="H389" i="7"/>
  <c r="G389" i="7"/>
  <c r="F389" i="7"/>
  <c r="K388" i="7"/>
  <c r="J388" i="7"/>
  <c r="I388" i="7"/>
  <c r="H388" i="7"/>
  <c r="G388" i="7"/>
  <c r="F388" i="7"/>
  <c r="K387" i="7"/>
  <c r="J387" i="7"/>
  <c r="I387" i="7"/>
  <c r="O397" i="7" s="1"/>
  <c r="H387" i="7"/>
  <c r="G387" i="7"/>
  <c r="F387" i="7"/>
  <c r="C386" i="7"/>
  <c r="V385" i="7"/>
  <c r="T385" i="7"/>
  <c r="K393" i="7" s="1"/>
  <c r="R385" i="7"/>
  <c r="U385" i="7"/>
  <c r="S385" i="7"/>
  <c r="I393" i="7" s="1"/>
  <c r="Q385" i="7"/>
  <c r="I392" i="7" s="1"/>
  <c r="E385" i="7"/>
  <c r="D385" i="7"/>
  <c r="H382" i="7"/>
  <c r="J382" i="7"/>
  <c r="I380" i="7"/>
  <c r="H380" i="7"/>
  <c r="G380" i="7"/>
  <c r="E380" i="7"/>
  <c r="J379" i="7"/>
  <c r="E379" i="7"/>
  <c r="K378" i="7"/>
  <c r="J378" i="7"/>
  <c r="E378" i="7"/>
  <c r="K377" i="7"/>
  <c r="J377" i="7"/>
  <c r="H377" i="7"/>
  <c r="I377" i="7"/>
  <c r="F377" i="7"/>
  <c r="V377" i="7"/>
  <c r="T377" i="7"/>
  <c r="R377" i="7"/>
  <c r="U377" i="7"/>
  <c r="S377" i="7"/>
  <c r="Q377" i="7"/>
  <c r="E377" i="7"/>
  <c r="D377" i="7"/>
  <c r="B377" i="7"/>
  <c r="K376" i="7"/>
  <c r="J376" i="7"/>
  <c r="I376" i="7"/>
  <c r="H376" i="7"/>
  <c r="G376" i="7"/>
  <c r="F376" i="7"/>
  <c r="K375" i="7"/>
  <c r="J375" i="7"/>
  <c r="I375" i="7"/>
  <c r="H375" i="7"/>
  <c r="G375" i="7"/>
  <c r="F375" i="7"/>
  <c r="K374" i="7"/>
  <c r="J374" i="7"/>
  <c r="I374" i="7"/>
  <c r="H374" i="7"/>
  <c r="G374" i="7"/>
  <c r="F374" i="7"/>
  <c r="K373" i="7"/>
  <c r="J373" i="7"/>
  <c r="I373" i="7"/>
  <c r="H373" i="7"/>
  <c r="G373" i="7"/>
  <c r="F373" i="7"/>
  <c r="C372" i="7"/>
  <c r="V371" i="7"/>
  <c r="T371" i="7"/>
  <c r="K379" i="7" s="1"/>
  <c r="R371" i="7"/>
  <c r="U371" i="7"/>
  <c r="S371" i="7"/>
  <c r="I379" i="7" s="1"/>
  <c r="Q371" i="7"/>
  <c r="I378" i="7" s="1"/>
  <c r="E371" i="7"/>
  <c r="D371" i="7"/>
  <c r="H368" i="7"/>
  <c r="J368" i="7"/>
  <c r="I366" i="7"/>
  <c r="H366" i="7"/>
  <c r="G366" i="7"/>
  <c r="E366" i="7"/>
  <c r="J365" i="7"/>
  <c r="E365" i="7"/>
  <c r="J364" i="7"/>
  <c r="E364" i="7"/>
  <c r="K363" i="7"/>
  <c r="J363" i="7"/>
  <c r="H363" i="7"/>
  <c r="I363" i="7"/>
  <c r="F363" i="7"/>
  <c r="V363" i="7"/>
  <c r="T363" i="7"/>
  <c r="R363" i="7"/>
  <c r="U363" i="7"/>
  <c r="S363" i="7"/>
  <c r="I365" i="7" s="1"/>
  <c r="Q363" i="7"/>
  <c r="E363" i="7"/>
  <c r="D363" i="7"/>
  <c r="B363" i="7"/>
  <c r="K362" i="7"/>
  <c r="J362" i="7"/>
  <c r="I362" i="7"/>
  <c r="H362" i="7"/>
  <c r="G362" i="7"/>
  <c r="F362" i="7"/>
  <c r="K361" i="7"/>
  <c r="J361" i="7"/>
  <c r="I361" i="7"/>
  <c r="H361" i="7"/>
  <c r="G361" i="7"/>
  <c r="F361" i="7"/>
  <c r="K360" i="7"/>
  <c r="J360" i="7"/>
  <c r="I360" i="7"/>
  <c r="H360" i="7"/>
  <c r="G360" i="7"/>
  <c r="F360" i="7"/>
  <c r="K359" i="7"/>
  <c r="J359" i="7"/>
  <c r="I359" i="7"/>
  <c r="O369" i="7" s="1"/>
  <c r="H359" i="7"/>
  <c r="G359" i="7"/>
  <c r="F359" i="7"/>
  <c r="C358" i="7"/>
  <c r="V357" i="7"/>
  <c r="T357" i="7"/>
  <c r="K365" i="7" s="1"/>
  <c r="R357" i="7"/>
  <c r="K364" i="7" s="1"/>
  <c r="U357" i="7"/>
  <c r="S357" i="7"/>
  <c r="Q357" i="7"/>
  <c r="I364" i="7" s="1"/>
  <c r="H369" i="7" s="1"/>
  <c r="E357" i="7"/>
  <c r="D357" i="7"/>
  <c r="P355" i="7"/>
  <c r="J355" i="7"/>
  <c r="K354" i="7"/>
  <c r="J354" i="7"/>
  <c r="I354" i="7"/>
  <c r="H355" i="7" s="1"/>
  <c r="H354" i="7"/>
  <c r="G354" i="7"/>
  <c r="F354" i="7"/>
  <c r="V354" i="7"/>
  <c r="T354" i="7"/>
  <c r="R354" i="7"/>
  <c r="U354" i="7"/>
  <c r="S354" i="7"/>
  <c r="Q354" i="7"/>
  <c r="E354" i="7"/>
  <c r="D354" i="7"/>
  <c r="B354" i="7"/>
  <c r="O352" i="7"/>
  <c r="J352" i="7"/>
  <c r="K351" i="7"/>
  <c r="P352" i="7" s="1"/>
  <c r="J351" i="7"/>
  <c r="I351" i="7"/>
  <c r="H352" i="7" s="1"/>
  <c r="H351" i="7"/>
  <c r="G351" i="7"/>
  <c r="F351" i="7"/>
  <c r="V351" i="7"/>
  <c r="T351" i="7"/>
  <c r="R351" i="7"/>
  <c r="U351" i="7"/>
  <c r="S351" i="7"/>
  <c r="Q351" i="7"/>
  <c r="E351" i="7"/>
  <c r="D351" i="7"/>
  <c r="B351" i="7"/>
  <c r="O349" i="7"/>
  <c r="H349" i="7"/>
  <c r="K348" i="7"/>
  <c r="J349" i="7" s="1"/>
  <c r="J348" i="7"/>
  <c r="I348" i="7"/>
  <c r="H348" i="7"/>
  <c r="G348" i="7"/>
  <c r="F348" i="7"/>
  <c r="V348" i="7"/>
  <c r="T348" i="7"/>
  <c r="R348" i="7"/>
  <c r="U348" i="7"/>
  <c r="S348" i="7"/>
  <c r="Q348" i="7"/>
  <c r="E348" i="7"/>
  <c r="D348" i="7"/>
  <c r="B348" i="7"/>
  <c r="H346" i="7"/>
  <c r="P346" i="7"/>
  <c r="K345" i="7"/>
  <c r="J346" i="7" s="1"/>
  <c r="J345" i="7"/>
  <c r="I345" i="7"/>
  <c r="O346" i="7" s="1"/>
  <c r="H345" i="7"/>
  <c r="G345" i="7"/>
  <c r="F345" i="7"/>
  <c r="V345" i="7"/>
  <c r="T345" i="7"/>
  <c r="R345" i="7"/>
  <c r="U345" i="7"/>
  <c r="S345" i="7"/>
  <c r="Q345" i="7"/>
  <c r="E345" i="7"/>
  <c r="D345" i="7"/>
  <c r="B345" i="7"/>
  <c r="P343" i="7"/>
  <c r="J343" i="7"/>
  <c r="K342" i="7"/>
  <c r="J342" i="7"/>
  <c r="I342" i="7"/>
  <c r="H343" i="7" s="1"/>
  <c r="H342" i="7"/>
  <c r="G342" i="7"/>
  <c r="F342" i="7"/>
  <c r="V342" i="7"/>
  <c r="T342" i="7"/>
  <c r="R342" i="7"/>
  <c r="U342" i="7"/>
  <c r="S342" i="7"/>
  <c r="Q342" i="7"/>
  <c r="E342" i="7"/>
  <c r="D342" i="7"/>
  <c r="B342" i="7"/>
  <c r="H339" i="7"/>
  <c r="J339" i="7"/>
  <c r="I337" i="7"/>
  <c r="H337" i="7"/>
  <c r="G337" i="7"/>
  <c r="E337" i="7"/>
  <c r="J336" i="7"/>
  <c r="E336" i="7"/>
  <c r="J335" i="7"/>
  <c r="E335" i="7"/>
  <c r="K334" i="7"/>
  <c r="J334" i="7"/>
  <c r="H334" i="7"/>
  <c r="I334" i="7"/>
  <c r="F334" i="7"/>
  <c r="V334" i="7"/>
  <c r="T334" i="7"/>
  <c r="R334" i="7"/>
  <c r="K335" i="7" s="1"/>
  <c r="U334" i="7"/>
  <c r="S334" i="7"/>
  <c r="Q334" i="7"/>
  <c r="E334" i="7"/>
  <c r="D334" i="7"/>
  <c r="B334" i="7"/>
  <c r="K333" i="7"/>
  <c r="J333" i="7"/>
  <c r="I333" i="7"/>
  <c r="H333" i="7"/>
  <c r="G333" i="7"/>
  <c r="F333" i="7"/>
  <c r="K332" i="7"/>
  <c r="J332" i="7"/>
  <c r="I332" i="7"/>
  <c r="H332" i="7"/>
  <c r="G332" i="7"/>
  <c r="F332" i="7"/>
  <c r="K331" i="7"/>
  <c r="J331" i="7"/>
  <c r="I331" i="7"/>
  <c r="H331" i="7"/>
  <c r="G331" i="7"/>
  <c r="F331" i="7"/>
  <c r="K330" i="7"/>
  <c r="J330" i="7"/>
  <c r="I330" i="7"/>
  <c r="H330" i="7"/>
  <c r="G330" i="7"/>
  <c r="F330" i="7"/>
  <c r="C329" i="7"/>
  <c r="V328" i="7"/>
  <c r="T328" i="7"/>
  <c r="K336" i="7" s="1"/>
  <c r="R328" i="7"/>
  <c r="U328" i="7"/>
  <c r="S328" i="7"/>
  <c r="I336" i="7" s="1"/>
  <c r="Q328" i="7"/>
  <c r="I335" i="7" s="1"/>
  <c r="H338" i="7" s="1"/>
  <c r="E328" i="7"/>
  <c r="D328" i="7"/>
  <c r="O326" i="7"/>
  <c r="H326" i="7"/>
  <c r="K325" i="7"/>
  <c r="J326" i="7" s="1"/>
  <c r="J325" i="7"/>
  <c r="I325" i="7"/>
  <c r="H325" i="7"/>
  <c r="G325" i="7"/>
  <c r="F325" i="7"/>
  <c r="V325" i="7"/>
  <c r="T325" i="7"/>
  <c r="R325" i="7"/>
  <c r="U325" i="7"/>
  <c r="S325" i="7"/>
  <c r="Q325" i="7"/>
  <c r="E325" i="7"/>
  <c r="D325" i="7"/>
  <c r="B325" i="7"/>
  <c r="H322" i="7"/>
  <c r="J322" i="7"/>
  <c r="I320" i="7"/>
  <c r="H320" i="7"/>
  <c r="G320" i="7"/>
  <c r="E320" i="7"/>
  <c r="J319" i="7"/>
  <c r="E319" i="7"/>
  <c r="K318" i="7"/>
  <c r="J318" i="7"/>
  <c r="E318" i="7"/>
  <c r="K317" i="7"/>
  <c r="J317" i="7"/>
  <c r="I317" i="7"/>
  <c r="H317" i="7"/>
  <c r="G317" i="7"/>
  <c r="F317" i="7"/>
  <c r="K316" i="7"/>
  <c r="J316" i="7"/>
  <c r="I316" i="7"/>
  <c r="H316" i="7"/>
  <c r="G316" i="7"/>
  <c r="F316" i="7"/>
  <c r="V315" i="7"/>
  <c r="T315" i="7"/>
  <c r="K319" i="7" s="1"/>
  <c r="J323" i="7" s="1"/>
  <c r="R315" i="7"/>
  <c r="U315" i="7"/>
  <c r="S315" i="7"/>
  <c r="I319" i="7" s="1"/>
  <c r="Q315" i="7"/>
  <c r="I318" i="7" s="1"/>
  <c r="H323" i="7" s="1"/>
  <c r="E315" i="7"/>
  <c r="D315" i="7"/>
  <c r="O313" i="7"/>
  <c r="H313" i="7"/>
  <c r="K312" i="7"/>
  <c r="P313" i="7" s="1"/>
  <c r="J312" i="7"/>
  <c r="I312" i="7"/>
  <c r="H312" i="7"/>
  <c r="G312" i="7"/>
  <c r="F312" i="7"/>
  <c r="V312" i="7"/>
  <c r="T312" i="7"/>
  <c r="R312" i="7"/>
  <c r="U312" i="7"/>
  <c r="S312" i="7"/>
  <c r="Q312" i="7"/>
  <c r="E312" i="7"/>
  <c r="D312" i="7"/>
  <c r="B312" i="7"/>
  <c r="H309" i="7"/>
  <c r="J309" i="7"/>
  <c r="I307" i="7"/>
  <c r="H307" i="7"/>
  <c r="G307" i="7"/>
  <c r="E307" i="7"/>
  <c r="J306" i="7"/>
  <c r="E306" i="7"/>
  <c r="J305" i="7"/>
  <c r="I305" i="7"/>
  <c r="E305" i="7"/>
  <c r="K304" i="7"/>
  <c r="J304" i="7"/>
  <c r="I304" i="7"/>
  <c r="H304" i="7"/>
  <c r="G304" i="7"/>
  <c r="F304" i="7"/>
  <c r="V303" i="7"/>
  <c r="T303" i="7"/>
  <c r="K306" i="7" s="1"/>
  <c r="R303" i="7"/>
  <c r="K305" i="7" s="1"/>
  <c r="U303" i="7"/>
  <c r="S303" i="7"/>
  <c r="I306" i="7" s="1"/>
  <c r="Q303" i="7"/>
  <c r="E303" i="7"/>
  <c r="D303" i="7"/>
  <c r="O301" i="7"/>
  <c r="H301" i="7"/>
  <c r="K300" i="7"/>
  <c r="J301" i="7" s="1"/>
  <c r="J300" i="7"/>
  <c r="I300" i="7"/>
  <c r="H300" i="7"/>
  <c r="G300" i="7"/>
  <c r="F300" i="7"/>
  <c r="V300" i="7"/>
  <c r="T300" i="7"/>
  <c r="R300" i="7"/>
  <c r="U300" i="7"/>
  <c r="S300" i="7"/>
  <c r="Q300" i="7"/>
  <c r="E300" i="7"/>
  <c r="D300" i="7"/>
  <c r="B300" i="7"/>
  <c r="O298" i="7"/>
  <c r="H298" i="7"/>
  <c r="K297" i="7"/>
  <c r="P298" i="7" s="1"/>
  <c r="J297" i="7"/>
  <c r="I297" i="7"/>
  <c r="H297" i="7"/>
  <c r="G297" i="7"/>
  <c r="F297" i="7"/>
  <c r="V297" i="7"/>
  <c r="T297" i="7"/>
  <c r="R297" i="7"/>
  <c r="U297" i="7"/>
  <c r="S297" i="7"/>
  <c r="Q297" i="7"/>
  <c r="E297" i="7"/>
  <c r="D297" i="7"/>
  <c r="B297" i="7"/>
  <c r="H294" i="7"/>
  <c r="J294" i="7"/>
  <c r="I292" i="7"/>
  <c r="H292" i="7"/>
  <c r="G292" i="7"/>
  <c r="E292" i="7"/>
  <c r="J291" i="7"/>
  <c r="I291" i="7"/>
  <c r="E291" i="7"/>
  <c r="J290" i="7"/>
  <c r="I290" i="7"/>
  <c r="E290" i="7"/>
  <c r="K289" i="7"/>
  <c r="J289" i="7"/>
  <c r="I289" i="7"/>
  <c r="H289" i="7"/>
  <c r="G289" i="7"/>
  <c r="F289" i="7"/>
  <c r="K288" i="7"/>
  <c r="J288" i="7"/>
  <c r="I288" i="7"/>
  <c r="H288" i="7"/>
  <c r="G288" i="7"/>
  <c r="F288" i="7"/>
  <c r="K287" i="7"/>
  <c r="J287" i="7"/>
  <c r="I287" i="7"/>
  <c r="H295" i="7" s="1"/>
  <c r="H287" i="7"/>
  <c r="G287" i="7"/>
  <c r="F287" i="7"/>
  <c r="K286" i="7"/>
  <c r="J286" i="7"/>
  <c r="I286" i="7"/>
  <c r="O295" i="7" s="1"/>
  <c r="H286" i="7"/>
  <c r="G286" i="7"/>
  <c r="F286" i="7"/>
  <c r="V285" i="7"/>
  <c r="T285" i="7"/>
  <c r="K291" i="7" s="1"/>
  <c r="R285" i="7"/>
  <c r="K290" i="7" s="1"/>
  <c r="U285" i="7"/>
  <c r="S285" i="7"/>
  <c r="Q285" i="7"/>
  <c r="E285" i="7"/>
  <c r="D285" i="7"/>
  <c r="P283" i="7"/>
  <c r="J283" i="7"/>
  <c r="K282" i="7"/>
  <c r="J282" i="7"/>
  <c r="I282" i="7"/>
  <c r="H283" i="7" s="1"/>
  <c r="H282" i="7"/>
  <c r="G282" i="7"/>
  <c r="F282" i="7"/>
  <c r="V282" i="7"/>
  <c r="T282" i="7"/>
  <c r="R282" i="7"/>
  <c r="U282" i="7"/>
  <c r="S282" i="7"/>
  <c r="Q282" i="7"/>
  <c r="E282" i="7"/>
  <c r="D282" i="7"/>
  <c r="B282" i="7"/>
  <c r="H279" i="7"/>
  <c r="J279" i="7"/>
  <c r="I277" i="7"/>
  <c r="H277" i="7"/>
  <c r="G277" i="7"/>
  <c r="E277" i="7"/>
  <c r="J276" i="7"/>
  <c r="E276" i="7"/>
  <c r="J275" i="7"/>
  <c r="E275" i="7"/>
  <c r="K274" i="7"/>
  <c r="J274" i="7"/>
  <c r="I274" i="7"/>
  <c r="H274" i="7"/>
  <c r="G274" i="7"/>
  <c r="F274" i="7"/>
  <c r="K273" i="7"/>
  <c r="J273" i="7"/>
  <c r="I273" i="7"/>
  <c r="H273" i="7"/>
  <c r="G273" i="7"/>
  <c r="F273" i="7"/>
  <c r="K272" i="7"/>
  <c r="J272" i="7"/>
  <c r="I272" i="7"/>
  <c r="H272" i="7"/>
  <c r="G272" i="7"/>
  <c r="F272" i="7"/>
  <c r="V271" i="7"/>
  <c r="T271" i="7"/>
  <c r="K276" i="7" s="1"/>
  <c r="R271" i="7"/>
  <c r="K275" i="7" s="1"/>
  <c r="U271" i="7"/>
  <c r="S271" i="7"/>
  <c r="I276" i="7" s="1"/>
  <c r="Q271" i="7"/>
  <c r="I275" i="7" s="1"/>
  <c r="H278" i="7" s="1"/>
  <c r="E271" i="7"/>
  <c r="D271" i="7"/>
  <c r="O269" i="7"/>
  <c r="H269" i="7"/>
  <c r="K268" i="7"/>
  <c r="P269" i="7" s="1"/>
  <c r="J268" i="7"/>
  <c r="I268" i="7"/>
  <c r="H268" i="7"/>
  <c r="G268" i="7"/>
  <c r="F268" i="7"/>
  <c r="V268" i="7"/>
  <c r="T268" i="7"/>
  <c r="R268" i="7"/>
  <c r="U268" i="7"/>
  <c r="S268" i="7"/>
  <c r="Q268" i="7"/>
  <c r="E268" i="7"/>
  <c r="D268" i="7"/>
  <c r="B268" i="7"/>
  <c r="H265" i="7"/>
  <c r="J265" i="7"/>
  <c r="I263" i="7"/>
  <c r="H263" i="7"/>
  <c r="G263" i="7"/>
  <c r="E263" i="7"/>
  <c r="J262" i="7"/>
  <c r="I262" i="7"/>
  <c r="E262" i="7"/>
  <c r="J261" i="7"/>
  <c r="I261" i="7"/>
  <c r="E261" i="7"/>
  <c r="K260" i="7"/>
  <c r="J260" i="7"/>
  <c r="I260" i="7"/>
  <c r="H260" i="7"/>
  <c r="G260" i="7"/>
  <c r="F260" i="7"/>
  <c r="K259" i="7"/>
  <c r="J259" i="7"/>
  <c r="I259" i="7"/>
  <c r="H259" i="7"/>
  <c r="G259" i="7"/>
  <c r="F259" i="7"/>
  <c r="K258" i="7"/>
  <c r="J258" i="7"/>
  <c r="I258" i="7"/>
  <c r="H266" i="7" s="1"/>
  <c r="H258" i="7"/>
  <c r="G258" i="7"/>
  <c r="F258" i="7"/>
  <c r="K257" i="7"/>
  <c r="J257" i="7"/>
  <c r="I257" i="7"/>
  <c r="O266" i="7" s="1"/>
  <c r="H257" i="7"/>
  <c r="G257" i="7"/>
  <c r="F257" i="7"/>
  <c r="V256" i="7"/>
  <c r="T256" i="7"/>
  <c r="K262" i="7" s="1"/>
  <c r="R256" i="7"/>
  <c r="K261" i="7" s="1"/>
  <c r="U256" i="7"/>
  <c r="S256" i="7"/>
  <c r="Q256" i="7"/>
  <c r="E256" i="7"/>
  <c r="D256" i="7"/>
  <c r="A255" i="7"/>
  <c r="I253" i="7"/>
  <c r="J253" i="7"/>
  <c r="I252" i="7"/>
  <c r="J252" i="7"/>
  <c r="AQ251" i="7"/>
  <c r="A251" i="7"/>
  <c r="H247" i="7"/>
  <c r="J247" i="7"/>
  <c r="I245" i="7"/>
  <c r="H245" i="7"/>
  <c r="G245" i="7"/>
  <c r="E245" i="7"/>
  <c r="J244" i="7"/>
  <c r="E244" i="7"/>
  <c r="J243" i="7"/>
  <c r="E243" i="7"/>
  <c r="K242" i="7"/>
  <c r="J242" i="7"/>
  <c r="H242" i="7"/>
  <c r="I242" i="7"/>
  <c r="F242" i="7"/>
  <c r="V242" i="7"/>
  <c r="T242" i="7"/>
  <c r="R242" i="7"/>
  <c r="U242" i="7"/>
  <c r="S242" i="7"/>
  <c r="I244" i="7" s="1"/>
  <c r="Q242" i="7"/>
  <c r="E242" i="7"/>
  <c r="D242" i="7"/>
  <c r="B242" i="7"/>
  <c r="K241" i="7"/>
  <c r="J241" i="7"/>
  <c r="I241" i="7"/>
  <c r="H241" i="7"/>
  <c r="G241" i="7"/>
  <c r="F241" i="7"/>
  <c r="K240" i="7"/>
  <c r="J240" i="7"/>
  <c r="I240" i="7"/>
  <c r="H240" i="7"/>
  <c r="G240" i="7"/>
  <c r="F240" i="7"/>
  <c r="K239" i="7"/>
  <c r="J239" i="7"/>
  <c r="I239" i="7"/>
  <c r="H239" i="7"/>
  <c r="G239" i="7"/>
  <c r="F239" i="7"/>
  <c r="K238" i="7"/>
  <c r="J238" i="7"/>
  <c r="I238" i="7"/>
  <c r="O248" i="7" s="1"/>
  <c r="H238" i="7"/>
  <c r="G238" i="7"/>
  <c r="F238" i="7"/>
  <c r="C237" i="7"/>
  <c r="V236" i="7"/>
  <c r="T236" i="7"/>
  <c r="K244" i="7" s="1"/>
  <c r="R236" i="7"/>
  <c r="K243" i="7" s="1"/>
  <c r="U236" i="7"/>
  <c r="S236" i="7"/>
  <c r="Q236" i="7"/>
  <c r="I243" i="7" s="1"/>
  <c r="H248" i="7" s="1"/>
  <c r="E236" i="7"/>
  <c r="D236" i="7"/>
  <c r="H233" i="7"/>
  <c r="J233" i="7"/>
  <c r="I231" i="7"/>
  <c r="H231" i="7"/>
  <c r="G231" i="7"/>
  <c r="E231" i="7"/>
  <c r="J230" i="7"/>
  <c r="I230" i="7"/>
  <c r="E230" i="7"/>
  <c r="J229" i="7"/>
  <c r="E229" i="7"/>
  <c r="K228" i="7"/>
  <c r="J228" i="7"/>
  <c r="H228" i="7"/>
  <c r="I228" i="7"/>
  <c r="F228" i="7"/>
  <c r="V228" i="7"/>
  <c r="T228" i="7"/>
  <c r="R228" i="7"/>
  <c r="U228" i="7"/>
  <c r="S228" i="7"/>
  <c r="Q228" i="7"/>
  <c r="I229" i="7" s="1"/>
  <c r="E228" i="7"/>
  <c r="D228" i="7"/>
  <c r="B228" i="7"/>
  <c r="K227" i="7"/>
  <c r="J227" i="7"/>
  <c r="I227" i="7"/>
  <c r="H227" i="7"/>
  <c r="G227" i="7"/>
  <c r="F227" i="7"/>
  <c r="K226" i="7"/>
  <c r="J226" i="7"/>
  <c r="I226" i="7"/>
  <c r="H226" i="7"/>
  <c r="G226" i="7"/>
  <c r="F226" i="7"/>
  <c r="K225" i="7"/>
  <c r="J225" i="7"/>
  <c r="I225" i="7"/>
  <c r="H225" i="7"/>
  <c r="G225" i="7"/>
  <c r="F225" i="7"/>
  <c r="K224" i="7"/>
  <c r="J224" i="7"/>
  <c r="I224" i="7"/>
  <c r="H234" i="7" s="1"/>
  <c r="H224" i="7"/>
  <c r="G224" i="7"/>
  <c r="F224" i="7"/>
  <c r="C223" i="7"/>
  <c r="V222" i="7"/>
  <c r="T222" i="7"/>
  <c r="K230" i="7" s="1"/>
  <c r="R222" i="7"/>
  <c r="K229" i="7" s="1"/>
  <c r="U222" i="7"/>
  <c r="S222" i="7"/>
  <c r="Q222" i="7"/>
  <c r="E222" i="7"/>
  <c r="D222" i="7"/>
  <c r="J220" i="7"/>
  <c r="K219" i="7"/>
  <c r="P220" i="7" s="1"/>
  <c r="J219" i="7"/>
  <c r="I219" i="7"/>
  <c r="O220" i="7" s="1"/>
  <c r="H219" i="7"/>
  <c r="G219" i="7"/>
  <c r="F219" i="7"/>
  <c r="V219" i="7"/>
  <c r="T219" i="7"/>
  <c r="R219" i="7"/>
  <c r="U219" i="7"/>
  <c r="S219" i="7"/>
  <c r="Q219" i="7"/>
  <c r="E219" i="7"/>
  <c r="D219" i="7"/>
  <c r="B219" i="7"/>
  <c r="H216" i="7"/>
  <c r="J216" i="7"/>
  <c r="I214" i="7"/>
  <c r="H214" i="7"/>
  <c r="G214" i="7"/>
  <c r="E214" i="7"/>
  <c r="K213" i="7"/>
  <c r="J213" i="7"/>
  <c r="E213" i="7"/>
  <c r="J212" i="7"/>
  <c r="E212" i="7"/>
  <c r="K211" i="7"/>
  <c r="J211" i="7"/>
  <c r="I211" i="7"/>
  <c r="H211" i="7"/>
  <c r="G211" i="7"/>
  <c r="F211" i="7"/>
  <c r="V210" i="7"/>
  <c r="T210" i="7"/>
  <c r="R210" i="7"/>
  <c r="K212" i="7" s="1"/>
  <c r="U210" i="7"/>
  <c r="S210" i="7"/>
  <c r="I213" i="7" s="1"/>
  <c r="Q210" i="7"/>
  <c r="I212" i="7" s="1"/>
  <c r="E210" i="7"/>
  <c r="D210" i="7"/>
  <c r="A209" i="7"/>
  <c r="I207" i="7"/>
  <c r="J207" i="7"/>
  <c r="I206" i="7"/>
  <c r="J206" i="7"/>
  <c r="A205" i="7"/>
  <c r="P202" i="7"/>
  <c r="J202" i="7"/>
  <c r="K201" i="7"/>
  <c r="J201" i="7"/>
  <c r="I201" i="7"/>
  <c r="H202" i="7" s="1"/>
  <c r="H201" i="7"/>
  <c r="G201" i="7"/>
  <c r="F201" i="7"/>
  <c r="V201" i="7"/>
  <c r="T201" i="7"/>
  <c r="R201" i="7"/>
  <c r="U201" i="7"/>
  <c r="S201" i="7"/>
  <c r="Q201" i="7"/>
  <c r="E201" i="7"/>
  <c r="D201" i="7"/>
  <c r="B201" i="7"/>
  <c r="O199" i="7"/>
  <c r="J199" i="7"/>
  <c r="K198" i="7"/>
  <c r="P199" i="7" s="1"/>
  <c r="J205" i="7" s="1"/>
  <c r="J198" i="7"/>
  <c r="I198" i="7"/>
  <c r="H199" i="7" s="1"/>
  <c r="H198" i="7"/>
  <c r="G198" i="7"/>
  <c r="F198" i="7"/>
  <c r="V198" i="7"/>
  <c r="T198" i="7"/>
  <c r="R198" i="7"/>
  <c r="U198" i="7"/>
  <c r="S198" i="7"/>
  <c r="Q198" i="7"/>
  <c r="E198" i="7"/>
  <c r="D198" i="7"/>
  <c r="B198" i="7"/>
  <c r="A197" i="7"/>
  <c r="I195" i="7"/>
  <c r="J195" i="7"/>
  <c r="I194" i="7"/>
  <c r="J194" i="7"/>
  <c r="AQ193" i="7"/>
  <c r="A193" i="7"/>
  <c r="H189" i="7"/>
  <c r="J189" i="7"/>
  <c r="I187" i="7"/>
  <c r="H187" i="7"/>
  <c r="G187" i="7"/>
  <c r="E187" i="7"/>
  <c r="J186" i="7"/>
  <c r="E186" i="7"/>
  <c r="J185" i="7"/>
  <c r="E185" i="7"/>
  <c r="K184" i="7"/>
  <c r="J184" i="7"/>
  <c r="H184" i="7"/>
  <c r="I184" i="7"/>
  <c r="F184" i="7"/>
  <c r="V184" i="7"/>
  <c r="T184" i="7"/>
  <c r="R184" i="7"/>
  <c r="K185" i="7" s="1"/>
  <c r="U184" i="7"/>
  <c r="S184" i="7"/>
  <c r="Q184" i="7"/>
  <c r="E184" i="7"/>
  <c r="D184" i="7"/>
  <c r="B184" i="7"/>
  <c r="K183" i="7"/>
  <c r="J183" i="7"/>
  <c r="I183" i="7"/>
  <c r="H183" i="7"/>
  <c r="G183" i="7"/>
  <c r="F183" i="7"/>
  <c r="K182" i="7"/>
  <c r="J182" i="7"/>
  <c r="I182" i="7"/>
  <c r="H182" i="7"/>
  <c r="G182" i="7"/>
  <c r="F182" i="7"/>
  <c r="K181" i="7"/>
  <c r="J181" i="7"/>
  <c r="I181" i="7"/>
  <c r="H181" i="7"/>
  <c r="G181" i="7"/>
  <c r="F181" i="7"/>
  <c r="K180" i="7"/>
  <c r="J180" i="7"/>
  <c r="I180" i="7"/>
  <c r="H180" i="7"/>
  <c r="G180" i="7"/>
  <c r="F180" i="7"/>
  <c r="C179" i="7"/>
  <c r="V178" i="7"/>
  <c r="T178" i="7"/>
  <c r="K186" i="7" s="1"/>
  <c r="R178" i="7"/>
  <c r="U178" i="7"/>
  <c r="S178" i="7"/>
  <c r="I186" i="7" s="1"/>
  <c r="Q178" i="7"/>
  <c r="I185" i="7" s="1"/>
  <c r="H188" i="7" s="1"/>
  <c r="E178" i="7"/>
  <c r="D178" i="7"/>
  <c r="H175" i="7"/>
  <c r="J175" i="7"/>
  <c r="I173" i="7"/>
  <c r="H173" i="7"/>
  <c r="G173" i="7"/>
  <c r="E173" i="7"/>
  <c r="J172" i="7"/>
  <c r="E172" i="7"/>
  <c r="K171" i="7"/>
  <c r="J171" i="7"/>
  <c r="E171" i="7"/>
  <c r="K170" i="7"/>
  <c r="J170" i="7"/>
  <c r="H170" i="7"/>
  <c r="I170" i="7"/>
  <c r="F170" i="7"/>
  <c r="V170" i="7"/>
  <c r="T170" i="7"/>
  <c r="R170" i="7"/>
  <c r="U170" i="7"/>
  <c r="S170" i="7"/>
  <c r="Q170" i="7"/>
  <c r="E170" i="7"/>
  <c r="D170" i="7"/>
  <c r="B170" i="7"/>
  <c r="K169" i="7"/>
  <c r="J169" i="7"/>
  <c r="I169" i="7"/>
  <c r="H169" i="7"/>
  <c r="G169" i="7"/>
  <c r="F169" i="7"/>
  <c r="K168" i="7"/>
  <c r="J168" i="7"/>
  <c r="I168" i="7"/>
  <c r="H168" i="7"/>
  <c r="G168" i="7"/>
  <c r="F168" i="7"/>
  <c r="K167" i="7"/>
  <c r="J167" i="7"/>
  <c r="I167" i="7"/>
  <c r="H167" i="7"/>
  <c r="G167" i="7"/>
  <c r="F167" i="7"/>
  <c r="K166" i="7"/>
  <c r="J166" i="7"/>
  <c r="I166" i="7"/>
  <c r="H174" i="7" s="1"/>
  <c r="H166" i="7"/>
  <c r="G166" i="7"/>
  <c r="F166" i="7"/>
  <c r="C165" i="7"/>
  <c r="V164" i="7"/>
  <c r="T164" i="7"/>
  <c r="K172" i="7" s="1"/>
  <c r="R164" i="7"/>
  <c r="U164" i="7"/>
  <c r="S164" i="7"/>
  <c r="I172" i="7" s="1"/>
  <c r="Q164" i="7"/>
  <c r="I171" i="7" s="1"/>
  <c r="E164" i="7"/>
  <c r="D164" i="7"/>
  <c r="H161" i="7"/>
  <c r="J162" i="7"/>
  <c r="J161" i="7"/>
  <c r="I159" i="7"/>
  <c r="H159" i="7"/>
  <c r="G159" i="7"/>
  <c r="E159" i="7"/>
  <c r="J158" i="7"/>
  <c r="E158" i="7"/>
  <c r="J157" i="7"/>
  <c r="E157" i="7"/>
  <c r="K156" i="7"/>
  <c r="J156" i="7"/>
  <c r="H156" i="7"/>
  <c r="I156" i="7"/>
  <c r="F156" i="7"/>
  <c r="V156" i="7"/>
  <c r="T156" i="7"/>
  <c r="R156" i="7"/>
  <c r="U156" i="7"/>
  <c r="S156" i="7"/>
  <c r="Q156" i="7"/>
  <c r="E156" i="7"/>
  <c r="D156" i="7"/>
  <c r="B156" i="7"/>
  <c r="K155" i="7"/>
  <c r="J155" i="7"/>
  <c r="I155" i="7"/>
  <c r="H155" i="7"/>
  <c r="G155" i="7"/>
  <c r="F155" i="7"/>
  <c r="K154" i="7"/>
  <c r="J154" i="7"/>
  <c r="I154" i="7"/>
  <c r="H154" i="7"/>
  <c r="G154" i="7"/>
  <c r="F154" i="7"/>
  <c r="K153" i="7"/>
  <c r="J153" i="7"/>
  <c r="I153" i="7"/>
  <c r="H153" i="7"/>
  <c r="G153" i="7"/>
  <c r="F153" i="7"/>
  <c r="K152" i="7"/>
  <c r="J152" i="7"/>
  <c r="I152" i="7"/>
  <c r="H152" i="7"/>
  <c r="G152" i="7"/>
  <c r="F152" i="7"/>
  <c r="C151" i="7"/>
  <c r="V150" i="7"/>
  <c r="T150" i="7"/>
  <c r="K158" i="7" s="1"/>
  <c r="R150" i="7"/>
  <c r="K157" i="7" s="1"/>
  <c r="U150" i="7"/>
  <c r="S150" i="7"/>
  <c r="I158" i="7" s="1"/>
  <c r="Q150" i="7"/>
  <c r="I157" i="7" s="1"/>
  <c r="H162" i="7" s="1"/>
  <c r="E150" i="7"/>
  <c r="D150" i="7"/>
  <c r="H147" i="7"/>
  <c r="J147" i="7"/>
  <c r="I145" i="7"/>
  <c r="H145" i="7"/>
  <c r="G145" i="7"/>
  <c r="E145" i="7"/>
  <c r="J144" i="7"/>
  <c r="E144" i="7"/>
  <c r="J143" i="7"/>
  <c r="E143" i="7"/>
  <c r="K142" i="7"/>
  <c r="J142" i="7"/>
  <c r="H142" i="7"/>
  <c r="I142" i="7"/>
  <c r="F142" i="7"/>
  <c r="V142" i="7"/>
  <c r="T142" i="7"/>
  <c r="R142" i="7"/>
  <c r="U142" i="7"/>
  <c r="S142" i="7"/>
  <c r="I144" i="7" s="1"/>
  <c r="Q142" i="7"/>
  <c r="I143" i="7" s="1"/>
  <c r="E142" i="7"/>
  <c r="D142" i="7"/>
  <c r="B142" i="7"/>
  <c r="K141" i="7"/>
  <c r="J141" i="7"/>
  <c r="I141" i="7"/>
  <c r="H141" i="7"/>
  <c r="G141" i="7"/>
  <c r="F141" i="7"/>
  <c r="K140" i="7"/>
  <c r="J140" i="7"/>
  <c r="I140" i="7"/>
  <c r="H140" i="7"/>
  <c r="G140" i="7"/>
  <c r="F140" i="7"/>
  <c r="K139" i="7"/>
  <c r="J148" i="7" s="1"/>
  <c r="J139" i="7"/>
  <c r="I139" i="7"/>
  <c r="H139" i="7"/>
  <c r="G139" i="7"/>
  <c r="F139" i="7"/>
  <c r="K138" i="7"/>
  <c r="J138" i="7"/>
  <c r="I138" i="7"/>
  <c r="H146" i="7" s="1"/>
  <c r="H138" i="7"/>
  <c r="G138" i="7"/>
  <c r="F138" i="7"/>
  <c r="C137" i="7"/>
  <c r="V136" i="7"/>
  <c r="T136" i="7"/>
  <c r="K144" i="7" s="1"/>
  <c r="R136" i="7"/>
  <c r="K143" i="7" s="1"/>
  <c r="U136" i="7"/>
  <c r="S136" i="7"/>
  <c r="Q136" i="7"/>
  <c r="E136" i="7"/>
  <c r="D136" i="7"/>
  <c r="H133" i="7"/>
  <c r="J133" i="7"/>
  <c r="I131" i="7"/>
  <c r="H131" i="7"/>
  <c r="G131" i="7"/>
  <c r="E131" i="7"/>
  <c r="J130" i="7"/>
  <c r="E130" i="7"/>
  <c r="J129" i="7"/>
  <c r="E129" i="7"/>
  <c r="K128" i="7"/>
  <c r="J128" i="7"/>
  <c r="H128" i="7"/>
  <c r="I128" i="7"/>
  <c r="F128" i="7"/>
  <c r="V128" i="7"/>
  <c r="T128" i="7"/>
  <c r="R128" i="7"/>
  <c r="K129" i="7" s="1"/>
  <c r="U128" i="7"/>
  <c r="S128" i="7"/>
  <c r="Q128" i="7"/>
  <c r="I129" i="7" s="1"/>
  <c r="E128" i="7"/>
  <c r="D128" i="7"/>
  <c r="B128" i="7"/>
  <c r="K127" i="7"/>
  <c r="J127" i="7"/>
  <c r="I127" i="7"/>
  <c r="H127" i="7"/>
  <c r="G127" i="7"/>
  <c r="F127" i="7"/>
  <c r="K126" i="7"/>
  <c r="J126" i="7"/>
  <c r="I126" i="7"/>
  <c r="H126" i="7"/>
  <c r="G126" i="7"/>
  <c r="F126" i="7"/>
  <c r="K125" i="7"/>
  <c r="J132" i="7" s="1"/>
  <c r="J125" i="7"/>
  <c r="I125" i="7"/>
  <c r="H125" i="7"/>
  <c r="G125" i="7"/>
  <c r="F125" i="7"/>
  <c r="K124" i="7"/>
  <c r="J124" i="7"/>
  <c r="I124" i="7"/>
  <c r="H132" i="7" s="1"/>
  <c r="H124" i="7"/>
  <c r="G124" i="7"/>
  <c r="F124" i="7"/>
  <c r="C123" i="7"/>
  <c r="V122" i="7"/>
  <c r="T122" i="7"/>
  <c r="K130" i="7" s="1"/>
  <c r="R122" i="7"/>
  <c r="U122" i="7"/>
  <c r="S122" i="7"/>
  <c r="I130" i="7" s="1"/>
  <c r="Q122" i="7"/>
  <c r="E122" i="7"/>
  <c r="D122" i="7"/>
  <c r="O120" i="7"/>
  <c r="H120" i="7"/>
  <c r="K119" i="7"/>
  <c r="J120" i="7" s="1"/>
  <c r="J119" i="7"/>
  <c r="I119" i="7"/>
  <c r="H119" i="7"/>
  <c r="G119" i="7"/>
  <c r="F119" i="7"/>
  <c r="V119" i="7"/>
  <c r="T119" i="7"/>
  <c r="R119" i="7"/>
  <c r="U119" i="7"/>
  <c r="S119" i="7"/>
  <c r="Q119" i="7"/>
  <c r="E119" i="7"/>
  <c r="D119" i="7"/>
  <c r="B119" i="7"/>
  <c r="H116" i="7"/>
  <c r="J116" i="7"/>
  <c r="I114" i="7"/>
  <c r="H114" i="7"/>
  <c r="G114" i="7"/>
  <c r="E114" i="7"/>
  <c r="K113" i="7"/>
  <c r="J113" i="7"/>
  <c r="E113" i="7"/>
  <c r="J112" i="7"/>
  <c r="I112" i="7"/>
  <c r="E112" i="7"/>
  <c r="K111" i="7"/>
  <c r="J111" i="7"/>
  <c r="I111" i="7"/>
  <c r="H111" i="7"/>
  <c r="G111" i="7"/>
  <c r="F111" i="7"/>
  <c r="K110" i="7"/>
  <c r="J110" i="7"/>
  <c r="I110" i="7"/>
  <c r="H110" i="7"/>
  <c r="G110" i="7"/>
  <c r="F110" i="7"/>
  <c r="K109" i="7"/>
  <c r="J109" i="7"/>
  <c r="I109" i="7"/>
  <c r="H109" i="7"/>
  <c r="G109" i="7"/>
  <c r="F109" i="7"/>
  <c r="V108" i="7"/>
  <c r="T108" i="7"/>
  <c r="R108" i="7"/>
  <c r="K112" i="7" s="1"/>
  <c r="U108" i="7"/>
  <c r="S108" i="7"/>
  <c r="I113" i="7" s="1"/>
  <c r="Q108" i="7"/>
  <c r="E108" i="7"/>
  <c r="D108" i="7"/>
  <c r="P106" i="7"/>
  <c r="J106" i="7"/>
  <c r="K105" i="7"/>
  <c r="J105" i="7"/>
  <c r="I105" i="7"/>
  <c r="O106" i="7" s="1"/>
  <c r="H105" i="7"/>
  <c r="G105" i="7"/>
  <c r="F105" i="7"/>
  <c r="V105" i="7"/>
  <c r="T105" i="7"/>
  <c r="R105" i="7"/>
  <c r="U105" i="7"/>
  <c r="S105" i="7"/>
  <c r="Q105" i="7"/>
  <c r="E105" i="7"/>
  <c r="D105" i="7"/>
  <c r="B105" i="7"/>
  <c r="H102" i="7"/>
  <c r="J102" i="7"/>
  <c r="I100" i="7"/>
  <c r="H100" i="7"/>
  <c r="G100" i="7"/>
  <c r="E100" i="7"/>
  <c r="J99" i="7"/>
  <c r="E99" i="7"/>
  <c r="J98" i="7"/>
  <c r="E98" i="7"/>
  <c r="K97" i="7"/>
  <c r="J97" i="7"/>
  <c r="I97" i="7"/>
  <c r="H97" i="7"/>
  <c r="G97" i="7"/>
  <c r="F97" i="7"/>
  <c r="K96" i="7"/>
  <c r="J96" i="7"/>
  <c r="I96" i="7"/>
  <c r="H101" i="7" s="1"/>
  <c r="H96" i="7"/>
  <c r="G96" i="7"/>
  <c r="F96" i="7"/>
  <c r="K95" i="7"/>
  <c r="J95" i="7"/>
  <c r="I95" i="7"/>
  <c r="H95" i="7"/>
  <c r="G95" i="7"/>
  <c r="F95" i="7"/>
  <c r="V94" i="7"/>
  <c r="T94" i="7"/>
  <c r="K99" i="7" s="1"/>
  <c r="R94" i="7"/>
  <c r="K98" i="7" s="1"/>
  <c r="U94" i="7"/>
  <c r="S94" i="7"/>
  <c r="I99" i="7" s="1"/>
  <c r="Q94" i="7"/>
  <c r="I98" i="7" s="1"/>
  <c r="E94" i="7"/>
  <c r="D94" i="7"/>
  <c r="P92" i="7"/>
  <c r="J92" i="7"/>
  <c r="K91" i="7"/>
  <c r="J91" i="7"/>
  <c r="I91" i="7"/>
  <c r="H92" i="7" s="1"/>
  <c r="H91" i="7"/>
  <c r="G91" i="7"/>
  <c r="F91" i="7"/>
  <c r="V91" i="7"/>
  <c r="T91" i="7"/>
  <c r="R91" i="7"/>
  <c r="U91" i="7"/>
  <c r="S91" i="7"/>
  <c r="Q91" i="7"/>
  <c r="E91" i="7"/>
  <c r="D91" i="7"/>
  <c r="B91" i="7"/>
  <c r="H88" i="7"/>
  <c r="J88" i="7"/>
  <c r="I86" i="7"/>
  <c r="H86" i="7"/>
  <c r="G86" i="7"/>
  <c r="E86" i="7"/>
  <c r="J85" i="7"/>
  <c r="I85" i="7"/>
  <c r="E85" i="7"/>
  <c r="J84" i="7"/>
  <c r="E84" i="7"/>
  <c r="K83" i="7"/>
  <c r="J83" i="7"/>
  <c r="I83" i="7"/>
  <c r="H83" i="7"/>
  <c r="G83" i="7"/>
  <c r="F83" i="7"/>
  <c r="K82" i="7"/>
  <c r="J82" i="7"/>
  <c r="I82" i="7"/>
  <c r="H82" i="7"/>
  <c r="G82" i="7"/>
  <c r="F82" i="7"/>
  <c r="K81" i="7"/>
  <c r="J81" i="7"/>
  <c r="I81" i="7"/>
  <c r="H81" i="7"/>
  <c r="G81" i="7"/>
  <c r="F81" i="7"/>
  <c r="K80" i="7"/>
  <c r="J80" i="7"/>
  <c r="I80" i="7"/>
  <c r="H80" i="7"/>
  <c r="G80" i="7"/>
  <c r="F80" i="7"/>
  <c r="C79" i="7"/>
  <c r="V78" i="7"/>
  <c r="T78" i="7"/>
  <c r="K85" i="7" s="1"/>
  <c r="R78" i="7"/>
  <c r="K84" i="7" s="1"/>
  <c r="U78" i="7"/>
  <c r="S78" i="7"/>
  <c r="Q78" i="7"/>
  <c r="I84" i="7" s="1"/>
  <c r="E78" i="7"/>
  <c r="D78" i="7"/>
  <c r="P76" i="7"/>
  <c r="J76" i="7"/>
  <c r="K75" i="7"/>
  <c r="J75" i="7"/>
  <c r="I75" i="7"/>
  <c r="H76" i="7" s="1"/>
  <c r="H75" i="7"/>
  <c r="G75" i="7"/>
  <c r="F75" i="7"/>
  <c r="V75" i="7"/>
  <c r="T75" i="7"/>
  <c r="R75" i="7"/>
  <c r="U75" i="7"/>
  <c r="S75" i="7"/>
  <c r="Q75" i="7"/>
  <c r="E75" i="7"/>
  <c r="D75" i="7"/>
  <c r="B75" i="7"/>
  <c r="H72" i="7"/>
  <c r="J72" i="7"/>
  <c r="I70" i="7"/>
  <c r="H70" i="7"/>
  <c r="G70" i="7"/>
  <c r="E70" i="7"/>
  <c r="J69" i="7"/>
  <c r="E69" i="7"/>
  <c r="J68" i="7"/>
  <c r="E68" i="7"/>
  <c r="K67" i="7"/>
  <c r="J67" i="7"/>
  <c r="I67" i="7"/>
  <c r="H67" i="7"/>
  <c r="G67" i="7"/>
  <c r="F67" i="7"/>
  <c r="K66" i="7"/>
  <c r="J66" i="7"/>
  <c r="I66" i="7"/>
  <c r="H66" i="7"/>
  <c r="G66" i="7"/>
  <c r="F66" i="7"/>
  <c r="K65" i="7"/>
  <c r="J65" i="7"/>
  <c r="I65" i="7"/>
  <c r="H65" i="7"/>
  <c r="G65" i="7"/>
  <c r="F65" i="7"/>
  <c r="V64" i="7"/>
  <c r="T64" i="7"/>
  <c r="K69" i="7" s="1"/>
  <c r="R64" i="7"/>
  <c r="K68" i="7" s="1"/>
  <c r="U64" i="7"/>
  <c r="S64" i="7"/>
  <c r="I69" i="7" s="1"/>
  <c r="Q64" i="7"/>
  <c r="I68" i="7" s="1"/>
  <c r="E64" i="7"/>
  <c r="D64" i="7"/>
  <c r="H61" i="7"/>
  <c r="J61" i="7"/>
  <c r="I59" i="7"/>
  <c r="H59" i="7"/>
  <c r="G59" i="7"/>
  <c r="E59" i="7"/>
  <c r="K58" i="7"/>
  <c r="J58" i="7"/>
  <c r="E58" i="7"/>
  <c r="J57" i="7"/>
  <c r="E57" i="7"/>
  <c r="K56" i="7"/>
  <c r="J56" i="7"/>
  <c r="H56" i="7"/>
  <c r="I56" i="7"/>
  <c r="F56" i="7"/>
  <c r="V56" i="7"/>
  <c r="T56" i="7"/>
  <c r="R56" i="7"/>
  <c r="U56" i="7"/>
  <c r="S56" i="7"/>
  <c r="Q56" i="7"/>
  <c r="I57" i="7" s="1"/>
  <c r="E56" i="7"/>
  <c r="D56" i="7"/>
  <c r="B56" i="7"/>
  <c r="K55" i="7"/>
  <c r="J55" i="7"/>
  <c r="I55" i="7"/>
  <c r="H55" i="7"/>
  <c r="G55" i="7"/>
  <c r="F55" i="7"/>
  <c r="K54" i="7"/>
  <c r="J54" i="7"/>
  <c r="I54" i="7"/>
  <c r="H54" i="7"/>
  <c r="G54" i="7"/>
  <c r="F54" i="7"/>
  <c r="K53" i="7"/>
  <c r="J53" i="7"/>
  <c r="I53" i="7"/>
  <c r="H53" i="7"/>
  <c r="G53" i="7"/>
  <c r="F53" i="7"/>
  <c r="K52" i="7"/>
  <c r="J52" i="7"/>
  <c r="I52" i="7"/>
  <c r="H52" i="7"/>
  <c r="G52" i="7"/>
  <c r="F52" i="7"/>
  <c r="V51" i="7"/>
  <c r="T51" i="7"/>
  <c r="R51" i="7"/>
  <c r="K57" i="7" s="1"/>
  <c r="U51" i="7"/>
  <c r="S51" i="7"/>
  <c r="I58" i="7" s="1"/>
  <c r="Q51" i="7"/>
  <c r="E51" i="7"/>
  <c r="D51" i="7"/>
  <c r="P49" i="7"/>
  <c r="J49" i="7"/>
  <c r="K48" i="7"/>
  <c r="J48" i="7"/>
  <c r="I48" i="7"/>
  <c r="O49" i="7" s="1"/>
  <c r="H48" i="7"/>
  <c r="G48" i="7"/>
  <c r="F48" i="7"/>
  <c r="V48" i="7"/>
  <c r="T48" i="7"/>
  <c r="R48" i="7"/>
  <c r="U48" i="7"/>
  <c r="S48" i="7"/>
  <c r="Q48" i="7"/>
  <c r="E48" i="7"/>
  <c r="D48" i="7"/>
  <c r="B48" i="7"/>
  <c r="H45" i="7"/>
  <c r="J45" i="7"/>
  <c r="I43" i="7"/>
  <c r="H43" i="7"/>
  <c r="G43" i="7"/>
  <c r="E43" i="7"/>
  <c r="J42" i="7"/>
  <c r="E42" i="7"/>
  <c r="J41" i="7"/>
  <c r="E41" i="7"/>
  <c r="K40" i="7"/>
  <c r="J40" i="7"/>
  <c r="I40" i="7"/>
  <c r="H40" i="7"/>
  <c r="G40" i="7"/>
  <c r="F40" i="7"/>
  <c r="K39" i="7"/>
  <c r="J39" i="7"/>
  <c r="I39" i="7"/>
  <c r="H44" i="7" s="1"/>
  <c r="H39" i="7"/>
  <c r="G39" i="7"/>
  <c r="F39" i="7"/>
  <c r="K38" i="7"/>
  <c r="J38" i="7"/>
  <c r="I38" i="7"/>
  <c r="H38" i="7"/>
  <c r="G38" i="7"/>
  <c r="F38" i="7"/>
  <c r="V37" i="7"/>
  <c r="T37" i="7"/>
  <c r="K42" i="7" s="1"/>
  <c r="R37" i="7"/>
  <c r="K41" i="7" s="1"/>
  <c r="U37" i="7"/>
  <c r="S37" i="7"/>
  <c r="I42" i="7" s="1"/>
  <c r="Q37" i="7"/>
  <c r="I41" i="7" s="1"/>
  <c r="E37" i="7"/>
  <c r="D37" i="7"/>
  <c r="A36" i="7"/>
  <c r="A18" i="7"/>
  <c r="A15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1" i="3"/>
  <c r="Y1" i="3"/>
  <c r="CV1" i="3" s="1"/>
  <c r="CU1" i="3"/>
  <c r="CX1" i="3"/>
  <c r="DF1" i="3" s="1"/>
  <c r="CY1" i="3"/>
  <c r="CZ1" i="3"/>
  <c r="DA1" i="3"/>
  <c r="DB1" i="3"/>
  <c r="DC1" i="3"/>
  <c r="DH1" i="3"/>
  <c r="A2" i="3"/>
  <c r="Y2" i="3"/>
  <c r="CX2" i="3" s="1"/>
  <c r="CY2" i="3"/>
  <c r="CZ2" i="3"/>
  <c r="DB2" i="3" s="1"/>
  <c r="DA2" i="3"/>
  <c r="DC2" i="3"/>
  <c r="A3" i="3"/>
  <c r="Y3" i="3"/>
  <c r="CU3" i="3"/>
  <c r="CV3" i="3"/>
  <c r="CX3" i="3"/>
  <c r="DI3" i="3" s="1"/>
  <c r="DJ3" i="3" s="1"/>
  <c r="CY3" i="3"/>
  <c r="CZ3" i="3"/>
  <c r="DA3" i="3"/>
  <c r="DB3" i="3"/>
  <c r="DC3" i="3"/>
  <c r="DG3" i="3"/>
  <c r="DH3" i="3"/>
  <c r="A4" i="3"/>
  <c r="Y4" i="3"/>
  <c r="CW4" i="3" s="1"/>
  <c r="CY4" i="3"/>
  <c r="CZ4" i="3"/>
  <c r="DB4" i="3" s="1"/>
  <c r="DA4" i="3"/>
  <c r="DC4" i="3"/>
  <c r="A5" i="3"/>
  <c r="Y5" i="3"/>
  <c r="CU5" i="3"/>
  <c r="CV5" i="3"/>
  <c r="CX5" i="3"/>
  <c r="DI5" i="3" s="1"/>
  <c r="DJ5" i="3" s="1"/>
  <c r="CY5" i="3"/>
  <c r="CZ5" i="3"/>
  <c r="DB5" i="3" s="1"/>
  <c r="DA5" i="3"/>
  <c r="DC5" i="3"/>
  <c r="DF5" i="3"/>
  <c r="DG5" i="3"/>
  <c r="DH5" i="3"/>
  <c r="A6" i="3"/>
  <c r="Y6" i="3"/>
  <c r="CW6" i="3" s="1"/>
  <c r="CX6" i="3"/>
  <c r="DF6" i="3" s="1"/>
  <c r="CY6" i="3"/>
  <c r="CZ6" i="3"/>
  <c r="DA6" i="3"/>
  <c r="DB6" i="3"/>
  <c r="DC6" i="3"/>
  <c r="DH6" i="3"/>
  <c r="A7" i="3"/>
  <c r="Y7" i="3"/>
  <c r="CX7" i="3" s="1"/>
  <c r="CY7" i="3"/>
  <c r="CZ7" i="3"/>
  <c r="DA7" i="3"/>
  <c r="DB7" i="3"/>
  <c r="DC7" i="3"/>
  <c r="A8" i="3"/>
  <c r="Y8" i="3"/>
  <c r="CX8" i="3" s="1"/>
  <c r="CY8" i="3"/>
  <c r="CZ8" i="3"/>
  <c r="DB8" i="3" s="1"/>
  <c r="DA8" i="3"/>
  <c r="DC8" i="3"/>
  <c r="A9" i="3"/>
  <c r="Y9" i="3"/>
  <c r="CX9" i="3" s="1"/>
  <c r="CY9" i="3"/>
  <c r="CZ9" i="3"/>
  <c r="DB9" i="3" s="1"/>
  <c r="DA9" i="3"/>
  <c r="DC9" i="3"/>
  <c r="A10" i="3"/>
  <c r="Y10" i="3"/>
  <c r="CX10" i="3"/>
  <c r="DF10" i="3" s="1"/>
  <c r="DJ10" i="3" s="1"/>
  <c r="CY10" i="3"/>
  <c r="CZ10" i="3"/>
  <c r="DA10" i="3"/>
  <c r="DB10" i="3"/>
  <c r="DC10" i="3"/>
  <c r="DH10" i="3"/>
  <c r="A11" i="3"/>
  <c r="Y11" i="3"/>
  <c r="CX11" i="3" s="1"/>
  <c r="CY11" i="3"/>
  <c r="CZ11" i="3"/>
  <c r="DA11" i="3"/>
  <c r="DB11" i="3"/>
  <c r="DC11" i="3"/>
  <c r="A12" i="3"/>
  <c r="Y12" i="3"/>
  <c r="CV12" i="3" s="1"/>
  <c r="CU12" i="3"/>
  <c r="CX12" i="3"/>
  <c r="DF12" i="3" s="1"/>
  <c r="CY12" i="3"/>
  <c r="CZ12" i="3"/>
  <c r="DA12" i="3"/>
  <c r="DB12" i="3"/>
  <c r="DC12" i="3"/>
  <c r="DH12" i="3"/>
  <c r="A13" i="3"/>
  <c r="Y13" i="3"/>
  <c r="CX13" i="3" s="1"/>
  <c r="CY13" i="3"/>
  <c r="CZ13" i="3"/>
  <c r="DB13" i="3" s="1"/>
  <c r="DA13" i="3"/>
  <c r="DC13" i="3"/>
  <c r="A14" i="3"/>
  <c r="Y14" i="3"/>
  <c r="CX14" i="3"/>
  <c r="DG14" i="3" s="1"/>
  <c r="CY14" i="3"/>
  <c r="CZ14" i="3"/>
  <c r="DB14" i="3" s="1"/>
  <c r="DA14" i="3"/>
  <c r="DC14" i="3"/>
  <c r="DF14" i="3"/>
  <c r="DH14" i="3"/>
  <c r="DI14" i="3"/>
  <c r="DJ14" i="3"/>
  <c r="A15" i="3"/>
  <c r="Y15" i="3"/>
  <c r="CX15" i="3"/>
  <c r="DF15" i="3" s="1"/>
  <c r="DJ15" i="3" s="1"/>
  <c r="CY15" i="3"/>
  <c r="CZ15" i="3"/>
  <c r="DA15" i="3"/>
  <c r="DB15" i="3"/>
  <c r="DC15" i="3"/>
  <c r="DH15" i="3"/>
  <c r="A16" i="3"/>
  <c r="Y16" i="3"/>
  <c r="CX16" i="3" s="1"/>
  <c r="CY16" i="3"/>
  <c r="CZ16" i="3"/>
  <c r="DA16" i="3"/>
  <c r="DB16" i="3"/>
  <c r="DC16" i="3"/>
  <c r="A17" i="3"/>
  <c r="Y17" i="3"/>
  <c r="CX17" i="3" s="1"/>
  <c r="CY17" i="3"/>
  <c r="CZ17" i="3"/>
  <c r="DB17" i="3" s="1"/>
  <c r="DA17" i="3"/>
  <c r="DC17" i="3"/>
  <c r="A18" i="3"/>
  <c r="Y18" i="3"/>
  <c r="CX18" i="3"/>
  <c r="DG18" i="3" s="1"/>
  <c r="CY18" i="3"/>
  <c r="CZ18" i="3"/>
  <c r="DB18" i="3" s="1"/>
  <c r="DA18" i="3"/>
  <c r="DC18" i="3"/>
  <c r="DF18" i="3"/>
  <c r="DH18" i="3"/>
  <c r="DI18" i="3"/>
  <c r="DJ18" i="3"/>
  <c r="A19" i="3"/>
  <c r="Y19" i="3"/>
  <c r="CX19" i="3" s="1"/>
  <c r="CU19" i="3"/>
  <c r="CV19" i="3"/>
  <c r="CY19" i="3"/>
  <c r="CZ19" i="3"/>
  <c r="DB19" i="3" s="1"/>
  <c r="DA19" i="3"/>
  <c r="DC19" i="3"/>
  <c r="A20" i="3"/>
  <c r="Y20" i="3"/>
  <c r="CW20" i="3"/>
  <c r="CX20" i="3"/>
  <c r="DF20" i="3" s="1"/>
  <c r="CY20" i="3"/>
  <c r="CZ20" i="3"/>
  <c r="DA20" i="3"/>
  <c r="DB20" i="3"/>
  <c r="DC20" i="3"/>
  <c r="DH20" i="3"/>
  <c r="A21" i="3"/>
  <c r="Y21" i="3"/>
  <c r="CV21" i="3" s="1"/>
  <c r="CU21" i="3"/>
  <c r="CY21" i="3"/>
  <c r="CZ21" i="3"/>
  <c r="DB21" i="3" s="1"/>
  <c r="DA21" i="3"/>
  <c r="DC21" i="3"/>
  <c r="A22" i="3"/>
  <c r="Y22" i="3"/>
  <c r="CW22" i="3"/>
  <c r="CX22" i="3"/>
  <c r="DI22" i="3" s="1"/>
  <c r="CY22" i="3"/>
  <c r="CZ22" i="3"/>
  <c r="DA22" i="3"/>
  <c r="DB22" i="3"/>
  <c r="DC22" i="3"/>
  <c r="DG22" i="3"/>
  <c r="DJ22" i="3" s="1"/>
  <c r="DH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A29" i="3"/>
  <c r="DB29" i="3"/>
  <c r="DC29" i="3"/>
  <c r="A30" i="3"/>
  <c r="Y30" i="3"/>
  <c r="CY30" i="3"/>
  <c r="CZ30" i="3"/>
  <c r="DA30" i="3"/>
  <c r="DB30" i="3"/>
  <c r="DC30" i="3"/>
  <c r="A31" i="3"/>
  <c r="Y31" i="3"/>
  <c r="CV31" i="3" s="1"/>
  <c r="CU31" i="3"/>
  <c r="CX31" i="3"/>
  <c r="CY31" i="3"/>
  <c r="CZ31" i="3"/>
  <c r="DA31" i="3"/>
  <c r="DB31" i="3"/>
  <c r="DC31" i="3"/>
  <c r="DH31" i="3"/>
  <c r="A32" i="3"/>
  <c r="Y32" i="3"/>
  <c r="CX32" i="3" s="1"/>
  <c r="CW32" i="3"/>
  <c r="CY32" i="3"/>
  <c r="CZ32" i="3"/>
  <c r="DB32" i="3" s="1"/>
  <c r="DA32" i="3"/>
  <c r="DC32" i="3"/>
  <c r="DF32" i="3"/>
  <c r="DG32" i="3"/>
  <c r="DJ32" i="3" s="1"/>
  <c r="A33" i="3"/>
  <c r="Y33" i="3"/>
  <c r="CU33" i="3"/>
  <c r="CV33" i="3"/>
  <c r="CX33" i="3"/>
  <c r="DH33" i="3" s="1"/>
  <c r="CY33" i="3"/>
  <c r="CZ33" i="3"/>
  <c r="DA33" i="3"/>
  <c r="DB33" i="3"/>
  <c r="DC33" i="3"/>
  <c r="DG33" i="3"/>
  <c r="A34" i="3"/>
  <c r="Y34" i="3"/>
  <c r="CY34" i="3"/>
  <c r="CZ34" i="3"/>
  <c r="DB34" i="3" s="1"/>
  <c r="DA34" i="3"/>
  <c r="DC34" i="3"/>
  <c r="A35" i="3"/>
  <c r="Y35" i="3"/>
  <c r="CX35" i="3" s="1"/>
  <c r="DF35" i="3" s="1"/>
  <c r="CU35" i="3"/>
  <c r="CV35" i="3"/>
  <c r="CY35" i="3"/>
  <c r="CZ35" i="3"/>
  <c r="DB35" i="3" s="1"/>
  <c r="DA35" i="3"/>
  <c r="DC35" i="3"/>
  <c r="DG35" i="3"/>
  <c r="A36" i="3"/>
  <c r="Y36" i="3"/>
  <c r="CW36" i="3"/>
  <c r="CX36" i="3"/>
  <c r="CY36" i="3"/>
  <c r="CZ36" i="3"/>
  <c r="DA36" i="3"/>
  <c r="DB36" i="3"/>
  <c r="DC36" i="3"/>
  <c r="DH36" i="3"/>
  <c r="DI36" i="3"/>
  <c r="A37" i="3"/>
  <c r="Y37" i="3"/>
  <c r="CU37" i="3"/>
  <c r="CY37" i="3"/>
  <c r="CZ37" i="3"/>
  <c r="DB37" i="3" s="1"/>
  <c r="DA37" i="3"/>
  <c r="DC37" i="3"/>
  <c r="A38" i="3"/>
  <c r="Y38" i="3"/>
  <c r="CW38" i="3"/>
  <c r="CX38" i="3"/>
  <c r="DH38" i="3" s="1"/>
  <c r="CY38" i="3"/>
  <c r="CZ38" i="3"/>
  <c r="DA38" i="3"/>
  <c r="DB38" i="3"/>
  <c r="DC38" i="3"/>
  <c r="DG38" i="3"/>
  <c r="DJ38" i="3" s="1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B49" i="3" s="1"/>
  <c r="DA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A55" i="3"/>
  <c r="DB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A102" i="3"/>
  <c r="DB102" i="3"/>
  <c r="DC102" i="3"/>
  <c r="A103" i="3"/>
  <c r="Y103" i="3"/>
  <c r="CU103" i="3"/>
  <c r="CV103" i="3"/>
  <c r="CX103" i="3"/>
  <c r="DF103" i="3" s="1"/>
  <c r="CY103" i="3"/>
  <c r="CZ103" i="3"/>
  <c r="DA103" i="3"/>
  <c r="DB103" i="3"/>
  <c r="DC103" i="3"/>
  <c r="DG103" i="3"/>
  <c r="DH103" i="3"/>
  <c r="DI103" i="3"/>
  <c r="DJ103" i="3" s="1"/>
  <c r="A104" i="3"/>
  <c r="Y104" i="3"/>
  <c r="CX104" i="3" s="1"/>
  <c r="CY104" i="3"/>
  <c r="CZ104" i="3"/>
  <c r="DA104" i="3"/>
  <c r="DB104" i="3"/>
  <c r="DC104" i="3"/>
  <c r="A105" i="3"/>
  <c r="Y105" i="3"/>
  <c r="CV105" i="3" s="1"/>
  <c r="CU105" i="3"/>
  <c r="CY105" i="3"/>
  <c r="CZ105" i="3"/>
  <c r="DA105" i="3"/>
  <c r="DB105" i="3"/>
  <c r="DC105" i="3"/>
  <c r="A106" i="3"/>
  <c r="Y106" i="3"/>
  <c r="CX106" i="3" s="1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B132" i="3" s="1"/>
  <c r="DA132" i="3"/>
  <c r="DC132" i="3"/>
  <c r="A133" i="3"/>
  <c r="Y133" i="3"/>
  <c r="CX133" i="3" s="1"/>
  <c r="DH133" i="3" s="1"/>
  <c r="CU133" i="3"/>
  <c r="CV133" i="3"/>
  <c r="CY133" i="3"/>
  <c r="CZ133" i="3"/>
  <c r="DB133" i="3" s="1"/>
  <c r="DA133" i="3"/>
  <c r="DC133" i="3"/>
  <c r="DF133" i="3"/>
  <c r="DG133" i="3"/>
  <c r="A134" i="3"/>
  <c r="Y134" i="3"/>
  <c r="CU134" i="3"/>
  <c r="CV134" i="3"/>
  <c r="CX134" i="3"/>
  <c r="DI134" i="3" s="1"/>
  <c r="DJ134" i="3" s="1"/>
  <c r="CY134" i="3"/>
  <c r="CZ134" i="3"/>
  <c r="DA134" i="3"/>
  <c r="DB134" i="3"/>
  <c r="DC134" i="3"/>
  <c r="DG134" i="3"/>
  <c r="DH134" i="3"/>
  <c r="A135" i="3"/>
  <c r="Y135" i="3"/>
  <c r="CV135" i="3" s="1"/>
  <c r="CU135" i="3"/>
  <c r="CX135" i="3"/>
  <c r="DI135" i="3" s="1"/>
  <c r="DJ135" i="3" s="1"/>
  <c r="CY135" i="3"/>
  <c r="CZ135" i="3"/>
  <c r="DA135" i="3"/>
  <c r="DB135" i="3"/>
  <c r="DC135" i="3"/>
  <c r="DH135" i="3"/>
  <c r="A136" i="3"/>
  <c r="Y136" i="3"/>
  <c r="CW136" i="3" s="1"/>
  <c r="CY136" i="3"/>
  <c r="CZ136" i="3"/>
  <c r="DB136" i="3" s="1"/>
  <c r="DA136" i="3"/>
  <c r="DC136" i="3"/>
  <c r="A137" i="3"/>
  <c r="Y137" i="3"/>
  <c r="CU137" i="3"/>
  <c r="CV137" i="3"/>
  <c r="CX137" i="3"/>
  <c r="DI137" i="3" s="1"/>
  <c r="DJ137" i="3" s="1"/>
  <c r="CY137" i="3"/>
  <c r="CZ137" i="3"/>
  <c r="DA137" i="3"/>
  <c r="DB137" i="3"/>
  <c r="DC137" i="3"/>
  <c r="DG137" i="3"/>
  <c r="DH137" i="3"/>
  <c r="A138" i="3"/>
  <c r="Y138" i="3"/>
  <c r="CW138" i="3" s="1"/>
  <c r="CY138" i="3"/>
  <c r="CZ138" i="3"/>
  <c r="DB138" i="3" s="1"/>
  <c r="DA138" i="3"/>
  <c r="DC138" i="3"/>
  <c r="A139" i="3"/>
  <c r="Y139" i="3"/>
  <c r="CU139" i="3"/>
  <c r="CV139" i="3"/>
  <c r="CX139" i="3"/>
  <c r="DI139" i="3" s="1"/>
  <c r="CY139" i="3"/>
  <c r="CZ139" i="3"/>
  <c r="DB139" i="3" s="1"/>
  <c r="DA139" i="3"/>
  <c r="DC139" i="3"/>
  <c r="DF139" i="3"/>
  <c r="DG139" i="3"/>
  <c r="DH139" i="3"/>
  <c r="DJ139" i="3"/>
  <c r="A140" i="3"/>
  <c r="Y140" i="3"/>
  <c r="CU140" i="3"/>
  <c r="CV140" i="3"/>
  <c r="CX140" i="3"/>
  <c r="DI140" i="3" s="1"/>
  <c r="DJ140" i="3" s="1"/>
  <c r="CY140" i="3"/>
  <c r="CZ140" i="3"/>
  <c r="DA140" i="3"/>
  <c r="DB140" i="3"/>
  <c r="DC140" i="3"/>
  <c r="DG140" i="3"/>
  <c r="DH140" i="3"/>
  <c r="A141" i="3"/>
  <c r="Y141" i="3"/>
  <c r="CV141" i="3" s="1"/>
  <c r="CU141" i="3"/>
  <c r="CX141" i="3"/>
  <c r="CY141" i="3"/>
  <c r="CZ141" i="3"/>
  <c r="DA141" i="3"/>
  <c r="DB141" i="3"/>
  <c r="DC141" i="3"/>
  <c r="DH141" i="3"/>
  <c r="A142" i="3"/>
  <c r="Y142" i="3"/>
  <c r="CX142" i="3" s="1"/>
  <c r="CY142" i="3"/>
  <c r="CZ142" i="3"/>
  <c r="DA142" i="3"/>
  <c r="DB142" i="3"/>
  <c r="DC142" i="3"/>
  <c r="DG142" i="3"/>
  <c r="A143" i="3"/>
  <c r="Y143" i="3"/>
  <c r="CV143" i="3" s="1"/>
  <c r="CU143" i="3"/>
  <c r="CX143" i="3"/>
  <c r="DH143" i="3" s="1"/>
  <c r="CY143" i="3"/>
  <c r="CZ143" i="3"/>
  <c r="DA143" i="3"/>
  <c r="DB143" i="3"/>
  <c r="DC143" i="3"/>
  <c r="A144" i="3"/>
  <c r="Y144" i="3"/>
  <c r="CX144" i="3" s="1"/>
  <c r="DG144" i="3" s="1"/>
  <c r="CY144" i="3"/>
  <c r="CZ144" i="3"/>
  <c r="DA144" i="3"/>
  <c r="DB144" i="3"/>
  <c r="DC144" i="3"/>
  <c r="A145" i="3"/>
  <c r="Y145" i="3"/>
  <c r="CV145" i="3" s="1"/>
  <c r="CU145" i="3"/>
  <c r="CX145" i="3"/>
  <c r="CY145" i="3"/>
  <c r="CZ145" i="3"/>
  <c r="DA145" i="3"/>
  <c r="DB145" i="3"/>
  <c r="DC145" i="3"/>
  <c r="DH145" i="3"/>
  <c r="A146" i="3"/>
  <c r="Y146" i="3"/>
  <c r="CX146" i="3" s="1"/>
  <c r="CY146" i="3"/>
  <c r="CZ146" i="3"/>
  <c r="DA146" i="3"/>
  <c r="DB146" i="3"/>
  <c r="DC146" i="3"/>
  <c r="DG146" i="3"/>
  <c r="A147" i="3"/>
  <c r="Y147" i="3"/>
  <c r="CX147" i="3" s="1"/>
  <c r="CY147" i="3"/>
  <c r="CZ147" i="3"/>
  <c r="DB147" i="3" s="1"/>
  <c r="DA147" i="3"/>
  <c r="DC147" i="3"/>
  <c r="DF147" i="3"/>
  <c r="DJ147" i="3" s="1"/>
  <c r="A148" i="3"/>
  <c r="Y148" i="3"/>
  <c r="CX148" i="3" s="1"/>
  <c r="CY148" i="3"/>
  <c r="CZ148" i="3"/>
  <c r="DB148" i="3" s="1"/>
  <c r="DA148" i="3"/>
  <c r="DC148" i="3"/>
  <c r="DI148" i="3"/>
  <c r="A149" i="3"/>
  <c r="Y149" i="3"/>
  <c r="CU149" i="3"/>
  <c r="CV149" i="3"/>
  <c r="CX149" i="3"/>
  <c r="DI149" i="3" s="1"/>
  <c r="CY149" i="3"/>
  <c r="CZ149" i="3"/>
  <c r="DB149" i="3" s="1"/>
  <c r="DA149" i="3"/>
  <c r="DC149" i="3"/>
  <c r="DF149" i="3"/>
  <c r="DG149" i="3"/>
  <c r="DH149" i="3"/>
  <c r="DJ149" i="3"/>
  <c r="A150" i="3"/>
  <c r="Y150" i="3"/>
  <c r="CX150" i="3" s="1"/>
  <c r="CY150" i="3"/>
  <c r="CZ150" i="3"/>
  <c r="DB150" i="3" s="1"/>
  <c r="DA150" i="3"/>
  <c r="DC150" i="3"/>
  <c r="DI150" i="3"/>
  <c r="A151" i="3"/>
  <c r="Y151" i="3"/>
  <c r="CX151" i="3"/>
  <c r="CY151" i="3"/>
  <c r="CZ151" i="3"/>
  <c r="DA151" i="3"/>
  <c r="DB151" i="3"/>
  <c r="DC151" i="3"/>
  <c r="DH151" i="3"/>
  <c r="A152" i="3"/>
  <c r="Y152" i="3"/>
  <c r="CX152" i="3" s="1"/>
  <c r="CY152" i="3"/>
  <c r="CZ152" i="3"/>
  <c r="DA152" i="3"/>
  <c r="DB152" i="3"/>
  <c r="DC152" i="3"/>
  <c r="DG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A209" i="3"/>
  <c r="DB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A238" i="3"/>
  <c r="DB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B244" i="3" s="1"/>
  <c r="DA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B247" i="3" s="1"/>
  <c r="DA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B253" i="3" s="1"/>
  <c r="DA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A259" i="3"/>
  <c r="DB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A263" i="3"/>
  <c r="DB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U277" i="3"/>
  <c r="CV277" i="3"/>
  <c r="CX277" i="3"/>
  <c r="CY277" i="3"/>
  <c r="CZ277" i="3"/>
  <c r="DA277" i="3"/>
  <c r="DB277" i="3"/>
  <c r="DC277" i="3"/>
  <c r="A278" i="3"/>
  <c r="Y278" i="3"/>
  <c r="CX278" i="3" s="1"/>
  <c r="CY278" i="3"/>
  <c r="CZ278" i="3"/>
  <c r="DB278" i="3" s="1"/>
  <c r="DA278" i="3"/>
  <c r="DC278" i="3"/>
  <c r="DF278" i="3"/>
  <c r="DG278" i="3"/>
  <c r="DJ278" i="3"/>
  <c r="A279" i="3"/>
  <c r="Y279" i="3"/>
  <c r="CU279" i="3"/>
  <c r="CV279" i="3"/>
  <c r="CX279" i="3"/>
  <c r="CY279" i="3"/>
  <c r="CZ279" i="3"/>
  <c r="DA279" i="3"/>
  <c r="DB279" i="3"/>
  <c r="DC279" i="3"/>
  <c r="DG279" i="3"/>
  <c r="DH279" i="3"/>
  <c r="A280" i="3"/>
  <c r="Y280" i="3"/>
  <c r="CX280" i="3" s="1"/>
  <c r="DF280" i="3" s="1"/>
  <c r="DJ280" i="3" s="1"/>
  <c r="CY280" i="3"/>
  <c r="CZ280" i="3"/>
  <c r="DB280" i="3" s="1"/>
  <c r="DA280" i="3"/>
  <c r="DC280" i="3"/>
  <c r="DG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A287" i="3"/>
  <c r="DB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B300" i="3" s="1"/>
  <c r="DA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A304" i="3"/>
  <c r="DB304" i="3"/>
  <c r="DC304" i="3"/>
  <c r="A305" i="3"/>
  <c r="Y305" i="3"/>
  <c r="CX305" i="3" s="1"/>
  <c r="CU305" i="3"/>
  <c r="CV305" i="3"/>
  <c r="CY305" i="3"/>
  <c r="CZ305" i="3"/>
  <c r="DA305" i="3"/>
  <c r="DB305" i="3"/>
  <c r="DC305" i="3"/>
  <c r="DG305" i="3"/>
  <c r="A306" i="3"/>
  <c r="Y306" i="3"/>
  <c r="CY306" i="3"/>
  <c r="CZ306" i="3"/>
  <c r="DB306" i="3" s="1"/>
  <c r="DA306" i="3"/>
  <c r="DC306" i="3"/>
  <c r="A307" i="3"/>
  <c r="Y307" i="3"/>
  <c r="CW307" i="3"/>
  <c r="CX307" i="3"/>
  <c r="DF307" i="3" s="1"/>
  <c r="CY307" i="3"/>
  <c r="CZ307" i="3"/>
  <c r="DA307" i="3"/>
  <c r="DB307" i="3"/>
  <c r="DC307" i="3"/>
  <c r="DH307" i="3"/>
  <c r="DI307" i="3"/>
  <c r="A308" i="3"/>
  <c r="Y308" i="3"/>
  <c r="CV308" i="3" s="1"/>
  <c r="CU308" i="3"/>
  <c r="CX308" i="3"/>
  <c r="DG308" i="3" s="1"/>
  <c r="CY308" i="3"/>
  <c r="CZ308" i="3"/>
  <c r="DA308" i="3"/>
  <c r="DB308" i="3"/>
  <c r="DC308" i="3"/>
  <c r="DH308" i="3"/>
  <c r="DI308" i="3"/>
  <c r="DJ308" i="3" s="1"/>
  <c r="A309" i="3"/>
  <c r="Y309" i="3"/>
  <c r="CY309" i="3"/>
  <c r="CZ309" i="3"/>
  <c r="DB309" i="3" s="1"/>
  <c r="DA309" i="3"/>
  <c r="DC309" i="3"/>
  <c r="A310" i="3"/>
  <c r="Y310" i="3"/>
  <c r="CW310" i="3" s="1"/>
  <c r="CY310" i="3"/>
  <c r="CZ310" i="3"/>
  <c r="DB310" i="3" s="1"/>
  <c r="DA310" i="3"/>
  <c r="DC310" i="3"/>
  <c r="A311" i="3"/>
  <c r="Y311" i="3"/>
  <c r="CX311" i="3" s="1"/>
  <c r="DH311" i="3" s="1"/>
  <c r="CU311" i="3"/>
  <c r="CY311" i="3"/>
  <c r="CZ311" i="3"/>
  <c r="DB311" i="3" s="1"/>
  <c r="DA311" i="3"/>
  <c r="DC311" i="3"/>
  <c r="DF311" i="3"/>
  <c r="DG311" i="3"/>
  <c r="A312" i="3"/>
  <c r="Y312" i="3"/>
  <c r="CW312" i="3"/>
  <c r="CX312" i="3"/>
  <c r="DF312" i="3" s="1"/>
  <c r="CY312" i="3"/>
  <c r="CZ312" i="3"/>
  <c r="DA312" i="3"/>
  <c r="DB312" i="3"/>
  <c r="DC312" i="3"/>
  <c r="DG312" i="3"/>
  <c r="DJ312" i="3" s="1"/>
  <c r="DI312" i="3"/>
  <c r="A313" i="3"/>
  <c r="Y313" i="3"/>
  <c r="CX313" i="3" s="1"/>
  <c r="DH313" i="3" s="1"/>
  <c r="CY313" i="3"/>
  <c r="CZ313" i="3"/>
  <c r="DB313" i="3" s="1"/>
  <c r="DA313" i="3"/>
  <c r="DC313" i="3"/>
  <c r="DG313" i="3"/>
  <c r="DJ313" i="3" s="1"/>
  <c r="DI313" i="3"/>
  <c r="A314" i="3"/>
  <c r="Y314" i="3"/>
  <c r="CU314" i="3"/>
  <c r="CV314" i="3"/>
  <c r="CX314" i="3"/>
  <c r="DI314" i="3" s="1"/>
  <c r="CY314" i="3"/>
  <c r="CZ314" i="3"/>
  <c r="DB314" i="3" s="1"/>
  <c r="DA314" i="3"/>
  <c r="DC314" i="3"/>
  <c r="DF314" i="3"/>
  <c r="DH314" i="3"/>
  <c r="DJ314" i="3"/>
  <c r="A315" i="3"/>
  <c r="Y315" i="3"/>
  <c r="CW315" i="3"/>
  <c r="CX315" i="3"/>
  <c r="DH315" i="3" s="1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U317" i="3"/>
  <c r="CV317" i="3"/>
  <c r="CX317" i="3"/>
  <c r="DI317" i="3" s="1"/>
  <c r="DJ317" i="3" s="1"/>
  <c r="CY317" i="3"/>
  <c r="CZ317" i="3"/>
  <c r="DA317" i="3"/>
  <c r="DB317" i="3"/>
  <c r="DC317" i="3"/>
  <c r="DG317" i="3"/>
  <c r="DH317" i="3"/>
  <c r="A318" i="3"/>
  <c r="Y318" i="3"/>
  <c r="CW318" i="3" s="1"/>
  <c r="CY318" i="3"/>
  <c r="CZ318" i="3"/>
  <c r="DB318" i="3" s="1"/>
  <c r="DA318" i="3"/>
  <c r="DC318" i="3"/>
  <c r="A319" i="3"/>
  <c r="Y319" i="3"/>
  <c r="CX319" i="3"/>
  <c r="DH319" i="3" s="1"/>
  <c r="CY319" i="3"/>
  <c r="CZ319" i="3"/>
  <c r="DA319" i="3"/>
  <c r="DB319" i="3"/>
  <c r="DC319" i="3"/>
  <c r="A320" i="3"/>
  <c r="Y320" i="3"/>
  <c r="CX320" i="3" s="1"/>
  <c r="DG320" i="3" s="1"/>
  <c r="CY320" i="3"/>
  <c r="CZ320" i="3"/>
  <c r="DA320" i="3"/>
  <c r="DB320" i="3"/>
  <c r="DC320" i="3"/>
  <c r="A321" i="3"/>
  <c r="Y321" i="3"/>
  <c r="CX321" i="3" s="1"/>
  <c r="DF321" i="3" s="1"/>
  <c r="DJ321" i="3" s="1"/>
  <c r="CY321" i="3"/>
  <c r="CZ321" i="3"/>
  <c r="DB321" i="3" s="1"/>
  <c r="DA321" i="3"/>
  <c r="DC321" i="3"/>
  <c r="A322" i="3"/>
  <c r="Y322" i="3"/>
  <c r="CX322" i="3"/>
  <c r="DG322" i="3" s="1"/>
  <c r="CY322" i="3"/>
  <c r="CZ322" i="3"/>
  <c r="DB322" i="3" s="1"/>
  <c r="DA322" i="3"/>
  <c r="DC322" i="3"/>
  <c r="DF322" i="3"/>
  <c r="DH322" i="3"/>
  <c r="DI322" i="3"/>
  <c r="DJ322" i="3"/>
  <c r="A323" i="3"/>
  <c r="Y323" i="3"/>
  <c r="CX323" i="3" s="1"/>
  <c r="CU323" i="3"/>
  <c r="CV323" i="3"/>
  <c r="CY323" i="3"/>
  <c r="CZ323" i="3"/>
  <c r="DB323" i="3" s="1"/>
  <c r="DA323" i="3"/>
  <c r="DC323" i="3"/>
  <c r="A324" i="3"/>
  <c r="Y324" i="3"/>
  <c r="CW324" i="3"/>
  <c r="CX324" i="3"/>
  <c r="CY324" i="3"/>
  <c r="CZ324" i="3"/>
  <c r="DA324" i="3"/>
  <c r="DB324" i="3"/>
  <c r="DC324" i="3"/>
  <c r="A325" i="3"/>
  <c r="Y325" i="3"/>
  <c r="CX325" i="3" s="1"/>
  <c r="CY325" i="3"/>
  <c r="CZ325" i="3"/>
  <c r="DA325" i="3"/>
  <c r="DB325" i="3"/>
  <c r="DC325" i="3"/>
  <c r="A326" i="3"/>
  <c r="Y326" i="3"/>
  <c r="CX326" i="3" s="1"/>
  <c r="CY326" i="3"/>
  <c r="CZ326" i="3"/>
  <c r="DB326" i="3" s="1"/>
  <c r="DA326" i="3"/>
  <c r="DC326" i="3"/>
  <c r="A327" i="3"/>
  <c r="Y327" i="3"/>
  <c r="CX327" i="3"/>
  <c r="DG327" i="3" s="1"/>
  <c r="CY327" i="3"/>
  <c r="CZ327" i="3"/>
  <c r="DB327" i="3" s="1"/>
  <c r="DA327" i="3"/>
  <c r="DC327" i="3"/>
  <c r="DF327" i="3"/>
  <c r="DH327" i="3"/>
  <c r="DI327" i="3"/>
  <c r="DJ327" i="3"/>
  <c r="A328" i="3"/>
  <c r="Y328" i="3"/>
  <c r="CX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A344" i="3"/>
  <c r="DB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U351" i="3"/>
  <c r="CV351" i="3"/>
  <c r="CX351" i="3"/>
  <c r="DI351" i="3" s="1"/>
  <c r="DJ351" i="3" s="1"/>
  <c r="CY351" i="3"/>
  <c r="CZ351" i="3"/>
  <c r="DA351" i="3"/>
  <c r="DB351" i="3"/>
  <c r="DC351" i="3"/>
  <c r="DG351" i="3"/>
  <c r="DH351" i="3"/>
  <c r="A352" i="3"/>
  <c r="Y352" i="3"/>
  <c r="CW352" i="3" s="1"/>
  <c r="CY352" i="3"/>
  <c r="CZ352" i="3"/>
  <c r="DB352" i="3" s="1"/>
  <c r="DA352" i="3"/>
  <c r="DC352" i="3"/>
  <c r="A353" i="3"/>
  <c r="Y353" i="3"/>
  <c r="CX353" i="3"/>
  <c r="CY353" i="3"/>
  <c r="CZ353" i="3"/>
  <c r="DA353" i="3"/>
  <c r="DB353" i="3"/>
  <c r="DC353" i="3"/>
  <c r="DH353" i="3"/>
  <c r="A354" i="3"/>
  <c r="Y354" i="3"/>
  <c r="CX354" i="3" s="1"/>
  <c r="CY354" i="3"/>
  <c r="CZ354" i="3"/>
  <c r="DA354" i="3"/>
  <c r="DB354" i="3"/>
  <c r="DC354" i="3"/>
  <c r="DG354" i="3"/>
  <c r="A355" i="3"/>
  <c r="Y355" i="3"/>
  <c r="CX355" i="3" s="1"/>
  <c r="DF355" i="3" s="1"/>
  <c r="DJ355" i="3" s="1"/>
  <c r="CY355" i="3"/>
  <c r="CZ355" i="3"/>
  <c r="DB355" i="3" s="1"/>
  <c r="DA355" i="3"/>
  <c r="DC355" i="3"/>
  <c r="A356" i="3"/>
  <c r="Y356" i="3"/>
  <c r="CX356" i="3"/>
  <c r="CY356" i="3"/>
  <c r="CZ356" i="3"/>
  <c r="DB356" i="3" s="1"/>
  <c r="DA356" i="3"/>
  <c r="DC356" i="3"/>
  <c r="DF356" i="3"/>
  <c r="DG356" i="3"/>
  <c r="DH356" i="3"/>
  <c r="DI356" i="3"/>
  <c r="DJ356" i="3"/>
  <c r="A357" i="3"/>
  <c r="Y357" i="3"/>
  <c r="CX357" i="3"/>
  <c r="CY357" i="3"/>
  <c r="CZ357" i="3"/>
  <c r="DA357" i="3"/>
  <c r="DB357" i="3"/>
  <c r="DC357" i="3"/>
  <c r="DH357" i="3"/>
  <c r="A358" i="3"/>
  <c r="Y358" i="3"/>
  <c r="CU358" i="3"/>
  <c r="CY358" i="3"/>
  <c r="CZ358" i="3"/>
  <c r="DB358" i="3" s="1"/>
  <c r="DA358" i="3"/>
  <c r="DC358" i="3"/>
  <c r="A359" i="3"/>
  <c r="Y359" i="3"/>
  <c r="CW359" i="3"/>
  <c r="CX359" i="3"/>
  <c r="DI359" i="3" s="1"/>
  <c r="CY359" i="3"/>
  <c r="CZ359" i="3"/>
  <c r="DA359" i="3"/>
  <c r="DB359" i="3"/>
  <c r="DC359" i="3"/>
  <c r="DG359" i="3"/>
  <c r="DJ359" i="3" s="1"/>
  <c r="DH359" i="3"/>
  <c r="A360" i="3"/>
  <c r="Y360" i="3"/>
  <c r="CX360" i="3" s="1"/>
  <c r="DF360" i="3" s="1"/>
  <c r="CY360" i="3"/>
  <c r="CZ360" i="3"/>
  <c r="DB360" i="3" s="1"/>
  <c r="DA360" i="3"/>
  <c r="DC360" i="3"/>
  <c r="DJ360" i="3"/>
  <c r="A361" i="3"/>
  <c r="Y361" i="3"/>
  <c r="CX361" i="3" s="1"/>
  <c r="DI361" i="3" s="1"/>
  <c r="CY361" i="3"/>
  <c r="CZ361" i="3"/>
  <c r="DB361" i="3" s="1"/>
  <c r="DA361" i="3"/>
  <c r="DC361" i="3"/>
  <c r="A362" i="3"/>
  <c r="Y362" i="3"/>
  <c r="CX362" i="3"/>
  <c r="CY362" i="3"/>
  <c r="CZ362" i="3"/>
  <c r="DA362" i="3"/>
  <c r="DB362" i="3"/>
  <c r="DC362" i="3"/>
  <c r="DH362" i="3"/>
  <c r="A363" i="3"/>
  <c r="Y363" i="3"/>
  <c r="CX363" i="3" s="1"/>
  <c r="CY363" i="3"/>
  <c r="CZ363" i="3"/>
  <c r="DA363" i="3"/>
  <c r="DB363" i="3"/>
  <c r="DC363" i="3"/>
  <c r="DG363" i="3"/>
  <c r="A364" i="3"/>
  <c r="Y364" i="3"/>
  <c r="CX364" i="3" s="1"/>
  <c r="DF364" i="3" s="1"/>
  <c r="DJ364" i="3" s="1"/>
  <c r="CY364" i="3"/>
  <c r="CZ364" i="3"/>
  <c r="DB364" i="3" s="1"/>
  <c r="DA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B370" i="3" s="1"/>
  <c r="DA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B374" i="3" s="1"/>
  <c r="DA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A387" i="3"/>
  <c r="DB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B389" i="3" s="1"/>
  <c r="DA389" i="3"/>
  <c r="DC389" i="3"/>
  <c r="A390" i="3"/>
  <c r="Y390" i="3"/>
  <c r="CY390" i="3"/>
  <c r="CZ390" i="3"/>
  <c r="DA390" i="3"/>
  <c r="DB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A393" i="3"/>
  <c r="DB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B395" i="3" s="1"/>
  <c r="DA395" i="3"/>
  <c r="DC395" i="3"/>
  <c r="A396" i="3"/>
  <c r="Y396" i="3"/>
  <c r="CY396" i="3"/>
  <c r="CZ396" i="3"/>
  <c r="DB396" i="3" s="1"/>
  <c r="DA396" i="3"/>
  <c r="DC396" i="3"/>
  <c r="A397" i="3"/>
  <c r="Y397" i="3"/>
  <c r="CU397" i="3"/>
  <c r="CV397" i="3"/>
  <c r="CX397" i="3"/>
  <c r="DI397" i="3" s="1"/>
  <c r="DJ397" i="3" s="1"/>
  <c r="CY397" i="3"/>
  <c r="CZ397" i="3"/>
  <c r="DA397" i="3"/>
  <c r="DB397" i="3"/>
  <c r="DC397" i="3"/>
  <c r="DF397" i="3"/>
  <c r="DG397" i="3"/>
  <c r="DH397" i="3"/>
  <c r="A398" i="3"/>
  <c r="Y398" i="3"/>
  <c r="CW398" i="3" s="1"/>
  <c r="CY398" i="3"/>
  <c r="CZ398" i="3"/>
  <c r="DB398" i="3" s="1"/>
  <c r="DA398" i="3"/>
  <c r="DC398" i="3"/>
  <c r="A399" i="3"/>
  <c r="Y399" i="3"/>
  <c r="CX399" i="3"/>
  <c r="CY399" i="3"/>
  <c r="CZ399" i="3"/>
  <c r="DA399" i="3"/>
  <c r="DB399" i="3"/>
  <c r="DC399" i="3"/>
  <c r="DH399" i="3"/>
  <c r="A400" i="3"/>
  <c r="Y400" i="3"/>
  <c r="CX400" i="3" s="1"/>
  <c r="CY400" i="3"/>
  <c r="CZ400" i="3"/>
  <c r="DA400" i="3"/>
  <c r="DB400" i="3"/>
  <c r="DC400" i="3"/>
  <c r="DG400" i="3"/>
  <c r="A401" i="3"/>
  <c r="Y401" i="3"/>
  <c r="CX401" i="3" s="1"/>
  <c r="DI401" i="3" s="1"/>
  <c r="CY401" i="3"/>
  <c r="CZ401" i="3"/>
  <c r="DB401" i="3" s="1"/>
  <c r="DA401" i="3"/>
  <c r="DC401" i="3"/>
  <c r="DG401" i="3"/>
  <c r="DH401" i="3"/>
  <c r="A402" i="3"/>
  <c r="Y402" i="3"/>
  <c r="CX402" i="3" s="1"/>
  <c r="CY402" i="3"/>
  <c r="CZ402" i="3"/>
  <c r="DA402" i="3"/>
  <c r="DB402" i="3"/>
  <c r="DC402" i="3"/>
  <c r="DH402" i="3"/>
  <c r="A403" i="3"/>
  <c r="Y403" i="3"/>
  <c r="CX403" i="3" s="1"/>
  <c r="CY403" i="3"/>
  <c r="CZ403" i="3"/>
  <c r="DA403" i="3"/>
  <c r="DB403" i="3"/>
  <c r="DC403" i="3"/>
  <c r="DG403" i="3"/>
  <c r="A404" i="3"/>
  <c r="Y404" i="3"/>
  <c r="CV404" i="3" s="1"/>
  <c r="CU404" i="3"/>
  <c r="CX404" i="3"/>
  <c r="CY404" i="3"/>
  <c r="CZ404" i="3"/>
  <c r="DA404" i="3"/>
  <c r="DB404" i="3"/>
  <c r="DC404" i="3"/>
  <c r="A405" i="3"/>
  <c r="Y405" i="3"/>
  <c r="CY405" i="3"/>
  <c r="CZ405" i="3"/>
  <c r="DB405" i="3" s="1"/>
  <c r="DA405" i="3"/>
  <c r="DC405" i="3"/>
  <c r="A406" i="3"/>
  <c r="Y406" i="3"/>
  <c r="CX406" i="3" s="1"/>
  <c r="CY406" i="3"/>
  <c r="CZ406" i="3"/>
  <c r="DB406" i="3" s="1"/>
  <c r="DA406" i="3"/>
  <c r="DC406" i="3"/>
  <c r="A407" i="3"/>
  <c r="Y407" i="3"/>
  <c r="CX407" i="3"/>
  <c r="CY407" i="3"/>
  <c r="CZ407" i="3"/>
  <c r="DA407" i="3"/>
  <c r="DB407" i="3"/>
  <c r="DC407" i="3"/>
  <c r="A408" i="3"/>
  <c r="Y408" i="3"/>
  <c r="CX408" i="3" s="1"/>
  <c r="CY408" i="3"/>
  <c r="CZ408" i="3"/>
  <c r="DA408" i="3"/>
  <c r="DB408" i="3"/>
  <c r="DC408" i="3"/>
  <c r="A409" i="3"/>
  <c r="Y409" i="3"/>
  <c r="CX409" i="3" s="1"/>
  <c r="CY409" i="3"/>
  <c r="CZ409" i="3"/>
  <c r="DB409" i="3" s="1"/>
  <c r="DA409" i="3"/>
  <c r="DC409" i="3"/>
  <c r="A410" i="3"/>
  <c r="Y410" i="3"/>
  <c r="CX410" i="3" s="1"/>
  <c r="CY410" i="3"/>
  <c r="CZ410" i="3"/>
  <c r="DB410" i="3" s="1"/>
  <c r="DA410" i="3"/>
  <c r="DC410" i="3"/>
  <c r="A411" i="3"/>
  <c r="Y411" i="3"/>
  <c r="CY411" i="3"/>
  <c r="CZ411" i="3"/>
  <c r="DB411" i="3" s="1"/>
  <c r="DA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B413" i="3" s="1"/>
  <c r="DA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B417" i="3" s="1"/>
  <c r="DA417" i="3"/>
  <c r="DC417" i="3"/>
  <c r="A418" i="3"/>
  <c r="Y418" i="3"/>
  <c r="CY418" i="3"/>
  <c r="CZ418" i="3"/>
  <c r="DB418" i="3" s="1"/>
  <c r="DA418" i="3"/>
  <c r="DC418" i="3"/>
  <c r="A419" i="3"/>
  <c r="Y419" i="3"/>
  <c r="CU419" i="3"/>
  <c r="CV419" i="3"/>
  <c r="CX419" i="3"/>
  <c r="DI419" i="3" s="1"/>
  <c r="CY419" i="3"/>
  <c r="CZ419" i="3"/>
  <c r="DB419" i="3" s="1"/>
  <c r="DA419" i="3"/>
  <c r="DC419" i="3"/>
  <c r="DF419" i="3"/>
  <c r="DG419" i="3"/>
  <c r="DH419" i="3"/>
  <c r="DJ419" i="3"/>
  <c r="A420" i="3"/>
  <c r="Y420" i="3"/>
  <c r="CX420" i="3" s="1"/>
  <c r="DI420" i="3" s="1"/>
  <c r="CY420" i="3"/>
  <c r="CZ420" i="3"/>
  <c r="DB420" i="3" s="1"/>
  <c r="DA420" i="3"/>
  <c r="DC420" i="3"/>
  <c r="A421" i="3"/>
  <c r="Y421" i="3"/>
  <c r="CU421" i="3"/>
  <c r="CV421" i="3"/>
  <c r="CX421" i="3"/>
  <c r="DI421" i="3" s="1"/>
  <c r="CY421" i="3"/>
  <c r="CZ421" i="3"/>
  <c r="DB421" i="3" s="1"/>
  <c r="DA421" i="3"/>
  <c r="DC421" i="3"/>
  <c r="DF421" i="3"/>
  <c r="DG421" i="3"/>
  <c r="DH421" i="3"/>
  <c r="DJ421" i="3"/>
  <c r="A422" i="3"/>
  <c r="Y422" i="3"/>
  <c r="CX422" i="3" s="1"/>
  <c r="DI422" i="3" s="1"/>
  <c r="CY422" i="3"/>
  <c r="CZ422" i="3"/>
  <c r="DB422" i="3" s="1"/>
  <c r="DA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B425" i="3" s="1"/>
  <c r="DA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B430" i="3" s="1"/>
  <c r="DA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A432" i="3"/>
  <c r="DB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B434" i="3" s="1"/>
  <c r="DA434" i="3"/>
  <c r="DC434" i="3"/>
  <c r="A435" i="3"/>
  <c r="Y435" i="3"/>
  <c r="CY435" i="3"/>
  <c r="CZ435" i="3"/>
  <c r="DA435" i="3"/>
  <c r="DB435" i="3"/>
  <c r="DC435" i="3"/>
  <c r="A436" i="3"/>
  <c r="Y436" i="3"/>
  <c r="CY436" i="3"/>
  <c r="CZ436" i="3"/>
  <c r="DA436" i="3"/>
  <c r="DB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B441" i="3" s="1"/>
  <c r="DA441" i="3"/>
  <c r="DC441" i="3"/>
  <c r="A442" i="3"/>
  <c r="Y442" i="3"/>
  <c r="CY442" i="3"/>
  <c r="CZ442" i="3"/>
  <c r="DB442" i="3" s="1"/>
  <c r="DA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A444" i="3"/>
  <c r="DB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B446" i="3" s="1"/>
  <c r="DA446" i="3"/>
  <c r="DC44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R28" i="1"/>
  <c r="AC28" i="1"/>
  <c r="P28" i="1" s="1"/>
  <c r="AE28" i="1"/>
  <c r="AD28" i="1" s="1"/>
  <c r="AB28" i="1" s="1"/>
  <c r="AF28" i="1"/>
  <c r="AG28" i="1"/>
  <c r="CU28" i="1" s="1"/>
  <c r="T28" i="1" s="1"/>
  <c r="AH28" i="1"/>
  <c r="AI28" i="1"/>
  <c r="AJ28" i="1"/>
  <c r="CX28" i="1" s="1"/>
  <c r="W28" i="1" s="1"/>
  <c r="CR28" i="1"/>
  <c r="CS28" i="1"/>
  <c r="CV28" i="1"/>
  <c r="U28" i="1" s="1"/>
  <c r="CW28" i="1"/>
  <c r="V28" i="1" s="1"/>
  <c r="GL28" i="1"/>
  <c r="GN28" i="1"/>
  <c r="GP28" i="1"/>
  <c r="GV28" i="1"/>
  <c r="HC28" i="1" s="1"/>
  <c r="GX28" i="1" s="1"/>
  <c r="C29" i="1"/>
  <c r="D29" i="1"/>
  <c r="Q29" i="1"/>
  <c r="S29" i="1"/>
  <c r="AC29" i="1"/>
  <c r="AE29" i="1"/>
  <c r="CR29" i="1" s="1"/>
  <c r="AF29" i="1"/>
  <c r="AG29" i="1"/>
  <c r="CU29" i="1" s="1"/>
  <c r="T29" i="1" s="1"/>
  <c r="AH29" i="1"/>
  <c r="AI29" i="1"/>
  <c r="CW29" i="1" s="1"/>
  <c r="V29" i="1" s="1"/>
  <c r="AJ29" i="1"/>
  <c r="CT29" i="1"/>
  <c r="CV29" i="1"/>
  <c r="U29" i="1" s="1"/>
  <c r="CX29" i="1"/>
  <c r="W29" i="1" s="1"/>
  <c r="GL29" i="1"/>
  <c r="GN29" i="1"/>
  <c r="GP29" i="1"/>
  <c r="GV29" i="1"/>
  <c r="HC29" i="1"/>
  <c r="GX29" i="1" s="1"/>
  <c r="P30" i="1"/>
  <c r="R30" i="1"/>
  <c r="V30" i="1"/>
  <c r="AC30" i="1"/>
  <c r="AD30" i="1"/>
  <c r="AE30" i="1"/>
  <c r="Q30" i="1" s="1"/>
  <c r="AF30" i="1"/>
  <c r="AG30" i="1"/>
  <c r="AH30" i="1"/>
  <c r="CV30" i="1" s="1"/>
  <c r="U30" i="1" s="1"/>
  <c r="AI30" i="1"/>
  <c r="AJ30" i="1"/>
  <c r="CX30" i="1" s="1"/>
  <c r="W30" i="1" s="1"/>
  <c r="CQ30" i="1"/>
  <c r="CR30" i="1"/>
  <c r="CS30" i="1"/>
  <c r="CU30" i="1"/>
  <c r="T30" i="1" s="1"/>
  <c r="CW30" i="1"/>
  <c r="FR30" i="1"/>
  <c r="GL30" i="1"/>
  <c r="GN30" i="1"/>
  <c r="GO30" i="1"/>
  <c r="GP30" i="1"/>
  <c r="GV30" i="1"/>
  <c r="HC30" i="1"/>
  <c r="GX30" i="1" s="1"/>
  <c r="P31" i="1"/>
  <c r="R31" i="1"/>
  <c r="V31" i="1"/>
  <c r="AC31" i="1"/>
  <c r="AD31" i="1"/>
  <c r="AE31" i="1"/>
  <c r="Q31" i="1" s="1"/>
  <c r="AF31" i="1"/>
  <c r="AG31" i="1"/>
  <c r="AH31" i="1"/>
  <c r="CV31" i="1" s="1"/>
  <c r="U31" i="1" s="1"/>
  <c r="AI31" i="1"/>
  <c r="AJ31" i="1"/>
  <c r="CX31" i="1" s="1"/>
  <c r="W31" i="1" s="1"/>
  <c r="CQ31" i="1"/>
  <c r="CR31" i="1"/>
  <c r="CS31" i="1"/>
  <c r="CU31" i="1"/>
  <c r="T31" i="1" s="1"/>
  <c r="CW31" i="1"/>
  <c r="FR31" i="1"/>
  <c r="GL31" i="1"/>
  <c r="GN31" i="1"/>
  <c r="GO31" i="1"/>
  <c r="GP31" i="1"/>
  <c r="GV31" i="1"/>
  <c r="HC31" i="1"/>
  <c r="GX31" i="1" s="1"/>
  <c r="C32" i="1"/>
  <c r="D32" i="1"/>
  <c r="P32" i="1"/>
  <c r="CP32" i="1" s="1"/>
  <c r="O32" i="1" s="1"/>
  <c r="R32" i="1"/>
  <c r="T32" i="1"/>
  <c r="AC32" i="1"/>
  <c r="AD32" i="1"/>
  <c r="AB32" i="1" s="1"/>
  <c r="AE32" i="1"/>
  <c r="Q32" i="1" s="1"/>
  <c r="AF32" i="1"/>
  <c r="S32" i="1" s="1"/>
  <c r="CZ32" i="1" s="1"/>
  <c r="Y32" i="1" s="1"/>
  <c r="AG32" i="1"/>
  <c r="AH32" i="1"/>
  <c r="CV32" i="1" s="1"/>
  <c r="U32" i="1" s="1"/>
  <c r="AI32" i="1"/>
  <c r="AJ32" i="1"/>
  <c r="CX32" i="1" s="1"/>
  <c r="W32" i="1" s="1"/>
  <c r="CQ32" i="1"/>
  <c r="CR32" i="1"/>
  <c r="CS32" i="1"/>
  <c r="CU32" i="1"/>
  <c r="CW32" i="1"/>
  <c r="V32" i="1" s="1"/>
  <c r="CY32" i="1"/>
  <c r="X32" i="1" s="1"/>
  <c r="GL32" i="1"/>
  <c r="GN32" i="1"/>
  <c r="GP32" i="1"/>
  <c r="GV32" i="1"/>
  <c r="GX32" i="1"/>
  <c r="HC32" i="1"/>
  <c r="C33" i="1"/>
  <c r="D33" i="1"/>
  <c r="S33" i="1"/>
  <c r="AC33" i="1"/>
  <c r="AE33" i="1"/>
  <c r="AD33" i="1" s="1"/>
  <c r="AF33" i="1"/>
  <c r="AG33" i="1"/>
  <c r="CU33" i="1" s="1"/>
  <c r="T33" i="1" s="1"/>
  <c r="AH33" i="1"/>
  <c r="AI33" i="1"/>
  <c r="CW33" i="1" s="1"/>
  <c r="V33" i="1" s="1"/>
  <c r="AJ33" i="1"/>
  <c r="CR33" i="1"/>
  <c r="CT33" i="1"/>
  <c r="CV33" i="1"/>
  <c r="U33" i="1" s="1"/>
  <c r="CX33" i="1"/>
  <c r="W33" i="1" s="1"/>
  <c r="GL33" i="1"/>
  <c r="GN33" i="1"/>
  <c r="GP33" i="1"/>
  <c r="GV33" i="1"/>
  <c r="HC33" i="1" s="1"/>
  <c r="GX33" i="1" s="1"/>
  <c r="I34" i="1"/>
  <c r="S34" i="1"/>
  <c r="AC34" i="1"/>
  <c r="AE34" i="1"/>
  <c r="AD34" i="1" s="1"/>
  <c r="AF34" i="1"/>
  <c r="AG34" i="1"/>
  <c r="CU34" i="1" s="1"/>
  <c r="T34" i="1" s="1"/>
  <c r="AH34" i="1"/>
  <c r="AI34" i="1"/>
  <c r="CW34" i="1" s="1"/>
  <c r="V34" i="1" s="1"/>
  <c r="AJ34" i="1"/>
  <c r="CR34" i="1"/>
  <c r="CT34" i="1"/>
  <c r="CV34" i="1"/>
  <c r="U34" i="1" s="1"/>
  <c r="CX34" i="1"/>
  <c r="W34" i="1" s="1"/>
  <c r="GL34" i="1"/>
  <c r="GN34" i="1"/>
  <c r="GP34" i="1"/>
  <c r="GV34" i="1"/>
  <c r="HC34" i="1" s="1"/>
  <c r="GX34" i="1" s="1"/>
  <c r="I35" i="1"/>
  <c r="S35" i="1"/>
  <c r="AC35" i="1"/>
  <c r="AE35" i="1"/>
  <c r="AD35" i="1" s="1"/>
  <c r="AF35" i="1"/>
  <c r="AG35" i="1"/>
  <c r="CU35" i="1" s="1"/>
  <c r="T35" i="1" s="1"/>
  <c r="AH35" i="1"/>
  <c r="AI35" i="1"/>
  <c r="CW35" i="1" s="1"/>
  <c r="V35" i="1" s="1"/>
  <c r="AJ35" i="1"/>
  <c r="CR35" i="1"/>
  <c r="CT35" i="1"/>
  <c r="CV35" i="1"/>
  <c r="U35" i="1" s="1"/>
  <c r="CX35" i="1"/>
  <c r="W35" i="1" s="1"/>
  <c r="GL35" i="1"/>
  <c r="GN35" i="1"/>
  <c r="GP35" i="1"/>
  <c r="GV35" i="1"/>
  <c r="HC35" i="1" s="1"/>
  <c r="GX35" i="1" s="1"/>
  <c r="C36" i="1"/>
  <c r="D36" i="1"/>
  <c r="P36" i="1"/>
  <c r="R36" i="1"/>
  <c r="V36" i="1"/>
  <c r="AC36" i="1"/>
  <c r="AD36" i="1"/>
  <c r="AE36" i="1"/>
  <c r="Q36" i="1" s="1"/>
  <c r="AF36" i="1"/>
  <c r="AG36" i="1"/>
  <c r="AH36" i="1"/>
  <c r="CV36" i="1" s="1"/>
  <c r="U36" i="1" s="1"/>
  <c r="AI36" i="1"/>
  <c r="AJ36" i="1"/>
  <c r="CX36" i="1" s="1"/>
  <c r="W36" i="1" s="1"/>
  <c r="CQ36" i="1"/>
  <c r="CR36" i="1"/>
  <c r="CS36" i="1"/>
  <c r="CU36" i="1"/>
  <c r="T36" i="1" s="1"/>
  <c r="CW36" i="1"/>
  <c r="GL36" i="1"/>
  <c r="GN36" i="1"/>
  <c r="GP36" i="1"/>
  <c r="GV36" i="1"/>
  <c r="GX36" i="1"/>
  <c r="HC36" i="1"/>
  <c r="C37" i="1"/>
  <c r="D37" i="1"/>
  <c r="S37" i="1"/>
  <c r="AC37" i="1"/>
  <c r="AE37" i="1"/>
  <c r="AF37" i="1"/>
  <c r="AG37" i="1"/>
  <c r="CU37" i="1" s="1"/>
  <c r="T37" i="1" s="1"/>
  <c r="AH37" i="1"/>
  <c r="AI37" i="1"/>
  <c r="CW37" i="1" s="1"/>
  <c r="V37" i="1" s="1"/>
  <c r="AJ37" i="1"/>
  <c r="CT37" i="1"/>
  <c r="CV37" i="1"/>
  <c r="U37" i="1" s="1"/>
  <c r="CX37" i="1"/>
  <c r="W37" i="1" s="1"/>
  <c r="GL37" i="1"/>
  <c r="GN37" i="1"/>
  <c r="GP37" i="1"/>
  <c r="GV37" i="1"/>
  <c r="HC37" i="1"/>
  <c r="GX37" i="1" s="1"/>
  <c r="P38" i="1"/>
  <c r="R38" i="1"/>
  <c r="AC38" i="1"/>
  <c r="AD38" i="1"/>
  <c r="AE38" i="1"/>
  <c r="Q38" i="1" s="1"/>
  <c r="AF38" i="1"/>
  <c r="AG38" i="1"/>
  <c r="AH38" i="1"/>
  <c r="CV38" i="1" s="1"/>
  <c r="U38" i="1" s="1"/>
  <c r="AI38" i="1"/>
  <c r="AJ38" i="1"/>
  <c r="CX38" i="1" s="1"/>
  <c r="W38" i="1" s="1"/>
  <c r="CQ38" i="1"/>
  <c r="CR38" i="1"/>
  <c r="CS38" i="1"/>
  <c r="CU38" i="1"/>
  <c r="T38" i="1" s="1"/>
  <c r="CW38" i="1"/>
  <c r="V38" i="1" s="1"/>
  <c r="FR38" i="1"/>
  <c r="GL38" i="1"/>
  <c r="GN38" i="1"/>
  <c r="GO38" i="1"/>
  <c r="GP38" i="1"/>
  <c r="GV38" i="1"/>
  <c r="HC38" i="1"/>
  <c r="GX38" i="1" s="1"/>
  <c r="P39" i="1"/>
  <c r="R39" i="1"/>
  <c r="AC39" i="1"/>
  <c r="AD39" i="1"/>
  <c r="AE39" i="1"/>
  <c r="Q39" i="1" s="1"/>
  <c r="AF39" i="1"/>
  <c r="AG39" i="1"/>
  <c r="AH39" i="1"/>
  <c r="CV39" i="1" s="1"/>
  <c r="U39" i="1" s="1"/>
  <c r="AI39" i="1"/>
  <c r="AJ39" i="1"/>
  <c r="CX39" i="1" s="1"/>
  <c r="W39" i="1" s="1"/>
  <c r="CQ39" i="1"/>
  <c r="CR39" i="1"/>
  <c r="CS39" i="1"/>
  <c r="CU39" i="1"/>
  <c r="T39" i="1" s="1"/>
  <c r="CW39" i="1"/>
  <c r="V39" i="1" s="1"/>
  <c r="FR39" i="1"/>
  <c r="GL39" i="1"/>
  <c r="GN39" i="1"/>
  <c r="GO39" i="1"/>
  <c r="GP39" i="1"/>
  <c r="GV39" i="1"/>
  <c r="HC39" i="1"/>
  <c r="GX39" i="1" s="1"/>
  <c r="C40" i="1"/>
  <c r="D40" i="1"/>
  <c r="I40" i="1"/>
  <c r="K40" i="1"/>
  <c r="P40" i="1"/>
  <c r="R40" i="1"/>
  <c r="AC40" i="1"/>
  <c r="AD40" i="1"/>
  <c r="AE40" i="1"/>
  <c r="Q40" i="1" s="1"/>
  <c r="AF40" i="1"/>
  <c r="AG40" i="1"/>
  <c r="AH40" i="1"/>
  <c r="CV40" i="1" s="1"/>
  <c r="U40" i="1" s="1"/>
  <c r="AI40" i="1"/>
  <c r="AJ40" i="1"/>
  <c r="CX40" i="1" s="1"/>
  <c r="W40" i="1" s="1"/>
  <c r="CQ40" i="1"/>
  <c r="CR40" i="1"/>
  <c r="CS40" i="1"/>
  <c r="CU40" i="1"/>
  <c r="T40" i="1" s="1"/>
  <c r="CW40" i="1"/>
  <c r="V40" i="1" s="1"/>
  <c r="GL40" i="1"/>
  <c r="GN40" i="1"/>
  <c r="GP40" i="1"/>
  <c r="GV40" i="1"/>
  <c r="GX40" i="1"/>
  <c r="HC40" i="1"/>
  <c r="C41" i="1"/>
  <c r="D41" i="1"/>
  <c r="I41" i="1"/>
  <c r="K41" i="1"/>
  <c r="S41" i="1"/>
  <c r="AC41" i="1"/>
  <c r="AE41" i="1"/>
  <c r="AD41" i="1" s="1"/>
  <c r="AF41" i="1"/>
  <c r="AG41" i="1"/>
  <c r="CU41" i="1" s="1"/>
  <c r="T41" i="1" s="1"/>
  <c r="AH41" i="1"/>
  <c r="AI41" i="1"/>
  <c r="CW41" i="1" s="1"/>
  <c r="V41" i="1" s="1"/>
  <c r="AJ41" i="1"/>
  <c r="CR41" i="1"/>
  <c r="CT41" i="1"/>
  <c r="CV41" i="1"/>
  <c r="U41" i="1" s="1"/>
  <c r="CX41" i="1"/>
  <c r="W41" i="1" s="1"/>
  <c r="GL41" i="1"/>
  <c r="GN41" i="1"/>
  <c r="GP41" i="1"/>
  <c r="GV41" i="1"/>
  <c r="HC41" i="1" s="1"/>
  <c r="GX41" i="1" s="1"/>
  <c r="P42" i="1"/>
  <c r="R42" i="1"/>
  <c r="T42" i="1"/>
  <c r="AC42" i="1"/>
  <c r="AD42" i="1"/>
  <c r="AB42" i="1" s="1"/>
  <c r="AE42" i="1"/>
  <c r="Q42" i="1" s="1"/>
  <c r="AF42" i="1"/>
  <c r="S42" i="1" s="1"/>
  <c r="CZ42" i="1" s="1"/>
  <c r="Y42" i="1" s="1"/>
  <c r="AG42" i="1"/>
  <c r="AH42" i="1"/>
  <c r="CV42" i="1" s="1"/>
  <c r="U42" i="1" s="1"/>
  <c r="AI42" i="1"/>
  <c r="AJ42" i="1"/>
  <c r="CX42" i="1" s="1"/>
  <c r="W42" i="1" s="1"/>
  <c r="CQ42" i="1"/>
  <c r="CR42" i="1"/>
  <c r="CS42" i="1"/>
  <c r="CU42" i="1"/>
  <c r="CW42" i="1"/>
  <c r="V42" i="1" s="1"/>
  <c r="CY42" i="1"/>
  <c r="X42" i="1" s="1"/>
  <c r="GL42" i="1"/>
  <c r="GN42" i="1"/>
  <c r="GO42" i="1"/>
  <c r="GP42" i="1"/>
  <c r="GV42" i="1"/>
  <c r="HC42" i="1" s="1"/>
  <c r="GX42" i="1" s="1"/>
  <c r="P43" i="1"/>
  <c r="R43" i="1"/>
  <c r="T43" i="1"/>
  <c r="AC43" i="1"/>
  <c r="AD43" i="1"/>
  <c r="AB43" i="1" s="1"/>
  <c r="AE43" i="1"/>
  <c r="Q43" i="1" s="1"/>
  <c r="AF43" i="1"/>
  <c r="S43" i="1" s="1"/>
  <c r="CZ43" i="1" s="1"/>
  <c r="Y43" i="1" s="1"/>
  <c r="AG43" i="1"/>
  <c r="AH43" i="1"/>
  <c r="CV43" i="1" s="1"/>
  <c r="U43" i="1" s="1"/>
  <c r="AI43" i="1"/>
  <c r="AJ43" i="1"/>
  <c r="CX43" i="1" s="1"/>
  <c r="W43" i="1" s="1"/>
  <c r="CQ43" i="1"/>
  <c r="CR43" i="1"/>
  <c r="CS43" i="1"/>
  <c r="CU43" i="1"/>
  <c r="CW43" i="1"/>
  <c r="V43" i="1" s="1"/>
  <c r="CY43" i="1"/>
  <c r="X43" i="1" s="1"/>
  <c r="GL43" i="1"/>
  <c r="GN43" i="1"/>
  <c r="GO43" i="1"/>
  <c r="GP43" i="1"/>
  <c r="GV43" i="1"/>
  <c r="HC43" i="1" s="1"/>
  <c r="GX43" i="1" s="1"/>
  <c r="C44" i="1"/>
  <c r="D44" i="1"/>
  <c r="P44" i="1"/>
  <c r="R44" i="1"/>
  <c r="V44" i="1"/>
  <c r="AC44" i="1"/>
  <c r="AD44" i="1"/>
  <c r="AE44" i="1"/>
  <c r="Q44" i="1" s="1"/>
  <c r="AF44" i="1"/>
  <c r="AG44" i="1"/>
  <c r="AH44" i="1"/>
  <c r="CV44" i="1" s="1"/>
  <c r="U44" i="1" s="1"/>
  <c r="AI44" i="1"/>
  <c r="AJ44" i="1"/>
  <c r="CX44" i="1" s="1"/>
  <c r="W44" i="1" s="1"/>
  <c r="CQ44" i="1"/>
  <c r="CR44" i="1"/>
  <c r="CS44" i="1"/>
  <c r="CU44" i="1"/>
  <c r="T44" i="1" s="1"/>
  <c r="CW44" i="1"/>
  <c r="GL44" i="1"/>
  <c r="GN44" i="1"/>
  <c r="GP44" i="1"/>
  <c r="GV44" i="1"/>
  <c r="GX44" i="1"/>
  <c r="HC44" i="1"/>
  <c r="C45" i="1"/>
  <c r="D45" i="1"/>
  <c r="S45" i="1"/>
  <c r="AC45" i="1"/>
  <c r="AE45" i="1"/>
  <c r="AF45" i="1"/>
  <c r="AG45" i="1"/>
  <c r="CU45" i="1" s="1"/>
  <c r="T45" i="1" s="1"/>
  <c r="AH45" i="1"/>
  <c r="AI45" i="1"/>
  <c r="CW45" i="1" s="1"/>
  <c r="V45" i="1" s="1"/>
  <c r="AJ45" i="1"/>
  <c r="CT45" i="1"/>
  <c r="CV45" i="1"/>
  <c r="U45" i="1" s="1"/>
  <c r="CX45" i="1"/>
  <c r="W45" i="1" s="1"/>
  <c r="GL45" i="1"/>
  <c r="GN45" i="1"/>
  <c r="GP45" i="1"/>
  <c r="GV45" i="1"/>
  <c r="HC45" i="1"/>
  <c r="GX45" i="1" s="1"/>
  <c r="P46" i="1"/>
  <c r="R46" i="1"/>
  <c r="AC46" i="1"/>
  <c r="AD46" i="1"/>
  <c r="AE46" i="1"/>
  <c r="Q46" i="1" s="1"/>
  <c r="AF46" i="1"/>
  <c r="AG46" i="1"/>
  <c r="AH46" i="1"/>
  <c r="CV46" i="1" s="1"/>
  <c r="U46" i="1" s="1"/>
  <c r="AI46" i="1"/>
  <c r="AJ46" i="1"/>
  <c r="CX46" i="1" s="1"/>
  <c r="W46" i="1" s="1"/>
  <c r="CQ46" i="1"/>
  <c r="CR46" i="1"/>
  <c r="CS46" i="1"/>
  <c r="CU46" i="1"/>
  <c r="T46" i="1" s="1"/>
  <c r="CW46" i="1"/>
  <c r="V46" i="1" s="1"/>
  <c r="FR46" i="1"/>
  <c r="GL46" i="1"/>
  <c r="GN46" i="1"/>
  <c r="GO46" i="1"/>
  <c r="GP46" i="1"/>
  <c r="GV46" i="1"/>
  <c r="HC46" i="1"/>
  <c r="GX46" i="1" s="1"/>
  <c r="P47" i="1"/>
  <c r="R47" i="1"/>
  <c r="AC47" i="1"/>
  <c r="AD47" i="1"/>
  <c r="AE47" i="1"/>
  <c r="Q47" i="1" s="1"/>
  <c r="AF47" i="1"/>
  <c r="AG47" i="1"/>
  <c r="AH47" i="1"/>
  <c r="CV47" i="1" s="1"/>
  <c r="U47" i="1" s="1"/>
  <c r="AI47" i="1"/>
  <c r="AJ47" i="1"/>
  <c r="CX47" i="1" s="1"/>
  <c r="W47" i="1" s="1"/>
  <c r="CQ47" i="1"/>
  <c r="CR47" i="1"/>
  <c r="CS47" i="1"/>
  <c r="CU47" i="1"/>
  <c r="T47" i="1" s="1"/>
  <c r="CW47" i="1"/>
  <c r="V47" i="1" s="1"/>
  <c r="FR47" i="1"/>
  <c r="GL47" i="1"/>
  <c r="GN47" i="1"/>
  <c r="GO47" i="1"/>
  <c r="GP47" i="1"/>
  <c r="GV47" i="1"/>
  <c r="HC47" i="1"/>
  <c r="GX47" i="1" s="1"/>
  <c r="C48" i="1"/>
  <c r="D48" i="1"/>
  <c r="P48" i="1"/>
  <c r="R48" i="1"/>
  <c r="T48" i="1"/>
  <c r="AC48" i="1"/>
  <c r="AD48" i="1"/>
  <c r="AB48" i="1" s="1"/>
  <c r="AE48" i="1"/>
  <c r="Q48" i="1" s="1"/>
  <c r="AF48" i="1"/>
  <c r="S48" i="1" s="1"/>
  <c r="CZ48" i="1" s="1"/>
  <c r="Y48" i="1" s="1"/>
  <c r="AG48" i="1"/>
  <c r="AH48" i="1"/>
  <c r="CV48" i="1" s="1"/>
  <c r="U48" i="1" s="1"/>
  <c r="AI48" i="1"/>
  <c r="AJ48" i="1"/>
  <c r="CX48" i="1" s="1"/>
  <c r="W48" i="1" s="1"/>
  <c r="CQ48" i="1"/>
  <c r="CR48" i="1"/>
  <c r="CS48" i="1"/>
  <c r="CU48" i="1"/>
  <c r="CW48" i="1"/>
  <c r="V48" i="1" s="1"/>
  <c r="CY48" i="1"/>
  <c r="X48" i="1" s="1"/>
  <c r="GL48" i="1"/>
  <c r="GN48" i="1"/>
  <c r="GP48" i="1"/>
  <c r="GV48" i="1"/>
  <c r="GX48" i="1"/>
  <c r="HC48" i="1"/>
  <c r="C49" i="1"/>
  <c r="D49" i="1"/>
  <c r="S49" i="1"/>
  <c r="W49" i="1"/>
  <c r="AC49" i="1"/>
  <c r="AE49" i="1"/>
  <c r="AF49" i="1"/>
  <c r="AG49" i="1"/>
  <c r="CU49" i="1" s="1"/>
  <c r="T49" i="1" s="1"/>
  <c r="AH49" i="1"/>
  <c r="AI49" i="1"/>
  <c r="CW49" i="1" s="1"/>
  <c r="V49" i="1" s="1"/>
  <c r="AJ49" i="1"/>
  <c r="CR49" i="1"/>
  <c r="CT49" i="1"/>
  <c r="CV49" i="1"/>
  <c r="U49" i="1" s="1"/>
  <c r="CX49" i="1"/>
  <c r="GL49" i="1"/>
  <c r="GN49" i="1"/>
  <c r="GP49" i="1"/>
  <c r="GV49" i="1"/>
  <c r="HC49" i="1" s="1"/>
  <c r="GX49" i="1" s="1"/>
  <c r="P50" i="1"/>
  <c r="R50" i="1"/>
  <c r="T50" i="1"/>
  <c r="AC50" i="1"/>
  <c r="AD50" i="1"/>
  <c r="AB50" i="1" s="1"/>
  <c r="AE50" i="1"/>
  <c r="Q50" i="1" s="1"/>
  <c r="AF50" i="1"/>
  <c r="AG50" i="1"/>
  <c r="AH50" i="1"/>
  <c r="CV50" i="1" s="1"/>
  <c r="U50" i="1" s="1"/>
  <c r="AI50" i="1"/>
  <c r="AJ50" i="1"/>
  <c r="CX50" i="1" s="1"/>
  <c r="W50" i="1" s="1"/>
  <c r="CQ50" i="1"/>
  <c r="CR50" i="1"/>
  <c r="CS50" i="1"/>
  <c r="CU50" i="1"/>
  <c r="CW50" i="1"/>
  <c r="V50" i="1" s="1"/>
  <c r="FR50" i="1"/>
  <c r="GL50" i="1"/>
  <c r="GN50" i="1"/>
  <c r="GO50" i="1"/>
  <c r="GP50" i="1"/>
  <c r="GV50" i="1"/>
  <c r="HC50" i="1" s="1"/>
  <c r="GX50" i="1" s="1"/>
  <c r="P51" i="1"/>
  <c r="R51" i="1"/>
  <c r="T51" i="1"/>
  <c r="AC51" i="1"/>
  <c r="AD51" i="1"/>
  <c r="AB51" i="1" s="1"/>
  <c r="AE51" i="1"/>
  <c r="Q51" i="1" s="1"/>
  <c r="AF51" i="1"/>
  <c r="AG51" i="1"/>
  <c r="AH51" i="1"/>
  <c r="CV51" i="1" s="1"/>
  <c r="U51" i="1" s="1"/>
  <c r="AI51" i="1"/>
  <c r="AJ51" i="1"/>
  <c r="CX51" i="1" s="1"/>
  <c r="W51" i="1" s="1"/>
  <c r="CQ51" i="1"/>
  <c r="CR51" i="1"/>
  <c r="CS51" i="1"/>
  <c r="CU51" i="1"/>
  <c r="CW51" i="1"/>
  <c r="V51" i="1" s="1"/>
  <c r="FR51" i="1"/>
  <c r="GL51" i="1"/>
  <c r="GN51" i="1"/>
  <c r="GO51" i="1"/>
  <c r="GP51" i="1"/>
  <c r="GV51" i="1"/>
  <c r="HC51" i="1" s="1"/>
  <c r="GX51" i="1" s="1"/>
  <c r="C52" i="1"/>
  <c r="D52" i="1"/>
  <c r="I52" i="1"/>
  <c r="K52" i="1"/>
  <c r="P52" i="1"/>
  <c r="T52" i="1"/>
  <c r="U52" i="1"/>
  <c r="AC52" i="1"/>
  <c r="AE52" i="1"/>
  <c r="AF52" i="1"/>
  <c r="S52" i="1" s="1"/>
  <c r="AG52" i="1"/>
  <c r="AH52" i="1"/>
  <c r="AI52" i="1"/>
  <c r="AJ52" i="1"/>
  <c r="CQ52" i="1"/>
  <c r="CS52" i="1"/>
  <c r="CT52" i="1"/>
  <c r="CU52" i="1"/>
  <c r="CV52" i="1"/>
  <c r="CW52" i="1"/>
  <c r="V52" i="1" s="1"/>
  <c r="CX52" i="1"/>
  <c r="W52" i="1" s="1"/>
  <c r="GL52" i="1"/>
  <c r="GN52" i="1"/>
  <c r="GP52" i="1"/>
  <c r="GV52" i="1"/>
  <c r="HC52" i="1" s="1"/>
  <c r="GX52" i="1" s="1"/>
  <c r="C53" i="1"/>
  <c r="D53" i="1"/>
  <c r="I53" i="1"/>
  <c r="I55" i="1" s="1"/>
  <c r="Q55" i="1" s="1"/>
  <c r="K53" i="1"/>
  <c r="S53" i="1"/>
  <c r="AC53" i="1"/>
  <c r="AD53" i="1"/>
  <c r="AE53" i="1"/>
  <c r="Q53" i="1" s="1"/>
  <c r="AF53" i="1"/>
  <c r="AG53" i="1"/>
  <c r="CU53" i="1" s="1"/>
  <c r="T53" i="1" s="1"/>
  <c r="AH53" i="1"/>
  <c r="CV53" i="1" s="1"/>
  <c r="U53" i="1" s="1"/>
  <c r="AI53" i="1"/>
  <c r="CW53" i="1" s="1"/>
  <c r="V53" i="1" s="1"/>
  <c r="AJ53" i="1"/>
  <c r="CR53" i="1"/>
  <c r="CT53" i="1"/>
  <c r="CX53" i="1"/>
  <c r="W53" i="1" s="1"/>
  <c r="GL53" i="1"/>
  <c r="GN53" i="1"/>
  <c r="GP53" i="1"/>
  <c r="GV53" i="1"/>
  <c r="HC53" i="1" s="1"/>
  <c r="GX53" i="1" s="1"/>
  <c r="I54" i="1"/>
  <c r="S54" i="1"/>
  <c r="AC54" i="1"/>
  <c r="AD54" i="1"/>
  <c r="AE54" i="1"/>
  <c r="Q54" i="1" s="1"/>
  <c r="AF54" i="1"/>
  <c r="AG54" i="1"/>
  <c r="CU54" i="1" s="1"/>
  <c r="T54" i="1" s="1"/>
  <c r="AH54" i="1"/>
  <c r="CV54" i="1" s="1"/>
  <c r="U54" i="1" s="1"/>
  <c r="AI54" i="1"/>
  <c r="CW54" i="1" s="1"/>
  <c r="V54" i="1" s="1"/>
  <c r="AJ54" i="1"/>
  <c r="CR54" i="1"/>
  <c r="CT54" i="1"/>
  <c r="CX54" i="1"/>
  <c r="W54" i="1" s="1"/>
  <c r="GL54" i="1"/>
  <c r="GN54" i="1"/>
  <c r="GP54" i="1"/>
  <c r="GV54" i="1"/>
  <c r="HC54" i="1" s="1"/>
  <c r="GX54" i="1" s="1"/>
  <c r="S55" i="1"/>
  <c r="AC55" i="1"/>
  <c r="AD55" i="1"/>
  <c r="AE55" i="1"/>
  <c r="R55" i="1" s="1"/>
  <c r="AF55" i="1"/>
  <c r="AG55" i="1"/>
  <c r="CU55" i="1" s="1"/>
  <c r="AH55" i="1"/>
  <c r="CV55" i="1" s="1"/>
  <c r="U55" i="1" s="1"/>
  <c r="AI55" i="1"/>
  <c r="CW55" i="1" s="1"/>
  <c r="V55" i="1" s="1"/>
  <c r="AJ55" i="1"/>
  <c r="CR55" i="1"/>
  <c r="CT55" i="1"/>
  <c r="CX55" i="1"/>
  <c r="W55" i="1" s="1"/>
  <c r="GL55" i="1"/>
  <c r="GN55" i="1"/>
  <c r="GP55" i="1"/>
  <c r="GV55" i="1"/>
  <c r="HC55" i="1" s="1"/>
  <c r="C56" i="1"/>
  <c r="D56" i="1"/>
  <c r="I56" i="1"/>
  <c r="K56" i="1"/>
  <c r="P56" i="1"/>
  <c r="AC56" i="1"/>
  <c r="AD56" i="1"/>
  <c r="AB56" i="1" s="1"/>
  <c r="AE56" i="1"/>
  <c r="Q56" i="1" s="1"/>
  <c r="AF56" i="1"/>
  <c r="S56" i="1" s="1"/>
  <c r="AG56" i="1"/>
  <c r="AH56" i="1"/>
  <c r="CV56" i="1" s="1"/>
  <c r="U56" i="1" s="1"/>
  <c r="AI56" i="1"/>
  <c r="CW56" i="1" s="1"/>
  <c r="V56" i="1" s="1"/>
  <c r="AJ56" i="1"/>
  <c r="CX56" i="1" s="1"/>
  <c r="W56" i="1" s="1"/>
  <c r="CQ56" i="1"/>
  <c r="CR56" i="1"/>
  <c r="CU56" i="1"/>
  <c r="T56" i="1" s="1"/>
  <c r="GL56" i="1"/>
  <c r="GN56" i="1"/>
  <c r="CB75" i="1" s="1"/>
  <c r="GP56" i="1"/>
  <c r="GV56" i="1"/>
  <c r="GX56" i="1"/>
  <c r="HC56" i="1"/>
  <c r="C57" i="1"/>
  <c r="D57" i="1"/>
  <c r="I57" i="1"/>
  <c r="K57" i="1"/>
  <c r="AC57" i="1"/>
  <c r="P57" i="1" s="1"/>
  <c r="AE57" i="1"/>
  <c r="CR57" i="1" s="1"/>
  <c r="AF57" i="1"/>
  <c r="AG57" i="1"/>
  <c r="CU57" i="1" s="1"/>
  <c r="T57" i="1" s="1"/>
  <c r="AH57" i="1"/>
  <c r="AI57" i="1"/>
  <c r="CW57" i="1" s="1"/>
  <c r="V57" i="1" s="1"/>
  <c r="AJ57" i="1"/>
  <c r="CX57" i="1" s="1"/>
  <c r="CV57" i="1"/>
  <c r="U57" i="1" s="1"/>
  <c r="GL57" i="1"/>
  <c r="GN57" i="1"/>
  <c r="GP57" i="1"/>
  <c r="GV57" i="1"/>
  <c r="HC57" i="1"/>
  <c r="GX57" i="1" s="1"/>
  <c r="I58" i="1"/>
  <c r="AC58" i="1"/>
  <c r="P58" i="1" s="1"/>
  <c r="AE58" i="1"/>
  <c r="CR58" i="1" s="1"/>
  <c r="AF58" i="1"/>
  <c r="S58" i="1" s="1"/>
  <c r="AG58" i="1"/>
  <c r="CU58" i="1" s="1"/>
  <c r="T58" i="1" s="1"/>
  <c r="AH58" i="1"/>
  <c r="AI58" i="1"/>
  <c r="CW58" i="1" s="1"/>
  <c r="V58" i="1" s="1"/>
  <c r="AJ58" i="1"/>
  <c r="CX58" i="1" s="1"/>
  <c r="W58" i="1" s="1"/>
  <c r="CV58" i="1"/>
  <c r="U58" i="1" s="1"/>
  <c r="GL58" i="1"/>
  <c r="GN58" i="1"/>
  <c r="GP58" i="1"/>
  <c r="GV58" i="1"/>
  <c r="HC58" i="1"/>
  <c r="GX58" i="1" s="1"/>
  <c r="AC59" i="1"/>
  <c r="AE59" i="1"/>
  <c r="CR59" i="1" s="1"/>
  <c r="AF59" i="1"/>
  <c r="AG59" i="1"/>
  <c r="CU59" i="1" s="1"/>
  <c r="AH59" i="1"/>
  <c r="AI59" i="1"/>
  <c r="CW59" i="1" s="1"/>
  <c r="AJ59" i="1"/>
  <c r="CX59" i="1" s="1"/>
  <c r="CV59" i="1"/>
  <c r="GL59" i="1"/>
  <c r="GN59" i="1"/>
  <c r="GP59" i="1"/>
  <c r="GV59" i="1"/>
  <c r="HC59" i="1"/>
  <c r="C60" i="1"/>
  <c r="D60" i="1"/>
  <c r="I60" i="1"/>
  <c r="K60" i="1"/>
  <c r="R60" i="1"/>
  <c r="AC60" i="1"/>
  <c r="P60" i="1" s="1"/>
  <c r="AD60" i="1"/>
  <c r="AE60" i="1"/>
  <c r="Q60" i="1" s="1"/>
  <c r="AF60" i="1"/>
  <c r="AG60" i="1"/>
  <c r="CU60" i="1" s="1"/>
  <c r="T60" i="1" s="1"/>
  <c r="AH60" i="1"/>
  <c r="CV60" i="1" s="1"/>
  <c r="U60" i="1" s="1"/>
  <c r="AI60" i="1"/>
  <c r="AJ60" i="1"/>
  <c r="CX60" i="1" s="1"/>
  <c r="W60" i="1" s="1"/>
  <c r="CR60" i="1"/>
  <c r="CS60" i="1"/>
  <c r="CW60" i="1"/>
  <c r="V60" i="1" s="1"/>
  <c r="GL60" i="1"/>
  <c r="BZ75" i="1" s="1"/>
  <c r="GN60" i="1"/>
  <c r="GP60" i="1"/>
  <c r="GV60" i="1"/>
  <c r="HC60" i="1" s="1"/>
  <c r="GX60" i="1" s="1"/>
  <c r="C61" i="1"/>
  <c r="D61" i="1"/>
  <c r="I61" i="1"/>
  <c r="I63" i="1" s="1"/>
  <c r="Q63" i="1" s="1"/>
  <c r="K61" i="1"/>
  <c r="S61" i="1"/>
  <c r="AC61" i="1"/>
  <c r="AD61" i="1"/>
  <c r="AE61" i="1"/>
  <c r="Q61" i="1" s="1"/>
  <c r="AF61" i="1"/>
  <c r="AG61" i="1"/>
  <c r="CU61" i="1" s="1"/>
  <c r="T61" i="1" s="1"/>
  <c r="AH61" i="1"/>
  <c r="CV61" i="1" s="1"/>
  <c r="U61" i="1" s="1"/>
  <c r="AI61" i="1"/>
  <c r="CW61" i="1" s="1"/>
  <c r="V61" i="1" s="1"/>
  <c r="AJ61" i="1"/>
  <c r="CR61" i="1"/>
  <c r="CT61" i="1"/>
  <c r="CX61" i="1"/>
  <c r="W61" i="1" s="1"/>
  <c r="GL61" i="1"/>
  <c r="GN61" i="1"/>
  <c r="GP61" i="1"/>
  <c r="GV61" i="1"/>
  <c r="HC61" i="1" s="1"/>
  <c r="GX61" i="1" s="1"/>
  <c r="I62" i="1"/>
  <c r="S62" i="1"/>
  <c r="AC62" i="1"/>
  <c r="AD62" i="1"/>
  <c r="AE62" i="1"/>
  <c r="Q62" i="1" s="1"/>
  <c r="AF62" i="1"/>
  <c r="AG62" i="1"/>
  <c r="CU62" i="1" s="1"/>
  <c r="T62" i="1" s="1"/>
  <c r="AH62" i="1"/>
  <c r="CV62" i="1" s="1"/>
  <c r="U62" i="1" s="1"/>
  <c r="AI62" i="1"/>
  <c r="CW62" i="1" s="1"/>
  <c r="V62" i="1" s="1"/>
  <c r="AJ62" i="1"/>
  <c r="CR62" i="1"/>
  <c r="CT62" i="1"/>
  <c r="CX62" i="1"/>
  <c r="W62" i="1" s="1"/>
  <c r="GL62" i="1"/>
  <c r="GN62" i="1"/>
  <c r="GP62" i="1"/>
  <c r="GV62" i="1"/>
  <c r="HC62" i="1" s="1"/>
  <c r="GX62" i="1" s="1"/>
  <c r="S63" i="1"/>
  <c r="AC63" i="1"/>
  <c r="AD63" i="1"/>
  <c r="AE63" i="1"/>
  <c r="R63" i="1" s="1"/>
  <c r="AF63" i="1"/>
  <c r="AG63" i="1"/>
  <c r="CU63" i="1" s="1"/>
  <c r="T63" i="1" s="1"/>
  <c r="AH63" i="1"/>
  <c r="CV63" i="1" s="1"/>
  <c r="AI63" i="1"/>
  <c r="CW63" i="1" s="1"/>
  <c r="V63" i="1" s="1"/>
  <c r="AJ63" i="1"/>
  <c r="CR63" i="1"/>
  <c r="CT63" i="1"/>
  <c r="CX63" i="1"/>
  <c r="W63" i="1" s="1"/>
  <c r="GL63" i="1"/>
  <c r="GN63" i="1"/>
  <c r="GP63" i="1"/>
  <c r="GV63" i="1"/>
  <c r="HC63" i="1" s="1"/>
  <c r="GX63" i="1" s="1"/>
  <c r="C64" i="1"/>
  <c r="D64" i="1"/>
  <c r="I64" i="1"/>
  <c r="K64" i="1"/>
  <c r="P64" i="1"/>
  <c r="AC64" i="1"/>
  <c r="AD64" i="1"/>
  <c r="AB64" i="1" s="1"/>
  <c r="AE64" i="1"/>
  <c r="Q64" i="1" s="1"/>
  <c r="AF64" i="1"/>
  <c r="S64" i="1" s="1"/>
  <c r="AG64" i="1"/>
  <c r="AH64" i="1"/>
  <c r="CV64" i="1" s="1"/>
  <c r="U64" i="1" s="1"/>
  <c r="AI64" i="1"/>
  <c r="CW64" i="1" s="1"/>
  <c r="V64" i="1" s="1"/>
  <c r="AJ64" i="1"/>
  <c r="CX64" i="1" s="1"/>
  <c r="W64" i="1" s="1"/>
  <c r="CQ64" i="1"/>
  <c r="CR64" i="1"/>
  <c r="CU64" i="1"/>
  <c r="T64" i="1" s="1"/>
  <c r="GL64" i="1"/>
  <c r="GN64" i="1"/>
  <c r="GP64" i="1"/>
  <c r="GV64" i="1"/>
  <c r="GX64" i="1"/>
  <c r="HC64" i="1"/>
  <c r="C65" i="1"/>
  <c r="D65" i="1"/>
  <c r="I65" i="1"/>
  <c r="Q65" i="1" s="1"/>
  <c r="K65" i="1"/>
  <c r="AC65" i="1"/>
  <c r="AE65" i="1"/>
  <c r="AF65" i="1"/>
  <c r="AG65" i="1"/>
  <c r="CU65" i="1" s="1"/>
  <c r="T65" i="1" s="1"/>
  <c r="AH65" i="1"/>
  <c r="AI65" i="1"/>
  <c r="CW65" i="1" s="1"/>
  <c r="AJ65" i="1"/>
  <c r="CX65" i="1" s="1"/>
  <c r="CR65" i="1"/>
  <c r="CV65" i="1"/>
  <c r="GL65" i="1"/>
  <c r="GN65" i="1"/>
  <c r="GP65" i="1"/>
  <c r="GV65" i="1"/>
  <c r="HC65" i="1"/>
  <c r="GX65" i="1" s="1"/>
  <c r="I66" i="1"/>
  <c r="U66" i="1"/>
  <c r="AC66" i="1"/>
  <c r="P66" i="1" s="1"/>
  <c r="AE66" i="1"/>
  <c r="AF66" i="1"/>
  <c r="S66" i="1" s="1"/>
  <c r="AG66" i="1"/>
  <c r="CU66" i="1" s="1"/>
  <c r="T66" i="1" s="1"/>
  <c r="AH66" i="1"/>
  <c r="AI66" i="1"/>
  <c r="CW66" i="1" s="1"/>
  <c r="V66" i="1" s="1"/>
  <c r="AJ66" i="1"/>
  <c r="CX66" i="1" s="1"/>
  <c r="W66" i="1" s="1"/>
  <c r="CR66" i="1"/>
  <c r="CV66" i="1"/>
  <c r="GL66" i="1"/>
  <c r="GN66" i="1"/>
  <c r="GP66" i="1"/>
  <c r="GV66" i="1"/>
  <c r="HC66" i="1"/>
  <c r="GX66" i="1" s="1"/>
  <c r="AC67" i="1"/>
  <c r="AE67" i="1"/>
  <c r="AF67" i="1"/>
  <c r="AG67" i="1"/>
  <c r="CU67" i="1" s="1"/>
  <c r="AH67" i="1"/>
  <c r="AI67" i="1"/>
  <c r="CW67" i="1" s="1"/>
  <c r="AJ67" i="1"/>
  <c r="CX67" i="1" s="1"/>
  <c r="CR67" i="1"/>
  <c r="CV67" i="1"/>
  <c r="GL67" i="1"/>
  <c r="GN67" i="1"/>
  <c r="GP67" i="1"/>
  <c r="GV67" i="1"/>
  <c r="HC67" i="1"/>
  <c r="I68" i="1"/>
  <c r="AC68" i="1"/>
  <c r="P68" i="1" s="1"/>
  <c r="AE68" i="1"/>
  <c r="AF68" i="1"/>
  <c r="S68" i="1" s="1"/>
  <c r="AG68" i="1"/>
  <c r="CU68" i="1" s="1"/>
  <c r="T68" i="1" s="1"/>
  <c r="AH68" i="1"/>
  <c r="AI68" i="1"/>
  <c r="CW68" i="1" s="1"/>
  <c r="V68" i="1" s="1"/>
  <c r="AJ68" i="1"/>
  <c r="CX68" i="1" s="1"/>
  <c r="W68" i="1" s="1"/>
  <c r="CR68" i="1"/>
  <c r="CV68" i="1"/>
  <c r="U68" i="1" s="1"/>
  <c r="GL68" i="1"/>
  <c r="GN68" i="1"/>
  <c r="GP68" i="1"/>
  <c r="GV68" i="1"/>
  <c r="HC68" i="1"/>
  <c r="GX68" i="1" s="1"/>
  <c r="AC69" i="1"/>
  <c r="AE69" i="1"/>
  <c r="CR69" i="1" s="1"/>
  <c r="AF69" i="1"/>
  <c r="AG69" i="1"/>
  <c r="CU69" i="1" s="1"/>
  <c r="AH69" i="1"/>
  <c r="AI69" i="1"/>
  <c r="CW69" i="1" s="1"/>
  <c r="AJ69" i="1"/>
  <c r="CX69" i="1" s="1"/>
  <c r="CV69" i="1"/>
  <c r="GL69" i="1"/>
  <c r="GN69" i="1"/>
  <c r="GP69" i="1"/>
  <c r="GV69" i="1"/>
  <c r="HC69" i="1"/>
  <c r="C70" i="1"/>
  <c r="D70" i="1"/>
  <c r="I70" i="1"/>
  <c r="K70" i="1"/>
  <c r="R70" i="1"/>
  <c r="AC70" i="1"/>
  <c r="P70" i="1" s="1"/>
  <c r="AD70" i="1"/>
  <c r="AE70" i="1"/>
  <c r="Q70" i="1" s="1"/>
  <c r="AF70" i="1"/>
  <c r="AG70" i="1"/>
  <c r="CU70" i="1" s="1"/>
  <c r="T70" i="1" s="1"/>
  <c r="AH70" i="1"/>
  <c r="CV70" i="1" s="1"/>
  <c r="U70" i="1" s="1"/>
  <c r="AI70" i="1"/>
  <c r="AJ70" i="1"/>
  <c r="CX70" i="1" s="1"/>
  <c r="W70" i="1" s="1"/>
  <c r="CR70" i="1"/>
  <c r="CS70" i="1"/>
  <c r="CW70" i="1"/>
  <c r="V70" i="1" s="1"/>
  <c r="GL70" i="1"/>
  <c r="GN70" i="1"/>
  <c r="GP70" i="1"/>
  <c r="GV70" i="1"/>
  <c r="HC70" i="1" s="1"/>
  <c r="GX70" i="1" s="1"/>
  <c r="C71" i="1"/>
  <c r="D71" i="1"/>
  <c r="I71" i="1"/>
  <c r="I73" i="1" s="1"/>
  <c r="Q73" i="1" s="1"/>
  <c r="K71" i="1"/>
  <c r="S71" i="1"/>
  <c r="AC71" i="1"/>
  <c r="AD71" i="1"/>
  <c r="AE71" i="1"/>
  <c r="Q71" i="1" s="1"/>
  <c r="AF71" i="1"/>
  <c r="AG71" i="1"/>
  <c r="CU71" i="1" s="1"/>
  <c r="T71" i="1" s="1"/>
  <c r="AH71" i="1"/>
  <c r="CV71" i="1" s="1"/>
  <c r="U71" i="1" s="1"/>
  <c r="AI71" i="1"/>
  <c r="CW71" i="1" s="1"/>
  <c r="V71" i="1" s="1"/>
  <c r="AJ71" i="1"/>
  <c r="CR71" i="1"/>
  <c r="CT71" i="1"/>
  <c r="CX71" i="1"/>
  <c r="W71" i="1" s="1"/>
  <c r="GL71" i="1"/>
  <c r="GN71" i="1"/>
  <c r="GP71" i="1"/>
  <c r="GV71" i="1"/>
  <c r="HC71" i="1" s="1"/>
  <c r="GX71" i="1" s="1"/>
  <c r="I72" i="1"/>
  <c r="S72" i="1"/>
  <c r="AC72" i="1"/>
  <c r="AD72" i="1"/>
  <c r="AE72" i="1"/>
  <c r="Q72" i="1" s="1"/>
  <c r="AF72" i="1"/>
  <c r="AG72" i="1"/>
  <c r="CU72" i="1" s="1"/>
  <c r="T72" i="1" s="1"/>
  <c r="AH72" i="1"/>
  <c r="CV72" i="1" s="1"/>
  <c r="U72" i="1" s="1"/>
  <c r="AI72" i="1"/>
  <c r="CW72" i="1" s="1"/>
  <c r="V72" i="1" s="1"/>
  <c r="AJ72" i="1"/>
  <c r="CR72" i="1"/>
  <c r="CT72" i="1"/>
  <c r="CX72" i="1"/>
  <c r="W72" i="1" s="1"/>
  <c r="GL72" i="1"/>
  <c r="GN72" i="1"/>
  <c r="GP72" i="1"/>
  <c r="GV72" i="1"/>
  <c r="HC72" i="1" s="1"/>
  <c r="GX72" i="1" s="1"/>
  <c r="S73" i="1"/>
  <c r="AC73" i="1"/>
  <c r="AD73" i="1"/>
  <c r="AE73" i="1"/>
  <c r="R73" i="1" s="1"/>
  <c r="AF73" i="1"/>
  <c r="AG73" i="1"/>
  <c r="CU73" i="1" s="1"/>
  <c r="AH73" i="1"/>
  <c r="CV73" i="1" s="1"/>
  <c r="AI73" i="1"/>
  <c r="CW73" i="1" s="1"/>
  <c r="V73" i="1" s="1"/>
  <c r="AJ73" i="1"/>
  <c r="CR73" i="1"/>
  <c r="CT73" i="1"/>
  <c r="CX73" i="1"/>
  <c r="W73" i="1" s="1"/>
  <c r="GL73" i="1"/>
  <c r="GN73" i="1"/>
  <c r="GP73" i="1"/>
  <c r="GV73" i="1"/>
  <c r="HC73" i="1" s="1"/>
  <c r="B75" i="1"/>
  <c r="B26" i="1" s="1"/>
  <c r="C75" i="1"/>
  <c r="C26" i="1" s="1"/>
  <c r="D75" i="1"/>
  <c r="D26" i="1" s="1"/>
  <c r="F75" i="1"/>
  <c r="F26" i="1" s="1"/>
  <c r="G75" i="1"/>
  <c r="G26" i="1" s="1"/>
  <c r="BC75" i="1"/>
  <c r="BC26" i="1" s="1"/>
  <c r="BX75" i="1"/>
  <c r="AO75" i="1" s="1"/>
  <c r="AO26" i="1" s="1"/>
  <c r="CD75" i="1"/>
  <c r="CD26" i="1" s="1"/>
  <c r="CK75" i="1"/>
  <c r="CK26" i="1" s="1"/>
  <c r="CL75" i="1"/>
  <c r="CL26" i="1" s="1"/>
  <c r="CM75" i="1"/>
  <c r="CM26" i="1" s="1"/>
  <c r="FP75" i="1"/>
  <c r="FR75" i="1"/>
  <c r="FR26" i="1" s="1"/>
  <c r="FT75" i="1"/>
  <c r="FT26" i="1" s="1"/>
  <c r="FV75" i="1"/>
  <c r="FV26" i="1" s="1"/>
  <c r="GC75" i="1"/>
  <c r="GC26" i="1" s="1"/>
  <c r="GD75" i="1"/>
  <c r="GD26" i="1" s="1"/>
  <c r="GE75" i="1"/>
  <c r="GE26" i="1" s="1"/>
  <c r="F79" i="1"/>
  <c r="D105" i="1"/>
  <c r="C107" i="1"/>
  <c r="D107" i="1"/>
  <c r="E107" i="1"/>
  <c r="Z107" i="1"/>
  <c r="AA107" i="1"/>
  <c r="AM107" i="1"/>
  <c r="AN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R107" i="1"/>
  <c r="DS107" i="1"/>
  <c r="EE107" i="1"/>
  <c r="EF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GF107" i="1"/>
  <c r="GG107" i="1"/>
  <c r="GH107" i="1"/>
  <c r="GI107" i="1"/>
  <c r="GJ107" i="1"/>
  <c r="GK107" i="1"/>
  <c r="GL107" i="1"/>
  <c r="GM107" i="1"/>
  <c r="GN107" i="1"/>
  <c r="GO107" i="1"/>
  <c r="GP107" i="1"/>
  <c r="GQ107" i="1"/>
  <c r="GR107" i="1"/>
  <c r="GS107" i="1"/>
  <c r="GT107" i="1"/>
  <c r="GU107" i="1"/>
  <c r="GV107" i="1"/>
  <c r="GW107" i="1"/>
  <c r="GX107" i="1"/>
  <c r="R109" i="1"/>
  <c r="S109" i="1"/>
  <c r="V109" i="1"/>
  <c r="AC109" i="1"/>
  <c r="AD109" i="1"/>
  <c r="AE109" i="1"/>
  <c r="Q109" i="1" s="1"/>
  <c r="AD114" i="1" s="1"/>
  <c r="AD107" i="1" s="1"/>
  <c r="AF109" i="1"/>
  <c r="AG109" i="1"/>
  <c r="CU109" i="1" s="1"/>
  <c r="T109" i="1" s="1"/>
  <c r="AH109" i="1"/>
  <c r="CV109" i="1" s="1"/>
  <c r="U109" i="1" s="1"/>
  <c r="AH114" i="1" s="1"/>
  <c r="AH107" i="1" s="1"/>
  <c r="AI109" i="1"/>
  <c r="AJ109" i="1"/>
  <c r="CR109" i="1"/>
  <c r="CS109" i="1"/>
  <c r="CT109" i="1"/>
  <c r="CW109" i="1"/>
  <c r="CX109" i="1"/>
  <c r="W109" i="1" s="1"/>
  <c r="GL109" i="1"/>
  <c r="GN109" i="1"/>
  <c r="GO109" i="1"/>
  <c r="CC114" i="1" s="1"/>
  <c r="GP109" i="1"/>
  <c r="CD114" i="1" s="1"/>
  <c r="AU114" i="1" s="1"/>
  <c r="AU107" i="1" s="1"/>
  <c r="GV109" i="1"/>
  <c r="HC109" i="1"/>
  <c r="GX109" i="1" s="1"/>
  <c r="CJ114" i="1" s="1"/>
  <c r="R110" i="1"/>
  <c r="DW114" i="1" s="1"/>
  <c r="V110" i="1"/>
  <c r="AC110" i="1"/>
  <c r="AD110" i="1"/>
  <c r="AE110" i="1"/>
  <c r="Q110" i="1" s="1"/>
  <c r="AF110" i="1"/>
  <c r="AB110" i="1" s="1"/>
  <c r="AG110" i="1"/>
  <c r="CU110" i="1" s="1"/>
  <c r="T110" i="1" s="1"/>
  <c r="AH110" i="1"/>
  <c r="CV110" i="1" s="1"/>
  <c r="U110" i="1" s="1"/>
  <c r="AI110" i="1"/>
  <c r="AJ110" i="1"/>
  <c r="CX110" i="1" s="1"/>
  <c r="W110" i="1" s="1"/>
  <c r="CR110" i="1"/>
  <c r="CS110" i="1"/>
  <c r="CT110" i="1"/>
  <c r="CW110" i="1"/>
  <c r="GL110" i="1"/>
  <c r="GN110" i="1"/>
  <c r="GO110" i="1"/>
  <c r="GP110" i="1"/>
  <c r="GV110" i="1"/>
  <c r="HC110" i="1"/>
  <c r="GX110" i="1" s="1"/>
  <c r="R111" i="1"/>
  <c r="AC111" i="1"/>
  <c r="AD111" i="1"/>
  <c r="AE111" i="1"/>
  <c r="Q111" i="1" s="1"/>
  <c r="AF111" i="1"/>
  <c r="AB111" i="1" s="1"/>
  <c r="AG111" i="1"/>
  <c r="CU111" i="1" s="1"/>
  <c r="T111" i="1" s="1"/>
  <c r="AH111" i="1"/>
  <c r="CV111" i="1" s="1"/>
  <c r="U111" i="1" s="1"/>
  <c r="AI111" i="1"/>
  <c r="AJ111" i="1"/>
  <c r="CX111" i="1" s="1"/>
  <c r="W111" i="1" s="1"/>
  <c r="CR111" i="1"/>
  <c r="CS111" i="1"/>
  <c r="CT111" i="1"/>
  <c r="CW111" i="1"/>
  <c r="V111" i="1" s="1"/>
  <c r="GL111" i="1"/>
  <c r="GN111" i="1"/>
  <c r="GO111" i="1"/>
  <c r="GP111" i="1"/>
  <c r="GV111" i="1"/>
  <c r="HC111" i="1"/>
  <c r="GX111" i="1" s="1"/>
  <c r="R112" i="1"/>
  <c r="S112" i="1"/>
  <c r="AC112" i="1"/>
  <c r="AB112" i="1" s="1"/>
  <c r="AD112" i="1"/>
  <c r="AE112" i="1"/>
  <c r="Q112" i="1" s="1"/>
  <c r="AF112" i="1"/>
  <c r="AG112" i="1"/>
  <c r="CU112" i="1" s="1"/>
  <c r="T112" i="1" s="1"/>
  <c r="DY114" i="1" s="1"/>
  <c r="AH112" i="1"/>
  <c r="CV112" i="1" s="1"/>
  <c r="U112" i="1" s="1"/>
  <c r="DZ114" i="1" s="1"/>
  <c r="AI112" i="1"/>
  <c r="AJ112" i="1"/>
  <c r="CR112" i="1"/>
  <c r="CS112" i="1"/>
  <c r="CT112" i="1"/>
  <c r="CW112" i="1"/>
  <c r="V112" i="1" s="1"/>
  <c r="EA114" i="1" s="1"/>
  <c r="CX112" i="1"/>
  <c r="W112" i="1" s="1"/>
  <c r="GL112" i="1"/>
  <c r="GN112" i="1"/>
  <c r="GO112" i="1"/>
  <c r="FU114" i="1" s="1"/>
  <c r="GP112" i="1"/>
  <c r="GV112" i="1"/>
  <c r="HC112" i="1"/>
  <c r="GX112" i="1" s="1"/>
  <c r="GB114" i="1" s="1"/>
  <c r="B114" i="1"/>
  <c r="B107" i="1" s="1"/>
  <c r="C114" i="1"/>
  <c r="D114" i="1"/>
  <c r="F114" i="1"/>
  <c r="F107" i="1" s="1"/>
  <c r="G114" i="1"/>
  <c r="G107" i="1" s="1"/>
  <c r="U114" i="1"/>
  <c r="U107" i="1" s="1"/>
  <c r="AE114" i="1"/>
  <c r="AE107" i="1" s="1"/>
  <c r="BX114" i="1"/>
  <c r="BX107" i="1" s="1"/>
  <c r="CB114" i="1"/>
  <c r="CB107" i="1" s="1"/>
  <c r="CK114" i="1"/>
  <c r="CK107" i="1" s="1"/>
  <c r="CL114" i="1"/>
  <c r="BC114" i="1" s="1"/>
  <c r="BC107" i="1" s="1"/>
  <c r="CM114" i="1"/>
  <c r="BD114" i="1" s="1"/>
  <c r="BD107" i="1" s="1"/>
  <c r="DV114" i="1"/>
  <c r="DI114" i="1" s="1"/>
  <c r="DI107" i="1" s="1"/>
  <c r="EG114" i="1"/>
  <c r="EG107" i="1" s="1"/>
  <c r="FP114" i="1"/>
  <c r="FP107" i="1" s="1"/>
  <c r="FR114" i="1"/>
  <c r="EI114" i="1" s="1"/>
  <c r="FT114" i="1"/>
  <c r="FT107" i="1" s="1"/>
  <c r="FV114" i="1"/>
  <c r="FV107" i="1" s="1"/>
  <c r="GC114" i="1"/>
  <c r="GC107" i="1" s="1"/>
  <c r="GD114" i="1"/>
  <c r="GD107" i="1" s="1"/>
  <c r="GE114" i="1"/>
  <c r="GE107" i="1" s="1"/>
  <c r="P118" i="1"/>
  <c r="F133" i="1"/>
  <c r="F139" i="1"/>
  <c r="D144" i="1"/>
  <c r="E146" i="1"/>
  <c r="Z146" i="1"/>
  <c r="AA146" i="1"/>
  <c r="AM146" i="1"/>
  <c r="AN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R146" i="1"/>
  <c r="DS146" i="1"/>
  <c r="EE146" i="1"/>
  <c r="EF146" i="1"/>
  <c r="EW146" i="1"/>
  <c r="EX146" i="1"/>
  <c r="EY146" i="1"/>
  <c r="EZ146" i="1"/>
  <c r="FA146" i="1"/>
  <c r="FB146" i="1"/>
  <c r="FC146" i="1"/>
  <c r="FD146" i="1"/>
  <c r="FE146" i="1"/>
  <c r="FF146" i="1"/>
  <c r="FG146" i="1"/>
  <c r="FH146" i="1"/>
  <c r="FI146" i="1"/>
  <c r="FJ146" i="1"/>
  <c r="FK146" i="1"/>
  <c r="FL146" i="1"/>
  <c r="FM146" i="1"/>
  <c r="FN146" i="1"/>
  <c r="FO146" i="1"/>
  <c r="GF146" i="1"/>
  <c r="GG146" i="1"/>
  <c r="GH146" i="1"/>
  <c r="GI146" i="1"/>
  <c r="GJ146" i="1"/>
  <c r="GK146" i="1"/>
  <c r="GL146" i="1"/>
  <c r="GM146" i="1"/>
  <c r="GN146" i="1"/>
  <c r="GO146" i="1"/>
  <c r="GP146" i="1"/>
  <c r="GQ146" i="1"/>
  <c r="GR146" i="1"/>
  <c r="GS146" i="1"/>
  <c r="GT146" i="1"/>
  <c r="GU146" i="1"/>
  <c r="GV146" i="1"/>
  <c r="GW146" i="1"/>
  <c r="GX146" i="1"/>
  <c r="C148" i="1"/>
  <c r="D148" i="1"/>
  <c r="R148" i="1"/>
  <c r="AC148" i="1"/>
  <c r="P148" i="1" s="1"/>
  <c r="AE148" i="1"/>
  <c r="AD148" i="1" s="1"/>
  <c r="AB148" i="1" s="1"/>
  <c r="AF148" i="1"/>
  <c r="AG148" i="1"/>
  <c r="CU148" i="1" s="1"/>
  <c r="T148" i="1" s="1"/>
  <c r="AH148" i="1"/>
  <c r="AI148" i="1"/>
  <c r="AJ148" i="1"/>
  <c r="CX148" i="1" s="1"/>
  <c r="W148" i="1" s="1"/>
  <c r="CR148" i="1"/>
  <c r="CS148" i="1"/>
  <c r="CV148" i="1"/>
  <c r="U148" i="1" s="1"/>
  <c r="CW148" i="1"/>
  <c r="V148" i="1" s="1"/>
  <c r="GL148" i="1"/>
  <c r="GN148" i="1"/>
  <c r="GP148" i="1"/>
  <c r="GV148" i="1"/>
  <c r="HC148" i="1" s="1"/>
  <c r="GX148" i="1" s="1"/>
  <c r="C149" i="1"/>
  <c r="D149" i="1"/>
  <c r="P149" i="1"/>
  <c r="AC149" i="1"/>
  <c r="AE149" i="1"/>
  <c r="AF149" i="1"/>
  <c r="S149" i="1" s="1"/>
  <c r="AG149" i="1"/>
  <c r="AH149" i="1"/>
  <c r="AI149" i="1"/>
  <c r="CW149" i="1" s="1"/>
  <c r="V149" i="1" s="1"/>
  <c r="AJ149" i="1"/>
  <c r="CX149" i="1" s="1"/>
  <c r="W149" i="1" s="1"/>
  <c r="CQ149" i="1"/>
  <c r="CR149" i="1"/>
  <c r="CU149" i="1"/>
  <c r="T149" i="1" s="1"/>
  <c r="CV149" i="1"/>
  <c r="U149" i="1" s="1"/>
  <c r="DZ163" i="1" s="1"/>
  <c r="GL149" i="1"/>
  <c r="GN149" i="1"/>
  <c r="GP149" i="1"/>
  <c r="GV149" i="1"/>
  <c r="HC149" i="1"/>
  <c r="GX149" i="1" s="1"/>
  <c r="R150" i="1"/>
  <c r="V150" i="1"/>
  <c r="AC150" i="1"/>
  <c r="AE150" i="1"/>
  <c r="AD150" i="1" s="1"/>
  <c r="AF150" i="1"/>
  <c r="S150" i="1" s="1"/>
  <c r="AG150" i="1"/>
  <c r="CU150" i="1" s="1"/>
  <c r="T150" i="1" s="1"/>
  <c r="AH150" i="1"/>
  <c r="AI150" i="1"/>
  <c r="AJ150" i="1"/>
  <c r="CR150" i="1"/>
  <c r="CS150" i="1"/>
  <c r="CT150" i="1"/>
  <c r="CV150" i="1"/>
  <c r="U150" i="1" s="1"/>
  <c r="CW150" i="1"/>
  <c r="CX150" i="1"/>
  <c r="W150" i="1" s="1"/>
  <c r="GL150" i="1"/>
  <c r="GN150" i="1"/>
  <c r="GO150" i="1"/>
  <c r="GP150" i="1"/>
  <c r="GV150" i="1"/>
  <c r="HC150" i="1"/>
  <c r="GX150" i="1" s="1"/>
  <c r="R151" i="1"/>
  <c r="V151" i="1"/>
  <c r="AC151" i="1"/>
  <c r="AE151" i="1"/>
  <c r="AD151" i="1" s="1"/>
  <c r="AF151" i="1"/>
  <c r="AB151" i="1" s="1"/>
  <c r="AG151" i="1"/>
  <c r="CU151" i="1" s="1"/>
  <c r="T151" i="1" s="1"/>
  <c r="AH151" i="1"/>
  <c r="AI151" i="1"/>
  <c r="AJ151" i="1"/>
  <c r="CX151" i="1" s="1"/>
  <c r="W151" i="1" s="1"/>
  <c r="CR151" i="1"/>
  <c r="CS151" i="1"/>
  <c r="CT151" i="1"/>
  <c r="CV151" i="1"/>
  <c r="U151" i="1" s="1"/>
  <c r="CW151" i="1"/>
  <c r="GL151" i="1"/>
  <c r="GN151" i="1"/>
  <c r="GO151" i="1"/>
  <c r="GP151" i="1"/>
  <c r="GV151" i="1"/>
  <c r="HC151" i="1"/>
  <c r="GX151" i="1" s="1"/>
  <c r="C152" i="1"/>
  <c r="D152" i="1"/>
  <c r="I152" i="1"/>
  <c r="CU107" i="3" s="1"/>
  <c r="K152" i="1"/>
  <c r="R152" i="1"/>
  <c r="S152" i="1"/>
  <c r="AB152" i="1"/>
  <c r="AC152" i="1"/>
  <c r="AE152" i="1"/>
  <c r="AD152" i="1" s="1"/>
  <c r="AF152" i="1"/>
  <c r="AG152" i="1"/>
  <c r="CU152" i="1" s="1"/>
  <c r="T152" i="1" s="1"/>
  <c r="AH152" i="1"/>
  <c r="AI152" i="1"/>
  <c r="AJ152" i="1"/>
  <c r="CX152" i="1" s="1"/>
  <c r="W152" i="1" s="1"/>
  <c r="CR152" i="1"/>
  <c r="CS152" i="1"/>
  <c r="CT152" i="1"/>
  <c r="CV152" i="1"/>
  <c r="U152" i="1" s="1"/>
  <c r="CW152" i="1"/>
  <c r="V152" i="1" s="1"/>
  <c r="GL152" i="1"/>
  <c r="GN152" i="1"/>
  <c r="GP152" i="1"/>
  <c r="GV152" i="1"/>
  <c r="HC152" i="1" s="1"/>
  <c r="GX152" i="1" s="1"/>
  <c r="C153" i="1"/>
  <c r="D153" i="1"/>
  <c r="I153" i="1"/>
  <c r="CU109" i="3" s="1"/>
  <c r="K153" i="1"/>
  <c r="P153" i="1"/>
  <c r="CP153" i="1" s="1"/>
  <c r="O153" i="1" s="1"/>
  <c r="GM153" i="1" s="1"/>
  <c r="GO153" i="1" s="1"/>
  <c r="R153" i="1"/>
  <c r="S153" i="1"/>
  <c r="CZ153" i="1" s="1"/>
  <c r="Y153" i="1" s="1"/>
  <c r="W153" i="1"/>
  <c r="AC153" i="1"/>
  <c r="AD153" i="1"/>
  <c r="AE153" i="1"/>
  <c r="Q153" i="1" s="1"/>
  <c r="AF153" i="1"/>
  <c r="AG153" i="1"/>
  <c r="AH153" i="1"/>
  <c r="CV153" i="1" s="1"/>
  <c r="U153" i="1" s="1"/>
  <c r="AI153" i="1"/>
  <c r="AJ153" i="1"/>
  <c r="CQ153" i="1"/>
  <c r="CR153" i="1"/>
  <c r="CS153" i="1"/>
  <c r="CT153" i="1"/>
  <c r="CU153" i="1"/>
  <c r="T153" i="1" s="1"/>
  <c r="CW153" i="1"/>
  <c r="V153" i="1" s="1"/>
  <c r="CX153" i="1"/>
  <c r="CY153" i="1"/>
  <c r="X153" i="1" s="1"/>
  <c r="GL153" i="1"/>
  <c r="GN153" i="1"/>
  <c r="GP153" i="1"/>
  <c r="GV153" i="1"/>
  <c r="HC153" i="1" s="1"/>
  <c r="GX153" i="1" s="1"/>
  <c r="I154" i="1"/>
  <c r="Q154" i="1" s="1"/>
  <c r="P154" i="1"/>
  <c r="CP154" i="1" s="1"/>
  <c r="O154" i="1" s="1"/>
  <c r="GM154" i="1" s="1"/>
  <c r="GO154" i="1" s="1"/>
  <c r="R154" i="1"/>
  <c r="S154" i="1"/>
  <c r="CZ154" i="1" s="1"/>
  <c r="Y154" i="1" s="1"/>
  <c r="W154" i="1"/>
  <c r="X154" i="1"/>
  <c r="AC154" i="1"/>
  <c r="AD154" i="1"/>
  <c r="AE154" i="1"/>
  <c r="AF154" i="1"/>
  <c r="AG154" i="1"/>
  <c r="AH154" i="1"/>
  <c r="CV154" i="1" s="1"/>
  <c r="U154" i="1" s="1"/>
  <c r="AI154" i="1"/>
  <c r="AJ154" i="1"/>
  <c r="CQ154" i="1"/>
  <c r="CR154" i="1"/>
  <c r="CS154" i="1"/>
  <c r="CT154" i="1"/>
  <c r="CU154" i="1"/>
  <c r="T154" i="1" s="1"/>
  <c r="CW154" i="1"/>
  <c r="V154" i="1" s="1"/>
  <c r="CX154" i="1"/>
  <c r="CY154" i="1"/>
  <c r="GL154" i="1"/>
  <c r="GN154" i="1"/>
  <c r="GP154" i="1"/>
  <c r="GV154" i="1"/>
  <c r="HC154" i="1" s="1"/>
  <c r="GX154" i="1"/>
  <c r="I155" i="1"/>
  <c r="Q155" i="1" s="1"/>
  <c r="R155" i="1"/>
  <c r="S155" i="1"/>
  <c r="CZ155" i="1" s="1"/>
  <c r="Y155" i="1" s="1"/>
  <c r="AC155" i="1"/>
  <c r="AB155" i="1" s="1"/>
  <c r="AD155" i="1"/>
  <c r="AE155" i="1"/>
  <c r="AF155" i="1"/>
  <c r="AG155" i="1"/>
  <c r="CU155" i="1" s="1"/>
  <c r="T155" i="1" s="1"/>
  <c r="AH155" i="1"/>
  <c r="CV155" i="1" s="1"/>
  <c r="U155" i="1" s="1"/>
  <c r="AI155" i="1"/>
  <c r="AJ155" i="1"/>
  <c r="CR155" i="1"/>
  <c r="CS155" i="1"/>
  <c r="CT155" i="1"/>
  <c r="CW155" i="1"/>
  <c r="V155" i="1" s="1"/>
  <c r="CX155" i="1"/>
  <c r="W155" i="1" s="1"/>
  <c r="CY155" i="1"/>
  <c r="X155" i="1" s="1"/>
  <c r="GL155" i="1"/>
  <c r="GN155" i="1"/>
  <c r="GP155" i="1"/>
  <c r="GV155" i="1"/>
  <c r="HC155" i="1" s="1"/>
  <c r="GX155" i="1"/>
  <c r="C156" i="1"/>
  <c r="D156" i="1"/>
  <c r="I156" i="1"/>
  <c r="K156" i="1"/>
  <c r="P156" i="1"/>
  <c r="Q156" i="1"/>
  <c r="AC156" i="1"/>
  <c r="AE156" i="1"/>
  <c r="AD156" i="1" s="1"/>
  <c r="AF156" i="1"/>
  <c r="AG156" i="1"/>
  <c r="AH156" i="1"/>
  <c r="CV156" i="1" s="1"/>
  <c r="U156" i="1" s="1"/>
  <c r="AI156" i="1"/>
  <c r="CW156" i="1" s="1"/>
  <c r="V156" i="1" s="1"/>
  <c r="AJ156" i="1"/>
  <c r="CQ156" i="1"/>
  <c r="CT156" i="1"/>
  <c r="CU156" i="1"/>
  <c r="T156" i="1" s="1"/>
  <c r="CX156" i="1"/>
  <c r="W156" i="1" s="1"/>
  <c r="GL156" i="1"/>
  <c r="GN156" i="1"/>
  <c r="GP156" i="1"/>
  <c r="GV156" i="1"/>
  <c r="HC156" i="1"/>
  <c r="GX156" i="1" s="1"/>
  <c r="C157" i="1"/>
  <c r="D157" i="1"/>
  <c r="I157" i="1"/>
  <c r="K157" i="1"/>
  <c r="Q157" i="1"/>
  <c r="U157" i="1"/>
  <c r="AC157" i="1"/>
  <c r="AE157" i="1"/>
  <c r="AD157" i="1" s="1"/>
  <c r="AB157" i="1" s="1"/>
  <c r="AF157" i="1"/>
  <c r="AG157" i="1"/>
  <c r="AH157" i="1"/>
  <c r="AI157" i="1"/>
  <c r="CW157" i="1" s="1"/>
  <c r="V157" i="1" s="1"/>
  <c r="AJ157" i="1"/>
  <c r="CX157" i="1" s="1"/>
  <c r="W157" i="1" s="1"/>
  <c r="CQ157" i="1"/>
  <c r="CS157" i="1"/>
  <c r="CU157" i="1"/>
  <c r="T157" i="1" s="1"/>
  <c r="CV157" i="1"/>
  <c r="GL157" i="1"/>
  <c r="GN157" i="1"/>
  <c r="GP157" i="1"/>
  <c r="GV157" i="1"/>
  <c r="HC157" i="1"/>
  <c r="I158" i="1"/>
  <c r="P158" i="1" s="1"/>
  <c r="Q158" i="1"/>
  <c r="R158" i="1"/>
  <c r="AC158" i="1"/>
  <c r="AD158" i="1"/>
  <c r="AB158" i="1" s="1"/>
  <c r="AE158" i="1"/>
  <c r="AF158" i="1"/>
  <c r="AG158" i="1"/>
  <c r="AH158" i="1"/>
  <c r="CV158" i="1" s="1"/>
  <c r="U158" i="1" s="1"/>
  <c r="AI158" i="1"/>
  <c r="AJ158" i="1"/>
  <c r="CX158" i="1" s="1"/>
  <c r="W158" i="1" s="1"/>
  <c r="CQ158" i="1"/>
  <c r="CR158" i="1"/>
  <c r="CS158" i="1"/>
  <c r="CU158" i="1"/>
  <c r="T158" i="1" s="1"/>
  <c r="CW158" i="1"/>
  <c r="V158" i="1" s="1"/>
  <c r="GL158" i="1"/>
  <c r="GN158" i="1"/>
  <c r="CB163" i="1" s="1"/>
  <c r="GP158" i="1"/>
  <c r="GV158" i="1"/>
  <c r="GX158" i="1"/>
  <c r="HC158" i="1"/>
  <c r="I159" i="1"/>
  <c r="P159" i="1"/>
  <c r="Q159" i="1"/>
  <c r="AC159" i="1"/>
  <c r="AE159" i="1"/>
  <c r="R159" i="1" s="1"/>
  <c r="AF159" i="1"/>
  <c r="AG159" i="1"/>
  <c r="AH159" i="1"/>
  <c r="AI159" i="1"/>
  <c r="CW159" i="1" s="1"/>
  <c r="V159" i="1" s="1"/>
  <c r="AJ159" i="1"/>
  <c r="CX159" i="1" s="1"/>
  <c r="W159" i="1" s="1"/>
  <c r="CQ159" i="1"/>
  <c r="CS159" i="1"/>
  <c r="CU159" i="1"/>
  <c r="T159" i="1" s="1"/>
  <c r="CV159" i="1"/>
  <c r="U159" i="1" s="1"/>
  <c r="GL159" i="1"/>
  <c r="GN159" i="1"/>
  <c r="GP159" i="1"/>
  <c r="GV159" i="1"/>
  <c r="HC159" i="1"/>
  <c r="GX159" i="1" s="1"/>
  <c r="I160" i="1"/>
  <c r="Q160" i="1" s="1"/>
  <c r="P160" i="1"/>
  <c r="AC160" i="1"/>
  <c r="AE160" i="1"/>
  <c r="R160" i="1" s="1"/>
  <c r="AF160" i="1"/>
  <c r="AG160" i="1"/>
  <c r="AH160" i="1"/>
  <c r="CV160" i="1" s="1"/>
  <c r="U160" i="1" s="1"/>
  <c r="AI160" i="1"/>
  <c r="CW160" i="1" s="1"/>
  <c r="V160" i="1" s="1"/>
  <c r="AJ160" i="1"/>
  <c r="CX160" i="1" s="1"/>
  <c r="W160" i="1" s="1"/>
  <c r="CQ160" i="1"/>
  <c r="CS160" i="1"/>
  <c r="CU160" i="1"/>
  <c r="T160" i="1" s="1"/>
  <c r="GL160" i="1"/>
  <c r="GN160" i="1"/>
  <c r="GP160" i="1"/>
  <c r="GV160" i="1"/>
  <c r="HC160" i="1"/>
  <c r="GX160" i="1" s="1"/>
  <c r="I161" i="1"/>
  <c r="P161" i="1" s="1"/>
  <c r="T161" i="1"/>
  <c r="AC161" i="1"/>
  <c r="AE161" i="1"/>
  <c r="R161" i="1" s="1"/>
  <c r="AF161" i="1"/>
  <c r="AG161" i="1"/>
  <c r="AH161" i="1"/>
  <c r="CV161" i="1" s="1"/>
  <c r="U161" i="1" s="1"/>
  <c r="AI161" i="1"/>
  <c r="CW161" i="1" s="1"/>
  <c r="V161" i="1" s="1"/>
  <c r="AJ161" i="1"/>
  <c r="CX161" i="1" s="1"/>
  <c r="CQ161" i="1"/>
  <c r="CS161" i="1"/>
  <c r="CU161" i="1"/>
  <c r="GL161" i="1"/>
  <c r="GN161" i="1"/>
  <c r="FT163" i="1" s="1"/>
  <c r="GP161" i="1"/>
  <c r="GV161" i="1"/>
  <c r="HC161" i="1"/>
  <c r="GX161" i="1" s="1"/>
  <c r="B163" i="1"/>
  <c r="B146" i="1" s="1"/>
  <c r="C163" i="1"/>
  <c r="C146" i="1" s="1"/>
  <c r="D163" i="1"/>
  <c r="D146" i="1" s="1"/>
  <c r="F163" i="1"/>
  <c r="F146" i="1" s="1"/>
  <c r="G163" i="1"/>
  <c r="G146" i="1" s="1"/>
  <c r="BX163" i="1"/>
  <c r="BX146" i="1" s="1"/>
  <c r="CK163" i="1"/>
  <c r="CK146" i="1" s="1"/>
  <c r="CL163" i="1"/>
  <c r="CL146" i="1" s="1"/>
  <c r="CM163" i="1"/>
  <c r="CM146" i="1" s="1"/>
  <c r="FP163" i="1"/>
  <c r="FP146" i="1" s="1"/>
  <c r="FR163" i="1"/>
  <c r="FR146" i="1" s="1"/>
  <c r="FV163" i="1"/>
  <c r="FV146" i="1" s="1"/>
  <c r="GC163" i="1"/>
  <c r="GC146" i="1" s="1"/>
  <c r="GD163" i="1"/>
  <c r="GD146" i="1" s="1"/>
  <c r="GE163" i="1"/>
  <c r="GE146" i="1" s="1"/>
  <c r="D193" i="1"/>
  <c r="E195" i="1"/>
  <c r="Z195" i="1"/>
  <c r="AA195" i="1"/>
  <c r="AM195" i="1"/>
  <c r="AN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R195" i="1"/>
  <c r="DS195" i="1"/>
  <c r="EE195" i="1"/>
  <c r="EF195" i="1"/>
  <c r="EW195" i="1"/>
  <c r="EX195" i="1"/>
  <c r="EY195" i="1"/>
  <c r="EZ195" i="1"/>
  <c r="FA195" i="1"/>
  <c r="FB195" i="1"/>
  <c r="FC195" i="1"/>
  <c r="FD195" i="1"/>
  <c r="FE195" i="1"/>
  <c r="FF195" i="1"/>
  <c r="FG195" i="1"/>
  <c r="FH195" i="1"/>
  <c r="FI195" i="1"/>
  <c r="FJ195" i="1"/>
  <c r="FK195" i="1"/>
  <c r="FL195" i="1"/>
  <c r="FM195" i="1"/>
  <c r="FN195" i="1"/>
  <c r="FO195" i="1"/>
  <c r="GF195" i="1"/>
  <c r="GG195" i="1"/>
  <c r="GH195" i="1"/>
  <c r="GI195" i="1"/>
  <c r="GJ195" i="1"/>
  <c r="GK195" i="1"/>
  <c r="GL195" i="1"/>
  <c r="GM195" i="1"/>
  <c r="GN195" i="1"/>
  <c r="GO195" i="1"/>
  <c r="GP195" i="1"/>
  <c r="GQ195" i="1"/>
  <c r="GR195" i="1"/>
  <c r="GS195" i="1"/>
  <c r="GT195" i="1"/>
  <c r="GU195" i="1"/>
  <c r="GV195" i="1"/>
  <c r="GW195" i="1"/>
  <c r="GX195" i="1"/>
  <c r="C197" i="1"/>
  <c r="D197" i="1"/>
  <c r="R197" i="1"/>
  <c r="S197" i="1"/>
  <c r="CY197" i="1" s="1"/>
  <c r="X197" i="1" s="1"/>
  <c r="AC197" i="1"/>
  <c r="AE197" i="1"/>
  <c r="AD197" i="1" s="1"/>
  <c r="AF197" i="1"/>
  <c r="AG197" i="1"/>
  <c r="CU197" i="1" s="1"/>
  <c r="T197" i="1" s="1"/>
  <c r="AH197" i="1"/>
  <c r="AI197" i="1"/>
  <c r="AJ197" i="1"/>
  <c r="CR197" i="1"/>
  <c r="CS197" i="1"/>
  <c r="CT197" i="1"/>
  <c r="CV197" i="1"/>
  <c r="U197" i="1" s="1"/>
  <c r="CW197" i="1"/>
  <c r="V197" i="1" s="1"/>
  <c r="CX197" i="1"/>
  <c r="W197" i="1" s="1"/>
  <c r="GL197" i="1"/>
  <c r="GN197" i="1"/>
  <c r="GP197" i="1"/>
  <c r="GV197" i="1"/>
  <c r="HC197" i="1" s="1"/>
  <c r="GX197" i="1" s="1"/>
  <c r="C198" i="1"/>
  <c r="D198" i="1"/>
  <c r="P198" i="1"/>
  <c r="R198" i="1"/>
  <c r="AC198" i="1"/>
  <c r="AE198" i="1"/>
  <c r="Q198" i="1" s="1"/>
  <c r="AF198" i="1"/>
  <c r="S198" i="1" s="1"/>
  <c r="AG198" i="1"/>
  <c r="AH198" i="1"/>
  <c r="AI198" i="1"/>
  <c r="AJ198" i="1"/>
  <c r="CX198" i="1" s="1"/>
  <c r="W198" i="1" s="1"/>
  <c r="CQ198" i="1"/>
  <c r="CR198" i="1"/>
  <c r="CS198" i="1"/>
  <c r="CU198" i="1"/>
  <c r="T198" i="1" s="1"/>
  <c r="CV198" i="1"/>
  <c r="U198" i="1" s="1"/>
  <c r="CW198" i="1"/>
  <c r="V198" i="1" s="1"/>
  <c r="GL198" i="1"/>
  <c r="GN198" i="1"/>
  <c r="GP198" i="1"/>
  <c r="GV198" i="1"/>
  <c r="HC198" i="1"/>
  <c r="GX198" i="1" s="1"/>
  <c r="R199" i="1"/>
  <c r="S199" i="1"/>
  <c r="CY199" i="1" s="1"/>
  <c r="X199" i="1" s="1"/>
  <c r="AC199" i="1"/>
  <c r="AB199" i="1" s="1"/>
  <c r="AE199" i="1"/>
  <c r="AD199" i="1" s="1"/>
  <c r="AF199" i="1"/>
  <c r="AG199" i="1"/>
  <c r="CU199" i="1" s="1"/>
  <c r="T199" i="1" s="1"/>
  <c r="AH199" i="1"/>
  <c r="AI199" i="1"/>
  <c r="AJ199" i="1"/>
  <c r="CR199" i="1"/>
  <c r="CS199" i="1"/>
  <c r="CT199" i="1"/>
  <c r="CV199" i="1"/>
  <c r="U199" i="1" s="1"/>
  <c r="CW199" i="1"/>
  <c r="V199" i="1" s="1"/>
  <c r="CX199" i="1"/>
  <c r="W199" i="1" s="1"/>
  <c r="GL199" i="1"/>
  <c r="GN199" i="1"/>
  <c r="GO199" i="1"/>
  <c r="GP199" i="1"/>
  <c r="GV199" i="1"/>
  <c r="HC199" i="1"/>
  <c r="GX199" i="1" s="1"/>
  <c r="R200" i="1"/>
  <c r="S200" i="1"/>
  <c r="CY200" i="1" s="1"/>
  <c r="X200" i="1" s="1"/>
  <c r="AC200" i="1"/>
  <c r="AE200" i="1"/>
  <c r="AD200" i="1" s="1"/>
  <c r="AF200" i="1"/>
  <c r="AG200" i="1"/>
  <c r="CU200" i="1" s="1"/>
  <c r="T200" i="1" s="1"/>
  <c r="AH200" i="1"/>
  <c r="AI200" i="1"/>
  <c r="AJ200" i="1"/>
  <c r="CR200" i="1"/>
  <c r="CS200" i="1"/>
  <c r="CT200" i="1"/>
  <c r="CV200" i="1"/>
  <c r="U200" i="1" s="1"/>
  <c r="CW200" i="1"/>
  <c r="V200" i="1" s="1"/>
  <c r="CX200" i="1"/>
  <c r="W200" i="1" s="1"/>
  <c r="GL200" i="1"/>
  <c r="GN200" i="1"/>
  <c r="GO200" i="1"/>
  <c r="GP200" i="1"/>
  <c r="GV200" i="1"/>
  <c r="HC200" i="1"/>
  <c r="GX200" i="1" s="1"/>
  <c r="C201" i="1"/>
  <c r="D201" i="1"/>
  <c r="P201" i="1"/>
  <c r="S201" i="1"/>
  <c r="AC201" i="1"/>
  <c r="AB201" i="1" s="1"/>
  <c r="AE201" i="1"/>
  <c r="AD201" i="1" s="1"/>
  <c r="AF201" i="1"/>
  <c r="AG201" i="1"/>
  <c r="AH201" i="1"/>
  <c r="AI201" i="1"/>
  <c r="CW201" i="1" s="1"/>
  <c r="V201" i="1" s="1"/>
  <c r="AJ201" i="1"/>
  <c r="CQ201" i="1"/>
  <c r="CR201" i="1"/>
  <c r="CT201" i="1"/>
  <c r="CU201" i="1"/>
  <c r="T201" i="1" s="1"/>
  <c r="CV201" i="1"/>
  <c r="U201" i="1" s="1"/>
  <c r="CX201" i="1"/>
  <c r="W201" i="1" s="1"/>
  <c r="GL201" i="1"/>
  <c r="GN201" i="1"/>
  <c r="GP201" i="1"/>
  <c r="GV201" i="1"/>
  <c r="HC201" i="1"/>
  <c r="GX201" i="1" s="1"/>
  <c r="C202" i="1"/>
  <c r="D202" i="1"/>
  <c r="P202" i="1"/>
  <c r="CP202" i="1" s="1"/>
  <c r="O202" i="1" s="1"/>
  <c r="GM202" i="1" s="1"/>
  <c r="GO202" i="1" s="1"/>
  <c r="R202" i="1"/>
  <c r="S202" i="1"/>
  <c r="CZ202" i="1" s="1"/>
  <c r="Y202" i="1" s="1"/>
  <c r="AC202" i="1"/>
  <c r="AB202" i="1" s="1"/>
  <c r="AD202" i="1"/>
  <c r="AE202" i="1"/>
  <c r="Q202" i="1" s="1"/>
  <c r="AF202" i="1"/>
  <c r="AG202" i="1"/>
  <c r="AH202" i="1"/>
  <c r="CV202" i="1" s="1"/>
  <c r="U202" i="1" s="1"/>
  <c r="AI202" i="1"/>
  <c r="AJ202" i="1"/>
  <c r="CQ202" i="1"/>
  <c r="CR202" i="1"/>
  <c r="CS202" i="1"/>
  <c r="CT202" i="1"/>
  <c r="CU202" i="1"/>
  <c r="T202" i="1" s="1"/>
  <c r="CW202" i="1"/>
  <c r="V202" i="1" s="1"/>
  <c r="CX202" i="1"/>
  <c r="W202" i="1" s="1"/>
  <c r="CY202" i="1"/>
  <c r="X202" i="1" s="1"/>
  <c r="GL202" i="1"/>
  <c r="GN202" i="1"/>
  <c r="GP202" i="1"/>
  <c r="GV202" i="1"/>
  <c r="HC202" i="1" s="1"/>
  <c r="GX202" i="1" s="1"/>
  <c r="P203" i="1"/>
  <c r="FR203" i="1" s="1"/>
  <c r="S203" i="1"/>
  <c r="AC203" i="1"/>
  <c r="AE203" i="1"/>
  <c r="AD203" i="1" s="1"/>
  <c r="AF203" i="1"/>
  <c r="AG203" i="1"/>
  <c r="AH203" i="1"/>
  <c r="AI203" i="1"/>
  <c r="CW203" i="1" s="1"/>
  <c r="V203" i="1" s="1"/>
  <c r="AJ203" i="1"/>
  <c r="CQ203" i="1"/>
  <c r="CR203" i="1"/>
  <c r="CT203" i="1"/>
  <c r="CU203" i="1"/>
  <c r="T203" i="1" s="1"/>
  <c r="CV203" i="1"/>
  <c r="U203" i="1" s="1"/>
  <c r="CX203" i="1"/>
  <c r="W203" i="1" s="1"/>
  <c r="GL203" i="1"/>
  <c r="GN203" i="1"/>
  <c r="GO203" i="1"/>
  <c r="GP203" i="1"/>
  <c r="GV203" i="1"/>
  <c r="HC203" i="1" s="1"/>
  <c r="GX203" i="1" s="1"/>
  <c r="P204" i="1"/>
  <c r="FR204" i="1" s="1"/>
  <c r="S204" i="1"/>
  <c r="AC204" i="1"/>
  <c r="AE204" i="1"/>
  <c r="AD204" i="1" s="1"/>
  <c r="AF204" i="1"/>
  <c r="AG204" i="1"/>
  <c r="AH204" i="1"/>
  <c r="AI204" i="1"/>
  <c r="CW204" i="1" s="1"/>
  <c r="V204" i="1" s="1"/>
  <c r="AJ204" i="1"/>
  <c r="CQ204" i="1"/>
  <c r="CR204" i="1"/>
  <c r="CT204" i="1"/>
  <c r="CU204" i="1"/>
  <c r="T204" i="1" s="1"/>
  <c r="CV204" i="1"/>
  <c r="U204" i="1" s="1"/>
  <c r="CX204" i="1"/>
  <c r="W204" i="1" s="1"/>
  <c r="GL204" i="1"/>
  <c r="GN204" i="1"/>
  <c r="GO204" i="1"/>
  <c r="GP204" i="1"/>
  <c r="GV204" i="1"/>
  <c r="HC204" i="1" s="1"/>
  <c r="GX204" i="1" s="1"/>
  <c r="C205" i="1"/>
  <c r="D205" i="1"/>
  <c r="R205" i="1"/>
  <c r="S205" i="1"/>
  <c r="CY205" i="1" s="1"/>
  <c r="X205" i="1" s="1"/>
  <c r="AC205" i="1"/>
  <c r="AE205" i="1"/>
  <c r="AD205" i="1" s="1"/>
  <c r="AF205" i="1"/>
  <c r="AG205" i="1"/>
  <c r="CU205" i="1" s="1"/>
  <c r="T205" i="1" s="1"/>
  <c r="AH205" i="1"/>
  <c r="AI205" i="1"/>
  <c r="AJ205" i="1"/>
  <c r="CR205" i="1"/>
  <c r="CS205" i="1"/>
  <c r="CT205" i="1"/>
  <c r="CV205" i="1"/>
  <c r="U205" i="1" s="1"/>
  <c r="CW205" i="1"/>
  <c r="V205" i="1" s="1"/>
  <c r="CX205" i="1"/>
  <c r="W205" i="1" s="1"/>
  <c r="GL205" i="1"/>
  <c r="GN205" i="1"/>
  <c r="GP205" i="1"/>
  <c r="GV205" i="1"/>
  <c r="HC205" i="1" s="1"/>
  <c r="GX205" i="1" s="1"/>
  <c r="C206" i="1"/>
  <c r="D206" i="1"/>
  <c r="P206" i="1"/>
  <c r="R206" i="1"/>
  <c r="AC206" i="1"/>
  <c r="AE206" i="1"/>
  <c r="Q206" i="1" s="1"/>
  <c r="AF206" i="1"/>
  <c r="S206" i="1" s="1"/>
  <c r="AG206" i="1"/>
  <c r="AH206" i="1"/>
  <c r="AI206" i="1"/>
  <c r="AJ206" i="1"/>
  <c r="CX206" i="1" s="1"/>
  <c r="W206" i="1" s="1"/>
  <c r="CQ206" i="1"/>
  <c r="CR206" i="1"/>
  <c r="CS206" i="1"/>
  <c r="CU206" i="1"/>
  <c r="T206" i="1" s="1"/>
  <c r="CV206" i="1"/>
  <c r="U206" i="1" s="1"/>
  <c r="CW206" i="1"/>
  <c r="V206" i="1" s="1"/>
  <c r="GL206" i="1"/>
  <c r="GN206" i="1"/>
  <c r="GP206" i="1"/>
  <c r="GV206" i="1"/>
  <c r="HC206" i="1"/>
  <c r="GX206" i="1" s="1"/>
  <c r="R207" i="1"/>
  <c r="S207" i="1"/>
  <c r="CY207" i="1" s="1"/>
  <c r="X207" i="1" s="1"/>
  <c r="AC207" i="1"/>
  <c r="AB207" i="1" s="1"/>
  <c r="AE207" i="1"/>
  <c r="AD207" i="1" s="1"/>
  <c r="AF207" i="1"/>
  <c r="AG207" i="1"/>
  <c r="CU207" i="1" s="1"/>
  <c r="T207" i="1" s="1"/>
  <c r="AH207" i="1"/>
  <c r="AI207" i="1"/>
  <c r="AJ207" i="1"/>
  <c r="CR207" i="1"/>
  <c r="CS207" i="1"/>
  <c r="CT207" i="1"/>
  <c r="CV207" i="1"/>
  <c r="U207" i="1" s="1"/>
  <c r="CW207" i="1"/>
  <c r="V207" i="1" s="1"/>
  <c r="CX207" i="1"/>
  <c r="W207" i="1" s="1"/>
  <c r="GL207" i="1"/>
  <c r="GN207" i="1"/>
  <c r="GO207" i="1"/>
  <c r="GP207" i="1"/>
  <c r="GV207" i="1"/>
  <c r="HC207" i="1"/>
  <c r="GX207" i="1" s="1"/>
  <c r="R208" i="1"/>
  <c r="S208" i="1"/>
  <c r="CY208" i="1" s="1"/>
  <c r="X208" i="1" s="1"/>
  <c r="AC208" i="1"/>
  <c r="AE208" i="1"/>
  <c r="AD208" i="1" s="1"/>
  <c r="AF208" i="1"/>
  <c r="AG208" i="1"/>
  <c r="CU208" i="1" s="1"/>
  <c r="T208" i="1" s="1"/>
  <c r="AH208" i="1"/>
  <c r="AI208" i="1"/>
  <c r="AJ208" i="1"/>
  <c r="CR208" i="1"/>
  <c r="CS208" i="1"/>
  <c r="CT208" i="1"/>
  <c r="CV208" i="1"/>
  <c r="U208" i="1" s="1"/>
  <c r="CW208" i="1"/>
  <c r="V208" i="1" s="1"/>
  <c r="CX208" i="1"/>
  <c r="W208" i="1" s="1"/>
  <c r="GL208" i="1"/>
  <c r="GN208" i="1"/>
  <c r="GO208" i="1"/>
  <c r="GP208" i="1"/>
  <c r="GV208" i="1"/>
  <c r="HC208" i="1"/>
  <c r="GX208" i="1" s="1"/>
  <c r="R209" i="1"/>
  <c r="S209" i="1"/>
  <c r="CY209" i="1" s="1"/>
  <c r="X209" i="1" s="1"/>
  <c r="AC209" i="1"/>
  <c r="AB209" i="1" s="1"/>
  <c r="AE209" i="1"/>
  <c r="AD209" i="1" s="1"/>
  <c r="AF209" i="1"/>
  <c r="AG209" i="1"/>
  <c r="CU209" i="1" s="1"/>
  <c r="T209" i="1" s="1"/>
  <c r="AH209" i="1"/>
  <c r="AI209" i="1"/>
  <c r="AJ209" i="1"/>
  <c r="CR209" i="1"/>
  <c r="CS209" i="1"/>
  <c r="CT209" i="1"/>
  <c r="CV209" i="1"/>
  <c r="U209" i="1" s="1"/>
  <c r="CW209" i="1"/>
  <c r="V209" i="1" s="1"/>
  <c r="CX209" i="1"/>
  <c r="W209" i="1" s="1"/>
  <c r="GL209" i="1"/>
  <c r="GN209" i="1"/>
  <c r="GO209" i="1"/>
  <c r="GP209" i="1"/>
  <c r="GV209" i="1"/>
  <c r="HC209" i="1"/>
  <c r="GX209" i="1" s="1"/>
  <c r="R210" i="1"/>
  <c r="S210" i="1"/>
  <c r="CY210" i="1" s="1"/>
  <c r="X210" i="1" s="1"/>
  <c r="AC210" i="1"/>
  <c r="AE210" i="1"/>
  <c r="AD210" i="1" s="1"/>
  <c r="AF210" i="1"/>
  <c r="AG210" i="1"/>
  <c r="CU210" i="1" s="1"/>
  <c r="T210" i="1" s="1"/>
  <c r="AH210" i="1"/>
  <c r="AI210" i="1"/>
  <c r="AJ210" i="1"/>
  <c r="CR210" i="1"/>
  <c r="CS210" i="1"/>
  <c r="CT210" i="1"/>
  <c r="CV210" i="1"/>
  <c r="U210" i="1" s="1"/>
  <c r="CW210" i="1"/>
  <c r="V210" i="1" s="1"/>
  <c r="CX210" i="1"/>
  <c r="W210" i="1" s="1"/>
  <c r="GL210" i="1"/>
  <c r="GN210" i="1"/>
  <c r="GO210" i="1"/>
  <c r="GP210" i="1"/>
  <c r="GV210" i="1"/>
  <c r="HC210" i="1"/>
  <c r="GX210" i="1" s="1"/>
  <c r="C211" i="1"/>
  <c r="D211" i="1"/>
  <c r="P211" i="1"/>
  <c r="S211" i="1"/>
  <c r="AC211" i="1"/>
  <c r="AB211" i="1" s="1"/>
  <c r="AE211" i="1"/>
  <c r="AD211" i="1" s="1"/>
  <c r="AF211" i="1"/>
  <c r="AG211" i="1"/>
  <c r="AH211" i="1"/>
  <c r="AI211" i="1"/>
  <c r="CW211" i="1" s="1"/>
  <c r="V211" i="1" s="1"/>
  <c r="AJ211" i="1"/>
  <c r="CQ211" i="1"/>
  <c r="CR211" i="1"/>
  <c r="CT211" i="1"/>
  <c r="CU211" i="1"/>
  <c r="T211" i="1" s="1"/>
  <c r="CV211" i="1"/>
  <c r="U211" i="1" s="1"/>
  <c r="CX211" i="1"/>
  <c r="W211" i="1" s="1"/>
  <c r="GL211" i="1"/>
  <c r="GN211" i="1"/>
  <c r="GP211" i="1"/>
  <c r="GV211" i="1"/>
  <c r="HC211" i="1"/>
  <c r="GX211" i="1" s="1"/>
  <c r="C212" i="1"/>
  <c r="D212" i="1"/>
  <c r="P212" i="1"/>
  <c r="CP212" i="1" s="1"/>
  <c r="O212" i="1" s="1"/>
  <c r="R212" i="1"/>
  <c r="S212" i="1"/>
  <c r="CZ212" i="1" s="1"/>
  <c r="Y212" i="1" s="1"/>
  <c r="AC212" i="1"/>
  <c r="AB212" i="1" s="1"/>
  <c r="AD212" i="1"/>
  <c r="AE212" i="1"/>
  <c r="Q212" i="1" s="1"/>
  <c r="AF212" i="1"/>
  <c r="AG212" i="1"/>
  <c r="AH212" i="1"/>
  <c r="CV212" i="1" s="1"/>
  <c r="U212" i="1" s="1"/>
  <c r="AI212" i="1"/>
  <c r="AJ212" i="1"/>
  <c r="CQ212" i="1"/>
  <c r="CR212" i="1"/>
  <c r="CS212" i="1"/>
  <c r="CT212" i="1"/>
  <c r="CU212" i="1"/>
  <c r="T212" i="1" s="1"/>
  <c r="CW212" i="1"/>
  <c r="V212" i="1" s="1"/>
  <c r="CX212" i="1"/>
  <c r="W212" i="1" s="1"/>
  <c r="CY212" i="1"/>
  <c r="X212" i="1" s="1"/>
  <c r="GL212" i="1"/>
  <c r="GN212" i="1"/>
  <c r="GP212" i="1"/>
  <c r="GV212" i="1"/>
  <c r="HC212" i="1" s="1"/>
  <c r="GX212" i="1" s="1"/>
  <c r="P213" i="1"/>
  <c r="FR213" i="1" s="1"/>
  <c r="S213" i="1"/>
  <c r="AC213" i="1"/>
  <c r="AE213" i="1"/>
  <c r="AD213" i="1" s="1"/>
  <c r="AF213" i="1"/>
  <c r="AG213" i="1"/>
  <c r="AH213" i="1"/>
  <c r="AI213" i="1"/>
  <c r="CW213" i="1" s="1"/>
  <c r="V213" i="1" s="1"/>
  <c r="AJ213" i="1"/>
  <c r="CQ213" i="1"/>
  <c r="CR213" i="1"/>
  <c r="CT213" i="1"/>
  <c r="CU213" i="1"/>
  <c r="T213" i="1" s="1"/>
  <c r="CV213" i="1"/>
  <c r="U213" i="1" s="1"/>
  <c r="CX213" i="1"/>
  <c r="W213" i="1" s="1"/>
  <c r="GL213" i="1"/>
  <c r="GN213" i="1"/>
  <c r="GO213" i="1"/>
  <c r="GP213" i="1"/>
  <c r="GV213" i="1"/>
  <c r="HC213" i="1" s="1"/>
  <c r="GX213" i="1" s="1"/>
  <c r="P214" i="1"/>
  <c r="FR214" i="1" s="1"/>
  <c r="S214" i="1"/>
  <c r="AC214" i="1"/>
  <c r="AE214" i="1"/>
  <c r="AD214" i="1" s="1"/>
  <c r="AF214" i="1"/>
  <c r="AG214" i="1"/>
  <c r="AH214" i="1"/>
  <c r="AI214" i="1"/>
  <c r="CW214" i="1" s="1"/>
  <c r="V214" i="1" s="1"/>
  <c r="AJ214" i="1"/>
  <c r="CQ214" i="1"/>
  <c r="CR214" i="1"/>
  <c r="CT214" i="1"/>
  <c r="CU214" i="1"/>
  <c r="T214" i="1" s="1"/>
  <c r="CV214" i="1"/>
  <c r="U214" i="1" s="1"/>
  <c r="CX214" i="1"/>
  <c r="W214" i="1" s="1"/>
  <c r="GL214" i="1"/>
  <c r="GN214" i="1"/>
  <c r="GO214" i="1"/>
  <c r="GP214" i="1"/>
  <c r="GV214" i="1"/>
  <c r="HC214" i="1" s="1"/>
  <c r="GX214" i="1" s="1"/>
  <c r="C215" i="1"/>
  <c r="D215" i="1"/>
  <c r="R215" i="1"/>
  <c r="S215" i="1"/>
  <c r="CY215" i="1" s="1"/>
  <c r="X215" i="1" s="1"/>
  <c r="AC215" i="1"/>
  <c r="AE215" i="1"/>
  <c r="AD215" i="1" s="1"/>
  <c r="AF215" i="1"/>
  <c r="AG215" i="1"/>
  <c r="CU215" i="1" s="1"/>
  <c r="T215" i="1" s="1"/>
  <c r="AH215" i="1"/>
  <c r="AI215" i="1"/>
  <c r="AJ215" i="1"/>
  <c r="CR215" i="1"/>
  <c r="CS215" i="1"/>
  <c r="CT215" i="1"/>
  <c r="CV215" i="1"/>
  <c r="U215" i="1" s="1"/>
  <c r="CW215" i="1"/>
  <c r="V215" i="1" s="1"/>
  <c r="CX215" i="1"/>
  <c r="W215" i="1" s="1"/>
  <c r="GL215" i="1"/>
  <c r="GN215" i="1"/>
  <c r="GP215" i="1"/>
  <c r="GV215" i="1"/>
  <c r="HC215" i="1" s="1"/>
  <c r="GX215" i="1" s="1"/>
  <c r="C216" i="1"/>
  <c r="D216" i="1"/>
  <c r="P216" i="1"/>
  <c r="R216" i="1"/>
  <c r="AC216" i="1"/>
  <c r="AE216" i="1"/>
  <c r="Q216" i="1" s="1"/>
  <c r="AF216" i="1"/>
  <c r="S216" i="1" s="1"/>
  <c r="AG216" i="1"/>
  <c r="AH216" i="1"/>
  <c r="AI216" i="1"/>
  <c r="AJ216" i="1"/>
  <c r="CX216" i="1" s="1"/>
  <c r="W216" i="1" s="1"/>
  <c r="CQ216" i="1"/>
  <c r="CR216" i="1"/>
  <c r="CS216" i="1"/>
  <c r="CU216" i="1"/>
  <c r="T216" i="1" s="1"/>
  <c r="CV216" i="1"/>
  <c r="U216" i="1" s="1"/>
  <c r="CW216" i="1"/>
  <c r="V216" i="1" s="1"/>
  <c r="GL216" i="1"/>
  <c r="GN216" i="1"/>
  <c r="GP216" i="1"/>
  <c r="GV216" i="1"/>
  <c r="HC216" i="1"/>
  <c r="GX216" i="1" s="1"/>
  <c r="R217" i="1"/>
  <c r="S217" i="1"/>
  <c r="CY217" i="1" s="1"/>
  <c r="X217" i="1" s="1"/>
  <c r="AC217" i="1"/>
  <c r="AB217" i="1" s="1"/>
  <c r="AE217" i="1"/>
  <c r="AD217" i="1" s="1"/>
  <c r="AF217" i="1"/>
  <c r="AG217" i="1"/>
  <c r="CU217" i="1" s="1"/>
  <c r="T217" i="1" s="1"/>
  <c r="AH217" i="1"/>
  <c r="AI217" i="1"/>
  <c r="AJ217" i="1"/>
  <c r="CR217" i="1"/>
  <c r="CS217" i="1"/>
  <c r="CT217" i="1"/>
  <c r="CV217" i="1"/>
  <c r="U217" i="1" s="1"/>
  <c r="CW217" i="1"/>
  <c r="V217" i="1" s="1"/>
  <c r="CX217" i="1"/>
  <c r="W217" i="1" s="1"/>
  <c r="GL217" i="1"/>
  <c r="GN217" i="1"/>
  <c r="GO217" i="1"/>
  <c r="GP217" i="1"/>
  <c r="GV217" i="1"/>
  <c r="HC217" i="1"/>
  <c r="GX217" i="1" s="1"/>
  <c r="R218" i="1"/>
  <c r="S218" i="1"/>
  <c r="CY218" i="1" s="1"/>
  <c r="X218" i="1" s="1"/>
  <c r="AC218" i="1"/>
  <c r="AE218" i="1"/>
  <c r="AD218" i="1" s="1"/>
  <c r="AF218" i="1"/>
  <c r="AG218" i="1"/>
  <c r="CU218" i="1" s="1"/>
  <c r="T218" i="1" s="1"/>
  <c r="AH218" i="1"/>
  <c r="AI218" i="1"/>
  <c r="AJ218" i="1"/>
  <c r="CR218" i="1"/>
  <c r="CS218" i="1"/>
  <c r="CT218" i="1"/>
  <c r="CV218" i="1"/>
  <c r="U218" i="1" s="1"/>
  <c r="CW218" i="1"/>
  <c r="V218" i="1" s="1"/>
  <c r="CX218" i="1"/>
  <c r="W218" i="1" s="1"/>
  <c r="GL218" i="1"/>
  <c r="GN218" i="1"/>
  <c r="GO218" i="1"/>
  <c r="GP218" i="1"/>
  <c r="GV218" i="1"/>
  <c r="HC218" i="1"/>
  <c r="GX218" i="1" s="1"/>
  <c r="C219" i="1"/>
  <c r="D219" i="1"/>
  <c r="I219" i="1"/>
  <c r="K219" i="1"/>
  <c r="R219" i="1"/>
  <c r="S219" i="1"/>
  <c r="CY219" i="1" s="1"/>
  <c r="X219" i="1" s="1"/>
  <c r="AC219" i="1"/>
  <c r="AB219" i="1" s="1"/>
  <c r="AE219" i="1"/>
  <c r="AD219" i="1" s="1"/>
  <c r="AF219" i="1"/>
  <c r="AG219" i="1"/>
  <c r="CU219" i="1" s="1"/>
  <c r="T219" i="1" s="1"/>
  <c r="AH219" i="1"/>
  <c r="AI219" i="1"/>
  <c r="AJ219" i="1"/>
  <c r="CR219" i="1"/>
  <c r="CS219" i="1"/>
  <c r="CT219" i="1"/>
  <c r="CV219" i="1"/>
  <c r="U219" i="1" s="1"/>
  <c r="CW219" i="1"/>
  <c r="V219" i="1" s="1"/>
  <c r="CX219" i="1"/>
  <c r="W219" i="1" s="1"/>
  <c r="GL219" i="1"/>
  <c r="GN219" i="1"/>
  <c r="GP219" i="1"/>
  <c r="GV219" i="1"/>
  <c r="HC219" i="1" s="1"/>
  <c r="GX219" i="1" s="1"/>
  <c r="C220" i="1"/>
  <c r="D220" i="1"/>
  <c r="I220" i="1"/>
  <c r="K220" i="1"/>
  <c r="P220" i="1"/>
  <c r="R220" i="1"/>
  <c r="S220" i="1"/>
  <c r="CZ220" i="1" s="1"/>
  <c r="Y220" i="1" s="1"/>
  <c r="AC220" i="1"/>
  <c r="AB220" i="1" s="1"/>
  <c r="AD220" i="1"/>
  <c r="AE220" i="1"/>
  <c r="Q220" i="1" s="1"/>
  <c r="AF220" i="1"/>
  <c r="AG220" i="1"/>
  <c r="AH220" i="1"/>
  <c r="CV220" i="1" s="1"/>
  <c r="U220" i="1" s="1"/>
  <c r="AI220" i="1"/>
  <c r="AJ220" i="1"/>
  <c r="CQ220" i="1"/>
  <c r="CR220" i="1"/>
  <c r="CS220" i="1"/>
  <c r="CT220" i="1"/>
  <c r="CU220" i="1"/>
  <c r="T220" i="1" s="1"/>
  <c r="CW220" i="1"/>
  <c r="V220" i="1" s="1"/>
  <c r="CX220" i="1"/>
  <c r="W220" i="1" s="1"/>
  <c r="CY220" i="1"/>
  <c r="X220" i="1" s="1"/>
  <c r="GL220" i="1"/>
  <c r="GN220" i="1"/>
  <c r="GP220" i="1"/>
  <c r="GV220" i="1"/>
  <c r="HC220" i="1" s="1"/>
  <c r="GX220" i="1" s="1"/>
  <c r="C221" i="1"/>
  <c r="D221" i="1"/>
  <c r="I221" i="1"/>
  <c r="S221" i="1" s="1"/>
  <c r="K221" i="1"/>
  <c r="AC221" i="1"/>
  <c r="AB221" i="1" s="1"/>
  <c r="AE221" i="1"/>
  <c r="AD221" i="1" s="1"/>
  <c r="AF221" i="1"/>
  <c r="AG221" i="1"/>
  <c r="AH221" i="1"/>
  <c r="AI221" i="1"/>
  <c r="CW221" i="1" s="1"/>
  <c r="V221" i="1" s="1"/>
  <c r="AJ221" i="1"/>
  <c r="CQ221" i="1"/>
  <c r="CR221" i="1"/>
  <c r="CT221" i="1"/>
  <c r="CU221" i="1"/>
  <c r="T221" i="1" s="1"/>
  <c r="CV221" i="1"/>
  <c r="U221" i="1" s="1"/>
  <c r="CX221" i="1"/>
  <c r="W221" i="1" s="1"/>
  <c r="GL221" i="1"/>
  <c r="GN221" i="1"/>
  <c r="GP221" i="1"/>
  <c r="GV221" i="1"/>
  <c r="HC221" i="1"/>
  <c r="GX221" i="1" s="1"/>
  <c r="C222" i="1"/>
  <c r="D222" i="1"/>
  <c r="I222" i="1"/>
  <c r="P222" i="1" s="1"/>
  <c r="K222" i="1"/>
  <c r="R222" i="1"/>
  <c r="AC222" i="1"/>
  <c r="AE222" i="1"/>
  <c r="Q222" i="1" s="1"/>
  <c r="AF222" i="1"/>
  <c r="S222" i="1" s="1"/>
  <c r="AG222" i="1"/>
  <c r="AH222" i="1"/>
  <c r="AI222" i="1"/>
  <c r="AJ222" i="1"/>
  <c r="CX222" i="1" s="1"/>
  <c r="W222" i="1" s="1"/>
  <c r="CQ222" i="1"/>
  <c r="CR222" i="1"/>
  <c r="CS222" i="1"/>
  <c r="CU222" i="1"/>
  <c r="T222" i="1" s="1"/>
  <c r="CV222" i="1"/>
  <c r="U222" i="1" s="1"/>
  <c r="CW222" i="1"/>
  <c r="V222" i="1" s="1"/>
  <c r="GL222" i="1"/>
  <c r="GN222" i="1"/>
  <c r="GP222" i="1"/>
  <c r="GV222" i="1"/>
  <c r="HC222" i="1"/>
  <c r="GX222" i="1" s="1"/>
  <c r="I223" i="1"/>
  <c r="Q223" i="1" s="1"/>
  <c r="R223" i="1"/>
  <c r="AC223" i="1"/>
  <c r="AE223" i="1"/>
  <c r="AD223" i="1" s="1"/>
  <c r="AB223" i="1" s="1"/>
  <c r="AF223" i="1"/>
  <c r="S223" i="1" s="1"/>
  <c r="AG223" i="1"/>
  <c r="AH223" i="1"/>
  <c r="AI223" i="1"/>
  <c r="AJ223" i="1"/>
  <c r="CX223" i="1" s="1"/>
  <c r="W223" i="1" s="1"/>
  <c r="CQ223" i="1"/>
  <c r="CR223" i="1"/>
  <c r="CS223" i="1"/>
  <c r="CU223" i="1"/>
  <c r="T223" i="1" s="1"/>
  <c r="CV223" i="1"/>
  <c r="U223" i="1" s="1"/>
  <c r="CW223" i="1"/>
  <c r="V223" i="1" s="1"/>
  <c r="GL223" i="1"/>
  <c r="GN223" i="1"/>
  <c r="GP223" i="1"/>
  <c r="GV223" i="1"/>
  <c r="HC223" i="1"/>
  <c r="GX223" i="1" s="1"/>
  <c r="I224" i="1"/>
  <c r="Q224" i="1" s="1"/>
  <c r="R224" i="1"/>
  <c r="AC224" i="1"/>
  <c r="AE224" i="1"/>
  <c r="AD224" i="1" s="1"/>
  <c r="AB224" i="1" s="1"/>
  <c r="AF224" i="1"/>
  <c r="S224" i="1" s="1"/>
  <c r="AG224" i="1"/>
  <c r="AH224" i="1"/>
  <c r="AI224" i="1"/>
  <c r="AJ224" i="1"/>
  <c r="CX224" i="1" s="1"/>
  <c r="W224" i="1" s="1"/>
  <c r="CQ224" i="1"/>
  <c r="CR224" i="1"/>
  <c r="CS224" i="1"/>
  <c r="CU224" i="1"/>
  <c r="T224" i="1" s="1"/>
  <c r="CV224" i="1"/>
  <c r="U224" i="1" s="1"/>
  <c r="CW224" i="1"/>
  <c r="V224" i="1" s="1"/>
  <c r="GL224" i="1"/>
  <c r="GN224" i="1"/>
  <c r="GP224" i="1"/>
  <c r="GV224" i="1"/>
  <c r="HC224" i="1"/>
  <c r="GX224" i="1" s="1"/>
  <c r="R225" i="1"/>
  <c r="S225" i="1"/>
  <c r="CY225" i="1" s="1"/>
  <c r="X225" i="1" s="1"/>
  <c r="AC225" i="1"/>
  <c r="AE225" i="1"/>
  <c r="AD225" i="1" s="1"/>
  <c r="AF225" i="1"/>
  <c r="AG225" i="1"/>
  <c r="CU225" i="1" s="1"/>
  <c r="T225" i="1" s="1"/>
  <c r="AH225" i="1"/>
  <c r="AI225" i="1"/>
  <c r="AJ225" i="1"/>
  <c r="CR225" i="1"/>
  <c r="CS225" i="1"/>
  <c r="CT225" i="1"/>
  <c r="CV225" i="1"/>
  <c r="U225" i="1" s="1"/>
  <c r="CW225" i="1"/>
  <c r="V225" i="1" s="1"/>
  <c r="CX225" i="1"/>
  <c r="W225" i="1" s="1"/>
  <c r="GL225" i="1"/>
  <c r="GN225" i="1"/>
  <c r="GO225" i="1"/>
  <c r="GP225" i="1"/>
  <c r="GV225" i="1"/>
  <c r="HC225" i="1"/>
  <c r="GX225" i="1" s="1"/>
  <c r="R226" i="1"/>
  <c r="S226" i="1"/>
  <c r="CY226" i="1" s="1"/>
  <c r="X226" i="1" s="1"/>
  <c r="AC226" i="1"/>
  <c r="AB226" i="1" s="1"/>
  <c r="AE226" i="1"/>
  <c r="AD226" i="1" s="1"/>
  <c r="AF226" i="1"/>
  <c r="AG226" i="1"/>
  <c r="CU226" i="1" s="1"/>
  <c r="T226" i="1" s="1"/>
  <c r="AH226" i="1"/>
  <c r="AI226" i="1"/>
  <c r="AJ226" i="1"/>
  <c r="CR226" i="1"/>
  <c r="CS226" i="1"/>
  <c r="CT226" i="1"/>
  <c r="CV226" i="1"/>
  <c r="U226" i="1" s="1"/>
  <c r="CW226" i="1"/>
  <c r="V226" i="1" s="1"/>
  <c r="CX226" i="1"/>
  <c r="W226" i="1" s="1"/>
  <c r="GL226" i="1"/>
  <c r="GN226" i="1"/>
  <c r="GO226" i="1"/>
  <c r="GP226" i="1"/>
  <c r="GV226" i="1"/>
  <c r="HC226" i="1"/>
  <c r="GX226" i="1" s="1"/>
  <c r="R227" i="1"/>
  <c r="S227" i="1"/>
  <c r="CY227" i="1" s="1"/>
  <c r="X227" i="1" s="1"/>
  <c r="AC227" i="1"/>
  <c r="AE227" i="1"/>
  <c r="AD227" i="1" s="1"/>
  <c r="AF227" i="1"/>
  <c r="AG227" i="1"/>
  <c r="CU227" i="1" s="1"/>
  <c r="T227" i="1" s="1"/>
  <c r="AH227" i="1"/>
  <c r="AI227" i="1"/>
  <c r="AJ227" i="1"/>
  <c r="CR227" i="1"/>
  <c r="CS227" i="1"/>
  <c r="CT227" i="1"/>
  <c r="CV227" i="1"/>
  <c r="U227" i="1" s="1"/>
  <c r="CW227" i="1"/>
  <c r="V227" i="1" s="1"/>
  <c r="CX227" i="1"/>
  <c r="W227" i="1" s="1"/>
  <c r="GL227" i="1"/>
  <c r="GN227" i="1"/>
  <c r="GO227" i="1"/>
  <c r="GP227" i="1"/>
  <c r="GV227" i="1"/>
  <c r="HC227" i="1"/>
  <c r="GX227" i="1" s="1"/>
  <c r="R228" i="1"/>
  <c r="S228" i="1"/>
  <c r="CY228" i="1" s="1"/>
  <c r="X228" i="1" s="1"/>
  <c r="AC228" i="1"/>
  <c r="AB228" i="1" s="1"/>
  <c r="AE228" i="1"/>
  <c r="AD228" i="1" s="1"/>
  <c r="AF228" i="1"/>
  <c r="AG228" i="1"/>
  <c r="CU228" i="1" s="1"/>
  <c r="T228" i="1" s="1"/>
  <c r="AH228" i="1"/>
  <c r="AI228" i="1"/>
  <c r="AJ228" i="1"/>
  <c r="CR228" i="1"/>
  <c r="CS228" i="1"/>
  <c r="CT228" i="1"/>
  <c r="CV228" i="1"/>
  <c r="U228" i="1" s="1"/>
  <c r="CW228" i="1"/>
  <c r="V228" i="1" s="1"/>
  <c r="CX228" i="1"/>
  <c r="W228" i="1" s="1"/>
  <c r="GL228" i="1"/>
  <c r="GN228" i="1"/>
  <c r="GO228" i="1"/>
  <c r="GP228" i="1"/>
  <c r="GV228" i="1"/>
  <c r="HC228" i="1"/>
  <c r="GX228" i="1" s="1"/>
  <c r="R229" i="1"/>
  <c r="S229" i="1"/>
  <c r="CY229" i="1" s="1"/>
  <c r="X229" i="1" s="1"/>
  <c r="AC229" i="1"/>
  <c r="AE229" i="1"/>
  <c r="AD229" i="1" s="1"/>
  <c r="AF229" i="1"/>
  <c r="AG229" i="1"/>
  <c r="CU229" i="1" s="1"/>
  <c r="T229" i="1" s="1"/>
  <c r="AH229" i="1"/>
  <c r="AI229" i="1"/>
  <c r="AJ229" i="1"/>
  <c r="CR229" i="1"/>
  <c r="CS229" i="1"/>
  <c r="CT229" i="1"/>
  <c r="CV229" i="1"/>
  <c r="U229" i="1" s="1"/>
  <c r="CW229" i="1"/>
  <c r="V229" i="1" s="1"/>
  <c r="CX229" i="1"/>
  <c r="W229" i="1" s="1"/>
  <c r="GL229" i="1"/>
  <c r="GN229" i="1"/>
  <c r="GO229" i="1"/>
  <c r="GP229" i="1"/>
  <c r="GV229" i="1"/>
  <c r="HC229" i="1"/>
  <c r="GX229" i="1" s="1"/>
  <c r="R230" i="1"/>
  <c r="S230" i="1"/>
  <c r="CY230" i="1" s="1"/>
  <c r="X230" i="1" s="1"/>
  <c r="AC230" i="1"/>
  <c r="AB230" i="1" s="1"/>
  <c r="AE230" i="1"/>
  <c r="AD230" i="1" s="1"/>
  <c r="AF230" i="1"/>
  <c r="AG230" i="1"/>
  <c r="CU230" i="1" s="1"/>
  <c r="T230" i="1" s="1"/>
  <c r="AH230" i="1"/>
  <c r="AI230" i="1"/>
  <c r="AJ230" i="1"/>
  <c r="CR230" i="1"/>
  <c r="CS230" i="1"/>
  <c r="CT230" i="1"/>
  <c r="CV230" i="1"/>
  <c r="U230" i="1" s="1"/>
  <c r="CW230" i="1"/>
  <c r="V230" i="1" s="1"/>
  <c r="CX230" i="1"/>
  <c r="W230" i="1" s="1"/>
  <c r="GL230" i="1"/>
  <c r="GN230" i="1"/>
  <c r="GO230" i="1"/>
  <c r="GP230" i="1"/>
  <c r="GV230" i="1"/>
  <c r="HC230" i="1"/>
  <c r="GX230" i="1" s="1"/>
  <c r="R231" i="1"/>
  <c r="S231" i="1"/>
  <c r="CY231" i="1" s="1"/>
  <c r="X231" i="1" s="1"/>
  <c r="AC231" i="1"/>
  <c r="AE231" i="1"/>
  <c r="AD231" i="1" s="1"/>
  <c r="AF231" i="1"/>
  <c r="AG231" i="1"/>
  <c r="CU231" i="1" s="1"/>
  <c r="T231" i="1" s="1"/>
  <c r="AH231" i="1"/>
  <c r="AI231" i="1"/>
  <c r="AJ231" i="1"/>
  <c r="CR231" i="1"/>
  <c r="CS231" i="1"/>
  <c r="CT231" i="1"/>
  <c r="CV231" i="1"/>
  <c r="U231" i="1" s="1"/>
  <c r="CW231" i="1"/>
  <c r="V231" i="1" s="1"/>
  <c r="CX231" i="1"/>
  <c r="W231" i="1" s="1"/>
  <c r="GL231" i="1"/>
  <c r="GN231" i="1"/>
  <c r="GO231" i="1"/>
  <c r="GP231" i="1"/>
  <c r="GV231" i="1"/>
  <c r="HC231" i="1"/>
  <c r="GX231" i="1" s="1"/>
  <c r="R232" i="1"/>
  <c r="S232" i="1"/>
  <c r="CY232" i="1" s="1"/>
  <c r="X232" i="1" s="1"/>
  <c r="AC232" i="1"/>
  <c r="AB232" i="1" s="1"/>
  <c r="AE232" i="1"/>
  <c r="AD232" i="1" s="1"/>
  <c r="AF232" i="1"/>
  <c r="AG232" i="1"/>
  <c r="CU232" i="1" s="1"/>
  <c r="T232" i="1" s="1"/>
  <c r="AH232" i="1"/>
  <c r="AI232" i="1"/>
  <c r="AJ232" i="1"/>
  <c r="CR232" i="1"/>
  <c r="CS232" i="1"/>
  <c r="CT232" i="1"/>
  <c r="CV232" i="1"/>
  <c r="U232" i="1" s="1"/>
  <c r="CW232" i="1"/>
  <c r="V232" i="1" s="1"/>
  <c r="CX232" i="1"/>
  <c r="W232" i="1" s="1"/>
  <c r="GL232" i="1"/>
  <c r="GN232" i="1"/>
  <c r="GO232" i="1"/>
  <c r="GP232" i="1"/>
  <c r="GV232" i="1"/>
  <c r="HC232" i="1"/>
  <c r="GX232" i="1" s="1"/>
  <c r="R233" i="1"/>
  <c r="S233" i="1"/>
  <c r="CY233" i="1" s="1"/>
  <c r="X233" i="1" s="1"/>
  <c r="AC233" i="1"/>
  <c r="AE233" i="1"/>
  <c r="AD233" i="1" s="1"/>
  <c r="AF233" i="1"/>
  <c r="AG233" i="1"/>
  <c r="CU233" i="1" s="1"/>
  <c r="T233" i="1" s="1"/>
  <c r="AH233" i="1"/>
  <c r="AI233" i="1"/>
  <c r="AJ233" i="1"/>
  <c r="CR233" i="1"/>
  <c r="CS233" i="1"/>
  <c r="CT233" i="1"/>
  <c r="CV233" i="1"/>
  <c r="U233" i="1" s="1"/>
  <c r="CW233" i="1"/>
  <c r="V233" i="1" s="1"/>
  <c r="CX233" i="1"/>
  <c r="W233" i="1" s="1"/>
  <c r="GL233" i="1"/>
  <c r="GN233" i="1"/>
  <c r="GO233" i="1"/>
  <c r="GP233" i="1"/>
  <c r="GV233" i="1"/>
  <c r="HC233" i="1"/>
  <c r="GX233" i="1" s="1"/>
  <c r="R234" i="1"/>
  <c r="S234" i="1"/>
  <c r="CY234" i="1" s="1"/>
  <c r="X234" i="1" s="1"/>
  <c r="AC234" i="1"/>
  <c r="AB234" i="1" s="1"/>
  <c r="AE234" i="1"/>
  <c r="AD234" i="1" s="1"/>
  <c r="AF234" i="1"/>
  <c r="AG234" i="1"/>
  <c r="CU234" i="1" s="1"/>
  <c r="T234" i="1" s="1"/>
  <c r="AH234" i="1"/>
  <c r="AI234" i="1"/>
  <c r="AJ234" i="1"/>
  <c r="CR234" i="1"/>
  <c r="CS234" i="1"/>
  <c r="CT234" i="1"/>
  <c r="CV234" i="1"/>
  <c r="U234" i="1" s="1"/>
  <c r="CW234" i="1"/>
  <c r="V234" i="1" s="1"/>
  <c r="CX234" i="1"/>
  <c r="W234" i="1" s="1"/>
  <c r="GL234" i="1"/>
  <c r="GN234" i="1"/>
  <c r="GO234" i="1"/>
  <c r="GP234" i="1"/>
  <c r="GV234" i="1"/>
  <c r="HC234" i="1"/>
  <c r="GX234" i="1" s="1"/>
  <c r="C235" i="1"/>
  <c r="D235" i="1"/>
  <c r="I235" i="1"/>
  <c r="K235" i="1"/>
  <c r="R235" i="1"/>
  <c r="S235" i="1"/>
  <c r="CY235" i="1" s="1"/>
  <c r="X235" i="1" s="1"/>
  <c r="AC235" i="1"/>
  <c r="AE235" i="1"/>
  <c r="AD235" i="1" s="1"/>
  <c r="AF235" i="1"/>
  <c r="AG235" i="1"/>
  <c r="CU235" i="1" s="1"/>
  <c r="T235" i="1" s="1"/>
  <c r="AH235" i="1"/>
  <c r="AI235" i="1"/>
  <c r="AJ235" i="1"/>
  <c r="CR235" i="1"/>
  <c r="CS235" i="1"/>
  <c r="CT235" i="1"/>
  <c r="CV235" i="1"/>
  <c r="U235" i="1" s="1"/>
  <c r="CW235" i="1"/>
  <c r="V235" i="1" s="1"/>
  <c r="CX235" i="1"/>
  <c r="W235" i="1" s="1"/>
  <c r="GL235" i="1"/>
  <c r="GN235" i="1"/>
  <c r="GP235" i="1"/>
  <c r="GV235" i="1"/>
  <c r="HC235" i="1" s="1"/>
  <c r="GX235" i="1" s="1"/>
  <c r="C236" i="1"/>
  <c r="D236" i="1"/>
  <c r="I236" i="1"/>
  <c r="K236" i="1"/>
  <c r="P236" i="1"/>
  <c r="CP236" i="1" s="1"/>
  <c r="O236" i="1" s="1"/>
  <c r="R236" i="1"/>
  <c r="S236" i="1"/>
  <c r="CZ236" i="1" s="1"/>
  <c r="Y236" i="1" s="1"/>
  <c r="AC236" i="1"/>
  <c r="AB236" i="1" s="1"/>
  <c r="AD236" i="1"/>
  <c r="AE236" i="1"/>
  <c r="Q236" i="1" s="1"/>
  <c r="AF236" i="1"/>
  <c r="AG236" i="1"/>
  <c r="AH236" i="1"/>
  <c r="CV236" i="1" s="1"/>
  <c r="U236" i="1" s="1"/>
  <c r="AI236" i="1"/>
  <c r="AJ236" i="1"/>
  <c r="CQ236" i="1"/>
  <c r="CR236" i="1"/>
  <c r="CS236" i="1"/>
  <c r="CT236" i="1"/>
  <c r="CU236" i="1"/>
  <c r="T236" i="1" s="1"/>
  <c r="CW236" i="1"/>
  <c r="V236" i="1" s="1"/>
  <c r="CX236" i="1"/>
  <c r="W236" i="1" s="1"/>
  <c r="CY236" i="1"/>
  <c r="X236" i="1" s="1"/>
  <c r="GL236" i="1"/>
  <c r="GN236" i="1"/>
  <c r="GP236" i="1"/>
  <c r="GV236" i="1"/>
  <c r="HC236" i="1" s="1"/>
  <c r="GX236" i="1" s="1"/>
  <c r="I237" i="1"/>
  <c r="Q237" i="1" s="1"/>
  <c r="P237" i="1"/>
  <c r="CP237" i="1" s="1"/>
  <c r="O237" i="1" s="1"/>
  <c r="R237" i="1"/>
  <c r="S237" i="1"/>
  <c r="CZ237" i="1" s="1"/>
  <c r="Y237" i="1" s="1"/>
  <c r="AC237" i="1"/>
  <c r="AB237" i="1" s="1"/>
  <c r="AD237" i="1"/>
  <c r="AE237" i="1"/>
  <c r="AF237" i="1"/>
  <c r="AG237" i="1"/>
  <c r="AH237" i="1"/>
  <c r="CV237" i="1" s="1"/>
  <c r="U237" i="1" s="1"/>
  <c r="AI237" i="1"/>
  <c r="AJ237" i="1"/>
  <c r="CQ237" i="1"/>
  <c r="CR237" i="1"/>
  <c r="CS237" i="1"/>
  <c r="CT237" i="1"/>
  <c r="CU237" i="1"/>
  <c r="T237" i="1" s="1"/>
  <c r="CW237" i="1"/>
  <c r="V237" i="1" s="1"/>
  <c r="CX237" i="1"/>
  <c r="W237" i="1" s="1"/>
  <c r="CY237" i="1"/>
  <c r="X237" i="1" s="1"/>
  <c r="GL237" i="1"/>
  <c r="GN237" i="1"/>
  <c r="GP237" i="1"/>
  <c r="GV237" i="1"/>
  <c r="HC237" i="1" s="1"/>
  <c r="GX237" i="1" s="1"/>
  <c r="I238" i="1"/>
  <c r="Q238" i="1" s="1"/>
  <c r="P238" i="1"/>
  <c r="CP238" i="1" s="1"/>
  <c r="O238" i="1" s="1"/>
  <c r="R238" i="1"/>
  <c r="S238" i="1"/>
  <c r="CZ238" i="1" s="1"/>
  <c r="Y238" i="1" s="1"/>
  <c r="AC238" i="1"/>
  <c r="AB238" i="1" s="1"/>
  <c r="AD238" i="1"/>
  <c r="AE238" i="1"/>
  <c r="AF238" i="1"/>
  <c r="AG238" i="1"/>
  <c r="AH238" i="1"/>
  <c r="CV238" i="1" s="1"/>
  <c r="U238" i="1" s="1"/>
  <c r="AI238" i="1"/>
  <c r="AJ238" i="1"/>
  <c r="CQ238" i="1"/>
  <c r="CR238" i="1"/>
  <c r="CS238" i="1"/>
  <c r="CT238" i="1"/>
  <c r="CU238" i="1"/>
  <c r="T238" i="1" s="1"/>
  <c r="CW238" i="1"/>
  <c r="V238" i="1" s="1"/>
  <c r="CX238" i="1"/>
  <c r="W238" i="1" s="1"/>
  <c r="CY238" i="1"/>
  <c r="X238" i="1" s="1"/>
  <c r="GL238" i="1"/>
  <c r="GN238" i="1"/>
  <c r="GP238" i="1"/>
  <c r="GV238" i="1"/>
  <c r="HC238" i="1" s="1"/>
  <c r="GX238" i="1" s="1"/>
  <c r="C239" i="1"/>
  <c r="D239" i="1"/>
  <c r="I239" i="1"/>
  <c r="S239" i="1" s="1"/>
  <c r="K239" i="1"/>
  <c r="AC239" i="1"/>
  <c r="P239" i="1" s="1"/>
  <c r="AE239" i="1"/>
  <c r="AD239" i="1" s="1"/>
  <c r="AF239" i="1"/>
  <c r="AG239" i="1"/>
  <c r="AH239" i="1"/>
  <c r="AI239" i="1"/>
  <c r="CW239" i="1" s="1"/>
  <c r="V239" i="1" s="1"/>
  <c r="AJ239" i="1"/>
  <c r="CQ239" i="1"/>
  <c r="CR239" i="1"/>
  <c r="CT239" i="1"/>
  <c r="CU239" i="1"/>
  <c r="T239" i="1" s="1"/>
  <c r="CV239" i="1"/>
  <c r="U239" i="1" s="1"/>
  <c r="CX239" i="1"/>
  <c r="W239" i="1" s="1"/>
  <c r="GL239" i="1"/>
  <c r="GN239" i="1"/>
  <c r="GP239" i="1"/>
  <c r="GV239" i="1"/>
  <c r="HC239" i="1"/>
  <c r="GX239" i="1" s="1"/>
  <c r="C240" i="1"/>
  <c r="D240" i="1"/>
  <c r="I240" i="1"/>
  <c r="P240" i="1" s="1"/>
  <c r="K240" i="1"/>
  <c r="R240" i="1"/>
  <c r="AC240" i="1"/>
  <c r="AE240" i="1"/>
  <c r="Q240" i="1" s="1"/>
  <c r="AF240" i="1"/>
  <c r="S240" i="1" s="1"/>
  <c r="AG240" i="1"/>
  <c r="AH240" i="1"/>
  <c r="AI240" i="1"/>
  <c r="AJ240" i="1"/>
  <c r="CX240" i="1" s="1"/>
  <c r="W240" i="1" s="1"/>
  <c r="CQ240" i="1"/>
  <c r="CR240" i="1"/>
  <c r="CS240" i="1"/>
  <c r="CU240" i="1"/>
  <c r="T240" i="1" s="1"/>
  <c r="CV240" i="1"/>
  <c r="U240" i="1" s="1"/>
  <c r="CW240" i="1"/>
  <c r="V240" i="1" s="1"/>
  <c r="GL240" i="1"/>
  <c r="FR248" i="1" s="1"/>
  <c r="GN240" i="1"/>
  <c r="GP240" i="1"/>
  <c r="GV240" i="1"/>
  <c r="HC240" i="1"/>
  <c r="GX240" i="1" s="1"/>
  <c r="I241" i="1"/>
  <c r="Q241" i="1" s="1"/>
  <c r="R241" i="1"/>
  <c r="AC241" i="1"/>
  <c r="AE241" i="1"/>
  <c r="AD241" i="1" s="1"/>
  <c r="AB241" i="1" s="1"/>
  <c r="AF241" i="1"/>
  <c r="S241" i="1" s="1"/>
  <c r="AG241" i="1"/>
  <c r="AH241" i="1"/>
  <c r="AI241" i="1"/>
  <c r="AJ241" i="1"/>
  <c r="CX241" i="1" s="1"/>
  <c r="W241" i="1" s="1"/>
  <c r="CQ241" i="1"/>
  <c r="CR241" i="1"/>
  <c r="CS241" i="1"/>
  <c r="CU241" i="1"/>
  <c r="T241" i="1" s="1"/>
  <c r="CV241" i="1"/>
  <c r="U241" i="1" s="1"/>
  <c r="CW241" i="1"/>
  <c r="V241" i="1" s="1"/>
  <c r="GL241" i="1"/>
  <c r="GN241" i="1"/>
  <c r="GP241" i="1"/>
  <c r="GV241" i="1"/>
  <c r="HC241" i="1"/>
  <c r="GX241" i="1" s="1"/>
  <c r="I242" i="1"/>
  <c r="Q242" i="1" s="1"/>
  <c r="R242" i="1"/>
  <c r="V242" i="1"/>
  <c r="AC242" i="1"/>
  <c r="AE242" i="1"/>
  <c r="AD242" i="1" s="1"/>
  <c r="AF242" i="1"/>
  <c r="AG242" i="1"/>
  <c r="AH242" i="1"/>
  <c r="AI242" i="1"/>
  <c r="AJ242" i="1"/>
  <c r="CX242" i="1" s="1"/>
  <c r="W242" i="1" s="1"/>
  <c r="CQ242" i="1"/>
  <c r="CR242" i="1"/>
  <c r="CS242" i="1"/>
  <c r="CU242" i="1"/>
  <c r="T242" i="1" s="1"/>
  <c r="CV242" i="1"/>
  <c r="U242" i="1" s="1"/>
  <c r="CW242" i="1"/>
  <c r="GL242" i="1"/>
  <c r="GN242" i="1"/>
  <c r="GP242" i="1"/>
  <c r="GV242" i="1"/>
  <c r="HC242" i="1"/>
  <c r="GX242" i="1" s="1"/>
  <c r="C243" i="1"/>
  <c r="D243" i="1"/>
  <c r="I243" i="1"/>
  <c r="K243" i="1"/>
  <c r="R243" i="1"/>
  <c r="S243" i="1"/>
  <c r="AC243" i="1"/>
  <c r="AE243" i="1"/>
  <c r="AD243" i="1" s="1"/>
  <c r="AF243" i="1"/>
  <c r="AG243" i="1"/>
  <c r="CU243" i="1" s="1"/>
  <c r="T243" i="1" s="1"/>
  <c r="AH243" i="1"/>
  <c r="AI243" i="1"/>
  <c r="AJ243" i="1"/>
  <c r="CR243" i="1"/>
  <c r="CS243" i="1"/>
  <c r="CT243" i="1"/>
  <c r="CV243" i="1"/>
  <c r="U243" i="1" s="1"/>
  <c r="CW243" i="1"/>
  <c r="V243" i="1" s="1"/>
  <c r="CX243" i="1"/>
  <c r="W243" i="1" s="1"/>
  <c r="GL243" i="1"/>
  <c r="GN243" i="1"/>
  <c r="GP243" i="1"/>
  <c r="GV243" i="1"/>
  <c r="HC243" i="1" s="1"/>
  <c r="GX243" i="1" s="1"/>
  <c r="C244" i="1"/>
  <c r="D244" i="1"/>
  <c r="I244" i="1"/>
  <c r="K244" i="1"/>
  <c r="P244" i="1"/>
  <c r="R244" i="1"/>
  <c r="S244" i="1"/>
  <c r="CZ244" i="1" s="1"/>
  <c r="Y244" i="1" s="1"/>
  <c r="AC244" i="1"/>
  <c r="AB244" i="1" s="1"/>
  <c r="AD244" i="1"/>
  <c r="AE244" i="1"/>
  <c r="Q244" i="1" s="1"/>
  <c r="AF244" i="1"/>
  <c r="AG244" i="1"/>
  <c r="AH244" i="1"/>
  <c r="CV244" i="1" s="1"/>
  <c r="U244" i="1" s="1"/>
  <c r="AI244" i="1"/>
  <c r="AJ244" i="1"/>
  <c r="CQ244" i="1"/>
  <c r="CR244" i="1"/>
  <c r="CS244" i="1"/>
  <c r="CT244" i="1"/>
  <c r="CU244" i="1"/>
  <c r="T244" i="1" s="1"/>
  <c r="CW244" i="1"/>
  <c r="V244" i="1" s="1"/>
  <c r="CX244" i="1"/>
  <c r="W244" i="1" s="1"/>
  <c r="CY244" i="1"/>
  <c r="X244" i="1" s="1"/>
  <c r="GL244" i="1"/>
  <c r="GN244" i="1"/>
  <c r="FT248" i="1" s="1"/>
  <c r="GP244" i="1"/>
  <c r="GV244" i="1"/>
  <c r="HC244" i="1" s="1"/>
  <c r="GX244" i="1"/>
  <c r="I245" i="1"/>
  <c r="Q245" i="1" s="1"/>
  <c r="P245" i="1"/>
  <c r="R245" i="1"/>
  <c r="S245" i="1"/>
  <c r="CZ245" i="1" s="1"/>
  <c r="Y245" i="1" s="1"/>
  <c r="T245" i="1"/>
  <c r="AC245" i="1"/>
  <c r="AD245" i="1"/>
  <c r="AE245" i="1"/>
  <c r="AF245" i="1"/>
  <c r="AG245" i="1"/>
  <c r="AH245" i="1"/>
  <c r="CV245" i="1" s="1"/>
  <c r="U245" i="1" s="1"/>
  <c r="AI245" i="1"/>
  <c r="AJ245" i="1"/>
  <c r="CQ245" i="1"/>
  <c r="CR245" i="1"/>
  <c r="CS245" i="1"/>
  <c r="CT245" i="1"/>
  <c r="CU245" i="1"/>
  <c r="CW245" i="1"/>
  <c r="V245" i="1" s="1"/>
  <c r="CX245" i="1"/>
  <c r="W245" i="1" s="1"/>
  <c r="CY245" i="1"/>
  <c r="X245" i="1" s="1"/>
  <c r="GL245" i="1"/>
  <c r="GN245" i="1"/>
  <c r="GP245" i="1"/>
  <c r="GV245" i="1"/>
  <c r="HC245" i="1" s="1"/>
  <c r="GX245" i="1" s="1"/>
  <c r="I246" i="1"/>
  <c r="Q246" i="1" s="1"/>
  <c r="P246" i="1"/>
  <c r="R246" i="1"/>
  <c r="S246" i="1"/>
  <c r="CZ246" i="1" s="1"/>
  <c r="Y246" i="1" s="1"/>
  <c r="T246" i="1"/>
  <c r="AC246" i="1"/>
  <c r="AB246" i="1" s="1"/>
  <c r="AD246" i="1"/>
  <c r="AE246" i="1"/>
  <c r="AF246" i="1"/>
  <c r="AG246" i="1"/>
  <c r="AH246" i="1"/>
  <c r="CV246" i="1" s="1"/>
  <c r="U246" i="1" s="1"/>
  <c r="AI246" i="1"/>
  <c r="AJ246" i="1"/>
  <c r="CQ246" i="1"/>
  <c r="CR246" i="1"/>
  <c r="CS246" i="1"/>
  <c r="CT246" i="1"/>
  <c r="CU246" i="1"/>
  <c r="CW246" i="1"/>
  <c r="V246" i="1" s="1"/>
  <c r="CX246" i="1"/>
  <c r="W246" i="1" s="1"/>
  <c r="CY246" i="1"/>
  <c r="X246" i="1" s="1"/>
  <c r="GL246" i="1"/>
  <c r="GN246" i="1"/>
  <c r="GP246" i="1"/>
  <c r="GV246" i="1"/>
  <c r="HC246" i="1" s="1"/>
  <c r="GX246" i="1" s="1"/>
  <c r="B248" i="1"/>
  <c r="B195" i="1" s="1"/>
  <c r="C248" i="1"/>
  <c r="C195" i="1" s="1"/>
  <c r="D248" i="1"/>
  <c r="D195" i="1" s="1"/>
  <c r="F248" i="1"/>
  <c r="F195" i="1" s="1"/>
  <c r="G248" i="1"/>
  <c r="G195" i="1" s="1"/>
  <c r="BD248" i="1"/>
  <c r="BD195" i="1" s="1"/>
  <c r="BX248" i="1"/>
  <c r="BX195" i="1" s="1"/>
  <c r="BZ248" i="1"/>
  <c r="AQ248" i="1" s="1"/>
  <c r="AQ195" i="1" s="1"/>
  <c r="CD248" i="1"/>
  <c r="CG248" i="1"/>
  <c r="CK248" i="1"/>
  <c r="CK195" i="1" s="1"/>
  <c r="CL248" i="1"/>
  <c r="CM248" i="1"/>
  <c r="CM195" i="1" s="1"/>
  <c r="EG248" i="1"/>
  <c r="FP248" i="1"/>
  <c r="GC248" i="1"/>
  <c r="GC195" i="1" s="1"/>
  <c r="GD248" i="1"/>
  <c r="GD195" i="1" s="1"/>
  <c r="GE248" i="1"/>
  <c r="F258" i="1"/>
  <c r="F273" i="1"/>
  <c r="D278" i="1"/>
  <c r="C280" i="1"/>
  <c r="E280" i="1"/>
  <c r="G280" i="1"/>
  <c r="Z280" i="1"/>
  <c r="AA280" i="1"/>
  <c r="AM280" i="1"/>
  <c r="AN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CL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R280" i="1"/>
  <c r="DS280" i="1"/>
  <c r="EE280" i="1"/>
  <c r="EF280" i="1"/>
  <c r="EW280" i="1"/>
  <c r="EX280" i="1"/>
  <c r="EY280" i="1"/>
  <c r="EZ280" i="1"/>
  <c r="FA280" i="1"/>
  <c r="FB280" i="1"/>
  <c r="FC280" i="1"/>
  <c r="FD280" i="1"/>
  <c r="FE280" i="1"/>
  <c r="FF280" i="1"/>
  <c r="FG280" i="1"/>
  <c r="FH280" i="1"/>
  <c r="FI280" i="1"/>
  <c r="FJ280" i="1"/>
  <c r="FK280" i="1"/>
  <c r="FL280" i="1"/>
  <c r="FM280" i="1"/>
  <c r="FN280" i="1"/>
  <c r="FO280" i="1"/>
  <c r="GD280" i="1"/>
  <c r="GF280" i="1"/>
  <c r="GG280" i="1"/>
  <c r="GH280" i="1"/>
  <c r="GI280" i="1"/>
  <c r="GJ280" i="1"/>
  <c r="GK280" i="1"/>
  <c r="GL280" i="1"/>
  <c r="GM280" i="1"/>
  <c r="GN280" i="1"/>
  <c r="GO280" i="1"/>
  <c r="GP280" i="1"/>
  <c r="GQ280" i="1"/>
  <c r="GR280" i="1"/>
  <c r="GS280" i="1"/>
  <c r="GT280" i="1"/>
  <c r="GU280" i="1"/>
  <c r="GV280" i="1"/>
  <c r="GW280" i="1"/>
  <c r="GX280" i="1"/>
  <c r="C282" i="1"/>
  <c r="D282" i="1"/>
  <c r="I282" i="1"/>
  <c r="K282" i="1"/>
  <c r="R282" i="1"/>
  <c r="AC282" i="1"/>
  <c r="P282" i="1" s="1"/>
  <c r="AD282" i="1"/>
  <c r="AE282" i="1"/>
  <c r="Q282" i="1" s="1"/>
  <c r="AF282" i="1"/>
  <c r="AG282" i="1"/>
  <c r="CU282" i="1" s="1"/>
  <c r="T282" i="1" s="1"/>
  <c r="AH282" i="1"/>
  <c r="CV282" i="1" s="1"/>
  <c r="U282" i="1" s="1"/>
  <c r="AI282" i="1"/>
  <c r="AJ282" i="1"/>
  <c r="CX282" i="1" s="1"/>
  <c r="W282" i="1" s="1"/>
  <c r="CR282" i="1"/>
  <c r="CS282" i="1"/>
  <c r="CW282" i="1"/>
  <c r="V282" i="1" s="1"/>
  <c r="GL282" i="1"/>
  <c r="GN282" i="1"/>
  <c r="GP282" i="1"/>
  <c r="GV282" i="1"/>
  <c r="HC282" i="1" s="1"/>
  <c r="GX282" i="1" s="1"/>
  <c r="C283" i="1"/>
  <c r="D283" i="1"/>
  <c r="I283" i="1"/>
  <c r="I285" i="1" s="1"/>
  <c r="Q285" i="1" s="1"/>
  <c r="K283" i="1"/>
  <c r="S283" i="1"/>
  <c r="AC283" i="1"/>
  <c r="AD283" i="1"/>
  <c r="AE283" i="1"/>
  <c r="Q283" i="1" s="1"/>
  <c r="AF283" i="1"/>
  <c r="AG283" i="1"/>
  <c r="CU283" i="1" s="1"/>
  <c r="T283" i="1" s="1"/>
  <c r="AH283" i="1"/>
  <c r="CV283" i="1" s="1"/>
  <c r="U283" i="1" s="1"/>
  <c r="AI283" i="1"/>
  <c r="CW283" i="1" s="1"/>
  <c r="V283" i="1" s="1"/>
  <c r="AJ283" i="1"/>
  <c r="CR283" i="1"/>
  <c r="CT283" i="1"/>
  <c r="CX283" i="1"/>
  <c r="W283" i="1" s="1"/>
  <c r="GL283" i="1"/>
  <c r="GN283" i="1"/>
  <c r="GP283" i="1"/>
  <c r="GV283" i="1"/>
  <c r="HC283" i="1" s="1"/>
  <c r="GX283" i="1" s="1"/>
  <c r="I284" i="1"/>
  <c r="S284" i="1"/>
  <c r="AC284" i="1"/>
  <c r="AD284" i="1"/>
  <c r="AE284" i="1"/>
  <c r="Q284" i="1" s="1"/>
  <c r="AF284" i="1"/>
  <c r="AG284" i="1"/>
  <c r="CU284" i="1" s="1"/>
  <c r="T284" i="1" s="1"/>
  <c r="AH284" i="1"/>
  <c r="CV284" i="1" s="1"/>
  <c r="U284" i="1" s="1"/>
  <c r="AI284" i="1"/>
  <c r="CW284" i="1" s="1"/>
  <c r="V284" i="1" s="1"/>
  <c r="AJ284" i="1"/>
  <c r="CR284" i="1"/>
  <c r="CT284" i="1"/>
  <c r="CX284" i="1"/>
  <c r="W284" i="1" s="1"/>
  <c r="GL284" i="1"/>
  <c r="GN284" i="1"/>
  <c r="GP284" i="1"/>
  <c r="GV284" i="1"/>
  <c r="HC284" i="1" s="1"/>
  <c r="GX284" i="1" s="1"/>
  <c r="AC285" i="1"/>
  <c r="AD285" i="1"/>
  <c r="AE285" i="1"/>
  <c r="AF285" i="1"/>
  <c r="AG285" i="1"/>
  <c r="CU285" i="1" s="1"/>
  <c r="AH285" i="1"/>
  <c r="CV285" i="1" s="1"/>
  <c r="AI285" i="1"/>
  <c r="CW285" i="1" s="1"/>
  <c r="AJ285" i="1"/>
  <c r="CR285" i="1"/>
  <c r="CT285" i="1"/>
  <c r="CX285" i="1"/>
  <c r="GL285" i="1"/>
  <c r="GN285" i="1"/>
  <c r="GP285" i="1"/>
  <c r="GV285" i="1"/>
  <c r="HC285" i="1" s="1"/>
  <c r="P286" i="1"/>
  <c r="AC286" i="1"/>
  <c r="AD286" i="1"/>
  <c r="AB286" i="1" s="1"/>
  <c r="AE286" i="1"/>
  <c r="R286" i="1" s="1"/>
  <c r="AF286" i="1"/>
  <c r="S286" i="1" s="1"/>
  <c r="CZ286" i="1" s="1"/>
  <c r="Y286" i="1" s="1"/>
  <c r="AG286" i="1"/>
  <c r="AH286" i="1"/>
  <c r="CV286" i="1" s="1"/>
  <c r="U286" i="1" s="1"/>
  <c r="AI286" i="1"/>
  <c r="CW286" i="1" s="1"/>
  <c r="V286" i="1" s="1"/>
  <c r="AJ286" i="1"/>
  <c r="CX286" i="1" s="1"/>
  <c r="W286" i="1" s="1"/>
  <c r="CQ286" i="1"/>
  <c r="CR286" i="1"/>
  <c r="CU286" i="1"/>
  <c r="T286" i="1" s="1"/>
  <c r="CY286" i="1"/>
  <c r="X286" i="1" s="1"/>
  <c r="GL286" i="1"/>
  <c r="GN286" i="1"/>
  <c r="GO286" i="1"/>
  <c r="GP286" i="1"/>
  <c r="GV286" i="1"/>
  <c r="HC286" i="1" s="1"/>
  <c r="GX286" i="1" s="1"/>
  <c r="P287" i="1"/>
  <c r="T287" i="1"/>
  <c r="AC287" i="1"/>
  <c r="AD287" i="1"/>
  <c r="AB287" i="1" s="1"/>
  <c r="AE287" i="1"/>
  <c r="R287" i="1" s="1"/>
  <c r="CY287" i="1" s="1"/>
  <c r="X287" i="1" s="1"/>
  <c r="AF287" i="1"/>
  <c r="S287" i="1" s="1"/>
  <c r="AG287" i="1"/>
  <c r="AH287" i="1"/>
  <c r="CV287" i="1" s="1"/>
  <c r="U287" i="1" s="1"/>
  <c r="AI287" i="1"/>
  <c r="CW287" i="1" s="1"/>
  <c r="V287" i="1" s="1"/>
  <c r="AJ287" i="1"/>
  <c r="CX287" i="1" s="1"/>
  <c r="W287" i="1" s="1"/>
  <c r="CQ287" i="1"/>
  <c r="CR287" i="1"/>
  <c r="CU287" i="1"/>
  <c r="GL287" i="1"/>
  <c r="GN287" i="1"/>
  <c r="GO287" i="1"/>
  <c r="GP287" i="1"/>
  <c r="GV287" i="1"/>
  <c r="HC287" i="1" s="1"/>
  <c r="GX287" i="1" s="1"/>
  <c r="P288" i="1"/>
  <c r="AC288" i="1"/>
  <c r="AD288" i="1"/>
  <c r="AB288" i="1" s="1"/>
  <c r="AE288" i="1"/>
  <c r="R288" i="1" s="1"/>
  <c r="AF288" i="1"/>
  <c r="S288" i="1" s="1"/>
  <c r="CZ288" i="1" s="1"/>
  <c r="Y288" i="1" s="1"/>
  <c r="AG288" i="1"/>
  <c r="AH288" i="1"/>
  <c r="CV288" i="1" s="1"/>
  <c r="U288" i="1" s="1"/>
  <c r="AI288" i="1"/>
  <c r="CW288" i="1" s="1"/>
  <c r="V288" i="1" s="1"/>
  <c r="AJ288" i="1"/>
  <c r="CX288" i="1" s="1"/>
  <c r="W288" i="1" s="1"/>
  <c r="CQ288" i="1"/>
  <c r="CR288" i="1"/>
  <c r="CU288" i="1"/>
  <c r="T288" i="1" s="1"/>
  <c r="CY288" i="1"/>
  <c r="X288" i="1" s="1"/>
  <c r="GL288" i="1"/>
  <c r="GN288" i="1"/>
  <c r="GO288" i="1"/>
  <c r="GP288" i="1"/>
  <c r="GV288" i="1"/>
  <c r="HC288" i="1" s="1"/>
  <c r="GX288" i="1" s="1"/>
  <c r="P289" i="1"/>
  <c r="AC289" i="1"/>
  <c r="AD289" i="1"/>
  <c r="AB289" i="1" s="1"/>
  <c r="AE289" i="1"/>
  <c r="R289" i="1" s="1"/>
  <c r="AF289" i="1"/>
  <c r="S289" i="1" s="1"/>
  <c r="CZ289" i="1" s="1"/>
  <c r="Y289" i="1" s="1"/>
  <c r="AG289" i="1"/>
  <c r="AH289" i="1"/>
  <c r="AI289" i="1"/>
  <c r="CW289" i="1" s="1"/>
  <c r="V289" i="1" s="1"/>
  <c r="AJ289" i="1"/>
  <c r="CX289" i="1" s="1"/>
  <c r="W289" i="1" s="1"/>
  <c r="CQ289" i="1"/>
  <c r="CR289" i="1"/>
  <c r="CU289" i="1"/>
  <c r="T289" i="1" s="1"/>
  <c r="CV289" i="1"/>
  <c r="U289" i="1" s="1"/>
  <c r="CY289" i="1"/>
  <c r="X289" i="1" s="1"/>
  <c r="GL289" i="1"/>
  <c r="GN289" i="1"/>
  <c r="GO289" i="1"/>
  <c r="GP289" i="1"/>
  <c r="GV289" i="1"/>
  <c r="HC289" i="1" s="1"/>
  <c r="GX289" i="1" s="1"/>
  <c r="P290" i="1"/>
  <c r="Q290" i="1"/>
  <c r="T290" i="1"/>
  <c r="AC290" i="1"/>
  <c r="AD290" i="1"/>
  <c r="AB290" i="1" s="1"/>
  <c r="AE290" i="1"/>
  <c r="AF290" i="1"/>
  <c r="S290" i="1" s="1"/>
  <c r="AG290" i="1"/>
  <c r="AH290" i="1"/>
  <c r="CV290" i="1" s="1"/>
  <c r="U290" i="1" s="1"/>
  <c r="AI290" i="1"/>
  <c r="CW290" i="1" s="1"/>
  <c r="V290" i="1" s="1"/>
  <c r="AJ290" i="1"/>
  <c r="CX290" i="1" s="1"/>
  <c r="W290" i="1" s="1"/>
  <c r="CQ290" i="1"/>
  <c r="CR290" i="1"/>
  <c r="CU290" i="1"/>
  <c r="GL290" i="1"/>
  <c r="GN290" i="1"/>
  <c r="GO290" i="1"/>
  <c r="GP290" i="1"/>
  <c r="GV290" i="1"/>
  <c r="HC290" i="1" s="1"/>
  <c r="GX290" i="1"/>
  <c r="P291" i="1"/>
  <c r="AC291" i="1"/>
  <c r="AD291" i="1"/>
  <c r="AB291" i="1" s="1"/>
  <c r="AE291" i="1"/>
  <c r="AF291" i="1"/>
  <c r="S291" i="1" s="1"/>
  <c r="AG291" i="1"/>
  <c r="AH291" i="1"/>
  <c r="CV291" i="1" s="1"/>
  <c r="U291" i="1" s="1"/>
  <c r="AI291" i="1"/>
  <c r="CW291" i="1" s="1"/>
  <c r="V291" i="1" s="1"/>
  <c r="AJ291" i="1"/>
  <c r="CX291" i="1" s="1"/>
  <c r="W291" i="1" s="1"/>
  <c r="CQ291" i="1"/>
  <c r="CR291" i="1"/>
  <c r="CU291" i="1"/>
  <c r="T291" i="1" s="1"/>
  <c r="GL291" i="1"/>
  <c r="GN291" i="1"/>
  <c r="GO291" i="1"/>
  <c r="GP291" i="1"/>
  <c r="GV291" i="1"/>
  <c r="HC291" i="1" s="1"/>
  <c r="GX291" i="1"/>
  <c r="C292" i="1"/>
  <c r="D292" i="1"/>
  <c r="I292" i="1"/>
  <c r="K292" i="1"/>
  <c r="P292" i="1"/>
  <c r="AC292" i="1"/>
  <c r="AE292" i="1"/>
  <c r="AF292" i="1"/>
  <c r="S292" i="1" s="1"/>
  <c r="AG292" i="1"/>
  <c r="AH292" i="1"/>
  <c r="AI292" i="1"/>
  <c r="CW292" i="1" s="1"/>
  <c r="V292" i="1" s="1"/>
  <c r="AJ292" i="1"/>
  <c r="CX292" i="1" s="1"/>
  <c r="W292" i="1" s="1"/>
  <c r="CQ292" i="1"/>
  <c r="CU292" i="1"/>
  <c r="T292" i="1" s="1"/>
  <c r="CV292" i="1"/>
  <c r="U292" i="1" s="1"/>
  <c r="GL292" i="1"/>
  <c r="GN292" i="1"/>
  <c r="GP292" i="1"/>
  <c r="GV292" i="1"/>
  <c r="GX292" i="1"/>
  <c r="HC292" i="1"/>
  <c r="C293" i="1"/>
  <c r="D293" i="1"/>
  <c r="I293" i="1"/>
  <c r="K293" i="1"/>
  <c r="AB293" i="1"/>
  <c r="AC293" i="1"/>
  <c r="AE293" i="1"/>
  <c r="AD293" i="1" s="1"/>
  <c r="AF293" i="1"/>
  <c r="AG293" i="1"/>
  <c r="CU293" i="1" s="1"/>
  <c r="AH293" i="1"/>
  <c r="AI293" i="1"/>
  <c r="AJ293" i="1"/>
  <c r="CX293" i="1" s="1"/>
  <c r="CR293" i="1"/>
  <c r="CS293" i="1"/>
  <c r="CV293" i="1"/>
  <c r="CW293" i="1"/>
  <c r="GL293" i="1"/>
  <c r="GN293" i="1"/>
  <c r="GP293" i="1"/>
  <c r="GV293" i="1"/>
  <c r="HC293" i="1"/>
  <c r="R294" i="1"/>
  <c r="AC294" i="1"/>
  <c r="AD294" i="1"/>
  <c r="AE294" i="1"/>
  <c r="Q294" i="1" s="1"/>
  <c r="AF294" i="1"/>
  <c r="S294" i="1" s="1"/>
  <c r="AG294" i="1"/>
  <c r="CU294" i="1" s="1"/>
  <c r="T294" i="1" s="1"/>
  <c r="AH294" i="1"/>
  <c r="CV294" i="1" s="1"/>
  <c r="U294" i="1" s="1"/>
  <c r="AI294" i="1"/>
  <c r="AJ294" i="1"/>
  <c r="CX294" i="1" s="1"/>
  <c r="W294" i="1" s="1"/>
  <c r="CR294" i="1"/>
  <c r="CS294" i="1"/>
  <c r="CW294" i="1"/>
  <c r="V294" i="1" s="1"/>
  <c r="GL294" i="1"/>
  <c r="GN294" i="1"/>
  <c r="GO294" i="1"/>
  <c r="GP294" i="1"/>
  <c r="GV294" i="1"/>
  <c r="HC294" i="1"/>
  <c r="GX294" i="1" s="1"/>
  <c r="R295" i="1"/>
  <c r="S295" i="1"/>
  <c r="AC295" i="1"/>
  <c r="AD295" i="1"/>
  <c r="AE295" i="1"/>
  <c r="Q295" i="1" s="1"/>
  <c r="AF295" i="1"/>
  <c r="AG295" i="1"/>
  <c r="CU295" i="1" s="1"/>
  <c r="T295" i="1" s="1"/>
  <c r="AH295" i="1"/>
  <c r="CV295" i="1" s="1"/>
  <c r="U295" i="1" s="1"/>
  <c r="AI295" i="1"/>
  <c r="AJ295" i="1"/>
  <c r="CR295" i="1"/>
  <c r="CS295" i="1"/>
  <c r="CT295" i="1"/>
  <c r="CW295" i="1"/>
  <c r="V295" i="1" s="1"/>
  <c r="CX295" i="1"/>
  <c r="W295" i="1" s="1"/>
  <c r="GL295" i="1"/>
  <c r="GN295" i="1"/>
  <c r="GO295" i="1"/>
  <c r="GP295" i="1"/>
  <c r="GV295" i="1"/>
  <c r="HC295" i="1"/>
  <c r="GX295" i="1" s="1"/>
  <c r="R296" i="1"/>
  <c r="S296" i="1"/>
  <c r="V296" i="1"/>
  <c r="AC296" i="1"/>
  <c r="AD296" i="1"/>
  <c r="AE296" i="1"/>
  <c r="Q296" i="1" s="1"/>
  <c r="AF296" i="1"/>
  <c r="AG296" i="1"/>
  <c r="CU296" i="1" s="1"/>
  <c r="T296" i="1" s="1"/>
  <c r="AH296" i="1"/>
  <c r="CV296" i="1" s="1"/>
  <c r="U296" i="1" s="1"/>
  <c r="AI296" i="1"/>
  <c r="AJ296" i="1"/>
  <c r="CR296" i="1"/>
  <c r="CS296" i="1"/>
  <c r="CT296" i="1"/>
  <c r="CW296" i="1"/>
  <c r="CX296" i="1"/>
  <c r="W296" i="1" s="1"/>
  <c r="GL296" i="1"/>
  <c r="GN296" i="1"/>
  <c r="GO296" i="1"/>
  <c r="GP296" i="1"/>
  <c r="GV296" i="1"/>
  <c r="HC296" i="1"/>
  <c r="GX296" i="1" s="1"/>
  <c r="R297" i="1"/>
  <c r="V297" i="1"/>
  <c r="AC297" i="1"/>
  <c r="AD297" i="1"/>
  <c r="AE297" i="1"/>
  <c r="Q297" i="1" s="1"/>
  <c r="AF297" i="1"/>
  <c r="AG297" i="1"/>
  <c r="CU297" i="1" s="1"/>
  <c r="T297" i="1" s="1"/>
  <c r="AH297" i="1"/>
  <c r="CV297" i="1" s="1"/>
  <c r="U297" i="1" s="1"/>
  <c r="AI297" i="1"/>
  <c r="AJ297" i="1"/>
  <c r="CX297" i="1" s="1"/>
  <c r="W297" i="1" s="1"/>
  <c r="CR297" i="1"/>
  <c r="CS297" i="1"/>
  <c r="CW297" i="1"/>
  <c r="GL297" i="1"/>
  <c r="GN297" i="1"/>
  <c r="GO297" i="1"/>
  <c r="GP297" i="1"/>
  <c r="GV297" i="1"/>
  <c r="HC297" i="1"/>
  <c r="GX297" i="1" s="1"/>
  <c r="R298" i="1"/>
  <c r="S298" i="1"/>
  <c r="AC298" i="1"/>
  <c r="AD298" i="1"/>
  <c r="AE298" i="1"/>
  <c r="Q298" i="1" s="1"/>
  <c r="AF298" i="1"/>
  <c r="AG298" i="1"/>
  <c r="CU298" i="1" s="1"/>
  <c r="T298" i="1" s="1"/>
  <c r="AH298" i="1"/>
  <c r="CV298" i="1" s="1"/>
  <c r="U298" i="1" s="1"/>
  <c r="AI298" i="1"/>
  <c r="AJ298" i="1"/>
  <c r="CX298" i="1" s="1"/>
  <c r="W298" i="1" s="1"/>
  <c r="CR298" i="1"/>
  <c r="CS298" i="1"/>
  <c r="CT298" i="1"/>
  <c r="CW298" i="1"/>
  <c r="V298" i="1" s="1"/>
  <c r="GL298" i="1"/>
  <c r="GN298" i="1"/>
  <c r="GO298" i="1"/>
  <c r="GP298" i="1"/>
  <c r="GV298" i="1"/>
  <c r="HC298" i="1"/>
  <c r="GX298" i="1" s="1"/>
  <c r="R299" i="1"/>
  <c r="S299" i="1"/>
  <c r="V299" i="1"/>
  <c r="AC299" i="1"/>
  <c r="AD299" i="1"/>
  <c r="AE299" i="1"/>
  <c r="Q299" i="1" s="1"/>
  <c r="AF299" i="1"/>
  <c r="AG299" i="1"/>
  <c r="CU299" i="1" s="1"/>
  <c r="T299" i="1" s="1"/>
  <c r="AH299" i="1"/>
  <c r="CV299" i="1" s="1"/>
  <c r="U299" i="1" s="1"/>
  <c r="AI299" i="1"/>
  <c r="AJ299" i="1"/>
  <c r="CR299" i="1"/>
  <c r="CS299" i="1"/>
  <c r="CT299" i="1"/>
  <c r="CW299" i="1"/>
  <c r="CX299" i="1"/>
  <c r="W299" i="1" s="1"/>
  <c r="GL299" i="1"/>
  <c r="GN299" i="1"/>
  <c r="GO299" i="1"/>
  <c r="GP299" i="1"/>
  <c r="GV299" i="1"/>
  <c r="HC299" i="1"/>
  <c r="GX299" i="1" s="1"/>
  <c r="R300" i="1"/>
  <c r="S300" i="1"/>
  <c r="V300" i="1"/>
  <c r="AC300" i="1"/>
  <c r="AD300" i="1"/>
  <c r="AE300" i="1"/>
  <c r="Q300" i="1" s="1"/>
  <c r="AF300" i="1"/>
  <c r="AG300" i="1"/>
  <c r="CU300" i="1" s="1"/>
  <c r="T300" i="1" s="1"/>
  <c r="AH300" i="1"/>
  <c r="AI300" i="1"/>
  <c r="AJ300" i="1"/>
  <c r="CR300" i="1"/>
  <c r="CS300" i="1"/>
  <c r="CT300" i="1"/>
  <c r="CV300" i="1"/>
  <c r="U300" i="1" s="1"/>
  <c r="CW300" i="1"/>
  <c r="CX300" i="1"/>
  <c r="W300" i="1" s="1"/>
  <c r="GL300" i="1"/>
  <c r="GN300" i="1"/>
  <c r="GO300" i="1"/>
  <c r="GP300" i="1"/>
  <c r="GV300" i="1"/>
  <c r="HC300" i="1"/>
  <c r="GX300" i="1" s="1"/>
  <c r="R301" i="1"/>
  <c r="S301" i="1"/>
  <c r="AC301" i="1"/>
  <c r="AE301" i="1"/>
  <c r="AD301" i="1" s="1"/>
  <c r="AF301" i="1"/>
  <c r="AG301" i="1"/>
  <c r="CU301" i="1" s="1"/>
  <c r="T301" i="1" s="1"/>
  <c r="AH301" i="1"/>
  <c r="AI301" i="1"/>
  <c r="AJ301" i="1"/>
  <c r="CR301" i="1"/>
  <c r="CS301" i="1"/>
  <c r="CT301" i="1"/>
  <c r="CV301" i="1"/>
  <c r="U301" i="1" s="1"/>
  <c r="CW301" i="1"/>
  <c r="V301" i="1" s="1"/>
  <c r="CX301" i="1"/>
  <c r="W301" i="1" s="1"/>
  <c r="GL301" i="1"/>
  <c r="GN301" i="1"/>
  <c r="GO301" i="1"/>
  <c r="GP301" i="1"/>
  <c r="GV301" i="1"/>
  <c r="HC301" i="1"/>
  <c r="GX301" i="1" s="1"/>
  <c r="R302" i="1"/>
  <c r="V302" i="1"/>
  <c r="AB302" i="1"/>
  <c r="AC302" i="1"/>
  <c r="AE302" i="1"/>
  <c r="AD302" i="1" s="1"/>
  <c r="AF302" i="1"/>
  <c r="S302" i="1" s="1"/>
  <c r="AG302" i="1"/>
  <c r="CU302" i="1" s="1"/>
  <c r="T302" i="1" s="1"/>
  <c r="AH302" i="1"/>
  <c r="AI302" i="1"/>
  <c r="AJ302" i="1"/>
  <c r="CX302" i="1" s="1"/>
  <c r="W302" i="1" s="1"/>
  <c r="CR302" i="1"/>
  <c r="CS302" i="1"/>
  <c r="CT302" i="1"/>
  <c r="CV302" i="1"/>
  <c r="U302" i="1" s="1"/>
  <c r="CW302" i="1"/>
  <c r="GL302" i="1"/>
  <c r="GN302" i="1"/>
  <c r="GO302" i="1"/>
  <c r="GP302" i="1"/>
  <c r="GV302" i="1"/>
  <c r="HC302" i="1"/>
  <c r="GX302" i="1" s="1"/>
  <c r="R303" i="1"/>
  <c r="S303" i="1"/>
  <c r="AC303" i="1"/>
  <c r="AE303" i="1"/>
  <c r="AD303" i="1" s="1"/>
  <c r="AF303" i="1"/>
  <c r="AG303" i="1"/>
  <c r="CU303" i="1" s="1"/>
  <c r="T303" i="1" s="1"/>
  <c r="AH303" i="1"/>
  <c r="AI303" i="1"/>
  <c r="AJ303" i="1"/>
  <c r="CX303" i="1" s="1"/>
  <c r="W303" i="1" s="1"/>
  <c r="CR303" i="1"/>
  <c r="CS303" i="1"/>
  <c r="CT303" i="1"/>
  <c r="CV303" i="1"/>
  <c r="U303" i="1" s="1"/>
  <c r="CW303" i="1"/>
  <c r="V303" i="1" s="1"/>
  <c r="GL303" i="1"/>
  <c r="GN303" i="1"/>
  <c r="GO303" i="1"/>
  <c r="GP303" i="1"/>
  <c r="GV303" i="1"/>
  <c r="HC303" i="1"/>
  <c r="GX303" i="1" s="1"/>
  <c r="R304" i="1"/>
  <c r="S304" i="1"/>
  <c r="AC304" i="1"/>
  <c r="AE304" i="1"/>
  <c r="AD304" i="1" s="1"/>
  <c r="AF304" i="1"/>
  <c r="AG304" i="1"/>
  <c r="CU304" i="1" s="1"/>
  <c r="T304" i="1" s="1"/>
  <c r="AH304" i="1"/>
  <c r="AI304" i="1"/>
  <c r="AJ304" i="1"/>
  <c r="CR304" i="1"/>
  <c r="CS304" i="1"/>
  <c r="CT304" i="1"/>
  <c r="CV304" i="1"/>
  <c r="U304" i="1" s="1"/>
  <c r="CW304" i="1"/>
  <c r="V304" i="1" s="1"/>
  <c r="CX304" i="1"/>
  <c r="W304" i="1" s="1"/>
  <c r="GL304" i="1"/>
  <c r="GN304" i="1"/>
  <c r="GO304" i="1"/>
  <c r="GP304" i="1"/>
  <c r="GV304" i="1"/>
  <c r="HC304" i="1"/>
  <c r="GX304" i="1" s="1"/>
  <c r="R305" i="1"/>
  <c r="S305" i="1"/>
  <c r="AC305" i="1"/>
  <c r="AE305" i="1"/>
  <c r="AD305" i="1" s="1"/>
  <c r="AF305" i="1"/>
  <c r="AG305" i="1"/>
  <c r="CU305" i="1" s="1"/>
  <c r="T305" i="1" s="1"/>
  <c r="AH305" i="1"/>
  <c r="AI305" i="1"/>
  <c r="AJ305" i="1"/>
  <c r="CR305" i="1"/>
  <c r="CS305" i="1"/>
  <c r="CT305" i="1"/>
  <c r="CV305" i="1"/>
  <c r="U305" i="1" s="1"/>
  <c r="CW305" i="1"/>
  <c r="V305" i="1" s="1"/>
  <c r="CX305" i="1"/>
  <c r="W305" i="1" s="1"/>
  <c r="GL305" i="1"/>
  <c r="GN305" i="1"/>
  <c r="GO305" i="1"/>
  <c r="GP305" i="1"/>
  <c r="GV305" i="1"/>
  <c r="HC305" i="1"/>
  <c r="GX305" i="1" s="1"/>
  <c r="R306" i="1"/>
  <c r="V306" i="1"/>
  <c r="AB306" i="1"/>
  <c r="AC306" i="1"/>
  <c r="AE306" i="1"/>
  <c r="AD306" i="1" s="1"/>
  <c r="AF306" i="1"/>
  <c r="S306" i="1" s="1"/>
  <c r="AG306" i="1"/>
  <c r="CU306" i="1" s="1"/>
  <c r="T306" i="1" s="1"/>
  <c r="AH306" i="1"/>
  <c r="AI306" i="1"/>
  <c r="AJ306" i="1"/>
  <c r="CX306" i="1" s="1"/>
  <c r="W306" i="1" s="1"/>
  <c r="CR306" i="1"/>
  <c r="CS306" i="1"/>
  <c r="CT306" i="1"/>
  <c r="CV306" i="1"/>
  <c r="U306" i="1" s="1"/>
  <c r="CW306" i="1"/>
  <c r="GL306" i="1"/>
  <c r="GN306" i="1"/>
  <c r="GO306" i="1"/>
  <c r="GP306" i="1"/>
  <c r="GV306" i="1"/>
  <c r="HC306" i="1"/>
  <c r="GX306" i="1" s="1"/>
  <c r="R307" i="1"/>
  <c r="S307" i="1"/>
  <c r="AC307" i="1"/>
  <c r="AE307" i="1"/>
  <c r="AD307" i="1" s="1"/>
  <c r="AF307" i="1"/>
  <c r="AG307" i="1"/>
  <c r="CU307" i="1" s="1"/>
  <c r="T307" i="1" s="1"/>
  <c r="AH307" i="1"/>
  <c r="AI307" i="1"/>
  <c r="AJ307" i="1"/>
  <c r="CX307" i="1" s="1"/>
  <c r="W307" i="1" s="1"/>
  <c r="CR307" i="1"/>
  <c r="CS307" i="1"/>
  <c r="CT307" i="1"/>
  <c r="CV307" i="1"/>
  <c r="U307" i="1" s="1"/>
  <c r="CW307" i="1"/>
  <c r="V307" i="1" s="1"/>
  <c r="GL307" i="1"/>
  <c r="GN307" i="1"/>
  <c r="GO307" i="1"/>
  <c r="GP307" i="1"/>
  <c r="GV307" i="1"/>
  <c r="HC307" i="1"/>
  <c r="GX307" i="1" s="1"/>
  <c r="C308" i="1"/>
  <c r="D308" i="1"/>
  <c r="I308" i="1"/>
  <c r="K308" i="1"/>
  <c r="R308" i="1"/>
  <c r="S308" i="1"/>
  <c r="AC308" i="1"/>
  <c r="AE308" i="1"/>
  <c r="AD308" i="1" s="1"/>
  <c r="AF308" i="1"/>
  <c r="AG308" i="1"/>
  <c r="CU308" i="1" s="1"/>
  <c r="T308" i="1" s="1"/>
  <c r="AH308" i="1"/>
  <c r="AI308" i="1"/>
  <c r="AJ308" i="1"/>
  <c r="CR308" i="1"/>
  <c r="CS308" i="1"/>
  <c r="CT308" i="1"/>
  <c r="CV308" i="1"/>
  <c r="U308" i="1" s="1"/>
  <c r="CW308" i="1"/>
  <c r="V308" i="1" s="1"/>
  <c r="CX308" i="1"/>
  <c r="W308" i="1" s="1"/>
  <c r="GL308" i="1"/>
  <c r="GN308" i="1"/>
  <c r="GP308" i="1"/>
  <c r="GV308" i="1"/>
  <c r="HC308" i="1" s="1"/>
  <c r="GX308" i="1" s="1"/>
  <c r="C309" i="1"/>
  <c r="D309" i="1"/>
  <c r="I309" i="1"/>
  <c r="K309" i="1"/>
  <c r="P309" i="1"/>
  <c r="R309" i="1"/>
  <c r="S309" i="1"/>
  <c r="CZ309" i="1" s="1"/>
  <c r="Y309" i="1" s="1"/>
  <c r="X309" i="1"/>
  <c r="AC309" i="1"/>
  <c r="AD309" i="1"/>
  <c r="AE309" i="1"/>
  <c r="Q309" i="1" s="1"/>
  <c r="AF309" i="1"/>
  <c r="AG309" i="1"/>
  <c r="AH309" i="1"/>
  <c r="CV309" i="1" s="1"/>
  <c r="U309" i="1" s="1"/>
  <c r="AI309" i="1"/>
  <c r="AJ309" i="1"/>
  <c r="CQ309" i="1"/>
  <c r="CR309" i="1"/>
  <c r="CS309" i="1"/>
  <c r="CT309" i="1"/>
  <c r="CU309" i="1"/>
  <c r="T309" i="1" s="1"/>
  <c r="CW309" i="1"/>
  <c r="V309" i="1" s="1"/>
  <c r="CX309" i="1"/>
  <c r="W309" i="1" s="1"/>
  <c r="CY309" i="1"/>
  <c r="GL309" i="1"/>
  <c r="GN309" i="1"/>
  <c r="GP309" i="1"/>
  <c r="GV309" i="1"/>
  <c r="HC309" i="1" s="1"/>
  <c r="GX309" i="1"/>
  <c r="I310" i="1"/>
  <c r="Q310" i="1" s="1"/>
  <c r="P310" i="1"/>
  <c r="CP310" i="1" s="1"/>
  <c r="O310" i="1" s="1"/>
  <c r="R310" i="1"/>
  <c r="S310" i="1"/>
  <c r="CZ310" i="1" s="1"/>
  <c r="Y310" i="1" s="1"/>
  <c r="W310" i="1"/>
  <c r="X310" i="1"/>
  <c r="AC310" i="1"/>
  <c r="AD310" i="1"/>
  <c r="AE310" i="1"/>
  <c r="AF310" i="1"/>
  <c r="AG310" i="1"/>
  <c r="CU310" i="1" s="1"/>
  <c r="T310" i="1" s="1"/>
  <c r="AH310" i="1"/>
  <c r="CV310" i="1" s="1"/>
  <c r="U310" i="1" s="1"/>
  <c r="AI310" i="1"/>
  <c r="AJ310" i="1"/>
  <c r="CR310" i="1"/>
  <c r="CS310" i="1"/>
  <c r="CT310" i="1"/>
  <c r="CW310" i="1"/>
  <c r="V310" i="1" s="1"/>
  <c r="CX310" i="1"/>
  <c r="CY310" i="1"/>
  <c r="GL310" i="1"/>
  <c r="GN310" i="1"/>
  <c r="GP310" i="1"/>
  <c r="GV310" i="1"/>
  <c r="HC310" i="1" s="1"/>
  <c r="GX310" i="1"/>
  <c r="I311" i="1"/>
  <c r="Q311" i="1" s="1"/>
  <c r="R311" i="1"/>
  <c r="S311" i="1"/>
  <c r="CZ311" i="1" s="1"/>
  <c r="Y311" i="1" s="1"/>
  <c r="AC311" i="1"/>
  <c r="AD311" i="1"/>
  <c r="AE311" i="1"/>
  <c r="AF311" i="1"/>
  <c r="AG311" i="1"/>
  <c r="CU311" i="1" s="1"/>
  <c r="T311" i="1" s="1"/>
  <c r="AH311" i="1"/>
  <c r="CV311" i="1" s="1"/>
  <c r="U311" i="1" s="1"/>
  <c r="AI311" i="1"/>
  <c r="AJ311" i="1"/>
  <c r="CR311" i="1"/>
  <c r="CS311" i="1"/>
  <c r="CT311" i="1"/>
  <c r="CW311" i="1"/>
  <c r="V311" i="1" s="1"/>
  <c r="CX311" i="1"/>
  <c r="W311" i="1" s="1"/>
  <c r="CY311" i="1"/>
  <c r="X311" i="1" s="1"/>
  <c r="GL311" i="1"/>
  <c r="GN311" i="1"/>
  <c r="GP311" i="1"/>
  <c r="GV311" i="1"/>
  <c r="HC311" i="1" s="1"/>
  <c r="GX311" i="1" s="1"/>
  <c r="P312" i="1"/>
  <c r="S312" i="1"/>
  <c r="AC312" i="1"/>
  <c r="AD312" i="1"/>
  <c r="AE312" i="1"/>
  <c r="Q312" i="1" s="1"/>
  <c r="AF312" i="1"/>
  <c r="AG312" i="1"/>
  <c r="AH312" i="1"/>
  <c r="CV312" i="1" s="1"/>
  <c r="U312" i="1" s="1"/>
  <c r="AI312" i="1"/>
  <c r="CW312" i="1" s="1"/>
  <c r="V312" i="1" s="1"/>
  <c r="AJ312" i="1"/>
  <c r="CQ312" i="1"/>
  <c r="CR312" i="1"/>
  <c r="CT312" i="1"/>
  <c r="CU312" i="1"/>
  <c r="T312" i="1" s="1"/>
  <c r="CX312" i="1"/>
  <c r="W312" i="1" s="1"/>
  <c r="GL312" i="1"/>
  <c r="GN312" i="1"/>
  <c r="GO312" i="1"/>
  <c r="GP312" i="1"/>
  <c r="GV312" i="1"/>
  <c r="HC312" i="1" s="1"/>
  <c r="GX312" i="1"/>
  <c r="P313" i="1"/>
  <c r="S313" i="1"/>
  <c r="T313" i="1"/>
  <c r="AC313" i="1"/>
  <c r="AD313" i="1"/>
  <c r="AE313" i="1"/>
  <c r="AF313" i="1"/>
  <c r="AG313" i="1"/>
  <c r="AH313" i="1"/>
  <c r="CV313" i="1" s="1"/>
  <c r="U313" i="1" s="1"/>
  <c r="AI313" i="1"/>
  <c r="CW313" i="1" s="1"/>
  <c r="V313" i="1" s="1"/>
  <c r="AJ313" i="1"/>
  <c r="CQ313" i="1"/>
  <c r="CR313" i="1"/>
  <c r="CT313" i="1"/>
  <c r="CU313" i="1"/>
  <c r="CX313" i="1"/>
  <c r="W313" i="1" s="1"/>
  <c r="GL313" i="1"/>
  <c r="GN313" i="1"/>
  <c r="GO313" i="1"/>
  <c r="GP313" i="1"/>
  <c r="GV313" i="1"/>
  <c r="HC313" i="1" s="1"/>
  <c r="GX313" i="1" s="1"/>
  <c r="P314" i="1"/>
  <c r="Q314" i="1"/>
  <c r="S314" i="1"/>
  <c r="AC314" i="1"/>
  <c r="AE314" i="1"/>
  <c r="AF314" i="1"/>
  <c r="AG314" i="1"/>
  <c r="AH314" i="1"/>
  <c r="CV314" i="1" s="1"/>
  <c r="U314" i="1" s="1"/>
  <c r="AI314" i="1"/>
  <c r="CW314" i="1" s="1"/>
  <c r="V314" i="1" s="1"/>
  <c r="AJ314" i="1"/>
  <c r="CQ314" i="1"/>
  <c r="CT314" i="1"/>
  <c r="CU314" i="1"/>
  <c r="T314" i="1" s="1"/>
  <c r="CX314" i="1"/>
  <c r="W314" i="1" s="1"/>
  <c r="GL314" i="1"/>
  <c r="GN314" i="1"/>
  <c r="GO314" i="1"/>
  <c r="GP314" i="1"/>
  <c r="GV314" i="1"/>
  <c r="HC314" i="1" s="1"/>
  <c r="GX314" i="1"/>
  <c r="P315" i="1"/>
  <c r="FR315" i="1" s="1"/>
  <c r="S315" i="1"/>
  <c r="U315" i="1"/>
  <c r="AC315" i="1"/>
  <c r="AE315" i="1"/>
  <c r="AF315" i="1"/>
  <c r="AG315" i="1"/>
  <c r="CU315" i="1" s="1"/>
  <c r="T315" i="1" s="1"/>
  <c r="AH315" i="1"/>
  <c r="AI315" i="1"/>
  <c r="CW315" i="1" s="1"/>
  <c r="V315" i="1" s="1"/>
  <c r="AJ315" i="1"/>
  <c r="CR315" i="1"/>
  <c r="CT315" i="1"/>
  <c r="CV315" i="1"/>
  <c r="CX315" i="1"/>
  <c r="W315" i="1" s="1"/>
  <c r="GL315" i="1"/>
  <c r="GN315" i="1"/>
  <c r="GO315" i="1"/>
  <c r="GP315" i="1"/>
  <c r="GV315" i="1"/>
  <c r="HC315" i="1" s="1"/>
  <c r="GX315" i="1" s="1"/>
  <c r="Q316" i="1"/>
  <c r="S316" i="1"/>
  <c r="T316" i="1"/>
  <c r="AC316" i="1"/>
  <c r="AE316" i="1"/>
  <c r="AF316" i="1"/>
  <c r="AG316" i="1"/>
  <c r="AH316" i="1"/>
  <c r="CV316" i="1" s="1"/>
  <c r="U316" i="1" s="1"/>
  <c r="AI316" i="1"/>
  <c r="CW316" i="1" s="1"/>
  <c r="V316" i="1" s="1"/>
  <c r="AJ316" i="1"/>
  <c r="CQ316" i="1"/>
  <c r="CT316" i="1"/>
  <c r="CU316" i="1"/>
  <c r="CX316" i="1"/>
  <c r="W316" i="1" s="1"/>
  <c r="GL316" i="1"/>
  <c r="GN316" i="1"/>
  <c r="GO316" i="1"/>
  <c r="GP316" i="1"/>
  <c r="GV316" i="1"/>
  <c r="HC316" i="1" s="1"/>
  <c r="GX316" i="1"/>
  <c r="P317" i="1"/>
  <c r="S317" i="1"/>
  <c r="W317" i="1"/>
  <c r="AC317" i="1"/>
  <c r="AE317" i="1"/>
  <c r="AF317" i="1"/>
  <c r="AG317" i="1"/>
  <c r="AH317" i="1"/>
  <c r="AI317" i="1"/>
  <c r="CW317" i="1" s="1"/>
  <c r="V317" i="1" s="1"/>
  <c r="AJ317" i="1"/>
  <c r="CQ317" i="1"/>
  <c r="CT317" i="1"/>
  <c r="CU317" i="1"/>
  <c r="T317" i="1" s="1"/>
  <c r="CV317" i="1"/>
  <c r="U317" i="1" s="1"/>
  <c r="CX317" i="1"/>
  <c r="GL317" i="1"/>
  <c r="GN317" i="1"/>
  <c r="GO317" i="1"/>
  <c r="GP317" i="1"/>
  <c r="GV317" i="1"/>
  <c r="HC317" i="1" s="1"/>
  <c r="GX317" i="1" s="1"/>
  <c r="Q318" i="1"/>
  <c r="S318" i="1"/>
  <c r="W318" i="1"/>
  <c r="AC318" i="1"/>
  <c r="AD318" i="1"/>
  <c r="AE318" i="1"/>
  <c r="AF318" i="1"/>
  <c r="AG318" i="1"/>
  <c r="CU318" i="1" s="1"/>
  <c r="T318" i="1" s="1"/>
  <c r="AH318" i="1"/>
  <c r="AI318" i="1"/>
  <c r="CW318" i="1" s="1"/>
  <c r="V318" i="1" s="1"/>
  <c r="AJ318" i="1"/>
  <c r="CR318" i="1"/>
  <c r="CT318" i="1"/>
  <c r="CV318" i="1"/>
  <c r="U318" i="1" s="1"/>
  <c r="CX318" i="1"/>
  <c r="GL318" i="1"/>
  <c r="GN318" i="1"/>
  <c r="GO318" i="1"/>
  <c r="GP318" i="1"/>
  <c r="GV318" i="1"/>
  <c r="HC318" i="1" s="1"/>
  <c r="GX318" i="1"/>
  <c r="P319" i="1"/>
  <c r="T319" i="1"/>
  <c r="U319" i="1"/>
  <c r="AC319" i="1"/>
  <c r="AE319" i="1"/>
  <c r="AF319" i="1"/>
  <c r="S319" i="1" s="1"/>
  <c r="AG319" i="1"/>
  <c r="CU319" i="1" s="1"/>
  <c r="AH319" i="1"/>
  <c r="AI319" i="1"/>
  <c r="CW319" i="1" s="1"/>
  <c r="V319" i="1" s="1"/>
  <c r="AJ319" i="1"/>
  <c r="CX319" i="1" s="1"/>
  <c r="W319" i="1" s="1"/>
  <c r="CS319" i="1"/>
  <c r="CT319" i="1"/>
  <c r="CV319" i="1"/>
  <c r="GL319" i="1"/>
  <c r="GN319" i="1"/>
  <c r="GO319" i="1"/>
  <c r="GP319" i="1"/>
  <c r="GV319" i="1"/>
  <c r="HC319" i="1"/>
  <c r="GX319" i="1" s="1"/>
  <c r="AC320" i="1"/>
  <c r="AE320" i="1"/>
  <c r="AD320" i="1" s="1"/>
  <c r="AF320" i="1"/>
  <c r="S320" i="1" s="1"/>
  <c r="AG320" i="1"/>
  <c r="CU320" i="1" s="1"/>
  <c r="T320" i="1" s="1"/>
  <c r="AH320" i="1"/>
  <c r="AI320" i="1"/>
  <c r="CW320" i="1" s="1"/>
  <c r="V320" i="1" s="1"/>
  <c r="AJ320" i="1"/>
  <c r="CX320" i="1" s="1"/>
  <c r="W320" i="1" s="1"/>
  <c r="CS320" i="1"/>
  <c r="CT320" i="1"/>
  <c r="CV320" i="1"/>
  <c r="U320" i="1" s="1"/>
  <c r="GL320" i="1"/>
  <c r="GN320" i="1"/>
  <c r="GO320" i="1"/>
  <c r="GP320" i="1"/>
  <c r="GV320" i="1"/>
  <c r="HC320" i="1"/>
  <c r="GX320" i="1" s="1"/>
  <c r="AC321" i="1"/>
  <c r="AE321" i="1"/>
  <c r="AD321" i="1" s="1"/>
  <c r="AF321" i="1"/>
  <c r="S321" i="1" s="1"/>
  <c r="AG321" i="1"/>
  <c r="CU321" i="1" s="1"/>
  <c r="T321" i="1" s="1"/>
  <c r="AH321" i="1"/>
  <c r="AI321" i="1"/>
  <c r="CW321" i="1" s="1"/>
  <c r="V321" i="1" s="1"/>
  <c r="AJ321" i="1"/>
  <c r="CX321" i="1" s="1"/>
  <c r="W321" i="1" s="1"/>
  <c r="CS321" i="1"/>
  <c r="CV321" i="1"/>
  <c r="U321" i="1" s="1"/>
  <c r="GL321" i="1"/>
  <c r="GN321" i="1"/>
  <c r="GO321" i="1"/>
  <c r="GP321" i="1"/>
  <c r="GV321" i="1"/>
  <c r="HC321" i="1"/>
  <c r="GX321" i="1" s="1"/>
  <c r="B323" i="1"/>
  <c r="B280" i="1" s="1"/>
  <c r="C323" i="1"/>
  <c r="D323" i="1"/>
  <c r="D280" i="1" s="1"/>
  <c r="F323" i="1"/>
  <c r="F280" i="1" s="1"/>
  <c r="G323" i="1"/>
  <c r="AJ323" i="1"/>
  <c r="BX323" i="1"/>
  <c r="BX280" i="1" s="1"/>
  <c r="CK323" i="1"/>
  <c r="CK280" i="1" s="1"/>
  <c r="CL323" i="1"/>
  <c r="BC323" i="1" s="1"/>
  <c r="CM323" i="1"/>
  <c r="CM280" i="1" s="1"/>
  <c r="FP323" i="1"/>
  <c r="FP280" i="1" s="1"/>
  <c r="FR323" i="1"/>
  <c r="EI323" i="1" s="1"/>
  <c r="FY323" i="1"/>
  <c r="FY280" i="1" s="1"/>
  <c r="GC323" i="1"/>
  <c r="GC280" i="1" s="1"/>
  <c r="GD323" i="1"/>
  <c r="EU323" i="1" s="1"/>
  <c r="GE323" i="1"/>
  <c r="D353" i="1"/>
  <c r="E355" i="1"/>
  <c r="F355" i="1"/>
  <c r="Z355" i="1"/>
  <c r="AA355" i="1"/>
  <c r="AM355" i="1"/>
  <c r="AN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CK355" i="1"/>
  <c r="CN355" i="1"/>
  <c r="CO355" i="1"/>
  <c r="CP355" i="1"/>
  <c r="CQ355" i="1"/>
  <c r="CR355" i="1"/>
  <c r="CS355" i="1"/>
  <c r="CT355" i="1"/>
  <c r="CU355" i="1"/>
  <c r="CV355" i="1"/>
  <c r="CW355" i="1"/>
  <c r="CX355" i="1"/>
  <c r="CY355" i="1"/>
  <c r="CZ355" i="1"/>
  <c r="DA355" i="1"/>
  <c r="DB355" i="1"/>
  <c r="DC355" i="1"/>
  <c r="DD355" i="1"/>
  <c r="DE355" i="1"/>
  <c r="DF355" i="1"/>
  <c r="DR355" i="1"/>
  <c r="DS355" i="1"/>
  <c r="EE355" i="1"/>
  <c r="EF355" i="1"/>
  <c r="EW355" i="1"/>
  <c r="EX355" i="1"/>
  <c r="EY355" i="1"/>
  <c r="EZ355" i="1"/>
  <c r="FA355" i="1"/>
  <c r="FB355" i="1"/>
  <c r="FC355" i="1"/>
  <c r="FD355" i="1"/>
  <c r="FE355" i="1"/>
  <c r="FF355" i="1"/>
  <c r="FG355" i="1"/>
  <c r="FH355" i="1"/>
  <c r="FI355" i="1"/>
  <c r="FJ355" i="1"/>
  <c r="FK355" i="1"/>
  <c r="FL355" i="1"/>
  <c r="FM355" i="1"/>
  <c r="FN355" i="1"/>
  <c r="FO355" i="1"/>
  <c r="GE355" i="1"/>
  <c r="GF355" i="1"/>
  <c r="GG355" i="1"/>
  <c r="GH355" i="1"/>
  <c r="GI355" i="1"/>
  <c r="GJ355" i="1"/>
  <c r="GK355" i="1"/>
  <c r="GL355" i="1"/>
  <c r="GM355" i="1"/>
  <c r="GN355" i="1"/>
  <c r="GO355" i="1"/>
  <c r="GP355" i="1"/>
  <c r="GQ355" i="1"/>
  <c r="GR355" i="1"/>
  <c r="GS355" i="1"/>
  <c r="GT355" i="1"/>
  <c r="GU355" i="1"/>
  <c r="GV355" i="1"/>
  <c r="GW355" i="1"/>
  <c r="GX355" i="1"/>
  <c r="C357" i="1"/>
  <c r="D357" i="1"/>
  <c r="I357" i="1"/>
  <c r="K357" i="1"/>
  <c r="S357" i="1"/>
  <c r="T357" i="1"/>
  <c r="AC357" i="1"/>
  <c r="AE357" i="1"/>
  <c r="AF357" i="1"/>
  <c r="AG357" i="1"/>
  <c r="AH357" i="1"/>
  <c r="AI357" i="1"/>
  <c r="CW357" i="1" s="1"/>
  <c r="V357" i="1" s="1"/>
  <c r="AJ357" i="1"/>
  <c r="CQ357" i="1"/>
  <c r="CR357" i="1"/>
  <c r="CT357" i="1"/>
  <c r="CU357" i="1"/>
  <c r="CV357" i="1"/>
  <c r="U357" i="1" s="1"/>
  <c r="CX357" i="1"/>
  <c r="W357" i="1" s="1"/>
  <c r="GL357" i="1"/>
  <c r="GN357" i="1"/>
  <c r="GP357" i="1"/>
  <c r="GV357" i="1"/>
  <c r="HC357" i="1" s="1"/>
  <c r="GX357" i="1" s="1"/>
  <c r="CJ404" i="1" s="1"/>
  <c r="C358" i="1"/>
  <c r="D358" i="1"/>
  <c r="I358" i="1"/>
  <c r="K358" i="1"/>
  <c r="AC358" i="1"/>
  <c r="AD358" i="1"/>
  <c r="AB358" i="1" s="1"/>
  <c r="AE358" i="1"/>
  <c r="AF358" i="1"/>
  <c r="AG358" i="1"/>
  <c r="AH358" i="1"/>
  <c r="CV358" i="1" s="1"/>
  <c r="AI358" i="1"/>
  <c r="AJ358" i="1"/>
  <c r="CX358" i="1" s="1"/>
  <c r="CQ358" i="1"/>
  <c r="CR358" i="1"/>
  <c r="CS358" i="1"/>
  <c r="CU358" i="1"/>
  <c r="CW358" i="1"/>
  <c r="V358" i="1" s="1"/>
  <c r="GL358" i="1"/>
  <c r="GN358" i="1"/>
  <c r="GP358" i="1"/>
  <c r="GV358" i="1"/>
  <c r="HC358" i="1"/>
  <c r="C359" i="1"/>
  <c r="D359" i="1"/>
  <c r="I359" i="1"/>
  <c r="K359" i="1"/>
  <c r="W359" i="1"/>
  <c r="AC359" i="1"/>
  <c r="AE359" i="1"/>
  <c r="R359" i="1" s="1"/>
  <c r="AF359" i="1"/>
  <c r="S359" i="1" s="1"/>
  <c r="AG359" i="1"/>
  <c r="CU359" i="1" s="1"/>
  <c r="AH359" i="1"/>
  <c r="AI359" i="1"/>
  <c r="CW359" i="1" s="1"/>
  <c r="V359" i="1" s="1"/>
  <c r="AJ359" i="1"/>
  <c r="CS359" i="1"/>
  <c r="CT359" i="1"/>
  <c r="CV359" i="1"/>
  <c r="U359" i="1" s="1"/>
  <c r="CX359" i="1"/>
  <c r="GL359" i="1"/>
  <c r="GN359" i="1"/>
  <c r="GP359" i="1"/>
  <c r="GV359" i="1"/>
  <c r="HC359" i="1"/>
  <c r="GX359" i="1" s="1"/>
  <c r="C360" i="1"/>
  <c r="D360" i="1"/>
  <c r="I360" i="1"/>
  <c r="K360" i="1"/>
  <c r="R360" i="1"/>
  <c r="S360" i="1"/>
  <c r="W360" i="1"/>
  <c r="AC360" i="1"/>
  <c r="AB360" i="1" s="1"/>
  <c r="AD360" i="1"/>
  <c r="AE360" i="1"/>
  <c r="Q360" i="1" s="1"/>
  <c r="AF360" i="1"/>
  <c r="AG360" i="1"/>
  <c r="AH360" i="1"/>
  <c r="CV360" i="1" s="1"/>
  <c r="U360" i="1" s="1"/>
  <c r="AI360" i="1"/>
  <c r="AJ360" i="1"/>
  <c r="CQ360" i="1"/>
  <c r="CR360" i="1"/>
  <c r="CS360" i="1"/>
  <c r="CT360" i="1"/>
  <c r="CU360" i="1"/>
  <c r="T360" i="1" s="1"/>
  <c r="CW360" i="1"/>
  <c r="V360" i="1" s="1"/>
  <c r="CX360" i="1"/>
  <c r="GL360" i="1"/>
  <c r="GN360" i="1"/>
  <c r="GP360" i="1"/>
  <c r="GV360" i="1"/>
  <c r="HC360" i="1" s="1"/>
  <c r="GX360" i="1"/>
  <c r="S361" i="1"/>
  <c r="AC361" i="1"/>
  <c r="AE361" i="1"/>
  <c r="AF361" i="1"/>
  <c r="AG361" i="1"/>
  <c r="AH361" i="1"/>
  <c r="AI361" i="1"/>
  <c r="CW361" i="1" s="1"/>
  <c r="V361" i="1" s="1"/>
  <c r="AJ361" i="1"/>
  <c r="CQ361" i="1"/>
  <c r="CR361" i="1"/>
  <c r="CT361" i="1"/>
  <c r="CU361" i="1"/>
  <c r="T361" i="1" s="1"/>
  <c r="CV361" i="1"/>
  <c r="U361" i="1" s="1"/>
  <c r="CX361" i="1"/>
  <c r="W361" i="1" s="1"/>
  <c r="GL361" i="1"/>
  <c r="GN361" i="1"/>
  <c r="GO361" i="1"/>
  <c r="GP361" i="1"/>
  <c r="GV361" i="1"/>
  <c r="HC361" i="1" s="1"/>
  <c r="GX361" i="1" s="1"/>
  <c r="Q362" i="1"/>
  <c r="S362" i="1"/>
  <c r="W362" i="1"/>
  <c r="AC362" i="1"/>
  <c r="AD362" i="1"/>
  <c r="AE362" i="1"/>
  <c r="AF362" i="1"/>
  <c r="AG362" i="1"/>
  <c r="AH362" i="1"/>
  <c r="AI362" i="1"/>
  <c r="CW362" i="1" s="1"/>
  <c r="V362" i="1" s="1"/>
  <c r="AJ362" i="1"/>
  <c r="CQ362" i="1"/>
  <c r="CR362" i="1"/>
  <c r="CT362" i="1"/>
  <c r="CU362" i="1"/>
  <c r="T362" i="1" s="1"/>
  <c r="CV362" i="1"/>
  <c r="U362" i="1" s="1"/>
  <c r="CX362" i="1"/>
  <c r="GL362" i="1"/>
  <c r="GN362" i="1"/>
  <c r="GO362" i="1"/>
  <c r="GP362" i="1"/>
  <c r="GV362" i="1"/>
  <c r="HC362" i="1" s="1"/>
  <c r="GX362" i="1"/>
  <c r="P363" i="1"/>
  <c r="FR363" i="1" s="1"/>
  <c r="S363" i="1"/>
  <c r="U363" i="1"/>
  <c r="AC363" i="1"/>
  <c r="AE363" i="1"/>
  <c r="AF363" i="1"/>
  <c r="AG363" i="1"/>
  <c r="CU363" i="1" s="1"/>
  <c r="T363" i="1" s="1"/>
  <c r="AH363" i="1"/>
  <c r="AI363" i="1"/>
  <c r="CW363" i="1" s="1"/>
  <c r="V363" i="1" s="1"/>
  <c r="AJ363" i="1"/>
  <c r="CR363" i="1"/>
  <c r="CT363" i="1"/>
  <c r="CV363" i="1"/>
  <c r="CX363" i="1"/>
  <c r="W363" i="1" s="1"/>
  <c r="GL363" i="1"/>
  <c r="GN363" i="1"/>
  <c r="GO363" i="1"/>
  <c r="GP363" i="1"/>
  <c r="GV363" i="1"/>
  <c r="HC363" i="1" s="1"/>
  <c r="GX363" i="1"/>
  <c r="S364" i="1"/>
  <c r="T364" i="1"/>
  <c r="U364" i="1"/>
  <c r="AC364" i="1"/>
  <c r="CQ364" i="1" s="1"/>
  <c r="AE364" i="1"/>
  <c r="AF364" i="1"/>
  <c r="AG364" i="1"/>
  <c r="AH364" i="1"/>
  <c r="AI364" i="1"/>
  <c r="CW364" i="1" s="1"/>
  <c r="V364" i="1" s="1"/>
  <c r="AJ364" i="1"/>
  <c r="CR364" i="1"/>
  <c r="CT364" i="1"/>
  <c r="CU364" i="1"/>
  <c r="CV364" i="1"/>
  <c r="CX364" i="1"/>
  <c r="W364" i="1" s="1"/>
  <c r="GL364" i="1"/>
  <c r="GN364" i="1"/>
  <c r="FT404" i="1" s="1"/>
  <c r="GO364" i="1"/>
  <c r="GP364" i="1"/>
  <c r="GV364" i="1"/>
  <c r="HC364" i="1" s="1"/>
  <c r="GX364" i="1"/>
  <c r="S365" i="1"/>
  <c r="T365" i="1"/>
  <c r="AC365" i="1"/>
  <c r="AE365" i="1"/>
  <c r="AF365" i="1"/>
  <c r="AG365" i="1"/>
  <c r="AH365" i="1"/>
  <c r="AI365" i="1"/>
  <c r="CW365" i="1" s="1"/>
  <c r="V365" i="1" s="1"/>
  <c r="AJ365" i="1"/>
  <c r="CQ365" i="1"/>
  <c r="CR365" i="1"/>
  <c r="CT365" i="1"/>
  <c r="CU365" i="1"/>
  <c r="CV365" i="1"/>
  <c r="U365" i="1" s="1"/>
  <c r="CX365" i="1"/>
  <c r="W365" i="1" s="1"/>
  <c r="GL365" i="1"/>
  <c r="GN365" i="1"/>
  <c r="GO365" i="1"/>
  <c r="GP365" i="1"/>
  <c r="GV365" i="1"/>
  <c r="HC365" i="1" s="1"/>
  <c r="GX365" i="1" s="1"/>
  <c r="Q366" i="1"/>
  <c r="S366" i="1"/>
  <c r="W366" i="1"/>
  <c r="AC366" i="1"/>
  <c r="AD366" i="1"/>
  <c r="AE366" i="1"/>
  <c r="AF366" i="1"/>
  <c r="AG366" i="1"/>
  <c r="AH366" i="1"/>
  <c r="AI366" i="1"/>
  <c r="CW366" i="1" s="1"/>
  <c r="V366" i="1" s="1"/>
  <c r="AJ366" i="1"/>
  <c r="CQ366" i="1"/>
  <c r="CR366" i="1"/>
  <c r="CT366" i="1"/>
  <c r="CU366" i="1"/>
  <c r="T366" i="1" s="1"/>
  <c r="CV366" i="1"/>
  <c r="U366" i="1" s="1"/>
  <c r="CX366" i="1"/>
  <c r="GL366" i="1"/>
  <c r="GN366" i="1"/>
  <c r="GO366" i="1"/>
  <c r="GP366" i="1"/>
  <c r="GV366" i="1"/>
  <c r="HC366" i="1" s="1"/>
  <c r="GX366" i="1" s="1"/>
  <c r="Q367" i="1"/>
  <c r="S367" i="1"/>
  <c r="U367" i="1"/>
  <c r="W367" i="1"/>
  <c r="AC367" i="1"/>
  <c r="AD367" i="1"/>
  <c r="AE367" i="1"/>
  <c r="AF367" i="1"/>
  <c r="AG367" i="1"/>
  <c r="CU367" i="1" s="1"/>
  <c r="T367" i="1" s="1"/>
  <c r="AH367" i="1"/>
  <c r="AI367" i="1"/>
  <c r="CW367" i="1" s="1"/>
  <c r="V367" i="1" s="1"/>
  <c r="AJ367" i="1"/>
  <c r="CR367" i="1"/>
  <c r="CT367" i="1"/>
  <c r="CV367" i="1"/>
  <c r="CX367" i="1"/>
  <c r="GL367" i="1"/>
  <c r="GN367" i="1"/>
  <c r="GO367" i="1"/>
  <c r="GP367" i="1"/>
  <c r="GV367" i="1"/>
  <c r="HC367" i="1" s="1"/>
  <c r="GX367" i="1"/>
  <c r="S368" i="1"/>
  <c r="T368" i="1"/>
  <c r="U368" i="1"/>
  <c r="AC368" i="1"/>
  <c r="CQ368" i="1" s="1"/>
  <c r="AE368" i="1"/>
  <c r="AF368" i="1"/>
  <c r="AG368" i="1"/>
  <c r="AH368" i="1"/>
  <c r="AI368" i="1"/>
  <c r="CW368" i="1" s="1"/>
  <c r="V368" i="1" s="1"/>
  <c r="AJ368" i="1"/>
  <c r="CR368" i="1"/>
  <c r="CT368" i="1"/>
  <c r="CU368" i="1"/>
  <c r="CV368" i="1"/>
  <c r="CX368" i="1"/>
  <c r="W368" i="1" s="1"/>
  <c r="GL368" i="1"/>
  <c r="GN368" i="1"/>
  <c r="GO368" i="1"/>
  <c r="GP368" i="1"/>
  <c r="GV368" i="1"/>
  <c r="HC368" i="1" s="1"/>
  <c r="GX368" i="1"/>
  <c r="S369" i="1"/>
  <c r="T369" i="1"/>
  <c r="AC369" i="1"/>
  <c r="AE369" i="1"/>
  <c r="AF369" i="1"/>
  <c r="AG369" i="1"/>
  <c r="AH369" i="1"/>
  <c r="AI369" i="1"/>
  <c r="CW369" i="1" s="1"/>
  <c r="V369" i="1" s="1"/>
  <c r="AJ369" i="1"/>
  <c r="CQ369" i="1"/>
  <c r="CR369" i="1"/>
  <c r="CT369" i="1"/>
  <c r="CU369" i="1"/>
  <c r="CV369" i="1"/>
  <c r="U369" i="1" s="1"/>
  <c r="CX369" i="1"/>
  <c r="W369" i="1" s="1"/>
  <c r="GL369" i="1"/>
  <c r="GN369" i="1"/>
  <c r="GO369" i="1"/>
  <c r="GP369" i="1"/>
  <c r="GV369" i="1"/>
  <c r="HC369" i="1" s="1"/>
  <c r="GX369" i="1" s="1"/>
  <c r="Q370" i="1"/>
  <c r="S370" i="1"/>
  <c r="W370" i="1"/>
  <c r="AC370" i="1"/>
  <c r="AD370" i="1"/>
  <c r="AE370" i="1"/>
  <c r="AF370" i="1"/>
  <c r="AG370" i="1"/>
  <c r="AH370" i="1"/>
  <c r="AI370" i="1"/>
  <c r="CW370" i="1" s="1"/>
  <c r="V370" i="1" s="1"/>
  <c r="AJ370" i="1"/>
  <c r="CQ370" i="1"/>
  <c r="CR370" i="1"/>
  <c r="CT370" i="1"/>
  <c r="CU370" i="1"/>
  <c r="T370" i="1" s="1"/>
  <c r="CV370" i="1"/>
  <c r="U370" i="1" s="1"/>
  <c r="CX370" i="1"/>
  <c r="GL370" i="1"/>
  <c r="GN370" i="1"/>
  <c r="GO370" i="1"/>
  <c r="GP370" i="1"/>
  <c r="GV370" i="1"/>
  <c r="HC370" i="1" s="1"/>
  <c r="GX370" i="1" s="1"/>
  <c r="Q371" i="1"/>
  <c r="S371" i="1"/>
  <c r="U371" i="1"/>
  <c r="W371" i="1"/>
  <c r="AC371" i="1"/>
  <c r="AD371" i="1"/>
  <c r="AE371" i="1"/>
  <c r="AF371" i="1"/>
  <c r="AG371" i="1"/>
  <c r="CU371" i="1" s="1"/>
  <c r="T371" i="1" s="1"/>
  <c r="AH371" i="1"/>
  <c r="AI371" i="1"/>
  <c r="CW371" i="1" s="1"/>
  <c r="V371" i="1" s="1"/>
  <c r="AJ371" i="1"/>
  <c r="CR371" i="1"/>
  <c r="CT371" i="1"/>
  <c r="CV371" i="1"/>
  <c r="CX371" i="1"/>
  <c r="GL371" i="1"/>
  <c r="GN371" i="1"/>
  <c r="GO371" i="1"/>
  <c r="GP371" i="1"/>
  <c r="GV371" i="1"/>
  <c r="HC371" i="1" s="1"/>
  <c r="GX371" i="1"/>
  <c r="S372" i="1"/>
  <c r="T372" i="1"/>
  <c r="U372" i="1"/>
  <c r="AC372" i="1"/>
  <c r="CQ372" i="1" s="1"/>
  <c r="AE372" i="1"/>
  <c r="AF372" i="1"/>
  <c r="AG372" i="1"/>
  <c r="AH372" i="1"/>
  <c r="AI372" i="1"/>
  <c r="CW372" i="1" s="1"/>
  <c r="V372" i="1" s="1"/>
  <c r="AJ372" i="1"/>
  <c r="CR372" i="1"/>
  <c r="CT372" i="1"/>
  <c r="CU372" i="1"/>
  <c r="CV372" i="1"/>
  <c r="CX372" i="1"/>
  <c r="W372" i="1" s="1"/>
  <c r="GL372" i="1"/>
  <c r="GN372" i="1"/>
  <c r="GO372" i="1"/>
  <c r="GP372" i="1"/>
  <c r="GV372" i="1"/>
  <c r="HC372" i="1" s="1"/>
  <c r="GX372" i="1"/>
  <c r="S373" i="1"/>
  <c r="T373" i="1"/>
  <c r="AC373" i="1"/>
  <c r="AE373" i="1"/>
  <c r="AF373" i="1"/>
  <c r="AG373" i="1"/>
  <c r="AH373" i="1"/>
  <c r="AI373" i="1"/>
  <c r="CW373" i="1" s="1"/>
  <c r="V373" i="1" s="1"/>
  <c r="AJ373" i="1"/>
  <c r="CQ373" i="1"/>
  <c r="CR373" i="1"/>
  <c r="CT373" i="1"/>
  <c r="CU373" i="1"/>
  <c r="CV373" i="1"/>
  <c r="U373" i="1" s="1"/>
  <c r="CX373" i="1"/>
  <c r="W373" i="1" s="1"/>
  <c r="GL373" i="1"/>
  <c r="GN373" i="1"/>
  <c r="GO373" i="1"/>
  <c r="GP373" i="1"/>
  <c r="GV373" i="1"/>
  <c r="HC373" i="1" s="1"/>
  <c r="GX373" i="1" s="1"/>
  <c r="Q374" i="1"/>
  <c r="S374" i="1"/>
  <c r="W374" i="1"/>
  <c r="AC374" i="1"/>
  <c r="AD374" i="1"/>
  <c r="AE374" i="1"/>
  <c r="AF374" i="1"/>
  <c r="AG374" i="1"/>
  <c r="AH374" i="1"/>
  <c r="AI374" i="1"/>
  <c r="CW374" i="1" s="1"/>
  <c r="V374" i="1" s="1"/>
  <c r="AJ374" i="1"/>
  <c r="CQ374" i="1"/>
  <c r="CR374" i="1"/>
  <c r="CT374" i="1"/>
  <c r="CU374" i="1"/>
  <c r="T374" i="1" s="1"/>
  <c r="CV374" i="1"/>
  <c r="U374" i="1" s="1"/>
  <c r="CX374" i="1"/>
  <c r="GL374" i="1"/>
  <c r="GN374" i="1"/>
  <c r="GO374" i="1"/>
  <c r="GP374" i="1"/>
  <c r="GV374" i="1"/>
  <c r="HC374" i="1" s="1"/>
  <c r="GX374" i="1" s="1"/>
  <c r="C375" i="1"/>
  <c r="D375" i="1"/>
  <c r="I375" i="1"/>
  <c r="S375" i="1" s="1"/>
  <c r="K375" i="1"/>
  <c r="Q375" i="1"/>
  <c r="U375" i="1"/>
  <c r="W375" i="1"/>
  <c r="AC375" i="1"/>
  <c r="AD375" i="1"/>
  <c r="AE375" i="1"/>
  <c r="AF375" i="1"/>
  <c r="AG375" i="1"/>
  <c r="AH375" i="1"/>
  <c r="AI375" i="1"/>
  <c r="CW375" i="1" s="1"/>
  <c r="AJ375" i="1"/>
  <c r="CR375" i="1"/>
  <c r="CT375" i="1"/>
  <c r="CU375" i="1"/>
  <c r="T375" i="1" s="1"/>
  <c r="CV375" i="1"/>
  <c r="CX375" i="1"/>
  <c r="GL375" i="1"/>
  <c r="GN375" i="1"/>
  <c r="GP375" i="1"/>
  <c r="GV375" i="1"/>
  <c r="HC375" i="1"/>
  <c r="GX375" i="1" s="1"/>
  <c r="C376" i="1"/>
  <c r="D376" i="1"/>
  <c r="I376" i="1"/>
  <c r="K376" i="1"/>
  <c r="T376" i="1"/>
  <c r="AC376" i="1"/>
  <c r="AE376" i="1"/>
  <c r="AF376" i="1"/>
  <c r="AG376" i="1"/>
  <c r="AH376" i="1"/>
  <c r="CV376" i="1" s="1"/>
  <c r="U376" i="1" s="1"/>
  <c r="AI376" i="1"/>
  <c r="CW376" i="1" s="1"/>
  <c r="V376" i="1" s="1"/>
  <c r="AJ376" i="1"/>
  <c r="CX376" i="1" s="1"/>
  <c r="CQ376" i="1"/>
  <c r="CS376" i="1"/>
  <c r="CU376" i="1"/>
  <c r="GL376" i="1"/>
  <c r="GN376" i="1"/>
  <c r="GP376" i="1"/>
  <c r="GV376" i="1"/>
  <c r="HC376" i="1"/>
  <c r="GX376" i="1" s="1"/>
  <c r="I377" i="1"/>
  <c r="P377" i="1" s="1"/>
  <c r="Q377" i="1"/>
  <c r="R377" i="1"/>
  <c r="T377" i="1"/>
  <c r="AC377" i="1"/>
  <c r="AD377" i="1"/>
  <c r="AB377" i="1" s="1"/>
  <c r="AE377" i="1"/>
  <c r="AF377" i="1"/>
  <c r="AG377" i="1"/>
  <c r="AH377" i="1"/>
  <c r="CV377" i="1" s="1"/>
  <c r="U377" i="1" s="1"/>
  <c r="AI377" i="1"/>
  <c r="AJ377" i="1"/>
  <c r="CX377" i="1" s="1"/>
  <c r="CQ377" i="1"/>
  <c r="CR377" i="1"/>
  <c r="CS377" i="1"/>
  <c r="CU377" i="1"/>
  <c r="CW377" i="1"/>
  <c r="V377" i="1" s="1"/>
  <c r="GL377" i="1"/>
  <c r="GN377" i="1"/>
  <c r="GP377" i="1"/>
  <c r="GV377" i="1"/>
  <c r="GX377" i="1"/>
  <c r="HC377" i="1"/>
  <c r="AC378" i="1"/>
  <c r="AD378" i="1"/>
  <c r="AE378" i="1"/>
  <c r="AF378" i="1"/>
  <c r="AG378" i="1"/>
  <c r="AH378" i="1"/>
  <c r="AI378" i="1"/>
  <c r="AJ378" i="1"/>
  <c r="CX378" i="1" s="1"/>
  <c r="CQ378" i="1"/>
  <c r="CR378" i="1"/>
  <c r="CS378" i="1"/>
  <c r="CU378" i="1"/>
  <c r="CV378" i="1"/>
  <c r="CW378" i="1"/>
  <c r="GL378" i="1"/>
  <c r="GN378" i="1"/>
  <c r="GP378" i="1"/>
  <c r="GV378" i="1"/>
  <c r="HC378" i="1"/>
  <c r="Q379" i="1"/>
  <c r="AC379" i="1"/>
  <c r="AE379" i="1"/>
  <c r="AD379" i="1" s="1"/>
  <c r="AF379" i="1"/>
  <c r="S379" i="1" s="1"/>
  <c r="AG379" i="1"/>
  <c r="CU379" i="1" s="1"/>
  <c r="T379" i="1" s="1"/>
  <c r="AH379" i="1"/>
  <c r="AI379" i="1"/>
  <c r="AJ379" i="1"/>
  <c r="CR379" i="1"/>
  <c r="CS379" i="1"/>
  <c r="CT379" i="1"/>
  <c r="CV379" i="1"/>
  <c r="U379" i="1" s="1"/>
  <c r="CW379" i="1"/>
  <c r="V379" i="1" s="1"/>
  <c r="CX379" i="1"/>
  <c r="W379" i="1" s="1"/>
  <c r="GL379" i="1"/>
  <c r="GN379" i="1"/>
  <c r="GO379" i="1"/>
  <c r="GP379" i="1"/>
  <c r="CD404" i="1" s="1"/>
  <c r="CD355" i="1" s="1"/>
  <c r="GV379" i="1"/>
  <c r="GX379" i="1"/>
  <c r="HC379" i="1"/>
  <c r="Q380" i="1"/>
  <c r="AC380" i="1"/>
  <c r="AE380" i="1"/>
  <c r="AD380" i="1" s="1"/>
  <c r="AF380" i="1"/>
  <c r="S380" i="1" s="1"/>
  <c r="AG380" i="1"/>
  <c r="CU380" i="1" s="1"/>
  <c r="T380" i="1" s="1"/>
  <c r="AH380" i="1"/>
  <c r="AI380" i="1"/>
  <c r="AJ380" i="1"/>
  <c r="CR380" i="1"/>
  <c r="CS380" i="1"/>
  <c r="CT380" i="1"/>
  <c r="CV380" i="1"/>
  <c r="U380" i="1" s="1"/>
  <c r="CW380" i="1"/>
  <c r="V380" i="1" s="1"/>
  <c r="CX380" i="1"/>
  <c r="W380" i="1" s="1"/>
  <c r="GL380" i="1"/>
  <c r="GN380" i="1"/>
  <c r="GO380" i="1"/>
  <c r="GP380" i="1"/>
  <c r="GV380" i="1"/>
  <c r="GX380" i="1"/>
  <c r="HC380" i="1"/>
  <c r="Q381" i="1"/>
  <c r="AC381" i="1"/>
  <c r="AE381" i="1"/>
  <c r="AD381" i="1" s="1"/>
  <c r="AF381" i="1"/>
  <c r="S381" i="1" s="1"/>
  <c r="AG381" i="1"/>
  <c r="CU381" i="1" s="1"/>
  <c r="T381" i="1" s="1"/>
  <c r="AH381" i="1"/>
  <c r="AI381" i="1"/>
  <c r="AJ381" i="1"/>
  <c r="CR381" i="1"/>
  <c r="CS381" i="1"/>
  <c r="CT381" i="1"/>
  <c r="CV381" i="1"/>
  <c r="U381" i="1" s="1"/>
  <c r="CW381" i="1"/>
  <c r="V381" i="1" s="1"/>
  <c r="CX381" i="1"/>
  <c r="W381" i="1" s="1"/>
  <c r="GL381" i="1"/>
  <c r="GN381" i="1"/>
  <c r="GO381" i="1"/>
  <c r="GP381" i="1"/>
  <c r="GV381" i="1"/>
  <c r="GX381" i="1"/>
  <c r="HC381" i="1"/>
  <c r="Q382" i="1"/>
  <c r="AC382" i="1"/>
  <c r="AE382" i="1"/>
  <c r="AD382" i="1" s="1"/>
  <c r="AF382" i="1"/>
  <c r="S382" i="1" s="1"/>
  <c r="AG382" i="1"/>
  <c r="CU382" i="1" s="1"/>
  <c r="T382" i="1" s="1"/>
  <c r="AH382" i="1"/>
  <c r="AI382" i="1"/>
  <c r="AJ382" i="1"/>
  <c r="CR382" i="1"/>
  <c r="CS382" i="1"/>
  <c r="CT382" i="1"/>
  <c r="CV382" i="1"/>
  <c r="U382" i="1" s="1"/>
  <c r="CW382" i="1"/>
  <c r="V382" i="1" s="1"/>
  <c r="CX382" i="1"/>
  <c r="W382" i="1" s="1"/>
  <c r="GL382" i="1"/>
  <c r="GN382" i="1"/>
  <c r="GO382" i="1"/>
  <c r="GP382" i="1"/>
  <c r="GV382" i="1"/>
  <c r="GX382" i="1"/>
  <c r="HC382" i="1"/>
  <c r="Q383" i="1"/>
  <c r="AC383" i="1"/>
  <c r="AE383" i="1"/>
  <c r="AD383" i="1" s="1"/>
  <c r="AF383" i="1"/>
  <c r="S383" i="1" s="1"/>
  <c r="AG383" i="1"/>
  <c r="CU383" i="1" s="1"/>
  <c r="T383" i="1" s="1"/>
  <c r="AH383" i="1"/>
  <c r="AI383" i="1"/>
  <c r="AJ383" i="1"/>
  <c r="CR383" i="1"/>
  <c r="CS383" i="1"/>
  <c r="CT383" i="1"/>
  <c r="CV383" i="1"/>
  <c r="U383" i="1" s="1"/>
  <c r="CW383" i="1"/>
  <c r="V383" i="1" s="1"/>
  <c r="CX383" i="1"/>
  <c r="W383" i="1" s="1"/>
  <c r="GL383" i="1"/>
  <c r="GN383" i="1"/>
  <c r="GO383" i="1"/>
  <c r="GP383" i="1"/>
  <c r="GV383" i="1"/>
  <c r="GX383" i="1"/>
  <c r="HC383" i="1"/>
  <c r="Q384" i="1"/>
  <c r="AC384" i="1"/>
  <c r="AE384" i="1"/>
  <c r="AD384" i="1" s="1"/>
  <c r="AF384" i="1"/>
  <c r="S384" i="1" s="1"/>
  <c r="AG384" i="1"/>
  <c r="CU384" i="1" s="1"/>
  <c r="T384" i="1" s="1"/>
  <c r="AH384" i="1"/>
  <c r="AI384" i="1"/>
  <c r="AJ384" i="1"/>
  <c r="CR384" i="1"/>
  <c r="CS384" i="1"/>
  <c r="CT384" i="1"/>
  <c r="CV384" i="1"/>
  <c r="U384" i="1" s="1"/>
  <c r="CW384" i="1"/>
  <c r="V384" i="1" s="1"/>
  <c r="CX384" i="1"/>
  <c r="W384" i="1" s="1"/>
  <c r="GL384" i="1"/>
  <c r="GN384" i="1"/>
  <c r="GO384" i="1"/>
  <c r="GP384" i="1"/>
  <c r="GV384" i="1"/>
  <c r="GX384" i="1"/>
  <c r="HC384" i="1"/>
  <c r="Q385" i="1"/>
  <c r="AC385" i="1"/>
  <c r="AE385" i="1"/>
  <c r="AD385" i="1" s="1"/>
  <c r="AF385" i="1"/>
  <c r="S385" i="1" s="1"/>
  <c r="AG385" i="1"/>
  <c r="CU385" i="1" s="1"/>
  <c r="T385" i="1" s="1"/>
  <c r="AH385" i="1"/>
  <c r="AI385" i="1"/>
  <c r="AJ385" i="1"/>
  <c r="CR385" i="1"/>
  <c r="CS385" i="1"/>
  <c r="CT385" i="1"/>
  <c r="CV385" i="1"/>
  <c r="U385" i="1" s="1"/>
  <c r="CW385" i="1"/>
  <c r="V385" i="1" s="1"/>
  <c r="CX385" i="1"/>
  <c r="W385" i="1" s="1"/>
  <c r="GL385" i="1"/>
  <c r="GN385" i="1"/>
  <c r="GO385" i="1"/>
  <c r="GP385" i="1"/>
  <c r="GV385" i="1"/>
  <c r="GX385" i="1"/>
  <c r="HC385" i="1"/>
  <c r="Q386" i="1"/>
  <c r="AC386" i="1"/>
  <c r="AE386" i="1"/>
  <c r="AD386" i="1" s="1"/>
  <c r="AF386" i="1"/>
  <c r="S386" i="1" s="1"/>
  <c r="AG386" i="1"/>
  <c r="CU386" i="1" s="1"/>
  <c r="T386" i="1" s="1"/>
  <c r="AH386" i="1"/>
  <c r="AI386" i="1"/>
  <c r="AJ386" i="1"/>
  <c r="CR386" i="1"/>
  <c r="CS386" i="1"/>
  <c r="CT386" i="1"/>
  <c r="CV386" i="1"/>
  <c r="U386" i="1" s="1"/>
  <c r="CW386" i="1"/>
  <c r="V386" i="1" s="1"/>
  <c r="CX386" i="1"/>
  <c r="W386" i="1" s="1"/>
  <c r="GL386" i="1"/>
  <c r="GN386" i="1"/>
  <c r="GO386" i="1"/>
  <c r="GP386" i="1"/>
  <c r="GV386" i="1"/>
  <c r="GX386" i="1"/>
  <c r="HC386" i="1"/>
  <c r="Q387" i="1"/>
  <c r="AC387" i="1"/>
  <c r="AE387" i="1"/>
  <c r="AD387" i="1" s="1"/>
  <c r="AF387" i="1"/>
  <c r="S387" i="1" s="1"/>
  <c r="AG387" i="1"/>
  <c r="CU387" i="1" s="1"/>
  <c r="T387" i="1" s="1"/>
  <c r="AH387" i="1"/>
  <c r="AI387" i="1"/>
  <c r="AJ387" i="1"/>
  <c r="CR387" i="1"/>
  <c r="CS387" i="1"/>
  <c r="CT387" i="1"/>
  <c r="CV387" i="1"/>
  <c r="U387" i="1" s="1"/>
  <c r="CW387" i="1"/>
  <c r="V387" i="1" s="1"/>
  <c r="CX387" i="1"/>
  <c r="W387" i="1" s="1"/>
  <c r="GL387" i="1"/>
  <c r="GN387" i="1"/>
  <c r="GO387" i="1"/>
  <c r="GP387" i="1"/>
  <c r="GV387" i="1"/>
  <c r="GX387" i="1"/>
  <c r="HC387" i="1"/>
  <c r="Q388" i="1"/>
  <c r="AC388" i="1"/>
  <c r="AE388" i="1"/>
  <c r="AD388" i="1" s="1"/>
  <c r="AF388" i="1"/>
  <c r="S388" i="1" s="1"/>
  <c r="AG388" i="1"/>
  <c r="CU388" i="1" s="1"/>
  <c r="T388" i="1" s="1"/>
  <c r="AH388" i="1"/>
  <c r="AI388" i="1"/>
  <c r="AJ388" i="1"/>
  <c r="CR388" i="1"/>
  <c r="CS388" i="1"/>
  <c r="CT388" i="1"/>
  <c r="CV388" i="1"/>
  <c r="U388" i="1" s="1"/>
  <c r="CW388" i="1"/>
  <c r="V388" i="1" s="1"/>
  <c r="CX388" i="1"/>
  <c r="W388" i="1" s="1"/>
  <c r="GL388" i="1"/>
  <c r="GN388" i="1"/>
  <c r="GO388" i="1"/>
  <c r="GP388" i="1"/>
  <c r="GV388" i="1"/>
  <c r="GX388" i="1"/>
  <c r="HC388" i="1"/>
  <c r="C389" i="1"/>
  <c r="D389" i="1"/>
  <c r="S389" i="1"/>
  <c r="T389" i="1"/>
  <c r="AC389" i="1"/>
  <c r="AE389" i="1"/>
  <c r="AF389" i="1"/>
  <c r="AG389" i="1"/>
  <c r="AH389" i="1"/>
  <c r="AI389" i="1"/>
  <c r="CW389" i="1" s="1"/>
  <c r="V389" i="1" s="1"/>
  <c r="AJ389" i="1"/>
  <c r="CQ389" i="1"/>
  <c r="CT389" i="1"/>
  <c r="CU389" i="1"/>
  <c r="CV389" i="1"/>
  <c r="U389" i="1" s="1"/>
  <c r="CX389" i="1"/>
  <c r="W389" i="1" s="1"/>
  <c r="GL389" i="1"/>
  <c r="GN389" i="1"/>
  <c r="GP389" i="1"/>
  <c r="GV389" i="1"/>
  <c r="HC389" i="1" s="1"/>
  <c r="GX389" i="1" s="1"/>
  <c r="C390" i="1"/>
  <c r="D390" i="1"/>
  <c r="R390" i="1"/>
  <c r="S390" i="1"/>
  <c r="W390" i="1"/>
  <c r="AC390" i="1"/>
  <c r="P390" i="1" s="1"/>
  <c r="AD390" i="1"/>
  <c r="AB390" i="1" s="1"/>
  <c r="AE390" i="1"/>
  <c r="Q390" i="1" s="1"/>
  <c r="AF390" i="1"/>
  <c r="CT390" i="1" s="1"/>
  <c r="AG390" i="1"/>
  <c r="AH390" i="1"/>
  <c r="CV390" i="1" s="1"/>
  <c r="U390" i="1" s="1"/>
  <c r="AI390" i="1"/>
  <c r="AJ390" i="1"/>
  <c r="CQ390" i="1"/>
  <c r="CR390" i="1"/>
  <c r="CS390" i="1"/>
  <c r="CU390" i="1"/>
  <c r="T390" i="1" s="1"/>
  <c r="CW390" i="1"/>
  <c r="V390" i="1" s="1"/>
  <c r="CX390" i="1"/>
  <c r="GL390" i="1"/>
  <c r="GN390" i="1"/>
  <c r="GP390" i="1"/>
  <c r="GV390" i="1"/>
  <c r="HC390" i="1" s="1"/>
  <c r="GX390" i="1"/>
  <c r="I391" i="1"/>
  <c r="Q391" i="1" s="1"/>
  <c r="R391" i="1"/>
  <c r="CY391" i="1" s="1"/>
  <c r="X391" i="1" s="1"/>
  <c r="S391" i="1"/>
  <c r="V391" i="1"/>
  <c r="W391" i="1"/>
  <c r="AC391" i="1"/>
  <c r="AB391" i="1" s="1"/>
  <c r="AD391" i="1"/>
  <c r="AE391" i="1"/>
  <c r="AF391" i="1"/>
  <c r="AG391" i="1"/>
  <c r="AH391" i="1"/>
  <c r="CV391" i="1" s="1"/>
  <c r="U391" i="1" s="1"/>
  <c r="AI391" i="1"/>
  <c r="AJ391" i="1"/>
  <c r="CQ391" i="1"/>
  <c r="CR391" i="1"/>
  <c r="CS391" i="1"/>
  <c r="CT391" i="1"/>
  <c r="CU391" i="1"/>
  <c r="T391" i="1" s="1"/>
  <c r="CW391" i="1"/>
  <c r="CX391" i="1"/>
  <c r="GL391" i="1"/>
  <c r="GN391" i="1"/>
  <c r="GP391" i="1"/>
  <c r="GV391" i="1"/>
  <c r="HC391" i="1" s="1"/>
  <c r="GX391" i="1" s="1"/>
  <c r="I392" i="1"/>
  <c r="Q392" i="1" s="1"/>
  <c r="P392" i="1"/>
  <c r="CP392" i="1" s="1"/>
  <c r="O392" i="1" s="1"/>
  <c r="R392" i="1"/>
  <c r="V392" i="1"/>
  <c r="AC392" i="1"/>
  <c r="AD392" i="1"/>
  <c r="AE392" i="1"/>
  <c r="AF392" i="1"/>
  <c r="S392" i="1" s="1"/>
  <c r="CZ392" i="1" s="1"/>
  <c r="Y392" i="1" s="1"/>
  <c r="AG392" i="1"/>
  <c r="CU392" i="1" s="1"/>
  <c r="T392" i="1" s="1"/>
  <c r="AH392" i="1"/>
  <c r="CV392" i="1" s="1"/>
  <c r="U392" i="1" s="1"/>
  <c r="AI392" i="1"/>
  <c r="AJ392" i="1"/>
  <c r="CR392" i="1"/>
  <c r="CS392" i="1"/>
  <c r="CT392" i="1"/>
  <c r="CW392" i="1"/>
  <c r="CX392" i="1"/>
  <c r="W392" i="1" s="1"/>
  <c r="GL392" i="1"/>
  <c r="GN392" i="1"/>
  <c r="GP392" i="1"/>
  <c r="GV392" i="1"/>
  <c r="HC392" i="1" s="1"/>
  <c r="GX392" i="1" s="1"/>
  <c r="P393" i="1"/>
  <c r="FR393" i="1" s="1"/>
  <c r="Q393" i="1"/>
  <c r="S393" i="1"/>
  <c r="U393" i="1"/>
  <c r="W393" i="1"/>
  <c r="AC393" i="1"/>
  <c r="AD393" i="1"/>
  <c r="AE393" i="1"/>
  <c r="AF393" i="1"/>
  <c r="AG393" i="1"/>
  <c r="AH393" i="1"/>
  <c r="AI393" i="1"/>
  <c r="CW393" i="1" s="1"/>
  <c r="V393" i="1" s="1"/>
  <c r="AJ393" i="1"/>
  <c r="CR393" i="1"/>
  <c r="CT393" i="1"/>
  <c r="CU393" i="1"/>
  <c r="T393" i="1" s="1"/>
  <c r="CV393" i="1"/>
  <c r="CX393" i="1"/>
  <c r="GL393" i="1"/>
  <c r="GN393" i="1"/>
  <c r="GO393" i="1"/>
  <c r="GP393" i="1"/>
  <c r="GV393" i="1"/>
  <c r="HC393" i="1" s="1"/>
  <c r="GX393" i="1"/>
  <c r="S394" i="1"/>
  <c r="T394" i="1"/>
  <c r="U394" i="1"/>
  <c r="AC394" i="1"/>
  <c r="CQ394" i="1" s="1"/>
  <c r="AE394" i="1"/>
  <c r="AF394" i="1"/>
  <c r="AG394" i="1"/>
  <c r="AH394" i="1"/>
  <c r="AI394" i="1"/>
  <c r="CW394" i="1" s="1"/>
  <c r="V394" i="1" s="1"/>
  <c r="AJ394" i="1"/>
  <c r="CR394" i="1"/>
  <c r="CT394" i="1"/>
  <c r="CU394" i="1"/>
  <c r="CV394" i="1"/>
  <c r="CX394" i="1"/>
  <c r="W394" i="1" s="1"/>
  <c r="GL394" i="1"/>
  <c r="GN394" i="1"/>
  <c r="GO394" i="1"/>
  <c r="GP394" i="1"/>
  <c r="GV394" i="1"/>
  <c r="HC394" i="1" s="1"/>
  <c r="GX394" i="1"/>
  <c r="C395" i="1"/>
  <c r="D395" i="1"/>
  <c r="I395" i="1"/>
  <c r="K395" i="1"/>
  <c r="S395" i="1"/>
  <c r="AC395" i="1"/>
  <c r="AE395" i="1"/>
  <c r="AF395" i="1"/>
  <c r="AG395" i="1"/>
  <c r="AH395" i="1"/>
  <c r="AI395" i="1"/>
  <c r="CW395" i="1" s="1"/>
  <c r="V395" i="1" s="1"/>
  <c r="AJ395" i="1"/>
  <c r="CQ395" i="1"/>
  <c r="CR395" i="1"/>
  <c r="CT395" i="1"/>
  <c r="CU395" i="1"/>
  <c r="CV395" i="1"/>
  <c r="U395" i="1" s="1"/>
  <c r="CX395" i="1"/>
  <c r="W395" i="1" s="1"/>
  <c r="GL395" i="1"/>
  <c r="GN395" i="1"/>
  <c r="GP395" i="1"/>
  <c r="GV395" i="1"/>
  <c r="HC395" i="1" s="1"/>
  <c r="GX395" i="1" s="1"/>
  <c r="C396" i="1"/>
  <c r="D396" i="1"/>
  <c r="I396" i="1"/>
  <c r="K396" i="1"/>
  <c r="P396" i="1"/>
  <c r="Q396" i="1"/>
  <c r="R396" i="1"/>
  <c r="V396" i="1"/>
  <c r="AC396" i="1"/>
  <c r="AD396" i="1"/>
  <c r="AE396" i="1"/>
  <c r="AF396" i="1"/>
  <c r="AG396" i="1"/>
  <c r="AH396" i="1"/>
  <c r="AI396" i="1"/>
  <c r="AJ396" i="1"/>
  <c r="CX396" i="1" s="1"/>
  <c r="W396" i="1" s="1"/>
  <c r="CQ396" i="1"/>
  <c r="CR396" i="1"/>
  <c r="CS396" i="1"/>
  <c r="CU396" i="1"/>
  <c r="T396" i="1" s="1"/>
  <c r="CV396" i="1"/>
  <c r="U396" i="1" s="1"/>
  <c r="CW396" i="1"/>
  <c r="GL396" i="1"/>
  <c r="GN396" i="1"/>
  <c r="GP396" i="1"/>
  <c r="GV396" i="1"/>
  <c r="GX396" i="1"/>
  <c r="HC396" i="1"/>
  <c r="I397" i="1"/>
  <c r="Q397" i="1" s="1"/>
  <c r="P397" i="1"/>
  <c r="U397" i="1"/>
  <c r="AC397" i="1"/>
  <c r="AE397" i="1"/>
  <c r="R397" i="1" s="1"/>
  <c r="AF397" i="1"/>
  <c r="AG397" i="1"/>
  <c r="AH397" i="1"/>
  <c r="AI397" i="1"/>
  <c r="CW397" i="1" s="1"/>
  <c r="V397" i="1" s="1"/>
  <c r="AJ397" i="1"/>
  <c r="CX397" i="1" s="1"/>
  <c r="W397" i="1" s="1"/>
  <c r="CQ397" i="1"/>
  <c r="CS397" i="1"/>
  <c r="CU397" i="1"/>
  <c r="T397" i="1" s="1"/>
  <c r="CV397" i="1"/>
  <c r="GL397" i="1"/>
  <c r="GN397" i="1"/>
  <c r="GP397" i="1"/>
  <c r="GV397" i="1"/>
  <c r="HC397" i="1"/>
  <c r="GX397" i="1" s="1"/>
  <c r="I398" i="1"/>
  <c r="T398" i="1"/>
  <c r="AC398" i="1"/>
  <c r="AE398" i="1"/>
  <c r="AF398" i="1"/>
  <c r="AG398" i="1"/>
  <c r="AH398" i="1"/>
  <c r="CV398" i="1" s="1"/>
  <c r="U398" i="1" s="1"/>
  <c r="AI398" i="1"/>
  <c r="CW398" i="1" s="1"/>
  <c r="V398" i="1" s="1"/>
  <c r="AJ398" i="1"/>
  <c r="CX398" i="1" s="1"/>
  <c r="CQ398" i="1"/>
  <c r="CS398" i="1"/>
  <c r="CU398" i="1"/>
  <c r="GL398" i="1"/>
  <c r="GN398" i="1"/>
  <c r="GP398" i="1"/>
  <c r="GV398" i="1"/>
  <c r="HC398" i="1"/>
  <c r="GX398" i="1" s="1"/>
  <c r="C399" i="1"/>
  <c r="D399" i="1"/>
  <c r="I399" i="1"/>
  <c r="K399" i="1"/>
  <c r="AC399" i="1"/>
  <c r="AE399" i="1"/>
  <c r="AD399" i="1" s="1"/>
  <c r="AB399" i="1" s="1"/>
  <c r="AF399" i="1"/>
  <c r="S399" i="1" s="1"/>
  <c r="AG399" i="1"/>
  <c r="CU399" i="1" s="1"/>
  <c r="AH399" i="1"/>
  <c r="AI399" i="1"/>
  <c r="CW399" i="1" s="1"/>
  <c r="V399" i="1" s="1"/>
  <c r="AJ399" i="1"/>
  <c r="CX399" i="1" s="1"/>
  <c r="W399" i="1" s="1"/>
  <c r="CS399" i="1"/>
  <c r="CT399" i="1"/>
  <c r="CV399" i="1"/>
  <c r="U399" i="1" s="1"/>
  <c r="GL399" i="1"/>
  <c r="GN399" i="1"/>
  <c r="GP399" i="1"/>
  <c r="GV399" i="1"/>
  <c r="HC399" i="1"/>
  <c r="GX399" i="1" s="1"/>
  <c r="C400" i="1"/>
  <c r="D400" i="1"/>
  <c r="I400" i="1"/>
  <c r="K400" i="1"/>
  <c r="R400" i="1"/>
  <c r="AC400" i="1"/>
  <c r="P400" i="1" s="1"/>
  <c r="AD400" i="1"/>
  <c r="AE400" i="1"/>
  <c r="Q400" i="1" s="1"/>
  <c r="AF400" i="1"/>
  <c r="AG400" i="1"/>
  <c r="CU400" i="1" s="1"/>
  <c r="T400" i="1" s="1"/>
  <c r="AH400" i="1"/>
  <c r="CV400" i="1" s="1"/>
  <c r="U400" i="1" s="1"/>
  <c r="AI400" i="1"/>
  <c r="AJ400" i="1"/>
  <c r="CR400" i="1"/>
  <c r="CS400" i="1"/>
  <c r="CW400" i="1"/>
  <c r="V400" i="1" s="1"/>
  <c r="CX400" i="1"/>
  <c r="W400" i="1" s="1"/>
  <c r="GL400" i="1"/>
  <c r="GN400" i="1"/>
  <c r="GP400" i="1"/>
  <c r="GV400" i="1"/>
  <c r="HC400" i="1" s="1"/>
  <c r="GX400" i="1"/>
  <c r="I401" i="1"/>
  <c r="S401" i="1"/>
  <c r="AC401" i="1"/>
  <c r="P401" i="1" s="1"/>
  <c r="AD401" i="1"/>
  <c r="AB401" i="1" s="1"/>
  <c r="AE401" i="1"/>
  <c r="AF401" i="1"/>
  <c r="CT401" i="1" s="1"/>
  <c r="AG401" i="1"/>
  <c r="AH401" i="1"/>
  <c r="CV401" i="1" s="1"/>
  <c r="AI401" i="1"/>
  <c r="AJ401" i="1"/>
  <c r="CQ401" i="1"/>
  <c r="CR401" i="1"/>
  <c r="CS401" i="1"/>
  <c r="CU401" i="1"/>
  <c r="T401" i="1" s="1"/>
  <c r="CW401" i="1"/>
  <c r="V401" i="1" s="1"/>
  <c r="CX401" i="1"/>
  <c r="GL401" i="1"/>
  <c r="GN401" i="1"/>
  <c r="GP401" i="1"/>
  <c r="GV401" i="1"/>
  <c r="HC401" i="1" s="1"/>
  <c r="GX401" i="1"/>
  <c r="I402" i="1"/>
  <c r="Q402" i="1" s="1"/>
  <c r="R402" i="1"/>
  <c r="CY402" i="1" s="1"/>
  <c r="X402" i="1" s="1"/>
  <c r="S402" i="1"/>
  <c r="V402" i="1"/>
  <c r="W402" i="1"/>
  <c r="AC402" i="1"/>
  <c r="AD402" i="1"/>
  <c r="AE402" i="1"/>
  <c r="AF402" i="1"/>
  <c r="AG402" i="1"/>
  <c r="AH402" i="1"/>
  <c r="CV402" i="1" s="1"/>
  <c r="U402" i="1" s="1"/>
  <c r="AI402" i="1"/>
  <c r="AJ402" i="1"/>
  <c r="CQ402" i="1"/>
  <c r="CR402" i="1"/>
  <c r="CS402" i="1"/>
  <c r="CT402" i="1"/>
  <c r="CU402" i="1"/>
  <c r="T402" i="1" s="1"/>
  <c r="CW402" i="1"/>
  <c r="CX402" i="1"/>
  <c r="GL402" i="1"/>
  <c r="GN402" i="1"/>
  <c r="GP402" i="1"/>
  <c r="GV402" i="1"/>
  <c r="HC402" i="1" s="1"/>
  <c r="GX402" i="1" s="1"/>
  <c r="B404" i="1"/>
  <c r="B355" i="1" s="1"/>
  <c r="C404" i="1"/>
  <c r="C355" i="1" s="1"/>
  <c r="D404" i="1"/>
  <c r="D355" i="1" s="1"/>
  <c r="F404" i="1"/>
  <c r="G404" i="1"/>
  <c r="G355" i="1" s="1"/>
  <c r="BX404" i="1"/>
  <c r="AO404" i="1" s="1"/>
  <c r="CK404" i="1"/>
  <c r="BB404" i="1" s="1"/>
  <c r="CL404" i="1"/>
  <c r="CL355" i="1" s="1"/>
  <c r="CM404" i="1"/>
  <c r="EV404" i="1"/>
  <c r="FP404" i="1"/>
  <c r="FP355" i="1" s="1"/>
  <c r="GC404" i="1"/>
  <c r="GC355" i="1" s="1"/>
  <c r="GD404" i="1"/>
  <c r="GD355" i="1" s="1"/>
  <c r="GE404" i="1"/>
  <c r="D434" i="1"/>
  <c r="E436" i="1"/>
  <c r="F436" i="1"/>
  <c r="Z436" i="1"/>
  <c r="AA436" i="1"/>
  <c r="AM436" i="1"/>
  <c r="AN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CM436" i="1"/>
  <c r="CN436" i="1"/>
  <c r="CO436" i="1"/>
  <c r="CP436" i="1"/>
  <c r="CQ436" i="1"/>
  <c r="CR436" i="1"/>
  <c r="CS436" i="1"/>
  <c r="CT436" i="1"/>
  <c r="CU436" i="1"/>
  <c r="CV436" i="1"/>
  <c r="CW436" i="1"/>
  <c r="CX436" i="1"/>
  <c r="CY436" i="1"/>
  <c r="CZ436" i="1"/>
  <c r="DA436" i="1"/>
  <c r="DB436" i="1"/>
  <c r="DC436" i="1"/>
  <c r="DD436" i="1"/>
  <c r="DE436" i="1"/>
  <c r="DF436" i="1"/>
  <c r="DR436" i="1"/>
  <c r="DS436" i="1"/>
  <c r="EE436" i="1"/>
  <c r="EF436" i="1"/>
  <c r="EW436" i="1"/>
  <c r="EX436" i="1"/>
  <c r="EY436" i="1"/>
  <c r="EZ436" i="1"/>
  <c r="FA436" i="1"/>
  <c r="FB436" i="1"/>
  <c r="FC436" i="1"/>
  <c r="FD436" i="1"/>
  <c r="FE436" i="1"/>
  <c r="FF436" i="1"/>
  <c r="FG436" i="1"/>
  <c r="FH436" i="1"/>
  <c r="FI436" i="1"/>
  <c r="FJ436" i="1"/>
  <c r="FK436" i="1"/>
  <c r="FL436" i="1"/>
  <c r="FM436" i="1"/>
  <c r="FN436" i="1"/>
  <c r="FO436" i="1"/>
  <c r="GC436" i="1"/>
  <c r="GF436" i="1"/>
  <c r="GG436" i="1"/>
  <c r="GH436" i="1"/>
  <c r="GI436" i="1"/>
  <c r="GJ436" i="1"/>
  <c r="GK436" i="1"/>
  <c r="GL436" i="1"/>
  <c r="GM436" i="1"/>
  <c r="GN436" i="1"/>
  <c r="GO436" i="1"/>
  <c r="GP436" i="1"/>
  <c r="GQ436" i="1"/>
  <c r="GR436" i="1"/>
  <c r="GS436" i="1"/>
  <c r="GT436" i="1"/>
  <c r="GU436" i="1"/>
  <c r="GV436" i="1"/>
  <c r="GW436" i="1"/>
  <c r="GX436" i="1"/>
  <c r="C438" i="1"/>
  <c r="D438" i="1"/>
  <c r="S438" i="1"/>
  <c r="T438" i="1"/>
  <c r="AC438" i="1"/>
  <c r="AE438" i="1"/>
  <c r="AF438" i="1"/>
  <c r="AG438" i="1"/>
  <c r="AH438" i="1"/>
  <c r="AI438" i="1"/>
  <c r="CW438" i="1" s="1"/>
  <c r="V438" i="1" s="1"/>
  <c r="AJ438" i="1"/>
  <c r="CQ438" i="1"/>
  <c r="CR438" i="1"/>
  <c r="CT438" i="1"/>
  <c r="CU438" i="1"/>
  <c r="CV438" i="1"/>
  <c r="U438" i="1" s="1"/>
  <c r="CX438" i="1"/>
  <c r="W438" i="1" s="1"/>
  <c r="GL438" i="1"/>
  <c r="GN438" i="1"/>
  <c r="GP438" i="1"/>
  <c r="GV438" i="1"/>
  <c r="HC438" i="1" s="1"/>
  <c r="GX438" i="1" s="1"/>
  <c r="C439" i="1"/>
  <c r="D439" i="1"/>
  <c r="R439" i="1"/>
  <c r="T439" i="1"/>
  <c r="AC439" i="1"/>
  <c r="P439" i="1" s="1"/>
  <c r="AD439" i="1"/>
  <c r="AE439" i="1"/>
  <c r="Q439" i="1" s="1"/>
  <c r="AF439" i="1"/>
  <c r="AG439" i="1"/>
  <c r="AH439" i="1"/>
  <c r="CV439" i="1" s="1"/>
  <c r="U439" i="1" s="1"/>
  <c r="AI439" i="1"/>
  <c r="AJ439" i="1"/>
  <c r="CQ439" i="1"/>
  <c r="CR439" i="1"/>
  <c r="CS439" i="1"/>
  <c r="CU439" i="1"/>
  <c r="CW439" i="1"/>
  <c r="V439" i="1" s="1"/>
  <c r="EA459" i="1" s="1"/>
  <c r="CX439" i="1"/>
  <c r="W439" i="1" s="1"/>
  <c r="GL439" i="1"/>
  <c r="GN439" i="1"/>
  <c r="GP439" i="1"/>
  <c r="GV439" i="1"/>
  <c r="HC439" i="1" s="1"/>
  <c r="GX439" i="1"/>
  <c r="S440" i="1"/>
  <c r="T440" i="1"/>
  <c r="AC440" i="1"/>
  <c r="AE440" i="1"/>
  <c r="AF440" i="1"/>
  <c r="AG440" i="1"/>
  <c r="AH440" i="1"/>
  <c r="AI440" i="1"/>
  <c r="CW440" i="1" s="1"/>
  <c r="V440" i="1" s="1"/>
  <c r="AJ440" i="1"/>
  <c r="CQ440" i="1"/>
  <c r="CR440" i="1"/>
  <c r="CT440" i="1"/>
  <c r="CU440" i="1"/>
  <c r="CV440" i="1"/>
  <c r="U440" i="1" s="1"/>
  <c r="CX440" i="1"/>
  <c r="W440" i="1" s="1"/>
  <c r="GL440" i="1"/>
  <c r="GN440" i="1"/>
  <c r="GO440" i="1"/>
  <c r="GP440" i="1"/>
  <c r="GV440" i="1"/>
  <c r="HC440" i="1" s="1"/>
  <c r="GX440" i="1"/>
  <c r="S441" i="1"/>
  <c r="AC441" i="1"/>
  <c r="AE441" i="1"/>
  <c r="AF441" i="1"/>
  <c r="AG441" i="1"/>
  <c r="AH441" i="1"/>
  <c r="AI441" i="1"/>
  <c r="CW441" i="1" s="1"/>
  <c r="V441" i="1" s="1"/>
  <c r="AJ441" i="1"/>
  <c r="CQ441" i="1"/>
  <c r="CT441" i="1"/>
  <c r="CU441" i="1"/>
  <c r="T441" i="1" s="1"/>
  <c r="CV441" i="1"/>
  <c r="U441" i="1" s="1"/>
  <c r="CX441" i="1"/>
  <c r="W441" i="1" s="1"/>
  <c r="GL441" i="1"/>
  <c r="GN441" i="1"/>
  <c r="GO441" i="1"/>
  <c r="GP441" i="1"/>
  <c r="GV441" i="1"/>
  <c r="HC441" i="1" s="1"/>
  <c r="GX441" i="1" s="1"/>
  <c r="C442" i="1"/>
  <c r="D442" i="1"/>
  <c r="AB442" i="1"/>
  <c r="AC442" i="1"/>
  <c r="AE442" i="1"/>
  <c r="AD442" i="1" s="1"/>
  <c r="AF442" i="1"/>
  <c r="S442" i="1" s="1"/>
  <c r="AG442" i="1"/>
  <c r="CU442" i="1" s="1"/>
  <c r="T442" i="1" s="1"/>
  <c r="AH442" i="1"/>
  <c r="AI442" i="1"/>
  <c r="CW442" i="1" s="1"/>
  <c r="V442" i="1" s="1"/>
  <c r="AJ442" i="1"/>
  <c r="CX442" i="1" s="1"/>
  <c r="W442" i="1" s="1"/>
  <c r="CS442" i="1"/>
  <c r="CT442" i="1"/>
  <c r="CV442" i="1"/>
  <c r="U442" i="1" s="1"/>
  <c r="GL442" i="1"/>
  <c r="GN442" i="1"/>
  <c r="GP442" i="1"/>
  <c r="GV442" i="1"/>
  <c r="HC442" i="1"/>
  <c r="GX442" i="1" s="1"/>
  <c r="C443" i="1"/>
  <c r="D443" i="1"/>
  <c r="P443" i="1"/>
  <c r="T443" i="1"/>
  <c r="AC443" i="1"/>
  <c r="AE443" i="1"/>
  <c r="AF443" i="1"/>
  <c r="AG443" i="1"/>
  <c r="AH443" i="1"/>
  <c r="CV443" i="1" s="1"/>
  <c r="U443" i="1" s="1"/>
  <c r="AI443" i="1"/>
  <c r="CW443" i="1" s="1"/>
  <c r="V443" i="1" s="1"/>
  <c r="AJ443" i="1"/>
  <c r="CX443" i="1" s="1"/>
  <c r="W443" i="1" s="1"/>
  <c r="CQ443" i="1"/>
  <c r="CS443" i="1"/>
  <c r="CU443" i="1"/>
  <c r="GL443" i="1"/>
  <c r="GN443" i="1"/>
  <c r="GP443" i="1"/>
  <c r="GV443" i="1"/>
  <c r="HC443" i="1"/>
  <c r="GX443" i="1" s="1"/>
  <c r="AC444" i="1"/>
  <c r="AE444" i="1"/>
  <c r="AD444" i="1" s="1"/>
  <c r="AF444" i="1"/>
  <c r="CT444" i="1" s="1"/>
  <c r="AG444" i="1"/>
  <c r="CU444" i="1" s="1"/>
  <c r="T444" i="1" s="1"/>
  <c r="AH444" i="1"/>
  <c r="AI444" i="1"/>
  <c r="CW444" i="1" s="1"/>
  <c r="V444" i="1" s="1"/>
  <c r="AJ444" i="1"/>
  <c r="CX444" i="1" s="1"/>
  <c r="W444" i="1" s="1"/>
  <c r="CS444" i="1"/>
  <c r="CV444" i="1"/>
  <c r="U444" i="1" s="1"/>
  <c r="GL444" i="1"/>
  <c r="GN444" i="1"/>
  <c r="GO444" i="1"/>
  <c r="GP444" i="1"/>
  <c r="GV444" i="1"/>
  <c r="HC444" i="1"/>
  <c r="GX444" i="1" s="1"/>
  <c r="AC445" i="1"/>
  <c r="AE445" i="1"/>
  <c r="AD445" i="1" s="1"/>
  <c r="AF445" i="1"/>
  <c r="S445" i="1" s="1"/>
  <c r="AG445" i="1"/>
  <c r="CU445" i="1" s="1"/>
  <c r="T445" i="1" s="1"/>
  <c r="AH445" i="1"/>
  <c r="AI445" i="1"/>
  <c r="CW445" i="1" s="1"/>
  <c r="V445" i="1" s="1"/>
  <c r="AJ445" i="1"/>
  <c r="CX445" i="1" s="1"/>
  <c r="W445" i="1" s="1"/>
  <c r="CS445" i="1"/>
  <c r="CT445" i="1"/>
  <c r="CV445" i="1"/>
  <c r="U445" i="1" s="1"/>
  <c r="GL445" i="1"/>
  <c r="GN445" i="1"/>
  <c r="GO445" i="1"/>
  <c r="GP445" i="1"/>
  <c r="GV445" i="1"/>
  <c r="HC445" i="1"/>
  <c r="GX445" i="1" s="1"/>
  <c r="C446" i="1"/>
  <c r="D446" i="1"/>
  <c r="S446" i="1"/>
  <c r="U446" i="1"/>
  <c r="AC446" i="1"/>
  <c r="P446" i="1" s="1"/>
  <c r="AE446" i="1"/>
  <c r="AF446" i="1"/>
  <c r="AG446" i="1"/>
  <c r="AH446" i="1"/>
  <c r="AI446" i="1"/>
  <c r="CW446" i="1" s="1"/>
  <c r="V446" i="1" s="1"/>
  <c r="AJ446" i="1"/>
  <c r="CR446" i="1"/>
  <c r="CT446" i="1"/>
  <c r="CU446" i="1"/>
  <c r="T446" i="1" s="1"/>
  <c r="CV446" i="1"/>
  <c r="CX446" i="1"/>
  <c r="W446" i="1" s="1"/>
  <c r="GL446" i="1"/>
  <c r="GN446" i="1"/>
  <c r="GP446" i="1"/>
  <c r="GV446" i="1"/>
  <c r="HC446" i="1"/>
  <c r="GX446" i="1" s="1"/>
  <c r="C447" i="1"/>
  <c r="D447" i="1"/>
  <c r="P447" i="1"/>
  <c r="CP447" i="1" s="1"/>
  <c r="O447" i="1" s="1"/>
  <c r="R447" i="1"/>
  <c r="V447" i="1"/>
  <c r="AC447" i="1"/>
  <c r="AD447" i="1"/>
  <c r="AE447" i="1"/>
  <c r="Q447" i="1" s="1"/>
  <c r="AF447" i="1"/>
  <c r="S447" i="1" s="1"/>
  <c r="CZ447" i="1" s="1"/>
  <c r="Y447" i="1" s="1"/>
  <c r="AG447" i="1"/>
  <c r="CU447" i="1" s="1"/>
  <c r="T447" i="1" s="1"/>
  <c r="AH447" i="1"/>
  <c r="CV447" i="1" s="1"/>
  <c r="U447" i="1" s="1"/>
  <c r="AI447" i="1"/>
  <c r="AJ447" i="1"/>
  <c r="CR447" i="1"/>
  <c r="CS447" i="1"/>
  <c r="CT447" i="1"/>
  <c r="CW447" i="1"/>
  <c r="CX447" i="1"/>
  <c r="W447" i="1" s="1"/>
  <c r="GL447" i="1"/>
  <c r="GN447" i="1"/>
  <c r="GP447" i="1"/>
  <c r="GV447" i="1"/>
  <c r="HC447" i="1" s="1"/>
  <c r="GX447" i="1"/>
  <c r="S448" i="1"/>
  <c r="U448" i="1"/>
  <c r="AC448" i="1"/>
  <c r="P448" i="1" s="1"/>
  <c r="AE448" i="1"/>
  <c r="AF448" i="1"/>
  <c r="AG448" i="1"/>
  <c r="AH448" i="1"/>
  <c r="AI448" i="1"/>
  <c r="CW448" i="1" s="1"/>
  <c r="V448" i="1" s="1"/>
  <c r="AJ448" i="1"/>
  <c r="CR448" i="1"/>
  <c r="CT448" i="1"/>
  <c r="CU448" i="1"/>
  <c r="T448" i="1" s="1"/>
  <c r="CV448" i="1"/>
  <c r="CX448" i="1"/>
  <c r="W448" i="1" s="1"/>
  <c r="GL448" i="1"/>
  <c r="GN448" i="1"/>
  <c r="GP448" i="1"/>
  <c r="GV448" i="1"/>
  <c r="HC448" i="1"/>
  <c r="GX448" i="1" s="1"/>
  <c r="P449" i="1"/>
  <c r="T449" i="1"/>
  <c r="AC449" i="1"/>
  <c r="AE449" i="1"/>
  <c r="AF449" i="1"/>
  <c r="AG449" i="1"/>
  <c r="AH449" i="1"/>
  <c r="CV449" i="1" s="1"/>
  <c r="U449" i="1" s="1"/>
  <c r="AI449" i="1"/>
  <c r="CW449" i="1" s="1"/>
  <c r="V449" i="1" s="1"/>
  <c r="AJ449" i="1"/>
  <c r="CX449" i="1" s="1"/>
  <c r="W449" i="1" s="1"/>
  <c r="CQ449" i="1"/>
  <c r="CU449" i="1"/>
  <c r="GL449" i="1"/>
  <c r="GN449" i="1"/>
  <c r="GP449" i="1"/>
  <c r="GV449" i="1"/>
  <c r="HC449" i="1"/>
  <c r="GX449" i="1" s="1"/>
  <c r="C450" i="1"/>
  <c r="D450" i="1"/>
  <c r="I450" i="1"/>
  <c r="K450" i="1"/>
  <c r="AC450" i="1"/>
  <c r="AE450" i="1"/>
  <c r="AD450" i="1" s="1"/>
  <c r="AF450" i="1"/>
  <c r="S450" i="1" s="1"/>
  <c r="AG450" i="1"/>
  <c r="CU450" i="1" s="1"/>
  <c r="AH450" i="1"/>
  <c r="AI450" i="1"/>
  <c r="CW450" i="1" s="1"/>
  <c r="V450" i="1" s="1"/>
  <c r="AJ450" i="1"/>
  <c r="CX450" i="1" s="1"/>
  <c r="W450" i="1" s="1"/>
  <c r="CS450" i="1"/>
  <c r="CT450" i="1"/>
  <c r="CV450" i="1"/>
  <c r="U450" i="1" s="1"/>
  <c r="GL450" i="1"/>
  <c r="GN450" i="1"/>
  <c r="GP450" i="1"/>
  <c r="GV450" i="1"/>
  <c r="HC450" i="1"/>
  <c r="GX450" i="1" s="1"/>
  <c r="C451" i="1"/>
  <c r="D451" i="1"/>
  <c r="I451" i="1"/>
  <c r="K451" i="1"/>
  <c r="R451" i="1"/>
  <c r="T451" i="1"/>
  <c r="AC451" i="1"/>
  <c r="P451" i="1" s="1"/>
  <c r="AD451" i="1"/>
  <c r="AE451" i="1"/>
  <c r="Q451" i="1" s="1"/>
  <c r="AF451" i="1"/>
  <c r="AG451" i="1"/>
  <c r="AH451" i="1"/>
  <c r="CV451" i="1" s="1"/>
  <c r="U451" i="1" s="1"/>
  <c r="AI451" i="1"/>
  <c r="AJ451" i="1"/>
  <c r="CX451" i="1" s="1"/>
  <c r="W451" i="1" s="1"/>
  <c r="CQ451" i="1"/>
  <c r="CR451" i="1"/>
  <c r="CS451" i="1"/>
  <c r="CU451" i="1"/>
  <c r="CW451" i="1"/>
  <c r="V451" i="1" s="1"/>
  <c r="GL451" i="1"/>
  <c r="GN451" i="1"/>
  <c r="GP451" i="1"/>
  <c r="GV451" i="1"/>
  <c r="HC451" i="1" s="1"/>
  <c r="GX451" i="1" s="1"/>
  <c r="AC452" i="1"/>
  <c r="AD452" i="1"/>
  <c r="AE452" i="1"/>
  <c r="AF452" i="1"/>
  <c r="AG452" i="1"/>
  <c r="AH452" i="1"/>
  <c r="CV452" i="1" s="1"/>
  <c r="AI452" i="1"/>
  <c r="AJ452" i="1"/>
  <c r="CQ452" i="1"/>
  <c r="CR452" i="1"/>
  <c r="CS452" i="1"/>
  <c r="CT452" i="1"/>
  <c r="CU452" i="1"/>
  <c r="CW452" i="1"/>
  <c r="CX452" i="1"/>
  <c r="GL452" i="1"/>
  <c r="GN452" i="1"/>
  <c r="GP452" i="1"/>
  <c r="GV452" i="1"/>
  <c r="HC452" i="1" s="1"/>
  <c r="I453" i="1"/>
  <c r="Q453" i="1" s="1"/>
  <c r="P453" i="1"/>
  <c r="R453" i="1"/>
  <c r="S453" i="1"/>
  <c r="CZ453" i="1" s="1"/>
  <c r="Y453" i="1" s="1"/>
  <c r="T453" i="1"/>
  <c r="AC453" i="1"/>
  <c r="AB453" i="1" s="1"/>
  <c r="AD453" i="1"/>
  <c r="AE453" i="1"/>
  <c r="AF453" i="1"/>
  <c r="AG453" i="1"/>
  <c r="AH453" i="1"/>
  <c r="CV453" i="1" s="1"/>
  <c r="U453" i="1" s="1"/>
  <c r="AI453" i="1"/>
  <c r="AJ453" i="1"/>
  <c r="CQ453" i="1"/>
  <c r="CR453" i="1"/>
  <c r="CS453" i="1"/>
  <c r="CT453" i="1"/>
  <c r="CU453" i="1"/>
  <c r="CW453" i="1"/>
  <c r="V453" i="1" s="1"/>
  <c r="CX453" i="1"/>
  <c r="W453" i="1" s="1"/>
  <c r="CY453" i="1"/>
  <c r="X453" i="1" s="1"/>
  <c r="GL453" i="1"/>
  <c r="GN453" i="1"/>
  <c r="GP453" i="1"/>
  <c r="GV453" i="1"/>
  <c r="HC453" i="1" s="1"/>
  <c r="GX453" i="1"/>
  <c r="C454" i="1"/>
  <c r="D454" i="1"/>
  <c r="I454" i="1"/>
  <c r="K454" i="1"/>
  <c r="U454" i="1"/>
  <c r="AC454" i="1"/>
  <c r="AE454" i="1"/>
  <c r="AF454" i="1"/>
  <c r="AG454" i="1"/>
  <c r="AH454" i="1"/>
  <c r="AI454" i="1"/>
  <c r="CW454" i="1" s="1"/>
  <c r="V454" i="1" s="1"/>
  <c r="AJ454" i="1"/>
  <c r="CQ454" i="1"/>
  <c r="CR454" i="1"/>
  <c r="CT454" i="1"/>
  <c r="CU454" i="1"/>
  <c r="T454" i="1" s="1"/>
  <c r="CV454" i="1"/>
  <c r="CX454" i="1"/>
  <c r="W454" i="1" s="1"/>
  <c r="GL454" i="1"/>
  <c r="GN454" i="1"/>
  <c r="GP454" i="1"/>
  <c r="GV454" i="1"/>
  <c r="HC454" i="1"/>
  <c r="GX454" i="1" s="1"/>
  <c r="C455" i="1"/>
  <c r="D455" i="1"/>
  <c r="I455" i="1"/>
  <c r="K455" i="1"/>
  <c r="R455" i="1"/>
  <c r="V455" i="1"/>
  <c r="AB455" i="1"/>
  <c r="AC455" i="1"/>
  <c r="AE455" i="1"/>
  <c r="AD455" i="1" s="1"/>
  <c r="AF455" i="1"/>
  <c r="AG455" i="1"/>
  <c r="AH455" i="1"/>
  <c r="AI455" i="1"/>
  <c r="AJ455" i="1"/>
  <c r="CX455" i="1" s="1"/>
  <c r="W455" i="1" s="1"/>
  <c r="CQ455" i="1"/>
  <c r="CR455" i="1"/>
  <c r="CS455" i="1"/>
  <c r="CU455" i="1"/>
  <c r="T455" i="1" s="1"/>
  <c r="CV455" i="1"/>
  <c r="U455" i="1" s="1"/>
  <c r="CW455" i="1"/>
  <c r="GL455" i="1"/>
  <c r="GN455" i="1"/>
  <c r="GP455" i="1"/>
  <c r="GV455" i="1"/>
  <c r="HC455" i="1"/>
  <c r="GX455" i="1" s="1"/>
  <c r="I456" i="1"/>
  <c r="R456" i="1"/>
  <c r="AC456" i="1"/>
  <c r="AE456" i="1"/>
  <c r="AD456" i="1" s="1"/>
  <c r="AB456" i="1" s="1"/>
  <c r="AF456" i="1"/>
  <c r="AG456" i="1"/>
  <c r="AH456" i="1"/>
  <c r="AI456" i="1"/>
  <c r="AJ456" i="1"/>
  <c r="CX456" i="1" s="1"/>
  <c r="CQ456" i="1"/>
  <c r="CR456" i="1"/>
  <c r="CS456" i="1"/>
  <c r="CU456" i="1"/>
  <c r="CV456" i="1"/>
  <c r="U456" i="1" s="1"/>
  <c r="CW456" i="1"/>
  <c r="V456" i="1" s="1"/>
  <c r="GL456" i="1"/>
  <c r="GN456" i="1"/>
  <c r="GP456" i="1"/>
  <c r="GV456" i="1"/>
  <c r="HC456" i="1"/>
  <c r="GX456" i="1" s="1"/>
  <c r="I457" i="1"/>
  <c r="R457" i="1"/>
  <c r="V457" i="1"/>
  <c r="AB457" i="1"/>
  <c r="AC457" i="1"/>
  <c r="AE457" i="1"/>
  <c r="AD457" i="1" s="1"/>
  <c r="AF457" i="1"/>
  <c r="AG457" i="1"/>
  <c r="AH457" i="1"/>
  <c r="AI457" i="1"/>
  <c r="AJ457" i="1"/>
  <c r="CX457" i="1" s="1"/>
  <c r="W457" i="1" s="1"/>
  <c r="CQ457" i="1"/>
  <c r="CR457" i="1"/>
  <c r="CS457" i="1"/>
  <c r="CU457" i="1"/>
  <c r="T457" i="1" s="1"/>
  <c r="CV457" i="1"/>
  <c r="U457" i="1" s="1"/>
  <c r="CW457" i="1"/>
  <c r="GL457" i="1"/>
  <c r="GN457" i="1"/>
  <c r="GP457" i="1"/>
  <c r="GV457" i="1"/>
  <c r="HC457" i="1"/>
  <c r="GX457" i="1" s="1"/>
  <c r="B459" i="1"/>
  <c r="B436" i="1" s="1"/>
  <c r="C459" i="1"/>
  <c r="C436" i="1" s="1"/>
  <c r="D459" i="1"/>
  <c r="D436" i="1" s="1"/>
  <c r="F459" i="1"/>
  <c r="G459" i="1"/>
  <c r="G436" i="1" s="1"/>
  <c r="BB459" i="1"/>
  <c r="F472" i="1" s="1"/>
  <c r="BX459" i="1"/>
  <c r="BX436" i="1" s="1"/>
  <c r="CK459" i="1"/>
  <c r="CK436" i="1" s="1"/>
  <c r="CL459" i="1"/>
  <c r="BC459" i="1" s="1"/>
  <c r="CM459" i="1"/>
  <c r="BD459" i="1" s="1"/>
  <c r="DZ459" i="1"/>
  <c r="FP459" i="1"/>
  <c r="FP436" i="1" s="1"/>
  <c r="GC459" i="1"/>
  <c r="ET459" i="1" s="1"/>
  <c r="ET436" i="1" s="1"/>
  <c r="GD459" i="1"/>
  <c r="GD436" i="1" s="1"/>
  <c r="GE459" i="1"/>
  <c r="GE436" i="1" s="1"/>
  <c r="P472" i="1"/>
  <c r="D489" i="1"/>
  <c r="B491" i="1"/>
  <c r="E491" i="1"/>
  <c r="F491" i="1"/>
  <c r="Z491" i="1"/>
  <c r="AA491" i="1"/>
  <c r="AM491" i="1"/>
  <c r="AN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BT491" i="1"/>
  <c r="BU491" i="1"/>
  <c r="BV491" i="1"/>
  <c r="BW491" i="1"/>
  <c r="BX491" i="1"/>
  <c r="CK491" i="1"/>
  <c r="CN491" i="1"/>
  <c r="CO491" i="1"/>
  <c r="CP491" i="1"/>
  <c r="CQ491" i="1"/>
  <c r="CR491" i="1"/>
  <c r="CS491" i="1"/>
  <c r="CT491" i="1"/>
  <c r="CU491" i="1"/>
  <c r="CV491" i="1"/>
  <c r="CW491" i="1"/>
  <c r="CX491" i="1"/>
  <c r="CY491" i="1"/>
  <c r="CZ491" i="1"/>
  <c r="DA491" i="1"/>
  <c r="DB491" i="1"/>
  <c r="DC491" i="1"/>
  <c r="DD491" i="1"/>
  <c r="DE491" i="1"/>
  <c r="DF491" i="1"/>
  <c r="DR491" i="1"/>
  <c r="DS491" i="1"/>
  <c r="EE491" i="1"/>
  <c r="EF491" i="1"/>
  <c r="EW491" i="1"/>
  <c r="EX491" i="1"/>
  <c r="EY491" i="1"/>
  <c r="EZ491" i="1"/>
  <c r="FA491" i="1"/>
  <c r="FB491" i="1"/>
  <c r="FC491" i="1"/>
  <c r="FD491" i="1"/>
  <c r="FE491" i="1"/>
  <c r="FF491" i="1"/>
  <c r="FG491" i="1"/>
  <c r="FH491" i="1"/>
  <c r="FI491" i="1"/>
  <c r="FJ491" i="1"/>
  <c r="FK491" i="1"/>
  <c r="FL491" i="1"/>
  <c r="FM491" i="1"/>
  <c r="FN491" i="1"/>
  <c r="FO491" i="1"/>
  <c r="FQ491" i="1"/>
  <c r="GF491" i="1"/>
  <c r="GG491" i="1"/>
  <c r="GH491" i="1"/>
  <c r="GI491" i="1"/>
  <c r="GJ491" i="1"/>
  <c r="GK491" i="1"/>
  <c r="GL491" i="1"/>
  <c r="GM491" i="1"/>
  <c r="GN491" i="1"/>
  <c r="GO491" i="1"/>
  <c r="GP491" i="1"/>
  <c r="GQ491" i="1"/>
  <c r="GR491" i="1"/>
  <c r="GS491" i="1"/>
  <c r="GT491" i="1"/>
  <c r="GU491" i="1"/>
  <c r="GV491" i="1"/>
  <c r="GW491" i="1"/>
  <c r="GX491" i="1"/>
  <c r="C493" i="1"/>
  <c r="D493" i="1"/>
  <c r="R493" i="1"/>
  <c r="S493" i="1"/>
  <c r="W493" i="1"/>
  <c r="AC493" i="1"/>
  <c r="AE493" i="1"/>
  <c r="AD493" i="1" s="1"/>
  <c r="AF493" i="1"/>
  <c r="AG493" i="1"/>
  <c r="CU493" i="1" s="1"/>
  <c r="T493" i="1" s="1"/>
  <c r="AH493" i="1"/>
  <c r="AI493" i="1"/>
  <c r="AJ493" i="1"/>
  <c r="CR493" i="1"/>
  <c r="CS493" i="1"/>
  <c r="CT493" i="1"/>
  <c r="CV493" i="1"/>
  <c r="U493" i="1" s="1"/>
  <c r="CW493" i="1"/>
  <c r="V493" i="1" s="1"/>
  <c r="CX493" i="1"/>
  <c r="GL493" i="1"/>
  <c r="GN493" i="1"/>
  <c r="GP493" i="1"/>
  <c r="GV493" i="1"/>
  <c r="HC493" i="1" s="1"/>
  <c r="GX493" i="1" s="1"/>
  <c r="C494" i="1"/>
  <c r="D494" i="1"/>
  <c r="R494" i="1"/>
  <c r="V494" i="1"/>
  <c r="AB494" i="1"/>
  <c r="AC494" i="1"/>
  <c r="P494" i="1" s="1"/>
  <c r="AE494" i="1"/>
  <c r="AD494" i="1" s="1"/>
  <c r="AF494" i="1"/>
  <c r="AG494" i="1"/>
  <c r="AH494" i="1"/>
  <c r="AI494" i="1"/>
  <c r="AJ494" i="1"/>
  <c r="CX494" i="1" s="1"/>
  <c r="W494" i="1" s="1"/>
  <c r="CQ494" i="1"/>
  <c r="CR494" i="1"/>
  <c r="CS494" i="1"/>
  <c r="CU494" i="1"/>
  <c r="T494" i="1" s="1"/>
  <c r="CV494" i="1"/>
  <c r="U494" i="1" s="1"/>
  <c r="CW494" i="1"/>
  <c r="GL494" i="1"/>
  <c r="GN494" i="1"/>
  <c r="GP494" i="1"/>
  <c r="GV494" i="1"/>
  <c r="HC494" i="1"/>
  <c r="GX494" i="1" s="1"/>
  <c r="I495" i="1"/>
  <c r="Q495" i="1" s="1"/>
  <c r="R495" i="1"/>
  <c r="AC495" i="1"/>
  <c r="P495" i="1" s="1"/>
  <c r="AE495" i="1"/>
  <c r="AD495" i="1" s="1"/>
  <c r="AB495" i="1" s="1"/>
  <c r="AF495" i="1"/>
  <c r="AG495" i="1"/>
  <c r="AH495" i="1"/>
  <c r="AI495" i="1"/>
  <c r="AJ495" i="1"/>
  <c r="CX495" i="1" s="1"/>
  <c r="CQ495" i="1"/>
  <c r="CR495" i="1"/>
  <c r="CS495" i="1"/>
  <c r="CU495" i="1"/>
  <c r="CV495" i="1"/>
  <c r="U495" i="1" s="1"/>
  <c r="CW495" i="1"/>
  <c r="V495" i="1" s="1"/>
  <c r="GL495" i="1"/>
  <c r="BZ510" i="1" s="1"/>
  <c r="GN495" i="1"/>
  <c r="GP495" i="1"/>
  <c r="CD510" i="1" s="1"/>
  <c r="GV495" i="1"/>
  <c r="HC495" i="1"/>
  <c r="GX495" i="1" s="1"/>
  <c r="I496" i="1"/>
  <c r="R496" i="1"/>
  <c r="V496" i="1"/>
  <c r="AB496" i="1"/>
  <c r="AC496" i="1"/>
  <c r="AE496" i="1"/>
  <c r="AD496" i="1" s="1"/>
  <c r="AF496" i="1"/>
  <c r="AG496" i="1"/>
  <c r="AH496" i="1"/>
  <c r="AI496" i="1"/>
  <c r="AJ496" i="1"/>
  <c r="CX496" i="1" s="1"/>
  <c r="W496" i="1" s="1"/>
  <c r="CQ496" i="1"/>
  <c r="CR496" i="1"/>
  <c r="CS496" i="1"/>
  <c r="CU496" i="1"/>
  <c r="T496" i="1" s="1"/>
  <c r="CV496" i="1"/>
  <c r="U496" i="1" s="1"/>
  <c r="CW496" i="1"/>
  <c r="GL496" i="1"/>
  <c r="GN496" i="1"/>
  <c r="GP496" i="1"/>
  <c r="GV496" i="1"/>
  <c r="HC496" i="1"/>
  <c r="GX496" i="1" s="1"/>
  <c r="C497" i="1"/>
  <c r="D497" i="1"/>
  <c r="I497" i="1"/>
  <c r="K497" i="1"/>
  <c r="R497" i="1"/>
  <c r="S497" i="1"/>
  <c r="AC497" i="1"/>
  <c r="AE497" i="1"/>
  <c r="AD497" i="1" s="1"/>
  <c r="AF497" i="1"/>
  <c r="AG497" i="1"/>
  <c r="CU497" i="1" s="1"/>
  <c r="T497" i="1" s="1"/>
  <c r="AH497" i="1"/>
  <c r="AI497" i="1"/>
  <c r="AJ497" i="1"/>
  <c r="CR497" i="1"/>
  <c r="CS497" i="1"/>
  <c r="CT497" i="1"/>
  <c r="CV497" i="1"/>
  <c r="U497" i="1" s="1"/>
  <c r="CW497" i="1"/>
  <c r="V497" i="1" s="1"/>
  <c r="CX497" i="1"/>
  <c r="W497" i="1" s="1"/>
  <c r="GL497" i="1"/>
  <c r="GN497" i="1"/>
  <c r="GP497" i="1"/>
  <c r="GV497" i="1"/>
  <c r="HC497" i="1" s="1"/>
  <c r="GX497" i="1" s="1"/>
  <c r="C498" i="1"/>
  <c r="D498" i="1"/>
  <c r="I498" i="1"/>
  <c r="K498" i="1"/>
  <c r="P498" i="1"/>
  <c r="CP498" i="1" s="1"/>
  <c r="O498" i="1" s="1"/>
  <c r="R498" i="1"/>
  <c r="S498" i="1"/>
  <c r="CZ498" i="1" s="1"/>
  <c r="Y498" i="1" s="1"/>
  <c r="AC498" i="1"/>
  <c r="AD498" i="1"/>
  <c r="AE498" i="1"/>
  <c r="Q498" i="1" s="1"/>
  <c r="AF498" i="1"/>
  <c r="AG498" i="1"/>
  <c r="AH498" i="1"/>
  <c r="CV498" i="1" s="1"/>
  <c r="U498" i="1" s="1"/>
  <c r="AI498" i="1"/>
  <c r="AJ498" i="1"/>
  <c r="CQ498" i="1"/>
  <c r="CR498" i="1"/>
  <c r="CS498" i="1"/>
  <c r="CT498" i="1"/>
  <c r="CU498" i="1"/>
  <c r="T498" i="1" s="1"/>
  <c r="CW498" i="1"/>
  <c r="V498" i="1" s="1"/>
  <c r="CX498" i="1"/>
  <c r="W498" i="1" s="1"/>
  <c r="CY498" i="1"/>
  <c r="X498" i="1" s="1"/>
  <c r="GL498" i="1"/>
  <c r="GN498" i="1"/>
  <c r="FT510" i="1" s="1"/>
  <c r="GP498" i="1"/>
  <c r="GV498" i="1"/>
  <c r="HC498" i="1" s="1"/>
  <c r="GX498" i="1" s="1"/>
  <c r="P499" i="1"/>
  <c r="FR499" i="1" s="1"/>
  <c r="BY510" i="1" s="1"/>
  <c r="AP510" i="1" s="1"/>
  <c r="S499" i="1"/>
  <c r="AC499" i="1"/>
  <c r="AE499" i="1"/>
  <c r="AF499" i="1"/>
  <c r="AG499" i="1"/>
  <c r="AH499" i="1"/>
  <c r="AI499" i="1"/>
  <c r="CW499" i="1" s="1"/>
  <c r="V499" i="1" s="1"/>
  <c r="AJ499" i="1"/>
  <c r="CQ499" i="1"/>
  <c r="CT499" i="1"/>
  <c r="CU499" i="1"/>
  <c r="T499" i="1" s="1"/>
  <c r="CV499" i="1"/>
  <c r="U499" i="1" s="1"/>
  <c r="CX499" i="1"/>
  <c r="W499" i="1" s="1"/>
  <c r="GL499" i="1"/>
  <c r="GN499" i="1"/>
  <c r="CB510" i="1" s="1"/>
  <c r="GO499" i="1"/>
  <c r="GP499" i="1"/>
  <c r="GV499" i="1"/>
  <c r="HC499" i="1" s="1"/>
  <c r="GX499" i="1"/>
  <c r="P500" i="1"/>
  <c r="FR500" i="1" s="1"/>
  <c r="Q500" i="1"/>
  <c r="S500" i="1"/>
  <c r="U500" i="1"/>
  <c r="AC500" i="1"/>
  <c r="AE500" i="1"/>
  <c r="AF500" i="1"/>
  <c r="AG500" i="1"/>
  <c r="AH500" i="1"/>
  <c r="AI500" i="1"/>
  <c r="CW500" i="1" s="1"/>
  <c r="V500" i="1" s="1"/>
  <c r="AJ500" i="1"/>
  <c r="CQ500" i="1"/>
  <c r="CR500" i="1"/>
  <c r="CT500" i="1"/>
  <c r="CU500" i="1"/>
  <c r="T500" i="1" s="1"/>
  <c r="CV500" i="1"/>
  <c r="CX500" i="1"/>
  <c r="W500" i="1" s="1"/>
  <c r="GL500" i="1"/>
  <c r="GN500" i="1"/>
  <c r="GO500" i="1"/>
  <c r="GP500" i="1"/>
  <c r="GV500" i="1"/>
  <c r="HC500" i="1" s="1"/>
  <c r="GX500" i="1" s="1"/>
  <c r="C501" i="1"/>
  <c r="D501" i="1"/>
  <c r="I501" i="1"/>
  <c r="K501" i="1"/>
  <c r="AC501" i="1"/>
  <c r="AE501" i="1"/>
  <c r="AF501" i="1"/>
  <c r="AG501" i="1"/>
  <c r="AH501" i="1"/>
  <c r="AI501" i="1"/>
  <c r="CW501" i="1" s="1"/>
  <c r="AJ501" i="1"/>
  <c r="CQ501" i="1"/>
  <c r="CT501" i="1"/>
  <c r="CU501" i="1"/>
  <c r="CV501" i="1"/>
  <c r="U501" i="1" s="1"/>
  <c r="CX501" i="1"/>
  <c r="GL501" i="1"/>
  <c r="GN501" i="1"/>
  <c r="GP501" i="1"/>
  <c r="GV501" i="1"/>
  <c r="HC501" i="1"/>
  <c r="GX501" i="1" s="1"/>
  <c r="C502" i="1"/>
  <c r="D502" i="1"/>
  <c r="I502" i="1"/>
  <c r="K502" i="1"/>
  <c r="R502" i="1"/>
  <c r="AC502" i="1"/>
  <c r="AE502" i="1"/>
  <c r="AD502" i="1" s="1"/>
  <c r="AF502" i="1"/>
  <c r="AB502" i="1" s="1"/>
  <c r="AG502" i="1"/>
  <c r="AH502" i="1"/>
  <c r="AI502" i="1"/>
  <c r="AJ502" i="1"/>
  <c r="CX502" i="1" s="1"/>
  <c r="W502" i="1" s="1"/>
  <c r="CQ502" i="1"/>
  <c r="CR502" i="1"/>
  <c r="CS502" i="1"/>
  <c r="CU502" i="1"/>
  <c r="T502" i="1" s="1"/>
  <c r="CV502" i="1"/>
  <c r="U502" i="1" s="1"/>
  <c r="CW502" i="1"/>
  <c r="V502" i="1" s="1"/>
  <c r="GL502" i="1"/>
  <c r="GN502" i="1"/>
  <c r="GP502" i="1"/>
  <c r="GV502" i="1"/>
  <c r="HC502" i="1"/>
  <c r="GX502" i="1" s="1"/>
  <c r="AC503" i="1"/>
  <c r="AE503" i="1"/>
  <c r="AD503" i="1" s="1"/>
  <c r="AB503" i="1" s="1"/>
  <c r="AF503" i="1"/>
  <c r="AG503" i="1"/>
  <c r="AH503" i="1"/>
  <c r="AI503" i="1"/>
  <c r="AJ503" i="1"/>
  <c r="CX503" i="1" s="1"/>
  <c r="CQ503" i="1"/>
  <c r="CR503" i="1"/>
  <c r="CS503" i="1"/>
  <c r="CU503" i="1"/>
  <c r="CV503" i="1"/>
  <c r="CW503" i="1"/>
  <c r="GL503" i="1"/>
  <c r="GN503" i="1"/>
  <c r="GP503" i="1"/>
  <c r="GV503" i="1"/>
  <c r="HC503" i="1"/>
  <c r="I504" i="1"/>
  <c r="AC504" i="1"/>
  <c r="AE504" i="1"/>
  <c r="AD504" i="1" s="1"/>
  <c r="AF504" i="1"/>
  <c r="AB504" i="1" s="1"/>
  <c r="AG504" i="1"/>
  <c r="AH504" i="1"/>
  <c r="AI504" i="1"/>
  <c r="AJ504" i="1"/>
  <c r="CX504" i="1" s="1"/>
  <c r="CQ504" i="1"/>
  <c r="CR504" i="1"/>
  <c r="CS504" i="1"/>
  <c r="CU504" i="1"/>
  <c r="CV504" i="1"/>
  <c r="CW504" i="1"/>
  <c r="V504" i="1" s="1"/>
  <c r="GL504" i="1"/>
  <c r="GN504" i="1"/>
  <c r="GP504" i="1"/>
  <c r="GV504" i="1"/>
  <c r="HC504" i="1"/>
  <c r="C505" i="1"/>
  <c r="D505" i="1"/>
  <c r="I505" i="1"/>
  <c r="K505" i="1"/>
  <c r="R505" i="1"/>
  <c r="S505" i="1"/>
  <c r="AC505" i="1"/>
  <c r="AE505" i="1"/>
  <c r="AD505" i="1" s="1"/>
  <c r="AF505" i="1"/>
  <c r="AG505" i="1"/>
  <c r="CU505" i="1" s="1"/>
  <c r="T505" i="1" s="1"/>
  <c r="AH505" i="1"/>
  <c r="AI505" i="1"/>
  <c r="AJ505" i="1"/>
  <c r="CR505" i="1"/>
  <c r="CS505" i="1"/>
  <c r="CT505" i="1"/>
  <c r="CV505" i="1"/>
  <c r="U505" i="1" s="1"/>
  <c r="CW505" i="1"/>
  <c r="V505" i="1" s="1"/>
  <c r="CX505" i="1"/>
  <c r="W505" i="1" s="1"/>
  <c r="GL505" i="1"/>
  <c r="GN505" i="1"/>
  <c r="GP505" i="1"/>
  <c r="GV505" i="1"/>
  <c r="HC505" i="1" s="1"/>
  <c r="GX505" i="1" s="1"/>
  <c r="C506" i="1"/>
  <c r="D506" i="1"/>
  <c r="I506" i="1"/>
  <c r="K506" i="1"/>
  <c r="P506" i="1"/>
  <c r="R506" i="1"/>
  <c r="S506" i="1"/>
  <c r="CZ506" i="1" s="1"/>
  <c r="Y506" i="1" s="1"/>
  <c r="T506" i="1"/>
  <c r="AC506" i="1"/>
  <c r="AB506" i="1" s="1"/>
  <c r="AD506" i="1"/>
  <c r="AE506" i="1"/>
  <c r="Q506" i="1" s="1"/>
  <c r="AF506" i="1"/>
  <c r="AG506" i="1"/>
  <c r="AH506" i="1"/>
  <c r="CV506" i="1" s="1"/>
  <c r="U506" i="1" s="1"/>
  <c r="AI506" i="1"/>
  <c r="AJ506" i="1"/>
  <c r="CQ506" i="1"/>
  <c r="CR506" i="1"/>
  <c r="CS506" i="1"/>
  <c r="CT506" i="1"/>
  <c r="CU506" i="1"/>
  <c r="CW506" i="1"/>
  <c r="V506" i="1" s="1"/>
  <c r="CX506" i="1"/>
  <c r="W506" i="1" s="1"/>
  <c r="CY506" i="1"/>
  <c r="X506" i="1" s="1"/>
  <c r="GL506" i="1"/>
  <c r="GN506" i="1"/>
  <c r="GP506" i="1"/>
  <c r="GV506" i="1"/>
  <c r="HC506" i="1" s="1"/>
  <c r="GX506" i="1"/>
  <c r="I507" i="1"/>
  <c r="Q507" i="1" s="1"/>
  <c r="P507" i="1"/>
  <c r="CP507" i="1" s="1"/>
  <c r="O507" i="1" s="1"/>
  <c r="R507" i="1"/>
  <c r="S507" i="1"/>
  <c r="CZ507" i="1" s="1"/>
  <c r="Y507" i="1" s="1"/>
  <c r="T507" i="1"/>
  <c r="AC507" i="1"/>
  <c r="AD507" i="1"/>
  <c r="AE507" i="1"/>
  <c r="AF507" i="1"/>
  <c r="AG507" i="1"/>
  <c r="AH507" i="1"/>
  <c r="CV507" i="1" s="1"/>
  <c r="U507" i="1" s="1"/>
  <c r="AI507" i="1"/>
  <c r="AJ507" i="1"/>
  <c r="CQ507" i="1"/>
  <c r="CR507" i="1"/>
  <c r="CS507" i="1"/>
  <c r="CT507" i="1"/>
  <c r="CU507" i="1"/>
  <c r="CW507" i="1"/>
  <c r="V507" i="1" s="1"/>
  <c r="CX507" i="1"/>
  <c r="W507" i="1" s="1"/>
  <c r="CY507" i="1"/>
  <c r="X507" i="1" s="1"/>
  <c r="GL507" i="1"/>
  <c r="GN507" i="1"/>
  <c r="GP507" i="1"/>
  <c r="GV507" i="1"/>
  <c r="HC507" i="1" s="1"/>
  <c r="GX507" i="1" s="1"/>
  <c r="I508" i="1"/>
  <c r="Q508" i="1" s="1"/>
  <c r="P508" i="1"/>
  <c r="R508" i="1"/>
  <c r="S508" i="1"/>
  <c r="CZ508" i="1" s="1"/>
  <c r="Y508" i="1" s="1"/>
  <c r="AC508" i="1"/>
  <c r="AB508" i="1" s="1"/>
  <c r="AD508" i="1"/>
  <c r="AE508" i="1"/>
  <c r="AF508" i="1"/>
  <c r="AG508" i="1"/>
  <c r="AH508" i="1"/>
  <c r="CV508" i="1" s="1"/>
  <c r="U508" i="1" s="1"/>
  <c r="AI508" i="1"/>
  <c r="AJ508" i="1"/>
  <c r="CQ508" i="1"/>
  <c r="CR508" i="1"/>
  <c r="CS508" i="1"/>
  <c r="CT508" i="1"/>
  <c r="CU508" i="1"/>
  <c r="T508" i="1" s="1"/>
  <c r="CW508" i="1"/>
  <c r="V508" i="1" s="1"/>
  <c r="CX508" i="1"/>
  <c r="W508" i="1" s="1"/>
  <c r="CY508" i="1"/>
  <c r="X508" i="1" s="1"/>
  <c r="GL508" i="1"/>
  <c r="GN508" i="1"/>
  <c r="GP508" i="1"/>
  <c r="GV508" i="1"/>
  <c r="HC508" i="1" s="1"/>
  <c r="GX508" i="1"/>
  <c r="B510" i="1"/>
  <c r="C510" i="1"/>
  <c r="C491" i="1" s="1"/>
  <c r="D510" i="1"/>
  <c r="D491" i="1" s="1"/>
  <c r="F510" i="1"/>
  <c r="G510" i="1"/>
  <c r="G491" i="1" s="1"/>
  <c r="BX510" i="1"/>
  <c r="AO510" i="1" s="1"/>
  <c r="F514" i="1" s="1"/>
  <c r="CK510" i="1"/>
  <c r="BB510" i="1" s="1"/>
  <c r="CL510" i="1"/>
  <c r="CL491" i="1" s="1"/>
  <c r="CM510" i="1"/>
  <c r="CM491" i="1" s="1"/>
  <c r="EH510" i="1"/>
  <c r="FP510" i="1"/>
  <c r="FP491" i="1" s="1"/>
  <c r="FQ510" i="1"/>
  <c r="GC510" i="1"/>
  <c r="GC491" i="1" s="1"/>
  <c r="GD510" i="1"/>
  <c r="GD491" i="1" s="1"/>
  <c r="GE510" i="1"/>
  <c r="GE491" i="1" s="1"/>
  <c r="D540" i="1"/>
  <c r="E542" i="1"/>
  <c r="Z542" i="1"/>
  <c r="AA542" i="1"/>
  <c r="AM542" i="1"/>
  <c r="AN542" i="1"/>
  <c r="BE542" i="1"/>
  <c r="BF542" i="1"/>
  <c r="BG542" i="1"/>
  <c r="BH542" i="1"/>
  <c r="BI542" i="1"/>
  <c r="BJ542" i="1"/>
  <c r="BK542" i="1"/>
  <c r="BL542" i="1"/>
  <c r="BM542" i="1"/>
  <c r="BN542" i="1"/>
  <c r="BO542" i="1"/>
  <c r="BP542" i="1"/>
  <c r="BQ542" i="1"/>
  <c r="BR542" i="1"/>
  <c r="BS542" i="1"/>
  <c r="BT542" i="1"/>
  <c r="BU542" i="1"/>
  <c r="BV542" i="1"/>
  <c r="BW542" i="1"/>
  <c r="CN542" i="1"/>
  <c r="CO542" i="1"/>
  <c r="CP542" i="1"/>
  <c r="CQ542" i="1"/>
  <c r="CR542" i="1"/>
  <c r="CS542" i="1"/>
  <c r="CT542" i="1"/>
  <c r="CU542" i="1"/>
  <c r="CV542" i="1"/>
  <c r="CW542" i="1"/>
  <c r="CX542" i="1"/>
  <c r="CY542" i="1"/>
  <c r="CZ542" i="1"/>
  <c r="DA542" i="1"/>
  <c r="DB542" i="1"/>
  <c r="DC542" i="1"/>
  <c r="DD542" i="1"/>
  <c r="DE542" i="1"/>
  <c r="DF542" i="1"/>
  <c r="DR542" i="1"/>
  <c r="DS542" i="1"/>
  <c r="EE542" i="1"/>
  <c r="EF542" i="1"/>
  <c r="EW542" i="1"/>
  <c r="EX542" i="1"/>
  <c r="EY542" i="1"/>
  <c r="EZ542" i="1"/>
  <c r="FA542" i="1"/>
  <c r="FB542" i="1"/>
  <c r="FC542" i="1"/>
  <c r="FD542" i="1"/>
  <c r="FE542" i="1"/>
  <c r="FF542" i="1"/>
  <c r="FG542" i="1"/>
  <c r="FH542" i="1"/>
  <c r="FI542" i="1"/>
  <c r="FJ542" i="1"/>
  <c r="FK542" i="1"/>
  <c r="FL542" i="1"/>
  <c r="FM542" i="1"/>
  <c r="FN542" i="1"/>
  <c r="FO542" i="1"/>
  <c r="GF542" i="1"/>
  <c r="GG542" i="1"/>
  <c r="GH542" i="1"/>
  <c r="GI542" i="1"/>
  <c r="GJ542" i="1"/>
  <c r="GK542" i="1"/>
  <c r="GL542" i="1"/>
  <c r="GM542" i="1"/>
  <c r="GN542" i="1"/>
  <c r="GO542" i="1"/>
  <c r="GP542" i="1"/>
  <c r="GQ542" i="1"/>
  <c r="GR542" i="1"/>
  <c r="GS542" i="1"/>
  <c r="GT542" i="1"/>
  <c r="GU542" i="1"/>
  <c r="GV542" i="1"/>
  <c r="GW542" i="1"/>
  <c r="GX542" i="1"/>
  <c r="C544" i="1"/>
  <c r="D544" i="1"/>
  <c r="Q544" i="1"/>
  <c r="S544" i="1"/>
  <c r="U544" i="1"/>
  <c r="AC544" i="1"/>
  <c r="AE544" i="1"/>
  <c r="AF544" i="1"/>
  <c r="AG544" i="1"/>
  <c r="CU544" i="1" s="1"/>
  <c r="T544" i="1" s="1"/>
  <c r="AH544" i="1"/>
  <c r="AI544" i="1"/>
  <c r="CW544" i="1" s="1"/>
  <c r="V544" i="1" s="1"/>
  <c r="AJ544" i="1"/>
  <c r="CR544" i="1"/>
  <c r="CT544" i="1"/>
  <c r="CV544" i="1"/>
  <c r="CX544" i="1"/>
  <c r="W544" i="1" s="1"/>
  <c r="GL544" i="1"/>
  <c r="GN544" i="1"/>
  <c r="GP544" i="1"/>
  <c r="GV544" i="1"/>
  <c r="HC544" i="1"/>
  <c r="GX544" i="1" s="1"/>
  <c r="C545" i="1"/>
  <c r="D545" i="1"/>
  <c r="P545" i="1"/>
  <c r="R545" i="1"/>
  <c r="T545" i="1"/>
  <c r="AC545" i="1"/>
  <c r="AD545" i="1"/>
  <c r="AB545" i="1" s="1"/>
  <c r="AE545" i="1"/>
  <c r="Q545" i="1" s="1"/>
  <c r="AF545" i="1"/>
  <c r="AG545" i="1"/>
  <c r="AH545" i="1"/>
  <c r="CV545" i="1" s="1"/>
  <c r="U545" i="1" s="1"/>
  <c r="AI545" i="1"/>
  <c r="AJ545" i="1"/>
  <c r="CX545" i="1" s="1"/>
  <c r="W545" i="1" s="1"/>
  <c r="CQ545" i="1"/>
  <c r="CR545" i="1"/>
  <c r="CS545" i="1"/>
  <c r="CU545" i="1"/>
  <c r="CW545" i="1"/>
  <c r="V545" i="1" s="1"/>
  <c r="GL545" i="1"/>
  <c r="FR565" i="1" s="1"/>
  <c r="GN545" i="1"/>
  <c r="GP545" i="1"/>
  <c r="GV545" i="1"/>
  <c r="HC545" i="1" s="1"/>
  <c r="GX545" i="1"/>
  <c r="I546" i="1"/>
  <c r="Q546" i="1" s="1"/>
  <c r="P546" i="1"/>
  <c r="R546" i="1"/>
  <c r="T546" i="1"/>
  <c r="AC546" i="1"/>
  <c r="AD546" i="1"/>
  <c r="AB546" i="1" s="1"/>
  <c r="AE546" i="1"/>
  <c r="AF546" i="1"/>
  <c r="AG546" i="1"/>
  <c r="AH546" i="1"/>
  <c r="CV546" i="1" s="1"/>
  <c r="U546" i="1" s="1"/>
  <c r="AI546" i="1"/>
  <c r="AJ546" i="1"/>
  <c r="CX546" i="1" s="1"/>
  <c r="W546" i="1" s="1"/>
  <c r="CQ546" i="1"/>
  <c r="CR546" i="1"/>
  <c r="CS546" i="1"/>
  <c r="CU546" i="1"/>
  <c r="CW546" i="1"/>
  <c r="V546" i="1" s="1"/>
  <c r="GL546" i="1"/>
  <c r="GN546" i="1"/>
  <c r="GP546" i="1"/>
  <c r="CD565" i="1" s="1"/>
  <c r="GV546" i="1"/>
  <c r="HC546" i="1" s="1"/>
  <c r="GX546" i="1"/>
  <c r="I547" i="1"/>
  <c r="Q547" i="1" s="1"/>
  <c r="P547" i="1"/>
  <c r="R547" i="1"/>
  <c r="T547" i="1"/>
  <c r="AC547" i="1"/>
  <c r="AD547" i="1"/>
  <c r="AB547" i="1" s="1"/>
  <c r="AE547" i="1"/>
  <c r="AF547" i="1"/>
  <c r="AG547" i="1"/>
  <c r="AH547" i="1"/>
  <c r="CV547" i="1" s="1"/>
  <c r="U547" i="1" s="1"/>
  <c r="AI547" i="1"/>
  <c r="AJ547" i="1"/>
  <c r="CX547" i="1" s="1"/>
  <c r="W547" i="1" s="1"/>
  <c r="CQ547" i="1"/>
  <c r="CR547" i="1"/>
  <c r="CS547" i="1"/>
  <c r="CU547" i="1"/>
  <c r="CW547" i="1"/>
  <c r="V547" i="1" s="1"/>
  <c r="GL547" i="1"/>
  <c r="GN547" i="1"/>
  <c r="GP547" i="1"/>
  <c r="GV547" i="1"/>
  <c r="HC547" i="1" s="1"/>
  <c r="GX547" i="1"/>
  <c r="C548" i="1"/>
  <c r="D548" i="1"/>
  <c r="I548" i="1"/>
  <c r="K548" i="1"/>
  <c r="S548" i="1"/>
  <c r="U548" i="1"/>
  <c r="AC548" i="1"/>
  <c r="AE548" i="1"/>
  <c r="Q548" i="1" s="1"/>
  <c r="AF548" i="1"/>
  <c r="AG548" i="1"/>
  <c r="CU548" i="1" s="1"/>
  <c r="T548" i="1" s="1"/>
  <c r="AH548" i="1"/>
  <c r="AI548" i="1"/>
  <c r="CW548" i="1" s="1"/>
  <c r="V548" i="1" s="1"/>
  <c r="AJ548" i="1"/>
  <c r="CT548" i="1"/>
  <c r="CV548" i="1"/>
  <c r="CX548" i="1"/>
  <c r="W548" i="1" s="1"/>
  <c r="GL548" i="1"/>
  <c r="GN548" i="1"/>
  <c r="GP548" i="1"/>
  <c r="GV548" i="1"/>
  <c r="HC548" i="1"/>
  <c r="GX548" i="1" s="1"/>
  <c r="C549" i="1"/>
  <c r="D549" i="1"/>
  <c r="I549" i="1"/>
  <c r="K549" i="1"/>
  <c r="P549" i="1"/>
  <c r="R549" i="1"/>
  <c r="V549" i="1"/>
  <c r="AC549" i="1"/>
  <c r="AD549" i="1"/>
  <c r="AE549" i="1"/>
  <c r="Q549" i="1" s="1"/>
  <c r="AF549" i="1"/>
  <c r="AB549" i="1" s="1"/>
  <c r="AG549" i="1"/>
  <c r="AH549" i="1"/>
  <c r="CV549" i="1" s="1"/>
  <c r="U549" i="1" s="1"/>
  <c r="AI549" i="1"/>
  <c r="AJ549" i="1"/>
  <c r="CX549" i="1" s="1"/>
  <c r="W549" i="1" s="1"/>
  <c r="CQ549" i="1"/>
  <c r="CR549" i="1"/>
  <c r="CS549" i="1"/>
  <c r="CU549" i="1"/>
  <c r="T549" i="1" s="1"/>
  <c r="CW549" i="1"/>
  <c r="GL549" i="1"/>
  <c r="GN549" i="1"/>
  <c r="GP549" i="1"/>
  <c r="GV549" i="1"/>
  <c r="HC549" i="1"/>
  <c r="GX549" i="1" s="1"/>
  <c r="Q550" i="1"/>
  <c r="AC550" i="1"/>
  <c r="AB550" i="1" s="1"/>
  <c r="AE550" i="1"/>
  <c r="AD550" i="1" s="1"/>
  <c r="AF550" i="1"/>
  <c r="S550" i="1" s="1"/>
  <c r="AG550" i="1"/>
  <c r="CU550" i="1" s="1"/>
  <c r="T550" i="1" s="1"/>
  <c r="AH550" i="1"/>
  <c r="AI550" i="1"/>
  <c r="AJ550" i="1"/>
  <c r="CX550" i="1" s="1"/>
  <c r="W550" i="1" s="1"/>
  <c r="CR550" i="1"/>
  <c r="CS550" i="1"/>
  <c r="CT550" i="1"/>
  <c r="CV550" i="1"/>
  <c r="U550" i="1" s="1"/>
  <c r="CW550" i="1"/>
  <c r="V550" i="1" s="1"/>
  <c r="GL550" i="1"/>
  <c r="BZ565" i="1" s="1"/>
  <c r="GN550" i="1"/>
  <c r="GO550" i="1"/>
  <c r="GP550" i="1"/>
  <c r="GV550" i="1"/>
  <c r="HC550" i="1"/>
  <c r="GX550" i="1" s="1"/>
  <c r="Q551" i="1"/>
  <c r="AC551" i="1"/>
  <c r="AE551" i="1"/>
  <c r="AD551" i="1" s="1"/>
  <c r="AF551" i="1"/>
  <c r="S551" i="1" s="1"/>
  <c r="AG551" i="1"/>
  <c r="CU551" i="1" s="1"/>
  <c r="T551" i="1" s="1"/>
  <c r="AH551" i="1"/>
  <c r="AI551" i="1"/>
  <c r="AJ551" i="1"/>
  <c r="CX551" i="1" s="1"/>
  <c r="W551" i="1" s="1"/>
  <c r="CR551" i="1"/>
  <c r="CS551" i="1"/>
  <c r="CT551" i="1"/>
  <c r="CV551" i="1"/>
  <c r="U551" i="1" s="1"/>
  <c r="CW551" i="1"/>
  <c r="V551" i="1" s="1"/>
  <c r="GL551" i="1"/>
  <c r="GN551" i="1"/>
  <c r="GO551" i="1"/>
  <c r="GP551" i="1"/>
  <c r="GV551" i="1"/>
  <c r="HC551" i="1"/>
  <c r="GX551" i="1" s="1"/>
  <c r="C552" i="1"/>
  <c r="D552" i="1"/>
  <c r="S552" i="1"/>
  <c r="U552" i="1"/>
  <c r="AC552" i="1"/>
  <c r="CQ552" i="1" s="1"/>
  <c r="AE552" i="1"/>
  <c r="AF552" i="1"/>
  <c r="AG552" i="1"/>
  <c r="AH552" i="1"/>
  <c r="AI552" i="1"/>
  <c r="CW552" i="1" s="1"/>
  <c r="V552" i="1" s="1"/>
  <c r="AJ552" i="1"/>
  <c r="CR552" i="1"/>
  <c r="CT552" i="1"/>
  <c r="CU552" i="1"/>
  <c r="T552" i="1" s="1"/>
  <c r="CV552" i="1"/>
  <c r="CX552" i="1"/>
  <c r="W552" i="1" s="1"/>
  <c r="GL552" i="1"/>
  <c r="GN552" i="1"/>
  <c r="GP552" i="1"/>
  <c r="GV552" i="1"/>
  <c r="HC552" i="1" s="1"/>
  <c r="GX552" i="1" s="1"/>
  <c r="C553" i="1"/>
  <c r="D553" i="1"/>
  <c r="R553" i="1"/>
  <c r="S553" i="1"/>
  <c r="CZ553" i="1" s="1"/>
  <c r="Y553" i="1" s="1"/>
  <c r="W553" i="1"/>
  <c r="AC553" i="1"/>
  <c r="AB553" i="1" s="1"/>
  <c r="AD553" i="1"/>
  <c r="AE553" i="1"/>
  <c r="Q553" i="1" s="1"/>
  <c r="AF553" i="1"/>
  <c r="AG553" i="1"/>
  <c r="CU553" i="1" s="1"/>
  <c r="T553" i="1" s="1"/>
  <c r="AH553" i="1"/>
  <c r="CV553" i="1" s="1"/>
  <c r="U553" i="1" s="1"/>
  <c r="AI553" i="1"/>
  <c r="AJ553" i="1"/>
  <c r="CR553" i="1"/>
  <c r="CS553" i="1"/>
  <c r="CT553" i="1"/>
  <c r="CW553" i="1"/>
  <c r="V553" i="1" s="1"/>
  <c r="CX553" i="1"/>
  <c r="GL553" i="1"/>
  <c r="GN553" i="1"/>
  <c r="GP553" i="1"/>
  <c r="GV553" i="1"/>
  <c r="HC553" i="1" s="1"/>
  <c r="GX553" i="1"/>
  <c r="S554" i="1"/>
  <c r="U554" i="1"/>
  <c r="AC554" i="1"/>
  <c r="CQ554" i="1" s="1"/>
  <c r="AE554" i="1"/>
  <c r="Q554" i="1" s="1"/>
  <c r="AF554" i="1"/>
  <c r="AG554" i="1"/>
  <c r="AH554" i="1"/>
  <c r="AI554" i="1"/>
  <c r="CW554" i="1" s="1"/>
  <c r="V554" i="1" s="1"/>
  <c r="AJ554" i="1"/>
  <c r="CR554" i="1"/>
  <c r="CT554" i="1"/>
  <c r="CU554" i="1"/>
  <c r="T554" i="1" s="1"/>
  <c r="CV554" i="1"/>
  <c r="CX554" i="1"/>
  <c r="W554" i="1" s="1"/>
  <c r="GL554" i="1"/>
  <c r="GN554" i="1"/>
  <c r="GO554" i="1"/>
  <c r="GP554" i="1"/>
  <c r="GV554" i="1"/>
  <c r="HC554" i="1" s="1"/>
  <c r="GX554" i="1" s="1"/>
  <c r="Q555" i="1"/>
  <c r="S555" i="1"/>
  <c r="T555" i="1"/>
  <c r="W555" i="1"/>
  <c r="AC555" i="1"/>
  <c r="AD555" i="1"/>
  <c r="AE555" i="1"/>
  <c r="AF555" i="1"/>
  <c r="AG555" i="1"/>
  <c r="AH555" i="1"/>
  <c r="AI555" i="1"/>
  <c r="CW555" i="1" s="1"/>
  <c r="V555" i="1" s="1"/>
  <c r="AJ555" i="1"/>
  <c r="CQ555" i="1"/>
  <c r="CR555" i="1"/>
  <c r="CT555" i="1"/>
  <c r="CU555" i="1"/>
  <c r="CV555" i="1"/>
  <c r="U555" i="1" s="1"/>
  <c r="CX555" i="1"/>
  <c r="GL555" i="1"/>
  <c r="GN555" i="1"/>
  <c r="GO555" i="1"/>
  <c r="GP555" i="1"/>
  <c r="FV565" i="1" s="1"/>
  <c r="GV555" i="1"/>
  <c r="HC555" i="1" s="1"/>
  <c r="GX555" i="1"/>
  <c r="C556" i="1"/>
  <c r="D556" i="1"/>
  <c r="I556" i="1"/>
  <c r="K556" i="1"/>
  <c r="S556" i="1"/>
  <c r="U556" i="1"/>
  <c r="AC556" i="1"/>
  <c r="AE556" i="1"/>
  <c r="AF556" i="1"/>
  <c r="AG556" i="1"/>
  <c r="AH556" i="1"/>
  <c r="AI556" i="1"/>
  <c r="CW556" i="1" s="1"/>
  <c r="V556" i="1" s="1"/>
  <c r="AJ556" i="1"/>
  <c r="CR556" i="1"/>
  <c r="CT556" i="1"/>
  <c r="CU556" i="1"/>
  <c r="T556" i="1" s="1"/>
  <c r="CV556" i="1"/>
  <c r="CX556" i="1"/>
  <c r="W556" i="1" s="1"/>
  <c r="GL556" i="1"/>
  <c r="GN556" i="1"/>
  <c r="GP556" i="1"/>
  <c r="GV556" i="1"/>
  <c r="HC556" i="1"/>
  <c r="GX556" i="1" s="1"/>
  <c r="C557" i="1"/>
  <c r="D557" i="1"/>
  <c r="I557" i="1"/>
  <c r="K557" i="1"/>
  <c r="P557" i="1"/>
  <c r="R557" i="1"/>
  <c r="AC557" i="1"/>
  <c r="AD557" i="1"/>
  <c r="AE557" i="1"/>
  <c r="Q557" i="1" s="1"/>
  <c r="AF557" i="1"/>
  <c r="S557" i="1" s="1"/>
  <c r="AG557" i="1"/>
  <c r="AH557" i="1"/>
  <c r="CV557" i="1" s="1"/>
  <c r="U557" i="1" s="1"/>
  <c r="AI557" i="1"/>
  <c r="AJ557" i="1"/>
  <c r="CX557" i="1" s="1"/>
  <c r="W557" i="1" s="1"/>
  <c r="CQ557" i="1"/>
  <c r="CR557" i="1"/>
  <c r="CS557" i="1"/>
  <c r="CU557" i="1"/>
  <c r="T557" i="1" s="1"/>
  <c r="CW557" i="1"/>
  <c r="V557" i="1" s="1"/>
  <c r="GL557" i="1"/>
  <c r="GN557" i="1"/>
  <c r="GP557" i="1"/>
  <c r="GV557" i="1"/>
  <c r="GX557" i="1"/>
  <c r="HC557" i="1"/>
  <c r="I558" i="1"/>
  <c r="P558" i="1" s="1"/>
  <c r="R558" i="1"/>
  <c r="AC558" i="1"/>
  <c r="AD558" i="1"/>
  <c r="AE558" i="1"/>
  <c r="AF558" i="1"/>
  <c r="S558" i="1" s="1"/>
  <c r="AG558" i="1"/>
  <c r="AH558" i="1"/>
  <c r="CV558" i="1" s="1"/>
  <c r="U558" i="1" s="1"/>
  <c r="AI558" i="1"/>
  <c r="AJ558" i="1"/>
  <c r="CX558" i="1" s="1"/>
  <c r="W558" i="1" s="1"/>
  <c r="CQ558" i="1"/>
  <c r="CR558" i="1"/>
  <c r="CS558" i="1"/>
  <c r="CU558" i="1"/>
  <c r="T558" i="1" s="1"/>
  <c r="CW558" i="1"/>
  <c r="V558" i="1" s="1"/>
  <c r="GL558" i="1"/>
  <c r="GN558" i="1"/>
  <c r="GP558" i="1"/>
  <c r="GV558" i="1"/>
  <c r="HC558" i="1"/>
  <c r="I559" i="1"/>
  <c r="P559" i="1" s="1"/>
  <c r="R559" i="1"/>
  <c r="AC559" i="1"/>
  <c r="AD559" i="1"/>
  <c r="AE559" i="1"/>
  <c r="AF559" i="1"/>
  <c r="S559" i="1" s="1"/>
  <c r="AG559" i="1"/>
  <c r="AH559" i="1"/>
  <c r="CV559" i="1" s="1"/>
  <c r="U559" i="1" s="1"/>
  <c r="AI559" i="1"/>
  <c r="AJ559" i="1"/>
  <c r="CX559" i="1" s="1"/>
  <c r="W559" i="1" s="1"/>
  <c r="CQ559" i="1"/>
  <c r="CR559" i="1"/>
  <c r="CS559" i="1"/>
  <c r="CU559" i="1"/>
  <c r="T559" i="1" s="1"/>
  <c r="CW559" i="1"/>
  <c r="V559" i="1" s="1"/>
  <c r="GL559" i="1"/>
  <c r="GN559" i="1"/>
  <c r="GP559" i="1"/>
  <c r="GV559" i="1"/>
  <c r="HC559" i="1"/>
  <c r="C560" i="1"/>
  <c r="D560" i="1"/>
  <c r="I560" i="1"/>
  <c r="K560" i="1"/>
  <c r="S560" i="1"/>
  <c r="AC560" i="1"/>
  <c r="P560" i="1" s="1"/>
  <c r="AE560" i="1"/>
  <c r="AD560" i="1" s="1"/>
  <c r="AF560" i="1"/>
  <c r="AG560" i="1"/>
  <c r="CU560" i="1" s="1"/>
  <c r="T560" i="1" s="1"/>
  <c r="AH560" i="1"/>
  <c r="AI560" i="1"/>
  <c r="CW560" i="1" s="1"/>
  <c r="V560" i="1" s="1"/>
  <c r="AJ560" i="1"/>
  <c r="CR560" i="1"/>
  <c r="CT560" i="1"/>
  <c r="CV560" i="1"/>
  <c r="U560" i="1" s="1"/>
  <c r="CX560" i="1"/>
  <c r="W560" i="1" s="1"/>
  <c r="GL560" i="1"/>
  <c r="GN560" i="1"/>
  <c r="GP560" i="1"/>
  <c r="GV560" i="1"/>
  <c r="HC560" i="1" s="1"/>
  <c r="GX560" i="1" s="1"/>
  <c r="C561" i="1"/>
  <c r="D561" i="1"/>
  <c r="I561" i="1"/>
  <c r="K561" i="1"/>
  <c r="P561" i="1"/>
  <c r="R561" i="1"/>
  <c r="AC561" i="1"/>
  <c r="AD561" i="1"/>
  <c r="AB561" i="1" s="1"/>
  <c r="AE561" i="1"/>
  <c r="Q561" i="1" s="1"/>
  <c r="AF561" i="1"/>
  <c r="S561" i="1" s="1"/>
  <c r="AG561" i="1"/>
  <c r="AH561" i="1"/>
  <c r="CV561" i="1" s="1"/>
  <c r="U561" i="1" s="1"/>
  <c r="AI561" i="1"/>
  <c r="AJ561" i="1"/>
  <c r="CX561" i="1" s="1"/>
  <c r="W561" i="1" s="1"/>
  <c r="CQ561" i="1"/>
  <c r="CR561" i="1"/>
  <c r="CS561" i="1"/>
  <c r="CU561" i="1"/>
  <c r="T561" i="1" s="1"/>
  <c r="CW561" i="1"/>
  <c r="V561" i="1" s="1"/>
  <c r="GL561" i="1"/>
  <c r="GN561" i="1"/>
  <c r="FT565" i="1" s="1"/>
  <c r="GP561" i="1"/>
  <c r="GV561" i="1"/>
  <c r="HC561" i="1" s="1"/>
  <c r="GX561" i="1" s="1"/>
  <c r="I562" i="1"/>
  <c r="Q562" i="1" s="1"/>
  <c r="P562" i="1"/>
  <c r="R562" i="1"/>
  <c r="AC562" i="1"/>
  <c r="AD562" i="1"/>
  <c r="AB562" i="1" s="1"/>
  <c r="AE562" i="1"/>
  <c r="AF562" i="1"/>
  <c r="S562" i="1" s="1"/>
  <c r="AG562" i="1"/>
  <c r="AH562" i="1"/>
  <c r="CV562" i="1" s="1"/>
  <c r="U562" i="1" s="1"/>
  <c r="AI562" i="1"/>
  <c r="AJ562" i="1"/>
  <c r="CX562" i="1" s="1"/>
  <c r="W562" i="1" s="1"/>
  <c r="CQ562" i="1"/>
  <c r="CR562" i="1"/>
  <c r="CS562" i="1"/>
  <c r="CU562" i="1"/>
  <c r="T562" i="1" s="1"/>
  <c r="CW562" i="1"/>
  <c r="V562" i="1" s="1"/>
  <c r="GL562" i="1"/>
  <c r="GN562" i="1"/>
  <c r="CB565" i="1" s="1"/>
  <c r="GP562" i="1"/>
  <c r="GV562" i="1"/>
  <c r="HC562" i="1" s="1"/>
  <c r="GX562" i="1" s="1"/>
  <c r="I563" i="1"/>
  <c r="Q563" i="1" s="1"/>
  <c r="P563" i="1"/>
  <c r="R563" i="1"/>
  <c r="AC563" i="1"/>
  <c r="AD563" i="1"/>
  <c r="AB563" i="1" s="1"/>
  <c r="AE563" i="1"/>
  <c r="AF563" i="1"/>
  <c r="S563" i="1" s="1"/>
  <c r="AG563" i="1"/>
  <c r="AH563" i="1"/>
  <c r="CV563" i="1" s="1"/>
  <c r="U563" i="1" s="1"/>
  <c r="AI563" i="1"/>
  <c r="AJ563" i="1"/>
  <c r="CX563" i="1" s="1"/>
  <c r="W563" i="1" s="1"/>
  <c r="CQ563" i="1"/>
  <c r="CR563" i="1"/>
  <c r="CS563" i="1"/>
  <c r="CU563" i="1"/>
  <c r="T563" i="1" s="1"/>
  <c r="CW563" i="1"/>
  <c r="V563" i="1" s="1"/>
  <c r="GL563" i="1"/>
  <c r="GN563" i="1"/>
  <c r="GP563" i="1"/>
  <c r="GV563" i="1"/>
  <c r="GX563" i="1"/>
  <c r="HC563" i="1"/>
  <c r="B565" i="1"/>
  <c r="B542" i="1" s="1"/>
  <c r="C565" i="1"/>
  <c r="C542" i="1" s="1"/>
  <c r="D565" i="1"/>
  <c r="D542" i="1" s="1"/>
  <c r="F565" i="1"/>
  <c r="F542" i="1" s="1"/>
  <c r="G565" i="1"/>
  <c r="G542" i="1" s="1"/>
  <c r="BX565" i="1"/>
  <c r="BX542" i="1" s="1"/>
  <c r="CK565" i="1"/>
  <c r="CK542" i="1" s="1"/>
  <c r="CL565" i="1"/>
  <c r="CL542" i="1" s="1"/>
  <c r="CM565" i="1"/>
  <c r="BD565" i="1" s="1"/>
  <c r="FP565" i="1"/>
  <c r="FP542" i="1" s="1"/>
  <c r="GC565" i="1"/>
  <c r="GC542" i="1" s="1"/>
  <c r="GD565" i="1"/>
  <c r="GD542" i="1" s="1"/>
  <c r="GE565" i="1"/>
  <c r="GE542" i="1" s="1"/>
  <c r="B595" i="1"/>
  <c r="B22" i="1" s="1"/>
  <c r="C595" i="1"/>
  <c r="C22" i="1" s="1"/>
  <c r="D595" i="1"/>
  <c r="D22" i="1" s="1"/>
  <c r="F595" i="1"/>
  <c r="F22" i="1" s="1"/>
  <c r="G595" i="1"/>
  <c r="G22" i="1" s="1"/>
  <c r="B625" i="1"/>
  <c r="B18" i="1" s="1"/>
  <c r="C625" i="1"/>
  <c r="C18" i="1" s="1"/>
  <c r="D625" i="1"/>
  <c r="D18" i="1" s="1"/>
  <c r="F625" i="1"/>
  <c r="F18" i="1" s="1"/>
  <c r="G625" i="1"/>
  <c r="G18" i="1" s="1"/>
  <c r="F12" i="6"/>
  <c r="G12" i="6"/>
  <c r="P62" i="7" l="1"/>
  <c r="O62" i="7"/>
  <c r="P117" i="7"/>
  <c r="O117" i="7"/>
  <c r="P134" i="7"/>
  <c r="P73" i="7"/>
  <c r="O89" i="7"/>
  <c r="H60" i="7"/>
  <c r="H115" i="7"/>
  <c r="J44" i="7"/>
  <c r="H71" i="7"/>
  <c r="J71" i="7"/>
  <c r="J87" i="7"/>
  <c r="H87" i="7"/>
  <c r="J101" i="7"/>
  <c r="H49" i="7"/>
  <c r="J60" i="7"/>
  <c r="J73" i="7"/>
  <c r="H73" i="7"/>
  <c r="O76" i="7"/>
  <c r="J89" i="7"/>
  <c r="H89" i="7"/>
  <c r="O92" i="7"/>
  <c r="H106" i="7"/>
  <c r="J115" i="7"/>
  <c r="P120" i="7"/>
  <c r="J134" i="7"/>
  <c r="H134" i="7"/>
  <c r="P148" i="7"/>
  <c r="J174" i="7"/>
  <c r="O176" i="7"/>
  <c r="O190" i="7"/>
  <c r="H205" i="7"/>
  <c r="J248" i="7"/>
  <c r="J266" i="7"/>
  <c r="J310" i="7"/>
  <c r="J308" i="7"/>
  <c r="P310" i="7"/>
  <c r="O323" i="7"/>
  <c r="P323" i="7"/>
  <c r="J338" i="7"/>
  <c r="J369" i="7"/>
  <c r="H395" i="7"/>
  <c r="P397" i="7"/>
  <c r="P774" i="7"/>
  <c r="J46" i="7"/>
  <c r="H46" i="7"/>
  <c r="O73" i="7"/>
  <c r="P89" i="7"/>
  <c r="J103" i="7"/>
  <c r="H103" i="7"/>
  <c r="O134" i="7"/>
  <c r="J146" i="7"/>
  <c r="P162" i="7"/>
  <c r="J215" i="7"/>
  <c r="J234" i="7"/>
  <c r="P248" i="7"/>
  <c r="J278" i="7"/>
  <c r="P280" i="7"/>
  <c r="O340" i="7"/>
  <c r="P369" i="7"/>
  <c r="P46" i="7"/>
  <c r="O46" i="7"/>
  <c r="J62" i="7"/>
  <c r="H62" i="7"/>
  <c r="P103" i="7"/>
  <c r="O103" i="7"/>
  <c r="J117" i="7"/>
  <c r="H117" i="7"/>
  <c r="O148" i="7"/>
  <c r="H148" i="7"/>
  <c r="P190" i="7"/>
  <c r="H215" i="7"/>
  <c r="O217" i="7"/>
  <c r="H217" i="7"/>
  <c r="J295" i="7"/>
  <c r="H310" i="7"/>
  <c r="J321" i="7"/>
  <c r="J381" i="7"/>
  <c r="H381" i="7"/>
  <c r="H590" i="7"/>
  <c r="O162" i="7"/>
  <c r="J188" i="7"/>
  <c r="P234" i="7"/>
  <c r="O280" i="7"/>
  <c r="H400" i="7" s="1"/>
  <c r="P340" i="7"/>
  <c r="J160" i="7"/>
  <c r="H160" i="7"/>
  <c r="J190" i="7"/>
  <c r="H190" i="7"/>
  <c r="O202" i="7"/>
  <c r="H220" i="7"/>
  <c r="O234" i="7"/>
  <c r="J246" i="7"/>
  <c r="H246" i="7"/>
  <c r="P266" i="7"/>
  <c r="J269" i="7"/>
  <c r="J280" i="7"/>
  <c r="H280" i="7"/>
  <c r="O283" i="7"/>
  <c r="P295" i="7"/>
  <c r="J298" i="7"/>
  <c r="P301" i="7"/>
  <c r="O310" i="7"/>
  <c r="J313" i="7"/>
  <c r="H321" i="7"/>
  <c r="P326" i="7"/>
  <c r="J340" i="7"/>
  <c r="H340" i="7"/>
  <c r="O343" i="7"/>
  <c r="P349" i="7"/>
  <c r="O355" i="7"/>
  <c r="J367" i="7"/>
  <c r="H367" i="7"/>
  <c r="J397" i="7"/>
  <c r="H397" i="7"/>
  <c r="P414" i="7"/>
  <c r="J414" i="7"/>
  <c r="J412" i="7"/>
  <c r="O417" i="7"/>
  <c r="H417" i="7"/>
  <c r="P423" i="7"/>
  <c r="J423" i="7"/>
  <c r="P502" i="7"/>
  <c r="H532" i="7"/>
  <c r="P549" i="7"/>
  <c r="J549" i="7"/>
  <c r="K572" i="7"/>
  <c r="J574" i="7"/>
  <c r="I586" i="7"/>
  <c r="P607" i="7"/>
  <c r="P636" i="7"/>
  <c r="K682" i="7"/>
  <c r="J684" i="7" s="1"/>
  <c r="O699" i="7"/>
  <c r="P699" i="7"/>
  <c r="J730" i="7"/>
  <c r="J728" i="7"/>
  <c r="H730" i="7"/>
  <c r="P730" i="7"/>
  <c r="H747" i="7"/>
  <c r="O749" i="7"/>
  <c r="H749" i="7"/>
  <c r="J747" i="7"/>
  <c r="H803" i="7"/>
  <c r="J803" i="7"/>
  <c r="J176" i="7"/>
  <c r="H176" i="7"/>
  <c r="J217" i="7"/>
  <c r="J232" i="7"/>
  <c r="H232" i="7"/>
  <c r="J264" i="7"/>
  <c r="H264" i="7"/>
  <c r="J293" i="7"/>
  <c r="H293" i="7"/>
  <c r="H308" i="7"/>
  <c r="J383" i="7"/>
  <c r="H383" i="7"/>
  <c r="J432" i="7"/>
  <c r="P468" i="7"/>
  <c r="O471" i="7"/>
  <c r="H471" i="7"/>
  <c r="O517" i="7"/>
  <c r="H517" i="7"/>
  <c r="P523" i="7"/>
  <c r="J523" i="7"/>
  <c r="H559" i="7"/>
  <c r="H557" i="7"/>
  <c r="H588" i="7"/>
  <c r="O610" i="7"/>
  <c r="H610" i="7"/>
  <c r="H621" i="7"/>
  <c r="J667" i="7"/>
  <c r="J665" i="7"/>
  <c r="P667" i="7"/>
  <c r="H684" i="7"/>
  <c r="O686" i="7"/>
  <c r="H733" i="7" s="1"/>
  <c r="H686" i="7"/>
  <c r="J714" i="7"/>
  <c r="O765" i="7"/>
  <c r="H765" i="7"/>
  <c r="H772" i="7"/>
  <c r="H789" i="7"/>
  <c r="O791" i="7"/>
  <c r="H791" i="7"/>
  <c r="J789" i="7"/>
  <c r="P176" i="7"/>
  <c r="P217" i="7"/>
  <c r="J251" i="7" s="1"/>
  <c r="P383" i="7"/>
  <c r="O383" i="7"/>
  <c r="P449" i="7"/>
  <c r="J449" i="7"/>
  <c r="O455" i="7"/>
  <c r="H455" i="7"/>
  <c r="P477" i="7"/>
  <c r="J477" i="7"/>
  <c r="O483" i="7"/>
  <c r="H483" i="7"/>
  <c r="P511" i="7"/>
  <c r="J511" i="7"/>
  <c r="J532" i="7"/>
  <c r="H574" i="7"/>
  <c r="O576" i="7"/>
  <c r="H576" i="7"/>
  <c r="O607" i="7"/>
  <c r="O636" i="7"/>
  <c r="J651" i="7"/>
  <c r="O702" i="7"/>
  <c r="H702" i="7"/>
  <c r="P749" i="7"/>
  <c r="P805" i="7"/>
  <c r="H432" i="7"/>
  <c r="P437" i="7"/>
  <c r="J437" i="7"/>
  <c r="O443" i="7"/>
  <c r="H486" i="7" s="1"/>
  <c r="H443" i="7"/>
  <c r="O468" i="7"/>
  <c r="O505" i="7"/>
  <c r="H505" i="7"/>
  <c r="P537" i="7"/>
  <c r="J537" i="7"/>
  <c r="O543" i="7"/>
  <c r="H543" i="7"/>
  <c r="J559" i="7"/>
  <c r="O559" i="7"/>
  <c r="J588" i="7"/>
  <c r="J621" i="7"/>
  <c r="J619" i="7"/>
  <c r="P621" i="7"/>
  <c r="O639" i="7"/>
  <c r="H639" i="7"/>
  <c r="I649" i="7"/>
  <c r="H653" i="7" s="1"/>
  <c r="H667" i="7"/>
  <c r="H714" i="7"/>
  <c r="O762" i="7"/>
  <c r="J774" i="7"/>
  <c r="J772" i="7"/>
  <c r="P791" i="7"/>
  <c r="P434" i="7"/>
  <c r="O434" i="7"/>
  <c r="P534" i="7"/>
  <c r="O534" i="7"/>
  <c r="H593" i="7" s="1"/>
  <c r="J557" i="7"/>
  <c r="J576" i="7"/>
  <c r="P590" i="7"/>
  <c r="O590" i="7"/>
  <c r="H619" i="7"/>
  <c r="P653" i="7"/>
  <c r="H665" i="7"/>
  <c r="J686" i="7"/>
  <c r="P716" i="7"/>
  <c r="O716" i="7"/>
  <c r="J749" i="7"/>
  <c r="J791" i="7"/>
  <c r="O805" i="7"/>
  <c r="H414" i="7"/>
  <c r="J420" i="7"/>
  <c r="H440" i="7"/>
  <c r="J446" i="7"/>
  <c r="H452" i="7"/>
  <c r="J468" i="7"/>
  <c r="H468" i="7"/>
  <c r="J502" i="7"/>
  <c r="H502" i="7"/>
  <c r="J508" i="7"/>
  <c r="H514" i="7"/>
  <c r="J520" i="7"/>
  <c r="P576" i="7"/>
  <c r="J607" i="7"/>
  <c r="H607" i="7"/>
  <c r="J636" i="7"/>
  <c r="H636" i="7"/>
  <c r="H699" i="7"/>
  <c r="H762" i="7"/>
  <c r="CZ563" i="1"/>
  <c r="Y563" i="1" s="1"/>
  <c r="CY563" i="1"/>
  <c r="X563" i="1" s="1"/>
  <c r="CZ561" i="1"/>
  <c r="Y561" i="1" s="1"/>
  <c r="CY561" i="1"/>
  <c r="X561" i="1" s="1"/>
  <c r="CY559" i="1"/>
  <c r="X559" i="1" s="1"/>
  <c r="CZ559" i="1"/>
  <c r="Y559" i="1" s="1"/>
  <c r="CB542" i="1"/>
  <c r="AS565" i="1"/>
  <c r="CP562" i="1"/>
  <c r="O562" i="1" s="1"/>
  <c r="GM562" i="1" s="1"/>
  <c r="GO562" i="1" s="1"/>
  <c r="EA565" i="1"/>
  <c r="CP557" i="1"/>
  <c r="O557" i="1" s="1"/>
  <c r="AH565" i="1"/>
  <c r="BD542" i="1"/>
  <c r="F590" i="1"/>
  <c r="CZ562" i="1"/>
  <c r="Y562" i="1" s="1"/>
  <c r="CY562" i="1"/>
  <c r="X562" i="1" s="1"/>
  <c r="DY565" i="1"/>
  <c r="CD542" i="1"/>
  <c r="AU565" i="1"/>
  <c r="CP563" i="1"/>
  <c r="O563" i="1" s="1"/>
  <c r="CY557" i="1"/>
  <c r="X557" i="1" s="1"/>
  <c r="CZ557" i="1"/>
  <c r="Y557" i="1" s="1"/>
  <c r="DZ565" i="1"/>
  <c r="EB565" i="1"/>
  <c r="AI565" i="1"/>
  <c r="FT355" i="1"/>
  <c r="EK404" i="1"/>
  <c r="CY558" i="1"/>
  <c r="X558" i="1" s="1"/>
  <c r="CZ558" i="1"/>
  <c r="Y558" i="1" s="1"/>
  <c r="AG565" i="1"/>
  <c r="BA404" i="1"/>
  <c r="CJ355" i="1"/>
  <c r="FV542" i="1"/>
  <c r="EM565" i="1"/>
  <c r="BZ542" i="1"/>
  <c r="CG565" i="1"/>
  <c r="AQ565" i="1"/>
  <c r="AJ565" i="1"/>
  <c r="FR542" i="1"/>
  <c r="EI565" i="1"/>
  <c r="FY565" i="1"/>
  <c r="FT542" i="1"/>
  <c r="EK565" i="1"/>
  <c r="CP561" i="1"/>
  <c r="O561" i="1" s="1"/>
  <c r="CY560" i="1"/>
  <c r="X560" i="1" s="1"/>
  <c r="AB558" i="1"/>
  <c r="AS510" i="1"/>
  <c r="CB491" i="1"/>
  <c r="CT451" i="1"/>
  <c r="S451" i="1"/>
  <c r="AB451" i="1"/>
  <c r="EV355" i="1"/>
  <c r="P429" i="1"/>
  <c r="F408" i="1"/>
  <c r="AO355" i="1"/>
  <c r="R389" i="1"/>
  <c r="CS389" i="1"/>
  <c r="Q389" i="1"/>
  <c r="AD389" i="1"/>
  <c r="P383" i="1"/>
  <c r="CQ383" i="1"/>
  <c r="AB383" i="1"/>
  <c r="P381" i="1"/>
  <c r="CQ381" i="1"/>
  <c r="AB381" i="1"/>
  <c r="P379" i="1"/>
  <c r="CQ379" i="1"/>
  <c r="AB379" i="1"/>
  <c r="AJ280" i="1"/>
  <c r="W323" i="1"/>
  <c r="AB557" i="1"/>
  <c r="R552" i="1"/>
  <c r="CY552" i="1" s="1"/>
  <c r="X552" i="1" s="1"/>
  <c r="CS552" i="1"/>
  <c r="P551" i="1"/>
  <c r="CQ551" i="1"/>
  <c r="BB491" i="1"/>
  <c r="F523" i="1"/>
  <c r="CY505" i="1"/>
  <c r="X505" i="1" s="1"/>
  <c r="CZ505" i="1"/>
  <c r="Y505" i="1" s="1"/>
  <c r="S503" i="1"/>
  <c r="CT503" i="1"/>
  <c r="CX373" i="3"/>
  <c r="CU373" i="3"/>
  <c r="CV373" i="3"/>
  <c r="S501" i="1"/>
  <c r="P501" i="1"/>
  <c r="BZ491" i="1"/>
  <c r="CG510" i="1"/>
  <c r="AQ510" i="1"/>
  <c r="BZ459" i="1"/>
  <c r="P385" i="1"/>
  <c r="CQ385" i="1"/>
  <c r="AB385" i="1"/>
  <c r="AB371" i="1"/>
  <c r="CQ371" i="1"/>
  <c r="CU254" i="3"/>
  <c r="CV254" i="3"/>
  <c r="CW256" i="3"/>
  <c r="CX258" i="3"/>
  <c r="CX262" i="3"/>
  <c r="CX254" i="3"/>
  <c r="CX256" i="3"/>
  <c r="CX259" i="3"/>
  <c r="CX263" i="3"/>
  <c r="P358" i="1"/>
  <c r="Q358" i="1"/>
  <c r="P301" i="1"/>
  <c r="CQ301" i="1"/>
  <c r="AB301" i="1"/>
  <c r="EG565" i="1"/>
  <c r="BC565" i="1"/>
  <c r="CT563" i="1"/>
  <c r="CT562" i="1"/>
  <c r="CT561" i="1"/>
  <c r="CS560" i="1"/>
  <c r="AB560" i="1"/>
  <c r="R560" i="1"/>
  <c r="Q559" i="1"/>
  <c r="CP559" i="1" s="1"/>
  <c r="O559" i="1" s="1"/>
  <c r="GM559" i="1" s="1"/>
  <c r="GO559" i="1" s="1"/>
  <c r="Q558" i="1"/>
  <c r="CP558" i="1" s="1"/>
  <c r="O558" i="1" s="1"/>
  <c r="GM558" i="1" s="1"/>
  <c r="GO558" i="1" s="1"/>
  <c r="CV425" i="3"/>
  <c r="CX425" i="3"/>
  <c r="CU425" i="3"/>
  <c r="AB555" i="1"/>
  <c r="P555" i="1"/>
  <c r="AD554" i="1"/>
  <c r="CQ553" i="1"/>
  <c r="AD552" i="1"/>
  <c r="Q552" i="1"/>
  <c r="AD565" i="1" s="1"/>
  <c r="AB551" i="1"/>
  <c r="CR548" i="1"/>
  <c r="P548" i="1"/>
  <c r="CP548" i="1" s="1"/>
  <c r="O548" i="1" s="1"/>
  <c r="CQ548" i="1"/>
  <c r="CV411" i="3"/>
  <c r="CX411" i="3"/>
  <c r="CX412" i="3"/>
  <c r="CU411" i="3"/>
  <c r="S546" i="1"/>
  <c r="CP546" i="1" s="1"/>
  <c r="O546" i="1" s="1"/>
  <c r="CT546" i="1"/>
  <c r="CM542" i="1"/>
  <c r="ET510" i="1"/>
  <c r="CI510" i="1"/>
  <c r="BD510" i="1"/>
  <c r="CP508" i="1"/>
  <c r="O508" i="1" s="1"/>
  <c r="GM508" i="1" s="1"/>
  <c r="GO508" i="1" s="1"/>
  <c r="U504" i="1"/>
  <c r="DZ510" i="1" s="1"/>
  <c r="GX503" i="1"/>
  <c r="T501" i="1"/>
  <c r="R500" i="1"/>
  <c r="CS500" i="1"/>
  <c r="AD500" i="1"/>
  <c r="AB500" i="1" s="1"/>
  <c r="AB498" i="1"/>
  <c r="P497" i="1"/>
  <c r="CQ497" i="1"/>
  <c r="AB497" i="1"/>
  <c r="S496" i="1"/>
  <c r="CT496" i="1"/>
  <c r="DY510" i="1"/>
  <c r="S494" i="1"/>
  <c r="CT494" i="1"/>
  <c r="EA510" i="1"/>
  <c r="CJ510" i="1"/>
  <c r="CY493" i="1"/>
  <c r="X493" i="1" s="1"/>
  <c r="CZ493" i="1"/>
  <c r="Y493" i="1" s="1"/>
  <c r="BD436" i="1"/>
  <c r="F484" i="1"/>
  <c r="S457" i="1"/>
  <c r="CT457" i="1"/>
  <c r="P456" i="1"/>
  <c r="Q456" i="1"/>
  <c r="S455" i="1"/>
  <c r="CT455" i="1"/>
  <c r="R454" i="1"/>
  <c r="CS454" i="1"/>
  <c r="AD454" i="1"/>
  <c r="Q454" i="1"/>
  <c r="AB452" i="1"/>
  <c r="CQ447" i="1"/>
  <c r="AB447" i="1"/>
  <c r="S444" i="1"/>
  <c r="Q443" i="1"/>
  <c r="R443" i="1"/>
  <c r="AD443" i="1"/>
  <c r="AB443" i="1" s="1"/>
  <c r="CR443" i="1"/>
  <c r="FT459" i="1"/>
  <c r="CT439" i="1"/>
  <c r="S439" i="1"/>
  <c r="CP439" i="1" s="1"/>
  <c r="O439" i="1" s="1"/>
  <c r="AB439" i="1"/>
  <c r="BB436" i="1"/>
  <c r="BB355" i="1"/>
  <c r="F417" i="1"/>
  <c r="CT400" i="1"/>
  <c r="S400" i="1"/>
  <c r="AB400" i="1"/>
  <c r="R395" i="1"/>
  <c r="CS395" i="1"/>
  <c r="Q395" i="1"/>
  <c r="AD395" i="1"/>
  <c r="CP393" i="1"/>
  <c r="O393" i="1" s="1"/>
  <c r="AB393" i="1"/>
  <c r="CQ393" i="1"/>
  <c r="CQ392" i="1"/>
  <c r="AB392" i="1"/>
  <c r="CP390" i="1"/>
  <c r="O390" i="1" s="1"/>
  <c r="CR389" i="1"/>
  <c r="BZ404" i="1"/>
  <c r="P371" i="1"/>
  <c r="R369" i="1"/>
  <c r="CS369" i="1"/>
  <c r="Q369" i="1"/>
  <c r="AD369" i="1"/>
  <c r="CY369" i="1"/>
  <c r="X369" i="1" s="1"/>
  <c r="CZ369" i="1"/>
  <c r="Y369" i="1" s="1"/>
  <c r="CY359" i="1"/>
  <c r="X359" i="1" s="1"/>
  <c r="CZ359" i="1"/>
  <c r="Y359" i="1" s="1"/>
  <c r="T358" i="1"/>
  <c r="EU280" i="1"/>
  <c r="P339" i="1"/>
  <c r="BB323" i="1"/>
  <c r="CT321" i="1"/>
  <c r="CY303" i="1"/>
  <c r="X303" i="1" s="1"/>
  <c r="CZ303" i="1"/>
  <c r="Y303" i="1" s="1"/>
  <c r="S297" i="1"/>
  <c r="CT297" i="1"/>
  <c r="AB297" i="1"/>
  <c r="T293" i="1"/>
  <c r="ET565" i="1"/>
  <c r="AB559" i="1"/>
  <c r="S549" i="1"/>
  <c r="CT549" i="1"/>
  <c r="P504" i="1"/>
  <c r="Q504" i="1"/>
  <c r="T503" i="1"/>
  <c r="AP491" i="1"/>
  <c r="F519" i="1"/>
  <c r="DM459" i="1"/>
  <c r="DZ436" i="1"/>
  <c r="FV459" i="1"/>
  <c r="DN459" i="1"/>
  <c r="EA436" i="1"/>
  <c r="CP400" i="1"/>
  <c r="O400" i="1" s="1"/>
  <c r="CZ390" i="1"/>
  <c r="Y390" i="1" s="1"/>
  <c r="CY390" i="1"/>
  <c r="X390" i="1" s="1"/>
  <c r="P387" i="1"/>
  <c r="CQ387" i="1"/>
  <c r="AB387" i="1"/>
  <c r="AU248" i="1"/>
  <c r="CD195" i="1"/>
  <c r="EV565" i="1"/>
  <c r="BB565" i="1"/>
  <c r="CZ560" i="1"/>
  <c r="Y560" i="1" s="1"/>
  <c r="Q560" i="1"/>
  <c r="CP560" i="1" s="1"/>
  <c r="O560" i="1" s="1"/>
  <c r="GM560" i="1" s="1"/>
  <c r="GO560" i="1" s="1"/>
  <c r="CV427" i="3"/>
  <c r="CX430" i="3"/>
  <c r="CX434" i="3"/>
  <c r="CU427" i="3"/>
  <c r="CX428" i="3"/>
  <c r="CX431" i="3"/>
  <c r="CX435" i="3"/>
  <c r="GX559" i="1"/>
  <c r="GB565" i="1" s="1"/>
  <c r="GX558" i="1"/>
  <c r="CJ565" i="1" s="1"/>
  <c r="R556" i="1"/>
  <c r="CZ556" i="1" s="1"/>
  <c r="Y556" i="1" s="1"/>
  <c r="CS556" i="1"/>
  <c r="AB554" i="1"/>
  <c r="P554" i="1"/>
  <c r="CY553" i="1"/>
  <c r="X553" i="1" s="1"/>
  <c r="P553" i="1"/>
  <c r="CP553" i="1" s="1"/>
  <c r="O553" i="1" s="1"/>
  <c r="CZ552" i="1"/>
  <c r="Y552" i="1" s="1"/>
  <c r="AB552" i="1"/>
  <c r="P552" i="1"/>
  <c r="CP552" i="1" s="1"/>
  <c r="O552" i="1" s="1"/>
  <c r="P505" i="1"/>
  <c r="CQ505" i="1"/>
  <c r="AB505" i="1"/>
  <c r="T504" i="1"/>
  <c r="W504" i="1"/>
  <c r="EB510" i="1" s="1"/>
  <c r="S504" i="1"/>
  <c r="CT504" i="1"/>
  <c r="I503" i="1"/>
  <c r="S502" i="1"/>
  <c r="CT502" i="1"/>
  <c r="V501" i="1"/>
  <c r="R501" i="1"/>
  <c r="CS501" i="1"/>
  <c r="AD501" i="1"/>
  <c r="Q501" i="1"/>
  <c r="R499" i="1"/>
  <c r="CS499" i="1"/>
  <c r="AD499" i="1"/>
  <c r="GM498" i="1"/>
  <c r="GO498" i="1" s="1"/>
  <c r="CD491" i="1"/>
  <c r="AU510" i="1"/>
  <c r="FR510" i="1"/>
  <c r="BC436" i="1"/>
  <c r="F475" i="1"/>
  <c r="FR459" i="1"/>
  <c r="AB454" i="1"/>
  <c r="Q449" i="1"/>
  <c r="R449" i="1"/>
  <c r="AD449" i="1"/>
  <c r="AB449" i="1" s="1"/>
  <c r="CR449" i="1"/>
  <c r="CQ448" i="1"/>
  <c r="CQ446" i="1"/>
  <c r="CD459" i="1"/>
  <c r="R441" i="1"/>
  <c r="CZ441" i="1" s="1"/>
  <c r="Y441" i="1" s="1"/>
  <c r="CS441" i="1"/>
  <c r="Q441" i="1"/>
  <c r="AD441" i="1"/>
  <c r="GB459" i="1"/>
  <c r="DY459" i="1"/>
  <c r="CB459" i="1"/>
  <c r="AU404" i="1"/>
  <c r="CZ401" i="1"/>
  <c r="Y401" i="1" s="1"/>
  <c r="CY401" i="1"/>
  <c r="X401" i="1" s="1"/>
  <c r="S397" i="1"/>
  <c r="CT397" i="1"/>
  <c r="P388" i="1"/>
  <c r="CQ388" i="1"/>
  <c r="AB388" i="1"/>
  <c r="P386" i="1"/>
  <c r="CQ386" i="1"/>
  <c r="AB386" i="1"/>
  <c r="P384" i="1"/>
  <c r="CQ384" i="1"/>
  <c r="AB384" i="1"/>
  <c r="P382" i="1"/>
  <c r="CQ382" i="1"/>
  <c r="AB382" i="1"/>
  <c r="P380" i="1"/>
  <c r="CQ380" i="1"/>
  <c r="AB380" i="1"/>
  <c r="AB367" i="1"/>
  <c r="CQ367" i="1"/>
  <c r="CY361" i="1"/>
  <c r="X361" i="1" s="1"/>
  <c r="CZ361" i="1"/>
  <c r="Y361" i="1" s="1"/>
  <c r="CZ360" i="1"/>
  <c r="Y360" i="1" s="1"/>
  <c r="CY360" i="1"/>
  <c r="X360" i="1" s="1"/>
  <c r="AD359" i="1"/>
  <c r="CR359" i="1"/>
  <c r="R358" i="1"/>
  <c r="CB404" i="1"/>
  <c r="EI280" i="1"/>
  <c r="P333" i="1"/>
  <c r="R317" i="1"/>
  <c r="CZ317" i="1" s="1"/>
  <c r="Y317" i="1" s="1"/>
  <c r="CS317" i="1"/>
  <c r="Q317" i="1"/>
  <c r="AD317" i="1"/>
  <c r="FR317" i="1"/>
  <c r="CP317" i="1"/>
  <c r="O317" i="1" s="1"/>
  <c r="GM310" i="1"/>
  <c r="GO310" i="1" s="1"/>
  <c r="CY308" i="1"/>
  <c r="X308" i="1" s="1"/>
  <c r="CZ308" i="1"/>
  <c r="Y308" i="1" s="1"/>
  <c r="P305" i="1"/>
  <c r="CQ305" i="1"/>
  <c r="AB305" i="1"/>
  <c r="CY294" i="1"/>
  <c r="X294" i="1" s="1"/>
  <c r="CZ294" i="1"/>
  <c r="Y294" i="1" s="1"/>
  <c r="AB294" i="1"/>
  <c r="FV323" i="1"/>
  <c r="CB323" i="1"/>
  <c r="CJ323" i="1"/>
  <c r="AI323" i="1"/>
  <c r="P556" i="1"/>
  <c r="R554" i="1"/>
  <c r="CY554" i="1" s="1"/>
  <c r="X554" i="1" s="1"/>
  <c r="CS554" i="1"/>
  <c r="P550" i="1"/>
  <c r="CQ550" i="1"/>
  <c r="R548" i="1"/>
  <c r="CZ548" i="1" s="1"/>
  <c r="Y548" i="1" s="1"/>
  <c r="CS548" i="1"/>
  <c r="AD548" i="1"/>
  <c r="AB548" i="1" s="1"/>
  <c r="EH491" i="1"/>
  <c r="P519" i="1"/>
  <c r="GM507" i="1"/>
  <c r="GO507" i="1" s="1"/>
  <c r="W503" i="1"/>
  <c r="FT491" i="1"/>
  <c r="EK510" i="1"/>
  <c r="FV510" i="1"/>
  <c r="BY491" i="1"/>
  <c r="AO491" i="1"/>
  <c r="CY395" i="1"/>
  <c r="X395" i="1" s="1"/>
  <c r="CZ395" i="1"/>
  <c r="Y395" i="1" s="1"/>
  <c r="CY389" i="1"/>
  <c r="X389" i="1" s="1"/>
  <c r="CZ389" i="1"/>
  <c r="Y389" i="1" s="1"/>
  <c r="GE280" i="1"/>
  <c r="EV323" i="1"/>
  <c r="AB318" i="1"/>
  <c r="P318" i="1"/>
  <c r="CQ318" i="1"/>
  <c r="CY304" i="1"/>
  <c r="X304" i="1" s="1"/>
  <c r="CZ304" i="1"/>
  <c r="Y304" i="1" s="1"/>
  <c r="EU565" i="1"/>
  <c r="DU565" i="1"/>
  <c r="AO565" i="1"/>
  <c r="CU437" i="3"/>
  <c r="CW439" i="3"/>
  <c r="CX439" i="3"/>
  <c r="CX443" i="3"/>
  <c r="CX437" i="3"/>
  <c r="CQ560" i="1"/>
  <c r="CT559" i="1"/>
  <c r="CT558" i="1"/>
  <c r="CT557" i="1"/>
  <c r="CQ556" i="1"/>
  <c r="AD556" i="1"/>
  <c r="AB556" i="1" s="1"/>
  <c r="Q556" i="1"/>
  <c r="CV423" i="3"/>
  <c r="CX423" i="3"/>
  <c r="CU423" i="3"/>
  <c r="R555" i="1"/>
  <c r="CS555" i="1"/>
  <c r="R551" i="1"/>
  <c r="DW565" i="1" s="1"/>
  <c r="R550" i="1"/>
  <c r="CY550" i="1" s="1"/>
  <c r="X550" i="1" s="1"/>
  <c r="S547" i="1"/>
  <c r="CT547" i="1"/>
  <c r="S545" i="1"/>
  <c r="CP545" i="1" s="1"/>
  <c r="O545" i="1" s="1"/>
  <c r="CT545" i="1"/>
  <c r="R544" i="1"/>
  <c r="CS544" i="1"/>
  <c r="AD544" i="1"/>
  <c r="AB544" i="1" s="1"/>
  <c r="GA510" i="1"/>
  <c r="AB507" i="1"/>
  <c r="CP506" i="1"/>
  <c r="O506" i="1" s="1"/>
  <c r="GM506" i="1" s="1"/>
  <c r="GO506" i="1" s="1"/>
  <c r="GX504" i="1"/>
  <c r="GB510" i="1" s="1"/>
  <c r="R504" i="1"/>
  <c r="DW510" i="1" s="1"/>
  <c r="U503" i="1"/>
  <c r="AH510" i="1" s="1"/>
  <c r="W501" i="1"/>
  <c r="AJ510" i="1" s="1"/>
  <c r="CR501" i="1"/>
  <c r="AB501" i="1"/>
  <c r="CR499" i="1"/>
  <c r="AB499" i="1"/>
  <c r="Q499" i="1"/>
  <c r="CY497" i="1"/>
  <c r="X497" i="1" s="1"/>
  <c r="CZ497" i="1"/>
  <c r="Y497" i="1" s="1"/>
  <c r="P496" i="1"/>
  <c r="DU510" i="1" s="1"/>
  <c r="Q496" i="1"/>
  <c r="T495" i="1"/>
  <c r="AG510" i="1" s="1"/>
  <c r="W495" i="1"/>
  <c r="S495" i="1"/>
  <c r="CP495" i="1" s="1"/>
  <c r="O495" i="1" s="1"/>
  <c r="CT495" i="1"/>
  <c r="P493" i="1"/>
  <c r="CQ493" i="1"/>
  <c r="AB493" i="1"/>
  <c r="EV459" i="1"/>
  <c r="P457" i="1"/>
  <c r="Q457" i="1"/>
  <c r="T456" i="1"/>
  <c r="W456" i="1"/>
  <c r="S456" i="1"/>
  <c r="CT456" i="1"/>
  <c r="CU333" i="3"/>
  <c r="CX334" i="3"/>
  <c r="CX339" i="3"/>
  <c r="CW334" i="3"/>
  <c r="CX340" i="3"/>
  <c r="CX336" i="3"/>
  <c r="S454" i="1"/>
  <c r="P454" i="1"/>
  <c r="CP454" i="1" s="1"/>
  <c r="O454" i="1" s="1"/>
  <c r="CP453" i="1"/>
  <c r="O453" i="1" s="1"/>
  <c r="GM453" i="1" s="1"/>
  <c r="GO453" i="1" s="1"/>
  <c r="CP451" i="1"/>
  <c r="O451" i="1" s="1"/>
  <c r="CS449" i="1"/>
  <c r="CY447" i="1"/>
  <c r="X447" i="1" s="1"/>
  <c r="GM447" i="1" s="1"/>
  <c r="GO447" i="1" s="1"/>
  <c r="CR441" i="1"/>
  <c r="EB459" i="1"/>
  <c r="CM355" i="1"/>
  <c r="BD404" i="1"/>
  <c r="AB402" i="1"/>
  <c r="Q401" i="1"/>
  <c r="CP401" i="1" s="1"/>
  <c r="O401" i="1" s="1"/>
  <c r="GM401" i="1" s="1"/>
  <c r="GO401" i="1" s="1"/>
  <c r="R401" i="1"/>
  <c r="W401" i="1"/>
  <c r="R398" i="1"/>
  <c r="AD398" i="1"/>
  <c r="AB398" i="1" s="1"/>
  <c r="CR398" i="1"/>
  <c r="P398" i="1"/>
  <c r="Q398" i="1"/>
  <c r="CP397" i="1"/>
  <c r="O397" i="1" s="1"/>
  <c r="CY392" i="1"/>
  <c r="X392" i="1" s="1"/>
  <c r="GM392" i="1" s="1"/>
  <c r="GO392" i="1" s="1"/>
  <c r="R376" i="1"/>
  <c r="AD376" i="1"/>
  <c r="AB376" i="1" s="1"/>
  <c r="CR376" i="1"/>
  <c r="AB375" i="1"/>
  <c r="CQ375" i="1"/>
  <c r="P375" i="1"/>
  <c r="CP375" i="1" s="1"/>
  <c r="O375" i="1" s="1"/>
  <c r="R373" i="1"/>
  <c r="CS373" i="1"/>
  <c r="Q373" i="1"/>
  <c r="AD373" i="1"/>
  <c r="CY373" i="1"/>
  <c r="X373" i="1" s="1"/>
  <c r="CZ373" i="1"/>
  <c r="Y373" i="1" s="1"/>
  <c r="P367" i="1"/>
  <c r="R365" i="1"/>
  <c r="CS365" i="1"/>
  <c r="Q365" i="1"/>
  <c r="AD365" i="1"/>
  <c r="CY365" i="1"/>
  <c r="X365" i="1" s="1"/>
  <c r="CZ365" i="1"/>
  <c r="Y365" i="1" s="1"/>
  <c r="CQ363" i="1"/>
  <c r="R361" i="1"/>
  <c r="CS361" i="1"/>
  <c r="Q361" i="1"/>
  <c r="AD361" i="1"/>
  <c r="CU265" i="3"/>
  <c r="CV265" i="3"/>
  <c r="CX268" i="3"/>
  <c r="CX265" i="3"/>
  <c r="Q359" i="1"/>
  <c r="GX358" i="1"/>
  <c r="U358" i="1"/>
  <c r="FR319" i="1"/>
  <c r="CR317" i="1"/>
  <c r="R316" i="1"/>
  <c r="CY316" i="1" s="1"/>
  <c r="X316" i="1" s="1"/>
  <c r="CS316" i="1"/>
  <c r="AD316" i="1"/>
  <c r="CR316" i="1"/>
  <c r="AB311" i="1"/>
  <c r="P311" i="1"/>
  <c r="CP311" i="1" s="1"/>
  <c r="O311" i="1" s="1"/>
  <c r="GM311" i="1" s="1"/>
  <c r="GO311" i="1" s="1"/>
  <c r="CQ311" i="1"/>
  <c r="CY307" i="1"/>
  <c r="X307" i="1" s="1"/>
  <c r="CZ307" i="1"/>
  <c r="Y307" i="1" s="1"/>
  <c r="CT294" i="1"/>
  <c r="CU232" i="3"/>
  <c r="CX234" i="3"/>
  <c r="CX233" i="3"/>
  <c r="Q293" i="1"/>
  <c r="R293" i="1"/>
  <c r="U293" i="1"/>
  <c r="AH323" i="1"/>
  <c r="CV415" i="3"/>
  <c r="CX415" i="3"/>
  <c r="CU415" i="3"/>
  <c r="CX416" i="3"/>
  <c r="CQ544" i="1"/>
  <c r="P544" i="1"/>
  <c r="EG510" i="1"/>
  <c r="BC510" i="1"/>
  <c r="Q502" i="1"/>
  <c r="CX375" i="3"/>
  <c r="CU375" i="3"/>
  <c r="CV375" i="3"/>
  <c r="Q494" i="1"/>
  <c r="DV510" i="1" s="1"/>
  <c r="EU459" i="1"/>
  <c r="AO459" i="1"/>
  <c r="Q455" i="1"/>
  <c r="CU342" i="3"/>
  <c r="CW344" i="3"/>
  <c r="CX347" i="3"/>
  <c r="CX342" i="3"/>
  <c r="CX344" i="3"/>
  <c r="CX348" i="3"/>
  <c r="R450" i="1"/>
  <c r="CY450" i="1" s="1"/>
  <c r="X450" i="1" s="1"/>
  <c r="CU329" i="3"/>
  <c r="CX330" i="3"/>
  <c r="R445" i="1"/>
  <c r="CY445" i="1" s="1"/>
  <c r="X445" i="1" s="1"/>
  <c r="R444" i="1"/>
  <c r="R440" i="1"/>
  <c r="CY440" i="1" s="1"/>
  <c r="X440" i="1" s="1"/>
  <c r="CS440" i="1"/>
  <c r="R438" i="1"/>
  <c r="CS438" i="1"/>
  <c r="CL436" i="1"/>
  <c r="ET404" i="1"/>
  <c r="P402" i="1"/>
  <c r="CP402" i="1" s="1"/>
  <c r="O402" i="1" s="1"/>
  <c r="U401" i="1"/>
  <c r="AH404" i="1" s="1"/>
  <c r="R399" i="1"/>
  <c r="CY399" i="1" s="1"/>
  <c r="X399" i="1" s="1"/>
  <c r="CU285" i="3"/>
  <c r="CX285" i="3"/>
  <c r="CX287" i="3"/>
  <c r="CX290" i="3"/>
  <c r="CX294" i="3"/>
  <c r="CV285" i="3"/>
  <c r="CW287" i="3"/>
  <c r="S396" i="1"/>
  <c r="CT396" i="1"/>
  <c r="AB396" i="1"/>
  <c r="CU281" i="3"/>
  <c r="CX281" i="3"/>
  <c r="CV281" i="3"/>
  <c r="R394" i="1"/>
  <c r="CY394" i="1" s="1"/>
  <c r="X394" i="1" s="1"/>
  <c r="CS394" i="1"/>
  <c r="P391" i="1"/>
  <c r="CP391" i="1" s="1"/>
  <c r="O391" i="1" s="1"/>
  <c r="CT378" i="1"/>
  <c r="AB378" i="1"/>
  <c r="CU275" i="3"/>
  <c r="CV275" i="3"/>
  <c r="CX275" i="3"/>
  <c r="AB374" i="1"/>
  <c r="P374" i="1"/>
  <c r="R372" i="1"/>
  <c r="CY372" i="1" s="1"/>
  <c r="X372" i="1" s="1"/>
  <c r="CS372" i="1"/>
  <c r="AB370" i="1"/>
  <c r="P370" i="1"/>
  <c r="R368" i="1"/>
  <c r="CY368" i="1" s="1"/>
  <c r="X368" i="1" s="1"/>
  <c r="CS368" i="1"/>
  <c r="AB366" i="1"/>
  <c r="P366" i="1"/>
  <c r="R364" i="1"/>
  <c r="CY364" i="1" s="1"/>
  <c r="X364" i="1" s="1"/>
  <c r="CS364" i="1"/>
  <c r="AB362" i="1"/>
  <c r="P362" i="1"/>
  <c r="P359" i="1"/>
  <c r="CP359" i="1" s="1"/>
  <c r="O359" i="1" s="1"/>
  <c r="GM359" i="1" s="1"/>
  <c r="GO359" i="1" s="1"/>
  <c r="CQ359" i="1"/>
  <c r="FR404" i="1"/>
  <c r="R357" i="1"/>
  <c r="CS357" i="1"/>
  <c r="R321" i="1"/>
  <c r="CZ321" i="1" s="1"/>
  <c r="Y321" i="1" s="1"/>
  <c r="R320" i="1"/>
  <c r="CY320" i="1" s="1"/>
  <c r="X320" i="1" s="1"/>
  <c r="R319" i="1"/>
  <c r="CZ319" i="1" s="1"/>
  <c r="Y319" i="1" s="1"/>
  <c r="Q319" i="1"/>
  <c r="CP319" i="1" s="1"/>
  <c r="O319" i="1" s="1"/>
  <c r="AD319" i="1"/>
  <c r="R314" i="1"/>
  <c r="CS314" i="1"/>
  <c r="FR314" i="1"/>
  <c r="CP314" i="1"/>
  <c r="O314" i="1" s="1"/>
  <c r="CP309" i="1"/>
  <c r="O309" i="1" s="1"/>
  <c r="GM309" i="1" s="1"/>
  <c r="GO309" i="1" s="1"/>
  <c r="P308" i="1"/>
  <c r="CQ308" i="1"/>
  <c r="P307" i="1"/>
  <c r="CQ307" i="1"/>
  <c r="CY306" i="1"/>
  <c r="X306" i="1" s="1"/>
  <c r="CZ306" i="1"/>
  <c r="Y306" i="1" s="1"/>
  <c r="P304" i="1"/>
  <c r="CQ304" i="1"/>
  <c r="P303" i="1"/>
  <c r="CQ303" i="1"/>
  <c r="CY302" i="1"/>
  <c r="X302" i="1" s="1"/>
  <c r="CZ302" i="1"/>
  <c r="Y302" i="1" s="1"/>
  <c r="CY299" i="1"/>
  <c r="X299" i="1" s="1"/>
  <c r="CZ299" i="1"/>
  <c r="Y299" i="1" s="1"/>
  <c r="P298" i="1"/>
  <c r="CQ298" i="1"/>
  <c r="P295" i="1"/>
  <c r="CQ295" i="1"/>
  <c r="AB295" i="1"/>
  <c r="V293" i="1"/>
  <c r="R292" i="1"/>
  <c r="CY292" i="1" s="1"/>
  <c r="X292" i="1" s="1"/>
  <c r="CS292" i="1"/>
  <c r="AD292" i="1"/>
  <c r="AB292" i="1" s="1"/>
  <c r="CR292" i="1"/>
  <c r="Q292" i="1"/>
  <c r="CP292" i="1" s="1"/>
  <c r="O292" i="1" s="1"/>
  <c r="AB283" i="1"/>
  <c r="P283" i="1"/>
  <c r="CQ283" i="1"/>
  <c r="CD323" i="1"/>
  <c r="FR280" i="1"/>
  <c r="CP222" i="1"/>
  <c r="O222" i="1" s="1"/>
  <c r="EB248" i="1"/>
  <c r="CZ216" i="1"/>
  <c r="Y216" i="1" s="1"/>
  <c r="CY216" i="1"/>
  <c r="X216" i="1" s="1"/>
  <c r="CP216" i="1"/>
  <c r="O216" i="1" s="1"/>
  <c r="GB248" i="1"/>
  <c r="AH248" i="1"/>
  <c r="DZ248" i="1"/>
  <c r="EA248" i="1"/>
  <c r="CB146" i="1"/>
  <c r="AS163" i="1"/>
  <c r="EA163" i="1"/>
  <c r="CJ163" i="1"/>
  <c r="EV510" i="1"/>
  <c r="Q505" i="1"/>
  <c r="CX377" i="3"/>
  <c r="CX379" i="3"/>
  <c r="CU377" i="3"/>
  <c r="CX385" i="3"/>
  <c r="CV377" i="3"/>
  <c r="CW379" i="3"/>
  <c r="CX382" i="3"/>
  <c r="CX386" i="3"/>
  <c r="P502" i="1"/>
  <c r="CP500" i="1"/>
  <c r="O500" i="1" s="1"/>
  <c r="CP499" i="1"/>
  <c r="O499" i="1" s="1"/>
  <c r="Q497" i="1"/>
  <c r="CX365" i="3"/>
  <c r="CX367" i="3"/>
  <c r="CU365" i="3"/>
  <c r="CV365" i="3"/>
  <c r="CW367" i="3"/>
  <c r="Q493" i="1"/>
  <c r="P455" i="1"/>
  <c r="CP455" i="1" s="1"/>
  <c r="O455" i="1" s="1"/>
  <c r="I452" i="1"/>
  <c r="GX452" i="1" s="1"/>
  <c r="CJ459" i="1" s="1"/>
  <c r="CR450" i="1"/>
  <c r="P450" i="1"/>
  <c r="CQ450" i="1"/>
  <c r="Q450" i="1"/>
  <c r="R448" i="1"/>
  <c r="CS448" i="1"/>
  <c r="R446" i="1"/>
  <c r="CS446" i="1"/>
  <c r="CR445" i="1"/>
  <c r="P445" i="1"/>
  <c r="CQ445" i="1"/>
  <c r="Q445" i="1"/>
  <c r="CR444" i="1"/>
  <c r="P444" i="1"/>
  <c r="CQ444" i="1"/>
  <c r="Q444" i="1"/>
  <c r="R442" i="1"/>
  <c r="CY442" i="1" s="1"/>
  <c r="X442" i="1" s="1"/>
  <c r="AB441" i="1"/>
  <c r="P441" i="1"/>
  <c r="DU459" i="1" s="1"/>
  <c r="AD440" i="1"/>
  <c r="AB440" i="1" s="1"/>
  <c r="Q440" i="1"/>
  <c r="AD438" i="1"/>
  <c r="Q438" i="1"/>
  <c r="BC404" i="1"/>
  <c r="CQ400" i="1"/>
  <c r="CR399" i="1"/>
  <c r="P399" i="1"/>
  <c r="CP399" i="1" s="1"/>
  <c r="O399" i="1" s="1"/>
  <c r="CQ399" i="1"/>
  <c r="Q399" i="1"/>
  <c r="CR397" i="1"/>
  <c r="AD397" i="1"/>
  <c r="AB397" i="1" s="1"/>
  <c r="AB395" i="1"/>
  <c r="P395" i="1"/>
  <c r="CP395" i="1" s="1"/>
  <c r="O395" i="1" s="1"/>
  <c r="GM395" i="1" s="1"/>
  <c r="GO395" i="1" s="1"/>
  <c r="AD394" i="1"/>
  <c r="Q394" i="1"/>
  <c r="R393" i="1"/>
  <c r="CS393" i="1"/>
  <c r="AB389" i="1"/>
  <c r="P389" i="1"/>
  <c r="CP389" i="1" s="1"/>
  <c r="O389" i="1" s="1"/>
  <c r="GM389" i="1" s="1"/>
  <c r="GO389" i="1" s="1"/>
  <c r="I378" i="1"/>
  <c r="U378" i="1" s="1"/>
  <c r="W377" i="1"/>
  <c r="AJ404" i="1" s="1"/>
  <c r="S377" i="1"/>
  <c r="CP377" i="1" s="1"/>
  <c r="O377" i="1" s="1"/>
  <c r="CT377" i="1"/>
  <c r="Q376" i="1"/>
  <c r="V375" i="1"/>
  <c r="AI404" i="1" s="1"/>
  <c r="R375" i="1"/>
  <c r="CZ375" i="1" s="1"/>
  <c r="Y375" i="1" s="1"/>
  <c r="CS375" i="1"/>
  <c r="AB373" i="1"/>
  <c r="P373" i="1"/>
  <c r="AD372" i="1"/>
  <c r="AB372" i="1" s="1"/>
  <c r="Q372" i="1"/>
  <c r="R371" i="1"/>
  <c r="CS371" i="1"/>
  <c r="AB369" i="1"/>
  <c r="P369" i="1"/>
  <c r="AD368" i="1"/>
  <c r="AB368" i="1" s="1"/>
  <c r="Q368" i="1"/>
  <c r="R367" i="1"/>
  <c r="CS367" i="1"/>
  <c r="AB365" i="1"/>
  <c r="P365" i="1"/>
  <c r="AD364" i="1"/>
  <c r="AB364" i="1" s="1"/>
  <c r="Q364" i="1"/>
  <c r="R363" i="1"/>
  <c r="CS363" i="1"/>
  <c r="AB361" i="1"/>
  <c r="P361" i="1"/>
  <c r="P360" i="1"/>
  <c r="CP360" i="1" s="1"/>
  <c r="O360" i="1" s="1"/>
  <c r="GM360" i="1" s="1"/>
  <c r="GO360" i="1" s="1"/>
  <c r="T359" i="1"/>
  <c r="AB359" i="1"/>
  <c r="FV404" i="1"/>
  <c r="W358" i="1"/>
  <c r="S358" i="1"/>
  <c r="CT358" i="1"/>
  <c r="AD357" i="1"/>
  <c r="Q357" i="1"/>
  <c r="CU243" i="3"/>
  <c r="CX247" i="3"/>
  <c r="CW245" i="3"/>
  <c r="CX251" i="3"/>
  <c r="CV243" i="3"/>
  <c r="CW244" i="3"/>
  <c r="CX245" i="3"/>
  <c r="CX249" i="3"/>
  <c r="EP323" i="1"/>
  <c r="AO323" i="1"/>
  <c r="CR321" i="1"/>
  <c r="P321" i="1"/>
  <c r="CQ321" i="1"/>
  <c r="Q321" i="1"/>
  <c r="CR320" i="1"/>
  <c r="P320" i="1"/>
  <c r="CQ320" i="1"/>
  <c r="Q320" i="1"/>
  <c r="CR319" i="1"/>
  <c r="AB319" i="1"/>
  <c r="CQ319" i="1"/>
  <c r="AB317" i="1"/>
  <c r="CY317" i="1"/>
  <c r="X317" i="1" s="1"/>
  <c r="R315" i="1"/>
  <c r="CS315" i="1"/>
  <c r="Q315" i="1"/>
  <c r="CP315" i="1" s="1"/>
  <c r="O315" i="1" s="1"/>
  <c r="AD315" i="1"/>
  <c r="CR314" i="1"/>
  <c r="AD314" i="1"/>
  <c r="AB313" i="1"/>
  <c r="AB308" i="1"/>
  <c r="AB307" i="1"/>
  <c r="AB304" i="1"/>
  <c r="AB303" i="1"/>
  <c r="AB298" i="1"/>
  <c r="BZ323" i="1"/>
  <c r="R291" i="1"/>
  <c r="CS291" i="1"/>
  <c r="Q291" i="1"/>
  <c r="CP291" i="1" s="1"/>
  <c r="O291" i="1" s="1"/>
  <c r="FR287" i="1"/>
  <c r="W285" i="1"/>
  <c r="EB323" i="1" s="1"/>
  <c r="GB323" i="1"/>
  <c r="AG323" i="1"/>
  <c r="EU510" i="1"/>
  <c r="CU387" i="3"/>
  <c r="CX388" i="3"/>
  <c r="CX396" i="3"/>
  <c r="CW388" i="3"/>
  <c r="CX390" i="3"/>
  <c r="CX394" i="3"/>
  <c r="CX369" i="3"/>
  <c r="CX371" i="3"/>
  <c r="CU369" i="3"/>
  <c r="CV369" i="3"/>
  <c r="CW371" i="3"/>
  <c r="EG459" i="1"/>
  <c r="T450" i="1"/>
  <c r="AB450" i="1"/>
  <c r="S449" i="1"/>
  <c r="CT449" i="1"/>
  <c r="CP449" i="1"/>
  <c r="O449" i="1" s="1"/>
  <c r="AD448" i="1"/>
  <c r="AB448" i="1" s="1"/>
  <c r="Q448" i="1"/>
  <c r="CP448" i="1" s="1"/>
  <c r="O448" i="1" s="1"/>
  <c r="AD446" i="1"/>
  <c r="AB446" i="1" s="1"/>
  <c r="Q446" i="1"/>
  <c r="CP446" i="1" s="1"/>
  <c r="O446" i="1" s="1"/>
  <c r="AB445" i="1"/>
  <c r="AB444" i="1"/>
  <c r="S443" i="1"/>
  <c r="CT443" i="1"/>
  <c r="CP443" i="1"/>
  <c r="O443" i="1" s="1"/>
  <c r="CR442" i="1"/>
  <c r="P442" i="1"/>
  <c r="CQ442" i="1"/>
  <c r="Q442" i="1"/>
  <c r="P440" i="1"/>
  <c r="AB438" i="1"/>
  <c r="P438" i="1"/>
  <c r="EG404" i="1"/>
  <c r="CZ402" i="1"/>
  <c r="Y402" i="1" s="1"/>
  <c r="T399" i="1"/>
  <c r="W398" i="1"/>
  <c r="S398" i="1"/>
  <c r="CT398" i="1"/>
  <c r="CU283" i="3"/>
  <c r="CX283" i="3"/>
  <c r="CV283" i="3"/>
  <c r="T395" i="1"/>
  <c r="AG404" i="1" s="1"/>
  <c r="AB394" i="1"/>
  <c r="P394" i="1"/>
  <c r="CZ391" i="1"/>
  <c r="Y391" i="1" s="1"/>
  <c r="R388" i="1"/>
  <c r="CY388" i="1" s="1"/>
  <c r="X388" i="1" s="1"/>
  <c r="R387" i="1"/>
  <c r="CY387" i="1" s="1"/>
  <c r="X387" i="1" s="1"/>
  <c r="R386" i="1"/>
  <c r="CY386" i="1" s="1"/>
  <c r="X386" i="1" s="1"/>
  <c r="R385" i="1"/>
  <c r="CY385" i="1" s="1"/>
  <c r="X385" i="1" s="1"/>
  <c r="R384" i="1"/>
  <c r="CZ384" i="1" s="1"/>
  <c r="Y384" i="1" s="1"/>
  <c r="R383" i="1"/>
  <c r="CY383" i="1" s="1"/>
  <c r="X383" i="1" s="1"/>
  <c r="R382" i="1"/>
  <c r="CY382" i="1" s="1"/>
  <c r="X382" i="1" s="1"/>
  <c r="R381" i="1"/>
  <c r="CZ381" i="1" s="1"/>
  <c r="Y381" i="1" s="1"/>
  <c r="R380" i="1"/>
  <c r="CZ380" i="1" s="1"/>
  <c r="Y380" i="1" s="1"/>
  <c r="R379" i="1"/>
  <c r="CY379" i="1" s="1"/>
  <c r="X379" i="1" s="1"/>
  <c r="W376" i="1"/>
  <c r="S376" i="1"/>
  <c r="CT376" i="1"/>
  <c r="P376" i="1"/>
  <c r="CP376" i="1" s="1"/>
  <c r="O376" i="1" s="1"/>
  <c r="CU273" i="3"/>
  <c r="CV273" i="3"/>
  <c r="CX273" i="3"/>
  <c r="R374" i="1"/>
  <c r="CZ374" i="1" s="1"/>
  <c r="Y374" i="1" s="1"/>
  <c r="CS374" i="1"/>
  <c r="P372" i="1"/>
  <c r="R370" i="1"/>
  <c r="CZ370" i="1" s="1"/>
  <c r="Y370" i="1" s="1"/>
  <c r="CS370" i="1"/>
  <c r="P368" i="1"/>
  <c r="R366" i="1"/>
  <c r="CZ366" i="1" s="1"/>
  <c r="Y366" i="1" s="1"/>
  <c r="CS366" i="1"/>
  <c r="P364" i="1"/>
  <c r="AD363" i="1"/>
  <c r="AB363" i="1" s="1"/>
  <c r="Q363" i="1"/>
  <c r="CP363" i="1" s="1"/>
  <c r="O363" i="1" s="1"/>
  <c r="R362" i="1"/>
  <c r="CS362" i="1"/>
  <c r="AB357" i="1"/>
  <c r="P357" i="1"/>
  <c r="ET323" i="1"/>
  <c r="BC280" i="1"/>
  <c r="F339" i="1"/>
  <c r="BD323" i="1"/>
  <c r="AB321" i="1"/>
  <c r="AB320" i="1"/>
  <c r="CZ316" i="1"/>
  <c r="Y316" i="1" s="1"/>
  <c r="AB315" i="1"/>
  <c r="CQ315" i="1"/>
  <c r="FR313" i="1"/>
  <c r="R312" i="1"/>
  <c r="CS312" i="1"/>
  <c r="FR312" i="1"/>
  <c r="CP312" i="1"/>
  <c r="O312" i="1" s="1"/>
  <c r="AB310" i="1"/>
  <c r="CQ310" i="1"/>
  <c r="CY305" i="1"/>
  <c r="X305" i="1" s="1"/>
  <c r="CZ305" i="1"/>
  <c r="Y305" i="1" s="1"/>
  <c r="CY301" i="1"/>
  <c r="X301" i="1" s="1"/>
  <c r="CZ301" i="1"/>
  <c r="Y301" i="1" s="1"/>
  <c r="P299" i="1"/>
  <c r="CQ299" i="1"/>
  <c r="AB299" i="1"/>
  <c r="CY298" i="1"/>
  <c r="X298" i="1" s="1"/>
  <c r="CZ298" i="1"/>
  <c r="Y298" i="1" s="1"/>
  <c r="CY295" i="1"/>
  <c r="X295" i="1" s="1"/>
  <c r="CZ295" i="1"/>
  <c r="Y295" i="1" s="1"/>
  <c r="P294" i="1"/>
  <c r="CQ294" i="1"/>
  <c r="P293" i="1"/>
  <c r="CP293" i="1" s="1"/>
  <c r="O293" i="1" s="1"/>
  <c r="FR291" i="1"/>
  <c r="FT323" i="1"/>
  <c r="FR288" i="1"/>
  <c r="V285" i="1"/>
  <c r="R285" i="1"/>
  <c r="S285" i="1"/>
  <c r="EA323" i="1"/>
  <c r="AJ163" i="1"/>
  <c r="DZ146" i="1"/>
  <c r="DM163" i="1"/>
  <c r="P300" i="1"/>
  <c r="CQ300" i="1"/>
  <c r="CY300" i="1"/>
  <c r="X300" i="1" s="1"/>
  <c r="CZ300" i="1"/>
  <c r="Y300" i="1" s="1"/>
  <c r="P296" i="1"/>
  <c r="CQ296" i="1"/>
  <c r="CY296" i="1"/>
  <c r="X296" i="1" s="1"/>
  <c r="CZ296" i="1"/>
  <c r="Y296" i="1" s="1"/>
  <c r="W293" i="1"/>
  <c r="S293" i="1"/>
  <c r="CT293" i="1"/>
  <c r="FR286" i="1"/>
  <c r="U285" i="1"/>
  <c r="DZ323" i="1" s="1"/>
  <c r="CP282" i="1"/>
  <c r="O282" i="1" s="1"/>
  <c r="GE195" i="1"/>
  <c r="EV248" i="1"/>
  <c r="EG195" i="1"/>
  <c r="P252" i="1"/>
  <c r="FT195" i="1"/>
  <c r="EK248" i="1"/>
  <c r="S242" i="1"/>
  <c r="DX248" i="1" s="1"/>
  <c r="CT242" i="1"/>
  <c r="AB242" i="1"/>
  <c r="CU331" i="3"/>
  <c r="CX332" i="3"/>
  <c r="EU404" i="1"/>
  <c r="CU295" i="3"/>
  <c r="CX302" i="3"/>
  <c r="CW296" i="3"/>
  <c r="CX298" i="3"/>
  <c r="CX303" i="3"/>
  <c r="CX296" i="3"/>
  <c r="CX270" i="3"/>
  <c r="CU269" i="3"/>
  <c r="EG323" i="1"/>
  <c r="R318" i="1"/>
  <c r="CS318" i="1"/>
  <c r="AB316" i="1"/>
  <c r="P316" i="1"/>
  <c r="AB314" i="1"/>
  <c r="R313" i="1"/>
  <c r="CS313" i="1"/>
  <c r="Q313" i="1"/>
  <c r="CP313" i="1" s="1"/>
  <c r="O313" i="1" s="1"/>
  <c r="AB312" i="1"/>
  <c r="AB309" i="1"/>
  <c r="P306" i="1"/>
  <c r="CQ306" i="1"/>
  <c r="P302" i="1"/>
  <c r="CQ302" i="1"/>
  <c r="AB300" i="1"/>
  <c r="P297" i="1"/>
  <c r="CQ297" i="1"/>
  <c r="AB296" i="1"/>
  <c r="GX293" i="1"/>
  <c r="CX230" i="3"/>
  <c r="CU229" i="3"/>
  <c r="CX231" i="3"/>
  <c r="CV229" i="3"/>
  <c r="R290" i="1"/>
  <c r="CS290" i="1"/>
  <c r="FR290" i="1"/>
  <c r="CP290" i="1"/>
  <c r="O290" i="1" s="1"/>
  <c r="FR289" i="1"/>
  <c r="CP289" i="1"/>
  <c r="O289" i="1" s="1"/>
  <c r="GM289" i="1" s="1"/>
  <c r="CZ287" i="1"/>
  <c r="Y287" i="1" s="1"/>
  <c r="GX285" i="1"/>
  <c r="T285" i="1"/>
  <c r="DY323" i="1" s="1"/>
  <c r="AB285" i="1"/>
  <c r="P285" i="1"/>
  <c r="CP285" i="1" s="1"/>
  <c r="O285" i="1" s="1"/>
  <c r="CQ285" i="1"/>
  <c r="AB284" i="1"/>
  <c r="P284" i="1"/>
  <c r="CP284" i="1" s="1"/>
  <c r="O284" i="1" s="1"/>
  <c r="CQ284" i="1"/>
  <c r="S282" i="1"/>
  <c r="CT282" i="1"/>
  <c r="AB282" i="1"/>
  <c r="FP195" i="1"/>
  <c r="FY248" i="1"/>
  <c r="AB243" i="1"/>
  <c r="P243" i="1"/>
  <c r="CP243" i="1" s="1"/>
  <c r="O243" i="1" s="1"/>
  <c r="CQ243" i="1"/>
  <c r="Q289" i="1"/>
  <c r="Q288" i="1"/>
  <c r="CP288" i="1" s="1"/>
  <c r="O288" i="1" s="1"/>
  <c r="GM288" i="1" s="1"/>
  <c r="Q287" i="1"/>
  <c r="DV323" i="1" s="1"/>
  <c r="Q286" i="1"/>
  <c r="CP286" i="1" s="1"/>
  <c r="O286" i="1" s="1"/>
  <c r="GM286" i="1" s="1"/>
  <c r="BB248" i="1"/>
  <c r="CP246" i="1"/>
  <c r="O246" i="1" s="1"/>
  <c r="GM246" i="1" s="1"/>
  <c r="GO246" i="1" s="1"/>
  <c r="FR195" i="1"/>
  <c r="EI248" i="1"/>
  <c r="CP240" i="1"/>
  <c r="O240" i="1" s="1"/>
  <c r="AB235" i="1"/>
  <c r="AB231" i="1"/>
  <c r="AB227" i="1"/>
  <c r="CZ224" i="1"/>
  <c r="Y224" i="1" s="1"/>
  <c r="CY224" i="1"/>
  <c r="X224" i="1" s="1"/>
  <c r="CZ223" i="1"/>
  <c r="Y223" i="1" s="1"/>
  <c r="CY223" i="1"/>
  <c r="X223" i="1" s="1"/>
  <c r="CZ222" i="1"/>
  <c r="Y222" i="1" s="1"/>
  <c r="CY222" i="1"/>
  <c r="X222" i="1" s="1"/>
  <c r="CP220" i="1"/>
  <c r="O220" i="1" s="1"/>
  <c r="GM220" i="1" s="1"/>
  <c r="GO220" i="1" s="1"/>
  <c r="AB215" i="1"/>
  <c r="AB208" i="1"/>
  <c r="AB204" i="1"/>
  <c r="AB203" i="1"/>
  <c r="AB200" i="1"/>
  <c r="AH163" i="1"/>
  <c r="Q308" i="1"/>
  <c r="CU235" i="3"/>
  <c r="CW237" i="3"/>
  <c r="CW236" i="3"/>
  <c r="CX238" i="3"/>
  <c r="CX235" i="3"/>
  <c r="CX237" i="3"/>
  <c r="Q307" i="1"/>
  <c r="Q306" i="1"/>
  <c r="Q305" i="1"/>
  <c r="Q304" i="1"/>
  <c r="Q303" i="1"/>
  <c r="Q302" i="1"/>
  <c r="Q301" i="1"/>
  <c r="CQ293" i="1"/>
  <c r="CT292" i="1"/>
  <c r="CT291" i="1"/>
  <c r="CT290" i="1"/>
  <c r="CT289" i="1"/>
  <c r="CT288" i="1"/>
  <c r="CT287" i="1"/>
  <c r="CT286" i="1"/>
  <c r="CS285" i="1"/>
  <c r="CS284" i="1"/>
  <c r="R284" i="1"/>
  <c r="CS283" i="1"/>
  <c r="R283" i="1"/>
  <c r="CX226" i="3"/>
  <c r="CU225" i="3"/>
  <c r="CV225" i="3"/>
  <c r="AB245" i="1"/>
  <c r="CP244" i="1"/>
  <c r="O244" i="1" s="1"/>
  <c r="GM244" i="1" s="1"/>
  <c r="GO244" i="1" s="1"/>
  <c r="FV248" i="1"/>
  <c r="AB233" i="1"/>
  <c r="AB229" i="1"/>
  <c r="AB225" i="1"/>
  <c r="AB218" i="1"/>
  <c r="AB214" i="1"/>
  <c r="AB213" i="1"/>
  <c r="AB210" i="1"/>
  <c r="AB205" i="1"/>
  <c r="CJ248" i="1"/>
  <c r="AJ248" i="1"/>
  <c r="AB197" i="1"/>
  <c r="CU239" i="3"/>
  <c r="CW240" i="3"/>
  <c r="CX239" i="3"/>
  <c r="CW241" i="3"/>
  <c r="CX242" i="3"/>
  <c r="CX241" i="3"/>
  <c r="CS289" i="1"/>
  <c r="CS288" i="1"/>
  <c r="CS287" i="1"/>
  <c r="CS286" i="1"/>
  <c r="CX228" i="3"/>
  <c r="CU227" i="3"/>
  <c r="CV227" i="3"/>
  <c r="CQ282" i="1"/>
  <c r="ET248" i="1"/>
  <c r="BC248" i="1"/>
  <c r="CL195" i="1"/>
  <c r="CG195" i="1"/>
  <c r="AX248" i="1"/>
  <c r="CP245" i="1"/>
  <c r="O245" i="1" s="1"/>
  <c r="GM245" i="1" s="1"/>
  <c r="GO245" i="1" s="1"/>
  <c r="CY243" i="1"/>
  <c r="X243" i="1" s="1"/>
  <c r="CZ243" i="1"/>
  <c r="Y243" i="1" s="1"/>
  <c r="CZ241" i="1"/>
  <c r="Y241" i="1" s="1"/>
  <c r="CY241" i="1"/>
  <c r="X241" i="1" s="1"/>
  <c r="CZ240" i="1"/>
  <c r="Y240" i="1" s="1"/>
  <c r="CY240" i="1"/>
  <c r="X240" i="1" s="1"/>
  <c r="GM238" i="1"/>
  <c r="GO238" i="1" s="1"/>
  <c r="CB248" i="1"/>
  <c r="GM237" i="1"/>
  <c r="GO237" i="1" s="1"/>
  <c r="GM236" i="1"/>
  <c r="GO236" i="1" s="1"/>
  <c r="AF248" i="1"/>
  <c r="GM212" i="1"/>
  <c r="GO212" i="1" s="1"/>
  <c r="CZ206" i="1"/>
  <c r="Y206" i="1" s="1"/>
  <c r="CY206" i="1"/>
  <c r="X206" i="1" s="1"/>
  <c r="CP206" i="1"/>
  <c r="O206" i="1" s="1"/>
  <c r="GM206" i="1" s="1"/>
  <c r="GO206" i="1" s="1"/>
  <c r="DY248" i="1"/>
  <c r="CZ198" i="1"/>
  <c r="Y198" i="1" s="1"/>
  <c r="CY198" i="1"/>
  <c r="X198" i="1" s="1"/>
  <c r="CP198" i="1"/>
  <c r="O198" i="1" s="1"/>
  <c r="AI248" i="1"/>
  <c r="AG248" i="1"/>
  <c r="FT146" i="1"/>
  <c r="EK163" i="1"/>
  <c r="DY163" i="1"/>
  <c r="AI163" i="1"/>
  <c r="Q243" i="1"/>
  <c r="CU205" i="3"/>
  <c r="CX206" i="3"/>
  <c r="CV205" i="3"/>
  <c r="CW206" i="3"/>
  <c r="CX208" i="3"/>
  <c r="CX212" i="3"/>
  <c r="CX209" i="3"/>
  <c r="CX213" i="3"/>
  <c r="P242" i="1"/>
  <c r="CP242" i="1" s="1"/>
  <c r="O242" i="1" s="1"/>
  <c r="P241" i="1"/>
  <c r="CP241" i="1" s="1"/>
  <c r="O241" i="1" s="1"/>
  <c r="GM241" i="1" s="1"/>
  <c r="GO241" i="1" s="1"/>
  <c r="AD240" i="1"/>
  <c r="AB240" i="1" s="1"/>
  <c r="CZ235" i="1"/>
  <c r="Y235" i="1" s="1"/>
  <c r="Q235" i="1"/>
  <c r="CX182" i="3"/>
  <c r="CV181" i="3"/>
  <c r="CU181" i="3"/>
  <c r="CZ234" i="1"/>
  <c r="Y234" i="1" s="1"/>
  <c r="Q234" i="1"/>
  <c r="CZ233" i="1"/>
  <c r="Y233" i="1" s="1"/>
  <c r="Q233" i="1"/>
  <c r="CZ232" i="1"/>
  <c r="Y232" i="1" s="1"/>
  <c r="Q232" i="1"/>
  <c r="CZ231" i="1"/>
  <c r="Y231" i="1" s="1"/>
  <c r="Q231" i="1"/>
  <c r="CZ230" i="1"/>
  <c r="Y230" i="1" s="1"/>
  <c r="Q230" i="1"/>
  <c r="CZ229" i="1"/>
  <c r="Y229" i="1" s="1"/>
  <c r="Q229" i="1"/>
  <c r="CZ228" i="1"/>
  <c r="Y228" i="1" s="1"/>
  <c r="Q228" i="1"/>
  <c r="CZ227" i="1"/>
  <c r="Y227" i="1" s="1"/>
  <c r="Q227" i="1"/>
  <c r="CZ226" i="1"/>
  <c r="Y226" i="1" s="1"/>
  <c r="Q226" i="1"/>
  <c r="CZ225" i="1"/>
  <c r="Y225" i="1" s="1"/>
  <c r="Q225" i="1"/>
  <c r="P224" i="1"/>
  <c r="CP224" i="1" s="1"/>
  <c r="O224" i="1" s="1"/>
  <c r="GM224" i="1" s="1"/>
  <c r="GO224" i="1" s="1"/>
  <c r="P223" i="1"/>
  <c r="CP223" i="1" s="1"/>
  <c r="O223" i="1" s="1"/>
  <c r="GM223" i="1" s="1"/>
  <c r="GO223" i="1" s="1"/>
  <c r="AD222" i="1"/>
  <c r="AB222" i="1" s="1"/>
  <c r="CZ219" i="1"/>
  <c r="Y219" i="1" s="1"/>
  <c r="Q219" i="1"/>
  <c r="CU153" i="3"/>
  <c r="CX153" i="3"/>
  <c r="CX156" i="3"/>
  <c r="CZ218" i="1"/>
  <c r="Y218" i="1" s="1"/>
  <c r="Q218" i="1"/>
  <c r="CZ217" i="1"/>
  <c r="Y217" i="1" s="1"/>
  <c r="Q217" i="1"/>
  <c r="AD216" i="1"/>
  <c r="AB216" i="1" s="1"/>
  <c r="CZ215" i="1"/>
  <c r="Y215" i="1" s="1"/>
  <c r="Q215" i="1"/>
  <c r="CZ210" i="1"/>
  <c r="Y210" i="1" s="1"/>
  <c r="Q210" i="1"/>
  <c r="CZ209" i="1"/>
  <c r="Y209" i="1" s="1"/>
  <c r="Q209" i="1"/>
  <c r="CZ208" i="1"/>
  <c r="Y208" i="1" s="1"/>
  <c r="Q208" i="1"/>
  <c r="CZ207" i="1"/>
  <c r="Y207" i="1" s="1"/>
  <c r="Q207" i="1"/>
  <c r="AD206" i="1"/>
  <c r="AB206" i="1" s="1"/>
  <c r="CZ205" i="1"/>
  <c r="Y205" i="1" s="1"/>
  <c r="Q205" i="1"/>
  <c r="CP204" i="1"/>
  <c r="O204" i="1" s="1"/>
  <c r="CZ200" i="1"/>
  <c r="Y200" i="1" s="1"/>
  <c r="Q200" i="1"/>
  <c r="CZ199" i="1"/>
  <c r="Y199" i="1" s="1"/>
  <c r="Q199" i="1"/>
  <c r="AD198" i="1"/>
  <c r="AB198" i="1" s="1"/>
  <c r="CZ197" i="1"/>
  <c r="Y197" i="1" s="1"/>
  <c r="Q197" i="1"/>
  <c r="FY163" i="1"/>
  <c r="ET163" i="1"/>
  <c r="AO163" i="1"/>
  <c r="Q161" i="1"/>
  <c r="CP161" i="1" s="1"/>
  <c r="O161" i="1" s="1"/>
  <c r="CR160" i="1"/>
  <c r="AD160" i="1"/>
  <c r="AB160" i="1" s="1"/>
  <c r="S158" i="1"/>
  <c r="CT158" i="1"/>
  <c r="CP158" i="1"/>
  <c r="O158" i="1" s="1"/>
  <c r="CR157" i="1"/>
  <c r="CX122" i="3"/>
  <c r="CW123" i="3"/>
  <c r="CX126" i="3"/>
  <c r="CX123" i="3"/>
  <c r="CX128" i="3"/>
  <c r="CU122" i="3"/>
  <c r="CX132" i="3"/>
  <c r="P157" i="1"/>
  <c r="CP157" i="1" s="1"/>
  <c r="O157" i="1" s="1"/>
  <c r="CR156" i="1"/>
  <c r="P155" i="1"/>
  <c r="CP155" i="1" s="1"/>
  <c r="O155" i="1" s="1"/>
  <c r="GM155" i="1" s="1"/>
  <c r="GO155" i="1" s="1"/>
  <c r="AB153" i="1"/>
  <c r="P150" i="1"/>
  <c r="CQ150" i="1"/>
  <c r="BZ163" i="1"/>
  <c r="AG163" i="1"/>
  <c r="DM114" i="1"/>
  <c r="DZ107" i="1"/>
  <c r="AG75" i="1"/>
  <c r="EU248" i="1"/>
  <c r="AO248" i="1"/>
  <c r="CU215" i="3"/>
  <c r="CW217" i="3"/>
  <c r="CX220" i="3"/>
  <c r="CX224" i="3"/>
  <c r="CX218" i="3"/>
  <c r="CX221" i="3"/>
  <c r="CX215" i="3"/>
  <c r="CX217" i="3"/>
  <c r="CX222" i="3"/>
  <c r="CT241" i="1"/>
  <c r="CT240" i="1"/>
  <c r="CS239" i="1"/>
  <c r="AB239" i="1"/>
  <c r="R239" i="1"/>
  <c r="CY239" i="1" s="1"/>
  <c r="X239" i="1" s="1"/>
  <c r="CX184" i="3"/>
  <c r="CV183" i="3"/>
  <c r="CU183" i="3"/>
  <c r="CQ235" i="1"/>
  <c r="P235" i="1"/>
  <c r="CP235" i="1" s="1"/>
  <c r="O235" i="1" s="1"/>
  <c r="GM235" i="1" s="1"/>
  <c r="GO235" i="1" s="1"/>
  <c r="CQ234" i="1"/>
  <c r="P234" i="1"/>
  <c r="CQ233" i="1"/>
  <c r="P233" i="1"/>
  <c r="CQ232" i="1"/>
  <c r="P232" i="1"/>
  <c r="CQ231" i="1"/>
  <c r="P231" i="1"/>
  <c r="CQ230" i="1"/>
  <c r="P230" i="1"/>
  <c r="CQ229" i="1"/>
  <c r="P229" i="1"/>
  <c r="CQ228" i="1"/>
  <c r="P228" i="1"/>
  <c r="CQ227" i="1"/>
  <c r="P227" i="1"/>
  <c r="CQ226" i="1"/>
  <c r="P226" i="1"/>
  <c r="CQ225" i="1"/>
  <c r="P225" i="1"/>
  <c r="CT224" i="1"/>
  <c r="CT223" i="1"/>
  <c r="CT222" i="1"/>
  <c r="CS221" i="1"/>
  <c r="R221" i="1"/>
  <c r="CY221" i="1" s="1"/>
  <c r="X221" i="1" s="1"/>
  <c r="CU159" i="3"/>
  <c r="CX164" i="3"/>
  <c r="CX159" i="3"/>
  <c r="CV159" i="3"/>
  <c r="CX161" i="3"/>
  <c r="CQ219" i="1"/>
  <c r="P219" i="1"/>
  <c r="CP219" i="1" s="1"/>
  <c r="O219" i="1" s="1"/>
  <c r="GM219" i="1" s="1"/>
  <c r="GO219" i="1" s="1"/>
  <c r="CQ218" i="1"/>
  <c r="P218" i="1"/>
  <c r="CQ217" i="1"/>
  <c r="P217" i="1"/>
  <c r="CT216" i="1"/>
  <c r="CQ215" i="1"/>
  <c r="P215" i="1"/>
  <c r="CP215" i="1" s="1"/>
  <c r="O215" i="1" s="1"/>
  <c r="GM215" i="1" s="1"/>
  <c r="GO215" i="1" s="1"/>
  <c r="CS214" i="1"/>
  <c r="R214" i="1"/>
  <c r="CS213" i="1"/>
  <c r="R213" i="1"/>
  <c r="CS211" i="1"/>
  <c r="R211" i="1"/>
  <c r="CQ210" i="1"/>
  <c r="P210" i="1"/>
  <c r="CQ209" i="1"/>
  <c r="P209" i="1"/>
  <c r="CQ208" i="1"/>
  <c r="P208" i="1"/>
  <c r="CQ207" i="1"/>
  <c r="P207" i="1"/>
  <c r="CT206" i="1"/>
  <c r="CQ205" i="1"/>
  <c r="P205" i="1"/>
  <c r="CP205" i="1" s="1"/>
  <c r="O205" i="1" s="1"/>
  <c r="GM205" i="1" s="1"/>
  <c r="GO205" i="1" s="1"/>
  <c r="CS204" i="1"/>
  <c r="R204" i="1"/>
  <c r="CS203" i="1"/>
  <c r="R203" i="1"/>
  <c r="CS201" i="1"/>
  <c r="R201" i="1"/>
  <c r="CQ200" i="1"/>
  <c r="P200" i="1"/>
  <c r="CQ199" i="1"/>
  <c r="P199" i="1"/>
  <c r="CT198" i="1"/>
  <c r="CQ197" i="1"/>
  <c r="P197" i="1"/>
  <c r="BZ195" i="1"/>
  <c r="EG163" i="1"/>
  <c r="CG163" i="1"/>
  <c r="BD163" i="1"/>
  <c r="W161" i="1"/>
  <c r="EB163" i="1" s="1"/>
  <c r="S161" i="1"/>
  <c r="CT161" i="1"/>
  <c r="CR159" i="1"/>
  <c r="AD159" i="1"/>
  <c r="AB159" i="1" s="1"/>
  <c r="GX157" i="1"/>
  <c r="GB163" i="1" s="1"/>
  <c r="R157" i="1"/>
  <c r="AB156" i="1"/>
  <c r="CU111" i="3"/>
  <c r="CX120" i="3"/>
  <c r="CX121" i="3"/>
  <c r="CW113" i="3"/>
  <c r="CX113" i="3"/>
  <c r="CX116" i="3"/>
  <c r="S156" i="1"/>
  <c r="CP156" i="1" s="1"/>
  <c r="O156" i="1" s="1"/>
  <c r="CQ155" i="1"/>
  <c r="AB154" i="1"/>
  <c r="P151" i="1"/>
  <c r="CQ151" i="1"/>
  <c r="S151" i="1"/>
  <c r="AB150" i="1"/>
  <c r="R149" i="1"/>
  <c r="CS149" i="1"/>
  <c r="AD149" i="1"/>
  <c r="AB149" i="1" s="1"/>
  <c r="Q149" i="1"/>
  <c r="S148" i="1"/>
  <c r="CT148" i="1"/>
  <c r="DY107" i="1"/>
  <c r="DL114" i="1"/>
  <c r="EB114" i="1"/>
  <c r="AJ114" i="1"/>
  <c r="BZ26" i="1"/>
  <c r="AQ75" i="1"/>
  <c r="Q239" i="1"/>
  <c r="CP239" i="1" s="1"/>
  <c r="O239" i="1" s="1"/>
  <c r="CW186" i="3"/>
  <c r="CV185" i="3"/>
  <c r="CW187" i="3"/>
  <c r="CX189" i="3"/>
  <c r="CX193" i="3"/>
  <c r="CX186" i="3"/>
  <c r="CU185" i="3"/>
  <c r="CX188" i="3"/>
  <c r="CX192" i="3"/>
  <c r="Q221" i="1"/>
  <c r="CW166" i="3"/>
  <c r="CW168" i="3"/>
  <c r="CX170" i="3"/>
  <c r="CX166" i="3"/>
  <c r="CX168" i="3"/>
  <c r="CU165" i="3"/>
  <c r="CX171" i="3"/>
  <c r="CV165" i="3"/>
  <c r="CX172" i="3"/>
  <c r="Q214" i="1"/>
  <c r="CP214" i="1" s="1"/>
  <c r="O214" i="1" s="1"/>
  <c r="Q213" i="1"/>
  <c r="CP213" i="1" s="1"/>
  <c r="O213" i="1" s="1"/>
  <c r="Q211" i="1"/>
  <c r="CP211" i="1" s="1"/>
  <c r="O211" i="1" s="1"/>
  <c r="Q204" i="1"/>
  <c r="Q203" i="1"/>
  <c r="CP203" i="1" s="1"/>
  <c r="O203" i="1" s="1"/>
  <c r="Q201" i="1"/>
  <c r="CP201" i="1" s="1"/>
  <c r="O201" i="1" s="1"/>
  <c r="EV163" i="1"/>
  <c r="BB163" i="1"/>
  <c r="S160" i="1"/>
  <c r="CT160" i="1"/>
  <c r="CP160" i="1"/>
  <c r="O160" i="1" s="1"/>
  <c r="S157" i="1"/>
  <c r="CT157" i="1"/>
  <c r="P152" i="1"/>
  <c r="CQ152" i="1"/>
  <c r="CY152" i="1"/>
  <c r="X152" i="1" s="1"/>
  <c r="CZ152" i="1"/>
  <c r="Y152" i="1" s="1"/>
  <c r="CY150" i="1"/>
  <c r="X150" i="1" s="1"/>
  <c r="CZ150" i="1"/>
  <c r="Y150" i="1" s="1"/>
  <c r="CP149" i="1"/>
  <c r="O149" i="1" s="1"/>
  <c r="CD163" i="1"/>
  <c r="FU107" i="1"/>
  <c r="EL114" i="1"/>
  <c r="EA107" i="1"/>
  <c r="DN114" i="1"/>
  <c r="CC107" i="1"/>
  <c r="AT114" i="1"/>
  <c r="AI114" i="1"/>
  <c r="CX195" i="3"/>
  <c r="CX197" i="3"/>
  <c r="CX201" i="3"/>
  <c r="CU195" i="3"/>
  <c r="CW197" i="3"/>
  <c r="CX200" i="3"/>
  <c r="CX204" i="3"/>
  <c r="CU173" i="3"/>
  <c r="CW175" i="3"/>
  <c r="CW177" i="3"/>
  <c r="CX180" i="3"/>
  <c r="CX175" i="3"/>
  <c r="CX177" i="3"/>
  <c r="CW174" i="3"/>
  <c r="CW176" i="3"/>
  <c r="CX178" i="3"/>
  <c r="P221" i="1"/>
  <c r="CP221" i="1" s="1"/>
  <c r="O221" i="1" s="1"/>
  <c r="EU163" i="1"/>
  <c r="EM163" i="1"/>
  <c r="EI163" i="1"/>
  <c r="CR161" i="1"/>
  <c r="AD161" i="1"/>
  <c r="AB161" i="1" s="1"/>
  <c r="S159" i="1"/>
  <c r="CT159" i="1"/>
  <c r="R156" i="1"/>
  <c r="AE163" i="1" s="1"/>
  <c r="CS156" i="1"/>
  <c r="CP148" i="1"/>
  <c r="O148" i="1" s="1"/>
  <c r="AC163" i="1"/>
  <c r="EI107" i="1"/>
  <c r="P124" i="1"/>
  <c r="GB107" i="1"/>
  <c r="ES114" i="1"/>
  <c r="CJ107" i="1"/>
  <c r="BA114" i="1"/>
  <c r="Q152" i="1"/>
  <c r="Q151" i="1"/>
  <c r="Q150" i="1"/>
  <c r="Q148" i="1"/>
  <c r="P126" i="1"/>
  <c r="FY114" i="1"/>
  <c r="ET114" i="1"/>
  <c r="BB114" i="1"/>
  <c r="R114" i="1"/>
  <c r="AG114" i="1"/>
  <c r="P109" i="1"/>
  <c r="CQ109" i="1"/>
  <c r="CY109" i="1"/>
  <c r="X109" i="1" s="1"/>
  <c r="CZ109" i="1"/>
  <c r="Y109" i="1" s="1"/>
  <c r="CD107" i="1"/>
  <c r="EK75" i="1"/>
  <c r="AU75" i="1"/>
  <c r="U73" i="1"/>
  <c r="R66" i="1"/>
  <c r="CZ66" i="1" s="1"/>
  <c r="Y66" i="1" s="1"/>
  <c r="CS66" i="1"/>
  <c r="AD66" i="1"/>
  <c r="AB66" i="1" s="1"/>
  <c r="Q66" i="1"/>
  <c r="V65" i="1"/>
  <c r="R65" i="1"/>
  <c r="CS65" i="1"/>
  <c r="AD65" i="1"/>
  <c r="AB65" i="1" s="1"/>
  <c r="CY63" i="1"/>
  <c r="X63" i="1" s="1"/>
  <c r="CZ63" i="1"/>
  <c r="Y63" i="1" s="1"/>
  <c r="P59" i="1"/>
  <c r="CU45" i="3"/>
  <c r="CX46" i="3"/>
  <c r="I59" i="1"/>
  <c r="GX59" i="1" s="1"/>
  <c r="GX55" i="1"/>
  <c r="T55" i="1"/>
  <c r="P55" i="1"/>
  <c r="CP55" i="1" s="1"/>
  <c r="O55" i="1" s="1"/>
  <c r="CQ55" i="1"/>
  <c r="AB55" i="1"/>
  <c r="P54" i="1"/>
  <c r="CP54" i="1" s="1"/>
  <c r="O54" i="1" s="1"/>
  <c r="CQ54" i="1"/>
  <c r="AB54" i="1"/>
  <c r="AJ75" i="1"/>
  <c r="BC163" i="1"/>
  <c r="CT149" i="1"/>
  <c r="CQ148" i="1"/>
  <c r="F136" i="1"/>
  <c r="F130" i="1"/>
  <c r="EK114" i="1"/>
  <c r="AS114" i="1"/>
  <c r="Q114" i="1"/>
  <c r="P110" i="1"/>
  <c r="CQ110" i="1"/>
  <c r="S110" i="1"/>
  <c r="BZ114" i="1"/>
  <c r="CG114" i="1" s="1"/>
  <c r="AB109" i="1"/>
  <c r="FR107" i="1"/>
  <c r="DV107" i="1"/>
  <c r="F91" i="1"/>
  <c r="FY75" i="1"/>
  <c r="FP26" i="1"/>
  <c r="EG75" i="1"/>
  <c r="GX73" i="1"/>
  <c r="T73" i="1"/>
  <c r="P73" i="1"/>
  <c r="CP73" i="1" s="1"/>
  <c r="O73" i="1" s="1"/>
  <c r="CQ73" i="1"/>
  <c r="AB73" i="1"/>
  <c r="P72" i="1"/>
  <c r="CP72" i="1" s="1"/>
  <c r="O72" i="1" s="1"/>
  <c r="CQ72" i="1"/>
  <c r="AB72" i="1"/>
  <c r="S70" i="1"/>
  <c r="CT70" i="1"/>
  <c r="AB70" i="1"/>
  <c r="R68" i="1"/>
  <c r="CY68" i="1" s="1"/>
  <c r="X68" i="1" s="1"/>
  <c r="CS68" i="1"/>
  <c r="AD68" i="1"/>
  <c r="AB68" i="1" s="1"/>
  <c r="Q68" i="1"/>
  <c r="CS67" i="1"/>
  <c r="AD67" i="1"/>
  <c r="AB67" i="1" s="1"/>
  <c r="CP66" i="1"/>
  <c r="O66" i="1" s="1"/>
  <c r="P65" i="1"/>
  <c r="CP65" i="1" s="1"/>
  <c r="O65" i="1" s="1"/>
  <c r="CP64" i="1"/>
  <c r="O64" i="1" s="1"/>
  <c r="U63" i="1"/>
  <c r="T59" i="1"/>
  <c r="W57" i="1"/>
  <c r="S57" i="1"/>
  <c r="P53" i="1"/>
  <c r="CP53" i="1" s="1"/>
  <c r="O53" i="1" s="1"/>
  <c r="CQ53" i="1"/>
  <c r="AB53" i="1"/>
  <c r="Q52" i="1"/>
  <c r="CP52" i="1" s="1"/>
  <c r="O52" i="1" s="1"/>
  <c r="GM52" i="1" s="1"/>
  <c r="GO52" i="1" s="1"/>
  <c r="R52" i="1"/>
  <c r="CY52" i="1" s="1"/>
  <c r="X52" i="1" s="1"/>
  <c r="AD52" i="1"/>
  <c r="AB52" i="1" s="1"/>
  <c r="CR52" i="1"/>
  <c r="AI75" i="1"/>
  <c r="EV114" i="1"/>
  <c r="P111" i="1"/>
  <c r="CQ111" i="1"/>
  <c r="S111" i="1"/>
  <c r="DW107" i="1"/>
  <c r="DJ114" i="1"/>
  <c r="P71" i="1"/>
  <c r="CP71" i="1" s="1"/>
  <c r="O71" i="1" s="1"/>
  <c r="CQ71" i="1"/>
  <c r="AB71" i="1"/>
  <c r="CS69" i="1"/>
  <c r="AD69" i="1"/>
  <c r="AB69" i="1" s="1"/>
  <c r="CP68" i="1"/>
  <c r="O68" i="1" s="1"/>
  <c r="CU78" i="3"/>
  <c r="CX82" i="3"/>
  <c r="CX86" i="3"/>
  <c r="CX78" i="3"/>
  <c r="CX83" i="3"/>
  <c r="CX87" i="3"/>
  <c r="CV78" i="3"/>
  <c r="I67" i="1"/>
  <c r="Q67" i="1" s="1"/>
  <c r="I69" i="1"/>
  <c r="Q69" i="1" s="1"/>
  <c r="P63" i="1"/>
  <c r="CP63" i="1" s="1"/>
  <c r="O63" i="1" s="1"/>
  <c r="CQ63" i="1"/>
  <c r="AB63" i="1"/>
  <c r="P62" i="1"/>
  <c r="CP62" i="1" s="1"/>
  <c r="O62" i="1" s="1"/>
  <c r="CQ62" i="1"/>
  <c r="AB62" i="1"/>
  <c r="S60" i="1"/>
  <c r="CP60" i="1" s="1"/>
  <c r="O60" i="1" s="1"/>
  <c r="CT60" i="1"/>
  <c r="AB60" i="1"/>
  <c r="W59" i="1"/>
  <c r="S59" i="1"/>
  <c r="R58" i="1"/>
  <c r="CZ58" i="1" s="1"/>
  <c r="Y58" i="1" s="1"/>
  <c r="CS58" i="1"/>
  <c r="AD58" i="1"/>
  <c r="AB58" i="1" s="1"/>
  <c r="Q58" i="1"/>
  <c r="R57" i="1"/>
  <c r="CS57" i="1"/>
  <c r="AD57" i="1"/>
  <c r="AB57" i="1" s="1"/>
  <c r="Q57" i="1"/>
  <c r="CY55" i="1"/>
  <c r="X55" i="1" s="1"/>
  <c r="CZ55" i="1"/>
  <c r="Y55" i="1" s="1"/>
  <c r="CY54" i="1"/>
  <c r="X54" i="1" s="1"/>
  <c r="CZ54" i="1"/>
  <c r="Y54" i="1" s="1"/>
  <c r="EU114" i="1"/>
  <c r="EM114" i="1"/>
  <c r="AO114" i="1"/>
  <c r="P112" i="1"/>
  <c r="CQ112" i="1"/>
  <c r="CY112" i="1"/>
  <c r="X112" i="1" s="1"/>
  <c r="CZ112" i="1"/>
  <c r="Y112" i="1" s="1"/>
  <c r="CY73" i="1"/>
  <c r="X73" i="1" s="1"/>
  <c r="CZ73" i="1"/>
  <c r="Y73" i="1" s="1"/>
  <c r="P69" i="1"/>
  <c r="T67" i="1"/>
  <c r="CY66" i="1"/>
  <c r="X66" i="1" s="1"/>
  <c r="W65" i="1"/>
  <c r="S65" i="1"/>
  <c r="U65" i="1"/>
  <c r="CZ64" i="1"/>
  <c r="Y64" i="1" s="1"/>
  <c r="P61" i="1"/>
  <c r="CP61" i="1" s="1"/>
  <c r="O61" i="1" s="1"/>
  <c r="CQ61" i="1"/>
  <c r="AB61" i="1"/>
  <c r="V59" i="1"/>
  <c r="R59" i="1"/>
  <c r="CS59" i="1"/>
  <c r="AD59" i="1"/>
  <c r="AB59" i="1" s="1"/>
  <c r="CP58" i="1"/>
  <c r="O58" i="1" s="1"/>
  <c r="CP57" i="1"/>
  <c r="O57" i="1" s="1"/>
  <c r="AS75" i="1"/>
  <c r="CB26" i="1"/>
  <c r="CP56" i="1"/>
  <c r="O56" i="1" s="1"/>
  <c r="AH75" i="1"/>
  <c r="CJ75" i="1"/>
  <c r="S47" i="1"/>
  <c r="CT47" i="1"/>
  <c r="AB47" i="1"/>
  <c r="S46" i="1"/>
  <c r="CT46" i="1"/>
  <c r="AB46" i="1"/>
  <c r="R45" i="1"/>
  <c r="CZ45" i="1" s="1"/>
  <c r="Y45" i="1" s="1"/>
  <c r="CS45" i="1"/>
  <c r="AD45" i="1"/>
  <c r="FR43" i="1"/>
  <c r="FQ75" i="1" s="1"/>
  <c r="CP43" i="1"/>
  <c r="O43" i="1" s="1"/>
  <c r="GM43" i="1" s="1"/>
  <c r="FR42" i="1"/>
  <c r="BY75" i="1" s="1"/>
  <c r="CP42" i="1"/>
  <c r="O42" i="1" s="1"/>
  <c r="GM42" i="1" s="1"/>
  <c r="S40" i="1"/>
  <c r="CT40" i="1"/>
  <c r="AB40" i="1"/>
  <c r="S39" i="1"/>
  <c r="CT39" i="1"/>
  <c r="AB39" i="1"/>
  <c r="S38" i="1"/>
  <c r="CT38" i="1"/>
  <c r="AB38" i="1"/>
  <c r="R37" i="1"/>
  <c r="CZ37" i="1" s="1"/>
  <c r="Y37" i="1" s="1"/>
  <c r="CS37" i="1"/>
  <c r="AD37" i="1"/>
  <c r="CY34" i="1"/>
  <c r="X34" i="1" s="1"/>
  <c r="CZ34" i="1"/>
  <c r="Y34" i="1" s="1"/>
  <c r="GM32" i="1"/>
  <c r="GO32" i="1" s="1"/>
  <c r="AB29" i="1"/>
  <c r="CW438" i="3"/>
  <c r="CX438" i="3"/>
  <c r="CW412" i="3"/>
  <c r="DF410" i="3"/>
  <c r="DJ410" i="3" s="1"/>
  <c r="DG410" i="3"/>
  <c r="DH410" i="3"/>
  <c r="DG409" i="3"/>
  <c r="DH409" i="3"/>
  <c r="DI409" i="3"/>
  <c r="DH408" i="3"/>
  <c r="DI408" i="3"/>
  <c r="DF408" i="3"/>
  <c r="DJ408" i="3" s="1"/>
  <c r="DI407" i="3"/>
  <c r="DF407" i="3"/>
  <c r="DJ407" i="3" s="1"/>
  <c r="DG407" i="3"/>
  <c r="DF406" i="3"/>
  <c r="DJ406" i="3" s="1"/>
  <c r="DG406" i="3"/>
  <c r="DH406" i="3"/>
  <c r="CW405" i="3"/>
  <c r="CX405" i="3"/>
  <c r="DI404" i="3"/>
  <c r="DJ404" i="3" s="1"/>
  <c r="DF404" i="3"/>
  <c r="DG404" i="3"/>
  <c r="CW370" i="3"/>
  <c r="DI328" i="3"/>
  <c r="DF328" i="3"/>
  <c r="DJ328" i="3" s="1"/>
  <c r="DG328" i="3"/>
  <c r="DH328" i="3"/>
  <c r="DI324" i="3"/>
  <c r="DF324" i="3"/>
  <c r="DG324" i="3"/>
  <c r="DJ324" i="3" s="1"/>
  <c r="DH324" i="3"/>
  <c r="CX306" i="3"/>
  <c r="CW306" i="3"/>
  <c r="CX272" i="3"/>
  <c r="CW257" i="3"/>
  <c r="EV75" i="1"/>
  <c r="CG75" i="1"/>
  <c r="BB75" i="1"/>
  <c r="CS73" i="1"/>
  <c r="CS72" i="1"/>
  <c r="R72" i="1"/>
  <c r="CY72" i="1" s="1"/>
  <c r="X72" i="1" s="1"/>
  <c r="CS71" i="1"/>
  <c r="R71" i="1"/>
  <c r="CY71" i="1" s="1"/>
  <c r="X71" i="1" s="1"/>
  <c r="CX91" i="3"/>
  <c r="CX95" i="3"/>
  <c r="CU89" i="3"/>
  <c r="CX89" i="3"/>
  <c r="CX92" i="3"/>
  <c r="CQ69" i="1"/>
  <c r="CQ68" i="1"/>
  <c r="CQ67" i="1"/>
  <c r="CQ66" i="1"/>
  <c r="CQ65" i="1"/>
  <c r="CT64" i="1"/>
  <c r="CS63" i="1"/>
  <c r="CS62" i="1"/>
  <c r="R62" i="1"/>
  <c r="CY62" i="1" s="1"/>
  <c r="X62" i="1" s="1"/>
  <c r="CS61" i="1"/>
  <c r="R61" i="1"/>
  <c r="CY61" i="1" s="1"/>
  <c r="X61" i="1" s="1"/>
  <c r="CX52" i="3"/>
  <c r="CX50" i="3"/>
  <c r="CX51" i="3"/>
  <c r="CX56" i="3"/>
  <c r="CU47" i="3"/>
  <c r="CW48" i="3"/>
  <c r="CX54" i="3"/>
  <c r="CX48" i="3"/>
  <c r="CQ59" i="1"/>
  <c r="CQ58" i="1"/>
  <c r="CQ57" i="1"/>
  <c r="CT56" i="1"/>
  <c r="CS55" i="1"/>
  <c r="CS54" i="1"/>
  <c r="R54" i="1"/>
  <c r="CS53" i="1"/>
  <c r="R53" i="1"/>
  <c r="CY53" i="1" s="1"/>
  <c r="X53" i="1" s="1"/>
  <c r="CZ52" i="1"/>
  <c r="Y52" i="1" s="1"/>
  <c r="S51" i="1"/>
  <c r="CT51" i="1"/>
  <c r="S50" i="1"/>
  <c r="CT50" i="1"/>
  <c r="AD49" i="1"/>
  <c r="Q49" i="1"/>
  <c r="R49" i="1"/>
  <c r="CZ49" i="1" s="1"/>
  <c r="Y49" i="1" s="1"/>
  <c r="CS49" i="1"/>
  <c r="CP48" i="1"/>
  <c r="O48" i="1" s="1"/>
  <c r="GM48" i="1" s="1"/>
  <c r="GO48" i="1" s="1"/>
  <c r="AB45" i="1"/>
  <c r="Q45" i="1"/>
  <c r="P41" i="1"/>
  <c r="CP41" i="1" s="1"/>
  <c r="O41" i="1" s="1"/>
  <c r="CQ41" i="1"/>
  <c r="AB41" i="1"/>
  <c r="AB37" i="1"/>
  <c r="Q37" i="1"/>
  <c r="P35" i="1"/>
  <c r="CQ35" i="1"/>
  <c r="AB35" i="1"/>
  <c r="BX26" i="1"/>
  <c r="CV437" i="3"/>
  <c r="CX436" i="3"/>
  <c r="CX433" i="3"/>
  <c r="CX432" i="3"/>
  <c r="CW429" i="3"/>
  <c r="CX429" i="3"/>
  <c r="CV387" i="3"/>
  <c r="CX387" i="3"/>
  <c r="CX337" i="3"/>
  <c r="CV333" i="3"/>
  <c r="CX333" i="3"/>
  <c r="CV329" i="3"/>
  <c r="CX329" i="3"/>
  <c r="DH325" i="3"/>
  <c r="DI325" i="3"/>
  <c r="DF325" i="3"/>
  <c r="DJ325" i="3" s="1"/>
  <c r="DG325" i="3"/>
  <c r="EU75" i="1"/>
  <c r="EM75" i="1"/>
  <c r="EI75" i="1"/>
  <c r="CV96" i="3"/>
  <c r="CX97" i="3"/>
  <c r="CX102" i="3"/>
  <c r="CX100" i="3"/>
  <c r="CU96" i="3"/>
  <c r="CW97" i="3"/>
  <c r="CQ70" i="1"/>
  <c r="CT69" i="1"/>
  <c r="CT68" i="1"/>
  <c r="CT67" i="1"/>
  <c r="CT66" i="1"/>
  <c r="CT65" i="1"/>
  <c r="CS64" i="1"/>
  <c r="R64" i="1"/>
  <c r="CY64" i="1" s="1"/>
  <c r="X64" i="1" s="1"/>
  <c r="CU57" i="3"/>
  <c r="CW59" i="3"/>
  <c r="CX60" i="3"/>
  <c r="CV57" i="3"/>
  <c r="CW58" i="3"/>
  <c r="CX59" i="3"/>
  <c r="CX64" i="3"/>
  <c r="CX62" i="3"/>
  <c r="CX66" i="3"/>
  <c r="CQ60" i="1"/>
  <c r="CT59" i="1"/>
  <c r="CT58" i="1"/>
  <c r="CT57" i="1"/>
  <c r="CS56" i="1"/>
  <c r="R56" i="1"/>
  <c r="CY56" i="1" s="1"/>
  <c r="X56" i="1" s="1"/>
  <c r="CU41" i="3"/>
  <c r="CX42" i="3"/>
  <c r="CV41" i="3"/>
  <c r="CX41" i="3"/>
  <c r="CP51" i="1"/>
  <c r="O51" i="1" s="1"/>
  <c r="CP50" i="1"/>
  <c r="O50" i="1" s="1"/>
  <c r="P49" i="1"/>
  <c r="CP49" i="1" s="1"/>
  <c r="O49" i="1" s="1"/>
  <c r="GM49" i="1" s="1"/>
  <c r="GO49" i="1" s="1"/>
  <c r="CQ49" i="1"/>
  <c r="AB49" i="1"/>
  <c r="CY49" i="1"/>
  <c r="X49" i="1" s="1"/>
  <c r="CR45" i="1"/>
  <c r="CR37" i="1"/>
  <c r="CP36" i="1"/>
  <c r="O36" i="1" s="1"/>
  <c r="P34" i="1"/>
  <c r="CQ34" i="1"/>
  <c r="AB34" i="1"/>
  <c r="CP31" i="1"/>
  <c r="O31" i="1" s="1"/>
  <c r="CW428" i="3"/>
  <c r="CX426" i="3"/>
  <c r="CX424" i="3"/>
  <c r="DF422" i="3"/>
  <c r="DJ422" i="3" s="1"/>
  <c r="DG422" i="3"/>
  <c r="DH422" i="3"/>
  <c r="DF420" i="3"/>
  <c r="DJ420" i="3" s="1"/>
  <c r="DG420" i="3"/>
  <c r="DH420" i="3"/>
  <c r="CX418" i="3"/>
  <c r="CW417" i="3"/>
  <c r="CX417" i="3"/>
  <c r="DG408" i="3"/>
  <c r="DH407" i="3"/>
  <c r="DH404" i="3"/>
  <c r="DH403" i="3"/>
  <c r="DI403" i="3"/>
  <c r="DF403" i="3"/>
  <c r="DJ403" i="3" s="1"/>
  <c r="DI402" i="3"/>
  <c r="DF402" i="3"/>
  <c r="DJ402" i="3" s="1"/>
  <c r="DG402" i="3"/>
  <c r="CX372" i="3"/>
  <c r="CX341" i="3"/>
  <c r="CX338" i="3"/>
  <c r="DG326" i="3"/>
  <c r="DH326" i="3"/>
  <c r="DI326" i="3"/>
  <c r="DF326" i="3"/>
  <c r="DJ326" i="3" s="1"/>
  <c r="CX292" i="3"/>
  <c r="ET75" i="1"/>
  <c r="BD75" i="1"/>
  <c r="CV67" i="3"/>
  <c r="CX68" i="3"/>
  <c r="CX72" i="3"/>
  <c r="CX70" i="3"/>
  <c r="CU67" i="3"/>
  <c r="CW68" i="3"/>
  <c r="CX74" i="3"/>
  <c r="CU43" i="3"/>
  <c r="CX43" i="3"/>
  <c r="CX44" i="3"/>
  <c r="CV43" i="3"/>
  <c r="CP47" i="1"/>
  <c r="O47" i="1" s="1"/>
  <c r="CP46" i="1"/>
  <c r="O46" i="1" s="1"/>
  <c r="S44" i="1"/>
  <c r="CT44" i="1"/>
  <c r="AB44" i="1"/>
  <c r="CP40" i="1"/>
  <c r="O40" i="1" s="1"/>
  <c r="CP39" i="1"/>
  <c r="O39" i="1" s="1"/>
  <c r="CP38" i="1"/>
  <c r="O38" i="1" s="1"/>
  <c r="S36" i="1"/>
  <c r="CT36" i="1"/>
  <c r="AB36" i="1"/>
  <c r="P33" i="1"/>
  <c r="CQ33" i="1"/>
  <c r="AB33" i="1"/>
  <c r="S31" i="1"/>
  <c r="CT31" i="1"/>
  <c r="AB31" i="1"/>
  <c r="S30" i="1"/>
  <c r="CT30" i="1"/>
  <c r="AB30" i="1"/>
  <c r="R29" i="1"/>
  <c r="CS29" i="1"/>
  <c r="AD29" i="1"/>
  <c r="S28" i="1"/>
  <c r="CT28" i="1"/>
  <c r="CX446" i="3"/>
  <c r="CX445" i="3"/>
  <c r="CX444" i="3"/>
  <c r="CX442" i="3"/>
  <c r="CX441" i="3"/>
  <c r="CX440" i="3"/>
  <c r="CX427" i="3"/>
  <c r="CW416" i="3"/>
  <c r="CX414" i="3"/>
  <c r="CW413" i="3"/>
  <c r="CX413" i="3"/>
  <c r="DI410" i="3"/>
  <c r="DF409" i="3"/>
  <c r="DJ409" i="3" s="1"/>
  <c r="DI406" i="3"/>
  <c r="CV342" i="3"/>
  <c r="CW335" i="3"/>
  <c r="CV331" i="3"/>
  <c r="CX331" i="3"/>
  <c r="DG323" i="3"/>
  <c r="DH323" i="3"/>
  <c r="DI323" i="3"/>
  <c r="DJ323" i="3" s="1"/>
  <c r="DF323" i="3"/>
  <c r="CV295" i="3"/>
  <c r="CX295" i="3"/>
  <c r="CT48" i="1"/>
  <c r="CQ45" i="1"/>
  <c r="P45" i="1"/>
  <c r="CP45" i="1" s="1"/>
  <c r="O45" i="1" s="1"/>
  <c r="CT43" i="1"/>
  <c r="CT42" i="1"/>
  <c r="CS41" i="1"/>
  <c r="R41" i="1"/>
  <c r="CY41" i="1" s="1"/>
  <c r="X41" i="1" s="1"/>
  <c r="CU23" i="3"/>
  <c r="CW25" i="3"/>
  <c r="CX23" i="3"/>
  <c r="CX25" i="3"/>
  <c r="CQ37" i="1"/>
  <c r="P37" i="1"/>
  <c r="CS35" i="1"/>
  <c r="R35" i="1"/>
  <c r="CY35" i="1" s="1"/>
  <c r="X35" i="1" s="1"/>
  <c r="CS34" i="1"/>
  <c r="R34" i="1"/>
  <c r="AE75" i="1" s="1"/>
  <c r="CS33" i="1"/>
  <c r="R33" i="1"/>
  <c r="CY33" i="1" s="1"/>
  <c r="X33" i="1" s="1"/>
  <c r="CT32" i="1"/>
  <c r="CQ29" i="1"/>
  <c r="P29" i="1"/>
  <c r="Q28" i="1"/>
  <c r="DF401" i="3"/>
  <c r="DJ401" i="3" s="1"/>
  <c r="CX384" i="3"/>
  <c r="CX383" i="3"/>
  <c r="CX381" i="3"/>
  <c r="CX380" i="3"/>
  <c r="CW378" i="3"/>
  <c r="CX368" i="3"/>
  <c r="CW366" i="3"/>
  <c r="CV358" i="3"/>
  <c r="CX358" i="3"/>
  <c r="DI357" i="3"/>
  <c r="DF357" i="3"/>
  <c r="DJ357" i="3" s="1"/>
  <c r="DG357" i="3"/>
  <c r="DI277" i="3"/>
  <c r="DJ277" i="3" s="1"/>
  <c r="DF277" i="3"/>
  <c r="DG277" i="3"/>
  <c r="DH277" i="3"/>
  <c r="Q41" i="1"/>
  <c r="CU27" i="3"/>
  <c r="CW29" i="3"/>
  <c r="CX27" i="3"/>
  <c r="CX29" i="3"/>
  <c r="Q35" i="1"/>
  <c r="Q34" i="1"/>
  <c r="Q33" i="1"/>
  <c r="CQ28" i="1"/>
  <c r="DH400" i="3"/>
  <c r="DI400" i="3"/>
  <c r="DF400" i="3"/>
  <c r="DJ400" i="3" s="1"/>
  <c r="DI399" i="3"/>
  <c r="DF399" i="3"/>
  <c r="DJ399" i="3" s="1"/>
  <c r="DG399" i="3"/>
  <c r="CX395" i="3"/>
  <c r="CX376" i="3"/>
  <c r="DG364" i="3"/>
  <c r="DH364" i="3"/>
  <c r="DI364" i="3"/>
  <c r="DH363" i="3"/>
  <c r="DI363" i="3"/>
  <c r="DF363" i="3"/>
  <c r="DJ363" i="3" s="1"/>
  <c r="DI362" i="3"/>
  <c r="DF362" i="3"/>
  <c r="DJ362" i="3" s="1"/>
  <c r="DG362" i="3"/>
  <c r="DF361" i="3"/>
  <c r="DJ361" i="3" s="1"/>
  <c r="DG361" i="3"/>
  <c r="DH361" i="3"/>
  <c r="DG360" i="3"/>
  <c r="DH360" i="3"/>
  <c r="DI360" i="3"/>
  <c r="DG355" i="3"/>
  <c r="DH355" i="3"/>
  <c r="DI355" i="3"/>
  <c r="DH354" i="3"/>
  <c r="DI354" i="3"/>
  <c r="DF354" i="3"/>
  <c r="DJ354" i="3" s="1"/>
  <c r="DI353" i="3"/>
  <c r="DF353" i="3"/>
  <c r="DJ353" i="3" s="1"/>
  <c r="DG353" i="3"/>
  <c r="CX350" i="3"/>
  <c r="CX349" i="3"/>
  <c r="CX346" i="3"/>
  <c r="CX345" i="3"/>
  <c r="DF305" i="3"/>
  <c r="DH305" i="3"/>
  <c r="DI305" i="3"/>
  <c r="DJ305" i="3" s="1"/>
  <c r="CX304" i="3"/>
  <c r="CX276" i="3"/>
  <c r="CU39" i="3"/>
  <c r="CX39" i="3"/>
  <c r="CX40" i="3"/>
  <c r="CX393" i="3"/>
  <c r="CX392" i="3"/>
  <c r="CX391" i="3"/>
  <c r="CW389" i="3"/>
  <c r="CX374" i="3"/>
  <c r="CW343" i="3"/>
  <c r="CX343" i="3"/>
  <c r="DG321" i="3"/>
  <c r="DH321" i="3"/>
  <c r="DI321" i="3"/>
  <c r="DH320" i="3"/>
  <c r="DI320" i="3"/>
  <c r="DF320" i="3"/>
  <c r="DJ320" i="3" s="1"/>
  <c r="DI319" i="3"/>
  <c r="DF319" i="3"/>
  <c r="DJ319" i="3" s="1"/>
  <c r="DG319" i="3"/>
  <c r="CW316" i="3"/>
  <c r="CX316" i="3"/>
  <c r="DI315" i="3"/>
  <c r="DF315" i="3"/>
  <c r="DG315" i="3"/>
  <c r="DJ315" i="3" s="1"/>
  <c r="CW309" i="3"/>
  <c r="CX309" i="3"/>
  <c r="CX299" i="3"/>
  <c r="CX291" i="3"/>
  <c r="CX274" i="3"/>
  <c r="CX271" i="3"/>
  <c r="CX398" i="3"/>
  <c r="CX389" i="3"/>
  <c r="CX378" i="3"/>
  <c r="CX370" i="3"/>
  <c r="CX366" i="3"/>
  <c r="DF359" i="3"/>
  <c r="CX352" i="3"/>
  <c r="DF351" i="3"/>
  <c r="CX335" i="3"/>
  <c r="CX318" i="3"/>
  <c r="DF317" i="3"/>
  <c r="DF313" i="3"/>
  <c r="CV311" i="3"/>
  <c r="DF308" i="3"/>
  <c r="DG307" i="3"/>
  <c r="DJ307" i="3" s="1"/>
  <c r="CX301" i="3"/>
  <c r="CX289" i="3"/>
  <c r="CW255" i="3"/>
  <c r="CX252" i="3"/>
  <c r="DG314" i="3"/>
  <c r="CW313" i="3"/>
  <c r="DH312" i="3"/>
  <c r="DI311" i="3"/>
  <c r="DJ311" i="3" s="1"/>
  <c r="CX310" i="3"/>
  <c r="CX300" i="3"/>
  <c r="CX288" i="3"/>
  <c r="CW286" i="3"/>
  <c r="CX286" i="3"/>
  <c r="CX284" i="3"/>
  <c r="CX282" i="3"/>
  <c r="DH280" i="3"/>
  <c r="DI280" i="3"/>
  <c r="CV269" i="3"/>
  <c r="CX269" i="3"/>
  <c r="CX266" i="3"/>
  <c r="CX264" i="3"/>
  <c r="CX260" i="3"/>
  <c r="CX253" i="3"/>
  <c r="CW297" i="3"/>
  <c r="CX297" i="3"/>
  <c r="CX293" i="3"/>
  <c r="DI279" i="3"/>
  <c r="DJ279" i="3" s="1"/>
  <c r="DF279" i="3"/>
  <c r="DH278" i="3"/>
  <c r="DI278" i="3"/>
  <c r="CX267" i="3"/>
  <c r="CX261" i="3"/>
  <c r="CX248" i="3"/>
  <c r="CW246" i="3"/>
  <c r="CX243" i="3"/>
  <c r="CX240" i="3"/>
  <c r="CX236" i="3"/>
  <c r="CV232" i="3"/>
  <c r="CX232" i="3"/>
  <c r="CX223" i="3"/>
  <c r="CX199" i="3"/>
  <c r="CW196" i="3"/>
  <c r="CX190" i="3"/>
  <c r="CX173" i="3"/>
  <c r="CX250" i="3"/>
  <c r="CW207" i="3"/>
  <c r="CX202" i="3"/>
  <c r="CX191" i="3"/>
  <c r="CX257" i="3"/>
  <c r="CX255" i="3"/>
  <c r="CX244" i="3"/>
  <c r="CV239" i="3"/>
  <c r="CV235" i="3"/>
  <c r="CX229" i="3"/>
  <c r="CX227" i="3"/>
  <c r="CX225" i="3"/>
  <c r="CX219" i="3"/>
  <c r="CW216" i="3"/>
  <c r="CX216" i="3"/>
  <c r="CX205" i="3"/>
  <c r="CX203" i="3"/>
  <c r="CX194" i="3"/>
  <c r="CW169" i="3"/>
  <c r="CX246" i="3"/>
  <c r="CV215" i="3"/>
  <c r="CX214" i="3"/>
  <c r="CX211" i="3"/>
  <c r="CX210" i="3"/>
  <c r="CX198" i="3"/>
  <c r="CV195" i="3"/>
  <c r="CW167" i="3"/>
  <c r="CX162" i="3"/>
  <c r="CX187" i="3"/>
  <c r="CV153" i="3"/>
  <c r="DH152" i="3"/>
  <c r="DI152" i="3"/>
  <c r="DF152" i="3"/>
  <c r="DJ152" i="3" s="1"/>
  <c r="DI151" i="3"/>
  <c r="DF151" i="3"/>
  <c r="DJ151" i="3" s="1"/>
  <c r="DG151" i="3"/>
  <c r="DF150" i="3"/>
  <c r="DJ150" i="3" s="1"/>
  <c r="DG150" i="3"/>
  <c r="DH150" i="3"/>
  <c r="DF148" i="3"/>
  <c r="DJ148" i="3" s="1"/>
  <c r="DG148" i="3"/>
  <c r="DH148" i="3"/>
  <c r="DG147" i="3"/>
  <c r="DH147" i="3"/>
  <c r="DI147" i="3"/>
  <c r="DH146" i="3"/>
  <c r="DI146" i="3"/>
  <c r="DF146" i="3"/>
  <c r="DJ146" i="3" s="1"/>
  <c r="DI145" i="3"/>
  <c r="DJ145" i="3" s="1"/>
  <c r="DF145" i="3"/>
  <c r="DG145" i="3"/>
  <c r="DH142" i="3"/>
  <c r="DI142" i="3"/>
  <c r="DF142" i="3"/>
  <c r="DJ142" i="3" s="1"/>
  <c r="DI141" i="3"/>
  <c r="DJ141" i="3" s="1"/>
  <c r="DF141" i="3"/>
  <c r="DG141" i="3"/>
  <c r="CX129" i="3"/>
  <c r="CX117" i="3"/>
  <c r="CW112" i="3"/>
  <c r="CV109" i="3"/>
  <c r="CX98" i="3"/>
  <c r="CX93" i="3"/>
  <c r="CX207" i="3"/>
  <c r="CX196" i="3"/>
  <c r="CX185" i="3"/>
  <c r="CX183" i="3"/>
  <c r="CX181" i="3"/>
  <c r="CX176" i="3"/>
  <c r="CX174" i="3"/>
  <c r="CX163" i="3"/>
  <c r="CX130" i="3"/>
  <c r="CX124" i="3"/>
  <c r="CX118" i="3"/>
  <c r="CX110" i="3"/>
  <c r="CV107" i="3"/>
  <c r="CX101" i="3"/>
  <c r="CX169" i="3"/>
  <c r="CX167" i="3"/>
  <c r="CW160" i="3"/>
  <c r="CX160" i="3"/>
  <c r="CX158" i="3"/>
  <c r="DH144" i="3"/>
  <c r="DI144" i="3"/>
  <c r="DF144" i="3"/>
  <c r="DJ144" i="3" s="1"/>
  <c r="DI143" i="3"/>
  <c r="DJ143" i="3" s="1"/>
  <c r="DF143" i="3"/>
  <c r="DG143" i="3"/>
  <c r="CX125" i="3"/>
  <c r="CX108" i="3"/>
  <c r="DI104" i="3"/>
  <c r="DG104" i="3"/>
  <c r="DH104" i="3"/>
  <c r="DF104" i="3"/>
  <c r="DJ104" i="3" s="1"/>
  <c r="CX179" i="3"/>
  <c r="CV173" i="3"/>
  <c r="CX165" i="3"/>
  <c r="CX157" i="3"/>
  <c r="CX155" i="3"/>
  <c r="CW154" i="3"/>
  <c r="CX154" i="3"/>
  <c r="CX114" i="3"/>
  <c r="CV111" i="3"/>
  <c r="DI106" i="3"/>
  <c r="DF106" i="3"/>
  <c r="DJ106" i="3" s="1"/>
  <c r="DG106" i="3"/>
  <c r="DH106" i="3"/>
  <c r="DF140" i="3"/>
  <c r="CX138" i="3"/>
  <c r="DF137" i="3"/>
  <c r="DG135" i="3"/>
  <c r="DF134" i="3"/>
  <c r="DI133" i="3"/>
  <c r="DJ133" i="3" s="1"/>
  <c r="CX127" i="3"/>
  <c r="CX111" i="3"/>
  <c r="CX109" i="3"/>
  <c r="CX107" i="3"/>
  <c r="CX105" i="3"/>
  <c r="CW90" i="3"/>
  <c r="CX90" i="3"/>
  <c r="CW80" i="3"/>
  <c r="CX80" i="3"/>
  <c r="CW79" i="3"/>
  <c r="CX79" i="3"/>
  <c r="CX136" i="3"/>
  <c r="DF135" i="3"/>
  <c r="CV122" i="3"/>
  <c r="CX99" i="3"/>
  <c r="CX96" i="3"/>
  <c r="CX94" i="3"/>
  <c r="CV89" i="3"/>
  <c r="CX88" i="3"/>
  <c r="CX85" i="3"/>
  <c r="CX84" i="3"/>
  <c r="CX81" i="3"/>
  <c r="CX75" i="3"/>
  <c r="CX57" i="3"/>
  <c r="CX119" i="3"/>
  <c r="CX112" i="3"/>
  <c r="CX76" i="3"/>
  <c r="CX63" i="3"/>
  <c r="CW49" i="3"/>
  <c r="CX131" i="3"/>
  <c r="CW124" i="3"/>
  <c r="CX115" i="3"/>
  <c r="CX71" i="3"/>
  <c r="CW69" i="3"/>
  <c r="CX55" i="3"/>
  <c r="CV47" i="3"/>
  <c r="CV45" i="3"/>
  <c r="CX61" i="3"/>
  <c r="CX53" i="3"/>
  <c r="CV39" i="3"/>
  <c r="CX69" i="3"/>
  <c r="CX67" i="3"/>
  <c r="CX77" i="3"/>
  <c r="CX49" i="3"/>
  <c r="CX47" i="3"/>
  <c r="CX45" i="3"/>
  <c r="CW34" i="3"/>
  <c r="CX34" i="3"/>
  <c r="CX26" i="3"/>
  <c r="CV23" i="3"/>
  <c r="DH19" i="3"/>
  <c r="DI19" i="3"/>
  <c r="DJ19" i="3" s="1"/>
  <c r="DF19" i="3"/>
  <c r="DG19" i="3"/>
  <c r="DI16" i="3"/>
  <c r="DF16" i="3"/>
  <c r="DJ16" i="3" s="1"/>
  <c r="DG16" i="3"/>
  <c r="DH16" i="3"/>
  <c r="CX73" i="3"/>
  <c r="CX65" i="3"/>
  <c r="CX58" i="3"/>
  <c r="DH35" i="3"/>
  <c r="DI35" i="3"/>
  <c r="DJ35" i="3" s="1"/>
  <c r="CX30" i="3"/>
  <c r="DF36" i="3"/>
  <c r="DG36" i="3"/>
  <c r="DJ36" i="3" s="1"/>
  <c r="DH32" i="3"/>
  <c r="DI32" i="3"/>
  <c r="DF31" i="3"/>
  <c r="DG31" i="3"/>
  <c r="DI31" i="3"/>
  <c r="DJ31" i="3" s="1"/>
  <c r="CX28" i="3"/>
  <c r="DH13" i="3"/>
  <c r="DI13" i="3"/>
  <c r="DF13" i="3"/>
  <c r="DG13" i="3"/>
  <c r="DJ13" i="3" s="1"/>
  <c r="DG9" i="3"/>
  <c r="DH9" i="3"/>
  <c r="DI9" i="3"/>
  <c r="DF9" i="3"/>
  <c r="DJ9" i="3" s="1"/>
  <c r="DI11" i="3"/>
  <c r="DF11" i="3"/>
  <c r="DJ11" i="3" s="1"/>
  <c r="DG11" i="3"/>
  <c r="DH11" i="3"/>
  <c r="DI7" i="3"/>
  <c r="DF7" i="3"/>
  <c r="DJ7" i="3" s="1"/>
  <c r="DG7" i="3"/>
  <c r="DH7" i="3"/>
  <c r="DH8" i="3"/>
  <c r="DI8" i="3"/>
  <c r="DF8" i="3"/>
  <c r="DJ8" i="3" s="1"/>
  <c r="DG8" i="3"/>
  <c r="DH2" i="3"/>
  <c r="DI2" i="3"/>
  <c r="DF2" i="3"/>
  <c r="DG2" i="3"/>
  <c r="DJ2" i="3" s="1"/>
  <c r="DI38" i="3"/>
  <c r="DF38" i="3"/>
  <c r="CV37" i="3"/>
  <c r="CX37" i="3"/>
  <c r="DI33" i="3"/>
  <c r="DJ33" i="3" s="1"/>
  <c r="DF33" i="3"/>
  <c r="CV27" i="3"/>
  <c r="CX24" i="3"/>
  <c r="DH17" i="3"/>
  <c r="DI17" i="3"/>
  <c r="DF17" i="3"/>
  <c r="DJ17" i="3" s="1"/>
  <c r="DG17" i="3"/>
  <c r="CW28" i="3"/>
  <c r="CW24" i="3"/>
  <c r="DI20" i="3"/>
  <c r="DI15" i="3"/>
  <c r="CW13" i="3"/>
  <c r="DI12" i="3"/>
  <c r="DJ12" i="3" s="1"/>
  <c r="DI10" i="3"/>
  <c r="DI6" i="3"/>
  <c r="CW2" i="3"/>
  <c r="DI1" i="3"/>
  <c r="DJ1" i="3" s="1"/>
  <c r="DF22" i="3"/>
  <c r="CX21" i="3"/>
  <c r="DG20" i="3"/>
  <c r="DJ20" i="3" s="1"/>
  <c r="DG15" i="3"/>
  <c r="DG12" i="3"/>
  <c r="DG10" i="3"/>
  <c r="DG6" i="3"/>
  <c r="DJ6" i="3" s="1"/>
  <c r="CX4" i="3"/>
  <c r="DF3" i="3"/>
  <c r="DG1" i="3"/>
  <c r="H651" i="7" l="1"/>
  <c r="J486" i="7"/>
  <c r="H251" i="7"/>
  <c r="J812" i="7"/>
  <c r="J193" i="7"/>
  <c r="O653" i="7"/>
  <c r="P686" i="7"/>
  <c r="J733" i="7" s="1"/>
  <c r="J808" i="7"/>
  <c r="J593" i="7"/>
  <c r="J400" i="7"/>
  <c r="H670" i="7"/>
  <c r="J670" i="7"/>
  <c r="H808" i="7"/>
  <c r="H812" i="7"/>
  <c r="H193" i="7"/>
  <c r="AE26" i="1"/>
  <c r="R75" i="1"/>
  <c r="EB146" i="1"/>
  <c r="DO163" i="1"/>
  <c r="AG355" i="1"/>
  <c r="T404" i="1"/>
  <c r="CG107" i="1"/>
  <c r="AX114" i="1"/>
  <c r="DI323" i="1"/>
  <c r="DV280" i="1"/>
  <c r="GB491" i="1"/>
  <c r="ES510" i="1"/>
  <c r="DJ565" i="1"/>
  <c r="DW542" i="1"/>
  <c r="DZ491" i="1"/>
  <c r="DM510" i="1"/>
  <c r="AD542" i="1"/>
  <c r="Q565" i="1"/>
  <c r="EB280" i="1"/>
  <c r="DO323" i="1"/>
  <c r="AI355" i="1"/>
  <c r="V404" i="1"/>
  <c r="W404" i="1"/>
  <c r="AJ355" i="1"/>
  <c r="FZ510" i="1"/>
  <c r="DH510" i="1"/>
  <c r="FW510" i="1"/>
  <c r="FX510" i="1"/>
  <c r="DU491" i="1"/>
  <c r="AJ491" i="1"/>
  <c r="W510" i="1"/>
  <c r="CJ542" i="1"/>
  <c r="BA565" i="1"/>
  <c r="ES163" i="1"/>
  <c r="GB146" i="1"/>
  <c r="CJ436" i="1"/>
  <c r="BA459" i="1"/>
  <c r="AH491" i="1"/>
  <c r="U510" i="1"/>
  <c r="GB542" i="1"/>
  <c r="ES565" i="1"/>
  <c r="DX195" i="1"/>
  <c r="DK248" i="1"/>
  <c r="DU436" i="1"/>
  <c r="DH459" i="1"/>
  <c r="FW459" i="1"/>
  <c r="AG491" i="1"/>
  <c r="T510" i="1"/>
  <c r="DW491" i="1"/>
  <c r="DJ510" i="1"/>
  <c r="DO510" i="1"/>
  <c r="EB491" i="1"/>
  <c r="DG21" i="3"/>
  <c r="DH21" i="3"/>
  <c r="DI21" i="3"/>
  <c r="DJ21" i="3" s="1"/>
  <c r="DF21" i="3"/>
  <c r="DG37" i="3"/>
  <c r="DH37" i="3"/>
  <c r="DI37" i="3"/>
  <c r="DJ37" i="3" s="1"/>
  <c r="DF37" i="3"/>
  <c r="DH49" i="3"/>
  <c r="DG49" i="3"/>
  <c r="DJ49" i="3" s="1"/>
  <c r="DI49" i="3"/>
  <c r="DF49" i="3"/>
  <c r="DF57" i="3"/>
  <c r="DG57" i="3"/>
  <c r="DH57" i="3"/>
  <c r="DI57" i="3"/>
  <c r="DJ57" i="3" s="1"/>
  <c r="DH73" i="3"/>
  <c r="DF73" i="3"/>
  <c r="DJ73" i="3" s="1"/>
  <c r="DG73" i="3"/>
  <c r="DI73" i="3"/>
  <c r="DF55" i="3"/>
  <c r="DJ55" i="3" s="1"/>
  <c r="DG55" i="3"/>
  <c r="DH55" i="3"/>
  <c r="DI55" i="3"/>
  <c r="DI76" i="3"/>
  <c r="DF76" i="3"/>
  <c r="DJ76" i="3" s="1"/>
  <c r="DG76" i="3"/>
  <c r="DH76" i="3"/>
  <c r="DH99" i="3"/>
  <c r="DG99" i="3"/>
  <c r="DI99" i="3"/>
  <c r="DF99" i="3"/>
  <c r="DJ99" i="3" s="1"/>
  <c r="DF109" i="3"/>
  <c r="DG109" i="3"/>
  <c r="DH109" i="3"/>
  <c r="DI109" i="3"/>
  <c r="DJ109" i="3" s="1"/>
  <c r="DH181" i="3"/>
  <c r="DI181" i="3"/>
  <c r="DJ181" i="3" s="1"/>
  <c r="DF181" i="3"/>
  <c r="DG181" i="3"/>
  <c r="DG4" i="3"/>
  <c r="DJ4" i="3" s="1"/>
  <c r="DH4" i="3"/>
  <c r="DI4" i="3"/>
  <c r="DF4" i="3"/>
  <c r="DH67" i="3"/>
  <c r="DF67" i="3"/>
  <c r="DG67" i="3"/>
  <c r="DI67" i="3"/>
  <c r="DJ67" i="3" s="1"/>
  <c r="DH112" i="3"/>
  <c r="DG112" i="3"/>
  <c r="DJ112" i="3" s="1"/>
  <c r="DI112" i="3"/>
  <c r="DF112" i="3"/>
  <c r="DH179" i="3"/>
  <c r="DI179" i="3"/>
  <c r="DF179" i="3"/>
  <c r="DJ179" i="3" s="1"/>
  <c r="DG179" i="3"/>
  <c r="DI110" i="3"/>
  <c r="DF110" i="3"/>
  <c r="DJ110" i="3" s="1"/>
  <c r="DG110" i="3"/>
  <c r="DH110" i="3"/>
  <c r="DH183" i="3"/>
  <c r="DI183" i="3"/>
  <c r="DJ183" i="3" s="1"/>
  <c r="DF183" i="3"/>
  <c r="DG183" i="3"/>
  <c r="DF117" i="3"/>
  <c r="DJ117" i="3" s="1"/>
  <c r="DG117" i="3"/>
  <c r="DH117" i="3"/>
  <c r="DI117" i="3"/>
  <c r="DG216" i="3"/>
  <c r="DJ216" i="3" s="1"/>
  <c r="DH216" i="3"/>
  <c r="DI216" i="3"/>
  <c r="DF216" i="3"/>
  <c r="DH244" i="3"/>
  <c r="DG244" i="3"/>
  <c r="DJ244" i="3" s="1"/>
  <c r="DI244" i="3"/>
  <c r="DF244" i="3"/>
  <c r="DG190" i="3"/>
  <c r="DH190" i="3"/>
  <c r="DI190" i="3"/>
  <c r="DF190" i="3"/>
  <c r="DJ190" i="3" s="1"/>
  <c r="DF243" i="3"/>
  <c r="DG243" i="3"/>
  <c r="DH243" i="3"/>
  <c r="DI243" i="3"/>
  <c r="DJ243" i="3" s="1"/>
  <c r="DG267" i="3"/>
  <c r="DH267" i="3"/>
  <c r="DI267" i="3"/>
  <c r="DF267" i="3"/>
  <c r="DJ267" i="3" s="1"/>
  <c r="DH253" i="3"/>
  <c r="DI253" i="3"/>
  <c r="DF253" i="3"/>
  <c r="DJ253" i="3" s="1"/>
  <c r="DG253" i="3"/>
  <c r="DH282" i="3"/>
  <c r="DI282" i="3"/>
  <c r="DF282" i="3"/>
  <c r="DJ282" i="3" s="1"/>
  <c r="DG282" i="3"/>
  <c r="DH288" i="3"/>
  <c r="DI288" i="3"/>
  <c r="DF288" i="3"/>
  <c r="DJ288" i="3" s="1"/>
  <c r="DG288" i="3"/>
  <c r="DF393" i="3"/>
  <c r="DJ393" i="3" s="1"/>
  <c r="DG393" i="3"/>
  <c r="DH393" i="3"/>
  <c r="DI393" i="3"/>
  <c r="DH58" i="3"/>
  <c r="DI58" i="3"/>
  <c r="DF58" i="3"/>
  <c r="DG58" i="3"/>
  <c r="DJ58" i="3" s="1"/>
  <c r="DI26" i="3"/>
  <c r="DF26" i="3"/>
  <c r="DJ26" i="3" s="1"/>
  <c r="DG26" i="3"/>
  <c r="DH26" i="3"/>
  <c r="DH47" i="3"/>
  <c r="DF47" i="3"/>
  <c r="DG47" i="3"/>
  <c r="DI47" i="3"/>
  <c r="DJ47" i="3" s="1"/>
  <c r="DH69" i="3"/>
  <c r="DF69" i="3"/>
  <c r="DG69" i="3"/>
  <c r="DJ69" i="3" s="1"/>
  <c r="DI69" i="3"/>
  <c r="DF71" i="3"/>
  <c r="DJ71" i="3" s="1"/>
  <c r="DG71" i="3"/>
  <c r="DH71" i="3"/>
  <c r="DI71" i="3"/>
  <c r="DH119" i="3"/>
  <c r="DI119" i="3"/>
  <c r="DF119" i="3"/>
  <c r="DJ119" i="3" s="1"/>
  <c r="DG119" i="3"/>
  <c r="DF84" i="3"/>
  <c r="DJ84" i="3" s="1"/>
  <c r="DH84" i="3"/>
  <c r="DI84" i="3"/>
  <c r="DG84" i="3"/>
  <c r="DI94" i="3"/>
  <c r="DH94" i="3"/>
  <c r="DG94" i="3"/>
  <c r="DF94" i="3"/>
  <c r="DJ94" i="3" s="1"/>
  <c r="DI80" i="3"/>
  <c r="DG80" i="3"/>
  <c r="DJ80" i="3" s="1"/>
  <c r="DH80" i="3"/>
  <c r="DF80" i="3"/>
  <c r="DF105" i="3"/>
  <c r="DG105" i="3"/>
  <c r="DH105" i="3"/>
  <c r="DI105" i="3"/>
  <c r="DJ105" i="3" s="1"/>
  <c r="DH127" i="3"/>
  <c r="DF127" i="3"/>
  <c r="DJ127" i="3" s="1"/>
  <c r="DG127" i="3"/>
  <c r="DI127" i="3"/>
  <c r="DI114" i="3"/>
  <c r="DG114" i="3"/>
  <c r="DH114" i="3"/>
  <c r="DF114" i="3"/>
  <c r="DJ114" i="3" s="1"/>
  <c r="DI157" i="3"/>
  <c r="DF157" i="3"/>
  <c r="DJ157" i="3" s="1"/>
  <c r="DG157" i="3"/>
  <c r="DH157" i="3"/>
  <c r="DI108" i="3"/>
  <c r="DF108" i="3"/>
  <c r="DJ108" i="3" s="1"/>
  <c r="DG108" i="3"/>
  <c r="DH108" i="3"/>
  <c r="DH158" i="3"/>
  <c r="DI158" i="3"/>
  <c r="DF158" i="3"/>
  <c r="DJ158" i="3" s="1"/>
  <c r="DG158" i="3"/>
  <c r="DH169" i="3"/>
  <c r="DI169" i="3"/>
  <c r="DG169" i="3"/>
  <c r="DJ169" i="3" s="1"/>
  <c r="DF169" i="3"/>
  <c r="DI118" i="3"/>
  <c r="DF118" i="3"/>
  <c r="DJ118" i="3" s="1"/>
  <c r="DG118" i="3"/>
  <c r="DH118" i="3"/>
  <c r="DH174" i="3"/>
  <c r="DI174" i="3"/>
  <c r="DF174" i="3"/>
  <c r="DG174" i="3"/>
  <c r="DJ174" i="3" s="1"/>
  <c r="DH185" i="3"/>
  <c r="DI185" i="3"/>
  <c r="DJ185" i="3" s="1"/>
  <c r="DF185" i="3"/>
  <c r="DG185" i="3"/>
  <c r="DI98" i="3"/>
  <c r="DF98" i="3"/>
  <c r="DJ98" i="3" s="1"/>
  <c r="DG98" i="3"/>
  <c r="DH98" i="3"/>
  <c r="DF129" i="3"/>
  <c r="DJ129" i="3" s="1"/>
  <c r="DG129" i="3"/>
  <c r="DH129" i="3"/>
  <c r="DI129" i="3"/>
  <c r="DH214" i="3"/>
  <c r="DI214" i="3"/>
  <c r="DF214" i="3"/>
  <c r="DJ214" i="3" s="1"/>
  <c r="DG214" i="3"/>
  <c r="DG194" i="3"/>
  <c r="DH194" i="3"/>
  <c r="DI194" i="3"/>
  <c r="DF194" i="3"/>
  <c r="DJ194" i="3" s="1"/>
  <c r="DH229" i="3"/>
  <c r="DI229" i="3"/>
  <c r="DJ229" i="3" s="1"/>
  <c r="DF229" i="3"/>
  <c r="DG229" i="3"/>
  <c r="DG255" i="3"/>
  <c r="DJ255" i="3" s="1"/>
  <c r="DH255" i="3"/>
  <c r="DI255" i="3"/>
  <c r="DF255" i="3"/>
  <c r="DG293" i="3"/>
  <c r="DH293" i="3"/>
  <c r="DF293" i="3"/>
  <c r="DJ293" i="3" s="1"/>
  <c r="DI293" i="3"/>
  <c r="DH260" i="3"/>
  <c r="DI260" i="3"/>
  <c r="DF260" i="3"/>
  <c r="DJ260" i="3" s="1"/>
  <c r="DG260" i="3"/>
  <c r="DH284" i="3"/>
  <c r="DI284" i="3"/>
  <c r="DF284" i="3"/>
  <c r="DJ284" i="3" s="1"/>
  <c r="DG284" i="3"/>
  <c r="DH300" i="3"/>
  <c r="DI300" i="3"/>
  <c r="DF300" i="3"/>
  <c r="DJ300" i="3" s="1"/>
  <c r="DG300" i="3"/>
  <c r="DG289" i="3"/>
  <c r="DH289" i="3"/>
  <c r="DI289" i="3"/>
  <c r="DF289" i="3"/>
  <c r="DJ289" i="3" s="1"/>
  <c r="DF335" i="3"/>
  <c r="DG335" i="3"/>
  <c r="DJ335" i="3" s="1"/>
  <c r="DH335" i="3"/>
  <c r="DI335" i="3"/>
  <c r="DF366" i="3"/>
  <c r="DG366" i="3"/>
  <c r="DJ366" i="3" s="1"/>
  <c r="DH366" i="3"/>
  <c r="DI366" i="3"/>
  <c r="DF398" i="3"/>
  <c r="DG398" i="3"/>
  <c r="DJ398" i="3" s="1"/>
  <c r="DH398" i="3"/>
  <c r="DI398" i="3"/>
  <c r="DI299" i="3"/>
  <c r="DF299" i="3"/>
  <c r="DJ299" i="3" s="1"/>
  <c r="DG299" i="3"/>
  <c r="DH299" i="3"/>
  <c r="DI40" i="3"/>
  <c r="DG40" i="3"/>
  <c r="DF40" i="3"/>
  <c r="DJ40" i="3" s="1"/>
  <c r="DH40" i="3"/>
  <c r="DI304" i="3"/>
  <c r="DF304" i="3"/>
  <c r="DJ304" i="3" s="1"/>
  <c r="DG304" i="3"/>
  <c r="DH304" i="3"/>
  <c r="DH345" i="3"/>
  <c r="DI345" i="3"/>
  <c r="DF345" i="3"/>
  <c r="DJ345" i="3" s="1"/>
  <c r="DG345" i="3"/>
  <c r="DG376" i="3"/>
  <c r="DH376" i="3"/>
  <c r="DI376" i="3"/>
  <c r="DF376" i="3"/>
  <c r="DJ376" i="3" s="1"/>
  <c r="DF29" i="3"/>
  <c r="DG29" i="3"/>
  <c r="DJ29" i="3" s="1"/>
  <c r="DI29" i="3"/>
  <c r="DH29" i="3"/>
  <c r="DF358" i="3"/>
  <c r="DG358" i="3"/>
  <c r="DH358" i="3"/>
  <c r="DI358" i="3"/>
  <c r="DJ358" i="3" s="1"/>
  <c r="DG384" i="3"/>
  <c r="DH384" i="3"/>
  <c r="DI384" i="3"/>
  <c r="DF384" i="3"/>
  <c r="DJ384" i="3" s="1"/>
  <c r="CP37" i="1"/>
  <c r="O37" i="1" s="1"/>
  <c r="DF414" i="3"/>
  <c r="DJ414" i="3" s="1"/>
  <c r="DG414" i="3"/>
  <c r="DH414" i="3"/>
  <c r="DI414" i="3"/>
  <c r="DG441" i="3"/>
  <c r="DH441" i="3"/>
  <c r="DI441" i="3"/>
  <c r="DF441" i="3"/>
  <c r="DJ441" i="3" s="1"/>
  <c r="DF446" i="3"/>
  <c r="DJ446" i="3" s="1"/>
  <c r="DG446" i="3"/>
  <c r="DH446" i="3"/>
  <c r="DI446" i="3"/>
  <c r="CY31" i="1"/>
  <c r="X31" i="1" s="1"/>
  <c r="CZ31" i="1"/>
  <c r="Y31" i="1" s="1"/>
  <c r="CZ35" i="1"/>
  <c r="Y35" i="1" s="1"/>
  <c r="CY36" i="1"/>
  <c r="X36" i="1" s="1"/>
  <c r="CZ36" i="1"/>
  <c r="Y36" i="1" s="1"/>
  <c r="CZ41" i="1"/>
  <c r="Y41" i="1" s="1"/>
  <c r="CY44" i="1"/>
  <c r="X44" i="1" s="1"/>
  <c r="CZ44" i="1"/>
  <c r="Y44" i="1" s="1"/>
  <c r="DG44" i="3"/>
  <c r="DF44" i="3"/>
  <c r="DJ44" i="3" s="1"/>
  <c r="DH44" i="3"/>
  <c r="DI44" i="3"/>
  <c r="DF68" i="3"/>
  <c r="DI68" i="3"/>
  <c r="DG68" i="3"/>
  <c r="DJ68" i="3" s="1"/>
  <c r="DH68" i="3"/>
  <c r="DH292" i="3"/>
  <c r="DI292" i="3"/>
  <c r="DF292" i="3"/>
  <c r="DJ292" i="3" s="1"/>
  <c r="DG292" i="3"/>
  <c r="CP44" i="1"/>
  <c r="O44" i="1" s="1"/>
  <c r="GM44" i="1" s="1"/>
  <c r="GO44" i="1" s="1"/>
  <c r="DG62" i="3"/>
  <c r="DF62" i="3"/>
  <c r="DJ62" i="3" s="1"/>
  <c r="DH62" i="3"/>
  <c r="DI62" i="3"/>
  <c r="DF97" i="3"/>
  <c r="DI97" i="3"/>
  <c r="DG97" i="3"/>
  <c r="DJ97" i="3" s="1"/>
  <c r="DH97" i="3"/>
  <c r="EU26" i="1"/>
  <c r="P91" i="1"/>
  <c r="EU595" i="1"/>
  <c r="DG429" i="3"/>
  <c r="DJ429" i="3" s="1"/>
  <c r="DH429" i="3"/>
  <c r="DI429" i="3"/>
  <c r="DF429" i="3"/>
  <c r="DH436" i="3"/>
  <c r="DI436" i="3"/>
  <c r="DF436" i="3"/>
  <c r="DJ436" i="3" s="1"/>
  <c r="DG436" i="3"/>
  <c r="CZ33" i="1"/>
  <c r="Y33" i="1" s="1"/>
  <c r="CP35" i="1"/>
  <c r="O35" i="1" s="1"/>
  <c r="CZ51" i="1"/>
  <c r="Y51" i="1" s="1"/>
  <c r="CY51" i="1"/>
  <c r="X51" i="1" s="1"/>
  <c r="DG54" i="3"/>
  <c r="DF54" i="3"/>
  <c r="DJ54" i="3" s="1"/>
  <c r="DH54" i="3"/>
  <c r="DI54" i="3"/>
  <c r="DF51" i="3"/>
  <c r="DJ51" i="3" s="1"/>
  <c r="DH51" i="3"/>
  <c r="DI51" i="3"/>
  <c r="DG51" i="3"/>
  <c r="BB26" i="1"/>
  <c r="F88" i="1"/>
  <c r="BB595" i="1"/>
  <c r="DH272" i="3"/>
  <c r="DI272" i="3"/>
  <c r="DF272" i="3"/>
  <c r="DJ272" i="3" s="1"/>
  <c r="DG272" i="3"/>
  <c r="CY39" i="1"/>
  <c r="X39" i="1" s="1"/>
  <c r="CZ39" i="1"/>
  <c r="Y39" i="1" s="1"/>
  <c r="CY45" i="1"/>
  <c r="X45" i="1" s="1"/>
  <c r="CZ53" i="1"/>
  <c r="Y53" i="1" s="1"/>
  <c r="AS26" i="1"/>
  <c r="F92" i="1"/>
  <c r="CY65" i="1"/>
  <c r="X65" i="1" s="1"/>
  <c r="CZ65" i="1"/>
  <c r="Y65" i="1" s="1"/>
  <c r="GX67" i="1"/>
  <c r="EU107" i="1"/>
  <c r="P130" i="1"/>
  <c r="GM63" i="1"/>
  <c r="GO63" i="1" s="1"/>
  <c r="DG87" i="3"/>
  <c r="DI87" i="3"/>
  <c r="DF87" i="3"/>
  <c r="DJ87" i="3" s="1"/>
  <c r="DH87" i="3"/>
  <c r="DH82" i="3"/>
  <c r="DF82" i="3"/>
  <c r="DJ82" i="3" s="1"/>
  <c r="DG82" i="3"/>
  <c r="DI82" i="3"/>
  <c r="CY57" i="1"/>
  <c r="X57" i="1" s="1"/>
  <c r="CZ57" i="1"/>
  <c r="Y57" i="1" s="1"/>
  <c r="CZ68" i="1"/>
  <c r="Y68" i="1" s="1"/>
  <c r="FY26" i="1"/>
  <c r="EP75" i="1"/>
  <c r="FR110" i="1"/>
  <c r="DU114" i="1"/>
  <c r="CP110" i="1"/>
  <c r="O110" i="1" s="1"/>
  <c r="BC146" i="1"/>
  <c r="F179" i="1"/>
  <c r="BC595" i="1"/>
  <c r="AJ26" i="1"/>
  <c r="W75" i="1"/>
  <c r="GM54" i="1"/>
  <c r="GO54" i="1" s="1"/>
  <c r="CZ71" i="1"/>
  <c r="Y71" i="1" s="1"/>
  <c r="EK26" i="1"/>
  <c r="P92" i="1"/>
  <c r="F127" i="1"/>
  <c r="BB107" i="1"/>
  <c r="AD163" i="1"/>
  <c r="BA107" i="1"/>
  <c r="F134" i="1"/>
  <c r="EI146" i="1"/>
  <c r="P173" i="1"/>
  <c r="DI178" i="3"/>
  <c r="DF178" i="3"/>
  <c r="DJ178" i="3" s="1"/>
  <c r="DG178" i="3"/>
  <c r="DH178" i="3"/>
  <c r="DF175" i="3"/>
  <c r="DG175" i="3"/>
  <c r="DJ175" i="3" s="1"/>
  <c r="DI175" i="3"/>
  <c r="DH175" i="3"/>
  <c r="AI107" i="1"/>
  <c r="V114" i="1"/>
  <c r="CY157" i="1"/>
  <c r="X157" i="1" s="1"/>
  <c r="CZ157" i="1"/>
  <c r="Y157" i="1" s="1"/>
  <c r="BB146" i="1"/>
  <c r="F176" i="1"/>
  <c r="DI172" i="3"/>
  <c r="DF172" i="3"/>
  <c r="DJ172" i="3" s="1"/>
  <c r="DG172" i="3"/>
  <c r="DH172" i="3"/>
  <c r="DF168" i="3"/>
  <c r="DG168" i="3"/>
  <c r="DJ168" i="3" s="1"/>
  <c r="DH168" i="3"/>
  <c r="DI168" i="3"/>
  <c r="AQ26" i="1"/>
  <c r="F85" i="1"/>
  <c r="DL107" i="1"/>
  <c r="P135" i="1"/>
  <c r="DV163" i="1"/>
  <c r="DF113" i="3"/>
  <c r="DG113" i="3"/>
  <c r="DJ113" i="3" s="1"/>
  <c r="DH113" i="3"/>
  <c r="DI113" i="3"/>
  <c r="FR199" i="1"/>
  <c r="CP199" i="1"/>
  <c r="O199" i="1" s="1"/>
  <c r="GM199" i="1" s="1"/>
  <c r="CY201" i="1"/>
  <c r="X201" i="1" s="1"/>
  <c r="GM201" i="1" s="1"/>
  <c r="GO201" i="1" s="1"/>
  <c r="CZ201" i="1"/>
  <c r="Y201" i="1" s="1"/>
  <c r="AE248" i="1"/>
  <c r="CY204" i="1"/>
  <c r="X204" i="1" s="1"/>
  <c r="CZ204" i="1"/>
  <c r="Y204" i="1" s="1"/>
  <c r="DW248" i="1"/>
  <c r="FR218" i="1"/>
  <c r="CP218" i="1"/>
  <c r="O218" i="1" s="1"/>
  <c r="GM218" i="1" s="1"/>
  <c r="DF161" i="3"/>
  <c r="DJ161" i="3" s="1"/>
  <c r="DG161" i="3"/>
  <c r="DH161" i="3"/>
  <c r="DI161" i="3"/>
  <c r="FR226" i="1"/>
  <c r="CP226" i="1"/>
  <c r="O226" i="1" s="1"/>
  <c r="GM226" i="1" s="1"/>
  <c r="FR228" i="1"/>
  <c r="CP228" i="1"/>
  <c r="O228" i="1" s="1"/>
  <c r="GM228" i="1" s="1"/>
  <c r="FR230" i="1"/>
  <c r="CP230" i="1"/>
  <c r="O230" i="1" s="1"/>
  <c r="GM230" i="1" s="1"/>
  <c r="FR232" i="1"/>
  <c r="CP232" i="1"/>
  <c r="O232" i="1" s="1"/>
  <c r="GM232" i="1" s="1"/>
  <c r="FR234" i="1"/>
  <c r="CP234" i="1"/>
  <c r="O234" i="1" s="1"/>
  <c r="GM234" i="1" s="1"/>
  <c r="DI222" i="3"/>
  <c r="DF222" i="3"/>
  <c r="DJ222" i="3" s="1"/>
  <c r="DG222" i="3"/>
  <c r="DH222" i="3"/>
  <c r="DI218" i="3"/>
  <c r="DF218" i="3"/>
  <c r="DJ218" i="3" s="1"/>
  <c r="DG218" i="3"/>
  <c r="DH218" i="3"/>
  <c r="DM107" i="1"/>
  <c r="P136" i="1"/>
  <c r="DG128" i="3"/>
  <c r="DF128" i="3"/>
  <c r="DJ128" i="3" s="1"/>
  <c r="DH128" i="3"/>
  <c r="DI128" i="3"/>
  <c r="DG122" i="3"/>
  <c r="DI122" i="3"/>
  <c r="DJ122" i="3" s="1"/>
  <c r="DF122" i="3"/>
  <c r="DH122" i="3"/>
  <c r="CY158" i="1"/>
  <c r="X158" i="1" s="1"/>
  <c r="CZ158" i="1"/>
  <c r="Y158" i="1" s="1"/>
  <c r="AO146" i="1"/>
  <c r="F167" i="1"/>
  <c r="DV248" i="1"/>
  <c r="DI156" i="3"/>
  <c r="DF156" i="3"/>
  <c r="DJ156" i="3" s="1"/>
  <c r="DG156" i="3"/>
  <c r="DH156" i="3"/>
  <c r="DI213" i="3"/>
  <c r="DF213" i="3"/>
  <c r="DJ213" i="3" s="1"/>
  <c r="DG213" i="3"/>
  <c r="DH213" i="3"/>
  <c r="GM198" i="1"/>
  <c r="DF241" i="3"/>
  <c r="DG241" i="3"/>
  <c r="DJ241" i="3" s="1"/>
  <c r="DH241" i="3"/>
  <c r="DI241" i="3"/>
  <c r="AJ195" i="1"/>
  <c r="W248" i="1"/>
  <c r="FV195" i="1"/>
  <c r="EM248" i="1"/>
  <c r="AE323" i="1"/>
  <c r="DI238" i="3"/>
  <c r="DF238" i="3"/>
  <c r="DJ238" i="3" s="1"/>
  <c r="DG238" i="3"/>
  <c r="DH238" i="3"/>
  <c r="GM240" i="1"/>
  <c r="GO240" i="1" s="1"/>
  <c r="BB195" i="1"/>
  <c r="F261" i="1"/>
  <c r="FY195" i="1"/>
  <c r="EP248" i="1"/>
  <c r="CY282" i="1"/>
  <c r="X282" i="1" s="1"/>
  <c r="CZ282" i="1"/>
  <c r="Y282" i="1" s="1"/>
  <c r="AF323" i="1"/>
  <c r="FR306" i="1"/>
  <c r="CP306" i="1"/>
  <c r="O306" i="1" s="1"/>
  <c r="GM306" i="1" s="1"/>
  <c r="EG280" i="1"/>
  <c r="P327" i="1"/>
  <c r="DI303" i="3"/>
  <c r="DF303" i="3"/>
  <c r="DJ303" i="3" s="1"/>
  <c r="DG303" i="3"/>
  <c r="DH303" i="3"/>
  <c r="DZ280" i="1"/>
  <c r="DM323" i="1"/>
  <c r="CY293" i="1"/>
  <c r="X293" i="1" s="1"/>
  <c r="CZ293" i="1"/>
  <c r="Y293" i="1" s="1"/>
  <c r="AJ146" i="1"/>
  <c r="W163" i="1"/>
  <c r="FR294" i="1"/>
  <c r="CP294" i="1"/>
  <c r="O294" i="1" s="1"/>
  <c r="GM294" i="1" s="1"/>
  <c r="P336" i="1"/>
  <c r="ET280" i="1"/>
  <c r="CY362" i="1"/>
  <c r="X362" i="1" s="1"/>
  <c r="CZ362" i="1"/>
  <c r="Y362" i="1" s="1"/>
  <c r="CZ376" i="1"/>
  <c r="Y376" i="1" s="1"/>
  <c r="CY376" i="1"/>
  <c r="X376" i="1" s="1"/>
  <c r="CZ398" i="1"/>
  <c r="Y398" i="1" s="1"/>
  <c r="CY398" i="1"/>
  <c r="X398" i="1" s="1"/>
  <c r="EG355" i="1"/>
  <c r="P408" i="1"/>
  <c r="CZ449" i="1"/>
  <c r="Y449" i="1" s="1"/>
  <c r="CY449" i="1"/>
  <c r="X449" i="1" s="1"/>
  <c r="DH369" i="3"/>
  <c r="DI369" i="3"/>
  <c r="DJ369" i="3" s="1"/>
  <c r="DF369" i="3"/>
  <c r="DG369" i="3"/>
  <c r="DG396" i="3"/>
  <c r="DH396" i="3"/>
  <c r="DI396" i="3"/>
  <c r="DF396" i="3"/>
  <c r="DJ396" i="3" s="1"/>
  <c r="AG280" i="1"/>
  <c r="T323" i="1"/>
  <c r="P330" i="1"/>
  <c r="EP280" i="1"/>
  <c r="CY358" i="1"/>
  <c r="X358" i="1" s="1"/>
  <c r="CZ358" i="1"/>
  <c r="Y358" i="1" s="1"/>
  <c r="FR365" i="1"/>
  <c r="CP365" i="1"/>
  <c r="O365" i="1" s="1"/>
  <c r="GM365" i="1" s="1"/>
  <c r="FR373" i="1"/>
  <c r="CP373" i="1"/>
  <c r="O373" i="1" s="1"/>
  <c r="GM373" i="1" s="1"/>
  <c r="CY448" i="1"/>
  <c r="X448" i="1" s="1"/>
  <c r="GM448" i="1" s="1"/>
  <c r="GO448" i="1" s="1"/>
  <c r="CZ448" i="1"/>
  <c r="Y448" i="1" s="1"/>
  <c r="DH365" i="3"/>
  <c r="DI365" i="3"/>
  <c r="DJ365" i="3" s="1"/>
  <c r="DF365" i="3"/>
  <c r="DG365" i="3"/>
  <c r="CP502" i="1"/>
  <c r="O502" i="1" s="1"/>
  <c r="DH377" i="3"/>
  <c r="DI377" i="3"/>
  <c r="DJ377" i="3" s="1"/>
  <c r="DF377" i="3"/>
  <c r="DG377" i="3"/>
  <c r="EA146" i="1"/>
  <c r="DN163" i="1"/>
  <c r="DZ195" i="1"/>
  <c r="DM248" i="1"/>
  <c r="GM216" i="1"/>
  <c r="GO216" i="1" s="1"/>
  <c r="EB195" i="1"/>
  <c r="DO248" i="1"/>
  <c r="CY314" i="1"/>
  <c r="X314" i="1" s="1"/>
  <c r="CZ314" i="1"/>
  <c r="Y314" i="1" s="1"/>
  <c r="FR362" i="1"/>
  <c r="CP362" i="1"/>
  <c r="O362" i="1" s="1"/>
  <c r="FR366" i="1"/>
  <c r="CP366" i="1"/>
  <c r="O366" i="1" s="1"/>
  <c r="GM366" i="1" s="1"/>
  <c r="FR370" i="1"/>
  <c r="CP370" i="1"/>
  <c r="O370" i="1" s="1"/>
  <c r="FR374" i="1"/>
  <c r="CP374" i="1"/>
  <c r="O374" i="1" s="1"/>
  <c r="W378" i="1"/>
  <c r="DI285" i="3"/>
  <c r="DJ285" i="3" s="1"/>
  <c r="DF285" i="3"/>
  <c r="DG285" i="3"/>
  <c r="DH285" i="3"/>
  <c r="GM402" i="1"/>
  <c r="GO402" i="1" s="1"/>
  <c r="CY438" i="1"/>
  <c r="X438" i="1" s="1"/>
  <c r="DI348" i="3"/>
  <c r="DF348" i="3"/>
  <c r="DJ348" i="3" s="1"/>
  <c r="DG348" i="3"/>
  <c r="DH348" i="3"/>
  <c r="P475" i="1"/>
  <c r="EU436" i="1"/>
  <c r="DH375" i="3"/>
  <c r="DI375" i="3"/>
  <c r="DJ375" i="3" s="1"/>
  <c r="DF375" i="3"/>
  <c r="DG375" i="3"/>
  <c r="CP544" i="1"/>
  <c r="O544" i="1" s="1"/>
  <c r="AC565" i="1"/>
  <c r="DG415" i="3"/>
  <c r="DH415" i="3"/>
  <c r="DI415" i="3"/>
  <c r="DJ415" i="3" s="1"/>
  <c r="DF415" i="3"/>
  <c r="CZ292" i="1"/>
  <c r="Y292" i="1" s="1"/>
  <c r="GM292" i="1" s="1"/>
  <c r="GO292" i="1" s="1"/>
  <c r="CZ394" i="1"/>
  <c r="Y394" i="1" s="1"/>
  <c r="DI340" i="3"/>
  <c r="DF340" i="3"/>
  <c r="DJ340" i="3" s="1"/>
  <c r="DG340" i="3"/>
  <c r="DH340" i="3"/>
  <c r="DI437" i="3"/>
  <c r="DJ437" i="3" s="1"/>
  <c r="DF437" i="3"/>
  <c r="DG437" i="3"/>
  <c r="DH437" i="3"/>
  <c r="V452" i="1"/>
  <c r="AI459" i="1" s="1"/>
  <c r="FV491" i="1"/>
  <c r="EM510" i="1"/>
  <c r="AD323" i="1"/>
  <c r="CB280" i="1"/>
  <c r="AS323" i="1"/>
  <c r="CZ364" i="1"/>
  <c r="Y364" i="1" s="1"/>
  <c r="CZ372" i="1"/>
  <c r="Y372" i="1" s="1"/>
  <c r="CY381" i="1"/>
  <c r="X381" i="1" s="1"/>
  <c r="CZ383" i="1"/>
  <c r="Y383" i="1" s="1"/>
  <c r="CP384" i="1"/>
  <c r="O384" i="1" s="1"/>
  <c r="FR384" i="1"/>
  <c r="CY397" i="1"/>
  <c r="X397" i="1" s="1"/>
  <c r="CZ397" i="1"/>
  <c r="Y397" i="1" s="1"/>
  <c r="FR491" i="1"/>
  <c r="EI510" i="1"/>
  <c r="FY510" i="1"/>
  <c r="P503" i="1"/>
  <c r="Q503" i="1"/>
  <c r="V503" i="1"/>
  <c r="AI510" i="1" s="1"/>
  <c r="R503" i="1"/>
  <c r="AE510" i="1" s="1"/>
  <c r="GM553" i="1"/>
  <c r="GO553" i="1" s="1"/>
  <c r="CZ554" i="1"/>
  <c r="Y554" i="1" s="1"/>
  <c r="FV436" i="1"/>
  <c r="EM459" i="1"/>
  <c r="BB280" i="1"/>
  <c r="F336" i="1"/>
  <c r="CZ442" i="1"/>
  <c r="Y442" i="1" s="1"/>
  <c r="CY494" i="1"/>
  <c r="X494" i="1" s="1"/>
  <c r="CZ494" i="1"/>
  <c r="Y494" i="1" s="1"/>
  <c r="DX510" i="1"/>
  <c r="CY496" i="1"/>
  <c r="X496" i="1" s="1"/>
  <c r="CZ496" i="1"/>
  <c r="Y496" i="1" s="1"/>
  <c r="F535" i="1"/>
  <c r="BD491" i="1"/>
  <c r="DG411" i="3"/>
  <c r="DH411" i="3"/>
  <c r="DI411" i="3"/>
  <c r="DJ411" i="3" s="1"/>
  <c r="DF411" i="3"/>
  <c r="DG425" i="3"/>
  <c r="DH425" i="3"/>
  <c r="DI425" i="3"/>
  <c r="DJ425" i="3" s="1"/>
  <c r="DF425" i="3"/>
  <c r="DI256" i="3"/>
  <c r="DF256" i="3"/>
  <c r="DG256" i="3"/>
  <c r="DJ256" i="3" s="1"/>
  <c r="DH256" i="3"/>
  <c r="CY380" i="1"/>
  <c r="X380" i="1" s="1"/>
  <c r="CZ386" i="1"/>
  <c r="Y386" i="1" s="1"/>
  <c r="CZ438" i="1"/>
  <c r="Y438" i="1" s="1"/>
  <c r="AQ491" i="1"/>
  <c r="F520" i="1"/>
  <c r="CY501" i="1"/>
  <c r="X501" i="1" s="1"/>
  <c r="CZ501" i="1"/>
  <c r="Y501" i="1" s="1"/>
  <c r="CP551" i="1"/>
  <c r="O551" i="1" s="1"/>
  <c r="FR551" i="1"/>
  <c r="CY284" i="1"/>
  <c r="X284" i="1" s="1"/>
  <c r="CY366" i="1"/>
  <c r="X366" i="1" s="1"/>
  <c r="CP379" i="1"/>
  <c r="O379" i="1" s="1"/>
  <c r="FR379" i="1"/>
  <c r="CY384" i="1"/>
  <c r="X384" i="1" s="1"/>
  <c r="CZ451" i="1"/>
  <c r="Y451" i="1" s="1"/>
  <c r="CY451" i="1"/>
  <c r="X451" i="1" s="1"/>
  <c r="CY321" i="1"/>
  <c r="X321" i="1" s="1"/>
  <c r="GM561" i="1"/>
  <c r="GO561" i="1" s="1"/>
  <c r="FY542" i="1"/>
  <c r="EP565" i="1"/>
  <c r="AQ542" i="1"/>
  <c r="F575" i="1"/>
  <c r="CZ399" i="1"/>
  <c r="Y399" i="1" s="1"/>
  <c r="DZ542" i="1"/>
  <c r="DM565" i="1"/>
  <c r="GM563" i="1"/>
  <c r="GO563" i="1" s="1"/>
  <c r="DY542" i="1"/>
  <c r="DL565" i="1"/>
  <c r="GM557" i="1"/>
  <c r="GO557" i="1" s="1"/>
  <c r="CY556" i="1"/>
  <c r="X556" i="1" s="1"/>
  <c r="DH65" i="3"/>
  <c r="DF65" i="3"/>
  <c r="DJ65" i="3" s="1"/>
  <c r="DG65" i="3"/>
  <c r="DI65" i="3"/>
  <c r="DF63" i="3"/>
  <c r="DJ63" i="3" s="1"/>
  <c r="DG63" i="3"/>
  <c r="DH63" i="3"/>
  <c r="DI63" i="3"/>
  <c r="DG136" i="3"/>
  <c r="DJ136" i="3" s="1"/>
  <c r="DH136" i="3"/>
  <c r="DI136" i="3"/>
  <c r="DF136" i="3"/>
  <c r="DF107" i="3"/>
  <c r="DG107" i="3"/>
  <c r="DH107" i="3"/>
  <c r="DI107" i="3"/>
  <c r="DJ107" i="3" s="1"/>
  <c r="DF138" i="3"/>
  <c r="DG138" i="3"/>
  <c r="DJ138" i="3" s="1"/>
  <c r="DH138" i="3"/>
  <c r="DI138" i="3"/>
  <c r="DG154" i="3"/>
  <c r="DJ154" i="3" s="1"/>
  <c r="DH154" i="3"/>
  <c r="DI154" i="3"/>
  <c r="DF154" i="3"/>
  <c r="DH165" i="3"/>
  <c r="DI165" i="3"/>
  <c r="DJ165" i="3" s="1"/>
  <c r="DG165" i="3"/>
  <c r="DF165" i="3"/>
  <c r="DF125" i="3"/>
  <c r="DJ125" i="3" s="1"/>
  <c r="DH125" i="3"/>
  <c r="DI125" i="3"/>
  <c r="DG125" i="3"/>
  <c r="DG160" i="3"/>
  <c r="DJ160" i="3" s="1"/>
  <c r="DH160" i="3"/>
  <c r="DF160" i="3"/>
  <c r="DI160" i="3"/>
  <c r="DF101" i="3"/>
  <c r="DJ101" i="3" s="1"/>
  <c r="DH101" i="3"/>
  <c r="DI101" i="3"/>
  <c r="DG101" i="3"/>
  <c r="DG124" i="3"/>
  <c r="DJ124" i="3" s="1"/>
  <c r="DH124" i="3"/>
  <c r="DI124" i="3"/>
  <c r="DF124" i="3"/>
  <c r="DH176" i="3"/>
  <c r="DI176" i="3"/>
  <c r="DF176" i="3"/>
  <c r="DG176" i="3"/>
  <c r="DJ176" i="3" s="1"/>
  <c r="DF196" i="3"/>
  <c r="DG196" i="3"/>
  <c r="DJ196" i="3" s="1"/>
  <c r="DH196" i="3"/>
  <c r="DI196" i="3"/>
  <c r="DH187" i="3"/>
  <c r="DF187" i="3"/>
  <c r="DG187" i="3"/>
  <c r="DJ187" i="3" s="1"/>
  <c r="DI187" i="3"/>
  <c r="DG198" i="3"/>
  <c r="DH198" i="3"/>
  <c r="DI198" i="3"/>
  <c r="DF198" i="3"/>
  <c r="DJ198" i="3" s="1"/>
  <c r="DF203" i="3"/>
  <c r="DJ203" i="3" s="1"/>
  <c r="DG203" i="3"/>
  <c r="DH203" i="3"/>
  <c r="DI203" i="3"/>
  <c r="DH219" i="3"/>
  <c r="DI219" i="3"/>
  <c r="DF219" i="3"/>
  <c r="DJ219" i="3" s="1"/>
  <c r="DG219" i="3"/>
  <c r="DG257" i="3"/>
  <c r="DJ257" i="3" s="1"/>
  <c r="DH257" i="3"/>
  <c r="DI257" i="3"/>
  <c r="DF257" i="3"/>
  <c r="DH250" i="3"/>
  <c r="DG250" i="3"/>
  <c r="DI250" i="3"/>
  <c r="DF250" i="3"/>
  <c r="DJ250" i="3" s="1"/>
  <c r="DF199" i="3"/>
  <c r="DJ199" i="3" s="1"/>
  <c r="DG199" i="3"/>
  <c r="DH199" i="3"/>
  <c r="DI199" i="3"/>
  <c r="DH236" i="3"/>
  <c r="DI236" i="3"/>
  <c r="DF236" i="3"/>
  <c r="DG236" i="3"/>
  <c r="DJ236" i="3" s="1"/>
  <c r="DF248" i="3"/>
  <c r="DJ248" i="3" s="1"/>
  <c r="DI248" i="3"/>
  <c r="DG248" i="3"/>
  <c r="DH248" i="3"/>
  <c r="DG297" i="3"/>
  <c r="DJ297" i="3" s="1"/>
  <c r="DH297" i="3"/>
  <c r="DF297" i="3"/>
  <c r="DI297" i="3"/>
  <c r="DH264" i="3"/>
  <c r="DI264" i="3"/>
  <c r="DF264" i="3"/>
  <c r="DJ264" i="3" s="1"/>
  <c r="DG264" i="3"/>
  <c r="DG286" i="3"/>
  <c r="DJ286" i="3" s="1"/>
  <c r="DH286" i="3"/>
  <c r="DF286" i="3"/>
  <c r="DI286" i="3"/>
  <c r="DG310" i="3"/>
  <c r="DJ310" i="3" s="1"/>
  <c r="DH310" i="3"/>
  <c r="DI310" i="3"/>
  <c r="DF310" i="3"/>
  <c r="DG301" i="3"/>
  <c r="DH301" i="3"/>
  <c r="DI301" i="3"/>
  <c r="DF301" i="3"/>
  <c r="DJ301" i="3" s="1"/>
  <c r="DF370" i="3"/>
  <c r="DG370" i="3"/>
  <c r="DJ370" i="3" s="1"/>
  <c r="DH370" i="3"/>
  <c r="DI370" i="3"/>
  <c r="DI271" i="3"/>
  <c r="DF271" i="3"/>
  <c r="DJ271" i="3" s="1"/>
  <c r="DG271" i="3"/>
  <c r="DH271" i="3"/>
  <c r="DI309" i="3"/>
  <c r="DG309" i="3"/>
  <c r="DJ309" i="3" s="1"/>
  <c r="DH309" i="3"/>
  <c r="DF309" i="3"/>
  <c r="DG343" i="3"/>
  <c r="DJ343" i="3" s="1"/>
  <c r="DH343" i="3"/>
  <c r="DI343" i="3"/>
  <c r="DF343" i="3"/>
  <c r="DH391" i="3"/>
  <c r="DI391" i="3"/>
  <c r="DF391" i="3"/>
  <c r="DJ391" i="3" s="1"/>
  <c r="DG391" i="3"/>
  <c r="DF39" i="3"/>
  <c r="DG39" i="3"/>
  <c r="DH39" i="3"/>
  <c r="DI39" i="3"/>
  <c r="DJ39" i="3" s="1"/>
  <c r="DG346" i="3"/>
  <c r="DH346" i="3"/>
  <c r="DI346" i="3"/>
  <c r="DF346" i="3"/>
  <c r="DJ346" i="3" s="1"/>
  <c r="DH395" i="3"/>
  <c r="DI395" i="3"/>
  <c r="DF395" i="3"/>
  <c r="DJ395" i="3" s="1"/>
  <c r="DG395" i="3"/>
  <c r="DF27" i="3"/>
  <c r="DG27" i="3"/>
  <c r="DH27" i="3"/>
  <c r="DI27" i="3"/>
  <c r="DJ27" i="3" s="1"/>
  <c r="DG380" i="3"/>
  <c r="DH380" i="3"/>
  <c r="DI380" i="3"/>
  <c r="DF380" i="3"/>
  <c r="DJ380" i="3" s="1"/>
  <c r="DG295" i="3"/>
  <c r="DH295" i="3"/>
  <c r="DF295" i="3"/>
  <c r="DI295" i="3"/>
  <c r="DJ295" i="3" s="1"/>
  <c r="DF442" i="3"/>
  <c r="DJ442" i="3" s="1"/>
  <c r="DG442" i="3"/>
  <c r="DH442" i="3"/>
  <c r="DI442" i="3"/>
  <c r="CY30" i="1"/>
  <c r="X30" i="1" s="1"/>
  <c r="CZ30" i="1"/>
  <c r="Y30" i="1" s="1"/>
  <c r="DF43" i="3"/>
  <c r="DG43" i="3"/>
  <c r="DH43" i="3"/>
  <c r="DI43" i="3"/>
  <c r="DJ43" i="3" s="1"/>
  <c r="DG338" i="3"/>
  <c r="DH338" i="3"/>
  <c r="DI338" i="3"/>
  <c r="DF338" i="3"/>
  <c r="DJ338" i="3" s="1"/>
  <c r="DG417" i="3"/>
  <c r="DJ417" i="3" s="1"/>
  <c r="DH417" i="3"/>
  <c r="DI417" i="3"/>
  <c r="DF417" i="3"/>
  <c r="CP30" i="1"/>
  <c r="O30" i="1" s="1"/>
  <c r="CP34" i="1"/>
  <c r="O34" i="1" s="1"/>
  <c r="GM34" i="1" s="1"/>
  <c r="GO34" i="1" s="1"/>
  <c r="AC75" i="1"/>
  <c r="DF41" i="3"/>
  <c r="DG41" i="3"/>
  <c r="DH41" i="3"/>
  <c r="DI41" i="3"/>
  <c r="DJ41" i="3" s="1"/>
  <c r="DI64" i="3"/>
  <c r="DG64" i="3"/>
  <c r="DH64" i="3"/>
  <c r="DF64" i="3"/>
  <c r="DJ64" i="3" s="1"/>
  <c r="DI60" i="3"/>
  <c r="DH60" i="3"/>
  <c r="DF60" i="3"/>
  <c r="DJ60" i="3" s="1"/>
  <c r="DG60" i="3"/>
  <c r="DF329" i="3"/>
  <c r="DG329" i="3"/>
  <c r="DH329" i="3"/>
  <c r="DI329" i="3"/>
  <c r="DJ329" i="3" s="1"/>
  <c r="DH337" i="3"/>
  <c r="DI337" i="3"/>
  <c r="DF337" i="3"/>
  <c r="DJ337" i="3" s="1"/>
  <c r="DG337" i="3"/>
  <c r="GM41" i="1"/>
  <c r="GO41" i="1" s="1"/>
  <c r="DG50" i="3"/>
  <c r="DH50" i="3"/>
  <c r="DI50" i="3"/>
  <c r="DF50" i="3"/>
  <c r="DJ50" i="3" s="1"/>
  <c r="DG95" i="3"/>
  <c r="DF95" i="3"/>
  <c r="DJ95" i="3" s="1"/>
  <c r="DH95" i="3"/>
  <c r="DI95" i="3"/>
  <c r="CG26" i="1"/>
  <c r="AX75" i="1"/>
  <c r="DG438" i="3"/>
  <c r="DJ438" i="3" s="1"/>
  <c r="DH438" i="3"/>
  <c r="DI438" i="3"/>
  <c r="DF438" i="3"/>
  <c r="CY38" i="1"/>
  <c r="X38" i="1" s="1"/>
  <c r="GM38" i="1" s="1"/>
  <c r="CZ38" i="1"/>
  <c r="Y38" i="1" s="1"/>
  <c r="BY26" i="1"/>
  <c r="CI75" i="1"/>
  <c r="AP75" i="1"/>
  <c r="CY47" i="1"/>
  <c r="X47" i="1" s="1"/>
  <c r="CZ47" i="1"/>
  <c r="Y47" i="1" s="1"/>
  <c r="GM57" i="1"/>
  <c r="GO57" i="1" s="1"/>
  <c r="CP112" i="1"/>
  <c r="O112" i="1" s="1"/>
  <c r="GM112" i="1" s="1"/>
  <c r="FR112" i="1"/>
  <c r="DG83" i="3"/>
  <c r="DI83" i="3"/>
  <c r="DF83" i="3"/>
  <c r="DJ83" i="3" s="1"/>
  <c r="DH83" i="3"/>
  <c r="CY111" i="1"/>
  <c r="X111" i="1" s="1"/>
  <c r="CZ111" i="1"/>
  <c r="Y111" i="1" s="1"/>
  <c r="AF114" i="1"/>
  <c r="EV107" i="1"/>
  <c r="P139" i="1"/>
  <c r="GM64" i="1"/>
  <c r="GO64" i="1" s="1"/>
  <c r="S69" i="1"/>
  <c r="CP69" i="1" s="1"/>
  <c r="O69" i="1" s="1"/>
  <c r="CY70" i="1"/>
  <c r="X70" i="1" s="1"/>
  <c r="CZ70" i="1"/>
  <c r="Y70" i="1" s="1"/>
  <c r="AQ114" i="1"/>
  <c r="BZ107" i="1"/>
  <c r="Q107" i="1"/>
  <c r="F126" i="1"/>
  <c r="T69" i="1"/>
  <c r="DY75" i="1" s="1"/>
  <c r="AC114" i="1"/>
  <c r="FR109" i="1"/>
  <c r="CP109" i="1"/>
  <c r="O109" i="1" s="1"/>
  <c r="ET107" i="1"/>
  <c r="P127" i="1"/>
  <c r="CZ159" i="1"/>
  <c r="Y159" i="1" s="1"/>
  <c r="CY159" i="1"/>
  <c r="X159" i="1" s="1"/>
  <c r="EM146" i="1"/>
  <c r="P182" i="1"/>
  <c r="DG180" i="3"/>
  <c r="DH180" i="3"/>
  <c r="DF180" i="3"/>
  <c r="DJ180" i="3" s="1"/>
  <c r="DI180" i="3"/>
  <c r="DI204" i="3"/>
  <c r="DF204" i="3"/>
  <c r="DJ204" i="3" s="1"/>
  <c r="DG204" i="3"/>
  <c r="DH204" i="3"/>
  <c r="DH201" i="3"/>
  <c r="DI201" i="3"/>
  <c r="DF201" i="3"/>
  <c r="DJ201" i="3" s="1"/>
  <c r="DG201" i="3"/>
  <c r="AT107" i="1"/>
  <c r="F132" i="1"/>
  <c r="EL107" i="1"/>
  <c r="P132" i="1"/>
  <c r="EV146" i="1"/>
  <c r="P188" i="1"/>
  <c r="DF166" i="3"/>
  <c r="DG166" i="3"/>
  <c r="DJ166" i="3" s="1"/>
  <c r="DH166" i="3"/>
  <c r="DI166" i="3"/>
  <c r="DF186" i="3"/>
  <c r="DG186" i="3"/>
  <c r="DJ186" i="3" s="1"/>
  <c r="DH186" i="3"/>
  <c r="DI186" i="3"/>
  <c r="CY151" i="1"/>
  <c r="X151" i="1" s="1"/>
  <c r="CZ151" i="1"/>
  <c r="Y151" i="1" s="1"/>
  <c r="DX163" i="1"/>
  <c r="BD146" i="1"/>
  <c r="F188" i="1"/>
  <c r="AC248" i="1"/>
  <c r="CP197" i="1"/>
  <c r="O197" i="1" s="1"/>
  <c r="FR207" i="1"/>
  <c r="CP207" i="1"/>
  <c r="O207" i="1" s="1"/>
  <c r="GM207" i="1" s="1"/>
  <c r="FR209" i="1"/>
  <c r="CP209" i="1"/>
  <c r="O209" i="1" s="1"/>
  <c r="GM209" i="1" s="1"/>
  <c r="CY211" i="1"/>
  <c r="X211" i="1" s="1"/>
  <c r="GM211" i="1" s="1"/>
  <c r="GO211" i="1" s="1"/>
  <c r="CZ211" i="1"/>
  <c r="Y211" i="1" s="1"/>
  <c r="CY214" i="1"/>
  <c r="X214" i="1" s="1"/>
  <c r="GM214" i="1" s="1"/>
  <c r="CZ214" i="1"/>
  <c r="Y214" i="1" s="1"/>
  <c r="DF217" i="3"/>
  <c r="DG217" i="3"/>
  <c r="DJ217" i="3" s="1"/>
  <c r="DH217" i="3"/>
  <c r="DI217" i="3"/>
  <c r="DG224" i="3"/>
  <c r="DH224" i="3"/>
  <c r="DF224" i="3"/>
  <c r="DJ224" i="3" s="1"/>
  <c r="DI224" i="3"/>
  <c r="AO195" i="1"/>
  <c r="F252" i="1"/>
  <c r="U67" i="1"/>
  <c r="AG146" i="1"/>
  <c r="T163" i="1"/>
  <c r="FR150" i="1"/>
  <c r="BY163" i="1" s="1"/>
  <c r="CP150" i="1"/>
  <c r="O150" i="1" s="1"/>
  <c r="GM150" i="1" s="1"/>
  <c r="GM157" i="1"/>
  <c r="GO157" i="1" s="1"/>
  <c r="DI123" i="3"/>
  <c r="DG123" i="3"/>
  <c r="DJ123" i="3" s="1"/>
  <c r="DH123" i="3"/>
  <c r="DF123" i="3"/>
  <c r="ET146" i="1"/>
  <c r="P176" i="1"/>
  <c r="DI153" i="3"/>
  <c r="DJ153" i="3" s="1"/>
  <c r="DF153" i="3"/>
  <c r="DG153" i="3"/>
  <c r="DH153" i="3"/>
  <c r="DI209" i="3"/>
  <c r="DF209" i="3"/>
  <c r="DJ209" i="3" s="1"/>
  <c r="DG209" i="3"/>
  <c r="DH209" i="3"/>
  <c r="AI146" i="1"/>
  <c r="V163" i="1"/>
  <c r="AF195" i="1"/>
  <c r="S248" i="1"/>
  <c r="DI242" i="3"/>
  <c r="DF242" i="3"/>
  <c r="DJ242" i="3" s="1"/>
  <c r="DG242" i="3"/>
  <c r="DH242" i="3"/>
  <c r="CJ195" i="1"/>
  <c r="BA248" i="1"/>
  <c r="DG226" i="3"/>
  <c r="DH226" i="3"/>
  <c r="DF226" i="3"/>
  <c r="DJ226" i="3" s="1"/>
  <c r="DI226" i="3"/>
  <c r="EI195" i="1"/>
  <c r="P258" i="1"/>
  <c r="DF231" i="3"/>
  <c r="DJ231" i="3" s="1"/>
  <c r="DG231" i="3"/>
  <c r="DH231" i="3"/>
  <c r="DI231" i="3"/>
  <c r="CY313" i="1"/>
  <c r="X313" i="1" s="1"/>
  <c r="GM313" i="1" s="1"/>
  <c r="CZ313" i="1"/>
  <c r="Y313" i="1" s="1"/>
  <c r="DF298" i="3"/>
  <c r="DJ298" i="3" s="1"/>
  <c r="DG298" i="3"/>
  <c r="DH298" i="3"/>
  <c r="DI298" i="3"/>
  <c r="EU355" i="1"/>
  <c r="P420" i="1"/>
  <c r="GM282" i="1"/>
  <c r="CP296" i="1"/>
  <c r="O296" i="1" s="1"/>
  <c r="GM296" i="1" s="1"/>
  <c r="FR296" i="1"/>
  <c r="FR300" i="1"/>
  <c r="CP300" i="1"/>
  <c r="O300" i="1" s="1"/>
  <c r="GM300" i="1" s="1"/>
  <c r="EA280" i="1"/>
  <c r="DN323" i="1"/>
  <c r="CZ312" i="1"/>
  <c r="Y312" i="1" s="1"/>
  <c r="CY312" i="1"/>
  <c r="X312" i="1" s="1"/>
  <c r="BD280" i="1"/>
  <c r="F348" i="1"/>
  <c r="CP357" i="1"/>
  <c r="O357" i="1" s="1"/>
  <c r="AC404" i="1"/>
  <c r="FR394" i="1"/>
  <c r="CP394" i="1"/>
  <c r="O394" i="1" s="1"/>
  <c r="GM394" i="1" s="1"/>
  <c r="DI283" i="3"/>
  <c r="DJ283" i="3" s="1"/>
  <c r="DF283" i="3"/>
  <c r="DG283" i="3"/>
  <c r="DH283" i="3"/>
  <c r="CP438" i="1"/>
  <c r="O438" i="1" s="1"/>
  <c r="DI394" i="3"/>
  <c r="DF394" i="3"/>
  <c r="DJ394" i="3" s="1"/>
  <c r="DG394" i="3"/>
  <c r="DH394" i="3"/>
  <c r="DH388" i="3"/>
  <c r="DI388" i="3"/>
  <c r="DF388" i="3"/>
  <c r="DG388" i="3"/>
  <c r="DJ388" i="3" s="1"/>
  <c r="GB280" i="1"/>
  <c r="ES323" i="1"/>
  <c r="BZ280" i="1"/>
  <c r="AQ323" i="1"/>
  <c r="CG323" i="1"/>
  <c r="CY315" i="1"/>
  <c r="X315" i="1" s="1"/>
  <c r="CZ315" i="1"/>
  <c r="Y315" i="1" s="1"/>
  <c r="CP320" i="1"/>
  <c r="O320" i="1" s="1"/>
  <c r="FR320" i="1"/>
  <c r="CP321" i="1"/>
  <c r="O321" i="1" s="1"/>
  <c r="GM321" i="1" s="1"/>
  <c r="FR321" i="1"/>
  <c r="DI249" i="3"/>
  <c r="DF249" i="3"/>
  <c r="DJ249" i="3" s="1"/>
  <c r="DG249" i="3"/>
  <c r="DH249" i="3"/>
  <c r="DG251" i="3"/>
  <c r="DH251" i="3"/>
  <c r="DI251" i="3"/>
  <c r="DF251" i="3"/>
  <c r="DJ251" i="3" s="1"/>
  <c r="AD404" i="1"/>
  <c r="EB404" i="1"/>
  <c r="CY363" i="1"/>
  <c r="X363" i="1" s="1"/>
  <c r="GM363" i="1" s="1"/>
  <c r="CZ363" i="1"/>
  <c r="Y363" i="1" s="1"/>
  <c r="CY371" i="1"/>
  <c r="X371" i="1" s="1"/>
  <c r="CZ371" i="1"/>
  <c r="Y371" i="1" s="1"/>
  <c r="R378" i="1"/>
  <c r="DW404" i="1" s="1"/>
  <c r="GX378" i="1"/>
  <c r="P378" i="1"/>
  <c r="Q378" i="1"/>
  <c r="DV404" i="1" s="1"/>
  <c r="V378" i="1"/>
  <c r="EA404" i="1" s="1"/>
  <c r="CY393" i="1"/>
  <c r="X393" i="1" s="1"/>
  <c r="CZ393" i="1"/>
  <c r="Y393" i="1" s="1"/>
  <c r="BC355" i="1"/>
  <c r="F420" i="1"/>
  <c r="Q452" i="1"/>
  <c r="R452" i="1"/>
  <c r="AE459" i="1" s="1"/>
  <c r="S452" i="1"/>
  <c r="P452" i="1"/>
  <c r="AC459" i="1" s="1"/>
  <c r="DI386" i="3"/>
  <c r="DF386" i="3"/>
  <c r="DJ386" i="3" s="1"/>
  <c r="DG386" i="3"/>
  <c r="DH386" i="3"/>
  <c r="DF385" i="3"/>
  <c r="DJ385" i="3" s="1"/>
  <c r="DG385" i="3"/>
  <c r="DH385" i="3"/>
  <c r="DI385" i="3"/>
  <c r="AS146" i="1"/>
  <c r="F180" i="1"/>
  <c r="AH195" i="1"/>
  <c r="U248" i="1"/>
  <c r="GM222" i="1"/>
  <c r="GO222" i="1" s="1"/>
  <c r="CP283" i="1"/>
  <c r="O283" i="1" s="1"/>
  <c r="DU323" i="1"/>
  <c r="FR298" i="1"/>
  <c r="CP298" i="1"/>
  <c r="O298" i="1" s="1"/>
  <c r="GM298" i="1" s="1"/>
  <c r="FR304" i="1"/>
  <c r="CP304" i="1"/>
  <c r="O304" i="1" s="1"/>
  <c r="GM304" i="1" s="1"/>
  <c r="CP307" i="1"/>
  <c r="O307" i="1" s="1"/>
  <c r="GM307" i="1" s="1"/>
  <c r="FR307" i="1"/>
  <c r="GM314" i="1"/>
  <c r="FR355" i="1"/>
  <c r="EI404" i="1"/>
  <c r="FY404" i="1"/>
  <c r="GM391" i="1"/>
  <c r="GO391" i="1" s="1"/>
  <c r="DI281" i="3"/>
  <c r="DJ281" i="3" s="1"/>
  <c r="DF281" i="3"/>
  <c r="DG281" i="3"/>
  <c r="DH281" i="3"/>
  <c r="DF294" i="3"/>
  <c r="DJ294" i="3" s="1"/>
  <c r="DG294" i="3"/>
  <c r="DH294" i="3"/>
  <c r="DI294" i="3"/>
  <c r="ET355" i="1"/>
  <c r="P417" i="1"/>
  <c r="DI330" i="3"/>
  <c r="DF330" i="3"/>
  <c r="DJ330" i="3" s="1"/>
  <c r="DG330" i="3"/>
  <c r="DH330" i="3"/>
  <c r="DI344" i="3"/>
  <c r="DF344" i="3"/>
  <c r="DG344" i="3"/>
  <c r="DJ344" i="3" s="1"/>
  <c r="DH344" i="3"/>
  <c r="DV491" i="1"/>
  <c r="DI510" i="1"/>
  <c r="DF233" i="3"/>
  <c r="DJ233" i="3" s="1"/>
  <c r="DG233" i="3"/>
  <c r="DH233" i="3"/>
  <c r="DI233" i="3"/>
  <c r="DI265" i="3"/>
  <c r="DJ265" i="3" s="1"/>
  <c r="DF265" i="3"/>
  <c r="DG265" i="3"/>
  <c r="DH265" i="3"/>
  <c r="FR367" i="1"/>
  <c r="CP367" i="1"/>
  <c r="O367" i="1" s="1"/>
  <c r="GM397" i="1"/>
  <c r="GO397" i="1" s="1"/>
  <c r="CP494" i="1"/>
  <c r="O494" i="1" s="1"/>
  <c r="GA491" i="1"/>
  <c r="ER510" i="1"/>
  <c r="AE565" i="1"/>
  <c r="CZ544" i="1"/>
  <c r="Y544" i="1" s="1"/>
  <c r="CZ547" i="1"/>
  <c r="Y547" i="1" s="1"/>
  <c r="CY547" i="1"/>
  <c r="X547" i="1" s="1"/>
  <c r="CY555" i="1"/>
  <c r="X555" i="1" s="1"/>
  <c r="CZ555" i="1"/>
  <c r="Y555" i="1" s="1"/>
  <c r="DI443" i="3"/>
  <c r="DF443" i="3"/>
  <c r="DJ443" i="3" s="1"/>
  <c r="DG443" i="3"/>
  <c r="DH443" i="3"/>
  <c r="AO542" i="1"/>
  <c r="F569" i="1"/>
  <c r="EV280" i="1"/>
  <c r="P348" i="1"/>
  <c r="P527" i="1"/>
  <c r="EK491" i="1"/>
  <c r="AI280" i="1"/>
  <c r="V323" i="1"/>
  <c r="FV280" i="1"/>
  <c r="EM323" i="1"/>
  <c r="AF404" i="1"/>
  <c r="T378" i="1"/>
  <c r="DY404" i="1" s="1"/>
  <c r="CZ385" i="1"/>
  <c r="Y385" i="1" s="1"/>
  <c r="CP386" i="1"/>
  <c r="O386" i="1" s="1"/>
  <c r="GM386" i="1" s="1"/>
  <c r="FR386" i="1"/>
  <c r="CB436" i="1"/>
  <c r="AS459" i="1"/>
  <c r="DV459" i="1"/>
  <c r="CD436" i="1"/>
  <c r="AU459" i="1"/>
  <c r="GM552" i="1"/>
  <c r="GO552" i="1" s="1"/>
  <c r="DI435" i="3"/>
  <c r="DF435" i="3"/>
  <c r="DJ435" i="3" s="1"/>
  <c r="DG435" i="3"/>
  <c r="DH435" i="3"/>
  <c r="DF434" i="3"/>
  <c r="DJ434" i="3" s="1"/>
  <c r="DG434" i="3"/>
  <c r="DH434" i="3"/>
  <c r="DI434" i="3"/>
  <c r="AU195" i="1"/>
  <c r="F267" i="1"/>
  <c r="GM400" i="1"/>
  <c r="GO400" i="1" s="1"/>
  <c r="CY549" i="1"/>
  <c r="X549" i="1" s="1"/>
  <c r="CZ549" i="1"/>
  <c r="Y549" i="1" s="1"/>
  <c r="FR371" i="1"/>
  <c r="CP371" i="1"/>
  <c r="O371" i="1" s="1"/>
  <c r="GM371" i="1" s="1"/>
  <c r="CZ400" i="1"/>
  <c r="Y400" i="1" s="1"/>
  <c r="CY400" i="1"/>
  <c r="X400" i="1" s="1"/>
  <c r="FT436" i="1"/>
  <c r="EK459" i="1"/>
  <c r="CP456" i="1"/>
  <c r="O456" i="1" s="1"/>
  <c r="BA510" i="1"/>
  <c r="CJ491" i="1"/>
  <c r="DL510" i="1"/>
  <c r="DY491" i="1"/>
  <c r="CI491" i="1"/>
  <c r="AZ510" i="1"/>
  <c r="CZ546" i="1"/>
  <c r="Y546" i="1" s="1"/>
  <c r="CY546" i="1"/>
  <c r="X546" i="1" s="1"/>
  <c r="GM546" i="1" s="1"/>
  <c r="GO546" i="1" s="1"/>
  <c r="AF565" i="1"/>
  <c r="FR555" i="1"/>
  <c r="CP555" i="1"/>
  <c r="O555" i="1" s="1"/>
  <c r="GM555" i="1" s="1"/>
  <c r="CP358" i="1"/>
  <c r="O358" i="1" s="1"/>
  <c r="DU404" i="1"/>
  <c r="DI254" i="3"/>
  <c r="DJ254" i="3" s="1"/>
  <c r="DF254" i="3"/>
  <c r="DG254" i="3"/>
  <c r="DH254" i="3"/>
  <c r="CZ440" i="1"/>
  <c r="Y440" i="1" s="1"/>
  <c r="AX510" i="1"/>
  <c r="CG491" i="1"/>
  <c r="CY503" i="1"/>
  <c r="X503" i="1" s="1"/>
  <c r="CZ503" i="1"/>
  <c r="Y503" i="1" s="1"/>
  <c r="CZ284" i="1"/>
  <c r="Y284" i="1" s="1"/>
  <c r="CZ368" i="1"/>
  <c r="Y368" i="1" s="1"/>
  <c r="F527" i="1"/>
  <c r="AS491" i="1"/>
  <c r="CZ320" i="1"/>
  <c r="Y320" i="1" s="1"/>
  <c r="EK542" i="1"/>
  <c r="P582" i="1"/>
  <c r="P575" i="1"/>
  <c r="EI542" i="1"/>
  <c r="CG542" i="1"/>
  <c r="AX565" i="1"/>
  <c r="CZ551" i="1"/>
  <c r="Y551" i="1" s="1"/>
  <c r="CZ550" i="1"/>
  <c r="Y550" i="1" s="1"/>
  <c r="EA542" i="1"/>
  <c r="DN565" i="1"/>
  <c r="DH24" i="3"/>
  <c r="DI24" i="3"/>
  <c r="DF24" i="3"/>
  <c r="DG24" i="3"/>
  <c r="DJ24" i="3" s="1"/>
  <c r="DI30" i="3"/>
  <c r="DF30" i="3"/>
  <c r="DJ30" i="3" s="1"/>
  <c r="DH30" i="3"/>
  <c r="DG30" i="3"/>
  <c r="DH115" i="3"/>
  <c r="DF115" i="3"/>
  <c r="DJ115" i="3" s="1"/>
  <c r="DG115" i="3"/>
  <c r="DI115" i="3"/>
  <c r="DH96" i="3"/>
  <c r="DF96" i="3"/>
  <c r="DG96" i="3"/>
  <c r="DI96" i="3"/>
  <c r="DJ96" i="3" s="1"/>
  <c r="DH53" i="3"/>
  <c r="DF53" i="3"/>
  <c r="DJ53" i="3" s="1"/>
  <c r="DG53" i="3"/>
  <c r="DI53" i="3"/>
  <c r="DF75" i="3"/>
  <c r="DJ75" i="3" s="1"/>
  <c r="DG75" i="3"/>
  <c r="DH75" i="3"/>
  <c r="DI75" i="3"/>
  <c r="DG79" i="3"/>
  <c r="DJ79" i="3" s="1"/>
  <c r="DF79" i="3"/>
  <c r="DI79" i="3"/>
  <c r="DH79" i="3"/>
  <c r="DI130" i="3"/>
  <c r="DG130" i="3"/>
  <c r="DH130" i="3"/>
  <c r="DF130" i="3"/>
  <c r="DJ130" i="3" s="1"/>
  <c r="DH210" i="3"/>
  <c r="DI210" i="3"/>
  <c r="DF210" i="3"/>
  <c r="DJ210" i="3" s="1"/>
  <c r="DG210" i="3"/>
  <c r="DH246" i="3"/>
  <c r="DI246" i="3"/>
  <c r="DF246" i="3"/>
  <c r="DG246" i="3"/>
  <c r="DJ246" i="3" s="1"/>
  <c r="DF205" i="3"/>
  <c r="DG205" i="3"/>
  <c r="DH205" i="3"/>
  <c r="DI205" i="3"/>
  <c r="DJ205" i="3" s="1"/>
  <c r="DH225" i="3"/>
  <c r="DI225" i="3"/>
  <c r="DJ225" i="3" s="1"/>
  <c r="DF225" i="3"/>
  <c r="DG225" i="3"/>
  <c r="DF191" i="3"/>
  <c r="DJ191" i="3" s="1"/>
  <c r="DG191" i="3"/>
  <c r="DH191" i="3"/>
  <c r="DI191" i="3"/>
  <c r="DF173" i="3"/>
  <c r="DG173" i="3"/>
  <c r="DI173" i="3"/>
  <c r="DJ173" i="3" s="1"/>
  <c r="DH173" i="3"/>
  <c r="DH223" i="3"/>
  <c r="DI223" i="3"/>
  <c r="DF223" i="3"/>
  <c r="DJ223" i="3" s="1"/>
  <c r="DG223" i="3"/>
  <c r="DH240" i="3"/>
  <c r="DI240" i="3"/>
  <c r="DF240" i="3"/>
  <c r="DG240" i="3"/>
  <c r="DJ240" i="3" s="1"/>
  <c r="DG261" i="3"/>
  <c r="DH261" i="3"/>
  <c r="DI261" i="3"/>
  <c r="DF261" i="3"/>
  <c r="DJ261" i="3" s="1"/>
  <c r="DH266" i="3"/>
  <c r="DI266" i="3"/>
  <c r="DF266" i="3"/>
  <c r="DJ266" i="3" s="1"/>
  <c r="DG266" i="3"/>
  <c r="DF252" i="3"/>
  <c r="DJ252" i="3" s="1"/>
  <c r="DH252" i="3"/>
  <c r="DI252" i="3"/>
  <c r="DG252" i="3"/>
  <c r="DF352" i="3"/>
  <c r="DG352" i="3"/>
  <c r="DJ352" i="3" s="1"/>
  <c r="DH352" i="3"/>
  <c r="DI352" i="3"/>
  <c r="DF378" i="3"/>
  <c r="DG378" i="3"/>
  <c r="DJ378" i="3" s="1"/>
  <c r="DH378" i="3"/>
  <c r="DI378" i="3"/>
  <c r="DH274" i="3"/>
  <c r="DI274" i="3"/>
  <c r="DF274" i="3"/>
  <c r="DJ274" i="3" s="1"/>
  <c r="DG274" i="3"/>
  <c r="DG316" i="3"/>
  <c r="DJ316" i="3" s="1"/>
  <c r="DH316" i="3"/>
  <c r="DI316" i="3"/>
  <c r="DF316" i="3"/>
  <c r="DG392" i="3"/>
  <c r="DH392" i="3"/>
  <c r="DI392" i="3"/>
  <c r="DF392" i="3"/>
  <c r="DJ392" i="3" s="1"/>
  <c r="DH349" i="3"/>
  <c r="DI349" i="3"/>
  <c r="DF349" i="3"/>
  <c r="DJ349" i="3" s="1"/>
  <c r="DG349" i="3"/>
  <c r="DF381" i="3"/>
  <c r="DJ381" i="3" s="1"/>
  <c r="DG381" i="3"/>
  <c r="DH381" i="3"/>
  <c r="DI381" i="3"/>
  <c r="AD75" i="1"/>
  <c r="DF25" i="3"/>
  <c r="DG25" i="3"/>
  <c r="DJ25" i="3" s="1"/>
  <c r="DH25" i="3"/>
  <c r="DI25" i="3"/>
  <c r="GM45" i="1"/>
  <c r="GO45" i="1" s="1"/>
  <c r="DG413" i="3"/>
  <c r="DJ413" i="3" s="1"/>
  <c r="DH413" i="3"/>
  <c r="DI413" i="3"/>
  <c r="DF413" i="3"/>
  <c r="DG427" i="3"/>
  <c r="DH427" i="3"/>
  <c r="DI427" i="3"/>
  <c r="DJ427" i="3" s="1"/>
  <c r="DF427" i="3"/>
  <c r="DH444" i="3"/>
  <c r="DI444" i="3"/>
  <c r="DF444" i="3"/>
  <c r="DJ444" i="3" s="1"/>
  <c r="DG444" i="3"/>
  <c r="CY28" i="1"/>
  <c r="X28" i="1" s="1"/>
  <c r="CZ28" i="1"/>
  <c r="Y28" i="1" s="1"/>
  <c r="AF75" i="1"/>
  <c r="CZ29" i="1"/>
  <c r="Y29" i="1" s="1"/>
  <c r="DW75" i="1"/>
  <c r="GM39" i="1"/>
  <c r="GM47" i="1"/>
  <c r="DG70" i="3"/>
  <c r="DF70" i="3"/>
  <c r="DJ70" i="3" s="1"/>
  <c r="DH70" i="3"/>
  <c r="DI70" i="3"/>
  <c r="F100" i="1"/>
  <c r="BD26" i="1"/>
  <c r="BD595" i="1"/>
  <c r="DH341" i="3"/>
  <c r="DI341" i="3"/>
  <c r="DF341" i="3"/>
  <c r="DJ341" i="3" s="1"/>
  <c r="DG341" i="3"/>
  <c r="DF424" i="3"/>
  <c r="DJ424" i="3" s="1"/>
  <c r="DG424" i="3"/>
  <c r="DH424" i="3"/>
  <c r="DI424" i="3"/>
  <c r="GM31" i="1"/>
  <c r="GM36" i="1"/>
  <c r="GO36" i="1" s="1"/>
  <c r="DF59" i="3"/>
  <c r="DH59" i="3"/>
  <c r="DI59" i="3"/>
  <c r="DG59" i="3"/>
  <c r="DJ59" i="3" s="1"/>
  <c r="DG100" i="3"/>
  <c r="DH100" i="3"/>
  <c r="DI100" i="3"/>
  <c r="DF100" i="3"/>
  <c r="DJ100" i="3" s="1"/>
  <c r="EI26" i="1"/>
  <c r="P85" i="1"/>
  <c r="DF387" i="3"/>
  <c r="DG387" i="3"/>
  <c r="DH387" i="3"/>
  <c r="DI387" i="3"/>
  <c r="DJ387" i="3" s="1"/>
  <c r="DH432" i="3"/>
  <c r="DI432" i="3"/>
  <c r="DF432" i="3"/>
  <c r="DJ432" i="3" s="1"/>
  <c r="DG432" i="3"/>
  <c r="CZ50" i="1"/>
  <c r="Y50" i="1" s="1"/>
  <c r="GM50" i="1" s="1"/>
  <c r="CY50" i="1"/>
  <c r="X50" i="1" s="1"/>
  <c r="DI52" i="3"/>
  <c r="DH52" i="3"/>
  <c r="DF52" i="3"/>
  <c r="DJ52" i="3" s="1"/>
  <c r="DG52" i="3"/>
  <c r="DG92" i="3"/>
  <c r="DF92" i="3"/>
  <c r="DJ92" i="3" s="1"/>
  <c r="DH92" i="3"/>
  <c r="DI92" i="3"/>
  <c r="DH91" i="3"/>
  <c r="DF91" i="3"/>
  <c r="DJ91" i="3" s="1"/>
  <c r="DG91" i="3"/>
  <c r="DI91" i="3"/>
  <c r="EV26" i="1"/>
  <c r="P100" i="1"/>
  <c r="EV595" i="1"/>
  <c r="DH306" i="3"/>
  <c r="DF306" i="3"/>
  <c r="DG306" i="3"/>
  <c r="DJ306" i="3" s="1"/>
  <c r="DI306" i="3"/>
  <c r="CY46" i="1"/>
  <c r="X46" i="1" s="1"/>
  <c r="GM46" i="1" s="1"/>
  <c r="CZ46" i="1"/>
  <c r="Y46" i="1" s="1"/>
  <c r="CJ26" i="1"/>
  <c r="BA75" i="1"/>
  <c r="CZ72" i="1"/>
  <c r="Y72" i="1" s="1"/>
  <c r="GM72" i="1" s="1"/>
  <c r="GO72" i="1" s="1"/>
  <c r="AO107" i="1"/>
  <c r="F118" i="1"/>
  <c r="AO595" i="1"/>
  <c r="CY59" i="1"/>
  <c r="X59" i="1" s="1"/>
  <c r="CZ59" i="1"/>
  <c r="Y59" i="1" s="1"/>
  <c r="CY60" i="1"/>
  <c r="X60" i="1" s="1"/>
  <c r="GM60" i="1" s="1"/>
  <c r="GO60" i="1" s="1"/>
  <c r="CZ60" i="1"/>
  <c r="Y60" i="1" s="1"/>
  <c r="DI78" i="3"/>
  <c r="DJ78" i="3" s="1"/>
  <c r="DF78" i="3"/>
  <c r="DH78" i="3"/>
  <c r="DG78" i="3"/>
  <c r="P67" i="1"/>
  <c r="R69" i="1"/>
  <c r="GM71" i="1"/>
  <c r="GO71" i="1" s="1"/>
  <c r="AI26" i="1"/>
  <c r="V75" i="1"/>
  <c r="GM53" i="1"/>
  <c r="GO53" i="1" s="1"/>
  <c r="CY58" i="1"/>
  <c r="X58" i="1" s="1"/>
  <c r="GM58" i="1" s="1"/>
  <c r="GO58" i="1" s="1"/>
  <c r="CZ61" i="1"/>
  <c r="Y61" i="1" s="1"/>
  <c r="GM61" i="1" s="1"/>
  <c r="GO61" i="1" s="1"/>
  <c r="GM65" i="1"/>
  <c r="GO65" i="1" s="1"/>
  <c r="R67" i="1"/>
  <c r="W69" i="1"/>
  <c r="EG26" i="1"/>
  <c r="P79" i="1"/>
  <c r="EG595" i="1"/>
  <c r="CY110" i="1"/>
  <c r="X110" i="1" s="1"/>
  <c r="EC114" i="1" s="1"/>
  <c r="CZ110" i="1"/>
  <c r="Y110" i="1" s="1"/>
  <c r="ED114" i="1" s="1"/>
  <c r="DX114" i="1"/>
  <c r="AS107" i="1"/>
  <c r="F131" i="1"/>
  <c r="Q59" i="1"/>
  <c r="CP59" i="1" s="1"/>
  <c r="O59" i="1" s="1"/>
  <c r="GM59" i="1" s="1"/>
  <c r="GO59" i="1" s="1"/>
  <c r="U59" i="1"/>
  <c r="CZ62" i="1"/>
  <c r="Y62" i="1" s="1"/>
  <c r="GM62" i="1" s="1"/>
  <c r="GO62" i="1" s="1"/>
  <c r="S67" i="1"/>
  <c r="DX75" i="1" s="1"/>
  <c r="GX69" i="1"/>
  <c r="GB75" i="1" s="1"/>
  <c r="AL114" i="1"/>
  <c r="AG107" i="1"/>
  <c r="T114" i="1"/>
  <c r="FY107" i="1"/>
  <c r="EP114" i="1"/>
  <c r="ES107" i="1"/>
  <c r="P134" i="1"/>
  <c r="AC146" i="1"/>
  <c r="CH163" i="1"/>
  <c r="CE163" i="1"/>
  <c r="CF163" i="1"/>
  <c r="P163" i="1"/>
  <c r="AE146" i="1"/>
  <c r="R163" i="1"/>
  <c r="EU146" i="1"/>
  <c r="P179" i="1"/>
  <c r="DI200" i="3"/>
  <c r="DF200" i="3"/>
  <c r="DJ200" i="3" s="1"/>
  <c r="DG200" i="3"/>
  <c r="DH200" i="3"/>
  <c r="DH197" i="3"/>
  <c r="DI197" i="3"/>
  <c r="DF197" i="3"/>
  <c r="DG197" i="3"/>
  <c r="DJ197" i="3" s="1"/>
  <c r="CP152" i="1"/>
  <c r="O152" i="1" s="1"/>
  <c r="GM152" i="1" s="1"/>
  <c r="GO152" i="1" s="1"/>
  <c r="DF171" i="3"/>
  <c r="DJ171" i="3" s="1"/>
  <c r="DG171" i="3"/>
  <c r="DI171" i="3"/>
  <c r="DH171" i="3"/>
  <c r="DG170" i="3"/>
  <c r="DH170" i="3"/>
  <c r="DF170" i="3"/>
  <c r="DJ170" i="3" s="1"/>
  <c r="DI170" i="3"/>
  <c r="DI192" i="3"/>
  <c r="DF192" i="3"/>
  <c r="DJ192" i="3" s="1"/>
  <c r="DG192" i="3"/>
  <c r="DH192" i="3"/>
  <c r="DH193" i="3"/>
  <c r="DI193" i="3"/>
  <c r="DF193" i="3"/>
  <c r="DJ193" i="3" s="1"/>
  <c r="DG193" i="3"/>
  <c r="AJ107" i="1"/>
  <c r="W114" i="1"/>
  <c r="CY156" i="1"/>
  <c r="X156" i="1" s="1"/>
  <c r="GM156" i="1" s="1"/>
  <c r="GO156" i="1" s="1"/>
  <c r="CZ156" i="1"/>
  <c r="Y156" i="1" s="1"/>
  <c r="DF121" i="3"/>
  <c r="DJ121" i="3" s="1"/>
  <c r="DI121" i="3"/>
  <c r="DG121" i="3"/>
  <c r="DH121" i="3"/>
  <c r="CG146" i="1"/>
  <c r="AX163" i="1"/>
  <c r="FR200" i="1"/>
  <c r="CP200" i="1"/>
  <c r="O200" i="1" s="1"/>
  <c r="GM200" i="1" s="1"/>
  <c r="DU248" i="1"/>
  <c r="CY203" i="1"/>
  <c r="X203" i="1" s="1"/>
  <c r="GM203" i="1" s="1"/>
  <c r="CZ203" i="1"/>
  <c r="Y203" i="1" s="1"/>
  <c r="AL248" i="1" s="1"/>
  <c r="FR217" i="1"/>
  <c r="CP217" i="1"/>
  <c r="O217" i="1" s="1"/>
  <c r="GM217" i="1" s="1"/>
  <c r="DI159" i="3"/>
  <c r="DJ159" i="3" s="1"/>
  <c r="DF159" i="3"/>
  <c r="DG159" i="3"/>
  <c r="DH159" i="3"/>
  <c r="FR225" i="1"/>
  <c r="CP225" i="1"/>
  <c r="O225" i="1" s="1"/>
  <c r="GM225" i="1" s="1"/>
  <c r="FR227" i="1"/>
  <c r="CP227" i="1"/>
  <c r="O227" i="1" s="1"/>
  <c r="GM227" i="1" s="1"/>
  <c r="FR229" i="1"/>
  <c r="CP229" i="1"/>
  <c r="O229" i="1" s="1"/>
  <c r="GM229" i="1" s="1"/>
  <c r="FR231" i="1"/>
  <c r="CP231" i="1"/>
  <c r="O231" i="1" s="1"/>
  <c r="GM231" i="1" s="1"/>
  <c r="FR233" i="1"/>
  <c r="CP233" i="1"/>
  <c r="O233" i="1" s="1"/>
  <c r="GM233" i="1" s="1"/>
  <c r="DG184" i="3"/>
  <c r="DH184" i="3"/>
  <c r="DF184" i="3"/>
  <c r="DJ184" i="3" s="1"/>
  <c r="DI184" i="3"/>
  <c r="DI215" i="3"/>
  <c r="DJ215" i="3" s="1"/>
  <c r="DF215" i="3"/>
  <c r="DG215" i="3"/>
  <c r="DH215" i="3"/>
  <c r="DG220" i="3"/>
  <c r="DH220" i="3"/>
  <c r="DI220" i="3"/>
  <c r="DF220" i="3"/>
  <c r="DJ220" i="3" s="1"/>
  <c r="EU195" i="1"/>
  <c r="P264" i="1"/>
  <c r="U69" i="1"/>
  <c r="BZ146" i="1"/>
  <c r="AQ163" i="1"/>
  <c r="DG132" i="3"/>
  <c r="DF132" i="3"/>
  <c r="DJ132" i="3" s="1"/>
  <c r="DH132" i="3"/>
  <c r="DI132" i="3"/>
  <c r="DI126" i="3"/>
  <c r="DH126" i="3"/>
  <c r="DF126" i="3"/>
  <c r="DJ126" i="3" s="1"/>
  <c r="DG126" i="3"/>
  <c r="GM158" i="1"/>
  <c r="GO158" i="1" s="1"/>
  <c r="FY146" i="1"/>
  <c r="EP163" i="1"/>
  <c r="DG182" i="3"/>
  <c r="DH182" i="3"/>
  <c r="DF182" i="3"/>
  <c r="DJ182" i="3" s="1"/>
  <c r="DI182" i="3"/>
  <c r="DF212" i="3"/>
  <c r="DJ212" i="3" s="1"/>
  <c r="DG212" i="3"/>
  <c r="DH212" i="3"/>
  <c r="DI212" i="3"/>
  <c r="DH206" i="3"/>
  <c r="DI206" i="3"/>
  <c r="DF206" i="3"/>
  <c r="DG206" i="3"/>
  <c r="DJ206" i="3" s="1"/>
  <c r="DY146" i="1"/>
  <c r="DL163" i="1"/>
  <c r="AG195" i="1"/>
  <c r="T248" i="1"/>
  <c r="CZ221" i="1"/>
  <c r="Y221" i="1" s="1"/>
  <c r="CB195" i="1"/>
  <c r="AS248" i="1"/>
  <c r="AS595" i="1" s="1"/>
  <c r="BC195" i="1"/>
  <c r="F264" i="1"/>
  <c r="CZ239" i="1"/>
  <c r="Y239" i="1" s="1"/>
  <c r="GM239" i="1" s="1"/>
  <c r="GO239" i="1" s="1"/>
  <c r="DW323" i="1"/>
  <c r="DF237" i="3"/>
  <c r="DG237" i="3"/>
  <c r="DJ237" i="3" s="1"/>
  <c r="DH237" i="3"/>
  <c r="DI237" i="3"/>
  <c r="AH146" i="1"/>
  <c r="U163" i="1"/>
  <c r="GM243" i="1"/>
  <c r="GO243" i="1" s="1"/>
  <c r="GM284" i="1"/>
  <c r="GO284" i="1" s="1"/>
  <c r="FR302" i="1"/>
  <c r="CP302" i="1"/>
  <c r="O302" i="1" s="1"/>
  <c r="GM302" i="1" s="1"/>
  <c r="CY318" i="1"/>
  <c r="X318" i="1" s="1"/>
  <c r="CZ318" i="1"/>
  <c r="Y318" i="1" s="1"/>
  <c r="DF270" i="3"/>
  <c r="DJ270" i="3" s="1"/>
  <c r="DG270" i="3"/>
  <c r="DH270" i="3"/>
  <c r="DI270" i="3"/>
  <c r="DI332" i="3"/>
  <c r="DF332" i="3"/>
  <c r="DJ332" i="3" s="1"/>
  <c r="DG332" i="3"/>
  <c r="DH332" i="3"/>
  <c r="CZ242" i="1"/>
  <c r="Y242" i="1" s="1"/>
  <c r="ED248" i="1" s="1"/>
  <c r="CY242" i="1"/>
  <c r="X242" i="1" s="1"/>
  <c r="EC248" i="1" s="1"/>
  <c r="CY283" i="1"/>
  <c r="X283" i="1" s="1"/>
  <c r="DM146" i="1"/>
  <c r="P185" i="1"/>
  <c r="CZ285" i="1"/>
  <c r="Y285" i="1" s="1"/>
  <c r="CY285" i="1"/>
  <c r="X285" i="1" s="1"/>
  <c r="GM285" i="1" s="1"/>
  <c r="GO285" i="1" s="1"/>
  <c r="DX323" i="1"/>
  <c r="GM293" i="1"/>
  <c r="GO293" i="1" s="1"/>
  <c r="GM312" i="1"/>
  <c r="GM376" i="1"/>
  <c r="GO376" i="1" s="1"/>
  <c r="GM449" i="1"/>
  <c r="GO449" i="1" s="1"/>
  <c r="DI390" i="3"/>
  <c r="DF390" i="3"/>
  <c r="DJ390" i="3" s="1"/>
  <c r="DG390" i="3"/>
  <c r="DH390" i="3"/>
  <c r="DF245" i="3"/>
  <c r="DG245" i="3"/>
  <c r="DJ245" i="3" s="1"/>
  <c r="DH245" i="3"/>
  <c r="DI245" i="3"/>
  <c r="FV355" i="1"/>
  <c r="EM404" i="1"/>
  <c r="FR361" i="1"/>
  <c r="CP361" i="1"/>
  <c r="O361" i="1" s="1"/>
  <c r="GM361" i="1" s="1"/>
  <c r="FR369" i="1"/>
  <c r="CP369" i="1"/>
  <c r="O369" i="1" s="1"/>
  <c r="GM369" i="1" s="1"/>
  <c r="GM399" i="1"/>
  <c r="GO399" i="1" s="1"/>
  <c r="AD459" i="1"/>
  <c r="FR441" i="1"/>
  <c r="CP441" i="1"/>
  <c r="O441" i="1" s="1"/>
  <c r="DT459" i="1" s="1"/>
  <c r="CY446" i="1"/>
  <c r="X446" i="1" s="1"/>
  <c r="GM446" i="1" s="1"/>
  <c r="GO446" i="1" s="1"/>
  <c r="CZ446" i="1"/>
  <c r="Y446" i="1" s="1"/>
  <c r="DI382" i="3"/>
  <c r="DF382" i="3"/>
  <c r="DJ382" i="3" s="1"/>
  <c r="DG382" i="3"/>
  <c r="DH382" i="3"/>
  <c r="P535" i="1"/>
  <c r="EV491" i="1"/>
  <c r="DI275" i="3"/>
  <c r="DJ275" i="3" s="1"/>
  <c r="DF275" i="3"/>
  <c r="DG275" i="3"/>
  <c r="DH275" i="3"/>
  <c r="CY396" i="1"/>
  <c r="X396" i="1" s="1"/>
  <c r="CZ396" i="1"/>
  <c r="Y396" i="1" s="1"/>
  <c r="DF290" i="3"/>
  <c r="DJ290" i="3" s="1"/>
  <c r="DG290" i="3"/>
  <c r="DH290" i="3"/>
  <c r="DI290" i="3"/>
  <c r="DI342" i="3"/>
  <c r="DJ342" i="3" s="1"/>
  <c r="DF342" i="3"/>
  <c r="DG342" i="3"/>
  <c r="DH342" i="3"/>
  <c r="BC491" i="1"/>
  <c r="F526" i="1"/>
  <c r="DI416" i="3"/>
  <c r="DF416" i="3"/>
  <c r="DG416" i="3"/>
  <c r="DJ416" i="3" s="1"/>
  <c r="DH416" i="3"/>
  <c r="AH280" i="1"/>
  <c r="U323" i="1"/>
  <c r="DI234" i="3"/>
  <c r="DF234" i="3"/>
  <c r="DJ234" i="3" s="1"/>
  <c r="DG234" i="3"/>
  <c r="DH234" i="3"/>
  <c r="DZ404" i="1"/>
  <c r="DF268" i="3"/>
  <c r="DJ268" i="3" s="1"/>
  <c r="DG268" i="3"/>
  <c r="DH268" i="3"/>
  <c r="DI268" i="3"/>
  <c r="EB436" i="1"/>
  <c r="DO459" i="1"/>
  <c r="GM451" i="1"/>
  <c r="GO451" i="1" s="1"/>
  <c r="CY454" i="1"/>
  <c r="X454" i="1" s="1"/>
  <c r="GM454" i="1" s="1"/>
  <c r="GO454" i="1" s="1"/>
  <c r="CZ454" i="1"/>
  <c r="Y454" i="1" s="1"/>
  <c r="DF339" i="3"/>
  <c r="DJ339" i="3" s="1"/>
  <c r="DG339" i="3"/>
  <c r="DH339" i="3"/>
  <c r="DI339" i="3"/>
  <c r="CY456" i="1"/>
  <c r="X456" i="1" s="1"/>
  <c r="CZ456" i="1"/>
  <c r="Y456" i="1" s="1"/>
  <c r="CP457" i="1"/>
  <c r="O457" i="1" s="1"/>
  <c r="AC510" i="1"/>
  <c r="CP493" i="1"/>
  <c r="O493" i="1" s="1"/>
  <c r="CY544" i="1"/>
  <c r="X544" i="1" s="1"/>
  <c r="DI439" i="3"/>
  <c r="DF439" i="3"/>
  <c r="DG439" i="3"/>
  <c r="DJ439" i="3" s="1"/>
  <c r="DH439" i="3"/>
  <c r="DU542" i="1"/>
  <c r="FW565" i="1"/>
  <c r="DH565" i="1"/>
  <c r="CP556" i="1"/>
  <c r="O556" i="1" s="1"/>
  <c r="GM556" i="1" s="1"/>
  <c r="GO556" i="1" s="1"/>
  <c r="CJ280" i="1"/>
  <c r="BA323" i="1"/>
  <c r="CZ379" i="1"/>
  <c r="Y379" i="1" s="1"/>
  <c r="CP380" i="1"/>
  <c r="O380" i="1" s="1"/>
  <c r="GM380" i="1" s="1"/>
  <c r="FR380" i="1"/>
  <c r="CZ387" i="1"/>
  <c r="Y387" i="1" s="1"/>
  <c r="CP388" i="1"/>
  <c r="O388" i="1" s="1"/>
  <c r="GM388" i="1" s="1"/>
  <c r="FR388" i="1"/>
  <c r="DY436" i="1"/>
  <c r="DL459" i="1"/>
  <c r="F529" i="1"/>
  <c r="AU491" i="1"/>
  <c r="CY504" i="1"/>
  <c r="X504" i="1" s="1"/>
  <c r="CZ504" i="1"/>
  <c r="Y504" i="1" s="1"/>
  <c r="FR554" i="1"/>
  <c r="CP554" i="1"/>
  <c r="O554" i="1" s="1"/>
  <c r="GM554" i="1" s="1"/>
  <c r="DI431" i="3"/>
  <c r="DF431" i="3"/>
  <c r="DJ431" i="3" s="1"/>
  <c r="DG431" i="3"/>
  <c r="DH431" i="3"/>
  <c r="DF430" i="3"/>
  <c r="DJ430" i="3" s="1"/>
  <c r="DG430" i="3"/>
  <c r="DH430" i="3"/>
  <c r="DI430" i="3"/>
  <c r="BB542" i="1"/>
  <c r="F578" i="1"/>
  <c r="CZ382" i="1"/>
  <c r="Y382" i="1" s="1"/>
  <c r="CP387" i="1"/>
  <c r="O387" i="1" s="1"/>
  <c r="GM387" i="1" s="1"/>
  <c r="FR387" i="1"/>
  <c r="P481" i="1"/>
  <c r="DM436" i="1"/>
  <c r="CY319" i="1"/>
  <c r="X319" i="1" s="1"/>
  <c r="GM319" i="1" s="1"/>
  <c r="CY375" i="1"/>
  <c r="X375" i="1" s="1"/>
  <c r="GM375" i="1" s="1"/>
  <c r="GO375" i="1" s="1"/>
  <c r="GM390" i="1"/>
  <c r="GO390" i="1" s="1"/>
  <c r="CY444" i="1"/>
  <c r="X444" i="1" s="1"/>
  <c r="CZ444" i="1"/>
  <c r="Y444" i="1" s="1"/>
  <c r="AF459" i="1"/>
  <c r="AF510" i="1"/>
  <c r="EA491" i="1"/>
  <c r="DN510" i="1"/>
  <c r="ET491" i="1"/>
  <c r="P523" i="1"/>
  <c r="CY548" i="1"/>
  <c r="X548" i="1" s="1"/>
  <c r="GM548" i="1" s="1"/>
  <c r="GO548" i="1" s="1"/>
  <c r="BC542" i="1"/>
  <c r="F581" i="1"/>
  <c r="CP301" i="1"/>
  <c r="O301" i="1" s="1"/>
  <c r="GM301" i="1" s="1"/>
  <c r="FR301" i="1"/>
  <c r="DI263" i="3"/>
  <c r="DF263" i="3"/>
  <c r="DJ263" i="3" s="1"/>
  <c r="DG263" i="3"/>
  <c r="DH263" i="3"/>
  <c r="DF262" i="3"/>
  <c r="DJ262" i="3" s="1"/>
  <c r="DG262" i="3"/>
  <c r="DH262" i="3"/>
  <c r="DI262" i="3"/>
  <c r="CY374" i="1"/>
  <c r="X374" i="1" s="1"/>
  <c r="CZ388" i="1"/>
  <c r="Y388" i="1" s="1"/>
  <c r="AQ459" i="1"/>
  <c r="BZ436" i="1"/>
  <c r="CG459" i="1"/>
  <c r="W280" i="1"/>
  <c r="F347" i="1"/>
  <c r="CP383" i="1"/>
  <c r="O383" i="1" s="1"/>
  <c r="GM383" i="1" s="1"/>
  <c r="FR383" i="1"/>
  <c r="U452" i="1"/>
  <c r="AH459" i="1" s="1"/>
  <c r="F424" i="1"/>
  <c r="BA355" i="1"/>
  <c r="EK355" i="1"/>
  <c r="P421" i="1"/>
  <c r="CZ445" i="1"/>
  <c r="Y445" i="1" s="1"/>
  <c r="DV565" i="1"/>
  <c r="CY551" i="1"/>
  <c r="X551" i="1" s="1"/>
  <c r="F584" i="1"/>
  <c r="AU542" i="1"/>
  <c r="CZ450" i="1"/>
  <c r="Y450" i="1" s="1"/>
  <c r="DH28" i="3"/>
  <c r="DI28" i="3"/>
  <c r="DF28" i="3"/>
  <c r="DG28" i="3"/>
  <c r="DJ28" i="3" s="1"/>
  <c r="DG34" i="3"/>
  <c r="DJ34" i="3" s="1"/>
  <c r="DH34" i="3"/>
  <c r="DI34" i="3"/>
  <c r="DF34" i="3"/>
  <c r="DI85" i="3"/>
  <c r="DG85" i="3"/>
  <c r="DH85" i="3"/>
  <c r="DF85" i="3"/>
  <c r="DJ85" i="3" s="1"/>
  <c r="DH77" i="3"/>
  <c r="DI77" i="3"/>
  <c r="DF77" i="3"/>
  <c r="DJ77" i="3" s="1"/>
  <c r="DG77" i="3"/>
  <c r="DF88" i="3"/>
  <c r="DJ88" i="3" s="1"/>
  <c r="DH88" i="3"/>
  <c r="DI88" i="3"/>
  <c r="DG88" i="3"/>
  <c r="DI90" i="3"/>
  <c r="DG90" i="3"/>
  <c r="DJ90" i="3" s="1"/>
  <c r="DH90" i="3"/>
  <c r="DF90" i="3"/>
  <c r="DF207" i="3"/>
  <c r="DG207" i="3"/>
  <c r="DJ207" i="3" s="1"/>
  <c r="DH207" i="3"/>
  <c r="DI207" i="3"/>
  <c r="DI162" i="3"/>
  <c r="DF162" i="3"/>
  <c r="DJ162" i="3" s="1"/>
  <c r="DH162" i="3"/>
  <c r="DG162" i="3"/>
  <c r="DH45" i="3"/>
  <c r="DF45" i="3"/>
  <c r="DG45" i="3"/>
  <c r="DI45" i="3"/>
  <c r="DJ45" i="3" s="1"/>
  <c r="DH61" i="3"/>
  <c r="DF61" i="3"/>
  <c r="DJ61" i="3" s="1"/>
  <c r="DG61" i="3"/>
  <c r="DI61" i="3"/>
  <c r="DH131" i="3"/>
  <c r="DF131" i="3"/>
  <c r="DJ131" i="3" s="1"/>
  <c r="DG131" i="3"/>
  <c r="DI131" i="3"/>
  <c r="DI81" i="3"/>
  <c r="DG81" i="3"/>
  <c r="DH81" i="3"/>
  <c r="DF81" i="3"/>
  <c r="DJ81" i="3" s="1"/>
  <c r="DF111" i="3"/>
  <c r="DG111" i="3"/>
  <c r="DH111" i="3"/>
  <c r="DI111" i="3"/>
  <c r="DJ111" i="3" s="1"/>
  <c r="DF155" i="3"/>
  <c r="DJ155" i="3" s="1"/>
  <c r="DG155" i="3"/>
  <c r="DH155" i="3"/>
  <c r="DI155" i="3"/>
  <c r="DH167" i="3"/>
  <c r="DI167" i="3"/>
  <c r="DG167" i="3"/>
  <c r="DJ167" i="3" s="1"/>
  <c r="DF167" i="3"/>
  <c r="DH163" i="3"/>
  <c r="DI163" i="3"/>
  <c r="DG163" i="3"/>
  <c r="DF163" i="3"/>
  <c r="DJ163" i="3" s="1"/>
  <c r="DF93" i="3"/>
  <c r="DJ93" i="3" s="1"/>
  <c r="DI93" i="3"/>
  <c r="DH93" i="3"/>
  <c r="DG93" i="3"/>
  <c r="DG211" i="3"/>
  <c r="DH211" i="3"/>
  <c r="DI211" i="3"/>
  <c r="DF211" i="3"/>
  <c r="DJ211" i="3" s="1"/>
  <c r="DH227" i="3"/>
  <c r="DI227" i="3"/>
  <c r="DJ227" i="3" s="1"/>
  <c r="DF227" i="3"/>
  <c r="DG227" i="3"/>
  <c r="DG202" i="3"/>
  <c r="DH202" i="3"/>
  <c r="DI202" i="3"/>
  <c r="DF202" i="3"/>
  <c r="DJ202" i="3" s="1"/>
  <c r="DG232" i="3"/>
  <c r="DH232" i="3"/>
  <c r="DF232" i="3"/>
  <c r="DI232" i="3"/>
  <c r="DJ232" i="3" s="1"/>
  <c r="DG269" i="3"/>
  <c r="DH269" i="3"/>
  <c r="DI269" i="3"/>
  <c r="DJ269" i="3" s="1"/>
  <c r="DF269" i="3"/>
  <c r="DF318" i="3"/>
  <c r="DG318" i="3"/>
  <c r="DJ318" i="3" s="1"/>
  <c r="DH318" i="3"/>
  <c r="DI318" i="3"/>
  <c r="DF389" i="3"/>
  <c r="DG389" i="3"/>
  <c r="DJ389" i="3" s="1"/>
  <c r="DH389" i="3"/>
  <c r="DI389" i="3"/>
  <c r="DI291" i="3"/>
  <c r="DF291" i="3"/>
  <c r="DJ291" i="3" s="1"/>
  <c r="DG291" i="3"/>
  <c r="DH291" i="3"/>
  <c r="DG374" i="3"/>
  <c r="DH374" i="3"/>
  <c r="DI374" i="3"/>
  <c r="DF374" i="3"/>
  <c r="DJ374" i="3" s="1"/>
  <c r="DH276" i="3"/>
  <c r="DI276" i="3"/>
  <c r="DF276" i="3"/>
  <c r="DJ276" i="3" s="1"/>
  <c r="DG276" i="3"/>
  <c r="DG350" i="3"/>
  <c r="DH350" i="3"/>
  <c r="DI350" i="3"/>
  <c r="DF350" i="3"/>
  <c r="DJ350" i="3" s="1"/>
  <c r="DG368" i="3"/>
  <c r="DH368" i="3"/>
  <c r="DI368" i="3"/>
  <c r="DF368" i="3"/>
  <c r="DJ368" i="3" s="1"/>
  <c r="DH383" i="3"/>
  <c r="DI383" i="3"/>
  <c r="DF383" i="3"/>
  <c r="DJ383" i="3" s="1"/>
  <c r="DG383" i="3"/>
  <c r="CP29" i="1"/>
  <c r="O29" i="1" s="1"/>
  <c r="DU75" i="1"/>
  <c r="DF23" i="3"/>
  <c r="DG23" i="3"/>
  <c r="DH23" i="3"/>
  <c r="DI23" i="3"/>
  <c r="DJ23" i="3" s="1"/>
  <c r="DF331" i="3"/>
  <c r="DG331" i="3"/>
  <c r="DH331" i="3"/>
  <c r="DI331" i="3"/>
  <c r="DJ331" i="3" s="1"/>
  <c r="DH440" i="3"/>
  <c r="DI440" i="3"/>
  <c r="DF440" i="3"/>
  <c r="DJ440" i="3" s="1"/>
  <c r="DG440" i="3"/>
  <c r="DG445" i="3"/>
  <c r="DH445" i="3"/>
  <c r="DI445" i="3"/>
  <c r="DF445" i="3"/>
  <c r="DJ445" i="3" s="1"/>
  <c r="CY29" i="1"/>
  <c r="X29" i="1" s="1"/>
  <c r="CP33" i="1"/>
  <c r="O33" i="1" s="1"/>
  <c r="GM33" i="1" s="1"/>
  <c r="GO33" i="1" s="1"/>
  <c r="DG74" i="3"/>
  <c r="DF74" i="3"/>
  <c r="DJ74" i="3" s="1"/>
  <c r="DH74" i="3"/>
  <c r="DI74" i="3"/>
  <c r="DI72" i="3"/>
  <c r="DG72" i="3"/>
  <c r="DH72" i="3"/>
  <c r="DF72" i="3"/>
  <c r="DJ72" i="3" s="1"/>
  <c r="ET26" i="1"/>
  <c r="P88" i="1"/>
  <c r="ET595" i="1"/>
  <c r="DG372" i="3"/>
  <c r="DH372" i="3"/>
  <c r="DI372" i="3"/>
  <c r="DF372" i="3"/>
  <c r="DJ372" i="3" s="1"/>
  <c r="DF418" i="3"/>
  <c r="DJ418" i="3" s="1"/>
  <c r="DG418" i="3"/>
  <c r="DH418" i="3"/>
  <c r="DI418" i="3"/>
  <c r="DF426" i="3"/>
  <c r="DJ426" i="3" s="1"/>
  <c r="DG426" i="3"/>
  <c r="DH426" i="3"/>
  <c r="DI426" i="3"/>
  <c r="GM51" i="1"/>
  <c r="DI42" i="3"/>
  <c r="DG42" i="3"/>
  <c r="DF42" i="3"/>
  <c r="DJ42" i="3" s="1"/>
  <c r="DH42" i="3"/>
  <c r="DG66" i="3"/>
  <c r="DF66" i="3"/>
  <c r="DJ66" i="3" s="1"/>
  <c r="DH66" i="3"/>
  <c r="DI66" i="3"/>
  <c r="DI102" i="3"/>
  <c r="DH102" i="3"/>
  <c r="DF102" i="3"/>
  <c r="DJ102" i="3" s="1"/>
  <c r="DG102" i="3"/>
  <c r="EM26" i="1"/>
  <c r="P94" i="1"/>
  <c r="EM595" i="1"/>
  <c r="DF333" i="3"/>
  <c r="DG333" i="3"/>
  <c r="DH333" i="3"/>
  <c r="DI333" i="3"/>
  <c r="DJ333" i="3" s="1"/>
  <c r="DG433" i="3"/>
  <c r="DH433" i="3"/>
  <c r="DI433" i="3"/>
  <c r="DF433" i="3"/>
  <c r="DJ433" i="3" s="1"/>
  <c r="CP28" i="1"/>
  <c r="O28" i="1" s="1"/>
  <c r="DF48" i="3"/>
  <c r="DG48" i="3"/>
  <c r="DJ48" i="3" s="1"/>
  <c r="DH48" i="3"/>
  <c r="DI48" i="3"/>
  <c r="DI56" i="3"/>
  <c r="DG56" i="3"/>
  <c r="DH56" i="3"/>
  <c r="DF56" i="3"/>
  <c r="DJ56" i="3" s="1"/>
  <c r="DG89" i="3"/>
  <c r="DI89" i="3"/>
  <c r="DJ89" i="3" s="1"/>
  <c r="DF89" i="3"/>
  <c r="DH89" i="3"/>
  <c r="DG405" i="3"/>
  <c r="DJ405" i="3" s="1"/>
  <c r="DH405" i="3"/>
  <c r="DI405" i="3"/>
  <c r="DF405" i="3"/>
  <c r="CY37" i="1"/>
  <c r="X37" i="1" s="1"/>
  <c r="CY40" i="1"/>
  <c r="X40" i="1" s="1"/>
  <c r="GM40" i="1" s="1"/>
  <c r="GO40" i="1" s="1"/>
  <c r="CZ40" i="1"/>
  <c r="Y40" i="1" s="1"/>
  <c r="FQ26" i="1"/>
  <c r="EH75" i="1"/>
  <c r="GA75" i="1"/>
  <c r="AH26" i="1"/>
  <c r="U75" i="1"/>
  <c r="P133" i="1"/>
  <c r="EM107" i="1"/>
  <c r="DH86" i="3"/>
  <c r="DF86" i="3"/>
  <c r="DJ86" i="3" s="1"/>
  <c r="DG86" i="3"/>
  <c r="DI86" i="3"/>
  <c r="GM68" i="1"/>
  <c r="GO68" i="1" s="1"/>
  <c r="V69" i="1"/>
  <c r="DJ107" i="1"/>
  <c r="P128" i="1"/>
  <c r="CP111" i="1"/>
  <c r="O111" i="1" s="1"/>
  <c r="GM111" i="1" s="1"/>
  <c r="FR111" i="1"/>
  <c r="CZ56" i="1"/>
  <c r="Y56" i="1" s="1"/>
  <c r="GM56" i="1" s="1"/>
  <c r="GO56" i="1" s="1"/>
  <c r="GM66" i="1"/>
  <c r="GO66" i="1" s="1"/>
  <c r="V67" i="1"/>
  <c r="EA75" i="1" s="1"/>
  <c r="GM73" i="1"/>
  <c r="GO73" i="1" s="1"/>
  <c r="EK107" i="1"/>
  <c r="P131" i="1"/>
  <c r="GM55" i="1"/>
  <c r="GO55" i="1" s="1"/>
  <c r="DG46" i="3"/>
  <c r="DF46" i="3"/>
  <c r="DJ46" i="3" s="1"/>
  <c r="DH46" i="3"/>
  <c r="DI46" i="3"/>
  <c r="W67" i="1"/>
  <c r="EB75" i="1" s="1"/>
  <c r="CP70" i="1"/>
  <c r="O70" i="1" s="1"/>
  <c r="GM70" i="1" s="1"/>
  <c r="GO70" i="1" s="1"/>
  <c r="AU26" i="1"/>
  <c r="F94" i="1"/>
  <c r="AK114" i="1"/>
  <c r="R107" i="1"/>
  <c r="F128" i="1"/>
  <c r="AB163" i="1"/>
  <c r="CP159" i="1"/>
  <c r="O159" i="1" s="1"/>
  <c r="GM159" i="1" s="1"/>
  <c r="GO159" i="1" s="1"/>
  <c r="GM221" i="1"/>
  <c r="GO221" i="1" s="1"/>
  <c r="DF177" i="3"/>
  <c r="DG177" i="3"/>
  <c r="DJ177" i="3" s="1"/>
  <c r="DI177" i="3"/>
  <c r="DH177" i="3"/>
  <c r="DH195" i="3"/>
  <c r="DI195" i="3"/>
  <c r="DJ195" i="3" s="1"/>
  <c r="DF195" i="3"/>
  <c r="DG195" i="3"/>
  <c r="P137" i="1"/>
  <c r="DN107" i="1"/>
  <c r="CD146" i="1"/>
  <c r="AU163" i="1"/>
  <c r="AU595" i="1" s="1"/>
  <c r="CY160" i="1"/>
  <c r="X160" i="1" s="1"/>
  <c r="GM160" i="1" s="1"/>
  <c r="GO160" i="1" s="1"/>
  <c r="CZ160" i="1"/>
  <c r="Y160" i="1" s="1"/>
  <c r="DI188" i="3"/>
  <c r="DF188" i="3"/>
  <c r="DJ188" i="3" s="1"/>
  <c r="DG188" i="3"/>
  <c r="DH188" i="3"/>
  <c r="DH189" i="3"/>
  <c r="DI189" i="3"/>
  <c r="DF189" i="3"/>
  <c r="DJ189" i="3" s="1"/>
  <c r="DG189" i="3"/>
  <c r="EB107" i="1"/>
  <c r="DO114" i="1"/>
  <c r="CY148" i="1"/>
  <c r="X148" i="1" s="1"/>
  <c r="AK163" i="1" s="1"/>
  <c r="CZ148" i="1"/>
  <c r="Y148" i="1" s="1"/>
  <c r="AL163" i="1" s="1"/>
  <c r="AF163" i="1"/>
  <c r="DW163" i="1"/>
  <c r="CZ149" i="1"/>
  <c r="Y149" i="1" s="1"/>
  <c r="ED163" i="1" s="1"/>
  <c r="FR151" i="1"/>
  <c r="FQ163" i="1" s="1"/>
  <c r="CP151" i="1"/>
  <c r="O151" i="1" s="1"/>
  <c r="GM151" i="1" s="1"/>
  <c r="DU163" i="1"/>
  <c r="DG116" i="3"/>
  <c r="DF116" i="3"/>
  <c r="DJ116" i="3" s="1"/>
  <c r="DH116" i="3"/>
  <c r="DI116" i="3"/>
  <c r="DG120" i="3"/>
  <c r="DI120" i="3"/>
  <c r="DF120" i="3"/>
  <c r="DJ120" i="3" s="1"/>
  <c r="DH120" i="3"/>
  <c r="CY161" i="1"/>
  <c r="X161" i="1" s="1"/>
  <c r="GM161" i="1" s="1"/>
  <c r="GO161" i="1" s="1"/>
  <c r="CZ161" i="1"/>
  <c r="Y161" i="1" s="1"/>
  <c r="EG146" i="1"/>
  <c r="P167" i="1"/>
  <c r="FR208" i="1"/>
  <c r="CP208" i="1"/>
  <c r="O208" i="1" s="1"/>
  <c r="GM208" i="1" s="1"/>
  <c r="FR210" i="1"/>
  <c r="CP210" i="1"/>
  <c r="O210" i="1" s="1"/>
  <c r="GM210" i="1" s="1"/>
  <c r="CY213" i="1"/>
  <c r="X213" i="1" s="1"/>
  <c r="GM213" i="1" s="1"/>
  <c r="CZ213" i="1"/>
  <c r="Y213" i="1" s="1"/>
  <c r="DG164" i="3"/>
  <c r="DH164" i="3"/>
  <c r="DF164" i="3"/>
  <c r="DJ164" i="3" s="1"/>
  <c r="DI164" i="3"/>
  <c r="DF221" i="3"/>
  <c r="DJ221" i="3" s="1"/>
  <c r="DG221" i="3"/>
  <c r="DH221" i="3"/>
  <c r="DI221" i="3"/>
  <c r="AG26" i="1"/>
  <c r="T75" i="1"/>
  <c r="CY149" i="1"/>
  <c r="X149" i="1" s="1"/>
  <c r="EC163" i="1" s="1"/>
  <c r="AD248" i="1"/>
  <c r="GM204" i="1"/>
  <c r="GM242" i="1"/>
  <c r="GO242" i="1" s="1"/>
  <c r="DF208" i="3"/>
  <c r="DJ208" i="3" s="1"/>
  <c r="DG208" i="3"/>
  <c r="DH208" i="3"/>
  <c r="DI208" i="3"/>
  <c r="EK146" i="1"/>
  <c r="P180" i="1"/>
  <c r="AI195" i="1"/>
  <c r="V248" i="1"/>
  <c r="DY195" i="1"/>
  <c r="DL248" i="1"/>
  <c r="AX195" i="1"/>
  <c r="F255" i="1"/>
  <c r="ET195" i="1"/>
  <c r="P261" i="1"/>
  <c r="DG228" i="3"/>
  <c r="DH228" i="3"/>
  <c r="DF228" i="3"/>
  <c r="DJ228" i="3" s="1"/>
  <c r="DI228" i="3"/>
  <c r="DF239" i="3"/>
  <c r="DG239" i="3"/>
  <c r="DH239" i="3"/>
  <c r="DI239" i="3"/>
  <c r="DJ239" i="3" s="1"/>
  <c r="DF235" i="3"/>
  <c r="DG235" i="3"/>
  <c r="DH235" i="3"/>
  <c r="DI235" i="3"/>
  <c r="DJ235" i="3" s="1"/>
  <c r="DY280" i="1"/>
  <c r="DL323" i="1"/>
  <c r="CY290" i="1"/>
  <c r="X290" i="1" s="1"/>
  <c r="GM290" i="1" s="1"/>
  <c r="CZ290" i="1"/>
  <c r="Y290" i="1" s="1"/>
  <c r="DG230" i="3"/>
  <c r="DH230" i="3"/>
  <c r="DF230" i="3"/>
  <c r="DJ230" i="3" s="1"/>
  <c r="DI230" i="3"/>
  <c r="CP297" i="1"/>
  <c r="O297" i="1" s="1"/>
  <c r="FR297" i="1"/>
  <c r="FR316" i="1"/>
  <c r="BY323" i="1" s="1"/>
  <c r="CP316" i="1"/>
  <c r="O316" i="1" s="1"/>
  <c r="GM316" i="1" s="1"/>
  <c r="AC323" i="1"/>
  <c r="DI296" i="3"/>
  <c r="DF296" i="3"/>
  <c r="DG296" i="3"/>
  <c r="DJ296" i="3" s="1"/>
  <c r="DH296" i="3"/>
  <c r="DF302" i="3"/>
  <c r="DJ302" i="3" s="1"/>
  <c r="DG302" i="3"/>
  <c r="DH302" i="3"/>
  <c r="DI302" i="3"/>
  <c r="EK195" i="1"/>
  <c r="P265" i="1"/>
  <c r="EV195" i="1"/>
  <c r="P273" i="1"/>
  <c r="CZ283" i="1"/>
  <c r="Y283" i="1" s="1"/>
  <c r="FT280" i="1"/>
  <c r="EK323" i="1"/>
  <c r="FR299" i="1"/>
  <c r="CP299" i="1"/>
  <c r="O299" i="1" s="1"/>
  <c r="GM299" i="1" s="1"/>
  <c r="FR364" i="1"/>
  <c r="CP364" i="1"/>
  <c r="O364" i="1" s="1"/>
  <c r="GM364" i="1" s="1"/>
  <c r="FR368" i="1"/>
  <c r="CP368" i="1"/>
  <c r="O368" i="1" s="1"/>
  <c r="GM368" i="1" s="1"/>
  <c r="FR372" i="1"/>
  <c r="CP372" i="1"/>
  <c r="O372" i="1" s="1"/>
  <c r="GM372" i="1" s="1"/>
  <c r="DI273" i="3"/>
  <c r="DJ273" i="3" s="1"/>
  <c r="DF273" i="3"/>
  <c r="DG273" i="3"/>
  <c r="DH273" i="3"/>
  <c r="FR440" i="1"/>
  <c r="CP440" i="1"/>
  <c r="O440" i="1" s="1"/>
  <c r="GM440" i="1" s="1"/>
  <c r="CP442" i="1"/>
  <c r="O442" i="1" s="1"/>
  <c r="GM442" i="1" s="1"/>
  <c r="GO442" i="1" s="1"/>
  <c r="CZ443" i="1"/>
  <c r="Y443" i="1" s="1"/>
  <c r="CY443" i="1"/>
  <c r="X443" i="1" s="1"/>
  <c r="GM443" i="1" s="1"/>
  <c r="GO443" i="1" s="1"/>
  <c r="P463" i="1"/>
  <c r="EG436" i="1"/>
  <c r="DH371" i="3"/>
  <c r="DI371" i="3"/>
  <c r="DF371" i="3"/>
  <c r="DG371" i="3"/>
  <c r="DJ371" i="3" s="1"/>
  <c r="EU491" i="1"/>
  <c r="P526" i="1"/>
  <c r="CP287" i="1"/>
  <c r="O287" i="1" s="1"/>
  <c r="GM287" i="1" s="1"/>
  <c r="CY291" i="1"/>
  <c r="X291" i="1" s="1"/>
  <c r="GM291" i="1" s="1"/>
  <c r="CZ291" i="1"/>
  <c r="Y291" i="1" s="1"/>
  <c r="GM315" i="1"/>
  <c r="AO280" i="1"/>
  <c r="F327" i="1"/>
  <c r="DG247" i="3"/>
  <c r="DI247" i="3"/>
  <c r="DF247" i="3"/>
  <c r="DJ247" i="3" s="1"/>
  <c r="DH247" i="3"/>
  <c r="CY367" i="1"/>
  <c r="X367" i="1" s="1"/>
  <c r="CZ367" i="1"/>
  <c r="Y367" i="1" s="1"/>
  <c r="CY377" i="1"/>
  <c r="X377" i="1" s="1"/>
  <c r="GM377" i="1" s="1"/>
  <c r="GO377" i="1" s="1"/>
  <c r="CZ377" i="1"/>
  <c r="Y377" i="1" s="1"/>
  <c r="CP444" i="1"/>
  <c r="O444" i="1" s="1"/>
  <c r="GM444" i="1" s="1"/>
  <c r="FR444" i="1"/>
  <c r="CP445" i="1"/>
  <c r="O445" i="1" s="1"/>
  <c r="GM445" i="1" s="1"/>
  <c r="FR445" i="1"/>
  <c r="CP450" i="1"/>
  <c r="O450" i="1" s="1"/>
  <c r="GM450" i="1" s="1"/>
  <c r="GO450" i="1" s="1"/>
  <c r="AD510" i="1"/>
  <c r="DH367" i="3"/>
  <c r="DI367" i="3"/>
  <c r="DF367" i="3"/>
  <c r="DG367" i="3"/>
  <c r="DJ367" i="3" s="1"/>
  <c r="DH379" i="3"/>
  <c r="DI379" i="3"/>
  <c r="DF379" i="3"/>
  <c r="DG379" i="3"/>
  <c r="DJ379" i="3" s="1"/>
  <c r="CJ146" i="1"/>
  <c r="BA163" i="1"/>
  <c r="EA195" i="1"/>
  <c r="DN248" i="1"/>
  <c r="GB195" i="1"/>
  <c r="ES248" i="1"/>
  <c r="AU323" i="1"/>
  <c r="CD280" i="1"/>
  <c r="FR295" i="1"/>
  <c r="FQ323" i="1" s="1"/>
  <c r="CP295" i="1"/>
  <c r="O295" i="1" s="1"/>
  <c r="GM295" i="1" s="1"/>
  <c r="CP303" i="1"/>
  <c r="O303" i="1" s="1"/>
  <c r="GM303" i="1" s="1"/>
  <c r="FR303" i="1"/>
  <c r="CP308" i="1"/>
  <c r="O308" i="1" s="1"/>
  <c r="GM308" i="1" s="1"/>
  <c r="GO308" i="1" s="1"/>
  <c r="AE404" i="1"/>
  <c r="CY357" i="1"/>
  <c r="X357" i="1" s="1"/>
  <c r="S378" i="1"/>
  <c r="CP396" i="1"/>
  <c r="O396" i="1" s="1"/>
  <c r="GM396" i="1" s="1"/>
  <c r="GO396" i="1" s="1"/>
  <c r="DI287" i="3"/>
  <c r="DF287" i="3"/>
  <c r="DG287" i="3"/>
  <c r="DJ287" i="3" s="1"/>
  <c r="DH287" i="3"/>
  <c r="AH355" i="1"/>
  <c r="U404" i="1"/>
  <c r="DF347" i="3"/>
  <c r="DJ347" i="3" s="1"/>
  <c r="DG347" i="3"/>
  <c r="DH347" i="3"/>
  <c r="DI347" i="3"/>
  <c r="F463" i="1"/>
  <c r="AO436" i="1"/>
  <c r="EG491" i="1"/>
  <c r="P514" i="1"/>
  <c r="GB404" i="1"/>
  <c r="CP398" i="1"/>
  <c r="O398" i="1" s="1"/>
  <c r="GM398" i="1" s="1"/>
  <c r="GO398" i="1" s="1"/>
  <c r="F429" i="1"/>
  <c r="BD355" i="1"/>
  <c r="W452" i="1"/>
  <c r="AJ459" i="1" s="1"/>
  <c r="DI336" i="3"/>
  <c r="DF336" i="3"/>
  <c r="DJ336" i="3" s="1"/>
  <c r="DG336" i="3"/>
  <c r="DH336" i="3"/>
  <c r="DH334" i="3"/>
  <c r="DI334" i="3"/>
  <c r="DF334" i="3"/>
  <c r="DG334" i="3"/>
  <c r="DJ334" i="3" s="1"/>
  <c r="EV436" i="1"/>
  <c r="P484" i="1"/>
  <c r="CY495" i="1"/>
  <c r="X495" i="1" s="1"/>
  <c r="GM495" i="1" s="1"/>
  <c r="GO495" i="1" s="1"/>
  <c r="CZ495" i="1"/>
  <c r="Y495" i="1" s="1"/>
  <c r="AL510" i="1" s="1"/>
  <c r="CP496" i="1"/>
  <c r="O496" i="1" s="1"/>
  <c r="GM496" i="1" s="1"/>
  <c r="GO496" i="1" s="1"/>
  <c r="CZ545" i="1"/>
  <c r="Y545" i="1" s="1"/>
  <c r="ED565" i="1" s="1"/>
  <c r="DX565" i="1"/>
  <c r="CY545" i="1"/>
  <c r="X545" i="1" s="1"/>
  <c r="EC565" i="1" s="1"/>
  <c r="DG423" i="3"/>
  <c r="DH423" i="3"/>
  <c r="DI423" i="3"/>
  <c r="DJ423" i="3" s="1"/>
  <c r="DF423" i="3"/>
  <c r="P581" i="1"/>
  <c r="EU542" i="1"/>
  <c r="FR318" i="1"/>
  <c r="CP318" i="1"/>
  <c r="O318" i="1" s="1"/>
  <c r="GM318" i="1" s="1"/>
  <c r="CP550" i="1"/>
  <c r="O550" i="1" s="1"/>
  <c r="GM550" i="1" s="1"/>
  <c r="FR550" i="1"/>
  <c r="BY565" i="1" s="1"/>
  <c r="CP305" i="1"/>
  <c r="O305" i="1" s="1"/>
  <c r="GM305" i="1" s="1"/>
  <c r="FR305" i="1"/>
  <c r="GM317" i="1"/>
  <c r="AS404" i="1"/>
  <c r="CB355" i="1"/>
  <c r="CY370" i="1"/>
  <c r="X370" i="1" s="1"/>
  <c r="CP382" i="1"/>
  <c r="O382" i="1" s="1"/>
  <c r="GM382" i="1" s="1"/>
  <c r="FR382" i="1"/>
  <c r="F423" i="1"/>
  <c r="AU355" i="1"/>
  <c r="GB436" i="1"/>
  <c r="ES459" i="1"/>
  <c r="DW459" i="1"/>
  <c r="FY459" i="1"/>
  <c r="EI459" i="1"/>
  <c r="FR436" i="1"/>
  <c r="CY499" i="1"/>
  <c r="X499" i="1" s="1"/>
  <c r="GM499" i="1" s="1"/>
  <c r="CZ499" i="1"/>
  <c r="Y499" i="1" s="1"/>
  <c r="CY502" i="1"/>
  <c r="X502" i="1" s="1"/>
  <c r="CZ502" i="1"/>
  <c r="Y502" i="1" s="1"/>
  <c r="CP505" i="1"/>
  <c r="O505" i="1" s="1"/>
  <c r="GM505" i="1" s="1"/>
  <c r="GO505" i="1" s="1"/>
  <c r="DI428" i="3"/>
  <c r="DF428" i="3"/>
  <c r="DG428" i="3"/>
  <c r="DJ428" i="3" s="1"/>
  <c r="DH428" i="3"/>
  <c r="EV542" i="1"/>
  <c r="P590" i="1"/>
  <c r="DN436" i="1"/>
  <c r="P482" i="1"/>
  <c r="CP504" i="1"/>
  <c r="O504" i="1" s="1"/>
  <c r="GM504" i="1" s="1"/>
  <c r="GO504" i="1" s="1"/>
  <c r="ET542" i="1"/>
  <c r="P578" i="1"/>
  <c r="CY297" i="1"/>
  <c r="X297" i="1" s="1"/>
  <c r="CZ297" i="1"/>
  <c r="Y297" i="1" s="1"/>
  <c r="BZ355" i="1"/>
  <c r="AQ404" i="1"/>
  <c r="CG404" i="1"/>
  <c r="GM393" i="1"/>
  <c r="CZ439" i="1"/>
  <c r="Y439" i="1" s="1"/>
  <c r="CY439" i="1"/>
  <c r="X439" i="1" s="1"/>
  <c r="DX459" i="1"/>
  <c r="CY441" i="1"/>
  <c r="X441" i="1" s="1"/>
  <c r="CY455" i="1"/>
  <c r="X455" i="1" s="1"/>
  <c r="GM455" i="1" s="1"/>
  <c r="GO455" i="1" s="1"/>
  <c r="CZ455" i="1"/>
  <c r="Y455" i="1" s="1"/>
  <c r="CY457" i="1"/>
  <c r="X457" i="1" s="1"/>
  <c r="CZ457" i="1"/>
  <c r="Y457" i="1" s="1"/>
  <c r="CP497" i="1"/>
  <c r="O497" i="1" s="1"/>
  <c r="GM497" i="1" s="1"/>
  <c r="GO497" i="1" s="1"/>
  <c r="CY500" i="1"/>
  <c r="X500" i="1" s="1"/>
  <c r="GM500" i="1" s="1"/>
  <c r="CZ500" i="1"/>
  <c r="Y500" i="1" s="1"/>
  <c r="DI412" i="3"/>
  <c r="DF412" i="3"/>
  <c r="DG412" i="3"/>
  <c r="DJ412" i="3" s="1"/>
  <c r="DH412" i="3"/>
  <c r="CP549" i="1"/>
  <c r="O549" i="1" s="1"/>
  <c r="GM549" i="1" s="1"/>
  <c r="GO549" i="1" s="1"/>
  <c r="EG542" i="1"/>
  <c r="P569" i="1"/>
  <c r="CZ357" i="1"/>
  <c r="Y357" i="1" s="1"/>
  <c r="AL404" i="1" s="1"/>
  <c r="DI259" i="3"/>
  <c r="DF259" i="3"/>
  <c r="DJ259" i="3" s="1"/>
  <c r="DG259" i="3"/>
  <c r="DH259" i="3"/>
  <c r="DF258" i="3"/>
  <c r="DJ258" i="3" s="1"/>
  <c r="DG258" i="3"/>
  <c r="DH258" i="3"/>
  <c r="DI258" i="3"/>
  <c r="CP385" i="1"/>
  <c r="O385" i="1" s="1"/>
  <c r="GM385" i="1" s="1"/>
  <c r="FR385" i="1"/>
  <c r="CP501" i="1"/>
  <c r="O501" i="1" s="1"/>
  <c r="GM501" i="1" s="1"/>
  <c r="GO501" i="1" s="1"/>
  <c r="DH373" i="3"/>
  <c r="DI373" i="3"/>
  <c r="DJ373" i="3" s="1"/>
  <c r="DF373" i="3"/>
  <c r="DG373" i="3"/>
  <c r="CP381" i="1"/>
  <c r="O381" i="1" s="1"/>
  <c r="GM381" i="1" s="1"/>
  <c r="FR381" i="1"/>
  <c r="CP547" i="1"/>
  <c r="O547" i="1" s="1"/>
  <c r="GM547" i="1" s="1"/>
  <c r="GO547" i="1" s="1"/>
  <c r="T452" i="1"/>
  <c r="AG459" i="1" s="1"/>
  <c r="AJ542" i="1"/>
  <c r="W565" i="1"/>
  <c r="EM542" i="1"/>
  <c r="P584" i="1"/>
  <c r="AG542" i="1"/>
  <c r="T565" i="1"/>
  <c r="AI542" i="1"/>
  <c r="V565" i="1"/>
  <c r="EB542" i="1"/>
  <c r="DO565" i="1"/>
  <c r="AH542" i="1"/>
  <c r="U565" i="1"/>
  <c r="AS542" i="1"/>
  <c r="F582" i="1"/>
  <c r="FQ280" i="1" l="1"/>
  <c r="GA323" i="1"/>
  <c r="EH323" i="1"/>
  <c r="EB26" i="1"/>
  <c r="DO75" i="1"/>
  <c r="EA26" i="1"/>
  <c r="DN75" i="1"/>
  <c r="DT436" i="1"/>
  <c r="DG459" i="1"/>
  <c r="EC195" i="1"/>
  <c r="DP248" i="1"/>
  <c r="DL404" i="1"/>
  <c r="DY355" i="1"/>
  <c r="AE436" i="1"/>
  <c r="R459" i="1"/>
  <c r="DY26" i="1"/>
  <c r="DL75" i="1"/>
  <c r="AU22" i="1"/>
  <c r="F614" i="1"/>
  <c r="AU625" i="1"/>
  <c r="AL491" i="1"/>
  <c r="Y510" i="1"/>
  <c r="T459" i="1"/>
  <c r="AG436" i="1"/>
  <c r="BY280" i="1"/>
  <c r="CI323" i="1"/>
  <c r="AP323" i="1"/>
  <c r="ED195" i="1"/>
  <c r="DQ248" i="1"/>
  <c r="AL195" i="1"/>
  <c r="Y248" i="1"/>
  <c r="GB26" i="1"/>
  <c r="ES75" i="1"/>
  <c r="AS22" i="1"/>
  <c r="F612" i="1"/>
  <c r="T16" i="2" s="1"/>
  <c r="AS625" i="1"/>
  <c r="DK75" i="1"/>
  <c r="DX26" i="1"/>
  <c r="P459" i="1"/>
  <c r="CE459" i="1"/>
  <c r="AC436" i="1"/>
  <c r="DW355" i="1"/>
  <c r="DJ404" i="1"/>
  <c r="DV355" i="1"/>
  <c r="DI404" i="1"/>
  <c r="AL355" i="1"/>
  <c r="Y404" i="1"/>
  <c r="FY436" i="1"/>
  <c r="EP459" i="1"/>
  <c r="U542" i="1"/>
  <c r="F587" i="1"/>
  <c r="V542" i="1"/>
  <c r="F588" i="1"/>
  <c r="EC459" i="1"/>
  <c r="F414" i="1"/>
  <c r="AQ355" i="1"/>
  <c r="ES436" i="1"/>
  <c r="P479" i="1"/>
  <c r="F421" i="1"/>
  <c r="AS355" i="1"/>
  <c r="BY542" i="1"/>
  <c r="CI565" i="1"/>
  <c r="AP565" i="1"/>
  <c r="ED542" i="1"/>
  <c r="DQ565" i="1"/>
  <c r="R404" i="1"/>
  <c r="AE355" i="1"/>
  <c r="ES195" i="1"/>
  <c r="P268" i="1"/>
  <c r="BA146" i="1"/>
  <c r="F183" i="1"/>
  <c r="EK280" i="1"/>
  <c r="P340" i="1"/>
  <c r="DL195" i="1"/>
  <c r="P269" i="1"/>
  <c r="AD195" i="1"/>
  <c r="Q248" i="1"/>
  <c r="FQ146" i="1"/>
  <c r="GA163" i="1"/>
  <c r="EH163" i="1"/>
  <c r="AL146" i="1"/>
  <c r="Y163" i="1"/>
  <c r="AB146" i="1"/>
  <c r="O163" i="1"/>
  <c r="AK107" i="1"/>
  <c r="X114" i="1"/>
  <c r="EH26" i="1"/>
  <c r="P84" i="1"/>
  <c r="DU26" i="1"/>
  <c r="FZ75" i="1"/>
  <c r="DH75" i="1"/>
  <c r="FW75" i="1"/>
  <c r="FX75" i="1"/>
  <c r="U459" i="1"/>
  <c r="AH436" i="1"/>
  <c r="AF436" i="1"/>
  <c r="S459" i="1"/>
  <c r="EN565" i="1"/>
  <c r="FW542" i="1"/>
  <c r="GM493" i="1"/>
  <c r="DO436" i="1"/>
  <c r="P483" i="1"/>
  <c r="FQ459" i="1"/>
  <c r="U146" i="1"/>
  <c r="F185" i="1"/>
  <c r="DL146" i="1"/>
  <c r="P184" i="1"/>
  <c r="DU195" i="1"/>
  <c r="FW248" i="1"/>
  <c r="DH248" i="1"/>
  <c r="R146" i="1"/>
  <c r="F177" i="1"/>
  <c r="CE146" i="1"/>
  <c r="AV163" i="1"/>
  <c r="EG22" i="1"/>
  <c r="P599" i="1"/>
  <c r="EG625" i="1"/>
  <c r="BD22" i="1"/>
  <c r="BD625" i="1"/>
  <c r="F620" i="1"/>
  <c r="AL75" i="1"/>
  <c r="DN542" i="1"/>
  <c r="P588" i="1"/>
  <c r="AX542" i="1"/>
  <c r="F572" i="1"/>
  <c r="DU355" i="1"/>
  <c r="DH404" i="1"/>
  <c r="FW404" i="1"/>
  <c r="AF542" i="1"/>
  <c r="S565" i="1"/>
  <c r="F530" i="1"/>
  <c r="BA491" i="1"/>
  <c r="DI459" i="1"/>
  <c r="DV436" i="1"/>
  <c r="EM280" i="1"/>
  <c r="P342" i="1"/>
  <c r="P521" i="1"/>
  <c r="ER491" i="1"/>
  <c r="FY355" i="1"/>
  <c r="EP404" i="1"/>
  <c r="S195" i="1"/>
  <c r="F263" i="1"/>
  <c r="AC195" i="1"/>
  <c r="CE248" i="1"/>
  <c r="P248" i="1"/>
  <c r="BY114" i="1"/>
  <c r="AQ107" i="1"/>
  <c r="F124" i="1"/>
  <c r="GM30" i="1"/>
  <c r="AK510" i="1"/>
  <c r="CP503" i="1"/>
  <c r="O503" i="1" s="1"/>
  <c r="GM503" i="1" s="1"/>
  <c r="GO503" i="1" s="1"/>
  <c r="EM491" i="1"/>
  <c r="P529" i="1"/>
  <c r="GM370" i="1"/>
  <c r="GM362" i="1"/>
  <c r="DO195" i="1"/>
  <c r="P272" i="1"/>
  <c r="T280" i="1"/>
  <c r="F344" i="1"/>
  <c r="W146" i="1"/>
  <c r="F187" i="1"/>
  <c r="DM280" i="1"/>
  <c r="P345" i="1"/>
  <c r="AL323" i="1"/>
  <c r="EM195" i="1"/>
  <c r="P267" i="1"/>
  <c r="DT248" i="1"/>
  <c r="DT163" i="1"/>
  <c r="AD146" i="1"/>
  <c r="Q163" i="1"/>
  <c r="W26" i="1"/>
  <c r="F99" i="1"/>
  <c r="EP26" i="1"/>
  <c r="P82" i="1"/>
  <c r="GM35" i="1"/>
  <c r="GO35" i="1" s="1"/>
  <c r="DO491" i="1"/>
  <c r="P534" i="1"/>
  <c r="DK195" i="1"/>
  <c r="P263" i="1"/>
  <c r="F532" i="1"/>
  <c r="U491" i="1"/>
  <c r="BA542" i="1"/>
  <c r="F585" i="1"/>
  <c r="FZ491" i="1"/>
  <c r="EQ510" i="1"/>
  <c r="F428" i="1"/>
  <c r="W355" i="1"/>
  <c r="Q542" i="1"/>
  <c r="F577" i="1"/>
  <c r="ES491" i="1"/>
  <c r="P530" i="1"/>
  <c r="DI280" i="1"/>
  <c r="P335" i="1"/>
  <c r="F425" i="1"/>
  <c r="T355" i="1"/>
  <c r="DO542" i="1"/>
  <c r="P589" i="1"/>
  <c r="T542" i="1"/>
  <c r="F586" i="1"/>
  <c r="W542" i="1"/>
  <c r="F589" i="1"/>
  <c r="ED459" i="1"/>
  <c r="EI436" i="1"/>
  <c r="P469" i="1"/>
  <c r="EC146" i="1"/>
  <c r="DP163" i="1"/>
  <c r="ED146" i="1"/>
  <c r="DQ163" i="1"/>
  <c r="AK146" i="1"/>
  <c r="X163" i="1"/>
  <c r="GM148" i="1"/>
  <c r="U26" i="1"/>
  <c r="F97" i="1"/>
  <c r="U595" i="1"/>
  <c r="GM28" i="1"/>
  <c r="AB75" i="1"/>
  <c r="GM29" i="1"/>
  <c r="CG436" i="1"/>
  <c r="AX459" i="1"/>
  <c r="DN491" i="1"/>
  <c r="P533" i="1"/>
  <c r="CF510" i="1"/>
  <c r="CH510" i="1"/>
  <c r="P510" i="1"/>
  <c r="CE510" i="1"/>
  <c r="AC491" i="1"/>
  <c r="AD436" i="1"/>
  <c r="Q459" i="1"/>
  <c r="DX280" i="1"/>
  <c r="DK323" i="1"/>
  <c r="AQ146" i="1"/>
  <c r="F173" i="1"/>
  <c r="CH146" i="1"/>
  <c r="AY163" i="1"/>
  <c r="P121" i="1"/>
  <c r="EP107" i="1"/>
  <c r="AL107" i="1"/>
  <c r="Y114" i="1"/>
  <c r="DZ75" i="1"/>
  <c r="DX107" i="1"/>
  <c r="DK114" i="1"/>
  <c r="V26" i="1"/>
  <c r="F98" i="1"/>
  <c r="CP67" i="1"/>
  <c r="O67" i="1" s="1"/>
  <c r="BA26" i="1"/>
  <c r="F95" i="1"/>
  <c r="BA595" i="1"/>
  <c r="EV22" i="1"/>
  <c r="EV625" i="1"/>
  <c r="P620" i="1"/>
  <c r="DW26" i="1"/>
  <c r="DJ75" i="1"/>
  <c r="AK75" i="1"/>
  <c r="GM358" i="1"/>
  <c r="GM456" i="1"/>
  <c r="GO456" i="1" s="1"/>
  <c r="AS436" i="1"/>
  <c r="F476" i="1"/>
  <c r="GM367" i="1"/>
  <c r="EI355" i="1"/>
  <c r="P414" i="1"/>
  <c r="U195" i="1"/>
  <c r="F270" i="1"/>
  <c r="CP452" i="1"/>
  <c r="O452" i="1" s="1"/>
  <c r="EA355" i="1"/>
  <c r="DN404" i="1"/>
  <c r="ES280" i="1"/>
  <c r="P343" i="1"/>
  <c r="GM438" i="1"/>
  <c r="AB459" i="1"/>
  <c r="AC355" i="1"/>
  <c r="CE404" i="1"/>
  <c r="P404" i="1"/>
  <c r="AB323" i="1"/>
  <c r="BY146" i="1"/>
  <c r="AP163" i="1"/>
  <c r="CI163" i="1"/>
  <c r="CH114" i="1"/>
  <c r="AC107" i="1"/>
  <c r="P114" i="1"/>
  <c r="CE114" i="1"/>
  <c r="CF114" i="1"/>
  <c r="DK510" i="1"/>
  <c r="DX491" i="1"/>
  <c r="EM436" i="1"/>
  <c r="P478" i="1"/>
  <c r="AE491" i="1"/>
  <c r="R510" i="1"/>
  <c r="FY491" i="1"/>
  <c r="EP510" i="1"/>
  <c r="AS280" i="1"/>
  <c r="F340" i="1"/>
  <c r="FQ404" i="1"/>
  <c r="DN146" i="1"/>
  <c r="P186" i="1"/>
  <c r="AK323" i="1"/>
  <c r="GO198" i="1"/>
  <c r="FU248" i="1" s="1"/>
  <c r="FS248" i="1"/>
  <c r="AE195" i="1"/>
  <c r="R248" i="1"/>
  <c r="BY248" i="1"/>
  <c r="AQ595" i="1"/>
  <c r="GM149" i="1"/>
  <c r="GM110" i="1"/>
  <c r="FS114" i="1" s="1"/>
  <c r="DT114" i="1"/>
  <c r="GM439" i="1"/>
  <c r="DJ491" i="1"/>
  <c r="P524" i="1"/>
  <c r="FW436" i="1"/>
  <c r="EN459" i="1"/>
  <c r="FX491" i="1"/>
  <c r="EO510" i="1"/>
  <c r="V355" i="1"/>
  <c r="F427" i="1"/>
  <c r="DJ542" i="1"/>
  <c r="P579" i="1"/>
  <c r="DV75" i="1"/>
  <c r="GB355" i="1"/>
  <c r="ES404" i="1"/>
  <c r="CY378" i="1"/>
  <c r="X378" i="1" s="1"/>
  <c r="EC404" i="1" s="1"/>
  <c r="CZ378" i="1"/>
  <c r="Y378" i="1" s="1"/>
  <c r="DN195" i="1"/>
  <c r="P271" i="1"/>
  <c r="ED323" i="1"/>
  <c r="DL280" i="1"/>
  <c r="P344" i="1"/>
  <c r="V195" i="1"/>
  <c r="F271" i="1"/>
  <c r="F96" i="1"/>
  <c r="T26" i="1"/>
  <c r="T595" i="1"/>
  <c r="DU146" i="1"/>
  <c r="FZ163" i="1"/>
  <c r="DH163" i="1"/>
  <c r="FW163" i="1"/>
  <c r="FX163" i="1"/>
  <c r="DW146" i="1"/>
  <c r="DJ163" i="1"/>
  <c r="DO107" i="1"/>
  <c r="P138" i="1"/>
  <c r="AU146" i="1"/>
  <c r="F182" i="1"/>
  <c r="EM22" i="1"/>
  <c r="P614" i="1"/>
  <c r="EM625" i="1"/>
  <c r="ET22" i="1"/>
  <c r="ET625" i="1"/>
  <c r="P608" i="1"/>
  <c r="DV542" i="1"/>
  <c r="DI565" i="1"/>
  <c r="GM457" i="1"/>
  <c r="GO457" i="1" s="1"/>
  <c r="DZ355" i="1"/>
  <c r="DM404" i="1"/>
  <c r="BY404" i="1"/>
  <c r="CF404" i="1" s="1"/>
  <c r="DW280" i="1"/>
  <c r="DJ323" i="1"/>
  <c r="AS195" i="1"/>
  <c r="F265" i="1"/>
  <c r="T195" i="1"/>
  <c r="F269" i="1"/>
  <c r="EP146" i="1"/>
  <c r="P170" i="1"/>
  <c r="FQ248" i="1"/>
  <c r="FX248" i="1" s="1"/>
  <c r="P146" i="1"/>
  <c r="F166" i="1"/>
  <c r="DQ114" i="1"/>
  <c r="ED107" i="1"/>
  <c r="AO22" i="1"/>
  <c r="AO625" i="1"/>
  <c r="F599" i="1"/>
  <c r="EI595" i="1"/>
  <c r="AX491" i="1"/>
  <c r="F517" i="1"/>
  <c r="P531" i="1"/>
  <c r="DL491" i="1"/>
  <c r="EK436" i="1"/>
  <c r="P476" i="1"/>
  <c r="AU436" i="1"/>
  <c r="F478" i="1"/>
  <c r="V280" i="1"/>
  <c r="F346" i="1"/>
  <c r="AL565" i="1"/>
  <c r="GM494" i="1"/>
  <c r="DT510" i="1"/>
  <c r="DU280" i="1"/>
  <c r="FX323" i="1"/>
  <c r="FW323" i="1"/>
  <c r="FZ323" i="1"/>
  <c r="DH323" i="1"/>
  <c r="CZ452" i="1"/>
  <c r="Y452" i="1" s="1"/>
  <c r="AL459" i="1" s="1"/>
  <c r="CY452" i="1"/>
  <c r="X452" i="1" s="1"/>
  <c r="DO404" i="1"/>
  <c r="EB355" i="1"/>
  <c r="CG280" i="1"/>
  <c r="AX323" i="1"/>
  <c r="AX595" i="1" s="1"/>
  <c r="GM357" i="1"/>
  <c r="AB404" i="1"/>
  <c r="GO282" i="1"/>
  <c r="CC323" i="1" s="1"/>
  <c r="CA323" i="1"/>
  <c r="BA195" i="1"/>
  <c r="F268" i="1"/>
  <c r="T146" i="1"/>
  <c r="F184" i="1"/>
  <c r="AP26" i="1"/>
  <c r="F84" i="1"/>
  <c r="AC26" i="1"/>
  <c r="P75" i="1"/>
  <c r="CE75" i="1"/>
  <c r="CF75" i="1"/>
  <c r="CH75" i="1"/>
  <c r="DM542" i="1"/>
  <c r="P587" i="1"/>
  <c r="FQ565" i="1"/>
  <c r="ED510" i="1"/>
  <c r="AI491" i="1"/>
  <c r="V510" i="1"/>
  <c r="EI491" i="1"/>
  <c r="P520" i="1"/>
  <c r="AI436" i="1"/>
  <c r="V459" i="1"/>
  <c r="V595" i="1" s="1"/>
  <c r="AC542" i="1"/>
  <c r="CF565" i="1"/>
  <c r="CE565" i="1"/>
  <c r="P565" i="1"/>
  <c r="CH565" i="1"/>
  <c r="AK459" i="1"/>
  <c r="GM374" i="1"/>
  <c r="DX404" i="1"/>
  <c r="EP195" i="1"/>
  <c r="P255" i="1"/>
  <c r="W195" i="1"/>
  <c r="F272" i="1"/>
  <c r="DV195" i="1"/>
  <c r="DI248" i="1"/>
  <c r="DW195" i="1"/>
  <c r="DJ248" i="1"/>
  <c r="DV146" i="1"/>
  <c r="DI163" i="1"/>
  <c r="F137" i="1"/>
  <c r="V107" i="1"/>
  <c r="BC22" i="1"/>
  <c r="F611" i="1"/>
  <c r="BC625" i="1"/>
  <c r="DU107" i="1"/>
  <c r="FW114" i="1"/>
  <c r="DH114" i="1"/>
  <c r="EU22" i="1"/>
  <c r="P611" i="1"/>
  <c r="EU625" i="1"/>
  <c r="DH436" i="1"/>
  <c r="P462" i="1"/>
  <c r="ES542" i="1"/>
  <c r="P585" i="1"/>
  <c r="W491" i="1"/>
  <c r="F534" i="1"/>
  <c r="FW491" i="1"/>
  <c r="EN510" i="1"/>
  <c r="P532" i="1"/>
  <c r="DM491" i="1"/>
  <c r="DT565" i="1"/>
  <c r="F121" i="1"/>
  <c r="AX107" i="1"/>
  <c r="DO146" i="1"/>
  <c r="P187" i="1"/>
  <c r="R26" i="1"/>
  <c r="F89" i="1"/>
  <c r="EC542" i="1"/>
  <c r="DP565" i="1"/>
  <c r="AJ436" i="1"/>
  <c r="W459" i="1"/>
  <c r="DX436" i="1"/>
  <c r="DK459" i="1"/>
  <c r="CG355" i="1"/>
  <c r="AX404" i="1"/>
  <c r="DJ459" i="1"/>
  <c r="DW436" i="1"/>
  <c r="DX542" i="1"/>
  <c r="DK565" i="1"/>
  <c r="U355" i="1"/>
  <c r="F426" i="1"/>
  <c r="AK404" i="1"/>
  <c r="AU280" i="1"/>
  <c r="F342" i="1"/>
  <c r="AD491" i="1"/>
  <c r="Q510" i="1"/>
  <c r="BY459" i="1"/>
  <c r="CH459" i="1" s="1"/>
  <c r="AC280" i="1"/>
  <c r="CH323" i="1"/>
  <c r="P323" i="1"/>
  <c r="CE323" i="1"/>
  <c r="CF323" i="1"/>
  <c r="GM297" i="1"/>
  <c r="AF146" i="1"/>
  <c r="S163" i="1"/>
  <c r="GA26" i="1"/>
  <c r="ER75" i="1"/>
  <c r="F469" i="1"/>
  <c r="AQ436" i="1"/>
  <c r="AF491" i="1"/>
  <c r="S510" i="1"/>
  <c r="DL436" i="1"/>
  <c r="P480" i="1"/>
  <c r="BA280" i="1"/>
  <c r="F343" i="1"/>
  <c r="DH542" i="1"/>
  <c r="P568" i="1"/>
  <c r="AK565" i="1"/>
  <c r="U280" i="1"/>
  <c r="F345" i="1"/>
  <c r="GM441" i="1"/>
  <c r="EM355" i="1"/>
  <c r="P423" i="1"/>
  <c r="EC323" i="1"/>
  <c r="AX146" i="1"/>
  <c r="F170" i="1"/>
  <c r="W107" i="1"/>
  <c r="F138" i="1"/>
  <c r="CF146" i="1"/>
  <c r="AW163" i="1"/>
  <c r="T107" i="1"/>
  <c r="F135" i="1"/>
  <c r="CY67" i="1"/>
  <c r="X67" i="1" s="1"/>
  <c r="EC75" i="1" s="1"/>
  <c r="CZ67" i="1"/>
  <c r="Y67" i="1" s="1"/>
  <c r="EC107" i="1"/>
  <c r="DP114" i="1"/>
  <c r="AF26" i="1"/>
  <c r="S75" i="1"/>
  <c r="AD26" i="1"/>
  <c r="Q75" i="1"/>
  <c r="F521" i="1"/>
  <c r="AZ491" i="1"/>
  <c r="S404" i="1"/>
  <c r="AF355" i="1"/>
  <c r="AE542" i="1"/>
  <c r="R565" i="1"/>
  <c r="P522" i="1"/>
  <c r="DI491" i="1"/>
  <c r="GM283" i="1"/>
  <c r="DT323" i="1"/>
  <c r="CP378" i="1"/>
  <c r="O378" i="1" s="1"/>
  <c r="GM378" i="1" s="1"/>
  <c r="GO378" i="1" s="1"/>
  <c r="AD355" i="1"/>
  <c r="Q404" i="1"/>
  <c r="GM320" i="1"/>
  <c r="AQ280" i="1"/>
  <c r="F333" i="1"/>
  <c r="DN280" i="1"/>
  <c r="P346" i="1"/>
  <c r="V146" i="1"/>
  <c r="F186" i="1"/>
  <c r="GM197" i="1"/>
  <c r="AB248" i="1"/>
  <c r="DX146" i="1"/>
  <c r="DK163" i="1"/>
  <c r="GM109" i="1"/>
  <c r="CA114" i="1" s="1"/>
  <c r="AB114" i="1"/>
  <c r="CY69" i="1"/>
  <c r="X69" i="1" s="1"/>
  <c r="GM69" i="1" s="1"/>
  <c r="GO69" i="1" s="1"/>
  <c r="CZ69" i="1"/>
  <c r="Y69" i="1" s="1"/>
  <c r="ED75" i="1" s="1"/>
  <c r="AF107" i="1"/>
  <c r="S114" i="1"/>
  <c r="CI26" i="1"/>
  <c r="AZ75" i="1"/>
  <c r="AX26" i="1"/>
  <c r="F82" i="1"/>
  <c r="DL542" i="1"/>
  <c r="P586" i="1"/>
  <c r="EP542" i="1"/>
  <c r="P572" i="1"/>
  <c r="GM379" i="1"/>
  <c r="GM551" i="1"/>
  <c r="EC510" i="1"/>
  <c r="GM384" i="1"/>
  <c r="AD280" i="1"/>
  <c r="Q323" i="1"/>
  <c r="GM544" i="1"/>
  <c r="AB565" i="1"/>
  <c r="DM195" i="1"/>
  <c r="P270" i="1"/>
  <c r="GM502" i="1"/>
  <c r="GO502" i="1" s="1"/>
  <c r="ED404" i="1"/>
  <c r="AF280" i="1"/>
  <c r="S323" i="1"/>
  <c r="AE280" i="1"/>
  <c r="R323" i="1"/>
  <c r="AK248" i="1"/>
  <c r="EK595" i="1"/>
  <c r="FQ114" i="1"/>
  <c r="BB22" i="1"/>
  <c r="F608" i="1"/>
  <c r="BB625" i="1"/>
  <c r="GM37" i="1"/>
  <c r="GO37" i="1" s="1"/>
  <c r="F531" i="1"/>
  <c r="T491" i="1"/>
  <c r="F479" i="1"/>
  <c r="BA436" i="1"/>
  <c r="ES146" i="1"/>
  <c r="P183" i="1"/>
  <c r="P513" i="1"/>
  <c r="DH491" i="1"/>
  <c r="DO280" i="1"/>
  <c r="P347" i="1"/>
  <c r="GM545" i="1"/>
  <c r="FX195" i="1" l="1"/>
  <c r="EO248" i="1"/>
  <c r="EC26" i="1"/>
  <c r="DP75" i="1"/>
  <c r="AY459" i="1"/>
  <c r="CH436" i="1"/>
  <c r="ED26" i="1"/>
  <c r="DQ75" i="1"/>
  <c r="V22" i="1"/>
  <c r="F618" i="1"/>
  <c r="V625" i="1"/>
  <c r="EC355" i="1"/>
  <c r="DP404" i="1"/>
  <c r="AX22" i="1"/>
  <c r="F602" i="1"/>
  <c r="AX625" i="1"/>
  <c r="AL436" i="1"/>
  <c r="Y459" i="1"/>
  <c r="AW404" i="1"/>
  <c r="CF355" i="1"/>
  <c r="GO545" i="1"/>
  <c r="FU565" i="1" s="1"/>
  <c r="FS565" i="1"/>
  <c r="EK22" i="1"/>
  <c r="EK625" i="1"/>
  <c r="P612" i="1"/>
  <c r="E16" i="2" s="1"/>
  <c r="Q280" i="1"/>
  <c r="F335" i="1"/>
  <c r="GO197" i="1"/>
  <c r="CC248" i="1" s="1"/>
  <c r="CA248" i="1"/>
  <c r="DJ436" i="1"/>
  <c r="P473" i="1"/>
  <c r="FW107" i="1"/>
  <c r="EN114" i="1"/>
  <c r="DI195" i="1"/>
  <c r="P260" i="1"/>
  <c r="CF542" i="1"/>
  <c r="AW565" i="1"/>
  <c r="DK146" i="1"/>
  <c r="P178" i="1"/>
  <c r="Q26" i="1"/>
  <c r="F87" i="1"/>
  <c r="Q595" i="1"/>
  <c r="R280" i="1"/>
  <c r="F337" i="1"/>
  <c r="AB542" i="1"/>
  <c r="O565" i="1"/>
  <c r="FQ107" i="1"/>
  <c r="EH114" i="1"/>
  <c r="GA114" i="1"/>
  <c r="GO544" i="1"/>
  <c r="CC565" i="1" s="1"/>
  <c r="CA565" i="1"/>
  <c r="DP510" i="1"/>
  <c r="EC491" i="1"/>
  <c r="S107" i="1"/>
  <c r="F129" i="1"/>
  <c r="AB107" i="1"/>
  <c r="O114" i="1"/>
  <c r="AB195" i="1"/>
  <c r="O248" i="1"/>
  <c r="DT280" i="1"/>
  <c r="DG323" i="1"/>
  <c r="R542" i="1"/>
  <c r="F579" i="1"/>
  <c r="S26" i="1"/>
  <c r="F90" i="1"/>
  <c r="S595" i="1"/>
  <c r="AW146" i="1"/>
  <c r="F169" i="1"/>
  <c r="AK542" i="1"/>
  <c r="X565" i="1"/>
  <c r="ER26" i="1"/>
  <c r="P86" i="1"/>
  <c r="AY323" i="1"/>
  <c r="CH280" i="1"/>
  <c r="DK436" i="1"/>
  <c r="P474" i="1"/>
  <c r="DP542" i="1"/>
  <c r="P591" i="1"/>
  <c r="P515" i="1"/>
  <c r="EN491" i="1"/>
  <c r="EU18" i="1"/>
  <c r="P641" i="1"/>
  <c r="FX114" i="1"/>
  <c r="BC18" i="1"/>
  <c r="F641" i="1"/>
  <c r="CE542" i="1"/>
  <c r="AV565" i="1"/>
  <c r="P26" i="1"/>
  <c r="F78" i="1"/>
  <c r="P595" i="1"/>
  <c r="GO357" i="1"/>
  <c r="CC404" i="1" s="1"/>
  <c r="CA404" i="1"/>
  <c r="DO355" i="1"/>
  <c r="P428" i="1"/>
  <c r="FZ280" i="1"/>
  <c r="EQ323" i="1"/>
  <c r="DG510" i="1"/>
  <c r="DT491" i="1"/>
  <c r="AO18" i="1"/>
  <c r="F629" i="1"/>
  <c r="P426" i="1"/>
  <c r="DM355" i="1"/>
  <c r="EM18" i="1"/>
  <c r="P644" i="1"/>
  <c r="FZ146" i="1"/>
  <c r="EQ163" i="1"/>
  <c r="DV26" i="1"/>
  <c r="DI75" i="1"/>
  <c r="DT107" i="1"/>
  <c r="DG114" i="1"/>
  <c r="BY195" i="1"/>
  <c r="AP248" i="1"/>
  <c r="CI248" i="1"/>
  <c r="FU195" i="1"/>
  <c r="EL248" i="1"/>
  <c r="GA404" i="1"/>
  <c r="FQ355" i="1"/>
  <c r="EH404" i="1"/>
  <c r="CE107" i="1"/>
  <c r="AV114" i="1"/>
  <c r="CI146" i="1"/>
  <c r="AZ163" i="1"/>
  <c r="CH404" i="1"/>
  <c r="DT404" i="1"/>
  <c r="BA22" i="1"/>
  <c r="BA625" i="1"/>
  <c r="F615" i="1"/>
  <c r="F471" i="1"/>
  <c r="Q436" i="1"/>
  <c r="F513" i="1"/>
  <c r="P491" i="1"/>
  <c r="GO29" i="1"/>
  <c r="EQ491" i="1"/>
  <c r="P518" i="1"/>
  <c r="DT195" i="1"/>
  <c r="DG248" i="1"/>
  <c r="P195" i="1"/>
  <c r="F251" i="1"/>
  <c r="FW355" i="1"/>
  <c r="EN404" i="1"/>
  <c r="AL26" i="1"/>
  <c r="Y75" i="1"/>
  <c r="EG18" i="1"/>
  <c r="P629" i="1"/>
  <c r="FW195" i="1"/>
  <c r="EN248" i="1"/>
  <c r="EH459" i="1"/>
  <c r="FQ436" i="1"/>
  <c r="GA459" i="1"/>
  <c r="FZ459" i="1"/>
  <c r="FX459" i="1"/>
  <c r="AB510" i="1"/>
  <c r="FW26" i="1"/>
  <c r="EN75" i="1"/>
  <c r="Q195" i="1"/>
  <c r="F260" i="1"/>
  <c r="DQ542" i="1"/>
  <c r="P592" i="1"/>
  <c r="EP436" i="1"/>
  <c r="P466" i="1"/>
  <c r="P436" i="1"/>
  <c r="F462" i="1"/>
  <c r="AS18" i="1"/>
  <c r="F642" i="1"/>
  <c r="AU18" i="1"/>
  <c r="F644" i="1"/>
  <c r="DL355" i="1"/>
  <c r="P425" i="1"/>
  <c r="F416" i="1"/>
  <c r="Q355" i="1"/>
  <c r="AK436" i="1"/>
  <c r="X459" i="1"/>
  <c r="CA280" i="1"/>
  <c r="AR323" i="1"/>
  <c r="AX280" i="1"/>
  <c r="F330" i="1"/>
  <c r="FW280" i="1"/>
  <c r="EN323" i="1"/>
  <c r="FS510" i="1"/>
  <c r="GO494" i="1"/>
  <c r="FU510" i="1" s="1"/>
  <c r="P337" i="1"/>
  <c r="DJ280" i="1"/>
  <c r="FX146" i="1"/>
  <c r="EO163" i="1"/>
  <c r="DQ323" i="1"/>
  <c r="ED280" i="1"/>
  <c r="P516" i="1"/>
  <c r="EO491" i="1"/>
  <c r="EJ114" i="1"/>
  <c r="FS107" i="1"/>
  <c r="R195" i="1"/>
  <c r="F262" i="1"/>
  <c r="AK280" i="1"/>
  <c r="X323" i="1"/>
  <c r="R491" i="1"/>
  <c r="F524" i="1"/>
  <c r="P107" i="1"/>
  <c r="F117" i="1"/>
  <c r="AP146" i="1"/>
  <c r="F172" i="1"/>
  <c r="F407" i="1"/>
  <c r="P355" i="1"/>
  <c r="AB436" i="1"/>
  <c r="O459" i="1"/>
  <c r="DN355" i="1"/>
  <c r="P427" i="1"/>
  <c r="GO358" i="1"/>
  <c r="FU404" i="1" s="1"/>
  <c r="FS404" i="1"/>
  <c r="DZ26" i="1"/>
  <c r="DM75" i="1"/>
  <c r="CH491" i="1"/>
  <c r="AY510" i="1"/>
  <c r="AX436" i="1"/>
  <c r="F466" i="1"/>
  <c r="AB26" i="1"/>
  <c r="O75" i="1"/>
  <c r="DQ146" i="1"/>
  <c r="P190" i="1"/>
  <c r="Q146" i="1"/>
  <c r="F175" i="1"/>
  <c r="CE195" i="1"/>
  <c r="AV248" i="1"/>
  <c r="S542" i="1"/>
  <c r="F580" i="1"/>
  <c r="DH355" i="1"/>
  <c r="P407" i="1"/>
  <c r="DH26" i="1"/>
  <c r="P78" i="1"/>
  <c r="DH595" i="1"/>
  <c r="O146" i="1"/>
  <c r="F165" i="1"/>
  <c r="EH146" i="1"/>
  <c r="P172" i="1"/>
  <c r="P416" i="1"/>
  <c r="DI355" i="1"/>
  <c r="Y195" i="1"/>
  <c r="F275" i="1"/>
  <c r="AP280" i="1"/>
  <c r="F332" i="1"/>
  <c r="T436" i="1"/>
  <c r="F480" i="1"/>
  <c r="W16" i="2"/>
  <c r="F473" i="1"/>
  <c r="R436" i="1"/>
  <c r="DP195" i="1"/>
  <c r="P274" i="1"/>
  <c r="DN26" i="1"/>
  <c r="P98" i="1"/>
  <c r="DN595" i="1"/>
  <c r="EH280" i="1"/>
  <c r="P332" i="1"/>
  <c r="BB18" i="1"/>
  <c r="F638" i="1"/>
  <c r="S280" i="1"/>
  <c r="F338" i="1"/>
  <c r="GO283" i="1"/>
  <c r="FU323" i="1" s="1"/>
  <c r="FS323" i="1"/>
  <c r="DT542" i="1"/>
  <c r="DG565" i="1"/>
  <c r="ED491" i="1"/>
  <c r="DQ510" i="1"/>
  <c r="CH26" i="1"/>
  <c r="AY75" i="1"/>
  <c r="AZ26" i="1"/>
  <c r="F86" i="1"/>
  <c r="EC280" i="1"/>
  <c r="DP323" i="1"/>
  <c r="S146" i="1"/>
  <c r="F178" i="1"/>
  <c r="CE280" i="1"/>
  <c r="AV323" i="1"/>
  <c r="BY436" i="1"/>
  <c r="CI459" i="1"/>
  <c r="AP459" i="1"/>
  <c r="P580" i="1"/>
  <c r="DK542" i="1"/>
  <c r="AX355" i="1"/>
  <c r="F411" i="1"/>
  <c r="F483" i="1"/>
  <c r="W436" i="1"/>
  <c r="R595" i="1"/>
  <c r="FZ114" i="1"/>
  <c r="CH542" i="1"/>
  <c r="AY565" i="1"/>
  <c r="FQ542" i="1"/>
  <c r="EH565" i="1"/>
  <c r="GA565" i="1"/>
  <c r="FX565" i="1"/>
  <c r="FZ565" i="1"/>
  <c r="CF26" i="1"/>
  <c r="AW75" i="1"/>
  <c r="CC280" i="1"/>
  <c r="AT323" i="1"/>
  <c r="FX280" i="1"/>
  <c r="EO323" i="1"/>
  <c r="AL542" i="1"/>
  <c r="Y565" i="1"/>
  <c r="EI22" i="1"/>
  <c r="P605" i="1"/>
  <c r="EI625" i="1"/>
  <c r="FQ195" i="1"/>
  <c r="EH248" i="1"/>
  <c r="GA248" i="1"/>
  <c r="ET18" i="1"/>
  <c r="P638" i="1"/>
  <c r="FW146" i="1"/>
  <c r="EN163" i="1"/>
  <c r="T22" i="1"/>
  <c r="F616" i="1"/>
  <c r="T625" i="1"/>
  <c r="P424" i="1"/>
  <c r="ES355" i="1"/>
  <c r="FS163" i="1"/>
  <c r="GO149" i="1"/>
  <c r="FU163" i="1" s="1"/>
  <c r="DK491" i="1"/>
  <c r="P525" i="1"/>
  <c r="AV404" i="1"/>
  <c r="CE355" i="1"/>
  <c r="GO438" i="1"/>
  <c r="CA459" i="1"/>
  <c r="AK26" i="1"/>
  <c r="X75" i="1"/>
  <c r="EV18" i="1"/>
  <c r="P650" i="1"/>
  <c r="Y107" i="1"/>
  <c r="F141" i="1"/>
  <c r="AY146" i="1"/>
  <c r="F171" i="1"/>
  <c r="DK280" i="1"/>
  <c r="P338" i="1"/>
  <c r="AW510" i="1"/>
  <c r="CF491" i="1"/>
  <c r="GO28" i="1"/>
  <c r="CC75" i="1" s="1"/>
  <c r="CA75" i="1"/>
  <c r="GO148" i="1"/>
  <c r="CC163" i="1" s="1"/>
  <c r="CA163" i="1"/>
  <c r="W595" i="1"/>
  <c r="AK491" i="1"/>
  <c r="X510" i="1"/>
  <c r="CH248" i="1"/>
  <c r="DI436" i="1"/>
  <c r="P471" i="1"/>
  <c r="BD18" i="1"/>
  <c r="F650" i="1"/>
  <c r="FZ248" i="1"/>
  <c r="EN542" i="1"/>
  <c r="P570" i="1"/>
  <c r="F481" i="1"/>
  <c r="U436" i="1"/>
  <c r="FZ26" i="1"/>
  <c r="EQ75" i="1"/>
  <c r="GA146" i="1"/>
  <c r="ER163" i="1"/>
  <c r="AP542" i="1"/>
  <c r="F574" i="1"/>
  <c r="F431" i="1"/>
  <c r="Y355" i="1"/>
  <c r="CF459" i="1"/>
  <c r="CI280" i="1"/>
  <c r="AZ323" i="1"/>
  <c r="F537" i="1"/>
  <c r="Y491" i="1"/>
  <c r="GA280" i="1"/>
  <c r="ER323" i="1"/>
  <c r="CA107" i="1"/>
  <c r="AR114" i="1"/>
  <c r="CF280" i="1"/>
  <c r="AW323" i="1"/>
  <c r="DI146" i="1"/>
  <c r="P175" i="1"/>
  <c r="AK195" i="1"/>
  <c r="X248" i="1"/>
  <c r="DP107" i="1"/>
  <c r="P140" i="1"/>
  <c r="ED355" i="1"/>
  <c r="DQ404" i="1"/>
  <c r="F419" i="1"/>
  <c r="S355" i="1"/>
  <c r="F525" i="1"/>
  <c r="S491" i="1"/>
  <c r="P280" i="1"/>
  <c r="F326" i="1"/>
  <c r="F522" i="1"/>
  <c r="Q491" i="1"/>
  <c r="X404" i="1"/>
  <c r="AK355" i="1"/>
  <c r="DH107" i="1"/>
  <c r="P117" i="1"/>
  <c r="DJ195" i="1"/>
  <c r="P262" i="1"/>
  <c r="DK404" i="1"/>
  <c r="DX355" i="1"/>
  <c r="P542" i="1"/>
  <c r="F568" i="1"/>
  <c r="V436" i="1"/>
  <c r="F482" i="1"/>
  <c r="V491" i="1"/>
  <c r="F533" i="1"/>
  <c r="CE26" i="1"/>
  <c r="AV75" i="1"/>
  <c r="AB355" i="1"/>
  <c r="O404" i="1"/>
  <c r="DH280" i="1"/>
  <c r="P326" i="1"/>
  <c r="DQ107" i="1"/>
  <c r="P141" i="1"/>
  <c r="CI404" i="1"/>
  <c r="BY355" i="1"/>
  <c r="AP404" i="1"/>
  <c r="DI542" i="1"/>
  <c r="P577" i="1"/>
  <c r="DJ146" i="1"/>
  <c r="P177" i="1"/>
  <c r="DH146" i="1"/>
  <c r="P166" i="1"/>
  <c r="EN436" i="1"/>
  <c r="P464" i="1"/>
  <c r="GO439" i="1"/>
  <c r="FU459" i="1" s="1"/>
  <c r="FS459" i="1"/>
  <c r="AQ22" i="1"/>
  <c r="F605" i="1"/>
  <c r="AQ625" i="1"/>
  <c r="FS195" i="1"/>
  <c r="EJ248" i="1"/>
  <c r="EP491" i="1"/>
  <c r="P517" i="1"/>
  <c r="CF107" i="1"/>
  <c r="AW114" i="1"/>
  <c r="AY114" i="1"/>
  <c r="CH107" i="1"/>
  <c r="AB280" i="1"/>
  <c r="O323" i="1"/>
  <c r="GM452" i="1"/>
  <c r="GO452" i="1" s="1"/>
  <c r="DJ26" i="1"/>
  <c r="P89" i="1"/>
  <c r="DJ595" i="1"/>
  <c r="GM67" i="1"/>
  <c r="GO67" i="1" s="1"/>
  <c r="DK107" i="1"/>
  <c r="P129" i="1"/>
  <c r="CE491" i="1"/>
  <c r="AV510" i="1"/>
  <c r="DT75" i="1"/>
  <c r="U22" i="1"/>
  <c r="U625" i="1"/>
  <c r="F617" i="1"/>
  <c r="X146" i="1"/>
  <c r="F189" i="1"/>
  <c r="DP146" i="1"/>
  <c r="P189" i="1"/>
  <c r="ED436" i="1"/>
  <c r="DQ459" i="1"/>
  <c r="EP595" i="1"/>
  <c r="DT146" i="1"/>
  <c r="DG163" i="1"/>
  <c r="Y323" i="1"/>
  <c r="AL280" i="1"/>
  <c r="BY107" i="1"/>
  <c r="CI114" i="1"/>
  <c r="AP114" i="1"/>
  <c r="CF248" i="1"/>
  <c r="EP355" i="1"/>
  <c r="P411" i="1"/>
  <c r="FX404" i="1"/>
  <c r="FZ404" i="1"/>
  <c r="AV146" i="1"/>
  <c r="F168" i="1"/>
  <c r="DH195" i="1"/>
  <c r="P251" i="1"/>
  <c r="GO493" i="1"/>
  <c r="CC510" i="1" s="1"/>
  <c r="CA510" i="1"/>
  <c r="S436" i="1"/>
  <c r="F474" i="1"/>
  <c r="FX26" i="1"/>
  <c r="EO75" i="1"/>
  <c r="X107" i="1"/>
  <c r="F140" i="1"/>
  <c r="Y146" i="1"/>
  <c r="F190" i="1"/>
  <c r="R355" i="1"/>
  <c r="F418" i="1"/>
  <c r="CI542" i="1"/>
  <c r="AZ565" i="1"/>
  <c r="EC436" i="1"/>
  <c r="DP459" i="1"/>
  <c r="DJ355" i="1"/>
  <c r="P418" i="1"/>
  <c r="CE436" i="1"/>
  <c r="AV459" i="1"/>
  <c r="DK26" i="1"/>
  <c r="P90" i="1"/>
  <c r="DK595" i="1"/>
  <c r="ES26" i="1"/>
  <c r="P95" i="1"/>
  <c r="ES595" i="1"/>
  <c r="DQ195" i="1"/>
  <c r="P275" i="1"/>
  <c r="DL26" i="1"/>
  <c r="P96" i="1"/>
  <c r="DL595" i="1"/>
  <c r="P461" i="1"/>
  <c r="DG436" i="1"/>
  <c r="DO26" i="1"/>
  <c r="P99" i="1"/>
  <c r="DO595" i="1"/>
  <c r="FZ355" i="1" l="1"/>
  <c r="EQ404" i="1"/>
  <c r="EP22" i="1"/>
  <c r="EP625" i="1"/>
  <c r="P602" i="1"/>
  <c r="U18" i="1"/>
  <c r="F647" i="1"/>
  <c r="O280" i="1"/>
  <c r="F325" i="1"/>
  <c r="EJ195" i="1"/>
  <c r="P276" i="1"/>
  <c r="X195" i="1"/>
  <c r="F274" i="1"/>
  <c r="ER280" i="1"/>
  <c r="P334" i="1"/>
  <c r="DL22" i="1"/>
  <c r="P616" i="1"/>
  <c r="DL625" i="1"/>
  <c r="DK22" i="1"/>
  <c r="DK625" i="1"/>
  <c r="P610" i="1"/>
  <c r="FX355" i="1"/>
  <c r="EO404" i="1"/>
  <c r="F123" i="1"/>
  <c r="AP107" i="1"/>
  <c r="AP595" i="1"/>
  <c r="Y280" i="1"/>
  <c r="F350" i="1"/>
  <c r="DQ436" i="1"/>
  <c r="P486" i="1"/>
  <c r="FS436" i="1"/>
  <c r="EJ459" i="1"/>
  <c r="CI355" i="1"/>
  <c r="AZ404" i="1"/>
  <c r="P419" i="1"/>
  <c r="DK355" i="1"/>
  <c r="EQ26" i="1"/>
  <c r="P83" i="1"/>
  <c r="X491" i="1"/>
  <c r="F536" i="1"/>
  <c r="CC146" i="1"/>
  <c r="AT163" i="1"/>
  <c r="F516" i="1"/>
  <c r="AW491" i="1"/>
  <c r="CC459" i="1"/>
  <c r="EN146" i="1"/>
  <c r="P168" i="1"/>
  <c r="GA195" i="1"/>
  <c r="ER248" i="1"/>
  <c r="EO280" i="1"/>
  <c r="P329" i="1"/>
  <c r="AW26" i="1"/>
  <c r="F81" i="1"/>
  <c r="GA542" i="1"/>
  <c r="ER565" i="1"/>
  <c r="AV280" i="1"/>
  <c r="F328" i="1"/>
  <c r="DP280" i="1"/>
  <c r="P349" i="1"/>
  <c r="FU280" i="1"/>
  <c r="EL323" i="1"/>
  <c r="DH22" i="1"/>
  <c r="P598" i="1"/>
  <c r="DH625" i="1"/>
  <c r="EJ107" i="1"/>
  <c r="P142" i="1"/>
  <c r="DQ280" i="1"/>
  <c r="P350" i="1"/>
  <c r="EN280" i="1"/>
  <c r="P328" i="1"/>
  <c r="AR280" i="1"/>
  <c r="F351" i="1"/>
  <c r="EN26" i="1"/>
  <c r="P80" i="1"/>
  <c r="EN595" i="1"/>
  <c r="FZ436" i="1"/>
  <c r="EQ459" i="1"/>
  <c r="EN195" i="1"/>
  <c r="P253" i="1"/>
  <c r="Y26" i="1"/>
  <c r="F102" i="1"/>
  <c r="Y595" i="1"/>
  <c r="CH355" i="1"/>
  <c r="AY404" i="1"/>
  <c r="EL195" i="1"/>
  <c r="P266" i="1"/>
  <c r="CC355" i="1"/>
  <c r="AT404" i="1"/>
  <c r="AV542" i="1"/>
  <c r="F570" i="1"/>
  <c r="FX107" i="1"/>
  <c r="EO114" i="1"/>
  <c r="DP491" i="1"/>
  <c r="P536" i="1"/>
  <c r="P123" i="1"/>
  <c r="EH107" i="1"/>
  <c r="EH595" i="1"/>
  <c r="CC195" i="1"/>
  <c r="AT248" i="1"/>
  <c r="EK18" i="1"/>
  <c r="P642" i="1"/>
  <c r="AX18" i="1"/>
  <c r="F632" i="1"/>
  <c r="DQ26" i="1"/>
  <c r="P102" i="1"/>
  <c r="DQ595" i="1"/>
  <c r="P101" i="1"/>
  <c r="DP26" i="1"/>
  <c r="DP595" i="1"/>
  <c r="ES22" i="1"/>
  <c r="P615" i="1"/>
  <c r="H16" i="2" s="1"/>
  <c r="ES625" i="1"/>
  <c r="EO26" i="1"/>
  <c r="P81" i="1"/>
  <c r="DG75" i="1"/>
  <c r="DT26" i="1"/>
  <c r="AQ18" i="1"/>
  <c r="F635" i="1"/>
  <c r="O355" i="1"/>
  <c r="F406" i="1"/>
  <c r="AR107" i="1"/>
  <c r="F142" i="1"/>
  <c r="CF436" i="1"/>
  <c r="AW459" i="1"/>
  <c r="X26" i="1"/>
  <c r="F101" i="1"/>
  <c r="X595" i="1"/>
  <c r="FU146" i="1"/>
  <c r="EL163" i="1"/>
  <c r="T18" i="1"/>
  <c r="F646" i="1"/>
  <c r="EH195" i="1"/>
  <c r="P257" i="1"/>
  <c r="EH542" i="1"/>
  <c r="P574" i="1"/>
  <c r="EQ114" i="1"/>
  <c r="FZ107" i="1"/>
  <c r="AP436" i="1"/>
  <c r="F468" i="1"/>
  <c r="AY26" i="1"/>
  <c r="F83" i="1"/>
  <c r="DG542" i="1"/>
  <c r="P567" i="1"/>
  <c r="O26" i="1"/>
  <c r="F77" i="1"/>
  <c r="AY491" i="1"/>
  <c r="F518" i="1"/>
  <c r="FS355" i="1"/>
  <c r="EJ404" i="1"/>
  <c r="F461" i="1"/>
  <c r="O436" i="1"/>
  <c r="EO146" i="1"/>
  <c r="P169" i="1"/>
  <c r="GA436" i="1"/>
  <c r="ER459" i="1"/>
  <c r="BA18" i="1"/>
  <c r="F645" i="1"/>
  <c r="AZ146" i="1"/>
  <c r="F174" i="1"/>
  <c r="EH355" i="1"/>
  <c r="P413" i="1"/>
  <c r="DG107" i="1"/>
  <c r="P116" i="1"/>
  <c r="EQ146" i="1"/>
  <c r="P171" i="1"/>
  <c r="P22" i="1"/>
  <c r="F598" i="1"/>
  <c r="P625" i="1"/>
  <c r="O195" i="1"/>
  <c r="F250" i="1"/>
  <c r="AR565" i="1"/>
  <c r="CA542" i="1"/>
  <c r="AW355" i="1"/>
  <c r="F410" i="1"/>
  <c r="V18" i="1"/>
  <c r="F648" i="1"/>
  <c r="DO22" i="1"/>
  <c r="P619" i="1"/>
  <c r="DO625" i="1"/>
  <c r="AV436" i="1"/>
  <c r="F464" i="1"/>
  <c r="CF195" i="1"/>
  <c r="AW248" i="1"/>
  <c r="AZ542" i="1"/>
  <c r="F576" i="1"/>
  <c r="CA491" i="1"/>
  <c r="AR510" i="1"/>
  <c r="CI107" i="1"/>
  <c r="AZ114" i="1"/>
  <c r="DG146" i="1"/>
  <c r="P165" i="1"/>
  <c r="FU436" i="1"/>
  <c r="EL459" i="1"/>
  <c r="CA26" i="1"/>
  <c r="AR75" i="1"/>
  <c r="AT510" i="1"/>
  <c r="CC491" i="1"/>
  <c r="F515" i="1"/>
  <c r="AV491" i="1"/>
  <c r="AY107" i="1"/>
  <c r="F122" i="1"/>
  <c r="AP355" i="1"/>
  <c r="F413" i="1"/>
  <c r="X355" i="1"/>
  <c r="F430" i="1"/>
  <c r="ER146" i="1"/>
  <c r="P174" i="1"/>
  <c r="FZ195" i="1"/>
  <c r="EQ248" i="1"/>
  <c r="W22" i="1"/>
  <c r="F619" i="1"/>
  <c r="W625" i="1"/>
  <c r="CC26" i="1"/>
  <c r="AT75" i="1"/>
  <c r="F409" i="1"/>
  <c r="AV355" i="1"/>
  <c r="FS146" i="1"/>
  <c r="EJ163" i="1"/>
  <c r="Y542" i="1"/>
  <c r="F592" i="1"/>
  <c r="F341" i="1"/>
  <c r="AT280" i="1"/>
  <c r="FZ542" i="1"/>
  <c r="EQ565" i="1"/>
  <c r="R22" i="1"/>
  <c r="R625" i="1"/>
  <c r="F609" i="1"/>
  <c r="CI436" i="1"/>
  <c r="AZ459" i="1"/>
  <c r="FU355" i="1"/>
  <c r="EL404" i="1"/>
  <c r="FU491" i="1"/>
  <c r="EL510" i="1"/>
  <c r="X436" i="1"/>
  <c r="F485" i="1"/>
  <c r="AB491" i="1"/>
  <c r="O510" i="1"/>
  <c r="EN355" i="1"/>
  <c r="P409" i="1"/>
  <c r="DG195" i="1"/>
  <c r="P250" i="1"/>
  <c r="FS75" i="1"/>
  <c r="CI195" i="1"/>
  <c r="AZ248" i="1"/>
  <c r="DG491" i="1"/>
  <c r="P512" i="1"/>
  <c r="AY280" i="1"/>
  <c r="F331" i="1"/>
  <c r="X542" i="1"/>
  <c r="F591" i="1"/>
  <c r="S22" i="1"/>
  <c r="F610" i="1"/>
  <c r="Y16" i="2" s="1"/>
  <c r="S625" i="1"/>
  <c r="CC542" i="1"/>
  <c r="AT565" i="1"/>
  <c r="O542" i="1"/>
  <c r="F567" i="1"/>
  <c r="Q22" i="1"/>
  <c r="Q625" i="1"/>
  <c r="F607" i="1"/>
  <c r="EJ565" i="1"/>
  <c r="FS542" i="1"/>
  <c r="Y436" i="1"/>
  <c r="F486" i="1"/>
  <c r="EO195" i="1"/>
  <c r="P254" i="1"/>
  <c r="DP436" i="1"/>
  <c r="P485" i="1"/>
  <c r="DJ22" i="1"/>
  <c r="P609" i="1"/>
  <c r="DJ625" i="1"/>
  <c r="AW107" i="1"/>
  <c r="F120" i="1"/>
  <c r="AV26" i="1"/>
  <c r="F80" i="1"/>
  <c r="AV595" i="1"/>
  <c r="DQ355" i="1"/>
  <c r="P431" i="1"/>
  <c r="AW280" i="1"/>
  <c r="F329" i="1"/>
  <c r="AZ280" i="1"/>
  <c r="F334" i="1"/>
  <c r="AY248" i="1"/>
  <c r="CH195" i="1"/>
  <c r="CA146" i="1"/>
  <c r="AR163" i="1"/>
  <c r="AR459" i="1"/>
  <c r="CA436" i="1"/>
  <c r="EI18" i="1"/>
  <c r="P635" i="1"/>
  <c r="FX542" i="1"/>
  <c r="EO565" i="1"/>
  <c r="AY542" i="1"/>
  <c r="F573" i="1"/>
  <c r="P537" i="1"/>
  <c r="DQ491" i="1"/>
  <c r="FS280" i="1"/>
  <c r="EJ323" i="1"/>
  <c r="DN22" i="1"/>
  <c r="DN625" i="1"/>
  <c r="P618" i="1"/>
  <c r="AV195" i="1"/>
  <c r="F253" i="1"/>
  <c r="DM26" i="1"/>
  <c r="P97" i="1"/>
  <c r="DM595" i="1"/>
  <c r="X280" i="1"/>
  <c r="F349" i="1"/>
  <c r="FS491" i="1"/>
  <c r="EJ510" i="1"/>
  <c r="FX436" i="1"/>
  <c r="EO459" i="1"/>
  <c r="EH436" i="1"/>
  <c r="P468" i="1"/>
  <c r="FU75" i="1"/>
  <c r="DG404" i="1"/>
  <c r="DT355" i="1"/>
  <c r="AV107" i="1"/>
  <c r="F119" i="1"/>
  <c r="GA355" i="1"/>
  <c r="ER404" i="1"/>
  <c r="AP195" i="1"/>
  <c r="F257" i="1"/>
  <c r="DI26" i="1"/>
  <c r="P87" i="1"/>
  <c r="DI595" i="1"/>
  <c r="EQ280" i="1"/>
  <c r="P331" i="1"/>
  <c r="AR404" i="1"/>
  <c r="CA355" i="1"/>
  <c r="DG280" i="1"/>
  <c r="P325" i="1"/>
  <c r="O107" i="1"/>
  <c r="F116" i="1"/>
  <c r="ER114" i="1"/>
  <c r="GA107" i="1"/>
  <c r="AW542" i="1"/>
  <c r="F571" i="1"/>
  <c r="EN107" i="1"/>
  <c r="P119" i="1"/>
  <c r="CA195" i="1"/>
  <c r="AR248" i="1"/>
  <c r="FU542" i="1"/>
  <c r="EL565" i="1"/>
  <c r="P430" i="1"/>
  <c r="DP355" i="1"/>
  <c r="F467" i="1"/>
  <c r="AY436" i="1"/>
  <c r="AR195" i="1" l="1"/>
  <c r="F276" i="1"/>
  <c r="FS26" i="1"/>
  <c r="EJ75" i="1"/>
  <c r="R18" i="1"/>
  <c r="F639" i="1"/>
  <c r="ER355" i="1"/>
  <c r="P415" i="1"/>
  <c r="ER107" i="1"/>
  <c r="P125" i="1"/>
  <c r="ER595" i="1"/>
  <c r="FU26" i="1"/>
  <c r="EL75" i="1"/>
  <c r="AR436" i="1"/>
  <c r="F487" i="1"/>
  <c r="AY195" i="1"/>
  <c r="F256" i="1"/>
  <c r="DJ18" i="1"/>
  <c r="P639" i="1"/>
  <c r="Q18" i="1"/>
  <c r="F637" i="1"/>
  <c r="AT542" i="1"/>
  <c r="F583" i="1"/>
  <c r="EL355" i="1"/>
  <c r="P422" i="1"/>
  <c r="AR26" i="1"/>
  <c r="F103" i="1"/>
  <c r="AR595" i="1"/>
  <c r="AR491" i="1"/>
  <c r="F538" i="1"/>
  <c r="AW195" i="1"/>
  <c r="F254" i="1"/>
  <c r="DO18" i="1"/>
  <c r="P649" i="1"/>
  <c r="AR542" i="1"/>
  <c r="F593" i="1"/>
  <c r="ER436" i="1"/>
  <c r="P470" i="1"/>
  <c r="EL146" i="1"/>
  <c r="P181" i="1"/>
  <c r="DQ22" i="1"/>
  <c r="P622" i="1"/>
  <c r="DQ625" i="1"/>
  <c r="Y22" i="1"/>
  <c r="Y625" i="1"/>
  <c r="F622" i="1"/>
  <c r="EJ436" i="1"/>
  <c r="P487" i="1"/>
  <c r="DK18" i="1"/>
  <c r="P640" i="1"/>
  <c r="EP18" i="1"/>
  <c r="P632" i="1"/>
  <c r="EJ280" i="1"/>
  <c r="P351" i="1"/>
  <c r="EQ107" i="1"/>
  <c r="P122" i="1"/>
  <c r="F465" i="1"/>
  <c r="AW436" i="1"/>
  <c r="DP22" i="1"/>
  <c r="P621" i="1"/>
  <c r="DP625" i="1"/>
  <c r="EH22" i="1"/>
  <c r="EH625" i="1"/>
  <c r="P604" i="1"/>
  <c r="G16" i="2" s="1"/>
  <c r="P467" i="1"/>
  <c r="EQ436" i="1"/>
  <c r="EL280" i="1"/>
  <c r="P341" i="1"/>
  <c r="AW595" i="1"/>
  <c r="AT146" i="1"/>
  <c r="F181" i="1"/>
  <c r="EQ595" i="1"/>
  <c r="P410" i="1"/>
  <c r="EO355" i="1"/>
  <c r="EJ491" i="1"/>
  <c r="P538" i="1"/>
  <c r="AR146" i="1"/>
  <c r="F191" i="1"/>
  <c r="AT26" i="1"/>
  <c r="F93" i="1"/>
  <c r="AR355" i="1"/>
  <c r="F432" i="1"/>
  <c r="EJ542" i="1"/>
  <c r="P593" i="1"/>
  <c r="S18" i="1"/>
  <c r="F640" i="1"/>
  <c r="O491" i="1"/>
  <c r="F512" i="1"/>
  <c r="EL491" i="1"/>
  <c r="P528" i="1"/>
  <c r="AZ436" i="1"/>
  <c r="F470" i="1"/>
  <c r="EQ195" i="1"/>
  <c r="P256" i="1"/>
  <c r="P477" i="1"/>
  <c r="EL436" i="1"/>
  <c r="AZ107" i="1"/>
  <c r="F125" i="1"/>
  <c r="AZ595" i="1"/>
  <c r="P432" i="1"/>
  <c r="EJ355" i="1"/>
  <c r="O595" i="1"/>
  <c r="X22" i="1"/>
  <c r="F621" i="1"/>
  <c r="X625" i="1"/>
  <c r="DG26" i="1"/>
  <c r="P77" i="1"/>
  <c r="DG595" i="1"/>
  <c r="ES18" i="1"/>
  <c r="P645" i="1"/>
  <c r="EO107" i="1"/>
  <c r="P120" i="1"/>
  <c r="AT355" i="1"/>
  <c r="F422" i="1"/>
  <c r="AY355" i="1"/>
  <c r="F412" i="1"/>
  <c r="DH18" i="1"/>
  <c r="P628" i="1"/>
  <c r="ER195" i="1"/>
  <c r="P259" i="1"/>
  <c r="AT459" i="1"/>
  <c r="CC436" i="1"/>
  <c r="F415" i="1"/>
  <c r="AZ355" i="1"/>
  <c r="AP22" i="1"/>
  <c r="F604" i="1"/>
  <c r="V16" i="2" s="1"/>
  <c r="AP625" i="1"/>
  <c r="DL18" i="1"/>
  <c r="P646" i="1"/>
  <c r="EQ355" i="1"/>
  <c r="P412" i="1"/>
  <c r="DI22" i="1"/>
  <c r="P607" i="1"/>
  <c r="DI625" i="1"/>
  <c r="DM22" i="1"/>
  <c r="P617" i="1"/>
  <c r="DM625" i="1"/>
  <c r="EJ146" i="1"/>
  <c r="P191" i="1"/>
  <c r="EL542" i="1"/>
  <c r="P583" i="1"/>
  <c r="DG355" i="1"/>
  <c r="P406" i="1"/>
  <c r="EO436" i="1"/>
  <c r="P465" i="1"/>
  <c r="DN18" i="1"/>
  <c r="P648" i="1"/>
  <c r="EO542" i="1"/>
  <c r="P571" i="1"/>
  <c r="AV22" i="1"/>
  <c r="AV625" i="1"/>
  <c r="F600" i="1"/>
  <c r="AZ195" i="1"/>
  <c r="F259" i="1"/>
  <c r="P573" i="1"/>
  <c r="EQ542" i="1"/>
  <c r="W18" i="1"/>
  <c r="F649" i="1"/>
  <c r="AT491" i="1"/>
  <c r="F528" i="1"/>
  <c r="P18" i="1"/>
  <c r="F628" i="1"/>
  <c r="AY595" i="1"/>
  <c r="EO595" i="1"/>
  <c r="AT195" i="1"/>
  <c r="F266" i="1"/>
  <c r="EN22" i="1"/>
  <c r="EN625" i="1"/>
  <c r="P600" i="1"/>
  <c r="ER542" i="1"/>
  <c r="P576" i="1"/>
  <c r="J16" i="2"/>
  <c r="DI18" i="1" l="1"/>
  <c r="P637" i="1"/>
  <c r="EH18" i="1"/>
  <c r="P634" i="1"/>
  <c r="DQ18" i="1"/>
  <c r="P652" i="1"/>
  <c r="ER22" i="1"/>
  <c r="P606" i="1"/>
  <c r="ER625" i="1"/>
  <c r="F477" i="1"/>
  <c r="AT436" i="1"/>
  <c r="AY22" i="1"/>
  <c r="AY625" i="1"/>
  <c r="F603" i="1"/>
  <c r="AV18" i="1"/>
  <c r="F630" i="1"/>
  <c r="AP18" i="1"/>
  <c r="F634" i="1"/>
  <c r="AZ22" i="1"/>
  <c r="AZ625" i="1"/>
  <c r="F606" i="1"/>
  <c r="EQ22" i="1"/>
  <c r="P603" i="1"/>
  <c r="EQ625" i="1"/>
  <c r="AR22" i="1"/>
  <c r="AR625" i="1"/>
  <c r="F623" i="1"/>
  <c r="P103" i="1"/>
  <c r="EJ26" i="1"/>
  <c r="EJ595" i="1"/>
  <c r="O22" i="1"/>
  <c r="O625" i="1"/>
  <c r="F597" i="1"/>
  <c r="DM18" i="1"/>
  <c r="P647" i="1"/>
  <c r="X18" i="1"/>
  <c r="F651" i="1"/>
  <c r="EN18" i="1"/>
  <c r="P630" i="1"/>
  <c r="EO22" i="1"/>
  <c r="P601" i="1"/>
  <c r="EO625" i="1"/>
  <c r="DG22" i="1"/>
  <c r="P597" i="1"/>
  <c r="DG625" i="1"/>
  <c r="AT595" i="1"/>
  <c r="AW22" i="1"/>
  <c r="AW625" i="1"/>
  <c r="F601" i="1"/>
  <c r="DP18" i="1"/>
  <c r="P651" i="1"/>
  <c r="Y18" i="1"/>
  <c r="F652" i="1"/>
  <c r="EL26" i="1"/>
  <c r="P93" i="1"/>
  <c r="EL595" i="1"/>
  <c r="AT22" i="1" l="1"/>
  <c r="F613" i="1"/>
  <c r="U16" i="2" s="1"/>
  <c r="X16" i="2" s="1"/>
  <c r="AC16" i="2" s="1"/>
  <c r="AT625" i="1"/>
  <c r="EJ22" i="1"/>
  <c r="P623" i="1"/>
  <c r="EJ625" i="1"/>
  <c r="AY18" i="1"/>
  <c r="F633" i="1"/>
  <c r="ER18" i="1"/>
  <c r="P636" i="1"/>
  <c r="EL22" i="1"/>
  <c r="P613" i="1"/>
  <c r="F16" i="2" s="1"/>
  <c r="I16" i="2" s="1"/>
  <c r="N16" i="2" s="1"/>
  <c r="EL625" i="1"/>
  <c r="AW18" i="1"/>
  <c r="F631" i="1"/>
  <c r="O18" i="1"/>
  <c r="F627" i="1"/>
  <c r="EQ18" i="1"/>
  <c r="P633" i="1"/>
  <c r="AZ18" i="1"/>
  <c r="F636" i="1"/>
  <c r="EO18" i="1"/>
  <c r="P631" i="1"/>
  <c r="AR18" i="1"/>
  <c r="F653" i="1"/>
  <c r="DG18" i="1"/>
  <c r="P627" i="1"/>
  <c r="AT18" i="1" l="1"/>
  <c r="F643" i="1"/>
  <c r="EJ18" i="1"/>
  <c r="P653" i="1"/>
  <c r="EL18" i="1"/>
  <c r="P643" i="1"/>
</calcChain>
</file>

<file path=xl/sharedStrings.xml><?xml version="1.0" encoding="utf-8"?>
<sst xmlns="http://schemas.openxmlformats.org/spreadsheetml/2006/main" count="22113" uniqueCount="813">
  <si>
    <t>Smeta.RU  (495) 974-1589</t>
  </si>
  <si>
    <t>_PS_</t>
  </si>
  <si>
    <t>Smeta.RU</t>
  </si>
  <si>
    <t/>
  </si>
  <si>
    <t>Новый объект (ТСН-2001 (Мосгосэкспертиза))</t>
  </si>
  <si>
    <t>Капитальный ремонт здания ГБОУ города Москвы «Школа №236» по адресу: город Москва, улица Клязьминская, дом 7, корп. 4 (ТСН-2001 (Мосгосэкспертиза))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</si>
  <si>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</si>
  <si>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</si>
  <si>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</t>
  </si>
  <si>
    <t>Территориальные сметные нормативы для Москвы ТСН-2001 (МГЭ), дополнение 80</t>
  </si>
  <si>
    <t>Поправки для ТСН-2001 от 30.12.2025 г. доп.80</t>
  </si>
  <si>
    <t>Территориальные сметные нормативы для Москвы (ТСН-2001)</t>
  </si>
  <si>
    <t>ТЕР</t>
  </si>
  <si>
    <t>02-01-18</t>
  </si>
  <si>
    <t>Автоматизация и диспетчеризация инженерных систем.</t>
  </si>
  <si>
    <t>2024-00272-01-0-ИОС5.11</t>
  </si>
  <si>
    <t>Новый раздел</t>
  </si>
  <si>
    <t>Система управления и диспетчерского контроля инженерного</t>
  </si>
  <si>
    <t>1</t>
  </si>
  <si>
    <t>4.11-7-2</t>
  </si>
  <si>
    <t>Установка аппарата настольного массой до 0,03 т</t>
  </si>
  <si>
    <t>1  ШТ.</t>
  </si>
  <si>
    <t>ТСН-2001.4 Доп. 68, Сб. 11, т. 7, поз. 2</t>
  </si>
  <si>
    <t>*1,1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</si>
  <si>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</si>
  <si>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</si>
  <si>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</si>
  <si>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5_12.00.01.11.003</t>
  </si>
  <si>
    <t>2</t>
  </si>
  <si>
    <t>КА №1</t>
  </si>
  <si>
    <t>Моноблок Lenovo V50a-24IMB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</si>
  <si>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</si>
  <si>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</si>
  <si>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</si>
  <si>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</si>
  <si>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[75 385 / 1,2 /  7,66] +  3% Трансп +  1,2% Заг.скл</t>
  </si>
  <si>
    <t>3</t>
  </si>
  <si>
    <t>1,2</t>
  </si>
  <si>
    <t>4.10-118-5</t>
  </si>
  <si>
    <t>Установка для трубных проводок шкафа настенного размерами до 640х840 мм</t>
  </si>
  <si>
    <t>ТСН-2001.4 Доп. 79, Сб. 10, т. 118, поз. 5</t>
  </si>
  <si>
    <t>ТСН-2001.4-10. Прокладка и монтаж сетей связи</t>
  </si>
  <si>
    <t>ТСН-2001.4-10-1</t>
  </si>
  <si>
    <t>3,1</t>
  </si>
  <si>
    <t>1.21-1-63</t>
  </si>
  <si>
    <t>Щит навесной, с дверцей и замком, степень защиты IР55, размер 600х600х250 мм, металлоконструкция без аппаратов</t>
  </si>
  <si>
    <t>ТСН-2001.1 Доп. 79, Р. 21, о. 1, поз. 63</t>
  </si>
  <si>
    <t>4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</si>
  <si>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</si>
  <si>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</si>
  <si>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</si>
  <si>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5</t>
  </si>
  <si>
    <t>КА №2</t>
  </si>
  <si>
    <t>Шлюз tGW-715i Segnetics</t>
  </si>
  <si>
    <t>[14 271,44 / 1,2 /  7,66] +  3% Трансп +  1,2% Заг.скл</t>
  </si>
  <si>
    <t>6</t>
  </si>
  <si>
    <t>4.10-176-1</t>
  </si>
  <si>
    <t>Монтаж блока контроля датчиков (контроллер)</t>
  </si>
  <si>
    <t>10 шт.</t>
  </si>
  <si>
    <t>ТСН-2001.4 Доп. 80, Сб. 10, т. 176, поз. 1</t>
  </si>
  <si>
    <t>7</t>
  </si>
  <si>
    <t>КА №3</t>
  </si>
  <si>
    <t>Контроллер Matrix-2230-70-0 Segnetics</t>
  </si>
  <si>
    <t>[33 370,9 / 1,2 /  7,66] +  3% Трансп +  1,2% Заг.скл</t>
  </si>
  <si>
    <t>8</t>
  </si>
  <si>
    <t>9</t>
  </si>
  <si>
    <t>КА №4</t>
  </si>
  <si>
    <t>модуль сбора сигналов FMR-2222-10-0 Segnetics</t>
  </si>
  <si>
    <t>[13 012 / 1,2 /  7,66] +  3% Трансп +  1,2% Заг.скл</t>
  </si>
  <si>
    <t>10</t>
  </si>
  <si>
    <t>11</t>
  </si>
  <si>
    <t>КА №5</t>
  </si>
  <si>
    <t>ИБП SKAT-UPS 1000 Segnetics</t>
  </si>
  <si>
    <t>[71 760 / 1,2 /  7,66] +  3% Трансп +  1,2% Заг.скл</t>
  </si>
  <si>
    <t>12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</si>
  <si>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</si>
  <si>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</si>
  <si>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100 м</t>
  </si>
  <si>
    <t>ТСН-2001.4 Доп. 54, Сб. 8, т. 288, поз. 2</t>
  </si>
  <si>
    <t>ТСН-2001.4-8. Электротехнические установки</t>
  </si>
  <si>
    <t>ТСН-2001.4-8-1</t>
  </si>
  <si>
    <t>12,1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</si>
  <si>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</si>
  <si>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</si>
  <si>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</si>
  <si>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</si>
  <si>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13</t>
  </si>
  <si>
    <t>4.8-280-1</t>
  </si>
  <si>
    <t>Прокладка пластикового кабель-канала по кирпичному основанию</t>
  </si>
  <si>
    <t>ТСН-2001.4. Доп. 1-42. Сб. 8, т. 280, поз. 1</t>
  </si>
  <si>
    <t>13,1</t>
  </si>
  <si>
    <t>1.1-1-1962</t>
  </si>
  <si>
    <t>Кабель-канал, размер 10х15 мм</t>
  </si>
  <si>
    <t>ТСН-2001.1 Доп. 67, Р. 1, о. 1, поз. 1962</t>
  </si>
  <si>
    <t>14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</si>
  <si>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</si>
  <si>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</si>
  <si>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</si>
  <si>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14,1</t>
  </si>
  <si>
    <t>КА №8</t>
  </si>
  <si>
    <t>Кабель КПСЭнг(A)-LSLTx 1х2х0,75</t>
  </si>
  <si>
    <t>м.п.</t>
  </si>
  <si>
    <t>[59 / 1,2 /  9,88] +  2% Заг.скл</t>
  </si>
  <si>
    <t>0</t>
  </si>
  <si>
    <t>15</t>
  </si>
  <si>
    <t>15,1</t>
  </si>
  <si>
    <t>1.23-9-92</t>
  </si>
  <si>
    <t>Кабель симметричный, парной скрутки, с изоляцией из сплошного полиэтилена, с общим экраном, в оболочке из ПВХ пластиката пониженной пожароопасности, с низким дымо- и газовыделением, марка КИПЭВнг(А)-LS, число пар и сечение жилы 2х2х0,6 мм2</t>
  </si>
  <si>
    <t>км</t>
  </si>
  <si>
    <t>ТСН-2001.1 Доп. 79, Р. 23, о. 9, поз. 92</t>
  </si>
  <si>
    <t>15,2</t>
  </si>
  <si>
    <t>КА №9</t>
  </si>
  <si>
    <t>Кабель КИПЭнг(А)-LSLTx2х2х0,6</t>
  </si>
  <si>
    <t>16</t>
  </si>
  <si>
    <t>4.8-162-1</t>
  </si>
  <si>
    <t>Прокладка в коробах провода сечением до 6 мм2</t>
  </si>
  <si>
    <t>ТСН-2001.4 Доп. 68, Сб. 8, т. 162, поз. 1</t>
  </si>
  <si>
    <t>16,1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</si>
  <si>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</si>
  <si>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</si>
  <si>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</si>
  <si>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</si>
  <si>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</si>
  <si>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</si>
  <si>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</si>
  <si>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</si>
  <si>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</si>
  <si>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</si>
  <si>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</si>
  <si>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</si>
  <si>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</si>
  <si>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</si>
  <si>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</si>
  <si>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</si>
  <si>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</si>
  <si>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</si>
  <si>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</si>
  <si>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</si>
  <si>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</si>
  <si>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</si>
  <si>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</si>
  <si>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</si>
  <si>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</si>
  <si>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</si>
  <si>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</si>
  <si>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</si>
  <si>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</si>
  <si>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</si>
  <si>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</si>
  <si>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</si>
  <si>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</si>
  <si>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</si>
  <si>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</si>
  <si>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</si>
  <si>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</si>
  <si>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</si>
  <si>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</si>
  <si>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</si>
  <si>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</si>
  <si>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</si>
  <si>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</si>
  <si>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</si>
  <si>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</si>
  <si>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</si>
  <si>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</si>
  <si>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</si>
  <si>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</si>
  <si>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</si>
  <si>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</si>
  <si>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</si>
  <si>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</si>
  <si>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</si>
  <si>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Программное обеспечение</t>
  </si>
  <si>
    <t>17</t>
  </si>
  <si>
    <t>КА №6</t>
  </si>
  <si>
    <t>Исполнительная SCADA-система на 1000 внешних точек ввода-вывода MPS-MSRT4D-1K-S</t>
  </si>
  <si>
    <t>[148 500 /  7,66]</t>
  </si>
  <si>
    <t>18</t>
  </si>
  <si>
    <t>КА №7</t>
  </si>
  <si>
    <t>OPC-сервер на одно рабочее место на 2500 точек. Universal Master OPC Server</t>
  </si>
  <si>
    <t>[9 480 / 1,2 /  7,66]</t>
  </si>
  <si>
    <t>Диспетчеризация систем водоснабжения и канализации</t>
  </si>
  <si>
    <t>19</t>
  </si>
  <si>
    <t>4.10-59-2</t>
  </si>
  <si>
    <t>Монтаж детали на пультах и панелях - реле</t>
  </si>
  <si>
    <t>ТСН-2001.4 Доп. 67, Сб. 10, т. 59, поз. 2</t>
  </si>
  <si>
    <t>ТСН-2001.4-10. Монтаж радиотелевизионного и электронного оборудования</t>
  </si>
  <si>
    <t>ТСН-2001.4-10-2</t>
  </si>
  <si>
    <t>20</t>
  </si>
  <si>
    <t>Датчик-реле уровня РОС301</t>
  </si>
  <si>
    <t>[9 500 / 1,2 /  7,66] +  3% Трансп +  1,2% Заг.скл</t>
  </si>
  <si>
    <t>21</t>
  </si>
  <si>
    <t>21,1</t>
  </si>
  <si>
    <t>22</t>
  </si>
  <si>
    <t>22,1</t>
  </si>
  <si>
    <t>1.23-9-101</t>
  </si>
  <si>
    <t>Кабель симметричный для систем охраны и противопожарной защиты огнестойкий, групповой прокладки, с пониженным дымо- и газовыделением, марка КПСнг(А)-FRLS, напряжение 300 В, число пар и сечение жил 1х2х0,75 мм2</t>
  </si>
  <si>
    <t>ТСН-2001.1 Доп. 79, Р. 23, о. 9, поз. 101</t>
  </si>
  <si>
    <t>22,2</t>
  </si>
  <si>
    <t>КА №10</t>
  </si>
  <si>
    <t>Кабель КПСнг(A)-LSLTx 1х2х0,75</t>
  </si>
  <si>
    <t>Автоматизация противопожарных мероприятий</t>
  </si>
  <si>
    <t>23</t>
  </si>
  <si>
    <t>4.10-80-9</t>
  </si>
  <si>
    <t>Аппараты приемные, приборы приемно-контрольные объектовые на 2 луча</t>
  </si>
  <si>
    <t>ТСН-2001.4. Доп. 1-42. Сб. 10, т. 80, поз. 9</t>
  </si>
  <si>
    <t>24</t>
  </si>
  <si>
    <t>КА №11</t>
  </si>
  <si>
    <t>Прибор приемно-контрольный и управления охранно-пожарный R3-Рубеж-2ОП</t>
  </si>
  <si>
    <t>[42 981 / 1,2 /  7,66] +  3% Трансп +  1,2% Заг.скл</t>
  </si>
  <si>
    <t>25</t>
  </si>
  <si>
    <t>26</t>
  </si>
  <si>
    <t>КА №12</t>
  </si>
  <si>
    <t>Модуль управления клапаном МДУ-1С прот.R3 МДУ-1С-R3</t>
  </si>
  <si>
    <t>[4 150 / 1,2 /  7,66] +  3% Трансп +  1,2% Заг.скл</t>
  </si>
  <si>
    <t>27</t>
  </si>
  <si>
    <t>4.10-80-13</t>
  </si>
  <si>
    <t>Аппараты приемные, устройства промежуточные на 1 луч</t>
  </si>
  <si>
    <t>ТСН-2001.4. Доп. 1-42. Сб. 10, т. 80, поз. 13</t>
  </si>
  <si>
    <t>28</t>
  </si>
  <si>
    <t>КА №13</t>
  </si>
  <si>
    <t>Модуль релейный РМ-1К прот.R3 РМ-1К-R3</t>
  </si>
  <si>
    <t>[3 108 / 1,2 /  7,66] +  3% Трансп +  1,2% Заг.скл</t>
  </si>
  <si>
    <t>29</t>
  </si>
  <si>
    <t>КА №14</t>
  </si>
  <si>
    <t>Модуль релейный РМ-4 прот.R3 РМ-4-R3</t>
  </si>
  <si>
    <t>[3 675 / 1,2 /  7,66] +  3% Трансп +  1,2% Заг.скл</t>
  </si>
  <si>
    <t>30</t>
  </si>
  <si>
    <t>4.10-59-3</t>
  </si>
  <si>
    <t>Монтаж детали на пультах и панелях - кнопка</t>
  </si>
  <si>
    <t>ТСН-2001.4 Доп. 67, Сб. 10, т. 59, поз. 3</t>
  </si>
  <si>
    <t>31</t>
  </si>
  <si>
    <t>13.1-1-92</t>
  </si>
  <si>
    <t>Пост управления кнопочный, типа ПКЕ-212-1У3. Номинальное напряжение переменного тока частотой 50 Гц - 660 В, постоянного тока 440 В, номинальный ток 10 А, форма толкателя цилиндрическая, степень защиты IP40</t>
  </si>
  <si>
    <t>32</t>
  </si>
  <si>
    <t>4.10-173-2</t>
  </si>
  <si>
    <t>Монтаж блока бесперебойного питания (ББП) в диспетчерской</t>
  </si>
  <si>
    <t>ТСН-2001.4 Доп. 67, Сб. 10, т. 173, поз. 2</t>
  </si>
  <si>
    <t>33</t>
  </si>
  <si>
    <t>КА №15</t>
  </si>
  <si>
    <t>Источник вторичного электропитания резервирован-ный ИВЭПР 24/2,5 RS-R3</t>
  </si>
  <si>
    <t>[11 275 / 1,2 /  7,66] +  3% Трансп +  1,2% Заг.скл</t>
  </si>
  <si>
    <t>34</t>
  </si>
  <si>
    <t>4.8-240-4</t>
  </si>
  <si>
    <t>Монтаж пультов и шкафов управления, шкафа (пульта) управления навесного, высотой, шириной, глубиной до 600х600х350 мм</t>
  </si>
  <si>
    <t>ТСН-2001.4 Доп. 80, Сб. 8, т. 240, поз. 4</t>
  </si>
  <si>
    <t>34,1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</si>
  <si>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</si>
  <si>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</si>
  <si>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</si>
  <si>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</si>
  <si>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35</t>
  </si>
  <si>
    <t>КА №16</t>
  </si>
  <si>
    <t>Шкаф управления вентилятором ШУВ-3-00-R3</t>
  </si>
  <si>
    <t>[51 282 / 1,2 /  7,66] +  3% Трансп +  1,2% Заг.скл</t>
  </si>
  <si>
    <t>36</t>
  </si>
  <si>
    <t>КА №17</t>
  </si>
  <si>
    <t>Шкаф управления вентилятором ШУВ-5.5-00-R3</t>
  </si>
  <si>
    <t>[51 785 / 1,2 /  7,66] +  3% Трансп +  1,2% Заг.скл</t>
  </si>
  <si>
    <t>37</t>
  </si>
  <si>
    <t>КА №18</t>
  </si>
  <si>
    <t>Шкаф управления вентилятором ШУВ-22-00-R3</t>
  </si>
  <si>
    <t>[54 534 / 1,2 /  7,66] +  3% Трансп +  1,2% Заг.скл</t>
  </si>
  <si>
    <t>38</t>
  </si>
  <si>
    <t>КА №19</t>
  </si>
  <si>
    <t>Шкаф управления вентилятором ШУВ-11-00-R3</t>
  </si>
  <si>
    <t>[53 159 / 1,2 /  7,66] +  3% Трансп +  1,2% Заг.скл</t>
  </si>
  <si>
    <t>39</t>
  </si>
  <si>
    <t>КА №20</t>
  </si>
  <si>
    <t>Шкаф управления вентилятором ШУВ-15-00-R3</t>
  </si>
  <si>
    <t>[53 617 / 1,2 /  7,66] +  3% Трансп +  1,2% Заг.скл</t>
  </si>
  <si>
    <t>40</t>
  </si>
  <si>
    <t>40,1</t>
  </si>
  <si>
    <t>41</t>
  </si>
  <si>
    <t>41,1</t>
  </si>
  <si>
    <t>42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</si>
  <si>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</si>
  <si>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</si>
  <si>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</si>
  <si>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42,1</t>
  </si>
  <si>
    <t>КА №21</t>
  </si>
  <si>
    <t>Кабель КПСнг(А)-FRLSLTx 2х2x0.75</t>
  </si>
  <si>
    <t>[56,65 / 1,2 /  9,88] +  2% Заг.скл</t>
  </si>
  <si>
    <t>Автоматизация систем общеобменной вентиляции</t>
  </si>
  <si>
    <t>43</t>
  </si>
  <si>
    <t>4.11-3-1</t>
  </si>
  <si>
    <t>Установка прибора массой до 5 кг на металлоконструкциях или щитах/термостат</t>
  </si>
  <si>
    <t>ТСН-2001.4 Доп. 67, Сб. 11, т. 3, поз. 1</t>
  </si>
  <si>
    <t>43,1</t>
  </si>
  <si>
    <t>1.1-1-58</t>
  </si>
  <si>
    <t>Болты строительные с гайками, оцинкованные, М10х100 мм</t>
  </si>
  <si>
    <t>т</t>
  </si>
  <si>
    <t>ТСН-2001.1 Доп. 79, Р. 1, о. 1, поз. 58</t>
  </si>
  <si>
    <t>44</t>
  </si>
  <si>
    <t>КА №22 ООО "НЕД-Инжиниринг"</t>
  </si>
  <si>
    <t>Термостат 1м КР61</t>
  </si>
  <si>
    <t>[8 206,86 / 1,2 /  7,66] +  3% Трансп +  1,2% Заг.скл</t>
  </si>
  <si>
    <t>45</t>
  </si>
  <si>
    <t>КА №23 ООО "НЕД-Инжиниринг"</t>
  </si>
  <si>
    <t>Термостат 3м КР61</t>
  </si>
  <si>
    <t>[9 016 / 1,2 /  7,66] +  3% Трансп +  1,2% Заг.скл</t>
  </si>
  <si>
    <t>46</t>
  </si>
  <si>
    <t>КА №24 ООО "НЕД-Инжиниринг"</t>
  </si>
  <si>
    <t>Термостат 6м КР61</t>
  </si>
  <si>
    <t>[10 287 / 1,2 /  7,66] +  3% Трансп +  1,2% Заг.скл</t>
  </si>
  <si>
    <t>47</t>
  </si>
  <si>
    <t>4.11-2-1</t>
  </si>
  <si>
    <t>Установка прибора на резьбовых соединениях/Датчик температуры канальный, Датчик температуры воды погружной, Датчик перепада давления 500 Pa, Датчик температуры</t>
  </si>
  <si>
    <t>ТСН-2001.4 Доп. 67, Сб. 11, т. 2, поз. 1</t>
  </si>
  <si>
    <t>48</t>
  </si>
  <si>
    <t>КА №25 ООО "НЕД-Инжиниринг"</t>
  </si>
  <si>
    <t>Датчик температуры канальный ARK-3</t>
  </si>
  <si>
    <t>[3 258 / 1,2 /  7,66] +  3% Трансп +  1,2% Заг.скл</t>
  </si>
  <si>
    <t>49</t>
  </si>
  <si>
    <t>КА №26 ООО "НЕД-Инжиниринг"</t>
  </si>
  <si>
    <t>Датчик температуры канальный ARK-3S</t>
  </si>
  <si>
    <t>[4 100 / 1,2 /  7,66] +  3% Трансп +  1,2% Заг.скл</t>
  </si>
  <si>
    <t>50</t>
  </si>
  <si>
    <t>КА №27 ООО "НЕД-Инжиниринг"</t>
  </si>
  <si>
    <t>Датчик температуры наружного воздуха ARN-3</t>
  </si>
  <si>
    <t>[1 858 / 1,2 /  7,66] +  3% Трансп +  1,2% Заг.скл</t>
  </si>
  <si>
    <t>51</t>
  </si>
  <si>
    <t>КА №28 ООО "НЕД-Инжиниринг"</t>
  </si>
  <si>
    <t>Датчик температуры воды погружной WTP-3</t>
  </si>
  <si>
    <t>[3 572 / 1,2 /  7,66] +  3% Трансп +  1,2% Заг.скл</t>
  </si>
  <si>
    <t>52</t>
  </si>
  <si>
    <t>КА №29 ООО "НЕД-Инжиниринг"</t>
  </si>
  <si>
    <t>Датчик температуры воды накладной WTN-3</t>
  </si>
  <si>
    <t>[3 490 / 1,2 /  7,66] +  3% Трансп +  1,2% Заг.скл</t>
  </si>
  <si>
    <t>53</t>
  </si>
  <si>
    <t>КА №30 ООО "НЕД-Инжиниринг"</t>
  </si>
  <si>
    <t>Датчик перепада давления 500 Pa DVL-500</t>
  </si>
  <si>
    <t>[1 700 / 1,2 /  7,66] +  3% Трансп +  1,2% Заг.скл</t>
  </si>
  <si>
    <t>54</t>
  </si>
  <si>
    <t>КА №31 ООО "НЕД-Инжиниринг"</t>
  </si>
  <si>
    <t>Датчик перепада давления 200 Pa DVL-200</t>
  </si>
  <si>
    <t>55</t>
  </si>
  <si>
    <t>4.11-16-1</t>
  </si>
  <si>
    <t>Монтаж механизма исполнительного массой до 20 кг/привод</t>
  </si>
  <si>
    <t>ТСН-2001.4 Доп. 68, Сб. 11, т. 16, поз. 1</t>
  </si>
  <si>
    <t>55,1</t>
  </si>
  <si>
    <t>56</t>
  </si>
  <si>
    <t>КА №32 ООО "НЕД-Инжиниринг"</t>
  </si>
  <si>
    <t>Привод PDF 05/230.D</t>
  </si>
  <si>
    <t>[20 000 / 1,2 /  7,66] +  3% Трансп +  1,2% Заг.скл</t>
  </si>
  <si>
    <t>57</t>
  </si>
  <si>
    <t>КА №33 ООО "НЕД-Инжиниринг"</t>
  </si>
  <si>
    <t>Привод PFF 03/230.D</t>
  </si>
  <si>
    <t>[13 333 / 1,2 /  7,66] +  3% Трансп +  1,2% Заг.скл</t>
  </si>
  <si>
    <t>58</t>
  </si>
  <si>
    <t>КА №34 ООО "НЕД-Инжиниринг"</t>
  </si>
  <si>
    <t>Привод ELVA 05/24.M</t>
  </si>
  <si>
    <t>[14 000 / 1,2 /  7,66] +  3% Трансп +  1,2% Заг.скл</t>
  </si>
  <si>
    <t>59</t>
  </si>
  <si>
    <t>КА №35 ООО "НЕД-Инжиниринг"</t>
  </si>
  <si>
    <t>Привод PFF 10/230.D</t>
  </si>
  <si>
    <t>[17 867 / 1,2 /  7,66] +  3% Трансп +  1,2% Заг.скл</t>
  </si>
  <si>
    <t>60</t>
  </si>
  <si>
    <t>КА №36 ООО "НЕД-Инжиниринг"</t>
  </si>
  <si>
    <t>Привод PFS 05/230.DT</t>
  </si>
  <si>
    <t>[8 933 / 1,2 /  7,66] +  3% Трансп +  1,2% Заг.скл</t>
  </si>
  <si>
    <t>Аппаратура в щитах автоматизации</t>
  </si>
  <si>
    <t>61</t>
  </si>
  <si>
    <t>4.11-17-1</t>
  </si>
  <si>
    <t>Монтаж щитов и пультов массой до 50кг</t>
  </si>
  <si>
    <t>ТСН-2001.4 Доп. 80, Сб. 11, т. 17, поз. 1</t>
  </si>
  <si>
    <t>4.10-170-2</t>
  </si>
  <si>
    <t>Монтаж блока информационно-управляющего (БИУ) в диспетчерской</t>
  </si>
  <si>
    <t>ТСН-2001.4 Доп. 67, Сб. 10, т. 170, поз. 2</t>
  </si>
  <si>
    <t>62</t>
  </si>
  <si>
    <t>КА №37 ООО "НЕД-Инжиниринг"</t>
  </si>
  <si>
    <t>Блок управления ACW ZE-3R0</t>
  </si>
  <si>
    <t>[153 312,25 / 1,2 /  7,66] +  3% Трансп +  1,2% Заг.скл</t>
  </si>
  <si>
    <t>63</t>
  </si>
  <si>
    <t>КА №38 ООО "НЕД-Инжиниринг"</t>
  </si>
  <si>
    <t>Блок управления ACW ZE-1R0</t>
  </si>
  <si>
    <t>[163 066,63 / 1,2 /  7,66] +  3% Трансп +  1,2% Заг.скл</t>
  </si>
  <si>
    <t>64</t>
  </si>
  <si>
    <t>КА №39 ООО "НЕД-Инжиниринг"</t>
  </si>
  <si>
    <t>Блок управления ACW ZE-10</t>
  </si>
  <si>
    <t>65</t>
  </si>
  <si>
    <t>КА №40 ООО "НЕД-Инжиниринг"</t>
  </si>
  <si>
    <t>Блок управления ACW ZE-3R0 1H25</t>
  </si>
  <si>
    <t>[172 981,24 / 1,2 /  7,66] +  3% Трансп +  1,2% Заг.скл</t>
  </si>
  <si>
    <t>66</t>
  </si>
  <si>
    <t>КА №41 ООО "НЕД-Инжиниринг"</t>
  </si>
  <si>
    <t>Блок управления ACW ZE-1R0 ED</t>
  </si>
  <si>
    <t>[179 169,38 / 1,2 /  7,66] +  3% Трансп +  1,2% Заг.скл</t>
  </si>
  <si>
    <t>67</t>
  </si>
  <si>
    <t>КА №42 ООО "НЕД-Инжиниринг"</t>
  </si>
  <si>
    <t>Блок управления ACE ZE-E3</t>
  </si>
  <si>
    <t>[168 042 / 1,2 /  7,66] +  3% Трансп +  1,2% Заг.скл</t>
  </si>
  <si>
    <t>68</t>
  </si>
  <si>
    <t>КА №43 ООО "НЕД-Инжиниринг"</t>
  </si>
  <si>
    <t>Блок управления ACW ZE-11</t>
  </si>
  <si>
    <t>[157 258,74 / 1,2 /  7,66] +  3% Трансп +  1,2% Заг.скл</t>
  </si>
  <si>
    <t>69</t>
  </si>
  <si>
    <t>Установка прибора массой до 5 кг на металлоконструкциях или щитах</t>
  </si>
  <si>
    <t>69,1</t>
  </si>
  <si>
    <t>70</t>
  </si>
  <si>
    <t>КА №44 ООО "НЕД-Инжиниринг"</t>
  </si>
  <si>
    <t>Комплект частотного преобразователя 4 кВт</t>
  </si>
  <si>
    <t>[33 540 / 1,2 /  7,66] +  3% Трансп +  1,2% Заг.скл</t>
  </si>
  <si>
    <t>71</t>
  </si>
  <si>
    <t>КА №45 ООО "НЕД-Инжиниринг"</t>
  </si>
  <si>
    <t>Комплект частотного преобразователя 1,5 кВт, 7 А, 220 В</t>
  </si>
  <si>
    <t>[14 606 / 1,2 /  7,66] +  3% Трансп +  1,2% Заг.скл</t>
  </si>
  <si>
    <t>72</t>
  </si>
  <si>
    <t>КА №46 ООО "НЕД-Инжиниринг"</t>
  </si>
  <si>
    <t>Комплект частотного преобразователя 5,5 кВт, 13 А, 380 В</t>
  </si>
  <si>
    <t>[48 777 / 1,2 /  7,66] +  3% Трансп +  1,2% Заг.скл</t>
  </si>
  <si>
    <t>73</t>
  </si>
  <si>
    <t>КА №47 ООО "НЕД-Инжиниринг"</t>
  </si>
  <si>
    <t>Комплект частотного преобразователя 2,2 кВт, 6 А, 380 В</t>
  </si>
  <si>
    <t>[23 262 / 1,2 /  7,66] +  3% Трансп +  1,2% Заг.скл</t>
  </si>
  <si>
    <t>74</t>
  </si>
  <si>
    <t>КА №48 ООО "НЕД-Инжиниринг"</t>
  </si>
  <si>
    <t>Комплект частотного преобразователя 0,75 кВт, 4 А, 220 В</t>
  </si>
  <si>
    <t>[13 073 / 1,2 /  7,66] +  3% Трансп +  1,2% Заг.скл</t>
  </si>
  <si>
    <t>75</t>
  </si>
  <si>
    <t>75,1</t>
  </si>
  <si>
    <t>76</t>
  </si>
  <si>
    <t>КА №49 ООО "НЕД-Инжиниринг"</t>
  </si>
  <si>
    <t>Регулятор скорости STY-1,5</t>
  </si>
  <si>
    <t>[2 400 / 1,2 /  7,66] +  3% Трансп +  1,2% Заг.скл</t>
  </si>
  <si>
    <t>77</t>
  </si>
  <si>
    <t>77,1</t>
  </si>
  <si>
    <t>78</t>
  </si>
  <si>
    <t>78,1</t>
  </si>
  <si>
    <t>Автоматизация систем кондиционирования</t>
  </si>
  <si>
    <t>79</t>
  </si>
  <si>
    <t>Монтаж механизма исполнительного массой до 20 кг</t>
  </si>
  <si>
    <t>80</t>
  </si>
  <si>
    <t>13.1-5-191</t>
  </si>
  <si>
    <t>81</t>
  </si>
  <si>
    <t>82</t>
  </si>
  <si>
    <t>13.1-5-190</t>
  </si>
  <si>
    <t>83</t>
  </si>
  <si>
    <t>84</t>
  </si>
  <si>
    <t>КА №50</t>
  </si>
  <si>
    <t>Блок навесной КМПн 2/2</t>
  </si>
  <si>
    <t>Материалы</t>
  </si>
  <si>
    <t>Материалы, изделия и конструкции</t>
  </si>
  <si>
    <t>[181,91 / 1,2 /  9,88] +  2% Заг.скл</t>
  </si>
  <si>
    <t>85</t>
  </si>
  <si>
    <t>85,1</t>
  </si>
  <si>
    <t>86</t>
  </si>
  <si>
    <t>4.8-175-3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</si>
  <si>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16 мм2</t>
  </si>
  <si>
    <t>ТСН-2001.4 Доп. 79, Сб. 8, т. 175, поз. 3</t>
  </si>
  <si>
    <t>86,1</t>
  </si>
  <si>
    <t>1.23-8-760</t>
  </si>
  <si>
    <t>ТСН-2001.1 Доп. 79, Р. 23, о. 8, поз. 760</t>
  </si>
  <si>
    <t>Система управления освещением</t>
  </si>
  <si>
    <t>87</t>
  </si>
  <si>
    <t>87,1</t>
  </si>
  <si>
    <t>88</t>
  </si>
  <si>
    <t>89</t>
  </si>
  <si>
    <t>КА №51</t>
  </si>
  <si>
    <t>Контроллер Matrix-2230-70-4 Segnetics</t>
  </si>
  <si>
    <t>[25 770 / 1,2 /  7,66] +  3% Трансп +  1,2% Заг.скл</t>
  </si>
  <si>
    <t>90</t>
  </si>
  <si>
    <t>90,1</t>
  </si>
  <si>
    <t>91</t>
  </si>
  <si>
    <t>91,1</t>
  </si>
  <si>
    <t>Система управления фрамугами</t>
  </si>
  <si>
    <t>92</t>
  </si>
  <si>
    <t>92,1</t>
  </si>
  <si>
    <t>93</t>
  </si>
  <si>
    <t>94</t>
  </si>
  <si>
    <t>95</t>
  </si>
  <si>
    <t>4.10-59-1</t>
  </si>
  <si>
    <t>Монтаж детали на пультах и панелях - переключатель</t>
  </si>
  <si>
    <t>ТСН-2001.4 Доп. 67, Сб. 10, т. 59, поз. 1</t>
  </si>
  <si>
    <t>96</t>
  </si>
  <si>
    <t>КА №52</t>
  </si>
  <si>
    <t>Переключатель LAY5-BD33 на 3 полож. LAY5-BD33</t>
  </si>
  <si>
    <t>[365,4 / 1,2 /  7,66] +  3% Трансп +  1,2% Заг.скл</t>
  </si>
  <si>
    <t>97</t>
  </si>
  <si>
    <t>97,1</t>
  </si>
  <si>
    <t>98</t>
  </si>
  <si>
    <t>98,1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</si>
  <si>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</si>
  <si>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</si>
  <si>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</si>
  <si>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</si>
  <si>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</si>
  <si>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</si>
  <si>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</si>
  <si>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</si>
  <si>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</si>
  <si>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</si>
  <si>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</si>
  <si>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</si>
  <si>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</si>
  <si>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</si>
  <si>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</si>
  <si>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</si>
  <si>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</si>
  <si>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</si>
  <si>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</si>
  <si>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</si>
  <si>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</si>
  <si>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</si>
  <si>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</si>
  <si>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</si>
  <si>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</si>
  <si>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</si>
  <si>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2.1-18-9</t>
  </si>
  <si>
    <t>ТСН-2001.2. Доп. 68. п.1-18-9 (183003)</t>
  </si>
  <si>
    <t>Автомобили грузовые бортовые, грузоподъемность до 8 т</t>
  </si>
  <si>
    <t>1.1-1-1583</t>
  </si>
  <si>
    <t>ТСН-2001.1 Доп. 79, Р. 1, о. 1, поз. 1583</t>
  </si>
  <si>
    <t>Эмаль эпоксидная, белая или цветная, типа ЭП-140</t>
  </si>
  <si>
    <t>1.1-1-3688</t>
  </si>
  <si>
    <t>ТСН-2001.1 Доп. 79, Р. 1, о. 1, поз. 3688</t>
  </si>
  <si>
    <t>Шурупы с полукруглой головкой, диаметр от 6 до 10 мм, длина 100 мм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</si>
  <si>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</si>
  <si>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</si>
  <si>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</si>
  <si>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100 шт.</t>
  </si>
  <si>
    <t>9999990002</t>
  </si>
  <si>
    <t>Масса оборудования</t>
  </si>
  <si>
    <t>2.1-30-56</t>
  </si>
  <si>
    <t>ТСН-2001.2. Доп. 68. п.1-30-56 (309101)</t>
  </si>
  <si>
    <t>Шуруповерты</t>
  </si>
  <si>
    <t>1.1-1-2381</t>
  </si>
  <si>
    <t>ТСН-2001.1 Доп. 79, Р. 1, о. 1, поз. 2381</t>
  </si>
  <si>
    <t>Винты с полукруглой головкой, М6х10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</si>
  <si>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</si>
  <si>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</si>
  <si>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</si>
  <si>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</si>
  <si>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</si>
  <si>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</si>
  <si>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</si>
  <si>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</si>
  <si>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</si>
  <si>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</si>
  <si>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</si>
  <si>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</si>
  <si>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</si>
  <si>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</si>
  <si>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</si>
  <si>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1000 шт.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</si>
  <si>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</si>
  <si>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</si>
  <si>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</si>
  <si>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</si>
  <si>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</si>
  <si>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</si>
  <si>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</si>
  <si>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</si>
  <si>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</si>
  <si>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1.21-5-1652</t>
  </si>
  <si>
    <t>ТСН-2001.1 Доп. 66, Р. 21, о. 5, поз. 1652</t>
  </si>
  <si>
    <t>Полоска типа К-405 с пряжкой типа К-407, стальные, для крепления проводов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</si>
  <si>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</si>
  <si>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</si>
  <si>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</si>
  <si>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</si>
  <si>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</si>
  <si>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</si>
  <si>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</si>
  <si>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</si>
  <si>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</si>
  <si>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</si>
  <si>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</si>
  <si>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</si>
  <si>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</si>
  <si>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</si>
  <si>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</si>
  <si>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</si>
  <si>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</si>
  <si>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</si>
  <si>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</si>
  <si>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</si>
  <si>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</si>
  <si>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2.1-30-7</t>
  </si>
  <si>
    <t>ТСН-2001.2. Доп. 68. п.1-30-7 (303801)</t>
  </si>
  <si>
    <t>Молотки бурильные пневматические легкие</t>
  </si>
  <si>
    <t>1.1-1-1577</t>
  </si>
  <si>
    <t>ТСН-2001.1 Доп. 79, Р. 1, о. 1, поз. 1577</t>
  </si>
  <si>
    <t>Эмаль пентафталевая, цветная, типа ПФ-115</t>
  </si>
  <si>
    <t>1.1-1-1669</t>
  </si>
  <si>
    <t>ТСН-2001.1 Доп. 79, Р. 1, о. 1, поз. 1669</t>
  </si>
  <si>
    <t>Электроды, типа Э-42А, диаметр от 4 до 6 мм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</si>
  <si>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</si>
  <si>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</si>
  <si>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</si>
  <si>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</si>
  <si>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</si>
  <si>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</si>
  <si>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</si>
  <si>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</si>
  <si>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</si>
  <si>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1.18-7-1</t>
  </si>
  <si>
    <t>ТСН-2001.1 Доп. 79, Р. 18, о. 7, поз. 1</t>
  </si>
  <si>
    <t>Прокладка паронитовая, уплотнительная, толщина от 0,5 до 2,5 мм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</si>
  <si>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</si>
  <si>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</si>
  <si>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</si>
  <si>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2.1-30-37</t>
  </si>
  <si>
    <t>ТСН-2001.2. Доп. 68. п.1-30-37 (307101)</t>
  </si>
  <si>
    <t>Станки вертикально-сверлильные</t>
  </si>
  <si>
    <t>1.1-1-1566</t>
  </si>
  <si>
    <t>ТСН-2001.1 Доп. 79, Р. 1, о. 1, поз. 1566</t>
  </si>
  <si>
    <t>Электроды, типа Э-42, Э-46, Э-50, диаметр от 4 до 6 мм</t>
  </si>
  <si>
    <t>1.1-1-1576</t>
  </si>
  <si>
    <t>ТСН-2001.1 Доп. 79, Р. 1, о. 1, поз. 1576</t>
  </si>
  <si>
    <t>Эмаль пентафталевая, белая, типа ПФ-115</t>
  </si>
  <si>
    <t>1.1-1-165</t>
  </si>
  <si>
    <t>ТСН-2001.1 Доп. 79, Р. 1, о. 1, поз. 165</t>
  </si>
  <si>
    <t>Грунтовка глифталевая, типа ГФ-021</t>
  </si>
  <si>
    <t>1.1-1-2623</t>
  </si>
  <si>
    <t>ТСН-2001.1 Доп. 79, Р. 1, о. 1, поз. 2623</t>
  </si>
  <si>
    <t>Болты строительные с шестигранной головкой, М12</t>
  </si>
  <si>
    <t>1.1-1-3482</t>
  </si>
  <si>
    <t>ТСН-2001.1 Доп. 79, Р. 1, о. 1, поз. 3482</t>
  </si>
  <si>
    <t>Лист рифленый, с ромбическим рифлением, из стали углеродистой обыкновенного качества, полуспокойной и спокойной, толщина 4 мм</t>
  </si>
  <si>
    <t>1.1-1-995</t>
  </si>
  <si>
    <t>ТСН-2001.1 Доп. 79, Р. 1, о. 1, поз. 995</t>
  </si>
  <si>
    <t>Растворитель типа Р-4</t>
  </si>
  <si>
    <t>1.1-1-999</t>
  </si>
  <si>
    <t>ТСН-2001.1 Доп. 79, Р. 1, о. 1, поз. 999</t>
  </si>
  <si>
    <t>Растворитель "Уайт-спирит"</t>
  </si>
  <si>
    <t>1.21-5-1545</t>
  </si>
  <si>
    <t>ТСН-2001.1 Доп. 79, Р. 21, о. 5, поз. 1545</t>
  </si>
  <si>
    <t>Гильзы кабельные медные типа ГМ 16</t>
  </si>
  <si>
    <t>1.21-5-1556</t>
  </si>
  <si>
    <t>ТСН-2001.1 Доп. 65, Р. 21, о. 5, поз. 1556</t>
  </si>
  <si>
    <t>Втулка трубная, полипропиленовая, диаметр 28 мм</t>
  </si>
  <si>
    <t>4200000000</t>
  </si>
  <si>
    <t>Аппараты настольные (4000000000, 4300000000)</t>
  </si>
  <si>
    <t>5296250000</t>
  </si>
  <si>
    <t>Шкафы настенные размерами до 640х840 мм</t>
  </si>
  <si>
    <t>Съемные и выдвижные блоки, ячейки, модули, типовые элементы замены (4300000000)</t>
  </si>
  <si>
    <t>4372910000</t>
  </si>
  <si>
    <t>Блоки контроля датчиков (контроллеры)</t>
  </si>
  <si>
    <t>2248200000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</si>
  <si>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</si>
  <si>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</si>
  <si>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</si>
  <si>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</si>
  <si>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</si>
  <si>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5772110000</t>
  </si>
  <si>
    <t>Короба с направляющими</t>
  </si>
  <si>
    <t>Перегородки разделительные</t>
  </si>
  <si>
    <t>Заглушки</t>
  </si>
  <si>
    <t>Углы внутренние</t>
  </si>
  <si>
    <t>Накладки стыковые</t>
  </si>
  <si>
    <t>Углы наружные</t>
  </si>
  <si>
    <t>Углы плоские</t>
  </si>
  <si>
    <t>3500000000</t>
  </si>
  <si>
    <t>Провода (марка и сечение по проекту)</t>
  </si>
  <si>
    <t>6671000000</t>
  </si>
  <si>
    <t>Реле (детали на пультах и панелях)</t>
  </si>
  <si>
    <t>6672300000</t>
  </si>
  <si>
    <t>Кнопки (детали на пультах и панелях)</t>
  </si>
  <si>
    <t>Блоки бесперебойного питания (ББП)</t>
  </si>
  <si>
    <t>1297020000</t>
  </si>
  <si>
    <t>Болты строительные с гайками и шайбами (1297030000, 1610000000, 1620000000, 1680000000)</t>
  </si>
  <si>
    <t>3430000000</t>
  </si>
  <si>
    <t>Шкафы (пульты) управления навесные</t>
  </si>
  <si>
    <t>Приборы, устанавливаемые на металлоконструкциях или щитах</t>
  </si>
  <si>
    <t>Приборы, устанавливаемые на резьбовых соединениях</t>
  </si>
  <si>
    <t>4218500000</t>
  </si>
  <si>
    <t>Механизмы исполнительные</t>
  </si>
  <si>
    <t>4236000000</t>
  </si>
  <si>
    <t>Щиты и пульты автоматики (4235000000)</t>
  </si>
  <si>
    <t>4372420000</t>
  </si>
  <si>
    <t>Блоки информационно-управляющие (БИУ)</t>
  </si>
  <si>
    <t>Переключатели (детали на пультах и панелях)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</si>
  <si>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</si>
  <si>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Блок управления ротацией и резервированием кондиционеров. Входит в состав системы ротации и резервирования кондиционеров, напряжение 220 В, потребляемая мощность 1,5 Вт, дальность радиосвязи 50 м, режим работы – непрерывный, диапазон измеряемых температур от -55 до +125°С, диапазон рабочих температур от -20 до +70°С, габаритные размеры 140х88х62 мм</t>
  </si>
  <si>
    <t>Блок исполнительный специализированный, для системы ротации и резервирования кондиционеров. Входит в систему ротации и резервирования кондиционеров, связь с базовым блоком по радиоканалу, напряжение 220 В, потребляемая мощность 0,6 Вт, дальность радиосвязи 50 м, режим работы – непрерывный, диапазон измеряемых температур от -55 до +125°С, диапазон рабочих температур от -20 до +70°С, габаритные размеры 105х65х30 мм</t>
  </si>
  <si>
    <t>Кабель силовой, с медными жилами, с изоляцией и оболочкой из ПВХ пластиката пониженной пожарной опасности, не распространяющий горение, с пониженным дымо- и газовыделением и с низкой токсичностью продуктов горения, марка ВВГнг(А)-LSLTх, напряжение 1000 В, число жил и сечение 5х1,5 мм2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</si>
  <si>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</si>
  <si>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</si>
  <si>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</si>
  <si>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</si>
  <si>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</si>
  <si>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</si>
  <si>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</si>
  <si>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</si>
  <si>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</si>
  <si>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</si>
  <si>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</si>
  <si>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</si>
  <si>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</si>
  <si>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</si>
  <si>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</si>
  <si>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</si>
  <si>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</si>
  <si>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</si>
  <si>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</si>
  <si>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</si>
  <si>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</si>
  <si>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</si>
  <si>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</si>
  <si>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</si>
  <si>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</si>
  <si>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</si>
  <si>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</si>
  <si>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</si>
  <si>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</si>
  <si>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4.11-7-2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</si>
  <si>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</si>
  <si>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</si>
  <si>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</si>
  <si>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</si>
  <si>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</si>
  <si>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</si>
  <si>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</si>
  <si>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</si>
  <si>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</si>
  <si>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</si>
  <si>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</si>
  <si>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Моноблок Lenovo V50a-24IMB</t>
    </r>
    <r>
      <rPr>
        <i/>
        <sz val="10"/>
        <color rgb="FF821E82"/>
        <rFont val="Arial"/>
        <family val="2"/>
        <charset val="204"/>
      </rPr>
      <t xml:space="preserve">
8 548,55 = [75 385 / 1,2 /  7,66] +  3% Трансп +  1,2% Заг.скл</t>
    </r>
  </si>
  <si>
    <r>
      <t>4.10-118-5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</si>
  <si>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МР</t>
  </si>
  <si>
    <r>
      <t>4.11-12-1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</si>
  <si>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Шлюз tGW-715i Segnetics</t>
    </r>
    <r>
      <rPr>
        <i/>
        <sz val="10"/>
        <color rgb="FF821E82"/>
        <rFont val="Arial"/>
        <family val="2"/>
        <charset val="204"/>
      </rPr>
      <t xml:space="preserve">
1 618,36 = [14 271,44 / 1,2 /  7,66] +  3% Трансп +  1,2% Заг.скл</t>
    </r>
  </si>
  <si>
    <r>
      <t>4.10-176-1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</si>
  <si>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Контроллер Matrix-2230-70-0 Segnetics</t>
    </r>
    <r>
      <rPr>
        <i/>
        <sz val="10"/>
        <color rgb="FF821E82"/>
        <rFont val="Arial"/>
        <family val="2"/>
        <charset val="204"/>
      </rPr>
      <t xml:space="preserve">
3 784,21 = [33 370,9 / 1,2 /  7,66] +  3% Трансп +  1,2% Заг.скл</t>
    </r>
  </si>
  <si>
    <r>
      <t>ОБОРУДОВАНИЕ:_x000D_
модуль сбора сигналов FMR-2222-10-0 Segnetics</t>
    </r>
    <r>
      <rPr>
        <i/>
        <sz val="10"/>
        <color rgb="FF821E82"/>
        <rFont val="Arial"/>
        <family val="2"/>
        <charset val="204"/>
      </rPr>
      <t xml:space="preserve">
1 475,55 = [13 012 / 1,2 /  7,66] +  3% Трансп +  1,2% Заг.скл</t>
    </r>
  </si>
  <si>
    <r>
      <t>ОБОРУДОВАНИЕ:_x000D_
ИБП SKAT-UPS 1000 Segnetics</t>
    </r>
    <r>
      <rPr>
        <i/>
        <sz val="10"/>
        <color rgb="FF821E82"/>
        <rFont val="Arial"/>
        <family val="2"/>
        <charset val="204"/>
      </rPr>
      <t xml:space="preserve">
8 137,48 = [71 760 / 1,2 /  7,66] +  3% Трансп +  1,2% Заг.скл</t>
    </r>
  </si>
  <si>
    <r>
      <t>4.8-288-2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</si>
  <si>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4.8-280-1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</si>
  <si>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4.8-175-1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</si>
  <si>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КПСЭнг(A)-LSLTx 1х2х0,75</t>
    </r>
    <r>
      <rPr>
        <i/>
        <sz val="10"/>
        <rFont val="Arial"/>
        <family val="2"/>
        <charset val="204"/>
      </rPr>
      <t xml:space="preserve">
5,08 = [59 / 1,2 /  9,88] +  2% Заг.скл</t>
    </r>
  </si>
  <si>
    <r>
      <t>4.8-162-1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</si>
  <si>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 xml:space="preserve">   Итого по ТСН-2001.16</t>
  </si>
  <si>
    <t xml:space="preserve">   Итого возвратных сумм</t>
  </si>
  <si>
    <r>
      <t>ОБОРУДОВАНИЕ:_x000D_
Исполнительная SCADA-система на 1000 внешних точек ввода-вывода MPS-MSRT4D-1K-S</t>
    </r>
    <r>
      <rPr>
        <i/>
        <sz val="10"/>
        <color rgb="FF821E82"/>
        <rFont val="Arial"/>
        <family val="2"/>
        <charset val="204"/>
      </rPr>
      <t xml:space="preserve">
19 386,42 = [148 500 /  7,66]</t>
    </r>
  </si>
  <si>
    <r>
      <t>ОБОРУДОВАНИЕ:_x000D_
OPC-сервер на одно рабочее место на 2500 точек. Universal Master OPC Server</t>
    </r>
    <r>
      <rPr>
        <i/>
        <sz val="10"/>
        <color rgb="FF821E82"/>
        <rFont val="Arial"/>
        <family val="2"/>
        <charset val="204"/>
      </rPr>
      <t xml:space="preserve">
1 031,33 = [9 480 / 1,2 /  7,66]</t>
    </r>
  </si>
  <si>
    <r>
      <t>4.10-59-2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</si>
  <si>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Датчик-реле уровня РОС301</t>
    </r>
    <r>
      <rPr>
        <i/>
        <sz val="10"/>
        <color rgb="FF821E82"/>
        <rFont val="Arial"/>
        <family val="2"/>
        <charset val="204"/>
      </rPr>
      <t xml:space="preserve">
1 077,29 = [9 500 / 1,2 /  7,66] +  3% Трансп +  1,2% Заг.скл</t>
    </r>
  </si>
  <si>
    <r>
      <t>Кабель КПСнг(A)-LSLTx 1х2х0,75</t>
    </r>
    <r>
      <rPr>
        <i/>
        <sz val="10"/>
        <rFont val="Arial"/>
        <family val="2"/>
        <charset val="204"/>
      </rPr>
      <t xml:space="preserve">
5,08 = [59 / 1,2 /  9,88] +  2% Заг.скл</t>
    </r>
  </si>
  <si>
    <r>
      <t>4.10-80-9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</si>
  <si>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Прибор приемно-контрольный и управления охранно-пожарный R3-Рубеж-2ОП</t>
    </r>
    <r>
      <rPr>
        <i/>
        <sz val="10"/>
        <color rgb="FF821E82"/>
        <rFont val="Arial"/>
        <family val="2"/>
        <charset val="204"/>
      </rPr>
      <t xml:space="preserve">
4 873,98 = [42 981 / 1,2 /  7,66] +  3% Трансп +  1,2% Заг.скл</t>
    </r>
  </si>
  <si>
    <r>
      <t>ОБОРУДОВАНИЕ:_x000D_
Модуль управления клапаном МДУ-1С прот.R3 МДУ-1С-R3</t>
    </r>
    <r>
      <rPr>
        <i/>
        <sz val="10"/>
        <color rgb="FF821E82"/>
        <rFont val="Arial"/>
        <family val="2"/>
        <charset val="204"/>
      </rPr>
      <t xml:space="preserve">
470,60 = [4 150 / 1,2 /  7,66] +  3% Трансп +  1,2% Заг.скл</t>
    </r>
  </si>
  <si>
    <r>
      <t>4.10-80-13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</si>
  <si>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Модуль релейный РМ-1К прот.R3 РМ-1К-R3</t>
    </r>
    <r>
      <rPr>
        <i/>
        <sz val="10"/>
        <color rgb="FF821E82"/>
        <rFont val="Arial"/>
        <family val="2"/>
        <charset val="204"/>
      </rPr>
      <t xml:space="preserve">
352,44 = [3 108 / 1,2 /  7,66] +  3% Трансп +  1,2% Заг.скл</t>
    </r>
  </si>
  <si>
    <r>
      <t>ОБОРУДОВАНИЕ:_x000D_
Модуль релейный РМ-4 прот.R3 РМ-4-R3</t>
    </r>
    <r>
      <rPr>
        <i/>
        <sz val="10"/>
        <color rgb="FF821E82"/>
        <rFont val="Arial"/>
        <family val="2"/>
        <charset val="204"/>
      </rPr>
      <t xml:space="preserve">
416,73 = [3 675 / 1,2 /  7,66] +  3% Трансп +  1,2% Заг.скл</t>
    </r>
  </si>
  <si>
    <r>
      <t>4.10-59-3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</si>
  <si>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ОБОРУДОВАНИЕ:_x000D_
Пост управления кнопочный, типа ПКЕ-212-1У3. Номинальное напряжение переменного тока частотой 50 Гц - 660 В, постоянного тока 440 В, номинальный ток 10 А, форма толкателя цилиндрическая, степень защиты IP40</t>
  </si>
  <si>
    <r>
      <t>4.10-173-2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</si>
  <si>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Источник вторичного электропитания резервирован-ный ИВЭПР 24/2,5 RS-R3</t>
    </r>
    <r>
      <rPr>
        <i/>
        <sz val="10"/>
        <color rgb="FF821E82"/>
        <rFont val="Arial"/>
        <family val="2"/>
        <charset val="204"/>
      </rPr>
      <t xml:space="preserve">
1 278,57 = [11 275 / 1,2 /  7,66] +  3% Трансп +  1,2% Заг.скл</t>
    </r>
  </si>
  <si>
    <r>
      <t>4.8-240-4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</si>
  <si>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Шкаф управления вентилятором ШУВ-3-00-R3</t>
    </r>
    <r>
      <rPr>
        <i/>
        <sz val="10"/>
        <color rgb="FF821E82"/>
        <rFont val="Arial"/>
        <family val="2"/>
        <charset val="204"/>
      </rPr>
      <t xml:space="preserve">
5 815,31 = [51 282 / 1,2 /  7,66] +  3% Трансп +  1,2% Заг.скл</t>
    </r>
  </si>
  <si>
    <r>
      <t>ОБОРУДОВАНИЕ:_x000D_
Шкаф управления вентилятором ШУВ-5.5-00-R3</t>
    </r>
    <r>
      <rPr>
        <i/>
        <sz val="10"/>
        <color rgb="FF821E82"/>
        <rFont val="Arial"/>
        <family val="2"/>
        <charset val="204"/>
      </rPr>
      <t xml:space="preserve">
5 872,34 = [51 785 / 1,2 /  7,66] +  3% Трансп +  1,2% Заг.скл</t>
    </r>
  </si>
  <si>
    <r>
      <t>ОБОРУДОВАНИЕ:_x000D_
Шкаф управления вентилятором ШУВ-22-00-R3</t>
    </r>
    <r>
      <rPr>
        <i/>
        <sz val="10"/>
        <color rgb="FF821E82"/>
        <rFont val="Arial"/>
        <family val="2"/>
        <charset val="204"/>
      </rPr>
      <t xml:space="preserve">
6 184,08 = [54 534 / 1,2 /  7,66] +  3% Трансп +  1,2% Заг.скл</t>
    </r>
  </si>
  <si>
    <r>
      <t>ОБОРУДОВАНИЕ:_x000D_
Шкаф управления вентилятором ШУВ-11-00-R3</t>
    </r>
    <r>
      <rPr>
        <i/>
        <sz val="10"/>
        <color rgb="FF821E82"/>
        <rFont val="Arial"/>
        <family val="2"/>
        <charset val="204"/>
      </rPr>
      <t xml:space="preserve">
6 028,16 = [53 159 / 1,2 /  7,66] +  3% Трансп +  1,2% Заг.скл</t>
    </r>
  </si>
  <si>
    <r>
      <t>ОБОРУДОВАНИЕ:_x000D_
Шкаф управления вентилятором ШУВ-15-00-R3</t>
    </r>
    <r>
      <rPr>
        <i/>
        <sz val="10"/>
        <color rgb="FF821E82"/>
        <rFont val="Arial"/>
        <family val="2"/>
        <charset val="204"/>
      </rPr>
      <t xml:space="preserve">
6 080,10 = [53 617 / 1,2 /  7,66] +  3% Трансп +  1,2% Заг.скл</t>
    </r>
  </si>
  <si>
    <r>
      <t>4.8-175-2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</si>
  <si>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КПСнг(А)-FRLSLTx 2х2x0.75</t>
    </r>
    <r>
      <rPr>
        <i/>
        <sz val="10"/>
        <rFont val="Arial"/>
        <family val="2"/>
        <charset val="204"/>
      </rPr>
      <t xml:space="preserve">
4,88 = [56,65 / 1,2 /  9,88] +  2% Заг.скл</t>
    </r>
  </si>
  <si>
    <r>
      <t>4.11-3-1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</si>
  <si>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Термостат 1м КР61</t>
    </r>
    <r>
      <rPr>
        <i/>
        <sz val="10"/>
        <color rgb="FF821E82"/>
        <rFont val="Arial"/>
        <family val="2"/>
        <charset val="204"/>
      </rPr>
      <t xml:space="preserve">
930,65 = [8 206,86 / 1,2 /  7,66] +  3% Трансп +  1,2% Заг.скл</t>
    </r>
  </si>
  <si>
    <r>
      <t>ОБОРУДОВАНИЕ:_x000D_
Термостат 3м КР61</t>
    </r>
    <r>
      <rPr>
        <i/>
        <sz val="10"/>
        <color rgb="FF821E82"/>
        <rFont val="Arial"/>
        <family val="2"/>
        <charset val="204"/>
      </rPr>
      <t xml:space="preserve">
1 022,40 = [9 016 / 1,2 /  7,66] +  3% Трансп +  1,2% Заг.скл</t>
    </r>
  </si>
  <si>
    <r>
      <t>ОБОРУДОВАНИЕ:_x000D_
Термостат 6м КР61</t>
    </r>
    <r>
      <rPr>
        <i/>
        <sz val="10"/>
        <color rgb="FF821E82"/>
        <rFont val="Arial"/>
        <family val="2"/>
        <charset val="204"/>
      </rPr>
      <t xml:space="preserve">
1 166,53 = [10 287 / 1,2 /  7,66] +  3% Трансп +  1,2% Заг.скл</t>
    </r>
  </si>
  <si>
    <r>
      <t>4.11-2-1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</si>
  <si>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Датчик температуры канальный ARK-3</t>
    </r>
    <r>
      <rPr>
        <i/>
        <sz val="10"/>
        <color rgb="FF821E82"/>
        <rFont val="Arial"/>
        <family val="2"/>
        <charset val="204"/>
      </rPr>
      <t xml:space="preserve">
369,45 = [3 258 / 1,2 /  7,66] +  3% Трансп +  1,2% Заг.скл</t>
    </r>
  </si>
  <si>
    <r>
      <t>ОБОРУДОВАНИЕ:_x000D_
Датчик температуры канальный ARK-3S</t>
    </r>
    <r>
      <rPr>
        <i/>
        <sz val="10"/>
        <color rgb="FF821E82"/>
        <rFont val="Arial"/>
        <family val="2"/>
        <charset val="204"/>
      </rPr>
      <t xml:space="preserve">
464,93 = [4 100 / 1,2 /  7,66] +  3% Трансп +  1,2% Заг.скл</t>
    </r>
  </si>
  <si>
    <r>
      <t>ОБОРУДОВАНИЕ:_x000D_
Датчик температуры наружного воздуха ARN-3</t>
    </r>
    <r>
      <rPr>
        <i/>
        <sz val="10"/>
        <color rgb="FF821E82"/>
        <rFont val="Arial"/>
        <family val="2"/>
        <charset val="204"/>
      </rPr>
      <t xml:space="preserve">
210,69 = [1 858 / 1,2 /  7,66] +  3% Трансп +  1,2% Заг.скл</t>
    </r>
  </si>
  <si>
    <r>
      <t>ОБОРУДОВАНИЕ:_x000D_
Датчик температуры воды погружной WTP-3</t>
    </r>
    <r>
      <rPr>
        <i/>
        <sz val="10"/>
        <color rgb="FF821E82"/>
        <rFont val="Arial"/>
        <family val="2"/>
        <charset val="204"/>
      </rPr>
      <t xml:space="preserve">
405,06 = [3 572 / 1,2 /  7,66] +  3% Трансп +  1,2% Заг.скл</t>
    </r>
  </si>
  <si>
    <r>
      <t>ОБОРУДОВАНИЕ:_x000D_
Датчик температуры воды накладной WTN-3</t>
    </r>
    <r>
      <rPr>
        <i/>
        <sz val="10"/>
        <color rgb="FF821E82"/>
        <rFont val="Arial"/>
        <family val="2"/>
        <charset val="204"/>
      </rPr>
      <t xml:space="preserve">
395,76 = [3 490 / 1,2 /  7,66] +  3% Трансп +  1,2% Заг.скл</t>
    </r>
  </si>
  <si>
    <r>
      <t>ОБОРУДОВАНИЕ:_x000D_
Датчик перепада давления 500 Pa DVL-500</t>
    </r>
    <r>
      <rPr>
        <i/>
        <sz val="10"/>
        <color rgb="FF821E82"/>
        <rFont val="Arial"/>
        <family val="2"/>
        <charset val="204"/>
      </rPr>
      <t xml:space="preserve">
192,78 = [1 700 / 1,2 /  7,66] +  3% Трансп +  1,2% Заг.скл</t>
    </r>
  </si>
  <si>
    <r>
      <t>ОБОРУДОВАНИЕ:_x000D_
Датчик перепада давления 200 Pa DVL-200</t>
    </r>
    <r>
      <rPr>
        <i/>
        <sz val="10"/>
        <color rgb="FF821E82"/>
        <rFont val="Arial"/>
        <family val="2"/>
        <charset val="204"/>
      </rPr>
      <t xml:space="preserve">
192,78 = [1 700 / 1,2 /  7,66] +  3% Трансп +  1,2% Заг.скл</t>
    </r>
  </si>
  <si>
    <r>
      <t>4.11-16-1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</si>
  <si>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Привод PDF 05/230.D</t>
    </r>
    <r>
      <rPr>
        <i/>
        <sz val="10"/>
        <color rgb="FF821E82"/>
        <rFont val="Arial"/>
        <family val="2"/>
        <charset val="204"/>
      </rPr>
      <t xml:space="preserve">
2 267,97 = [20 000 / 1,2 /  7,66] +  3% Трансп +  1,2% Заг.скл</t>
    </r>
  </si>
  <si>
    <r>
      <t>ОБОРУДОВАНИЕ:_x000D_
Привод PFF 03/230.D</t>
    </r>
    <r>
      <rPr>
        <i/>
        <sz val="10"/>
        <color rgb="FF821E82"/>
        <rFont val="Arial"/>
        <family val="2"/>
        <charset val="204"/>
      </rPr>
      <t xml:space="preserve">
1 511,95 = [13 333 / 1,2 /  7,66] +  3% Трансп +  1,2% Заг.скл</t>
    </r>
  </si>
  <si>
    <r>
      <t>ОБОРУДОВАНИЕ:_x000D_
Привод ELVA 05/24.M</t>
    </r>
    <r>
      <rPr>
        <i/>
        <sz val="10"/>
        <color rgb="FF821E82"/>
        <rFont val="Arial"/>
        <family val="2"/>
        <charset val="204"/>
      </rPr>
      <t xml:space="preserve">
1 587,58 = [14 000 / 1,2 /  7,66] +  3% Трансп +  1,2% Заг.скл</t>
    </r>
  </si>
  <si>
    <r>
      <t>ОБОРУДОВАНИЕ:_x000D_
Привод PFF 10/230.D</t>
    </r>
    <r>
      <rPr>
        <i/>
        <sz val="10"/>
        <color rgb="FF821E82"/>
        <rFont val="Arial"/>
        <family val="2"/>
        <charset val="204"/>
      </rPr>
      <t xml:space="preserve">
2 026,09 = [17 867 / 1,2 /  7,66] +  3% Трансп +  1,2% Заг.скл</t>
    </r>
  </si>
  <si>
    <r>
      <t>ОБОРУДОВАНИЕ:_x000D_
Привод PFS 05/230.DT</t>
    </r>
    <r>
      <rPr>
        <i/>
        <sz val="10"/>
        <color rgb="FF821E82"/>
        <rFont val="Arial"/>
        <family val="2"/>
        <charset val="204"/>
      </rPr>
      <t xml:space="preserve">
1 012,98 = [8 933 / 1,2 /  7,66] +  3% Трансп +  1,2% Заг.скл</t>
    </r>
  </si>
  <si>
    <r>
      <t>4.11-17-1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</si>
  <si>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Блок управления ACW ZE-3R0</t>
    </r>
    <r>
      <rPr>
        <i/>
        <sz val="10"/>
        <color rgb="FF821E82"/>
        <rFont val="Arial"/>
        <family val="2"/>
        <charset val="204"/>
      </rPr>
      <t xml:space="preserve">
17 385,40 = [153 312,25 / 1,2 /  7,66] +  3% Трансп +  1,2% Заг.скл</t>
    </r>
  </si>
  <si>
    <r>
      <t>ОБОРУДОВАНИЕ:_x000D_
Блок управления ACW ZE-1R0</t>
    </r>
    <r>
      <rPr>
        <i/>
        <sz val="10"/>
        <color rgb="FF821E82"/>
        <rFont val="Arial"/>
        <family val="2"/>
        <charset val="204"/>
      </rPr>
      <t xml:space="preserve">
18 491,53 = [163 066,63 / 1,2 /  7,66] +  3% Трансп +  1,2% Заг.скл</t>
    </r>
  </si>
  <si>
    <r>
      <t>ОБОРУДОВАНИЕ:_x000D_
Блок управления ACW ZE-10</t>
    </r>
    <r>
      <rPr>
        <i/>
        <sz val="10"/>
        <color rgb="FF821E82"/>
        <rFont val="Arial"/>
        <family val="2"/>
        <charset val="204"/>
      </rPr>
      <t xml:space="preserve">
18 491,53 = [163 066,63 / 1,2 /  7,66] +  3% Трансп +  1,2% Заг.скл</t>
    </r>
  </si>
  <si>
    <r>
      <t>ОБОРУДОВАНИЕ:_x000D_
Блок управления ACW ZE-3R0 1H25</t>
    </r>
    <r>
      <rPr>
        <i/>
        <sz val="10"/>
        <color rgb="FF821E82"/>
        <rFont val="Arial"/>
        <family val="2"/>
        <charset val="204"/>
      </rPr>
      <t xml:space="preserve">
19 615,83 = [172 981,24 / 1,2 /  7,66] +  3% Трансп +  1,2% Заг.скл</t>
    </r>
  </si>
  <si>
    <r>
      <t>ОБОРУДОВАНИЕ:_x000D_
Блок управления ACW ZE-1R0 ED</t>
    </r>
    <r>
      <rPr>
        <i/>
        <sz val="10"/>
        <color rgb="FF821E82"/>
        <rFont val="Arial"/>
        <family val="2"/>
        <charset val="204"/>
      </rPr>
      <t xml:space="preserve">
20 317,56 = [179 169,38 / 1,2 /  7,66] +  3% Трансп +  1,2% Заг.скл</t>
    </r>
  </si>
  <si>
    <r>
      <t>ОБОРУДОВАНИЕ:_x000D_
Блок управления ACE ZE-E3</t>
    </r>
    <r>
      <rPr>
        <i/>
        <sz val="10"/>
        <color rgb="FF821E82"/>
        <rFont val="Arial"/>
        <family val="2"/>
        <charset val="204"/>
      </rPr>
      <t xml:space="preserve">
19 055,73 = [168 042 / 1,2 /  7,66] +  3% Трансп +  1,2% Заг.скл</t>
    </r>
  </si>
  <si>
    <r>
      <t>ОБОРУДОВАНИЕ:_x000D_
Блок управления ACW ZE-11</t>
    </r>
    <r>
      <rPr>
        <i/>
        <sz val="10"/>
        <color rgb="FF821E82"/>
        <rFont val="Arial"/>
        <family val="2"/>
        <charset val="204"/>
      </rPr>
      <t xml:space="preserve">
17 832,93 = [157 258,74 / 1,2 /  7,66] +  3% Трансп +  1,2% Заг.скл</t>
    </r>
  </si>
  <si>
    <r>
      <t>ОБОРУДОВАНИЕ:_x000D_
Комплект частотного преобразователя 4 кВт</t>
    </r>
    <r>
      <rPr>
        <i/>
        <sz val="10"/>
        <color rgb="FF821E82"/>
        <rFont val="Arial"/>
        <family val="2"/>
        <charset val="204"/>
      </rPr>
      <t xml:space="preserve">
3 803,39 = [33 540 / 1,2 /  7,66] +  3% Трансп +  1,2% Заг.скл</t>
    </r>
  </si>
  <si>
    <r>
      <t>ОБОРУДОВАНИЕ:_x000D_
Комплект частотного преобразователя 1,5 кВт, 7 А, 220 В</t>
    </r>
    <r>
      <rPr>
        <i/>
        <sz val="10"/>
        <color rgb="FF821E82"/>
        <rFont val="Arial"/>
        <family val="2"/>
        <charset val="204"/>
      </rPr>
      <t xml:space="preserve">
1 656,30 = [14 606 / 1,2 /  7,66] +  3% Трансп +  1,2% Заг.скл</t>
    </r>
  </si>
  <si>
    <r>
      <t>ОБОРУДОВАНИЕ:_x000D_
Комплект частотного преобразователя 5,5 кВт, 13 А, 380 В</t>
    </r>
    <r>
      <rPr>
        <i/>
        <sz val="10"/>
        <color rgb="FF821E82"/>
        <rFont val="Arial"/>
        <family val="2"/>
        <charset val="204"/>
      </rPr>
      <t xml:space="preserve">
5 531,24 = [48 777 / 1,2 /  7,66] +  3% Трансп +  1,2% Заг.скл</t>
    </r>
  </si>
  <si>
    <r>
      <t>ОБОРУДОВАНИЕ:_x000D_
Комплект частотного преобразователя 2,2 кВт, 6 А, 380 В</t>
    </r>
    <r>
      <rPr>
        <i/>
        <sz val="10"/>
        <color rgb="FF821E82"/>
        <rFont val="Arial"/>
        <family val="2"/>
        <charset val="204"/>
      </rPr>
      <t xml:space="preserve">
2 637,88 = [23 262 / 1,2 /  7,66] +  3% Трансп +  1,2% Заг.скл</t>
    </r>
  </si>
  <si>
    <r>
      <t>ОБОРУДОВАНИЕ:_x000D_
Комплект частотного преобразователя 0,75 кВт, 4 А, 220 В</t>
    </r>
    <r>
      <rPr>
        <i/>
        <sz val="10"/>
        <color rgb="FF821E82"/>
        <rFont val="Arial"/>
        <family val="2"/>
        <charset val="204"/>
      </rPr>
      <t xml:space="preserve">
1 482,46 = [13 073 / 1,2 /  7,66] +  3% Трансп +  1,2% Заг.скл</t>
    </r>
  </si>
  <si>
    <r>
      <t>ОБОРУДОВАНИЕ:_x000D_
Регулятор скорости STY-1,5</t>
    </r>
    <r>
      <rPr>
        <i/>
        <sz val="10"/>
        <color rgb="FF821E82"/>
        <rFont val="Arial"/>
        <family val="2"/>
        <charset val="204"/>
      </rPr>
      <t xml:space="preserve">
272,16 = [2 400 / 1,2 /  7,66] +  3% Трансп +  1,2% Заг.скл</t>
    </r>
  </si>
  <si>
    <t>ОБОРУДОВАНИЕ:_x000D_
Блок управления ротацией и резервированием кондиционеров. Входит в состав системы ротации и резервирования кондиционеров, напряжение 220 В, потребляемая мощность 1,5 Вт, дальность радиосвязи 50 м, режим работы – непрерывный, диапазон измеряемых температур от -55 до +125°С, диапазон рабочих температур от -20 до +70°С, габаритные размеры 140х88х62 мм</t>
  </si>
  <si>
    <t>ОБОРУДОВАНИЕ:_x000D_
Блок исполнительный специализированный, для системы ротации и резервирования кондиционеров. Входит в систему ротации и резервирования кондиционеров, связь с базовым блоком по радиоканалу, напряжение 220 В, потребляемая мощность 0,6 Вт, дальность радиосвязи 50 м, режим работы – непрерывный, диапазон измеряемых температур от -55 до +125°С, диапазон рабочих температур от -20 до +70°С, габаритные размеры 105х65х30 мм</t>
  </si>
  <si>
    <r>
      <t>Блок навесной КМПн 2/2</t>
    </r>
    <r>
      <rPr>
        <i/>
        <sz val="10"/>
        <rFont val="Arial"/>
        <family val="2"/>
        <charset val="204"/>
      </rPr>
      <t xml:space="preserve">
15,65 = [181,91 / 1,2 /  9,88] +  2% Заг.скл</t>
    </r>
  </si>
  <si>
    <r>
      <t>4.8-175-3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</si>
  <si>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Контроллер Matrix-2230-70-4 Segnetics</t>
    </r>
    <r>
      <rPr>
        <i/>
        <sz val="10"/>
        <color rgb="FF821E82"/>
        <rFont val="Arial"/>
        <family val="2"/>
        <charset val="204"/>
      </rPr>
      <t xml:space="preserve">
2 922,28 = [25 770 / 1,2 /  7,66] +  3% Трансп +  1,2% Заг.скл</t>
    </r>
  </si>
  <si>
    <r>
      <t>4.10-59-1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</si>
  <si>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Переключатель LAY5-BD33 на 3 полож. LAY5-BD33</t>
    </r>
    <r>
      <rPr>
        <i/>
        <sz val="10"/>
        <color rgb="FF821E82"/>
        <rFont val="Arial"/>
        <family val="2"/>
        <charset val="204"/>
      </rPr>
      <t xml:space="preserve">
41,43 = [365,4 / 1,2 /  7,66]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</si>
  <si>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</si>
  <si>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</si>
  <si>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</si>
  <si>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</si>
  <si>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</si>
  <si>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</si>
  <si>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</si>
  <si>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</si>
  <si>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</si>
  <si>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</si>
  <si>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</si>
  <si>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</si>
  <si>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</si>
  <si>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</si>
  <si>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Капитальный ремонт здания ГБОУ города Москвы «Школа №236» по адресу: город Москва, улица Клязьминская, дом 7, корп. 4</t>
  </si>
  <si>
    <t>Капитальный ремонт здания ГБОУ города Москвы «Школа №236» по адресу: город Москва, улица Клязьминская, дом 7, корп. 4 1этап</t>
  </si>
  <si>
    <t>Жабина Е.В.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</si>
</sst>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17" fillId="0" borderId="2" xfId="0" applyNumberFormat="1" applyFont="1" applyBorder="1" applyAlignment="1">
      <alignment horizontal="right"/>
    </xf>
    <xf numFmtId="0" fontId="17" fillId="0" borderId="0" xfId="0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0" fillId="0" borderId="0" xfId="0" applyNumberFormat="1"/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wrapText="1"/>
    </xf>
    <xf numFmtId="0" fontId="20" fillId="0" borderId="1" xfId="0" applyFont="1" applyBorder="1" applyAlignment="1">
      <alignment horizontal="right"/>
    </xf>
    <xf numFmtId="164" fontId="20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horizontal="right" wrapText="1"/>
    </xf>
    <xf numFmtId="0" fontId="23" fillId="0" borderId="0" xfId="0" applyFont="1"/>
    <xf numFmtId="0" fontId="24" fillId="0" borderId="0" xfId="0" applyFont="1"/>
    <xf numFmtId="164" fontId="24" fillId="0" borderId="2" xfId="0" applyNumberFormat="1" applyFont="1" applyBorder="1" applyAlignment="1">
      <alignment horizontal="right"/>
    </xf>
    <xf numFmtId="0" fontId="12" fillId="0" borderId="0" xfId="0" quotePrefix="1" applyFont="1" applyAlignment="1">
      <alignment horizontal="right" wrapText="1"/>
    </xf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/>
    </xf>
  </cellXfs>
  <cellStyles count="2">
    <cellStyle name="Обычный" xfId="0" builtinId="0"/>
    <cellStyle name="Обычный 4" xfId="1" xr:uid="{E52C139A-1CC8-46B4-B9AB-8D822866B7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9EB1-6FA5-477C-A62A-1BE63B6295A5}">
  <sheetPr>
    <pageSetUpPr fitToPage="1"/>
  </sheetPr>
  <dimension ref="A1:AQ821"/>
  <sheetViews>
    <sheetView tabSelected="1" topLeftCell="A782" zoomScaleNormal="100" workbookViewId="0">
      <selection activeCell="H818" sqref="H818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140625" bestFit="1" customWidth="1"/>
    <col min="6" max="6" width="11.28515625" bestFit="1" customWidth="1"/>
    <col min="7" max="7" width="8.5703125" bestFit="1" customWidth="1"/>
    <col min="9" max="9" width="12.5703125" bestFit="1" customWidth="1"/>
    <col min="10" max="10" width="11.28515625" bestFit="1" customWidth="1"/>
    <col min="11" max="11" width="14.710937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19" t="s">
        <v>679</v>
      </c>
      <c r="K2" s="19"/>
    </row>
    <row r="3" spans="1:42" ht="16.5" x14ac:dyDescent="0.25">
      <c r="A3" s="13"/>
      <c r="B3" s="14" t="s">
        <v>677</v>
      </c>
      <c r="C3" s="14"/>
      <c r="D3" s="14"/>
      <c r="E3" s="14"/>
      <c r="F3" s="12"/>
      <c r="G3" s="14" t="s">
        <v>678</v>
      </c>
      <c r="H3" s="14"/>
      <c r="I3" s="14"/>
      <c r="J3" s="14"/>
      <c r="K3" s="14"/>
    </row>
    <row r="4" spans="1:42" ht="14.25" x14ac:dyDescent="0.2">
      <c r="A4" s="12"/>
      <c r="B4" s="15"/>
      <c r="C4" s="15"/>
      <c r="D4" s="15"/>
      <c r="E4" s="15"/>
      <c r="F4" s="12"/>
      <c r="G4" s="15"/>
      <c r="H4" s="15"/>
      <c r="I4" s="15"/>
      <c r="J4" s="15"/>
      <c r="K4" s="15"/>
    </row>
    <row r="5" spans="1:42" ht="14.25" x14ac:dyDescent="0.2">
      <c r="A5" s="12"/>
      <c r="B5" s="12"/>
      <c r="C5" s="16"/>
      <c r="D5" s="16"/>
      <c r="E5" s="16"/>
      <c r="F5" s="12"/>
      <c r="G5" s="16"/>
      <c r="H5" s="16"/>
      <c r="I5" s="16"/>
      <c r="J5" s="16"/>
      <c r="K5" s="16"/>
    </row>
    <row r="6" spans="1:42" ht="14.25" x14ac:dyDescent="0.2">
      <c r="A6" s="16"/>
      <c r="B6" s="15" t="str">
        <f>CONCATENATE("______________________ ", IF(Source!AL12&lt;&gt;"", Source!AL12, ""))</f>
        <v xml:space="preserve">______________________ </v>
      </c>
      <c r="C6" s="15"/>
      <c r="D6" s="15"/>
      <c r="E6" s="15"/>
      <c r="F6" s="12"/>
      <c r="G6" s="15" t="str">
        <f>CONCATENATE("______________________ ", IF(Source!AH12&lt;&gt;"", Source!AH12, ""))</f>
        <v xml:space="preserve">______________________ </v>
      </c>
      <c r="H6" s="15"/>
      <c r="I6" s="15"/>
      <c r="J6" s="15"/>
      <c r="K6" s="15"/>
    </row>
    <row r="7" spans="1:42" ht="14.25" x14ac:dyDescent="0.2">
      <c r="A7" s="17"/>
      <c r="B7" s="18" t="s">
        <v>680</v>
      </c>
      <c r="C7" s="18"/>
      <c r="D7" s="18"/>
      <c r="E7" s="18"/>
      <c r="F7" s="12"/>
      <c r="G7" s="18" t="s">
        <v>680</v>
      </c>
      <c r="H7" s="18"/>
      <c r="I7" s="18"/>
      <c r="J7" s="18"/>
      <c r="K7" s="18"/>
    </row>
    <row r="9" spans="1:42" ht="14.25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42" ht="31.5" x14ac:dyDescent="0.25">
      <c r="A10" s="20" t="s">
        <v>811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AP10" s="36" t="s">
        <v>5</v>
      </c>
    </row>
    <row r="11" spans="1:42" x14ac:dyDescent="0.2">
      <c r="A11" s="21" t="s">
        <v>681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42" ht="14.2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42" ht="15.75" x14ac:dyDescent="0.25">
      <c r="A13" s="20" t="str">
        <f>CONCATENATE( "ЛОКАЛЬНАЯ СМЕТА № ",IF(Source!F20&lt;&gt;"Новая локальная смета", Source!F20, ""))</f>
        <v>ЛОКАЛЬНАЯ СМЕТА № 02-01-18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42" ht="14.25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42" ht="18" x14ac:dyDescent="0.25">
      <c r="A15" s="23" t="str">
        <f>IF(Source!G20&lt;&gt;"Новая локальная смета", Source!G20, "")</f>
        <v>Автоматизация и диспетчеризация инженерных систем.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42" x14ac:dyDescent="0.2">
      <c r="A16" s="24" t="s">
        <v>682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42" ht="14.25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42" ht="14.25" x14ac:dyDescent="0.2">
      <c r="A18" s="26" t="str">
        <f>CONCATENATE( "Основание: чертежи № ", Source!J20)</f>
        <v>Основание: чертежи № 2024-00272-01-0-ИОС5.11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42" ht="14.25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42" ht="71.25" x14ac:dyDescent="0.2">
      <c r="A20" s="12"/>
      <c r="B20" s="12"/>
      <c r="C20" s="12"/>
      <c r="D20" s="12"/>
      <c r="E20" s="12"/>
      <c r="F20" s="12"/>
      <c r="G20" s="12"/>
      <c r="H20" s="12"/>
      <c r="I20" s="28" t="s">
        <v>683</v>
      </c>
      <c r="J20" s="28" t="s">
        <v>684</v>
      </c>
      <c r="K20" s="12"/>
    </row>
    <row r="21" spans="1:42" ht="15" x14ac:dyDescent="0.25">
      <c r="A21" s="12"/>
      <c r="B21" s="12"/>
      <c r="C21" s="12"/>
      <c r="D21" s="12"/>
      <c r="E21" s="29" t="s">
        <v>685</v>
      </c>
      <c r="F21" s="29"/>
      <c r="G21" s="29"/>
      <c r="H21" s="29"/>
      <c r="I21" s="30">
        <f>I22+I23+I24+I25</f>
        <v>1958.58</v>
      </c>
      <c r="J21" s="30">
        <f>J22+J23+J24+J25</f>
        <v>19507.41</v>
      </c>
      <c r="K21" s="31" t="s">
        <v>796</v>
      </c>
    </row>
    <row r="22" spans="1:42" ht="14.25" x14ac:dyDescent="0.2">
      <c r="A22" s="12"/>
      <c r="B22" s="12"/>
      <c r="C22" s="12"/>
      <c r="D22" s="12"/>
      <c r="E22" s="15" t="s">
        <v>686</v>
      </c>
      <c r="F22" s="15"/>
      <c r="G22" s="15"/>
      <c r="H22" s="15"/>
      <c r="I22" s="32">
        <f>ROUND((Source!F612)/1000, 2)</f>
        <v>0</v>
      </c>
      <c r="J22" s="32">
        <f>ROUND((Source!P612)/1000, 2)</f>
        <v>0</v>
      </c>
      <c r="K22" s="12" t="s">
        <v>796</v>
      </c>
    </row>
    <row r="23" spans="1:42" ht="14.25" x14ac:dyDescent="0.2">
      <c r="A23" s="12"/>
      <c r="B23" s="12"/>
      <c r="C23" s="12"/>
      <c r="D23" s="12"/>
      <c r="E23" s="15" t="s">
        <v>687</v>
      </c>
      <c r="F23" s="15"/>
      <c r="G23" s="15"/>
      <c r="H23" s="15"/>
      <c r="I23" s="32">
        <f>ROUND((Source!F613)/1000, 2)</f>
        <v>298.81</v>
      </c>
      <c r="J23" s="32">
        <f>ROUND((Source!P613)/1000, 2)</f>
        <v>6896.99</v>
      </c>
      <c r="K23" s="12" t="s">
        <v>796</v>
      </c>
    </row>
    <row r="24" spans="1:42" ht="14.25" x14ac:dyDescent="0.2">
      <c r="A24" s="12"/>
      <c r="B24" s="12"/>
      <c r="C24" s="12"/>
      <c r="D24" s="12"/>
      <c r="E24" s="15" t="s">
        <v>688</v>
      </c>
      <c r="F24" s="15"/>
      <c r="G24" s="15"/>
      <c r="H24" s="15"/>
      <c r="I24" s="32">
        <f>ROUND((Source!F604)/1000, 2)</f>
        <v>1659.77</v>
      </c>
      <c r="J24" s="32">
        <f>ROUND((Source!P604)/1000, 2)</f>
        <v>12610.42</v>
      </c>
      <c r="K24" s="12" t="s">
        <v>796</v>
      </c>
    </row>
    <row r="25" spans="1:42" ht="14.25" x14ac:dyDescent="0.2">
      <c r="A25" s="12"/>
      <c r="B25" s="12"/>
      <c r="C25" s="12"/>
      <c r="D25" s="12"/>
      <c r="E25" s="15" t="s">
        <v>689</v>
      </c>
      <c r="F25" s="15"/>
      <c r="G25" s="15"/>
      <c r="H25" s="15"/>
      <c r="I25" s="32">
        <f>ROUND((Source!F614+Source!F615)/1000, 2)</f>
        <v>0</v>
      </c>
      <c r="J25" s="32">
        <f>ROUND((Source!P614+Source!P615)/1000, 2)</f>
        <v>0</v>
      </c>
      <c r="K25" s="12" t="s">
        <v>796</v>
      </c>
    </row>
    <row r="26" spans="1:42" ht="14.25" x14ac:dyDescent="0.2">
      <c r="A26" s="12"/>
      <c r="B26" s="12"/>
      <c r="C26" s="12"/>
      <c r="D26" s="12"/>
      <c r="E26" s="15" t="s">
        <v>690</v>
      </c>
      <c r="F26" s="15"/>
      <c r="G26" s="15"/>
      <c r="H26" s="15"/>
      <c r="I26" s="32">
        <f>(Source!F610+ Source!F609)/1000</f>
        <v>41.817440000000005</v>
      </c>
      <c r="J26" s="32">
        <f>((Source!P610 + Source!P609)/1000)</f>
        <v>2299.5410400000001</v>
      </c>
      <c r="K26" s="12" t="s">
        <v>796</v>
      </c>
    </row>
    <row r="27" spans="1:42" ht="14.25" x14ac:dyDescent="0.2">
      <c r="A27" s="12"/>
      <c r="B27" s="12"/>
      <c r="C27" s="12"/>
      <c r="D27" s="12"/>
      <c r="E27" s="15" t="s">
        <v>691</v>
      </c>
      <c r="F27" s="15"/>
      <c r="G27" s="15"/>
      <c r="H27" s="15"/>
      <c r="I27" s="32">
        <f>Source!F617</f>
        <v>3300.0132297</v>
      </c>
      <c r="J27" s="32"/>
      <c r="K27" s="12" t="s">
        <v>502</v>
      </c>
    </row>
    <row r="28" spans="1:42" ht="14.25" hidden="1" x14ac:dyDescent="0.2">
      <c r="A28" s="12"/>
      <c r="B28" s="12"/>
      <c r="C28" s="12"/>
      <c r="D28" s="12"/>
      <c r="E28" s="15" t="s">
        <v>692</v>
      </c>
      <c r="F28" s="15"/>
      <c r="G28" s="15"/>
      <c r="H28" s="15"/>
      <c r="I28" s="32"/>
      <c r="J28" s="32"/>
      <c r="K28" s="12"/>
    </row>
    <row r="29" spans="1:42" ht="14.25" hidden="1" x14ac:dyDescent="0.2">
      <c r="A29" s="12"/>
      <c r="B29" s="12"/>
      <c r="C29" s="12"/>
      <c r="D29" s="12"/>
      <c r="E29" s="33" t="s">
        <v>157</v>
      </c>
      <c r="F29" s="33"/>
      <c r="G29" s="33"/>
      <c r="H29" s="33"/>
      <c r="I29" s="32">
        <f>SUM(Y35:Y814)/1000</f>
        <v>0</v>
      </c>
      <c r="J29" s="32">
        <f>SUM(Z35:Z814)/1000</f>
        <v>0</v>
      </c>
      <c r="K29" s="12" t="s">
        <v>796</v>
      </c>
    </row>
    <row r="30" spans="1:42" ht="14.25" x14ac:dyDescent="0.2">
      <c r="A30" s="12"/>
      <c r="B30" s="12"/>
      <c r="C30" s="12"/>
      <c r="D30" s="12"/>
      <c r="E30" s="12"/>
      <c r="F30" s="16"/>
      <c r="G30" s="16"/>
      <c r="H30" s="16"/>
      <c r="I30" s="32"/>
      <c r="J30" s="32"/>
      <c r="K30" s="12"/>
    </row>
    <row r="31" spans="1:42" ht="14.25" x14ac:dyDescent="0.2">
      <c r="A31" s="12" t="s">
        <v>703</v>
      </c>
      <c r="B31" s="12"/>
      <c r="C31" s="12"/>
      <c r="D31" s="12"/>
      <c r="E31" s="12"/>
      <c r="F31" s="16"/>
      <c r="G31" s="16"/>
      <c r="H31" s="16"/>
      <c r="I31" s="32"/>
      <c r="J31" s="32"/>
      <c r="K31" s="12"/>
    </row>
    <row r="32" spans="1:42" ht="28.5" x14ac:dyDescent="0.2">
      <c r="A32" s="26" t="s">
        <v>704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AP32" s="37" t="s">
        <v>704</v>
      </c>
    </row>
    <row r="33" spans="1:29" ht="114" x14ac:dyDescent="0.2">
      <c r="A33" s="34" t="s">
        <v>693</v>
      </c>
      <c r="B33" s="34" t="s">
        <v>694</v>
      </c>
      <c r="C33" s="34" t="s">
        <v>695</v>
      </c>
      <c r="D33" s="34" t="s">
        <v>696</v>
      </c>
      <c r="E33" s="34" t="s">
        <v>697</v>
      </c>
      <c r="F33" s="34" t="s">
        <v>698</v>
      </c>
      <c r="G33" s="35" t="s">
        <v>699</v>
      </c>
      <c r="H33" s="35" t="s">
        <v>700</v>
      </c>
      <c r="I33" s="34" t="s">
        <v>705</v>
      </c>
      <c r="J33" s="34" t="s">
        <v>701</v>
      </c>
      <c r="K33" s="34" t="s">
        <v>702</v>
      </c>
    </row>
    <row r="34" spans="1:29" ht="14.25" x14ac:dyDescent="0.2">
      <c r="A34" s="34">
        <v>1</v>
      </c>
      <c r="B34" s="34">
        <v>2</v>
      </c>
      <c r="C34" s="34">
        <v>3</v>
      </c>
      <c r="D34" s="34">
        <v>4</v>
      </c>
      <c r="E34" s="34">
        <v>5</v>
      </c>
      <c r="F34" s="34">
        <v>6</v>
      </c>
      <c r="G34" s="34">
        <v>7</v>
      </c>
      <c r="H34" s="34">
        <v>8</v>
      </c>
      <c r="I34" s="34">
        <v>9</v>
      </c>
      <c r="J34" s="34">
        <v>10</v>
      </c>
      <c r="K34" s="34">
        <v>11</v>
      </c>
    </row>
    <row r="36" spans="1:29" ht="16.5" x14ac:dyDescent="0.25">
      <c r="A36" s="38" t="str">
        <f>CONCATENATE("Раздел: ",IF(Source!G24&lt;&gt;"Новый раздел", Source!G24, ""))</f>
        <v>Раздел: Система управления и диспетчерского контроля инженерного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</row>
    <row r="37" spans="1:29" ht="78" x14ac:dyDescent="0.2">
      <c r="A37" s="39">
        <v>1</v>
      </c>
      <c r="B37" s="39" t="s">
        <v>706</v>
      </c>
      <c r="C37" s="39" t="s">
        <v>20</v>
      </c>
      <c r="D37" s="40" t="str">
        <f>Source!H28</f>
        <v>1  ШТ.</v>
      </c>
      <c r="E37" s="11">
        <f>Source!I28</f>
        <v>1</v>
      </c>
      <c r="F37" s="42"/>
      <c r="G37" s="41"/>
      <c r="H37" s="11"/>
      <c r="I37" s="42"/>
      <c r="J37" s="11"/>
      <c r="K37" s="42"/>
      <c r="Q37">
        <f>Source!X28</f>
        <v>40</v>
      </c>
      <c r="R37">
        <f>Source!X29</f>
        <v>2199.38</v>
      </c>
      <c r="S37">
        <f>Source!Y28</f>
        <v>20.440000000000001</v>
      </c>
      <c r="T37">
        <f>Source!Y29</f>
        <v>1124.1300000000001</v>
      </c>
      <c r="U37">
        <f>ROUND((175/100)*ROUND(Source!R28, 2), 2)</f>
        <v>8.14</v>
      </c>
      <c r="V37">
        <f>ROUND((0/100)*ROUND(Source!R29, 2), 2)</f>
        <v>0</v>
      </c>
      <c r="AC37">
        <v>0</v>
      </c>
    </row>
    <row r="38" spans="1:29" ht="14.25" x14ac:dyDescent="0.2">
      <c r="A38" s="39"/>
      <c r="B38" s="39"/>
      <c r="C38" s="39" t="s">
        <v>707</v>
      </c>
      <c r="D38" s="40"/>
      <c r="E38" s="11"/>
      <c r="F38" s="42">
        <f>Source!AO28</f>
        <v>34.549999999999997</v>
      </c>
      <c r="G38" s="41" t="str">
        <f>Source!DG28</f>
        <v>*1,1</v>
      </c>
      <c r="H38" s="11">
        <f>Source!AV29</f>
        <v>1.0469999999999999</v>
      </c>
      <c r="I38" s="42">
        <f>Source!S28</f>
        <v>39.79</v>
      </c>
      <c r="J38" s="11">
        <f>IF(Source!BA29&lt;&gt; 0, Source!BA29, 1)</f>
        <v>54.99</v>
      </c>
      <c r="K38" s="42">
        <f>Source!S29</f>
        <v>2188.0500000000002</v>
      </c>
    </row>
    <row r="39" spans="1:29" ht="14.25" x14ac:dyDescent="0.2">
      <c r="A39" s="39"/>
      <c r="B39" s="39"/>
      <c r="C39" s="39" t="s">
        <v>708</v>
      </c>
      <c r="D39" s="40"/>
      <c r="E39" s="11"/>
      <c r="F39" s="42">
        <f>Source!AM28</f>
        <v>26.59</v>
      </c>
      <c r="G39" s="41" t="str">
        <f>Source!DE28</f>
        <v>*1,1</v>
      </c>
      <c r="H39" s="11">
        <f>Source!AV29</f>
        <v>1.0469999999999999</v>
      </c>
      <c r="I39" s="42">
        <f>Source!Q28</f>
        <v>30.62</v>
      </c>
      <c r="J39" s="11">
        <f>IF(Source!BB29&lt;&gt; 0, Source!BB29, 1)</f>
        <v>16.3</v>
      </c>
      <c r="K39" s="42">
        <f>Source!Q29</f>
        <v>499.11</v>
      </c>
    </row>
    <row r="40" spans="1:29" ht="14.25" x14ac:dyDescent="0.2">
      <c r="A40" s="39"/>
      <c r="B40" s="39"/>
      <c r="C40" s="39" t="s">
        <v>709</v>
      </c>
      <c r="D40" s="40"/>
      <c r="E40" s="11"/>
      <c r="F40" s="42">
        <f>Source!AN28</f>
        <v>4.04</v>
      </c>
      <c r="G40" s="41" t="str">
        <f>Source!DF28</f>
        <v>*1,1</v>
      </c>
      <c r="H40" s="11">
        <f>Source!AV29</f>
        <v>1.0469999999999999</v>
      </c>
      <c r="I40" s="43">
        <f>Source!R28</f>
        <v>4.6500000000000004</v>
      </c>
      <c r="J40" s="11">
        <f>IF(Source!BS29&lt;&gt; 0, Source!BS29, 1)</f>
        <v>54.99</v>
      </c>
      <c r="K40" s="43">
        <f>Source!R29</f>
        <v>255.7</v>
      </c>
    </row>
    <row r="41" spans="1:29" ht="14.25" x14ac:dyDescent="0.2">
      <c r="A41" s="39"/>
      <c r="B41" s="39"/>
      <c r="C41" s="39" t="s">
        <v>710</v>
      </c>
      <c r="D41" s="40" t="s">
        <v>711</v>
      </c>
      <c r="E41" s="11">
        <f>Source!BZ29</f>
        <v>90</v>
      </c>
      <c r="F41" s="42"/>
      <c r="G41" s="41"/>
      <c r="H41" s="11"/>
      <c r="I41" s="42">
        <f>SUM(Q37:Q40)</f>
        <v>40</v>
      </c>
      <c r="J41" s="11">
        <f>Source!AT29</f>
        <v>90</v>
      </c>
      <c r="K41" s="42">
        <f>SUM(R37:R40)</f>
        <v>2199.38</v>
      </c>
    </row>
    <row r="42" spans="1:29" ht="14.25" x14ac:dyDescent="0.2">
      <c r="A42" s="39"/>
      <c r="B42" s="39"/>
      <c r="C42" s="39" t="s">
        <v>712</v>
      </c>
      <c r="D42" s="40" t="s">
        <v>711</v>
      </c>
      <c r="E42" s="11">
        <f>Source!CA29</f>
        <v>46</v>
      </c>
      <c r="F42" s="42"/>
      <c r="G42" s="41"/>
      <c r="H42" s="11"/>
      <c r="I42" s="42">
        <f>SUM(S37:S41)</f>
        <v>20.440000000000001</v>
      </c>
      <c r="J42" s="11">
        <f>Source!AU29</f>
        <v>46</v>
      </c>
      <c r="K42" s="42">
        <f>SUM(T37:T41)</f>
        <v>1124.1300000000001</v>
      </c>
    </row>
    <row r="43" spans="1:29" ht="14.25" x14ac:dyDescent="0.2">
      <c r="A43" s="44"/>
      <c r="B43" s="44"/>
      <c r="C43" s="44" t="s">
        <v>713</v>
      </c>
      <c r="D43" s="45" t="s">
        <v>714</v>
      </c>
      <c r="E43" s="46">
        <f>Source!AQ28</f>
        <v>3.09</v>
      </c>
      <c r="F43" s="47"/>
      <c r="G43" s="48" t="str">
        <f>Source!DI28</f>
        <v>*1,1</v>
      </c>
      <c r="H43" s="46">
        <f>Source!AV29</f>
        <v>1.0469999999999999</v>
      </c>
      <c r="I43" s="47">
        <f>Source!U28</f>
        <v>3.5587529999999998</v>
      </c>
      <c r="J43" s="46"/>
      <c r="K43" s="47"/>
    </row>
    <row r="44" spans="1:29" ht="15" x14ac:dyDescent="0.25">
      <c r="C44" s="31" t="s">
        <v>715</v>
      </c>
      <c r="H44" s="49">
        <f>I38+I39+I41+I42+0-0-0</f>
        <v>130.85</v>
      </c>
      <c r="I44" s="49"/>
      <c r="J44" s="49">
        <f>K38+K39+K41+K42+0-0-0</f>
        <v>6010.670000000001</v>
      </c>
      <c r="K44" s="49"/>
    </row>
    <row r="45" spans="1:29" ht="15" x14ac:dyDescent="0.25">
      <c r="C45" s="31" t="s">
        <v>716</v>
      </c>
      <c r="H45" s="51">
        <f>0+0</f>
        <v>0</v>
      </c>
      <c r="I45" s="51"/>
      <c r="J45" s="51">
        <f>0+0</f>
        <v>0</v>
      </c>
      <c r="K45" s="51"/>
    </row>
    <row r="46" spans="1:29" ht="15" x14ac:dyDescent="0.25">
      <c r="C46" s="31" t="s">
        <v>717</v>
      </c>
      <c r="H46" s="51">
        <f>I38+I39+I41+I42+0</f>
        <v>130.85</v>
      </c>
      <c r="I46" s="51"/>
      <c r="J46" s="51">
        <f>K38+K39+K41+K42+0</f>
        <v>6010.670000000001</v>
      </c>
      <c r="K46" s="51"/>
      <c r="O46" s="52">
        <f>I38+I39+I41+I42+0</f>
        <v>130.85</v>
      </c>
      <c r="P46" s="52">
        <f>K38+K39+K41+K42+0</f>
        <v>6010.670000000001</v>
      </c>
    </row>
    <row r="48" spans="1:29" ht="54" x14ac:dyDescent="0.2">
      <c r="A48" s="53">
        <v>2</v>
      </c>
      <c r="B48" s="53" t="str">
        <f>Source!F30</f>
        <v>КА №1</v>
      </c>
      <c r="C48" s="53" t="s">
        <v>718</v>
      </c>
      <c r="D48" s="54" t="str">
        <f>Source!H30</f>
        <v>шт.</v>
      </c>
      <c r="E48" s="55">
        <f>Source!I30</f>
        <v>1</v>
      </c>
      <c r="F48" s="56">
        <f>Source!AL30</f>
        <v>8548.5500000000011</v>
      </c>
      <c r="G48" s="57" t="str">
        <f>Source!DD30</f>
        <v/>
      </c>
      <c r="H48" s="55">
        <f>Source!AW31</f>
        <v>1</v>
      </c>
      <c r="I48" s="56">
        <f>Source!P30</f>
        <v>8548.5499999999993</v>
      </c>
      <c r="J48" s="55">
        <f>IF(Source!BC31&lt;&gt; 0, Source!BC31, 1)</f>
        <v>7.66</v>
      </c>
      <c r="K48" s="56">
        <f>Source!P31</f>
        <v>65481.89</v>
      </c>
      <c r="Q48">
        <f>Source!X30</f>
        <v>0</v>
      </c>
      <c r="R48">
        <f>Source!X31</f>
        <v>0</v>
      </c>
      <c r="S48">
        <f>Source!Y30</f>
        <v>0</v>
      </c>
      <c r="T48">
        <f>Source!Y31</f>
        <v>0</v>
      </c>
      <c r="U48">
        <f>ROUND((175/100)*ROUND(Source!R30, 2), 2)</f>
        <v>0</v>
      </c>
      <c r="V48">
        <f>ROUND((0/100)*ROUND(Source!R31, 2), 2)</f>
        <v>0</v>
      </c>
      <c r="AC48">
        <v>5</v>
      </c>
    </row>
    <row r="49" spans="1:29" ht="15" x14ac:dyDescent="0.25">
      <c r="A49" s="58"/>
      <c r="B49" s="58"/>
      <c r="C49" s="59" t="s">
        <v>717</v>
      </c>
      <c r="D49" s="58"/>
      <c r="E49" s="58"/>
      <c r="F49" s="58"/>
      <c r="G49" s="58"/>
      <c r="H49" s="60">
        <f>I48+0</f>
        <v>8548.5499999999993</v>
      </c>
      <c r="I49" s="60"/>
      <c r="J49" s="60">
        <f>K48+0</f>
        <v>65481.89</v>
      </c>
      <c r="K49" s="60"/>
      <c r="O49" s="52">
        <f>I48+0</f>
        <v>8548.5499999999993</v>
      </c>
      <c r="P49" s="52">
        <f>K48+0</f>
        <v>65481.89</v>
      </c>
    </row>
    <row r="51" spans="1:29" ht="78" x14ac:dyDescent="0.2">
      <c r="A51" s="39">
        <v>3</v>
      </c>
      <c r="B51" s="39" t="s">
        <v>719</v>
      </c>
      <c r="C51" s="39" t="s">
        <v>39</v>
      </c>
      <c r="D51" s="40" t="str">
        <f>Source!H32</f>
        <v>1  ШТ.</v>
      </c>
      <c r="E51" s="11">
        <f>Source!I32</f>
        <v>1</v>
      </c>
      <c r="F51" s="42"/>
      <c r="G51" s="41"/>
      <c r="H51" s="11"/>
      <c r="I51" s="42"/>
      <c r="J51" s="11"/>
      <c r="K51" s="42"/>
      <c r="Q51">
        <f>Source!X32</f>
        <v>24.91</v>
      </c>
      <c r="R51">
        <f>Source!X33</f>
        <v>1369.92</v>
      </c>
      <c r="S51">
        <f>Source!Y32</f>
        <v>12.73</v>
      </c>
      <c r="T51">
        <f>Source!Y33</f>
        <v>700.18</v>
      </c>
      <c r="U51">
        <f>ROUND((175/100)*ROUND(Source!R32, 2), 2)</f>
        <v>0.51</v>
      </c>
      <c r="V51">
        <f>ROUND((0/100)*ROUND(Source!R33, 2), 2)</f>
        <v>0</v>
      </c>
      <c r="AC51">
        <v>0</v>
      </c>
    </row>
    <row r="52" spans="1:29" ht="14.25" x14ac:dyDescent="0.2">
      <c r="A52" s="39"/>
      <c r="B52" s="39"/>
      <c r="C52" s="39" t="s">
        <v>707</v>
      </c>
      <c r="D52" s="40"/>
      <c r="E52" s="11"/>
      <c r="F52" s="42">
        <f>Source!AO32</f>
        <v>23.78</v>
      </c>
      <c r="G52" s="41" t="str">
        <f>Source!DG32</f>
        <v>*1,1</v>
      </c>
      <c r="H52" s="11">
        <f>Source!AV33</f>
        <v>1.0469999999999999</v>
      </c>
      <c r="I52" s="42">
        <f>Source!S32</f>
        <v>27.39</v>
      </c>
      <c r="J52" s="11">
        <f>IF(Source!BA33&lt;&gt; 0, Source!BA33, 1)</f>
        <v>54.99</v>
      </c>
      <c r="K52" s="42">
        <f>Source!S33</f>
        <v>1506.18</v>
      </c>
    </row>
    <row r="53" spans="1:29" ht="14.25" x14ac:dyDescent="0.2">
      <c r="A53" s="39"/>
      <c r="B53" s="39"/>
      <c r="C53" s="39" t="s">
        <v>708</v>
      </c>
      <c r="D53" s="40"/>
      <c r="E53" s="11"/>
      <c r="F53" s="42">
        <f>Source!AM32</f>
        <v>2.38</v>
      </c>
      <c r="G53" s="41" t="str">
        <f>Source!DE32</f>
        <v>*1,1</v>
      </c>
      <c r="H53" s="11">
        <f>Source!AV33</f>
        <v>1.0469999999999999</v>
      </c>
      <c r="I53" s="42">
        <f>Source!Q32</f>
        <v>2.74</v>
      </c>
      <c r="J53" s="11">
        <f>IF(Source!BB33&lt;&gt; 0, Source!BB33, 1)</f>
        <v>13.99</v>
      </c>
      <c r="K53" s="42">
        <f>Source!Q33</f>
        <v>38.33</v>
      </c>
    </row>
    <row r="54" spans="1:29" ht="14.25" x14ac:dyDescent="0.2">
      <c r="A54" s="39"/>
      <c r="B54" s="39"/>
      <c r="C54" s="39" t="s">
        <v>709</v>
      </c>
      <c r="D54" s="40"/>
      <c r="E54" s="11"/>
      <c r="F54" s="42">
        <f>Source!AN32</f>
        <v>0.25</v>
      </c>
      <c r="G54" s="41" t="str">
        <f>Source!DF32</f>
        <v>*1,1</v>
      </c>
      <c r="H54" s="11">
        <f>Source!AV33</f>
        <v>1.0469999999999999</v>
      </c>
      <c r="I54" s="43">
        <f>Source!R32</f>
        <v>0.28999999999999998</v>
      </c>
      <c r="J54" s="11">
        <f>IF(Source!BS33&lt;&gt; 0, Source!BS33, 1)</f>
        <v>54.99</v>
      </c>
      <c r="K54" s="43">
        <f>Source!R33</f>
        <v>15.95</v>
      </c>
    </row>
    <row r="55" spans="1:29" ht="14.25" x14ac:dyDescent="0.2">
      <c r="A55" s="39"/>
      <c r="B55" s="39"/>
      <c r="C55" s="39" t="s">
        <v>720</v>
      </c>
      <c r="D55" s="40"/>
      <c r="E55" s="11"/>
      <c r="F55" s="42">
        <f>Source!AL32</f>
        <v>109.01</v>
      </c>
      <c r="G55" s="41" t="str">
        <f>Source!DD32</f>
        <v/>
      </c>
      <c r="H55" s="11">
        <f>Source!AW33</f>
        <v>1</v>
      </c>
      <c r="I55" s="42">
        <f>Source!P32</f>
        <v>109.01</v>
      </c>
      <c r="J55" s="11">
        <f>IF(Source!BC33&lt;&gt; 0, Source!BC33, 1)</f>
        <v>3.26</v>
      </c>
      <c r="K55" s="42">
        <f>Source!P33</f>
        <v>355.37</v>
      </c>
    </row>
    <row r="56" spans="1:29" ht="57" x14ac:dyDescent="0.2">
      <c r="A56" s="39" t="s">
        <v>43</v>
      </c>
      <c r="B56" s="39" t="str">
        <f>Source!F34</f>
        <v>1.21-1-63</v>
      </c>
      <c r="C56" s="39" t="s">
        <v>45</v>
      </c>
      <c r="D56" s="40" t="str">
        <f>Source!H34</f>
        <v>шт.</v>
      </c>
      <c r="E56" s="11">
        <f>Source!I34</f>
        <v>1</v>
      </c>
      <c r="F56" s="42">
        <f>Source!AK34</f>
        <v>1975.19</v>
      </c>
      <c r="G56" s="61" t="s">
        <v>3</v>
      </c>
      <c r="H56" s="11">
        <f>Source!AW35</f>
        <v>1</v>
      </c>
      <c r="I56" s="42">
        <f>Source!O34</f>
        <v>1975.19</v>
      </c>
      <c r="J56" s="11">
        <f>IF(Source!BC35&lt;&gt; 0, Source!BC35, 1)</f>
        <v>6.86</v>
      </c>
      <c r="K56" s="42">
        <f>Source!O35</f>
        <v>13549.8</v>
      </c>
      <c r="Q56">
        <f>Source!X34</f>
        <v>0</v>
      </c>
      <c r="R56">
        <f>Source!X35</f>
        <v>0</v>
      </c>
      <c r="S56">
        <f>Source!Y34</f>
        <v>0</v>
      </c>
      <c r="T56">
        <f>Source!Y35</f>
        <v>0</v>
      </c>
      <c r="U56">
        <f>ROUND((175/100)*ROUND(Source!R34, 2), 2)</f>
        <v>0</v>
      </c>
      <c r="V56">
        <f>ROUND((0/100)*ROUND(Source!R35, 2), 2)</f>
        <v>0</v>
      </c>
      <c r="AC56">
        <v>3</v>
      </c>
    </row>
    <row r="57" spans="1:29" ht="14.25" x14ac:dyDescent="0.2">
      <c r="A57" s="39"/>
      <c r="B57" s="39"/>
      <c r="C57" s="39" t="s">
        <v>710</v>
      </c>
      <c r="D57" s="40" t="s">
        <v>711</v>
      </c>
      <c r="E57" s="11">
        <f>Source!BZ33</f>
        <v>90</v>
      </c>
      <c r="F57" s="42"/>
      <c r="G57" s="41"/>
      <c r="H57" s="11"/>
      <c r="I57" s="42">
        <f>SUM(Q51:Q56)</f>
        <v>24.91</v>
      </c>
      <c r="J57" s="11">
        <f>Source!AT33</f>
        <v>90</v>
      </c>
      <c r="K57" s="42">
        <f>SUM(R51:R56)</f>
        <v>1369.92</v>
      </c>
    </row>
    <row r="58" spans="1:29" ht="14.25" x14ac:dyDescent="0.2">
      <c r="A58" s="39"/>
      <c r="B58" s="39"/>
      <c r="C58" s="39" t="s">
        <v>712</v>
      </c>
      <c r="D58" s="40" t="s">
        <v>711</v>
      </c>
      <c r="E58" s="11">
        <f>Source!CA33</f>
        <v>46</v>
      </c>
      <c r="F58" s="42"/>
      <c r="G58" s="41"/>
      <c r="H58" s="11"/>
      <c r="I58" s="42">
        <f>SUM(S51:S57)</f>
        <v>12.73</v>
      </c>
      <c r="J58" s="11">
        <f>Source!AU33</f>
        <v>46</v>
      </c>
      <c r="K58" s="42">
        <f>SUM(T51:T57)</f>
        <v>700.18</v>
      </c>
    </row>
    <row r="59" spans="1:29" ht="14.25" x14ac:dyDescent="0.2">
      <c r="A59" s="44"/>
      <c r="B59" s="44"/>
      <c r="C59" s="44" t="s">
        <v>713</v>
      </c>
      <c r="D59" s="45" t="s">
        <v>714</v>
      </c>
      <c r="E59" s="46">
        <f>Source!AQ32</f>
        <v>2</v>
      </c>
      <c r="F59" s="47"/>
      <c r="G59" s="48" t="str">
        <f>Source!DI32</f>
        <v>*1,1</v>
      </c>
      <c r="H59" s="46">
        <f>Source!AV33</f>
        <v>1.0469999999999999</v>
      </c>
      <c r="I59" s="47">
        <f>Source!U32</f>
        <v>2.3033999999999999</v>
      </c>
      <c r="J59" s="46"/>
      <c r="K59" s="47"/>
    </row>
    <row r="60" spans="1:29" ht="15" x14ac:dyDescent="0.25">
      <c r="C60" s="31" t="s">
        <v>715</v>
      </c>
      <c r="H60" s="49">
        <f>I52+I53+I55+I57+I58+SUM(I56:I56)-SUMIF(AC56:AC56, 5, I56:I56)-SUMIF(AC56:AC56, 6, I56:I56)</f>
        <v>2151.9700000000003</v>
      </c>
      <c r="I60" s="49"/>
      <c r="J60" s="49">
        <f>K52+K53+K55+K57+K58+SUM(K56:K56)-SUMIF(AC56:AC56, 5, K56:K56)-SUMIF(AC56:AC56, 6, K56:K56)</f>
        <v>17519.78</v>
      </c>
      <c r="K60" s="49"/>
    </row>
    <row r="61" spans="1:29" ht="15" x14ac:dyDescent="0.25">
      <c r="C61" s="31" t="s">
        <v>716</v>
      </c>
      <c r="H61" s="51">
        <f>SUMIF(AC56:AC56, 5, I56:I56)+SUMIF(AC56:AC56, 6, I56:I56)</f>
        <v>0</v>
      </c>
      <c r="I61" s="51"/>
      <c r="J61" s="51">
        <f>SUMIF(AC56:AC56, 5, K56:K56)+SUMIF(AC56:AC56, 6, K56:K56)</f>
        <v>0</v>
      </c>
      <c r="K61" s="51"/>
    </row>
    <row r="62" spans="1:29" ht="15" x14ac:dyDescent="0.25">
      <c r="C62" s="31" t="s">
        <v>717</v>
      </c>
      <c r="H62" s="51">
        <f>I52+I53+I55+I57+I58+SUM(I56:I56)</f>
        <v>2151.9700000000003</v>
      </c>
      <c r="I62" s="51"/>
      <c r="J62" s="51">
        <f>K52+K53+K55+K57+K58+SUM(K56:K56)</f>
        <v>17519.78</v>
      </c>
      <c r="K62" s="51"/>
      <c r="O62" s="52">
        <f>I52+I53+I55+I57+I58+SUM(I56:I56)</f>
        <v>2151.9700000000003</v>
      </c>
      <c r="P62" s="52">
        <f>K52+K53+K55+K57+K58+SUM(K56:K56)</f>
        <v>17519.78</v>
      </c>
    </row>
    <row r="64" spans="1:29" ht="78" x14ac:dyDescent="0.2">
      <c r="A64" s="39">
        <v>4</v>
      </c>
      <c r="B64" s="39" t="s">
        <v>721</v>
      </c>
      <c r="C64" s="39" t="s">
        <v>49</v>
      </c>
      <c r="D64" s="40" t="str">
        <f>Source!H36</f>
        <v>1  ШТ.</v>
      </c>
      <c r="E64" s="11">
        <f>Source!I36</f>
        <v>1</v>
      </c>
      <c r="F64" s="42"/>
      <c r="G64" s="41"/>
      <c r="H64" s="11"/>
      <c r="I64" s="42"/>
      <c r="J64" s="11"/>
      <c r="K64" s="42"/>
      <c r="Q64">
        <f>Source!X36</f>
        <v>12.16</v>
      </c>
      <c r="R64">
        <f>Source!X37</f>
        <v>668.63</v>
      </c>
      <c r="S64">
        <f>Source!Y36</f>
        <v>6.21</v>
      </c>
      <c r="T64">
        <f>Source!Y37</f>
        <v>341.74</v>
      </c>
      <c r="U64">
        <f>ROUND((175/100)*ROUND(Source!R36, 2), 2)</f>
        <v>0.16</v>
      </c>
      <c r="V64">
        <f>ROUND((0/100)*ROUND(Source!R37, 2), 2)</f>
        <v>0</v>
      </c>
      <c r="AC64">
        <v>0</v>
      </c>
    </row>
    <row r="65" spans="1:29" ht="14.25" x14ac:dyDescent="0.2">
      <c r="A65" s="39"/>
      <c r="B65" s="39"/>
      <c r="C65" s="39" t="s">
        <v>707</v>
      </c>
      <c r="D65" s="40"/>
      <c r="E65" s="11"/>
      <c r="F65" s="42">
        <f>Source!AO36</f>
        <v>11.65</v>
      </c>
      <c r="G65" s="41" t="str">
        <f>Source!DG36</f>
        <v>*1,1</v>
      </c>
      <c r="H65" s="11">
        <f>Source!AV37</f>
        <v>1.0469999999999999</v>
      </c>
      <c r="I65" s="42">
        <f>Source!S36</f>
        <v>13.42</v>
      </c>
      <c r="J65" s="11">
        <f>IF(Source!BA37&lt;&gt; 0, Source!BA37, 1)</f>
        <v>54.99</v>
      </c>
      <c r="K65" s="42">
        <f>Source!S37</f>
        <v>737.97</v>
      </c>
    </row>
    <row r="66" spans="1:29" ht="14.25" x14ac:dyDescent="0.2">
      <c r="A66" s="39"/>
      <c r="B66" s="39"/>
      <c r="C66" s="39" t="s">
        <v>708</v>
      </c>
      <c r="D66" s="40"/>
      <c r="E66" s="11"/>
      <c r="F66" s="42">
        <f>Source!AM36</f>
        <v>0.5</v>
      </c>
      <c r="G66" s="41" t="str">
        <f>Source!DE36</f>
        <v>*1,1</v>
      </c>
      <c r="H66" s="11">
        <f>Source!AV37</f>
        <v>1.0469999999999999</v>
      </c>
      <c r="I66" s="42">
        <f>Source!Q36</f>
        <v>0.57999999999999996</v>
      </c>
      <c r="J66" s="11">
        <f>IF(Source!BB37&lt;&gt; 0, Source!BB37, 1)</f>
        <v>16.260000000000002</v>
      </c>
      <c r="K66" s="42">
        <f>Source!Q37</f>
        <v>9.43</v>
      </c>
    </row>
    <row r="67" spans="1:29" ht="14.25" x14ac:dyDescent="0.2">
      <c r="A67" s="39"/>
      <c r="B67" s="39"/>
      <c r="C67" s="39" t="s">
        <v>709</v>
      </c>
      <c r="D67" s="40"/>
      <c r="E67" s="11"/>
      <c r="F67" s="42">
        <f>Source!AN36</f>
        <v>0.08</v>
      </c>
      <c r="G67" s="41" t="str">
        <f>Source!DF36</f>
        <v>*1,1</v>
      </c>
      <c r="H67" s="11">
        <f>Source!AV37</f>
        <v>1.0469999999999999</v>
      </c>
      <c r="I67" s="43">
        <f>Source!R36</f>
        <v>0.09</v>
      </c>
      <c r="J67" s="11">
        <f>IF(Source!BS37&lt;&gt; 0, Source!BS37, 1)</f>
        <v>54.99</v>
      </c>
      <c r="K67" s="43">
        <f>Source!R37</f>
        <v>4.95</v>
      </c>
    </row>
    <row r="68" spans="1:29" ht="14.25" x14ac:dyDescent="0.2">
      <c r="A68" s="39"/>
      <c r="B68" s="39"/>
      <c r="C68" s="39" t="s">
        <v>710</v>
      </c>
      <c r="D68" s="40" t="s">
        <v>711</v>
      </c>
      <c r="E68" s="11">
        <f>Source!BZ37</f>
        <v>90</v>
      </c>
      <c r="F68" s="42"/>
      <c r="G68" s="41"/>
      <c r="H68" s="11"/>
      <c r="I68" s="42">
        <f>SUM(Q64:Q67)</f>
        <v>12.16</v>
      </c>
      <c r="J68" s="11">
        <f>Source!AT37</f>
        <v>90</v>
      </c>
      <c r="K68" s="42">
        <f>SUM(R64:R67)</f>
        <v>668.63</v>
      </c>
    </row>
    <row r="69" spans="1:29" ht="14.25" x14ac:dyDescent="0.2">
      <c r="A69" s="39"/>
      <c r="B69" s="39"/>
      <c r="C69" s="39" t="s">
        <v>712</v>
      </c>
      <c r="D69" s="40" t="s">
        <v>711</v>
      </c>
      <c r="E69" s="11">
        <f>Source!CA37</f>
        <v>46</v>
      </c>
      <c r="F69" s="42"/>
      <c r="G69" s="41"/>
      <c r="H69" s="11"/>
      <c r="I69" s="42">
        <f>SUM(S64:S68)</f>
        <v>6.21</v>
      </c>
      <c r="J69" s="11">
        <f>Source!AU37</f>
        <v>46</v>
      </c>
      <c r="K69" s="42">
        <f>SUM(T64:T68)</f>
        <v>341.74</v>
      </c>
    </row>
    <row r="70" spans="1:29" ht="14.25" x14ac:dyDescent="0.2">
      <c r="A70" s="44"/>
      <c r="B70" s="44"/>
      <c r="C70" s="44" t="s">
        <v>713</v>
      </c>
      <c r="D70" s="45" t="s">
        <v>714</v>
      </c>
      <c r="E70" s="46">
        <f>Source!AQ36</f>
        <v>1.03</v>
      </c>
      <c r="F70" s="47"/>
      <c r="G70" s="48" t="str">
        <f>Source!DI36</f>
        <v>*1,1</v>
      </c>
      <c r="H70" s="46">
        <f>Source!AV37</f>
        <v>1.0469999999999999</v>
      </c>
      <c r="I70" s="47">
        <f>Source!U36</f>
        <v>1.1862510000000002</v>
      </c>
      <c r="J70" s="46"/>
      <c r="K70" s="47"/>
    </row>
    <row r="71" spans="1:29" ht="15" x14ac:dyDescent="0.25">
      <c r="C71" s="31" t="s">
        <v>715</v>
      </c>
      <c r="H71" s="49">
        <f>I65+I66+I68+I69+0-0-0</f>
        <v>32.369999999999997</v>
      </c>
      <c r="I71" s="49"/>
      <c r="J71" s="49">
        <f>K65+K66+K68+K69+0-0-0</f>
        <v>1757.77</v>
      </c>
      <c r="K71" s="49"/>
    </row>
    <row r="72" spans="1:29" ht="15" x14ac:dyDescent="0.25">
      <c r="C72" s="31" t="s">
        <v>716</v>
      </c>
      <c r="H72" s="51">
        <f>0+0</f>
        <v>0</v>
      </c>
      <c r="I72" s="51"/>
      <c r="J72" s="51">
        <f>0+0</f>
        <v>0</v>
      </c>
      <c r="K72" s="51"/>
    </row>
    <row r="73" spans="1:29" ht="15" x14ac:dyDescent="0.25">
      <c r="C73" s="31" t="s">
        <v>717</v>
      </c>
      <c r="H73" s="51">
        <f>I65+I66+I68+I69+0</f>
        <v>32.369999999999997</v>
      </c>
      <c r="I73" s="51"/>
      <c r="J73" s="51">
        <f>K65+K66+K68+K69+0</f>
        <v>1757.77</v>
      </c>
      <c r="K73" s="51"/>
      <c r="O73" s="52">
        <f>I65+I66+I68+I69+0</f>
        <v>32.369999999999997</v>
      </c>
      <c r="P73" s="52">
        <f>K65+K66+K68+K69+0</f>
        <v>1757.77</v>
      </c>
    </row>
    <row r="75" spans="1:29" ht="54" x14ac:dyDescent="0.2">
      <c r="A75" s="53">
        <v>5</v>
      </c>
      <c r="B75" s="53" t="str">
        <f>Source!F38</f>
        <v>КА №2</v>
      </c>
      <c r="C75" s="53" t="s">
        <v>722</v>
      </c>
      <c r="D75" s="54" t="str">
        <f>Source!H38</f>
        <v>шт.</v>
      </c>
      <c r="E75" s="55">
        <f>Source!I38</f>
        <v>1</v>
      </c>
      <c r="F75" s="56">
        <f>Source!AL38</f>
        <v>1618.36</v>
      </c>
      <c r="G75" s="57" t="str">
        <f>Source!DD38</f>
        <v/>
      </c>
      <c r="H75" s="55">
        <f>Source!AW39</f>
        <v>1</v>
      </c>
      <c r="I75" s="56">
        <f>Source!P38</f>
        <v>1618.36</v>
      </c>
      <c r="J75" s="55">
        <f>IF(Source!BC39&lt;&gt; 0, Source!BC39, 1)</f>
        <v>7.66</v>
      </c>
      <c r="K75" s="56">
        <f>Source!P39</f>
        <v>12396.64</v>
      </c>
      <c r="Q75">
        <f>Source!X38</f>
        <v>0</v>
      </c>
      <c r="R75">
        <f>Source!X39</f>
        <v>0</v>
      </c>
      <c r="S75">
        <f>Source!Y38</f>
        <v>0</v>
      </c>
      <c r="T75">
        <f>Source!Y39</f>
        <v>0</v>
      </c>
      <c r="U75">
        <f>ROUND((175/100)*ROUND(Source!R38, 2), 2)</f>
        <v>0</v>
      </c>
      <c r="V75">
        <f>ROUND((0/100)*ROUND(Source!R39, 2), 2)</f>
        <v>0</v>
      </c>
      <c r="AC75">
        <v>5</v>
      </c>
    </row>
    <row r="76" spans="1:29" ht="15" x14ac:dyDescent="0.25">
      <c r="A76" s="58"/>
      <c r="B76" s="58"/>
      <c r="C76" s="59" t="s">
        <v>717</v>
      </c>
      <c r="D76" s="58"/>
      <c r="E76" s="58"/>
      <c r="F76" s="58"/>
      <c r="G76" s="58"/>
      <c r="H76" s="60">
        <f>I75+0</f>
        <v>1618.36</v>
      </c>
      <c r="I76" s="60"/>
      <c r="J76" s="60">
        <f>K75+0</f>
        <v>12396.64</v>
      </c>
      <c r="K76" s="60"/>
      <c r="O76" s="52">
        <f>I75+0</f>
        <v>1618.36</v>
      </c>
      <c r="P76" s="52">
        <f>K75+0</f>
        <v>12396.64</v>
      </c>
    </row>
    <row r="78" spans="1:29" ht="78" x14ac:dyDescent="0.2">
      <c r="A78" s="39">
        <v>6</v>
      </c>
      <c r="B78" s="39" t="s">
        <v>723</v>
      </c>
      <c r="C78" s="39" t="s">
        <v>57</v>
      </c>
      <c r="D78" s="40" t="str">
        <f>Source!H40</f>
        <v>10 шт.</v>
      </c>
      <c r="E78" s="11">
        <f>Source!I40</f>
        <v>0.1</v>
      </c>
      <c r="F78" s="42"/>
      <c r="G78" s="41"/>
      <c r="H78" s="11"/>
      <c r="I78" s="42"/>
      <c r="J78" s="11"/>
      <c r="K78" s="42"/>
      <c r="Q78">
        <f>Source!X40</f>
        <v>48.83</v>
      </c>
      <c r="R78">
        <f>Source!X41</f>
        <v>2684.89</v>
      </c>
      <c r="S78">
        <f>Source!Y40</f>
        <v>24.96</v>
      </c>
      <c r="T78">
        <f>Source!Y41</f>
        <v>1372.28</v>
      </c>
      <c r="U78">
        <f>ROUND((175/100)*ROUND(Source!R40, 2), 2)</f>
        <v>0.02</v>
      </c>
      <c r="V78">
        <f>ROUND((0/100)*ROUND(Source!R41, 2), 2)</f>
        <v>0</v>
      </c>
      <c r="AC78">
        <v>0</v>
      </c>
    </row>
    <row r="79" spans="1:29" x14ac:dyDescent="0.2">
      <c r="C79" s="62" t="str">
        <f>"Объем: "&amp;Source!I40&amp;"=1/"&amp;"10"</f>
        <v>Объем: 0,1=1/10</v>
      </c>
    </row>
    <row r="80" spans="1:29" ht="14.25" x14ac:dyDescent="0.2">
      <c r="A80" s="39"/>
      <c r="B80" s="39"/>
      <c r="C80" s="39" t="s">
        <v>707</v>
      </c>
      <c r="D80" s="40"/>
      <c r="E80" s="11"/>
      <c r="F80" s="42">
        <f>Source!AO40</f>
        <v>470.94</v>
      </c>
      <c r="G80" s="41" t="str">
        <f>Source!DG40</f>
        <v>*1,1</v>
      </c>
      <c r="H80" s="11">
        <f>Source!AV41</f>
        <v>1.0469999999999999</v>
      </c>
      <c r="I80" s="42">
        <f>Source!S40</f>
        <v>54.24</v>
      </c>
      <c r="J80" s="11">
        <f>IF(Source!BA41&lt;&gt; 0, Source!BA41, 1)</f>
        <v>54.99</v>
      </c>
      <c r="K80" s="42">
        <f>Source!S41</f>
        <v>2982.66</v>
      </c>
    </row>
    <row r="81" spans="1:29" ht="14.25" x14ac:dyDescent="0.2">
      <c r="A81" s="39"/>
      <c r="B81" s="39"/>
      <c r="C81" s="39" t="s">
        <v>708</v>
      </c>
      <c r="D81" s="40"/>
      <c r="E81" s="11"/>
      <c r="F81" s="42">
        <f>Source!AM40</f>
        <v>1.1000000000000001</v>
      </c>
      <c r="G81" s="41" t="str">
        <f>Source!DE40</f>
        <v>*1,1</v>
      </c>
      <c r="H81" s="11">
        <f>Source!AV41</f>
        <v>1.0469999999999999</v>
      </c>
      <c r="I81" s="42">
        <f>Source!Q40</f>
        <v>0.13</v>
      </c>
      <c r="J81" s="11">
        <f>IF(Source!BB41&lt;&gt; 0, Source!BB41, 1)</f>
        <v>14.48</v>
      </c>
      <c r="K81" s="42">
        <f>Source!Q41</f>
        <v>1.88</v>
      </c>
    </row>
    <row r="82" spans="1:29" ht="14.25" x14ac:dyDescent="0.2">
      <c r="A82" s="39"/>
      <c r="B82" s="39"/>
      <c r="C82" s="39" t="s">
        <v>709</v>
      </c>
      <c r="D82" s="40"/>
      <c r="E82" s="11"/>
      <c r="F82" s="42">
        <f>Source!AN40</f>
        <v>0.13</v>
      </c>
      <c r="G82" s="41" t="str">
        <f>Source!DF40</f>
        <v>*1,1</v>
      </c>
      <c r="H82" s="11">
        <f>Source!AV41</f>
        <v>1.0469999999999999</v>
      </c>
      <c r="I82" s="43">
        <f>Source!R40</f>
        <v>0.01</v>
      </c>
      <c r="J82" s="11">
        <f>IF(Source!BS41&lt;&gt; 0, Source!BS41, 1)</f>
        <v>54.99</v>
      </c>
      <c r="K82" s="43">
        <f>Source!R41</f>
        <v>0.55000000000000004</v>
      </c>
    </row>
    <row r="83" spans="1:29" ht="14.25" x14ac:dyDescent="0.2">
      <c r="A83" s="39"/>
      <c r="B83" s="39"/>
      <c r="C83" s="39" t="s">
        <v>720</v>
      </c>
      <c r="D83" s="40"/>
      <c r="E83" s="11"/>
      <c r="F83" s="42">
        <f>Source!AL40</f>
        <v>1.29</v>
      </c>
      <c r="G83" s="41" t="str">
        <f>Source!DD40</f>
        <v/>
      </c>
      <c r="H83" s="11">
        <f>Source!AW41</f>
        <v>1</v>
      </c>
      <c r="I83" s="42">
        <f>Source!P40</f>
        <v>0.13</v>
      </c>
      <c r="J83" s="11">
        <f>IF(Source!BC41&lt;&gt; 0, Source!BC41, 1)</f>
        <v>7.25</v>
      </c>
      <c r="K83" s="42">
        <f>Source!P41</f>
        <v>0.94</v>
      </c>
    </row>
    <row r="84" spans="1:29" ht="14.25" x14ac:dyDescent="0.2">
      <c r="A84" s="39"/>
      <c r="B84" s="39"/>
      <c r="C84" s="39" t="s">
        <v>710</v>
      </c>
      <c r="D84" s="40" t="s">
        <v>711</v>
      </c>
      <c r="E84" s="11">
        <f>Source!BZ41</f>
        <v>90</v>
      </c>
      <c r="F84" s="42"/>
      <c r="G84" s="41"/>
      <c r="H84" s="11"/>
      <c r="I84" s="42">
        <f>SUM(Q78:Q83)</f>
        <v>48.83</v>
      </c>
      <c r="J84" s="11">
        <f>Source!AT41</f>
        <v>90</v>
      </c>
      <c r="K84" s="42">
        <f>SUM(R78:R83)</f>
        <v>2684.89</v>
      </c>
    </row>
    <row r="85" spans="1:29" ht="14.25" x14ac:dyDescent="0.2">
      <c r="A85" s="39"/>
      <c r="B85" s="39"/>
      <c r="C85" s="39" t="s">
        <v>712</v>
      </c>
      <c r="D85" s="40" t="s">
        <v>711</v>
      </c>
      <c r="E85" s="11">
        <f>Source!CA41</f>
        <v>46</v>
      </c>
      <c r="F85" s="42"/>
      <c r="G85" s="41"/>
      <c r="H85" s="11"/>
      <c r="I85" s="42">
        <f>SUM(S78:S84)</f>
        <v>24.96</v>
      </c>
      <c r="J85" s="11">
        <f>Source!AU41</f>
        <v>46</v>
      </c>
      <c r="K85" s="42">
        <f>SUM(T78:T84)</f>
        <v>1372.28</v>
      </c>
    </row>
    <row r="86" spans="1:29" ht="14.25" x14ac:dyDescent="0.2">
      <c r="A86" s="44"/>
      <c r="B86" s="44"/>
      <c r="C86" s="44" t="s">
        <v>713</v>
      </c>
      <c r="D86" s="45" t="s">
        <v>714</v>
      </c>
      <c r="E86" s="46">
        <f>Source!AQ40</f>
        <v>29.96</v>
      </c>
      <c r="F86" s="47"/>
      <c r="G86" s="48" t="str">
        <f>Source!DI40</f>
        <v>*1,1</v>
      </c>
      <c r="H86" s="46">
        <f>Source!AV41</f>
        <v>1.0469999999999999</v>
      </c>
      <c r="I86" s="47">
        <f>Source!U40</f>
        <v>3.4504932000000004</v>
      </c>
      <c r="J86" s="46"/>
      <c r="K86" s="47"/>
    </row>
    <row r="87" spans="1:29" ht="15" x14ac:dyDescent="0.25">
      <c r="C87" s="31" t="s">
        <v>715</v>
      </c>
      <c r="H87" s="49">
        <f>I80+I81+I83+I84+I85+0-0-0</f>
        <v>128.29000000000002</v>
      </c>
      <c r="I87" s="49"/>
      <c r="J87" s="49">
        <f>K80+K81+K83+K84+K85+0-0-0</f>
        <v>7042.65</v>
      </c>
      <c r="K87" s="49"/>
    </row>
    <row r="88" spans="1:29" ht="15" x14ac:dyDescent="0.25">
      <c r="C88" s="31" t="s">
        <v>716</v>
      </c>
      <c r="H88" s="51">
        <f>0+0</f>
        <v>0</v>
      </c>
      <c r="I88" s="51"/>
      <c r="J88" s="51">
        <f>0+0</f>
        <v>0</v>
      </c>
      <c r="K88" s="51"/>
    </row>
    <row r="89" spans="1:29" ht="15" x14ac:dyDescent="0.25">
      <c r="C89" s="31" t="s">
        <v>717</v>
      </c>
      <c r="H89" s="51">
        <f>I80+I81+I83+I84+I85+0</f>
        <v>128.29000000000002</v>
      </c>
      <c r="I89" s="51"/>
      <c r="J89" s="51">
        <f>K80+K81+K83+K84+K85+0</f>
        <v>7042.65</v>
      </c>
      <c r="K89" s="51"/>
      <c r="O89" s="52">
        <f>I80+I81+I83+I84+I85+0</f>
        <v>128.29000000000002</v>
      </c>
      <c r="P89" s="52">
        <f>K80+K81+K83+K84+K85+0</f>
        <v>7042.65</v>
      </c>
    </row>
    <row r="91" spans="1:29" ht="54" x14ac:dyDescent="0.2">
      <c r="A91" s="53">
        <v>7</v>
      </c>
      <c r="B91" s="53" t="str">
        <f>Source!F42</f>
        <v>КА №3</v>
      </c>
      <c r="C91" s="53" t="s">
        <v>724</v>
      </c>
      <c r="D91" s="54" t="str">
        <f>Source!H42</f>
        <v>шт.</v>
      </c>
      <c r="E91" s="55">
        <f>Source!I42</f>
        <v>1</v>
      </c>
      <c r="F91" s="56">
        <f>Source!AL42</f>
        <v>3784.2099999999996</v>
      </c>
      <c r="G91" s="57" t="str">
        <f>Source!DD42</f>
        <v/>
      </c>
      <c r="H91" s="55">
        <f>Source!AW43</f>
        <v>1</v>
      </c>
      <c r="I91" s="56">
        <f>Source!P42</f>
        <v>3784.21</v>
      </c>
      <c r="J91" s="55">
        <f>IF(Source!BC43&lt;&gt; 0, Source!BC43, 1)</f>
        <v>7.66</v>
      </c>
      <c r="K91" s="56">
        <f>Source!P43</f>
        <v>28987.05</v>
      </c>
      <c r="Q91">
        <f>Source!X42</f>
        <v>0</v>
      </c>
      <c r="R91">
        <f>Source!X43</f>
        <v>0</v>
      </c>
      <c r="S91">
        <f>Source!Y42</f>
        <v>0</v>
      </c>
      <c r="T91">
        <f>Source!Y43</f>
        <v>0</v>
      </c>
      <c r="U91">
        <f>ROUND((175/100)*ROUND(Source!R42, 2), 2)</f>
        <v>0</v>
      </c>
      <c r="V91">
        <f>ROUND((0/100)*ROUND(Source!R43, 2), 2)</f>
        <v>0</v>
      </c>
      <c r="AC91">
        <v>5</v>
      </c>
    </row>
    <row r="92" spans="1:29" ht="15" x14ac:dyDescent="0.25">
      <c r="A92" s="58"/>
      <c r="B92" s="58"/>
      <c r="C92" s="59" t="s">
        <v>717</v>
      </c>
      <c r="D92" s="58"/>
      <c r="E92" s="58"/>
      <c r="F92" s="58"/>
      <c r="G92" s="58"/>
      <c r="H92" s="60">
        <f>I91+0</f>
        <v>3784.21</v>
      </c>
      <c r="I92" s="60"/>
      <c r="J92" s="60">
        <f>K91+0</f>
        <v>28987.05</v>
      </c>
      <c r="K92" s="60"/>
      <c r="O92" s="52">
        <f>I91+0</f>
        <v>3784.21</v>
      </c>
      <c r="P92" s="52">
        <f>K91+0</f>
        <v>28987.05</v>
      </c>
    </row>
    <row r="94" spans="1:29" ht="78" x14ac:dyDescent="0.2">
      <c r="A94" s="39">
        <v>8</v>
      </c>
      <c r="B94" s="39" t="s">
        <v>721</v>
      </c>
      <c r="C94" s="39" t="s">
        <v>49</v>
      </c>
      <c r="D94" s="40" t="str">
        <f>Source!H44</f>
        <v>1  ШТ.</v>
      </c>
      <c r="E94" s="11">
        <f>Source!I44</f>
        <v>2</v>
      </c>
      <c r="F94" s="42"/>
      <c r="G94" s="41"/>
      <c r="H94" s="11"/>
      <c r="I94" s="42"/>
      <c r="J94" s="11"/>
      <c r="K94" s="42"/>
      <c r="Q94">
        <f>Source!X44</f>
        <v>24.31</v>
      </c>
      <c r="R94">
        <f>Source!X45</f>
        <v>1336.75</v>
      </c>
      <c r="S94">
        <f>Source!Y44</f>
        <v>12.42</v>
      </c>
      <c r="T94">
        <f>Source!Y45</f>
        <v>683.23</v>
      </c>
      <c r="U94">
        <f>ROUND((175/100)*ROUND(Source!R44, 2), 2)</f>
        <v>0.32</v>
      </c>
      <c r="V94">
        <f>ROUND((0/100)*ROUND(Source!R45, 2), 2)</f>
        <v>0</v>
      </c>
      <c r="AC94">
        <v>0</v>
      </c>
    </row>
    <row r="95" spans="1:29" ht="14.25" x14ac:dyDescent="0.2">
      <c r="A95" s="39"/>
      <c r="B95" s="39"/>
      <c r="C95" s="39" t="s">
        <v>707</v>
      </c>
      <c r="D95" s="40"/>
      <c r="E95" s="11"/>
      <c r="F95" s="42">
        <f>Source!AO44</f>
        <v>11.65</v>
      </c>
      <c r="G95" s="41" t="str">
        <f>Source!DG44</f>
        <v>*1,1</v>
      </c>
      <c r="H95" s="11">
        <f>Source!AV45</f>
        <v>1.0469999999999999</v>
      </c>
      <c r="I95" s="42">
        <f>Source!S44</f>
        <v>26.83</v>
      </c>
      <c r="J95" s="11">
        <f>IF(Source!BA45&lt;&gt; 0, Source!BA45, 1)</f>
        <v>54.99</v>
      </c>
      <c r="K95" s="42">
        <f>Source!S45</f>
        <v>1475.38</v>
      </c>
    </row>
    <row r="96" spans="1:29" ht="14.25" x14ac:dyDescent="0.2">
      <c r="A96" s="39"/>
      <c r="B96" s="39"/>
      <c r="C96" s="39" t="s">
        <v>708</v>
      </c>
      <c r="D96" s="40"/>
      <c r="E96" s="11"/>
      <c r="F96" s="42">
        <f>Source!AM44</f>
        <v>0.5</v>
      </c>
      <c r="G96" s="41" t="str">
        <f>Source!DE44</f>
        <v>*1,1</v>
      </c>
      <c r="H96" s="11">
        <f>Source!AV45</f>
        <v>1.0469999999999999</v>
      </c>
      <c r="I96" s="42">
        <f>Source!Q44</f>
        <v>1.1499999999999999</v>
      </c>
      <c r="J96" s="11">
        <f>IF(Source!BB45&lt;&gt; 0, Source!BB45, 1)</f>
        <v>16.260000000000002</v>
      </c>
      <c r="K96" s="42">
        <f>Source!Q45</f>
        <v>18.7</v>
      </c>
    </row>
    <row r="97" spans="1:29" ht="14.25" x14ac:dyDescent="0.2">
      <c r="A97" s="39"/>
      <c r="B97" s="39"/>
      <c r="C97" s="39" t="s">
        <v>709</v>
      </c>
      <c r="D97" s="40"/>
      <c r="E97" s="11"/>
      <c r="F97" s="42">
        <f>Source!AN44</f>
        <v>0.08</v>
      </c>
      <c r="G97" s="41" t="str">
        <f>Source!DF44</f>
        <v>*1,1</v>
      </c>
      <c r="H97" s="11">
        <f>Source!AV45</f>
        <v>1.0469999999999999</v>
      </c>
      <c r="I97" s="43">
        <f>Source!R44</f>
        <v>0.18</v>
      </c>
      <c r="J97" s="11">
        <f>IF(Source!BS45&lt;&gt; 0, Source!BS45, 1)</f>
        <v>54.99</v>
      </c>
      <c r="K97" s="43">
        <f>Source!R45</f>
        <v>9.9</v>
      </c>
    </row>
    <row r="98" spans="1:29" ht="14.25" x14ac:dyDescent="0.2">
      <c r="A98" s="39"/>
      <c r="B98" s="39"/>
      <c r="C98" s="39" t="s">
        <v>710</v>
      </c>
      <c r="D98" s="40" t="s">
        <v>711</v>
      </c>
      <c r="E98" s="11">
        <f>Source!BZ45</f>
        <v>90</v>
      </c>
      <c r="F98" s="42"/>
      <c r="G98" s="41"/>
      <c r="H98" s="11"/>
      <c r="I98" s="42">
        <f>SUM(Q94:Q97)</f>
        <v>24.31</v>
      </c>
      <c r="J98" s="11">
        <f>Source!AT45</f>
        <v>90</v>
      </c>
      <c r="K98" s="42">
        <f>SUM(R94:R97)</f>
        <v>1336.75</v>
      </c>
    </row>
    <row r="99" spans="1:29" ht="14.25" x14ac:dyDescent="0.2">
      <c r="A99" s="39"/>
      <c r="B99" s="39"/>
      <c r="C99" s="39" t="s">
        <v>712</v>
      </c>
      <c r="D99" s="40" t="s">
        <v>711</v>
      </c>
      <c r="E99" s="11">
        <f>Source!CA45</f>
        <v>46</v>
      </c>
      <c r="F99" s="42"/>
      <c r="G99" s="41"/>
      <c r="H99" s="11"/>
      <c r="I99" s="42">
        <f>SUM(S94:S98)</f>
        <v>12.42</v>
      </c>
      <c r="J99" s="11">
        <f>Source!AU45</f>
        <v>46</v>
      </c>
      <c r="K99" s="42">
        <f>SUM(T94:T98)</f>
        <v>683.23</v>
      </c>
    </row>
    <row r="100" spans="1:29" ht="14.25" x14ac:dyDescent="0.2">
      <c r="A100" s="44"/>
      <c r="B100" s="44"/>
      <c r="C100" s="44" t="s">
        <v>713</v>
      </c>
      <c r="D100" s="45" t="s">
        <v>714</v>
      </c>
      <c r="E100" s="46">
        <f>Source!AQ44</f>
        <v>1.03</v>
      </c>
      <c r="F100" s="47"/>
      <c r="G100" s="48" t="str">
        <f>Source!DI44</f>
        <v>*1,1</v>
      </c>
      <c r="H100" s="46">
        <f>Source!AV45</f>
        <v>1.0469999999999999</v>
      </c>
      <c r="I100" s="47">
        <f>Source!U44</f>
        <v>2.3725020000000003</v>
      </c>
      <c r="J100" s="46"/>
      <c r="K100" s="47"/>
    </row>
    <row r="101" spans="1:29" ht="15" x14ac:dyDescent="0.25">
      <c r="C101" s="31" t="s">
        <v>715</v>
      </c>
      <c r="H101" s="49">
        <f>I95+I96+I98+I99+0-0-0</f>
        <v>64.709999999999994</v>
      </c>
      <c r="I101" s="49"/>
      <c r="J101" s="49">
        <f>K95+K96+K98+K99+0-0-0</f>
        <v>3514.06</v>
      </c>
      <c r="K101" s="49"/>
    </row>
    <row r="102" spans="1:29" ht="15" x14ac:dyDescent="0.25">
      <c r="C102" s="31" t="s">
        <v>716</v>
      </c>
      <c r="H102" s="51">
        <f>0+0</f>
        <v>0</v>
      </c>
      <c r="I102" s="51"/>
      <c r="J102" s="51">
        <f>0+0</f>
        <v>0</v>
      </c>
      <c r="K102" s="51"/>
    </row>
    <row r="103" spans="1:29" ht="15" x14ac:dyDescent="0.25">
      <c r="C103" s="31" t="s">
        <v>717</v>
      </c>
      <c r="H103" s="51">
        <f>I95+I96+I98+I99+0</f>
        <v>64.709999999999994</v>
      </c>
      <c r="I103" s="51"/>
      <c r="J103" s="51">
        <f>K95+K96+K98+K99+0</f>
        <v>3514.06</v>
      </c>
      <c r="K103" s="51"/>
      <c r="O103" s="52">
        <f>I95+I96+I98+I99+0</f>
        <v>64.709999999999994</v>
      </c>
      <c r="P103" s="52">
        <f>K95+K96+K98+K99+0</f>
        <v>3514.06</v>
      </c>
    </row>
    <row r="105" spans="1:29" ht="68.25" x14ac:dyDescent="0.2">
      <c r="A105" s="53">
        <v>9</v>
      </c>
      <c r="B105" s="53" t="str">
        <f>Source!F46</f>
        <v>КА №4</v>
      </c>
      <c r="C105" s="53" t="s">
        <v>725</v>
      </c>
      <c r="D105" s="54" t="str">
        <f>Source!H46</f>
        <v>шт.</v>
      </c>
      <c r="E105" s="55">
        <f>Source!I46</f>
        <v>2</v>
      </c>
      <c r="F105" s="56">
        <f>Source!AL46</f>
        <v>1475.55</v>
      </c>
      <c r="G105" s="57" t="str">
        <f>Source!DD46</f>
        <v/>
      </c>
      <c r="H105" s="55">
        <f>Source!AW47</f>
        <v>1</v>
      </c>
      <c r="I105" s="56">
        <f>Source!P46</f>
        <v>2951.1</v>
      </c>
      <c r="J105" s="55">
        <f>IF(Source!BC47&lt;&gt; 0, Source!BC47, 1)</f>
        <v>7.66</v>
      </c>
      <c r="K105" s="56">
        <f>Source!P47</f>
        <v>22605.43</v>
      </c>
      <c r="Q105">
        <f>Source!X46</f>
        <v>0</v>
      </c>
      <c r="R105">
        <f>Source!X47</f>
        <v>0</v>
      </c>
      <c r="S105">
        <f>Source!Y46</f>
        <v>0</v>
      </c>
      <c r="T105">
        <f>Source!Y47</f>
        <v>0</v>
      </c>
      <c r="U105">
        <f>ROUND((175/100)*ROUND(Source!R46, 2), 2)</f>
        <v>0</v>
      </c>
      <c r="V105">
        <f>ROUND((0/100)*ROUND(Source!R47, 2), 2)</f>
        <v>0</v>
      </c>
      <c r="AC105">
        <v>5</v>
      </c>
    </row>
    <row r="106" spans="1:29" ht="15" x14ac:dyDescent="0.25">
      <c r="A106" s="58"/>
      <c r="B106" s="58"/>
      <c r="C106" s="59" t="s">
        <v>717</v>
      </c>
      <c r="D106" s="58"/>
      <c r="E106" s="58"/>
      <c r="F106" s="58"/>
      <c r="G106" s="58"/>
      <c r="H106" s="60">
        <f>I105+0</f>
        <v>2951.1</v>
      </c>
      <c r="I106" s="60"/>
      <c r="J106" s="60">
        <f>K105+0</f>
        <v>22605.43</v>
      </c>
      <c r="K106" s="60"/>
      <c r="O106" s="52">
        <f>I105+0</f>
        <v>2951.1</v>
      </c>
      <c r="P106" s="52">
        <f>K105+0</f>
        <v>22605.43</v>
      </c>
    </row>
    <row r="108" spans="1:29" ht="78" x14ac:dyDescent="0.2">
      <c r="A108" s="39">
        <v>10</v>
      </c>
      <c r="B108" s="39" t="s">
        <v>721</v>
      </c>
      <c r="C108" s="39" t="s">
        <v>49</v>
      </c>
      <c r="D108" s="40" t="str">
        <f>Source!H48</f>
        <v>1  ШТ.</v>
      </c>
      <c r="E108" s="11">
        <f>Source!I48</f>
        <v>1</v>
      </c>
      <c r="F108" s="42"/>
      <c r="G108" s="41"/>
      <c r="H108" s="11"/>
      <c r="I108" s="42"/>
      <c r="J108" s="11"/>
      <c r="K108" s="42"/>
      <c r="Q108">
        <f>Source!X48</f>
        <v>12.16</v>
      </c>
      <c r="R108">
        <f>Source!X49</f>
        <v>668.63</v>
      </c>
      <c r="S108">
        <f>Source!Y48</f>
        <v>6.21</v>
      </c>
      <c r="T108">
        <f>Source!Y49</f>
        <v>341.74</v>
      </c>
      <c r="U108">
        <f>ROUND((175/100)*ROUND(Source!R48, 2), 2)</f>
        <v>0.16</v>
      </c>
      <c r="V108">
        <f>ROUND((0/100)*ROUND(Source!R49, 2), 2)</f>
        <v>0</v>
      </c>
      <c r="AC108">
        <v>0</v>
      </c>
    </row>
    <row r="109" spans="1:29" ht="14.25" x14ac:dyDescent="0.2">
      <c r="A109" s="39"/>
      <c r="B109" s="39"/>
      <c r="C109" s="39" t="s">
        <v>707</v>
      </c>
      <c r="D109" s="40"/>
      <c r="E109" s="11"/>
      <c r="F109" s="42">
        <f>Source!AO48</f>
        <v>11.65</v>
      </c>
      <c r="G109" s="41" t="str">
        <f>Source!DG48</f>
        <v>*1,1</v>
      </c>
      <c r="H109" s="11">
        <f>Source!AV49</f>
        <v>1.0469999999999999</v>
      </c>
      <c r="I109" s="42">
        <f>Source!S48</f>
        <v>13.42</v>
      </c>
      <c r="J109" s="11">
        <f>IF(Source!BA49&lt;&gt; 0, Source!BA49, 1)</f>
        <v>54.99</v>
      </c>
      <c r="K109" s="42">
        <f>Source!S49</f>
        <v>737.97</v>
      </c>
    </row>
    <row r="110" spans="1:29" ht="14.25" x14ac:dyDescent="0.2">
      <c r="A110" s="39"/>
      <c r="B110" s="39"/>
      <c r="C110" s="39" t="s">
        <v>708</v>
      </c>
      <c r="D110" s="40"/>
      <c r="E110" s="11"/>
      <c r="F110" s="42">
        <f>Source!AM48</f>
        <v>0.5</v>
      </c>
      <c r="G110" s="41" t="str">
        <f>Source!DE48</f>
        <v>*1,1</v>
      </c>
      <c r="H110" s="11">
        <f>Source!AV49</f>
        <v>1.0469999999999999</v>
      </c>
      <c r="I110" s="42">
        <f>Source!Q48</f>
        <v>0.57999999999999996</v>
      </c>
      <c r="J110" s="11">
        <f>IF(Source!BB49&lt;&gt; 0, Source!BB49, 1)</f>
        <v>16.260000000000002</v>
      </c>
      <c r="K110" s="42">
        <f>Source!Q49</f>
        <v>9.43</v>
      </c>
    </row>
    <row r="111" spans="1:29" ht="14.25" x14ac:dyDescent="0.2">
      <c r="A111" s="39"/>
      <c r="B111" s="39"/>
      <c r="C111" s="39" t="s">
        <v>709</v>
      </c>
      <c r="D111" s="40"/>
      <c r="E111" s="11"/>
      <c r="F111" s="42">
        <f>Source!AN48</f>
        <v>0.08</v>
      </c>
      <c r="G111" s="41" t="str">
        <f>Source!DF48</f>
        <v>*1,1</v>
      </c>
      <c r="H111" s="11">
        <f>Source!AV49</f>
        <v>1.0469999999999999</v>
      </c>
      <c r="I111" s="43">
        <f>Source!R48</f>
        <v>0.09</v>
      </c>
      <c r="J111" s="11">
        <f>IF(Source!BS49&lt;&gt; 0, Source!BS49, 1)</f>
        <v>54.99</v>
      </c>
      <c r="K111" s="43">
        <f>Source!R49</f>
        <v>4.95</v>
      </c>
    </row>
    <row r="112" spans="1:29" ht="14.25" x14ac:dyDescent="0.2">
      <c r="A112" s="39"/>
      <c r="B112" s="39"/>
      <c r="C112" s="39" t="s">
        <v>710</v>
      </c>
      <c r="D112" s="40" t="s">
        <v>711</v>
      </c>
      <c r="E112" s="11">
        <f>Source!BZ49</f>
        <v>90</v>
      </c>
      <c r="F112" s="42"/>
      <c r="G112" s="41"/>
      <c r="H112" s="11"/>
      <c r="I112" s="42">
        <f>SUM(Q108:Q111)</f>
        <v>12.16</v>
      </c>
      <c r="J112" s="11">
        <f>Source!AT49</f>
        <v>90</v>
      </c>
      <c r="K112" s="42">
        <f>SUM(R108:R111)</f>
        <v>668.63</v>
      </c>
    </row>
    <row r="113" spans="1:29" ht="14.25" x14ac:dyDescent="0.2">
      <c r="A113" s="39"/>
      <c r="B113" s="39"/>
      <c r="C113" s="39" t="s">
        <v>712</v>
      </c>
      <c r="D113" s="40" t="s">
        <v>711</v>
      </c>
      <c r="E113" s="11">
        <f>Source!CA49</f>
        <v>46</v>
      </c>
      <c r="F113" s="42"/>
      <c r="G113" s="41"/>
      <c r="H113" s="11"/>
      <c r="I113" s="42">
        <f>SUM(S108:S112)</f>
        <v>6.21</v>
      </c>
      <c r="J113" s="11">
        <f>Source!AU49</f>
        <v>46</v>
      </c>
      <c r="K113" s="42">
        <f>SUM(T108:T112)</f>
        <v>341.74</v>
      </c>
    </row>
    <row r="114" spans="1:29" ht="14.25" x14ac:dyDescent="0.2">
      <c r="A114" s="44"/>
      <c r="B114" s="44"/>
      <c r="C114" s="44" t="s">
        <v>713</v>
      </c>
      <c r="D114" s="45" t="s">
        <v>714</v>
      </c>
      <c r="E114" s="46">
        <f>Source!AQ48</f>
        <v>1.03</v>
      </c>
      <c r="F114" s="47"/>
      <c r="G114" s="48" t="str">
        <f>Source!DI48</f>
        <v>*1,1</v>
      </c>
      <c r="H114" s="46">
        <f>Source!AV49</f>
        <v>1.0469999999999999</v>
      </c>
      <c r="I114" s="47">
        <f>Source!U48</f>
        <v>1.1862510000000002</v>
      </c>
      <c r="J114" s="46"/>
      <c r="K114" s="47"/>
    </row>
    <row r="115" spans="1:29" ht="15" x14ac:dyDescent="0.25">
      <c r="C115" s="31" t="s">
        <v>715</v>
      </c>
      <c r="H115" s="49">
        <f>I109+I110+I112+I113+0-0-0</f>
        <v>32.369999999999997</v>
      </c>
      <c r="I115" s="49"/>
      <c r="J115" s="49">
        <f>K109+K110+K112+K113+0-0-0</f>
        <v>1757.77</v>
      </c>
      <c r="K115" s="49"/>
    </row>
    <row r="116" spans="1:29" ht="15" x14ac:dyDescent="0.25">
      <c r="C116" s="31" t="s">
        <v>716</v>
      </c>
      <c r="H116" s="51">
        <f>0+0</f>
        <v>0</v>
      </c>
      <c r="I116" s="51"/>
      <c r="J116" s="51">
        <f>0+0</f>
        <v>0</v>
      </c>
      <c r="K116" s="51"/>
    </row>
    <row r="117" spans="1:29" ht="15" x14ac:dyDescent="0.25">
      <c r="C117" s="31" t="s">
        <v>717</v>
      </c>
      <c r="H117" s="51">
        <f>I109+I110+I112+I113+0</f>
        <v>32.369999999999997</v>
      </c>
      <c r="I117" s="51"/>
      <c r="J117" s="51">
        <f>K109+K110+K112+K113+0</f>
        <v>1757.77</v>
      </c>
      <c r="K117" s="51"/>
      <c r="O117" s="52">
        <f>I109+I110+I112+I113+0</f>
        <v>32.369999999999997</v>
      </c>
      <c r="P117" s="52">
        <f>K109+K110+K112+K113+0</f>
        <v>1757.77</v>
      </c>
    </row>
    <row r="119" spans="1:29" ht="54" x14ac:dyDescent="0.2">
      <c r="A119" s="53">
        <v>11</v>
      </c>
      <c r="B119" s="53" t="str">
        <f>Source!F50</f>
        <v>КА №5</v>
      </c>
      <c r="C119" s="53" t="s">
        <v>726</v>
      </c>
      <c r="D119" s="54" t="str">
        <f>Source!H50</f>
        <v>шт.</v>
      </c>
      <c r="E119" s="55">
        <f>Source!I50</f>
        <v>1</v>
      </c>
      <c r="F119" s="56">
        <f>Source!AL50</f>
        <v>8137.48</v>
      </c>
      <c r="G119" s="57" t="str">
        <f>Source!DD50</f>
        <v/>
      </c>
      <c r="H119" s="55">
        <f>Source!AW51</f>
        <v>1</v>
      </c>
      <c r="I119" s="56">
        <f>Source!P50</f>
        <v>8137.48</v>
      </c>
      <c r="J119" s="55">
        <f>IF(Source!BC51&lt;&gt; 0, Source!BC51, 1)</f>
        <v>7.66</v>
      </c>
      <c r="K119" s="56">
        <f>Source!P51</f>
        <v>62333.1</v>
      </c>
      <c r="Q119">
        <f>Source!X50</f>
        <v>0</v>
      </c>
      <c r="R119">
        <f>Source!X51</f>
        <v>0</v>
      </c>
      <c r="S119">
        <f>Source!Y50</f>
        <v>0</v>
      </c>
      <c r="T119">
        <f>Source!Y51</f>
        <v>0</v>
      </c>
      <c r="U119">
        <f>ROUND((175/100)*ROUND(Source!R50, 2), 2)</f>
        <v>0</v>
      </c>
      <c r="V119">
        <f>ROUND((0/100)*ROUND(Source!R51, 2), 2)</f>
        <v>0</v>
      </c>
      <c r="AC119">
        <v>5</v>
      </c>
    </row>
    <row r="120" spans="1:29" ht="15" x14ac:dyDescent="0.25">
      <c r="A120" s="58"/>
      <c r="B120" s="58"/>
      <c r="C120" s="59" t="s">
        <v>717</v>
      </c>
      <c r="D120" s="58"/>
      <c r="E120" s="58"/>
      <c r="F120" s="58"/>
      <c r="G120" s="58"/>
      <c r="H120" s="60">
        <f>I119+0</f>
        <v>8137.48</v>
      </c>
      <c r="I120" s="60"/>
      <c r="J120" s="60">
        <f>K119+0</f>
        <v>62333.1</v>
      </c>
      <c r="K120" s="60"/>
      <c r="O120" s="52">
        <f>I119+0</f>
        <v>8137.48</v>
      </c>
      <c r="P120" s="52">
        <f>K119+0</f>
        <v>62333.1</v>
      </c>
    </row>
    <row r="122" spans="1:29" ht="78" x14ac:dyDescent="0.2">
      <c r="A122" s="39">
        <v>12</v>
      </c>
      <c r="B122" s="39" t="s">
        <v>727</v>
      </c>
      <c r="C122" s="39" t="s">
        <v>76</v>
      </c>
      <c r="D122" s="40" t="str">
        <f>Source!H52</f>
        <v>100 м</v>
      </c>
      <c r="E122" s="11">
        <f>Source!I52</f>
        <v>23</v>
      </c>
      <c r="F122" s="42"/>
      <c r="G122" s="41"/>
      <c r="H122" s="11"/>
      <c r="I122" s="42"/>
      <c r="J122" s="11"/>
      <c r="K122" s="42"/>
      <c r="Q122">
        <f>Source!X52</f>
        <v>5086.72</v>
      </c>
      <c r="R122">
        <f>Source!X53</f>
        <v>279718.67</v>
      </c>
      <c r="S122">
        <f>Source!Y52</f>
        <v>2674.46</v>
      </c>
      <c r="T122">
        <f>Source!Y53</f>
        <v>147068.57999999999</v>
      </c>
      <c r="U122">
        <f>ROUND((175/100)*ROUND(Source!R52, 2), 2)</f>
        <v>264.69</v>
      </c>
      <c r="V122">
        <f>ROUND((0/100)*ROUND(Source!R53, 2), 2)</f>
        <v>0</v>
      </c>
      <c r="AC122">
        <v>0</v>
      </c>
    </row>
    <row r="123" spans="1:29" x14ac:dyDescent="0.2">
      <c r="C123" s="62" t="str">
        <f>"Объем: "&amp;Source!I52&amp;"=2300/"&amp;"100"</f>
        <v>Объем: 23=2300/100</v>
      </c>
    </row>
    <row r="124" spans="1:29" ht="14.25" x14ac:dyDescent="0.2">
      <c r="A124" s="39"/>
      <c r="B124" s="39"/>
      <c r="C124" s="39" t="s">
        <v>707</v>
      </c>
      <c r="D124" s="40"/>
      <c r="E124" s="11"/>
      <c r="F124" s="42">
        <f>Source!AO52</f>
        <v>192.26</v>
      </c>
      <c r="G124" s="41" t="str">
        <f>Source!DG52</f>
        <v>*1,1</v>
      </c>
      <c r="H124" s="11">
        <f>Source!AV53</f>
        <v>1.0469999999999999</v>
      </c>
      <c r="I124" s="42">
        <f>Source!S52</f>
        <v>5092.79</v>
      </c>
      <c r="J124" s="11">
        <f>IF(Source!BA53&lt;&gt; 0, Source!BA53, 1)</f>
        <v>54.99</v>
      </c>
      <c r="K124" s="42">
        <f>Source!S53</f>
        <v>280052.52</v>
      </c>
    </row>
    <row r="125" spans="1:29" ht="14.25" x14ac:dyDescent="0.2">
      <c r="A125" s="39"/>
      <c r="B125" s="39"/>
      <c r="C125" s="39" t="s">
        <v>708</v>
      </c>
      <c r="D125" s="40"/>
      <c r="E125" s="11"/>
      <c r="F125" s="42">
        <f>Source!AM52</f>
        <v>32.869999999999997</v>
      </c>
      <c r="G125" s="41" t="str">
        <f>Source!DE52</f>
        <v>*1,1</v>
      </c>
      <c r="H125" s="11">
        <f>Source!AV53</f>
        <v>1.0469999999999999</v>
      </c>
      <c r="I125" s="42">
        <f>Source!Q52</f>
        <v>870.7</v>
      </c>
      <c r="J125" s="11">
        <f>IF(Source!BB53&lt;&gt; 0, Source!BB53, 1)</f>
        <v>17.850000000000001</v>
      </c>
      <c r="K125" s="42">
        <f>Source!Q53</f>
        <v>15542</v>
      </c>
    </row>
    <row r="126" spans="1:29" ht="14.25" x14ac:dyDescent="0.2">
      <c r="A126" s="39"/>
      <c r="B126" s="39"/>
      <c r="C126" s="39" t="s">
        <v>709</v>
      </c>
      <c r="D126" s="40"/>
      <c r="E126" s="11"/>
      <c r="F126" s="42">
        <f>Source!AN52</f>
        <v>5.71</v>
      </c>
      <c r="G126" s="41" t="str">
        <f>Source!DF52</f>
        <v>*1,1</v>
      </c>
      <c r="H126" s="11">
        <f>Source!AV53</f>
        <v>1.0469999999999999</v>
      </c>
      <c r="I126" s="43">
        <f>Source!R52</f>
        <v>151.25</v>
      </c>
      <c r="J126" s="11">
        <f>IF(Source!BS53&lt;&gt; 0, Source!BS53, 1)</f>
        <v>54.99</v>
      </c>
      <c r="K126" s="43">
        <f>Source!R53</f>
        <v>8317.24</v>
      </c>
    </row>
    <row r="127" spans="1:29" ht="14.25" x14ac:dyDescent="0.2">
      <c r="A127" s="39"/>
      <c r="B127" s="39"/>
      <c r="C127" s="39" t="s">
        <v>720</v>
      </c>
      <c r="D127" s="40"/>
      <c r="E127" s="11"/>
      <c r="F127" s="42">
        <f>Source!AL52</f>
        <v>314.29000000000002</v>
      </c>
      <c r="G127" s="41" t="str">
        <f>Source!DD52</f>
        <v/>
      </c>
      <c r="H127" s="11">
        <f>Source!AW53</f>
        <v>1</v>
      </c>
      <c r="I127" s="42">
        <f>Source!P52</f>
        <v>7228.67</v>
      </c>
      <c r="J127" s="11">
        <f>IF(Source!BC53&lt;&gt; 0, Source!BC53, 1)</f>
        <v>9.89</v>
      </c>
      <c r="K127" s="42">
        <f>Source!P53</f>
        <v>71491.55</v>
      </c>
    </row>
    <row r="128" spans="1:29" ht="42.75" x14ac:dyDescent="0.2">
      <c r="A128" s="39" t="s">
        <v>81</v>
      </c>
      <c r="B128" s="39" t="str">
        <f>Source!F54</f>
        <v>1.12-5-372</v>
      </c>
      <c r="C128" s="39" t="s">
        <v>83</v>
      </c>
      <c r="D128" s="40" t="str">
        <f>Source!H54</f>
        <v>м</v>
      </c>
      <c r="E128" s="11">
        <f>Source!I54</f>
        <v>2346</v>
      </c>
      <c r="F128" s="42">
        <f>Source!AK54</f>
        <v>3.45</v>
      </c>
      <c r="G128" s="61" t="s">
        <v>3</v>
      </c>
      <c r="H128" s="11">
        <f>Source!AW55</f>
        <v>1</v>
      </c>
      <c r="I128" s="42">
        <f>Source!O54</f>
        <v>8093.7</v>
      </c>
      <c r="J128" s="11">
        <f>IF(Source!BC55&lt;&gt; 0, Source!BC55, 1)</f>
        <v>3.93</v>
      </c>
      <c r="K128" s="42">
        <f>Source!O55</f>
        <v>31808.240000000002</v>
      </c>
      <c r="Q128">
        <f>Source!X54</f>
        <v>0</v>
      </c>
      <c r="R128">
        <f>Source!X55</f>
        <v>0</v>
      </c>
      <c r="S128">
        <f>Source!Y54</f>
        <v>0</v>
      </c>
      <c r="T128">
        <f>Source!Y55</f>
        <v>0</v>
      </c>
      <c r="U128">
        <f>ROUND((175/100)*ROUND(Source!R54, 2), 2)</f>
        <v>0</v>
      </c>
      <c r="V128">
        <f>ROUND((0/100)*ROUND(Source!R55, 2), 2)</f>
        <v>0</v>
      </c>
      <c r="AC128">
        <v>3</v>
      </c>
    </row>
    <row r="129" spans="1:29" ht="14.25" x14ac:dyDescent="0.2">
      <c r="A129" s="39"/>
      <c r="B129" s="39"/>
      <c r="C129" s="39" t="s">
        <v>710</v>
      </c>
      <c r="D129" s="40" t="s">
        <v>711</v>
      </c>
      <c r="E129" s="11">
        <f>Source!BZ53</f>
        <v>97</v>
      </c>
      <c r="F129" s="42"/>
      <c r="G129" s="41"/>
      <c r="H129" s="11"/>
      <c r="I129" s="42">
        <f>SUM(Q122:Q128)</f>
        <v>5086.72</v>
      </c>
      <c r="J129" s="11">
        <f>Source!AT53</f>
        <v>97</v>
      </c>
      <c r="K129" s="42">
        <f>SUM(R122:R128)</f>
        <v>279718.67</v>
      </c>
    </row>
    <row r="130" spans="1:29" ht="14.25" x14ac:dyDescent="0.2">
      <c r="A130" s="39"/>
      <c r="B130" s="39"/>
      <c r="C130" s="39" t="s">
        <v>712</v>
      </c>
      <c r="D130" s="40" t="s">
        <v>711</v>
      </c>
      <c r="E130" s="11">
        <f>Source!CA53</f>
        <v>51</v>
      </c>
      <c r="F130" s="42"/>
      <c r="G130" s="41"/>
      <c r="H130" s="11"/>
      <c r="I130" s="42">
        <f>SUM(S122:S129)</f>
        <v>2674.46</v>
      </c>
      <c r="J130" s="11">
        <f>Source!AU53</f>
        <v>51</v>
      </c>
      <c r="K130" s="42">
        <f>SUM(T122:T129)</f>
        <v>147068.57999999999</v>
      </c>
    </row>
    <row r="131" spans="1:29" ht="14.25" x14ac:dyDescent="0.2">
      <c r="A131" s="44"/>
      <c r="B131" s="44"/>
      <c r="C131" s="44" t="s">
        <v>713</v>
      </c>
      <c r="D131" s="45" t="s">
        <v>714</v>
      </c>
      <c r="E131" s="46">
        <f>Source!AQ52</f>
        <v>15</v>
      </c>
      <c r="F131" s="47"/>
      <c r="G131" s="48" t="str">
        <f>Source!DI52</f>
        <v>*1,1</v>
      </c>
      <c r="H131" s="46">
        <f>Source!AV53</f>
        <v>1.0469999999999999</v>
      </c>
      <c r="I131" s="47">
        <f>Source!U52</f>
        <v>397.33649999999994</v>
      </c>
      <c r="J131" s="46"/>
      <c r="K131" s="47"/>
    </row>
    <row r="132" spans="1:29" ht="15" x14ac:dyDescent="0.25">
      <c r="C132" s="31" t="s">
        <v>715</v>
      </c>
      <c r="H132" s="49">
        <f>I124+I125+I127+I129+I130+SUM(I128:I128)-SUMIF(AC128:AC128, 5, I128:I128)-SUMIF(AC128:AC128, 6, I128:I128)</f>
        <v>29047.040000000001</v>
      </c>
      <c r="I132" s="49"/>
      <c r="J132" s="49">
        <f>K124+K125+K127+K129+K130+SUM(K128:K128)-SUMIF(AC128:AC128, 5, K128:K128)-SUMIF(AC128:AC128, 6, K128:K128)</f>
        <v>825681.55999999994</v>
      </c>
      <c r="K132" s="49"/>
    </row>
    <row r="133" spans="1:29" ht="15" x14ac:dyDescent="0.25">
      <c r="C133" s="31" t="s">
        <v>716</v>
      </c>
      <c r="H133" s="51">
        <f>SUMIF(AC128:AC128, 5, I128:I128)+SUMIF(AC128:AC128, 6, I128:I128)</f>
        <v>0</v>
      </c>
      <c r="I133" s="51"/>
      <c r="J133" s="51">
        <f>SUMIF(AC128:AC128, 5, K128:K128)+SUMIF(AC128:AC128, 6, K128:K128)</f>
        <v>0</v>
      </c>
      <c r="K133" s="51"/>
    </row>
    <row r="134" spans="1:29" ht="15" x14ac:dyDescent="0.25">
      <c r="C134" s="31" t="s">
        <v>717</v>
      </c>
      <c r="H134" s="51">
        <f>I124+I125+I127+I129+I130+SUM(I128:I128)</f>
        <v>29047.040000000001</v>
      </c>
      <c r="I134" s="51"/>
      <c r="J134" s="51">
        <f>K124+K125+K127+K129+K130+SUM(K128:K128)</f>
        <v>825681.55999999994</v>
      </c>
      <c r="K134" s="51"/>
      <c r="O134" s="52">
        <f>I124+I125+I127+I129+I130+SUM(I128:I128)</f>
        <v>29047.040000000001</v>
      </c>
      <c r="P134" s="52">
        <f>K124+K125+K127+K129+K130+SUM(K128:K128)</f>
        <v>825681.55999999994</v>
      </c>
    </row>
    <row r="136" spans="1:29" ht="78" x14ac:dyDescent="0.2">
      <c r="A136" s="39">
        <v>13</v>
      </c>
      <c r="B136" s="39" t="s">
        <v>728</v>
      </c>
      <c r="C136" s="39" t="s">
        <v>88</v>
      </c>
      <c r="D136" s="40" t="str">
        <f>Source!H56</f>
        <v>100 м</v>
      </c>
      <c r="E136" s="11">
        <f>Source!I56</f>
        <v>2</v>
      </c>
      <c r="F136" s="42"/>
      <c r="G136" s="41"/>
      <c r="H136" s="11"/>
      <c r="I136" s="42"/>
      <c r="J136" s="11"/>
      <c r="K136" s="42"/>
      <c r="Q136">
        <f>Source!X56</f>
        <v>914.19</v>
      </c>
      <c r="R136">
        <f>Source!X57</f>
        <v>50271.1</v>
      </c>
      <c r="S136">
        <f>Source!Y56</f>
        <v>480.65</v>
      </c>
      <c r="T136">
        <f>Source!Y57</f>
        <v>26431.200000000001</v>
      </c>
      <c r="U136">
        <f>ROUND((175/100)*ROUND(Source!R56, 2), 2)</f>
        <v>14.75</v>
      </c>
      <c r="V136">
        <f>ROUND((0/100)*ROUND(Source!R57, 2), 2)</f>
        <v>0</v>
      </c>
      <c r="AC136">
        <v>0</v>
      </c>
    </row>
    <row r="137" spans="1:29" x14ac:dyDescent="0.2">
      <c r="C137" s="62" t="str">
        <f>"Объем: "&amp;Source!I56&amp;"=200/"&amp;"100"</f>
        <v>Объем: 2=200/100</v>
      </c>
    </row>
    <row r="138" spans="1:29" ht="14.25" x14ac:dyDescent="0.2">
      <c r="A138" s="39"/>
      <c r="B138" s="39"/>
      <c r="C138" s="39" t="s">
        <v>707</v>
      </c>
      <c r="D138" s="40"/>
      <c r="E138" s="11"/>
      <c r="F138" s="42">
        <f>Source!AO56</f>
        <v>405.5</v>
      </c>
      <c r="G138" s="41" t="str">
        <f>Source!DG56</f>
        <v>*1,1</v>
      </c>
      <c r="H138" s="11">
        <f>Source!AV57</f>
        <v>1.0469999999999999</v>
      </c>
      <c r="I138" s="42">
        <f>Source!S56</f>
        <v>934.03</v>
      </c>
      <c r="J138" s="11">
        <f>IF(Source!BA57&lt;&gt; 0, Source!BA57, 1)</f>
        <v>54.99</v>
      </c>
      <c r="K138" s="42">
        <f>Source!S57</f>
        <v>51362.31</v>
      </c>
    </row>
    <row r="139" spans="1:29" ht="14.25" x14ac:dyDescent="0.2">
      <c r="A139" s="39"/>
      <c r="B139" s="39"/>
      <c r="C139" s="39" t="s">
        <v>708</v>
      </c>
      <c r="D139" s="40"/>
      <c r="E139" s="11"/>
      <c r="F139" s="42">
        <f>Source!AM56</f>
        <v>24.51</v>
      </c>
      <c r="G139" s="41" t="str">
        <f>Source!DE56</f>
        <v>*1,1</v>
      </c>
      <c r="H139" s="11">
        <f>Source!AV57</f>
        <v>1.0469999999999999</v>
      </c>
      <c r="I139" s="42">
        <f>Source!Q56</f>
        <v>56.46</v>
      </c>
      <c r="J139" s="11">
        <f>IF(Source!BB57&lt;&gt; 0, Source!BB57, 1)</f>
        <v>16.75</v>
      </c>
      <c r="K139" s="42">
        <f>Source!Q57</f>
        <v>945.71</v>
      </c>
    </row>
    <row r="140" spans="1:29" ht="14.25" x14ac:dyDescent="0.2">
      <c r="A140" s="39"/>
      <c r="B140" s="39"/>
      <c r="C140" s="39" t="s">
        <v>709</v>
      </c>
      <c r="D140" s="40"/>
      <c r="E140" s="11"/>
      <c r="F140" s="42">
        <f>Source!AN56</f>
        <v>3.66</v>
      </c>
      <c r="G140" s="41" t="str">
        <f>Source!DF56</f>
        <v>*1,1</v>
      </c>
      <c r="H140" s="11">
        <f>Source!AV57</f>
        <v>1.0469999999999999</v>
      </c>
      <c r="I140" s="43">
        <f>Source!R56</f>
        <v>8.43</v>
      </c>
      <c r="J140" s="11">
        <f>IF(Source!BS57&lt;&gt; 0, Source!BS57, 1)</f>
        <v>54.99</v>
      </c>
      <c r="K140" s="43">
        <f>Source!R57</f>
        <v>463.57</v>
      </c>
    </row>
    <row r="141" spans="1:29" ht="14.25" x14ac:dyDescent="0.2">
      <c r="A141" s="39"/>
      <c r="B141" s="39"/>
      <c r="C141" s="39" t="s">
        <v>720</v>
      </c>
      <c r="D141" s="40"/>
      <c r="E141" s="11"/>
      <c r="F141" s="42">
        <f>Source!AL56</f>
        <v>1018.27</v>
      </c>
      <c r="G141" s="41" t="str">
        <f>Source!DD56</f>
        <v/>
      </c>
      <c r="H141" s="11">
        <f>Source!AW57</f>
        <v>1</v>
      </c>
      <c r="I141" s="42">
        <f>Source!P56</f>
        <v>2036.54</v>
      </c>
      <c r="J141" s="11">
        <f>IF(Source!BC57&lt;&gt; 0, Source!BC57, 1)</f>
        <v>9.89</v>
      </c>
      <c r="K141" s="42">
        <f>Source!P57</f>
        <v>20141.38</v>
      </c>
    </row>
    <row r="142" spans="1:29" ht="14.25" x14ac:dyDescent="0.2">
      <c r="A142" s="39" t="s">
        <v>90</v>
      </c>
      <c r="B142" s="39" t="str">
        <f>Source!F58</f>
        <v>1.1-1-1962</v>
      </c>
      <c r="C142" s="39" t="s">
        <v>92</v>
      </c>
      <c r="D142" s="40" t="str">
        <f>Source!H58</f>
        <v>м</v>
      </c>
      <c r="E142" s="11">
        <f>Source!I58</f>
        <v>200</v>
      </c>
      <c r="F142" s="42">
        <f>Source!AK58</f>
        <v>3.8</v>
      </c>
      <c r="G142" s="61" t="s">
        <v>3</v>
      </c>
      <c r="H142" s="11">
        <f>Source!AW59</f>
        <v>1</v>
      </c>
      <c r="I142" s="42">
        <f>Source!O58</f>
        <v>760</v>
      </c>
      <c r="J142" s="11">
        <f>IF(Source!BC59&lt;&gt; 0, Source!BC59, 1)</f>
        <v>6.88</v>
      </c>
      <c r="K142" s="42">
        <f>Source!O59</f>
        <v>5228.8</v>
      </c>
      <c r="Q142">
        <f>Source!X58</f>
        <v>0</v>
      </c>
      <c r="R142">
        <f>Source!X59</f>
        <v>0</v>
      </c>
      <c r="S142">
        <f>Source!Y58</f>
        <v>0</v>
      </c>
      <c r="T142">
        <f>Source!Y59</f>
        <v>0</v>
      </c>
      <c r="U142">
        <f>ROUND((175/100)*ROUND(Source!R58, 2), 2)</f>
        <v>0</v>
      </c>
      <c r="V142">
        <f>ROUND((0/100)*ROUND(Source!R59, 2), 2)</f>
        <v>0</v>
      </c>
      <c r="AC142">
        <v>3</v>
      </c>
    </row>
    <row r="143" spans="1:29" ht="14.25" x14ac:dyDescent="0.2">
      <c r="A143" s="39"/>
      <c r="B143" s="39"/>
      <c r="C143" s="39" t="s">
        <v>710</v>
      </c>
      <c r="D143" s="40" t="s">
        <v>711</v>
      </c>
      <c r="E143" s="11">
        <f>Source!BZ57</f>
        <v>97</v>
      </c>
      <c r="F143" s="42"/>
      <c r="G143" s="41"/>
      <c r="H143" s="11"/>
      <c r="I143" s="42">
        <f>SUM(Q136:Q142)</f>
        <v>914.19</v>
      </c>
      <c r="J143" s="11">
        <f>Source!AT57</f>
        <v>97</v>
      </c>
      <c r="K143" s="42">
        <f>SUM(R136:R142)</f>
        <v>50271.1</v>
      </c>
    </row>
    <row r="144" spans="1:29" ht="14.25" x14ac:dyDescent="0.2">
      <c r="A144" s="39"/>
      <c r="B144" s="39"/>
      <c r="C144" s="39" t="s">
        <v>712</v>
      </c>
      <c r="D144" s="40" t="s">
        <v>711</v>
      </c>
      <c r="E144" s="11">
        <f>Source!CA57</f>
        <v>51</v>
      </c>
      <c r="F144" s="42"/>
      <c r="G144" s="41"/>
      <c r="H144" s="11"/>
      <c r="I144" s="42">
        <f>SUM(S136:S143)</f>
        <v>480.65</v>
      </c>
      <c r="J144" s="11">
        <f>Source!AU57</f>
        <v>51</v>
      </c>
      <c r="K144" s="42">
        <f>SUM(T136:T143)</f>
        <v>26431.200000000001</v>
      </c>
    </row>
    <row r="145" spans="1:29" ht="14.25" x14ac:dyDescent="0.2">
      <c r="A145" s="44"/>
      <c r="B145" s="44"/>
      <c r="C145" s="44" t="s">
        <v>713</v>
      </c>
      <c r="D145" s="45" t="s">
        <v>714</v>
      </c>
      <c r="E145" s="46">
        <f>Source!AQ56</f>
        <v>33.79</v>
      </c>
      <c r="F145" s="47"/>
      <c r="G145" s="48" t="str">
        <f>Source!DI56</f>
        <v>*1,1</v>
      </c>
      <c r="H145" s="46">
        <f>Source!AV57</f>
        <v>1.0469999999999999</v>
      </c>
      <c r="I145" s="47">
        <f>Source!U56</f>
        <v>77.831885999999997</v>
      </c>
      <c r="J145" s="46"/>
      <c r="K145" s="47"/>
    </row>
    <row r="146" spans="1:29" ht="15" x14ac:dyDescent="0.25">
      <c r="C146" s="31" t="s">
        <v>715</v>
      </c>
      <c r="H146" s="49">
        <f>I138+I139+I141+I143+I144+SUM(I142:I142)-SUMIF(AC142:AC142, 5, I142:I142)-SUMIF(AC142:AC142, 6, I142:I142)</f>
        <v>5181.87</v>
      </c>
      <c r="I146" s="49"/>
      <c r="J146" s="49">
        <f>K138+K139+K141+K143+K144+SUM(K142:K142)-SUMIF(AC142:AC142, 5, K142:K142)-SUMIF(AC142:AC142, 6, K142:K142)</f>
        <v>154380.5</v>
      </c>
      <c r="K146" s="49"/>
    </row>
    <row r="147" spans="1:29" ht="15" x14ac:dyDescent="0.25">
      <c r="C147" s="31" t="s">
        <v>716</v>
      </c>
      <c r="H147" s="51">
        <f>SUMIF(AC142:AC142, 5, I142:I142)+SUMIF(AC142:AC142, 6, I142:I142)</f>
        <v>0</v>
      </c>
      <c r="I147" s="51"/>
      <c r="J147" s="51">
        <f>SUMIF(AC142:AC142, 5, K142:K142)+SUMIF(AC142:AC142, 6, K142:K142)</f>
        <v>0</v>
      </c>
      <c r="K147" s="51"/>
    </row>
    <row r="148" spans="1:29" ht="15" x14ac:dyDescent="0.25">
      <c r="C148" s="31" t="s">
        <v>717</v>
      </c>
      <c r="H148" s="51">
        <f>I138+I139+I141+I143+I144+SUM(I142:I142)</f>
        <v>5181.87</v>
      </c>
      <c r="I148" s="51"/>
      <c r="J148" s="51">
        <f>K138+K139+K141+K143+K144+SUM(K142:K142)</f>
        <v>154380.5</v>
      </c>
      <c r="K148" s="51"/>
      <c r="O148" s="52">
        <f>I138+I139+I141+I143+I144+SUM(I142:I142)</f>
        <v>5181.87</v>
      </c>
      <c r="P148" s="52">
        <f>K138+K139+K141+K143+K144+SUM(K142:K142)</f>
        <v>154380.5</v>
      </c>
    </row>
    <row r="150" spans="1:29" ht="78" x14ac:dyDescent="0.2">
      <c r="A150" s="39">
        <v>14</v>
      </c>
      <c r="B150" s="39" t="s">
        <v>729</v>
      </c>
      <c r="C150" s="39" t="s">
        <v>96</v>
      </c>
      <c r="D150" s="40" t="str">
        <f>Source!H60</f>
        <v>100 м</v>
      </c>
      <c r="E150" s="11">
        <f>Source!I60</f>
        <v>10</v>
      </c>
      <c r="F150" s="42"/>
      <c r="G150" s="41"/>
      <c r="H150" s="11"/>
      <c r="I150" s="42"/>
      <c r="J150" s="11"/>
      <c r="K150" s="42"/>
      <c r="Q150">
        <f>Source!X60</f>
        <v>620.35</v>
      </c>
      <c r="R150">
        <f>Source!X61</f>
        <v>34113.26</v>
      </c>
      <c r="S150">
        <f>Source!Y60</f>
        <v>326.17</v>
      </c>
      <c r="T150">
        <f>Source!Y61</f>
        <v>17935.84</v>
      </c>
      <c r="U150">
        <f>ROUND((175/100)*ROUND(Source!R60, 2), 2)</f>
        <v>6.06</v>
      </c>
      <c r="V150">
        <f>ROUND((0/100)*ROUND(Source!R61, 2), 2)</f>
        <v>0</v>
      </c>
      <c r="AC150">
        <v>0</v>
      </c>
    </row>
    <row r="151" spans="1:29" x14ac:dyDescent="0.2">
      <c r="C151" s="62" t="str">
        <f>"Объем: "&amp;Source!I60&amp;"=1000/"&amp;"100"</f>
        <v>Объем: 10=1000/100</v>
      </c>
    </row>
    <row r="152" spans="1:29" ht="14.25" x14ac:dyDescent="0.2">
      <c r="A152" s="39"/>
      <c r="B152" s="39"/>
      <c r="C152" s="39" t="s">
        <v>707</v>
      </c>
      <c r="D152" s="40"/>
      <c r="E152" s="11"/>
      <c r="F152" s="42">
        <f>Source!AO60</f>
        <v>55.23</v>
      </c>
      <c r="G152" s="41" t="str">
        <f>Source!DG60</f>
        <v>*1,1</v>
      </c>
      <c r="H152" s="11">
        <f>Source!AV61</f>
        <v>1.0469999999999999</v>
      </c>
      <c r="I152" s="42">
        <f>Source!S60</f>
        <v>636.08000000000004</v>
      </c>
      <c r="J152" s="11">
        <f>IF(Source!BA61&lt;&gt; 0, Source!BA61, 1)</f>
        <v>54.99</v>
      </c>
      <c r="K152" s="42">
        <f>Source!S61</f>
        <v>34978.04</v>
      </c>
    </row>
    <row r="153" spans="1:29" ht="14.25" x14ac:dyDescent="0.2">
      <c r="A153" s="39"/>
      <c r="B153" s="39"/>
      <c r="C153" s="39" t="s">
        <v>708</v>
      </c>
      <c r="D153" s="40"/>
      <c r="E153" s="11"/>
      <c r="F153" s="42">
        <f>Source!AM60</f>
        <v>2.62</v>
      </c>
      <c r="G153" s="41" t="str">
        <f>Source!DE60</f>
        <v>*1,1</v>
      </c>
      <c r="H153" s="11">
        <f>Source!AV61</f>
        <v>1.0469999999999999</v>
      </c>
      <c r="I153" s="42">
        <f>Source!Q60</f>
        <v>30.17</v>
      </c>
      <c r="J153" s="11">
        <f>IF(Source!BB61&lt;&gt; 0, Source!BB61, 1)</f>
        <v>14.57</v>
      </c>
      <c r="K153" s="42">
        <f>Source!Q61</f>
        <v>439.58</v>
      </c>
    </row>
    <row r="154" spans="1:29" ht="14.25" x14ac:dyDescent="0.2">
      <c r="A154" s="39"/>
      <c r="B154" s="39"/>
      <c r="C154" s="39" t="s">
        <v>709</v>
      </c>
      <c r="D154" s="40"/>
      <c r="E154" s="11"/>
      <c r="F154" s="42">
        <f>Source!AN60</f>
        <v>0.3</v>
      </c>
      <c r="G154" s="41" t="str">
        <f>Source!DF60</f>
        <v>*1,1</v>
      </c>
      <c r="H154" s="11">
        <f>Source!AV61</f>
        <v>1.0469999999999999</v>
      </c>
      <c r="I154" s="43">
        <f>Source!R60</f>
        <v>3.46</v>
      </c>
      <c r="J154" s="11">
        <f>IF(Source!BS61&lt;&gt; 0, Source!BS61, 1)</f>
        <v>54.99</v>
      </c>
      <c r="K154" s="43">
        <f>Source!R61</f>
        <v>190.27</v>
      </c>
    </row>
    <row r="155" spans="1:29" ht="14.25" x14ac:dyDescent="0.2">
      <c r="A155" s="39"/>
      <c r="B155" s="39"/>
      <c r="C155" s="39" t="s">
        <v>720</v>
      </c>
      <c r="D155" s="40"/>
      <c r="E155" s="11"/>
      <c r="F155" s="42">
        <f>Source!AL60</f>
        <v>58.15</v>
      </c>
      <c r="G155" s="41" t="str">
        <f>Source!DD60</f>
        <v/>
      </c>
      <c r="H155" s="11">
        <f>Source!AW61</f>
        <v>1</v>
      </c>
      <c r="I155" s="42">
        <f>Source!P60</f>
        <v>581.5</v>
      </c>
      <c r="J155" s="11">
        <f>IF(Source!BC61&lt;&gt; 0, Source!BC61, 1)</f>
        <v>3.7</v>
      </c>
      <c r="K155" s="42">
        <f>Source!P61</f>
        <v>2151.5500000000002</v>
      </c>
    </row>
    <row r="156" spans="1:29" ht="27" x14ac:dyDescent="0.2">
      <c r="A156" s="39" t="s">
        <v>98</v>
      </c>
      <c r="B156" s="39" t="str">
        <f>Source!F62</f>
        <v>КА №8</v>
      </c>
      <c r="C156" s="39" t="s">
        <v>730</v>
      </c>
      <c r="D156" s="40" t="str">
        <f>Source!H62</f>
        <v>м.п.</v>
      </c>
      <c r="E156" s="11">
        <f>Source!I62</f>
        <v>1020</v>
      </c>
      <c r="F156" s="42">
        <f>Source!AK62</f>
        <v>5.08</v>
      </c>
      <c r="G156" s="61" t="s">
        <v>3</v>
      </c>
      <c r="H156" s="11">
        <f>Source!AW63</f>
        <v>1</v>
      </c>
      <c r="I156" s="42">
        <f>Source!O62</f>
        <v>5181.6000000000004</v>
      </c>
      <c r="J156" s="11">
        <f>IF(Source!BC63&lt;&gt; 0, Source!BC63, 1)</f>
        <v>9.8800000000000008</v>
      </c>
      <c r="K156" s="42">
        <f>Source!O63</f>
        <v>51194.21</v>
      </c>
      <c r="Q156">
        <f>Source!X62</f>
        <v>0</v>
      </c>
      <c r="R156">
        <f>Source!X63</f>
        <v>0</v>
      </c>
      <c r="S156">
        <f>Source!Y62</f>
        <v>0</v>
      </c>
      <c r="T156">
        <f>Source!Y63</f>
        <v>0</v>
      </c>
      <c r="U156">
        <f>ROUND((175/100)*ROUND(Source!R62, 2), 2)</f>
        <v>0</v>
      </c>
      <c r="V156">
        <f>ROUND((0/100)*ROUND(Source!R63, 2), 2)</f>
        <v>0</v>
      </c>
      <c r="AC156">
        <v>3</v>
      </c>
    </row>
    <row r="157" spans="1:29" ht="14.25" x14ac:dyDescent="0.2">
      <c r="A157" s="39"/>
      <c r="B157" s="39"/>
      <c r="C157" s="39" t="s">
        <v>710</v>
      </c>
      <c r="D157" s="40" t="s">
        <v>711</v>
      </c>
      <c r="E157" s="11">
        <f>Source!BZ61</f>
        <v>97</v>
      </c>
      <c r="F157" s="42"/>
      <c r="G157" s="41"/>
      <c r="H157" s="11"/>
      <c r="I157" s="42">
        <f>SUM(Q150:Q156)</f>
        <v>620.35</v>
      </c>
      <c r="J157" s="11">
        <f>Source!AT61</f>
        <v>97</v>
      </c>
      <c r="K157" s="42">
        <f>SUM(R150:R156)</f>
        <v>34113.26</v>
      </c>
    </row>
    <row r="158" spans="1:29" ht="14.25" x14ac:dyDescent="0.2">
      <c r="A158" s="39"/>
      <c r="B158" s="39"/>
      <c r="C158" s="39" t="s">
        <v>712</v>
      </c>
      <c r="D158" s="40" t="s">
        <v>711</v>
      </c>
      <c r="E158" s="11">
        <f>Source!CA61</f>
        <v>51</v>
      </c>
      <c r="F158" s="42"/>
      <c r="G158" s="41"/>
      <c r="H158" s="11"/>
      <c r="I158" s="42">
        <f>SUM(S150:S157)</f>
        <v>326.17</v>
      </c>
      <c r="J158" s="11">
        <f>Source!AU61</f>
        <v>51</v>
      </c>
      <c r="K158" s="42">
        <f>SUM(T150:T157)</f>
        <v>17935.84</v>
      </c>
    </row>
    <row r="159" spans="1:29" ht="14.25" x14ac:dyDescent="0.2">
      <c r="A159" s="44"/>
      <c r="B159" s="44"/>
      <c r="C159" s="44" t="s">
        <v>713</v>
      </c>
      <c r="D159" s="45" t="s">
        <v>714</v>
      </c>
      <c r="E159" s="46">
        <f>Source!AQ60</f>
        <v>4.49</v>
      </c>
      <c r="F159" s="47"/>
      <c r="G159" s="48" t="str">
        <f>Source!DI60</f>
        <v>*1,1</v>
      </c>
      <c r="H159" s="46">
        <f>Source!AV61</f>
        <v>1.0469999999999999</v>
      </c>
      <c r="I159" s="47">
        <f>Source!U60</f>
        <v>51.711330000000011</v>
      </c>
      <c r="J159" s="46"/>
      <c r="K159" s="47"/>
    </row>
    <row r="160" spans="1:29" ht="15" x14ac:dyDescent="0.25">
      <c r="C160" s="31" t="s">
        <v>715</v>
      </c>
      <c r="H160" s="49">
        <f>I152+I153+I155+I157+I158+SUM(I156:I156)-SUMIF(AC156:AC156, 5, I156:I156)-SUMIF(AC156:AC156, 6, I156:I156)</f>
        <v>7375.8700000000008</v>
      </c>
      <c r="I160" s="49"/>
      <c r="J160" s="49">
        <f>K152+K153+K155+K157+K158+SUM(K156:K156)-SUMIF(AC156:AC156, 5, K156:K156)-SUMIF(AC156:AC156, 6, K156:K156)</f>
        <v>140812.48000000001</v>
      </c>
      <c r="K160" s="49"/>
    </row>
    <row r="161" spans="1:29" ht="15" x14ac:dyDescent="0.25">
      <c r="C161" s="31" t="s">
        <v>716</v>
      </c>
      <c r="H161" s="51">
        <f>SUMIF(AC156:AC156, 5, I156:I156)+SUMIF(AC156:AC156, 6, I156:I156)</f>
        <v>0</v>
      </c>
      <c r="I161" s="51"/>
      <c r="J161" s="51">
        <f>SUMIF(AC156:AC156, 5, K156:K156)+SUMIF(AC156:AC156, 6, K156:K156)</f>
        <v>0</v>
      </c>
      <c r="K161" s="51"/>
    </row>
    <row r="162" spans="1:29" ht="15" x14ac:dyDescent="0.25">
      <c r="C162" s="31" t="s">
        <v>717</v>
      </c>
      <c r="H162" s="51">
        <f>I152+I153+I155+I157+I158+SUM(I156:I156)</f>
        <v>7375.8700000000008</v>
      </c>
      <c r="I162" s="51"/>
      <c r="J162" s="51">
        <f>K152+K153+K155+K157+K158+SUM(K156:K156)</f>
        <v>140812.48000000001</v>
      </c>
      <c r="K162" s="51"/>
      <c r="O162" s="52">
        <f>I152+I153+I155+I157+I158+SUM(I156:I156)</f>
        <v>7375.8700000000008</v>
      </c>
      <c r="P162" s="52">
        <f>K152+K153+K155+K157+K158+SUM(K156:K156)</f>
        <v>140812.48000000001</v>
      </c>
    </row>
    <row r="164" spans="1:29" ht="78" x14ac:dyDescent="0.2">
      <c r="A164" s="39">
        <v>15</v>
      </c>
      <c r="B164" s="39" t="s">
        <v>729</v>
      </c>
      <c r="C164" s="39" t="s">
        <v>96</v>
      </c>
      <c r="D164" s="40" t="str">
        <f>Source!H64</f>
        <v>100 м</v>
      </c>
      <c r="E164" s="11">
        <f>Source!I64</f>
        <v>13</v>
      </c>
      <c r="F164" s="42"/>
      <c r="G164" s="41"/>
      <c r="H164" s="11"/>
      <c r="I164" s="42"/>
      <c r="J164" s="11"/>
      <c r="K164" s="42"/>
      <c r="Q164">
        <f>Source!X64</f>
        <v>806.46</v>
      </c>
      <c r="R164">
        <f>Source!X65</f>
        <v>44347.13</v>
      </c>
      <c r="S164">
        <f>Source!Y64</f>
        <v>424.01</v>
      </c>
      <c r="T164">
        <f>Source!Y65</f>
        <v>23316.53</v>
      </c>
      <c r="U164">
        <f>ROUND((175/100)*ROUND(Source!R64, 2), 2)</f>
        <v>7.86</v>
      </c>
      <c r="V164">
        <f>ROUND((0/100)*ROUND(Source!R65, 2), 2)</f>
        <v>0</v>
      </c>
      <c r="AC164">
        <v>0</v>
      </c>
    </row>
    <row r="165" spans="1:29" x14ac:dyDescent="0.2">
      <c r="C165" s="62" t="str">
        <f>"Объем: "&amp;Source!I64&amp;"=1300/"&amp;"100"</f>
        <v>Объем: 13=1300/100</v>
      </c>
    </row>
    <row r="166" spans="1:29" ht="14.25" x14ac:dyDescent="0.2">
      <c r="A166" s="39"/>
      <c r="B166" s="39"/>
      <c r="C166" s="39" t="s">
        <v>707</v>
      </c>
      <c r="D166" s="40"/>
      <c r="E166" s="11"/>
      <c r="F166" s="42">
        <f>Source!AO64</f>
        <v>55.23</v>
      </c>
      <c r="G166" s="41" t="str">
        <f>Source!DG64</f>
        <v>*1,1</v>
      </c>
      <c r="H166" s="11">
        <f>Source!AV65</f>
        <v>1.0469999999999999</v>
      </c>
      <c r="I166" s="42">
        <f>Source!S64</f>
        <v>826.91</v>
      </c>
      <c r="J166" s="11">
        <f>IF(Source!BA65&lt;&gt; 0, Source!BA65, 1)</f>
        <v>54.99</v>
      </c>
      <c r="K166" s="42">
        <f>Source!S65</f>
        <v>45471.78</v>
      </c>
    </row>
    <row r="167" spans="1:29" ht="14.25" x14ac:dyDescent="0.2">
      <c r="A167" s="39"/>
      <c r="B167" s="39"/>
      <c r="C167" s="39" t="s">
        <v>708</v>
      </c>
      <c r="D167" s="40"/>
      <c r="E167" s="11"/>
      <c r="F167" s="42">
        <f>Source!AM64</f>
        <v>2.62</v>
      </c>
      <c r="G167" s="41" t="str">
        <f>Source!DE64</f>
        <v>*1,1</v>
      </c>
      <c r="H167" s="11">
        <f>Source!AV65</f>
        <v>1.0469999999999999</v>
      </c>
      <c r="I167" s="42">
        <f>Source!Q64</f>
        <v>39.229999999999997</v>
      </c>
      <c r="J167" s="11">
        <f>IF(Source!BB65&lt;&gt; 0, Source!BB65, 1)</f>
        <v>14.57</v>
      </c>
      <c r="K167" s="42">
        <f>Source!Q65</f>
        <v>571.58000000000004</v>
      </c>
    </row>
    <row r="168" spans="1:29" ht="14.25" x14ac:dyDescent="0.2">
      <c r="A168" s="39"/>
      <c r="B168" s="39"/>
      <c r="C168" s="39" t="s">
        <v>709</v>
      </c>
      <c r="D168" s="40"/>
      <c r="E168" s="11"/>
      <c r="F168" s="42">
        <f>Source!AN64</f>
        <v>0.3</v>
      </c>
      <c r="G168" s="41" t="str">
        <f>Source!DF64</f>
        <v>*1,1</v>
      </c>
      <c r="H168" s="11">
        <f>Source!AV65</f>
        <v>1.0469999999999999</v>
      </c>
      <c r="I168" s="43">
        <f>Source!R64</f>
        <v>4.49</v>
      </c>
      <c r="J168" s="11">
        <f>IF(Source!BS65&lt;&gt; 0, Source!BS65, 1)</f>
        <v>54.99</v>
      </c>
      <c r="K168" s="43">
        <f>Source!R65</f>
        <v>246.91</v>
      </c>
    </row>
    <row r="169" spans="1:29" ht="14.25" x14ac:dyDescent="0.2">
      <c r="A169" s="39"/>
      <c r="B169" s="39"/>
      <c r="C169" s="39" t="s">
        <v>720</v>
      </c>
      <c r="D169" s="40"/>
      <c r="E169" s="11"/>
      <c r="F169" s="42">
        <f>Source!AL64</f>
        <v>58.15</v>
      </c>
      <c r="G169" s="41" t="str">
        <f>Source!DD64</f>
        <v/>
      </c>
      <c r="H169" s="11">
        <f>Source!AW65</f>
        <v>1</v>
      </c>
      <c r="I169" s="42">
        <f>Source!P64</f>
        <v>755.95</v>
      </c>
      <c r="J169" s="11">
        <f>IF(Source!BC65&lt;&gt; 0, Source!BC65, 1)</f>
        <v>3.7</v>
      </c>
      <c r="K169" s="42">
        <f>Source!P65</f>
        <v>2797.02</v>
      </c>
    </row>
    <row r="170" spans="1:29" ht="114" x14ac:dyDescent="0.2">
      <c r="A170" s="39" t="s">
        <v>105</v>
      </c>
      <c r="B170" s="39" t="str">
        <f>Source!F66</f>
        <v>1.23-9-92</v>
      </c>
      <c r="C170" s="39" t="s">
        <v>107</v>
      </c>
      <c r="D170" s="40" t="str">
        <f>Source!H66</f>
        <v>км</v>
      </c>
      <c r="E170" s="11">
        <f>Source!I66</f>
        <v>1.3260000000000001</v>
      </c>
      <c r="F170" s="42">
        <f>Source!AK66</f>
        <v>36413</v>
      </c>
      <c r="G170" s="61" t="s">
        <v>3</v>
      </c>
      <c r="H170" s="11">
        <f>Source!AW67</f>
        <v>1</v>
      </c>
      <c r="I170" s="42">
        <f>Source!O66</f>
        <v>48283.64</v>
      </c>
      <c r="J170" s="11">
        <f>IF(Source!BC67&lt;&gt; 0, Source!BC67, 1)</f>
        <v>4.6399999999999997</v>
      </c>
      <c r="K170" s="42">
        <f>Source!O67</f>
        <v>224036.09</v>
      </c>
      <c r="Q170">
        <f>Source!X66</f>
        <v>0</v>
      </c>
      <c r="R170">
        <f>Source!X67</f>
        <v>0</v>
      </c>
      <c r="S170">
        <f>Source!Y66</f>
        <v>0</v>
      </c>
      <c r="T170">
        <f>Source!Y67</f>
        <v>0</v>
      </c>
      <c r="U170">
        <f>ROUND((175/100)*ROUND(Source!R66, 2), 2)</f>
        <v>0</v>
      </c>
      <c r="V170">
        <f>ROUND((0/100)*ROUND(Source!R67, 2), 2)</f>
        <v>0</v>
      </c>
      <c r="AC170">
        <v>3</v>
      </c>
    </row>
    <row r="171" spans="1:29" ht="14.25" x14ac:dyDescent="0.2">
      <c r="A171" s="39"/>
      <c r="B171" s="39"/>
      <c r="C171" s="39" t="s">
        <v>710</v>
      </c>
      <c r="D171" s="40" t="s">
        <v>711</v>
      </c>
      <c r="E171" s="11">
        <f>Source!BZ65</f>
        <v>97</v>
      </c>
      <c r="F171" s="42"/>
      <c r="G171" s="41"/>
      <c r="H171" s="11"/>
      <c r="I171" s="42">
        <f>SUM(Q164:Q170)</f>
        <v>806.46</v>
      </c>
      <c r="J171" s="11">
        <f>Source!AT65</f>
        <v>97</v>
      </c>
      <c r="K171" s="42">
        <f>SUM(R164:R170)</f>
        <v>44347.13</v>
      </c>
    </row>
    <row r="172" spans="1:29" ht="14.25" x14ac:dyDescent="0.2">
      <c r="A172" s="39"/>
      <c r="B172" s="39"/>
      <c r="C172" s="39" t="s">
        <v>712</v>
      </c>
      <c r="D172" s="40" t="s">
        <v>711</v>
      </c>
      <c r="E172" s="11">
        <f>Source!CA65</f>
        <v>51</v>
      </c>
      <c r="F172" s="42"/>
      <c r="G172" s="41"/>
      <c r="H172" s="11"/>
      <c r="I172" s="42">
        <f>SUM(S164:S171)</f>
        <v>424.01</v>
      </c>
      <c r="J172" s="11">
        <f>Source!AU65</f>
        <v>51</v>
      </c>
      <c r="K172" s="42">
        <f>SUM(T164:T171)</f>
        <v>23316.53</v>
      </c>
    </row>
    <row r="173" spans="1:29" ht="14.25" x14ac:dyDescent="0.2">
      <c r="A173" s="44"/>
      <c r="B173" s="44"/>
      <c r="C173" s="44" t="s">
        <v>713</v>
      </c>
      <c r="D173" s="45" t="s">
        <v>714</v>
      </c>
      <c r="E173" s="46">
        <f>Source!AQ64</f>
        <v>4.49</v>
      </c>
      <c r="F173" s="47"/>
      <c r="G173" s="48" t="str">
        <f>Source!DI64</f>
        <v>*1,1</v>
      </c>
      <c r="H173" s="46">
        <f>Source!AV65</f>
        <v>1.0469999999999999</v>
      </c>
      <c r="I173" s="47">
        <f>Source!U64</f>
        <v>67.224729000000011</v>
      </c>
      <c r="J173" s="46"/>
      <c r="K173" s="47"/>
    </row>
    <row r="174" spans="1:29" ht="15" x14ac:dyDescent="0.25">
      <c r="C174" s="31" t="s">
        <v>715</v>
      </c>
      <c r="H174" s="49">
        <f>I166+I167+I169+I171+I172+SUM(I170:I170)-SUMIF(AC170:AC170, 5, I170:I170)-SUMIF(AC170:AC170, 6, I170:I170)</f>
        <v>51136.2</v>
      </c>
      <c r="I174" s="49"/>
      <c r="J174" s="49">
        <f>K166+K167+K169+K171+K172+SUM(K170:K170)-SUMIF(AC170:AC170, 5, K170:K170)-SUMIF(AC170:AC170, 6, K170:K170)</f>
        <v>340540.13</v>
      </c>
      <c r="K174" s="49"/>
    </row>
    <row r="175" spans="1:29" ht="15" x14ac:dyDescent="0.25">
      <c r="C175" s="31" t="s">
        <v>716</v>
      </c>
      <c r="H175" s="51">
        <f>SUMIF(AC170:AC170, 5, I170:I170)+SUMIF(AC170:AC170, 6, I170:I170)</f>
        <v>0</v>
      </c>
      <c r="I175" s="51"/>
      <c r="J175" s="51">
        <f>SUMIF(AC170:AC170, 5, K170:K170)+SUMIF(AC170:AC170, 6, K170:K170)</f>
        <v>0</v>
      </c>
      <c r="K175" s="51"/>
    </row>
    <row r="176" spans="1:29" ht="15" x14ac:dyDescent="0.25">
      <c r="C176" s="31" t="s">
        <v>717</v>
      </c>
      <c r="H176" s="51">
        <f>I166+I167+I169+I171+I172+SUM(I170:I170)</f>
        <v>51136.2</v>
      </c>
      <c r="I176" s="51"/>
      <c r="J176" s="51">
        <f>K166+K167+K169+K171+K172+SUM(K170:K170)</f>
        <v>340540.13</v>
      </c>
      <c r="K176" s="51"/>
      <c r="O176" s="52">
        <f>I166+I167+I169+I171+I172+SUM(I170:I170)</f>
        <v>51136.2</v>
      </c>
      <c r="P176" s="52">
        <f>K166+K167+K169+K171+K172+SUM(K170:K170)</f>
        <v>340540.13</v>
      </c>
    </row>
    <row r="178" spans="1:29" ht="78" x14ac:dyDescent="0.2">
      <c r="A178" s="39">
        <v>16</v>
      </c>
      <c r="B178" s="39" t="s">
        <v>731</v>
      </c>
      <c r="C178" s="39" t="s">
        <v>115</v>
      </c>
      <c r="D178" s="40" t="str">
        <f>Source!H70</f>
        <v>100 м</v>
      </c>
      <c r="E178" s="11">
        <f>Source!I70</f>
        <v>2</v>
      </c>
      <c r="F178" s="42"/>
      <c r="G178" s="41"/>
      <c r="H178" s="11"/>
      <c r="I178" s="42"/>
      <c r="J178" s="11"/>
      <c r="K178" s="42"/>
      <c r="Q178">
        <f>Source!X70</f>
        <v>85.35</v>
      </c>
      <c r="R178">
        <f>Source!X71</f>
        <v>4693.41</v>
      </c>
      <c r="S178">
        <f>Source!Y70</f>
        <v>44.87</v>
      </c>
      <c r="T178">
        <f>Source!Y71</f>
        <v>2467.67</v>
      </c>
      <c r="U178">
        <f>ROUND((175/100)*ROUND(Source!R70, 2), 2)</f>
        <v>0.53</v>
      </c>
      <c r="V178">
        <f>ROUND((0/100)*ROUND(Source!R71, 2), 2)</f>
        <v>0</v>
      </c>
      <c r="AC178">
        <v>0</v>
      </c>
    </row>
    <row r="179" spans="1:29" x14ac:dyDescent="0.2">
      <c r="C179" s="62" t="str">
        <f>"Объем: "&amp;Source!I70&amp;"=200/"&amp;"100"</f>
        <v>Объем: 2=200/100</v>
      </c>
    </row>
    <row r="180" spans="1:29" ht="14.25" x14ac:dyDescent="0.2">
      <c r="A180" s="39"/>
      <c r="B180" s="39"/>
      <c r="C180" s="39" t="s">
        <v>707</v>
      </c>
      <c r="D180" s="40"/>
      <c r="E180" s="11"/>
      <c r="F180" s="42">
        <f>Source!AO70</f>
        <v>38.07</v>
      </c>
      <c r="G180" s="41" t="str">
        <f>Source!DG70</f>
        <v>*1,1</v>
      </c>
      <c r="H180" s="11">
        <f>Source!AV71</f>
        <v>1.0469999999999999</v>
      </c>
      <c r="I180" s="42">
        <f>Source!S70</f>
        <v>87.69</v>
      </c>
      <c r="J180" s="11">
        <f>IF(Source!BA71&lt;&gt; 0, Source!BA71, 1)</f>
        <v>54.99</v>
      </c>
      <c r="K180" s="42">
        <f>Source!S71</f>
        <v>4822.07</v>
      </c>
    </row>
    <row r="181" spans="1:29" ht="14.25" x14ac:dyDescent="0.2">
      <c r="A181" s="39"/>
      <c r="B181" s="39"/>
      <c r="C181" s="39" t="s">
        <v>708</v>
      </c>
      <c r="D181" s="40"/>
      <c r="E181" s="11"/>
      <c r="F181" s="42">
        <f>Source!AM70</f>
        <v>0.83</v>
      </c>
      <c r="G181" s="41" t="str">
        <f>Source!DE70</f>
        <v>*1,1</v>
      </c>
      <c r="H181" s="11">
        <f>Source!AV71</f>
        <v>1.0469999999999999</v>
      </c>
      <c r="I181" s="42">
        <f>Source!Q70</f>
        <v>1.91</v>
      </c>
      <c r="J181" s="11">
        <f>IF(Source!BB71&lt;&gt; 0, Source!BB71, 1)</f>
        <v>16.329999999999998</v>
      </c>
      <c r="K181" s="42">
        <f>Source!Q71</f>
        <v>31.19</v>
      </c>
    </row>
    <row r="182" spans="1:29" ht="14.25" x14ac:dyDescent="0.2">
      <c r="A182" s="39"/>
      <c r="B182" s="39"/>
      <c r="C182" s="39" t="s">
        <v>709</v>
      </c>
      <c r="D182" s="40"/>
      <c r="E182" s="11"/>
      <c r="F182" s="42">
        <f>Source!AN70</f>
        <v>0.13</v>
      </c>
      <c r="G182" s="41" t="str">
        <f>Source!DF70</f>
        <v>*1,1</v>
      </c>
      <c r="H182" s="11">
        <f>Source!AV71</f>
        <v>1.0469999999999999</v>
      </c>
      <c r="I182" s="43">
        <f>Source!R70</f>
        <v>0.3</v>
      </c>
      <c r="J182" s="11">
        <f>IF(Source!BS71&lt;&gt; 0, Source!BS71, 1)</f>
        <v>54.99</v>
      </c>
      <c r="K182" s="43">
        <f>Source!R71</f>
        <v>16.5</v>
      </c>
    </row>
    <row r="183" spans="1:29" ht="14.25" x14ac:dyDescent="0.2">
      <c r="A183" s="39"/>
      <c r="B183" s="39"/>
      <c r="C183" s="39" t="s">
        <v>720</v>
      </c>
      <c r="D183" s="40"/>
      <c r="E183" s="11"/>
      <c r="F183" s="42">
        <f>Source!AL70</f>
        <v>88.94</v>
      </c>
      <c r="G183" s="41" t="str">
        <f>Source!DD70</f>
        <v/>
      </c>
      <c r="H183" s="11">
        <f>Source!AW71</f>
        <v>1</v>
      </c>
      <c r="I183" s="42">
        <f>Source!P70</f>
        <v>177.88</v>
      </c>
      <c r="J183" s="11">
        <f>IF(Source!BC71&lt;&gt; 0, Source!BC71, 1)</f>
        <v>7.25</v>
      </c>
      <c r="K183" s="42">
        <f>Source!P71</f>
        <v>1289.6300000000001</v>
      </c>
    </row>
    <row r="184" spans="1:29" ht="114" x14ac:dyDescent="0.2">
      <c r="A184" s="39" t="s">
        <v>117</v>
      </c>
      <c r="B184" s="39" t="str">
        <f>Source!F72</f>
        <v>1.23-9-92</v>
      </c>
      <c r="C184" s="39" t="s">
        <v>107</v>
      </c>
      <c r="D184" s="40" t="str">
        <f>Source!H72</f>
        <v>км</v>
      </c>
      <c r="E184" s="11">
        <f>Source!I72</f>
        <v>0.20399999999999999</v>
      </c>
      <c r="F184" s="42">
        <f>Source!AK72</f>
        <v>36413</v>
      </c>
      <c r="G184" s="61" t="s">
        <v>3</v>
      </c>
      <c r="H184" s="11">
        <f>Source!AW73</f>
        <v>1</v>
      </c>
      <c r="I184" s="42">
        <f>Source!O72</f>
        <v>7428.25</v>
      </c>
      <c r="J184" s="11">
        <f>IF(Source!BC73&lt;&gt; 0, Source!BC73, 1)</f>
        <v>4.6399999999999997</v>
      </c>
      <c r="K184" s="42">
        <f>Source!O73</f>
        <v>34467.08</v>
      </c>
      <c r="Q184">
        <f>Source!X72</f>
        <v>0</v>
      </c>
      <c r="R184">
        <f>Source!X73</f>
        <v>0</v>
      </c>
      <c r="S184">
        <f>Source!Y72</f>
        <v>0</v>
      </c>
      <c r="T184">
        <f>Source!Y73</f>
        <v>0</v>
      </c>
      <c r="U184">
        <f>ROUND((175/100)*ROUND(Source!R72, 2), 2)</f>
        <v>0</v>
      </c>
      <c r="V184">
        <f>ROUND((0/100)*ROUND(Source!R73, 2), 2)</f>
        <v>0</v>
      </c>
      <c r="AC184">
        <v>3</v>
      </c>
    </row>
    <row r="185" spans="1:29" ht="14.25" x14ac:dyDescent="0.2">
      <c r="A185" s="39"/>
      <c r="B185" s="39"/>
      <c r="C185" s="39" t="s">
        <v>710</v>
      </c>
      <c r="D185" s="40" t="s">
        <v>711</v>
      </c>
      <c r="E185" s="11">
        <f>Source!BZ71</f>
        <v>97</v>
      </c>
      <c r="F185" s="42"/>
      <c r="G185" s="41"/>
      <c r="H185" s="11"/>
      <c r="I185" s="42">
        <f>SUM(Q178:Q184)</f>
        <v>85.35</v>
      </c>
      <c r="J185" s="11">
        <f>Source!AT71</f>
        <v>97</v>
      </c>
      <c r="K185" s="42">
        <f>SUM(R178:R184)</f>
        <v>4693.41</v>
      </c>
    </row>
    <row r="186" spans="1:29" ht="14.25" x14ac:dyDescent="0.2">
      <c r="A186" s="39"/>
      <c r="B186" s="39"/>
      <c r="C186" s="39" t="s">
        <v>712</v>
      </c>
      <c r="D186" s="40" t="s">
        <v>711</v>
      </c>
      <c r="E186" s="11">
        <f>Source!CA71</f>
        <v>51</v>
      </c>
      <c r="F186" s="42"/>
      <c r="G186" s="41"/>
      <c r="H186" s="11"/>
      <c r="I186" s="42">
        <f>SUM(S178:S185)</f>
        <v>44.87</v>
      </c>
      <c r="J186" s="11">
        <f>Source!AU71</f>
        <v>51</v>
      </c>
      <c r="K186" s="42">
        <f>SUM(T178:T185)</f>
        <v>2467.67</v>
      </c>
    </row>
    <row r="187" spans="1:29" ht="14.25" x14ac:dyDescent="0.2">
      <c r="A187" s="44"/>
      <c r="B187" s="44"/>
      <c r="C187" s="44" t="s">
        <v>713</v>
      </c>
      <c r="D187" s="45" t="s">
        <v>714</v>
      </c>
      <c r="E187" s="46">
        <f>Source!AQ70</f>
        <v>3.09</v>
      </c>
      <c r="F187" s="47"/>
      <c r="G187" s="48" t="str">
        <f>Source!DI70</f>
        <v>*1,1</v>
      </c>
      <c r="H187" s="46">
        <f>Source!AV71</f>
        <v>1.0469999999999999</v>
      </c>
      <c r="I187" s="47">
        <f>Source!U70</f>
        <v>7.1175059999999997</v>
      </c>
      <c r="J187" s="46"/>
      <c r="K187" s="47"/>
    </row>
    <row r="188" spans="1:29" ht="15" x14ac:dyDescent="0.25">
      <c r="C188" s="31" t="s">
        <v>715</v>
      </c>
      <c r="H188" s="49">
        <f>I180+I181+I183+I185+I186+SUM(I184:I184)-SUMIF(AC184:AC184, 5, I184:I184)-SUMIF(AC184:AC184, 6, I184:I184)</f>
        <v>7825.95</v>
      </c>
      <c r="I188" s="49"/>
      <c r="J188" s="49">
        <f>K180+K181+K183+K185+K186+SUM(K184:K184)-SUMIF(AC184:AC184, 5, K184:K184)-SUMIF(AC184:AC184, 6, K184:K184)</f>
        <v>47771.05</v>
      </c>
      <c r="K188" s="49"/>
    </row>
    <row r="189" spans="1:29" ht="15" x14ac:dyDescent="0.25">
      <c r="C189" s="31" t="s">
        <v>716</v>
      </c>
      <c r="H189" s="51">
        <f>SUMIF(AC184:AC184, 5, I184:I184)+SUMIF(AC184:AC184, 6, I184:I184)</f>
        <v>0</v>
      </c>
      <c r="I189" s="51"/>
      <c r="J189" s="51">
        <f>SUMIF(AC184:AC184, 5, K184:K184)+SUMIF(AC184:AC184, 6, K184:K184)</f>
        <v>0</v>
      </c>
      <c r="K189" s="51"/>
    </row>
    <row r="190" spans="1:29" ht="15" x14ac:dyDescent="0.25">
      <c r="C190" s="31" t="s">
        <v>717</v>
      </c>
      <c r="H190" s="51">
        <f>I180+I181+I183+I185+I186+SUM(I184:I184)</f>
        <v>7825.95</v>
      </c>
      <c r="I190" s="51"/>
      <c r="J190" s="51">
        <f>K180+K181+K183+K185+K186+SUM(K184:K184)</f>
        <v>47771.05</v>
      </c>
      <c r="K190" s="51"/>
      <c r="O190" s="52">
        <f>I180+I181+I183+I185+I186+SUM(I184:I184)</f>
        <v>7825.95</v>
      </c>
      <c r="P190" s="52">
        <f>K180+K181+K183+K185+K186+SUM(K184:K184)</f>
        <v>47771.05</v>
      </c>
    </row>
    <row r="193" spans="1:43" ht="15" x14ac:dyDescent="0.25">
      <c r="A193" s="64" t="str">
        <f>CONCATENATE("Итого по разделу: ",IF(Source!G75&lt;&gt;"Новый раздел", Source!G75, ""))</f>
        <v>Итого по разделу: Система управления и диспетчерского контроля инженерного</v>
      </c>
      <c r="B193" s="64"/>
      <c r="C193" s="64"/>
      <c r="D193" s="64"/>
      <c r="E193" s="64"/>
      <c r="F193" s="64"/>
      <c r="G193" s="64"/>
      <c r="H193" s="51">
        <f>SUM(O36:O192)</f>
        <v>128147.19</v>
      </c>
      <c r="I193" s="50"/>
      <c r="J193" s="51">
        <f>SUM(P36:P192)</f>
        <v>1738592.53</v>
      </c>
      <c r="K193" s="50"/>
      <c r="AQ193" s="65" t="str">
        <f>CONCATENATE("Итого по разделу: ",IF(Source!G75&lt;&gt;"Новый раздел", Source!G75, ""))</f>
        <v>Итого по разделу: Система управления и диспетчерского контроля инженерного</v>
      </c>
    </row>
    <row r="194" spans="1:43" hidden="1" x14ac:dyDescent="0.2">
      <c r="A194" t="s">
        <v>732</v>
      </c>
      <c r="I194">
        <f>SUM(W36:W193)</f>
        <v>0</v>
      </c>
      <c r="J194">
        <f>SUM(X36:X193)</f>
        <v>0</v>
      </c>
    </row>
    <row r="195" spans="1:43" hidden="1" x14ac:dyDescent="0.2">
      <c r="A195" t="s">
        <v>733</v>
      </c>
      <c r="I195">
        <f>SUM(Y36:Y194)</f>
        <v>0</v>
      </c>
      <c r="J195">
        <f>SUM(Z36:Z194)</f>
        <v>0</v>
      </c>
    </row>
    <row r="197" spans="1:43" ht="16.5" x14ac:dyDescent="0.25">
      <c r="A197" s="38" t="str">
        <f>CONCATENATE("Раздел: ",IF(Source!G105&lt;&gt;"Новый раздел", Source!G105, ""))</f>
        <v>Раздел: Программное обеспечение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</row>
    <row r="198" spans="1:43" ht="69.75" x14ac:dyDescent="0.2">
      <c r="A198" s="53">
        <v>17</v>
      </c>
      <c r="B198" s="53" t="str">
        <f>Source!F109</f>
        <v>КА №6</v>
      </c>
      <c r="C198" s="53" t="s">
        <v>734</v>
      </c>
      <c r="D198" s="54" t="str">
        <f>Source!H109</f>
        <v>шт.</v>
      </c>
      <c r="E198" s="55">
        <f>Source!I109</f>
        <v>1</v>
      </c>
      <c r="F198" s="56">
        <f>Source!AL109</f>
        <v>19386.419999999998</v>
      </c>
      <c r="G198" s="57" t="str">
        <f>Source!DD109</f>
        <v/>
      </c>
      <c r="H198" s="55">
        <f>Source!AW110</f>
        <v>1</v>
      </c>
      <c r="I198" s="56">
        <f>Source!P109</f>
        <v>19386.419999999998</v>
      </c>
      <c r="J198" s="55">
        <f>IF(Source!BC110&lt;&gt; 0, Source!BC110, 1)</f>
        <v>7.66</v>
      </c>
      <c r="K198" s="56">
        <f>Source!P110</f>
        <v>148499.98000000001</v>
      </c>
      <c r="Q198">
        <f>Source!X109</f>
        <v>0</v>
      </c>
      <c r="R198">
        <f>Source!X110</f>
        <v>0</v>
      </c>
      <c r="S198">
        <f>Source!Y109</f>
        <v>0</v>
      </c>
      <c r="T198">
        <f>Source!Y110</f>
        <v>0</v>
      </c>
      <c r="U198">
        <f>ROUND((175/100)*ROUND(Source!R109, 2), 2)</f>
        <v>0</v>
      </c>
      <c r="V198">
        <f>ROUND((0/100)*ROUND(Source!R110, 2), 2)</f>
        <v>0</v>
      </c>
      <c r="AC198">
        <v>5</v>
      </c>
    </row>
    <row r="199" spans="1:43" ht="15" x14ac:dyDescent="0.25">
      <c r="A199" s="58"/>
      <c r="B199" s="58"/>
      <c r="C199" s="59" t="s">
        <v>717</v>
      </c>
      <c r="D199" s="58"/>
      <c r="E199" s="58"/>
      <c r="F199" s="58"/>
      <c r="G199" s="58"/>
      <c r="H199" s="60">
        <f>I198+0</f>
        <v>19386.419999999998</v>
      </c>
      <c r="I199" s="60"/>
      <c r="J199" s="60">
        <f>K198+0</f>
        <v>148499.98000000001</v>
      </c>
      <c r="K199" s="60"/>
      <c r="O199" s="52">
        <f>I198+0</f>
        <v>19386.419999999998</v>
      </c>
      <c r="P199" s="52">
        <f>K198+0</f>
        <v>148499.98000000001</v>
      </c>
    </row>
    <row r="201" spans="1:43" ht="69.75" x14ac:dyDescent="0.2">
      <c r="A201" s="53">
        <v>18</v>
      </c>
      <c r="B201" s="53" t="str">
        <f>Source!F111</f>
        <v>КА №7</v>
      </c>
      <c r="C201" s="53" t="s">
        <v>735</v>
      </c>
      <c r="D201" s="54" t="str">
        <f>Source!H111</f>
        <v>шт.</v>
      </c>
      <c r="E201" s="55">
        <f>Source!I111</f>
        <v>1</v>
      </c>
      <c r="F201" s="56">
        <f>Source!AL111</f>
        <v>1031.33</v>
      </c>
      <c r="G201" s="57" t="str">
        <f>Source!DD111</f>
        <v/>
      </c>
      <c r="H201" s="55">
        <f>Source!AW112</f>
        <v>1</v>
      </c>
      <c r="I201" s="56">
        <f>Source!P111</f>
        <v>1031.33</v>
      </c>
      <c r="J201" s="55">
        <f>IF(Source!BC112&lt;&gt; 0, Source!BC112, 1)</f>
        <v>7.66</v>
      </c>
      <c r="K201" s="56">
        <f>Source!P112</f>
        <v>7899.99</v>
      </c>
      <c r="Q201">
        <f>Source!X111</f>
        <v>0</v>
      </c>
      <c r="R201">
        <f>Source!X112</f>
        <v>0</v>
      </c>
      <c r="S201">
        <f>Source!Y111</f>
        <v>0</v>
      </c>
      <c r="T201">
        <f>Source!Y112</f>
        <v>0</v>
      </c>
      <c r="U201">
        <f>ROUND((175/100)*ROUND(Source!R111, 2), 2)</f>
        <v>0</v>
      </c>
      <c r="V201">
        <f>ROUND((0/100)*ROUND(Source!R112, 2), 2)</f>
        <v>0</v>
      </c>
      <c r="AC201">
        <v>5</v>
      </c>
    </row>
    <row r="202" spans="1:43" ht="15" x14ac:dyDescent="0.25">
      <c r="A202" s="58"/>
      <c r="B202" s="58"/>
      <c r="C202" s="59" t="s">
        <v>717</v>
      </c>
      <c r="D202" s="58"/>
      <c r="E202" s="58"/>
      <c r="F202" s="58"/>
      <c r="G202" s="58"/>
      <c r="H202" s="60">
        <f>I201+0</f>
        <v>1031.33</v>
      </c>
      <c r="I202" s="60"/>
      <c r="J202" s="60">
        <f>K201+0</f>
        <v>7899.99</v>
      </c>
      <c r="K202" s="60"/>
      <c r="O202" s="52">
        <f>I201+0</f>
        <v>1031.33</v>
      </c>
      <c r="P202" s="52">
        <f>K201+0</f>
        <v>7899.99</v>
      </c>
    </row>
    <row r="205" spans="1:43" ht="15" x14ac:dyDescent="0.25">
      <c r="A205" s="64" t="str">
        <f>CONCATENATE("Итого по разделу: ",IF(Source!G114&lt;&gt;"Новый раздел", Source!G114, ""))</f>
        <v>Итого по разделу: Программное обеспечение</v>
      </c>
      <c r="B205" s="64"/>
      <c r="C205" s="64"/>
      <c r="D205" s="64"/>
      <c r="E205" s="64"/>
      <c r="F205" s="64"/>
      <c r="G205" s="64"/>
      <c r="H205" s="51">
        <f>SUM(O197:O204)</f>
        <v>20417.75</v>
      </c>
      <c r="I205" s="50"/>
      <c r="J205" s="51">
        <f>SUM(P197:P204)</f>
        <v>156399.97</v>
      </c>
      <c r="K205" s="50"/>
    </row>
    <row r="206" spans="1:43" hidden="1" x14ac:dyDescent="0.2">
      <c r="A206" t="s">
        <v>732</v>
      </c>
      <c r="I206">
        <f>SUM(W197:W205)</f>
        <v>0</v>
      </c>
      <c r="J206">
        <f>SUM(X197:X205)</f>
        <v>0</v>
      </c>
    </row>
    <row r="207" spans="1:43" hidden="1" x14ac:dyDescent="0.2">
      <c r="A207" t="s">
        <v>733</v>
      </c>
      <c r="I207">
        <f>SUM(Y197:Y206)</f>
        <v>0</v>
      </c>
      <c r="J207">
        <f>SUM(Z197:Z206)</f>
        <v>0</v>
      </c>
    </row>
    <row r="209" spans="1:29" ht="16.5" x14ac:dyDescent="0.25">
      <c r="A209" s="38" t="str">
        <f>CONCATENATE("Раздел: ",IF(Source!G144&lt;&gt;"Новый раздел", Source!G144, ""))</f>
        <v>Раздел: Диспетчеризация систем водоснабжения и канализации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</row>
    <row r="210" spans="1:29" ht="78" x14ac:dyDescent="0.2">
      <c r="A210" s="39">
        <v>19</v>
      </c>
      <c r="B210" s="39" t="s">
        <v>736</v>
      </c>
      <c r="C210" s="39" t="s">
        <v>184</v>
      </c>
      <c r="D210" s="40" t="str">
        <f>Source!H148</f>
        <v>1  ШТ.</v>
      </c>
      <c r="E210" s="11">
        <f>Source!I148</f>
        <v>2</v>
      </c>
      <c r="F210" s="42"/>
      <c r="G210" s="41"/>
      <c r="H210" s="11"/>
      <c r="I210" s="42"/>
      <c r="J210" s="11"/>
      <c r="K210" s="42"/>
      <c r="Q210">
        <f>Source!X148</f>
        <v>13.02</v>
      </c>
      <c r="R210">
        <f>Source!X149</f>
        <v>716.21</v>
      </c>
      <c r="S210">
        <f>Source!Y148</f>
        <v>7.27</v>
      </c>
      <c r="T210">
        <f>Source!Y149</f>
        <v>399.57</v>
      </c>
      <c r="U210">
        <f>ROUND((175/100)*ROUND(Source!R148, 2), 2)</f>
        <v>0</v>
      </c>
      <c r="V210">
        <f>ROUND((0/100)*ROUND(Source!R149, 2), 2)</f>
        <v>0</v>
      </c>
      <c r="AC210">
        <v>0</v>
      </c>
    </row>
    <row r="211" spans="1:29" ht="14.25" x14ac:dyDescent="0.2">
      <c r="A211" s="39"/>
      <c r="B211" s="39"/>
      <c r="C211" s="39" t="s">
        <v>707</v>
      </c>
      <c r="D211" s="40"/>
      <c r="E211" s="11"/>
      <c r="F211" s="42">
        <f>Source!AO148</f>
        <v>5.95</v>
      </c>
      <c r="G211" s="41" t="str">
        <f>Source!DG148</f>
        <v>*1,1</v>
      </c>
      <c r="H211" s="11">
        <f>Source!AV149</f>
        <v>1.0469999999999999</v>
      </c>
      <c r="I211" s="42">
        <f>Source!S148</f>
        <v>13.71</v>
      </c>
      <c r="J211" s="11">
        <f>IF(Source!BA149&lt;&gt; 0, Source!BA149, 1)</f>
        <v>54.99</v>
      </c>
      <c r="K211" s="42">
        <f>Source!S149</f>
        <v>753.91</v>
      </c>
    </row>
    <row r="212" spans="1:29" ht="14.25" x14ac:dyDescent="0.2">
      <c r="A212" s="39"/>
      <c r="B212" s="39"/>
      <c r="C212" s="39" t="s">
        <v>710</v>
      </c>
      <c r="D212" s="40" t="s">
        <v>711</v>
      </c>
      <c r="E212" s="11">
        <f>Source!BZ149</f>
        <v>95</v>
      </c>
      <c r="F212" s="42"/>
      <c r="G212" s="41"/>
      <c r="H212" s="11"/>
      <c r="I212" s="42">
        <f>SUM(Q210:Q211)</f>
        <v>13.02</v>
      </c>
      <c r="J212" s="11">
        <f>Source!AT149</f>
        <v>95</v>
      </c>
      <c r="K212" s="42">
        <f>SUM(R210:R211)</f>
        <v>716.21</v>
      </c>
    </row>
    <row r="213" spans="1:29" ht="14.25" x14ac:dyDescent="0.2">
      <c r="A213" s="39"/>
      <c r="B213" s="39"/>
      <c r="C213" s="39" t="s">
        <v>712</v>
      </c>
      <c r="D213" s="40" t="s">
        <v>711</v>
      </c>
      <c r="E213" s="11">
        <f>Source!CA149</f>
        <v>53</v>
      </c>
      <c r="F213" s="42"/>
      <c r="G213" s="41"/>
      <c r="H213" s="11"/>
      <c r="I213" s="42">
        <f>SUM(S210:S212)</f>
        <v>7.27</v>
      </c>
      <c r="J213" s="11">
        <f>Source!AU149</f>
        <v>53</v>
      </c>
      <c r="K213" s="42">
        <f>SUM(T210:T212)</f>
        <v>399.57</v>
      </c>
    </row>
    <row r="214" spans="1:29" ht="14.25" x14ac:dyDescent="0.2">
      <c r="A214" s="44"/>
      <c r="B214" s="44"/>
      <c r="C214" s="44" t="s">
        <v>713</v>
      </c>
      <c r="D214" s="45" t="s">
        <v>714</v>
      </c>
      <c r="E214" s="46">
        <f>Source!AQ148</f>
        <v>0.5</v>
      </c>
      <c r="F214" s="47"/>
      <c r="G214" s="48" t="str">
        <f>Source!DI148</f>
        <v>*1,1</v>
      </c>
      <c r="H214" s="46">
        <f>Source!AV149</f>
        <v>1.0469999999999999</v>
      </c>
      <c r="I214" s="47">
        <f>Source!U148</f>
        <v>1.1516999999999999</v>
      </c>
      <c r="J214" s="46"/>
      <c r="K214" s="47"/>
    </row>
    <row r="215" spans="1:29" ht="15" x14ac:dyDescent="0.25">
      <c r="C215" s="31" t="s">
        <v>715</v>
      </c>
      <c r="H215" s="49">
        <f>I211+I212+I213+0-0-0</f>
        <v>34</v>
      </c>
      <c r="I215" s="49"/>
      <c r="J215" s="49">
        <f>K211+K212+K213+0-0-0</f>
        <v>1869.6899999999998</v>
      </c>
      <c r="K215" s="49"/>
    </row>
    <row r="216" spans="1:29" ht="15" x14ac:dyDescent="0.25">
      <c r="C216" s="31" t="s">
        <v>716</v>
      </c>
      <c r="H216" s="51">
        <f>0+0</f>
        <v>0</v>
      </c>
      <c r="I216" s="51"/>
      <c r="J216" s="51">
        <f>0+0</f>
        <v>0</v>
      </c>
      <c r="K216" s="51"/>
    </row>
    <row r="217" spans="1:29" ht="15" x14ac:dyDescent="0.25">
      <c r="C217" s="31" t="s">
        <v>717</v>
      </c>
      <c r="H217" s="51">
        <f>I211+I212+I213+0</f>
        <v>34</v>
      </c>
      <c r="I217" s="51"/>
      <c r="J217" s="51">
        <f>K211+K212+K213+0</f>
        <v>1869.6899999999998</v>
      </c>
      <c r="K217" s="51"/>
      <c r="O217" s="52">
        <f>I211+I212+I213+0</f>
        <v>34</v>
      </c>
      <c r="P217" s="52">
        <f>K211+K212+K213+0</f>
        <v>1869.6899999999998</v>
      </c>
    </row>
    <row r="219" spans="1:29" ht="54" x14ac:dyDescent="0.2">
      <c r="A219" s="53">
        <v>20</v>
      </c>
      <c r="B219" s="53" t="str">
        <f>Source!F150</f>
        <v>КА №9</v>
      </c>
      <c r="C219" s="53" t="s">
        <v>737</v>
      </c>
      <c r="D219" s="54" t="str">
        <f>Source!H150</f>
        <v>шт.</v>
      </c>
      <c r="E219" s="55">
        <f>Source!I150</f>
        <v>2</v>
      </c>
      <c r="F219" s="56">
        <f>Source!AL150</f>
        <v>1077.29</v>
      </c>
      <c r="G219" s="57" t="str">
        <f>Source!DD150</f>
        <v/>
      </c>
      <c r="H219" s="55">
        <f>Source!AW151</f>
        <v>1</v>
      </c>
      <c r="I219" s="56">
        <f>Source!P150</f>
        <v>2154.58</v>
      </c>
      <c r="J219" s="55">
        <f>IF(Source!BC151&lt;&gt; 0, Source!BC151, 1)</f>
        <v>7.66</v>
      </c>
      <c r="K219" s="56">
        <f>Source!P151</f>
        <v>16504.080000000002</v>
      </c>
      <c r="Q219">
        <f>Source!X150</f>
        <v>0</v>
      </c>
      <c r="R219">
        <f>Source!X151</f>
        <v>0</v>
      </c>
      <c r="S219">
        <f>Source!Y150</f>
        <v>0</v>
      </c>
      <c r="T219">
        <f>Source!Y151</f>
        <v>0</v>
      </c>
      <c r="U219">
        <f>ROUND((175/100)*ROUND(Source!R150, 2), 2)</f>
        <v>0</v>
      </c>
      <c r="V219">
        <f>ROUND((0/100)*ROUND(Source!R151, 2), 2)</f>
        <v>0</v>
      </c>
      <c r="AC219">
        <v>5</v>
      </c>
    </row>
    <row r="220" spans="1:29" ht="15" x14ac:dyDescent="0.25">
      <c r="A220" s="58"/>
      <c r="B220" s="58"/>
      <c r="C220" s="59" t="s">
        <v>717</v>
      </c>
      <c r="D220" s="58"/>
      <c r="E220" s="58"/>
      <c r="F220" s="58"/>
      <c r="G220" s="58"/>
      <c r="H220" s="60">
        <f>I219+0</f>
        <v>2154.58</v>
      </c>
      <c r="I220" s="60"/>
      <c r="J220" s="60">
        <f>K219+0</f>
        <v>16504.080000000002</v>
      </c>
      <c r="K220" s="60"/>
      <c r="O220" s="52">
        <f>I219+0</f>
        <v>2154.58</v>
      </c>
      <c r="P220" s="52">
        <f>K219+0</f>
        <v>16504.080000000002</v>
      </c>
    </row>
    <row r="222" spans="1:29" ht="78" x14ac:dyDescent="0.2">
      <c r="A222" s="39">
        <v>21</v>
      </c>
      <c r="B222" s="39" t="s">
        <v>727</v>
      </c>
      <c r="C222" s="39" t="s">
        <v>76</v>
      </c>
      <c r="D222" s="40" t="str">
        <f>Source!H152</f>
        <v>100 м</v>
      </c>
      <c r="E222" s="11">
        <f>Source!I152</f>
        <v>1</v>
      </c>
      <c r="F222" s="42"/>
      <c r="G222" s="41"/>
      <c r="H222" s="11"/>
      <c r="I222" s="42"/>
      <c r="J222" s="11"/>
      <c r="K222" s="42"/>
      <c r="Q222">
        <f>Source!X152</f>
        <v>221.17</v>
      </c>
      <c r="R222">
        <f>Source!X153</f>
        <v>12162.12</v>
      </c>
      <c r="S222">
        <f>Source!Y152</f>
        <v>116.29</v>
      </c>
      <c r="T222">
        <f>Source!Y153</f>
        <v>6394.52</v>
      </c>
      <c r="U222">
        <f>ROUND((175/100)*ROUND(Source!R152, 2), 2)</f>
        <v>11.52</v>
      </c>
      <c r="V222">
        <f>ROUND((0/100)*ROUND(Source!R153, 2), 2)</f>
        <v>0</v>
      </c>
      <c r="AC222">
        <v>0</v>
      </c>
    </row>
    <row r="223" spans="1:29" x14ac:dyDescent="0.2">
      <c r="C223" s="62" t="str">
        <f>"Объем: "&amp;Source!I152&amp;"=100/"&amp;"100"</f>
        <v>Объем: 1=100/100</v>
      </c>
    </row>
    <row r="224" spans="1:29" ht="14.25" x14ac:dyDescent="0.2">
      <c r="A224" s="39"/>
      <c r="B224" s="39"/>
      <c r="C224" s="39" t="s">
        <v>707</v>
      </c>
      <c r="D224" s="40"/>
      <c r="E224" s="11"/>
      <c r="F224" s="42">
        <f>Source!AO152</f>
        <v>192.26</v>
      </c>
      <c r="G224" s="41" t="str">
        <f>Source!DG152</f>
        <v>*1,1</v>
      </c>
      <c r="H224" s="11">
        <f>Source!AV153</f>
        <v>1.0469999999999999</v>
      </c>
      <c r="I224" s="42">
        <f>Source!S152</f>
        <v>221.43</v>
      </c>
      <c r="J224" s="11">
        <f>IF(Source!BA153&lt;&gt; 0, Source!BA153, 1)</f>
        <v>54.99</v>
      </c>
      <c r="K224" s="42">
        <f>Source!S153</f>
        <v>12176.44</v>
      </c>
    </row>
    <row r="225" spans="1:29" ht="14.25" x14ac:dyDescent="0.2">
      <c r="A225" s="39"/>
      <c r="B225" s="39"/>
      <c r="C225" s="39" t="s">
        <v>708</v>
      </c>
      <c r="D225" s="40"/>
      <c r="E225" s="11"/>
      <c r="F225" s="42">
        <f>Source!AM152</f>
        <v>32.869999999999997</v>
      </c>
      <c r="G225" s="41" t="str">
        <f>Source!DE152</f>
        <v>*1,1</v>
      </c>
      <c r="H225" s="11">
        <f>Source!AV153</f>
        <v>1.0469999999999999</v>
      </c>
      <c r="I225" s="42">
        <f>Source!Q152</f>
        <v>37.86</v>
      </c>
      <c r="J225" s="11">
        <f>IF(Source!BB153&lt;&gt; 0, Source!BB153, 1)</f>
        <v>17.850000000000001</v>
      </c>
      <c r="K225" s="42">
        <f>Source!Q153</f>
        <v>675.8</v>
      </c>
    </row>
    <row r="226" spans="1:29" ht="14.25" x14ac:dyDescent="0.2">
      <c r="A226" s="39"/>
      <c r="B226" s="39"/>
      <c r="C226" s="39" t="s">
        <v>709</v>
      </c>
      <c r="D226" s="40"/>
      <c r="E226" s="11"/>
      <c r="F226" s="42">
        <f>Source!AN152</f>
        <v>5.71</v>
      </c>
      <c r="G226" s="41" t="str">
        <f>Source!DF152</f>
        <v>*1,1</v>
      </c>
      <c r="H226" s="11">
        <f>Source!AV153</f>
        <v>1.0469999999999999</v>
      </c>
      <c r="I226" s="43">
        <f>Source!R152</f>
        <v>6.58</v>
      </c>
      <c r="J226" s="11">
        <f>IF(Source!BS153&lt;&gt; 0, Source!BS153, 1)</f>
        <v>54.99</v>
      </c>
      <c r="K226" s="43">
        <f>Source!R153</f>
        <v>361.83</v>
      </c>
    </row>
    <row r="227" spans="1:29" ht="14.25" x14ac:dyDescent="0.2">
      <c r="A227" s="39"/>
      <c r="B227" s="39"/>
      <c r="C227" s="39" t="s">
        <v>720</v>
      </c>
      <c r="D227" s="40"/>
      <c r="E227" s="11"/>
      <c r="F227" s="42">
        <f>Source!AL152</f>
        <v>314.29000000000002</v>
      </c>
      <c r="G227" s="41" t="str">
        <f>Source!DD152</f>
        <v/>
      </c>
      <c r="H227" s="11">
        <f>Source!AW153</f>
        <v>1</v>
      </c>
      <c r="I227" s="42">
        <f>Source!P152</f>
        <v>314.29000000000002</v>
      </c>
      <c r="J227" s="11">
        <f>IF(Source!BC153&lt;&gt; 0, Source!BC153, 1)</f>
        <v>9.89</v>
      </c>
      <c r="K227" s="42">
        <f>Source!P153</f>
        <v>3108.33</v>
      </c>
    </row>
    <row r="228" spans="1:29" ht="42.75" x14ac:dyDescent="0.2">
      <c r="A228" s="39" t="s">
        <v>192</v>
      </c>
      <c r="B228" s="39" t="str">
        <f>Source!F154</f>
        <v>1.12-5-372</v>
      </c>
      <c r="C228" s="39" t="s">
        <v>83</v>
      </c>
      <c r="D228" s="40" t="str">
        <f>Source!H154</f>
        <v>м</v>
      </c>
      <c r="E228" s="11">
        <f>Source!I154</f>
        <v>102</v>
      </c>
      <c r="F228" s="42">
        <f>Source!AK154</f>
        <v>3.45</v>
      </c>
      <c r="G228" s="61" t="s">
        <v>3</v>
      </c>
      <c r="H228" s="11">
        <f>Source!AW155</f>
        <v>1</v>
      </c>
      <c r="I228" s="42">
        <f>Source!O154</f>
        <v>351.9</v>
      </c>
      <c r="J228" s="11">
        <f>IF(Source!BC155&lt;&gt; 0, Source!BC155, 1)</f>
        <v>3.93</v>
      </c>
      <c r="K228" s="42">
        <f>Source!O155</f>
        <v>1382.97</v>
      </c>
      <c r="Q228">
        <f>Source!X154</f>
        <v>0</v>
      </c>
      <c r="R228">
        <f>Source!X155</f>
        <v>0</v>
      </c>
      <c r="S228">
        <f>Source!Y154</f>
        <v>0</v>
      </c>
      <c r="T228">
        <f>Source!Y155</f>
        <v>0</v>
      </c>
      <c r="U228">
        <f>ROUND((175/100)*ROUND(Source!R154, 2), 2)</f>
        <v>0</v>
      </c>
      <c r="V228">
        <f>ROUND((0/100)*ROUND(Source!R155, 2), 2)</f>
        <v>0</v>
      </c>
      <c r="AC228">
        <v>3</v>
      </c>
    </row>
    <row r="229" spans="1:29" ht="14.25" x14ac:dyDescent="0.2">
      <c r="A229" s="39"/>
      <c r="B229" s="39"/>
      <c r="C229" s="39" t="s">
        <v>710</v>
      </c>
      <c r="D229" s="40" t="s">
        <v>711</v>
      </c>
      <c r="E229" s="11">
        <f>Source!BZ153</f>
        <v>97</v>
      </c>
      <c r="F229" s="42"/>
      <c r="G229" s="41"/>
      <c r="H229" s="11"/>
      <c r="I229" s="42">
        <f>SUM(Q222:Q228)</f>
        <v>221.17</v>
      </c>
      <c r="J229" s="11">
        <f>Source!AT153</f>
        <v>97</v>
      </c>
      <c r="K229" s="42">
        <f>SUM(R222:R228)</f>
        <v>12162.12</v>
      </c>
    </row>
    <row r="230" spans="1:29" ht="14.25" x14ac:dyDescent="0.2">
      <c r="A230" s="39"/>
      <c r="B230" s="39"/>
      <c r="C230" s="39" t="s">
        <v>712</v>
      </c>
      <c r="D230" s="40" t="s">
        <v>711</v>
      </c>
      <c r="E230" s="11">
        <f>Source!CA153</f>
        <v>51</v>
      </c>
      <c r="F230" s="42"/>
      <c r="G230" s="41"/>
      <c r="H230" s="11"/>
      <c r="I230" s="42">
        <f>SUM(S222:S229)</f>
        <v>116.29</v>
      </c>
      <c r="J230" s="11">
        <f>Source!AU153</f>
        <v>51</v>
      </c>
      <c r="K230" s="42">
        <f>SUM(T222:T229)</f>
        <v>6394.52</v>
      </c>
    </row>
    <row r="231" spans="1:29" ht="14.25" x14ac:dyDescent="0.2">
      <c r="A231" s="44"/>
      <c r="B231" s="44"/>
      <c r="C231" s="44" t="s">
        <v>713</v>
      </c>
      <c r="D231" s="45" t="s">
        <v>714</v>
      </c>
      <c r="E231" s="46">
        <f>Source!AQ152</f>
        <v>15</v>
      </c>
      <c r="F231" s="47"/>
      <c r="G231" s="48" t="str">
        <f>Source!DI152</f>
        <v>*1,1</v>
      </c>
      <c r="H231" s="46">
        <f>Source!AV153</f>
        <v>1.0469999999999999</v>
      </c>
      <c r="I231" s="47">
        <f>Source!U152</f>
        <v>17.275499999999997</v>
      </c>
      <c r="J231" s="46"/>
      <c r="K231" s="47"/>
    </row>
    <row r="232" spans="1:29" ht="15" x14ac:dyDescent="0.25">
      <c r="C232" s="31" t="s">
        <v>715</v>
      </c>
      <c r="H232" s="49">
        <f>I224+I225+I227+I229+I230+SUM(I228:I228)-SUMIF(AC228:AC228, 5, I228:I228)-SUMIF(AC228:AC228, 6, I228:I228)</f>
        <v>1262.94</v>
      </c>
      <c r="I232" s="49"/>
      <c r="J232" s="49">
        <f>K224+K225+K227+K229+K230+SUM(K228:K228)-SUMIF(AC228:AC228, 5, K228:K228)-SUMIF(AC228:AC228, 6, K228:K228)</f>
        <v>35900.180000000008</v>
      </c>
      <c r="K232" s="49"/>
    </row>
    <row r="233" spans="1:29" ht="15" x14ac:dyDescent="0.25">
      <c r="C233" s="31" t="s">
        <v>716</v>
      </c>
      <c r="H233" s="51">
        <f>SUMIF(AC228:AC228, 5, I228:I228)+SUMIF(AC228:AC228, 6, I228:I228)</f>
        <v>0</v>
      </c>
      <c r="I233" s="51"/>
      <c r="J233" s="51">
        <f>SUMIF(AC228:AC228, 5, K228:K228)+SUMIF(AC228:AC228, 6, K228:K228)</f>
        <v>0</v>
      </c>
      <c r="K233" s="51"/>
    </row>
    <row r="234" spans="1:29" ht="15" x14ac:dyDescent="0.25">
      <c r="C234" s="31" t="s">
        <v>717</v>
      </c>
      <c r="H234" s="51">
        <f>I224+I225+I227+I229+I230+SUM(I228:I228)</f>
        <v>1262.94</v>
      </c>
      <c r="I234" s="51"/>
      <c r="J234" s="51">
        <f>K224+K225+K227+K229+K230+SUM(K228:K228)</f>
        <v>35900.180000000008</v>
      </c>
      <c r="K234" s="51"/>
      <c r="O234" s="52">
        <f>I224+I225+I227+I229+I230+SUM(I228:I228)</f>
        <v>1262.94</v>
      </c>
      <c r="P234" s="52">
        <f>K224+K225+K227+K229+K230+SUM(K228:K228)</f>
        <v>35900.180000000008</v>
      </c>
    </row>
    <row r="236" spans="1:29" ht="78" x14ac:dyDescent="0.2">
      <c r="A236" s="39">
        <v>22</v>
      </c>
      <c r="B236" s="39" t="s">
        <v>729</v>
      </c>
      <c r="C236" s="39" t="s">
        <v>96</v>
      </c>
      <c r="D236" s="40" t="str">
        <f>Source!H156</f>
        <v>100 м</v>
      </c>
      <c r="E236" s="11">
        <f>Source!I156</f>
        <v>1</v>
      </c>
      <c r="F236" s="42"/>
      <c r="G236" s="41"/>
      <c r="H236" s="11"/>
      <c r="I236" s="42"/>
      <c r="J236" s="11"/>
      <c r="K236" s="42"/>
      <c r="Q236">
        <f>Source!X156</f>
        <v>62.04</v>
      </c>
      <c r="R236">
        <f>Source!X157</f>
        <v>3411.65</v>
      </c>
      <c r="S236">
        <f>Source!Y156</f>
        <v>32.619999999999997</v>
      </c>
      <c r="T236">
        <f>Source!Y157</f>
        <v>1793.75</v>
      </c>
      <c r="U236">
        <f>ROUND((175/100)*ROUND(Source!R156, 2), 2)</f>
        <v>0.61</v>
      </c>
      <c r="V236">
        <f>ROUND((0/100)*ROUND(Source!R157, 2), 2)</f>
        <v>0</v>
      </c>
      <c r="AC236">
        <v>0</v>
      </c>
    </row>
    <row r="237" spans="1:29" x14ac:dyDescent="0.2">
      <c r="C237" s="62" t="str">
        <f>"Объем: "&amp;Source!I156&amp;"=100/"&amp;"100"</f>
        <v>Объем: 1=100/100</v>
      </c>
    </row>
    <row r="238" spans="1:29" ht="14.25" x14ac:dyDescent="0.2">
      <c r="A238" s="39"/>
      <c r="B238" s="39"/>
      <c r="C238" s="39" t="s">
        <v>707</v>
      </c>
      <c r="D238" s="40"/>
      <c r="E238" s="11"/>
      <c r="F238" s="42">
        <f>Source!AO156</f>
        <v>55.23</v>
      </c>
      <c r="G238" s="41" t="str">
        <f>Source!DG156</f>
        <v>*1,1</v>
      </c>
      <c r="H238" s="11">
        <f>Source!AV157</f>
        <v>1.0469999999999999</v>
      </c>
      <c r="I238" s="42">
        <f>Source!S156</f>
        <v>63.61</v>
      </c>
      <c r="J238" s="11">
        <f>IF(Source!BA157&lt;&gt; 0, Source!BA157, 1)</f>
        <v>54.99</v>
      </c>
      <c r="K238" s="42">
        <f>Source!S157</f>
        <v>3497.91</v>
      </c>
    </row>
    <row r="239" spans="1:29" ht="14.25" x14ac:dyDescent="0.2">
      <c r="A239" s="39"/>
      <c r="B239" s="39"/>
      <c r="C239" s="39" t="s">
        <v>708</v>
      </c>
      <c r="D239" s="40"/>
      <c r="E239" s="11"/>
      <c r="F239" s="42">
        <f>Source!AM156</f>
        <v>2.62</v>
      </c>
      <c r="G239" s="41" t="str">
        <f>Source!DE156</f>
        <v>*1,1</v>
      </c>
      <c r="H239" s="11">
        <f>Source!AV157</f>
        <v>1.0469999999999999</v>
      </c>
      <c r="I239" s="42">
        <f>Source!Q156</f>
        <v>3.02</v>
      </c>
      <c r="J239" s="11">
        <f>IF(Source!BB157&lt;&gt; 0, Source!BB157, 1)</f>
        <v>14.57</v>
      </c>
      <c r="K239" s="42">
        <f>Source!Q157</f>
        <v>44</v>
      </c>
    </row>
    <row r="240" spans="1:29" ht="14.25" x14ac:dyDescent="0.2">
      <c r="A240" s="39"/>
      <c r="B240" s="39"/>
      <c r="C240" s="39" t="s">
        <v>709</v>
      </c>
      <c r="D240" s="40"/>
      <c r="E240" s="11"/>
      <c r="F240" s="42">
        <f>Source!AN156</f>
        <v>0.3</v>
      </c>
      <c r="G240" s="41" t="str">
        <f>Source!DF156</f>
        <v>*1,1</v>
      </c>
      <c r="H240" s="11">
        <f>Source!AV157</f>
        <v>1.0469999999999999</v>
      </c>
      <c r="I240" s="43">
        <f>Source!R156</f>
        <v>0.35</v>
      </c>
      <c r="J240" s="11">
        <f>IF(Source!BS157&lt;&gt; 0, Source!BS157, 1)</f>
        <v>54.99</v>
      </c>
      <c r="K240" s="43">
        <f>Source!R157</f>
        <v>19.25</v>
      </c>
    </row>
    <row r="241" spans="1:43" ht="14.25" x14ac:dyDescent="0.2">
      <c r="A241" s="39"/>
      <c r="B241" s="39"/>
      <c r="C241" s="39" t="s">
        <v>720</v>
      </c>
      <c r="D241" s="40"/>
      <c r="E241" s="11"/>
      <c r="F241" s="42">
        <f>Source!AL156</f>
        <v>58.15</v>
      </c>
      <c r="G241" s="41" t="str">
        <f>Source!DD156</f>
        <v/>
      </c>
      <c r="H241" s="11">
        <f>Source!AW157</f>
        <v>1</v>
      </c>
      <c r="I241" s="42">
        <f>Source!P156</f>
        <v>58.15</v>
      </c>
      <c r="J241" s="11">
        <f>IF(Source!BC157&lt;&gt; 0, Source!BC157, 1)</f>
        <v>3.7</v>
      </c>
      <c r="K241" s="42">
        <f>Source!P157</f>
        <v>215.16</v>
      </c>
    </row>
    <row r="242" spans="1:43" ht="27" x14ac:dyDescent="0.2">
      <c r="A242" s="39" t="s">
        <v>198</v>
      </c>
      <c r="B242" s="39" t="str">
        <f>Source!F160</f>
        <v>КА №10</v>
      </c>
      <c r="C242" s="39" t="s">
        <v>738</v>
      </c>
      <c r="D242" s="40" t="str">
        <f>Source!H160</f>
        <v>м.п.</v>
      </c>
      <c r="E242" s="11">
        <f>Source!I160</f>
        <v>102</v>
      </c>
      <c r="F242" s="42">
        <f>Source!AK160</f>
        <v>5.08</v>
      </c>
      <c r="G242" s="61" t="s">
        <v>3</v>
      </c>
      <c r="H242" s="11">
        <f>Source!AW161</f>
        <v>1</v>
      </c>
      <c r="I242" s="42">
        <f>Source!O160</f>
        <v>518.16</v>
      </c>
      <c r="J242" s="11">
        <f>IF(Source!BC161&lt;&gt; 0, Source!BC161, 1)</f>
        <v>9.8800000000000008</v>
      </c>
      <c r="K242" s="42">
        <f>Source!O161</f>
        <v>5119.42</v>
      </c>
      <c r="Q242">
        <f>Source!X160</f>
        <v>0</v>
      </c>
      <c r="R242">
        <f>Source!X161</f>
        <v>0</v>
      </c>
      <c r="S242">
        <f>Source!Y160</f>
        <v>0</v>
      </c>
      <c r="T242">
        <f>Source!Y161</f>
        <v>0</v>
      </c>
      <c r="U242">
        <f>ROUND((175/100)*ROUND(Source!R160, 2), 2)</f>
        <v>0</v>
      </c>
      <c r="V242">
        <f>ROUND((0/100)*ROUND(Source!R161, 2), 2)</f>
        <v>0</v>
      </c>
      <c r="AC242">
        <v>3</v>
      </c>
    </row>
    <row r="243" spans="1:43" ht="14.25" x14ac:dyDescent="0.2">
      <c r="A243" s="39"/>
      <c r="B243" s="39"/>
      <c r="C243" s="39" t="s">
        <v>710</v>
      </c>
      <c r="D243" s="40" t="s">
        <v>711</v>
      </c>
      <c r="E243" s="11">
        <f>Source!BZ157</f>
        <v>97</v>
      </c>
      <c r="F243" s="42"/>
      <c r="G243" s="41"/>
      <c r="H243" s="11"/>
      <c r="I243" s="42">
        <f>SUM(Q236:Q242)</f>
        <v>62.04</v>
      </c>
      <c r="J243" s="11">
        <f>Source!AT157</f>
        <v>97</v>
      </c>
      <c r="K243" s="42">
        <f>SUM(R236:R242)</f>
        <v>3411.65</v>
      </c>
    </row>
    <row r="244" spans="1:43" ht="14.25" x14ac:dyDescent="0.2">
      <c r="A244" s="39"/>
      <c r="B244" s="39"/>
      <c r="C244" s="39" t="s">
        <v>712</v>
      </c>
      <c r="D244" s="40" t="s">
        <v>711</v>
      </c>
      <c r="E244" s="11">
        <f>Source!CA157</f>
        <v>51</v>
      </c>
      <c r="F244" s="42"/>
      <c r="G244" s="41"/>
      <c r="H244" s="11"/>
      <c r="I244" s="42">
        <f>SUM(S236:S243)</f>
        <v>32.619999999999997</v>
      </c>
      <c r="J244" s="11">
        <f>Source!AU157</f>
        <v>51</v>
      </c>
      <c r="K244" s="42">
        <f>SUM(T236:T243)</f>
        <v>1793.75</v>
      </c>
    </row>
    <row r="245" spans="1:43" ht="14.25" x14ac:dyDescent="0.2">
      <c r="A245" s="44"/>
      <c r="B245" s="44"/>
      <c r="C245" s="44" t="s">
        <v>713</v>
      </c>
      <c r="D245" s="45" t="s">
        <v>714</v>
      </c>
      <c r="E245" s="46">
        <f>Source!AQ156</f>
        <v>4.49</v>
      </c>
      <c r="F245" s="47"/>
      <c r="G245" s="48" t="str">
        <f>Source!DI156</f>
        <v>*1,1</v>
      </c>
      <c r="H245" s="46">
        <f>Source!AV157</f>
        <v>1.0469999999999999</v>
      </c>
      <c r="I245" s="47">
        <f>Source!U156</f>
        <v>5.1711330000000011</v>
      </c>
      <c r="J245" s="46"/>
      <c r="K245" s="47"/>
    </row>
    <row r="246" spans="1:43" ht="15" x14ac:dyDescent="0.25">
      <c r="C246" s="31" t="s">
        <v>715</v>
      </c>
      <c r="H246" s="49">
        <f>I238+I239+I241+I243+I244+SUM(I242:I242)-SUMIF(AC242:AC242, 5, I242:I242)-SUMIF(AC242:AC242, 6, I242:I242)</f>
        <v>737.59999999999991</v>
      </c>
      <c r="I246" s="49"/>
      <c r="J246" s="49">
        <f>K238+K239+K241+K243+K244+SUM(K242:K242)-SUMIF(AC242:AC242, 5, K242:K242)-SUMIF(AC242:AC242, 6, K242:K242)</f>
        <v>14081.89</v>
      </c>
      <c r="K246" s="49"/>
    </row>
    <row r="247" spans="1:43" ht="15" x14ac:dyDescent="0.25">
      <c r="C247" s="31" t="s">
        <v>716</v>
      </c>
      <c r="H247" s="51">
        <f>SUMIF(AC242:AC242, 5, I242:I242)+SUMIF(AC242:AC242, 6, I242:I242)</f>
        <v>0</v>
      </c>
      <c r="I247" s="51"/>
      <c r="J247" s="51">
        <f>SUMIF(AC242:AC242, 5, K242:K242)+SUMIF(AC242:AC242, 6, K242:K242)</f>
        <v>0</v>
      </c>
      <c r="K247" s="51"/>
    </row>
    <row r="248" spans="1:43" ht="15" x14ac:dyDescent="0.25">
      <c r="C248" s="31" t="s">
        <v>717</v>
      </c>
      <c r="H248" s="51">
        <f>I238+I239+I241+I243+I244+SUM(I242:I242)</f>
        <v>737.59999999999991</v>
      </c>
      <c r="I248" s="51"/>
      <c r="J248" s="51">
        <f>K238+K239+K241+K243+K244+SUM(K242:K242)</f>
        <v>14081.89</v>
      </c>
      <c r="K248" s="51"/>
      <c r="O248" s="52">
        <f>I238+I239+I241+I243+I244+SUM(I242:I242)</f>
        <v>737.59999999999991</v>
      </c>
      <c r="P248" s="52">
        <f>K238+K239+K241+K243+K244+SUM(K242:K242)</f>
        <v>14081.89</v>
      </c>
    </row>
    <row r="251" spans="1:43" ht="15" x14ac:dyDescent="0.25">
      <c r="A251" s="64" t="str">
        <f>CONCATENATE("Итого по разделу: ",IF(Source!G163&lt;&gt;"Новый раздел", Source!G163, ""))</f>
        <v>Итого по разделу: Диспетчеризация систем водоснабжения и канализации</v>
      </c>
      <c r="B251" s="64"/>
      <c r="C251" s="64"/>
      <c r="D251" s="64"/>
      <c r="E251" s="64"/>
      <c r="F251" s="64"/>
      <c r="G251" s="64"/>
      <c r="H251" s="51">
        <f>SUM(O209:O250)</f>
        <v>4189.12</v>
      </c>
      <c r="I251" s="50"/>
      <c r="J251" s="51">
        <f>SUM(P209:P250)</f>
        <v>68355.840000000011</v>
      </c>
      <c r="K251" s="50"/>
      <c r="AQ251" s="65" t="str">
        <f>CONCATENATE("Итого по разделу: ",IF(Source!G163&lt;&gt;"Новый раздел", Source!G163, ""))</f>
        <v>Итого по разделу: Диспетчеризация систем водоснабжения и канализации</v>
      </c>
    </row>
    <row r="252" spans="1:43" hidden="1" x14ac:dyDescent="0.2">
      <c r="A252" t="s">
        <v>732</v>
      </c>
      <c r="I252">
        <f>SUM(W209:W251)</f>
        <v>0</v>
      </c>
      <c r="J252">
        <f>SUM(X209:X251)</f>
        <v>0</v>
      </c>
    </row>
    <row r="253" spans="1:43" hidden="1" x14ac:dyDescent="0.2">
      <c r="A253" t="s">
        <v>733</v>
      </c>
      <c r="I253">
        <f>SUM(Y209:Y252)</f>
        <v>0</v>
      </c>
      <c r="J253">
        <f>SUM(Z209:Z252)</f>
        <v>0</v>
      </c>
    </row>
    <row r="255" spans="1:43" ht="16.5" x14ac:dyDescent="0.25">
      <c r="A255" s="38" t="str">
        <f>CONCATENATE("Раздел: ",IF(Source!G193&lt;&gt;"Новый раздел", Source!G193, ""))</f>
        <v>Раздел: Автоматизация противопожарных мероприятий</v>
      </c>
      <c r="B255" s="38"/>
      <c r="C255" s="38"/>
      <c r="D255" s="38"/>
      <c r="E255" s="38"/>
      <c r="F255" s="38"/>
      <c r="G255" s="38"/>
      <c r="H255" s="38"/>
      <c r="I255" s="38"/>
      <c r="J255" s="38"/>
      <c r="K255" s="38"/>
    </row>
    <row r="256" spans="1:43" ht="78" x14ac:dyDescent="0.2">
      <c r="A256" s="39">
        <v>23</v>
      </c>
      <c r="B256" s="39" t="s">
        <v>739</v>
      </c>
      <c r="C256" s="39" t="s">
        <v>204</v>
      </c>
      <c r="D256" s="40" t="str">
        <f>Source!H197</f>
        <v>1  ШТ.</v>
      </c>
      <c r="E256" s="11">
        <f>Source!I197</f>
        <v>1</v>
      </c>
      <c r="F256" s="42"/>
      <c r="G256" s="41"/>
      <c r="H256" s="11"/>
      <c r="I256" s="42"/>
      <c r="J256" s="11"/>
      <c r="K256" s="42"/>
      <c r="Q256">
        <f>Source!X197</f>
        <v>80.180000000000007</v>
      </c>
      <c r="R256">
        <f>Source!X198</f>
        <v>4409.1499999999996</v>
      </c>
      <c r="S256">
        <f>Source!Y197</f>
        <v>40.98</v>
      </c>
      <c r="T256">
        <f>Source!Y198</f>
        <v>2253.5700000000002</v>
      </c>
      <c r="U256">
        <f>ROUND((175/100)*ROUND(Source!R197, 2), 2)</f>
        <v>0.02</v>
      </c>
      <c r="V256">
        <f>ROUND((0/100)*ROUND(Source!R198, 2), 2)</f>
        <v>0</v>
      </c>
      <c r="AC256">
        <v>0</v>
      </c>
    </row>
    <row r="257" spans="1:29" ht="14.25" x14ac:dyDescent="0.2">
      <c r="A257" s="39"/>
      <c r="B257" s="39"/>
      <c r="C257" s="39" t="s">
        <v>707</v>
      </c>
      <c r="D257" s="40"/>
      <c r="E257" s="11"/>
      <c r="F257" s="42">
        <f>Source!AO197</f>
        <v>77.349999999999994</v>
      </c>
      <c r="G257" s="41" t="str">
        <f>Source!DG197</f>
        <v>*1,1</v>
      </c>
      <c r="H257" s="11">
        <f>Source!AV198</f>
        <v>1.0469999999999999</v>
      </c>
      <c r="I257" s="42">
        <f>Source!S197</f>
        <v>89.08</v>
      </c>
      <c r="J257" s="11">
        <f>IF(Source!BA198&lt;&gt; 0, Source!BA198, 1)</f>
        <v>54.99</v>
      </c>
      <c r="K257" s="42">
        <f>Source!S198</f>
        <v>4898.51</v>
      </c>
    </row>
    <row r="258" spans="1:29" ht="14.25" x14ac:dyDescent="0.2">
      <c r="A258" s="39"/>
      <c r="B258" s="39"/>
      <c r="C258" s="39" t="s">
        <v>708</v>
      </c>
      <c r="D258" s="40"/>
      <c r="E258" s="11"/>
      <c r="F258" s="42">
        <f>Source!AM197</f>
        <v>0.05</v>
      </c>
      <c r="G258" s="41" t="str">
        <f>Source!DE197</f>
        <v>*1,1</v>
      </c>
      <c r="H258" s="11">
        <f>Source!AV198</f>
        <v>1.0469999999999999</v>
      </c>
      <c r="I258" s="42">
        <f>Source!Q197</f>
        <v>0.06</v>
      </c>
      <c r="J258" s="11">
        <f>IF(Source!BB198&lt;&gt; 0, Source!BB198, 1)</f>
        <v>19</v>
      </c>
      <c r="K258" s="42">
        <f>Source!Q198</f>
        <v>1.1399999999999999</v>
      </c>
    </row>
    <row r="259" spans="1:29" ht="14.25" x14ac:dyDescent="0.2">
      <c r="A259" s="39"/>
      <c r="B259" s="39"/>
      <c r="C259" s="39" t="s">
        <v>709</v>
      </c>
      <c r="D259" s="40"/>
      <c r="E259" s="11"/>
      <c r="F259" s="42">
        <f>Source!AN197</f>
        <v>0.01</v>
      </c>
      <c r="G259" s="41" t="str">
        <f>Source!DF197</f>
        <v>*1,1</v>
      </c>
      <c r="H259" s="11">
        <f>Source!AV198</f>
        <v>1.0469999999999999</v>
      </c>
      <c r="I259" s="43">
        <f>Source!R197</f>
        <v>0.01</v>
      </c>
      <c r="J259" s="11">
        <f>IF(Source!BS198&lt;&gt; 0, Source!BS198, 1)</f>
        <v>54.99</v>
      </c>
      <c r="K259" s="43">
        <f>Source!R198</f>
        <v>0.55000000000000004</v>
      </c>
    </row>
    <row r="260" spans="1:29" ht="14.25" x14ac:dyDescent="0.2">
      <c r="A260" s="39"/>
      <c r="B260" s="39"/>
      <c r="C260" s="39" t="s">
        <v>720</v>
      </c>
      <c r="D260" s="40"/>
      <c r="E260" s="11"/>
      <c r="F260" s="42">
        <f>Source!AL197</f>
        <v>4.83</v>
      </c>
      <c r="G260" s="41" t="str">
        <f>Source!DD197</f>
        <v/>
      </c>
      <c r="H260" s="11">
        <f>Source!AW198</f>
        <v>1</v>
      </c>
      <c r="I260" s="42">
        <f>Source!P197</f>
        <v>4.83</v>
      </c>
      <c r="J260" s="11">
        <f>IF(Source!BC198&lt;&gt; 0, Source!BC198, 1)</f>
        <v>9.89</v>
      </c>
      <c r="K260" s="42">
        <f>Source!P198</f>
        <v>47.77</v>
      </c>
    </row>
    <row r="261" spans="1:29" ht="14.25" x14ac:dyDescent="0.2">
      <c r="A261" s="39"/>
      <c r="B261" s="39"/>
      <c r="C261" s="39" t="s">
        <v>710</v>
      </c>
      <c r="D261" s="40" t="s">
        <v>711</v>
      </c>
      <c r="E261" s="11">
        <f>Source!BZ198</f>
        <v>90</v>
      </c>
      <c r="F261" s="42"/>
      <c r="G261" s="41"/>
      <c r="H261" s="11"/>
      <c r="I261" s="42">
        <f>SUM(Q256:Q260)</f>
        <v>80.180000000000007</v>
      </c>
      <c r="J261" s="11">
        <f>Source!AT198</f>
        <v>90</v>
      </c>
      <c r="K261" s="42">
        <f>SUM(R256:R260)</f>
        <v>4409.1499999999996</v>
      </c>
    </row>
    <row r="262" spans="1:29" ht="14.25" x14ac:dyDescent="0.2">
      <c r="A262" s="39"/>
      <c r="B262" s="39"/>
      <c r="C262" s="39" t="s">
        <v>712</v>
      </c>
      <c r="D262" s="40" t="s">
        <v>711</v>
      </c>
      <c r="E262" s="11">
        <f>Source!CA198</f>
        <v>46</v>
      </c>
      <c r="F262" s="42"/>
      <c r="G262" s="41"/>
      <c r="H262" s="11"/>
      <c r="I262" s="42">
        <f>SUM(S256:S261)</f>
        <v>40.98</v>
      </c>
      <c r="J262" s="11">
        <f>Source!AU198</f>
        <v>46</v>
      </c>
      <c r="K262" s="42">
        <f>SUM(T256:T261)</f>
        <v>2253.5700000000002</v>
      </c>
    </row>
    <row r="263" spans="1:29" ht="14.25" x14ac:dyDescent="0.2">
      <c r="A263" s="44"/>
      <c r="B263" s="44"/>
      <c r="C263" s="44" t="s">
        <v>713</v>
      </c>
      <c r="D263" s="45" t="s">
        <v>714</v>
      </c>
      <c r="E263" s="46">
        <f>Source!AQ197</f>
        <v>5.7</v>
      </c>
      <c r="F263" s="47"/>
      <c r="G263" s="48" t="str">
        <f>Source!DI197</f>
        <v>*1,1</v>
      </c>
      <c r="H263" s="46">
        <f>Source!AV198</f>
        <v>1.0469999999999999</v>
      </c>
      <c r="I263" s="47">
        <f>Source!U197</f>
        <v>6.5646899999999997</v>
      </c>
      <c r="J263" s="46"/>
      <c r="K263" s="47"/>
    </row>
    <row r="264" spans="1:29" ht="15" x14ac:dyDescent="0.25">
      <c r="C264" s="31" t="s">
        <v>715</v>
      </c>
      <c r="H264" s="49">
        <f>I257+I258+I260+I261+I262+0-0-0</f>
        <v>215.13</v>
      </c>
      <c r="I264" s="49"/>
      <c r="J264" s="49">
        <f>K257+K258+K260+K261+K262+0-0-0</f>
        <v>11610.14</v>
      </c>
      <c r="K264" s="49"/>
    </row>
    <row r="265" spans="1:29" ht="15" x14ac:dyDescent="0.25">
      <c r="C265" s="31" t="s">
        <v>716</v>
      </c>
      <c r="H265" s="51">
        <f>0+0</f>
        <v>0</v>
      </c>
      <c r="I265" s="51"/>
      <c r="J265" s="51">
        <f>0+0</f>
        <v>0</v>
      </c>
      <c r="K265" s="51"/>
    </row>
    <row r="266" spans="1:29" ht="15" x14ac:dyDescent="0.25">
      <c r="C266" s="31" t="s">
        <v>717</v>
      </c>
      <c r="H266" s="51">
        <f>I257+I258+I260+I261+I262+0</f>
        <v>215.13</v>
      </c>
      <c r="I266" s="51"/>
      <c r="J266" s="51">
        <f>K257+K258+K260+K261+K262+0</f>
        <v>11610.14</v>
      </c>
      <c r="K266" s="51"/>
      <c r="O266" s="52">
        <f>I257+I258+I260+I261+I262+0</f>
        <v>215.13</v>
      </c>
      <c r="P266" s="52">
        <f>K257+K258+K260+K261+K262+0</f>
        <v>11610.14</v>
      </c>
    </row>
    <row r="268" spans="1:29" ht="82.5" x14ac:dyDescent="0.2">
      <c r="A268" s="53">
        <v>24</v>
      </c>
      <c r="B268" s="53" t="str">
        <f>Source!F199</f>
        <v>КА №11</v>
      </c>
      <c r="C268" s="53" t="s">
        <v>740</v>
      </c>
      <c r="D268" s="54" t="str">
        <f>Source!H199</f>
        <v>шт.</v>
      </c>
      <c r="E268" s="55">
        <f>Source!I199</f>
        <v>1</v>
      </c>
      <c r="F268" s="56">
        <f>Source!AL199</f>
        <v>4873.9799999999996</v>
      </c>
      <c r="G268" s="57" t="str">
        <f>Source!DD199</f>
        <v/>
      </c>
      <c r="H268" s="55">
        <f>Source!AW200</f>
        <v>1</v>
      </c>
      <c r="I268" s="56">
        <f>Source!P199</f>
        <v>4873.9799999999996</v>
      </c>
      <c r="J268" s="55">
        <f>IF(Source!BC200&lt;&gt; 0, Source!BC200, 1)</f>
        <v>7.66</v>
      </c>
      <c r="K268" s="56">
        <f>Source!P200</f>
        <v>37334.69</v>
      </c>
      <c r="Q268">
        <f>Source!X199</f>
        <v>0</v>
      </c>
      <c r="R268">
        <f>Source!X200</f>
        <v>0</v>
      </c>
      <c r="S268">
        <f>Source!Y199</f>
        <v>0</v>
      </c>
      <c r="T268">
        <f>Source!Y200</f>
        <v>0</v>
      </c>
      <c r="U268">
        <f>ROUND((175/100)*ROUND(Source!R199, 2), 2)</f>
        <v>0</v>
      </c>
      <c r="V268">
        <f>ROUND((0/100)*ROUND(Source!R200, 2), 2)</f>
        <v>0</v>
      </c>
      <c r="AC268">
        <v>5</v>
      </c>
    </row>
    <row r="269" spans="1:29" ht="15" x14ac:dyDescent="0.25">
      <c r="A269" s="58"/>
      <c r="B269" s="58"/>
      <c r="C269" s="59" t="s">
        <v>717</v>
      </c>
      <c r="D269" s="58"/>
      <c r="E269" s="58"/>
      <c r="F269" s="58"/>
      <c r="G269" s="58"/>
      <c r="H269" s="60">
        <f>I268+0</f>
        <v>4873.9799999999996</v>
      </c>
      <c r="I269" s="60"/>
      <c r="J269" s="60">
        <f>K268+0</f>
        <v>37334.69</v>
      </c>
      <c r="K269" s="60"/>
      <c r="O269" s="52">
        <f>I268+0</f>
        <v>4873.9799999999996</v>
      </c>
      <c r="P269" s="52">
        <f>K268+0</f>
        <v>37334.69</v>
      </c>
    </row>
    <row r="271" spans="1:29" ht="78" x14ac:dyDescent="0.2">
      <c r="A271" s="39">
        <v>25</v>
      </c>
      <c r="B271" s="39" t="s">
        <v>721</v>
      </c>
      <c r="C271" s="39" t="s">
        <v>49</v>
      </c>
      <c r="D271" s="40" t="str">
        <f>Source!H201</f>
        <v>1  ШТ.</v>
      </c>
      <c r="E271" s="11">
        <f>Source!I201</f>
        <v>186</v>
      </c>
      <c r="F271" s="42"/>
      <c r="G271" s="41"/>
      <c r="H271" s="11"/>
      <c r="I271" s="42"/>
      <c r="J271" s="11"/>
      <c r="K271" s="42"/>
      <c r="Q271">
        <f>Source!X201</f>
        <v>2261.48</v>
      </c>
      <c r="R271">
        <f>Source!X202</f>
        <v>124359</v>
      </c>
      <c r="S271">
        <f>Source!Y201</f>
        <v>1155.8699999999999</v>
      </c>
      <c r="T271">
        <f>Source!Y202</f>
        <v>63561.27</v>
      </c>
      <c r="U271">
        <f>ROUND((175/100)*ROUND(Source!R201, 2), 2)</f>
        <v>30</v>
      </c>
      <c r="V271">
        <f>ROUND((0/100)*ROUND(Source!R202, 2), 2)</f>
        <v>0</v>
      </c>
      <c r="AC271">
        <v>0</v>
      </c>
    </row>
    <row r="272" spans="1:29" ht="14.25" x14ac:dyDescent="0.2">
      <c r="A272" s="39"/>
      <c r="B272" s="39"/>
      <c r="C272" s="39" t="s">
        <v>707</v>
      </c>
      <c r="D272" s="40"/>
      <c r="E272" s="11"/>
      <c r="F272" s="42">
        <f>Source!AO201</f>
        <v>11.65</v>
      </c>
      <c r="G272" s="41" t="str">
        <f>Source!DG201</f>
        <v>*1,1</v>
      </c>
      <c r="H272" s="11">
        <f>Source!AV202</f>
        <v>1.0469999999999999</v>
      </c>
      <c r="I272" s="42">
        <f>Source!S201</f>
        <v>2495.62</v>
      </c>
      <c r="J272" s="11">
        <f>IF(Source!BA202&lt;&gt; 0, Source!BA202, 1)</f>
        <v>54.99</v>
      </c>
      <c r="K272" s="42">
        <f>Source!S202</f>
        <v>137234.14000000001</v>
      </c>
    </row>
    <row r="273" spans="1:29" ht="14.25" x14ac:dyDescent="0.2">
      <c r="A273" s="39"/>
      <c r="B273" s="39"/>
      <c r="C273" s="39" t="s">
        <v>708</v>
      </c>
      <c r="D273" s="40"/>
      <c r="E273" s="11"/>
      <c r="F273" s="42">
        <f>Source!AM201</f>
        <v>0.5</v>
      </c>
      <c r="G273" s="41" t="str">
        <f>Source!DE201</f>
        <v>*1,1</v>
      </c>
      <c r="H273" s="11">
        <f>Source!AV202</f>
        <v>1.0469999999999999</v>
      </c>
      <c r="I273" s="42">
        <f>Source!Q201</f>
        <v>107.11</v>
      </c>
      <c r="J273" s="11">
        <f>IF(Source!BB202&lt;&gt; 0, Source!BB202, 1)</f>
        <v>16.260000000000002</v>
      </c>
      <c r="K273" s="42">
        <f>Source!Q202</f>
        <v>1741.61</v>
      </c>
    </row>
    <row r="274" spans="1:29" ht="14.25" x14ac:dyDescent="0.2">
      <c r="A274" s="39"/>
      <c r="B274" s="39"/>
      <c r="C274" s="39" t="s">
        <v>709</v>
      </c>
      <c r="D274" s="40"/>
      <c r="E274" s="11"/>
      <c r="F274" s="42">
        <f>Source!AN201</f>
        <v>0.08</v>
      </c>
      <c r="G274" s="41" t="str">
        <f>Source!DF201</f>
        <v>*1,1</v>
      </c>
      <c r="H274" s="11">
        <f>Source!AV202</f>
        <v>1.0469999999999999</v>
      </c>
      <c r="I274" s="43">
        <f>Source!R201</f>
        <v>17.14</v>
      </c>
      <c r="J274" s="11">
        <f>IF(Source!BS202&lt;&gt; 0, Source!BS202, 1)</f>
        <v>54.99</v>
      </c>
      <c r="K274" s="43">
        <f>Source!R202</f>
        <v>942.53</v>
      </c>
    </row>
    <row r="275" spans="1:29" ht="14.25" x14ac:dyDescent="0.2">
      <c r="A275" s="39"/>
      <c r="B275" s="39"/>
      <c r="C275" s="39" t="s">
        <v>710</v>
      </c>
      <c r="D275" s="40" t="s">
        <v>711</v>
      </c>
      <c r="E275" s="11">
        <f>Source!BZ202</f>
        <v>90</v>
      </c>
      <c r="F275" s="42"/>
      <c r="G275" s="41"/>
      <c r="H275" s="11"/>
      <c r="I275" s="42">
        <f>SUM(Q271:Q274)</f>
        <v>2261.48</v>
      </c>
      <c r="J275" s="11">
        <f>Source!AT202</f>
        <v>90</v>
      </c>
      <c r="K275" s="42">
        <f>SUM(R271:R274)</f>
        <v>124359</v>
      </c>
    </row>
    <row r="276" spans="1:29" ht="14.25" x14ac:dyDescent="0.2">
      <c r="A276" s="39"/>
      <c r="B276" s="39"/>
      <c r="C276" s="39" t="s">
        <v>712</v>
      </c>
      <c r="D276" s="40" t="s">
        <v>711</v>
      </c>
      <c r="E276" s="11">
        <f>Source!CA202</f>
        <v>46</v>
      </c>
      <c r="F276" s="42"/>
      <c r="G276" s="41"/>
      <c r="H276" s="11"/>
      <c r="I276" s="42">
        <f>SUM(S271:S275)</f>
        <v>1155.8699999999999</v>
      </c>
      <c r="J276" s="11">
        <f>Source!AU202</f>
        <v>46</v>
      </c>
      <c r="K276" s="42">
        <f>SUM(T271:T275)</f>
        <v>63561.27</v>
      </c>
    </row>
    <row r="277" spans="1:29" ht="14.25" x14ac:dyDescent="0.2">
      <c r="A277" s="44"/>
      <c r="B277" s="44"/>
      <c r="C277" s="44" t="s">
        <v>713</v>
      </c>
      <c r="D277" s="45" t="s">
        <v>714</v>
      </c>
      <c r="E277" s="46">
        <f>Source!AQ201</f>
        <v>1.03</v>
      </c>
      <c r="F277" s="47"/>
      <c r="G277" s="48" t="str">
        <f>Source!DI201</f>
        <v>*1,1</v>
      </c>
      <c r="H277" s="46">
        <f>Source!AV202</f>
        <v>1.0469999999999999</v>
      </c>
      <c r="I277" s="47">
        <f>Source!U201</f>
        <v>220.64268600000003</v>
      </c>
      <c r="J277" s="46"/>
      <c r="K277" s="47"/>
    </row>
    <row r="278" spans="1:29" ht="15" x14ac:dyDescent="0.25">
      <c r="C278" s="31" t="s">
        <v>715</v>
      </c>
      <c r="H278" s="49">
        <f>I272+I273+I275+I276+0-0-0</f>
        <v>6020.08</v>
      </c>
      <c r="I278" s="49"/>
      <c r="J278" s="49">
        <f>K272+K273+K275+K276+0-0-0</f>
        <v>326896.02</v>
      </c>
      <c r="K278" s="49"/>
    </row>
    <row r="279" spans="1:29" ht="15" x14ac:dyDescent="0.25">
      <c r="C279" s="31" t="s">
        <v>716</v>
      </c>
      <c r="H279" s="51">
        <f>0+0</f>
        <v>0</v>
      </c>
      <c r="I279" s="51"/>
      <c r="J279" s="51">
        <f>0+0</f>
        <v>0</v>
      </c>
      <c r="K279" s="51"/>
    </row>
    <row r="280" spans="1:29" ht="15" x14ac:dyDescent="0.25">
      <c r="C280" s="31" t="s">
        <v>717</v>
      </c>
      <c r="H280" s="51">
        <f>I272+I273+I275+I276+0</f>
        <v>6020.08</v>
      </c>
      <c r="I280" s="51"/>
      <c r="J280" s="51">
        <f>K272+K273+K275+K276+0</f>
        <v>326896.02</v>
      </c>
      <c r="K280" s="51"/>
      <c r="O280" s="52">
        <f>I272+I273+I275+I276+0</f>
        <v>6020.08</v>
      </c>
      <c r="P280" s="52">
        <f>K272+K273+K275+K276+0</f>
        <v>326896.02</v>
      </c>
    </row>
    <row r="282" spans="1:29" ht="68.25" x14ac:dyDescent="0.2">
      <c r="A282" s="53">
        <v>26</v>
      </c>
      <c r="B282" s="53" t="str">
        <f>Source!F203</f>
        <v>КА №12</v>
      </c>
      <c r="C282" s="53" t="s">
        <v>741</v>
      </c>
      <c r="D282" s="54" t="str">
        <f>Source!H203</f>
        <v>шт.</v>
      </c>
      <c r="E282" s="55">
        <f>Source!I203</f>
        <v>186</v>
      </c>
      <c r="F282" s="56">
        <f>Source!AL203</f>
        <v>470.6</v>
      </c>
      <c r="G282" s="57" t="str">
        <f>Source!DD203</f>
        <v/>
      </c>
      <c r="H282" s="55">
        <f>Source!AW204</f>
        <v>1</v>
      </c>
      <c r="I282" s="56">
        <f>Source!P203</f>
        <v>87531.6</v>
      </c>
      <c r="J282" s="55">
        <f>IF(Source!BC204&lt;&gt; 0, Source!BC204, 1)</f>
        <v>7.66</v>
      </c>
      <c r="K282" s="56">
        <f>Source!P204</f>
        <v>670492.06000000006</v>
      </c>
      <c r="Q282">
        <f>Source!X203</f>
        <v>0</v>
      </c>
      <c r="R282">
        <f>Source!X204</f>
        <v>0</v>
      </c>
      <c r="S282">
        <f>Source!Y203</f>
        <v>0</v>
      </c>
      <c r="T282">
        <f>Source!Y204</f>
        <v>0</v>
      </c>
      <c r="U282">
        <f>ROUND((175/100)*ROUND(Source!R203, 2), 2)</f>
        <v>0</v>
      </c>
      <c r="V282">
        <f>ROUND((0/100)*ROUND(Source!R204, 2), 2)</f>
        <v>0</v>
      </c>
      <c r="AC282">
        <v>5</v>
      </c>
    </row>
    <row r="283" spans="1:29" ht="15" x14ac:dyDescent="0.25">
      <c r="A283" s="58"/>
      <c r="B283" s="58"/>
      <c r="C283" s="59" t="s">
        <v>717</v>
      </c>
      <c r="D283" s="58"/>
      <c r="E283" s="58"/>
      <c r="F283" s="58"/>
      <c r="G283" s="58"/>
      <c r="H283" s="60">
        <f>I282+0</f>
        <v>87531.6</v>
      </c>
      <c r="I283" s="60"/>
      <c r="J283" s="60">
        <f>K282+0</f>
        <v>670492.06000000006</v>
      </c>
      <c r="K283" s="60"/>
      <c r="O283" s="52">
        <f>I282+0</f>
        <v>87531.6</v>
      </c>
      <c r="P283" s="52">
        <f>K282+0</f>
        <v>670492.06000000006</v>
      </c>
    </row>
    <row r="285" spans="1:29" ht="78" x14ac:dyDescent="0.2">
      <c r="A285" s="39">
        <v>27</v>
      </c>
      <c r="B285" s="39" t="s">
        <v>742</v>
      </c>
      <c r="C285" s="39" t="s">
        <v>217</v>
      </c>
      <c r="D285" s="40" t="str">
        <f>Source!H205</f>
        <v>1  ШТ.</v>
      </c>
      <c r="E285" s="11">
        <f>Source!I205</f>
        <v>17</v>
      </c>
      <c r="F285" s="42"/>
      <c r="G285" s="41"/>
      <c r="H285" s="11"/>
      <c r="I285" s="42"/>
      <c r="J285" s="11"/>
      <c r="K285" s="42"/>
      <c r="Q285">
        <f>Source!X205</f>
        <v>283.35000000000002</v>
      </c>
      <c r="R285">
        <f>Source!X206</f>
        <v>15581.25</v>
      </c>
      <c r="S285">
        <f>Source!Y205</f>
        <v>144.82</v>
      </c>
      <c r="T285">
        <f>Source!Y206</f>
        <v>7963.75</v>
      </c>
      <c r="U285">
        <f>ROUND((175/100)*ROUND(Source!R205, 2), 2)</f>
        <v>0.35</v>
      </c>
      <c r="V285">
        <f>ROUND((0/100)*ROUND(Source!R206, 2), 2)</f>
        <v>0</v>
      </c>
      <c r="AC285">
        <v>0</v>
      </c>
    </row>
    <row r="286" spans="1:29" ht="14.25" x14ac:dyDescent="0.2">
      <c r="A286" s="39"/>
      <c r="B286" s="39"/>
      <c r="C286" s="39" t="s">
        <v>707</v>
      </c>
      <c r="D286" s="40"/>
      <c r="E286" s="11"/>
      <c r="F286" s="42">
        <f>Source!AO205</f>
        <v>16.07</v>
      </c>
      <c r="G286" s="41" t="str">
        <f>Source!DG205</f>
        <v>*1,1</v>
      </c>
      <c r="H286" s="11">
        <f>Source!AV206</f>
        <v>1.0469999999999999</v>
      </c>
      <c r="I286" s="42">
        <f>Source!S205</f>
        <v>314.63</v>
      </c>
      <c r="J286" s="11">
        <f>IF(Source!BA206&lt;&gt; 0, Source!BA206, 1)</f>
        <v>54.99</v>
      </c>
      <c r="K286" s="42">
        <f>Source!S206</f>
        <v>17301.5</v>
      </c>
    </row>
    <row r="287" spans="1:29" ht="14.25" x14ac:dyDescent="0.2">
      <c r="A287" s="39"/>
      <c r="B287" s="39"/>
      <c r="C287" s="39" t="s">
        <v>708</v>
      </c>
      <c r="D287" s="40"/>
      <c r="E287" s="11"/>
      <c r="F287" s="42">
        <f>Source!AM205</f>
        <v>0.05</v>
      </c>
      <c r="G287" s="41" t="str">
        <f>Source!DE205</f>
        <v>*1,1</v>
      </c>
      <c r="H287" s="11">
        <f>Source!AV206</f>
        <v>1.0469999999999999</v>
      </c>
      <c r="I287" s="42">
        <f>Source!Q205</f>
        <v>0.98</v>
      </c>
      <c r="J287" s="11">
        <f>IF(Source!BB206&lt;&gt; 0, Source!BB206, 1)</f>
        <v>19</v>
      </c>
      <c r="K287" s="42">
        <f>Source!Q206</f>
        <v>18.62</v>
      </c>
    </row>
    <row r="288" spans="1:29" ht="14.25" x14ac:dyDescent="0.2">
      <c r="A288" s="39"/>
      <c r="B288" s="39"/>
      <c r="C288" s="39" t="s">
        <v>709</v>
      </c>
      <c r="D288" s="40"/>
      <c r="E288" s="11"/>
      <c r="F288" s="42">
        <f>Source!AN205</f>
        <v>0.01</v>
      </c>
      <c r="G288" s="41" t="str">
        <f>Source!DF205</f>
        <v>*1,1</v>
      </c>
      <c r="H288" s="11">
        <f>Source!AV206</f>
        <v>1.0469999999999999</v>
      </c>
      <c r="I288" s="43">
        <f>Source!R205</f>
        <v>0.2</v>
      </c>
      <c r="J288" s="11">
        <f>IF(Source!BS206&lt;&gt; 0, Source!BS206, 1)</f>
        <v>54.99</v>
      </c>
      <c r="K288" s="43">
        <f>Source!R206</f>
        <v>11</v>
      </c>
    </row>
    <row r="289" spans="1:29" ht="14.25" x14ac:dyDescent="0.2">
      <c r="A289" s="39"/>
      <c r="B289" s="39"/>
      <c r="C289" s="39" t="s">
        <v>720</v>
      </c>
      <c r="D289" s="40"/>
      <c r="E289" s="11"/>
      <c r="F289" s="42">
        <f>Source!AL205</f>
        <v>1.96</v>
      </c>
      <c r="G289" s="41" t="str">
        <f>Source!DD205</f>
        <v/>
      </c>
      <c r="H289" s="11">
        <f>Source!AW206</f>
        <v>1</v>
      </c>
      <c r="I289" s="42">
        <f>Source!P205</f>
        <v>33.32</v>
      </c>
      <c r="J289" s="11">
        <f>IF(Source!BC206&lt;&gt; 0, Source!BC206, 1)</f>
        <v>9.89</v>
      </c>
      <c r="K289" s="42">
        <f>Source!P206</f>
        <v>329.53</v>
      </c>
    </row>
    <row r="290" spans="1:29" ht="14.25" x14ac:dyDescent="0.2">
      <c r="A290" s="39"/>
      <c r="B290" s="39"/>
      <c r="C290" s="39" t="s">
        <v>710</v>
      </c>
      <c r="D290" s="40" t="s">
        <v>711</v>
      </c>
      <c r="E290" s="11">
        <f>Source!BZ206</f>
        <v>90</v>
      </c>
      <c r="F290" s="42"/>
      <c r="G290" s="41"/>
      <c r="H290" s="11"/>
      <c r="I290" s="42">
        <f>SUM(Q285:Q289)</f>
        <v>283.35000000000002</v>
      </c>
      <c r="J290" s="11">
        <f>Source!AT206</f>
        <v>90</v>
      </c>
      <c r="K290" s="42">
        <f>SUM(R285:R289)</f>
        <v>15581.25</v>
      </c>
    </row>
    <row r="291" spans="1:29" ht="14.25" x14ac:dyDescent="0.2">
      <c r="A291" s="39"/>
      <c r="B291" s="39"/>
      <c r="C291" s="39" t="s">
        <v>712</v>
      </c>
      <c r="D291" s="40" t="s">
        <v>711</v>
      </c>
      <c r="E291" s="11">
        <f>Source!CA206</f>
        <v>46</v>
      </c>
      <c r="F291" s="42"/>
      <c r="G291" s="41"/>
      <c r="H291" s="11"/>
      <c r="I291" s="42">
        <f>SUM(S285:S290)</f>
        <v>144.82</v>
      </c>
      <c r="J291" s="11">
        <f>Source!AU206</f>
        <v>46</v>
      </c>
      <c r="K291" s="42">
        <f>SUM(T285:T290)</f>
        <v>7963.75</v>
      </c>
    </row>
    <row r="292" spans="1:29" ht="14.25" x14ac:dyDescent="0.2">
      <c r="A292" s="44"/>
      <c r="B292" s="44"/>
      <c r="C292" s="44" t="s">
        <v>713</v>
      </c>
      <c r="D292" s="45" t="s">
        <v>714</v>
      </c>
      <c r="E292" s="46">
        <f>Source!AQ205</f>
        <v>1.2</v>
      </c>
      <c r="F292" s="47"/>
      <c r="G292" s="48" t="str">
        <f>Source!DI205</f>
        <v>*1,1</v>
      </c>
      <c r="H292" s="46">
        <f>Source!AV206</f>
        <v>1.0469999999999999</v>
      </c>
      <c r="I292" s="47">
        <f>Source!U205</f>
        <v>23.494679999999999</v>
      </c>
      <c r="J292" s="46"/>
      <c r="K292" s="47"/>
    </row>
    <row r="293" spans="1:29" ht="15" x14ac:dyDescent="0.25">
      <c r="C293" s="31" t="s">
        <v>715</v>
      </c>
      <c r="H293" s="49">
        <f>I286+I287+I289+I290+I291+0-0-0</f>
        <v>777.09999999999991</v>
      </c>
      <c r="I293" s="49"/>
      <c r="J293" s="49">
        <f>K286+K287+K289+K290+K291+0-0-0</f>
        <v>41194.649999999994</v>
      </c>
      <c r="K293" s="49"/>
    </row>
    <row r="294" spans="1:29" ht="15" x14ac:dyDescent="0.25">
      <c r="C294" s="31" t="s">
        <v>716</v>
      </c>
      <c r="H294" s="51">
        <f>0+0</f>
        <v>0</v>
      </c>
      <c r="I294" s="51"/>
      <c r="J294" s="51">
        <f>0+0</f>
        <v>0</v>
      </c>
      <c r="K294" s="51"/>
    </row>
    <row r="295" spans="1:29" ht="15" x14ac:dyDescent="0.25">
      <c r="C295" s="31" t="s">
        <v>717</v>
      </c>
      <c r="H295" s="51">
        <f>I286+I287+I289+I290+I291+0</f>
        <v>777.09999999999991</v>
      </c>
      <c r="I295" s="51"/>
      <c r="J295" s="51">
        <f>K286+K287+K289+K290+K291+0</f>
        <v>41194.649999999994</v>
      </c>
      <c r="K295" s="51"/>
      <c r="O295" s="52">
        <f>I286+I287+I289+I290+I291+0</f>
        <v>777.09999999999991</v>
      </c>
      <c r="P295" s="52">
        <f>K286+K287+K289+K290+K291+0</f>
        <v>41194.649999999994</v>
      </c>
    </row>
    <row r="297" spans="1:29" ht="68.25" x14ac:dyDescent="0.2">
      <c r="A297" s="53">
        <v>28</v>
      </c>
      <c r="B297" s="53" t="str">
        <f>Source!F207</f>
        <v>КА №13</v>
      </c>
      <c r="C297" s="53" t="s">
        <v>743</v>
      </c>
      <c r="D297" s="54" t="str">
        <f>Source!H207</f>
        <v>шт.</v>
      </c>
      <c r="E297" s="55">
        <f>Source!I207</f>
        <v>13</v>
      </c>
      <c r="F297" s="56">
        <f>Source!AL207</f>
        <v>352.44</v>
      </c>
      <c r="G297" s="57" t="str">
        <f>Source!DD207</f>
        <v/>
      </c>
      <c r="H297" s="55">
        <f>Source!AW208</f>
        <v>1</v>
      </c>
      <c r="I297" s="56">
        <f>Source!P207</f>
        <v>4581.72</v>
      </c>
      <c r="J297" s="55">
        <f>IF(Source!BC208&lt;&gt; 0, Source!BC208, 1)</f>
        <v>7.66</v>
      </c>
      <c r="K297" s="56">
        <f>Source!P208</f>
        <v>35095.980000000003</v>
      </c>
      <c r="Q297">
        <f>Source!X207</f>
        <v>0</v>
      </c>
      <c r="R297">
        <f>Source!X208</f>
        <v>0</v>
      </c>
      <c r="S297">
        <f>Source!Y207</f>
        <v>0</v>
      </c>
      <c r="T297">
        <f>Source!Y208</f>
        <v>0</v>
      </c>
      <c r="U297">
        <f>ROUND((175/100)*ROUND(Source!R207, 2), 2)</f>
        <v>0</v>
      </c>
      <c r="V297">
        <f>ROUND((0/100)*ROUND(Source!R208, 2), 2)</f>
        <v>0</v>
      </c>
      <c r="AC297">
        <v>5</v>
      </c>
    </row>
    <row r="298" spans="1:29" ht="15" x14ac:dyDescent="0.25">
      <c r="A298" s="58"/>
      <c r="B298" s="58"/>
      <c r="C298" s="59" t="s">
        <v>717</v>
      </c>
      <c r="D298" s="58"/>
      <c r="E298" s="58"/>
      <c r="F298" s="58"/>
      <c r="G298" s="58"/>
      <c r="H298" s="60">
        <f>I297+0</f>
        <v>4581.72</v>
      </c>
      <c r="I298" s="60"/>
      <c r="J298" s="60">
        <f>K297+0</f>
        <v>35095.980000000003</v>
      </c>
      <c r="K298" s="60"/>
      <c r="O298" s="52">
        <f>I297+0</f>
        <v>4581.72</v>
      </c>
      <c r="P298" s="52">
        <f>K297+0</f>
        <v>35095.980000000003</v>
      </c>
    </row>
    <row r="300" spans="1:29" ht="68.25" x14ac:dyDescent="0.2">
      <c r="A300" s="53">
        <v>29</v>
      </c>
      <c r="B300" s="53" t="str">
        <f>Source!F209</f>
        <v>КА №14</v>
      </c>
      <c r="C300" s="53" t="s">
        <v>744</v>
      </c>
      <c r="D300" s="54" t="str">
        <f>Source!H209</f>
        <v>шт.</v>
      </c>
      <c r="E300" s="55">
        <f>Source!I209</f>
        <v>4</v>
      </c>
      <c r="F300" s="56">
        <f>Source!AL209</f>
        <v>416.73</v>
      </c>
      <c r="G300" s="57" t="str">
        <f>Source!DD209</f>
        <v/>
      </c>
      <c r="H300" s="55">
        <f>Source!AW210</f>
        <v>1</v>
      </c>
      <c r="I300" s="56">
        <f>Source!P209</f>
        <v>1666.92</v>
      </c>
      <c r="J300" s="55">
        <f>IF(Source!BC210&lt;&gt; 0, Source!BC210, 1)</f>
        <v>7.66</v>
      </c>
      <c r="K300" s="56">
        <f>Source!P210</f>
        <v>12768.61</v>
      </c>
      <c r="Q300">
        <f>Source!X209</f>
        <v>0</v>
      </c>
      <c r="R300">
        <f>Source!X210</f>
        <v>0</v>
      </c>
      <c r="S300">
        <f>Source!Y209</f>
        <v>0</v>
      </c>
      <c r="T300">
        <f>Source!Y210</f>
        <v>0</v>
      </c>
      <c r="U300">
        <f>ROUND((175/100)*ROUND(Source!R209, 2), 2)</f>
        <v>0</v>
      </c>
      <c r="V300">
        <f>ROUND((0/100)*ROUND(Source!R210, 2), 2)</f>
        <v>0</v>
      </c>
      <c r="AC300">
        <v>5</v>
      </c>
    </row>
    <row r="301" spans="1:29" ht="15" x14ac:dyDescent="0.25">
      <c r="A301" s="58"/>
      <c r="B301" s="58"/>
      <c r="C301" s="59" t="s">
        <v>717</v>
      </c>
      <c r="D301" s="58"/>
      <c r="E301" s="58"/>
      <c r="F301" s="58"/>
      <c r="G301" s="58"/>
      <c r="H301" s="60">
        <f>I300+0</f>
        <v>1666.92</v>
      </c>
      <c r="I301" s="60"/>
      <c r="J301" s="60">
        <f>K300+0</f>
        <v>12768.61</v>
      </c>
      <c r="K301" s="60"/>
      <c r="O301" s="52">
        <f>I300+0</f>
        <v>1666.92</v>
      </c>
      <c r="P301" s="52">
        <f>K300+0</f>
        <v>12768.61</v>
      </c>
    </row>
    <row r="303" spans="1:29" ht="78" x14ac:dyDescent="0.2">
      <c r="A303" s="39">
        <v>30</v>
      </c>
      <c r="B303" s="39" t="s">
        <v>745</v>
      </c>
      <c r="C303" s="39" t="s">
        <v>229</v>
      </c>
      <c r="D303" s="40" t="str">
        <f>Source!H211</f>
        <v>1  ШТ.</v>
      </c>
      <c r="E303" s="11">
        <f>Source!I211</f>
        <v>186</v>
      </c>
      <c r="F303" s="42"/>
      <c r="G303" s="41"/>
      <c r="H303" s="11"/>
      <c r="I303" s="42"/>
      <c r="J303" s="11"/>
      <c r="K303" s="42"/>
      <c r="Q303">
        <f>Source!X211</f>
        <v>2177.5</v>
      </c>
      <c r="R303">
        <f>Source!X212</f>
        <v>119740.97</v>
      </c>
      <c r="S303">
        <f>Source!Y211</f>
        <v>1214.82</v>
      </c>
      <c r="T303">
        <f>Source!Y212</f>
        <v>66802.86</v>
      </c>
      <c r="U303">
        <f>ROUND((175/100)*ROUND(Source!R211, 2), 2)</f>
        <v>0</v>
      </c>
      <c r="V303">
        <f>ROUND((0/100)*ROUND(Source!R212, 2), 2)</f>
        <v>0</v>
      </c>
      <c r="AC303">
        <v>0</v>
      </c>
    </row>
    <row r="304" spans="1:29" ht="14.25" x14ac:dyDescent="0.2">
      <c r="A304" s="39"/>
      <c r="B304" s="39"/>
      <c r="C304" s="39" t="s">
        <v>707</v>
      </c>
      <c r="D304" s="40"/>
      <c r="E304" s="11"/>
      <c r="F304" s="42">
        <f>Source!AO211</f>
        <v>10.7</v>
      </c>
      <c r="G304" s="41" t="str">
        <f>Source!DG211</f>
        <v>*1,1</v>
      </c>
      <c r="H304" s="11">
        <f>Source!AV212</f>
        <v>1.0469999999999999</v>
      </c>
      <c r="I304" s="42">
        <f>Source!S211</f>
        <v>2292.11</v>
      </c>
      <c r="J304" s="11">
        <f>IF(Source!BA212&lt;&gt; 0, Source!BA212, 1)</f>
        <v>54.99</v>
      </c>
      <c r="K304" s="42">
        <f>Source!S212</f>
        <v>126043.13</v>
      </c>
    </row>
    <row r="305" spans="1:29" ht="14.25" x14ac:dyDescent="0.2">
      <c r="A305" s="39"/>
      <c r="B305" s="39"/>
      <c r="C305" s="39" t="s">
        <v>710</v>
      </c>
      <c r="D305" s="40" t="s">
        <v>711</v>
      </c>
      <c r="E305" s="11">
        <f>Source!BZ212</f>
        <v>95</v>
      </c>
      <c r="F305" s="42"/>
      <c r="G305" s="41"/>
      <c r="H305" s="11"/>
      <c r="I305" s="42">
        <f>SUM(Q303:Q304)</f>
        <v>2177.5</v>
      </c>
      <c r="J305" s="11">
        <f>Source!AT212</f>
        <v>95</v>
      </c>
      <c r="K305" s="42">
        <f>SUM(R303:R304)</f>
        <v>119740.97</v>
      </c>
    </row>
    <row r="306" spans="1:29" ht="14.25" x14ac:dyDescent="0.2">
      <c r="A306" s="39"/>
      <c r="B306" s="39"/>
      <c r="C306" s="39" t="s">
        <v>712</v>
      </c>
      <c r="D306" s="40" t="s">
        <v>711</v>
      </c>
      <c r="E306" s="11">
        <f>Source!CA212</f>
        <v>53</v>
      </c>
      <c r="F306" s="42"/>
      <c r="G306" s="41"/>
      <c r="H306" s="11"/>
      <c r="I306" s="42">
        <f>SUM(S303:S305)</f>
        <v>1214.82</v>
      </c>
      <c r="J306" s="11">
        <f>Source!AU212</f>
        <v>53</v>
      </c>
      <c r="K306" s="42">
        <f>SUM(T303:T305)</f>
        <v>66802.86</v>
      </c>
    </row>
    <row r="307" spans="1:29" ht="14.25" x14ac:dyDescent="0.2">
      <c r="A307" s="44"/>
      <c r="B307" s="44"/>
      <c r="C307" s="44" t="s">
        <v>713</v>
      </c>
      <c r="D307" s="45" t="s">
        <v>714</v>
      </c>
      <c r="E307" s="46">
        <f>Source!AQ211</f>
        <v>1</v>
      </c>
      <c r="F307" s="47"/>
      <c r="G307" s="48" t="str">
        <f>Source!DI211</f>
        <v>*1,1</v>
      </c>
      <c r="H307" s="46">
        <f>Source!AV212</f>
        <v>1.0469999999999999</v>
      </c>
      <c r="I307" s="47">
        <f>Source!U211</f>
        <v>214.21619999999999</v>
      </c>
      <c r="J307" s="46"/>
      <c r="K307" s="47"/>
    </row>
    <row r="308" spans="1:29" ht="15" x14ac:dyDescent="0.25">
      <c r="C308" s="31" t="s">
        <v>715</v>
      </c>
      <c r="H308" s="49">
        <f>I304+I305+I306+0-0-0</f>
        <v>5684.43</v>
      </c>
      <c r="I308" s="49"/>
      <c r="J308" s="49">
        <f>K304+K305+K306+0-0-0</f>
        <v>312586.96000000002</v>
      </c>
      <c r="K308" s="49"/>
    </row>
    <row r="309" spans="1:29" ht="15" x14ac:dyDescent="0.25">
      <c r="C309" s="31" t="s">
        <v>716</v>
      </c>
      <c r="H309" s="51">
        <f>0+0</f>
        <v>0</v>
      </c>
      <c r="I309" s="51"/>
      <c r="J309" s="51">
        <f>0+0</f>
        <v>0</v>
      </c>
      <c r="K309" s="51"/>
    </row>
    <row r="310" spans="1:29" ht="15" x14ac:dyDescent="0.25">
      <c r="C310" s="31" t="s">
        <v>717</v>
      </c>
      <c r="H310" s="51">
        <f>I304+I305+I306+0</f>
        <v>5684.43</v>
      </c>
      <c r="I310" s="51"/>
      <c r="J310" s="51">
        <f>K304+K305+K306+0</f>
        <v>312586.96000000002</v>
      </c>
      <c r="K310" s="51"/>
      <c r="O310" s="52">
        <f>I304+I305+I306+0</f>
        <v>5684.43</v>
      </c>
      <c r="P310" s="52">
        <f>K304+K305+K306+0</f>
        <v>312586.96000000002</v>
      </c>
    </row>
    <row r="312" spans="1:29" ht="114" x14ac:dyDescent="0.2">
      <c r="A312" s="53">
        <v>31</v>
      </c>
      <c r="B312" s="53" t="str">
        <f>Source!F213</f>
        <v>13.1-1-92</v>
      </c>
      <c r="C312" s="53" t="s">
        <v>746</v>
      </c>
      <c r="D312" s="54" t="str">
        <f>Source!H213</f>
        <v>шт.</v>
      </c>
      <c r="E312" s="55">
        <f>Source!I213</f>
        <v>186</v>
      </c>
      <c r="F312" s="56">
        <f>Source!AL213</f>
        <v>36.950000000000003</v>
      </c>
      <c r="G312" s="57" t="str">
        <f>Source!DD213</f>
        <v/>
      </c>
      <c r="H312" s="55">
        <f>Source!AW214</f>
        <v>1</v>
      </c>
      <c r="I312" s="56">
        <f>Source!P213</f>
        <v>6872.7</v>
      </c>
      <c r="J312" s="55">
        <f>IF(Source!BC214&lt;&gt; 0, Source!BC214, 1)</f>
        <v>2</v>
      </c>
      <c r="K312" s="56">
        <f>Source!P214</f>
        <v>13745.4</v>
      </c>
      <c r="Q312">
        <f>Source!X213</f>
        <v>0</v>
      </c>
      <c r="R312">
        <f>Source!X214</f>
        <v>0</v>
      </c>
      <c r="S312">
        <f>Source!Y213</f>
        <v>0</v>
      </c>
      <c r="T312">
        <f>Source!Y214</f>
        <v>0</v>
      </c>
      <c r="U312">
        <f>ROUND((175/100)*ROUND(Source!R213, 2), 2)</f>
        <v>0</v>
      </c>
      <c r="V312">
        <f>ROUND((0/100)*ROUND(Source!R214, 2), 2)</f>
        <v>0</v>
      </c>
      <c r="AC312">
        <v>5</v>
      </c>
    </row>
    <row r="313" spans="1:29" ht="15" x14ac:dyDescent="0.25">
      <c r="A313" s="58"/>
      <c r="B313" s="58"/>
      <c r="C313" s="59" t="s">
        <v>717</v>
      </c>
      <c r="D313" s="58"/>
      <c r="E313" s="58"/>
      <c r="F313" s="58"/>
      <c r="G313" s="58"/>
      <c r="H313" s="60">
        <f>I312+0</f>
        <v>6872.7</v>
      </c>
      <c r="I313" s="60"/>
      <c r="J313" s="60">
        <f>K312+0</f>
        <v>13745.4</v>
      </c>
      <c r="K313" s="60"/>
      <c r="O313" s="52">
        <f>I312+0</f>
        <v>6872.7</v>
      </c>
      <c r="P313" s="52">
        <f>K312+0</f>
        <v>13745.4</v>
      </c>
    </row>
    <row r="315" spans="1:29" ht="78" x14ac:dyDescent="0.2">
      <c r="A315" s="39">
        <v>32</v>
      </c>
      <c r="B315" s="39" t="s">
        <v>747</v>
      </c>
      <c r="C315" s="39" t="s">
        <v>236</v>
      </c>
      <c r="D315" s="40" t="str">
        <f>Source!H215</f>
        <v>1  ШТ.</v>
      </c>
      <c r="E315" s="11">
        <f>Source!I215</f>
        <v>3</v>
      </c>
      <c r="F315" s="42"/>
      <c r="G315" s="41"/>
      <c r="H315" s="11"/>
      <c r="I315" s="42"/>
      <c r="J315" s="11"/>
      <c r="K315" s="42"/>
      <c r="Q315">
        <f>Source!X215</f>
        <v>124.91</v>
      </c>
      <c r="R315">
        <f>Source!X216</f>
        <v>6868.85</v>
      </c>
      <c r="S315">
        <f>Source!Y215</f>
        <v>63.84</v>
      </c>
      <c r="T315">
        <f>Source!Y216</f>
        <v>3510.75</v>
      </c>
      <c r="U315">
        <f>ROUND((175/100)*ROUND(Source!R215, 2), 2)</f>
        <v>0</v>
      </c>
      <c r="V315">
        <f>ROUND((0/100)*ROUND(Source!R216, 2), 2)</f>
        <v>0</v>
      </c>
      <c r="AC315">
        <v>0</v>
      </c>
    </row>
    <row r="316" spans="1:29" ht="14.25" x14ac:dyDescent="0.2">
      <c r="A316" s="39"/>
      <c r="B316" s="39"/>
      <c r="C316" s="39" t="s">
        <v>707</v>
      </c>
      <c r="D316" s="40"/>
      <c r="E316" s="11"/>
      <c r="F316" s="42">
        <f>Source!AO215</f>
        <v>40.17</v>
      </c>
      <c r="G316" s="41" t="str">
        <f>Source!DG215</f>
        <v>*1,1</v>
      </c>
      <c r="H316" s="11">
        <f>Source!AV216</f>
        <v>1.0469999999999999</v>
      </c>
      <c r="I316" s="42">
        <f>Source!S215</f>
        <v>138.79</v>
      </c>
      <c r="J316" s="11">
        <f>IF(Source!BA216&lt;&gt; 0, Source!BA216, 1)</f>
        <v>54.99</v>
      </c>
      <c r="K316" s="42">
        <f>Source!S216</f>
        <v>7632.06</v>
      </c>
    </row>
    <row r="317" spans="1:29" ht="14.25" x14ac:dyDescent="0.2">
      <c r="A317" s="39"/>
      <c r="B317" s="39"/>
      <c r="C317" s="39" t="s">
        <v>720</v>
      </c>
      <c r="D317" s="40"/>
      <c r="E317" s="11"/>
      <c r="F317" s="42">
        <f>Source!AL215</f>
        <v>2.34</v>
      </c>
      <c r="G317" s="41" t="str">
        <f>Source!DD215</f>
        <v/>
      </c>
      <c r="H317" s="11">
        <f>Source!AW216</f>
        <v>1</v>
      </c>
      <c r="I317" s="42">
        <f>Source!P215</f>
        <v>7.02</v>
      </c>
      <c r="J317" s="11">
        <f>IF(Source!BC216&lt;&gt; 0, Source!BC216, 1)</f>
        <v>10.26</v>
      </c>
      <c r="K317" s="42">
        <f>Source!P216</f>
        <v>72.03</v>
      </c>
    </row>
    <row r="318" spans="1:29" ht="14.25" x14ac:dyDescent="0.2">
      <c r="A318" s="39"/>
      <c r="B318" s="39"/>
      <c r="C318" s="39" t="s">
        <v>710</v>
      </c>
      <c r="D318" s="40" t="s">
        <v>711</v>
      </c>
      <c r="E318" s="11">
        <f>Source!BZ216</f>
        <v>90</v>
      </c>
      <c r="F318" s="42"/>
      <c r="G318" s="41"/>
      <c r="H318" s="11"/>
      <c r="I318" s="42">
        <f>SUM(Q315:Q317)</f>
        <v>124.91</v>
      </c>
      <c r="J318" s="11">
        <f>Source!AT216</f>
        <v>90</v>
      </c>
      <c r="K318" s="42">
        <f>SUM(R315:R317)</f>
        <v>6868.85</v>
      </c>
    </row>
    <row r="319" spans="1:29" ht="14.25" x14ac:dyDescent="0.2">
      <c r="A319" s="39"/>
      <c r="B319" s="39"/>
      <c r="C319" s="39" t="s">
        <v>712</v>
      </c>
      <c r="D319" s="40" t="s">
        <v>711</v>
      </c>
      <c r="E319" s="11">
        <f>Source!CA216</f>
        <v>46</v>
      </c>
      <c r="F319" s="42"/>
      <c r="G319" s="41"/>
      <c r="H319" s="11"/>
      <c r="I319" s="42">
        <f>SUM(S315:S318)</f>
        <v>63.84</v>
      </c>
      <c r="J319" s="11">
        <f>Source!AU216</f>
        <v>46</v>
      </c>
      <c r="K319" s="42">
        <f>SUM(T315:T318)</f>
        <v>3510.75</v>
      </c>
    </row>
    <row r="320" spans="1:29" ht="14.25" x14ac:dyDescent="0.2">
      <c r="A320" s="44"/>
      <c r="B320" s="44"/>
      <c r="C320" s="44" t="s">
        <v>713</v>
      </c>
      <c r="D320" s="45" t="s">
        <v>714</v>
      </c>
      <c r="E320" s="46">
        <f>Source!AQ215</f>
        <v>3.18</v>
      </c>
      <c r="F320" s="47"/>
      <c r="G320" s="48" t="str">
        <f>Source!DI215</f>
        <v>*1,1</v>
      </c>
      <c r="H320" s="46">
        <f>Source!AV216</f>
        <v>1.0469999999999999</v>
      </c>
      <c r="I320" s="47">
        <f>Source!U215</f>
        <v>10.987218</v>
      </c>
      <c r="J320" s="46"/>
      <c r="K320" s="47"/>
    </row>
    <row r="321" spans="1:29" ht="15" x14ac:dyDescent="0.25">
      <c r="C321" s="31" t="s">
        <v>715</v>
      </c>
      <c r="H321" s="49">
        <f>I316+I317+I318+I319+0-0-0</f>
        <v>334.56000000000006</v>
      </c>
      <c r="I321" s="49"/>
      <c r="J321" s="49">
        <f>K316+K317+K318+K319+0-0-0</f>
        <v>18083.690000000002</v>
      </c>
      <c r="K321" s="49"/>
    </row>
    <row r="322" spans="1:29" ht="15" x14ac:dyDescent="0.25">
      <c r="C322" s="31" t="s">
        <v>716</v>
      </c>
      <c r="H322" s="51">
        <f>0+0</f>
        <v>0</v>
      </c>
      <c r="I322" s="51"/>
      <c r="J322" s="51">
        <f>0+0</f>
        <v>0</v>
      </c>
      <c r="K322" s="51"/>
    </row>
    <row r="323" spans="1:29" ht="15" x14ac:dyDescent="0.25">
      <c r="C323" s="31" t="s">
        <v>717</v>
      </c>
      <c r="H323" s="51">
        <f>I316+I317+I318+I319+0</f>
        <v>334.56000000000006</v>
      </c>
      <c r="I323" s="51"/>
      <c r="J323" s="51">
        <f>K316+K317+K318+K319+0</f>
        <v>18083.690000000002</v>
      </c>
      <c r="K323" s="51"/>
      <c r="O323" s="52">
        <f>I316+I317+I318+I319+0</f>
        <v>334.56000000000006</v>
      </c>
      <c r="P323" s="52">
        <f>K316+K317+K318+K319+0</f>
        <v>18083.690000000002</v>
      </c>
    </row>
    <row r="325" spans="1:29" ht="82.5" x14ac:dyDescent="0.2">
      <c r="A325" s="53">
        <v>33</v>
      </c>
      <c r="B325" s="53" t="str">
        <f>Source!F217</f>
        <v>КА №15</v>
      </c>
      <c r="C325" s="53" t="s">
        <v>748</v>
      </c>
      <c r="D325" s="54" t="str">
        <f>Source!H217</f>
        <v>шт.</v>
      </c>
      <c r="E325" s="55">
        <f>Source!I217</f>
        <v>3</v>
      </c>
      <c r="F325" s="56">
        <f>Source!AL217</f>
        <v>1278.57</v>
      </c>
      <c r="G325" s="57" t="str">
        <f>Source!DD217</f>
        <v/>
      </c>
      <c r="H325" s="55">
        <f>Source!AW218</f>
        <v>1</v>
      </c>
      <c r="I325" s="56">
        <f>Source!P217</f>
        <v>3835.71</v>
      </c>
      <c r="J325" s="55">
        <f>IF(Source!BC218&lt;&gt; 0, Source!BC218, 1)</f>
        <v>7.66</v>
      </c>
      <c r="K325" s="56">
        <f>Source!P218</f>
        <v>29381.54</v>
      </c>
      <c r="Q325">
        <f>Source!X217</f>
        <v>0</v>
      </c>
      <c r="R325">
        <f>Source!X218</f>
        <v>0</v>
      </c>
      <c r="S325">
        <f>Source!Y217</f>
        <v>0</v>
      </c>
      <c r="T325">
        <f>Source!Y218</f>
        <v>0</v>
      </c>
      <c r="U325">
        <f>ROUND((175/100)*ROUND(Source!R217, 2), 2)</f>
        <v>0</v>
      </c>
      <c r="V325">
        <f>ROUND((0/100)*ROUND(Source!R218, 2), 2)</f>
        <v>0</v>
      </c>
      <c r="AC325">
        <v>5</v>
      </c>
    </row>
    <row r="326" spans="1:29" ht="15" x14ac:dyDescent="0.25">
      <c r="A326" s="58"/>
      <c r="B326" s="58"/>
      <c r="C326" s="59" t="s">
        <v>717</v>
      </c>
      <c r="D326" s="58"/>
      <c r="E326" s="58"/>
      <c r="F326" s="58"/>
      <c r="G326" s="58"/>
      <c r="H326" s="60">
        <f>I325+0</f>
        <v>3835.71</v>
      </c>
      <c r="I326" s="60"/>
      <c r="J326" s="60">
        <f>K325+0</f>
        <v>29381.54</v>
      </c>
      <c r="K326" s="60"/>
      <c r="O326" s="52">
        <f>I325+0</f>
        <v>3835.71</v>
      </c>
      <c r="P326" s="52">
        <f>K325+0</f>
        <v>29381.54</v>
      </c>
    </row>
    <row r="328" spans="1:29" ht="78" x14ac:dyDescent="0.2">
      <c r="A328" s="39">
        <v>34</v>
      </c>
      <c r="B328" s="39" t="s">
        <v>749</v>
      </c>
      <c r="C328" s="39" t="s">
        <v>244</v>
      </c>
      <c r="D328" s="40" t="str">
        <f>Source!H221</f>
        <v>1  ШТ.</v>
      </c>
      <c r="E328" s="11">
        <f>Source!I221</f>
        <v>18</v>
      </c>
      <c r="F328" s="42"/>
      <c r="G328" s="41"/>
      <c r="H328" s="11"/>
      <c r="I328" s="42"/>
      <c r="J328" s="11"/>
      <c r="K328" s="42"/>
      <c r="Q328">
        <f>Source!X221</f>
        <v>601.65</v>
      </c>
      <c r="R328">
        <f>Source!X222</f>
        <v>33084.85</v>
      </c>
      <c r="S328">
        <f>Source!Y221</f>
        <v>316.33</v>
      </c>
      <c r="T328">
        <f>Source!Y222</f>
        <v>17395.13</v>
      </c>
      <c r="U328">
        <f>ROUND((175/100)*ROUND(Source!R221, 2), 2)</f>
        <v>114.64</v>
      </c>
      <c r="V328">
        <f>ROUND((0/100)*ROUND(Source!R222, 2), 2)</f>
        <v>0</v>
      </c>
      <c r="AC328">
        <v>0</v>
      </c>
    </row>
    <row r="329" spans="1:29" x14ac:dyDescent="0.2">
      <c r="C329" s="62" t="str">
        <f>"Объем: "&amp;Source!I221&amp;"=7+"&amp;"5+"&amp;"1+"&amp;"4+"&amp;"1"</f>
        <v>Объем: 18=7+5+1+4+1</v>
      </c>
    </row>
    <row r="330" spans="1:29" ht="14.25" x14ac:dyDescent="0.2">
      <c r="A330" s="39"/>
      <c r="B330" s="39"/>
      <c r="C330" s="39" t="s">
        <v>707</v>
      </c>
      <c r="D330" s="40"/>
      <c r="E330" s="11"/>
      <c r="F330" s="42">
        <f>Source!AO221</f>
        <v>26.76</v>
      </c>
      <c r="G330" s="41" t="str">
        <f>Source!DG221</f>
        <v>*1,1</v>
      </c>
      <c r="H330" s="11">
        <f>Source!AV222</f>
        <v>1.0469999999999999</v>
      </c>
      <c r="I330" s="42">
        <f>Source!S221</f>
        <v>554.75</v>
      </c>
      <c r="J330" s="11">
        <f>IF(Source!BA222&lt;&gt; 0, Source!BA222, 1)</f>
        <v>54.99</v>
      </c>
      <c r="K330" s="42">
        <f>Source!S222</f>
        <v>30505.7</v>
      </c>
    </row>
    <row r="331" spans="1:29" ht="14.25" x14ac:dyDescent="0.2">
      <c r="A331" s="39"/>
      <c r="B331" s="39"/>
      <c r="C331" s="39" t="s">
        <v>708</v>
      </c>
      <c r="D331" s="40"/>
      <c r="E331" s="11"/>
      <c r="F331" s="42">
        <f>Source!AM221</f>
        <v>17.420000000000002</v>
      </c>
      <c r="G331" s="41" t="str">
        <f>Source!DE221</f>
        <v>*1,1</v>
      </c>
      <c r="H331" s="11">
        <f>Source!AV222</f>
        <v>1.0469999999999999</v>
      </c>
      <c r="I331" s="42">
        <f>Source!Q221</f>
        <v>361.13</v>
      </c>
      <c r="J331" s="11">
        <f>IF(Source!BB222&lt;&gt; 0, Source!BB222, 1)</f>
        <v>18.78</v>
      </c>
      <c r="K331" s="42">
        <f>Source!Q222</f>
        <v>6782.02</v>
      </c>
    </row>
    <row r="332" spans="1:29" ht="14.25" x14ac:dyDescent="0.2">
      <c r="A332" s="39"/>
      <c r="B332" s="39"/>
      <c r="C332" s="39" t="s">
        <v>709</v>
      </c>
      <c r="D332" s="40"/>
      <c r="E332" s="11"/>
      <c r="F332" s="42">
        <f>Source!AN221</f>
        <v>3.16</v>
      </c>
      <c r="G332" s="41" t="str">
        <f>Source!DF221</f>
        <v>*1,1</v>
      </c>
      <c r="H332" s="11">
        <f>Source!AV222</f>
        <v>1.0469999999999999</v>
      </c>
      <c r="I332" s="43">
        <f>Source!R221</f>
        <v>65.510000000000005</v>
      </c>
      <c r="J332" s="11">
        <f>IF(Source!BS222&lt;&gt; 0, Source!BS222, 1)</f>
        <v>54.99</v>
      </c>
      <c r="K332" s="43">
        <f>Source!R222</f>
        <v>3602.39</v>
      </c>
    </row>
    <row r="333" spans="1:29" ht="14.25" x14ac:dyDescent="0.2">
      <c r="A333" s="39"/>
      <c r="B333" s="39"/>
      <c r="C333" s="39" t="s">
        <v>720</v>
      </c>
      <c r="D333" s="40"/>
      <c r="E333" s="11"/>
      <c r="F333" s="42">
        <f>Source!AL221</f>
        <v>1.46</v>
      </c>
      <c r="G333" s="41" t="str">
        <f>Source!DD221</f>
        <v/>
      </c>
      <c r="H333" s="11">
        <f>Source!AW222</f>
        <v>1</v>
      </c>
      <c r="I333" s="42">
        <f>Source!P221</f>
        <v>26.28</v>
      </c>
      <c r="J333" s="11">
        <f>IF(Source!BC222&lt;&gt; 0, Source!BC222, 1)</f>
        <v>12.31</v>
      </c>
      <c r="K333" s="42">
        <f>Source!P222</f>
        <v>323.51</v>
      </c>
    </row>
    <row r="334" spans="1:29" ht="57" x14ac:dyDescent="0.2">
      <c r="A334" s="39" t="s">
        <v>246</v>
      </c>
      <c r="B334" s="39" t="str">
        <f>Source!F223</f>
        <v>1.1-1-8146</v>
      </c>
      <c r="C334" s="39" t="s">
        <v>248</v>
      </c>
      <c r="D334" s="40" t="str">
        <f>Source!H223</f>
        <v>кг</v>
      </c>
      <c r="E334" s="11">
        <f>Source!I223</f>
        <v>1.8</v>
      </c>
      <c r="F334" s="42">
        <f>Source!AK223</f>
        <v>31.08</v>
      </c>
      <c r="G334" s="61" t="s">
        <v>3</v>
      </c>
      <c r="H334" s="11">
        <f>Source!AW224</f>
        <v>1</v>
      </c>
      <c r="I334" s="42">
        <f>Source!O223</f>
        <v>55.94</v>
      </c>
      <c r="J334" s="11">
        <f>IF(Source!BC224&lt;&gt; 0, Source!BC224, 1)</f>
        <v>5.12</v>
      </c>
      <c r="K334" s="42">
        <f>Source!O224</f>
        <v>286.41000000000003</v>
      </c>
      <c r="Q334">
        <f>Source!X223</f>
        <v>0</v>
      </c>
      <c r="R334">
        <f>Source!X224</f>
        <v>0</v>
      </c>
      <c r="S334">
        <f>Source!Y223</f>
        <v>0</v>
      </c>
      <c r="T334">
        <f>Source!Y224</f>
        <v>0</v>
      </c>
      <c r="U334">
        <f>ROUND((175/100)*ROUND(Source!R223, 2), 2)</f>
        <v>0</v>
      </c>
      <c r="V334">
        <f>ROUND((0/100)*ROUND(Source!R224, 2), 2)</f>
        <v>0</v>
      </c>
      <c r="AC334">
        <v>3</v>
      </c>
    </row>
    <row r="335" spans="1:29" ht="14.25" x14ac:dyDescent="0.2">
      <c r="A335" s="39"/>
      <c r="B335" s="39"/>
      <c r="C335" s="39" t="s">
        <v>710</v>
      </c>
      <c r="D335" s="40" t="s">
        <v>711</v>
      </c>
      <c r="E335" s="11">
        <f>Source!BZ222</f>
        <v>97</v>
      </c>
      <c r="F335" s="42"/>
      <c r="G335" s="41"/>
      <c r="H335" s="11"/>
      <c r="I335" s="42">
        <f>SUM(Q328:Q334)</f>
        <v>601.65</v>
      </c>
      <c r="J335" s="11">
        <f>Source!AT222</f>
        <v>97</v>
      </c>
      <c r="K335" s="42">
        <f>SUM(R328:R334)</f>
        <v>33084.85</v>
      </c>
    </row>
    <row r="336" spans="1:29" ht="14.25" x14ac:dyDescent="0.2">
      <c r="A336" s="39"/>
      <c r="B336" s="39"/>
      <c r="C336" s="39" t="s">
        <v>712</v>
      </c>
      <c r="D336" s="40" t="s">
        <v>711</v>
      </c>
      <c r="E336" s="11">
        <f>Source!CA222</f>
        <v>51</v>
      </c>
      <c r="F336" s="42"/>
      <c r="G336" s="41"/>
      <c r="H336" s="11"/>
      <c r="I336" s="42">
        <f>SUM(S328:S335)</f>
        <v>316.33</v>
      </c>
      <c r="J336" s="11">
        <f>Source!AU222</f>
        <v>51</v>
      </c>
      <c r="K336" s="42">
        <f>SUM(T328:T335)</f>
        <v>17395.13</v>
      </c>
    </row>
    <row r="337" spans="1:29" ht="14.25" x14ac:dyDescent="0.2">
      <c r="A337" s="44"/>
      <c r="B337" s="44"/>
      <c r="C337" s="44" t="s">
        <v>713</v>
      </c>
      <c r="D337" s="45" t="s">
        <v>714</v>
      </c>
      <c r="E337" s="46">
        <f>Source!AQ221</f>
        <v>2.06</v>
      </c>
      <c r="F337" s="47"/>
      <c r="G337" s="48" t="str">
        <f>Source!DI221</f>
        <v>*1,1</v>
      </c>
      <c r="H337" s="46">
        <f>Source!AV222</f>
        <v>1.0469999999999999</v>
      </c>
      <c r="I337" s="47">
        <f>Source!U221</f>
        <v>42.705036000000007</v>
      </c>
      <c r="J337" s="46"/>
      <c r="K337" s="47"/>
    </row>
    <row r="338" spans="1:29" ht="15" x14ac:dyDescent="0.25">
      <c r="C338" s="31" t="s">
        <v>715</v>
      </c>
      <c r="H338" s="49">
        <f>I330+I331+I333+I335+I336+SUM(I334:I334)-SUMIF(AC334:AC334, 5, I334:I334)-SUMIF(AC334:AC334, 6, I334:I334)</f>
        <v>1916.08</v>
      </c>
      <c r="I338" s="49"/>
      <c r="J338" s="49">
        <f>K330+K331+K333+K335+K336+SUM(K334:K334)-SUMIF(AC334:AC334, 5, K334:K334)-SUMIF(AC334:AC334, 6, K334:K334)</f>
        <v>88377.62000000001</v>
      </c>
      <c r="K338" s="49"/>
    </row>
    <row r="339" spans="1:29" ht="15" x14ac:dyDescent="0.25">
      <c r="C339" s="31" t="s">
        <v>716</v>
      </c>
      <c r="H339" s="51">
        <f>SUMIF(AC334:AC334, 5, I334:I334)+SUMIF(AC334:AC334, 6, I334:I334)</f>
        <v>0</v>
      </c>
      <c r="I339" s="51"/>
      <c r="J339" s="51">
        <f>SUMIF(AC334:AC334, 5, K334:K334)+SUMIF(AC334:AC334, 6, K334:K334)</f>
        <v>0</v>
      </c>
      <c r="K339" s="51"/>
    </row>
    <row r="340" spans="1:29" ht="15" x14ac:dyDescent="0.25">
      <c r="C340" s="31" t="s">
        <v>717</v>
      </c>
      <c r="H340" s="51">
        <f>I330+I331+I333+I335+I336+SUM(I334:I334)</f>
        <v>1916.08</v>
      </c>
      <c r="I340" s="51"/>
      <c r="J340" s="51">
        <f>K330+K331+K333+K335+K336+SUM(K334:K334)</f>
        <v>88377.62000000001</v>
      </c>
      <c r="K340" s="51"/>
      <c r="O340" s="52">
        <f>I330+I331+I333+I335+I336+SUM(I334:I334)</f>
        <v>1916.08</v>
      </c>
      <c r="P340" s="52">
        <f>K330+K331+K333+K335+K336+SUM(K334:K334)</f>
        <v>88377.62000000001</v>
      </c>
    </row>
    <row r="342" spans="1:29" ht="68.25" x14ac:dyDescent="0.2">
      <c r="A342" s="53">
        <v>35</v>
      </c>
      <c r="B342" s="53" t="str">
        <f>Source!F225</f>
        <v>КА №16</v>
      </c>
      <c r="C342" s="53" t="s">
        <v>750</v>
      </c>
      <c r="D342" s="54" t="str">
        <f>Source!H225</f>
        <v>шт.</v>
      </c>
      <c r="E342" s="55">
        <f>Source!I225</f>
        <v>7</v>
      </c>
      <c r="F342" s="56">
        <f>Source!AL225</f>
        <v>5815.3099999999995</v>
      </c>
      <c r="G342" s="57" t="str">
        <f>Source!DD225</f>
        <v/>
      </c>
      <c r="H342" s="55">
        <f>Source!AW226</f>
        <v>1</v>
      </c>
      <c r="I342" s="56">
        <f>Source!P225</f>
        <v>40707.17</v>
      </c>
      <c r="J342" s="55">
        <f>IF(Source!BC226&lt;&gt; 0, Source!BC226, 1)</f>
        <v>7.66</v>
      </c>
      <c r="K342" s="56">
        <f>Source!P226</f>
        <v>311816.92</v>
      </c>
      <c r="Q342">
        <f>Source!X225</f>
        <v>0</v>
      </c>
      <c r="R342">
        <f>Source!X226</f>
        <v>0</v>
      </c>
      <c r="S342">
        <f>Source!Y225</f>
        <v>0</v>
      </c>
      <c r="T342">
        <f>Source!Y226</f>
        <v>0</v>
      </c>
      <c r="U342">
        <f>ROUND((175/100)*ROUND(Source!R225, 2), 2)</f>
        <v>0</v>
      </c>
      <c r="V342">
        <f>ROUND((0/100)*ROUND(Source!R226, 2), 2)</f>
        <v>0</v>
      </c>
      <c r="AC342">
        <v>5</v>
      </c>
    </row>
    <row r="343" spans="1:29" ht="15" x14ac:dyDescent="0.25">
      <c r="A343" s="58"/>
      <c r="B343" s="58"/>
      <c r="C343" s="59" t="s">
        <v>717</v>
      </c>
      <c r="D343" s="58"/>
      <c r="E343" s="58"/>
      <c r="F343" s="58"/>
      <c r="G343" s="58"/>
      <c r="H343" s="60">
        <f>I342+0</f>
        <v>40707.17</v>
      </c>
      <c r="I343" s="60"/>
      <c r="J343" s="60">
        <f>K342+0</f>
        <v>311816.92</v>
      </c>
      <c r="K343" s="60"/>
      <c r="O343" s="52">
        <f>I342+0</f>
        <v>40707.17</v>
      </c>
      <c r="P343" s="52">
        <f>K342+0</f>
        <v>311816.92</v>
      </c>
    </row>
    <row r="345" spans="1:29" ht="68.25" x14ac:dyDescent="0.2">
      <c r="A345" s="53">
        <v>36</v>
      </c>
      <c r="B345" s="53" t="str">
        <f>Source!F227</f>
        <v>КА №17</v>
      </c>
      <c r="C345" s="53" t="s">
        <v>751</v>
      </c>
      <c r="D345" s="54" t="str">
        <f>Source!H227</f>
        <v>шт.</v>
      </c>
      <c r="E345" s="55">
        <f>Source!I227</f>
        <v>5</v>
      </c>
      <c r="F345" s="56">
        <f>Source!AL227</f>
        <v>5872.34</v>
      </c>
      <c r="G345" s="57" t="str">
        <f>Source!DD227</f>
        <v/>
      </c>
      <c r="H345" s="55">
        <f>Source!AW228</f>
        <v>1</v>
      </c>
      <c r="I345" s="56">
        <f>Source!P227</f>
        <v>29361.7</v>
      </c>
      <c r="J345" s="55">
        <f>IF(Source!BC228&lt;&gt; 0, Source!BC228, 1)</f>
        <v>7.66</v>
      </c>
      <c r="K345" s="56">
        <f>Source!P228</f>
        <v>224910.62</v>
      </c>
      <c r="Q345">
        <f>Source!X227</f>
        <v>0</v>
      </c>
      <c r="R345">
        <f>Source!X228</f>
        <v>0</v>
      </c>
      <c r="S345">
        <f>Source!Y227</f>
        <v>0</v>
      </c>
      <c r="T345">
        <f>Source!Y228</f>
        <v>0</v>
      </c>
      <c r="U345">
        <f>ROUND((175/100)*ROUND(Source!R227, 2), 2)</f>
        <v>0</v>
      </c>
      <c r="V345">
        <f>ROUND((0/100)*ROUND(Source!R228, 2), 2)</f>
        <v>0</v>
      </c>
      <c r="AC345">
        <v>5</v>
      </c>
    </row>
    <row r="346" spans="1:29" ht="15" x14ac:dyDescent="0.25">
      <c r="A346" s="58"/>
      <c r="B346" s="58"/>
      <c r="C346" s="59" t="s">
        <v>717</v>
      </c>
      <c r="D346" s="58"/>
      <c r="E346" s="58"/>
      <c r="F346" s="58"/>
      <c r="G346" s="58"/>
      <c r="H346" s="60">
        <f>I345+0</f>
        <v>29361.7</v>
      </c>
      <c r="I346" s="60"/>
      <c r="J346" s="60">
        <f>K345+0</f>
        <v>224910.62</v>
      </c>
      <c r="K346" s="60"/>
      <c r="O346" s="52">
        <f>I345+0</f>
        <v>29361.7</v>
      </c>
      <c r="P346" s="52">
        <f>K345+0</f>
        <v>224910.62</v>
      </c>
    </row>
    <row r="348" spans="1:29" ht="68.25" x14ac:dyDescent="0.2">
      <c r="A348" s="53">
        <v>37</v>
      </c>
      <c r="B348" s="53" t="str">
        <f>Source!F229</f>
        <v>КА №18</v>
      </c>
      <c r="C348" s="53" t="s">
        <v>752</v>
      </c>
      <c r="D348" s="54" t="str">
        <f>Source!H229</f>
        <v>шт.</v>
      </c>
      <c r="E348" s="55">
        <f>Source!I229</f>
        <v>1</v>
      </c>
      <c r="F348" s="56">
        <f>Source!AL229</f>
        <v>6184.08</v>
      </c>
      <c r="G348" s="57" t="str">
        <f>Source!DD229</f>
        <v/>
      </c>
      <c r="H348" s="55">
        <f>Source!AW230</f>
        <v>1</v>
      </c>
      <c r="I348" s="56">
        <f>Source!P229</f>
        <v>6184.08</v>
      </c>
      <c r="J348" s="55">
        <f>IF(Source!BC230&lt;&gt; 0, Source!BC230, 1)</f>
        <v>7.66</v>
      </c>
      <c r="K348" s="56">
        <f>Source!P230</f>
        <v>47370.05</v>
      </c>
      <c r="Q348">
        <f>Source!X229</f>
        <v>0</v>
      </c>
      <c r="R348">
        <f>Source!X230</f>
        <v>0</v>
      </c>
      <c r="S348">
        <f>Source!Y229</f>
        <v>0</v>
      </c>
      <c r="T348">
        <f>Source!Y230</f>
        <v>0</v>
      </c>
      <c r="U348">
        <f>ROUND((175/100)*ROUND(Source!R229, 2), 2)</f>
        <v>0</v>
      </c>
      <c r="V348">
        <f>ROUND((0/100)*ROUND(Source!R230, 2), 2)</f>
        <v>0</v>
      </c>
      <c r="AC348">
        <v>5</v>
      </c>
    </row>
    <row r="349" spans="1:29" ht="15" x14ac:dyDescent="0.25">
      <c r="A349" s="58"/>
      <c r="B349" s="58"/>
      <c r="C349" s="59" t="s">
        <v>717</v>
      </c>
      <c r="D349" s="58"/>
      <c r="E349" s="58"/>
      <c r="F349" s="58"/>
      <c r="G349" s="58"/>
      <c r="H349" s="60">
        <f>I348+0</f>
        <v>6184.08</v>
      </c>
      <c r="I349" s="60"/>
      <c r="J349" s="60">
        <f>K348+0</f>
        <v>47370.05</v>
      </c>
      <c r="K349" s="60"/>
      <c r="O349" s="52">
        <f>I348+0</f>
        <v>6184.08</v>
      </c>
      <c r="P349" s="52">
        <f>K348+0</f>
        <v>47370.05</v>
      </c>
    </row>
    <row r="351" spans="1:29" ht="68.25" x14ac:dyDescent="0.2">
      <c r="A351" s="53">
        <v>38</v>
      </c>
      <c r="B351" s="53" t="str">
        <f>Source!F231</f>
        <v>КА №19</v>
      </c>
      <c r="C351" s="53" t="s">
        <v>753</v>
      </c>
      <c r="D351" s="54" t="str">
        <f>Source!H231</f>
        <v>шт.</v>
      </c>
      <c r="E351" s="55">
        <f>Source!I231</f>
        <v>4</v>
      </c>
      <c r="F351" s="56">
        <f>Source!AL231</f>
        <v>6028.16</v>
      </c>
      <c r="G351" s="57" t="str">
        <f>Source!DD231</f>
        <v/>
      </c>
      <c r="H351" s="55">
        <f>Source!AW232</f>
        <v>1</v>
      </c>
      <c r="I351" s="56">
        <f>Source!P231</f>
        <v>24112.639999999999</v>
      </c>
      <c r="J351" s="55">
        <f>IF(Source!BC232&lt;&gt; 0, Source!BC232, 1)</f>
        <v>7.66</v>
      </c>
      <c r="K351" s="56">
        <f>Source!P232</f>
        <v>184702.82</v>
      </c>
      <c r="Q351">
        <f>Source!X231</f>
        <v>0</v>
      </c>
      <c r="R351">
        <f>Source!X232</f>
        <v>0</v>
      </c>
      <c r="S351">
        <f>Source!Y231</f>
        <v>0</v>
      </c>
      <c r="T351">
        <f>Source!Y232</f>
        <v>0</v>
      </c>
      <c r="U351">
        <f>ROUND((175/100)*ROUND(Source!R231, 2), 2)</f>
        <v>0</v>
      </c>
      <c r="V351">
        <f>ROUND((0/100)*ROUND(Source!R232, 2), 2)</f>
        <v>0</v>
      </c>
      <c r="AC351">
        <v>5</v>
      </c>
    </row>
    <row r="352" spans="1:29" ht="15" x14ac:dyDescent="0.25">
      <c r="A352" s="58"/>
      <c r="B352" s="58"/>
      <c r="C352" s="59" t="s">
        <v>717</v>
      </c>
      <c r="D352" s="58"/>
      <c r="E352" s="58"/>
      <c r="F352" s="58"/>
      <c r="G352" s="58"/>
      <c r="H352" s="60">
        <f>I351+0</f>
        <v>24112.639999999999</v>
      </c>
      <c r="I352" s="60"/>
      <c r="J352" s="60">
        <f>K351+0</f>
        <v>184702.82</v>
      </c>
      <c r="K352" s="60"/>
      <c r="O352" s="52">
        <f>I351+0</f>
        <v>24112.639999999999</v>
      </c>
      <c r="P352" s="52">
        <f>K351+0</f>
        <v>184702.82</v>
      </c>
    </row>
    <row r="354" spans="1:29" ht="68.25" x14ac:dyDescent="0.2">
      <c r="A354" s="53">
        <v>39</v>
      </c>
      <c r="B354" s="53" t="str">
        <f>Source!F233</f>
        <v>КА №20</v>
      </c>
      <c r="C354" s="53" t="s">
        <v>754</v>
      </c>
      <c r="D354" s="54" t="str">
        <f>Source!H233</f>
        <v>шт.</v>
      </c>
      <c r="E354" s="55">
        <f>Source!I233</f>
        <v>1</v>
      </c>
      <c r="F354" s="56">
        <f>Source!AL233</f>
        <v>6080.1</v>
      </c>
      <c r="G354" s="57" t="str">
        <f>Source!DD233</f>
        <v/>
      </c>
      <c r="H354" s="55">
        <f>Source!AW234</f>
        <v>1</v>
      </c>
      <c r="I354" s="56">
        <f>Source!P233</f>
        <v>6080.1</v>
      </c>
      <c r="J354" s="55">
        <f>IF(Source!BC234&lt;&gt; 0, Source!BC234, 1)</f>
        <v>7.66</v>
      </c>
      <c r="K354" s="56">
        <f>Source!P234</f>
        <v>46573.57</v>
      </c>
      <c r="Q354">
        <f>Source!X233</f>
        <v>0</v>
      </c>
      <c r="R354">
        <f>Source!X234</f>
        <v>0</v>
      </c>
      <c r="S354">
        <f>Source!Y233</f>
        <v>0</v>
      </c>
      <c r="T354">
        <f>Source!Y234</f>
        <v>0</v>
      </c>
      <c r="U354">
        <f>ROUND((175/100)*ROUND(Source!R233, 2), 2)</f>
        <v>0</v>
      </c>
      <c r="V354">
        <f>ROUND((0/100)*ROUND(Source!R234, 2), 2)</f>
        <v>0</v>
      </c>
      <c r="AC354">
        <v>5</v>
      </c>
    </row>
    <row r="355" spans="1:29" ht="15" x14ac:dyDescent="0.25">
      <c r="A355" s="58"/>
      <c r="B355" s="58"/>
      <c r="C355" s="59" t="s">
        <v>717</v>
      </c>
      <c r="D355" s="58"/>
      <c r="E355" s="58"/>
      <c r="F355" s="58"/>
      <c r="G355" s="58"/>
      <c r="H355" s="60">
        <f>I354+0</f>
        <v>6080.1</v>
      </c>
      <c r="I355" s="60"/>
      <c r="J355" s="60">
        <f>K354+0</f>
        <v>46573.57</v>
      </c>
      <c r="K355" s="60"/>
      <c r="O355" s="52">
        <f>I354+0</f>
        <v>6080.1</v>
      </c>
      <c r="P355" s="52">
        <f>K354+0</f>
        <v>46573.57</v>
      </c>
    </row>
    <row r="357" spans="1:29" ht="78" x14ac:dyDescent="0.2">
      <c r="A357" s="39">
        <v>40</v>
      </c>
      <c r="B357" s="39" t="s">
        <v>727</v>
      </c>
      <c r="C357" s="39" t="s">
        <v>76</v>
      </c>
      <c r="D357" s="40" t="str">
        <f>Source!H235</f>
        <v>100 м</v>
      </c>
      <c r="E357" s="11">
        <f>Source!I235</f>
        <v>24.4</v>
      </c>
      <c r="F357" s="42"/>
      <c r="G357" s="41"/>
      <c r="H357" s="11"/>
      <c r="I357" s="42"/>
      <c r="J357" s="11"/>
      <c r="K357" s="42"/>
      <c r="Q357">
        <f>Source!X235</f>
        <v>5396.35</v>
      </c>
      <c r="R357">
        <f>Source!X236</f>
        <v>296745.43</v>
      </c>
      <c r="S357">
        <f>Source!Y235</f>
        <v>2837.26</v>
      </c>
      <c r="T357">
        <f>Source!Y236</f>
        <v>156020.79</v>
      </c>
      <c r="U357">
        <f>ROUND((175/100)*ROUND(Source!R235, 2), 2)</f>
        <v>280.81</v>
      </c>
      <c r="V357">
        <f>ROUND((0/100)*ROUND(Source!R236, 2), 2)</f>
        <v>0</v>
      </c>
      <c r="AC357">
        <v>0</v>
      </c>
    </row>
    <row r="358" spans="1:29" x14ac:dyDescent="0.2">
      <c r="C358" s="62" t="str">
        <f>"Объем: "&amp;Source!I235&amp;"=2440/"&amp;"100"</f>
        <v>Объем: 24,4=2440/100</v>
      </c>
    </row>
    <row r="359" spans="1:29" ht="14.25" x14ac:dyDescent="0.2">
      <c r="A359" s="39"/>
      <c r="B359" s="39"/>
      <c r="C359" s="39" t="s">
        <v>707</v>
      </c>
      <c r="D359" s="40"/>
      <c r="E359" s="11"/>
      <c r="F359" s="42">
        <f>Source!AO235</f>
        <v>192.26</v>
      </c>
      <c r="G359" s="41" t="str">
        <f>Source!DG235</f>
        <v>*1,1</v>
      </c>
      <c r="H359" s="11">
        <f>Source!AV236</f>
        <v>1.0469999999999999</v>
      </c>
      <c r="I359" s="42">
        <f>Source!S235</f>
        <v>5402.79</v>
      </c>
      <c r="J359" s="11">
        <f>IF(Source!BA236&lt;&gt; 0, Source!BA236, 1)</f>
        <v>54.99</v>
      </c>
      <c r="K359" s="42">
        <f>Source!S236</f>
        <v>297099.42</v>
      </c>
    </row>
    <row r="360" spans="1:29" ht="14.25" x14ac:dyDescent="0.2">
      <c r="A360" s="39"/>
      <c r="B360" s="39"/>
      <c r="C360" s="39" t="s">
        <v>708</v>
      </c>
      <c r="D360" s="40"/>
      <c r="E360" s="11"/>
      <c r="F360" s="42">
        <f>Source!AM235</f>
        <v>32.869999999999997</v>
      </c>
      <c r="G360" s="41" t="str">
        <f>Source!DE235</f>
        <v>*1,1</v>
      </c>
      <c r="H360" s="11">
        <f>Source!AV236</f>
        <v>1.0469999999999999</v>
      </c>
      <c r="I360" s="42">
        <f>Source!Q235</f>
        <v>923.7</v>
      </c>
      <c r="J360" s="11">
        <f>IF(Source!BB236&lt;&gt; 0, Source!BB236, 1)</f>
        <v>17.850000000000001</v>
      </c>
      <c r="K360" s="42">
        <f>Source!Q236</f>
        <v>16488.05</v>
      </c>
    </row>
    <row r="361" spans="1:29" ht="14.25" x14ac:dyDescent="0.2">
      <c r="A361" s="39"/>
      <c r="B361" s="39"/>
      <c r="C361" s="39" t="s">
        <v>709</v>
      </c>
      <c r="D361" s="40"/>
      <c r="E361" s="11"/>
      <c r="F361" s="42">
        <f>Source!AN235</f>
        <v>5.71</v>
      </c>
      <c r="G361" s="41" t="str">
        <f>Source!DF235</f>
        <v>*1,1</v>
      </c>
      <c r="H361" s="11">
        <f>Source!AV236</f>
        <v>1.0469999999999999</v>
      </c>
      <c r="I361" s="43">
        <f>Source!R235</f>
        <v>160.46</v>
      </c>
      <c r="J361" s="11">
        <f>IF(Source!BS236&lt;&gt; 0, Source!BS236, 1)</f>
        <v>54.99</v>
      </c>
      <c r="K361" s="43">
        <f>Source!R236</f>
        <v>8823.7000000000007</v>
      </c>
    </row>
    <row r="362" spans="1:29" ht="14.25" x14ac:dyDescent="0.2">
      <c r="A362" s="39"/>
      <c r="B362" s="39"/>
      <c r="C362" s="39" t="s">
        <v>720</v>
      </c>
      <c r="D362" s="40"/>
      <c r="E362" s="11"/>
      <c r="F362" s="42">
        <f>Source!AL235</f>
        <v>314.29000000000002</v>
      </c>
      <c r="G362" s="41" t="str">
        <f>Source!DD235</f>
        <v/>
      </c>
      <c r="H362" s="11">
        <f>Source!AW236</f>
        <v>1</v>
      </c>
      <c r="I362" s="42">
        <f>Source!P235</f>
        <v>7668.68</v>
      </c>
      <c r="J362" s="11">
        <f>IF(Source!BC236&lt;&gt; 0, Source!BC236, 1)</f>
        <v>9.89</v>
      </c>
      <c r="K362" s="42">
        <f>Source!P236</f>
        <v>75843.25</v>
      </c>
    </row>
    <row r="363" spans="1:29" ht="42.75" x14ac:dyDescent="0.2">
      <c r="A363" s="39" t="s">
        <v>272</v>
      </c>
      <c r="B363" s="39" t="str">
        <f>Source!F237</f>
        <v>1.12-5-372</v>
      </c>
      <c r="C363" s="39" t="s">
        <v>83</v>
      </c>
      <c r="D363" s="40" t="str">
        <f>Source!H237</f>
        <v>м</v>
      </c>
      <c r="E363" s="11">
        <f>Source!I237</f>
        <v>2488.8000000000002</v>
      </c>
      <c r="F363" s="42">
        <f>Source!AK237</f>
        <v>3.45</v>
      </c>
      <c r="G363" s="61" t="s">
        <v>3</v>
      </c>
      <c r="H363" s="11">
        <f>Source!AW238</f>
        <v>1</v>
      </c>
      <c r="I363" s="42">
        <f>Source!O237</f>
        <v>8586.36</v>
      </c>
      <c r="J363" s="11">
        <f>IF(Source!BC238&lt;&gt; 0, Source!BC238, 1)</f>
        <v>3.93</v>
      </c>
      <c r="K363" s="42">
        <f>Source!O238</f>
        <v>33744.39</v>
      </c>
      <c r="Q363">
        <f>Source!X237</f>
        <v>0</v>
      </c>
      <c r="R363">
        <f>Source!X238</f>
        <v>0</v>
      </c>
      <c r="S363">
        <f>Source!Y237</f>
        <v>0</v>
      </c>
      <c r="T363">
        <f>Source!Y238</f>
        <v>0</v>
      </c>
      <c r="U363">
        <f>ROUND((175/100)*ROUND(Source!R237, 2), 2)</f>
        <v>0</v>
      </c>
      <c r="V363">
        <f>ROUND((0/100)*ROUND(Source!R238, 2), 2)</f>
        <v>0</v>
      </c>
      <c r="AC363">
        <v>3</v>
      </c>
    </row>
    <row r="364" spans="1:29" ht="14.25" x14ac:dyDescent="0.2">
      <c r="A364" s="39"/>
      <c r="B364" s="39"/>
      <c r="C364" s="39" t="s">
        <v>710</v>
      </c>
      <c r="D364" s="40" t="s">
        <v>711</v>
      </c>
      <c r="E364" s="11">
        <f>Source!BZ236</f>
        <v>97</v>
      </c>
      <c r="F364" s="42"/>
      <c r="G364" s="41"/>
      <c r="H364" s="11"/>
      <c r="I364" s="42">
        <f>SUM(Q357:Q363)</f>
        <v>5396.35</v>
      </c>
      <c r="J364" s="11">
        <f>Source!AT236</f>
        <v>97</v>
      </c>
      <c r="K364" s="42">
        <f>SUM(R357:R363)</f>
        <v>296745.43</v>
      </c>
    </row>
    <row r="365" spans="1:29" ht="14.25" x14ac:dyDescent="0.2">
      <c r="A365" s="39"/>
      <c r="B365" s="39"/>
      <c r="C365" s="39" t="s">
        <v>712</v>
      </c>
      <c r="D365" s="40" t="s">
        <v>711</v>
      </c>
      <c r="E365" s="11">
        <f>Source!CA236</f>
        <v>51</v>
      </c>
      <c r="F365" s="42"/>
      <c r="G365" s="41"/>
      <c r="H365" s="11"/>
      <c r="I365" s="42">
        <f>SUM(S357:S364)</f>
        <v>2837.26</v>
      </c>
      <c r="J365" s="11">
        <f>Source!AU236</f>
        <v>51</v>
      </c>
      <c r="K365" s="42">
        <f>SUM(T357:T364)</f>
        <v>156020.79</v>
      </c>
    </row>
    <row r="366" spans="1:29" ht="14.25" x14ac:dyDescent="0.2">
      <c r="A366" s="44"/>
      <c r="B366" s="44"/>
      <c r="C366" s="44" t="s">
        <v>713</v>
      </c>
      <c r="D366" s="45" t="s">
        <v>714</v>
      </c>
      <c r="E366" s="46">
        <f>Source!AQ235</f>
        <v>15</v>
      </c>
      <c r="F366" s="47"/>
      <c r="G366" s="48" t="str">
        <f>Source!DI235</f>
        <v>*1,1</v>
      </c>
      <c r="H366" s="46">
        <f>Source!AV236</f>
        <v>1.0469999999999999</v>
      </c>
      <c r="I366" s="47">
        <f>Source!U235</f>
        <v>421.52219999999988</v>
      </c>
      <c r="J366" s="46"/>
      <c r="K366" s="47"/>
    </row>
    <row r="367" spans="1:29" ht="15" x14ac:dyDescent="0.25">
      <c r="C367" s="31" t="s">
        <v>715</v>
      </c>
      <c r="H367" s="49">
        <f>I359+I360+I362+I364+I365+SUM(I363:I363)-SUMIF(AC363:AC363, 5, I363:I363)-SUMIF(AC363:AC363, 6, I363:I363)</f>
        <v>30815.14</v>
      </c>
      <c r="I367" s="49"/>
      <c r="J367" s="49">
        <f>K359+K360+K362+K364+K365+SUM(K363:K363)-SUMIF(AC363:AC363, 5, K363:K363)-SUMIF(AC363:AC363, 6, K363:K363)</f>
        <v>875941.33</v>
      </c>
      <c r="K367" s="49"/>
    </row>
    <row r="368" spans="1:29" ht="15" x14ac:dyDescent="0.25">
      <c r="C368" s="31" t="s">
        <v>716</v>
      </c>
      <c r="H368" s="51">
        <f>SUMIF(AC363:AC363, 5, I363:I363)+SUMIF(AC363:AC363, 6, I363:I363)</f>
        <v>0</v>
      </c>
      <c r="I368" s="51"/>
      <c r="J368" s="51">
        <f>SUMIF(AC363:AC363, 5, K363:K363)+SUMIF(AC363:AC363, 6, K363:K363)</f>
        <v>0</v>
      </c>
      <c r="K368" s="51"/>
    </row>
    <row r="369" spans="1:29" ht="15" x14ac:dyDescent="0.25">
      <c r="C369" s="31" t="s">
        <v>717</v>
      </c>
      <c r="H369" s="51">
        <f>I359+I360+I362+I364+I365+SUM(I363:I363)</f>
        <v>30815.14</v>
      </c>
      <c r="I369" s="51"/>
      <c r="J369" s="51">
        <f>K359+K360+K362+K364+K365+SUM(K363:K363)</f>
        <v>875941.33</v>
      </c>
      <c r="K369" s="51"/>
      <c r="O369" s="52">
        <f>I359+I360+I362+I364+I365+SUM(I363:I363)</f>
        <v>30815.14</v>
      </c>
      <c r="P369" s="52">
        <f>K359+K360+K362+K364+K365+SUM(K363:K363)</f>
        <v>875941.33</v>
      </c>
    </row>
    <row r="371" spans="1:29" ht="78" x14ac:dyDescent="0.2">
      <c r="A371" s="39">
        <v>41</v>
      </c>
      <c r="B371" s="39" t="s">
        <v>729</v>
      </c>
      <c r="C371" s="39" t="s">
        <v>96</v>
      </c>
      <c r="D371" s="40" t="str">
        <f>Source!H239</f>
        <v>100 м</v>
      </c>
      <c r="E371" s="11">
        <f>Source!I239</f>
        <v>15</v>
      </c>
      <c r="F371" s="42"/>
      <c r="G371" s="41"/>
      <c r="H371" s="11"/>
      <c r="I371" s="42"/>
      <c r="J371" s="11"/>
      <c r="K371" s="42"/>
      <c r="Q371">
        <f>Source!X239</f>
        <v>930.53</v>
      </c>
      <c r="R371">
        <f>Source!X240</f>
        <v>51169.89</v>
      </c>
      <c r="S371">
        <f>Source!Y239</f>
        <v>489.25</v>
      </c>
      <c r="T371">
        <f>Source!Y240</f>
        <v>26903.75</v>
      </c>
      <c r="U371">
        <f>ROUND((175/100)*ROUND(Source!R239, 2), 2)</f>
        <v>9.07</v>
      </c>
      <c r="V371">
        <f>ROUND((0/100)*ROUND(Source!R240, 2), 2)</f>
        <v>0</v>
      </c>
      <c r="AC371">
        <v>0</v>
      </c>
    </row>
    <row r="372" spans="1:29" x14ac:dyDescent="0.2">
      <c r="C372" s="62" t="str">
        <f>"Объем: "&amp;Source!I239&amp;"=1500/"&amp;"100"</f>
        <v>Объем: 15=1500/100</v>
      </c>
    </row>
    <row r="373" spans="1:29" ht="14.25" x14ac:dyDescent="0.2">
      <c r="A373" s="39"/>
      <c r="B373" s="39"/>
      <c r="C373" s="39" t="s">
        <v>707</v>
      </c>
      <c r="D373" s="40"/>
      <c r="E373" s="11"/>
      <c r="F373" s="42">
        <f>Source!AO239</f>
        <v>55.23</v>
      </c>
      <c r="G373" s="41" t="str">
        <f>Source!DG239</f>
        <v>*1,1</v>
      </c>
      <c r="H373" s="11">
        <f>Source!AV240</f>
        <v>1.0469999999999999</v>
      </c>
      <c r="I373" s="42">
        <f>Source!S239</f>
        <v>954.13</v>
      </c>
      <c r="J373" s="11">
        <f>IF(Source!BA240&lt;&gt; 0, Source!BA240, 1)</f>
        <v>54.99</v>
      </c>
      <c r="K373" s="42">
        <f>Source!S240</f>
        <v>52467.61</v>
      </c>
    </row>
    <row r="374" spans="1:29" ht="14.25" x14ac:dyDescent="0.2">
      <c r="A374" s="39"/>
      <c r="B374" s="39"/>
      <c r="C374" s="39" t="s">
        <v>708</v>
      </c>
      <c r="D374" s="40"/>
      <c r="E374" s="11"/>
      <c r="F374" s="42">
        <f>Source!AM239</f>
        <v>2.62</v>
      </c>
      <c r="G374" s="41" t="str">
        <f>Source!DE239</f>
        <v>*1,1</v>
      </c>
      <c r="H374" s="11">
        <f>Source!AV240</f>
        <v>1.0469999999999999</v>
      </c>
      <c r="I374" s="42">
        <f>Source!Q239</f>
        <v>45.26</v>
      </c>
      <c r="J374" s="11">
        <f>IF(Source!BB240&lt;&gt; 0, Source!BB240, 1)</f>
        <v>14.57</v>
      </c>
      <c r="K374" s="42">
        <f>Source!Q240</f>
        <v>659.44</v>
      </c>
    </row>
    <row r="375" spans="1:29" ht="14.25" x14ac:dyDescent="0.2">
      <c r="A375" s="39"/>
      <c r="B375" s="39"/>
      <c r="C375" s="39" t="s">
        <v>709</v>
      </c>
      <c r="D375" s="40"/>
      <c r="E375" s="11"/>
      <c r="F375" s="42">
        <f>Source!AN239</f>
        <v>0.3</v>
      </c>
      <c r="G375" s="41" t="str">
        <f>Source!DF239</f>
        <v>*1,1</v>
      </c>
      <c r="H375" s="11">
        <f>Source!AV240</f>
        <v>1.0469999999999999</v>
      </c>
      <c r="I375" s="43">
        <f>Source!R239</f>
        <v>5.18</v>
      </c>
      <c r="J375" s="11">
        <f>IF(Source!BS240&lt;&gt; 0, Source!BS240, 1)</f>
        <v>54.99</v>
      </c>
      <c r="K375" s="43">
        <f>Source!R240</f>
        <v>284.85000000000002</v>
      </c>
    </row>
    <row r="376" spans="1:29" ht="14.25" x14ac:dyDescent="0.2">
      <c r="A376" s="39"/>
      <c r="B376" s="39"/>
      <c r="C376" s="39" t="s">
        <v>720</v>
      </c>
      <c r="D376" s="40"/>
      <c r="E376" s="11"/>
      <c r="F376" s="42">
        <f>Source!AL239</f>
        <v>58.15</v>
      </c>
      <c r="G376" s="41" t="str">
        <f>Source!DD239</f>
        <v/>
      </c>
      <c r="H376" s="11">
        <f>Source!AW240</f>
        <v>1</v>
      </c>
      <c r="I376" s="42">
        <f>Source!P239</f>
        <v>872.25</v>
      </c>
      <c r="J376" s="11">
        <f>IF(Source!BC240&lt;&gt; 0, Source!BC240, 1)</f>
        <v>3.7</v>
      </c>
      <c r="K376" s="42">
        <f>Source!P240</f>
        <v>3227.33</v>
      </c>
    </row>
    <row r="377" spans="1:29" ht="99.75" x14ac:dyDescent="0.2">
      <c r="A377" s="39" t="s">
        <v>274</v>
      </c>
      <c r="B377" s="39" t="str">
        <f>Source!F241</f>
        <v>1.23-9-101</v>
      </c>
      <c r="C377" s="39" t="s">
        <v>196</v>
      </c>
      <c r="D377" s="40" t="str">
        <f>Source!H241</f>
        <v>км</v>
      </c>
      <c r="E377" s="11">
        <f>Source!I241</f>
        <v>1.5449999999999999</v>
      </c>
      <c r="F377" s="42">
        <f>Source!AK241</f>
        <v>4535.74</v>
      </c>
      <c r="G377" s="61" t="s">
        <v>3</v>
      </c>
      <c r="H377" s="11">
        <f>Source!AW242</f>
        <v>1</v>
      </c>
      <c r="I377" s="42">
        <f>Source!O241</f>
        <v>7007.72</v>
      </c>
      <c r="J377" s="11">
        <f>IF(Source!BC242&lt;&gt; 0, Source!BC242, 1)</f>
        <v>4.2</v>
      </c>
      <c r="K377" s="42">
        <f>Source!O242</f>
        <v>29432.42</v>
      </c>
      <c r="Q377">
        <f>Source!X241</f>
        <v>0</v>
      </c>
      <c r="R377">
        <f>Source!X242</f>
        <v>0</v>
      </c>
      <c r="S377">
        <f>Source!Y241</f>
        <v>0</v>
      </c>
      <c r="T377">
        <f>Source!Y242</f>
        <v>0</v>
      </c>
      <c r="U377">
        <f>ROUND((175/100)*ROUND(Source!R241, 2), 2)</f>
        <v>0</v>
      </c>
      <c r="V377">
        <f>ROUND((0/100)*ROUND(Source!R242, 2), 2)</f>
        <v>0</v>
      </c>
      <c r="AC377">
        <v>3</v>
      </c>
    </row>
    <row r="378" spans="1:29" ht="14.25" x14ac:dyDescent="0.2">
      <c r="A378" s="39"/>
      <c r="B378" s="39"/>
      <c r="C378" s="39" t="s">
        <v>710</v>
      </c>
      <c r="D378" s="40" t="s">
        <v>711</v>
      </c>
      <c r="E378" s="11">
        <f>Source!BZ240</f>
        <v>97</v>
      </c>
      <c r="F378" s="42"/>
      <c r="G378" s="41"/>
      <c r="H378" s="11"/>
      <c r="I378" s="42">
        <f>SUM(Q371:Q377)</f>
        <v>930.53</v>
      </c>
      <c r="J378" s="11">
        <f>Source!AT240</f>
        <v>97</v>
      </c>
      <c r="K378" s="42">
        <f>SUM(R371:R377)</f>
        <v>51169.89</v>
      </c>
    </row>
    <row r="379" spans="1:29" ht="14.25" x14ac:dyDescent="0.2">
      <c r="A379" s="39"/>
      <c r="B379" s="39"/>
      <c r="C379" s="39" t="s">
        <v>712</v>
      </c>
      <c r="D379" s="40" t="s">
        <v>711</v>
      </c>
      <c r="E379" s="11">
        <f>Source!CA240</f>
        <v>51</v>
      </c>
      <c r="F379" s="42"/>
      <c r="G379" s="41"/>
      <c r="H379" s="11"/>
      <c r="I379" s="42">
        <f>SUM(S371:S378)</f>
        <v>489.25</v>
      </c>
      <c r="J379" s="11">
        <f>Source!AU240</f>
        <v>51</v>
      </c>
      <c r="K379" s="42">
        <f>SUM(T371:T378)</f>
        <v>26903.75</v>
      </c>
    </row>
    <row r="380" spans="1:29" ht="14.25" x14ac:dyDescent="0.2">
      <c r="A380" s="44"/>
      <c r="B380" s="44"/>
      <c r="C380" s="44" t="s">
        <v>713</v>
      </c>
      <c r="D380" s="45" t="s">
        <v>714</v>
      </c>
      <c r="E380" s="46">
        <f>Source!AQ239</f>
        <v>4.49</v>
      </c>
      <c r="F380" s="47"/>
      <c r="G380" s="48" t="str">
        <f>Source!DI239</f>
        <v>*1,1</v>
      </c>
      <c r="H380" s="46">
        <f>Source!AV240</f>
        <v>1.0469999999999999</v>
      </c>
      <c r="I380" s="47">
        <f>Source!U239</f>
        <v>77.56699500000002</v>
      </c>
      <c r="J380" s="46"/>
      <c r="K380" s="47"/>
    </row>
    <row r="381" spans="1:29" ht="15" x14ac:dyDescent="0.25">
      <c r="C381" s="31" t="s">
        <v>715</v>
      </c>
      <c r="H381" s="49">
        <f>I373+I374+I376+I378+I379+SUM(I377:I377)-SUMIF(AC377:AC377, 5, I377:I377)-SUMIF(AC377:AC377, 6, I377:I377)</f>
        <v>10299.14</v>
      </c>
      <c r="I381" s="49"/>
      <c r="J381" s="49">
        <f>K373+K374+K376+K378+K379+SUM(K377:K377)-SUMIF(AC377:AC377, 5, K377:K377)-SUMIF(AC377:AC377, 6, K377:K377)</f>
        <v>163860.44</v>
      </c>
      <c r="K381" s="49"/>
    </row>
    <row r="382" spans="1:29" ht="15" x14ac:dyDescent="0.25">
      <c r="C382" s="31" t="s">
        <v>716</v>
      </c>
      <c r="H382" s="51">
        <f>SUMIF(AC377:AC377, 5, I377:I377)+SUMIF(AC377:AC377, 6, I377:I377)</f>
        <v>0</v>
      </c>
      <c r="I382" s="51"/>
      <c r="J382" s="51">
        <f>SUMIF(AC377:AC377, 5, K377:K377)+SUMIF(AC377:AC377, 6, K377:K377)</f>
        <v>0</v>
      </c>
      <c r="K382" s="51"/>
    </row>
    <row r="383" spans="1:29" ht="15" x14ac:dyDescent="0.25">
      <c r="C383" s="31" t="s">
        <v>717</v>
      </c>
      <c r="H383" s="51">
        <f>I373+I374+I376+I378+I379+SUM(I377:I377)</f>
        <v>10299.14</v>
      </c>
      <c r="I383" s="51"/>
      <c r="J383" s="51">
        <f>K373+K374+K376+K378+K379+SUM(K377:K377)</f>
        <v>163860.44</v>
      </c>
      <c r="K383" s="51"/>
      <c r="O383" s="52">
        <f>I373+I374+I376+I378+I379+SUM(I377:I377)</f>
        <v>10299.14</v>
      </c>
      <c r="P383" s="52">
        <f>K373+K374+K376+K378+K379+SUM(K377:K377)</f>
        <v>163860.44</v>
      </c>
    </row>
    <row r="385" spans="1:29" ht="78" x14ac:dyDescent="0.2">
      <c r="A385" s="39">
        <v>42</v>
      </c>
      <c r="B385" s="39" t="s">
        <v>755</v>
      </c>
      <c r="C385" s="39" t="s">
        <v>277</v>
      </c>
      <c r="D385" s="40" t="str">
        <f>Source!H243</f>
        <v>100 м</v>
      </c>
      <c r="E385" s="11">
        <f>Source!I243</f>
        <v>9.4</v>
      </c>
      <c r="F385" s="42"/>
      <c r="G385" s="41"/>
      <c r="H385" s="11"/>
      <c r="I385" s="42"/>
      <c r="J385" s="11"/>
      <c r="K385" s="42"/>
      <c r="Q385">
        <f>Source!X243</f>
        <v>702.43</v>
      </c>
      <c r="R385">
        <f>Source!X244</f>
        <v>38626.379999999997</v>
      </c>
      <c r="S385">
        <f>Source!Y243</f>
        <v>369.32</v>
      </c>
      <c r="T385">
        <f>Source!Y244</f>
        <v>20308.72</v>
      </c>
      <c r="U385">
        <f>ROUND((175/100)*ROUND(Source!R243, 2), 2)</f>
        <v>11.18</v>
      </c>
      <c r="V385">
        <f>ROUND((0/100)*ROUND(Source!R244, 2), 2)</f>
        <v>0</v>
      </c>
      <c r="AC385">
        <v>0</v>
      </c>
    </row>
    <row r="386" spans="1:29" x14ac:dyDescent="0.2">
      <c r="C386" s="62" t="str">
        <f>"Объем: "&amp;Source!I243&amp;"=940/"&amp;"100"</f>
        <v>Объем: 9,4=940/100</v>
      </c>
    </row>
    <row r="387" spans="1:29" ht="14.25" x14ac:dyDescent="0.2">
      <c r="A387" s="39"/>
      <c r="B387" s="39"/>
      <c r="C387" s="39" t="s">
        <v>707</v>
      </c>
      <c r="D387" s="40"/>
      <c r="E387" s="11"/>
      <c r="F387" s="42">
        <f>Source!AO243</f>
        <v>66.3</v>
      </c>
      <c r="G387" s="41" t="str">
        <f>Source!DG243</f>
        <v>*1,1</v>
      </c>
      <c r="H387" s="11">
        <f>Source!AV244</f>
        <v>1.0469999999999999</v>
      </c>
      <c r="I387" s="42">
        <f>Source!S243</f>
        <v>717.76</v>
      </c>
      <c r="J387" s="11">
        <f>IF(Source!BA244&lt;&gt; 0, Source!BA244, 1)</f>
        <v>54.99</v>
      </c>
      <c r="K387" s="42">
        <f>Source!S244</f>
        <v>39469.620000000003</v>
      </c>
    </row>
    <row r="388" spans="1:29" ht="14.25" x14ac:dyDescent="0.2">
      <c r="A388" s="39"/>
      <c r="B388" s="39"/>
      <c r="C388" s="39" t="s">
        <v>708</v>
      </c>
      <c r="D388" s="40"/>
      <c r="E388" s="11"/>
      <c r="F388" s="42">
        <f>Source!AM243</f>
        <v>5.25</v>
      </c>
      <c r="G388" s="41" t="str">
        <f>Source!DE243</f>
        <v>*1,1</v>
      </c>
      <c r="H388" s="11">
        <f>Source!AV244</f>
        <v>1.0469999999999999</v>
      </c>
      <c r="I388" s="42">
        <f>Source!Q243</f>
        <v>56.84</v>
      </c>
      <c r="J388" s="11">
        <f>IF(Source!BB244&lt;&gt; 0, Source!BB244, 1)</f>
        <v>14.54</v>
      </c>
      <c r="K388" s="42">
        <f>Source!Q244</f>
        <v>826.45</v>
      </c>
    </row>
    <row r="389" spans="1:29" ht="14.25" x14ac:dyDescent="0.2">
      <c r="A389" s="39"/>
      <c r="B389" s="39"/>
      <c r="C389" s="39" t="s">
        <v>709</v>
      </c>
      <c r="D389" s="40"/>
      <c r="E389" s="11"/>
      <c r="F389" s="42">
        <f>Source!AN243</f>
        <v>0.59</v>
      </c>
      <c r="G389" s="41" t="str">
        <f>Source!DF243</f>
        <v>*1,1</v>
      </c>
      <c r="H389" s="11">
        <f>Source!AV244</f>
        <v>1.0469999999999999</v>
      </c>
      <c r="I389" s="43">
        <f>Source!R243</f>
        <v>6.39</v>
      </c>
      <c r="J389" s="11">
        <f>IF(Source!BS244&lt;&gt; 0, Source!BS244, 1)</f>
        <v>54.99</v>
      </c>
      <c r="K389" s="43">
        <f>Source!R244</f>
        <v>351.39</v>
      </c>
    </row>
    <row r="390" spans="1:29" ht="14.25" x14ac:dyDescent="0.2">
      <c r="A390" s="39"/>
      <c r="B390" s="39"/>
      <c r="C390" s="39" t="s">
        <v>720</v>
      </c>
      <c r="D390" s="40"/>
      <c r="E390" s="11"/>
      <c r="F390" s="42">
        <f>Source!AL243</f>
        <v>61.98</v>
      </c>
      <c r="G390" s="41" t="str">
        <f>Source!DD243</f>
        <v/>
      </c>
      <c r="H390" s="11">
        <f>Source!AW244</f>
        <v>1</v>
      </c>
      <c r="I390" s="42">
        <f>Source!P243</f>
        <v>582.61</v>
      </c>
      <c r="J390" s="11">
        <f>IF(Source!BC244&lt;&gt; 0, Source!BC244, 1)</f>
        <v>4.53</v>
      </c>
      <c r="K390" s="42">
        <f>Source!P244</f>
        <v>2639.22</v>
      </c>
    </row>
    <row r="391" spans="1:29" ht="27" x14ac:dyDescent="0.2">
      <c r="A391" s="39" t="s">
        <v>279</v>
      </c>
      <c r="B391" s="39" t="str">
        <f>Source!F245</f>
        <v>КА №21</v>
      </c>
      <c r="C391" s="39" t="s">
        <v>756</v>
      </c>
      <c r="D391" s="40" t="str">
        <f>Source!H245</f>
        <v>м.п.</v>
      </c>
      <c r="E391" s="11">
        <f>Source!I245</f>
        <v>958.8</v>
      </c>
      <c r="F391" s="42">
        <f>Source!AK245</f>
        <v>4.88</v>
      </c>
      <c r="G391" s="61" t="s">
        <v>3</v>
      </c>
      <c r="H391" s="11">
        <f>Source!AW246</f>
        <v>1</v>
      </c>
      <c r="I391" s="42">
        <f>Source!O245</f>
        <v>4678.9399999999996</v>
      </c>
      <c r="J391" s="11">
        <f>IF(Source!BC246&lt;&gt; 0, Source!BC246, 1)</f>
        <v>9.8800000000000008</v>
      </c>
      <c r="K391" s="42">
        <f>Source!O246</f>
        <v>46227.93</v>
      </c>
      <c r="Q391">
        <f>Source!X245</f>
        <v>0</v>
      </c>
      <c r="R391">
        <f>Source!X246</f>
        <v>0</v>
      </c>
      <c r="S391">
        <f>Source!Y245</f>
        <v>0</v>
      </c>
      <c r="T391">
        <f>Source!Y246</f>
        <v>0</v>
      </c>
      <c r="U391">
        <f>ROUND((175/100)*ROUND(Source!R245, 2), 2)</f>
        <v>0</v>
      </c>
      <c r="V391">
        <f>ROUND((0/100)*ROUND(Source!R246, 2), 2)</f>
        <v>0</v>
      </c>
      <c r="AC391">
        <v>3</v>
      </c>
    </row>
    <row r="392" spans="1:29" ht="14.25" x14ac:dyDescent="0.2">
      <c r="A392" s="39"/>
      <c r="B392" s="39"/>
      <c r="C392" s="39" t="s">
        <v>710</v>
      </c>
      <c r="D392" s="40" t="s">
        <v>711</v>
      </c>
      <c r="E392" s="11">
        <f>Source!BZ244</f>
        <v>97</v>
      </c>
      <c r="F392" s="42"/>
      <c r="G392" s="41"/>
      <c r="H392" s="11"/>
      <c r="I392" s="42">
        <f>SUM(Q385:Q391)</f>
        <v>702.43</v>
      </c>
      <c r="J392" s="11">
        <f>Source!AT244</f>
        <v>97</v>
      </c>
      <c r="K392" s="42">
        <f>SUM(R385:R391)</f>
        <v>38626.379999999997</v>
      </c>
    </row>
    <row r="393" spans="1:29" ht="14.25" x14ac:dyDescent="0.2">
      <c r="A393" s="39"/>
      <c r="B393" s="39"/>
      <c r="C393" s="39" t="s">
        <v>712</v>
      </c>
      <c r="D393" s="40" t="s">
        <v>711</v>
      </c>
      <c r="E393" s="11">
        <f>Source!CA244</f>
        <v>51</v>
      </c>
      <c r="F393" s="42"/>
      <c r="G393" s="41"/>
      <c r="H393" s="11"/>
      <c r="I393" s="42">
        <f>SUM(S385:S392)</f>
        <v>369.32</v>
      </c>
      <c r="J393" s="11">
        <f>Source!AU244</f>
        <v>51</v>
      </c>
      <c r="K393" s="42">
        <f>SUM(T385:T392)</f>
        <v>20308.72</v>
      </c>
    </row>
    <row r="394" spans="1:29" ht="14.25" x14ac:dyDescent="0.2">
      <c r="A394" s="44"/>
      <c r="B394" s="44"/>
      <c r="C394" s="44" t="s">
        <v>713</v>
      </c>
      <c r="D394" s="45" t="s">
        <v>714</v>
      </c>
      <c r="E394" s="46">
        <f>Source!AQ243</f>
        <v>5.39</v>
      </c>
      <c r="F394" s="47"/>
      <c r="G394" s="48" t="str">
        <f>Source!DI243</f>
        <v>*1,1</v>
      </c>
      <c r="H394" s="46">
        <f>Source!AV244</f>
        <v>1.0469999999999999</v>
      </c>
      <c r="I394" s="47">
        <f>Source!U243</f>
        <v>58.352032200000004</v>
      </c>
      <c r="J394" s="46"/>
      <c r="K394" s="47"/>
    </row>
    <row r="395" spans="1:29" ht="15" x14ac:dyDescent="0.25">
      <c r="C395" s="31" t="s">
        <v>715</v>
      </c>
      <c r="H395" s="49">
        <f>I387+I388+I390+I392+I393+SUM(I391:I391)-SUMIF(AC391:AC391, 5, I391:I391)-SUMIF(AC391:AC391, 6, I391:I391)</f>
        <v>7107.9</v>
      </c>
      <c r="I395" s="49"/>
      <c r="J395" s="49">
        <f>K387+K388+K390+K392+K393+SUM(K391:K391)-SUMIF(AC391:AC391, 5, K391:K391)-SUMIF(AC391:AC391, 6, K391:K391)</f>
        <v>148098.32</v>
      </c>
      <c r="K395" s="49"/>
    </row>
    <row r="396" spans="1:29" ht="15" x14ac:dyDescent="0.25">
      <c r="C396" s="31" t="s">
        <v>716</v>
      </c>
      <c r="H396" s="51">
        <f>SUMIF(AC391:AC391, 5, I391:I391)+SUMIF(AC391:AC391, 6, I391:I391)</f>
        <v>0</v>
      </c>
      <c r="I396" s="51"/>
      <c r="J396" s="51">
        <f>SUMIF(AC391:AC391, 5, K391:K391)+SUMIF(AC391:AC391, 6, K391:K391)</f>
        <v>0</v>
      </c>
      <c r="K396" s="51"/>
    </row>
    <row r="397" spans="1:29" ht="15" x14ac:dyDescent="0.25">
      <c r="C397" s="31" t="s">
        <v>717</v>
      </c>
      <c r="H397" s="51">
        <f>I387+I388+I390+I392+I393+SUM(I391:I391)</f>
        <v>7107.9</v>
      </c>
      <c r="I397" s="51"/>
      <c r="J397" s="51">
        <f>K387+K388+K390+K392+K393+SUM(K391:K391)</f>
        <v>148098.32</v>
      </c>
      <c r="K397" s="51"/>
      <c r="O397" s="52">
        <f>I387+I388+I390+I392+I393+SUM(I391:I391)</f>
        <v>7107.9</v>
      </c>
      <c r="P397" s="52">
        <f>K387+K388+K390+K392+K393+SUM(K391:K391)</f>
        <v>148098.32</v>
      </c>
    </row>
    <row r="400" spans="1:29" ht="15" x14ac:dyDescent="0.25">
      <c r="A400" s="64" t="str">
        <f>CONCATENATE("Итого по разделу: ",IF(Source!G248&lt;&gt;"Новый раздел", Source!G248, ""))</f>
        <v>Итого по разделу: Автоматизация противопожарных мероприятий</v>
      </c>
      <c r="B400" s="64"/>
      <c r="C400" s="64"/>
      <c r="D400" s="64"/>
      <c r="E400" s="64"/>
      <c r="F400" s="64"/>
      <c r="G400" s="64"/>
      <c r="H400" s="51">
        <f>SUM(O255:O399)</f>
        <v>278977.88000000006</v>
      </c>
      <c r="I400" s="50"/>
      <c r="J400" s="51">
        <f>SUM(P255:P399)</f>
        <v>3600841.4299999992</v>
      </c>
      <c r="K400" s="50"/>
    </row>
    <row r="401" spans="1:29" hidden="1" x14ac:dyDescent="0.2">
      <c r="A401" t="s">
        <v>732</v>
      </c>
      <c r="I401">
        <f>SUM(W255:W400)</f>
        <v>0</v>
      </c>
      <c r="J401">
        <f>SUM(X255:X400)</f>
        <v>0</v>
      </c>
    </row>
    <row r="402" spans="1:29" hidden="1" x14ac:dyDescent="0.2">
      <c r="A402" t="s">
        <v>733</v>
      </c>
      <c r="I402">
        <f>SUM(Y255:Y401)</f>
        <v>0</v>
      </c>
      <c r="J402">
        <f>SUM(Z255:Z401)</f>
        <v>0</v>
      </c>
    </row>
    <row r="404" spans="1:29" ht="16.5" x14ac:dyDescent="0.25">
      <c r="A404" s="38" t="str">
        <f>CONCATENATE("Раздел: ",IF(Source!G278&lt;&gt;"Новый раздел", Source!G278, ""))</f>
        <v>Раздел: Автоматизация систем общеобменной вентиляции</v>
      </c>
      <c r="B404" s="38"/>
      <c r="C404" s="38"/>
      <c r="D404" s="38"/>
      <c r="E404" s="38"/>
      <c r="F404" s="38"/>
      <c r="G404" s="38"/>
      <c r="H404" s="38"/>
      <c r="I404" s="38"/>
      <c r="J404" s="38"/>
      <c r="K404" s="38"/>
    </row>
    <row r="405" spans="1:29" ht="78" x14ac:dyDescent="0.2">
      <c r="A405" s="39">
        <v>43</v>
      </c>
      <c r="B405" s="39" t="s">
        <v>757</v>
      </c>
      <c r="C405" s="39" t="s">
        <v>286</v>
      </c>
      <c r="D405" s="40" t="str">
        <f>Source!H282</f>
        <v>1  ШТ.</v>
      </c>
      <c r="E405" s="11">
        <f>Source!I282</f>
        <v>13</v>
      </c>
      <c r="F405" s="42"/>
      <c r="G405" s="41"/>
      <c r="H405" s="11"/>
      <c r="I405" s="42"/>
      <c r="J405" s="11"/>
      <c r="K405" s="42"/>
      <c r="Q405">
        <f>Source!X282</f>
        <v>90.95</v>
      </c>
      <c r="R405">
        <f>Source!X283</f>
        <v>5001.5600000000004</v>
      </c>
      <c r="S405">
        <f>Source!Y282</f>
        <v>46.49</v>
      </c>
      <c r="T405">
        <f>Source!Y283</f>
        <v>2556.35</v>
      </c>
      <c r="U405">
        <f>ROUND((175/100)*ROUND(Source!R282, 2), 2)</f>
        <v>0</v>
      </c>
      <c r="V405">
        <f>ROUND((0/100)*ROUND(Source!R283, 2), 2)</f>
        <v>0</v>
      </c>
      <c r="AC405">
        <v>0</v>
      </c>
    </row>
    <row r="406" spans="1:29" x14ac:dyDescent="0.2">
      <c r="C406" s="62" t="str">
        <f>"Объем: "&amp;Source!I282&amp;"=2+"&amp;"6+"&amp;"5"</f>
        <v>Объем: 13=2+6+5</v>
      </c>
    </row>
    <row r="407" spans="1:29" ht="14.25" x14ac:dyDescent="0.2">
      <c r="A407" s="39"/>
      <c r="B407" s="39"/>
      <c r="C407" s="39" t="s">
        <v>707</v>
      </c>
      <c r="D407" s="40"/>
      <c r="E407" s="11"/>
      <c r="F407" s="42">
        <f>Source!AO282</f>
        <v>6.75</v>
      </c>
      <c r="G407" s="41" t="str">
        <f>Source!DG282</f>
        <v>*1,1</v>
      </c>
      <c r="H407" s="11">
        <f>Source!AV283</f>
        <v>1.0469999999999999</v>
      </c>
      <c r="I407" s="42">
        <f>Source!S282</f>
        <v>101.06</v>
      </c>
      <c r="J407" s="11">
        <f>IF(Source!BA283&lt;&gt; 0, Source!BA283, 1)</f>
        <v>54.99</v>
      </c>
      <c r="K407" s="42">
        <f>Source!S283</f>
        <v>5557.29</v>
      </c>
    </row>
    <row r="408" spans="1:29" ht="28.5" x14ac:dyDescent="0.2">
      <c r="A408" s="39" t="s">
        <v>288</v>
      </c>
      <c r="B408" s="39" t="str">
        <f>Source!F284</f>
        <v>1.1-1-58</v>
      </c>
      <c r="C408" s="39" t="s">
        <v>290</v>
      </c>
      <c r="D408" s="40" t="str">
        <f>Source!H284</f>
        <v>т</v>
      </c>
      <c r="E408" s="11">
        <f>Source!I284</f>
        <v>4.5499999999999995E-4</v>
      </c>
      <c r="F408" s="42">
        <f>Source!AK284</f>
        <v>24609.759999999998</v>
      </c>
      <c r="G408" s="61" t="s">
        <v>3</v>
      </c>
      <c r="H408" s="11">
        <f>Source!AW285</f>
        <v>1</v>
      </c>
      <c r="I408" s="42">
        <f>Source!O284</f>
        <v>11.2</v>
      </c>
      <c r="J408" s="11">
        <f>IF(Source!BC285&lt;&gt; 0, Source!BC285, 1)</f>
        <v>5.15</v>
      </c>
      <c r="K408" s="42">
        <f>Source!O285</f>
        <v>57.68</v>
      </c>
      <c r="Q408">
        <f>Source!X284</f>
        <v>0</v>
      </c>
      <c r="R408">
        <f>Source!X285</f>
        <v>0</v>
      </c>
      <c r="S408">
        <f>Source!Y284</f>
        <v>0</v>
      </c>
      <c r="T408">
        <f>Source!Y285</f>
        <v>0</v>
      </c>
      <c r="U408">
        <f>ROUND((175/100)*ROUND(Source!R284, 2), 2)</f>
        <v>0</v>
      </c>
      <c r="V408">
        <f>ROUND((0/100)*ROUND(Source!R285, 2), 2)</f>
        <v>0</v>
      </c>
      <c r="AC408">
        <v>3</v>
      </c>
    </row>
    <row r="409" spans="1:29" ht="14.25" x14ac:dyDescent="0.2">
      <c r="A409" s="39"/>
      <c r="B409" s="39"/>
      <c r="C409" s="39" t="s">
        <v>710</v>
      </c>
      <c r="D409" s="40" t="s">
        <v>711</v>
      </c>
      <c r="E409" s="11">
        <f>Source!BZ283</f>
        <v>90</v>
      </c>
      <c r="F409" s="42"/>
      <c r="G409" s="41"/>
      <c r="H409" s="11"/>
      <c r="I409" s="42">
        <f>SUM(Q405:Q408)</f>
        <v>90.95</v>
      </c>
      <c r="J409" s="11">
        <f>Source!AT283</f>
        <v>90</v>
      </c>
      <c r="K409" s="42">
        <f>SUM(R405:R408)</f>
        <v>5001.5600000000004</v>
      </c>
    </row>
    <row r="410" spans="1:29" ht="14.25" x14ac:dyDescent="0.2">
      <c r="A410" s="39"/>
      <c r="B410" s="39"/>
      <c r="C410" s="39" t="s">
        <v>712</v>
      </c>
      <c r="D410" s="40" t="s">
        <v>711</v>
      </c>
      <c r="E410" s="11">
        <f>Source!CA283</f>
        <v>46</v>
      </c>
      <c r="F410" s="42"/>
      <c r="G410" s="41"/>
      <c r="H410" s="11"/>
      <c r="I410" s="42">
        <f>SUM(S405:S409)</f>
        <v>46.49</v>
      </c>
      <c r="J410" s="11">
        <f>Source!AU283</f>
        <v>46</v>
      </c>
      <c r="K410" s="42">
        <f>SUM(T405:T409)</f>
        <v>2556.35</v>
      </c>
    </row>
    <row r="411" spans="1:29" ht="14.25" x14ac:dyDescent="0.2">
      <c r="A411" s="44"/>
      <c r="B411" s="44"/>
      <c r="C411" s="44" t="s">
        <v>713</v>
      </c>
      <c r="D411" s="45" t="s">
        <v>714</v>
      </c>
      <c r="E411" s="46">
        <f>Source!AQ282</f>
        <v>0.52</v>
      </c>
      <c r="F411" s="47"/>
      <c r="G411" s="48" t="str">
        <f>Source!DI282</f>
        <v>*1,1</v>
      </c>
      <c r="H411" s="46">
        <f>Source!AV283</f>
        <v>1.0469999999999999</v>
      </c>
      <c r="I411" s="47">
        <f>Source!U282</f>
        <v>7.7854919999999996</v>
      </c>
      <c r="J411" s="46"/>
      <c r="K411" s="47"/>
    </row>
    <row r="412" spans="1:29" ht="15" x14ac:dyDescent="0.25">
      <c r="C412" s="31" t="s">
        <v>715</v>
      </c>
      <c r="H412" s="49">
        <f>I407+I409+I410+SUM(I408:I408)-SUMIF(AC408:AC408, 5, I408:I408)-SUMIF(AC408:AC408, 6, I408:I408)</f>
        <v>249.7</v>
      </c>
      <c r="I412" s="49"/>
      <c r="J412" s="49">
        <f>K407+K409+K410+SUM(K408:K408)-SUMIF(AC408:AC408, 5, K408:K408)-SUMIF(AC408:AC408, 6, K408:K408)</f>
        <v>13172.880000000001</v>
      </c>
      <c r="K412" s="49"/>
    </row>
    <row r="413" spans="1:29" ht="15" x14ac:dyDescent="0.25">
      <c r="C413" s="31" t="s">
        <v>716</v>
      </c>
      <c r="H413" s="51">
        <f>SUMIF(AC408:AC408, 5, I408:I408)+SUMIF(AC408:AC408, 6, I408:I408)</f>
        <v>0</v>
      </c>
      <c r="I413" s="51"/>
      <c r="J413" s="51">
        <f>SUMIF(AC408:AC408, 5, K408:K408)+SUMIF(AC408:AC408, 6, K408:K408)</f>
        <v>0</v>
      </c>
      <c r="K413" s="51"/>
    </row>
    <row r="414" spans="1:29" ht="15" x14ac:dyDescent="0.25">
      <c r="C414" s="31" t="s">
        <v>717</v>
      </c>
      <c r="H414" s="51">
        <f>I407+I409+I410+SUM(I408:I408)</f>
        <v>249.7</v>
      </c>
      <c r="I414" s="51"/>
      <c r="J414" s="51">
        <f>K407+K409+K410+SUM(K408:K408)</f>
        <v>13172.880000000001</v>
      </c>
      <c r="K414" s="51"/>
      <c r="O414" s="52">
        <f>I407+I409+I410+SUM(I408:I408)</f>
        <v>249.7</v>
      </c>
      <c r="P414" s="52">
        <f>K407+K409+K410+SUM(K408:K408)</f>
        <v>13172.880000000001</v>
      </c>
    </row>
    <row r="416" spans="1:29" ht="57" x14ac:dyDescent="0.2">
      <c r="A416" s="53">
        <v>44</v>
      </c>
      <c r="B416" s="53" t="str">
        <f>Source!F286</f>
        <v>КА №22 ООО "НЕД-Инжиниринг"</v>
      </c>
      <c r="C416" s="53" t="s">
        <v>758</v>
      </c>
      <c r="D416" s="54" t="str">
        <f>Source!H286</f>
        <v>шт.</v>
      </c>
      <c r="E416" s="55">
        <f>Source!I286</f>
        <v>2</v>
      </c>
      <c r="F416" s="56">
        <f>Source!AL286</f>
        <v>930.65</v>
      </c>
      <c r="G416" s="57" t="str">
        <f>Source!DD286</f>
        <v/>
      </c>
      <c r="H416" s="55">
        <f>Source!AW287</f>
        <v>1</v>
      </c>
      <c r="I416" s="56">
        <f>Source!P286</f>
        <v>1861.3</v>
      </c>
      <c r="J416" s="55">
        <f>IF(Source!BC287&lt;&gt; 0, Source!BC287, 1)</f>
        <v>7.66</v>
      </c>
      <c r="K416" s="56">
        <f>Source!P287</f>
        <v>14257.56</v>
      </c>
      <c r="Q416">
        <f>Source!X286</f>
        <v>0</v>
      </c>
      <c r="R416">
        <f>Source!X287</f>
        <v>0</v>
      </c>
      <c r="S416">
        <f>Source!Y286</f>
        <v>0</v>
      </c>
      <c r="T416">
        <f>Source!Y287</f>
        <v>0</v>
      </c>
      <c r="U416">
        <f>ROUND((175/100)*ROUND(Source!R286, 2), 2)</f>
        <v>0</v>
      </c>
      <c r="V416">
        <f>ROUND((0/100)*ROUND(Source!R287, 2), 2)</f>
        <v>0</v>
      </c>
      <c r="AC416">
        <v>5</v>
      </c>
    </row>
    <row r="417" spans="1:29" ht="15" x14ac:dyDescent="0.25">
      <c r="A417" s="58"/>
      <c r="B417" s="58"/>
      <c r="C417" s="59" t="s">
        <v>717</v>
      </c>
      <c r="D417" s="58"/>
      <c r="E417" s="58"/>
      <c r="F417" s="58"/>
      <c r="G417" s="58"/>
      <c r="H417" s="60">
        <f>I416+0</f>
        <v>1861.3</v>
      </c>
      <c r="I417" s="60"/>
      <c r="J417" s="60">
        <f>K416+0</f>
        <v>14257.56</v>
      </c>
      <c r="K417" s="60"/>
      <c r="O417" s="52">
        <f>I416+0</f>
        <v>1861.3</v>
      </c>
      <c r="P417" s="52">
        <f>K416+0</f>
        <v>14257.56</v>
      </c>
    </row>
    <row r="419" spans="1:29" ht="57" x14ac:dyDescent="0.2">
      <c r="A419" s="53">
        <v>45</v>
      </c>
      <c r="B419" s="53" t="str">
        <f>Source!F288</f>
        <v>КА №23 ООО "НЕД-Инжиниринг"</v>
      </c>
      <c r="C419" s="53" t="s">
        <v>759</v>
      </c>
      <c r="D419" s="54" t="str">
        <f>Source!H288</f>
        <v>шт.</v>
      </c>
      <c r="E419" s="55">
        <f>Source!I288</f>
        <v>6</v>
      </c>
      <c r="F419" s="56">
        <f>Source!AL288</f>
        <v>1022.4</v>
      </c>
      <c r="G419" s="57" t="str">
        <f>Source!DD288</f>
        <v/>
      </c>
      <c r="H419" s="55">
        <f>Source!AW289</f>
        <v>1</v>
      </c>
      <c r="I419" s="56">
        <f>Source!P288</f>
        <v>6134.4</v>
      </c>
      <c r="J419" s="55">
        <f>IF(Source!BC289&lt;&gt; 0, Source!BC289, 1)</f>
        <v>7.66</v>
      </c>
      <c r="K419" s="56">
        <f>Source!P289</f>
        <v>46989.5</v>
      </c>
      <c r="Q419">
        <f>Source!X288</f>
        <v>0</v>
      </c>
      <c r="R419">
        <f>Source!X289</f>
        <v>0</v>
      </c>
      <c r="S419">
        <f>Source!Y288</f>
        <v>0</v>
      </c>
      <c r="T419">
        <f>Source!Y289</f>
        <v>0</v>
      </c>
      <c r="U419">
        <f>ROUND((175/100)*ROUND(Source!R288, 2), 2)</f>
        <v>0</v>
      </c>
      <c r="V419">
        <f>ROUND((0/100)*ROUND(Source!R289, 2), 2)</f>
        <v>0</v>
      </c>
      <c r="AC419">
        <v>5</v>
      </c>
    </row>
    <row r="420" spans="1:29" ht="15" x14ac:dyDescent="0.25">
      <c r="A420" s="58"/>
      <c r="B420" s="58"/>
      <c r="C420" s="59" t="s">
        <v>717</v>
      </c>
      <c r="D420" s="58"/>
      <c r="E420" s="58"/>
      <c r="F420" s="58"/>
      <c r="G420" s="58"/>
      <c r="H420" s="60">
        <f>I419+0</f>
        <v>6134.4</v>
      </c>
      <c r="I420" s="60"/>
      <c r="J420" s="60">
        <f>K419+0</f>
        <v>46989.5</v>
      </c>
      <c r="K420" s="60"/>
      <c r="O420" s="52">
        <f>I419+0</f>
        <v>6134.4</v>
      </c>
      <c r="P420" s="52">
        <f>K419+0</f>
        <v>46989.5</v>
      </c>
    </row>
    <row r="422" spans="1:29" ht="57" x14ac:dyDescent="0.2">
      <c r="A422" s="53">
        <v>46</v>
      </c>
      <c r="B422" s="53" t="str">
        <f>Source!F290</f>
        <v>КА №24 ООО "НЕД-Инжиниринг"</v>
      </c>
      <c r="C422" s="53" t="s">
        <v>760</v>
      </c>
      <c r="D422" s="54" t="str">
        <f>Source!H290</f>
        <v>шт.</v>
      </c>
      <c r="E422" s="55">
        <f>Source!I290</f>
        <v>5</v>
      </c>
      <c r="F422" s="56">
        <f>Source!AL290</f>
        <v>1166.53</v>
      </c>
      <c r="G422" s="57" t="str">
        <f>Source!DD290</f>
        <v/>
      </c>
      <c r="H422" s="55">
        <f>Source!AW291</f>
        <v>1</v>
      </c>
      <c r="I422" s="56">
        <f>Source!P290</f>
        <v>5832.65</v>
      </c>
      <c r="J422" s="55">
        <f>IF(Source!BC291&lt;&gt; 0, Source!BC291, 1)</f>
        <v>7.66</v>
      </c>
      <c r="K422" s="56">
        <f>Source!P291</f>
        <v>44678.1</v>
      </c>
      <c r="Q422">
        <f>Source!X290</f>
        <v>0</v>
      </c>
      <c r="R422">
        <f>Source!X291</f>
        <v>0</v>
      </c>
      <c r="S422">
        <f>Source!Y290</f>
        <v>0</v>
      </c>
      <c r="T422">
        <f>Source!Y291</f>
        <v>0</v>
      </c>
      <c r="U422">
        <f>ROUND((175/100)*ROUND(Source!R290, 2), 2)</f>
        <v>0</v>
      </c>
      <c r="V422">
        <f>ROUND((0/100)*ROUND(Source!R291, 2), 2)</f>
        <v>0</v>
      </c>
      <c r="AC422">
        <v>5</v>
      </c>
    </row>
    <row r="423" spans="1:29" ht="15" x14ac:dyDescent="0.25">
      <c r="A423" s="58"/>
      <c r="B423" s="58"/>
      <c r="C423" s="59" t="s">
        <v>717</v>
      </c>
      <c r="D423" s="58"/>
      <c r="E423" s="58"/>
      <c r="F423" s="58"/>
      <c r="G423" s="58"/>
      <c r="H423" s="60">
        <f>I422+0</f>
        <v>5832.65</v>
      </c>
      <c r="I423" s="60"/>
      <c r="J423" s="60">
        <f>K422+0</f>
        <v>44678.1</v>
      </c>
      <c r="K423" s="60"/>
      <c r="O423" s="52">
        <f>I422+0</f>
        <v>5832.65</v>
      </c>
      <c r="P423" s="52">
        <f>K422+0</f>
        <v>44678.1</v>
      </c>
    </row>
    <row r="425" spans="1:29" ht="78" x14ac:dyDescent="0.2">
      <c r="A425" s="39">
        <v>47</v>
      </c>
      <c r="B425" s="39" t="s">
        <v>761</v>
      </c>
      <c r="C425" s="39" t="s">
        <v>307</v>
      </c>
      <c r="D425" s="40" t="str">
        <f>Source!H292</f>
        <v>1  ШТ.</v>
      </c>
      <c r="E425" s="11">
        <f>Source!I292</f>
        <v>122</v>
      </c>
      <c r="F425" s="42"/>
      <c r="G425" s="41"/>
      <c r="H425" s="11"/>
      <c r="I425" s="42"/>
      <c r="J425" s="11"/>
      <c r="K425" s="42"/>
      <c r="Q425">
        <f>Source!X292</f>
        <v>493.18</v>
      </c>
      <c r="R425">
        <f>Source!X293</f>
        <v>27120.080000000002</v>
      </c>
      <c r="S425">
        <f>Source!Y292</f>
        <v>252.07</v>
      </c>
      <c r="T425">
        <f>Source!Y293</f>
        <v>13861.37</v>
      </c>
      <c r="U425">
        <f>ROUND((175/100)*ROUND(Source!R292, 2), 2)</f>
        <v>0</v>
      </c>
      <c r="V425">
        <f>ROUND((0/100)*ROUND(Source!R293, 2), 2)</f>
        <v>0</v>
      </c>
      <c r="AC425">
        <v>0</v>
      </c>
    </row>
    <row r="426" spans="1:29" x14ac:dyDescent="0.2">
      <c r="C426" s="62" t="str">
        <f>"Объем: "&amp;Source!I292&amp;"=11+"&amp;"4+"&amp;"13+"&amp;"11+"&amp;"2+"&amp;"33+"&amp;"48"</f>
        <v>Объем: 122=11+4+13+11+2+33+48</v>
      </c>
    </row>
    <row r="427" spans="1:29" ht="14.25" x14ac:dyDescent="0.2">
      <c r="A427" s="39"/>
      <c r="B427" s="39"/>
      <c r="C427" s="39" t="s">
        <v>707</v>
      </c>
      <c r="D427" s="40"/>
      <c r="E427" s="11"/>
      <c r="F427" s="42">
        <f>Source!AO292</f>
        <v>3.9</v>
      </c>
      <c r="G427" s="41" t="str">
        <f>Source!DG292</f>
        <v>*1,1</v>
      </c>
      <c r="H427" s="11">
        <f>Source!AV293</f>
        <v>1.0469999999999999</v>
      </c>
      <c r="I427" s="42">
        <f>Source!S292</f>
        <v>547.98</v>
      </c>
      <c r="J427" s="11">
        <f>IF(Source!BA293&lt;&gt; 0, Source!BA293, 1)</f>
        <v>54.99</v>
      </c>
      <c r="K427" s="42">
        <f>Source!S293</f>
        <v>30133.42</v>
      </c>
    </row>
    <row r="428" spans="1:29" ht="14.25" x14ac:dyDescent="0.2">
      <c r="A428" s="39"/>
      <c r="B428" s="39"/>
      <c r="C428" s="39" t="s">
        <v>720</v>
      </c>
      <c r="D428" s="40"/>
      <c r="E428" s="11"/>
      <c r="F428" s="42">
        <f>Source!AL292</f>
        <v>0.81</v>
      </c>
      <c r="G428" s="41" t="str">
        <f>Source!DD292</f>
        <v/>
      </c>
      <c r="H428" s="11">
        <f>Source!AW293</f>
        <v>1</v>
      </c>
      <c r="I428" s="42">
        <f>Source!P292</f>
        <v>98.82</v>
      </c>
      <c r="J428" s="11">
        <f>IF(Source!BC293&lt;&gt; 0, Source!BC293, 1)</f>
        <v>8.8000000000000007</v>
      </c>
      <c r="K428" s="42">
        <f>Source!P293</f>
        <v>869.62</v>
      </c>
    </row>
    <row r="429" spans="1:29" ht="14.25" x14ac:dyDescent="0.2">
      <c r="A429" s="39"/>
      <c r="B429" s="39"/>
      <c r="C429" s="39" t="s">
        <v>710</v>
      </c>
      <c r="D429" s="40" t="s">
        <v>711</v>
      </c>
      <c r="E429" s="11">
        <f>Source!BZ293</f>
        <v>90</v>
      </c>
      <c r="F429" s="42"/>
      <c r="G429" s="41"/>
      <c r="H429" s="11"/>
      <c r="I429" s="42">
        <f>SUM(Q425:Q428)</f>
        <v>493.18</v>
      </c>
      <c r="J429" s="11">
        <f>Source!AT293</f>
        <v>90</v>
      </c>
      <c r="K429" s="42">
        <f>SUM(R425:R428)</f>
        <v>27120.080000000002</v>
      </c>
    </row>
    <row r="430" spans="1:29" ht="14.25" x14ac:dyDescent="0.2">
      <c r="A430" s="39"/>
      <c r="B430" s="39"/>
      <c r="C430" s="39" t="s">
        <v>712</v>
      </c>
      <c r="D430" s="40" t="s">
        <v>711</v>
      </c>
      <c r="E430" s="11">
        <f>Source!CA293</f>
        <v>46</v>
      </c>
      <c r="F430" s="42"/>
      <c r="G430" s="41"/>
      <c r="H430" s="11"/>
      <c r="I430" s="42">
        <f>SUM(S425:S429)</f>
        <v>252.07</v>
      </c>
      <c r="J430" s="11">
        <f>Source!AU293</f>
        <v>46</v>
      </c>
      <c r="K430" s="42">
        <f>SUM(T425:T429)</f>
        <v>13861.37</v>
      </c>
    </row>
    <row r="431" spans="1:29" ht="14.25" x14ac:dyDescent="0.2">
      <c r="A431" s="44"/>
      <c r="B431" s="44"/>
      <c r="C431" s="44" t="s">
        <v>713</v>
      </c>
      <c r="D431" s="45" t="s">
        <v>714</v>
      </c>
      <c r="E431" s="46">
        <f>Source!AQ292</f>
        <v>0.3</v>
      </c>
      <c r="F431" s="47"/>
      <c r="G431" s="48" t="str">
        <f>Source!DI292</f>
        <v>*1,1</v>
      </c>
      <c r="H431" s="46">
        <f>Source!AV293</f>
        <v>1.0469999999999999</v>
      </c>
      <c r="I431" s="47">
        <f>Source!U292</f>
        <v>42.15222</v>
      </c>
      <c r="J431" s="46"/>
      <c r="K431" s="47"/>
    </row>
    <row r="432" spans="1:29" ht="15" x14ac:dyDescent="0.25">
      <c r="C432" s="31" t="s">
        <v>715</v>
      </c>
      <c r="H432" s="49">
        <f>I427+I428+I429+I430+0-0-0</f>
        <v>1392.05</v>
      </c>
      <c r="I432" s="49"/>
      <c r="J432" s="49">
        <f>K427+K428+K429+K430+0-0-0</f>
        <v>71984.489999999991</v>
      </c>
      <c r="K432" s="49"/>
    </row>
    <row r="433" spans="1:29" ht="15" x14ac:dyDescent="0.25">
      <c r="C433" s="31" t="s">
        <v>716</v>
      </c>
      <c r="H433" s="51">
        <f>0+0</f>
        <v>0</v>
      </c>
      <c r="I433" s="51"/>
      <c r="J433" s="51">
        <f>0+0</f>
        <v>0</v>
      </c>
      <c r="K433" s="51"/>
    </row>
    <row r="434" spans="1:29" ht="15" x14ac:dyDescent="0.25">
      <c r="C434" s="31" t="s">
        <v>717</v>
      </c>
      <c r="H434" s="51">
        <f>I427+I428+I429+I430+0</f>
        <v>1392.05</v>
      </c>
      <c r="I434" s="51"/>
      <c r="J434" s="51">
        <f>K427+K428+K429+K430+0</f>
        <v>71984.489999999991</v>
      </c>
      <c r="K434" s="51"/>
      <c r="O434" s="52">
        <f>I427+I428+I429+I430+0</f>
        <v>1392.05</v>
      </c>
      <c r="P434" s="52">
        <f>K427+K428+K429+K430+0</f>
        <v>71984.489999999991</v>
      </c>
    </row>
    <row r="436" spans="1:29" ht="57" x14ac:dyDescent="0.2">
      <c r="A436" s="53">
        <v>48</v>
      </c>
      <c r="B436" s="53" t="str">
        <f>Source!F294</f>
        <v>КА №25 ООО "НЕД-Инжиниринг"</v>
      </c>
      <c r="C436" s="53" t="s">
        <v>762</v>
      </c>
      <c r="D436" s="54" t="str">
        <f>Source!H294</f>
        <v>шт.</v>
      </c>
      <c r="E436" s="55">
        <f>Source!I294</f>
        <v>11</v>
      </c>
      <c r="F436" s="56">
        <f>Source!AL294</f>
        <v>369.45</v>
      </c>
      <c r="G436" s="57" t="str">
        <f>Source!DD294</f>
        <v/>
      </c>
      <c r="H436" s="55">
        <f>Source!AW295</f>
        <v>1</v>
      </c>
      <c r="I436" s="56">
        <f>Source!P294</f>
        <v>4063.95</v>
      </c>
      <c r="J436" s="55">
        <f>IF(Source!BC295&lt;&gt; 0, Source!BC295, 1)</f>
        <v>7.66</v>
      </c>
      <c r="K436" s="56">
        <f>Source!P295</f>
        <v>31129.86</v>
      </c>
      <c r="Q436">
        <f>Source!X294</f>
        <v>0</v>
      </c>
      <c r="R436">
        <f>Source!X295</f>
        <v>0</v>
      </c>
      <c r="S436">
        <f>Source!Y294</f>
        <v>0</v>
      </c>
      <c r="T436">
        <f>Source!Y295</f>
        <v>0</v>
      </c>
      <c r="U436">
        <f>ROUND((175/100)*ROUND(Source!R294, 2), 2)</f>
        <v>0</v>
      </c>
      <c r="V436">
        <f>ROUND((0/100)*ROUND(Source!R295, 2), 2)</f>
        <v>0</v>
      </c>
      <c r="AC436">
        <v>5</v>
      </c>
    </row>
    <row r="437" spans="1:29" ht="15" x14ac:dyDescent="0.25">
      <c r="A437" s="58"/>
      <c r="B437" s="58"/>
      <c r="C437" s="59" t="s">
        <v>717</v>
      </c>
      <c r="D437" s="58"/>
      <c r="E437" s="58"/>
      <c r="F437" s="58"/>
      <c r="G437" s="58"/>
      <c r="H437" s="60">
        <f>I436+0</f>
        <v>4063.95</v>
      </c>
      <c r="I437" s="60"/>
      <c r="J437" s="60">
        <f>K436+0</f>
        <v>31129.86</v>
      </c>
      <c r="K437" s="60"/>
      <c r="O437" s="52">
        <f>I436+0</f>
        <v>4063.95</v>
      </c>
      <c r="P437" s="52">
        <f>K436+0</f>
        <v>31129.86</v>
      </c>
    </row>
    <row r="439" spans="1:29" ht="68.25" x14ac:dyDescent="0.2">
      <c r="A439" s="53">
        <v>49</v>
      </c>
      <c r="B439" s="53" t="str">
        <f>Source!F296</f>
        <v>КА №26 ООО "НЕД-Инжиниринг"</v>
      </c>
      <c r="C439" s="53" t="s">
        <v>763</v>
      </c>
      <c r="D439" s="54" t="str">
        <f>Source!H296</f>
        <v>шт.</v>
      </c>
      <c r="E439" s="55">
        <f>Source!I296</f>
        <v>4</v>
      </c>
      <c r="F439" s="56">
        <f>Source!AL296</f>
        <v>464.93</v>
      </c>
      <c r="G439" s="57" t="str">
        <f>Source!DD296</f>
        <v/>
      </c>
      <c r="H439" s="55">
        <f>Source!AW297</f>
        <v>1</v>
      </c>
      <c r="I439" s="56">
        <f>Source!P296</f>
        <v>1859.72</v>
      </c>
      <c r="J439" s="55">
        <f>IF(Source!BC297&lt;&gt; 0, Source!BC297, 1)</f>
        <v>7.66</v>
      </c>
      <c r="K439" s="56">
        <f>Source!P297</f>
        <v>14245.46</v>
      </c>
      <c r="Q439">
        <f>Source!X296</f>
        <v>0</v>
      </c>
      <c r="R439">
        <f>Source!X297</f>
        <v>0</v>
      </c>
      <c r="S439">
        <f>Source!Y296</f>
        <v>0</v>
      </c>
      <c r="T439">
        <f>Source!Y297</f>
        <v>0</v>
      </c>
      <c r="U439">
        <f>ROUND((175/100)*ROUND(Source!R296, 2), 2)</f>
        <v>0</v>
      </c>
      <c r="V439">
        <f>ROUND((0/100)*ROUND(Source!R297, 2), 2)</f>
        <v>0</v>
      </c>
      <c r="AC439">
        <v>5</v>
      </c>
    </row>
    <row r="440" spans="1:29" ht="15" x14ac:dyDescent="0.25">
      <c r="A440" s="58"/>
      <c r="B440" s="58"/>
      <c r="C440" s="59" t="s">
        <v>717</v>
      </c>
      <c r="D440" s="58"/>
      <c r="E440" s="58"/>
      <c r="F440" s="58"/>
      <c r="G440" s="58"/>
      <c r="H440" s="60">
        <f>I439+0</f>
        <v>1859.72</v>
      </c>
      <c r="I440" s="60"/>
      <c r="J440" s="60">
        <f>K439+0</f>
        <v>14245.46</v>
      </c>
      <c r="K440" s="60"/>
      <c r="O440" s="52">
        <f>I439+0</f>
        <v>1859.72</v>
      </c>
      <c r="P440" s="52">
        <f>K439+0</f>
        <v>14245.46</v>
      </c>
    </row>
    <row r="442" spans="1:29" ht="68.25" x14ac:dyDescent="0.2">
      <c r="A442" s="53">
        <v>50</v>
      </c>
      <c r="B442" s="53" t="str">
        <f>Source!F298</f>
        <v>КА №27 ООО "НЕД-Инжиниринг"</v>
      </c>
      <c r="C442" s="53" t="s">
        <v>764</v>
      </c>
      <c r="D442" s="54" t="str">
        <f>Source!H298</f>
        <v>шт.</v>
      </c>
      <c r="E442" s="55">
        <f>Source!I298</f>
        <v>13</v>
      </c>
      <c r="F442" s="56">
        <f>Source!AL298</f>
        <v>210.69</v>
      </c>
      <c r="G442" s="57" t="str">
        <f>Source!DD298</f>
        <v/>
      </c>
      <c r="H442" s="55">
        <f>Source!AW299</f>
        <v>1</v>
      </c>
      <c r="I442" s="56">
        <f>Source!P298</f>
        <v>2738.97</v>
      </c>
      <c r="J442" s="55">
        <f>IF(Source!BC299&lt;&gt; 0, Source!BC299, 1)</f>
        <v>7.66</v>
      </c>
      <c r="K442" s="56">
        <f>Source!P299</f>
        <v>20980.51</v>
      </c>
      <c r="Q442">
        <f>Source!X298</f>
        <v>0</v>
      </c>
      <c r="R442">
        <f>Source!X299</f>
        <v>0</v>
      </c>
      <c r="S442">
        <f>Source!Y298</f>
        <v>0</v>
      </c>
      <c r="T442">
        <f>Source!Y299</f>
        <v>0</v>
      </c>
      <c r="U442">
        <f>ROUND((175/100)*ROUND(Source!R298, 2), 2)</f>
        <v>0</v>
      </c>
      <c r="V442">
        <f>ROUND((0/100)*ROUND(Source!R299, 2), 2)</f>
        <v>0</v>
      </c>
      <c r="AC442">
        <v>5</v>
      </c>
    </row>
    <row r="443" spans="1:29" ht="15" x14ac:dyDescent="0.25">
      <c r="A443" s="58"/>
      <c r="B443" s="58"/>
      <c r="C443" s="59" t="s">
        <v>717</v>
      </c>
      <c r="D443" s="58"/>
      <c r="E443" s="58"/>
      <c r="F443" s="58"/>
      <c r="G443" s="58"/>
      <c r="H443" s="60">
        <f>I442+0</f>
        <v>2738.97</v>
      </c>
      <c r="I443" s="60"/>
      <c r="J443" s="60">
        <f>K442+0</f>
        <v>20980.51</v>
      </c>
      <c r="K443" s="60"/>
      <c r="O443" s="52">
        <f>I442+0</f>
        <v>2738.97</v>
      </c>
      <c r="P443" s="52">
        <f>K442+0</f>
        <v>20980.51</v>
      </c>
    </row>
    <row r="445" spans="1:29" ht="68.25" x14ac:dyDescent="0.2">
      <c r="A445" s="53">
        <v>51</v>
      </c>
      <c r="B445" s="53" t="str">
        <f>Source!F300</f>
        <v>КА №28 ООО "НЕД-Инжиниринг"</v>
      </c>
      <c r="C445" s="53" t="s">
        <v>765</v>
      </c>
      <c r="D445" s="54" t="str">
        <f>Source!H300</f>
        <v>шт.</v>
      </c>
      <c r="E445" s="55">
        <f>Source!I300</f>
        <v>11</v>
      </c>
      <c r="F445" s="56">
        <f>Source!AL300</f>
        <v>405.06000000000006</v>
      </c>
      <c r="G445" s="57" t="str">
        <f>Source!DD300</f>
        <v/>
      </c>
      <c r="H445" s="55">
        <f>Source!AW301</f>
        <v>1</v>
      </c>
      <c r="I445" s="56">
        <f>Source!P300</f>
        <v>4455.66</v>
      </c>
      <c r="J445" s="55">
        <f>IF(Source!BC301&lt;&gt; 0, Source!BC301, 1)</f>
        <v>7.66</v>
      </c>
      <c r="K445" s="56">
        <f>Source!P301</f>
        <v>34130.36</v>
      </c>
      <c r="Q445">
        <f>Source!X300</f>
        <v>0</v>
      </c>
      <c r="R445">
        <f>Source!X301</f>
        <v>0</v>
      </c>
      <c r="S445">
        <f>Source!Y300</f>
        <v>0</v>
      </c>
      <c r="T445">
        <f>Source!Y301</f>
        <v>0</v>
      </c>
      <c r="U445">
        <f>ROUND((175/100)*ROUND(Source!R300, 2), 2)</f>
        <v>0</v>
      </c>
      <c r="V445">
        <f>ROUND((0/100)*ROUND(Source!R301, 2), 2)</f>
        <v>0</v>
      </c>
      <c r="AC445">
        <v>5</v>
      </c>
    </row>
    <row r="446" spans="1:29" ht="15" x14ac:dyDescent="0.25">
      <c r="A446" s="58"/>
      <c r="B446" s="58"/>
      <c r="C446" s="59" t="s">
        <v>717</v>
      </c>
      <c r="D446" s="58"/>
      <c r="E446" s="58"/>
      <c r="F446" s="58"/>
      <c r="G446" s="58"/>
      <c r="H446" s="60">
        <f>I445+0</f>
        <v>4455.66</v>
      </c>
      <c r="I446" s="60"/>
      <c r="J446" s="60">
        <f>K445+0</f>
        <v>34130.36</v>
      </c>
      <c r="K446" s="60"/>
      <c r="O446" s="52">
        <f>I445+0</f>
        <v>4455.66</v>
      </c>
      <c r="P446" s="52">
        <f>K445+0</f>
        <v>34130.36</v>
      </c>
    </row>
    <row r="448" spans="1:29" ht="68.25" x14ac:dyDescent="0.2">
      <c r="A448" s="53">
        <v>52</v>
      </c>
      <c r="B448" s="53" t="str">
        <f>Source!F302</f>
        <v>КА №29 ООО "НЕД-Инжиниринг"</v>
      </c>
      <c r="C448" s="53" t="s">
        <v>766</v>
      </c>
      <c r="D448" s="54" t="str">
        <f>Source!H302</f>
        <v>шт.</v>
      </c>
      <c r="E448" s="55">
        <f>Source!I302</f>
        <v>2</v>
      </c>
      <c r="F448" s="56">
        <f>Source!AL302</f>
        <v>395.76</v>
      </c>
      <c r="G448" s="57" t="str">
        <f>Source!DD302</f>
        <v/>
      </c>
      <c r="H448" s="55">
        <f>Source!AW303</f>
        <v>1</v>
      </c>
      <c r="I448" s="56">
        <f>Source!P302</f>
        <v>791.52</v>
      </c>
      <c r="J448" s="55">
        <f>IF(Source!BC303&lt;&gt; 0, Source!BC303, 1)</f>
        <v>7.66</v>
      </c>
      <c r="K448" s="56">
        <f>Source!P303</f>
        <v>6063.04</v>
      </c>
      <c r="Q448">
        <f>Source!X302</f>
        <v>0</v>
      </c>
      <c r="R448">
        <f>Source!X303</f>
        <v>0</v>
      </c>
      <c r="S448">
        <f>Source!Y302</f>
        <v>0</v>
      </c>
      <c r="T448">
        <f>Source!Y303</f>
        <v>0</v>
      </c>
      <c r="U448">
        <f>ROUND((175/100)*ROUND(Source!R302, 2), 2)</f>
        <v>0</v>
      </c>
      <c r="V448">
        <f>ROUND((0/100)*ROUND(Source!R303, 2), 2)</f>
        <v>0</v>
      </c>
      <c r="AC448">
        <v>5</v>
      </c>
    </row>
    <row r="449" spans="1:29" ht="15" x14ac:dyDescent="0.25">
      <c r="A449" s="58"/>
      <c r="B449" s="58"/>
      <c r="C449" s="59" t="s">
        <v>717</v>
      </c>
      <c r="D449" s="58"/>
      <c r="E449" s="58"/>
      <c r="F449" s="58"/>
      <c r="G449" s="58"/>
      <c r="H449" s="60">
        <f>I448+0</f>
        <v>791.52</v>
      </c>
      <c r="I449" s="60"/>
      <c r="J449" s="60">
        <f>K448+0</f>
        <v>6063.04</v>
      </c>
      <c r="K449" s="60"/>
      <c r="O449" s="52">
        <f>I448+0</f>
        <v>791.52</v>
      </c>
      <c r="P449" s="52">
        <f>K448+0</f>
        <v>6063.04</v>
      </c>
    </row>
    <row r="451" spans="1:29" ht="68.25" x14ac:dyDescent="0.2">
      <c r="A451" s="53">
        <v>53</v>
      </c>
      <c r="B451" s="53" t="str">
        <f>Source!F304</f>
        <v>КА №30 ООО "НЕД-Инжиниринг"</v>
      </c>
      <c r="C451" s="53" t="s">
        <v>767</v>
      </c>
      <c r="D451" s="54" t="str">
        <f>Source!H304</f>
        <v>шт.</v>
      </c>
      <c r="E451" s="55">
        <f>Source!I304</f>
        <v>33</v>
      </c>
      <c r="F451" s="56">
        <f>Source!AL304</f>
        <v>192.78</v>
      </c>
      <c r="G451" s="57" t="str">
        <f>Source!DD304</f>
        <v/>
      </c>
      <c r="H451" s="55">
        <f>Source!AW305</f>
        <v>1</v>
      </c>
      <c r="I451" s="56">
        <f>Source!P304</f>
        <v>6361.74</v>
      </c>
      <c r="J451" s="55">
        <f>IF(Source!BC305&lt;&gt; 0, Source!BC305, 1)</f>
        <v>7.66</v>
      </c>
      <c r="K451" s="56">
        <f>Source!P305</f>
        <v>48730.93</v>
      </c>
      <c r="Q451">
        <f>Source!X304</f>
        <v>0</v>
      </c>
      <c r="R451">
        <f>Source!X305</f>
        <v>0</v>
      </c>
      <c r="S451">
        <f>Source!Y304</f>
        <v>0</v>
      </c>
      <c r="T451">
        <f>Source!Y305</f>
        <v>0</v>
      </c>
      <c r="U451">
        <f>ROUND((175/100)*ROUND(Source!R304, 2), 2)</f>
        <v>0</v>
      </c>
      <c r="V451">
        <f>ROUND((0/100)*ROUND(Source!R305, 2), 2)</f>
        <v>0</v>
      </c>
      <c r="AC451">
        <v>5</v>
      </c>
    </row>
    <row r="452" spans="1:29" ht="15" x14ac:dyDescent="0.25">
      <c r="A452" s="58"/>
      <c r="B452" s="58"/>
      <c r="C452" s="59" t="s">
        <v>717</v>
      </c>
      <c r="D452" s="58"/>
      <c r="E452" s="58"/>
      <c r="F452" s="58"/>
      <c r="G452" s="58"/>
      <c r="H452" s="60">
        <f>I451+0</f>
        <v>6361.74</v>
      </c>
      <c r="I452" s="60"/>
      <c r="J452" s="60">
        <f>K451+0</f>
        <v>48730.93</v>
      </c>
      <c r="K452" s="60"/>
      <c r="O452" s="52">
        <f>I451+0</f>
        <v>6361.74</v>
      </c>
      <c r="P452" s="52">
        <f>K451+0</f>
        <v>48730.93</v>
      </c>
    </row>
    <row r="454" spans="1:29" ht="68.25" x14ac:dyDescent="0.2">
      <c r="A454" s="53">
        <v>54</v>
      </c>
      <c r="B454" s="53" t="str">
        <f>Source!F306</f>
        <v>КА №31 ООО "НЕД-Инжиниринг"</v>
      </c>
      <c r="C454" s="53" t="s">
        <v>768</v>
      </c>
      <c r="D454" s="54" t="str">
        <f>Source!H306</f>
        <v>шт.</v>
      </c>
      <c r="E454" s="55">
        <f>Source!I306</f>
        <v>48</v>
      </c>
      <c r="F454" s="56">
        <f>Source!AL306</f>
        <v>192.78</v>
      </c>
      <c r="G454" s="57" t="str">
        <f>Source!DD306</f>
        <v/>
      </c>
      <c r="H454" s="55">
        <f>Source!AW307</f>
        <v>1</v>
      </c>
      <c r="I454" s="56">
        <f>Source!P306</f>
        <v>9253.44</v>
      </c>
      <c r="J454" s="55">
        <f>IF(Source!BC307&lt;&gt; 0, Source!BC307, 1)</f>
        <v>7.66</v>
      </c>
      <c r="K454" s="56">
        <f>Source!P307</f>
        <v>70881.350000000006</v>
      </c>
      <c r="Q454">
        <f>Source!X306</f>
        <v>0</v>
      </c>
      <c r="R454">
        <f>Source!X307</f>
        <v>0</v>
      </c>
      <c r="S454">
        <f>Source!Y306</f>
        <v>0</v>
      </c>
      <c r="T454">
        <f>Source!Y307</f>
        <v>0</v>
      </c>
      <c r="U454">
        <f>ROUND((175/100)*ROUND(Source!R306, 2), 2)</f>
        <v>0</v>
      </c>
      <c r="V454">
        <f>ROUND((0/100)*ROUND(Source!R307, 2), 2)</f>
        <v>0</v>
      </c>
      <c r="AC454">
        <v>5</v>
      </c>
    </row>
    <row r="455" spans="1:29" ht="15" x14ac:dyDescent="0.25">
      <c r="A455" s="58"/>
      <c r="B455" s="58"/>
      <c r="C455" s="59" t="s">
        <v>717</v>
      </c>
      <c r="D455" s="58"/>
      <c r="E455" s="58"/>
      <c r="F455" s="58"/>
      <c r="G455" s="58"/>
      <c r="H455" s="60">
        <f>I454+0</f>
        <v>9253.44</v>
      </c>
      <c r="I455" s="60"/>
      <c r="J455" s="60">
        <f>K454+0</f>
        <v>70881.350000000006</v>
      </c>
      <c r="K455" s="60"/>
      <c r="O455" s="52">
        <f>I454+0</f>
        <v>9253.44</v>
      </c>
      <c r="P455" s="52">
        <f>K454+0</f>
        <v>70881.350000000006</v>
      </c>
    </row>
    <row r="457" spans="1:29" ht="78" x14ac:dyDescent="0.2">
      <c r="A457" s="39">
        <v>55</v>
      </c>
      <c r="B457" s="39" t="s">
        <v>769</v>
      </c>
      <c r="C457" s="39" t="s">
        <v>338</v>
      </c>
      <c r="D457" s="40" t="str">
        <f>Source!H308</f>
        <v>1  ШТ.</v>
      </c>
      <c r="E457" s="11">
        <f>Source!I308</f>
        <v>69</v>
      </c>
      <c r="F457" s="42"/>
      <c r="G457" s="41"/>
      <c r="H457" s="11"/>
      <c r="I457" s="42"/>
      <c r="J457" s="11"/>
      <c r="K457" s="42"/>
      <c r="Q457">
        <f>Source!X308</f>
        <v>641.54999999999995</v>
      </c>
      <c r="R457">
        <f>Source!X309</f>
        <v>35278.67</v>
      </c>
      <c r="S457">
        <f>Source!Y308</f>
        <v>327.9</v>
      </c>
      <c r="T457">
        <f>Source!Y309</f>
        <v>18031.32</v>
      </c>
      <c r="U457">
        <f>ROUND((175/100)*ROUND(Source!R308, 2), 2)</f>
        <v>439.46</v>
      </c>
      <c r="V457">
        <f>ROUND((0/100)*ROUND(Source!R309, 2), 2)</f>
        <v>0</v>
      </c>
      <c r="AC457">
        <v>0</v>
      </c>
    </row>
    <row r="458" spans="1:29" x14ac:dyDescent="0.2">
      <c r="C458" s="62" t="str">
        <f>"Объем: "&amp;Source!I308&amp;"=9+"&amp;"43+"&amp;"9+"&amp;"2+"&amp;"6"</f>
        <v>Объем: 69=9+43+9+2+6</v>
      </c>
    </row>
    <row r="459" spans="1:29" ht="14.25" x14ac:dyDescent="0.2">
      <c r="A459" s="39"/>
      <c r="B459" s="39"/>
      <c r="C459" s="39" t="s">
        <v>707</v>
      </c>
      <c r="D459" s="40"/>
      <c r="E459" s="11"/>
      <c r="F459" s="42">
        <f>Source!AO308</f>
        <v>5.81</v>
      </c>
      <c r="G459" s="41" t="str">
        <f>Source!DG308</f>
        <v>*1,1</v>
      </c>
      <c r="H459" s="11">
        <f>Source!AV309</f>
        <v>1.0469999999999999</v>
      </c>
      <c r="I459" s="42">
        <f>Source!S308</f>
        <v>461.71</v>
      </c>
      <c r="J459" s="11">
        <f>IF(Source!BA309&lt;&gt; 0, Source!BA309, 1)</f>
        <v>54.99</v>
      </c>
      <c r="K459" s="42">
        <f>Source!S309</f>
        <v>25389.43</v>
      </c>
    </row>
    <row r="460" spans="1:29" ht="14.25" x14ac:dyDescent="0.2">
      <c r="A460" s="39"/>
      <c r="B460" s="39"/>
      <c r="C460" s="39" t="s">
        <v>708</v>
      </c>
      <c r="D460" s="40"/>
      <c r="E460" s="11"/>
      <c r="F460" s="42">
        <f>Source!AM308</f>
        <v>28.19</v>
      </c>
      <c r="G460" s="41" t="str">
        <f>Source!DE308</f>
        <v>*1,1</v>
      </c>
      <c r="H460" s="11">
        <f>Source!AV309</f>
        <v>1.0469999999999999</v>
      </c>
      <c r="I460" s="42">
        <f>Source!Q308</f>
        <v>2240.1799999999998</v>
      </c>
      <c r="J460" s="11">
        <f>IF(Source!BB309&lt;&gt; 0, Source!BB309, 1)</f>
        <v>14.78</v>
      </c>
      <c r="K460" s="42">
        <f>Source!Q309</f>
        <v>33109.86</v>
      </c>
    </row>
    <row r="461" spans="1:29" ht="14.25" x14ac:dyDescent="0.2">
      <c r="A461" s="39"/>
      <c r="B461" s="39"/>
      <c r="C461" s="39" t="s">
        <v>709</v>
      </c>
      <c r="D461" s="40"/>
      <c r="E461" s="11"/>
      <c r="F461" s="42">
        <f>Source!AN308</f>
        <v>3.16</v>
      </c>
      <c r="G461" s="41" t="str">
        <f>Source!DF308</f>
        <v>*1,1</v>
      </c>
      <c r="H461" s="11">
        <f>Source!AV309</f>
        <v>1.0469999999999999</v>
      </c>
      <c r="I461" s="43">
        <f>Source!R308</f>
        <v>251.12</v>
      </c>
      <c r="J461" s="11">
        <f>IF(Source!BS309&lt;&gt; 0, Source!BS309, 1)</f>
        <v>54.99</v>
      </c>
      <c r="K461" s="43">
        <f>Source!R309</f>
        <v>13809.09</v>
      </c>
    </row>
    <row r="462" spans="1:29" ht="57" x14ac:dyDescent="0.2">
      <c r="A462" s="39" t="s">
        <v>340</v>
      </c>
      <c r="B462" s="39" t="str">
        <f>Source!F310</f>
        <v>1.1-1-8146</v>
      </c>
      <c r="C462" s="39" t="s">
        <v>248</v>
      </c>
      <c r="D462" s="40" t="str">
        <f>Source!H310</f>
        <v>кг</v>
      </c>
      <c r="E462" s="11">
        <f>Source!I310</f>
        <v>2.2079999999999999E-2</v>
      </c>
      <c r="F462" s="42">
        <f>Source!AK310</f>
        <v>31.08</v>
      </c>
      <c r="G462" s="61" t="s">
        <v>3</v>
      </c>
      <c r="H462" s="11">
        <f>Source!AW311</f>
        <v>1</v>
      </c>
      <c r="I462" s="42">
        <f>Source!O310</f>
        <v>0.69</v>
      </c>
      <c r="J462" s="11">
        <f>IF(Source!BC311&lt;&gt; 0, Source!BC311, 1)</f>
        <v>5.12</v>
      </c>
      <c r="K462" s="42">
        <f>Source!O311</f>
        <v>3.53</v>
      </c>
      <c r="Q462">
        <f>Source!X310</f>
        <v>0</v>
      </c>
      <c r="R462">
        <f>Source!X311</f>
        <v>0</v>
      </c>
      <c r="S462">
        <f>Source!Y310</f>
        <v>0</v>
      </c>
      <c r="T462">
        <f>Source!Y311</f>
        <v>0</v>
      </c>
      <c r="U462">
        <f>ROUND((175/100)*ROUND(Source!R310, 2), 2)</f>
        <v>0</v>
      </c>
      <c r="V462">
        <f>ROUND((0/100)*ROUND(Source!R311, 2), 2)</f>
        <v>0</v>
      </c>
      <c r="AC462">
        <v>3</v>
      </c>
    </row>
    <row r="463" spans="1:29" ht="14.25" x14ac:dyDescent="0.2">
      <c r="A463" s="39"/>
      <c r="B463" s="39"/>
      <c r="C463" s="39" t="s">
        <v>710</v>
      </c>
      <c r="D463" s="40" t="s">
        <v>711</v>
      </c>
      <c r="E463" s="11">
        <f>Source!BZ309</f>
        <v>90</v>
      </c>
      <c r="F463" s="42"/>
      <c r="G463" s="41"/>
      <c r="H463" s="11"/>
      <c r="I463" s="42">
        <f>SUM(Q457:Q462)</f>
        <v>641.54999999999995</v>
      </c>
      <c r="J463" s="11">
        <f>Source!AT309</f>
        <v>90</v>
      </c>
      <c r="K463" s="42">
        <f>SUM(R457:R462)</f>
        <v>35278.67</v>
      </c>
    </row>
    <row r="464" spans="1:29" ht="14.25" x14ac:dyDescent="0.2">
      <c r="A464" s="39"/>
      <c r="B464" s="39"/>
      <c r="C464" s="39" t="s">
        <v>712</v>
      </c>
      <c r="D464" s="40" t="s">
        <v>711</v>
      </c>
      <c r="E464" s="11">
        <f>Source!CA309</f>
        <v>46</v>
      </c>
      <c r="F464" s="42"/>
      <c r="G464" s="41"/>
      <c r="H464" s="11"/>
      <c r="I464" s="42">
        <f>SUM(S457:S463)</f>
        <v>327.9</v>
      </c>
      <c r="J464" s="11">
        <f>Source!AU309</f>
        <v>46</v>
      </c>
      <c r="K464" s="42">
        <f>SUM(T457:T463)</f>
        <v>18031.32</v>
      </c>
    </row>
    <row r="465" spans="1:29" ht="14.25" x14ac:dyDescent="0.2">
      <c r="A465" s="44"/>
      <c r="B465" s="44"/>
      <c r="C465" s="44" t="s">
        <v>713</v>
      </c>
      <c r="D465" s="45" t="s">
        <v>714</v>
      </c>
      <c r="E465" s="46">
        <f>Source!AQ308</f>
        <v>0.52</v>
      </c>
      <c r="F465" s="47"/>
      <c r="G465" s="48" t="str">
        <f>Source!DI308</f>
        <v>*1,1</v>
      </c>
      <c r="H465" s="46">
        <f>Source!AV309</f>
        <v>1.0469999999999999</v>
      </c>
      <c r="I465" s="47">
        <f>Source!U308</f>
        <v>41.322995999999996</v>
      </c>
      <c r="J465" s="46"/>
      <c r="K465" s="47"/>
    </row>
    <row r="466" spans="1:29" ht="15" x14ac:dyDescent="0.25">
      <c r="C466" s="31" t="s">
        <v>715</v>
      </c>
      <c r="H466" s="49">
        <f>I459+I460+I463+I464+SUM(I462:I462)-SUMIF(AC462:AC462, 5, I462:I462)-SUMIF(AC462:AC462, 6, I462:I462)</f>
        <v>3672.0299999999997</v>
      </c>
      <c r="I466" s="49"/>
      <c r="J466" s="49">
        <f>K459+K460+K463+K464+SUM(K462:K462)-SUMIF(AC462:AC462, 5, K462:K462)-SUMIF(AC462:AC462, 6, K462:K462)</f>
        <v>111812.81</v>
      </c>
      <c r="K466" s="49"/>
    </row>
    <row r="467" spans="1:29" ht="15" x14ac:dyDescent="0.25">
      <c r="C467" s="31" t="s">
        <v>716</v>
      </c>
      <c r="H467" s="51">
        <f>SUMIF(AC462:AC462, 5, I462:I462)+SUMIF(AC462:AC462, 6, I462:I462)</f>
        <v>0</v>
      </c>
      <c r="I467" s="51"/>
      <c r="J467" s="51">
        <f>SUMIF(AC462:AC462, 5, K462:K462)+SUMIF(AC462:AC462, 6, K462:K462)</f>
        <v>0</v>
      </c>
      <c r="K467" s="51"/>
    </row>
    <row r="468" spans="1:29" ht="15" x14ac:dyDescent="0.25">
      <c r="C468" s="31" t="s">
        <v>717</v>
      </c>
      <c r="H468" s="51">
        <f>I459+I460+I463+I464+SUM(I462:I462)</f>
        <v>3672.0299999999997</v>
      </c>
      <c r="I468" s="51"/>
      <c r="J468" s="51">
        <f>K459+K460+K463+K464+SUM(K462:K462)</f>
        <v>111812.81</v>
      </c>
      <c r="K468" s="51"/>
      <c r="O468" s="52">
        <f>I459+I460+I463+I464+SUM(I462:I462)</f>
        <v>3672.0299999999997</v>
      </c>
      <c r="P468" s="52">
        <f>K459+K460+K463+K464+SUM(K462:K462)</f>
        <v>111812.81</v>
      </c>
    </row>
    <row r="470" spans="1:29" ht="57" x14ac:dyDescent="0.2">
      <c r="A470" s="53">
        <v>56</v>
      </c>
      <c r="B470" s="53" t="str">
        <f>Source!F312</f>
        <v>КА №32 ООО "НЕД-Инжиниринг"</v>
      </c>
      <c r="C470" s="53" t="s">
        <v>770</v>
      </c>
      <c r="D470" s="54" t="str">
        <f>Source!H312</f>
        <v>шт.</v>
      </c>
      <c r="E470" s="55">
        <f>Source!I312</f>
        <v>9</v>
      </c>
      <c r="F470" s="56">
        <f>Source!AL312</f>
        <v>2267.9699999999998</v>
      </c>
      <c r="G470" s="57" t="str">
        <f>Source!DD312</f>
        <v/>
      </c>
      <c r="H470" s="55">
        <f>Source!AW313</f>
        <v>1</v>
      </c>
      <c r="I470" s="56">
        <f>Source!P312</f>
        <v>20411.73</v>
      </c>
      <c r="J470" s="55">
        <f>IF(Source!BC313&lt;&gt; 0, Source!BC313, 1)</f>
        <v>7.66</v>
      </c>
      <c r="K470" s="56">
        <f>Source!P313</f>
        <v>156353.85</v>
      </c>
      <c r="Q470">
        <f>Source!X312</f>
        <v>0</v>
      </c>
      <c r="R470">
        <f>Source!X313</f>
        <v>0</v>
      </c>
      <c r="S470">
        <f>Source!Y312</f>
        <v>0</v>
      </c>
      <c r="T470">
        <f>Source!Y313</f>
        <v>0</v>
      </c>
      <c r="U470">
        <f>ROUND((175/100)*ROUND(Source!R312, 2), 2)</f>
        <v>0</v>
      </c>
      <c r="V470">
        <f>ROUND((0/100)*ROUND(Source!R313, 2), 2)</f>
        <v>0</v>
      </c>
      <c r="AC470">
        <v>5</v>
      </c>
    </row>
    <row r="471" spans="1:29" ht="15" x14ac:dyDescent="0.25">
      <c r="A471" s="58"/>
      <c r="B471" s="58"/>
      <c r="C471" s="59" t="s">
        <v>717</v>
      </c>
      <c r="D471" s="58"/>
      <c r="E471" s="58"/>
      <c r="F471" s="58"/>
      <c r="G471" s="58"/>
      <c r="H471" s="60">
        <f>I470+0</f>
        <v>20411.73</v>
      </c>
      <c r="I471" s="60"/>
      <c r="J471" s="60">
        <f>K470+0</f>
        <v>156353.85</v>
      </c>
      <c r="K471" s="60"/>
      <c r="O471" s="52">
        <f>I470+0</f>
        <v>20411.73</v>
      </c>
      <c r="P471" s="52">
        <f>K470+0</f>
        <v>156353.85</v>
      </c>
    </row>
    <row r="473" spans="1:29" ht="57" x14ac:dyDescent="0.2">
      <c r="A473" s="53">
        <v>57</v>
      </c>
      <c r="B473" s="53" t="str">
        <f>Source!F314</f>
        <v>КА №33 ООО "НЕД-Инжиниринг"</v>
      </c>
      <c r="C473" s="53" t="s">
        <v>771</v>
      </c>
      <c r="D473" s="54" t="str">
        <f>Source!H314</f>
        <v>шт.</v>
      </c>
      <c r="E473" s="55">
        <f>Source!I314</f>
        <v>43</v>
      </c>
      <c r="F473" s="56">
        <f>Source!AL314</f>
        <v>1511.95</v>
      </c>
      <c r="G473" s="57" t="str">
        <f>Source!DD314</f>
        <v/>
      </c>
      <c r="H473" s="55">
        <f>Source!AW315</f>
        <v>1</v>
      </c>
      <c r="I473" s="56">
        <f>Source!P314</f>
        <v>65013.85</v>
      </c>
      <c r="J473" s="55">
        <f>IF(Source!BC315&lt;&gt; 0, Source!BC315, 1)</f>
        <v>7.66</v>
      </c>
      <c r="K473" s="56">
        <f>Source!P315</f>
        <v>498006.09</v>
      </c>
      <c r="Q473">
        <f>Source!X314</f>
        <v>0</v>
      </c>
      <c r="R473">
        <f>Source!X315</f>
        <v>0</v>
      </c>
      <c r="S473">
        <f>Source!Y314</f>
        <v>0</v>
      </c>
      <c r="T473">
        <f>Source!Y315</f>
        <v>0</v>
      </c>
      <c r="U473">
        <f>ROUND((175/100)*ROUND(Source!R314, 2), 2)</f>
        <v>0</v>
      </c>
      <c r="V473">
        <f>ROUND((0/100)*ROUND(Source!R315, 2), 2)</f>
        <v>0</v>
      </c>
      <c r="AC473">
        <v>5</v>
      </c>
    </row>
    <row r="474" spans="1:29" ht="15" x14ac:dyDescent="0.25">
      <c r="A474" s="58"/>
      <c r="B474" s="58"/>
      <c r="C474" s="59" t="s">
        <v>717</v>
      </c>
      <c r="D474" s="58"/>
      <c r="E474" s="58"/>
      <c r="F474" s="58"/>
      <c r="G474" s="58"/>
      <c r="H474" s="60">
        <f>I473+0</f>
        <v>65013.85</v>
      </c>
      <c r="I474" s="60"/>
      <c r="J474" s="60">
        <f>K473+0</f>
        <v>498006.09</v>
      </c>
      <c r="K474" s="60"/>
      <c r="O474" s="52">
        <f>I473+0</f>
        <v>65013.85</v>
      </c>
      <c r="P474" s="52">
        <f>K473+0</f>
        <v>498006.09</v>
      </c>
    </row>
    <row r="476" spans="1:29" ht="57" x14ac:dyDescent="0.2">
      <c r="A476" s="53">
        <v>58</v>
      </c>
      <c r="B476" s="53" t="str">
        <f>Source!F316</f>
        <v>КА №34 ООО "НЕД-Инжиниринг"</v>
      </c>
      <c r="C476" s="53" t="s">
        <v>772</v>
      </c>
      <c r="D476" s="54" t="str">
        <f>Source!H316</f>
        <v>шт.</v>
      </c>
      <c r="E476" s="55">
        <f>Source!I316</f>
        <v>9</v>
      </c>
      <c r="F476" s="56">
        <f>Source!AL316</f>
        <v>1587.58</v>
      </c>
      <c r="G476" s="57" t="str">
        <f>Source!DD316</f>
        <v/>
      </c>
      <c r="H476" s="55">
        <f>Source!AW317</f>
        <v>1</v>
      </c>
      <c r="I476" s="56">
        <f>Source!P316</f>
        <v>14288.22</v>
      </c>
      <c r="J476" s="55">
        <f>IF(Source!BC317&lt;&gt; 0, Source!BC317, 1)</f>
        <v>7.66</v>
      </c>
      <c r="K476" s="56">
        <f>Source!P317</f>
        <v>109447.77</v>
      </c>
      <c r="Q476">
        <f>Source!X316</f>
        <v>0</v>
      </c>
      <c r="R476">
        <f>Source!X317</f>
        <v>0</v>
      </c>
      <c r="S476">
        <f>Source!Y316</f>
        <v>0</v>
      </c>
      <c r="T476">
        <f>Source!Y317</f>
        <v>0</v>
      </c>
      <c r="U476">
        <f>ROUND((175/100)*ROUND(Source!R316, 2), 2)</f>
        <v>0</v>
      </c>
      <c r="V476">
        <f>ROUND((0/100)*ROUND(Source!R317, 2), 2)</f>
        <v>0</v>
      </c>
      <c r="AC476">
        <v>5</v>
      </c>
    </row>
    <row r="477" spans="1:29" ht="15" x14ac:dyDescent="0.25">
      <c r="A477" s="58"/>
      <c r="B477" s="58"/>
      <c r="C477" s="59" t="s">
        <v>717</v>
      </c>
      <c r="D477" s="58"/>
      <c r="E477" s="58"/>
      <c r="F477" s="58"/>
      <c r="G477" s="58"/>
      <c r="H477" s="60">
        <f>I476+0</f>
        <v>14288.22</v>
      </c>
      <c r="I477" s="60"/>
      <c r="J477" s="60">
        <f>K476+0</f>
        <v>109447.77</v>
      </c>
      <c r="K477" s="60"/>
      <c r="O477" s="52">
        <f>I476+0</f>
        <v>14288.22</v>
      </c>
      <c r="P477" s="52">
        <f>K476+0</f>
        <v>109447.77</v>
      </c>
    </row>
    <row r="479" spans="1:29" ht="57" x14ac:dyDescent="0.2">
      <c r="A479" s="53">
        <v>59</v>
      </c>
      <c r="B479" s="53" t="str">
        <f>Source!F318</f>
        <v>КА №35 ООО "НЕД-Инжиниринг"</v>
      </c>
      <c r="C479" s="53" t="s">
        <v>773</v>
      </c>
      <c r="D479" s="54" t="str">
        <f>Source!H318</f>
        <v>шт.</v>
      </c>
      <c r="E479" s="55">
        <f>Source!I318</f>
        <v>2</v>
      </c>
      <c r="F479" s="56">
        <f>Source!AL318</f>
        <v>2026.09</v>
      </c>
      <c r="G479" s="57" t="str">
        <f>Source!DD318</f>
        <v/>
      </c>
      <c r="H479" s="55">
        <f>Source!AW319</f>
        <v>1</v>
      </c>
      <c r="I479" s="56">
        <f>Source!P318</f>
        <v>4052.18</v>
      </c>
      <c r="J479" s="55">
        <f>IF(Source!BC319&lt;&gt; 0, Source!BC319, 1)</f>
        <v>7.66</v>
      </c>
      <c r="K479" s="56">
        <f>Source!P319</f>
        <v>31039.7</v>
      </c>
      <c r="Q479">
        <f>Source!X318</f>
        <v>0</v>
      </c>
      <c r="R479">
        <f>Source!X319</f>
        <v>0</v>
      </c>
      <c r="S479">
        <f>Source!Y318</f>
        <v>0</v>
      </c>
      <c r="T479">
        <f>Source!Y319</f>
        <v>0</v>
      </c>
      <c r="U479">
        <f>ROUND((175/100)*ROUND(Source!R318, 2), 2)</f>
        <v>0</v>
      </c>
      <c r="V479">
        <f>ROUND((0/100)*ROUND(Source!R319, 2), 2)</f>
        <v>0</v>
      </c>
      <c r="AC479">
        <v>5</v>
      </c>
    </row>
    <row r="480" spans="1:29" ht="15" x14ac:dyDescent="0.25">
      <c r="A480" s="58"/>
      <c r="B480" s="58"/>
      <c r="C480" s="59" t="s">
        <v>717</v>
      </c>
      <c r="D480" s="58"/>
      <c r="E480" s="58"/>
      <c r="F480" s="58"/>
      <c r="G480" s="58"/>
      <c r="H480" s="60">
        <f>I479+0</f>
        <v>4052.18</v>
      </c>
      <c r="I480" s="60"/>
      <c r="J480" s="60">
        <f>K479+0</f>
        <v>31039.7</v>
      </c>
      <c r="K480" s="60"/>
      <c r="O480" s="52">
        <f>I479+0</f>
        <v>4052.18</v>
      </c>
      <c r="P480" s="52">
        <f>K479+0</f>
        <v>31039.7</v>
      </c>
    </row>
    <row r="482" spans="1:29" ht="57" x14ac:dyDescent="0.2">
      <c r="A482" s="53">
        <v>60</v>
      </c>
      <c r="B482" s="53" t="str">
        <f>Source!F320</f>
        <v>КА №36 ООО "НЕД-Инжиниринг"</v>
      </c>
      <c r="C482" s="53" t="s">
        <v>774</v>
      </c>
      <c r="D482" s="54" t="str">
        <f>Source!H320</f>
        <v>шт.</v>
      </c>
      <c r="E482" s="55">
        <f>Source!I320</f>
        <v>6</v>
      </c>
      <c r="F482" s="56">
        <f>Source!AL320</f>
        <v>1012.98</v>
      </c>
      <c r="G482" s="57" t="str">
        <f>Source!DD320</f>
        <v/>
      </c>
      <c r="H482" s="55">
        <f>Source!AW321</f>
        <v>1</v>
      </c>
      <c r="I482" s="56">
        <f>Source!P320</f>
        <v>6077.88</v>
      </c>
      <c r="J482" s="55">
        <f>IF(Source!BC321&lt;&gt; 0, Source!BC321, 1)</f>
        <v>7.66</v>
      </c>
      <c r="K482" s="56">
        <f>Source!P321</f>
        <v>46556.56</v>
      </c>
      <c r="Q482">
        <f>Source!X320</f>
        <v>0</v>
      </c>
      <c r="R482">
        <f>Source!X321</f>
        <v>0</v>
      </c>
      <c r="S482">
        <f>Source!Y320</f>
        <v>0</v>
      </c>
      <c r="T482">
        <f>Source!Y321</f>
        <v>0</v>
      </c>
      <c r="U482">
        <f>ROUND((175/100)*ROUND(Source!R320, 2), 2)</f>
        <v>0</v>
      </c>
      <c r="V482">
        <f>ROUND((0/100)*ROUND(Source!R321, 2), 2)</f>
        <v>0</v>
      </c>
      <c r="AC482">
        <v>5</v>
      </c>
    </row>
    <row r="483" spans="1:29" ht="15" x14ac:dyDescent="0.25">
      <c r="A483" s="58"/>
      <c r="B483" s="58"/>
      <c r="C483" s="59" t="s">
        <v>717</v>
      </c>
      <c r="D483" s="58"/>
      <c r="E483" s="58"/>
      <c r="F483" s="58"/>
      <c r="G483" s="58"/>
      <c r="H483" s="60">
        <f>I482+0</f>
        <v>6077.88</v>
      </c>
      <c r="I483" s="60"/>
      <c r="J483" s="60">
        <f>K482+0</f>
        <v>46556.56</v>
      </c>
      <c r="K483" s="60"/>
      <c r="O483" s="52">
        <f>I482+0</f>
        <v>6077.88</v>
      </c>
      <c r="P483" s="52">
        <f>K482+0</f>
        <v>46556.56</v>
      </c>
    </row>
    <row r="486" spans="1:29" ht="15" x14ac:dyDescent="0.25">
      <c r="A486" s="64" t="str">
        <f>CONCATENATE("Итого по разделу: ",IF(Source!G323&lt;&gt;"Новый раздел", Source!G323, ""))</f>
        <v>Итого по разделу: Автоматизация систем общеобменной вентиляции</v>
      </c>
      <c r="B486" s="64"/>
      <c r="C486" s="64"/>
      <c r="D486" s="64"/>
      <c r="E486" s="64"/>
      <c r="F486" s="64"/>
      <c r="G486" s="64"/>
      <c r="H486" s="51">
        <f>SUM(O404:O485)</f>
        <v>158510.99</v>
      </c>
      <c r="I486" s="50"/>
      <c r="J486" s="51">
        <f>SUM(P404:P485)</f>
        <v>1370460.82</v>
      </c>
      <c r="K486" s="50"/>
    </row>
    <row r="487" spans="1:29" hidden="1" x14ac:dyDescent="0.2">
      <c r="A487" t="s">
        <v>732</v>
      </c>
      <c r="I487">
        <f>SUM(W404:W486)</f>
        <v>0</v>
      </c>
      <c r="J487">
        <f>SUM(X404:X486)</f>
        <v>0</v>
      </c>
    </row>
    <row r="488" spans="1:29" hidden="1" x14ac:dyDescent="0.2">
      <c r="A488" t="s">
        <v>733</v>
      </c>
      <c r="I488">
        <f>SUM(Y404:Y487)</f>
        <v>0</v>
      </c>
      <c r="J488">
        <f>SUM(Z404:Z487)</f>
        <v>0</v>
      </c>
    </row>
    <row r="490" spans="1:29" ht="16.5" x14ac:dyDescent="0.25">
      <c r="A490" s="38" t="str">
        <f>CONCATENATE("Раздел: ",IF(Source!G353&lt;&gt;"Новый раздел", Source!G353, ""))</f>
        <v>Раздел: Аппаратура в щитах автоматизации</v>
      </c>
      <c r="B490" s="38"/>
      <c r="C490" s="38"/>
      <c r="D490" s="38"/>
      <c r="E490" s="38"/>
      <c r="F490" s="38"/>
      <c r="G490" s="38"/>
      <c r="H490" s="38"/>
      <c r="I490" s="38"/>
      <c r="J490" s="38"/>
      <c r="K490" s="38"/>
    </row>
    <row r="491" spans="1:29" ht="78" x14ac:dyDescent="0.2">
      <c r="A491" s="39">
        <v>61</v>
      </c>
      <c r="B491" s="39" t="s">
        <v>775</v>
      </c>
      <c r="C491" s="39" t="s">
        <v>364</v>
      </c>
      <c r="D491" s="40" t="str">
        <f>Source!H357</f>
        <v>1  ШТ.</v>
      </c>
      <c r="E491" s="11">
        <f>Source!I357</f>
        <v>63</v>
      </c>
      <c r="F491" s="42"/>
      <c r="G491" s="41"/>
      <c r="H491" s="11"/>
      <c r="I491" s="42"/>
      <c r="J491" s="11"/>
      <c r="K491" s="42"/>
      <c r="Q491">
        <f>Source!X357</f>
        <v>3929.18</v>
      </c>
      <c r="R491">
        <f>Source!X358</f>
        <v>216065.83</v>
      </c>
      <c r="S491">
        <f>Source!Y357</f>
        <v>2008.25</v>
      </c>
      <c r="T491">
        <f>Source!Y358</f>
        <v>110433.64</v>
      </c>
      <c r="U491">
        <f>ROUND((175/100)*ROUND(Source!R357, 2), 2)</f>
        <v>48.25</v>
      </c>
      <c r="V491">
        <f>ROUND((0/100)*ROUND(Source!R358, 2), 2)</f>
        <v>0</v>
      </c>
      <c r="AC491">
        <v>0</v>
      </c>
    </row>
    <row r="492" spans="1:29" x14ac:dyDescent="0.2">
      <c r="C492" s="62" t="str">
        <f>"Объем: "&amp;Source!I357&amp;"=3+"&amp;"12+"&amp;"35+"&amp;"1+"&amp;"2+"&amp;"2+"&amp;"8"</f>
        <v>Объем: 63=3+12+35+1+2+2+8</v>
      </c>
    </row>
    <row r="493" spans="1:29" ht="14.25" x14ac:dyDescent="0.2">
      <c r="A493" s="39"/>
      <c r="B493" s="39"/>
      <c r="C493" s="39" t="s">
        <v>707</v>
      </c>
      <c r="D493" s="40"/>
      <c r="E493" s="11"/>
      <c r="F493" s="42">
        <f>Source!AO357</f>
        <v>59.79</v>
      </c>
      <c r="G493" s="41" t="str">
        <f>Source!DG357</f>
        <v>*1,1</v>
      </c>
      <c r="H493" s="11">
        <f>Source!AV358</f>
        <v>1.0469999999999999</v>
      </c>
      <c r="I493" s="42">
        <f>Source!S357</f>
        <v>4338.1899999999996</v>
      </c>
      <c r="J493" s="11">
        <f>IF(Source!BA358&lt;&gt; 0, Source!BA358, 1)</f>
        <v>54.99</v>
      </c>
      <c r="K493" s="42">
        <f>Source!S358</f>
        <v>238557.07</v>
      </c>
    </row>
    <row r="494" spans="1:29" ht="14.25" x14ac:dyDescent="0.2">
      <c r="A494" s="39"/>
      <c r="B494" s="39"/>
      <c r="C494" s="39" t="s">
        <v>708</v>
      </c>
      <c r="D494" s="40"/>
      <c r="E494" s="11"/>
      <c r="F494" s="42">
        <f>Source!AM357</f>
        <v>4.2699999999999996</v>
      </c>
      <c r="G494" s="41" t="str">
        <f>Source!DE357</f>
        <v>*1,1</v>
      </c>
      <c r="H494" s="11">
        <f>Source!AV358</f>
        <v>1.0469999999999999</v>
      </c>
      <c r="I494" s="42">
        <f>Source!Q357</f>
        <v>309.82</v>
      </c>
      <c r="J494" s="11">
        <f>IF(Source!BB358&lt;&gt; 0, Source!BB358, 1)</f>
        <v>14.09</v>
      </c>
      <c r="K494" s="42">
        <f>Source!Q358</f>
        <v>4365.3599999999997</v>
      </c>
    </row>
    <row r="495" spans="1:29" ht="14.25" x14ac:dyDescent="0.2">
      <c r="A495" s="39"/>
      <c r="B495" s="39"/>
      <c r="C495" s="39" t="s">
        <v>709</v>
      </c>
      <c r="D495" s="40"/>
      <c r="E495" s="11"/>
      <c r="F495" s="42">
        <f>Source!AN357</f>
        <v>0.38</v>
      </c>
      <c r="G495" s="41" t="str">
        <f>Source!DF357</f>
        <v>*1,1</v>
      </c>
      <c r="H495" s="11">
        <f>Source!AV358</f>
        <v>1.0469999999999999</v>
      </c>
      <c r="I495" s="43">
        <f>Source!R357</f>
        <v>27.57</v>
      </c>
      <c r="J495" s="11">
        <f>IF(Source!BS358&lt;&gt; 0, Source!BS358, 1)</f>
        <v>54.99</v>
      </c>
      <c r="K495" s="43">
        <f>Source!R358</f>
        <v>1516.07</v>
      </c>
    </row>
    <row r="496" spans="1:29" ht="14.25" x14ac:dyDescent="0.2">
      <c r="A496" s="39"/>
      <c r="B496" s="39"/>
      <c r="C496" s="39" t="s">
        <v>720</v>
      </c>
      <c r="D496" s="40"/>
      <c r="E496" s="11"/>
      <c r="F496" s="42">
        <f>Source!AL357</f>
        <v>89.36</v>
      </c>
      <c r="G496" s="41" t="str">
        <f>Source!DD357</f>
        <v/>
      </c>
      <c r="H496" s="11">
        <f>Source!AW358</f>
        <v>1</v>
      </c>
      <c r="I496" s="42">
        <f>Source!P357</f>
        <v>5629.68</v>
      </c>
      <c r="J496" s="11">
        <f>IF(Source!BC358&lt;&gt; 0, Source!BC358, 1)</f>
        <v>5.08</v>
      </c>
      <c r="K496" s="42">
        <f>Source!P358</f>
        <v>28598.77</v>
      </c>
    </row>
    <row r="497" spans="1:29" ht="14.25" x14ac:dyDescent="0.2">
      <c r="A497" s="39"/>
      <c r="B497" s="39"/>
      <c r="C497" s="39" t="s">
        <v>710</v>
      </c>
      <c r="D497" s="40" t="s">
        <v>711</v>
      </c>
      <c r="E497" s="11">
        <f>Source!BZ358</f>
        <v>90</v>
      </c>
      <c r="F497" s="42"/>
      <c r="G497" s="41"/>
      <c r="H497" s="11"/>
      <c r="I497" s="42">
        <f>SUM(Q491:Q496)</f>
        <v>3929.18</v>
      </c>
      <c r="J497" s="11">
        <f>Source!AT358</f>
        <v>90</v>
      </c>
      <c r="K497" s="42">
        <f>SUM(R491:R496)</f>
        <v>216065.83</v>
      </c>
    </row>
    <row r="498" spans="1:29" ht="14.25" x14ac:dyDescent="0.2">
      <c r="A498" s="39"/>
      <c r="B498" s="39"/>
      <c r="C498" s="39" t="s">
        <v>712</v>
      </c>
      <c r="D498" s="40" t="s">
        <v>711</v>
      </c>
      <c r="E498" s="11">
        <f>Source!CA358</f>
        <v>46</v>
      </c>
      <c r="F498" s="42"/>
      <c r="G498" s="41"/>
      <c r="H498" s="11"/>
      <c r="I498" s="42">
        <f>SUM(S491:S497)</f>
        <v>2008.25</v>
      </c>
      <c r="J498" s="11">
        <f>Source!AU358</f>
        <v>46</v>
      </c>
      <c r="K498" s="42">
        <f>SUM(T491:T497)</f>
        <v>110433.64</v>
      </c>
    </row>
    <row r="499" spans="1:29" ht="14.25" x14ac:dyDescent="0.2">
      <c r="A499" s="44"/>
      <c r="B499" s="44"/>
      <c r="C499" s="44" t="s">
        <v>713</v>
      </c>
      <c r="D499" s="45" t="s">
        <v>714</v>
      </c>
      <c r="E499" s="46">
        <f>Source!AQ357</f>
        <v>5.15</v>
      </c>
      <c r="F499" s="47"/>
      <c r="G499" s="48" t="str">
        <f>Source!DI357</f>
        <v>*1,1</v>
      </c>
      <c r="H499" s="46">
        <f>Source!AV358</f>
        <v>1.0469999999999999</v>
      </c>
      <c r="I499" s="47">
        <f>Source!U357</f>
        <v>373.66906499999999</v>
      </c>
      <c r="J499" s="46"/>
      <c r="K499" s="47"/>
    </row>
    <row r="500" spans="1:29" ht="15" x14ac:dyDescent="0.25">
      <c r="C500" s="31" t="s">
        <v>715</v>
      </c>
      <c r="H500" s="49">
        <f>I493+I494+I496+I497+I498+0-0-0</f>
        <v>16215.119999999999</v>
      </c>
      <c r="I500" s="49"/>
      <c r="J500" s="49">
        <f>K493+K494+K496+K497+K498+0-0-0</f>
        <v>598020.67000000004</v>
      </c>
      <c r="K500" s="49"/>
    </row>
    <row r="501" spans="1:29" ht="15" x14ac:dyDescent="0.25">
      <c r="C501" s="31" t="s">
        <v>716</v>
      </c>
      <c r="H501" s="51">
        <f>0+0</f>
        <v>0</v>
      </c>
      <c r="I501" s="51"/>
      <c r="J501" s="51">
        <f>0+0</f>
        <v>0</v>
      </c>
      <c r="K501" s="51"/>
    </row>
    <row r="502" spans="1:29" ht="15" x14ac:dyDescent="0.25">
      <c r="C502" s="31" t="s">
        <v>717</v>
      </c>
      <c r="H502" s="51">
        <f>I493+I494+I496+I497+I498+0</f>
        <v>16215.119999999999</v>
      </c>
      <c r="I502" s="51"/>
      <c r="J502" s="51">
        <f>K493+K494+K496+K497+K498+0</f>
        <v>598020.67000000004</v>
      </c>
      <c r="K502" s="51"/>
      <c r="O502" s="52">
        <f>I493+I494+I496+I497+I498+0</f>
        <v>16215.119999999999</v>
      </c>
      <c r="P502" s="52">
        <f>K493+K494+K496+K497+K498+0</f>
        <v>598020.67000000004</v>
      </c>
    </row>
    <row r="504" spans="1:29" ht="57" x14ac:dyDescent="0.2">
      <c r="A504" s="53">
        <v>62</v>
      </c>
      <c r="B504" s="53" t="str">
        <f>Source!F361</f>
        <v>КА №37 ООО "НЕД-Инжиниринг"</v>
      </c>
      <c r="C504" s="53" t="s">
        <v>776</v>
      </c>
      <c r="D504" s="54" t="str">
        <f>Source!H361</f>
        <v>шт.</v>
      </c>
      <c r="E504" s="55">
        <f>Source!I361</f>
        <v>3</v>
      </c>
      <c r="F504" s="56">
        <f>Source!AL361</f>
        <v>17385.400000000001</v>
      </c>
      <c r="G504" s="57" t="str">
        <f>Source!DD361</f>
        <v/>
      </c>
      <c r="H504" s="55">
        <f>Source!AW362</f>
        <v>1</v>
      </c>
      <c r="I504" s="56">
        <f>Source!P361</f>
        <v>52156.2</v>
      </c>
      <c r="J504" s="55">
        <f>IF(Source!BC362&lt;&gt; 0, Source!BC362, 1)</f>
        <v>7.66</v>
      </c>
      <c r="K504" s="56">
        <f>Source!P362</f>
        <v>399516.49</v>
      </c>
      <c r="Q504">
        <f>Source!X361</f>
        <v>0</v>
      </c>
      <c r="R504">
        <f>Source!X362</f>
        <v>0</v>
      </c>
      <c r="S504">
        <f>Source!Y361</f>
        <v>0</v>
      </c>
      <c r="T504">
        <f>Source!Y362</f>
        <v>0</v>
      </c>
      <c r="U504">
        <f>ROUND((175/100)*ROUND(Source!R361, 2), 2)</f>
        <v>0</v>
      </c>
      <c r="V504">
        <f>ROUND((0/100)*ROUND(Source!R362, 2), 2)</f>
        <v>0</v>
      </c>
      <c r="AC504">
        <v>5</v>
      </c>
    </row>
    <row r="505" spans="1:29" ht="15" x14ac:dyDescent="0.25">
      <c r="A505" s="58"/>
      <c r="B505" s="58"/>
      <c r="C505" s="59" t="s">
        <v>717</v>
      </c>
      <c r="D505" s="58"/>
      <c r="E505" s="58"/>
      <c r="F505" s="58"/>
      <c r="G505" s="58"/>
      <c r="H505" s="60">
        <f>I504+0</f>
        <v>52156.2</v>
      </c>
      <c r="I505" s="60"/>
      <c r="J505" s="60">
        <f>K504+0</f>
        <v>399516.49</v>
      </c>
      <c r="K505" s="60"/>
      <c r="O505" s="52">
        <f>I504+0</f>
        <v>52156.2</v>
      </c>
      <c r="P505" s="52">
        <f>K504+0</f>
        <v>399516.49</v>
      </c>
    </row>
    <row r="507" spans="1:29" ht="57" x14ac:dyDescent="0.2">
      <c r="A507" s="53">
        <v>63</v>
      </c>
      <c r="B507" s="53" t="str">
        <f>Source!F363</f>
        <v>КА №38 ООО "НЕД-Инжиниринг"</v>
      </c>
      <c r="C507" s="53" t="s">
        <v>777</v>
      </c>
      <c r="D507" s="54" t="str">
        <f>Source!H363</f>
        <v>шт.</v>
      </c>
      <c r="E507" s="55">
        <f>Source!I363</f>
        <v>12</v>
      </c>
      <c r="F507" s="56">
        <f>Source!AL363</f>
        <v>18491.530000000002</v>
      </c>
      <c r="G507" s="57" t="str">
        <f>Source!DD363</f>
        <v/>
      </c>
      <c r="H507" s="55">
        <f>Source!AW364</f>
        <v>1</v>
      </c>
      <c r="I507" s="56">
        <f>Source!P363</f>
        <v>221898.36</v>
      </c>
      <c r="J507" s="55">
        <f>IF(Source!BC364&lt;&gt; 0, Source!BC364, 1)</f>
        <v>7.66</v>
      </c>
      <c r="K507" s="56">
        <f>Source!P364</f>
        <v>1699741.44</v>
      </c>
      <c r="Q507">
        <f>Source!X363</f>
        <v>0</v>
      </c>
      <c r="R507">
        <f>Source!X364</f>
        <v>0</v>
      </c>
      <c r="S507">
        <f>Source!Y363</f>
        <v>0</v>
      </c>
      <c r="T507">
        <f>Source!Y364</f>
        <v>0</v>
      </c>
      <c r="U507">
        <f>ROUND((175/100)*ROUND(Source!R363, 2), 2)</f>
        <v>0</v>
      </c>
      <c r="V507">
        <f>ROUND((0/100)*ROUND(Source!R364, 2), 2)</f>
        <v>0</v>
      </c>
      <c r="AC507">
        <v>5</v>
      </c>
    </row>
    <row r="508" spans="1:29" ht="15" x14ac:dyDescent="0.25">
      <c r="A508" s="58"/>
      <c r="B508" s="58"/>
      <c r="C508" s="59" t="s">
        <v>717</v>
      </c>
      <c r="D508" s="58"/>
      <c r="E508" s="58"/>
      <c r="F508" s="58"/>
      <c r="G508" s="58"/>
      <c r="H508" s="60">
        <f>I507+0</f>
        <v>221898.36</v>
      </c>
      <c r="I508" s="60"/>
      <c r="J508" s="60">
        <f>K507+0</f>
        <v>1699741.44</v>
      </c>
      <c r="K508" s="60"/>
      <c r="O508" s="52">
        <f>I507+0</f>
        <v>221898.36</v>
      </c>
      <c r="P508" s="52">
        <f>K507+0</f>
        <v>1699741.44</v>
      </c>
    </row>
    <row r="510" spans="1:29" ht="57" x14ac:dyDescent="0.2">
      <c r="A510" s="53">
        <v>64</v>
      </c>
      <c r="B510" s="53" t="str">
        <f>Source!F365</f>
        <v>КА №39 ООО "НЕД-Инжиниринг"</v>
      </c>
      <c r="C510" s="53" t="s">
        <v>778</v>
      </c>
      <c r="D510" s="54" t="str">
        <f>Source!H365</f>
        <v>шт.</v>
      </c>
      <c r="E510" s="55">
        <f>Source!I365</f>
        <v>35</v>
      </c>
      <c r="F510" s="56">
        <f>Source!AL365</f>
        <v>18491.530000000002</v>
      </c>
      <c r="G510" s="57" t="str">
        <f>Source!DD365</f>
        <v/>
      </c>
      <c r="H510" s="55">
        <f>Source!AW366</f>
        <v>1</v>
      </c>
      <c r="I510" s="56">
        <f>Source!P365</f>
        <v>647203.55000000005</v>
      </c>
      <c r="J510" s="55">
        <f>IF(Source!BC366&lt;&gt; 0, Source!BC366, 1)</f>
        <v>7.66</v>
      </c>
      <c r="K510" s="56">
        <f>Source!P366</f>
        <v>4957579.1900000004</v>
      </c>
      <c r="Q510">
        <f>Source!X365</f>
        <v>0</v>
      </c>
      <c r="R510">
        <f>Source!X366</f>
        <v>0</v>
      </c>
      <c r="S510">
        <f>Source!Y365</f>
        <v>0</v>
      </c>
      <c r="T510">
        <f>Source!Y366</f>
        <v>0</v>
      </c>
      <c r="U510">
        <f>ROUND((175/100)*ROUND(Source!R365, 2), 2)</f>
        <v>0</v>
      </c>
      <c r="V510">
        <f>ROUND((0/100)*ROUND(Source!R366, 2), 2)</f>
        <v>0</v>
      </c>
      <c r="AC510">
        <v>5</v>
      </c>
    </row>
    <row r="511" spans="1:29" ht="15" x14ac:dyDescent="0.25">
      <c r="A511" s="58"/>
      <c r="B511" s="58"/>
      <c r="C511" s="59" t="s">
        <v>717</v>
      </c>
      <c r="D511" s="58"/>
      <c r="E511" s="58"/>
      <c r="F511" s="58"/>
      <c r="G511" s="58"/>
      <c r="H511" s="60">
        <f>I510+0</f>
        <v>647203.55000000005</v>
      </c>
      <c r="I511" s="60"/>
      <c r="J511" s="60">
        <f>K510+0</f>
        <v>4957579.1900000004</v>
      </c>
      <c r="K511" s="60"/>
      <c r="O511" s="52">
        <f>I510+0</f>
        <v>647203.55000000005</v>
      </c>
      <c r="P511" s="52">
        <f>K510+0</f>
        <v>4957579.1900000004</v>
      </c>
    </row>
    <row r="513" spans="1:29" ht="57" x14ac:dyDescent="0.2">
      <c r="A513" s="53">
        <v>65</v>
      </c>
      <c r="B513" s="53" t="str">
        <f>Source!F367</f>
        <v>КА №40 ООО "НЕД-Инжиниринг"</v>
      </c>
      <c r="C513" s="53" t="s">
        <v>779</v>
      </c>
      <c r="D513" s="54" t="str">
        <f>Source!H367</f>
        <v>шт.</v>
      </c>
      <c r="E513" s="55">
        <f>Source!I367</f>
        <v>1</v>
      </c>
      <c r="F513" s="56">
        <f>Source!AL367</f>
        <v>19615.829999999998</v>
      </c>
      <c r="G513" s="57" t="str">
        <f>Source!DD367</f>
        <v/>
      </c>
      <c r="H513" s="55">
        <f>Source!AW368</f>
        <v>1</v>
      </c>
      <c r="I513" s="56">
        <f>Source!P367</f>
        <v>19615.830000000002</v>
      </c>
      <c r="J513" s="55">
        <f>IF(Source!BC368&lt;&gt; 0, Source!BC368, 1)</f>
        <v>7.66</v>
      </c>
      <c r="K513" s="56">
        <f>Source!P368</f>
        <v>150257.26</v>
      </c>
      <c r="Q513">
        <f>Source!X367</f>
        <v>0</v>
      </c>
      <c r="R513">
        <f>Source!X368</f>
        <v>0</v>
      </c>
      <c r="S513">
        <f>Source!Y367</f>
        <v>0</v>
      </c>
      <c r="T513">
        <f>Source!Y368</f>
        <v>0</v>
      </c>
      <c r="U513">
        <f>ROUND((175/100)*ROUND(Source!R367, 2), 2)</f>
        <v>0</v>
      </c>
      <c r="V513">
        <f>ROUND((0/100)*ROUND(Source!R368, 2), 2)</f>
        <v>0</v>
      </c>
      <c r="AC513">
        <v>5</v>
      </c>
    </row>
    <row r="514" spans="1:29" ht="15" x14ac:dyDescent="0.25">
      <c r="A514" s="58"/>
      <c r="B514" s="58"/>
      <c r="C514" s="59" t="s">
        <v>717</v>
      </c>
      <c r="D514" s="58"/>
      <c r="E514" s="58"/>
      <c r="F514" s="58"/>
      <c r="G514" s="58"/>
      <c r="H514" s="60">
        <f>I513+0</f>
        <v>19615.830000000002</v>
      </c>
      <c r="I514" s="60"/>
      <c r="J514" s="60">
        <f>K513+0</f>
        <v>150257.26</v>
      </c>
      <c r="K514" s="60"/>
      <c r="O514" s="52">
        <f>I513+0</f>
        <v>19615.830000000002</v>
      </c>
      <c r="P514" s="52">
        <f>K513+0</f>
        <v>150257.26</v>
      </c>
    </row>
    <row r="516" spans="1:29" ht="57" x14ac:dyDescent="0.2">
      <c r="A516" s="53">
        <v>66</v>
      </c>
      <c r="B516" s="53" t="str">
        <f>Source!F369</f>
        <v>КА №41 ООО "НЕД-Инжиниринг"</v>
      </c>
      <c r="C516" s="53" t="s">
        <v>780</v>
      </c>
      <c r="D516" s="54" t="str">
        <f>Source!H369</f>
        <v>шт.</v>
      </c>
      <c r="E516" s="55">
        <f>Source!I369</f>
        <v>2</v>
      </c>
      <c r="F516" s="56">
        <f>Source!AL369</f>
        <v>20317.559999999998</v>
      </c>
      <c r="G516" s="57" t="str">
        <f>Source!DD369</f>
        <v/>
      </c>
      <c r="H516" s="55">
        <f>Source!AW370</f>
        <v>1</v>
      </c>
      <c r="I516" s="56">
        <f>Source!P369</f>
        <v>40635.120000000003</v>
      </c>
      <c r="J516" s="55">
        <f>IF(Source!BC370&lt;&gt; 0, Source!BC370, 1)</f>
        <v>7.66</v>
      </c>
      <c r="K516" s="56">
        <f>Source!P370</f>
        <v>311265.02</v>
      </c>
      <c r="Q516">
        <f>Source!X369</f>
        <v>0</v>
      </c>
      <c r="R516">
        <f>Source!X370</f>
        <v>0</v>
      </c>
      <c r="S516">
        <f>Source!Y369</f>
        <v>0</v>
      </c>
      <c r="T516">
        <f>Source!Y370</f>
        <v>0</v>
      </c>
      <c r="U516">
        <f>ROUND((175/100)*ROUND(Source!R369, 2), 2)</f>
        <v>0</v>
      </c>
      <c r="V516">
        <f>ROUND((0/100)*ROUND(Source!R370, 2), 2)</f>
        <v>0</v>
      </c>
      <c r="AC516">
        <v>5</v>
      </c>
    </row>
    <row r="517" spans="1:29" ht="15" x14ac:dyDescent="0.25">
      <c r="A517" s="58"/>
      <c r="B517" s="58"/>
      <c r="C517" s="59" t="s">
        <v>717</v>
      </c>
      <c r="D517" s="58"/>
      <c r="E517" s="58"/>
      <c r="F517" s="58"/>
      <c r="G517" s="58"/>
      <c r="H517" s="60">
        <f>I516+0</f>
        <v>40635.120000000003</v>
      </c>
      <c r="I517" s="60"/>
      <c r="J517" s="60">
        <f>K516+0</f>
        <v>311265.02</v>
      </c>
      <c r="K517" s="60"/>
      <c r="O517" s="52">
        <f>I516+0</f>
        <v>40635.120000000003</v>
      </c>
      <c r="P517" s="52">
        <f>K516+0</f>
        <v>311265.02</v>
      </c>
    </row>
    <row r="519" spans="1:29" ht="57" x14ac:dyDescent="0.2">
      <c r="A519" s="53">
        <v>67</v>
      </c>
      <c r="B519" s="53" t="str">
        <f>Source!F371</f>
        <v>КА №42 ООО "НЕД-Инжиниринг"</v>
      </c>
      <c r="C519" s="53" t="s">
        <v>781</v>
      </c>
      <c r="D519" s="54" t="str">
        <f>Source!H371</f>
        <v>шт.</v>
      </c>
      <c r="E519" s="55">
        <f>Source!I371</f>
        <v>2</v>
      </c>
      <c r="F519" s="56">
        <f>Source!AL371</f>
        <v>19055.73</v>
      </c>
      <c r="G519" s="57" t="str">
        <f>Source!DD371</f>
        <v/>
      </c>
      <c r="H519" s="55">
        <f>Source!AW372</f>
        <v>1</v>
      </c>
      <c r="I519" s="56">
        <f>Source!P371</f>
        <v>38111.46</v>
      </c>
      <c r="J519" s="55">
        <f>IF(Source!BC372&lt;&gt; 0, Source!BC372, 1)</f>
        <v>7.66</v>
      </c>
      <c r="K519" s="56">
        <f>Source!P372</f>
        <v>291933.78000000003</v>
      </c>
      <c r="Q519">
        <f>Source!X371</f>
        <v>0</v>
      </c>
      <c r="R519">
        <f>Source!X372</f>
        <v>0</v>
      </c>
      <c r="S519">
        <f>Source!Y371</f>
        <v>0</v>
      </c>
      <c r="T519">
        <f>Source!Y372</f>
        <v>0</v>
      </c>
      <c r="U519">
        <f>ROUND((175/100)*ROUND(Source!R371, 2), 2)</f>
        <v>0</v>
      </c>
      <c r="V519">
        <f>ROUND((0/100)*ROUND(Source!R372, 2), 2)</f>
        <v>0</v>
      </c>
      <c r="AC519">
        <v>5</v>
      </c>
    </row>
    <row r="520" spans="1:29" ht="15" x14ac:dyDescent="0.25">
      <c r="A520" s="58"/>
      <c r="B520" s="58"/>
      <c r="C520" s="59" t="s">
        <v>717</v>
      </c>
      <c r="D520" s="58"/>
      <c r="E520" s="58"/>
      <c r="F520" s="58"/>
      <c r="G520" s="58"/>
      <c r="H520" s="60">
        <f>I519+0</f>
        <v>38111.46</v>
      </c>
      <c r="I520" s="60"/>
      <c r="J520" s="60">
        <f>K519+0</f>
        <v>291933.78000000003</v>
      </c>
      <c r="K520" s="60"/>
      <c r="O520" s="52">
        <f>I519+0</f>
        <v>38111.46</v>
      </c>
      <c r="P520" s="52">
        <f>K519+0</f>
        <v>291933.78000000003</v>
      </c>
    </row>
    <row r="522" spans="1:29" ht="57" x14ac:dyDescent="0.2">
      <c r="A522" s="53">
        <v>68</v>
      </c>
      <c r="B522" s="53" t="str">
        <f>Source!F373</f>
        <v>КА №43 ООО "НЕД-Инжиниринг"</v>
      </c>
      <c r="C522" s="53" t="s">
        <v>782</v>
      </c>
      <c r="D522" s="54" t="str">
        <f>Source!H373</f>
        <v>шт.</v>
      </c>
      <c r="E522" s="55">
        <f>Source!I373</f>
        <v>8</v>
      </c>
      <c r="F522" s="56">
        <f>Source!AL373</f>
        <v>17832.93</v>
      </c>
      <c r="G522" s="57" t="str">
        <f>Source!DD373</f>
        <v/>
      </c>
      <c r="H522" s="55">
        <f>Source!AW374</f>
        <v>1</v>
      </c>
      <c r="I522" s="56">
        <f>Source!P373</f>
        <v>142663.44</v>
      </c>
      <c r="J522" s="55">
        <f>IF(Source!BC374&lt;&gt; 0, Source!BC374, 1)</f>
        <v>7.66</v>
      </c>
      <c r="K522" s="56">
        <f>Source!P374</f>
        <v>1092801.95</v>
      </c>
      <c r="Q522">
        <f>Source!X373</f>
        <v>0</v>
      </c>
      <c r="R522">
        <f>Source!X374</f>
        <v>0</v>
      </c>
      <c r="S522">
        <f>Source!Y373</f>
        <v>0</v>
      </c>
      <c r="T522">
        <f>Source!Y374</f>
        <v>0</v>
      </c>
      <c r="U522">
        <f>ROUND((175/100)*ROUND(Source!R373, 2), 2)</f>
        <v>0</v>
      </c>
      <c r="V522">
        <f>ROUND((0/100)*ROUND(Source!R374, 2), 2)</f>
        <v>0</v>
      </c>
      <c r="AC522">
        <v>5</v>
      </c>
    </row>
    <row r="523" spans="1:29" ht="15" x14ac:dyDescent="0.25">
      <c r="A523" s="58"/>
      <c r="B523" s="58"/>
      <c r="C523" s="59" t="s">
        <v>717</v>
      </c>
      <c r="D523" s="58"/>
      <c r="E523" s="58"/>
      <c r="F523" s="58"/>
      <c r="G523" s="58"/>
      <c r="H523" s="60">
        <f>I522+0</f>
        <v>142663.44</v>
      </c>
      <c r="I523" s="60"/>
      <c r="J523" s="60">
        <f>K522+0</f>
        <v>1092801.95</v>
      </c>
      <c r="K523" s="60"/>
      <c r="O523" s="52">
        <f>I522+0</f>
        <v>142663.44</v>
      </c>
      <c r="P523" s="52">
        <f>K522+0</f>
        <v>1092801.95</v>
      </c>
    </row>
    <row r="525" spans="1:29" ht="78" x14ac:dyDescent="0.2">
      <c r="A525" s="39">
        <v>69</v>
      </c>
      <c r="B525" s="39" t="s">
        <v>757</v>
      </c>
      <c r="C525" s="39" t="s">
        <v>397</v>
      </c>
      <c r="D525" s="40" t="str">
        <f>Source!H375</f>
        <v>1  ШТ.</v>
      </c>
      <c r="E525" s="11">
        <f>Source!I375</f>
        <v>18</v>
      </c>
      <c r="F525" s="42"/>
      <c r="G525" s="41"/>
      <c r="H525" s="11"/>
      <c r="I525" s="42"/>
      <c r="J525" s="11"/>
      <c r="K525" s="42"/>
      <c r="Q525">
        <f>Source!X375</f>
        <v>125.94</v>
      </c>
      <c r="R525">
        <f>Source!X376</f>
        <v>6925.28</v>
      </c>
      <c r="S525">
        <f>Source!Y375</f>
        <v>64.37</v>
      </c>
      <c r="T525">
        <f>Source!Y376</f>
        <v>3539.59</v>
      </c>
      <c r="U525">
        <f>ROUND((175/100)*ROUND(Source!R375, 2), 2)</f>
        <v>0</v>
      </c>
      <c r="V525">
        <f>ROUND((0/100)*ROUND(Source!R376, 2), 2)</f>
        <v>0</v>
      </c>
      <c r="AC525">
        <v>0</v>
      </c>
    </row>
    <row r="526" spans="1:29" x14ac:dyDescent="0.2">
      <c r="C526" s="62" t="str">
        <f>"Объем: "&amp;Source!I375&amp;"=2+"&amp;"8+"&amp;"1+"&amp;"2+"&amp;"5"</f>
        <v>Объем: 18=2+8+1+2+5</v>
      </c>
    </row>
    <row r="527" spans="1:29" ht="14.25" x14ac:dyDescent="0.2">
      <c r="A527" s="39"/>
      <c r="B527" s="39"/>
      <c r="C527" s="39" t="s">
        <v>707</v>
      </c>
      <c r="D527" s="40"/>
      <c r="E527" s="11"/>
      <c r="F527" s="42">
        <f>Source!AO375</f>
        <v>6.75</v>
      </c>
      <c r="G527" s="41" t="str">
        <f>Source!DG375</f>
        <v>*1,1</v>
      </c>
      <c r="H527" s="11">
        <f>Source!AV376</f>
        <v>1.0469999999999999</v>
      </c>
      <c r="I527" s="42">
        <f>Source!S375</f>
        <v>139.93</v>
      </c>
      <c r="J527" s="11">
        <f>IF(Source!BA376&lt;&gt; 0, Source!BA376, 1)</f>
        <v>54.99</v>
      </c>
      <c r="K527" s="42">
        <f>Source!S376</f>
        <v>7694.75</v>
      </c>
    </row>
    <row r="528" spans="1:29" ht="57" x14ac:dyDescent="0.2">
      <c r="A528" s="39" t="s">
        <v>398</v>
      </c>
      <c r="B528" s="39" t="str">
        <f>Source!F377</f>
        <v>1.1-1-8146</v>
      </c>
      <c r="C528" s="39" t="s">
        <v>248</v>
      </c>
      <c r="D528" s="40" t="str">
        <f>Source!H377</f>
        <v>кг</v>
      </c>
      <c r="E528" s="11">
        <f>Source!I377</f>
        <v>0.63000000000000012</v>
      </c>
      <c r="F528" s="42">
        <f>Source!AK377</f>
        <v>31.08</v>
      </c>
      <c r="G528" s="61" t="s">
        <v>3</v>
      </c>
      <c r="H528" s="11">
        <f>Source!AW378</f>
        <v>1</v>
      </c>
      <c r="I528" s="42">
        <f>Source!O377</f>
        <v>19.579999999999998</v>
      </c>
      <c r="J528" s="11">
        <f>IF(Source!BC378&lt;&gt; 0, Source!BC378, 1)</f>
        <v>5.12</v>
      </c>
      <c r="K528" s="42">
        <f>Source!O378</f>
        <v>100.25</v>
      </c>
      <c r="Q528">
        <f>Source!X377</f>
        <v>0</v>
      </c>
      <c r="R528">
        <f>Source!X378</f>
        <v>0</v>
      </c>
      <c r="S528">
        <f>Source!Y377</f>
        <v>0</v>
      </c>
      <c r="T528">
        <f>Source!Y378</f>
        <v>0</v>
      </c>
      <c r="U528">
        <f>ROUND((175/100)*ROUND(Source!R377, 2), 2)</f>
        <v>0</v>
      </c>
      <c r="V528">
        <f>ROUND((0/100)*ROUND(Source!R378, 2), 2)</f>
        <v>0</v>
      </c>
      <c r="AC528">
        <v>3</v>
      </c>
    </row>
    <row r="529" spans="1:29" ht="14.25" x14ac:dyDescent="0.2">
      <c r="A529" s="39"/>
      <c r="B529" s="39"/>
      <c r="C529" s="39" t="s">
        <v>710</v>
      </c>
      <c r="D529" s="40" t="s">
        <v>711</v>
      </c>
      <c r="E529" s="11">
        <f>Source!BZ376</f>
        <v>90</v>
      </c>
      <c r="F529" s="42"/>
      <c r="G529" s="41"/>
      <c r="H529" s="11"/>
      <c r="I529" s="42">
        <f>SUM(Q525:Q528)</f>
        <v>125.94</v>
      </c>
      <c r="J529" s="11">
        <f>Source!AT376</f>
        <v>90</v>
      </c>
      <c r="K529" s="42">
        <f>SUM(R525:R528)</f>
        <v>6925.28</v>
      </c>
    </row>
    <row r="530" spans="1:29" ht="14.25" x14ac:dyDescent="0.2">
      <c r="A530" s="39"/>
      <c r="B530" s="39"/>
      <c r="C530" s="39" t="s">
        <v>712</v>
      </c>
      <c r="D530" s="40" t="s">
        <v>711</v>
      </c>
      <c r="E530" s="11">
        <f>Source!CA376</f>
        <v>46</v>
      </c>
      <c r="F530" s="42"/>
      <c r="G530" s="41"/>
      <c r="H530" s="11"/>
      <c r="I530" s="42">
        <f>SUM(S525:S529)</f>
        <v>64.37</v>
      </c>
      <c r="J530" s="11">
        <f>Source!AU376</f>
        <v>46</v>
      </c>
      <c r="K530" s="42">
        <f>SUM(T525:T529)</f>
        <v>3539.59</v>
      </c>
    </row>
    <row r="531" spans="1:29" ht="14.25" x14ac:dyDescent="0.2">
      <c r="A531" s="44"/>
      <c r="B531" s="44"/>
      <c r="C531" s="44" t="s">
        <v>713</v>
      </c>
      <c r="D531" s="45" t="s">
        <v>714</v>
      </c>
      <c r="E531" s="46">
        <f>Source!AQ375</f>
        <v>0.52</v>
      </c>
      <c r="F531" s="47"/>
      <c r="G531" s="48" t="str">
        <f>Source!DI375</f>
        <v>*1,1</v>
      </c>
      <c r="H531" s="46">
        <f>Source!AV376</f>
        <v>1.0469999999999999</v>
      </c>
      <c r="I531" s="47">
        <f>Source!U375</f>
        <v>10.779911999999999</v>
      </c>
      <c r="J531" s="46"/>
      <c r="K531" s="47"/>
    </row>
    <row r="532" spans="1:29" ht="15" x14ac:dyDescent="0.25">
      <c r="C532" s="31" t="s">
        <v>715</v>
      </c>
      <c r="H532" s="49">
        <f>I527+I529+I530+SUM(I528:I528)-SUMIF(AC528:AC528, 5, I528:I528)-SUMIF(AC528:AC528, 6, I528:I528)</f>
        <v>349.82</v>
      </c>
      <c r="I532" s="49"/>
      <c r="J532" s="49">
        <f>K527+K529+K530+SUM(K528:K528)-SUMIF(AC528:AC528, 5, K528:K528)-SUMIF(AC528:AC528, 6, K528:K528)</f>
        <v>18259.87</v>
      </c>
      <c r="K532" s="49"/>
    </row>
    <row r="533" spans="1:29" ht="15" x14ac:dyDescent="0.25">
      <c r="C533" s="31" t="s">
        <v>716</v>
      </c>
      <c r="H533" s="51">
        <f>SUMIF(AC528:AC528, 5, I528:I528)+SUMIF(AC528:AC528, 6, I528:I528)</f>
        <v>0</v>
      </c>
      <c r="I533" s="51"/>
      <c r="J533" s="51">
        <f>SUMIF(AC528:AC528, 5, K528:K528)+SUMIF(AC528:AC528, 6, K528:K528)</f>
        <v>0</v>
      </c>
      <c r="K533" s="51"/>
    </row>
    <row r="534" spans="1:29" ht="15" x14ac:dyDescent="0.25">
      <c r="C534" s="31" t="s">
        <v>717</v>
      </c>
      <c r="H534" s="51">
        <f>I527+I529+I530+SUM(I528:I528)</f>
        <v>349.82</v>
      </c>
      <c r="I534" s="51"/>
      <c r="J534" s="51">
        <f>K527+K529+K530+SUM(K528:K528)</f>
        <v>18259.87</v>
      </c>
      <c r="K534" s="51"/>
      <c r="O534" s="52">
        <f>I527+I529+I530+SUM(I528:I528)</f>
        <v>349.82</v>
      </c>
      <c r="P534" s="52">
        <f>K527+K529+K530+SUM(K528:K528)</f>
        <v>18259.87</v>
      </c>
    </row>
    <row r="536" spans="1:29" ht="68.25" x14ac:dyDescent="0.2">
      <c r="A536" s="53">
        <v>70</v>
      </c>
      <c r="B536" s="53" t="str">
        <f>Source!F379</f>
        <v>КА №44 ООО "НЕД-Инжиниринг"</v>
      </c>
      <c r="C536" s="53" t="s">
        <v>783</v>
      </c>
      <c r="D536" s="54" t="str">
        <f>Source!H379</f>
        <v>шт.</v>
      </c>
      <c r="E536" s="55">
        <f>Source!I379</f>
        <v>2</v>
      </c>
      <c r="F536" s="56">
        <f>Source!AL379</f>
        <v>3803.39</v>
      </c>
      <c r="G536" s="57" t="str">
        <f>Source!DD379</f>
        <v/>
      </c>
      <c r="H536" s="55">
        <f>Source!AW380</f>
        <v>1</v>
      </c>
      <c r="I536" s="56">
        <f>Source!P379</f>
        <v>7606.78</v>
      </c>
      <c r="J536" s="55">
        <f>IF(Source!BC380&lt;&gt; 0, Source!BC380, 1)</f>
        <v>7.66</v>
      </c>
      <c r="K536" s="56">
        <f>Source!P380</f>
        <v>58267.93</v>
      </c>
      <c r="Q536">
        <f>Source!X379</f>
        <v>0</v>
      </c>
      <c r="R536">
        <f>Source!X380</f>
        <v>0</v>
      </c>
      <c r="S536">
        <f>Source!Y379</f>
        <v>0</v>
      </c>
      <c r="T536">
        <f>Source!Y380</f>
        <v>0</v>
      </c>
      <c r="U536">
        <f>ROUND((175/100)*ROUND(Source!R379, 2), 2)</f>
        <v>0</v>
      </c>
      <c r="V536">
        <f>ROUND((0/100)*ROUND(Source!R380, 2), 2)</f>
        <v>0</v>
      </c>
      <c r="AC536">
        <v>5</v>
      </c>
    </row>
    <row r="537" spans="1:29" ht="15" x14ac:dyDescent="0.25">
      <c r="A537" s="58"/>
      <c r="B537" s="58"/>
      <c r="C537" s="59" t="s">
        <v>717</v>
      </c>
      <c r="D537" s="58"/>
      <c r="E537" s="58"/>
      <c r="F537" s="58"/>
      <c r="G537" s="58"/>
      <c r="H537" s="60">
        <f>I536+0</f>
        <v>7606.78</v>
      </c>
      <c r="I537" s="60"/>
      <c r="J537" s="60">
        <f>K536+0</f>
        <v>58267.93</v>
      </c>
      <c r="K537" s="60"/>
      <c r="O537" s="52">
        <f>I536+0</f>
        <v>7606.78</v>
      </c>
      <c r="P537" s="52">
        <f>K536+0</f>
        <v>58267.93</v>
      </c>
    </row>
    <row r="539" spans="1:29" ht="68.25" x14ac:dyDescent="0.2">
      <c r="A539" s="53">
        <v>71</v>
      </c>
      <c r="B539" s="53" t="str">
        <f>Source!F381</f>
        <v>КА №45 ООО "НЕД-Инжиниринг"</v>
      </c>
      <c r="C539" s="53" t="s">
        <v>784</v>
      </c>
      <c r="D539" s="54" t="str">
        <f>Source!H381</f>
        <v>шт.</v>
      </c>
      <c r="E539" s="55">
        <f>Source!I381</f>
        <v>8</v>
      </c>
      <c r="F539" s="56">
        <f>Source!AL381</f>
        <v>1656.3000000000002</v>
      </c>
      <c r="G539" s="57" t="str">
        <f>Source!DD381</f>
        <v/>
      </c>
      <c r="H539" s="55">
        <f>Source!AW382</f>
        <v>1</v>
      </c>
      <c r="I539" s="56">
        <f>Source!P381</f>
        <v>13250.4</v>
      </c>
      <c r="J539" s="55">
        <f>IF(Source!BC382&lt;&gt; 0, Source!BC382, 1)</f>
        <v>7.66</v>
      </c>
      <c r="K539" s="56">
        <f>Source!P382</f>
        <v>101498.06</v>
      </c>
      <c r="Q539">
        <f>Source!X381</f>
        <v>0</v>
      </c>
      <c r="R539">
        <f>Source!X382</f>
        <v>0</v>
      </c>
      <c r="S539">
        <f>Source!Y381</f>
        <v>0</v>
      </c>
      <c r="T539">
        <f>Source!Y382</f>
        <v>0</v>
      </c>
      <c r="U539">
        <f>ROUND((175/100)*ROUND(Source!R381, 2), 2)</f>
        <v>0</v>
      </c>
      <c r="V539">
        <f>ROUND((0/100)*ROUND(Source!R382, 2), 2)</f>
        <v>0</v>
      </c>
      <c r="AC539">
        <v>5</v>
      </c>
    </row>
    <row r="540" spans="1:29" ht="15" x14ac:dyDescent="0.25">
      <c r="A540" s="58"/>
      <c r="B540" s="58"/>
      <c r="C540" s="59" t="s">
        <v>717</v>
      </c>
      <c r="D540" s="58"/>
      <c r="E540" s="58"/>
      <c r="F540" s="58"/>
      <c r="G540" s="58"/>
      <c r="H540" s="60">
        <f>I539+0</f>
        <v>13250.4</v>
      </c>
      <c r="I540" s="60"/>
      <c r="J540" s="60">
        <f>K539+0</f>
        <v>101498.06</v>
      </c>
      <c r="K540" s="60"/>
      <c r="O540" s="52">
        <f>I539+0</f>
        <v>13250.4</v>
      </c>
      <c r="P540" s="52">
        <f>K539+0</f>
        <v>101498.06</v>
      </c>
    </row>
    <row r="542" spans="1:29" ht="68.25" x14ac:dyDescent="0.2">
      <c r="A542" s="53">
        <v>72</v>
      </c>
      <c r="B542" s="53" t="str">
        <f>Source!F383</f>
        <v>КА №46 ООО "НЕД-Инжиниринг"</v>
      </c>
      <c r="C542" s="53" t="s">
        <v>785</v>
      </c>
      <c r="D542" s="54" t="str">
        <f>Source!H383</f>
        <v>шт.</v>
      </c>
      <c r="E542" s="55">
        <f>Source!I383</f>
        <v>1</v>
      </c>
      <c r="F542" s="56">
        <f>Source!AL383</f>
        <v>5531.24</v>
      </c>
      <c r="G542" s="57" t="str">
        <f>Source!DD383</f>
        <v/>
      </c>
      <c r="H542" s="55">
        <f>Source!AW384</f>
        <v>1</v>
      </c>
      <c r="I542" s="56">
        <f>Source!P383</f>
        <v>5531.24</v>
      </c>
      <c r="J542" s="55">
        <f>IF(Source!BC384&lt;&gt; 0, Source!BC384, 1)</f>
        <v>7.66</v>
      </c>
      <c r="K542" s="56">
        <f>Source!P384</f>
        <v>42369.3</v>
      </c>
      <c r="Q542">
        <f>Source!X383</f>
        <v>0</v>
      </c>
      <c r="R542">
        <f>Source!X384</f>
        <v>0</v>
      </c>
      <c r="S542">
        <f>Source!Y383</f>
        <v>0</v>
      </c>
      <c r="T542">
        <f>Source!Y384</f>
        <v>0</v>
      </c>
      <c r="U542">
        <f>ROUND((175/100)*ROUND(Source!R383, 2), 2)</f>
        <v>0</v>
      </c>
      <c r="V542">
        <f>ROUND((0/100)*ROUND(Source!R384, 2), 2)</f>
        <v>0</v>
      </c>
      <c r="AC542">
        <v>5</v>
      </c>
    </row>
    <row r="543" spans="1:29" ht="15" x14ac:dyDescent="0.25">
      <c r="A543" s="58"/>
      <c r="B543" s="58"/>
      <c r="C543" s="59" t="s">
        <v>717</v>
      </c>
      <c r="D543" s="58"/>
      <c r="E543" s="58"/>
      <c r="F543" s="58"/>
      <c r="G543" s="58"/>
      <c r="H543" s="60">
        <f>I542+0</f>
        <v>5531.24</v>
      </c>
      <c r="I543" s="60"/>
      <c r="J543" s="60">
        <f>K542+0</f>
        <v>42369.3</v>
      </c>
      <c r="K543" s="60"/>
      <c r="O543" s="52">
        <f>I542+0</f>
        <v>5531.24</v>
      </c>
      <c r="P543" s="52">
        <f>K542+0</f>
        <v>42369.3</v>
      </c>
    </row>
    <row r="545" spans="1:29" ht="68.25" x14ac:dyDescent="0.2">
      <c r="A545" s="53">
        <v>73</v>
      </c>
      <c r="B545" s="53" t="str">
        <f>Source!F385</f>
        <v>КА №47 ООО "НЕД-Инжиниринг"</v>
      </c>
      <c r="C545" s="53" t="s">
        <v>786</v>
      </c>
      <c r="D545" s="54" t="str">
        <f>Source!H385</f>
        <v>шт.</v>
      </c>
      <c r="E545" s="55">
        <f>Source!I385</f>
        <v>2</v>
      </c>
      <c r="F545" s="56">
        <f>Source!AL385</f>
        <v>2637.88</v>
      </c>
      <c r="G545" s="57" t="str">
        <f>Source!DD385</f>
        <v/>
      </c>
      <c r="H545" s="55">
        <f>Source!AW386</f>
        <v>1</v>
      </c>
      <c r="I545" s="56">
        <f>Source!P385</f>
        <v>5275.76</v>
      </c>
      <c r="J545" s="55">
        <f>IF(Source!BC386&lt;&gt; 0, Source!BC386, 1)</f>
        <v>7.66</v>
      </c>
      <c r="K545" s="56">
        <f>Source!P386</f>
        <v>40412.32</v>
      </c>
      <c r="Q545">
        <f>Source!X385</f>
        <v>0</v>
      </c>
      <c r="R545">
        <f>Source!X386</f>
        <v>0</v>
      </c>
      <c r="S545">
        <f>Source!Y385</f>
        <v>0</v>
      </c>
      <c r="T545">
        <f>Source!Y386</f>
        <v>0</v>
      </c>
      <c r="U545">
        <f>ROUND((175/100)*ROUND(Source!R385, 2), 2)</f>
        <v>0</v>
      </c>
      <c r="V545">
        <f>ROUND((0/100)*ROUND(Source!R386, 2), 2)</f>
        <v>0</v>
      </c>
      <c r="AC545">
        <v>5</v>
      </c>
    </row>
    <row r="546" spans="1:29" ht="15" x14ac:dyDescent="0.25">
      <c r="A546" s="58"/>
      <c r="B546" s="58"/>
      <c r="C546" s="59" t="s">
        <v>717</v>
      </c>
      <c r="D546" s="58"/>
      <c r="E546" s="58"/>
      <c r="F546" s="58"/>
      <c r="G546" s="58"/>
      <c r="H546" s="60">
        <f>I545+0</f>
        <v>5275.76</v>
      </c>
      <c r="I546" s="60"/>
      <c r="J546" s="60">
        <f>K545+0</f>
        <v>40412.32</v>
      </c>
      <c r="K546" s="60"/>
      <c r="O546" s="52">
        <f>I545+0</f>
        <v>5275.76</v>
      </c>
      <c r="P546" s="52">
        <f>K545+0</f>
        <v>40412.32</v>
      </c>
    </row>
    <row r="548" spans="1:29" ht="68.25" x14ac:dyDescent="0.2">
      <c r="A548" s="53">
        <v>74</v>
      </c>
      <c r="B548" s="53" t="str">
        <f>Source!F387</f>
        <v>КА №48 ООО "НЕД-Инжиниринг"</v>
      </c>
      <c r="C548" s="53" t="s">
        <v>787</v>
      </c>
      <c r="D548" s="54" t="str">
        <f>Source!H387</f>
        <v>шт.</v>
      </c>
      <c r="E548" s="55">
        <f>Source!I387</f>
        <v>5</v>
      </c>
      <c r="F548" s="56">
        <f>Source!AL387</f>
        <v>1482.46</v>
      </c>
      <c r="G548" s="57" t="str">
        <f>Source!DD387</f>
        <v/>
      </c>
      <c r="H548" s="55">
        <f>Source!AW388</f>
        <v>1</v>
      </c>
      <c r="I548" s="56">
        <f>Source!P387</f>
        <v>7412.3</v>
      </c>
      <c r="J548" s="55">
        <f>IF(Source!BC388&lt;&gt; 0, Source!BC388, 1)</f>
        <v>7.66</v>
      </c>
      <c r="K548" s="56">
        <f>Source!P388</f>
        <v>56778.22</v>
      </c>
      <c r="Q548">
        <f>Source!X387</f>
        <v>0</v>
      </c>
      <c r="R548">
        <f>Source!X388</f>
        <v>0</v>
      </c>
      <c r="S548">
        <f>Source!Y387</f>
        <v>0</v>
      </c>
      <c r="T548">
        <f>Source!Y388</f>
        <v>0</v>
      </c>
      <c r="U548">
        <f>ROUND((175/100)*ROUND(Source!R387, 2), 2)</f>
        <v>0</v>
      </c>
      <c r="V548">
        <f>ROUND((0/100)*ROUND(Source!R388, 2), 2)</f>
        <v>0</v>
      </c>
      <c r="AC548">
        <v>5</v>
      </c>
    </row>
    <row r="549" spans="1:29" ht="15" x14ac:dyDescent="0.25">
      <c r="A549" s="58"/>
      <c r="B549" s="58"/>
      <c r="C549" s="59" t="s">
        <v>717</v>
      </c>
      <c r="D549" s="58"/>
      <c r="E549" s="58"/>
      <c r="F549" s="58"/>
      <c r="G549" s="58"/>
      <c r="H549" s="60">
        <f>I548+0</f>
        <v>7412.3</v>
      </c>
      <c r="I549" s="60"/>
      <c r="J549" s="60">
        <f>K548+0</f>
        <v>56778.22</v>
      </c>
      <c r="K549" s="60"/>
      <c r="O549" s="52">
        <f>I548+0</f>
        <v>7412.3</v>
      </c>
      <c r="P549" s="52">
        <f>K548+0</f>
        <v>56778.22</v>
      </c>
    </row>
    <row r="551" spans="1:29" ht="78" x14ac:dyDescent="0.2">
      <c r="A551" s="39">
        <v>75</v>
      </c>
      <c r="B551" s="39" t="s">
        <v>757</v>
      </c>
      <c r="C551" s="39" t="s">
        <v>397</v>
      </c>
      <c r="D551" s="40" t="str">
        <f>Source!H389</f>
        <v>1  ШТ.</v>
      </c>
      <c r="E551" s="11">
        <f>Source!I389</f>
        <v>43</v>
      </c>
      <c r="F551" s="42"/>
      <c r="G551" s="41"/>
      <c r="H551" s="11"/>
      <c r="I551" s="42"/>
      <c r="J551" s="11"/>
      <c r="K551" s="42"/>
      <c r="Q551">
        <f>Source!X389</f>
        <v>300.85000000000002</v>
      </c>
      <c r="R551">
        <f>Source!X390</f>
        <v>16543.849999999999</v>
      </c>
      <c r="S551">
        <f>Source!Y389</f>
        <v>153.77000000000001</v>
      </c>
      <c r="T551">
        <f>Source!Y390</f>
        <v>8455.75</v>
      </c>
      <c r="U551">
        <f>ROUND((175/100)*ROUND(Source!R389, 2), 2)</f>
        <v>0</v>
      </c>
      <c r="V551">
        <f>ROUND((0/100)*ROUND(Source!R390, 2), 2)</f>
        <v>0</v>
      </c>
      <c r="AC551">
        <v>0</v>
      </c>
    </row>
    <row r="552" spans="1:29" ht="14.25" x14ac:dyDescent="0.2">
      <c r="A552" s="39"/>
      <c r="B552" s="39"/>
      <c r="C552" s="39" t="s">
        <v>707</v>
      </c>
      <c r="D552" s="40"/>
      <c r="E552" s="11"/>
      <c r="F552" s="42">
        <f>Source!AO389</f>
        <v>6.75</v>
      </c>
      <c r="G552" s="41" t="str">
        <f>Source!DG389</f>
        <v>*1,1</v>
      </c>
      <c r="H552" s="11">
        <f>Source!AV390</f>
        <v>1.0469999999999999</v>
      </c>
      <c r="I552" s="42">
        <f>Source!S389</f>
        <v>334.28</v>
      </c>
      <c r="J552" s="11">
        <f>IF(Source!BA390&lt;&gt; 0, Source!BA390, 1)</f>
        <v>54.99</v>
      </c>
      <c r="K552" s="42">
        <f>Source!S390</f>
        <v>18382.060000000001</v>
      </c>
    </row>
    <row r="553" spans="1:29" ht="57" x14ac:dyDescent="0.2">
      <c r="A553" s="39" t="s">
        <v>420</v>
      </c>
      <c r="B553" s="39" t="str">
        <f>Source!F391</f>
        <v>1.1-1-8146</v>
      </c>
      <c r="C553" s="39" t="s">
        <v>248</v>
      </c>
      <c r="D553" s="40" t="str">
        <f>Source!H391</f>
        <v>кг</v>
      </c>
      <c r="E553" s="11">
        <f>Source!I391</f>
        <v>1.5049999999999999</v>
      </c>
      <c r="F553" s="42">
        <f>Source!AK391</f>
        <v>31.08</v>
      </c>
      <c r="G553" s="61" t="s">
        <v>3</v>
      </c>
      <c r="H553" s="11">
        <f>Source!AW392</f>
        <v>1</v>
      </c>
      <c r="I553" s="42">
        <f>Source!O391</f>
        <v>46.78</v>
      </c>
      <c r="J553" s="11">
        <f>IF(Source!BC392&lt;&gt; 0, Source!BC392, 1)</f>
        <v>5.12</v>
      </c>
      <c r="K553" s="42">
        <f>Source!O392</f>
        <v>239.51</v>
      </c>
      <c r="Q553">
        <f>Source!X391</f>
        <v>0</v>
      </c>
      <c r="R553">
        <f>Source!X392</f>
        <v>0</v>
      </c>
      <c r="S553">
        <f>Source!Y391</f>
        <v>0</v>
      </c>
      <c r="T553">
        <f>Source!Y392</f>
        <v>0</v>
      </c>
      <c r="U553">
        <f>ROUND((175/100)*ROUND(Source!R391, 2), 2)</f>
        <v>0</v>
      </c>
      <c r="V553">
        <f>ROUND((0/100)*ROUND(Source!R392, 2), 2)</f>
        <v>0</v>
      </c>
      <c r="AC553">
        <v>3</v>
      </c>
    </row>
    <row r="554" spans="1:29" ht="14.25" x14ac:dyDescent="0.2">
      <c r="A554" s="39"/>
      <c r="B554" s="39"/>
      <c r="C554" s="39" t="s">
        <v>710</v>
      </c>
      <c r="D554" s="40" t="s">
        <v>711</v>
      </c>
      <c r="E554" s="11">
        <f>Source!BZ390</f>
        <v>90</v>
      </c>
      <c r="F554" s="42"/>
      <c r="G554" s="41"/>
      <c r="H554" s="11"/>
      <c r="I554" s="42">
        <f>SUM(Q551:Q553)</f>
        <v>300.85000000000002</v>
      </c>
      <c r="J554" s="11">
        <f>Source!AT390</f>
        <v>90</v>
      </c>
      <c r="K554" s="42">
        <f>SUM(R551:R553)</f>
        <v>16543.849999999999</v>
      </c>
    </row>
    <row r="555" spans="1:29" ht="14.25" x14ac:dyDescent="0.2">
      <c r="A555" s="39"/>
      <c r="B555" s="39"/>
      <c r="C555" s="39" t="s">
        <v>712</v>
      </c>
      <c r="D555" s="40" t="s">
        <v>711</v>
      </c>
      <c r="E555" s="11">
        <f>Source!CA390</f>
        <v>46</v>
      </c>
      <c r="F555" s="42"/>
      <c r="G555" s="41"/>
      <c r="H555" s="11"/>
      <c r="I555" s="42">
        <f>SUM(S551:S554)</f>
        <v>153.77000000000001</v>
      </c>
      <c r="J555" s="11">
        <f>Source!AU390</f>
        <v>46</v>
      </c>
      <c r="K555" s="42">
        <f>SUM(T551:T554)</f>
        <v>8455.75</v>
      </c>
    </row>
    <row r="556" spans="1:29" ht="14.25" x14ac:dyDescent="0.2">
      <c r="A556" s="44"/>
      <c r="B556" s="44"/>
      <c r="C556" s="44" t="s">
        <v>713</v>
      </c>
      <c r="D556" s="45" t="s">
        <v>714</v>
      </c>
      <c r="E556" s="46">
        <f>Source!AQ389</f>
        <v>0.52</v>
      </c>
      <c r="F556" s="47"/>
      <c r="G556" s="48" t="str">
        <f>Source!DI389</f>
        <v>*1,1</v>
      </c>
      <c r="H556" s="46">
        <f>Source!AV390</f>
        <v>1.0469999999999999</v>
      </c>
      <c r="I556" s="47">
        <f>Source!U389</f>
        <v>25.752012000000001</v>
      </c>
      <c r="J556" s="46"/>
      <c r="K556" s="47"/>
    </row>
    <row r="557" spans="1:29" ht="15" x14ac:dyDescent="0.25">
      <c r="C557" s="31" t="s">
        <v>715</v>
      </c>
      <c r="H557" s="49">
        <f>I552+I554+I555+SUM(I553:I553)-SUMIF(AC553:AC553, 5, I553:I553)-SUMIF(AC553:AC553, 6, I553:I553)</f>
        <v>835.68</v>
      </c>
      <c r="I557" s="49"/>
      <c r="J557" s="49">
        <f>K552+K554+K555+SUM(K553:K553)-SUMIF(AC553:AC553, 5, K553:K553)-SUMIF(AC553:AC553, 6, K553:K553)</f>
        <v>43621.170000000006</v>
      </c>
      <c r="K557" s="49"/>
    </row>
    <row r="558" spans="1:29" ht="15" x14ac:dyDescent="0.25">
      <c r="C558" s="31" t="s">
        <v>716</v>
      </c>
      <c r="H558" s="51">
        <f>SUMIF(AC553:AC553, 5, I553:I553)+SUMIF(AC553:AC553, 6, I553:I553)</f>
        <v>0</v>
      </c>
      <c r="I558" s="51"/>
      <c r="J558" s="51">
        <f>SUMIF(AC553:AC553, 5, K553:K553)+SUMIF(AC553:AC553, 6, K553:K553)</f>
        <v>0</v>
      </c>
      <c r="K558" s="51"/>
    </row>
    <row r="559" spans="1:29" ht="15" x14ac:dyDescent="0.25">
      <c r="C559" s="31" t="s">
        <v>717</v>
      </c>
      <c r="H559" s="51">
        <f>I552+I554+I555+SUM(I553:I553)</f>
        <v>835.68</v>
      </c>
      <c r="I559" s="51"/>
      <c r="J559" s="51">
        <f>K552+K554+K555+SUM(K553:K553)</f>
        <v>43621.170000000006</v>
      </c>
      <c r="K559" s="51"/>
      <c r="O559" s="52">
        <f>I552+I554+I555+SUM(I553:I553)</f>
        <v>835.68</v>
      </c>
      <c r="P559" s="52">
        <f>K552+K554+K555+SUM(K553:K553)</f>
        <v>43621.170000000006</v>
      </c>
    </row>
    <row r="561" spans="1:29" ht="57" x14ac:dyDescent="0.2">
      <c r="A561" s="53">
        <v>76</v>
      </c>
      <c r="B561" s="53" t="str">
        <f>Source!F393</f>
        <v>КА №49 ООО "НЕД-Инжиниринг"</v>
      </c>
      <c r="C561" s="53" t="s">
        <v>788</v>
      </c>
      <c r="D561" s="54" t="str">
        <f>Source!H393</f>
        <v>шт.</v>
      </c>
      <c r="E561" s="55">
        <f>Source!I393</f>
        <v>43</v>
      </c>
      <c r="F561" s="56">
        <f>Source!AL393</f>
        <v>272.16000000000003</v>
      </c>
      <c r="G561" s="57" t="str">
        <f>Source!DD393</f>
        <v/>
      </c>
      <c r="H561" s="55">
        <f>Source!AW394</f>
        <v>1</v>
      </c>
      <c r="I561" s="56">
        <f>Source!P393</f>
        <v>11702.88</v>
      </c>
      <c r="J561" s="55">
        <f>IF(Source!BC394&lt;&gt; 0, Source!BC394, 1)</f>
        <v>7.66</v>
      </c>
      <c r="K561" s="56">
        <f>Source!P394</f>
        <v>89644.06</v>
      </c>
      <c r="Q561">
        <f>Source!X393</f>
        <v>0</v>
      </c>
      <c r="R561">
        <f>Source!X394</f>
        <v>0</v>
      </c>
      <c r="S561">
        <f>Source!Y393</f>
        <v>0</v>
      </c>
      <c r="T561">
        <f>Source!Y394</f>
        <v>0</v>
      </c>
      <c r="U561">
        <f>ROUND((175/100)*ROUND(Source!R393, 2), 2)</f>
        <v>0</v>
      </c>
      <c r="V561">
        <f>ROUND((0/100)*ROUND(Source!R394, 2), 2)</f>
        <v>0</v>
      </c>
      <c r="AC561">
        <v>5</v>
      </c>
    </row>
    <row r="562" spans="1:29" ht="15" x14ac:dyDescent="0.25">
      <c r="A562" s="58"/>
      <c r="B562" s="58"/>
      <c r="C562" s="59" t="s">
        <v>717</v>
      </c>
      <c r="D562" s="58"/>
      <c r="E562" s="58"/>
      <c r="F562" s="58"/>
      <c r="G562" s="58"/>
      <c r="H562" s="60">
        <f>I561+0</f>
        <v>11702.88</v>
      </c>
      <c r="I562" s="60"/>
      <c r="J562" s="60">
        <f>K561+0</f>
        <v>89644.06</v>
      </c>
      <c r="K562" s="60"/>
      <c r="O562" s="52">
        <f>I561+0</f>
        <v>11702.88</v>
      </c>
      <c r="P562" s="52">
        <f>K561+0</f>
        <v>89644.06</v>
      </c>
    </row>
    <row r="564" spans="1:29" ht="78" x14ac:dyDescent="0.2">
      <c r="A564" s="39">
        <v>77</v>
      </c>
      <c r="B564" s="39" t="s">
        <v>727</v>
      </c>
      <c r="C564" s="39" t="s">
        <v>76</v>
      </c>
      <c r="D564" s="40" t="str">
        <f>Source!H395</f>
        <v>100 м</v>
      </c>
      <c r="E564" s="11">
        <f>Source!I395</f>
        <v>31.5</v>
      </c>
      <c r="F564" s="42"/>
      <c r="G564" s="41"/>
      <c r="H564" s="11"/>
      <c r="I564" s="42"/>
      <c r="J564" s="11"/>
      <c r="K564" s="42"/>
      <c r="Q564">
        <f>Source!X395</f>
        <v>6966.6</v>
      </c>
      <c r="R564">
        <f>Source!X396</f>
        <v>383093.24</v>
      </c>
      <c r="S564">
        <f>Source!Y395</f>
        <v>3662.85</v>
      </c>
      <c r="T564">
        <f>Source!Y396</f>
        <v>201420.15</v>
      </c>
      <c r="U564">
        <f>ROUND((175/100)*ROUND(Source!R395, 2), 2)</f>
        <v>362.51</v>
      </c>
      <c r="V564">
        <f>ROUND((0/100)*ROUND(Source!R396, 2), 2)</f>
        <v>0</v>
      </c>
      <c r="AC564">
        <v>0</v>
      </c>
    </row>
    <row r="565" spans="1:29" x14ac:dyDescent="0.2">
      <c r="C565" s="62" t="str">
        <f>"Объем: "&amp;Source!I395&amp;"=3150/"&amp;"100"</f>
        <v>Объем: 31,5=3150/100</v>
      </c>
    </row>
    <row r="566" spans="1:29" ht="14.25" x14ac:dyDescent="0.2">
      <c r="A566" s="39"/>
      <c r="B566" s="39"/>
      <c r="C566" s="39" t="s">
        <v>707</v>
      </c>
      <c r="D566" s="40"/>
      <c r="E566" s="11"/>
      <c r="F566" s="42">
        <f>Source!AO395</f>
        <v>192.26</v>
      </c>
      <c r="G566" s="41" t="str">
        <f>Source!DG395</f>
        <v>*1,1</v>
      </c>
      <c r="H566" s="11">
        <f>Source!AV396</f>
        <v>1.0469999999999999</v>
      </c>
      <c r="I566" s="42">
        <f>Source!S395</f>
        <v>6974.91</v>
      </c>
      <c r="J566" s="11">
        <f>IF(Source!BA396&lt;&gt; 0, Source!BA396, 1)</f>
        <v>54.99</v>
      </c>
      <c r="K566" s="42">
        <f>Source!S396</f>
        <v>383550.3</v>
      </c>
    </row>
    <row r="567" spans="1:29" ht="14.25" x14ac:dyDescent="0.2">
      <c r="A567" s="39"/>
      <c r="B567" s="39"/>
      <c r="C567" s="39" t="s">
        <v>708</v>
      </c>
      <c r="D567" s="40"/>
      <c r="E567" s="11"/>
      <c r="F567" s="42">
        <f>Source!AM395</f>
        <v>32.869999999999997</v>
      </c>
      <c r="G567" s="41" t="str">
        <f>Source!DE395</f>
        <v>*1,1</v>
      </c>
      <c r="H567" s="11">
        <f>Source!AV396</f>
        <v>1.0469999999999999</v>
      </c>
      <c r="I567" s="42">
        <f>Source!Q395</f>
        <v>1192.48</v>
      </c>
      <c r="J567" s="11">
        <f>IF(Source!BB396&lt;&gt; 0, Source!BB396, 1)</f>
        <v>17.850000000000001</v>
      </c>
      <c r="K567" s="42">
        <f>Source!Q396</f>
        <v>21285.77</v>
      </c>
    </row>
    <row r="568" spans="1:29" ht="14.25" x14ac:dyDescent="0.2">
      <c r="A568" s="39"/>
      <c r="B568" s="39"/>
      <c r="C568" s="39" t="s">
        <v>709</v>
      </c>
      <c r="D568" s="40"/>
      <c r="E568" s="11"/>
      <c r="F568" s="42">
        <f>Source!AN395</f>
        <v>5.71</v>
      </c>
      <c r="G568" s="41" t="str">
        <f>Source!DF395</f>
        <v>*1,1</v>
      </c>
      <c r="H568" s="11">
        <f>Source!AV396</f>
        <v>1.0469999999999999</v>
      </c>
      <c r="I568" s="43">
        <f>Source!R395</f>
        <v>207.15</v>
      </c>
      <c r="J568" s="11">
        <f>IF(Source!BS396&lt;&gt; 0, Source!BS396, 1)</f>
        <v>54.99</v>
      </c>
      <c r="K568" s="43">
        <f>Source!R396</f>
        <v>11391.18</v>
      </c>
    </row>
    <row r="569" spans="1:29" ht="14.25" x14ac:dyDescent="0.2">
      <c r="A569" s="39"/>
      <c r="B569" s="39"/>
      <c r="C569" s="39" t="s">
        <v>720</v>
      </c>
      <c r="D569" s="40"/>
      <c r="E569" s="11"/>
      <c r="F569" s="42">
        <f>Source!AL395</f>
        <v>314.29000000000002</v>
      </c>
      <c r="G569" s="41" t="str">
        <f>Source!DD395</f>
        <v/>
      </c>
      <c r="H569" s="11">
        <f>Source!AW396</f>
        <v>1</v>
      </c>
      <c r="I569" s="42">
        <f>Source!P395</f>
        <v>9900.14</v>
      </c>
      <c r="J569" s="11">
        <f>IF(Source!BC396&lt;&gt; 0, Source!BC396, 1)</f>
        <v>9.89</v>
      </c>
      <c r="K569" s="42">
        <f>Source!P396</f>
        <v>97912.38</v>
      </c>
    </row>
    <row r="570" spans="1:29" ht="42.75" x14ac:dyDescent="0.2">
      <c r="A570" s="39" t="s">
        <v>426</v>
      </c>
      <c r="B570" s="39" t="str">
        <f>Source!F397</f>
        <v>1.12-5-372</v>
      </c>
      <c r="C570" s="39" t="s">
        <v>83</v>
      </c>
      <c r="D570" s="40" t="str">
        <f>Source!H397</f>
        <v>м</v>
      </c>
      <c r="E570" s="11">
        <f>Source!I397</f>
        <v>3213</v>
      </c>
      <c r="F570" s="42">
        <f>Source!AK397</f>
        <v>3.45</v>
      </c>
      <c r="G570" s="61" t="s">
        <v>3</v>
      </c>
      <c r="H570" s="11">
        <f>Source!AW398</f>
        <v>1</v>
      </c>
      <c r="I570" s="42">
        <f>Source!O397</f>
        <v>11084.85</v>
      </c>
      <c r="J570" s="11">
        <f>IF(Source!BC398&lt;&gt; 0, Source!BC398, 1)</f>
        <v>3.93</v>
      </c>
      <c r="K570" s="42">
        <f>Source!O398</f>
        <v>43563.46</v>
      </c>
      <c r="Q570">
        <f>Source!X397</f>
        <v>0</v>
      </c>
      <c r="R570">
        <f>Source!X398</f>
        <v>0</v>
      </c>
      <c r="S570">
        <f>Source!Y397</f>
        <v>0</v>
      </c>
      <c r="T570">
        <f>Source!Y398</f>
        <v>0</v>
      </c>
      <c r="U570">
        <f>ROUND((175/100)*ROUND(Source!R397, 2), 2)</f>
        <v>0</v>
      </c>
      <c r="V570">
        <f>ROUND((0/100)*ROUND(Source!R398, 2), 2)</f>
        <v>0</v>
      </c>
      <c r="AC570">
        <v>3</v>
      </c>
    </row>
    <row r="571" spans="1:29" ht="14.25" x14ac:dyDescent="0.2">
      <c r="A571" s="39"/>
      <c r="B571" s="39"/>
      <c r="C571" s="39" t="s">
        <v>710</v>
      </c>
      <c r="D571" s="40" t="s">
        <v>711</v>
      </c>
      <c r="E571" s="11">
        <f>Source!BZ396</f>
        <v>97</v>
      </c>
      <c r="F571" s="42"/>
      <c r="G571" s="41"/>
      <c r="H571" s="11"/>
      <c r="I571" s="42">
        <f>SUM(Q564:Q570)</f>
        <v>6966.6</v>
      </c>
      <c r="J571" s="11">
        <f>Source!AT396</f>
        <v>97</v>
      </c>
      <c r="K571" s="42">
        <f>SUM(R564:R570)</f>
        <v>383093.24</v>
      </c>
    </row>
    <row r="572" spans="1:29" ht="14.25" x14ac:dyDescent="0.2">
      <c r="A572" s="39"/>
      <c r="B572" s="39"/>
      <c r="C572" s="39" t="s">
        <v>712</v>
      </c>
      <c r="D572" s="40" t="s">
        <v>711</v>
      </c>
      <c r="E572" s="11">
        <f>Source!CA396</f>
        <v>51</v>
      </c>
      <c r="F572" s="42"/>
      <c r="G572" s="41"/>
      <c r="H572" s="11"/>
      <c r="I572" s="42">
        <f>SUM(S564:S571)</f>
        <v>3662.85</v>
      </c>
      <c r="J572" s="11">
        <f>Source!AU396</f>
        <v>51</v>
      </c>
      <c r="K572" s="42">
        <f>SUM(T564:T571)</f>
        <v>201420.15</v>
      </c>
    </row>
    <row r="573" spans="1:29" ht="14.25" x14ac:dyDescent="0.2">
      <c r="A573" s="44"/>
      <c r="B573" s="44"/>
      <c r="C573" s="44" t="s">
        <v>713</v>
      </c>
      <c r="D573" s="45" t="s">
        <v>714</v>
      </c>
      <c r="E573" s="46">
        <f>Source!AQ395</f>
        <v>15</v>
      </c>
      <c r="F573" s="47"/>
      <c r="G573" s="48" t="str">
        <f>Source!DI395</f>
        <v>*1,1</v>
      </c>
      <c r="H573" s="46">
        <f>Source!AV396</f>
        <v>1.0469999999999999</v>
      </c>
      <c r="I573" s="47">
        <f>Source!U395</f>
        <v>544.17824999999993</v>
      </c>
      <c r="J573" s="46"/>
      <c r="K573" s="47"/>
    </row>
    <row r="574" spans="1:29" ht="15" x14ac:dyDescent="0.25">
      <c r="C574" s="31" t="s">
        <v>715</v>
      </c>
      <c r="H574" s="49">
        <f>I566+I567+I569+I571+I572+SUM(I570:I570)-SUMIF(AC570:AC570, 5, I570:I570)-SUMIF(AC570:AC570, 6, I570:I570)</f>
        <v>39781.829999999994</v>
      </c>
      <c r="I574" s="49"/>
      <c r="J574" s="49">
        <f>K566+K567+K569+K571+K572+SUM(K570:K570)-SUMIF(AC570:AC570, 5, K570:K570)-SUMIF(AC570:AC570, 6, K570:K570)</f>
        <v>1130825.2999999998</v>
      </c>
      <c r="K574" s="49"/>
    </row>
    <row r="575" spans="1:29" ht="15" x14ac:dyDescent="0.25">
      <c r="C575" s="31" t="s">
        <v>716</v>
      </c>
      <c r="H575" s="51">
        <f>SUMIF(AC570:AC570, 5, I570:I570)+SUMIF(AC570:AC570, 6, I570:I570)</f>
        <v>0</v>
      </c>
      <c r="I575" s="51"/>
      <c r="J575" s="51">
        <f>SUMIF(AC570:AC570, 5, K570:K570)+SUMIF(AC570:AC570, 6, K570:K570)</f>
        <v>0</v>
      </c>
      <c r="K575" s="51"/>
    </row>
    <row r="576" spans="1:29" ht="15" x14ac:dyDescent="0.25">
      <c r="C576" s="31" t="s">
        <v>717</v>
      </c>
      <c r="H576" s="51">
        <f>I566+I567+I569+I571+I572+SUM(I570:I570)</f>
        <v>39781.829999999994</v>
      </c>
      <c r="I576" s="51"/>
      <c r="J576" s="51">
        <f>K566+K567+K569+K571+K572+SUM(K570:K570)</f>
        <v>1130825.2999999998</v>
      </c>
      <c r="K576" s="51"/>
      <c r="O576" s="52">
        <f>I566+I567+I569+I571+I572+SUM(I570:I570)</f>
        <v>39781.829999999994</v>
      </c>
      <c r="P576" s="52">
        <f>K566+K567+K569+K571+K572+SUM(K570:K570)</f>
        <v>1130825.2999999998</v>
      </c>
    </row>
    <row r="578" spans="1:29" ht="78" x14ac:dyDescent="0.2">
      <c r="A578" s="39">
        <v>78</v>
      </c>
      <c r="B578" s="39" t="s">
        <v>729</v>
      </c>
      <c r="C578" s="39" t="s">
        <v>96</v>
      </c>
      <c r="D578" s="40" t="str">
        <f>Source!H399</f>
        <v>100 м</v>
      </c>
      <c r="E578" s="11">
        <f>Source!I399</f>
        <v>31.5</v>
      </c>
      <c r="F578" s="42"/>
      <c r="G578" s="41"/>
      <c r="H578" s="11"/>
      <c r="I578" s="42"/>
      <c r="J578" s="11"/>
      <c r="K578" s="42"/>
      <c r="Q578">
        <f>Source!X399</f>
        <v>1954.1</v>
      </c>
      <c r="R578">
        <f>Source!X400</f>
        <v>107456.16</v>
      </c>
      <c r="S578">
        <f>Source!Y399</f>
        <v>1027.42</v>
      </c>
      <c r="T578">
        <f>Source!Y400</f>
        <v>56497.57</v>
      </c>
      <c r="U578">
        <f>ROUND((175/100)*ROUND(Source!R399, 2), 2)</f>
        <v>19.04</v>
      </c>
      <c r="V578">
        <f>ROUND((0/100)*ROUND(Source!R400, 2), 2)</f>
        <v>0</v>
      </c>
      <c r="AC578">
        <v>0</v>
      </c>
    </row>
    <row r="579" spans="1:29" x14ac:dyDescent="0.2">
      <c r="C579" s="62" t="str">
        <f>"Объем: "&amp;Source!I399&amp;"=3150/"&amp;"100"</f>
        <v>Объем: 31,5=3150/100</v>
      </c>
    </row>
    <row r="580" spans="1:29" ht="14.25" x14ac:dyDescent="0.2">
      <c r="A580" s="39"/>
      <c r="B580" s="39"/>
      <c r="C580" s="39" t="s">
        <v>707</v>
      </c>
      <c r="D580" s="40"/>
      <c r="E580" s="11"/>
      <c r="F580" s="42">
        <f>Source!AO399</f>
        <v>55.23</v>
      </c>
      <c r="G580" s="41" t="str">
        <f>Source!DG399</f>
        <v>*1,1</v>
      </c>
      <c r="H580" s="11">
        <f>Source!AV400</f>
        <v>1.0469999999999999</v>
      </c>
      <c r="I580" s="42">
        <f>Source!S399</f>
        <v>2003.66</v>
      </c>
      <c r="J580" s="11">
        <f>IF(Source!BA400&lt;&gt; 0, Source!BA400, 1)</f>
        <v>54.99</v>
      </c>
      <c r="K580" s="42">
        <f>Source!S400</f>
        <v>110181.26</v>
      </c>
    </row>
    <row r="581" spans="1:29" ht="14.25" x14ac:dyDescent="0.2">
      <c r="A581" s="39"/>
      <c r="B581" s="39"/>
      <c r="C581" s="39" t="s">
        <v>708</v>
      </c>
      <c r="D581" s="40"/>
      <c r="E581" s="11"/>
      <c r="F581" s="42">
        <f>Source!AM399</f>
        <v>2.62</v>
      </c>
      <c r="G581" s="41" t="str">
        <f>Source!DE399</f>
        <v>*1,1</v>
      </c>
      <c r="H581" s="11">
        <f>Source!AV400</f>
        <v>1.0469999999999999</v>
      </c>
      <c r="I581" s="42">
        <f>Source!Q399</f>
        <v>95.05</v>
      </c>
      <c r="J581" s="11">
        <f>IF(Source!BB400&lt;&gt; 0, Source!BB400, 1)</f>
        <v>14.57</v>
      </c>
      <c r="K581" s="42">
        <f>Source!Q400</f>
        <v>1384.88</v>
      </c>
    </row>
    <row r="582" spans="1:29" ht="14.25" x14ac:dyDescent="0.2">
      <c r="A582" s="39"/>
      <c r="B582" s="39"/>
      <c r="C582" s="39" t="s">
        <v>709</v>
      </c>
      <c r="D582" s="40"/>
      <c r="E582" s="11"/>
      <c r="F582" s="42">
        <f>Source!AN399</f>
        <v>0.3</v>
      </c>
      <c r="G582" s="41" t="str">
        <f>Source!DF399</f>
        <v>*1,1</v>
      </c>
      <c r="H582" s="11">
        <f>Source!AV400</f>
        <v>1.0469999999999999</v>
      </c>
      <c r="I582" s="43">
        <f>Source!R399</f>
        <v>10.88</v>
      </c>
      <c r="J582" s="11">
        <f>IF(Source!BS400&lt;&gt; 0, Source!BS400, 1)</f>
        <v>54.99</v>
      </c>
      <c r="K582" s="43">
        <f>Source!R400</f>
        <v>598.29</v>
      </c>
    </row>
    <row r="583" spans="1:29" ht="14.25" x14ac:dyDescent="0.2">
      <c r="A583" s="39"/>
      <c r="B583" s="39"/>
      <c r="C583" s="39" t="s">
        <v>720</v>
      </c>
      <c r="D583" s="40"/>
      <c r="E583" s="11"/>
      <c r="F583" s="42">
        <f>Source!AL399</f>
        <v>58.15</v>
      </c>
      <c r="G583" s="41" t="str">
        <f>Source!DD399</f>
        <v/>
      </c>
      <c r="H583" s="11">
        <f>Source!AW400</f>
        <v>1</v>
      </c>
      <c r="I583" s="42">
        <f>Source!P399</f>
        <v>1831.73</v>
      </c>
      <c r="J583" s="11">
        <f>IF(Source!BC400&lt;&gt; 0, Source!BC400, 1)</f>
        <v>3.7</v>
      </c>
      <c r="K583" s="42">
        <f>Source!P400</f>
        <v>6777.4</v>
      </c>
    </row>
    <row r="584" spans="1:29" ht="27" x14ac:dyDescent="0.2">
      <c r="A584" s="39" t="s">
        <v>428</v>
      </c>
      <c r="B584" s="39" t="str">
        <f>Source!F401</f>
        <v>КА №8</v>
      </c>
      <c r="C584" s="39" t="s">
        <v>730</v>
      </c>
      <c r="D584" s="40" t="str">
        <f>Source!H401</f>
        <v>м.п.</v>
      </c>
      <c r="E584" s="11">
        <f>Source!I401</f>
        <v>3213</v>
      </c>
      <c r="F584" s="42">
        <f>Source!AK401</f>
        <v>5.08</v>
      </c>
      <c r="G584" s="61" t="s">
        <v>3</v>
      </c>
      <c r="H584" s="11">
        <f>Source!AW402</f>
        <v>1</v>
      </c>
      <c r="I584" s="42">
        <f>Source!O401</f>
        <v>16322.04</v>
      </c>
      <c r="J584" s="11">
        <f>IF(Source!BC402&lt;&gt; 0, Source!BC402, 1)</f>
        <v>9.8800000000000008</v>
      </c>
      <c r="K584" s="42">
        <f>Source!O402</f>
        <v>161261.76000000001</v>
      </c>
      <c r="Q584">
        <f>Source!X401</f>
        <v>0</v>
      </c>
      <c r="R584">
        <f>Source!X402</f>
        <v>0</v>
      </c>
      <c r="S584">
        <f>Source!Y401</f>
        <v>0</v>
      </c>
      <c r="T584">
        <f>Source!Y402</f>
        <v>0</v>
      </c>
      <c r="U584">
        <f>ROUND((175/100)*ROUND(Source!R401, 2), 2)</f>
        <v>0</v>
      </c>
      <c r="V584">
        <f>ROUND((0/100)*ROUND(Source!R402, 2), 2)</f>
        <v>0</v>
      </c>
      <c r="AC584">
        <v>3</v>
      </c>
    </row>
    <row r="585" spans="1:29" ht="14.25" x14ac:dyDescent="0.2">
      <c r="A585" s="39"/>
      <c r="B585" s="39"/>
      <c r="C585" s="39" t="s">
        <v>710</v>
      </c>
      <c r="D585" s="40" t="s">
        <v>711</v>
      </c>
      <c r="E585" s="11">
        <f>Source!BZ400</f>
        <v>97</v>
      </c>
      <c r="F585" s="42"/>
      <c r="G585" s="41"/>
      <c r="H585" s="11"/>
      <c r="I585" s="42">
        <f>SUM(Q578:Q584)</f>
        <v>1954.1</v>
      </c>
      <c r="J585" s="11">
        <f>Source!AT400</f>
        <v>97</v>
      </c>
      <c r="K585" s="42">
        <f>SUM(R578:R584)</f>
        <v>107456.16</v>
      </c>
    </row>
    <row r="586" spans="1:29" ht="14.25" x14ac:dyDescent="0.2">
      <c r="A586" s="39"/>
      <c r="B586" s="39"/>
      <c r="C586" s="39" t="s">
        <v>712</v>
      </c>
      <c r="D586" s="40" t="s">
        <v>711</v>
      </c>
      <c r="E586" s="11">
        <f>Source!CA400</f>
        <v>51</v>
      </c>
      <c r="F586" s="42"/>
      <c r="G586" s="41"/>
      <c r="H586" s="11"/>
      <c r="I586" s="42">
        <f>SUM(S578:S585)</f>
        <v>1027.42</v>
      </c>
      <c r="J586" s="11">
        <f>Source!AU400</f>
        <v>51</v>
      </c>
      <c r="K586" s="42">
        <f>SUM(T578:T585)</f>
        <v>56497.57</v>
      </c>
    </row>
    <row r="587" spans="1:29" ht="14.25" x14ac:dyDescent="0.2">
      <c r="A587" s="44"/>
      <c r="B587" s="44"/>
      <c r="C587" s="44" t="s">
        <v>713</v>
      </c>
      <c r="D587" s="45" t="s">
        <v>714</v>
      </c>
      <c r="E587" s="46">
        <f>Source!AQ399</f>
        <v>4.49</v>
      </c>
      <c r="F587" s="47"/>
      <c r="G587" s="48" t="str">
        <f>Source!DI399</f>
        <v>*1,1</v>
      </c>
      <c r="H587" s="46">
        <f>Source!AV400</f>
        <v>1.0469999999999999</v>
      </c>
      <c r="I587" s="47">
        <f>Source!U399</f>
        <v>162.89068950000004</v>
      </c>
      <c r="J587" s="46"/>
      <c r="K587" s="47"/>
    </row>
    <row r="588" spans="1:29" ht="15" x14ac:dyDescent="0.25">
      <c r="C588" s="31" t="s">
        <v>715</v>
      </c>
      <c r="H588" s="49">
        <f>I580+I581+I583+I585+I586+SUM(I584:I584)-SUMIF(AC584:AC584, 5, I584:I584)-SUMIF(AC584:AC584, 6, I584:I584)</f>
        <v>23234</v>
      </c>
      <c r="I588" s="49"/>
      <c r="J588" s="49">
        <f>K580+K581+K583+K585+K586+SUM(K584:K584)-SUMIF(AC584:AC584, 5, K584:K584)-SUMIF(AC584:AC584, 6, K584:K584)</f>
        <v>443559.03</v>
      </c>
      <c r="K588" s="49"/>
    </row>
    <row r="589" spans="1:29" ht="15" x14ac:dyDescent="0.25">
      <c r="C589" s="31" t="s">
        <v>716</v>
      </c>
      <c r="H589" s="51">
        <f>SUMIF(AC584:AC584, 5, I584:I584)+SUMIF(AC584:AC584, 6, I584:I584)</f>
        <v>0</v>
      </c>
      <c r="I589" s="51"/>
      <c r="J589" s="51">
        <f>SUMIF(AC584:AC584, 5, K584:K584)+SUMIF(AC584:AC584, 6, K584:K584)</f>
        <v>0</v>
      </c>
      <c r="K589" s="51"/>
    </row>
    <row r="590" spans="1:29" ht="15" x14ac:dyDescent="0.25">
      <c r="C590" s="31" t="s">
        <v>717</v>
      </c>
      <c r="H590" s="51">
        <f>I580+I581+I583+I585+I586+SUM(I584:I584)</f>
        <v>23234</v>
      </c>
      <c r="I590" s="51"/>
      <c r="J590" s="51">
        <f>K580+K581+K583+K585+K586+SUM(K584:K584)</f>
        <v>443559.03</v>
      </c>
      <c r="K590" s="51"/>
      <c r="O590" s="52">
        <f>I580+I581+I583+I585+I586+SUM(I584:I584)</f>
        <v>23234</v>
      </c>
      <c r="P590" s="52">
        <f>K580+K581+K583+K585+K586+SUM(K584:K584)</f>
        <v>443559.03</v>
      </c>
    </row>
    <row r="593" spans="1:29" ht="15" x14ac:dyDescent="0.25">
      <c r="A593" s="64" t="str">
        <f>CONCATENATE("Итого по разделу: ",IF(Source!G404&lt;&gt;"Новый раздел", Source!G404, ""))</f>
        <v>Итого по разделу: Аппаратура в щитах автоматизации</v>
      </c>
      <c r="B593" s="64"/>
      <c r="C593" s="64"/>
      <c r="D593" s="64"/>
      <c r="E593" s="64"/>
      <c r="F593" s="64"/>
      <c r="G593" s="64"/>
      <c r="H593" s="51">
        <f>SUM(O490:O592)</f>
        <v>1293479.7699999998</v>
      </c>
      <c r="I593" s="50"/>
      <c r="J593" s="51">
        <f>SUM(P490:P592)</f>
        <v>11526351.060000001</v>
      </c>
      <c r="K593" s="50"/>
    </row>
    <row r="594" spans="1:29" hidden="1" x14ac:dyDescent="0.2">
      <c r="A594" t="s">
        <v>732</v>
      </c>
      <c r="I594">
        <f>SUM(W490:W593)</f>
        <v>0</v>
      </c>
      <c r="J594">
        <f>SUM(X490:X593)</f>
        <v>0</v>
      </c>
    </row>
    <row r="595" spans="1:29" hidden="1" x14ac:dyDescent="0.2">
      <c r="A595" t="s">
        <v>733</v>
      </c>
      <c r="I595">
        <f>SUM(Y490:Y594)</f>
        <v>0</v>
      </c>
      <c r="J595">
        <f>SUM(Z490:Z594)</f>
        <v>0</v>
      </c>
    </row>
    <row r="597" spans="1:29" ht="16.5" x14ac:dyDescent="0.25">
      <c r="A597" s="38" t="str">
        <f>CONCATENATE("Раздел: ",IF(Source!G434&lt;&gt;"Новый раздел", Source!G434, ""))</f>
        <v>Раздел: Автоматизация систем кондиционирования</v>
      </c>
      <c r="B597" s="38"/>
      <c r="C597" s="38"/>
      <c r="D597" s="38"/>
      <c r="E597" s="38"/>
      <c r="F597" s="38"/>
      <c r="G597" s="38"/>
      <c r="H597" s="38"/>
      <c r="I597" s="38"/>
      <c r="J597" s="38"/>
      <c r="K597" s="38"/>
    </row>
    <row r="598" spans="1:29" ht="78" x14ac:dyDescent="0.2">
      <c r="A598" s="39">
        <v>79</v>
      </c>
      <c r="B598" s="39" t="s">
        <v>769</v>
      </c>
      <c r="C598" s="39" t="s">
        <v>431</v>
      </c>
      <c r="D598" s="40" t="str">
        <f>Source!H438</f>
        <v>1  ШТ.</v>
      </c>
      <c r="E598" s="11">
        <f>Source!I438</f>
        <v>10</v>
      </c>
      <c r="F598" s="42"/>
      <c r="G598" s="41"/>
      <c r="H598" s="11"/>
      <c r="I598" s="42"/>
      <c r="J598" s="11"/>
      <c r="K598" s="42"/>
      <c r="Q598">
        <f>Source!X438</f>
        <v>92.97</v>
      </c>
      <c r="R598">
        <f>Source!X439</f>
        <v>5112.42</v>
      </c>
      <c r="S598">
        <f>Source!Y438</f>
        <v>47.52</v>
      </c>
      <c r="T598">
        <f>Source!Y439</f>
        <v>2613.02</v>
      </c>
      <c r="U598">
        <f>ROUND((175/100)*ROUND(Source!R438, 2), 2)</f>
        <v>63.68</v>
      </c>
      <c r="V598">
        <f>ROUND((0/100)*ROUND(Source!R439, 2), 2)</f>
        <v>0</v>
      </c>
      <c r="AC598">
        <v>0</v>
      </c>
    </row>
    <row r="599" spans="1:29" ht="14.25" x14ac:dyDescent="0.2">
      <c r="A599" s="39"/>
      <c r="B599" s="39"/>
      <c r="C599" s="39" t="s">
        <v>707</v>
      </c>
      <c r="D599" s="40"/>
      <c r="E599" s="11"/>
      <c r="F599" s="42">
        <f>Source!AO438</f>
        <v>5.81</v>
      </c>
      <c r="G599" s="41" t="str">
        <f>Source!DG438</f>
        <v>*1,1</v>
      </c>
      <c r="H599" s="11">
        <f>Source!AV439</f>
        <v>1.0469999999999999</v>
      </c>
      <c r="I599" s="42">
        <f>Source!S438</f>
        <v>66.91</v>
      </c>
      <c r="J599" s="11">
        <f>IF(Source!BA439&lt;&gt; 0, Source!BA439, 1)</f>
        <v>54.99</v>
      </c>
      <c r="K599" s="42">
        <f>Source!S439</f>
        <v>3679.38</v>
      </c>
    </row>
    <row r="600" spans="1:29" ht="14.25" x14ac:dyDescent="0.2">
      <c r="A600" s="39"/>
      <c r="B600" s="39"/>
      <c r="C600" s="39" t="s">
        <v>708</v>
      </c>
      <c r="D600" s="40"/>
      <c r="E600" s="11"/>
      <c r="F600" s="42">
        <f>Source!AM438</f>
        <v>28.19</v>
      </c>
      <c r="G600" s="41" t="str">
        <f>Source!DE438</f>
        <v>*1,1</v>
      </c>
      <c r="H600" s="11">
        <f>Source!AV439</f>
        <v>1.0469999999999999</v>
      </c>
      <c r="I600" s="42">
        <f>Source!Q438</f>
        <v>324.66000000000003</v>
      </c>
      <c r="J600" s="11">
        <f>IF(Source!BB439&lt;&gt; 0, Source!BB439, 1)</f>
        <v>14.78</v>
      </c>
      <c r="K600" s="42">
        <f>Source!Q439</f>
        <v>4798.47</v>
      </c>
    </row>
    <row r="601" spans="1:29" ht="14.25" x14ac:dyDescent="0.2">
      <c r="A601" s="39"/>
      <c r="B601" s="39"/>
      <c r="C601" s="39" t="s">
        <v>709</v>
      </c>
      <c r="D601" s="40"/>
      <c r="E601" s="11"/>
      <c r="F601" s="42">
        <f>Source!AN438</f>
        <v>3.16</v>
      </c>
      <c r="G601" s="41" t="str">
        <f>Source!DF438</f>
        <v>*1,1</v>
      </c>
      <c r="H601" s="11">
        <f>Source!AV439</f>
        <v>1.0469999999999999</v>
      </c>
      <c r="I601" s="43">
        <f>Source!R438</f>
        <v>36.39</v>
      </c>
      <c r="J601" s="11">
        <f>IF(Source!BS439&lt;&gt; 0, Source!BS439, 1)</f>
        <v>54.99</v>
      </c>
      <c r="K601" s="43">
        <f>Source!R439</f>
        <v>2001.09</v>
      </c>
    </row>
    <row r="602" spans="1:29" ht="14.25" x14ac:dyDescent="0.2">
      <c r="A602" s="39"/>
      <c r="B602" s="39"/>
      <c r="C602" s="39" t="s">
        <v>710</v>
      </c>
      <c r="D602" s="40" t="s">
        <v>711</v>
      </c>
      <c r="E602" s="11">
        <f>Source!BZ439</f>
        <v>90</v>
      </c>
      <c r="F602" s="42"/>
      <c r="G602" s="41"/>
      <c r="H602" s="11"/>
      <c r="I602" s="42">
        <f>SUM(Q598:Q601)</f>
        <v>92.97</v>
      </c>
      <c r="J602" s="11">
        <f>Source!AT439</f>
        <v>90</v>
      </c>
      <c r="K602" s="42">
        <f>SUM(R598:R601)</f>
        <v>5112.42</v>
      </c>
    </row>
    <row r="603" spans="1:29" ht="14.25" x14ac:dyDescent="0.2">
      <c r="A603" s="39"/>
      <c r="B603" s="39"/>
      <c r="C603" s="39" t="s">
        <v>712</v>
      </c>
      <c r="D603" s="40" t="s">
        <v>711</v>
      </c>
      <c r="E603" s="11">
        <f>Source!CA439</f>
        <v>46</v>
      </c>
      <c r="F603" s="42"/>
      <c r="G603" s="41"/>
      <c r="H603" s="11"/>
      <c r="I603" s="42">
        <f>SUM(S598:S602)</f>
        <v>47.52</v>
      </c>
      <c r="J603" s="11">
        <f>Source!AU439</f>
        <v>46</v>
      </c>
      <c r="K603" s="42">
        <f>SUM(T598:T602)</f>
        <v>2613.02</v>
      </c>
    </row>
    <row r="604" spans="1:29" ht="14.25" x14ac:dyDescent="0.2">
      <c r="A604" s="44"/>
      <c r="B604" s="44"/>
      <c r="C604" s="44" t="s">
        <v>713</v>
      </c>
      <c r="D604" s="45" t="s">
        <v>714</v>
      </c>
      <c r="E604" s="46">
        <f>Source!AQ438</f>
        <v>0.52</v>
      </c>
      <c r="F604" s="47"/>
      <c r="G604" s="48" t="str">
        <f>Source!DI438</f>
        <v>*1,1</v>
      </c>
      <c r="H604" s="46">
        <f>Source!AV439</f>
        <v>1.0469999999999999</v>
      </c>
      <c r="I604" s="47">
        <f>Source!U438</f>
        <v>5.9888399999999997</v>
      </c>
      <c r="J604" s="46"/>
      <c r="K604" s="47"/>
    </row>
    <row r="605" spans="1:29" ht="15" x14ac:dyDescent="0.25">
      <c r="C605" s="31" t="s">
        <v>715</v>
      </c>
      <c r="H605" s="49">
        <f>I599+I600+I602+I603+0-0-0</f>
        <v>532.06000000000006</v>
      </c>
      <c r="I605" s="49"/>
      <c r="J605" s="49">
        <f>K599+K600+K602+K603+0-0-0</f>
        <v>16203.29</v>
      </c>
      <c r="K605" s="49"/>
    </row>
    <row r="606" spans="1:29" ht="15" x14ac:dyDescent="0.25">
      <c r="C606" s="31" t="s">
        <v>716</v>
      </c>
      <c r="H606" s="51">
        <f>0+0</f>
        <v>0</v>
      </c>
      <c r="I606" s="51"/>
      <c r="J606" s="51">
        <f>0+0</f>
        <v>0</v>
      </c>
      <c r="K606" s="51"/>
    </row>
    <row r="607" spans="1:29" ht="15" x14ac:dyDescent="0.25">
      <c r="C607" s="31" t="s">
        <v>717</v>
      </c>
      <c r="H607" s="51">
        <f>I599+I600+I602+I603+0</f>
        <v>532.06000000000006</v>
      </c>
      <c r="I607" s="51"/>
      <c r="J607" s="51">
        <f>K599+K600+K602+K603+0</f>
        <v>16203.29</v>
      </c>
      <c r="K607" s="51"/>
      <c r="O607" s="52">
        <f>I599+I600+I602+I603+0</f>
        <v>532.06000000000006</v>
      </c>
      <c r="P607" s="52">
        <f>K599+K600+K602+K603+0</f>
        <v>16203.29</v>
      </c>
    </row>
    <row r="609" spans="1:29" ht="171" x14ac:dyDescent="0.2">
      <c r="A609" s="53">
        <v>80</v>
      </c>
      <c r="B609" s="53" t="str">
        <f>Source!F440</f>
        <v>13.1-5-191</v>
      </c>
      <c r="C609" s="53" t="s">
        <v>789</v>
      </c>
      <c r="D609" s="54" t="str">
        <f>Source!H440</f>
        <v>шт.</v>
      </c>
      <c r="E609" s="55">
        <f>Source!I440</f>
        <v>10</v>
      </c>
      <c r="F609" s="56">
        <f>Source!AL440</f>
        <v>1038.81</v>
      </c>
      <c r="G609" s="57" t="str">
        <f>Source!DD440</f>
        <v/>
      </c>
      <c r="H609" s="55">
        <f>Source!AW441</f>
        <v>1</v>
      </c>
      <c r="I609" s="56">
        <f>Source!P440</f>
        <v>10388.1</v>
      </c>
      <c r="J609" s="55">
        <f>IF(Source!BC441&lt;&gt; 0, Source!BC441, 1)</f>
        <v>4.01</v>
      </c>
      <c r="K609" s="56">
        <f>Source!P441</f>
        <v>41656.28</v>
      </c>
      <c r="Q609">
        <f>Source!X440</f>
        <v>0</v>
      </c>
      <c r="R609">
        <f>Source!X441</f>
        <v>0</v>
      </c>
      <c r="S609">
        <f>Source!Y440</f>
        <v>0</v>
      </c>
      <c r="T609">
        <f>Source!Y441</f>
        <v>0</v>
      </c>
      <c r="U609">
        <f>ROUND((175/100)*ROUND(Source!R440, 2), 2)</f>
        <v>0</v>
      </c>
      <c r="V609">
        <f>ROUND((0/100)*ROUND(Source!R441, 2), 2)</f>
        <v>0</v>
      </c>
      <c r="AC609">
        <v>5</v>
      </c>
    </row>
    <row r="610" spans="1:29" ht="15" x14ac:dyDescent="0.25">
      <c r="A610" s="58"/>
      <c r="B610" s="58"/>
      <c r="C610" s="59" t="s">
        <v>717</v>
      </c>
      <c r="D610" s="58"/>
      <c r="E610" s="58"/>
      <c r="F610" s="58"/>
      <c r="G610" s="58"/>
      <c r="H610" s="60">
        <f>I609+0</f>
        <v>10388.1</v>
      </c>
      <c r="I610" s="60"/>
      <c r="J610" s="60">
        <f>K609+0</f>
        <v>41656.28</v>
      </c>
      <c r="K610" s="60"/>
      <c r="O610" s="52">
        <f>I609+0</f>
        <v>10388.1</v>
      </c>
      <c r="P610" s="52">
        <f>K609+0</f>
        <v>41656.28</v>
      </c>
    </row>
    <row r="612" spans="1:29" ht="78" x14ac:dyDescent="0.2">
      <c r="A612" s="39">
        <v>81</v>
      </c>
      <c r="B612" s="39" t="s">
        <v>769</v>
      </c>
      <c r="C612" s="39" t="s">
        <v>431</v>
      </c>
      <c r="D612" s="40" t="str">
        <f>Source!H442</f>
        <v>1  ШТ.</v>
      </c>
      <c r="E612" s="11">
        <f>Source!I442</f>
        <v>20</v>
      </c>
      <c r="F612" s="42"/>
      <c r="G612" s="41"/>
      <c r="H612" s="11"/>
      <c r="I612" s="42"/>
      <c r="J612" s="11"/>
      <c r="K612" s="42"/>
      <c r="Q612">
        <f>Source!X442</f>
        <v>185.96</v>
      </c>
      <c r="R612">
        <f>Source!X443</f>
        <v>10225.83</v>
      </c>
      <c r="S612">
        <f>Source!Y442</f>
        <v>95.05</v>
      </c>
      <c r="T612">
        <f>Source!Y443</f>
        <v>5226.53</v>
      </c>
      <c r="U612">
        <f>ROUND((175/100)*ROUND(Source!R442, 2), 2)</f>
        <v>127.38</v>
      </c>
      <c r="V612">
        <f>ROUND((0/100)*ROUND(Source!R443, 2), 2)</f>
        <v>0</v>
      </c>
      <c r="AC612">
        <v>0</v>
      </c>
    </row>
    <row r="613" spans="1:29" ht="14.25" x14ac:dyDescent="0.2">
      <c r="A613" s="39"/>
      <c r="B613" s="39"/>
      <c r="C613" s="39" t="s">
        <v>707</v>
      </c>
      <c r="D613" s="40"/>
      <c r="E613" s="11"/>
      <c r="F613" s="42">
        <f>Source!AO442</f>
        <v>5.81</v>
      </c>
      <c r="G613" s="41" t="str">
        <f>Source!DG442</f>
        <v>*1,1</v>
      </c>
      <c r="H613" s="11">
        <f>Source!AV443</f>
        <v>1.0469999999999999</v>
      </c>
      <c r="I613" s="42">
        <f>Source!S442</f>
        <v>133.83000000000001</v>
      </c>
      <c r="J613" s="11">
        <f>IF(Source!BA443&lt;&gt; 0, Source!BA443, 1)</f>
        <v>54.99</v>
      </c>
      <c r="K613" s="42">
        <f>Source!S443</f>
        <v>7359.31</v>
      </c>
    </row>
    <row r="614" spans="1:29" ht="14.25" x14ac:dyDescent="0.2">
      <c r="A614" s="39"/>
      <c r="B614" s="39"/>
      <c r="C614" s="39" t="s">
        <v>708</v>
      </c>
      <c r="D614" s="40"/>
      <c r="E614" s="11"/>
      <c r="F614" s="42">
        <f>Source!AM442</f>
        <v>28.19</v>
      </c>
      <c r="G614" s="41" t="str">
        <f>Source!DE442</f>
        <v>*1,1</v>
      </c>
      <c r="H614" s="11">
        <f>Source!AV443</f>
        <v>1.0469999999999999</v>
      </c>
      <c r="I614" s="42">
        <f>Source!Q442</f>
        <v>649.33000000000004</v>
      </c>
      <c r="J614" s="11">
        <f>IF(Source!BB443&lt;&gt; 0, Source!BB443, 1)</f>
        <v>14.78</v>
      </c>
      <c r="K614" s="42">
        <f>Source!Q443</f>
        <v>9597.1</v>
      </c>
    </row>
    <row r="615" spans="1:29" ht="14.25" x14ac:dyDescent="0.2">
      <c r="A615" s="39"/>
      <c r="B615" s="39"/>
      <c r="C615" s="39" t="s">
        <v>709</v>
      </c>
      <c r="D615" s="40"/>
      <c r="E615" s="11"/>
      <c r="F615" s="42">
        <f>Source!AN442</f>
        <v>3.16</v>
      </c>
      <c r="G615" s="41" t="str">
        <f>Source!DF442</f>
        <v>*1,1</v>
      </c>
      <c r="H615" s="11">
        <f>Source!AV443</f>
        <v>1.0469999999999999</v>
      </c>
      <c r="I615" s="43">
        <f>Source!R442</f>
        <v>72.790000000000006</v>
      </c>
      <c r="J615" s="11">
        <f>IF(Source!BS443&lt;&gt; 0, Source!BS443, 1)</f>
        <v>54.99</v>
      </c>
      <c r="K615" s="43">
        <f>Source!R443</f>
        <v>4002.72</v>
      </c>
    </row>
    <row r="616" spans="1:29" ht="14.25" x14ac:dyDescent="0.2">
      <c r="A616" s="39"/>
      <c r="B616" s="39"/>
      <c r="C616" s="39" t="s">
        <v>710</v>
      </c>
      <c r="D616" s="40" t="s">
        <v>711</v>
      </c>
      <c r="E616" s="11">
        <f>Source!BZ443</f>
        <v>90</v>
      </c>
      <c r="F616" s="42"/>
      <c r="G616" s="41"/>
      <c r="H616" s="11"/>
      <c r="I616" s="42">
        <f>SUM(Q612:Q615)</f>
        <v>185.96</v>
      </c>
      <c r="J616" s="11">
        <f>Source!AT443</f>
        <v>90</v>
      </c>
      <c r="K616" s="42">
        <f>SUM(R612:R615)</f>
        <v>10225.83</v>
      </c>
    </row>
    <row r="617" spans="1:29" ht="14.25" x14ac:dyDescent="0.2">
      <c r="A617" s="39"/>
      <c r="B617" s="39"/>
      <c r="C617" s="39" t="s">
        <v>712</v>
      </c>
      <c r="D617" s="40" t="s">
        <v>711</v>
      </c>
      <c r="E617" s="11">
        <f>Source!CA443</f>
        <v>46</v>
      </c>
      <c r="F617" s="42"/>
      <c r="G617" s="41"/>
      <c r="H617" s="11"/>
      <c r="I617" s="42">
        <f>SUM(S612:S616)</f>
        <v>95.05</v>
      </c>
      <c r="J617" s="11">
        <f>Source!AU443</f>
        <v>46</v>
      </c>
      <c r="K617" s="42">
        <f>SUM(T612:T616)</f>
        <v>5226.53</v>
      </c>
    </row>
    <row r="618" spans="1:29" ht="14.25" x14ac:dyDescent="0.2">
      <c r="A618" s="44"/>
      <c r="B618" s="44"/>
      <c r="C618" s="44" t="s">
        <v>713</v>
      </c>
      <c r="D618" s="45" t="s">
        <v>714</v>
      </c>
      <c r="E618" s="46">
        <f>Source!AQ442</f>
        <v>0.52</v>
      </c>
      <c r="F618" s="47"/>
      <c r="G618" s="48" t="str">
        <f>Source!DI442</f>
        <v>*1,1</v>
      </c>
      <c r="H618" s="46">
        <f>Source!AV443</f>
        <v>1.0469999999999999</v>
      </c>
      <c r="I618" s="47">
        <f>Source!U442</f>
        <v>11.977679999999999</v>
      </c>
      <c r="J618" s="46"/>
      <c r="K618" s="47"/>
    </row>
    <row r="619" spans="1:29" ht="15" x14ac:dyDescent="0.25">
      <c r="C619" s="31" t="s">
        <v>715</v>
      </c>
      <c r="H619" s="49">
        <f>I613+I614+I616+I617+0-0-0</f>
        <v>1064.17</v>
      </c>
      <c r="I619" s="49"/>
      <c r="J619" s="49">
        <f>K613+K614+K616+K617+0-0-0</f>
        <v>32408.769999999997</v>
      </c>
      <c r="K619" s="49"/>
    </row>
    <row r="620" spans="1:29" ht="15" x14ac:dyDescent="0.25">
      <c r="C620" s="31" t="s">
        <v>716</v>
      </c>
      <c r="H620" s="51">
        <f>0+0</f>
        <v>0</v>
      </c>
      <c r="I620" s="51"/>
      <c r="J620" s="51">
        <f>0+0</f>
        <v>0</v>
      </c>
      <c r="K620" s="51"/>
    </row>
    <row r="621" spans="1:29" ht="15" x14ac:dyDescent="0.25">
      <c r="C621" s="31" t="s">
        <v>717</v>
      </c>
      <c r="H621" s="51">
        <f>I613+I614+I616+I617+0</f>
        <v>1064.17</v>
      </c>
      <c r="I621" s="51"/>
      <c r="J621" s="51">
        <f>K613+K614+K616+K617+0</f>
        <v>32408.769999999997</v>
      </c>
      <c r="K621" s="51"/>
      <c r="O621" s="52">
        <f>I613+I614+I616+I617+0</f>
        <v>1064.17</v>
      </c>
      <c r="P621" s="52">
        <f>K613+K614+K616+K617+0</f>
        <v>32408.769999999997</v>
      </c>
    </row>
    <row r="623" spans="1:29" ht="213.75" x14ac:dyDescent="0.2">
      <c r="A623" s="53">
        <v>82</v>
      </c>
      <c r="B623" s="53" t="str">
        <f>Source!F444</f>
        <v>13.1-5-190</v>
      </c>
      <c r="C623" s="53" t="s">
        <v>790</v>
      </c>
      <c r="D623" s="54" t="str">
        <f>Source!H444</f>
        <v>шт.</v>
      </c>
      <c r="E623" s="55">
        <f>Source!I444</f>
        <v>20</v>
      </c>
      <c r="F623" s="56">
        <f>Source!AL444</f>
        <v>377.75</v>
      </c>
      <c r="G623" s="57" t="str">
        <f>Source!DD444</f>
        <v/>
      </c>
      <c r="H623" s="55">
        <f>Source!AW445</f>
        <v>1</v>
      </c>
      <c r="I623" s="56">
        <f>Source!P444</f>
        <v>7555</v>
      </c>
      <c r="J623" s="55">
        <f>IF(Source!BC445&lt;&gt; 0, Source!BC445, 1)</f>
        <v>4.1399999999999997</v>
      </c>
      <c r="K623" s="56">
        <f>Source!P445</f>
        <v>31277.7</v>
      </c>
      <c r="Q623">
        <f>Source!X444</f>
        <v>0</v>
      </c>
      <c r="R623">
        <f>Source!X445</f>
        <v>0</v>
      </c>
      <c r="S623">
        <f>Source!Y444</f>
        <v>0</v>
      </c>
      <c r="T623">
        <f>Source!Y445</f>
        <v>0</v>
      </c>
      <c r="U623">
        <f>ROUND((175/100)*ROUND(Source!R444, 2), 2)</f>
        <v>0</v>
      </c>
      <c r="V623">
        <f>ROUND((0/100)*ROUND(Source!R445, 2), 2)</f>
        <v>0</v>
      </c>
      <c r="AC623">
        <v>5</v>
      </c>
    </row>
    <row r="624" spans="1:29" ht="15" x14ac:dyDescent="0.25">
      <c r="A624" s="58"/>
      <c r="B624" s="58"/>
      <c r="C624" s="59" t="s">
        <v>717</v>
      </c>
      <c r="D624" s="58"/>
      <c r="E624" s="58"/>
      <c r="F624" s="58"/>
      <c r="G624" s="58"/>
      <c r="H624" s="60">
        <f>I623+0</f>
        <v>7555</v>
      </c>
      <c r="I624" s="60"/>
      <c r="J624" s="60">
        <f>K623+0</f>
        <v>31277.7</v>
      </c>
      <c r="K624" s="60"/>
      <c r="O624" s="52">
        <f>I623+0</f>
        <v>7555</v>
      </c>
      <c r="P624" s="52">
        <f>K623+0</f>
        <v>31277.7</v>
      </c>
    </row>
    <row r="626" spans="1:29" ht="78" x14ac:dyDescent="0.2">
      <c r="A626" s="39">
        <v>83</v>
      </c>
      <c r="B626" s="39" t="s">
        <v>719</v>
      </c>
      <c r="C626" s="39" t="s">
        <v>39</v>
      </c>
      <c r="D626" s="40" t="str">
        <f>Source!H446</f>
        <v>1  ШТ.</v>
      </c>
      <c r="E626" s="11">
        <f>Source!I446</f>
        <v>10</v>
      </c>
      <c r="F626" s="42"/>
      <c r="G626" s="41"/>
      <c r="H626" s="11"/>
      <c r="I626" s="42"/>
      <c r="J626" s="11"/>
      <c r="K626" s="42"/>
      <c r="Q626">
        <f>Source!X446</f>
        <v>249.08</v>
      </c>
      <c r="R626">
        <f>Source!X447</f>
        <v>13696.63</v>
      </c>
      <c r="S626">
        <f>Source!Y446</f>
        <v>127.31</v>
      </c>
      <c r="T626">
        <f>Source!Y447</f>
        <v>7000.5</v>
      </c>
      <c r="U626">
        <f>ROUND((175/100)*ROUND(Source!R446, 2), 2)</f>
        <v>5.04</v>
      </c>
      <c r="V626">
        <f>ROUND((0/100)*ROUND(Source!R447, 2), 2)</f>
        <v>0</v>
      </c>
      <c r="AC626">
        <v>0</v>
      </c>
    </row>
    <row r="627" spans="1:29" ht="14.25" x14ac:dyDescent="0.2">
      <c r="A627" s="39"/>
      <c r="B627" s="39"/>
      <c r="C627" s="39" t="s">
        <v>707</v>
      </c>
      <c r="D627" s="40"/>
      <c r="E627" s="11"/>
      <c r="F627" s="42">
        <f>Source!AO446</f>
        <v>23.78</v>
      </c>
      <c r="G627" s="41" t="str">
        <f>Source!DG446</f>
        <v>*1,1</v>
      </c>
      <c r="H627" s="11">
        <f>Source!AV447</f>
        <v>1.0469999999999999</v>
      </c>
      <c r="I627" s="42">
        <f>Source!S446</f>
        <v>273.87</v>
      </c>
      <c r="J627" s="11">
        <f>IF(Source!BA447&lt;&gt; 0, Source!BA447, 1)</f>
        <v>54.99</v>
      </c>
      <c r="K627" s="42">
        <f>Source!S447</f>
        <v>15060.11</v>
      </c>
    </row>
    <row r="628" spans="1:29" ht="14.25" x14ac:dyDescent="0.2">
      <c r="A628" s="39"/>
      <c r="B628" s="39"/>
      <c r="C628" s="39" t="s">
        <v>708</v>
      </c>
      <c r="D628" s="40"/>
      <c r="E628" s="11"/>
      <c r="F628" s="42">
        <f>Source!AM446</f>
        <v>2.38</v>
      </c>
      <c r="G628" s="41" t="str">
        <f>Source!DE446</f>
        <v>*1,1</v>
      </c>
      <c r="H628" s="11">
        <f>Source!AV447</f>
        <v>1.0469999999999999</v>
      </c>
      <c r="I628" s="42">
        <f>Source!Q446</f>
        <v>27.41</v>
      </c>
      <c r="J628" s="11">
        <f>IF(Source!BB447&lt;&gt; 0, Source!BB447, 1)</f>
        <v>13.99</v>
      </c>
      <c r="K628" s="42">
        <f>Source!Q447</f>
        <v>383.47</v>
      </c>
    </row>
    <row r="629" spans="1:29" ht="14.25" x14ac:dyDescent="0.2">
      <c r="A629" s="39"/>
      <c r="B629" s="39"/>
      <c r="C629" s="39" t="s">
        <v>709</v>
      </c>
      <c r="D629" s="40"/>
      <c r="E629" s="11"/>
      <c r="F629" s="42">
        <f>Source!AN446</f>
        <v>0.25</v>
      </c>
      <c r="G629" s="41" t="str">
        <f>Source!DF446</f>
        <v>*1,1</v>
      </c>
      <c r="H629" s="11">
        <f>Source!AV447</f>
        <v>1.0469999999999999</v>
      </c>
      <c r="I629" s="43">
        <f>Source!R446</f>
        <v>2.88</v>
      </c>
      <c r="J629" s="11">
        <f>IF(Source!BS447&lt;&gt; 0, Source!BS447, 1)</f>
        <v>54.99</v>
      </c>
      <c r="K629" s="43">
        <f>Source!R447</f>
        <v>158.37</v>
      </c>
    </row>
    <row r="630" spans="1:29" ht="14.25" x14ac:dyDescent="0.2">
      <c r="A630" s="39"/>
      <c r="B630" s="39"/>
      <c r="C630" s="39" t="s">
        <v>720</v>
      </c>
      <c r="D630" s="40"/>
      <c r="E630" s="11"/>
      <c r="F630" s="42">
        <f>Source!AL446</f>
        <v>109.01</v>
      </c>
      <c r="G630" s="41" t="str">
        <f>Source!DD446</f>
        <v/>
      </c>
      <c r="H630" s="11">
        <f>Source!AW447</f>
        <v>1</v>
      </c>
      <c r="I630" s="42">
        <f>Source!P446</f>
        <v>1090.0999999999999</v>
      </c>
      <c r="J630" s="11">
        <f>IF(Source!BC447&lt;&gt; 0, Source!BC447, 1)</f>
        <v>3.26</v>
      </c>
      <c r="K630" s="42">
        <f>Source!P447</f>
        <v>3553.73</v>
      </c>
    </row>
    <row r="631" spans="1:29" ht="14.25" x14ac:dyDescent="0.2">
      <c r="A631" s="39"/>
      <c r="B631" s="39"/>
      <c r="C631" s="39" t="s">
        <v>710</v>
      </c>
      <c r="D631" s="40" t="s">
        <v>711</v>
      </c>
      <c r="E631" s="11">
        <f>Source!BZ447</f>
        <v>90</v>
      </c>
      <c r="F631" s="42"/>
      <c r="G631" s="41"/>
      <c r="H631" s="11"/>
      <c r="I631" s="42">
        <f>SUM(Q626:Q630)</f>
        <v>249.08</v>
      </c>
      <c r="J631" s="11">
        <f>Source!AT447</f>
        <v>90</v>
      </c>
      <c r="K631" s="42">
        <f>SUM(R626:R630)</f>
        <v>13696.63</v>
      </c>
    </row>
    <row r="632" spans="1:29" ht="14.25" x14ac:dyDescent="0.2">
      <c r="A632" s="39"/>
      <c r="B632" s="39"/>
      <c r="C632" s="39" t="s">
        <v>712</v>
      </c>
      <c r="D632" s="40" t="s">
        <v>711</v>
      </c>
      <c r="E632" s="11">
        <f>Source!CA447</f>
        <v>46</v>
      </c>
      <c r="F632" s="42"/>
      <c r="G632" s="41"/>
      <c r="H632" s="11"/>
      <c r="I632" s="42">
        <f>SUM(S626:S631)</f>
        <v>127.31</v>
      </c>
      <c r="J632" s="11">
        <f>Source!AU447</f>
        <v>46</v>
      </c>
      <c r="K632" s="42">
        <f>SUM(T626:T631)</f>
        <v>7000.5</v>
      </c>
    </row>
    <row r="633" spans="1:29" ht="14.25" x14ac:dyDescent="0.2">
      <c r="A633" s="44"/>
      <c r="B633" s="44"/>
      <c r="C633" s="44" t="s">
        <v>713</v>
      </c>
      <c r="D633" s="45" t="s">
        <v>714</v>
      </c>
      <c r="E633" s="46">
        <f>Source!AQ446</f>
        <v>2</v>
      </c>
      <c r="F633" s="47"/>
      <c r="G633" s="48" t="str">
        <f>Source!DI446</f>
        <v>*1,1</v>
      </c>
      <c r="H633" s="46">
        <f>Source!AV447</f>
        <v>1.0469999999999999</v>
      </c>
      <c r="I633" s="47">
        <f>Source!U446</f>
        <v>23.033999999999999</v>
      </c>
      <c r="J633" s="46"/>
      <c r="K633" s="47"/>
    </row>
    <row r="634" spans="1:29" ht="15" x14ac:dyDescent="0.25">
      <c r="C634" s="31" t="s">
        <v>715</v>
      </c>
      <c r="H634" s="49">
        <f>I627+I628+I630+I631+I632+0-0-0</f>
        <v>1767.7699999999998</v>
      </c>
      <c r="I634" s="49"/>
      <c r="J634" s="49">
        <f>K627+K628+K630+K631+K632+0-0-0</f>
        <v>39694.44</v>
      </c>
      <c r="K634" s="49"/>
    </row>
    <row r="635" spans="1:29" ht="15" x14ac:dyDescent="0.25">
      <c r="C635" s="31" t="s">
        <v>716</v>
      </c>
      <c r="H635" s="51">
        <f>0+0</f>
        <v>0</v>
      </c>
      <c r="I635" s="51"/>
      <c r="J635" s="51">
        <f>0+0</f>
        <v>0</v>
      </c>
      <c r="K635" s="51"/>
    </row>
    <row r="636" spans="1:29" ht="15" x14ac:dyDescent="0.25">
      <c r="C636" s="31" t="s">
        <v>717</v>
      </c>
      <c r="H636" s="51">
        <f>I627+I628+I630+I631+I632+0</f>
        <v>1767.7699999999998</v>
      </c>
      <c r="I636" s="51"/>
      <c r="J636" s="51">
        <f>K627+K628+K630+K631+K632+0</f>
        <v>39694.44</v>
      </c>
      <c r="K636" s="51"/>
      <c r="O636" s="52">
        <f>I627+I628+I630+I631+I632+0</f>
        <v>1767.7699999999998</v>
      </c>
      <c r="P636" s="52">
        <f>K627+K628+K630+K631+K632+0</f>
        <v>39694.44</v>
      </c>
    </row>
    <row r="638" spans="1:29" ht="27" x14ac:dyDescent="0.2">
      <c r="A638" s="44">
        <v>84</v>
      </c>
      <c r="B638" s="44" t="str">
        <f>Source!F448</f>
        <v>КА №50</v>
      </c>
      <c r="C638" s="44" t="s">
        <v>791</v>
      </c>
      <c r="D638" s="45" t="str">
        <f>Source!H448</f>
        <v>шт.</v>
      </c>
      <c r="E638" s="46">
        <f>Source!I448</f>
        <v>10</v>
      </c>
      <c r="F638" s="47">
        <f>Source!AL448</f>
        <v>15.65</v>
      </c>
      <c r="G638" s="48" t="str">
        <f>Source!DD448</f>
        <v/>
      </c>
      <c r="H638" s="46">
        <f>Source!AW449</f>
        <v>1</v>
      </c>
      <c r="I638" s="47">
        <f>Source!P448</f>
        <v>156.5</v>
      </c>
      <c r="J638" s="46">
        <f>IF(Source!BC449&lt;&gt; 0, Source!BC449, 1)</f>
        <v>9.8800000000000008</v>
      </c>
      <c r="K638" s="47">
        <f>Source!P449</f>
        <v>1546.22</v>
      </c>
      <c r="Q638">
        <f>Source!X448</f>
        <v>0</v>
      </c>
      <c r="R638">
        <f>Source!X449</f>
        <v>0</v>
      </c>
      <c r="S638">
        <f>Source!Y448</f>
        <v>0</v>
      </c>
      <c r="T638">
        <f>Source!Y449</f>
        <v>0</v>
      </c>
      <c r="U638">
        <f>ROUND((175/100)*ROUND(Source!R448, 2), 2)</f>
        <v>0</v>
      </c>
      <c r="V638">
        <f>ROUND((0/100)*ROUND(Source!R449, 2), 2)</f>
        <v>0</v>
      </c>
      <c r="AC638">
        <v>3</v>
      </c>
    </row>
    <row r="639" spans="1:29" ht="15" x14ac:dyDescent="0.25">
      <c r="C639" s="31" t="s">
        <v>717</v>
      </c>
      <c r="H639" s="49">
        <f>I638+0</f>
        <v>156.5</v>
      </c>
      <c r="I639" s="49"/>
      <c r="J639" s="49">
        <f>K638+0</f>
        <v>1546.22</v>
      </c>
      <c r="K639" s="49"/>
      <c r="O639" s="52">
        <f>I638+0</f>
        <v>156.5</v>
      </c>
      <c r="P639" s="52">
        <f>K638+0</f>
        <v>1546.22</v>
      </c>
    </row>
    <row r="641" spans="1:29" ht="78" x14ac:dyDescent="0.2">
      <c r="A641" s="39">
        <v>85</v>
      </c>
      <c r="B641" s="39" t="s">
        <v>727</v>
      </c>
      <c r="C641" s="39" t="s">
        <v>76</v>
      </c>
      <c r="D641" s="40" t="str">
        <f>Source!H450</f>
        <v>100 м</v>
      </c>
      <c r="E641" s="11">
        <f>Source!I450</f>
        <v>5</v>
      </c>
      <c r="F641" s="42"/>
      <c r="G641" s="41"/>
      <c r="H641" s="11"/>
      <c r="I641" s="42"/>
      <c r="J641" s="11"/>
      <c r="K641" s="42"/>
      <c r="Q641">
        <f>Source!X450</f>
        <v>1105.81</v>
      </c>
      <c r="R641">
        <f>Source!X451</f>
        <v>60808.480000000003</v>
      </c>
      <c r="S641">
        <f>Source!Y450</f>
        <v>581.41</v>
      </c>
      <c r="T641">
        <f>Source!Y451</f>
        <v>31971.47</v>
      </c>
      <c r="U641">
        <f>ROUND((175/100)*ROUND(Source!R450, 2), 2)</f>
        <v>57.54</v>
      </c>
      <c r="V641">
        <f>ROUND((0/100)*ROUND(Source!R451, 2), 2)</f>
        <v>0</v>
      </c>
      <c r="AC641">
        <v>0</v>
      </c>
    </row>
    <row r="642" spans="1:29" x14ac:dyDescent="0.2">
      <c r="C642" s="62" t="str">
        <f>"Объем: "&amp;Source!I450&amp;"=500/"&amp;"100"</f>
        <v>Объем: 5=500/100</v>
      </c>
    </row>
    <row r="643" spans="1:29" ht="14.25" x14ac:dyDescent="0.2">
      <c r="A643" s="39"/>
      <c r="B643" s="39"/>
      <c r="C643" s="39" t="s">
        <v>707</v>
      </c>
      <c r="D643" s="40"/>
      <c r="E643" s="11"/>
      <c r="F643" s="42">
        <f>Source!AO450</f>
        <v>192.26</v>
      </c>
      <c r="G643" s="41" t="str">
        <f>Source!DG450</f>
        <v>*1,1</v>
      </c>
      <c r="H643" s="11">
        <f>Source!AV451</f>
        <v>1.0469999999999999</v>
      </c>
      <c r="I643" s="42">
        <f>Source!S450</f>
        <v>1107.1300000000001</v>
      </c>
      <c r="J643" s="11">
        <f>IF(Source!BA451&lt;&gt; 0, Source!BA451, 1)</f>
        <v>54.99</v>
      </c>
      <c r="K643" s="42">
        <f>Source!S451</f>
        <v>60881.08</v>
      </c>
    </row>
    <row r="644" spans="1:29" ht="14.25" x14ac:dyDescent="0.2">
      <c r="A644" s="39"/>
      <c r="B644" s="39"/>
      <c r="C644" s="39" t="s">
        <v>708</v>
      </c>
      <c r="D644" s="40"/>
      <c r="E644" s="11"/>
      <c r="F644" s="42">
        <f>Source!AM450</f>
        <v>32.869999999999997</v>
      </c>
      <c r="G644" s="41" t="str">
        <f>Source!DE450</f>
        <v>*1,1</v>
      </c>
      <c r="H644" s="11">
        <f>Source!AV451</f>
        <v>1.0469999999999999</v>
      </c>
      <c r="I644" s="42">
        <f>Source!Q450</f>
        <v>189.28</v>
      </c>
      <c r="J644" s="11">
        <f>IF(Source!BB451&lt;&gt; 0, Source!BB451, 1)</f>
        <v>17.850000000000001</v>
      </c>
      <c r="K644" s="42">
        <f>Source!Q451</f>
        <v>3378.65</v>
      </c>
    </row>
    <row r="645" spans="1:29" ht="14.25" x14ac:dyDescent="0.2">
      <c r="A645" s="39"/>
      <c r="B645" s="39"/>
      <c r="C645" s="39" t="s">
        <v>709</v>
      </c>
      <c r="D645" s="40"/>
      <c r="E645" s="11"/>
      <c r="F645" s="42">
        <f>Source!AN450</f>
        <v>5.71</v>
      </c>
      <c r="G645" s="41" t="str">
        <f>Source!DF450</f>
        <v>*1,1</v>
      </c>
      <c r="H645" s="11">
        <f>Source!AV451</f>
        <v>1.0469999999999999</v>
      </c>
      <c r="I645" s="43">
        <f>Source!R450</f>
        <v>32.880000000000003</v>
      </c>
      <c r="J645" s="11">
        <f>IF(Source!BS451&lt;&gt; 0, Source!BS451, 1)</f>
        <v>54.99</v>
      </c>
      <c r="K645" s="43">
        <f>Source!R451</f>
        <v>1808.07</v>
      </c>
    </row>
    <row r="646" spans="1:29" ht="14.25" x14ac:dyDescent="0.2">
      <c r="A646" s="39"/>
      <c r="B646" s="39"/>
      <c r="C646" s="39" t="s">
        <v>720</v>
      </c>
      <c r="D646" s="40"/>
      <c r="E646" s="11"/>
      <c r="F646" s="42">
        <f>Source!AL450</f>
        <v>314.29000000000002</v>
      </c>
      <c r="G646" s="41" t="str">
        <f>Source!DD450</f>
        <v/>
      </c>
      <c r="H646" s="11">
        <f>Source!AW451</f>
        <v>1</v>
      </c>
      <c r="I646" s="42">
        <f>Source!P450</f>
        <v>1571.45</v>
      </c>
      <c r="J646" s="11">
        <f>IF(Source!BC451&lt;&gt; 0, Source!BC451, 1)</f>
        <v>9.89</v>
      </c>
      <c r="K646" s="42">
        <f>Source!P451</f>
        <v>15541.64</v>
      </c>
    </row>
    <row r="647" spans="1:29" ht="42.75" x14ac:dyDescent="0.2">
      <c r="A647" s="39" t="s">
        <v>445</v>
      </c>
      <c r="B647" s="39" t="str">
        <f>Source!F452</f>
        <v>1.12-5-372</v>
      </c>
      <c r="C647" s="39" t="s">
        <v>83</v>
      </c>
      <c r="D647" s="40" t="str">
        <f>Source!H452</f>
        <v>м</v>
      </c>
      <c r="E647" s="11">
        <f>Source!I452</f>
        <v>510</v>
      </c>
      <c r="F647" s="42">
        <f>Source!AK452</f>
        <v>3.45</v>
      </c>
      <c r="G647" s="61" t="s">
        <v>3</v>
      </c>
      <c r="H647" s="11">
        <f>Source!AW453</f>
        <v>1</v>
      </c>
      <c r="I647" s="42">
        <f>Source!O452</f>
        <v>1759.5</v>
      </c>
      <c r="J647" s="11">
        <f>IF(Source!BC453&lt;&gt; 0, Source!BC453, 1)</f>
        <v>3.93</v>
      </c>
      <c r="K647" s="42">
        <f>Source!O453</f>
        <v>6914.84</v>
      </c>
      <c r="Q647">
        <f>Source!X452</f>
        <v>0</v>
      </c>
      <c r="R647">
        <f>Source!X453</f>
        <v>0</v>
      </c>
      <c r="S647">
        <f>Source!Y452</f>
        <v>0</v>
      </c>
      <c r="T647">
        <f>Source!Y453</f>
        <v>0</v>
      </c>
      <c r="U647">
        <f>ROUND((175/100)*ROUND(Source!R452, 2), 2)</f>
        <v>0</v>
      </c>
      <c r="V647">
        <f>ROUND((0/100)*ROUND(Source!R453, 2), 2)</f>
        <v>0</v>
      </c>
      <c r="AC647">
        <v>3</v>
      </c>
    </row>
    <row r="648" spans="1:29" ht="14.25" x14ac:dyDescent="0.2">
      <c r="A648" s="39"/>
      <c r="B648" s="39"/>
      <c r="C648" s="39" t="s">
        <v>710</v>
      </c>
      <c r="D648" s="40" t="s">
        <v>711</v>
      </c>
      <c r="E648" s="11">
        <f>Source!BZ451</f>
        <v>97</v>
      </c>
      <c r="F648" s="42"/>
      <c r="G648" s="41"/>
      <c r="H648" s="11"/>
      <c r="I648" s="42">
        <f>SUM(Q641:Q647)</f>
        <v>1105.81</v>
      </c>
      <c r="J648" s="11">
        <f>Source!AT451</f>
        <v>97</v>
      </c>
      <c r="K648" s="42">
        <f>SUM(R641:R647)</f>
        <v>60808.480000000003</v>
      </c>
    </row>
    <row r="649" spans="1:29" ht="14.25" x14ac:dyDescent="0.2">
      <c r="A649" s="39"/>
      <c r="B649" s="39"/>
      <c r="C649" s="39" t="s">
        <v>712</v>
      </c>
      <c r="D649" s="40" t="s">
        <v>711</v>
      </c>
      <c r="E649" s="11">
        <f>Source!CA451</f>
        <v>51</v>
      </c>
      <c r="F649" s="42"/>
      <c r="G649" s="41"/>
      <c r="H649" s="11"/>
      <c r="I649" s="42">
        <f>SUM(S641:S648)</f>
        <v>581.41</v>
      </c>
      <c r="J649" s="11">
        <f>Source!AU451</f>
        <v>51</v>
      </c>
      <c r="K649" s="42">
        <f>SUM(T641:T648)</f>
        <v>31971.47</v>
      </c>
    </row>
    <row r="650" spans="1:29" ht="14.25" x14ac:dyDescent="0.2">
      <c r="A650" s="44"/>
      <c r="B650" s="44"/>
      <c r="C650" s="44" t="s">
        <v>713</v>
      </c>
      <c r="D650" s="45" t="s">
        <v>714</v>
      </c>
      <c r="E650" s="46">
        <f>Source!AQ450</f>
        <v>15</v>
      </c>
      <c r="F650" s="47"/>
      <c r="G650" s="48" t="str">
        <f>Source!DI450</f>
        <v>*1,1</v>
      </c>
      <c r="H650" s="46">
        <f>Source!AV451</f>
        <v>1.0469999999999999</v>
      </c>
      <c r="I650" s="47">
        <f>Source!U450</f>
        <v>86.377499999999984</v>
      </c>
      <c r="J650" s="46"/>
      <c r="K650" s="47"/>
    </row>
    <row r="651" spans="1:29" ht="15" x14ac:dyDescent="0.25">
      <c r="C651" s="31" t="s">
        <v>715</v>
      </c>
      <c r="H651" s="49">
        <f>I643+I644+I646+I648+I649+SUM(I647:I647)-SUMIF(AC647:AC647, 5, I647:I647)-SUMIF(AC647:AC647, 6, I647:I647)</f>
        <v>6314.58</v>
      </c>
      <c r="I651" s="49"/>
      <c r="J651" s="49">
        <f>K643+K644+K646+K648+K649+SUM(K647:K647)-SUMIF(AC647:AC647, 5, K647:K647)-SUMIF(AC647:AC647, 6, K647:K647)</f>
        <v>179496.16</v>
      </c>
      <c r="K651" s="49"/>
    </row>
    <row r="652" spans="1:29" ht="15" x14ac:dyDescent="0.25">
      <c r="C652" s="31" t="s">
        <v>716</v>
      </c>
      <c r="H652" s="51">
        <f>SUMIF(AC647:AC647, 5, I647:I647)+SUMIF(AC647:AC647, 6, I647:I647)</f>
        <v>0</v>
      </c>
      <c r="I652" s="51"/>
      <c r="J652" s="51">
        <f>SUMIF(AC647:AC647, 5, K647:K647)+SUMIF(AC647:AC647, 6, K647:K647)</f>
        <v>0</v>
      </c>
      <c r="K652" s="51"/>
    </row>
    <row r="653" spans="1:29" ht="15" x14ac:dyDescent="0.25">
      <c r="C653" s="31" t="s">
        <v>717</v>
      </c>
      <c r="H653" s="51">
        <f>I643+I644+I646+I648+I649+SUM(I647:I647)</f>
        <v>6314.58</v>
      </c>
      <c r="I653" s="51"/>
      <c r="J653" s="51">
        <f>K643+K644+K646+K648+K649+SUM(K647:K647)</f>
        <v>179496.16</v>
      </c>
      <c r="K653" s="51"/>
      <c r="O653" s="52">
        <f>I643+I644+I646+I648+I649+SUM(I647:I647)</f>
        <v>6314.58</v>
      </c>
      <c r="P653" s="52">
        <f>K643+K644+K646+K648+K649+SUM(K647:K647)</f>
        <v>179496.16</v>
      </c>
    </row>
    <row r="655" spans="1:29" ht="78" x14ac:dyDescent="0.2">
      <c r="A655" s="39">
        <v>86</v>
      </c>
      <c r="B655" s="39" t="s">
        <v>792</v>
      </c>
      <c r="C655" s="39" t="s">
        <v>448</v>
      </c>
      <c r="D655" s="40" t="str">
        <f>Source!H454</f>
        <v>100 м</v>
      </c>
      <c r="E655" s="11">
        <f>Source!I454</f>
        <v>5</v>
      </c>
      <c r="F655" s="42"/>
      <c r="G655" s="41"/>
      <c r="H655" s="11"/>
      <c r="I655" s="42"/>
      <c r="J655" s="11"/>
      <c r="K655" s="42"/>
      <c r="Q655">
        <f>Source!X454</f>
        <v>437.15</v>
      </c>
      <c r="R655">
        <f>Source!X455</f>
        <v>24038.87</v>
      </c>
      <c r="S655">
        <f>Source!Y454</f>
        <v>229.84</v>
      </c>
      <c r="T655">
        <f>Source!Y455</f>
        <v>12638.99</v>
      </c>
      <c r="U655">
        <f>ROUND((175/100)*ROUND(Source!R454, 2), 2)</f>
        <v>8.98</v>
      </c>
      <c r="V655">
        <f>ROUND((0/100)*ROUND(Source!R455, 2), 2)</f>
        <v>0</v>
      </c>
      <c r="AC655">
        <v>0</v>
      </c>
    </row>
    <row r="656" spans="1:29" x14ac:dyDescent="0.2">
      <c r="C656" s="62" t="str">
        <f>"Объем: "&amp;Source!I454&amp;"=500/"&amp;"100"</f>
        <v>Объем: 5=500/100</v>
      </c>
    </row>
    <row r="657" spans="1:29" ht="14.25" x14ac:dyDescent="0.2">
      <c r="A657" s="39"/>
      <c r="B657" s="39"/>
      <c r="C657" s="39" t="s">
        <v>707</v>
      </c>
      <c r="D657" s="40"/>
      <c r="E657" s="11"/>
      <c r="F657" s="42">
        <f>Source!AO454</f>
        <v>77.37</v>
      </c>
      <c r="G657" s="41" t="str">
        <f>Source!DG454</f>
        <v>*1,1</v>
      </c>
      <c r="H657" s="11">
        <f>Source!AV455</f>
        <v>1.0469999999999999</v>
      </c>
      <c r="I657" s="42">
        <f>Source!S454</f>
        <v>445.54</v>
      </c>
      <c r="J657" s="11">
        <f>IF(Source!BA455&lt;&gt; 0, Source!BA455, 1)</f>
        <v>54.99</v>
      </c>
      <c r="K657" s="42">
        <f>Source!S455</f>
        <v>24500.240000000002</v>
      </c>
    </row>
    <row r="658" spans="1:29" ht="14.25" x14ac:dyDescent="0.2">
      <c r="A658" s="39"/>
      <c r="B658" s="39"/>
      <c r="C658" s="39" t="s">
        <v>708</v>
      </c>
      <c r="D658" s="40"/>
      <c r="E658" s="11"/>
      <c r="F658" s="42">
        <f>Source!AM454</f>
        <v>7.87</v>
      </c>
      <c r="G658" s="41" t="str">
        <f>Source!DE454</f>
        <v>*1,1</v>
      </c>
      <c r="H658" s="11">
        <f>Source!AV455</f>
        <v>1.0469999999999999</v>
      </c>
      <c r="I658" s="42">
        <f>Source!Q454</f>
        <v>45.32</v>
      </c>
      <c r="J658" s="11">
        <f>IF(Source!BB455&lt;&gt; 0, Source!BB455, 1)</f>
        <v>14.55</v>
      </c>
      <c r="K658" s="42">
        <f>Source!Q455</f>
        <v>659.41</v>
      </c>
    </row>
    <row r="659" spans="1:29" ht="14.25" x14ac:dyDescent="0.2">
      <c r="A659" s="39"/>
      <c r="B659" s="39"/>
      <c r="C659" s="39" t="s">
        <v>709</v>
      </c>
      <c r="D659" s="40"/>
      <c r="E659" s="11"/>
      <c r="F659" s="42">
        <f>Source!AN454</f>
        <v>0.89</v>
      </c>
      <c r="G659" s="41" t="str">
        <f>Source!DF454</f>
        <v>*1,1</v>
      </c>
      <c r="H659" s="11">
        <f>Source!AV455</f>
        <v>1.0469999999999999</v>
      </c>
      <c r="I659" s="43">
        <f>Source!R454</f>
        <v>5.13</v>
      </c>
      <c r="J659" s="11">
        <f>IF(Source!BS455&lt;&gt; 0, Source!BS455, 1)</f>
        <v>54.99</v>
      </c>
      <c r="K659" s="43">
        <f>Source!R455</f>
        <v>282.10000000000002</v>
      </c>
    </row>
    <row r="660" spans="1:29" ht="14.25" x14ac:dyDescent="0.2">
      <c r="A660" s="39"/>
      <c r="B660" s="39"/>
      <c r="C660" s="39" t="s">
        <v>720</v>
      </c>
      <c r="D660" s="40"/>
      <c r="E660" s="11"/>
      <c r="F660" s="42">
        <f>Source!AL454</f>
        <v>90.58</v>
      </c>
      <c r="G660" s="41" t="str">
        <f>Source!DD454</f>
        <v/>
      </c>
      <c r="H660" s="11">
        <f>Source!AW455</f>
        <v>1</v>
      </c>
      <c r="I660" s="42">
        <f>Source!P454</f>
        <v>452.9</v>
      </c>
      <c r="J660" s="11">
        <f>IF(Source!BC455&lt;&gt; 0, Source!BC455, 1)</f>
        <v>4.21</v>
      </c>
      <c r="K660" s="42">
        <f>Source!P455</f>
        <v>1906.71</v>
      </c>
    </row>
    <row r="661" spans="1:29" ht="128.25" x14ac:dyDescent="0.2">
      <c r="A661" s="39" t="s">
        <v>450</v>
      </c>
      <c r="B661" s="39" t="str">
        <f>Source!F456</f>
        <v>1.23-8-760</v>
      </c>
      <c r="C661" s="39" t="s">
        <v>676</v>
      </c>
      <c r="D661" s="40" t="str">
        <f>Source!H456</f>
        <v>км</v>
      </c>
      <c r="E661" s="11">
        <f>Source!I456</f>
        <v>0.51</v>
      </c>
      <c r="F661" s="42">
        <f>Source!AK456</f>
        <v>19510.68</v>
      </c>
      <c r="G661" s="61" t="s">
        <v>3</v>
      </c>
      <c r="H661" s="11">
        <f>Source!AW457</f>
        <v>1</v>
      </c>
      <c r="I661" s="42">
        <f>Source!O456</f>
        <v>9950.4500000000007</v>
      </c>
      <c r="J661" s="11">
        <f>IF(Source!BC457&lt;&gt; 0, Source!BC457, 1)</f>
        <v>4.5199999999999996</v>
      </c>
      <c r="K661" s="42">
        <f>Source!O457</f>
        <v>44976.03</v>
      </c>
      <c r="Q661">
        <f>Source!X456</f>
        <v>0</v>
      </c>
      <c r="R661">
        <f>Source!X457</f>
        <v>0</v>
      </c>
      <c r="S661">
        <f>Source!Y456</f>
        <v>0</v>
      </c>
      <c r="T661">
        <f>Source!Y457</f>
        <v>0</v>
      </c>
      <c r="U661">
        <f>ROUND((175/100)*ROUND(Source!R456, 2), 2)</f>
        <v>0</v>
      </c>
      <c r="V661">
        <f>ROUND((0/100)*ROUND(Source!R457, 2), 2)</f>
        <v>0</v>
      </c>
      <c r="AC661">
        <v>3</v>
      </c>
    </row>
    <row r="662" spans="1:29" ht="14.25" x14ac:dyDescent="0.2">
      <c r="A662" s="39"/>
      <c r="B662" s="39"/>
      <c r="C662" s="39" t="s">
        <v>710</v>
      </c>
      <c r="D662" s="40" t="s">
        <v>711</v>
      </c>
      <c r="E662" s="11">
        <f>Source!BZ455</f>
        <v>97</v>
      </c>
      <c r="F662" s="42"/>
      <c r="G662" s="41"/>
      <c r="H662" s="11"/>
      <c r="I662" s="42">
        <f>SUM(Q655:Q661)</f>
        <v>437.15</v>
      </c>
      <c r="J662" s="11">
        <f>Source!AT455</f>
        <v>97</v>
      </c>
      <c r="K662" s="42">
        <f>SUM(R655:R661)</f>
        <v>24038.87</v>
      </c>
    </row>
    <row r="663" spans="1:29" ht="14.25" x14ac:dyDescent="0.2">
      <c r="A663" s="39"/>
      <c r="B663" s="39"/>
      <c r="C663" s="39" t="s">
        <v>712</v>
      </c>
      <c r="D663" s="40" t="s">
        <v>711</v>
      </c>
      <c r="E663" s="11">
        <f>Source!CA455</f>
        <v>51</v>
      </c>
      <c r="F663" s="42"/>
      <c r="G663" s="41"/>
      <c r="H663" s="11"/>
      <c r="I663" s="42">
        <f>SUM(S655:S662)</f>
        <v>229.84</v>
      </c>
      <c r="J663" s="11">
        <f>Source!AU455</f>
        <v>51</v>
      </c>
      <c r="K663" s="42">
        <f>SUM(T655:T662)</f>
        <v>12638.99</v>
      </c>
    </row>
    <row r="664" spans="1:29" ht="14.25" x14ac:dyDescent="0.2">
      <c r="A664" s="44"/>
      <c r="B664" s="44"/>
      <c r="C664" s="44" t="s">
        <v>713</v>
      </c>
      <c r="D664" s="45" t="s">
        <v>714</v>
      </c>
      <c r="E664" s="46">
        <f>Source!AQ454</f>
        <v>6.29</v>
      </c>
      <c r="F664" s="47"/>
      <c r="G664" s="48" t="str">
        <f>Source!DI454</f>
        <v>*1,1</v>
      </c>
      <c r="H664" s="46">
        <f>Source!AV455</f>
        <v>1.0469999999999999</v>
      </c>
      <c r="I664" s="47">
        <f>Source!U454</f>
        <v>36.220965</v>
      </c>
      <c r="J664" s="46"/>
      <c r="K664" s="47"/>
    </row>
    <row r="665" spans="1:29" ht="15" x14ac:dyDescent="0.25">
      <c r="C665" s="31" t="s">
        <v>715</v>
      </c>
      <c r="H665" s="49">
        <f>I657+I658+I660+I662+I663+SUM(I661:I661)-SUMIF(AC661:AC661, 5, I661:I661)-SUMIF(AC661:AC661, 6, I661:I661)</f>
        <v>11561.2</v>
      </c>
      <c r="I665" s="49"/>
      <c r="J665" s="49">
        <f>K657+K658+K660+K662+K663+SUM(K661:K661)-SUMIF(AC661:AC661, 5, K661:K661)-SUMIF(AC661:AC661, 6, K661:K661)</f>
        <v>108720.25</v>
      </c>
      <c r="K665" s="49"/>
    </row>
    <row r="666" spans="1:29" ht="15" x14ac:dyDescent="0.25">
      <c r="C666" s="31" t="s">
        <v>716</v>
      </c>
      <c r="H666" s="51">
        <f>SUMIF(AC661:AC661, 5, I661:I661)+SUMIF(AC661:AC661, 6, I661:I661)</f>
        <v>0</v>
      </c>
      <c r="I666" s="51"/>
      <c r="J666" s="51">
        <f>SUMIF(AC661:AC661, 5, K661:K661)+SUMIF(AC661:AC661, 6, K661:K661)</f>
        <v>0</v>
      </c>
      <c r="K666" s="51"/>
    </row>
    <row r="667" spans="1:29" ht="15" x14ac:dyDescent="0.25">
      <c r="C667" s="31" t="s">
        <v>717</v>
      </c>
      <c r="H667" s="51">
        <f>I657+I658+I660+I662+I663+SUM(I661:I661)</f>
        <v>11561.2</v>
      </c>
      <c r="I667" s="51"/>
      <c r="J667" s="51">
        <f>K657+K658+K660+K662+K663+SUM(K661:K661)</f>
        <v>108720.25</v>
      </c>
      <c r="K667" s="51"/>
      <c r="O667" s="52">
        <f>I657+I658+I660+I662+I663+SUM(I661:I661)</f>
        <v>11561.2</v>
      </c>
      <c r="P667" s="52">
        <f>K657+K658+K660+K662+K663+SUM(K661:K661)</f>
        <v>108720.25</v>
      </c>
    </row>
    <row r="670" spans="1:29" ht="15" x14ac:dyDescent="0.25">
      <c r="A670" s="64" t="str">
        <f>CONCATENATE("Итого по разделу: ",IF(Source!G459&lt;&gt;"Новый раздел", Source!G459, ""))</f>
        <v>Итого по разделу: Автоматизация систем кондиционирования</v>
      </c>
      <c r="B670" s="64"/>
      <c r="C670" s="64"/>
      <c r="D670" s="64"/>
      <c r="E670" s="64"/>
      <c r="F670" s="64"/>
      <c r="G670" s="64"/>
      <c r="H670" s="51">
        <f>SUM(O597:O669)</f>
        <v>39339.380000000005</v>
      </c>
      <c r="I670" s="50"/>
      <c r="J670" s="51">
        <f>SUM(P597:P669)</f>
        <v>451003.11</v>
      </c>
      <c r="K670" s="50"/>
    </row>
    <row r="671" spans="1:29" hidden="1" x14ac:dyDescent="0.2">
      <c r="A671" t="s">
        <v>732</v>
      </c>
      <c r="I671">
        <f>SUM(W597:W670)</f>
        <v>0</v>
      </c>
      <c r="J671">
        <f>SUM(X597:X670)</f>
        <v>0</v>
      </c>
    </row>
    <row r="672" spans="1:29" hidden="1" x14ac:dyDescent="0.2">
      <c r="A672" t="s">
        <v>733</v>
      </c>
      <c r="I672">
        <f>SUM(Y597:Y671)</f>
        <v>0</v>
      </c>
      <c r="J672">
        <f>SUM(Z597:Z671)</f>
        <v>0</v>
      </c>
    </row>
    <row r="674" spans="1:29" ht="16.5" x14ac:dyDescent="0.25">
      <c r="A674" s="38" t="str">
        <f>CONCATENATE("Раздел: ",IF(Source!G489&lt;&gt;"Новый раздел", Source!G489, ""))</f>
        <v>Раздел: Система управления освещением</v>
      </c>
      <c r="B674" s="38"/>
      <c r="C674" s="38"/>
      <c r="D674" s="38"/>
      <c r="E674" s="38"/>
      <c r="F674" s="38"/>
      <c r="G674" s="38"/>
      <c r="H674" s="38"/>
      <c r="I674" s="38"/>
      <c r="J674" s="38"/>
      <c r="K674" s="38"/>
    </row>
    <row r="675" spans="1:29" ht="78" x14ac:dyDescent="0.2">
      <c r="A675" s="39">
        <v>87</v>
      </c>
      <c r="B675" s="39" t="s">
        <v>719</v>
      </c>
      <c r="C675" s="39" t="s">
        <v>39</v>
      </c>
      <c r="D675" s="40" t="str">
        <f>Source!H493</f>
        <v>1  ШТ.</v>
      </c>
      <c r="E675" s="11">
        <f>Source!I493</f>
        <v>1</v>
      </c>
      <c r="F675" s="42"/>
      <c r="G675" s="41"/>
      <c r="H675" s="11"/>
      <c r="I675" s="42"/>
      <c r="J675" s="11"/>
      <c r="K675" s="42"/>
      <c r="Q675">
        <f>Source!X493</f>
        <v>24.91</v>
      </c>
      <c r="R675">
        <f>Source!X494</f>
        <v>1369.92</v>
      </c>
      <c r="S675">
        <f>Source!Y493</f>
        <v>12.73</v>
      </c>
      <c r="T675">
        <f>Source!Y494</f>
        <v>700.18</v>
      </c>
      <c r="U675">
        <f>ROUND((175/100)*ROUND(Source!R493, 2), 2)</f>
        <v>0.51</v>
      </c>
      <c r="V675">
        <f>ROUND((0/100)*ROUND(Source!R494, 2), 2)</f>
        <v>0</v>
      </c>
      <c r="AC675">
        <v>0</v>
      </c>
    </row>
    <row r="676" spans="1:29" ht="14.25" x14ac:dyDescent="0.2">
      <c r="A676" s="39"/>
      <c r="B676" s="39"/>
      <c r="C676" s="39" t="s">
        <v>707</v>
      </c>
      <c r="D676" s="40"/>
      <c r="E676" s="11"/>
      <c r="F676" s="42">
        <f>Source!AO493</f>
        <v>23.78</v>
      </c>
      <c r="G676" s="41" t="str">
        <f>Source!DG493</f>
        <v>*1,1</v>
      </c>
      <c r="H676" s="11">
        <f>Source!AV494</f>
        <v>1.0469999999999999</v>
      </c>
      <c r="I676" s="42">
        <f>Source!S493</f>
        <v>27.39</v>
      </c>
      <c r="J676" s="11">
        <f>IF(Source!BA494&lt;&gt; 0, Source!BA494, 1)</f>
        <v>54.99</v>
      </c>
      <c r="K676" s="42">
        <f>Source!S494</f>
        <v>1506.18</v>
      </c>
    </row>
    <row r="677" spans="1:29" ht="14.25" x14ac:dyDescent="0.2">
      <c r="A677" s="39"/>
      <c r="B677" s="39"/>
      <c r="C677" s="39" t="s">
        <v>708</v>
      </c>
      <c r="D677" s="40"/>
      <c r="E677" s="11"/>
      <c r="F677" s="42">
        <f>Source!AM493</f>
        <v>2.38</v>
      </c>
      <c r="G677" s="41" t="str">
        <f>Source!DE493</f>
        <v>*1,1</v>
      </c>
      <c r="H677" s="11">
        <f>Source!AV494</f>
        <v>1.0469999999999999</v>
      </c>
      <c r="I677" s="42">
        <f>Source!Q493</f>
        <v>2.74</v>
      </c>
      <c r="J677" s="11">
        <f>IF(Source!BB494&lt;&gt; 0, Source!BB494, 1)</f>
        <v>13.99</v>
      </c>
      <c r="K677" s="42">
        <f>Source!Q494</f>
        <v>38.33</v>
      </c>
    </row>
    <row r="678" spans="1:29" ht="14.25" x14ac:dyDescent="0.2">
      <c r="A678" s="39"/>
      <c r="B678" s="39"/>
      <c r="C678" s="39" t="s">
        <v>709</v>
      </c>
      <c r="D678" s="40"/>
      <c r="E678" s="11"/>
      <c r="F678" s="42">
        <f>Source!AN493</f>
        <v>0.25</v>
      </c>
      <c r="G678" s="41" t="str">
        <f>Source!DF493</f>
        <v>*1,1</v>
      </c>
      <c r="H678" s="11">
        <f>Source!AV494</f>
        <v>1.0469999999999999</v>
      </c>
      <c r="I678" s="43">
        <f>Source!R493</f>
        <v>0.28999999999999998</v>
      </c>
      <c r="J678" s="11">
        <f>IF(Source!BS494&lt;&gt; 0, Source!BS494, 1)</f>
        <v>54.99</v>
      </c>
      <c r="K678" s="43">
        <f>Source!R494</f>
        <v>15.95</v>
      </c>
    </row>
    <row r="679" spans="1:29" ht="14.25" x14ac:dyDescent="0.2">
      <c r="A679" s="39"/>
      <c r="B679" s="39"/>
      <c r="C679" s="39" t="s">
        <v>720</v>
      </c>
      <c r="D679" s="40"/>
      <c r="E679" s="11"/>
      <c r="F679" s="42">
        <f>Source!AL493</f>
        <v>109.01</v>
      </c>
      <c r="G679" s="41" t="str">
        <f>Source!DD493</f>
        <v/>
      </c>
      <c r="H679" s="11">
        <f>Source!AW494</f>
        <v>1</v>
      </c>
      <c r="I679" s="42">
        <f>Source!P493</f>
        <v>109.01</v>
      </c>
      <c r="J679" s="11">
        <f>IF(Source!BC494&lt;&gt; 0, Source!BC494, 1)</f>
        <v>3.26</v>
      </c>
      <c r="K679" s="42">
        <f>Source!P494</f>
        <v>355.37</v>
      </c>
    </row>
    <row r="680" spans="1:29" ht="57" x14ac:dyDescent="0.2">
      <c r="A680" s="39" t="s">
        <v>455</v>
      </c>
      <c r="B680" s="39" t="str">
        <f>Source!F495</f>
        <v>1.21-1-63</v>
      </c>
      <c r="C680" s="39" t="s">
        <v>45</v>
      </c>
      <c r="D680" s="40" t="str">
        <f>Source!H495</f>
        <v>шт.</v>
      </c>
      <c r="E680" s="11">
        <f>Source!I495</f>
        <v>1</v>
      </c>
      <c r="F680" s="42">
        <f>Source!AK495</f>
        <v>1975.19</v>
      </c>
      <c r="G680" s="61" t="s">
        <v>3</v>
      </c>
      <c r="H680" s="11">
        <f>Source!AW496</f>
        <v>1</v>
      </c>
      <c r="I680" s="42">
        <f>Source!O495</f>
        <v>1975.19</v>
      </c>
      <c r="J680" s="11">
        <f>IF(Source!BC496&lt;&gt; 0, Source!BC496, 1)</f>
        <v>6.86</v>
      </c>
      <c r="K680" s="42">
        <f>Source!O496</f>
        <v>13549.8</v>
      </c>
      <c r="Q680">
        <f>Source!X495</f>
        <v>0</v>
      </c>
      <c r="R680">
        <f>Source!X496</f>
        <v>0</v>
      </c>
      <c r="S680">
        <f>Source!Y495</f>
        <v>0</v>
      </c>
      <c r="T680">
        <f>Source!Y496</f>
        <v>0</v>
      </c>
      <c r="U680">
        <f>ROUND((175/100)*ROUND(Source!R495, 2), 2)</f>
        <v>0</v>
      </c>
      <c r="V680">
        <f>ROUND((0/100)*ROUND(Source!R496, 2), 2)</f>
        <v>0</v>
      </c>
      <c r="AC680">
        <v>3</v>
      </c>
    </row>
    <row r="681" spans="1:29" ht="14.25" x14ac:dyDescent="0.2">
      <c r="A681" s="39"/>
      <c r="B681" s="39"/>
      <c r="C681" s="39" t="s">
        <v>710</v>
      </c>
      <c r="D681" s="40" t="s">
        <v>711</v>
      </c>
      <c r="E681" s="11">
        <f>Source!BZ494</f>
        <v>90</v>
      </c>
      <c r="F681" s="42"/>
      <c r="G681" s="41"/>
      <c r="H681" s="11"/>
      <c r="I681" s="42">
        <f>SUM(Q675:Q680)</f>
        <v>24.91</v>
      </c>
      <c r="J681" s="11">
        <f>Source!AT494</f>
        <v>90</v>
      </c>
      <c r="K681" s="42">
        <f>SUM(R675:R680)</f>
        <v>1369.92</v>
      </c>
    </row>
    <row r="682" spans="1:29" ht="14.25" x14ac:dyDescent="0.2">
      <c r="A682" s="39"/>
      <c r="B682" s="39"/>
      <c r="C682" s="39" t="s">
        <v>712</v>
      </c>
      <c r="D682" s="40" t="s">
        <v>711</v>
      </c>
      <c r="E682" s="11">
        <f>Source!CA494</f>
        <v>46</v>
      </c>
      <c r="F682" s="42"/>
      <c r="G682" s="41"/>
      <c r="H682" s="11"/>
      <c r="I682" s="42">
        <f>SUM(S675:S681)</f>
        <v>12.73</v>
      </c>
      <c r="J682" s="11">
        <f>Source!AU494</f>
        <v>46</v>
      </c>
      <c r="K682" s="42">
        <f>SUM(T675:T681)</f>
        <v>700.18</v>
      </c>
    </row>
    <row r="683" spans="1:29" ht="14.25" x14ac:dyDescent="0.2">
      <c r="A683" s="44"/>
      <c r="B683" s="44"/>
      <c r="C683" s="44" t="s">
        <v>713</v>
      </c>
      <c r="D683" s="45" t="s">
        <v>714</v>
      </c>
      <c r="E683" s="46">
        <f>Source!AQ493</f>
        <v>2</v>
      </c>
      <c r="F683" s="47"/>
      <c r="G683" s="48" t="str">
        <f>Source!DI493</f>
        <v>*1,1</v>
      </c>
      <c r="H683" s="46">
        <f>Source!AV494</f>
        <v>1.0469999999999999</v>
      </c>
      <c r="I683" s="47">
        <f>Source!U493</f>
        <v>2.3033999999999999</v>
      </c>
      <c r="J683" s="46"/>
      <c r="K683" s="47"/>
    </row>
    <row r="684" spans="1:29" ht="15" x14ac:dyDescent="0.25">
      <c r="C684" s="31" t="s">
        <v>715</v>
      </c>
      <c r="H684" s="49">
        <f>I676+I677+I679+I681+I682+SUM(I680:I680)-SUMIF(AC680:AC680, 5, I680:I680)-SUMIF(AC680:AC680, 6, I680:I680)</f>
        <v>2151.9700000000003</v>
      </c>
      <c r="I684" s="49"/>
      <c r="J684" s="49">
        <f>K676+K677+K679+K681+K682+SUM(K680:K680)-SUMIF(AC680:AC680, 5, K680:K680)-SUMIF(AC680:AC680, 6, K680:K680)</f>
        <v>17519.78</v>
      </c>
      <c r="K684" s="49"/>
    </row>
    <row r="685" spans="1:29" ht="15" x14ac:dyDescent="0.25">
      <c r="C685" s="31" t="s">
        <v>716</v>
      </c>
      <c r="H685" s="51">
        <f>SUMIF(AC680:AC680, 5, I680:I680)+SUMIF(AC680:AC680, 6, I680:I680)</f>
        <v>0</v>
      </c>
      <c r="I685" s="51"/>
      <c r="J685" s="51">
        <f>SUMIF(AC680:AC680, 5, K680:K680)+SUMIF(AC680:AC680, 6, K680:K680)</f>
        <v>0</v>
      </c>
      <c r="K685" s="51"/>
    </row>
    <row r="686" spans="1:29" ht="15" x14ac:dyDescent="0.25">
      <c r="C686" s="31" t="s">
        <v>717</v>
      </c>
      <c r="H686" s="51">
        <f>I676+I677+I679+I681+I682+SUM(I680:I680)</f>
        <v>2151.9700000000003</v>
      </c>
      <c r="I686" s="51"/>
      <c r="J686" s="51">
        <f>K676+K677+K679+K681+K682+SUM(K680:K680)</f>
        <v>17519.78</v>
      </c>
      <c r="K686" s="51"/>
      <c r="O686" s="52">
        <f>I676+I677+I679+I681+I682+SUM(I680:I680)</f>
        <v>2151.9700000000003</v>
      </c>
      <c r="P686" s="52">
        <f>K676+K677+K679+K681+K682+SUM(K680:K680)</f>
        <v>17519.78</v>
      </c>
    </row>
    <row r="688" spans="1:29" ht="78" x14ac:dyDescent="0.2">
      <c r="A688" s="39">
        <v>88</v>
      </c>
      <c r="B688" s="39" t="s">
        <v>723</v>
      </c>
      <c r="C688" s="39" t="s">
        <v>57</v>
      </c>
      <c r="D688" s="40" t="str">
        <f>Source!H497</f>
        <v>10 шт.</v>
      </c>
      <c r="E688" s="11">
        <f>Source!I497</f>
        <v>0.2</v>
      </c>
      <c r="F688" s="42"/>
      <c r="G688" s="41"/>
      <c r="H688" s="11"/>
      <c r="I688" s="42"/>
      <c r="J688" s="11"/>
      <c r="K688" s="42"/>
      <c r="Q688">
        <f>Source!X497</f>
        <v>97.66</v>
      </c>
      <c r="R688">
        <f>Source!X498</f>
        <v>5370.27</v>
      </c>
      <c r="S688">
        <f>Source!Y497</f>
        <v>49.91</v>
      </c>
      <c r="T688">
        <f>Source!Y498</f>
        <v>2744.81</v>
      </c>
      <c r="U688">
        <f>ROUND((175/100)*ROUND(Source!R497, 2), 2)</f>
        <v>0.05</v>
      </c>
      <c r="V688">
        <f>ROUND((0/100)*ROUND(Source!R498, 2), 2)</f>
        <v>0</v>
      </c>
      <c r="AC688">
        <v>0</v>
      </c>
    </row>
    <row r="689" spans="1:29" x14ac:dyDescent="0.2">
      <c r="C689" s="62" t="str">
        <f>"Объем: "&amp;Source!I497&amp;"=2/"&amp;"10"</f>
        <v>Объем: 0,2=2/10</v>
      </c>
    </row>
    <row r="690" spans="1:29" ht="14.25" x14ac:dyDescent="0.2">
      <c r="A690" s="39"/>
      <c r="B690" s="39"/>
      <c r="C690" s="39" t="s">
        <v>707</v>
      </c>
      <c r="D690" s="40"/>
      <c r="E690" s="11"/>
      <c r="F690" s="42">
        <f>Source!AO497</f>
        <v>470.94</v>
      </c>
      <c r="G690" s="41" t="str">
        <f>Source!DG497</f>
        <v>*1,1</v>
      </c>
      <c r="H690" s="11">
        <f>Source!AV498</f>
        <v>1.0469999999999999</v>
      </c>
      <c r="I690" s="42">
        <f>Source!S497</f>
        <v>108.48</v>
      </c>
      <c r="J690" s="11">
        <f>IF(Source!BA498&lt;&gt; 0, Source!BA498, 1)</f>
        <v>54.99</v>
      </c>
      <c r="K690" s="42">
        <f>Source!S498</f>
        <v>5965.32</v>
      </c>
    </row>
    <row r="691" spans="1:29" ht="14.25" x14ac:dyDescent="0.2">
      <c r="A691" s="39"/>
      <c r="B691" s="39"/>
      <c r="C691" s="39" t="s">
        <v>708</v>
      </c>
      <c r="D691" s="40"/>
      <c r="E691" s="11"/>
      <c r="F691" s="42">
        <f>Source!AM497</f>
        <v>1.1000000000000001</v>
      </c>
      <c r="G691" s="41" t="str">
        <f>Source!DE497</f>
        <v>*1,1</v>
      </c>
      <c r="H691" s="11">
        <f>Source!AV498</f>
        <v>1.0469999999999999</v>
      </c>
      <c r="I691" s="42">
        <f>Source!Q497</f>
        <v>0.25</v>
      </c>
      <c r="J691" s="11">
        <f>IF(Source!BB498&lt;&gt; 0, Source!BB498, 1)</f>
        <v>14.48</v>
      </c>
      <c r="K691" s="42">
        <f>Source!Q498</f>
        <v>3.62</v>
      </c>
    </row>
    <row r="692" spans="1:29" ht="14.25" x14ac:dyDescent="0.2">
      <c r="A692" s="39"/>
      <c r="B692" s="39"/>
      <c r="C692" s="39" t="s">
        <v>709</v>
      </c>
      <c r="D692" s="40"/>
      <c r="E692" s="11"/>
      <c r="F692" s="42">
        <f>Source!AN497</f>
        <v>0.13</v>
      </c>
      <c r="G692" s="41" t="str">
        <f>Source!DF497</f>
        <v>*1,1</v>
      </c>
      <c r="H692" s="11">
        <f>Source!AV498</f>
        <v>1.0469999999999999</v>
      </c>
      <c r="I692" s="43">
        <f>Source!R497</f>
        <v>0.03</v>
      </c>
      <c r="J692" s="11">
        <f>IF(Source!BS498&lt;&gt; 0, Source!BS498, 1)</f>
        <v>54.99</v>
      </c>
      <c r="K692" s="43">
        <f>Source!R498</f>
        <v>1.65</v>
      </c>
    </row>
    <row r="693" spans="1:29" ht="14.25" x14ac:dyDescent="0.2">
      <c r="A693" s="39"/>
      <c r="B693" s="39"/>
      <c r="C693" s="39" t="s">
        <v>720</v>
      </c>
      <c r="D693" s="40"/>
      <c r="E693" s="11"/>
      <c r="F693" s="42">
        <f>Source!AL497</f>
        <v>1.29</v>
      </c>
      <c r="G693" s="41" t="str">
        <f>Source!DD497</f>
        <v/>
      </c>
      <c r="H693" s="11">
        <f>Source!AW498</f>
        <v>1</v>
      </c>
      <c r="I693" s="42">
        <f>Source!P497</f>
        <v>0.26</v>
      </c>
      <c r="J693" s="11">
        <f>IF(Source!BC498&lt;&gt; 0, Source!BC498, 1)</f>
        <v>7.25</v>
      </c>
      <c r="K693" s="42">
        <f>Source!P498</f>
        <v>1.89</v>
      </c>
    </row>
    <row r="694" spans="1:29" ht="14.25" x14ac:dyDescent="0.2">
      <c r="A694" s="39"/>
      <c r="B694" s="39"/>
      <c r="C694" s="39" t="s">
        <v>710</v>
      </c>
      <c r="D694" s="40" t="s">
        <v>711</v>
      </c>
      <c r="E694" s="11">
        <f>Source!BZ498</f>
        <v>90</v>
      </c>
      <c r="F694" s="42"/>
      <c r="G694" s="41"/>
      <c r="H694" s="11"/>
      <c r="I694" s="42">
        <f>SUM(Q688:Q693)</f>
        <v>97.66</v>
      </c>
      <c r="J694" s="11">
        <f>Source!AT498</f>
        <v>90</v>
      </c>
      <c r="K694" s="42">
        <f>SUM(R688:R693)</f>
        <v>5370.27</v>
      </c>
    </row>
    <row r="695" spans="1:29" ht="14.25" x14ac:dyDescent="0.2">
      <c r="A695" s="39"/>
      <c r="B695" s="39"/>
      <c r="C695" s="39" t="s">
        <v>712</v>
      </c>
      <c r="D695" s="40" t="s">
        <v>711</v>
      </c>
      <c r="E695" s="11">
        <f>Source!CA498</f>
        <v>46</v>
      </c>
      <c r="F695" s="42"/>
      <c r="G695" s="41"/>
      <c r="H695" s="11"/>
      <c r="I695" s="42">
        <f>SUM(S688:S694)</f>
        <v>49.91</v>
      </c>
      <c r="J695" s="11">
        <f>Source!AU498</f>
        <v>46</v>
      </c>
      <c r="K695" s="42">
        <f>SUM(T688:T694)</f>
        <v>2744.81</v>
      </c>
    </row>
    <row r="696" spans="1:29" ht="14.25" x14ac:dyDescent="0.2">
      <c r="A696" s="44"/>
      <c r="B696" s="44"/>
      <c r="C696" s="44" t="s">
        <v>713</v>
      </c>
      <c r="D696" s="45" t="s">
        <v>714</v>
      </c>
      <c r="E696" s="46">
        <f>Source!AQ497</f>
        <v>29.96</v>
      </c>
      <c r="F696" s="47"/>
      <c r="G696" s="48" t="str">
        <f>Source!DI497</f>
        <v>*1,1</v>
      </c>
      <c r="H696" s="46">
        <f>Source!AV498</f>
        <v>1.0469999999999999</v>
      </c>
      <c r="I696" s="47">
        <f>Source!U497</f>
        <v>6.9009864000000007</v>
      </c>
      <c r="J696" s="46"/>
      <c r="K696" s="47"/>
    </row>
    <row r="697" spans="1:29" ht="15" x14ac:dyDescent="0.25">
      <c r="C697" s="31" t="s">
        <v>715</v>
      </c>
      <c r="H697" s="49">
        <f>I690+I691+I693+I694+I695+0-0-0</f>
        <v>256.56</v>
      </c>
      <c r="I697" s="49"/>
      <c r="J697" s="49">
        <f>K690+K691+K693+K694+K695+0-0-0</f>
        <v>14085.91</v>
      </c>
      <c r="K697" s="49"/>
    </row>
    <row r="698" spans="1:29" ht="15" x14ac:dyDescent="0.25">
      <c r="C698" s="31" t="s">
        <v>716</v>
      </c>
      <c r="H698" s="51">
        <f>0+0</f>
        <v>0</v>
      </c>
      <c r="I698" s="51"/>
      <c r="J698" s="51">
        <f>0+0</f>
        <v>0</v>
      </c>
      <c r="K698" s="51"/>
    </row>
    <row r="699" spans="1:29" ht="15" x14ac:dyDescent="0.25">
      <c r="C699" s="31" t="s">
        <v>717</v>
      </c>
      <c r="H699" s="51">
        <f>I690+I691+I693+I694+I695+0</f>
        <v>256.56</v>
      </c>
      <c r="I699" s="51"/>
      <c r="J699" s="51">
        <f>K690+K691+K693+K694+K695+0</f>
        <v>14085.91</v>
      </c>
      <c r="K699" s="51"/>
      <c r="O699" s="52">
        <f>I690+I691+I693+I694+I695+0</f>
        <v>256.56</v>
      </c>
      <c r="P699" s="52">
        <f>K690+K691+K693+K694+K695+0</f>
        <v>14085.91</v>
      </c>
    </row>
    <row r="701" spans="1:29" ht="54" x14ac:dyDescent="0.2">
      <c r="A701" s="53">
        <v>89</v>
      </c>
      <c r="B701" s="53" t="str">
        <f>Source!F499</f>
        <v>КА №51</v>
      </c>
      <c r="C701" s="53" t="s">
        <v>793</v>
      </c>
      <c r="D701" s="54" t="str">
        <f>Source!H499</f>
        <v>шт.</v>
      </c>
      <c r="E701" s="55">
        <f>Source!I499</f>
        <v>2</v>
      </c>
      <c r="F701" s="56">
        <f>Source!AL499</f>
        <v>2922.28</v>
      </c>
      <c r="G701" s="57" t="str">
        <f>Source!DD499</f>
        <v/>
      </c>
      <c r="H701" s="55">
        <f>Source!AW500</f>
        <v>1</v>
      </c>
      <c r="I701" s="56">
        <f>Source!P499</f>
        <v>5844.56</v>
      </c>
      <c r="J701" s="55">
        <f>IF(Source!BC500&lt;&gt; 0, Source!BC500, 1)</f>
        <v>7.66</v>
      </c>
      <c r="K701" s="56">
        <f>Source!P500</f>
        <v>44769.33</v>
      </c>
      <c r="Q701">
        <f>Source!X499</f>
        <v>0</v>
      </c>
      <c r="R701">
        <f>Source!X500</f>
        <v>0</v>
      </c>
      <c r="S701">
        <f>Source!Y499</f>
        <v>0</v>
      </c>
      <c r="T701">
        <f>Source!Y500</f>
        <v>0</v>
      </c>
      <c r="U701">
        <f>ROUND((175/100)*ROUND(Source!R499, 2), 2)</f>
        <v>0</v>
      </c>
      <c r="V701">
        <f>ROUND((0/100)*ROUND(Source!R500, 2), 2)</f>
        <v>0</v>
      </c>
      <c r="AC701">
        <v>5</v>
      </c>
    </row>
    <row r="702" spans="1:29" ht="15" x14ac:dyDescent="0.25">
      <c r="A702" s="58"/>
      <c r="B702" s="58"/>
      <c r="C702" s="59" t="s">
        <v>717</v>
      </c>
      <c r="D702" s="58"/>
      <c r="E702" s="58"/>
      <c r="F702" s="58"/>
      <c r="G702" s="58"/>
      <c r="H702" s="60">
        <f>I701+0</f>
        <v>5844.56</v>
      </c>
      <c r="I702" s="60"/>
      <c r="J702" s="60">
        <f>K701+0</f>
        <v>44769.33</v>
      </c>
      <c r="K702" s="60"/>
      <c r="O702" s="52">
        <f>I701+0</f>
        <v>5844.56</v>
      </c>
      <c r="P702" s="52">
        <f>K701+0</f>
        <v>44769.33</v>
      </c>
    </row>
    <row r="704" spans="1:29" ht="78" x14ac:dyDescent="0.2">
      <c r="A704" s="39">
        <v>90</v>
      </c>
      <c r="B704" s="39" t="s">
        <v>727</v>
      </c>
      <c r="C704" s="39" t="s">
        <v>76</v>
      </c>
      <c r="D704" s="40" t="str">
        <f>Source!H501</f>
        <v>100 м</v>
      </c>
      <c r="E704" s="11">
        <f>Source!I501</f>
        <v>5</v>
      </c>
      <c r="F704" s="42"/>
      <c r="G704" s="41"/>
      <c r="H704" s="11"/>
      <c r="I704" s="42"/>
      <c r="J704" s="11"/>
      <c r="K704" s="42"/>
      <c r="Q704">
        <f>Source!X501</f>
        <v>1105.81</v>
      </c>
      <c r="R704">
        <f>Source!X502</f>
        <v>60808.480000000003</v>
      </c>
      <c r="S704">
        <f>Source!Y501</f>
        <v>581.41</v>
      </c>
      <c r="T704">
        <f>Source!Y502</f>
        <v>31971.47</v>
      </c>
      <c r="U704">
        <f>ROUND((175/100)*ROUND(Source!R501, 2), 2)</f>
        <v>57.54</v>
      </c>
      <c r="V704">
        <f>ROUND((0/100)*ROUND(Source!R502, 2), 2)</f>
        <v>0</v>
      </c>
      <c r="AC704">
        <v>0</v>
      </c>
    </row>
    <row r="705" spans="1:29" x14ac:dyDescent="0.2">
      <c r="C705" s="62" t="str">
        <f>"Объем: "&amp;Source!I501&amp;"=500/"&amp;"100"</f>
        <v>Объем: 5=500/100</v>
      </c>
    </row>
    <row r="706" spans="1:29" ht="14.25" x14ac:dyDescent="0.2">
      <c r="A706" s="39"/>
      <c r="B706" s="39"/>
      <c r="C706" s="39" t="s">
        <v>707</v>
      </c>
      <c r="D706" s="40"/>
      <c r="E706" s="11"/>
      <c r="F706" s="42">
        <f>Source!AO501</f>
        <v>192.26</v>
      </c>
      <c r="G706" s="41" t="str">
        <f>Source!DG501</f>
        <v>*1,1</v>
      </c>
      <c r="H706" s="11">
        <f>Source!AV502</f>
        <v>1.0469999999999999</v>
      </c>
      <c r="I706" s="42">
        <f>Source!S501</f>
        <v>1107.1300000000001</v>
      </c>
      <c r="J706" s="11">
        <f>IF(Source!BA502&lt;&gt; 0, Source!BA502, 1)</f>
        <v>54.99</v>
      </c>
      <c r="K706" s="42">
        <f>Source!S502</f>
        <v>60881.08</v>
      </c>
    </row>
    <row r="707" spans="1:29" ht="14.25" x14ac:dyDescent="0.2">
      <c r="A707" s="39"/>
      <c r="B707" s="39"/>
      <c r="C707" s="39" t="s">
        <v>708</v>
      </c>
      <c r="D707" s="40"/>
      <c r="E707" s="11"/>
      <c r="F707" s="42">
        <f>Source!AM501</f>
        <v>32.869999999999997</v>
      </c>
      <c r="G707" s="41" t="str">
        <f>Source!DE501</f>
        <v>*1,1</v>
      </c>
      <c r="H707" s="11">
        <f>Source!AV502</f>
        <v>1.0469999999999999</v>
      </c>
      <c r="I707" s="42">
        <f>Source!Q501</f>
        <v>189.28</v>
      </c>
      <c r="J707" s="11">
        <f>IF(Source!BB502&lt;&gt; 0, Source!BB502, 1)</f>
        <v>17.850000000000001</v>
      </c>
      <c r="K707" s="42">
        <f>Source!Q502</f>
        <v>3378.65</v>
      </c>
    </row>
    <row r="708" spans="1:29" ht="14.25" x14ac:dyDescent="0.2">
      <c r="A708" s="39"/>
      <c r="B708" s="39"/>
      <c r="C708" s="39" t="s">
        <v>709</v>
      </c>
      <c r="D708" s="40"/>
      <c r="E708" s="11"/>
      <c r="F708" s="42">
        <f>Source!AN501</f>
        <v>5.71</v>
      </c>
      <c r="G708" s="41" t="str">
        <f>Source!DF501</f>
        <v>*1,1</v>
      </c>
      <c r="H708" s="11">
        <f>Source!AV502</f>
        <v>1.0469999999999999</v>
      </c>
      <c r="I708" s="43">
        <f>Source!R501</f>
        <v>32.880000000000003</v>
      </c>
      <c r="J708" s="11">
        <f>IF(Source!BS502&lt;&gt; 0, Source!BS502, 1)</f>
        <v>54.99</v>
      </c>
      <c r="K708" s="43">
        <f>Source!R502</f>
        <v>1808.07</v>
      </c>
    </row>
    <row r="709" spans="1:29" ht="14.25" x14ac:dyDescent="0.2">
      <c r="A709" s="39"/>
      <c r="B709" s="39"/>
      <c r="C709" s="39" t="s">
        <v>720</v>
      </c>
      <c r="D709" s="40"/>
      <c r="E709" s="11"/>
      <c r="F709" s="42">
        <f>Source!AL501</f>
        <v>314.29000000000002</v>
      </c>
      <c r="G709" s="41" t="str">
        <f>Source!DD501</f>
        <v/>
      </c>
      <c r="H709" s="11">
        <f>Source!AW502</f>
        <v>1</v>
      </c>
      <c r="I709" s="42">
        <f>Source!P501</f>
        <v>1571.45</v>
      </c>
      <c r="J709" s="11">
        <f>IF(Source!BC502&lt;&gt; 0, Source!BC502, 1)</f>
        <v>9.89</v>
      </c>
      <c r="K709" s="42">
        <f>Source!P502</f>
        <v>15541.64</v>
      </c>
    </row>
    <row r="710" spans="1:29" ht="42.75" x14ac:dyDescent="0.2">
      <c r="A710" s="39" t="s">
        <v>462</v>
      </c>
      <c r="B710" s="39" t="str">
        <f>Source!F503</f>
        <v>1.12-5-372</v>
      </c>
      <c r="C710" s="39" t="s">
        <v>83</v>
      </c>
      <c r="D710" s="40" t="str">
        <f>Source!H503</f>
        <v>м</v>
      </c>
      <c r="E710" s="11">
        <f>Source!I503</f>
        <v>510</v>
      </c>
      <c r="F710" s="42">
        <f>Source!AK503</f>
        <v>3.45</v>
      </c>
      <c r="G710" s="61" t="s">
        <v>3</v>
      </c>
      <c r="H710" s="11">
        <f>Source!AW504</f>
        <v>1</v>
      </c>
      <c r="I710" s="42">
        <f>Source!O503</f>
        <v>1759.5</v>
      </c>
      <c r="J710" s="11">
        <f>IF(Source!BC504&lt;&gt; 0, Source!BC504, 1)</f>
        <v>3.93</v>
      </c>
      <c r="K710" s="42">
        <f>Source!O504</f>
        <v>6914.84</v>
      </c>
      <c r="Q710">
        <f>Source!X503</f>
        <v>0</v>
      </c>
      <c r="R710">
        <f>Source!X504</f>
        <v>0</v>
      </c>
      <c r="S710">
        <f>Source!Y503</f>
        <v>0</v>
      </c>
      <c r="T710">
        <f>Source!Y504</f>
        <v>0</v>
      </c>
      <c r="U710">
        <f>ROUND((175/100)*ROUND(Source!R503, 2), 2)</f>
        <v>0</v>
      </c>
      <c r="V710">
        <f>ROUND((0/100)*ROUND(Source!R504, 2), 2)</f>
        <v>0</v>
      </c>
      <c r="AC710">
        <v>3</v>
      </c>
    </row>
    <row r="711" spans="1:29" ht="14.25" x14ac:dyDescent="0.2">
      <c r="A711" s="39"/>
      <c r="B711" s="39"/>
      <c r="C711" s="39" t="s">
        <v>710</v>
      </c>
      <c r="D711" s="40" t="s">
        <v>711</v>
      </c>
      <c r="E711" s="11">
        <f>Source!BZ502</f>
        <v>97</v>
      </c>
      <c r="F711" s="42"/>
      <c r="G711" s="41"/>
      <c r="H711" s="11"/>
      <c r="I711" s="42">
        <f>SUM(Q704:Q710)</f>
        <v>1105.81</v>
      </c>
      <c r="J711" s="11">
        <f>Source!AT502</f>
        <v>97</v>
      </c>
      <c r="K711" s="42">
        <f>SUM(R704:R710)</f>
        <v>60808.480000000003</v>
      </c>
    </row>
    <row r="712" spans="1:29" ht="14.25" x14ac:dyDescent="0.2">
      <c r="A712" s="39"/>
      <c r="B712" s="39"/>
      <c r="C712" s="39" t="s">
        <v>712</v>
      </c>
      <c r="D712" s="40" t="s">
        <v>711</v>
      </c>
      <c r="E712" s="11">
        <f>Source!CA502</f>
        <v>51</v>
      </c>
      <c r="F712" s="42"/>
      <c r="G712" s="41"/>
      <c r="H712" s="11"/>
      <c r="I712" s="42">
        <f>SUM(S704:S711)</f>
        <v>581.41</v>
      </c>
      <c r="J712" s="11">
        <f>Source!AU502</f>
        <v>51</v>
      </c>
      <c r="K712" s="42">
        <f>SUM(T704:T711)</f>
        <v>31971.47</v>
      </c>
    </row>
    <row r="713" spans="1:29" ht="14.25" x14ac:dyDescent="0.2">
      <c r="A713" s="44"/>
      <c r="B713" s="44"/>
      <c r="C713" s="44" t="s">
        <v>713</v>
      </c>
      <c r="D713" s="45" t="s">
        <v>714</v>
      </c>
      <c r="E713" s="46">
        <f>Source!AQ501</f>
        <v>15</v>
      </c>
      <c r="F713" s="47"/>
      <c r="G713" s="48" t="str">
        <f>Source!DI501</f>
        <v>*1,1</v>
      </c>
      <c r="H713" s="46">
        <f>Source!AV502</f>
        <v>1.0469999999999999</v>
      </c>
      <c r="I713" s="47">
        <f>Source!U501</f>
        <v>86.377499999999984</v>
      </c>
      <c r="J713" s="46"/>
      <c r="K713" s="47"/>
    </row>
    <row r="714" spans="1:29" ht="15" x14ac:dyDescent="0.25">
      <c r="C714" s="31" t="s">
        <v>715</v>
      </c>
      <c r="H714" s="49">
        <f>I706+I707+I709+I711+I712+SUM(I710:I710)-SUMIF(AC710:AC710, 5, I710:I710)-SUMIF(AC710:AC710, 6, I710:I710)</f>
        <v>6314.58</v>
      </c>
      <c r="I714" s="49"/>
      <c r="J714" s="49">
        <f>K706+K707+K709+K711+K712+SUM(K710:K710)-SUMIF(AC710:AC710, 5, K710:K710)-SUMIF(AC710:AC710, 6, K710:K710)</f>
        <v>179496.16</v>
      </c>
      <c r="K714" s="49"/>
    </row>
    <row r="715" spans="1:29" ht="15" x14ac:dyDescent="0.25">
      <c r="C715" s="31" t="s">
        <v>716</v>
      </c>
      <c r="H715" s="51">
        <f>SUMIF(AC710:AC710, 5, I710:I710)+SUMIF(AC710:AC710, 6, I710:I710)</f>
        <v>0</v>
      </c>
      <c r="I715" s="51"/>
      <c r="J715" s="51">
        <f>SUMIF(AC710:AC710, 5, K710:K710)+SUMIF(AC710:AC710, 6, K710:K710)</f>
        <v>0</v>
      </c>
      <c r="K715" s="51"/>
    </row>
    <row r="716" spans="1:29" ht="15" x14ac:dyDescent="0.25">
      <c r="C716" s="31" t="s">
        <v>717</v>
      </c>
      <c r="H716" s="51">
        <f>I706+I707+I709+I711+I712+SUM(I710:I710)</f>
        <v>6314.58</v>
      </c>
      <c r="I716" s="51"/>
      <c r="J716" s="51">
        <f>K706+K707+K709+K711+K712+SUM(K710:K710)</f>
        <v>179496.16</v>
      </c>
      <c r="K716" s="51"/>
      <c r="O716" s="52">
        <f>I706+I707+I709+I711+I712+SUM(I710:I710)</f>
        <v>6314.58</v>
      </c>
      <c r="P716" s="52">
        <f>K706+K707+K709+K711+K712+SUM(K710:K710)</f>
        <v>179496.16</v>
      </c>
    </row>
    <row r="718" spans="1:29" ht="78" x14ac:dyDescent="0.2">
      <c r="A718" s="39">
        <v>91</v>
      </c>
      <c r="B718" s="39" t="s">
        <v>729</v>
      </c>
      <c r="C718" s="39" t="s">
        <v>96</v>
      </c>
      <c r="D718" s="40" t="str">
        <f>Source!H505</f>
        <v>100 м</v>
      </c>
      <c r="E718" s="11">
        <f>Source!I505</f>
        <v>5</v>
      </c>
      <c r="F718" s="42"/>
      <c r="G718" s="41"/>
      <c r="H718" s="11"/>
      <c r="I718" s="42"/>
      <c r="J718" s="11"/>
      <c r="K718" s="42"/>
      <c r="Q718">
        <f>Source!X505</f>
        <v>310.18</v>
      </c>
      <c r="R718">
        <f>Source!X506</f>
        <v>17056.63</v>
      </c>
      <c r="S718">
        <f>Source!Y505</f>
        <v>163.08000000000001</v>
      </c>
      <c r="T718">
        <f>Source!Y506</f>
        <v>8967.92</v>
      </c>
      <c r="U718">
        <f>ROUND((175/100)*ROUND(Source!R505, 2), 2)</f>
        <v>3.03</v>
      </c>
      <c r="V718">
        <f>ROUND((0/100)*ROUND(Source!R506, 2), 2)</f>
        <v>0</v>
      </c>
      <c r="AC718">
        <v>0</v>
      </c>
    </row>
    <row r="719" spans="1:29" x14ac:dyDescent="0.2">
      <c r="C719" s="62" t="str">
        <f>"Объем: "&amp;Source!I505&amp;"=500/"&amp;"100"</f>
        <v>Объем: 5=500/100</v>
      </c>
    </row>
    <row r="720" spans="1:29" ht="14.25" x14ac:dyDescent="0.2">
      <c r="A720" s="39"/>
      <c r="B720" s="39"/>
      <c r="C720" s="39" t="s">
        <v>707</v>
      </c>
      <c r="D720" s="40"/>
      <c r="E720" s="11"/>
      <c r="F720" s="42">
        <f>Source!AO505</f>
        <v>55.23</v>
      </c>
      <c r="G720" s="41" t="str">
        <f>Source!DG505</f>
        <v>*1,1</v>
      </c>
      <c r="H720" s="11">
        <f>Source!AV506</f>
        <v>1.0469999999999999</v>
      </c>
      <c r="I720" s="42">
        <f>Source!S505</f>
        <v>318.04000000000002</v>
      </c>
      <c r="J720" s="11">
        <f>IF(Source!BA506&lt;&gt; 0, Source!BA506, 1)</f>
        <v>54.99</v>
      </c>
      <c r="K720" s="42">
        <f>Source!S506</f>
        <v>17489.02</v>
      </c>
    </row>
    <row r="721" spans="1:29" ht="14.25" x14ac:dyDescent="0.2">
      <c r="A721" s="39"/>
      <c r="B721" s="39"/>
      <c r="C721" s="39" t="s">
        <v>708</v>
      </c>
      <c r="D721" s="40"/>
      <c r="E721" s="11"/>
      <c r="F721" s="42">
        <f>Source!AM505</f>
        <v>2.62</v>
      </c>
      <c r="G721" s="41" t="str">
        <f>Source!DE505</f>
        <v>*1,1</v>
      </c>
      <c r="H721" s="11">
        <f>Source!AV506</f>
        <v>1.0469999999999999</v>
      </c>
      <c r="I721" s="42">
        <f>Source!Q505</f>
        <v>15.09</v>
      </c>
      <c r="J721" s="11">
        <f>IF(Source!BB506&lt;&gt; 0, Source!BB506, 1)</f>
        <v>14.57</v>
      </c>
      <c r="K721" s="42">
        <f>Source!Q506</f>
        <v>219.86</v>
      </c>
    </row>
    <row r="722" spans="1:29" ht="14.25" x14ac:dyDescent="0.2">
      <c r="A722" s="39"/>
      <c r="B722" s="39"/>
      <c r="C722" s="39" t="s">
        <v>709</v>
      </c>
      <c r="D722" s="40"/>
      <c r="E722" s="11"/>
      <c r="F722" s="42">
        <f>Source!AN505</f>
        <v>0.3</v>
      </c>
      <c r="G722" s="41" t="str">
        <f>Source!DF505</f>
        <v>*1,1</v>
      </c>
      <c r="H722" s="11">
        <f>Source!AV506</f>
        <v>1.0469999999999999</v>
      </c>
      <c r="I722" s="43">
        <f>Source!R505</f>
        <v>1.73</v>
      </c>
      <c r="J722" s="11">
        <f>IF(Source!BS506&lt;&gt; 0, Source!BS506, 1)</f>
        <v>54.99</v>
      </c>
      <c r="K722" s="43">
        <f>Source!R506</f>
        <v>95.13</v>
      </c>
    </row>
    <row r="723" spans="1:29" ht="14.25" x14ac:dyDescent="0.2">
      <c r="A723" s="39"/>
      <c r="B723" s="39"/>
      <c r="C723" s="39" t="s">
        <v>720</v>
      </c>
      <c r="D723" s="40"/>
      <c r="E723" s="11"/>
      <c r="F723" s="42">
        <f>Source!AL505</f>
        <v>58.15</v>
      </c>
      <c r="G723" s="41" t="str">
        <f>Source!DD505</f>
        <v/>
      </c>
      <c r="H723" s="11">
        <f>Source!AW506</f>
        <v>1</v>
      </c>
      <c r="I723" s="42">
        <f>Source!P505</f>
        <v>290.75</v>
      </c>
      <c r="J723" s="11">
        <f>IF(Source!BC506&lt;&gt; 0, Source!BC506, 1)</f>
        <v>3.7</v>
      </c>
      <c r="K723" s="42">
        <f>Source!P506</f>
        <v>1075.78</v>
      </c>
    </row>
    <row r="724" spans="1:29" ht="27" x14ac:dyDescent="0.2">
      <c r="A724" s="39" t="s">
        <v>464</v>
      </c>
      <c r="B724" s="39" t="str">
        <f>Source!F507</f>
        <v>КА №8</v>
      </c>
      <c r="C724" s="39" t="s">
        <v>730</v>
      </c>
      <c r="D724" s="40" t="str">
        <f>Source!H507</f>
        <v>м.п.</v>
      </c>
      <c r="E724" s="11">
        <f>Source!I507</f>
        <v>510</v>
      </c>
      <c r="F724" s="42">
        <f>Source!AK507</f>
        <v>5.08</v>
      </c>
      <c r="G724" s="61" t="s">
        <v>3</v>
      </c>
      <c r="H724" s="11">
        <f>Source!AW508</f>
        <v>1</v>
      </c>
      <c r="I724" s="42">
        <f>Source!O507</f>
        <v>2590.8000000000002</v>
      </c>
      <c r="J724" s="11">
        <f>IF(Source!BC508&lt;&gt; 0, Source!BC508, 1)</f>
        <v>9.8800000000000008</v>
      </c>
      <c r="K724" s="42">
        <f>Source!O508</f>
        <v>25597.1</v>
      </c>
      <c r="Q724">
        <f>Source!X507</f>
        <v>0</v>
      </c>
      <c r="R724">
        <f>Source!X508</f>
        <v>0</v>
      </c>
      <c r="S724">
        <f>Source!Y507</f>
        <v>0</v>
      </c>
      <c r="T724">
        <f>Source!Y508</f>
        <v>0</v>
      </c>
      <c r="U724">
        <f>ROUND((175/100)*ROUND(Source!R507, 2), 2)</f>
        <v>0</v>
      </c>
      <c r="V724">
        <f>ROUND((0/100)*ROUND(Source!R508, 2), 2)</f>
        <v>0</v>
      </c>
      <c r="AC724">
        <v>3</v>
      </c>
    </row>
    <row r="725" spans="1:29" ht="14.25" x14ac:dyDescent="0.2">
      <c r="A725" s="39"/>
      <c r="B725" s="39"/>
      <c r="C725" s="39" t="s">
        <v>710</v>
      </c>
      <c r="D725" s="40" t="s">
        <v>711</v>
      </c>
      <c r="E725" s="11">
        <f>Source!BZ506</f>
        <v>97</v>
      </c>
      <c r="F725" s="42"/>
      <c r="G725" s="41"/>
      <c r="H725" s="11"/>
      <c r="I725" s="42">
        <f>SUM(Q718:Q724)</f>
        <v>310.18</v>
      </c>
      <c r="J725" s="11">
        <f>Source!AT506</f>
        <v>97</v>
      </c>
      <c r="K725" s="42">
        <f>SUM(R718:R724)</f>
        <v>17056.63</v>
      </c>
    </row>
    <row r="726" spans="1:29" ht="14.25" x14ac:dyDescent="0.2">
      <c r="A726" s="39"/>
      <c r="B726" s="39"/>
      <c r="C726" s="39" t="s">
        <v>712</v>
      </c>
      <c r="D726" s="40" t="s">
        <v>711</v>
      </c>
      <c r="E726" s="11">
        <f>Source!CA506</f>
        <v>51</v>
      </c>
      <c r="F726" s="42"/>
      <c r="G726" s="41"/>
      <c r="H726" s="11"/>
      <c r="I726" s="42">
        <f>SUM(S718:S725)</f>
        <v>163.08000000000001</v>
      </c>
      <c r="J726" s="11">
        <f>Source!AU506</f>
        <v>51</v>
      </c>
      <c r="K726" s="42">
        <f>SUM(T718:T725)</f>
        <v>8967.92</v>
      </c>
    </row>
    <row r="727" spans="1:29" ht="14.25" x14ac:dyDescent="0.2">
      <c r="A727" s="44"/>
      <c r="B727" s="44"/>
      <c r="C727" s="44" t="s">
        <v>713</v>
      </c>
      <c r="D727" s="45" t="s">
        <v>714</v>
      </c>
      <c r="E727" s="46">
        <f>Source!AQ505</f>
        <v>4.49</v>
      </c>
      <c r="F727" s="47"/>
      <c r="G727" s="48" t="str">
        <f>Source!DI505</f>
        <v>*1,1</v>
      </c>
      <c r="H727" s="46">
        <f>Source!AV506</f>
        <v>1.0469999999999999</v>
      </c>
      <c r="I727" s="47">
        <f>Source!U505</f>
        <v>25.855665000000005</v>
      </c>
      <c r="J727" s="46"/>
      <c r="K727" s="47"/>
    </row>
    <row r="728" spans="1:29" ht="15" x14ac:dyDescent="0.25">
      <c r="C728" s="31" t="s">
        <v>715</v>
      </c>
      <c r="H728" s="49">
        <f>I720+I721+I723+I725+I726+SUM(I724:I724)-SUMIF(AC724:AC724, 5, I724:I724)-SUMIF(AC724:AC724, 6, I724:I724)</f>
        <v>3687.94</v>
      </c>
      <c r="I728" s="49"/>
      <c r="J728" s="49">
        <f>K720+K721+K723+K725+K726+SUM(K724:K724)-SUMIF(AC724:AC724, 5, K724:K724)-SUMIF(AC724:AC724, 6, K724:K724)</f>
        <v>70406.31</v>
      </c>
      <c r="K728" s="49"/>
    </row>
    <row r="729" spans="1:29" ht="15" x14ac:dyDescent="0.25">
      <c r="C729" s="31" t="s">
        <v>716</v>
      </c>
      <c r="H729" s="51">
        <f>SUMIF(AC724:AC724, 5, I724:I724)+SUMIF(AC724:AC724, 6, I724:I724)</f>
        <v>0</v>
      </c>
      <c r="I729" s="51"/>
      <c r="J729" s="51">
        <f>SUMIF(AC724:AC724, 5, K724:K724)+SUMIF(AC724:AC724, 6, K724:K724)</f>
        <v>0</v>
      </c>
      <c r="K729" s="51"/>
    </row>
    <row r="730" spans="1:29" ht="15" x14ac:dyDescent="0.25">
      <c r="C730" s="31" t="s">
        <v>717</v>
      </c>
      <c r="H730" s="51">
        <f>I720+I721+I723+I725+I726+SUM(I724:I724)</f>
        <v>3687.94</v>
      </c>
      <c r="I730" s="51"/>
      <c r="J730" s="51">
        <f>K720+K721+K723+K725+K726+SUM(K724:K724)</f>
        <v>70406.31</v>
      </c>
      <c r="K730" s="51"/>
      <c r="O730" s="52">
        <f>I720+I721+I723+I725+I726+SUM(I724:I724)</f>
        <v>3687.94</v>
      </c>
      <c r="P730" s="52">
        <f>K720+K721+K723+K725+K726+SUM(K724:K724)</f>
        <v>70406.31</v>
      </c>
    </row>
    <row r="733" spans="1:29" ht="15" x14ac:dyDescent="0.25">
      <c r="A733" s="64" t="str">
        <f>CONCATENATE("Итого по разделу: ",IF(Source!G510&lt;&gt;"Новый раздел", Source!G510, ""))</f>
        <v>Итого по разделу: Система управления освещением</v>
      </c>
      <c r="B733" s="64"/>
      <c r="C733" s="64"/>
      <c r="D733" s="64"/>
      <c r="E733" s="64"/>
      <c r="F733" s="64"/>
      <c r="G733" s="64"/>
      <c r="H733" s="51">
        <f>SUM(O674:O732)</f>
        <v>18255.61</v>
      </c>
      <c r="I733" s="50"/>
      <c r="J733" s="51">
        <f>SUM(P674:P732)</f>
        <v>326277.49</v>
      </c>
      <c r="K733" s="50"/>
    </row>
    <row r="734" spans="1:29" hidden="1" x14ac:dyDescent="0.2">
      <c r="A734" t="s">
        <v>732</v>
      </c>
      <c r="I734">
        <f>SUM(W674:W733)</f>
        <v>0</v>
      </c>
      <c r="J734">
        <f>SUM(X674:X733)</f>
        <v>0</v>
      </c>
    </row>
    <row r="735" spans="1:29" hidden="1" x14ac:dyDescent="0.2">
      <c r="A735" t="s">
        <v>733</v>
      </c>
      <c r="I735">
        <f>SUM(Y674:Y734)</f>
        <v>0</v>
      </c>
      <c r="J735">
        <f>SUM(Z674:Z734)</f>
        <v>0</v>
      </c>
    </row>
    <row r="737" spans="1:29" ht="16.5" x14ac:dyDescent="0.25">
      <c r="A737" s="38" t="str">
        <f>CONCATENATE("Раздел: ",IF(Source!G540&lt;&gt;"Новый раздел", Source!G540, ""))</f>
        <v>Раздел: Система управления фрамугами</v>
      </c>
      <c r="B737" s="38"/>
      <c r="C737" s="38"/>
      <c r="D737" s="38"/>
      <c r="E737" s="38"/>
      <c r="F737" s="38"/>
      <c r="G737" s="38"/>
      <c r="H737" s="38"/>
      <c r="I737" s="38"/>
      <c r="J737" s="38"/>
      <c r="K737" s="38"/>
    </row>
    <row r="738" spans="1:29" ht="78" x14ac:dyDescent="0.2">
      <c r="A738" s="39">
        <v>92</v>
      </c>
      <c r="B738" s="39" t="s">
        <v>719</v>
      </c>
      <c r="C738" s="39" t="s">
        <v>39</v>
      </c>
      <c r="D738" s="40" t="str">
        <f>Source!H544</f>
        <v>1  ШТ.</v>
      </c>
      <c r="E738" s="11">
        <f>Source!I544</f>
        <v>2</v>
      </c>
      <c r="F738" s="42"/>
      <c r="G738" s="41"/>
      <c r="H738" s="11"/>
      <c r="I738" s="42"/>
      <c r="J738" s="11"/>
      <c r="K738" s="42"/>
      <c r="Q738">
        <f>Source!X544</f>
        <v>49.82</v>
      </c>
      <c r="R738">
        <f>Source!X545</f>
        <v>2739.32</v>
      </c>
      <c r="S738">
        <f>Source!Y544</f>
        <v>25.46</v>
      </c>
      <c r="T738">
        <f>Source!Y545</f>
        <v>1400.1</v>
      </c>
      <c r="U738">
        <f>ROUND((175/100)*ROUND(Source!R544, 2), 2)</f>
        <v>1.02</v>
      </c>
      <c r="V738">
        <f>ROUND((0/100)*ROUND(Source!R545, 2), 2)</f>
        <v>0</v>
      </c>
      <c r="AC738">
        <v>0</v>
      </c>
    </row>
    <row r="739" spans="1:29" ht="14.25" x14ac:dyDescent="0.2">
      <c r="A739" s="39"/>
      <c r="B739" s="39"/>
      <c r="C739" s="39" t="s">
        <v>707</v>
      </c>
      <c r="D739" s="40"/>
      <c r="E739" s="11"/>
      <c r="F739" s="42">
        <f>Source!AO544</f>
        <v>23.78</v>
      </c>
      <c r="G739" s="41" t="str">
        <f>Source!DG544</f>
        <v>*1,1</v>
      </c>
      <c r="H739" s="11">
        <f>Source!AV545</f>
        <v>1.0469999999999999</v>
      </c>
      <c r="I739" s="42">
        <f>Source!S544</f>
        <v>54.77</v>
      </c>
      <c r="J739" s="11">
        <f>IF(Source!BA545&lt;&gt; 0, Source!BA545, 1)</f>
        <v>54.99</v>
      </c>
      <c r="K739" s="42">
        <f>Source!S545</f>
        <v>3011.8</v>
      </c>
    </row>
    <row r="740" spans="1:29" ht="14.25" x14ac:dyDescent="0.2">
      <c r="A740" s="39"/>
      <c r="B740" s="39"/>
      <c r="C740" s="39" t="s">
        <v>708</v>
      </c>
      <c r="D740" s="40"/>
      <c r="E740" s="11"/>
      <c r="F740" s="42">
        <f>Source!AM544</f>
        <v>2.38</v>
      </c>
      <c r="G740" s="41" t="str">
        <f>Source!DE544</f>
        <v>*1,1</v>
      </c>
      <c r="H740" s="11">
        <f>Source!AV545</f>
        <v>1.0469999999999999</v>
      </c>
      <c r="I740" s="42">
        <f>Source!Q544</f>
        <v>5.48</v>
      </c>
      <c r="J740" s="11">
        <f>IF(Source!BB545&lt;&gt; 0, Source!BB545, 1)</f>
        <v>13.99</v>
      </c>
      <c r="K740" s="42">
        <f>Source!Q545</f>
        <v>76.67</v>
      </c>
    </row>
    <row r="741" spans="1:29" ht="14.25" x14ac:dyDescent="0.2">
      <c r="A741" s="39"/>
      <c r="B741" s="39"/>
      <c r="C741" s="39" t="s">
        <v>709</v>
      </c>
      <c r="D741" s="40"/>
      <c r="E741" s="11"/>
      <c r="F741" s="42">
        <f>Source!AN544</f>
        <v>0.25</v>
      </c>
      <c r="G741" s="41" t="str">
        <f>Source!DF544</f>
        <v>*1,1</v>
      </c>
      <c r="H741" s="11">
        <f>Source!AV545</f>
        <v>1.0469999999999999</v>
      </c>
      <c r="I741" s="43">
        <f>Source!R544</f>
        <v>0.57999999999999996</v>
      </c>
      <c r="J741" s="11">
        <f>IF(Source!BS545&lt;&gt; 0, Source!BS545, 1)</f>
        <v>54.99</v>
      </c>
      <c r="K741" s="43">
        <f>Source!R545</f>
        <v>31.89</v>
      </c>
    </row>
    <row r="742" spans="1:29" ht="14.25" x14ac:dyDescent="0.2">
      <c r="A742" s="39"/>
      <c r="B742" s="39"/>
      <c r="C742" s="39" t="s">
        <v>720</v>
      </c>
      <c r="D742" s="40"/>
      <c r="E742" s="11"/>
      <c r="F742" s="42">
        <f>Source!AL544</f>
        <v>109.01</v>
      </c>
      <c r="G742" s="41" t="str">
        <f>Source!DD544</f>
        <v/>
      </c>
      <c r="H742" s="11">
        <f>Source!AW545</f>
        <v>1</v>
      </c>
      <c r="I742" s="42">
        <f>Source!P544</f>
        <v>218.02</v>
      </c>
      <c r="J742" s="11">
        <f>IF(Source!BC545&lt;&gt; 0, Source!BC545, 1)</f>
        <v>3.26</v>
      </c>
      <c r="K742" s="42">
        <f>Source!P545</f>
        <v>710.75</v>
      </c>
    </row>
    <row r="743" spans="1:29" ht="57" x14ac:dyDescent="0.2">
      <c r="A743" s="39" t="s">
        <v>467</v>
      </c>
      <c r="B743" s="39" t="str">
        <f>Source!F546</f>
        <v>1.21-1-63</v>
      </c>
      <c r="C743" s="39" t="s">
        <v>45</v>
      </c>
      <c r="D743" s="40" t="str">
        <f>Source!H546</f>
        <v>шт.</v>
      </c>
      <c r="E743" s="11">
        <f>Source!I546</f>
        <v>2</v>
      </c>
      <c r="F743" s="42">
        <f>Source!AK546</f>
        <v>1975.19</v>
      </c>
      <c r="G743" s="61" t="s">
        <v>3</v>
      </c>
      <c r="H743" s="11">
        <f>Source!AW547</f>
        <v>1</v>
      </c>
      <c r="I743" s="42">
        <f>Source!O546</f>
        <v>3950.38</v>
      </c>
      <c r="J743" s="11">
        <f>IF(Source!BC547&lt;&gt; 0, Source!BC547, 1)</f>
        <v>6.86</v>
      </c>
      <c r="K743" s="42">
        <f>Source!O547</f>
        <v>27099.61</v>
      </c>
      <c r="Q743">
        <f>Source!X546</f>
        <v>0</v>
      </c>
      <c r="R743">
        <f>Source!X547</f>
        <v>0</v>
      </c>
      <c r="S743">
        <f>Source!Y546</f>
        <v>0</v>
      </c>
      <c r="T743">
        <f>Source!Y547</f>
        <v>0</v>
      </c>
      <c r="U743">
        <f>ROUND((175/100)*ROUND(Source!R546, 2), 2)</f>
        <v>0</v>
      </c>
      <c r="V743">
        <f>ROUND((0/100)*ROUND(Source!R547, 2), 2)</f>
        <v>0</v>
      </c>
      <c r="AC743">
        <v>3</v>
      </c>
    </row>
    <row r="744" spans="1:29" ht="14.25" x14ac:dyDescent="0.2">
      <c r="A744" s="39"/>
      <c r="B744" s="39"/>
      <c r="C744" s="39" t="s">
        <v>710</v>
      </c>
      <c r="D744" s="40" t="s">
        <v>711</v>
      </c>
      <c r="E744" s="11">
        <f>Source!BZ545</f>
        <v>90</v>
      </c>
      <c r="F744" s="42"/>
      <c r="G744" s="41"/>
      <c r="H744" s="11"/>
      <c r="I744" s="42">
        <f>SUM(Q738:Q743)</f>
        <v>49.82</v>
      </c>
      <c r="J744" s="11">
        <f>Source!AT545</f>
        <v>90</v>
      </c>
      <c r="K744" s="42">
        <f>SUM(R738:R743)</f>
        <v>2739.32</v>
      </c>
    </row>
    <row r="745" spans="1:29" ht="14.25" x14ac:dyDescent="0.2">
      <c r="A745" s="39"/>
      <c r="B745" s="39"/>
      <c r="C745" s="39" t="s">
        <v>712</v>
      </c>
      <c r="D745" s="40" t="s">
        <v>711</v>
      </c>
      <c r="E745" s="11">
        <f>Source!CA545</f>
        <v>46</v>
      </c>
      <c r="F745" s="42"/>
      <c r="G745" s="41"/>
      <c r="H745" s="11"/>
      <c r="I745" s="42">
        <f>SUM(S738:S744)</f>
        <v>25.46</v>
      </c>
      <c r="J745" s="11">
        <f>Source!AU545</f>
        <v>46</v>
      </c>
      <c r="K745" s="42">
        <f>SUM(T738:T744)</f>
        <v>1400.1</v>
      </c>
    </row>
    <row r="746" spans="1:29" ht="14.25" x14ac:dyDescent="0.2">
      <c r="A746" s="44"/>
      <c r="B746" s="44"/>
      <c r="C746" s="44" t="s">
        <v>713</v>
      </c>
      <c r="D746" s="45" t="s">
        <v>714</v>
      </c>
      <c r="E746" s="46">
        <f>Source!AQ544</f>
        <v>2</v>
      </c>
      <c r="F746" s="47"/>
      <c r="G746" s="48" t="str">
        <f>Source!DI544</f>
        <v>*1,1</v>
      </c>
      <c r="H746" s="46">
        <f>Source!AV545</f>
        <v>1.0469999999999999</v>
      </c>
      <c r="I746" s="47">
        <f>Source!U544</f>
        <v>4.6067999999999998</v>
      </c>
      <c r="J746" s="46"/>
      <c r="K746" s="47"/>
    </row>
    <row r="747" spans="1:29" ht="15" x14ac:dyDescent="0.25">
      <c r="C747" s="31" t="s">
        <v>715</v>
      </c>
      <c r="H747" s="49">
        <f>I739+I740+I742+I744+I745+SUM(I743:I743)-SUMIF(AC743:AC743, 5, I743:I743)-SUMIF(AC743:AC743, 6, I743:I743)</f>
        <v>4303.93</v>
      </c>
      <c r="I747" s="49"/>
      <c r="J747" s="49">
        <f>K739+K740+K742+K744+K745+SUM(K743:K743)-SUMIF(AC743:AC743, 5, K743:K743)-SUMIF(AC743:AC743, 6, K743:K743)</f>
        <v>35038.25</v>
      </c>
      <c r="K747" s="49"/>
    </row>
    <row r="748" spans="1:29" ht="15" x14ac:dyDescent="0.25">
      <c r="C748" s="31" t="s">
        <v>716</v>
      </c>
      <c r="H748" s="51">
        <f>SUMIF(AC743:AC743, 5, I743:I743)+SUMIF(AC743:AC743, 6, I743:I743)</f>
        <v>0</v>
      </c>
      <c r="I748" s="51"/>
      <c r="J748" s="51">
        <f>SUMIF(AC743:AC743, 5, K743:K743)+SUMIF(AC743:AC743, 6, K743:K743)</f>
        <v>0</v>
      </c>
      <c r="K748" s="51"/>
    </row>
    <row r="749" spans="1:29" ht="15" x14ac:dyDescent="0.25">
      <c r="C749" s="31" t="s">
        <v>717</v>
      </c>
      <c r="H749" s="51">
        <f>I739+I740+I742+I744+I745+SUM(I743:I743)</f>
        <v>4303.93</v>
      </c>
      <c r="I749" s="51"/>
      <c r="J749" s="51">
        <f>K739+K740+K742+K744+K745+SUM(K743:K743)</f>
        <v>35038.25</v>
      </c>
      <c r="K749" s="51"/>
      <c r="O749" s="52">
        <f>I739+I740+I742+I744+I745+SUM(I743:I743)</f>
        <v>4303.93</v>
      </c>
      <c r="P749" s="52">
        <f>K739+K740+K742+K744+K745+SUM(K743:K743)</f>
        <v>35038.25</v>
      </c>
    </row>
    <row r="751" spans="1:29" ht="78" x14ac:dyDescent="0.2">
      <c r="A751" s="39">
        <v>93</v>
      </c>
      <c r="B751" s="39" t="s">
        <v>723</v>
      </c>
      <c r="C751" s="39" t="s">
        <v>57</v>
      </c>
      <c r="D751" s="40" t="str">
        <f>Source!H548</f>
        <v>10 шт.</v>
      </c>
      <c r="E751" s="11">
        <f>Source!I548</f>
        <v>0.2</v>
      </c>
      <c r="F751" s="42"/>
      <c r="G751" s="41"/>
      <c r="H751" s="11"/>
      <c r="I751" s="42"/>
      <c r="J751" s="11"/>
      <c r="K751" s="42"/>
      <c r="Q751">
        <f>Source!X548</f>
        <v>97.66</v>
      </c>
      <c r="R751">
        <f>Source!X549</f>
        <v>5370.27</v>
      </c>
      <c r="S751">
        <f>Source!Y548</f>
        <v>49.91</v>
      </c>
      <c r="T751">
        <f>Source!Y549</f>
        <v>2744.81</v>
      </c>
      <c r="U751">
        <f>ROUND((175/100)*ROUND(Source!R548, 2), 2)</f>
        <v>0.05</v>
      </c>
      <c r="V751">
        <f>ROUND((0/100)*ROUND(Source!R549, 2), 2)</f>
        <v>0</v>
      </c>
      <c r="AC751">
        <v>0</v>
      </c>
    </row>
    <row r="752" spans="1:29" x14ac:dyDescent="0.2">
      <c r="C752" s="62" t="str">
        <f>"Объем: "&amp;Source!I548&amp;"=2/"&amp;"10"</f>
        <v>Объем: 0,2=2/10</v>
      </c>
    </row>
    <row r="753" spans="1:29" ht="14.25" x14ac:dyDescent="0.2">
      <c r="A753" s="39"/>
      <c r="B753" s="39"/>
      <c r="C753" s="39" t="s">
        <v>707</v>
      </c>
      <c r="D753" s="40"/>
      <c r="E753" s="11"/>
      <c r="F753" s="42">
        <f>Source!AO548</f>
        <v>470.94</v>
      </c>
      <c r="G753" s="41" t="str">
        <f>Source!DG548</f>
        <v>*1,1</v>
      </c>
      <c r="H753" s="11">
        <f>Source!AV549</f>
        <v>1.0469999999999999</v>
      </c>
      <c r="I753" s="42">
        <f>Source!S548</f>
        <v>108.48</v>
      </c>
      <c r="J753" s="11">
        <f>IF(Source!BA549&lt;&gt; 0, Source!BA549, 1)</f>
        <v>54.99</v>
      </c>
      <c r="K753" s="42">
        <f>Source!S549</f>
        <v>5965.32</v>
      </c>
    </row>
    <row r="754" spans="1:29" ht="14.25" x14ac:dyDescent="0.2">
      <c r="A754" s="39"/>
      <c r="B754" s="39"/>
      <c r="C754" s="39" t="s">
        <v>708</v>
      </c>
      <c r="D754" s="40"/>
      <c r="E754" s="11"/>
      <c r="F754" s="42">
        <f>Source!AM548</f>
        <v>1.1000000000000001</v>
      </c>
      <c r="G754" s="41" t="str">
        <f>Source!DE548</f>
        <v>*1,1</v>
      </c>
      <c r="H754" s="11">
        <f>Source!AV549</f>
        <v>1.0469999999999999</v>
      </c>
      <c r="I754" s="42">
        <f>Source!Q548</f>
        <v>0.25</v>
      </c>
      <c r="J754" s="11">
        <f>IF(Source!BB549&lt;&gt; 0, Source!BB549, 1)</f>
        <v>14.48</v>
      </c>
      <c r="K754" s="42">
        <f>Source!Q549</f>
        <v>3.62</v>
      </c>
    </row>
    <row r="755" spans="1:29" ht="14.25" x14ac:dyDescent="0.2">
      <c r="A755" s="39"/>
      <c r="B755" s="39"/>
      <c r="C755" s="39" t="s">
        <v>709</v>
      </c>
      <c r="D755" s="40"/>
      <c r="E755" s="11"/>
      <c r="F755" s="42">
        <f>Source!AN548</f>
        <v>0.13</v>
      </c>
      <c r="G755" s="41" t="str">
        <f>Source!DF548</f>
        <v>*1,1</v>
      </c>
      <c r="H755" s="11">
        <f>Source!AV549</f>
        <v>1.0469999999999999</v>
      </c>
      <c r="I755" s="43">
        <f>Source!R548</f>
        <v>0.03</v>
      </c>
      <c r="J755" s="11">
        <f>IF(Source!BS549&lt;&gt; 0, Source!BS549, 1)</f>
        <v>54.99</v>
      </c>
      <c r="K755" s="43">
        <f>Source!R549</f>
        <v>1.65</v>
      </c>
    </row>
    <row r="756" spans="1:29" ht="14.25" x14ac:dyDescent="0.2">
      <c r="A756" s="39"/>
      <c r="B756" s="39"/>
      <c r="C756" s="39" t="s">
        <v>720</v>
      </c>
      <c r="D756" s="40"/>
      <c r="E756" s="11"/>
      <c r="F756" s="42">
        <f>Source!AL548</f>
        <v>1.29</v>
      </c>
      <c r="G756" s="41" t="str">
        <f>Source!DD548</f>
        <v/>
      </c>
      <c r="H756" s="11">
        <f>Source!AW549</f>
        <v>1</v>
      </c>
      <c r="I756" s="42">
        <f>Source!P548</f>
        <v>0.26</v>
      </c>
      <c r="J756" s="11">
        <f>IF(Source!BC549&lt;&gt; 0, Source!BC549, 1)</f>
        <v>7.25</v>
      </c>
      <c r="K756" s="42">
        <f>Source!P549</f>
        <v>1.89</v>
      </c>
    </row>
    <row r="757" spans="1:29" ht="14.25" x14ac:dyDescent="0.2">
      <c r="A757" s="39"/>
      <c r="B757" s="39"/>
      <c r="C757" s="39" t="s">
        <v>710</v>
      </c>
      <c r="D757" s="40" t="s">
        <v>711</v>
      </c>
      <c r="E757" s="11">
        <f>Source!BZ549</f>
        <v>90</v>
      </c>
      <c r="F757" s="42"/>
      <c r="G757" s="41"/>
      <c r="H757" s="11"/>
      <c r="I757" s="42">
        <f>SUM(Q751:Q756)</f>
        <v>97.66</v>
      </c>
      <c r="J757" s="11">
        <f>Source!AT549</f>
        <v>90</v>
      </c>
      <c r="K757" s="42">
        <f>SUM(R751:R756)</f>
        <v>5370.27</v>
      </c>
    </row>
    <row r="758" spans="1:29" ht="14.25" x14ac:dyDescent="0.2">
      <c r="A758" s="39"/>
      <c r="B758" s="39"/>
      <c r="C758" s="39" t="s">
        <v>712</v>
      </c>
      <c r="D758" s="40" t="s">
        <v>711</v>
      </c>
      <c r="E758" s="11">
        <f>Source!CA549</f>
        <v>46</v>
      </c>
      <c r="F758" s="42"/>
      <c r="G758" s="41"/>
      <c r="H758" s="11"/>
      <c r="I758" s="42">
        <f>SUM(S751:S757)</f>
        <v>49.91</v>
      </c>
      <c r="J758" s="11">
        <f>Source!AU549</f>
        <v>46</v>
      </c>
      <c r="K758" s="42">
        <f>SUM(T751:T757)</f>
        <v>2744.81</v>
      </c>
    </row>
    <row r="759" spans="1:29" ht="14.25" x14ac:dyDescent="0.2">
      <c r="A759" s="44"/>
      <c r="B759" s="44"/>
      <c r="C759" s="44" t="s">
        <v>713</v>
      </c>
      <c r="D759" s="45" t="s">
        <v>714</v>
      </c>
      <c r="E759" s="46">
        <f>Source!AQ548</f>
        <v>29.96</v>
      </c>
      <c r="F759" s="47"/>
      <c r="G759" s="48" t="str">
        <f>Source!DI548</f>
        <v>*1,1</v>
      </c>
      <c r="H759" s="46">
        <f>Source!AV549</f>
        <v>1.0469999999999999</v>
      </c>
      <c r="I759" s="47">
        <f>Source!U548</f>
        <v>6.9009864000000007</v>
      </c>
      <c r="J759" s="46"/>
      <c r="K759" s="47"/>
    </row>
    <row r="760" spans="1:29" ht="15" x14ac:dyDescent="0.25">
      <c r="C760" s="31" t="s">
        <v>715</v>
      </c>
      <c r="H760" s="49">
        <f>I753+I754+I756+I757+I758+0-0-0</f>
        <v>256.56</v>
      </c>
      <c r="I760" s="49"/>
      <c r="J760" s="49">
        <f>K753+K754+K756+K757+K758+0-0-0</f>
        <v>14085.91</v>
      </c>
      <c r="K760" s="49"/>
    </row>
    <row r="761" spans="1:29" ht="15" x14ac:dyDescent="0.25">
      <c r="C761" s="31" t="s">
        <v>716</v>
      </c>
      <c r="H761" s="51">
        <f>0+0</f>
        <v>0</v>
      </c>
      <c r="I761" s="51"/>
      <c r="J761" s="51">
        <f>0+0</f>
        <v>0</v>
      </c>
      <c r="K761" s="51"/>
    </row>
    <row r="762" spans="1:29" ht="15" x14ac:dyDescent="0.25">
      <c r="C762" s="31" t="s">
        <v>717</v>
      </c>
      <c r="H762" s="51">
        <f>I753+I754+I756+I757+I758+0</f>
        <v>256.56</v>
      </c>
      <c r="I762" s="51"/>
      <c r="J762" s="51">
        <f>K753+K754+K756+K757+K758+0</f>
        <v>14085.91</v>
      </c>
      <c r="K762" s="51"/>
      <c r="O762" s="52">
        <f>I753+I754+I756+I757+I758+0</f>
        <v>256.56</v>
      </c>
      <c r="P762" s="52">
        <f>K753+K754+K756+K757+K758+0</f>
        <v>14085.91</v>
      </c>
    </row>
    <row r="764" spans="1:29" ht="54" x14ac:dyDescent="0.2">
      <c r="A764" s="53">
        <v>94</v>
      </c>
      <c r="B764" s="53" t="str">
        <f>Source!F550</f>
        <v>КА №51</v>
      </c>
      <c r="C764" s="53" t="s">
        <v>793</v>
      </c>
      <c r="D764" s="54" t="str">
        <f>Source!H550</f>
        <v>шт.</v>
      </c>
      <c r="E764" s="55">
        <f>Source!I550</f>
        <v>2</v>
      </c>
      <c r="F764" s="56">
        <f>Source!AL550</f>
        <v>2922.28</v>
      </c>
      <c r="G764" s="57" t="str">
        <f>Source!DD550</f>
        <v/>
      </c>
      <c r="H764" s="55">
        <f>Source!AW551</f>
        <v>1</v>
      </c>
      <c r="I764" s="56">
        <f>Source!P550</f>
        <v>5844.56</v>
      </c>
      <c r="J764" s="55">
        <f>IF(Source!BC551&lt;&gt; 0, Source!BC551, 1)</f>
        <v>7.66</v>
      </c>
      <c r="K764" s="56">
        <f>Source!P551</f>
        <v>44769.33</v>
      </c>
      <c r="Q764">
        <f>Source!X550</f>
        <v>0</v>
      </c>
      <c r="R764">
        <f>Source!X551</f>
        <v>0</v>
      </c>
      <c r="S764">
        <f>Source!Y550</f>
        <v>0</v>
      </c>
      <c r="T764">
        <f>Source!Y551</f>
        <v>0</v>
      </c>
      <c r="U764">
        <f>ROUND((175/100)*ROUND(Source!R550, 2), 2)</f>
        <v>0</v>
      </c>
      <c r="V764">
        <f>ROUND((0/100)*ROUND(Source!R551, 2), 2)</f>
        <v>0</v>
      </c>
      <c r="AC764">
        <v>5</v>
      </c>
    </row>
    <row r="765" spans="1:29" ht="15" x14ac:dyDescent="0.25">
      <c r="A765" s="58"/>
      <c r="B765" s="58"/>
      <c r="C765" s="59" t="s">
        <v>717</v>
      </c>
      <c r="D765" s="58"/>
      <c r="E765" s="58"/>
      <c r="F765" s="58"/>
      <c r="G765" s="58"/>
      <c r="H765" s="60">
        <f>I764+0</f>
        <v>5844.56</v>
      </c>
      <c r="I765" s="60"/>
      <c r="J765" s="60">
        <f>K764+0</f>
        <v>44769.33</v>
      </c>
      <c r="K765" s="60"/>
      <c r="O765" s="52">
        <f>I764+0</f>
        <v>5844.56</v>
      </c>
      <c r="P765" s="52">
        <f>K764+0</f>
        <v>44769.33</v>
      </c>
    </row>
    <row r="767" spans="1:29" ht="78" x14ac:dyDescent="0.2">
      <c r="A767" s="39">
        <v>95</v>
      </c>
      <c r="B767" s="39" t="s">
        <v>794</v>
      </c>
      <c r="C767" s="39" t="s">
        <v>472</v>
      </c>
      <c r="D767" s="40" t="str">
        <f>Source!H552</f>
        <v>1  ШТ.</v>
      </c>
      <c r="E767" s="11">
        <f>Source!I552</f>
        <v>11</v>
      </c>
      <c r="F767" s="42"/>
      <c r="G767" s="41"/>
      <c r="H767" s="11"/>
      <c r="I767" s="42"/>
      <c r="J767" s="11"/>
      <c r="K767" s="42"/>
      <c r="Q767">
        <f>Source!X552</f>
        <v>151.88999999999999</v>
      </c>
      <c r="R767">
        <f>Source!X553</f>
        <v>8352.2099999999991</v>
      </c>
      <c r="S767">
        <f>Source!Y552</f>
        <v>84.74</v>
      </c>
      <c r="T767">
        <f>Source!Y553</f>
        <v>4659.6499999999996</v>
      </c>
      <c r="U767">
        <f>ROUND((175/100)*ROUND(Source!R552, 2), 2)</f>
        <v>0</v>
      </c>
      <c r="V767">
        <f>ROUND((0/100)*ROUND(Source!R553, 2), 2)</f>
        <v>0</v>
      </c>
      <c r="AC767">
        <v>0</v>
      </c>
    </row>
    <row r="768" spans="1:29" ht="14.25" x14ac:dyDescent="0.2">
      <c r="A768" s="39"/>
      <c r="B768" s="39"/>
      <c r="C768" s="39" t="s">
        <v>707</v>
      </c>
      <c r="D768" s="40"/>
      <c r="E768" s="11"/>
      <c r="F768" s="42">
        <f>Source!AO552</f>
        <v>12.62</v>
      </c>
      <c r="G768" s="41" t="str">
        <f>Source!DG552</f>
        <v>*1,1</v>
      </c>
      <c r="H768" s="11">
        <f>Source!AV553</f>
        <v>1.0469999999999999</v>
      </c>
      <c r="I768" s="42">
        <f>Source!S552</f>
        <v>159.88</v>
      </c>
      <c r="J768" s="11">
        <f>IF(Source!BA553&lt;&gt; 0, Source!BA553, 1)</f>
        <v>54.99</v>
      </c>
      <c r="K768" s="42">
        <f>Source!S553</f>
        <v>8791.7999999999993</v>
      </c>
    </row>
    <row r="769" spans="1:29" ht="14.25" x14ac:dyDescent="0.2">
      <c r="A769" s="39"/>
      <c r="B769" s="39"/>
      <c r="C769" s="39" t="s">
        <v>710</v>
      </c>
      <c r="D769" s="40" t="s">
        <v>711</v>
      </c>
      <c r="E769" s="11">
        <f>Source!BZ553</f>
        <v>95</v>
      </c>
      <c r="F769" s="42"/>
      <c r="G769" s="41"/>
      <c r="H769" s="11"/>
      <c r="I769" s="42">
        <f>SUM(Q767:Q768)</f>
        <v>151.88999999999999</v>
      </c>
      <c r="J769" s="11">
        <f>Source!AT553</f>
        <v>95</v>
      </c>
      <c r="K769" s="42">
        <f>SUM(R767:R768)</f>
        <v>8352.2099999999991</v>
      </c>
    </row>
    <row r="770" spans="1:29" ht="14.25" x14ac:dyDescent="0.2">
      <c r="A770" s="39"/>
      <c r="B770" s="39"/>
      <c r="C770" s="39" t="s">
        <v>712</v>
      </c>
      <c r="D770" s="40" t="s">
        <v>711</v>
      </c>
      <c r="E770" s="11">
        <f>Source!CA553</f>
        <v>53</v>
      </c>
      <c r="F770" s="42"/>
      <c r="G770" s="41"/>
      <c r="H770" s="11"/>
      <c r="I770" s="42">
        <f>SUM(S767:S769)</f>
        <v>84.74</v>
      </c>
      <c r="J770" s="11">
        <f>Source!AU553</f>
        <v>53</v>
      </c>
      <c r="K770" s="42">
        <f>SUM(T767:T769)</f>
        <v>4659.6499999999996</v>
      </c>
    </row>
    <row r="771" spans="1:29" ht="14.25" x14ac:dyDescent="0.2">
      <c r="A771" s="44"/>
      <c r="B771" s="44"/>
      <c r="C771" s="44" t="s">
        <v>713</v>
      </c>
      <c r="D771" s="45" t="s">
        <v>714</v>
      </c>
      <c r="E771" s="46">
        <f>Source!AQ552</f>
        <v>1</v>
      </c>
      <c r="F771" s="47"/>
      <c r="G771" s="48" t="str">
        <f>Source!DI552</f>
        <v>*1,1</v>
      </c>
      <c r="H771" s="46">
        <f>Source!AV553</f>
        <v>1.0469999999999999</v>
      </c>
      <c r="I771" s="47">
        <f>Source!U552</f>
        <v>12.668699999999999</v>
      </c>
      <c r="J771" s="46"/>
      <c r="K771" s="47"/>
    </row>
    <row r="772" spans="1:29" ht="15" x14ac:dyDescent="0.25">
      <c r="C772" s="31" t="s">
        <v>715</v>
      </c>
      <c r="H772" s="49">
        <f>I768+I769+I770+0-0-0</f>
        <v>396.51</v>
      </c>
      <c r="I772" s="49"/>
      <c r="J772" s="49">
        <f>K768+K769+K770+0-0-0</f>
        <v>21803.659999999996</v>
      </c>
      <c r="K772" s="49"/>
    </row>
    <row r="773" spans="1:29" ht="15" x14ac:dyDescent="0.25">
      <c r="C773" s="31" t="s">
        <v>716</v>
      </c>
      <c r="H773" s="51">
        <f>0+0</f>
        <v>0</v>
      </c>
      <c r="I773" s="51"/>
      <c r="J773" s="51">
        <f>0+0</f>
        <v>0</v>
      </c>
      <c r="K773" s="51"/>
    </row>
    <row r="774" spans="1:29" ht="15" x14ac:dyDescent="0.25">
      <c r="C774" s="31" t="s">
        <v>717</v>
      </c>
      <c r="H774" s="51">
        <f>I768+I769+I770+0</f>
        <v>396.51</v>
      </c>
      <c r="I774" s="51"/>
      <c r="J774" s="51">
        <f>K768+K769+K770+0</f>
        <v>21803.659999999996</v>
      </c>
      <c r="K774" s="51"/>
      <c r="O774" s="52">
        <f>I768+I769+I770+0</f>
        <v>396.51</v>
      </c>
      <c r="P774" s="52">
        <f>K768+K769+K770+0</f>
        <v>21803.659999999996</v>
      </c>
    </row>
    <row r="776" spans="1:29" ht="68.25" x14ac:dyDescent="0.2">
      <c r="A776" s="53">
        <v>96</v>
      </c>
      <c r="B776" s="53" t="str">
        <f>Source!F554</f>
        <v>КА №52</v>
      </c>
      <c r="C776" s="53" t="s">
        <v>795</v>
      </c>
      <c r="D776" s="54" t="str">
        <f>Source!H554</f>
        <v>шт.</v>
      </c>
      <c r="E776" s="55">
        <f>Source!I554</f>
        <v>11</v>
      </c>
      <c r="F776" s="56">
        <f>Source!AL554</f>
        <v>41.43</v>
      </c>
      <c r="G776" s="57" t="str">
        <f>Source!DD554</f>
        <v/>
      </c>
      <c r="H776" s="55">
        <f>Source!AW555</f>
        <v>1</v>
      </c>
      <c r="I776" s="56">
        <f>Source!P554</f>
        <v>455.73</v>
      </c>
      <c r="J776" s="55">
        <f>IF(Source!BC555&lt;&gt; 0, Source!BC555, 1)</f>
        <v>7.66</v>
      </c>
      <c r="K776" s="56">
        <f>Source!P555</f>
        <v>3490.89</v>
      </c>
      <c r="Q776">
        <f>Source!X554</f>
        <v>0</v>
      </c>
      <c r="R776">
        <f>Source!X555</f>
        <v>0</v>
      </c>
      <c r="S776">
        <f>Source!Y554</f>
        <v>0</v>
      </c>
      <c r="T776">
        <f>Source!Y555</f>
        <v>0</v>
      </c>
      <c r="U776">
        <f>ROUND((175/100)*ROUND(Source!R554, 2), 2)</f>
        <v>0</v>
      </c>
      <c r="V776">
        <f>ROUND((0/100)*ROUND(Source!R555, 2), 2)</f>
        <v>0</v>
      </c>
      <c r="AC776">
        <v>5</v>
      </c>
    </row>
    <row r="777" spans="1:29" ht="15" x14ac:dyDescent="0.25">
      <c r="A777" s="58"/>
      <c r="B777" s="58"/>
      <c r="C777" s="59" t="s">
        <v>717</v>
      </c>
      <c r="D777" s="58"/>
      <c r="E777" s="58"/>
      <c r="F777" s="58"/>
      <c r="G777" s="58"/>
      <c r="H777" s="60">
        <f>I776+0</f>
        <v>455.73</v>
      </c>
      <c r="I777" s="60"/>
      <c r="J777" s="60">
        <f>K776+0</f>
        <v>3490.89</v>
      </c>
      <c r="K777" s="60"/>
      <c r="O777" s="52">
        <f>I776+0</f>
        <v>455.73</v>
      </c>
      <c r="P777" s="52">
        <f>K776+0</f>
        <v>3490.89</v>
      </c>
    </row>
    <row r="779" spans="1:29" ht="78" x14ac:dyDescent="0.2">
      <c r="A779" s="39">
        <v>97</v>
      </c>
      <c r="B779" s="39" t="s">
        <v>727</v>
      </c>
      <c r="C779" s="39" t="s">
        <v>76</v>
      </c>
      <c r="D779" s="40" t="str">
        <f>Source!H556</f>
        <v>100 м</v>
      </c>
      <c r="E779" s="11">
        <f>Source!I556</f>
        <v>3</v>
      </c>
      <c r="F779" s="42"/>
      <c r="G779" s="41"/>
      <c r="H779" s="11"/>
      <c r="I779" s="42"/>
      <c r="J779" s="11"/>
      <c r="K779" s="42"/>
      <c r="Q779">
        <f>Source!X556</f>
        <v>663.49</v>
      </c>
      <c r="R779">
        <f>Source!X557</f>
        <v>36485.300000000003</v>
      </c>
      <c r="S779">
        <f>Source!Y556</f>
        <v>348.85</v>
      </c>
      <c r="T779">
        <f>Source!Y557</f>
        <v>19182.990000000002</v>
      </c>
      <c r="U779">
        <f>ROUND((175/100)*ROUND(Source!R556, 2), 2)</f>
        <v>34.53</v>
      </c>
      <c r="V779">
        <f>ROUND((0/100)*ROUND(Source!R557, 2), 2)</f>
        <v>0</v>
      </c>
      <c r="AC779">
        <v>0</v>
      </c>
    </row>
    <row r="780" spans="1:29" x14ac:dyDescent="0.2">
      <c r="C780" s="62" t="str">
        <f>"Объем: "&amp;Source!I556&amp;"=300/"&amp;"100"</f>
        <v>Объем: 3=300/100</v>
      </c>
    </row>
    <row r="781" spans="1:29" ht="14.25" x14ac:dyDescent="0.2">
      <c r="A781" s="39"/>
      <c r="B781" s="39"/>
      <c r="C781" s="39" t="s">
        <v>707</v>
      </c>
      <c r="D781" s="40"/>
      <c r="E781" s="11"/>
      <c r="F781" s="42">
        <f>Source!AO556</f>
        <v>192.26</v>
      </c>
      <c r="G781" s="41" t="str">
        <f>Source!DG556</f>
        <v>*1,1</v>
      </c>
      <c r="H781" s="11">
        <f>Source!AV557</f>
        <v>1.0469999999999999</v>
      </c>
      <c r="I781" s="42">
        <f>Source!S556</f>
        <v>664.28</v>
      </c>
      <c r="J781" s="11">
        <f>IF(Source!BA557&lt;&gt; 0, Source!BA557, 1)</f>
        <v>54.99</v>
      </c>
      <c r="K781" s="42">
        <f>Source!S557</f>
        <v>36528.76</v>
      </c>
    </row>
    <row r="782" spans="1:29" ht="14.25" x14ac:dyDescent="0.2">
      <c r="A782" s="39"/>
      <c r="B782" s="39"/>
      <c r="C782" s="39" t="s">
        <v>708</v>
      </c>
      <c r="D782" s="40"/>
      <c r="E782" s="11"/>
      <c r="F782" s="42">
        <f>Source!AM556</f>
        <v>32.869999999999997</v>
      </c>
      <c r="G782" s="41" t="str">
        <f>Source!DE556</f>
        <v>*1,1</v>
      </c>
      <c r="H782" s="11">
        <f>Source!AV557</f>
        <v>1.0469999999999999</v>
      </c>
      <c r="I782" s="42">
        <f>Source!Q556</f>
        <v>113.57</v>
      </c>
      <c r="J782" s="11">
        <f>IF(Source!BB557&lt;&gt; 0, Source!BB557, 1)</f>
        <v>17.850000000000001</v>
      </c>
      <c r="K782" s="42">
        <f>Source!Q557</f>
        <v>2027.22</v>
      </c>
    </row>
    <row r="783" spans="1:29" ht="14.25" x14ac:dyDescent="0.2">
      <c r="A783" s="39"/>
      <c r="B783" s="39"/>
      <c r="C783" s="39" t="s">
        <v>709</v>
      </c>
      <c r="D783" s="40"/>
      <c r="E783" s="11"/>
      <c r="F783" s="42">
        <f>Source!AN556</f>
        <v>5.71</v>
      </c>
      <c r="G783" s="41" t="str">
        <f>Source!DF556</f>
        <v>*1,1</v>
      </c>
      <c r="H783" s="11">
        <f>Source!AV557</f>
        <v>1.0469999999999999</v>
      </c>
      <c r="I783" s="43">
        <f>Source!R556</f>
        <v>19.73</v>
      </c>
      <c r="J783" s="11">
        <f>IF(Source!BS557&lt;&gt; 0, Source!BS557, 1)</f>
        <v>54.99</v>
      </c>
      <c r="K783" s="43">
        <f>Source!R557</f>
        <v>1084.95</v>
      </c>
    </row>
    <row r="784" spans="1:29" ht="14.25" x14ac:dyDescent="0.2">
      <c r="A784" s="39"/>
      <c r="B784" s="39"/>
      <c r="C784" s="39" t="s">
        <v>720</v>
      </c>
      <c r="D784" s="40"/>
      <c r="E784" s="11"/>
      <c r="F784" s="42">
        <f>Source!AL556</f>
        <v>314.29000000000002</v>
      </c>
      <c r="G784" s="41" t="str">
        <f>Source!DD556</f>
        <v/>
      </c>
      <c r="H784" s="11">
        <f>Source!AW557</f>
        <v>1</v>
      </c>
      <c r="I784" s="42">
        <f>Source!P556</f>
        <v>942.87</v>
      </c>
      <c r="J784" s="11">
        <f>IF(Source!BC557&lt;&gt; 0, Source!BC557, 1)</f>
        <v>9.89</v>
      </c>
      <c r="K784" s="42">
        <f>Source!P557</f>
        <v>9324.98</v>
      </c>
    </row>
    <row r="785" spans="1:29" ht="42.75" x14ac:dyDescent="0.2">
      <c r="A785" s="39" t="s">
        <v>479</v>
      </c>
      <c r="B785" s="39" t="str">
        <f>Source!F558</f>
        <v>1.12-5-372</v>
      </c>
      <c r="C785" s="39" t="s">
        <v>83</v>
      </c>
      <c r="D785" s="40" t="str">
        <f>Source!H558</f>
        <v>м</v>
      </c>
      <c r="E785" s="11">
        <f>Source!I558</f>
        <v>306</v>
      </c>
      <c r="F785" s="42">
        <f>Source!AK558</f>
        <v>3.45</v>
      </c>
      <c r="G785" s="61" t="s">
        <v>3</v>
      </c>
      <c r="H785" s="11">
        <f>Source!AW559</f>
        <v>1</v>
      </c>
      <c r="I785" s="42">
        <f>Source!O558</f>
        <v>1055.7</v>
      </c>
      <c r="J785" s="11">
        <f>IF(Source!BC559&lt;&gt; 0, Source!BC559, 1)</f>
        <v>3.93</v>
      </c>
      <c r="K785" s="42">
        <f>Source!O559</f>
        <v>4148.8999999999996</v>
      </c>
      <c r="Q785">
        <f>Source!X558</f>
        <v>0</v>
      </c>
      <c r="R785">
        <f>Source!X559</f>
        <v>0</v>
      </c>
      <c r="S785">
        <f>Source!Y558</f>
        <v>0</v>
      </c>
      <c r="T785">
        <f>Source!Y559</f>
        <v>0</v>
      </c>
      <c r="U785">
        <f>ROUND((175/100)*ROUND(Source!R558, 2), 2)</f>
        <v>0</v>
      </c>
      <c r="V785">
        <f>ROUND((0/100)*ROUND(Source!R559, 2), 2)</f>
        <v>0</v>
      </c>
      <c r="AC785">
        <v>3</v>
      </c>
    </row>
    <row r="786" spans="1:29" ht="14.25" x14ac:dyDescent="0.2">
      <c r="A786" s="39"/>
      <c r="B786" s="39"/>
      <c r="C786" s="39" t="s">
        <v>710</v>
      </c>
      <c r="D786" s="40" t="s">
        <v>711</v>
      </c>
      <c r="E786" s="11">
        <f>Source!BZ557</f>
        <v>97</v>
      </c>
      <c r="F786" s="42"/>
      <c r="G786" s="41"/>
      <c r="H786" s="11"/>
      <c r="I786" s="42">
        <f>SUM(Q779:Q785)</f>
        <v>663.49</v>
      </c>
      <c r="J786" s="11">
        <f>Source!AT557</f>
        <v>97</v>
      </c>
      <c r="K786" s="42">
        <f>SUM(R779:R785)</f>
        <v>36485.300000000003</v>
      </c>
    </row>
    <row r="787" spans="1:29" ht="14.25" x14ac:dyDescent="0.2">
      <c r="A787" s="39"/>
      <c r="B787" s="39"/>
      <c r="C787" s="39" t="s">
        <v>712</v>
      </c>
      <c r="D787" s="40" t="s">
        <v>711</v>
      </c>
      <c r="E787" s="11">
        <f>Source!CA557</f>
        <v>51</v>
      </c>
      <c r="F787" s="42"/>
      <c r="G787" s="41"/>
      <c r="H787" s="11"/>
      <c r="I787" s="42">
        <f>SUM(S779:S786)</f>
        <v>348.85</v>
      </c>
      <c r="J787" s="11">
        <f>Source!AU557</f>
        <v>51</v>
      </c>
      <c r="K787" s="42">
        <f>SUM(T779:T786)</f>
        <v>19182.990000000002</v>
      </c>
    </row>
    <row r="788" spans="1:29" ht="14.25" x14ac:dyDescent="0.2">
      <c r="A788" s="44"/>
      <c r="B788" s="44"/>
      <c r="C788" s="44" t="s">
        <v>713</v>
      </c>
      <c r="D788" s="45" t="s">
        <v>714</v>
      </c>
      <c r="E788" s="46">
        <f>Source!AQ556</f>
        <v>15</v>
      </c>
      <c r="F788" s="47"/>
      <c r="G788" s="48" t="str">
        <f>Source!DI556</f>
        <v>*1,1</v>
      </c>
      <c r="H788" s="46">
        <f>Source!AV557</f>
        <v>1.0469999999999999</v>
      </c>
      <c r="I788" s="47">
        <f>Source!U556</f>
        <v>51.826499999999996</v>
      </c>
      <c r="J788" s="46"/>
      <c r="K788" s="47"/>
    </row>
    <row r="789" spans="1:29" ht="15" x14ac:dyDescent="0.25">
      <c r="C789" s="31" t="s">
        <v>715</v>
      </c>
      <c r="H789" s="49">
        <f>I781+I782+I784+I786+I787+SUM(I785:I785)-SUMIF(AC785:AC785, 5, I785:I785)-SUMIF(AC785:AC785, 6, I785:I785)</f>
        <v>3788.76</v>
      </c>
      <c r="I789" s="49"/>
      <c r="J789" s="49">
        <f>K781+K782+K784+K786+K787+SUM(K785:K785)-SUMIF(AC785:AC785, 5, K785:K785)-SUMIF(AC785:AC785, 6, K785:K785)</f>
        <v>107698.15000000001</v>
      </c>
      <c r="K789" s="49"/>
    </row>
    <row r="790" spans="1:29" ht="15" x14ac:dyDescent="0.25">
      <c r="C790" s="31" t="s">
        <v>716</v>
      </c>
      <c r="H790" s="51">
        <f>SUMIF(AC785:AC785, 5, I785:I785)+SUMIF(AC785:AC785, 6, I785:I785)</f>
        <v>0</v>
      </c>
      <c r="I790" s="51"/>
      <c r="J790" s="51">
        <f>SUMIF(AC785:AC785, 5, K785:K785)+SUMIF(AC785:AC785, 6, K785:K785)</f>
        <v>0</v>
      </c>
      <c r="K790" s="51"/>
    </row>
    <row r="791" spans="1:29" ht="15" x14ac:dyDescent="0.25">
      <c r="C791" s="31" t="s">
        <v>717</v>
      </c>
      <c r="H791" s="51">
        <f>I781+I782+I784+I786+I787+SUM(I785:I785)</f>
        <v>3788.76</v>
      </c>
      <c r="I791" s="51"/>
      <c r="J791" s="51">
        <f>K781+K782+K784+K786+K787+SUM(K785:K785)</f>
        <v>107698.15000000001</v>
      </c>
      <c r="K791" s="51"/>
      <c r="O791" s="52">
        <f>I781+I782+I784+I786+I787+SUM(I785:I785)</f>
        <v>3788.76</v>
      </c>
      <c r="P791" s="52">
        <f>K781+K782+K784+K786+K787+SUM(K785:K785)</f>
        <v>107698.15000000001</v>
      </c>
    </row>
    <row r="793" spans="1:29" ht="78" x14ac:dyDescent="0.2">
      <c r="A793" s="39">
        <v>98</v>
      </c>
      <c r="B793" s="39" t="s">
        <v>729</v>
      </c>
      <c r="C793" s="39" t="s">
        <v>96</v>
      </c>
      <c r="D793" s="40" t="str">
        <f>Source!H560</f>
        <v>100 м</v>
      </c>
      <c r="E793" s="11">
        <f>Source!I560</f>
        <v>3</v>
      </c>
      <c r="F793" s="42"/>
      <c r="G793" s="41"/>
      <c r="H793" s="11"/>
      <c r="I793" s="42"/>
      <c r="J793" s="11"/>
      <c r="K793" s="42"/>
      <c r="Q793">
        <f>Source!X560</f>
        <v>186.11</v>
      </c>
      <c r="R793">
        <f>Source!X561</f>
        <v>10234.4</v>
      </c>
      <c r="S793">
        <f>Source!Y560</f>
        <v>97.85</v>
      </c>
      <c r="T793">
        <f>Source!Y561</f>
        <v>5380.97</v>
      </c>
      <c r="U793">
        <f>ROUND((175/100)*ROUND(Source!R560, 2), 2)</f>
        <v>1.82</v>
      </c>
      <c r="V793">
        <f>ROUND((0/100)*ROUND(Source!R561, 2), 2)</f>
        <v>0</v>
      </c>
      <c r="AC793">
        <v>0</v>
      </c>
    </row>
    <row r="794" spans="1:29" x14ac:dyDescent="0.2">
      <c r="C794" s="62" t="str">
        <f>"Объем: "&amp;Source!I560&amp;"=300/"&amp;"100"</f>
        <v>Объем: 3=300/100</v>
      </c>
    </row>
    <row r="795" spans="1:29" ht="14.25" x14ac:dyDescent="0.2">
      <c r="A795" s="39"/>
      <c r="B795" s="39"/>
      <c r="C795" s="39" t="s">
        <v>707</v>
      </c>
      <c r="D795" s="40"/>
      <c r="E795" s="11"/>
      <c r="F795" s="42">
        <f>Source!AO560</f>
        <v>55.23</v>
      </c>
      <c r="G795" s="41" t="str">
        <f>Source!DG560</f>
        <v>*1,1</v>
      </c>
      <c r="H795" s="11">
        <f>Source!AV561</f>
        <v>1.0469999999999999</v>
      </c>
      <c r="I795" s="42">
        <f>Source!S560</f>
        <v>190.83</v>
      </c>
      <c r="J795" s="11">
        <f>IF(Source!BA561&lt;&gt; 0, Source!BA561, 1)</f>
        <v>54.99</v>
      </c>
      <c r="K795" s="42">
        <f>Source!S561</f>
        <v>10493.74</v>
      </c>
    </row>
    <row r="796" spans="1:29" ht="14.25" x14ac:dyDescent="0.2">
      <c r="A796" s="39"/>
      <c r="B796" s="39"/>
      <c r="C796" s="39" t="s">
        <v>708</v>
      </c>
      <c r="D796" s="40"/>
      <c r="E796" s="11"/>
      <c r="F796" s="42">
        <f>Source!AM560</f>
        <v>2.62</v>
      </c>
      <c r="G796" s="41" t="str">
        <f>Source!DE560</f>
        <v>*1,1</v>
      </c>
      <c r="H796" s="11">
        <f>Source!AV561</f>
        <v>1.0469999999999999</v>
      </c>
      <c r="I796" s="42">
        <f>Source!Q560</f>
        <v>9.0500000000000007</v>
      </c>
      <c r="J796" s="11">
        <f>IF(Source!BB561&lt;&gt; 0, Source!BB561, 1)</f>
        <v>14.57</v>
      </c>
      <c r="K796" s="42">
        <f>Source!Q561</f>
        <v>131.86000000000001</v>
      </c>
    </row>
    <row r="797" spans="1:29" ht="14.25" x14ac:dyDescent="0.2">
      <c r="A797" s="39"/>
      <c r="B797" s="39"/>
      <c r="C797" s="39" t="s">
        <v>709</v>
      </c>
      <c r="D797" s="40"/>
      <c r="E797" s="11"/>
      <c r="F797" s="42">
        <f>Source!AN560</f>
        <v>0.3</v>
      </c>
      <c r="G797" s="41" t="str">
        <f>Source!DF560</f>
        <v>*1,1</v>
      </c>
      <c r="H797" s="11">
        <f>Source!AV561</f>
        <v>1.0469999999999999</v>
      </c>
      <c r="I797" s="43">
        <f>Source!R560</f>
        <v>1.04</v>
      </c>
      <c r="J797" s="11">
        <f>IF(Source!BS561&lt;&gt; 0, Source!BS561, 1)</f>
        <v>54.99</v>
      </c>
      <c r="K797" s="43">
        <f>Source!R561</f>
        <v>57.19</v>
      </c>
    </row>
    <row r="798" spans="1:29" ht="14.25" x14ac:dyDescent="0.2">
      <c r="A798" s="39"/>
      <c r="B798" s="39"/>
      <c r="C798" s="39" t="s">
        <v>720</v>
      </c>
      <c r="D798" s="40"/>
      <c r="E798" s="11"/>
      <c r="F798" s="42">
        <f>Source!AL560</f>
        <v>58.15</v>
      </c>
      <c r="G798" s="41" t="str">
        <f>Source!DD560</f>
        <v/>
      </c>
      <c r="H798" s="11">
        <f>Source!AW561</f>
        <v>1</v>
      </c>
      <c r="I798" s="42">
        <f>Source!P560</f>
        <v>174.45</v>
      </c>
      <c r="J798" s="11">
        <f>IF(Source!BC561&lt;&gt; 0, Source!BC561, 1)</f>
        <v>3.7</v>
      </c>
      <c r="K798" s="42">
        <f>Source!P561</f>
        <v>645.47</v>
      </c>
    </row>
    <row r="799" spans="1:29" ht="27" x14ac:dyDescent="0.2">
      <c r="A799" s="39" t="s">
        <v>481</v>
      </c>
      <c r="B799" s="39" t="str">
        <f>Source!F562</f>
        <v>КА №8</v>
      </c>
      <c r="C799" s="39" t="s">
        <v>730</v>
      </c>
      <c r="D799" s="40" t="str">
        <f>Source!H562</f>
        <v>м.п.</v>
      </c>
      <c r="E799" s="11">
        <f>Source!I562</f>
        <v>306</v>
      </c>
      <c r="F799" s="42">
        <f>Source!AK562</f>
        <v>5.08</v>
      </c>
      <c r="G799" s="61" t="s">
        <v>3</v>
      </c>
      <c r="H799" s="11">
        <f>Source!AW563</f>
        <v>1</v>
      </c>
      <c r="I799" s="42">
        <f>Source!O562</f>
        <v>1554.48</v>
      </c>
      <c r="J799" s="11">
        <f>IF(Source!BC563&lt;&gt; 0, Source!BC563, 1)</f>
        <v>9.8800000000000008</v>
      </c>
      <c r="K799" s="42">
        <f>Source!O563</f>
        <v>15358.26</v>
      </c>
      <c r="Q799">
        <f>Source!X562</f>
        <v>0</v>
      </c>
      <c r="R799">
        <f>Source!X563</f>
        <v>0</v>
      </c>
      <c r="S799">
        <f>Source!Y562</f>
        <v>0</v>
      </c>
      <c r="T799">
        <f>Source!Y563</f>
        <v>0</v>
      </c>
      <c r="U799">
        <f>ROUND((175/100)*ROUND(Source!R562, 2), 2)</f>
        <v>0</v>
      </c>
      <c r="V799">
        <f>ROUND((0/100)*ROUND(Source!R563, 2), 2)</f>
        <v>0</v>
      </c>
      <c r="AC799">
        <v>3</v>
      </c>
    </row>
    <row r="800" spans="1:29" ht="14.25" x14ac:dyDescent="0.2">
      <c r="A800" s="39"/>
      <c r="B800" s="39"/>
      <c r="C800" s="39" t="s">
        <v>710</v>
      </c>
      <c r="D800" s="40" t="s">
        <v>711</v>
      </c>
      <c r="E800" s="11">
        <f>Source!BZ561</f>
        <v>97</v>
      </c>
      <c r="F800" s="42"/>
      <c r="G800" s="41"/>
      <c r="H800" s="11"/>
      <c r="I800" s="42">
        <f>SUM(Q793:Q799)</f>
        <v>186.11</v>
      </c>
      <c r="J800" s="11">
        <f>Source!AT561</f>
        <v>97</v>
      </c>
      <c r="K800" s="42">
        <f>SUM(R793:R799)</f>
        <v>10234.4</v>
      </c>
    </row>
    <row r="801" spans="1:43" ht="14.25" x14ac:dyDescent="0.2">
      <c r="A801" s="39"/>
      <c r="B801" s="39"/>
      <c r="C801" s="39" t="s">
        <v>712</v>
      </c>
      <c r="D801" s="40" t="s">
        <v>711</v>
      </c>
      <c r="E801" s="11">
        <f>Source!CA561</f>
        <v>51</v>
      </c>
      <c r="F801" s="42"/>
      <c r="G801" s="41"/>
      <c r="H801" s="11"/>
      <c r="I801" s="42">
        <f>SUM(S793:S800)</f>
        <v>97.85</v>
      </c>
      <c r="J801" s="11">
        <f>Source!AU561</f>
        <v>51</v>
      </c>
      <c r="K801" s="42">
        <f>SUM(T793:T800)</f>
        <v>5380.97</v>
      </c>
    </row>
    <row r="802" spans="1:43" ht="14.25" x14ac:dyDescent="0.2">
      <c r="A802" s="44"/>
      <c r="B802" s="44"/>
      <c r="C802" s="44" t="s">
        <v>713</v>
      </c>
      <c r="D802" s="45" t="s">
        <v>714</v>
      </c>
      <c r="E802" s="46">
        <f>Source!AQ560</f>
        <v>4.49</v>
      </c>
      <c r="F802" s="47"/>
      <c r="G802" s="48" t="str">
        <f>Source!DI560</f>
        <v>*1,1</v>
      </c>
      <c r="H802" s="46">
        <f>Source!AV561</f>
        <v>1.0469999999999999</v>
      </c>
      <c r="I802" s="47">
        <f>Source!U560</f>
        <v>15.513399000000003</v>
      </c>
      <c r="J802" s="46"/>
      <c r="K802" s="47"/>
    </row>
    <row r="803" spans="1:43" ht="15" x14ac:dyDescent="0.25">
      <c r="C803" s="31" t="s">
        <v>715</v>
      </c>
      <c r="H803" s="49">
        <f>I795+I796+I798+I800+I801+SUM(I799:I799)-SUMIF(AC799:AC799, 5, I799:I799)-SUMIF(AC799:AC799, 6, I799:I799)</f>
        <v>2212.77</v>
      </c>
      <c r="I803" s="49"/>
      <c r="J803" s="49">
        <f>K795+K796+K798+K800+K801+SUM(K799:K799)-SUMIF(AC799:AC799, 5, K799:K799)-SUMIF(AC799:AC799, 6, K799:K799)</f>
        <v>42244.700000000004</v>
      </c>
      <c r="K803" s="49"/>
    </row>
    <row r="804" spans="1:43" ht="15" x14ac:dyDescent="0.25">
      <c r="C804" s="31" t="s">
        <v>716</v>
      </c>
      <c r="H804" s="51">
        <f>SUMIF(AC799:AC799, 5, I799:I799)+SUMIF(AC799:AC799, 6, I799:I799)</f>
        <v>0</v>
      </c>
      <c r="I804" s="51"/>
      <c r="J804" s="51">
        <f>SUMIF(AC799:AC799, 5, K799:K799)+SUMIF(AC799:AC799, 6, K799:K799)</f>
        <v>0</v>
      </c>
      <c r="K804" s="51"/>
    </row>
    <row r="805" spans="1:43" ht="15" x14ac:dyDescent="0.25">
      <c r="C805" s="31" t="s">
        <v>717</v>
      </c>
      <c r="H805" s="51">
        <f>I795+I796+I798+I800+I801+SUM(I799:I799)</f>
        <v>2212.77</v>
      </c>
      <c r="I805" s="51"/>
      <c r="J805" s="51">
        <f>K795+K796+K798+K800+K801+SUM(K799:K799)</f>
        <v>42244.700000000004</v>
      </c>
      <c r="K805" s="51"/>
      <c r="O805" s="52">
        <f>I795+I796+I798+I800+I801+SUM(I799:I799)</f>
        <v>2212.77</v>
      </c>
      <c r="P805" s="52">
        <f>K795+K796+K798+K800+K801+SUM(K799:K799)</f>
        <v>42244.700000000004</v>
      </c>
    </row>
    <row r="808" spans="1:43" ht="15" x14ac:dyDescent="0.25">
      <c r="A808" s="64" t="str">
        <f>CONCATENATE("Итого по разделу: ",IF(Source!G565&lt;&gt;"Новый раздел", Source!G565, ""))</f>
        <v>Итого по разделу: Система управления фрамугами</v>
      </c>
      <c r="B808" s="64"/>
      <c r="C808" s="64"/>
      <c r="D808" s="64"/>
      <c r="E808" s="64"/>
      <c r="F808" s="64"/>
      <c r="G808" s="64"/>
      <c r="H808" s="51">
        <f>SUM(O737:O807)</f>
        <v>17258.82</v>
      </c>
      <c r="I808" s="50"/>
      <c r="J808" s="51">
        <f>SUM(P737:P807)</f>
        <v>269130.89</v>
      </c>
      <c r="K808" s="50"/>
    </row>
    <row r="809" spans="1:43" hidden="1" x14ac:dyDescent="0.2">
      <c r="A809" t="s">
        <v>732</v>
      </c>
      <c r="I809">
        <f>SUM(W737:W808)</f>
        <v>0</v>
      </c>
      <c r="J809">
        <f>SUM(X737:X808)</f>
        <v>0</v>
      </c>
    </row>
    <row r="810" spans="1:43" hidden="1" x14ac:dyDescent="0.2">
      <c r="A810" t="s">
        <v>733</v>
      </c>
      <c r="I810">
        <f>SUM(Y737:Y809)</f>
        <v>0</v>
      </c>
      <c r="J810">
        <f>SUM(Z737:Z809)</f>
        <v>0</v>
      </c>
    </row>
    <row r="812" spans="1:43" ht="15" x14ac:dyDescent="0.25">
      <c r="A812" s="64" t="str">
        <f>CONCATENATE("Итого по локальной смете: ",IF(Source!G595&lt;&gt;"Новая локальная смета", Source!G595, ""))</f>
        <v>Итого по локальной смете: Автоматизация и диспетчеризация инженерных систем.</v>
      </c>
      <c r="B812" s="64"/>
      <c r="C812" s="64"/>
      <c r="D812" s="64"/>
      <c r="E812" s="64"/>
      <c r="F812" s="64"/>
      <c r="G812" s="64"/>
      <c r="H812" s="51">
        <f>SUM(O35:O811)</f>
        <v>1958576.5100000005</v>
      </c>
      <c r="I812" s="50"/>
      <c r="J812" s="51">
        <f>SUM(P35:P811)</f>
        <v>19507413.139999993</v>
      </c>
      <c r="K812" s="50"/>
      <c r="AQ812" s="65" t="str">
        <f>CONCATENATE("Итого по локальной смете: ",IF(Source!G595&lt;&gt;"Новая локальная смета", Source!G595, ""))</f>
        <v>Итого по локальной смете: Автоматизация и диспетчеризация инженерных систем.</v>
      </c>
    </row>
    <row r="813" spans="1:43" hidden="1" x14ac:dyDescent="0.2">
      <c r="A813" t="s">
        <v>732</v>
      </c>
      <c r="I813">
        <f>SUM(W35:W812)</f>
        <v>0</v>
      </c>
      <c r="J813">
        <f>SUM(X35:X812)</f>
        <v>0</v>
      </c>
    </row>
    <row r="814" spans="1:43" hidden="1" x14ac:dyDescent="0.2">
      <c r="A814" t="s">
        <v>733</v>
      </c>
      <c r="I814">
        <f>SUM(Y35:Y813)</f>
        <v>0</v>
      </c>
      <c r="J814">
        <f>SUM(Z35:Z813)</f>
        <v>0</v>
      </c>
    </row>
    <row r="817" spans="1:11" ht="14.25" x14ac:dyDescent="0.2">
      <c r="A817" s="66" t="s">
        <v>797</v>
      </c>
      <c r="B817" s="66"/>
      <c r="C817" s="67" t="str">
        <f>IF(Source!AC12&lt;&gt;"", Source!AC12," ")</f>
        <v xml:space="preserve"> </v>
      </c>
      <c r="D817" s="67"/>
      <c r="E817" s="67"/>
      <c r="F817" s="67"/>
      <c r="G817" s="67"/>
      <c r="H817" s="15" t="s">
        <v>812</v>
      </c>
      <c r="I817" s="15"/>
      <c r="J817" s="15"/>
      <c r="K817" s="15"/>
    </row>
    <row r="818" spans="1:11" ht="14.25" x14ac:dyDescent="0.2">
      <c r="A818" s="12"/>
      <c r="B818" s="12"/>
      <c r="C818" s="21" t="s">
        <v>798</v>
      </c>
      <c r="D818" s="21"/>
      <c r="E818" s="21"/>
      <c r="F818" s="21"/>
      <c r="G818" s="21"/>
      <c r="H818" s="12"/>
      <c r="I818" s="12"/>
      <c r="J818" s="12"/>
      <c r="K818" s="12"/>
    </row>
    <row r="819" spans="1:11" ht="14.25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</row>
    <row r="820" spans="1:11" ht="14.25" x14ac:dyDescent="0.2">
      <c r="A820" s="66" t="s">
        <v>799</v>
      </c>
      <c r="B820" s="66"/>
      <c r="C820" s="67" t="str">
        <f>IF(Source!AE12&lt;&gt;"", Source!AE12," ")</f>
        <v xml:space="preserve"> </v>
      </c>
      <c r="D820" s="67"/>
      <c r="E820" s="67"/>
      <c r="F820" s="67"/>
      <c r="G820" s="67"/>
      <c r="H820" s="15" t="str">
        <f>IF(Source!AD12&lt;&gt;"", Source!AD12," ")</f>
        <v xml:space="preserve"> </v>
      </c>
      <c r="I820" s="15"/>
      <c r="J820" s="15"/>
      <c r="K820" s="15"/>
    </row>
    <row r="821" spans="1:11" ht="14.25" x14ac:dyDescent="0.2">
      <c r="A821" s="12"/>
      <c r="B821" s="12"/>
      <c r="C821" s="21" t="s">
        <v>798</v>
      </c>
      <c r="D821" s="21"/>
      <c r="E821" s="21"/>
      <c r="F821" s="21"/>
      <c r="G821" s="21"/>
      <c r="H821" s="12"/>
      <c r="I821" s="12"/>
      <c r="J821" s="12"/>
      <c r="K821" s="12"/>
    </row>
  </sheetData>
  <mergeCells count="446">
    <mergeCell ref="A817:B817"/>
    <mergeCell ref="H817:K817"/>
    <mergeCell ref="C818:G818"/>
    <mergeCell ref="A820:B820"/>
    <mergeCell ref="H820:K820"/>
    <mergeCell ref="C821:G821"/>
    <mergeCell ref="H805:I805"/>
    <mergeCell ref="J805:K805"/>
    <mergeCell ref="J808:K808"/>
    <mergeCell ref="H808:I808"/>
    <mergeCell ref="A808:G808"/>
    <mergeCell ref="J812:K812"/>
    <mergeCell ref="H812:I812"/>
    <mergeCell ref="A812:G812"/>
    <mergeCell ref="H791:I791"/>
    <mergeCell ref="J791:K791"/>
    <mergeCell ref="H803:I803"/>
    <mergeCell ref="J803:K803"/>
    <mergeCell ref="H804:I804"/>
    <mergeCell ref="J804:K804"/>
    <mergeCell ref="H777:I777"/>
    <mergeCell ref="J777:K777"/>
    <mergeCell ref="H789:I789"/>
    <mergeCell ref="J789:K789"/>
    <mergeCell ref="H790:I790"/>
    <mergeCell ref="J790:K790"/>
    <mergeCell ref="H772:I772"/>
    <mergeCell ref="J772:K772"/>
    <mergeCell ref="H773:I773"/>
    <mergeCell ref="J773:K773"/>
    <mergeCell ref="H774:I774"/>
    <mergeCell ref="J774:K774"/>
    <mergeCell ref="H761:I761"/>
    <mergeCell ref="J761:K761"/>
    <mergeCell ref="H762:I762"/>
    <mergeCell ref="J762:K762"/>
    <mergeCell ref="H765:I765"/>
    <mergeCell ref="J765:K765"/>
    <mergeCell ref="H748:I748"/>
    <mergeCell ref="J748:K748"/>
    <mergeCell ref="H749:I749"/>
    <mergeCell ref="J749:K749"/>
    <mergeCell ref="H760:I760"/>
    <mergeCell ref="J760:K760"/>
    <mergeCell ref="J733:K733"/>
    <mergeCell ref="H733:I733"/>
    <mergeCell ref="A733:G733"/>
    <mergeCell ref="A737:K737"/>
    <mergeCell ref="H747:I747"/>
    <mergeCell ref="J747:K747"/>
    <mergeCell ref="H728:I728"/>
    <mergeCell ref="J728:K728"/>
    <mergeCell ref="H729:I729"/>
    <mergeCell ref="J729:K729"/>
    <mergeCell ref="H730:I730"/>
    <mergeCell ref="J730:K730"/>
    <mergeCell ref="H714:I714"/>
    <mergeCell ref="J714:K714"/>
    <mergeCell ref="H715:I715"/>
    <mergeCell ref="J715:K715"/>
    <mergeCell ref="H716:I716"/>
    <mergeCell ref="J716:K716"/>
    <mergeCell ref="H698:I698"/>
    <mergeCell ref="J698:K698"/>
    <mergeCell ref="H699:I699"/>
    <mergeCell ref="J699:K699"/>
    <mergeCell ref="H702:I702"/>
    <mergeCell ref="J702:K702"/>
    <mergeCell ref="H685:I685"/>
    <mergeCell ref="J685:K685"/>
    <mergeCell ref="H686:I686"/>
    <mergeCell ref="J686:K686"/>
    <mergeCell ref="H697:I697"/>
    <mergeCell ref="J697:K697"/>
    <mergeCell ref="J670:K670"/>
    <mergeCell ref="H670:I670"/>
    <mergeCell ref="A670:G670"/>
    <mergeCell ref="A674:K674"/>
    <mergeCell ref="H684:I684"/>
    <mergeCell ref="J684:K684"/>
    <mergeCell ref="H665:I665"/>
    <mergeCell ref="J665:K665"/>
    <mergeCell ref="H666:I666"/>
    <mergeCell ref="J666:K666"/>
    <mergeCell ref="H667:I667"/>
    <mergeCell ref="J667:K667"/>
    <mergeCell ref="H651:I651"/>
    <mergeCell ref="J651:K651"/>
    <mergeCell ref="H652:I652"/>
    <mergeCell ref="J652:K652"/>
    <mergeCell ref="H653:I653"/>
    <mergeCell ref="J653:K653"/>
    <mergeCell ref="H635:I635"/>
    <mergeCell ref="J635:K635"/>
    <mergeCell ref="H636:I636"/>
    <mergeCell ref="J636:K636"/>
    <mergeCell ref="H639:I639"/>
    <mergeCell ref="J639:K639"/>
    <mergeCell ref="H621:I621"/>
    <mergeCell ref="J621:K621"/>
    <mergeCell ref="H624:I624"/>
    <mergeCell ref="J624:K624"/>
    <mergeCell ref="H634:I634"/>
    <mergeCell ref="J634:K634"/>
    <mergeCell ref="H610:I610"/>
    <mergeCell ref="J610:K610"/>
    <mergeCell ref="H619:I619"/>
    <mergeCell ref="J619:K619"/>
    <mergeCell ref="H620:I620"/>
    <mergeCell ref="J620:K620"/>
    <mergeCell ref="H605:I605"/>
    <mergeCell ref="J605:K605"/>
    <mergeCell ref="H606:I606"/>
    <mergeCell ref="J606:K606"/>
    <mergeCell ref="H607:I607"/>
    <mergeCell ref="J607:K607"/>
    <mergeCell ref="H590:I590"/>
    <mergeCell ref="J590:K590"/>
    <mergeCell ref="J593:K593"/>
    <mergeCell ref="H593:I593"/>
    <mergeCell ref="A593:G593"/>
    <mergeCell ref="A597:K597"/>
    <mergeCell ref="H576:I576"/>
    <mergeCell ref="J576:K576"/>
    <mergeCell ref="H588:I588"/>
    <mergeCell ref="J588:K588"/>
    <mergeCell ref="H589:I589"/>
    <mergeCell ref="J589:K589"/>
    <mergeCell ref="H562:I562"/>
    <mergeCell ref="J562:K562"/>
    <mergeCell ref="H574:I574"/>
    <mergeCell ref="J574:K574"/>
    <mergeCell ref="H575:I575"/>
    <mergeCell ref="J575:K575"/>
    <mergeCell ref="H557:I557"/>
    <mergeCell ref="J557:K557"/>
    <mergeCell ref="H558:I558"/>
    <mergeCell ref="J558:K558"/>
    <mergeCell ref="H559:I559"/>
    <mergeCell ref="J559:K559"/>
    <mergeCell ref="H543:I543"/>
    <mergeCell ref="J543:K543"/>
    <mergeCell ref="H546:I546"/>
    <mergeCell ref="J546:K546"/>
    <mergeCell ref="H549:I549"/>
    <mergeCell ref="J549:K549"/>
    <mergeCell ref="H534:I534"/>
    <mergeCell ref="J534:K534"/>
    <mergeCell ref="H537:I537"/>
    <mergeCell ref="J537:K537"/>
    <mergeCell ref="H540:I540"/>
    <mergeCell ref="J540:K540"/>
    <mergeCell ref="H523:I523"/>
    <mergeCell ref="J523:K523"/>
    <mergeCell ref="H532:I532"/>
    <mergeCell ref="J532:K532"/>
    <mergeCell ref="H533:I533"/>
    <mergeCell ref="J533:K533"/>
    <mergeCell ref="H514:I514"/>
    <mergeCell ref="J514:K514"/>
    <mergeCell ref="H517:I517"/>
    <mergeCell ref="J517:K517"/>
    <mergeCell ref="H520:I520"/>
    <mergeCell ref="J520:K520"/>
    <mergeCell ref="H505:I505"/>
    <mergeCell ref="J505:K505"/>
    <mergeCell ref="H508:I508"/>
    <mergeCell ref="J508:K508"/>
    <mergeCell ref="H511:I511"/>
    <mergeCell ref="J511:K511"/>
    <mergeCell ref="H500:I500"/>
    <mergeCell ref="J500:K500"/>
    <mergeCell ref="H501:I501"/>
    <mergeCell ref="J501:K501"/>
    <mergeCell ref="H502:I502"/>
    <mergeCell ref="J502:K502"/>
    <mergeCell ref="H483:I483"/>
    <mergeCell ref="J483:K483"/>
    <mergeCell ref="J486:K486"/>
    <mergeCell ref="H486:I486"/>
    <mergeCell ref="A486:G486"/>
    <mergeCell ref="A490:K490"/>
    <mergeCell ref="H474:I474"/>
    <mergeCell ref="J474:K474"/>
    <mergeCell ref="H477:I477"/>
    <mergeCell ref="J477:K477"/>
    <mergeCell ref="H480:I480"/>
    <mergeCell ref="J480:K480"/>
    <mergeCell ref="H467:I467"/>
    <mergeCell ref="J467:K467"/>
    <mergeCell ref="H468:I468"/>
    <mergeCell ref="J468:K468"/>
    <mergeCell ref="H471:I471"/>
    <mergeCell ref="J471:K471"/>
    <mergeCell ref="H452:I452"/>
    <mergeCell ref="J452:K452"/>
    <mergeCell ref="H455:I455"/>
    <mergeCell ref="J455:K455"/>
    <mergeCell ref="H466:I466"/>
    <mergeCell ref="J466:K466"/>
    <mergeCell ref="H443:I443"/>
    <mergeCell ref="J443:K443"/>
    <mergeCell ref="H446:I446"/>
    <mergeCell ref="J446:K446"/>
    <mergeCell ref="H449:I449"/>
    <mergeCell ref="J449:K449"/>
    <mergeCell ref="H434:I434"/>
    <mergeCell ref="J434:K434"/>
    <mergeCell ref="H437:I437"/>
    <mergeCell ref="J437:K437"/>
    <mergeCell ref="H440:I440"/>
    <mergeCell ref="J440:K440"/>
    <mergeCell ref="H423:I423"/>
    <mergeCell ref="J423:K423"/>
    <mergeCell ref="H432:I432"/>
    <mergeCell ref="J432:K432"/>
    <mergeCell ref="H433:I433"/>
    <mergeCell ref="J433:K433"/>
    <mergeCell ref="H414:I414"/>
    <mergeCell ref="J414:K414"/>
    <mergeCell ref="H417:I417"/>
    <mergeCell ref="J417:K417"/>
    <mergeCell ref="H420:I420"/>
    <mergeCell ref="J420:K420"/>
    <mergeCell ref="A400:G400"/>
    <mergeCell ref="A404:K404"/>
    <mergeCell ref="H412:I412"/>
    <mergeCell ref="J412:K412"/>
    <mergeCell ref="H413:I413"/>
    <mergeCell ref="J413:K413"/>
    <mergeCell ref="H396:I396"/>
    <mergeCell ref="J396:K396"/>
    <mergeCell ref="H397:I397"/>
    <mergeCell ref="J397:K397"/>
    <mergeCell ref="J400:K400"/>
    <mergeCell ref="H400:I400"/>
    <mergeCell ref="H382:I382"/>
    <mergeCell ref="J382:K382"/>
    <mergeCell ref="H383:I383"/>
    <mergeCell ref="J383:K383"/>
    <mergeCell ref="H395:I395"/>
    <mergeCell ref="J395:K395"/>
    <mergeCell ref="H368:I368"/>
    <mergeCell ref="J368:K368"/>
    <mergeCell ref="H369:I369"/>
    <mergeCell ref="J369:K369"/>
    <mergeCell ref="H381:I381"/>
    <mergeCell ref="J381:K381"/>
    <mergeCell ref="H352:I352"/>
    <mergeCell ref="J352:K352"/>
    <mergeCell ref="H355:I355"/>
    <mergeCell ref="J355:K355"/>
    <mergeCell ref="H367:I367"/>
    <mergeCell ref="J367:K367"/>
    <mergeCell ref="H343:I343"/>
    <mergeCell ref="J343:K343"/>
    <mergeCell ref="H346:I346"/>
    <mergeCell ref="J346:K346"/>
    <mergeCell ref="H349:I349"/>
    <mergeCell ref="J349:K349"/>
    <mergeCell ref="H338:I338"/>
    <mergeCell ref="J338:K338"/>
    <mergeCell ref="H339:I339"/>
    <mergeCell ref="J339:K339"/>
    <mergeCell ref="H340:I340"/>
    <mergeCell ref="J340:K340"/>
    <mergeCell ref="H322:I322"/>
    <mergeCell ref="J322:K322"/>
    <mergeCell ref="H323:I323"/>
    <mergeCell ref="J323:K323"/>
    <mergeCell ref="H326:I326"/>
    <mergeCell ref="J326:K326"/>
    <mergeCell ref="H310:I310"/>
    <mergeCell ref="J310:K310"/>
    <mergeCell ref="H313:I313"/>
    <mergeCell ref="J313:K313"/>
    <mergeCell ref="H321:I321"/>
    <mergeCell ref="J321:K321"/>
    <mergeCell ref="H301:I301"/>
    <mergeCell ref="J301:K301"/>
    <mergeCell ref="H308:I308"/>
    <mergeCell ref="J308:K308"/>
    <mergeCell ref="H309:I309"/>
    <mergeCell ref="J309:K309"/>
    <mergeCell ref="H294:I294"/>
    <mergeCell ref="J294:K294"/>
    <mergeCell ref="H295:I295"/>
    <mergeCell ref="J295:K295"/>
    <mergeCell ref="H298:I298"/>
    <mergeCell ref="J298:K298"/>
    <mergeCell ref="H280:I280"/>
    <mergeCell ref="J280:K280"/>
    <mergeCell ref="H283:I283"/>
    <mergeCell ref="J283:K283"/>
    <mergeCell ref="H293:I293"/>
    <mergeCell ref="J293:K293"/>
    <mergeCell ref="H269:I269"/>
    <mergeCell ref="J269:K269"/>
    <mergeCell ref="H278:I278"/>
    <mergeCell ref="J278:K278"/>
    <mergeCell ref="H279:I279"/>
    <mergeCell ref="J279:K279"/>
    <mergeCell ref="H264:I264"/>
    <mergeCell ref="J264:K264"/>
    <mergeCell ref="H265:I265"/>
    <mergeCell ref="J265:K265"/>
    <mergeCell ref="H266:I266"/>
    <mergeCell ref="J266:K266"/>
    <mergeCell ref="H248:I248"/>
    <mergeCell ref="J248:K248"/>
    <mergeCell ref="J251:K251"/>
    <mergeCell ref="H251:I251"/>
    <mergeCell ref="A251:G251"/>
    <mergeCell ref="A255:K255"/>
    <mergeCell ref="H234:I234"/>
    <mergeCell ref="J234:K234"/>
    <mergeCell ref="H246:I246"/>
    <mergeCell ref="J246:K246"/>
    <mergeCell ref="H247:I247"/>
    <mergeCell ref="J247:K247"/>
    <mergeCell ref="H220:I220"/>
    <mergeCell ref="J220:K220"/>
    <mergeCell ref="H232:I232"/>
    <mergeCell ref="J232:K232"/>
    <mergeCell ref="H233:I233"/>
    <mergeCell ref="J233:K233"/>
    <mergeCell ref="H215:I215"/>
    <mergeCell ref="J215:K215"/>
    <mergeCell ref="H216:I216"/>
    <mergeCell ref="J216:K216"/>
    <mergeCell ref="H217:I217"/>
    <mergeCell ref="J217:K217"/>
    <mergeCell ref="H202:I202"/>
    <mergeCell ref="J202:K202"/>
    <mergeCell ref="J205:K205"/>
    <mergeCell ref="H205:I205"/>
    <mergeCell ref="A205:G205"/>
    <mergeCell ref="A209:K209"/>
    <mergeCell ref="J193:K193"/>
    <mergeCell ref="H193:I193"/>
    <mergeCell ref="A193:G193"/>
    <mergeCell ref="A197:K197"/>
    <mergeCell ref="H199:I199"/>
    <mergeCell ref="J199:K199"/>
    <mergeCell ref="H188:I188"/>
    <mergeCell ref="J188:K188"/>
    <mergeCell ref="H189:I189"/>
    <mergeCell ref="J189:K189"/>
    <mergeCell ref="H190:I190"/>
    <mergeCell ref="J190:K190"/>
    <mergeCell ref="H174:I174"/>
    <mergeCell ref="J174:K174"/>
    <mergeCell ref="H175:I175"/>
    <mergeCell ref="J175:K175"/>
    <mergeCell ref="H176:I176"/>
    <mergeCell ref="J176:K176"/>
    <mergeCell ref="H160:I160"/>
    <mergeCell ref="J160:K160"/>
    <mergeCell ref="H161:I161"/>
    <mergeCell ref="J161:K161"/>
    <mergeCell ref="H162:I162"/>
    <mergeCell ref="J162:K162"/>
    <mergeCell ref="H146:I146"/>
    <mergeCell ref="J146:K146"/>
    <mergeCell ref="H147:I147"/>
    <mergeCell ref="J147:K147"/>
    <mergeCell ref="H148:I148"/>
    <mergeCell ref="J148:K148"/>
    <mergeCell ref="H132:I132"/>
    <mergeCell ref="J132:K132"/>
    <mergeCell ref="H133:I133"/>
    <mergeCell ref="J133:K133"/>
    <mergeCell ref="H134:I134"/>
    <mergeCell ref="J134:K134"/>
    <mergeCell ref="H116:I116"/>
    <mergeCell ref="J116:K116"/>
    <mergeCell ref="H117:I117"/>
    <mergeCell ref="J117:K117"/>
    <mergeCell ref="H120:I120"/>
    <mergeCell ref="J120:K120"/>
    <mergeCell ref="H103:I103"/>
    <mergeCell ref="J103:K103"/>
    <mergeCell ref="H106:I106"/>
    <mergeCell ref="J106:K106"/>
    <mergeCell ref="H115:I115"/>
    <mergeCell ref="J115:K115"/>
    <mergeCell ref="H92:I92"/>
    <mergeCell ref="J92:K92"/>
    <mergeCell ref="H101:I101"/>
    <mergeCell ref="J101:K101"/>
    <mergeCell ref="H102:I102"/>
    <mergeCell ref="J102:K102"/>
    <mergeCell ref="H87:I87"/>
    <mergeCell ref="J87:K87"/>
    <mergeCell ref="H88:I88"/>
    <mergeCell ref="J88:K88"/>
    <mergeCell ref="H89:I89"/>
    <mergeCell ref="J89:K89"/>
    <mergeCell ref="H72:I72"/>
    <mergeCell ref="J72:K72"/>
    <mergeCell ref="H73:I73"/>
    <mergeCell ref="J73:K73"/>
    <mergeCell ref="H76:I76"/>
    <mergeCell ref="J76:K76"/>
    <mergeCell ref="H61:I61"/>
    <mergeCell ref="J61:K61"/>
    <mergeCell ref="H62:I62"/>
    <mergeCell ref="J62:K62"/>
    <mergeCell ref="H71:I71"/>
    <mergeCell ref="J71:K71"/>
    <mergeCell ref="H46:I46"/>
    <mergeCell ref="J46:K46"/>
    <mergeCell ref="H49:I49"/>
    <mergeCell ref="J49:K49"/>
    <mergeCell ref="H60:I60"/>
    <mergeCell ref="J60:K60"/>
    <mergeCell ref="A32:K32"/>
    <mergeCell ref="A36:K36"/>
    <mergeCell ref="H44:I44"/>
    <mergeCell ref="J44:K44"/>
    <mergeCell ref="H45:I45"/>
    <mergeCell ref="J45:K45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67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D828-C714-4EF5-8E97-F8076CDC05CF}">
  <sheetPr>
    <pageSetUpPr fitToPage="1"/>
  </sheetPr>
  <dimension ref="A1:AE156"/>
  <sheetViews>
    <sheetView zoomScaleNormal="100" workbookViewId="0">
      <selection activeCell="B15" sqref="B15"/>
    </sheetView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0" width="0" hidden="1" customWidth="1"/>
    <col min="31" max="31" width="114.7109375" hidden="1" customWidth="1"/>
    <col min="32" max="32" width="0" hidden="1" customWidth="1"/>
  </cols>
  <sheetData>
    <row r="1" spans="1:31" x14ac:dyDescent="0.2">
      <c r="A1" s="10" t="str">
        <f>Source!B1</f>
        <v>Smeta.RU  (495) 974-1589</v>
      </c>
    </row>
    <row r="2" spans="1:31" ht="14.25" x14ac:dyDescent="0.2">
      <c r="D2" s="12"/>
      <c r="E2" s="12"/>
    </row>
    <row r="3" spans="1:31" ht="15" x14ac:dyDescent="0.25">
      <c r="D3" s="12"/>
      <c r="E3" s="63" t="s">
        <v>678</v>
      </c>
    </row>
    <row r="4" spans="1:31" ht="15" x14ac:dyDescent="0.25">
      <c r="D4" s="63"/>
      <c r="E4" s="63"/>
    </row>
    <row r="5" spans="1:31" ht="15" x14ac:dyDescent="0.25">
      <c r="D5" s="50" t="s">
        <v>800</v>
      </c>
      <c r="E5" s="50"/>
    </row>
    <row r="6" spans="1:31" ht="15" x14ac:dyDescent="0.25">
      <c r="D6" s="63"/>
      <c r="E6" s="63"/>
    </row>
    <row r="7" spans="1:31" ht="15" x14ac:dyDescent="0.25">
      <c r="D7" s="50" t="s">
        <v>800</v>
      </c>
      <c r="E7" s="50"/>
    </row>
    <row r="8" spans="1:31" ht="15" x14ac:dyDescent="0.25">
      <c r="D8" s="63"/>
      <c r="E8" s="63"/>
    </row>
    <row r="9" spans="1:31" ht="15" x14ac:dyDescent="0.25">
      <c r="D9" s="63" t="s">
        <v>801</v>
      </c>
      <c r="E9" s="12"/>
    </row>
    <row r="10" spans="1:31" ht="14.25" x14ac:dyDescent="0.2">
      <c r="D10" s="12"/>
      <c r="E10" s="12"/>
    </row>
    <row r="12" spans="1:31" ht="15.75" x14ac:dyDescent="0.2">
      <c r="B12" s="68" t="str">
        <f>CONCATENATE("Ведомость объемов работ ", IF(Source!AN15&lt;&gt;"", Source!AN15," "))</f>
        <v xml:space="preserve">Ведомость объемов работ  </v>
      </c>
      <c r="C12" s="68"/>
      <c r="D12" s="68"/>
      <c r="E12" s="68"/>
    </row>
    <row r="13" spans="1:31" ht="45" x14ac:dyDescent="0.2">
      <c r="B13" s="69" t="str">
        <f>CONCATENATE("",Source!G12)</f>
        <v>Капитальный ремонт здания ГБОУ города Москвы «Школа №236» по адресу: город Москва, улица Клязьминская, дом 7, корп. 4</v>
      </c>
      <c r="C13" s="69"/>
      <c r="D13" s="69"/>
      <c r="E13" s="69"/>
      <c r="AE13" s="70" t="str">
        <f>CONCATENATE(Source!F12, " ", Source!G12)</f>
        <v>Новый объект (ТСН-2001 (Мосгосэкспертиза)) Капитальный ремонт здания ГБОУ города Москвы «Школа №236» по адресу: город Москва, улица Клязьминская, дом 7, корп. 4</v>
      </c>
    </row>
    <row r="14" spans="1:31" hidden="1" x14ac:dyDescent="0.2"/>
    <row r="16" spans="1:31" ht="99.75" x14ac:dyDescent="0.2">
      <c r="A16" s="35" t="s">
        <v>693</v>
      </c>
      <c r="B16" s="35" t="s">
        <v>802</v>
      </c>
      <c r="C16" s="35" t="s">
        <v>695</v>
      </c>
      <c r="D16" s="35" t="s">
        <v>803</v>
      </c>
      <c r="E16" s="35" t="s">
        <v>804</v>
      </c>
      <c r="F16" s="35" t="s">
        <v>805</v>
      </c>
      <c r="G16" s="35" t="s">
        <v>806</v>
      </c>
      <c r="H16" s="35" t="s">
        <v>807</v>
      </c>
    </row>
    <row r="17" spans="1:8" ht="14.25" x14ac:dyDescent="0.2">
      <c r="A17" s="35">
        <v>1</v>
      </c>
      <c r="B17" s="35">
        <v>2</v>
      </c>
      <c r="C17" s="35">
        <v>3</v>
      </c>
      <c r="D17" s="35">
        <v>4</v>
      </c>
      <c r="E17" s="35">
        <v>5</v>
      </c>
      <c r="F17" s="35">
        <v>6</v>
      </c>
      <c r="G17" s="35">
        <v>7</v>
      </c>
      <c r="H17" s="35">
        <v>8</v>
      </c>
    </row>
    <row r="18" spans="1:8" ht="16.5" x14ac:dyDescent="0.25">
      <c r="A18" s="71" t="str">
        <f>CONCATENATE("Локальная смета: ", Source!G20)</f>
        <v>Локальная смета: Автоматизация и диспетчеризация инженерных систем.</v>
      </c>
      <c r="B18" s="71"/>
      <c r="C18" s="71"/>
      <c r="D18" s="71"/>
      <c r="E18" s="71"/>
      <c r="F18" s="71"/>
      <c r="G18" s="71"/>
      <c r="H18" s="71"/>
    </row>
    <row r="19" spans="1:8" ht="16.5" x14ac:dyDescent="0.25">
      <c r="A19" s="71" t="str">
        <f>CONCATENATE("Раздел: ", Source!G24)</f>
        <v>Раздел: Система управления и диспетчерского контроля инженерного</v>
      </c>
      <c r="B19" s="71"/>
      <c r="C19" s="71"/>
      <c r="D19" s="71"/>
      <c r="E19" s="71"/>
      <c r="F19" s="71"/>
      <c r="G19" s="71"/>
      <c r="H19" s="71"/>
    </row>
    <row r="20" spans="1:8" ht="14.25" x14ac:dyDescent="0.2">
      <c r="A20" s="35">
        <v>1</v>
      </c>
      <c r="B20" s="35" t="str">
        <f>Source!E28</f>
        <v>1</v>
      </c>
      <c r="C20" s="74" t="str">
        <f>Source!G28</f>
        <v>Установка аппарата настольного массой до 0,03 т</v>
      </c>
      <c r="D20" s="35" t="s">
        <v>21</v>
      </c>
      <c r="E20" s="75">
        <f>Source!I28</f>
        <v>1</v>
      </c>
      <c r="F20" s="35" t="str">
        <f>Source!U24</f>
        <v/>
      </c>
      <c r="G20" s="35">
        <f>Source!I28</f>
        <v>1</v>
      </c>
      <c r="H20" s="74"/>
    </row>
    <row r="21" spans="1:8" ht="14.25" x14ac:dyDescent="0.2">
      <c r="A21" s="35">
        <v>2</v>
      </c>
      <c r="B21" s="35" t="str">
        <f>Source!E30</f>
        <v>2</v>
      </c>
      <c r="C21" s="74" t="str">
        <f>Source!G30</f>
        <v>Моноблок Lenovo V50a-24IMB</v>
      </c>
      <c r="D21" s="35" t="s">
        <v>31</v>
      </c>
      <c r="E21" s="75">
        <f>Source!I30</f>
        <v>1</v>
      </c>
      <c r="F21" s="35" t="str">
        <f>Source!U24</f>
        <v/>
      </c>
      <c r="G21" s="35">
        <f>Source!I30</f>
        <v>1</v>
      </c>
      <c r="H21" s="74"/>
    </row>
    <row r="22" spans="1:8" ht="28.5" x14ac:dyDescent="0.2">
      <c r="A22" s="35">
        <v>3</v>
      </c>
      <c r="B22" s="35" t="str">
        <f>Source!E32</f>
        <v>3</v>
      </c>
      <c r="C22" s="74" t="str">
        <f>Source!G32</f>
        <v>Установка для трубных проводок шкафа настенного размерами до 640х840 мм</v>
      </c>
      <c r="D22" s="35" t="s">
        <v>21</v>
      </c>
      <c r="E22" s="75">
        <f>Source!I32</f>
        <v>1</v>
      </c>
      <c r="F22" s="35" t="str">
        <f>Source!U24</f>
        <v/>
      </c>
      <c r="G22" s="35">
        <f>Source!I32</f>
        <v>1</v>
      </c>
      <c r="H22" s="74"/>
    </row>
    <row r="23" spans="1:8" ht="28.5" x14ac:dyDescent="0.2">
      <c r="A23" s="35">
        <v>3.1</v>
      </c>
      <c r="B23" s="35" t="str">
        <f>Source!E34</f>
        <v>3,1</v>
      </c>
      <c r="C23" s="74" t="str">
        <f>Source!G34</f>
        <v>Щит навесной, с дверцей и замком, степень защиты IР55, размер 600х600х250 мм, металлоконструкция без аппаратов</v>
      </c>
      <c r="D23" s="35" t="s">
        <v>31</v>
      </c>
      <c r="E23" s="75">
        <f>Source!I34</f>
        <v>1</v>
      </c>
      <c r="F23" s="35" t="str">
        <f>Source!U24</f>
        <v/>
      </c>
      <c r="G23" s="35"/>
      <c r="H23" s="74"/>
    </row>
    <row r="24" spans="1:8" ht="28.5" x14ac:dyDescent="0.2">
      <c r="A24" s="35">
        <v>4</v>
      </c>
      <c r="B24" s="35" t="str">
        <f>Source!E36</f>
        <v>4</v>
      </c>
      <c r="C24" s="74" t="str">
        <f>Source!G36</f>
        <v>Установка съемных и выдвижных блоков (модулей, ячеек, ТЭЗ) массой до 5 кг</v>
      </c>
      <c r="D24" s="35" t="s">
        <v>21</v>
      </c>
      <c r="E24" s="75">
        <f>Source!I36</f>
        <v>1</v>
      </c>
      <c r="F24" s="35" t="str">
        <f>Source!U24</f>
        <v/>
      </c>
      <c r="G24" s="35">
        <f>Source!I36</f>
        <v>1</v>
      </c>
      <c r="H24" s="74"/>
    </row>
    <row r="25" spans="1:8" ht="14.25" x14ac:dyDescent="0.2">
      <c r="A25" s="35">
        <v>5</v>
      </c>
      <c r="B25" s="35" t="str">
        <f>Source!E38</f>
        <v>5</v>
      </c>
      <c r="C25" s="74" t="str">
        <f>Source!G38</f>
        <v>Шлюз tGW-715i Segnetics</v>
      </c>
      <c r="D25" s="35" t="s">
        <v>31</v>
      </c>
      <c r="E25" s="75">
        <f>Source!I38</f>
        <v>1</v>
      </c>
      <c r="F25" s="35" t="str">
        <f>Source!U24</f>
        <v/>
      </c>
      <c r="G25" s="35">
        <f>Source!I38</f>
        <v>1</v>
      </c>
      <c r="H25" s="74"/>
    </row>
    <row r="26" spans="1:8" ht="14.25" x14ac:dyDescent="0.2">
      <c r="A26" s="35">
        <v>6</v>
      </c>
      <c r="B26" s="35" t="str">
        <f>Source!E40</f>
        <v>6</v>
      </c>
      <c r="C26" s="74" t="str">
        <f>Source!G40</f>
        <v>Монтаж блока контроля датчиков (контроллер)</v>
      </c>
      <c r="D26" s="35" t="s">
        <v>58</v>
      </c>
      <c r="E26" s="75">
        <f>Source!I40</f>
        <v>0.1</v>
      </c>
      <c r="F26" s="35" t="str">
        <f>Source!U24</f>
        <v/>
      </c>
      <c r="G26" s="35" t="str">
        <f>"=1/"&amp;"10"</f>
        <v>=1/10</v>
      </c>
      <c r="H26" s="74"/>
    </row>
    <row r="27" spans="1:8" ht="14.25" x14ac:dyDescent="0.2">
      <c r="A27" s="35">
        <v>7</v>
      </c>
      <c r="B27" s="35" t="str">
        <f>Source!E42</f>
        <v>7</v>
      </c>
      <c r="C27" s="74" t="str">
        <f>Source!G42</f>
        <v>Контроллер Matrix-2230-70-0 Segnetics</v>
      </c>
      <c r="D27" s="35" t="s">
        <v>31</v>
      </c>
      <c r="E27" s="75">
        <f>Source!I42</f>
        <v>1</v>
      </c>
      <c r="F27" s="35" t="str">
        <f>Source!U24</f>
        <v/>
      </c>
      <c r="G27" s="35">
        <f>Source!I42</f>
        <v>1</v>
      </c>
      <c r="H27" s="74"/>
    </row>
    <row r="28" spans="1:8" ht="28.5" x14ac:dyDescent="0.2">
      <c r="A28" s="35">
        <v>8</v>
      </c>
      <c r="B28" s="35" t="str">
        <f>Source!E44</f>
        <v>8</v>
      </c>
      <c r="C28" s="74" t="str">
        <f>Source!G44</f>
        <v>Установка съемных и выдвижных блоков (модулей, ячеек, ТЭЗ) массой до 5 кг</v>
      </c>
      <c r="D28" s="35" t="s">
        <v>21</v>
      </c>
      <c r="E28" s="75">
        <f>Source!I44</f>
        <v>2</v>
      </c>
      <c r="F28" s="35" t="str">
        <f>Source!U24</f>
        <v/>
      </c>
      <c r="G28" s="35">
        <f>Source!I44</f>
        <v>2</v>
      </c>
      <c r="H28" s="74"/>
    </row>
    <row r="29" spans="1:8" ht="14.25" x14ac:dyDescent="0.2">
      <c r="A29" s="35">
        <v>9</v>
      </c>
      <c r="B29" s="35" t="str">
        <f>Source!E46</f>
        <v>9</v>
      </c>
      <c r="C29" s="74" t="str">
        <f>Source!G46</f>
        <v>модуль сбора сигналов FMR-2222-10-0 Segnetics</v>
      </c>
      <c r="D29" s="35" t="s">
        <v>31</v>
      </c>
      <c r="E29" s="75">
        <f>Source!I46</f>
        <v>2</v>
      </c>
      <c r="F29" s="35" t="str">
        <f>Source!U24</f>
        <v/>
      </c>
      <c r="G29" s="35">
        <f>Source!I46</f>
        <v>2</v>
      </c>
      <c r="H29" s="74"/>
    </row>
    <row r="30" spans="1:8" ht="28.5" x14ac:dyDescent="0.2">
      <c r="A30" s="35">
        <v>10</v>
      </c>
      <c r="B30" s="35" t="str">
        <f>Source!E48</f>
        <v>10</v>
      </c>
      <c r="C30" s="74" t="str">
        <f>Source!G48</f>
        <v>Установка съемных и выдвижных блоков (модулей, ячеек, ТЭЗ) массой до 5 кг</v>
      </c>
      <c r="D30" s="35" t="s">
        <v>21</v>
      </c>
      <c r="E30" s="75">
        <f>Source!I48</f>
        <v>1</v>
      </c>
      <c r="F30" s="35" t="str">
        <f>Source!U24</f>
        <v/>
      </c>
      <c r="G30" s="35">
        <f>Source!I48</f>
        <v>1</v>
      </c>
      <c r="H30" s="74"/>
    </row>
    <row r="31" spans="1:8" ht="14.25" x14ac:dyDescent="0.2">
      <c r="A31" s="35">
        <v>11</v>
      </c>
      <c r="B31" s="35" t="str">
        <f>Source!E50</f>
        <v>11</v>
      </c>
      <c r="C31" s="74" t="str">
        <f>Source!G50</f>
        <v>ИБП SKAT-UPS 1000 Segnetics</v>
      </c>
      <c r="D31" s="35" t="s">
        <v>31</v>
      </c>
      <c r="E31" s="75">
        <f>Source!I50</f>
        <v>1</v>
      </c>
      <c r="F31" s="35" t="str">
        <f>Source!U24</f>
        <v/>
      </c>
      <c r="G31" s="35">
        <f>Source!I50</f>
        <v>1</v>
      </c>
      <c r="H31" s="74"/>
    </row>
    <row r="32" spans="1:8" ht="28.5" x14ac:dyDescent="0.2">
      <c r="A32" s="35">
        <v>12</v>
      </c>
      <c r="B32" s="35" t="str">
        <f>Source!E52</f>
        <v>12</v>
      </c>
      <c r="C32" s="74" t="str">
        <f>Source!G52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32" s="35" t="s">
        <v>77</v>
      </c>
      <c r="E32" s="75">
        <f>Source!I52</f>
        <v>23</v>
      </c>
      <c r="F32" s="35" t="str">
        <f>Source!U24</f>
        <v/>
      </c>
      <c r="G32" s="35" t="str">
        <f>"=2300/"&amp;"100"</f>
        <v>=2300/100</v>
      </c>
      <c r="H32" s="74"/>
    </row>
    <row r="33" spans="1:8" ht="28.5" x14ac:dyDescent="0.2">
      <c r="A33" s="35">
        <v>12.1</v>
      </c>
      <c r="B33" s="35" t="str">
        <f>Source!E54</f>
        <v>12,1</v>
      </c>
      <c r="C33" s="74" t="str">
        <f>Source!G54</f>
        <v>Трубы электротехнические, гофрированные, из ПВХ, негорючие, с зондом, наружный диаметр 20 мм</v>
      </c>
      <c r="D33" s="35" t="s">
        <v>84</v>
      </c>
      <c r="E33" s="75">
        <f>Source!I54</f>
        <v>2346</v>
      </c>
      <c r="F33" s="35" t="str">
        <f>Source!U24</f>
        <v/>
      </c>
      <c r="G33" s="35"/>
      <c r="H33" s="74"/>
    </row>
    <row r="34" spans="1:8" ht="14.25" x14ac:dyDescent="0.2">
      <c r="A34" s="35">
        <v>13</v>
      </c>
      <c r="B34" s="35" t="str">
        <f>Source!E56</f>
        <v>13</v>
      </c>
      <c r="C34" s="74" t="str">
        <f>Source!G56</f>
        <v>Прокладка пластикового кабель-канала по кирпичному основанию</v>
      </c>
      <c r="D34" s="35" t="s">
        <v>77</v>
      </c>
      <c r="E34" s="75">
        <f>Source!I56</f>
        <v>2</v>
      </c>
      <c r="F34" s="35" t="str">
        <f>Source!U24</f>
        <v/>
      </c>
      <c r="G34" s="35" t="str">
        <f>"=200/"&amp;"100"</f>
        <v>=200/100</v>
      </c>
      <c r="H34" s="74"/>
    </row>
    <row r="35" spans="1:8" ht="14.25" x14ac:dyDescent="0.2">
      <c r="A35" s="35">
        <v>13.1</v>
      </c>
      <c r="B35" s="35" t="str">
        <f>Source!E58</f>
        <v>13,1</v>
      </c>
      <c r="C35" s="74" t="str">
        <f>Source!G58</f>
        <v>Кабель-канал, размер 10х15 мм</v>
      </c>
      <c r="D35" s="35" t="s">
        <v>84</v>
      </c>
      <c r="E35" s="75">
        <f>Source!I58</f>
        <v>200</v>
      </c>
      <c r="F35" s="35" t="str">
        <f>Source!U24</f>
        <v/>
      </c>
      <c r="G35" s="35"/>
      <c r="H35" s="74"/>
    </row>
    <row r="36" spans="1:8" ht="42.75" x14ac:dyDescent="0.2">
      <c r="A36" s="35">
        <v>14</v>
      </c>
      <c r="B36" s="35" t="str">
        <f>Source!E60</f>
        <v>14</v>
      </c>
      <c r="C36" s="74" t="str">
        <f>Source!G60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36" s="35" t="s">
        <v>77</v>
      </c>
      <c r="E36" s="75">
        <f>Source!I60</f>
        <v>10</v>
      </c>
      <c r="F36" s="35" t="str">
        <f>Source!U24</f>
        <v/>
      </c>
      <c r="G36" s="35" t="str">
        <f>"=1000/"&amp;"100"</f>
        <v>=1000/100</v>
      </c>
      <c r="H36" s="74"/>
    </row>
    <row r="37" spans="1:8" ht="14.25" x14ac:dyDescent="0.2">
      <c r="A37" s="35">
        <v>14.1</v>
      </c>
      <c r="B37" s="35" t="str">
        <f>Source!E62</f>
        <v>14,1</v>
      </c>
      <c r="C37" s="74" t="str">
        <f>Source!G62</f>
        <v>Кабель КПСЭнг(A)-LSLTx 1х2х0,75</v>
      </c>
      <c r="D37" s="35" t="s">
        <v>101</v>
      </c>
      <c r="E37" s="75">
        <f>Source!I62</f>
        <v>1020</v>
      </c>
      <c r="F37" s="35" t="str">
        <f>Source!U24</f>
        <v/>
      </c>
      <c r="G37" s="35"/>
      <c r="H37" s="74"/>
    </row>
    <row r="38" spans="1:8" ht="42.75" x14ac:dyDescent="0.2">
      <c r="A38" s="35">
        <v>15</v>
      </c>
      <c r="B38" s="35" t="str">
        <f>Source!E64</f>
        <v>15</v>
      </c>
      <c r="C38" s="74" t="str">
        <f>Source!G64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38" s="35" t="s">
        <v>77</v>
      </c>
      <c r="E38" s="75">
        <f>Source!I64</f>
        <v>13</v>
      </c>
      <c r="F38" s="35" t="str">
        <f>Source!U24</f>
        <v/>
      </c>
      <c r="G38" s="35" t="str">
        <f>"=1300/"&amp;"100"</f>
        <v>=1300/100</v>
      </c>
      <c r="H38" s="74"/>
    </row>
    <row r="39" spans="1:8" ht="57" x14ac:dyDescent="0.2">
      <c r="A39" s="35">
        <v>15.1</v>
      </c>
      <c r="B39" s="35" t="str">
        <f>Source!E66</f>
        <v>15,1</v>
      </c>
      <c r="C39" s="74" t="str">
        <f>Source!G66</f>
        <v>Кабель симметричный, парной скрутки, с изоляцией из сплошного полиэтилена, с общим экраном, в оболочке из ПВХ пластиката пониженной пожароопасности, с низким дымо- и газовыделением, марка КИПЭВнг(А)-LS, число пар и сечение жилы 2х2х0,6 мм2</v>
      </c>
      <c r="D39" s="35" t="s">
        <v>108</v>
      </c>
      <c r="E39" s="75">
        <f>Source!I66</f>
        <v>1.3260000000000001</v>
      </c>
      <c r="F39" s="35" t="str">
        <f>Source!U24</f>
        <v/>
      </c>
      <c r="G39" s="35"/>
      <c r="H39" s="74"/>
    </row>
    <row r="40" spans="1:8" ht="14.25" x14ac:dyDescent="0.2">
      <c r="A40" s="35">
        <v>16</v>
      </c>
      <c r="B40" s="35" t="str">
        <f>Source!E70</f>
        <v>16</v>
      </c>
      <c r="C40" s="74" t="str">
        <f>Source!G70</f>
        <v>Прокладка в коробах провода сечением до 6 мм2</v>
      </c>
      <c r="D40" s="35" t="s">
        <v>77</v>
      </c>
      <c r="E40" s="75">
        <f>Source!I70</f>
        <v>2</v>
      </c>
      <c r="F40" s="35" t="str">
        <f>Source!U24</f>
        <v/>
      </c>
      <c r="G40" s="35" t="str">
        <f>"=200/"&amp;"100"</f>
        <v>=200/100</v>
      </c>
      <c r="H40" s="74"/>
    </row>
    <row r="41" spans="1:8" ht="57" x14ac:dyDescent="0.2">
      <c r="A41" s="35">
        <v>16.100000000000001</v>
      </c>
      <c r="B41" s="35" t="str">
        <f>Source!E72</f>
        <v>16,1</v>
      </c>
      <c r="C41" s="74" t="str">
        <f>Source!G72</f>
        <v>Кабель симметричный, парной скрутки, с изоляцией из сплошного полиэтилена, с общим экраном, в оболочке из ПВХ пластиката пониженной пожароопасности, с низким дымо- и газовыделением, марка КИПЭВнг(А)-LS, число пар и сечение жилы 2х2х0,6 мм2</v>
      </c>
      <c r="D41" s="35" t="s">
        <v>108</v>
      </c>
      <c r="E41" s="75">
        <f>Source!I72</f>
        <v>0.20399999999999999</v>
      </c>
      <c r="F41" s="35" t="str">
        <f>Source!U24</f>
        <v/>
      </c>
      <c r="G41" s="35"/>
      <c r="H41" s="74"/>
    </row>
    <row r="42" spans="1:8" ht="16.5" x14ac:dyDescent="0.25">
      <c r="A42" s="71" t="str">
        <f>CONCATENATE("Раздел: ", Source!G105)</f>
        <v>Раздел: Программное обеспечение</v>
      </c>
      <c r="B42" s="71"/>
      <c r="C42" s="71"/>
      <c r="D42" s="71"/>
      <c r="E42" s="71"/>
      <c r="F42" s="71"/>
      <c r="G42" s="71"/>
      <c r="H42" s="71"/>
    </row>
    <row r="43" spans="1:8" ht="28.5" x14ac:dyDescent="0.2">
      <c r="A43" s="35">
        <v>17</v>
      </c>
      <c r="B43" s="35" t="str">
        <f>Source!E109</f>
        <v>17</v>
      </c>
      <c r="C43" s="74" t="str">
        <f>Source!G109</f>
        <v>Исполнительная SCADA-система на 1000 внешних точек ввода-вывода MPS-MSRT4D-1K-S</v>
      </c>
      <c r="D43" s="35" t="s">
        <v>31</v>
      </c>
      <c r="E43" s="75">
        <f>Source!I109</f>
        <v>1</v>
      </c>
      <c r="F43" s="35" t="str">
        <f>Source!U105</f>
        <v/>
      </c>
      <c r="G43" s="35">
        <f>Source!I109</f>
        <v>1</v>
      </c>
      <c r="H43" s="74"/>
    </row>
    <row r="44" spans="1:8" ht="28.5" x14ac:dyDescent="0.2">
      <c r="A44" s="35">
        <v>18</v>
      </c>
      <c r="B44" s="35" t="str">
        <f>Source!E111</f>
        <v>18</v>
      </c>
      <c r="C44" s="74" t="str">
        <f>Source!G111</f>
        <v>OPC-сервер на одно рабочее место на 2500 точек. Universal Master OPC Server</v>
      </c>
      <c r="D44" s="35" t="s">
        <v>31</v>
      </c>
      <c r="E44" s="75">
        <f>Source!I111</f>
        <v>1</v>
      </c>
      <c r="F44" s="35" t="str">
        <f>Source!U105</f>
        <v/>
      </c>
      <c r="G44" s="35">
        <f>Source!I111</f>
        <v>1</v>
      </c>
      <c r="H44" s="74"/>
    </row>
    <row r="45" spans="1:8" ht="16.5" x14ac:dyDescent="0.25">
      <c r="A45" s="71" t="str">
        <f>CONCATENATE("Раздел: ", Source!G144)</f>
        <v>Раздел: Диспетчеризация систем водоснабжения и канализации</v>
      </c>
      <c r="B45" s="71"/>
      <c r="C45" s="71"/>
      <c r="D45" s="71"/>
      <c r="E45" s="71"/>
      <c r="F45" s="71"/>
      <c r="G45" s="71"/>
      <c r="H45" s="71"/>
    </row>
    <row r="46" spans="1:8" ht="14.25" x14ac:dyDescent="0.2">
      <c r="A46" s="35">
        <v>19</v>
      </c>
      <c r="B46" s="35" t="str">
        <f>Source!E148</f>
        <v>19</v>
      </c>
      <c r="C46" s="74" t="str">
        <f>Source!G148</f>
        <v>Монтаж детали на пультах и панелях - реле</v>
      </c>
      <c r="D46" s="35" t="s">
        <v>21</v>
      </c>
      <c r="E46" s="75">
        <f>Source!I148</f>
        <v>2</v>
      </c>
      <c r="F46" s="35" t="str">
        <f>Source!U144</f>
        <v/>
      </c>
      <c r="G46" s="35">
        <f>Source!I148</f>
        <v>2</v>
      </c>
      <c r="H46" s="74"/>
    </row>
    <row r="47" spans="1:8" ht="14.25" x14ac:dyDescent="0.2">
      <c r="A47" s="35">
        <v>20</v>
      </c>
      <c r="B47" s="35" t="str">
        <f>Source!E150</f>
        <v>20</v>
      </c>
      <c r="C47" s="74" t="str">
        <f>Source!G150</f>
        <v>Датчик-реле уровня РОС301</v>
      </c>
      <c r="D47" s="35" t="s">
        <v>31</v>
      </c>
      <c r="E47" s="75">
        <f>Source!I150</f>
        <v>2</v>
      </c>
      <c r="F47" s="35" t="str">
        <f>Source!U144</f>
        <v/>
      </c>
      <c r="G47" s="35">
        <f>Source!I150</f>
        <v>2</v>
      </c>
      <c r="H47" s="74"/>
    </row>
    <row r="48" spans="1:8" ht="28.5" x14ac:dyDescent="0.2">
      <c r="A48" s="35">
        <v>21</v>
      </c>
      <c r="B48" s="35" t="str">
        <f>Source!E152</f>
        <v>21</v>
      </c>
      <c r="C48" s="74" t="str">
        <f>Source!G152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48" s="35" t="s">
        <v>77</v>
      </c>
      <c r="E48" s="75">
        <f>Source!I152</f>
        <v>1</v>
      </c>
      <c r="F48" s="35" t="str">
        <f>Source!U144</f>
        <v/>
      </c>
      <c r="G48" s="35" t="str">
        <f>"=100/"&amp;"100"</f>
        <v>=100/100</v>
      </c>
      <c r="H48" s="74"/>
    </row>
    <row r="49" spans="1:8" ht="28.5" x14ac:dyDescent="0.2">
      <c r="A49" s="35">
        <v>21.1</v>
      </c>
      <c r="B49" s="35" t="str">
        <f>Source!E154</f>
        <v>21,1</v>
      </c>
      <c r="C49" s="74" t="str">
        <f>Source!G154</f>
        <v>Трубы электротехнические, гофрированные, из ПВХ, негорючие, с зондом, наружный диаметр 20 мм</v>
      </c>
      <c r="D49" s="35" t="s">
        <v>84</v>
      </c>
      <c r="E49" s="75">
        <f>Source!I154</f>
        <v>102</v>
      </c>
      <c r="F49" s="35" t="str">
        <f>Source!U144</f>
        <v/>
      </c>
      <c r="G49" s="35"/>
      <c r="H49" s="74"/>
    </row>
    <row r="50" spans="1:8" ht="42.75" x14ac:dyDescent="0.2">
      <c r="A50" s="35">
        <v>22</v>
      </c>
      <c r="B50" s="35" t="str">
        <f>Source!E156</f>
        <v>22</v>
      </c>
      <c r="C50" s="74" t="str">
        <f>Source!G156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50" s="35" t="s">
        <v>77</v>
      </c>
      <c r="E50" s="75">
        <f>Source!I156</f>
        <v>1</v>
      </c>
      <c r="F50" s="35" t="str">
        <f>Source!U144</f>
        <v/>
      </c>
      <c r="G50" s="35" t="str">
        <f>"=100/"&amp;"100"</f>
        <v>=100/100</v>
      </c>
      <c r="H50" s="74"/>
    </row>
    <row r="51" spans="1:8" ht="14.25" x14ac:dyDescent="0.2">
      <c r="A51" s="35">
        <v>22.1</v>
      </c>
      <c r="B51" s="35" t="str">
        <f>Source!E160</f>
        <v>22,2</v>
      </c>
      <c r="C51" s="74" t="str">
        <f>Source!G160</f>
        <v>Кабель КПСнг(A)-LSLTx 1х2х0,75</v>
      </c>
      <c r="D51" s="35" t="s">
        <v>101</v>
      </c>
      <c r="E51" s="75">
        <f>Source!I160</f>
        <v>102</v>
      </c>
      <c r="F51" s="35" t="str">
        <f>Source!U144</f>
        <v/>
      </c>
      <c r="G51" s="35"/>
      <c r="H51" s="74"/>
    </row>
    <row r="52" spans="1:8" ht="16.5" x14ac:dyDescent="0.25">
      <c r="A52" s="71" t="str">
        <f>CONCATENATE("Раздел: ", Source!G193)</f>
        <v>Раздел: Автоматизация противопожарных мероприятий</v>
      </c>
      <c r="B52" s="71"/>
      <c r="C52" s="71"/>
      <c r="D52" s="71"/>
      <c r="E52" s="71"/>
      <c r="F52" s="71"/>
      <c r="G52" s="71"/>
      <c r="H52" s="71"/>
    </row>
    <row r="53" spans="1:8" ht="28.5" x14ac:dyDescent="0.2">
      <c r="A53" s="35">
        <v>23</v>
      </c>
      <c r="B53" s="35" t="str">
        <f>Source!E197</f>
        <v>23</v>
      </c>
      <c r="C53" s="74" t="str">
        <f>Source!G197</f>
        <v>Аппараты приемные, приборы приемно-контрольные объектовые на 2 луча</v>
      </c>
      <c r="D53" s="35" t="s">
        <v>21</v>
      </c>
      <c r="E53" s="75">
        <f>Source!I197</f>
        <v>1</v>
      </c>
      <c r="F53" s="35" t="str">
        <f>Source!U193</f>
        <v/>
      </c>
      <c r="G53" s="35">
        <f>Source!I197</f>
        <v>1</v>
      </c>
      <c r="H53" s="74"/>
    </row>
    <row r="54" spans="1:8" ht="28.5" x14ac:dyDescent="0.2">
      <c r="A54" s="35">
        <v>24</v>
      </c>
      <c r="B54" s="35" t="str">
        <f>Source!E199</f>
        <v>24</v>
      </c>
      <c r="C54" s="74" t="str">
        <f>Source!G199</f>
        <v>Прибор приемно-контрольный и управления охранно-пожарный R3-Рубеж-2ОП</v>
      </c>
      <c r="D54" s="35" t="s">
        <v>31</v>
      </c>
      <c r="E54" s="75">
        <f>Source!I199</f>
        <v>1</v>
      </c>
      <c r="F54" s="35" t="str">
        <f>Source!U193</f>
        <v/>
      </c>
      <c r="G54" s="35">
        <f>Source!I199</f>
        <v>1</v>
      </c>
      <c r="H54" s="74"/>
    </row>
    <row r="55" spans="1:8" ht="28.5" x14ac:dyDescent="0.2">
      <c r="A55" s="35">
        <v>25</v>
      </c>
      <c r="B55" s="35" t="str">
        <f>Source!E201</f>
        <v>25</v>
      </c>
      <c r="C55" s="74" t="str">
        <f>Source!G201</f>
        <v>Установка съемных и выдвижных блоков (модулей, ячеек, ТЭЗ) массой до 5 кг</v>
      </c>
      <c r="D55" s="35" t="s">
        <v>21</v>
      </c>
      <c r="E55" s="75">
        <f>Source!I201</f>
        <v>186</v>
      </c>
      <c r="F55" s="35" t="str">
        <f>Source!U193</f>
        <v/>
      </c>
      <c r="G55" s="35">
        <f>Source!I201</f>
        <v>186</v>
      </c>
      <c r="H55" s="74"/>
    </row>
    <row r="56" spans="1:8" ht="14.25" x14ac:dyDescent="0.2">
      <c r="A56" s="35">
        <v>26</v>
      </c>
      <c r="B56" s="35" t="str">
        <f>Source!E203</f>
        <v>26</v>
      </c>
      <c r="C56" s="74" t="str">
        <f>Source!G203</f>
        <v>Модуль управления клапаном МДУ-1С прот.R3 МДУ-1С-R3</v>
      </c>
      <c r="D56" s="35" t="s">
        <v>31</v>
      </c>
      <c r="E56" s="75">
        <f>Source!I203</f>
        <v>186</v>
      </c>
      <c r="F56" s="35" t="str">
        <f>Source!U193</f>
        <v/>
      </c>
      <c r="G56" s="35">
        <f>Source!I203</f>
        <v>186</v>
      </c>
      <c r="H56" s="74"/>
    </row>
    <row r="57" spans="1:8" ht="14.25" x14ac:dyDescent="0.2">
      <c r="A57" s="35">
        <v>27</v>
      </c>
      <c r="B57" s="35" t="str">
        <f>Source!E205</f>
        <v>27</v>
      </c>
      <c r="C57" s="74" t="str">
        <f>Source!G205</f>
        <v>Аппараты приемные, устройства промежуточные на 1 луч</v>
      </c>
      <c r="D57" s="35" t="s">
        <v>21</v>
      </c>
      <c r="E57" s="75">
        <f>Source!I205</f>
        <v>17</v>
      </c>
      <c r="F57" s="35" t="str">
        <f>Source!U193</f>
        <v/>
      </c>
      <c r="G57" s="35">
        <f>Source!I205</f>
        <v>17</v>
      </c>
      <c r="H57" s="74"/>
    </row>
    <row r="58" spans="1:8" ht="14.25" x14ac:dyDescent="0.2">
      <c r="A58" s="35">
        <v>28</v>
      </c>
      <c r="B58" s="35" t="str">
        <f>Source!E207</f>
        <v>28</v>
      </c>
      <c r="C58" s="74" t="str">
        <f>Source!G207</f>
        <v>Модуль релейный РМ-1К прот.R3 РМ-1К-R3</v>
      </c>
      <c r="D58" s="35" t="s">
        <v>31</v>
      </c>
      <c r="E58" s="75">
        <f>Source!I207</f>
        <v>13</v>
      </c>
      <c r="F58" s="35" t="str">
        <f>Source!U193</f>
        <v/>
      </c>
      <c r="G58" s="35">
        <f>Source!I207</f>
        <v>13</v>
      </c>
      <c r="H58" s="74"/>
    </row>
    <row r="59" spans="1:8" ht="14.25" x14ac:dyDescent="0.2">
      <c r="A59" s="35">
        <v>29</v>
      </c>
      <c r="B59" s="35" t="str">
        <f>Source!E209</f>
        <v>29</v>
      </c>
      <c r="C59" s="74" t="str">
        <f>Source!G209</f>
        <v>Модуль релейный РМ-4 прот.R3 РМ-4-R3</v>
      </c>
      <c r="D59" s="35" t="s">
        <v>31</v>
      </c>
      <c r="E59" s="75">
        <f>Source!I209</f>
        <v>4</v>
      </c>
      <c r="F59" s="35" t="str">
        <f>Source!U193</f>
        <v/>
      </c>
      <c r="G59" s="35">
        <f>Source!I209</f>
        <v>4</v>
      </c>
      <c r="H59" s="74"/>
    </row>
    <row r="60" spans="1:8" ht="14.25" x14ac:dyDescent="0.2">
      <c r="A60" s="35">
        <v>30</v>
      </c>
      <c r="B60" s="35" t="str">
        <f>Source!E211</f>
        <v>30</v>
      </c>
      <c r="C60" s="74" t="str">
        <f>Source!G211</f>
        <v>Монтаж детали на пультах и панелях - кнопка</v>
      </c>
      <c r="D60" s="35" t="s">
        <v>21</v>
      </c>
      <c r="E60" s="75">
        <f>Source!I211</f>
        <v>186</v>
      </c>
      <c r="F60" s="35" t="str">
        <f>Source!U193</f>
        <v/>
      </c>
      <c r="G60" s="35">
        <f>Source!I211</f>
        <v>186</v>
      </c>
      <c r="H60" s="74"/>
    </row>
    <row r="61" spans="1:8" ht="57" x14ac:dyDescent="0.2">
      <c r="A61" s="35">
        <v>31</v>
      </c>
      <c r="B61" s="35" t="str">
        <f>Source!E213</f>
        <v>31</v>
      </c>
      <c r="C61" s="74" t="str">
        <f>Source!G213</f>
        <v>Пост управления кнопочный, типа ПКЕ-212-1У3. Номинальное напряжение переменного тока частотой 50 Гц - 660 В, постоянного тока 440 В, номинальный ток 10 А, форма толкателя цилиндрическая, степень защиты IP40</v>
      </c>
      <c r="D61" s="35" t="s">
        <v>31</v>
      </c>
      <c r="E61" s="75">
        <f>Source!I213</f>
        <v>186</v>
      </c>
      <c r="F61" s="35" t="str">
        <f>Source!U193</f>
        <v/>
      </c>
      <c r="G61" s="35">
        <f>Source!I213</f>
        <v>186</v>
      </c>
      <c r="H61" s="74"/>
    </row>
    <row r="62" spans="1:8" ht="14.25" x14ac:dyDescent="0.2">
      <c r="A62" s="35">
        <v>32</v>
      </c>
      <c r="B62" s="35" t="str">
        <f>Source!E215</f>
        <v>32</v>
      </c>
      <c r="C62" s="74" t="str">
        <f>Source!G215</f>
        <v>Монтаж блока бесперебойного питания (ББП) в диспетчерской</v>
      </c>
      <c r="D62" s="35" t="s">
        <v>21</v>
      </c>
      <c r="E62" s="75">
        <f>Source!I215</f>
        <v>3</v>
      </c>
      <c r="F62" s="35" t="str">
        <f>Source!U193</f>
        <v/>
      </c>
      <c r="G62" s="35">
        <f>Source!I215</f>
        <v>3</v>
      </c>
      <c r="H62" s="74"/>
    </row>
    <row r="63" spans="1:8" ht="28.5" x14ac:dyDescent="0.2">
      <c r="A63" s="35">
        <v>33</v>
      </c>
      <c r="B63" s="35" t="str">
        <f>Source!E217</f>
        <v>33</v>
      </c>
      <c r="C63" s="74" t="str">
        <f>Source!G217</f>
        <v>Источник вторичного электропитания резервирован-ный ИВЭПР 24/2,5 RS-R3</v>
      </c>
      <c r="D63" s="35" t="s">
        <v>31</v>
      </c>
      <c r="E63" s="75">
        <f>Source!I217</f>
        <v>3</v>
      </c>
      <c r="F63" s="35" t="str">
        <f>Source!U193</f>
        <v/>
      </c>
      <c r="G63" s="35">
        <f>Source!I217</f>
        <v>3</v>
      </c>
      <c r="H63" s="74"/>
    </row>
    <row r="64" spans="1:8" ht="28.5" x14ac:dyDescent="0.2">
      <c r="A64" s="35">
        <v>34</v>
      </c>
      <c r="B64" s="35" t="str">
        <f>Source!E221</f>
        <v>34</v>
      </c>
      <c r="C64" s="74" t="str">
        <f>Source!G221</f>
        <v>Монтаж пультов и шкафов управления, шкафа (пульта) управления навесного, высотой, шириной, глубиной до 600х600х350 мм</v>
      </c>
      <c r="D64" s="35" t="s">
        <v>21</v>
      </c>
      <c r="E64" s="75">
        <f>Source!I221</f>
        <v>18</v>
      </c>
      <c r="F64" s="35" t="str">
        <f>Source!U193</f>
        <v/>
      </c>
      <c r="G64" s="35" t="str">
        <f>"=7+"&amp;"5+"&amp;"1+"&amp;"4+"&amp;"1"</f>
        <v>=7+5+1+4+1</v>
      </c>
      <c r="H64" s="74"/>
    </row>
    <row r="65" spans="1:8" ht="28.5" x14ac:dyDescent="0.2">
      <c r="A65" s="35">
        <v>34.1</v>
      </c>
      <c r="B65" s="35" t="str">
        <f>Source!E223</f>
        <v>34,1</v>
      </c>
      <c r="C65" s="74" t="str">
        <f>Source!G223</f>
        <v>Болты стальные оцинкованные с шестигранной головкой, с полной резьбой, с гайкой оцинкованной, М6, длина от 12 до 60 мм</v>
      </c>
      <c r="D65" s="35" t="s">
        <v>249</v>
      </c>
      <c r="E65" s="75">
        <f>Source!I223</f>
        <v>1.8</v>
      </c>
      <c r="F65" s="35" t="str">
        <f>Source!U193</f>
        <v/>
      </c>
      <c r="G65" s="35"/>
      <c r="H65" s="74"/>
    </row>
    <row r="66" spans="1:8" ht="14.25" x14ac:dyDescent="0.2">
      <c r="A66" s="35">
        <v>35</v>
      </c>
      <c r="B66" s="35" t="str">
        <f>Source!E225</f>
        <v>35</v>
      </c>
      <c r="C66" s="74" t="str">
        <f>Source!G225</f>
        <v>Шкаф управления вентилятором ШУВ-3-00-R3</v>
      </c>
      <c r="D66" s="35" t="s">
        <v>31</v>
      </c>
      <c r="E66" s="75">
        <f>Source!I225</f>
        <v>7</v>
      </c>
      <c r="F66" s="35" t="str">
        <f>Source!U193</f>
        <v/>
      </c>
      <c r="G66" s="35">
        <f>Source!I225</f>
        <v>7</v>
      </c>
      <c r="H66" s="74"/>
    </row>
    <row r="67" spans="1:8" ht="14.25" x14ac:dyDescent="0.2">
      <c r="A67" s="35">
        <v>36</v>
      </c>
      <c r="B67" s="35" t="str">
        <f>Source!E227</f>
        <v>36</v>
      </c>
      <c r="C67" s="74" t="str">
        <f>Source!G227</f>
        <v>Шкаф управления вентилятором ШУВ-5.5-00-R3</v>
      </c>
      <c r="D67" s="35" t="s">
        <v>31</v>
      </c>
      <c r="E67" s="75">
        <f>Source!I227</f>
        <v>5</v>
      </c>
      <c r="F67" s="35" t="str">
        <f>Source!U193</f>
        <v/>
      </c>
      <c r="G67" s="35">
        <f>Source!I227</f>
        <v>5</v>
      </c>
      <c r="H67" s="74"/>
    </row>
    <row r="68" spans="1:8" ht="14.25" x14ac:dyDescent="0.2">
      <c r="A68" s="35">
        <v>37</v>
      </c>
      <c r="B68" s="35" t="str">
        <f>Source!E229</f>
        <v>37</v>
      </c>
      <c r="C68" s="74" t="str">
        <f>Source!G229</f>
        <v>Шкаф управления вентилятором ШУВ-22-00-R3</v>
      </c>
      <c r="D68" s="35" t="s">
        <v>31</v>
      </c>
      <c r="E68" s="75">
        <f>Source!I229</f>
        <v>1</v>
      </c>
      <c r="F68" s="35" t="str">
        <f>Source!U193</f>
        <v/>
      </c>
      <c r="G68" s="35">
        <f>Source!I229</f>
        <v>1</v>
      </c>
      <c r="H68" s="74"/>
    </row>
    <row r="69" spans="1:8" ht="14.25" x14ac:dyDescent="0.2">
      <c r="A69" s="35">
        <v>38</v>
      </c>
      <c r="B69" s="35" t="str">
        <f>Source!E231</f>
        <v>38</v>
      </c>
      <c r="C69" s="74" t="str">
        <f>Source!G231</f>
        <v>Шкаф управления вентилятором ШУВ-11-00-R3</v>
      </c>
      <c r="D69" s="35" t="s">
        <v>31</v>
      </c>
      <c r="E69" s="75">
        <f>Source!I231</f>
        <v>4</v>
      </c>
      <c r="F69" s="35" t="str">
        <f>Source!U193</f>
        <v/>
      </c>
      <c r="G69" s="35">
        <f>Source!I231</f>
        <v>4</v>
      </c>
      <c r="H69" s="74"/>
    </row>
    <row r="70" spans="1:8" ht="14.25" x14ac:dyDescent="0.2">
      <c r="A70" s="35">
        <v>39</v>
      </c>
      <c r="B70" s="35" t="str">
        <f>Source!E233</f>
        <v>39</v>
      </c>
      <c r="C70" s="74" t="str">
        <f>Source!G233</f>
        <v>Шкаф управления вентилятором ШУВ-15-00-R3</v>
      </c>
      <c r="D70" s="35" t="s">
        <v>31</v>
      </c>
      <c r="E70" s="75">
        <f>Source!I233</f>
        <v>1</v>
      </c>
      <c r="F70" s="35" t="str">
        <f>Source!U193</f>
        <v/>
      </c>
      <c r="G70" s="35">
        <f>Source!I233</f>
        <v>1</v>
      </c>
      <c r="H70" s="74"/>
    </row>
    <row r="71" spans="1:8" ht="28.5" x14ac:dyDescent="0.2">
      <c r="A71" s="35">
        <v>40</v>
      </c>
      <c r="B71" s="35" t="str">
        <f>Source!E235</f>
        <v>40</v>
      </c>
      <c r="C71" s="74" t="str">
        <f>Source!G235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71" s="35" t="s">
        <v>77</v>
      </c>
      <c r="E71" s="75">
        <f>Source!I235</f>
        <v>24.4</v>
      </c>
      <c r="F71" s="35" t="str">
        <f>Source!U193</f>
        <v/>
      </c>
      <c r="G71" s="35" t="str">
        <f>"=2440/"&amp;"100"</f>
        <v>=2440/100</v>
      </c>
      <c r="H71" s="74"/>
    </row>
    <row r="72" spans="1:8" ht="28.5" x14ac:dyDescent="0.2">
      <c r="A72" s="35">
        <v>40.1</v>
      </c>
      <c r="B72" s="35" t="str">
        <f>Source!E237</f>
        <v>40,1</v>
      </c>
      <c r="C72" s="74" t="str">
        <f>Source!G237</f>
        <v>Трубы электротехнические, гофрированные, из ПВХ, негорючие, с зондом, наружный диаметр 20 мм</v>
      </c>
      <c r="D72" s="35" t="s">
        <v>84</v>
      </c>
      <c r="E72" s="75">
        <f>Source!I237</f>
        <v>2488.8000000000002</v>
      </c>
      <c r="F72" s="35" t="str">
        <f>Source!U193</f>
        <v/>
      </c>
      <c r="G72" s="35"/>
      <c r="H72" s="74"/>
    </row>
    <row r="73" spans="1:8" ht="42.75" x14ac:dyDescent="0.2">
      <c r="A73" s="35">
        <v>41</v>
      </c>
      <c r="B73" s="35" t="str">
        <f>Source!E239</f>
        <v>41</v>
      </c>
      <c r="C73" s="74" t="str">
        <f>Source!G239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73" s="35" t="s">
        <v>77</v>
      </c>
      <c r="E73" s="75">
        <f>Source!I239</f>
        <v>15</v>
      </c>
      <c r="F73" s="35" t="str">
        <f>Source!U193</f>
        <v/>
      </c>
      <c r="G73" s="35" t="str">
        <f>"=1500/"&amp;"100"</f>
        <v>=1500/100</v>
      </c>
      <c r="H73" s="74"/>
    </row>
    <row r="74" spans="1:8" ht="57" x14ac:dyDescent="0.2">
      <c r="A74" s="35">
        <v>41.1</v>
      </c>
      <c r="B74" s="35" t="str">
        <f>Source!E241</f>
        <v>41,1</v>
      </c>
      <c r="C74" s="74" t="str">
        <f>Source!G241</f>
        <v>Кабель симметричный для систем охраны и противопожарной защиты огнестойкий, групповой прокладки, с пониженным дымо- и газовыделением, марка КПСнг(А)-FRLS, напряжение 300 В, число пар и сечение жил 1х2х0,75 мм2</v>
      </c>
      <c r="D74" s="35" t="s">
        <v>108</v>
      </c>
      <c r="E74" s="75">
        <f>Source!I241</f>
        <v>1.5449999999999999</v>
      </c>
      <c r="F74" s="35" t="str">
        <f>Source!U193</f>
        <v/>
      </c>
      <c r="G74" s="35"/>
      <c r="H74" s="74"/>
    </row>
    <row r="75" spans="1:8" ht="42.75" x14ac:dyDescent="0.2">
      <c r="A75" s="35">
        <v>42</v>
      </c>
      <c r="B75" s="35" t="str">
        <f>Source!E243</f>
        <v>42</v>
      </c>
      <c r="C75" s="74" t="str">
        <f>Source!G243</f>
        <v>Затягивание провода в проложенные трубы и металлические рукава, первого одножильного или многожильного в общей оплетке, суммарное сечение до 6 мм2</v>
      </c>
      <c r="D75" s="35" t="s">
        <v>77</v>
      </c>
      <c r="E75" s="75">
        <f>Source!I243</f>
        <v>9.4</v>
      </c>
      <c r="F75" s="35" t="str">
        <f>Source!U193</f>
        <v/>
      </c>
      <c r="G75" s="35" t="str">
        <f>"=940/"&amp;"100"</f>
        <v>=940/100</v>
      </c>
      <c r="H75" s="74"/>
    </row>
    <row r="76" spans="1:8" ht="14.25" x14ac:dyDescent="0.2">
      <c r="A76" s="35">
        <v>42.1</v>
      </c>
      <c r="B76" s="35" t="str">
        <f>Source!E245</f>
        <v>42,1</v>
      </c>
      <c r="C76" s="74" t="str">
        <f>Source!G245</f>
        <v>Кабель КПСнг(А)-FRLSLTx 2х2x0.75</v>
      </c>
      <c r="D76" s="35" t="s">
        <v>101</v>
      </c>
      <c r="E76" s="75">
        <f>Source!I245</f>
        <v>958.8</v>
      </c>
      <c r="F76" s="35" t="str">
        <f>Source!U193</f>
        <v/>
      </c>
      <c r="G76" s="35"/>
      <c r="H76" s="74"/>
    </row>
    <row r="77" spans="1:8" ht="16.5" x14ac:dyDescent="0.25">
      <c r="A77" s="71" t="str">
        <f>CONCATENATE("Раздел: ", Source!G278)</f>
        <v>Раздел: Автоматизация систем общеобменной вентиляции</v>
      </c>
      <c r="B77" s="71"/>
      <c r="C77" s="71"/>
      <c r="D77" s="71"/>
      <c r="E77" s="71"/>
      <c r="F77" s="71"/>
      <c r="G77" s="71"/>
      <c r="H77" s="71"/>
    </row>
    <row r="78" spans="1:8" ht="28.5" x14ac:dyDescent="0.2">
      <c r="A78" s="35">
        <v>43</v>
      </c>
      <c r="B78" s="35" t="str">
        <f>Source!E282</f>
        <v>43</v>
      </c>
      <c r="C78" s="74" t="str">
        <f>Source!G282</f>
        <v>Установка прибора массой до 5 кг на металлоконструкциях или щитах/термостат</v>
      </c>
      <c r="D78" s="35" t="s">
        <v>21</v>
      </c>
      <c r="E78" s="75">
        <f>Source!I282</f>
        <v>13</v>
      </c>
      <c r="F78" s="35" t="str">
        <f>Source!U278</f>
        <v/>
      </c>
      <c r="G78" s="35" t="str">
        <f>"=2+"&amp;"6+"&amp;"5"</f>
        <v>=2+6+5</v>
      </c>
      <c r="H78" s="74"/>
    </row>
    <row r="79" spans="1:8" ht="14.25" x14ac:dyDescent="0.2">
      <c r="A79" s="35">
        <v>43.1</v>
      </c>
      <c r="B79" s="35" t="str">
        <f>Source!E284</f>
        <v>43,1</v>
      </c>
      <c r="C79" s="74" t="str">
        <f>Source!G284</f>
        <v>Болты строительные с гайками, оцинкованные, М10х100 мм</v>
      </c>
      <c r="D79" s="35" t="s">
        <v>291</v>
      </c>
      <c r="E79" s="75">
        <f>Source!I284</f>
        <v>4.5499999999999995E-4</v>
      </c>
      <c r="F79" s="35" t="str">
        <f>Source!U278</f>
        <v/>
      </c>
      <c r="G79" s="35"/>
      <c r="H79" s="74"/>
    </row>
    <row r="80" spans="1:8" ht="14.25" x14ac:dyDescent="0.2">
      <c r="A80" s="35">
        <v>44</v>
      </c>
      <c r="B80" s="35" t="str">
        <f>Source!E286</f>
        <v>44</v>
      </c>
      <c r="C80" s="74" t="str">
        <f>Source!G286</f>
        <v>Термостат 1м КР61</v>
      </c>
      <c r="D80" s="35" t="s">
        <v>31</v>
      </c>
      <c r="E80" s="75">
        <f>Source!I286</f>
        <v>2</v>
      </c>
      <c r="F80" s="35" t="str">
        <f>Source!U278</f>
        <v/>
      </c>
      <c r="G80" s="35">
        <f>Source!I286</f>
        <v>2</v>
      </c>
      <c r="H80" s="74"/>
    </row>
    <row r="81" spans="1:8" ht="14.25" x14ac:dyDescent="0.2">
      <c r="A81" s="35">
        <v>45</v>
      </c>
      <c r="B81" s="35" t="str">
        <f>Source!E288</f>
        <v>45</v>
      </c>
      <c r="C81" s="74" t="str">
        <f>Source!G288</f>
        <v>Термостат 3м КР61</v>
      </c>
      <c r="D81" s="35" t="s">
        <v>31</v>
      </c>
      <c r="E81" s="75">
        <f>Source!I288</f>
        <v>6</v>
      </c>
      <c r="F81" s="35" t="str">
        <f>Source!U278</f>
        <v/>
      </c>
      <c r="G81" s="35">
        <f>Source!I288</f>
        <v>6</v>
      </c>
      <c r="H81" s="74"/>
    </row>
    <row r="82" spans="1:8" ht="14.25" x14ac:dyDescent="0.2">
      <c r="A82" s="35">
        <v>46</v>
      </c>
      <c r="B82" s="35" t="str">
        <f>Source!E290</f>
        <v>46</v>
      </c>
      <c r="C82" s="74" t="str">
        <f>Source!G290</f>
        <v>Термостат 6м КР61</v>
      </c>
      <c r="D82" s="35" t="s">
        <v>31</v>
      </c>
      <c r="E82" s="75">
        <f>Source!I290</f>
        <v>5</v>
      </c>
      <c r="F82" s="35" t="str">
        <f>Source!U278</f>
        <v/>
      </c>
      <c r="G82" s="35">
        <f>Source!I290</f>
        <v>5</v>
      </c>
      <c r="H82" s="74"/>
    </row>
    <row r="83" spans="1:8" ht="42.75" x14ac:dyDescent="0.2">
      <c r="A83" s="35">
        <v>47</v>
      </c>
      <c r="B83" s="35" t="str">
        <f>Source!E292</f>
        <v>47</v>
      </c>
      <c r="C83" s="74" t="str">
        <f>Source!G292</f>
        <v>Установка прибора на резьбовых соединениях/Датчик температуры канальный, Датчик температуры воды погружной, Датчик перепада давления 500 Pa, Датчик температуры</v>
      </c>
      <c r="D83" s="35" t="s">
        <v>21</v>
      </c>
      <c r="E83" s="75">
        <f>Source!I292</f>
        <v>122</v>
      </c>
      <c r="F83" s="35" t="str">
        <f>Source!U278</f>
        <v/>
      </c>
      <c r="G83" s="35" t="str">
        <f>"=11+"&amp;"4+"&amp;"13+"&amp;"11+"&amp;"2+"&amp;"33+"&amp;"48"</f>
        <v>=11+4+13+11+2+33+48</v>
      </c>
      <c r="H83" s="74"/>
    </row>
    <row r="84" spans="1:8" ht="14.25" x14ac:dyDescent="0.2">
      <c r="A84" s="35">
        <v>48</v>
      </c>
      <c r="B84" s="35" t="str">
        <f>Source!E294</f>
        <v>48</v>
      </c>
      <c r="C84" s="74" t="str">
        <f>Source!G294</f>
        <v>Датчик температуры канальный ARK-3</v>
      </c>
      <c r="D84" s="35" t="s">
        <v>31</v>
      </c>
      <c r="E84" s="75">
        <f>Source!I294</f>
        <v>11</v>
      </c>
      <c r="F84" s="35" t="str">
        <f>Source!U278</f>
        <v/>
      </c>
      <c r="G84" s="35">
        <f>Source!I294</f>
        <v>11</v>
      </c>
      <c r="H84" s="74"/>
    </row>
    <row r="85" spans="1:8" ht="14.25" x14ac:dyDescent="0.2">
      <c r="A85" s="35">
        <v>49</v>
      </c>
      <c r="B85" s="35" t="str">
        <f>Source!E296</f>
        <v>49</v>
      </c>
      <c r="C85" s="74" t="str">
        <f>Source!G296</f>
        <v>Датчик температуры канальный ARK-3S</v>
      </c>
      <c r="D85" s="35" t="s">
        <v>31</v>
      </c>
      <c r="E85" s="75">
        <f>Source!I296</f>
        <v>4</v>
      </c>
      <c r="F85" s="35" t="str">
        <f>Source!U278</f>
        <v/>
      </c>
      <c r="G85" s="35">
        <f>Source!I296</f>
        <v>4</v>
      </c>
      <c r="H85" s="74"/>
    </row>
    <row r="86" spans="1:8" ht="14.25" x14ac:dyDescent="0.2">
      <c r="A86" s="35">
        <v>50</v>
      </c>
      <c r="B86" s="35" t="str">
        <f>Source!E298</f>
        <v>50</v>
      </c>
      <c r="C86" s="74" t="str">
        <f>Source!G298</f>
        <v>Датчик температуры наружного воздуха ARN-3</v>
      </c>
      <c r="D86" s="35" t="s">
        <v>31</v>
      </c>
      <c r="E86" s="75">
        <f>Source!I298</f>
        <v>13</v>
      </c>
      <c r="F86" s="35" t="str">
        <f>Source!U278</f>
        <v/>
      </c>
      <c r="G86" s="35">
        <f>Source!I298</f>
        <v>13</v>
      </c>
      <c r="H86" s="74"/>
    </row>
    <row r="87" spans="1:8" ht="14.25" x14ac:dyDescent="0.2">
      <c r="A87" s="35">
        <v>51</v>
      </c>
      <c r="B87" s="35" t="str">
        <f>Source!E300</f>
        <v>51</v>
      </c>
      <c r="C87" s="74" t="str">
        <f>Source!G300</f>
        <v>Датчик температуры воды погружной WTP-3</v>
      </c>
      <c r="D87" s="35" t="s">
        <v>31</v>
      </c>
      <c r="E87" s="75">
        <f>Source!I300</f>
        <v>11</v>
      </c>
      <c r="F87" s="35" t="str">
        <f>Source!U278</f>
        <v/>
      </c>
      <c r="G87" s="35">
        <f>Source!I300</f>
        <v>11</v>
      </c>
      <c r="H87" s="74"/>
    </row>
    <row r="88" spans="1:8" ht="14.25" x14ac:dyDescent="0.2">
      <c r="A88" s="35">
        <v>52</v>
      </c>
      <c r="B88" s="35" t="str">
        <f>Source!E302</f>
        <v>52</v>
      </c>
      <c r="C88" s="74" t="str">
        <f>Source!G302</f>
        <v>Датчик температуры воды накладной WTN-3</v>
      </c>
      <c r="D88" s="35" t="s">
        <v>31</v>
      </c>
      <c r="E88" s="75">
        <f>Source!I302</f>
        <v>2</v>
      </c>
      <c r="F88" s="35" t="str">
        <f>Source!U278</f>
        <v/>
      </c>
      <c r="G88" s="35">
        <f>Source!I302</f>
        <v>2</v>
      </c>
      <c r="H88" s="74"/>
    </row>
    <row r="89" spans="1:8" ht="14.25" x14ac:dyDescent="0.2">
      <c r="A89" s="35">
        <v>53</v>
      </c>
      <c r="B89" s="35" t="str">
        <f>Source!E304</f>
        <v>53</v>
      </c>
      <c r="C89" s="74" t="str">
        <f>Source!G304</f>
        <v>Датчик перепада давления 500 Pa DVL-500</v>
      </c>
      <c r="D89" s="35" t="s">
        <v>31</v>
      </c>
      <c r="E89" s="75">
        <f>Source!I304</f>
        <v>33</v>
      </c>
      <c r="F89" s="35" t="str">
        <f>Source!U278</f>
        <v/>
      </c>
      <c r="G89" s="35">
        <f>Source!I304</f>
        <v>33</v>
      </c>
      <c r="H89" s="74"/>
    </row>
    <row r="90" spans="1:8" ht="14.25" x14ac:dyDescent="0.2">
      <c r="A90" s="35">
        <v>54</v>
      </c>
      <c r="B90" s="35" t="str">
        <f>Source!E306</f>
        <v>54</v>
      </c>
      <c r="C90" s="74" t="str">
        <f>Source!G306</f>
        <v>Датчик перепада давления 200 Pa DVL-200</v>
      </c>
      <c r="D90" s="35" t="s">
        <v>31</v>
      </c>
      <c r="E90" s="75">
        <f>Source!I306</f>
        <v>48</v>
      </c>
      <c r="F90" s="35" t="str">
        <f>Source!U278</f>
        <v/>
      </c>
      <c r="G90" s="35">
        <f>Source!I306</f>
        <v>48</v>
      </c>
      <c r="H90" s="74"/>
    </row>
    <row r="91" spans="1:8" ht="14.25" x14ac:dyDescent="0.2">
      <c r="A91" s="35">
        <v>55</v>
      </c>
      <c r="B91" s="35" t="str">
        <f>Source!E308</f>
        <v>55</v>
      </c>
      <c r="C91" s="74" t="str">
        <f>Source!G308</f>
        <v>Монтаж механизма исполнительного массой до 20 кг/привод</v>
      </c>
      <c r="D91" s="35" t="s">
        <v>21</v>
      </c>
      <c r="E91" s="75">
        <f>Source!I308</f>
        <v>69</v>
      </c>
      <c r="F91" s="35" t="str">
        <f>Source!U278</f>
        <v/>
      </c>
      <c r="G91" s="35" t="str">
        <f>"=9+"&amp;"43+"&amp;"9+"&amp;"2+"&amp;"6"</f>
        <v>=9+43+9+2+6</v>
      </c>
      <c r="H91" s="74"/>
    </row>
    <row r="92" spans="1:8" ht="28.5" x14ac:dyDescent="0.2">
      <c r="A92" s="35">
        <v>55.1</v>
      </c>
      <c r="B92" s="35" t="str">
        <f>Source!E310</f>
        <v>55,1</v>
      </c>
      <c r="C92" s="74" t="str">
        <f>Source!G310</f>
        <v>Болты стальные оцинкованные с шестигранной головкой, с полной резьбой, с гайкой оцинкованной, М6, длина от 12 до 60 мм</v>
      </c>
      <c r="D92" s="35" t="s">
        <v>249</v>
      </c>
      <c r="E92" s="75">
        <f>Source!I310</f>
        <v>2.2079999999999999E-2</v>
      </c>
      <c r="F92" s="35" t="str">
        <f>Source!U278</f>
        <v/>
      </c>
      <c r="G92" s="35"/>
      <c r="H92" s="74"/>
    </row>
    <row r="93" spans="1:8" ht="14.25" x14ac:dyDescent="0.2">
      <c r="A93" s="35">
        <v>56</v>
      </c>
      <c r="B93" s="35" t="str">
        <f>Source!E312</f>
        <v>56</v>
      </c>
      <c r="C93" s="74" t="str">
        <f>Source!G312</f>
        <v>Привод PDF 05/230.D</v>
      </c>
      <c r="D93" s="35" t="s">
        <v>31</v>
      </c>
      <c r="E93" s="75">
        <f>Source!I312</f>
        <v>9</v>
      </c>
      <c r="F93" s="35" t="str">
        <f>Source!U278</f>
        <v/>
      </c>
      <c r="G93" s="35">
        <f>Source!I312</f>
        <v>9</v>
      </c>
      <c r="H93" s="74"/>
    </row>
    <row r="94" spans="1:8" ht="14.25" x14ac:dyDescent="0.2">
      <c r="A94" s="35">
        <v>57</v>
      </c>
      <c r="B94" s="35" t="str">
        <f>Source!E314</f>
        <v>57</v>
      </c>
      <c r="C94" s="74" t="str">
        <f>Source!G314</f>
        <v>Привод PFF 03/230.D</v>
      </c>
      <c r="D94" s="35" t="s">
        <v>31</v>
      </c>
      <c r="E94" s="75">
        <f>Source!I314</f>
        <v>43</v>
      </c>
      <c r="F94" s="35" t="str">
        <f>Source!U278</f>
        <v/>
      </c>
      <c r="G94" s="35">
        <f>Source!I314</f>
        <v>43</v>
      </c>
      <c r="H94" s="74"/>
    </row>
    <row r="95" spans="1:8" ht="14.25" x14ac:dyDescent="0.2">
      <c r="A95" s="35">
        <v>58</v>
      </c>
      <c r="B95" s="35" t="str">
        <f>Source!E316</f>
        <v>58</v>
      </c>
      <c r="C95" s="74" t="str">
        <f>Source!G316</f>
        <v>Привод ELVA 05/24.M</v>
      </c>
      <c r="D95" s="35" t="s">
        <v>31</v>
      </c>
      <c r="E95" s="75">
        <f>Source!I316</f>
        <v>9</v>
      </c>
      <c r="F95" s="35" t="str">
        <f>Source!U278</f>
        <v/>
      </c>
      <c r="G95" s="35">
        <f>Source!I316</f>
        <v>9</v>
      </c>
      <c r="H95" s="74"/>
    </row>
    <row r="96" spans="1:8" ht="14.25" x14ac:dyDescent="0.2">
      <c r="A96" s="35">
        <v>59</v>
      </c>
      <c r="B96" s="35" t="str">
        <f>Source!E318</f>
        <v>59</v>
      </c>
      <c r="C96" s="74" t="str">
        <f>Source!G318</f>
        <v>Привод PFF 10/230.D</v>
      </c>
      <c r="D96" s="35" t="s">
        <v>31</v>
      </c>
      <c r="E96" s="75">
        <f>Source!I318</f>
        <v>2</v>
      </c>
      <c r="F96" s="35" t="str">
        <f>Source!U278</f>
        <v/>
      </c>
      <c r="G96" s="35">
        <f>Source!I318</f>
        <v>2</v>
      </c>
      <c r="H96" s="74"/>
    </row>
    <row r="97" spans="1:8" ht="14.25" x14ac:dyDescent="0.2">
      <c r="A97" s="35">
        <v>60</v>
      </c>
      <c r="B97" s="35" t="str">
        <f>Source!E320</f>
        <v>60</v>
      </c>
      <c r="C97" s="74" t="str">
        <f>Source!G320</f>
        <v>Привод PFS 05/230.DT</v>
      </c>
      <c r="D97" s="35" t="s">
        <v>31</v>
      </c>
      <c r="E97" s="75">
        <f>Source!I320</f>
        <v>6</v>
      </c>
      <c r="F97" s="35" t="str">
        <f>Source!U278</f>
        <v/>
      </c>
      <c r="G97" s="35">
        <f>Source!I320</f>
        <v>6</v>
      </c>
      <c r="H97" s="74"/>
    </row>
    <row r="98" spans="1:8" ht="16.5" x14ac:dyDescent="0.25">
      <c r="A98" s="71" t="str">
        <f>CONCATENATE("Раздел: ", Source!G353)</f>
        <v>Раздел: Аппаратура в щитах автоматизации</v>
      </c>
      <c r="B98" s="71"/>
      <c r="C98" s="71"/>
      <c r="D98" s="71"/>
      <c r="E98" s="71"/>
      <c r="F98" s="71"/>
      <c r="G98" s="71"/>
      <c r="H98" s="71"/>
    </row>
    <row r="99" spans="1:8" ht="28.5" x14ac:dyDescent="0.2">
      <c r="A99" s="35">
        <v>61</v>
      </c>
      <c r="B99" s="35" t="str">
        <f>Source!E357</f>
        <v>61</v>
      </c>
      <c r="C99" s="74" t="str">
        <f>Source!G357</f>
        <v>Монтаж щитов и пультов массой до 50кг</v>
      </c>
      <c r="D99" s="35" t="s">
        <v>21</v>
      </c>
      <c r="E99" s="75">
        <f>Source!I357</f>
        <v>63</v>
      </c>
      <c r="F99" s="35" t="str">
        <f>Source!U353</f>
        <v/>
      </c>
      <c r="G99" s="35" t="str">
        <f>"=3+"&amp;"12+"&amp;"35+"&amp;"1+"&amp;"2+"&amp;"2+"&amp;"8"</f>
        <v>=3+12+35+1+2+2+8</v>
      </c>
      <c r="H99" s="74"/>
    </row>
    <row r="100" spans="1:8" ht="14.25" x14ac:dyDescent="0.2">
      <c r="A100" s="35">
        <v>62</v>
      </c>
      <c r="B100" s="35" t="str">
        <f>Source!E361</f>
        <v>62</v>
      </c>
      <c r="C100" s="74" t="str">
        <f>Source!G361</f>
        <v>Блок управления ACW ZE-3R0</v>
      </c>
      <c r="D100" s="35" t="s">
        <v>31</v>
      </c>
      <c r="E100" s="75">
        <f>Source!I361</f>
        <v>3</v>
      </c>
      <c r="F100" s="35" t="str">
        <f>Source!U353</f>
        <v/>
      </c>
      <c r="G100" s="35">
        <f>Source!I361</f>
        <v>3</v>
      </c>
      <c r="H100" s="74"/>
    </row>
    <row r="101" spans="1:8" ht="14.25" x14ac:dyDescent="0.2">
      <c r="A101" s="35">
        <v>63</v>
      </c>
      <c r="B101" s="35" t="str">
        <f>Source!E363</f>
        <v>63</v>
      </c>
      <c r="C101" s="74" t="str">
        <f>Source!G363</f>
        <v>Блок управления ACW ZE-1R0</v>
      </c>
      <c r="D101" s="35" t="s">
        <v>31</v>
      </c>
      <c r="E101" s="75">
        <f>Source!I363</f>
        <v>12</v>
      </c>
      <c r="F101" s="35" t="str">
        <f>Source!U353</f>
        <v/>
      </c>
      <c r="G101" s="35">
        <f>Source!I363</f>
        <v>12</v>
      </c>
      <c r="H101" s="74"/>
    </row>
    <row r="102" spans="1:8" ht="14.25" x14ac:dyDescent="0.2">
      <c r="A102" s="35">
        <v>64</v>
      </c>
      <c r="B102" s="35" t="str">
        <f>Source!E365</f>
        <v>64</v>
      </c>
      <c r="C102" s="74" t="str">
        <f>Source!G365</f>
        <v>Блок управления ACW ZE-10</v>
      </c>
      <c r="D102" s="35" t="s">
        <v>31</v>
      </c>
      <c r="E102" s="75">
        <f>Source!I365</f>
        <v>35</v>
      </c>
      <c r="F102" s="35" t="str">
        <f>Source!U353</f>
        <v/>
      </c>
      <c r="G102" s="35">
        <f>Source!I365</f>
        <v>35</v>
      </c>
      <c r="H102" s="74"/>
    </row>
    <row r="103" spans="1:8" ht="14.25" x14ac:dyDescent="0.2">
      <c r="A103" s="35">
        <v>65</v>
      </c>
      <c r="B103" s="35" t="str">
        <f>Source!E367</f>
        <v>65</v>
      </c>
      <c r="C103" s="74" t="str">
        <f>Source!G367</f>
        <v>Блок управления ACW ZE-3R0 1H25</v>
      </c>
      <c r="D103" s="35" t="s">
        <v>31</v>
      </c>
      <c r="E103" s="75">
        <f>Source!I367</f>
        <v>1</v>
      </c>
      <c r="F103" s="35" t="str">
        <f>Source!U353</f>
        <v/>
      </c>
      <c r="G103" s="35">
        <f>Source!I367</f>
        <v>1</v>
      </c>
      <c r="H103" s="74"/>
    </row>
    <row r="104" spans="1:8" ht="14.25" x14ac:dyDescent="0.2">
      <c r="A104" s="35">
        <v>66</v>
      </c>
      <c r="B104" s="35" t="str">
        <f>Source!E369</f>
        <v>66</v>
      </c>
      <c r="C104" s="74" t="str">
        <f>Source!G369</f>
        <v>Блок управления ACW ZE-1R0 ED</v>
      </c>
      <c r="D104" s="35" t="s">
        <v>31</v>
      </c>
      <c r="E104" s="75">
        <f>Source!I369</f>
        <v>2</v>
      </c>
      <c r="F104" s="35" t="str">
        <f>Source!U353</f>
        <v/>
      </c>
      <c r="G104" s="35">
        <f>Source!I369</f>
        <v>2</v>
      </c>
      <c r="H104" s="74"/>
    </row>
    <row r="105" spans="1:8" ht="14.25" x14ac:dyDescent="0.2">
      <c r="A105" s="35">
        <v>67</v>
      </c>
      <c r="B105" s="35" t="str">
        <f>Source!E371</f>
        <v>67</v>
      </c>
      <c r="C105" s="74" t="str">
        <f>Source!G371</f>
        <v>Блок управления ACE ZE-E3</v>
      </c>
      <c r="D105" s="35" t="s">
        <v>31</v>
      </c>
      <c r="E105" s="75">
        <f>Source!I371</f>
        <v>2</v>
      </c>
      <c r="F105" s="35" t="str">
        <f>Source!U353</f>
        <v/>
      </c>
      <c r="G105" s="35">
        <f>Source!I371</f>
        <v>2</v>
      </c>
      <c r="H105" s="74"/>
    </row>
    <row r="106" spans="1:8" ht="14.25" x14ac:dyDescent="0.2">
      <c r="A106" s="35">
        <v>68</v>
      </c>
      <c r="B106" s="35" t="str">
        <f>Source!E373</f>
        <v>68</v>
      </c>
      <c r="C106" s="74" t="str">
        <f>Source!G373</f>
        <v>Блок управления ACW ZE-11</v>
      </c>
      <c r="D106" s="35" t="s">
        <v>31</v>
      </c>
      <c r="E106" s="75">
        <f>Source!I373</f>
        <v>8</v>
      </c>
      <c r="F106" s="35" t="str">
        <f>Source!U353</f>
        <v/>
      </c>
      <c r="G106" s="35">
        <f>Source!I373</f>
        <v>8</v>
      </c>
      <c r="H106" s="74"/>
    </row>
    <row r="107" spans="1:8" ht="14.25" x14ac:dyDescent="0.2">
      <c r="A107" s="35">
        <v>69</v>
      </c>
      <c r="B107" s="35" t="str">
        <f>Source!E375</f>
        <v>69</v>
      </c>
      <c r="C107" s="74" t="str">
        <f>Source!G375</f>
        <v>Установка прибора массой до 5 кг на металлоконструкциях или щитах</v>
      </c>
      <c r="D107" s="35" t="s">
        <v>21</v>
      </c>
      <c r="E107" s="75">
        <f>Source!I375</f>
        <v>18</v>
      </c>
      <c r="F107" s="35" t="str">
        <f>Source!U353</f>
        <v/>
      </c>
      <c r="G107" s="35" t="str">
        <f>"=2+"&amp;"8+"&amp;"1+"&amp;"2+"&amp;"5"</f>
        <v>=2+8+1+2+5</v>
      </c>
      <c r="H107" s="74"/>
    </row>
    <row r="108" spans="1:8" ht="28.5" x14ac:dyDescent="0.2">
      <c r="A108" s="35">
        <v>69.099999999999994</v>
      </c>
      <c r="B108" s="35" t="str">
        <f>Source!E377</f>
        <v>69,1</v>
      </c>
      <c r="C108" s="74" t="str">
        <f>Source!G377</f>
        <v>Болты стальные оцинкованные с шестигранной головкой, с полной резьбой, с гайкой оцинкованной, М6, длина от 12 до 60 мм</v>
      </c>
      <c r="D108" s="35" t="s">
        <v>249</v>
      </c>
      <c r="E108" s="75">
        <f>Source!I377</f>
        <v>0.63000000000000012</v>
      </c>
      <c r="F108" s="35" t="str">
        <f>Source!U353</f>
        <v/>
      </c>
      <c r="G108" s="35"/>
      <c r="H108" s="74"/>
    </row>
    <row r="109" spans="1:8" ht="14.25" x14ac:dyDescent="0.2">
      <c r="A109" s="35">
        <v>70</v>
      </c>
      <c r="B109" s="35" t="str">
        <f>Source!E379</f>
        <v>70</v>
      </c>
      <c r="C109" s="74" t="str">
        <f>Source!G379</f>
        <v>Комплект частотного преобразователя 4 кВт</v>
      </c>
      <c r="D109" s="35" t="s">
        <v>31</v>
      </c>
      <c r="E109" s="75">
        <f>Source!I379</f>
        <v>2</v>
      </c>
      <c r="F109" s="35" t="str">
        <f>Source!U353</f>
        <v/>
      </c>
      <c r="G109" s="35">
        <f>Source!I379</f>
        <v>2</v>
      </c>
      <c r="H109" s="74"/>
    </row>
    <row r="110" spans="1:8" ht="14.25" x14ac:dyDescent="0.2">
      <c r="A110" s="35">
        <v>71</v>
      </c>
      <c r="B110" s="35" t="str">
        <f>Source!E381</f>
        <v>71</v>
      </c>
      <c r="C110" s="74" t="str">
        <f>Source!G381</f>
        <v>Комплект частотного преобразователя 1,5 кВт, 7 А, 220 В</v>
      </c>
      <c r="D110" s="35" t="s">
        <v>31</v>
      </c>
      <c r="E110" s="75">
        <f>Source!I381</f>
        <v>8</v>
      </c>
      <c r="F110" s="35" t="str">
        <f>Source!U353</f>
        <v/>
      </c>
      <c r="G110" s="35">
        <f>Source!I381</f>
        <v>8</v>
      </c>
      <c r="H110" s="74"/>
    </row>
    <row r="111" spans="1:8" ht="14.25" x14ac:dyDescent="0.2">
      <c r="A111" s="35">
        <v>72</v>
      </c>
      <c r="B111" s="35" t="str">
        <f>Source!E383</f>
        <v>72</v>
      </c>
      <c r="C111" s="74" t="str">
        <f>Source!G383</f>
        <v>Комплект частотного преобразователя 5,5 кВт, 13 А, 380 В</v>
      </c>
      <c r="D111" s="35" t="s">
        <v>31</v>
      </c>
      <c r="E111" s="75">
        <f>Source!I383</f>
        <v>1</v>
      </c>
      <c r="F111" s="35" t="str">
        <f>Source!U353</f>
        <v/>
      </c>
      <c r="G111" s="35">
        <f>Source!I383</f>
        <v>1</v>
      </c>
      <c r="H111" s="74"/>
    </row>
    <row r="112" spans="1:8" ht="14.25" x14ac:dyDescent="0.2">
      <c r="A112" s="35">
        <v>73</v>
      </c>
      <c r="B112" s="35" t="str">
        <f>Source!E385</f>
        <v>73</v>
      </c>
      <c r="C112" s="74" t="str">
        <f>Source!G385</f>
        <v>Комплект частотного преобразователя 2,2 кВт, 6 А, 380 В</v>
      </c>
      <c r="D112" s="35" t="s">
        <v>31</v>
      </c>
      <c r="E112" s="75">
        <f>Source!I385</f>
        <v>2</v>
      </c>
      <c r="F112" s="35" t="str">
        <f>Source!U353</f>
        <v/>
      </c>
      <c r="G112" s="35">
        <f>Source!I385</f>
        <v>2</v>
      </c>
      <c r="H112" s="74"/>
    </row>
    <row r="113" spans="1:8" ht="14.25" x14ac:dyDescent="0.2">
      <c r="A113" s="35">
        <v>74</v>
      </c>
      <c r="B113" s="35" t="str">
        <f>Source!E387</f>
        <v>74</v>
      </c>
      <c r="C113" s="74" t="str">
        <f>Source!G387</f>
        <v>Комплект частотного преобразователя 0,75 кВт, 4 А, 220 В</v>
      </c>
      <c r="D113" s="35" t="s">
        <v>31</v>
      </c>
      <c r="E113" s="75">
        <f>Source!I387</f>
        <v>5</v>
      </c>
      <c r="F113" s="35" t="str">
        <f>Source!U353</f>
        <v/>
      </c>
      <c r="G113" s="35">
        <f>Source!I387</f>
        <v>5</v>
      </c>
      <c r="H113" s="74"/>
    </row>
    <row r="114" spans="1:8" ht="14.25" x14ac:dyDescent="0.2">
      <c r="A114" s="35">
        <v>75</v>
      </c>
      <c r="B114" s="35" t="str">
        <f>Source!E389</f>
        <v>75</v>
      </c>
      <c r="C114" s="74" t="str">
        <f>Source!G389</f>
        <v>Установка прибора массой до 5 кг на металлоконструкциях или щитах</v>
      </c>
      <c r="D114" s="35" t="s">
        <v>21</v>
      </c>
      <c r="E114" s="75">
        <f>Source!I389</f>
        <v>43</v>
      </c>
      <c r="F114" s="35" t="str">
        <f>Source!U353</f>
        <v/>
      </c>
      <c r="G114" s="35">
        <f>Source!I389</f>
        <v>43</v>
      </c>
      <c r="H114" s="74"/>
    </row>
    <row r="115" spans="1:8" ht="28.5" x14ac:dyDescent="0.2">
      <c r="A115" s="35">
        <v>75.099999999999994</v>
      </c>
      <c r="B115" s="35" t="str">
        <f>Source!E391</f>
        <v>75,1</v>
      </c>
      <c r="C115" s="74" t="str">
        <f>Source!G391</f>
        <v>Болты стальные оцинкованные с шестигранной головкой, с полной резьбой, с гайкой оцинкованной, М6, длина от 12 до 60 мм</v>
      </c>
      <c r="D115" s="35" t="s">
        <v>249</v>
      </c>
      <c r="E115" s="75">
        <f>Source!I391</f>
        <v>1.5049999999999999</v>
      </c>
      <c r="F115" s="35" t="str">
        <f>Source!U353</f>
        <v/>
      </c>
      <c r="G115" s="35"/>
      <c r="H115" s="74"/>
    </row>
    <row r="116" spans="1:8" ht="14.25" x14ac:dyDescent="0.2">
      <c r="A116" s="35">
        <v>76</v>
      </c>
      <c r="B116" s="35" t="str">
        <f>Source!E393</f>
        <v>76</v>
      </c>
      <c r="C116" s="74" t="str">
        <f>Source!G393</f>
        <v>Регулятор скорости STY-1,5</v>
      </c>
      <c r="D116" s="35" t="s">
        <v>31</v>
      </c>
      <c r="E116" s="75">
        <f>Source!I393</f>
        <v>43</v>
      </c>
      <c r="F116" s="35" t="str">
        <f>Source!U353</f>
        <v/>
      </c>
      <c r="G116" s="35">
        <f>Source!I393</f>
        <v>43</v>
      </c>
      <c r="H116" s="74"/>
    </row>
    <row r="117" spans="1:8" ht="28.5" x14ac:dyDescent="0.2">
      <c r="A117" s="35">
        <v>77</v>
      </c>
      <c r="B117" s="35" t="str">
        <f>Source!E395</f>
        <v>77</v>
      </c>
      <c r="C117" s="74" t="str">
        <f>Source!G395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117" s="35" t="s">
        <v>77</v>
      </c>
      <c r="E117" s="75">
        <f>Source!I395</f>
        <v>31.5</v>
      </c>
      <c r="F117" s="35" t="str">
        <f>Source!U353</f>
        <v/>
      </c>
      <c r="G117" s="35" t="str">
        <f>"=3150/"&amp;"100"</f>
        <v>=3150/100</v>
      </c>
      <c r="H117" s="74"/>
    </row>
    <row r="118" spans="1:8" ht="28.5" x14ac:dyDescent="0.2">
      <c r="A118" s="35">
        <v>77.099999999999994</v>
      </c>
      <c r="B118" s="35" t="str">
        <f>Source!E397</f>
        <v>77,1</v>
      </c>
      <c r="C118" s="74" t="str">
        <f>Source!G397</f>
        <v>Трубы электротехнические, гофрированные, из ПВХ, негорючие, с зондом, наружный диаметр 20 мм</v>
      </c>
      <c r="D118" s="35" t="s">
        <v>84</v>
      </c>
      <c r="E118" s="75">
        <f>Source!I397</f>
        <v>3213</v>
      </c>
      <c r="F118" s="35" t="str">
        <f>Source!U353</f>
        <v/>
      </c>
      <c r="G118" s="35"/>
      <c r="H118" s="74"/>
    </row>
    <row r="119" spans="1:8" ht="42.75" x14ac:dyDescent="0.2">
      <c r="A119" s="35">
        <v>78</v>
      </c>
      <c r="B119" s="35" t="str">
        <f>Source!E399</f>
        <v>78</v>
      </c>
      <c r="C119" s="74" t="str">
        <f>Source!G399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119" s="35" t="s">
        <v>77</v>
      </c>
      <c r="E119" s="75">
        <f>Source!I399</f>
        <v>31.5</v>
      </c>
      <c r="F119" s="35" t="str">
        <f>Source!U353</f>
        <v/>
      </c>
      <c r="G119" s="35" t="str">
        <f>"=3150/"&amp;"100"</f>
        <v>=3150/100</v>
      </c>
      <c r="H119" s="74"/>
    </row>
    <row r="120" spans="1:8" ht="14.25" x14ac:dyDescent="0.2">
      <c r="A120" s="35">
        <v>78.099999999999994</v>
      </c>
      <c r="B120" s="35" t="str">
        <f>Source!E401</f>
        <v>78,1</v>
      </c>
      <c r="C120" s="74" t="str">
        <f>Source!G401</f>
        <v>Кабель КПСЭнг(A)-LSLTx 1х2х0,75</v>
      </c>
      <c r="D120" s="35" t="s">
        <v>101</v>
      </c>
      <c r="E120" s="75">
        <f>Source!I401</f>
        <v>3213</v>
      </c>
      <c r="F120" s="35" t="str">
        <f>Source!U353</f>
        <v/>
      </c>
      <c r="G120" s="35"/>
      <c r="H120" s="74"/>
    </row>
    <row r="121" spans="1:8" ht="16.5" x14ac:dyDescent="0.25">
      <c r="A121" s="71" t="str">
        <f>CONCATENATE("Раздел: ", Source!G434)</f>
        <v>Раздел: Автоматизация систем кондиционирования</v>
      </c>
      <c r="B121" s="71"/>
      <c r="C121" s="71"/>
      <c r="D121" s="71"/>
      <c r="E121" s="71"/>
      <c r="F121" s="71"/>
      <c r="G121" s="71"/>
      <c r="H121" s="71"/>
    </row>
    <row r="122" spans="1:8" ht="14.25" x14ac:dyDescent="0.2">
      <c r="A122" s="35">
        <v>79</v>
      </c>
      <c r="B122" s="35" t="str">
        <f>Source!E438</f>
        <v>79</v>
      </c>
      <c r="C122" s="74" t="str">
        <f>Source!G438</f>
        <v>Монтаж механизма исполнительного массой до 20 кг</v>
      </c>
      <c r="D122" s="35" t="s">
        <v>21</v>
      </c>
      <c r="E122" s="75">
        <f>Source!I438</f>
        <v>10</v>
      </c>
      <c r="F122" s="35" t="str">
        <f>Source!U434</f>
        <v/>
      </c>
      <c r="G122" s="35">
        <f>Source!I438</f>
        <v>10</v>
      </c>
      <c r="H122" s="74"/>
    </row>
    <row r="123" spans="1:8" ht="85.5" x14ac:dyDescent="0.2">
      <c r="A123" s="35">
        <v>80</v>
      </c>
      <c r="B123" s="35" t="str">
        <f>Source!E440</f>
        <v>80</v>
      </c>
      <c r="C123" s="74" t="str">
        <f>Source!G440</f>
        <v>Блок управления ротацией и резервированием кондиционеров. Входит в состав системы ротации и резервирования кондиционеров, напряжение 220 В, потребляемая мощность 1,5 Вт, дальность радиосвязи 50 м, режим работы – непрерывный, диапазон измеряемых температур от -55 до +125°С, диапазон рабочих температур от -20 до +70°С, габаритные размеры 140х88х62 мм</v>
      </c>
      <c r="D123" s="35" t="s">
        <v>31</v>
      </c>
      <c r="E123" s="75">
        <f>Source!I440</f>
        <v>10</v>
      </c>
      <c r="F123" s="35" t="str">
        <f>Source!U434</f>
        <v/>
      </c>
      <c r="G123" s="35">
        <f>Source!I440</f>
        <v>10</v>
      </c>
      <c r="H123" s="74"/>
    </row>
    <row r="124" spans="1:8" ht="14.25" x14ac:dyDescent="0.2">
      <c r="A124" s="35">
        <v>81</v>
      </c>
      <c r="B124" s="35" t="str">
        <f>Source!E442</f>
        <v>81</v>
      </c>
      <c r="C124" s="74" t="str">
        <f>Source!G442</f>
        <v>Монтаж механизма исполнительного массой до 20 кг</v>
      </c>
      <c r="D124" s="35" t="s">
        <v>21</v>
      </c>
      <c r="E124" s="75">
        <f>Source!I442</f>
        <v>20</v>
      </c>
      <c r="F124" s="35" t="str">
        <f>Source!U434</f>
        <v/>
      </c>
      <c r="G124" s="35">
        <f>Source!I442</f>
        <v>20</v>
      </c>
      <c r="H124" s="74"/>
    </row>
    <row r="125" spans="1:8" ht="99.75" x14ac:dyDescent="0.2">
      <c r="A125" s="35">
        <v>82</v>
      </c>
      <c r="B125" s="35" t="str">
        <f>Source!E444</f>
        <v>82</v>
      </c>
      <c r="C125" s="74" t="str">
        <f>Source!G444</f>
        <v>Блок исполнительный специализированный, для системы ротации и резервирования кондиционеров. Входит в систему ротации и резервирования кондиционеров, связь с базовым блоком по радиоканалу, напряжение 220 В, потребляемая мощность 0,6 Вт, дальность радиосвязи 50 м, режим работы – непрерывный, диапазон измеряемых температур от -55 до +125°С, диапазон рабочих температур от -20 до +70°С, габаритные размеры 105х65х30 мм</v>
      </c>
      <c r="D125" s="35" t="s">
        <v>31</v>
      </c>
      <c r="E125" s="75">
        <f>Source!I444</f>
        <v>20</v>
      </c>
      <c r="F125" s="35" t="str">
        <f>Source!U434</f>
        <v/>
      </c>
      <c r="G125" s="35">
        <f>Source!I444</f>
        <v>20</v>
      </c>
      <c r="H125" s="74"/>
    </row>
    <row r="126" spans="1:8" ht="28.5" x14ac:dyDescent="0.2">
      <c r="A126" s="35">
        <v>83</v>
      </c>
      <c r="B126" s="35" t="str">
        <f>Source!E446</f>
        <v>83</v>
      </c>
      <c r="C126" s="74" t="str">
        <f>Source!G446</f>
        <v>Установка для трубных проводок шкафа настенного размерами до 640х840 мм</v>
      </c>
      <c r="D126" s="35" t="s">
        <v>21</v>
      </c>
      <c r="E126" s="75">
        <f>Source!I446</f>
        <v>10</v>
      </c>
      <c r="F126" s="35" t="str">
        <f>Source!U434</f>
        <v/>
      </c>
      <c r="G126" s="35">
        <f>Source!I446</f>
        <v>10</v>
      </c>
      <c r="H126" s="74"/>
    </row>
    <row r="127" spans="1:8" ht="14.25" x14ac:dyDescent="0.2">
      <c r="A127" s="35">
        <v>84</v>
      </c>
      <c r="B127" s="35" t="str">
        <f>Source!E448</f>
        <v>84</v>
      </c>
      <c r="C127" s="74" t="str">
        <f>Source!G448</f>
        <v>Блок навесной КМПн 2/2</v>
      </c>
      <c r="D127" s="35" t="s">
        <v>31</v>
      </c>
      <c r="E127" s="75">
        <f>Source!I448</f>
        <v>10</v>
      </c>
      <c r="F127" s="35" t="str">
        <f>Source!U434</f>
        <v/>
      </c>
      <c r="G127" s="35">
        <f>Source!I448</f>
        <v>10</v>
      </c>
      <c r="H127" s="74"/>
    </row>
    <row r="128" spans="1:8" ht="28.5" x14ac:dyDescent="0.2">
      <c r="A128" s="35">
        <v>85</v>
      </c>
      <c r="B128" s="35" t="str">
        <f>Source!E450</f>
        <v>85</v>
      </c>
      <c r="C128" s="74" t="str">
        <f>Source!G450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128" s="35" t="s">
        <v>77</v>
      </c>
      <c r="E128" s="75">
        <f>Source!I450</f>
        <v>5</v>
      </c>
      <c r="F128" s="35" t="str">
        <f>Source!U434</f>
        <v/>
      </c>
      <c r="G128" s="35" t="str">
        <f>"=500/"&amp;"100"</f>
        <v>=500/100</v>
      </c>
      <c r="H128" s="74"/>
    </row>
    <row r="129" spans="1:8" ht="28.5" x14ac:dyDescent="0.2">
      <c r="A129" s="35">
        <v>85.1</v>
      </c>
      <c r="B129" s="35" t="str">
        <f>Source!E452</f>
        <v>85,1</v>
      </c>
      <c r="C129" s="74" t="str">
        <f>Source!G452</f>
        <v>Трубы электротехнические, гофрированные, из ПВХ, негорючие, с зондом, наружный диаметр 20 мм</v>
      </c>
      <c r="D129" s="35" t="s">
        <v>84</v>
      </c>
      <c r="E129" s="75">
        <f>Source!I452</f>
        <v>510</v>
      </c>
      <c r="F129" s="35" t="str">
        <f>Source!U434</f>
        <v/>
      </c>
      <c r="G129" s="35"/>
      <c r="H129" s="74"/>
    </row>
    <row r="130" spans="1:8" ht="42.75" x14ac:dyDescent="0.2">
      <c r="A130" s="35">
        <v>86</v>
      </c>
      <c r="B130" s="35" t="str">
        <f>Source!E454</f>
        <v>86</v>
      </c>
      <c r="C130" s="74" t="str">
        <f>Source!G454</f>
        <v>Затягивание провода в проложенные трубы и металлические рукава первого одножильного или многожильного в общей оплетке, суммарное сечение до 16 мм2</v>
      </c>
      <c r="D130" s="35" t="s">
        <v>77</v>
      </c>
      <c r="E130" s="75">
        <f>Source!I454</f>
        <v>5</v>
      </c>
      <c r="F130" s="35" t="str">
        <f>Source!U434</f>
        <v/>
      </c>
      <c r="G130" s="35" t="str">
        <f>"=500/"&amp;"100"</f>
        <v>=500/100</v>
      </c>
      <c r="H130" s="74"/>
    </row>
    <row r="131" spans="1:8" ht="71.25" x14ac:dyDescent="0.2">
      <c r="A131" s="35">
        <v>86.1</v>
      </c>
      <c r="B131" s="35" t="str">
        <f>Source!E456</f>
        <v>86,1</v>
      </c>
      <c r="C131" s="74" t="str">
        <f>Source!G456</f>
        <v>Кабель силовой, с медными жилами, с изоляцией и оболочкой из ПВХ пластиката пониженной пожарной опасности, не распространяющий горение, с пониженным дымо- и газовыделением и с низкой токсичностью продуктов горения, марка ВВГнг(А)-LSLTх, напряжение 1000 В, число жил и сечение 5х1,5 мм2</v>
      </c>
      <c r="D131" s="35" t="s">
        <v>108</v>
      </c>
      <c r="E131" s="75">
        <f>Source!I456</f>
        <v>0.51</v>
      </c>
      <c r="F131" s="35" t="str">
        <f>Source!U434</f>
        <v/>
      </c>
      <c r="G131" s="35"/>
      <c r="H131" s="74"/>
    </row>
    <row r="132" spans="1:8" ht="16.5" x14ac:dyDescent="0.25">
      <c r="A132" s="71" t="str">
        <f>CONCATENATE("Раздел: ", Source!G489)</f>
        <v>Раздел: Система управления освещением</v>
      </c>
      <c r="B132" s="71"/>
      <c r="C132" s="71"/>
      <c r="D132" s="71"/>
      <c r="E132" s="71"/>
      <c r="F132" s="71"/>
      <c r="G132" s="71"/>
      <c r="H132" s="71"/>
    </row>
    <row r="133" spans="1:8" ht="28.5" x14ac:dyDescent="0.2">
      <c r="A133" s="35">
        <v>87</v>
      </c>
      <c r="B133" s="35" t="str">
        <f>Source!E493</f>
        <v>87</v>
      </c>
      <c r="C133" s="74" t="str">
        <f>Source!G493</f>
        <v>Установка для трубных проводок шкафа настенного размерами до 640х840 мм</v>
      </c>
      <c r="D133" s="35" t="s">
        <v>21</v>
      </c>
      <c r="E133" s="75">
        <f>Source!I493</f>
        <v>1</v>
      </c>
      <c r="F133" s="35" t="str">
        <f>Source!U489</f>
        <v/>
      </c>
      <c r="G133" s="35">
        <f>Source!I493</f>
        <v>1</v>
      </c>
      <c r="H133" s="74"/>
    </row>
    <row r="134" spans="1:8" ht="28.5" x14ac:dyDescent="0.2">
      <c r="A134" s="35">
        <v>87.1</v>
      </c>
      <c r="B134" s="35" t="str">
        <f>Source!E495</f>
        <v>87,1</v>
      </c>
      <c r="C134" s="74" t="str">
        <f>Source!G495</f>
        <v>Щит навесной, с дверцей и замком, степень защиты IР55, размер 600х600х250 мм, металлоконструкция без аппаратов</v>
      </c>
      <c r="D134" s="35" t="s">
        <v>31</v>
      </c>
      <c r="E134" s="75">
        <f>Source!I495</f>
        <v>1</v>
      </c>
      <c r="F134" s="35" t="str">
        <f>Source!U489</f>
        <v/>
      </c>
      <c r="G134" s="35"/>
      <c r="H134" s="74"/>
    </row>
    <row r="135" spans="1:8" ht="14.25" x14ac:dyDescent="0.2">
      <c r="A135" s="35">
        <v>88</v>
      </c>
      <c r="B135" s="35" t="str">
        <f>Source!E497</f>
        <v>88</v>
      </c>
      <c r="C135" s="74" t="str">
        <f>Source!G497</f>
        <v>Монтаж блока контроля датчиков (контроллер)</v>
      </c>
      <c r="D135" s="35" t="s">
        <v>58</v>
      </c>
      <c r="E135" s="75">
        <f>Source!I497</f>
        <v>0.2</v>
      </c>
      <c r="F135" s="35" t="str">
        <f>Source!U489</f>
        <v/>
      </c>
      <c r="G135" s="35" t="str">
        <f>"=2/"&amp;"10"</f>
        <v>=2/10</v>
      </c>
      <c r="H135" s="74"/>
    </row>
    <row r="136" spans="1:8" ht="14.25" x14ac:dyDescent="0.2">
      <c r="A136" s="35">
        <v>89</v>
      </c>
      <c r="B136" s="35" t="str">
        <f>Source!E499</f>
        <v>89</v>
      </c>
      <c r="C136" s="74" t="str">
        <f>Source!G499</f>
        <v>Контроллер Matrix-2230-70-4 Segnetics</v>
      </c>
      <c r="D136" s="35" t="s">
        <v>31</v>
      </c>
      <c r="E136" s="75">
        <f>Source!I499</f>
        <v>2</v>
      </c>
      <c r="F136" s="35" t="str">
        <f>Source!U489</f>
        <v/>
      </c>
      <c r="G136" s="35">
        <f>Source!I499</f>
        <v>2</v>
      </c>
      <c r="H136" s="74"/>
    </row>
    <row r="137" spans="1:8" ht="28.5" x14ac:dyDescent="0.2">
      <c r="A137" s="35">
        <v>90</v>
      </c>
      <c r="B137" s="35" t="str">
        <f>Source!E501</f>
        <v>90</v>
      </c>
      <c r="C137" s="74" t="str">
        <f>Source!G501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137" s="35" t="s">
        <v>77</v>
      </c>
      <c r="E137" s="75">
        <f>Source!I501</f>
        <v>5</v>
      </c>
      <c r="F137" s="35" t="str">
        <f>Source!U489</f>
        <v/>
      </c>
      <c r="G137" s="35" t="str">
        <f>"=500/"&amp;"100"</f>
        <v>=500/100</v>
      </c>
      <c r="H137" s="74"/>
    </row>
    <row r="138" spans="1:8" ht="28.5" x14ac:dyDescent="0.2">
      <c r="A138" s="35">
        <v>90.1</v>
      </c>
      <c r="B138" s="35" t="str">
        <f>Source!E503</f>
        <v>90,1</v>
      </c>
      <c r="C138" s="74" t="str">
        <f>Source!G503</f>
        <v>Трубы электротехнические, гофрированные, из ПВХ, негорючие, с зондом, наружный диаметр 20 мм</v>
      </c>
      <c r="D138" s="35" t="s">
        <v>84</v>
      </c>
      <c r="E138" s="75">
        <f>Source!I503</f>
        <v>510</v>
      </c>
      <c r="F138" s="35" t="str">
        <f>Source!U489</f>
        <v/>
      </c>
      <c r="G138" s="35"/>
      <c r="H138" s="74"/>
    </row>
    <row r="139" spans="1:8" ht="42.75" x14ac:dyDescent="0.2">
      <c r="A139" s="35">
        <v>91</v>
      </c>
      <c r="B139" s="35" t="str">
        <f>Source!E505</f>
        <v>91</v>
      </c>
      <c r="C139" s="74" t="str">
        <f>Source!G505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139" s="35" t="s">
        <v>77</v>
      </c>
      <c r="E139" s="75">
        <f>Source!I505</f>
        <v>5</v>
      </c>
      <c r="F139" s="35" t="str">
        <f>Source!U489</f>
        <v/>
      </c>
      <c r="G139" s="35" t="str">
        <f>"=500/"&amp;"100"</f>
        <v>=500/100</v>
      </c>
      <c r="H139" s="74"/>
    </row>
    <row r="140" spans="1:8" ht="14.25" x14ac:dyDescent="0.2">
      <c r="A140" s="35">
        <v>91.1</v>
      </c>
      <c r="B140" s="35" t="str">
        <f>Source!E507</f>
        <v>91,1</v>
      </c>
      <c r="C140" s="74" t="str">
        <f>Source!G507</f>
        <v>Кабель КПСЭнг(A)-LSLTx 1х2х0,75</v>
      </c>
      <c r="D140" s="35" t="s">
        <v>101</v>
      </c>
      <c r="E140" s="75">
        <f>Source!I507</f>
        <v>510</v>
      </c>
      <c r="F140" s="35" t="str">
        <f>Source!U489</f>
        <v/>
      </c>
      <c r="G140" s="35"/>
      <c r="H140" s="74"/>
    </row>
    <row r="141" spans="1:8" ht="16.5" x14ac:dyDescent="0.25">
      <c r="A141" s="71" t="str">
        <f>CONCATENATE("Раздел: ", Source!G540)</f>
        <v>Раздел: Система управления фрамугами</v>
      </c>
      <c r="B141" s="71"/>
      <c r="C141" s="71"/>
      <c r="D141" s="71"/>
      <c r="E141" s="71"/>
      <c r="F141" s="71"/>
      <c r="G141" s="71"/>
      <c r="H141" s="71"/>
    </row>
    <row r="142" spans="1:8" ht="28.5" x14ac:dyDescent="0.2">
      <c r="A142" s="35">
        <v>92</v>
      </c>
      <c r="B142" s="35" t="str">
        <f>Source!E544</f>
        <v>92</v>
      </c>
      <c r="C142" s="74" t="str">
        <f>Source!G544</f>
        <v>Установка для трубных проводок шкафа настенного размерами до 640х840 мм</v>
      </c>
      <c r="D142" s="35" t="s">
        <v>21</v>
      </c>
      <c r="E142" s="75">
        <f>Source!I544</f>
        <v>2</v>
      </c>
      <c r="F142" s="35" t="str">
        <f>Source!U540</f>
        <v/>
      </c>
      <c r="G142" s="35">
        <f>Source!I544</f>
        <v>2</v>
      </c>
      <c r="H142" s="74"/>
    </row>
    <row r="143" spans="1:8" ht="28.5" x14ac:dyDescent="0.2">
      <c r="A143" s="35">
        <v>92.1</v>
      </c>
      <c r="B143" s="35" t="str">
        <f>Source!E546</f>
        <v>92,1</v>
      </c>
      <c r="C143" s="74" t="str">
        <f>Source!G546</f>
        <v>Щит навесной, с дверцей и замком, степень защиты IР55, размер 600х600х250 мм, металлоконструкция без аппаратов</v>
      </c>
      <c r="D143" s="35" t="s">
        <v>31</v>
      </c>
      <c r="E143" s="75">
        <f>Source!I546</f>
        <v>2</v>
      </c>
      <c r="F143" s="35" t="str">
        <f>Source!U540</f>
        <v/>
      </c>
      <c r="G143" s="35"/>
      <c r="H143" s="74"/>
    </row>
    <row r="144" spans="1:8" ht="14.25" x14ac:dyDescent="0.2">
      <c r="A144" s="35">
        <v>93</v>
      </c>
      <c r="B144" s="35" t="str">
        <f>Source!E548</f>
        <v>93</v>
      </c>
      <c r="C144" s="74" t="str">
        <f>Source!G548</f>
        <v>Монтаж блока контроля датчиков (контроллер)</v>
      </c>
      <c r="D144" s="35" t="s">
        <v>58</v>
      </c>
      <c r="E144" s="75">
        <f>Source!I548</f>
        <v>0.2</v>
      </c>
      <c r="F144" s="35" t="str">
        <f>Source!U540</f>
        <v/>
      </c>
      <c r="G144" s="35" t="str">
        <f>"=2/"&amp;"10"</f>
        <v>=2/10</v>
      </c>
      <c r="H144" s="74"/>
    </row>
    <row r="145" spans="1:8" ht="14.25" x14ac:dyDescent="0.2">
      <c r="A145" s="35">
        <v>94</v>
      </c>
      <c r="B145" s="35" t="str">
        <f>Source!E550</f>
        <v>94</v>
      </c>
      <c r="C145" s="74" t="str">
        <f>Source!G550</f>
        <v>Контроллер Matrix-2230-70-4 Segnetics</v>
      </c>
      <c r="D145" s="35" t="s">
        <v>31</v>
      </c>
      <c r="E145" s="75">
        <f>Source!I550</f>
        <v>2</v>
      </c>
      <c r="F145" s="35" t="str">
        <f>Source!U540</f>
        <v/>
      </c>
      <c r="G145" s="35">
        <f>Source!I550</f>
        <v>2</v>
      </c>
      <c r="H145" s="74"/>
    </row>
    <row r="146" spans="1:8" ht="14.25" x14ac:dyDescent="0.2">
      <c r="A146" s="35">
        <v>95</v>
      </c>
      <c r="B146" s="35" t="str">
        <f>Source!E552</f>
        <v>95</v>
      </c>
      <c r="C146" s="74" t="str">
        <f>Source!G552</f>
        <v>Монтаж детали на пультах и панелях - переключатель</v>
      </c>
      <c r="D146" s="35" t="s">
        <v>21</v>
      </c>
      <c r="E146" s="75">
        <f>Source!I552</f>
        <v>11</v>
      </c>
      <c r="F146" s="35" t="str">
        <f>Source!U540</f>
        <v/>
      </c>
      <c r="G146" s="35">
        <f>Source!I552</f>
        <v>11</v>
      </c>
      <c r="H146" s="74"/>
    </row>
    <row r="147" spans="1:8" ht="14.25" x14ac:dyDescent="0.2">
      <c r="A147" s="35">
        <v>96</v>
      </c>
      <c r="B147" s="35" t="str">
        <f>Source!E554</f>
        <v>96</v>
      </c>
      <c r="C147" s="74" t="str">
        <f>Source!G554</f>
        <v>Переключатель LAY5-BD33 на 3 полож. LAY5-BD33</v>
      </c>
      <c r="D147" s="35" t="s">
        <v>31</v>
      </c>
      <c r="E147" s="75">
        <f>Source!I554</f>
        <v>11</v>
      </c>
      <c r="F147" s="35" t="str">
        <f>Source!U540</f>
        <v/>
      </c>
      <c r="G147" s="35">
        <f>Source!I554</f>
        <v>11</v>
      </c>
      <c r="H147" s="74"/>
    </row>
    <row r="148" spans="1:8" ht="28.5" x14ac:dyDescent="0.2">
      <c r="A148" s="35">
        <v>97</v>
      </c>
      <c r="B148" s="35" t="str">
        <f>Source!E556</f>
        <v>97</v>
      </c>
      <c r="C148" s="74" t="str">
        <f>Source!G556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148" s="35" t="s">
        <v>77</v>
      </c>
      <c r="E148" s="75">
        <f>Source!I556</f>
        <v>3</v>
      </c>
      <c r="F148" s="35" t="str">
        <f>Source!U540</f>
        <v/>
      </c>
      <c r="G148" s="35" t="str">
        <f>"=300/"&amp;"100"</f>
        <v>=300/100</v>
      </c>
      <c r="H148" s="74"/>
    </row>
    <row r="149" spans="1:8" ht="28.5" x14ac:dyDescent="0.2">
      <c r="A149" s="35">
        <v>97.1</v>
      </c>
      <c r="B149" s="35" t="str">
        <f>Source!E558</f>
        <v>97,1</v>
      </c>
      <c r="C149" s="74" t="str">
        <f>Source!G558</f>
        <v>Трубы электротехнические, гофрированные, из ПВХ, негорючие, с зондом, наружный диаметр 20 мм</v>
      </c>
      <c r="D149" s="35" t="s">
        <v>84</v>
      </c>
      <c r="E149" s="75">
        <f>Source!I558</f>
        <v>306</v>
      </c>
      <c r="F149" s="35" t="str">
        <f>Source!U540</f>
        <v/>
      </c>
      <c r="G149" s="35"/>
      <c r="H149" s="74"/>
    </row>
    <row r="150" spans="1:8" ht="42.75" x14ac:dyDescent="0.2">
      <c r="A150" s="35">
        <v>98</v>
      </c>
      <c r="B150" s="35" t="str">
        <f>Source!E560</f>
        <v>98</v>
      </c>
      <c r="C150" s="74" t="str">
        <f>Source!G560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150" s="35" t="s">
        <v>77</v>
      </c>
      <c r="E150" s="75">
        <f>Source!I560</f>
        <v>3</v>
      </c>
      <c r="F150" s="35" t="str">
        <f>Source!U540</f>
        <v/>
      </c>
      <c r="G150" s="35" t="str">
        <f>"=300/"&amp;"100"</f>
        <v>=300/100</v>
      </c>
      <c r="H150" s="74"/>
    </row>
    <row r="151" spans="1:8" ht="14.25" x14ac:dyDescent="0.2">
      <c r="A151" s="34">
        <v>98.1</v>
      </c>
      <c r="B151" s="34" t="str">
        <f>Source!E562</f>
        <v>98,1</v>
      </c>
      <c r="C151" s="72" t="str">
        <f>Source!G562</f>
        <v>Кабель КПСЭнг(A)-LSLTx 1х2х0,75</v>
      </c>
      <c r="D151" s="34" t="s">
        <v>101</v>
      </c>
      <c r="E151" s="73">
        <f>Source!I562</f>
        <v>306</v>
      </c>
      <c r="F151" s="34" t="str">
        <f>Source!U540</f>
        <v/>
      </c>
      <c r="G151" s="34"/>
      <c r="H151" s="72"/>
    </row>
    <row r="154" spans="1:8" ht="15" x14ac:dyDescent="0.25">
      <c r="C154" s="76" t="s">
        <v>808</v>
      </c>
      <c r="D154" s="76" t="str">
        <f>IF(Source!X12&lt;&gt;"", Source!X12," ")</f>
        <v xml:space="preserve"> </v>
      </c>
      <c r="E154" s="31"/>
    </row>
    <row r="155" spans="1:8" ht="15" x14ac:dyDescent="0.25">
      <c r="C155" s="12"/>
      <c r="D155" s="31"/>
      <c r="E155" s="31"/>
    </row>
    <row r="156" spans="1:8" ht="15" x14ac:dyDescent="0.25">
      <c r="C156" s="76" t="s">
        <v>809</v>
      </c>
      <c r="D156" s="76" t="str">
        <f>IF(Source!AB12&lt;&gt;"", Source!AB12," ")</f>
        <v xml:space="preserve"> </v>
      </c>
      <c r="E156" s="31"/>
    </row>
  </sheetData>
  <mergeCells count="14">
    <mergeCell ref="A132:H132"/>
    <mergeCell ref="A141:H141"/>
    <mergeCell ref="A42:H42"/>
    <mergeCell ref="A45:H45"/>
    <mergeCell ref="A52:H52"/>
    <mergeCell ref="A77:H77"/>
    <mergeCell ref="A98:H98"/>
    <mergeCell ref="A121:H121"/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672"/>
  <sheetViews>
    <sheetView workbookViewId="0">
      <selection activeCell="G13" sqref="G13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74570</v>
      </c>
      <c r="M1">
        <v>10</v>
      </c>
      <c r="N1">
        <v>11</v>
      </c>
      <c r="O1">
        <v>15</v>
      </c>
      <c r="P1">
        <v>0</v>
      </c>
      <c r="Q1">
        <v>2</v>
      </c>
    </row>
    <row r="12" spans="1:133" x14ac:dyDescent="0.2">
      <c r="A12" s="1">
        <v>1</v>
      </c>
      <c r="B12" s="1">
        <v>664</v>
      </c>
      <c r="C12" s="1">
        <v>0</v>
      </c>
      <c r="D12" s="1">
        <f>ROW(A625)</f>
        <v>625</v>
      </c>
      <c r="E12" s="1">
        <v>0</v>
      </c>
      <c r="F12" s="1" t="s">
        <v>4</v>
      </c>
      <c r="G12" s="1" t="s">
        <v>810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B625</f>
        <v>664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Новый объект (ТСН-2001 (Мосгосэкспертиза))</v>
      </c>
      <c r="G18" s="3" t="str">
        <f t="shared" si="0"/>
        <v>Капитальный ремонт здания ГБОУ города Москвы «Школа №236» по адресу: город Москва, улица Клязьминская, дом 7, корп. 4</v>
      </c>
      <c r="H18" s="3"/>
      <c r="I18" s="3"/>
      <c r="J18" s="3"/>
      <c r="K18" s="3"/>
      <c r="L18" s="3"/>
      <c r="M18" s="3"/>
      <c r="N18" s="3"/>
      <c r="O18" s="3">
        <f t="shared" ref="O18:AT18" si="1">O625</f>
        <v>1897925.62</v>
      </c>
      <c r="P18" s="3">
        <f t="shared" si="1"/>
        <v>1849266.87</v>
      </c>
      <c r="Q18" s="3">
        <f t="shared" si="1"/>
        <v>7979.47</v>
      </c>
      <c r="R18" s="3">
        <f t="shared" si="1"/>
        <v>1138.1600000000001</v>
      </c>
      <c r="S18" s="3">
        <f t="shared" si="1"/>
        <v>40679.279999999999</v>
      </c>
      <c r="T18" s="3">
        <f t="shared" si="1"/>
        <v>0</v>
      </c>
      <c r="U18" s="3">
        <f t="shared" si="1"/>
        <v>3300.0132297</v>
      </c>
      <c r="V18" s="3">
        <f t="shared" si="1"/>
        <v>0</v>
      </c>
      <c r="W18" s="3">
        <f t="shared" si="1"/>
        <v>0</v>
      </c>
      <c r="X18" s="3">
        <f t="shared" si="1"/>
        <v>39790.9</v>
      </c>
      <c r="Y18" s="3">
        <f t="shared" si="1"/>
        <v>20859.990000000002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1659768.83</v>
      </c>
      <c r="AQ18" s="3">
        <f t="shared" si="1"/>
        <v>0</v>
      </c>
      <c r="AR18" s="3">
        <f t="shared" si="1"/>
        <v>1958576.51</v>
      </c>
      <c r="AS18" s="3">
        <f t="shared" si="1"/>
        <v>0</v>
      </c>
      <c r="AT18" s="3">
        <f t="shared" si="1"/>
        <v>298807.67999999999</v>
      </c>
      <c r="AU18" s="3">
        <f t="shared" ref="AU18:BZ18" si="2">AU625</f>
        <v>0</v>
      </c>
      <c r="AV18" s="3">
        <f t="shared" si="2"/>
        <v>1849266.87</v>
      </c>
      <c r="AW18" s="3">
        <f t="shared" si="2"/>
        <v>189498.04</v>
      </c>
      <c r="AX18" s="3">
        <f t="shared" si="2"/>
        <v>0</v>
      </c>
      <c r="AY18" s="3">
        <f t="shared" si="2"/>
        <v>189498.04</v>
      </c>
      <c r="AZ18" s="3">
        <f t="shared" si="2"/>
        <v>1659768.83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CA625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DG625</f>
        <v>16172221.220000001</v>
      </c>
      <c r="DH18" s="4">
        <f t="shared" si="4"/>
        <v>13805080.75</v>
      </c>
      <c r="DI18" s="4">
        <f t="shared" si="4"/>
        <v>130186.87</v>
      </c>
      <c r="DJ18" s="4">
        <f t="shared" si="4"/>
        <v>62587.44</v>
      </c>
      <c r="DK18" s="4">
        <f t="shared" si="4"/>
        <v>2236953.6000000001</v>
      </c>
      <c r="DL18" s="4">
        <f t="shared" si="4"/>
        <v>0</v>
      </c>
      <c r="DM18" s="4">
        <f t="shared" si="4"/>
        <v>3300.0132297</v>
      </c>
      <c r="DN18" s="4">
        <f t="shared" si="4"/>
        <v>0</v>
      </c>
      <c r="DO18" s="4">
        <f t="shared" si="4"/>
        <v>0</v>
      </c>
      <c r="DP18" s="4">
        <f t="shared" si="4"/>
        <v>2188101.2200000002</v>
      </c>
      <c r="DQ18" s="4">
        <f t="shared" si="4"/>
        <v>1147090.7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12610419.609999999</v>
      </c>
      <c r="EI18" s="4">
        <f t="shared" si="4"/>
        <v>0</v>
      </c>
      <c r="EJ18" s="4">
        <f t="shared" si="4"/>
        <v>19507413.140000001</v>
      </c>
      <c r="EK18" s="4">
        <f t="shared" si="4"/>
        <v>0</v>
      </c>
      <c r="EL18" s="4">
        <f t="shared" si="4"/>
        <v>6896993.5300000003</v>
      </c>
      <c r="EM18" s="4">
        <f t="shared" ref="EM18:FR18" si="5">EM625</f>
        <v>0</v>
      </c>
      <c r="EN18" s="4">
        <f t="shared" si="5"/>
        <v>13805080.75</v>
      </c>
      <c r="EO18" s="4">
        <f t="shared" si="5"/>
        <v>1194661.1399999999</v>
      </c>
      <c r="EP18" s="4">
        <f t="shared" si="5"/>
        <v>0</v>
      </c>
      <c r="EQ18" s="4">
        <f t="shared" si="5"/>
        <v>1194661.1399999999</v>
      </c>
      <c r="ER18" s="4">
        <f t="shared" si="5"/>
        <v>12610419.609999999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FS625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ROW(A595)</f>
        <v>595</v>
      </c>
      <c r="E20" s="1"/>
      <c r="F20" s="1" t="s">
        <v>13</v>
      </c>
      <c r="G20" s="1" t="s">
        <v>14</v>
      </c>
      <c r="H20" s="1" t="s">
        <v>3</v>
      </c>
      <c r="I20" s="1">
        <v>0</v>
      </c>
      <c r="J20" s="1" t="s">
        <v>15</v>
      </c>
      <c r="K20" s="1">
        <v>-1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B595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02-01-18</v>
      </c>
      <c r="G22" s="3" t="str">
        <f t="shared" si="7"/>
        <v>Автоматизация и диспетчеризация инженерных систем.</v>
      </c>
      <c r="H22" s="3"/>
      <c r="I22" s="3"/>
      <c r="J22" s="3"/>
      <c r="K22" s="3"/>
      <c r="L22" s="3"/>
      <c r="M22" s="3"/>
      <c r="N22" s="3"/>
      <c r="O22" s="3">
        <f t="shared" ref="O22:AT22" si="8">O595</f>
        <v>1897925.62</v>
      </c>
      <c r="P22" s="3">
        <f t="shared" si="8"/>
        <v>1849266.87</v>
      </c>
      <c r="Q22" s="3">
        <f t="shared" si="8"/>
        <v>7979.47</v>
      </c>
      <c r="R22" s="3">
        <f t="shared" si="8"/>
        <v>1138.1600000000001</v>
      </c>
      <c r="S22" s="3">
        <f t="shared" si="8"/>
        <v>40679.279999999999</v>
      </c>
      <c r="T22" s="3">
        <f t="shared" si="8"/>
        <v>0</v>
      </c>
      <c r="U22" s="3">
        <f t="shared" si="8"/>
        <v>3300.0132297</v>
      </c>
      <c r="V22" s="3">
        <f t="shared" si="8"/>
        <v>0</v>
      </c>
      <c r="W22" s="3">
        <f t="shared" si="8"/>
        <v>0</v>
      </c>
      <c r="X22" s="3">
        <f t="shared" si="8"/>
        <v>39790.9</v>
      </c>
      <c r="Y22" s="3">
        <f t="shared" si="8"/>
        <v>20859.990000000002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1659768.83</v>
      </c>
      <c r="AQ22" s="3">
        <f t="shared" si="8"/>
        <v>0</v>
      </c>
      <c r="AR22" s="3">
        <f t="shared" si="8"/>
        <v>1958576.51</v>
      </c>
      <c r="AS22" s="3">
        <f t="shared" si="8"/>
        <v>0</v>
      </c>
      <c r="AT22" s="3">
        <f t="shared" si="8"/>
        <v>298807.67999999999</v>
      </c>
      <c r="AU22" s="3">
        <f t="shared" ref="AU22:BZ22" si="9">AU595</f>
        <v>0</v>
      </c>
      <c r="AV22" s="3">
        <f t="shared" si="9"/>
        <v>1849266.87</v>
      </c>
      <c r="AW22" s="3">
        <f t="shared" si="9"/>
        <v>189498.04</v>
      </c>
      <c r="AX22" s="3">
        <f t="shared" si="9"/>
        <v>0</v>
      </c>
      <c r="AY22" s="3">
        <f t="shared" si="9"/>
        <v>189498.04</v>
      </c>
      <c r="AZ22" s="3">
        <f t="shared" si="9"/>
        <v>1659768.83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CA595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DG595</f>
        <v>16172221.220000001</v>
      </c>
      <c r="DH22" s="4">
        <f t="shared" si="11"/>
        <v>13805080.75</v>
      </c>
      <c r="DI22" s="4">
        <f t="shared" si="11"/>
        <v>130186.87</v>
      </c>
      <c r="DJ22" s="4">
        <f t="shared" si="11"/>
        <v>62587.44</v>
      </c>
      <c r="DK22" s="4">
        <f t="shared" si="11"/>
        <v>2236953.6000000001</v>
      </c>
      <c r="DL22" s="4">
        <f t="shared" si="11"/>
        <v>0</v>
      </c>
      <c r="DM22" s="4">
        <f t="shared" si="11"/>
        <v>3300.0132297</v>
      </c>
      <c r="DN22" s="4">
        <f t="shared" si="11"/>
        <v>0</v>
      </c>
      <c r="DO22" s="4">
        <f t="shared" si="11"/>
        <v>0</v>
      </c>
      <c r="DP22" s="4">
        <f t="shared" si="11"/>
        <v>2188101.2200000002</v>
      </c>
      <c r="DQ22" s="4">
        <f t="shared" si="11"/>
        <v>1147090.7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12610419.609999999</v>
      </c>
      <c r="EI22" s="4">
        <f t="shared" si="11"/>
        <v>0</v>
      </c>
      <c r="EJ22" s="4">
        <f t="shared" si="11"/>
        <v>19507413.140000001</v>
      </c>
      <c r="EK22" s="4">
        <f t="shared" si="11"/>
        <v>0</v>
      </c>
      <c r="EL22" s="4">
        <f t="shared" si="11"/>
        <v>6896993.5300000003</v>
      </c>
      <c r="EM22" s="4">
        <f t="shared" ref="EM22:FR22" si="12">EM595</f>
        <v>0</v>
      </c>
      <c r="EN22" s="4">
        <f t="shared" si="12"/>
        <v>13805080.75</v>
      </c>
      <c r="EO22" s="4">
        <f t="shared" si="12"/>
        <v>1194661.1399999999</v>
      </c>
      <c r="EP22" s="4">
        <f t="shared" si="12"/>
        <v>0</v>
      </c>
      <c r="EQ22" s="4">
        <f t="shared" si="12"/>
        <v>1194661.1399999999</v>
      </c>
      <c r="ER22" s="4">
        <f t="shared" si="12"/>
        <v>12610419.609999999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FS595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ROW(A75)</f>
        <v>75</v>
      </c>
      <c r="E24" s="1"/>
      <c r="F24" s="1" t="s">
        <v>16</v>
      </c>
      <c r="G24" s="1" t="s">
        <v>17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B75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Система управления и диспетчерского контроля инженерного</v>
      </c>
      <c r="H26" s="3"/>
      <c r="I26" s="3"/>
      <c r="J26" s="3"/>
      <c r="K26" s="3"/>
      <c r="L26" s="3"/>
      <c r="M26" s="3"/>
      <c r="N26" s="3"/>
      <c r="O26" s="3">
        <f t="shared" ref="O26:AT26" si="15">O75</f>
        <v>116438.62</v>
      </c>
      <c r="P26" s="3">
        <f t="shared" si="15"/>
        <v>107651.76</v>
      </c>
      <c r="Q26" s="3">
        <f t="shared" si="15"/>
        <v>1034.27</v>
      </c>
      <c r="R26" s="3">
        <f t="shared" si="15"/>
        <v>173.24</v>
      </c>
      <c r="S26" s="3">
        <f t="shared" si="15"/>
        <v>7752.59</v>
      </c>
      <c r="T26" s="3">
        <f t="shared" si="15"/>
        <v>0</v>
      </c>
      <c r="U26" s="3">
        <f t="shared" si="15"/>
        <v>615.2796012</v>
      </c>
      <c r="V26" s="3">
        <f t="shared" si="15"/>
        <v>0</v>
      </c>
      <c r="W26" s="3">
        <f t="shared" si="15"/>
        <v>0</v>
      </c>
      <c r="X26" s="3">
        <f t="shared" si="15"/>
        <v>7675.44</v>
      </c>
      <c r="Y26" s="3">
        <f t="shared" si="15"/>
        <v>4033.13</v>
      </c>
      <c r="Z26" s="3">
        <f t="shared" si="15"/>
        <v>0</v>
      </c>
      <c r="AA26" s="3">
        <f t="shared" si="15"/>
        <v>0</v>
      </c>
      <c r="AB26" s="3">
        <f t="shared" si="15"/>
        <v>116438.62</v>
      </c>
      <c r="AC26" s="3">
        <f t="shared" si="15"/>
        <v>107651.76</v>
      </c>
      <c r="AD26" s="3">
        <f t="shared" si="15"/>
        <v>1034.27</v>
      </c>
      <c r="AE26" s="3">
        <f t="shared" si="15"/>
        <v>173.24</v>
      </c>
      <c r="AF26" s="3">
        <f t="shared" si="15"/>
        <v>7752.59</v>
      </c>
      <c r="AG26" s="3">
        <f t="shared" si="15"/>
        <v>0</v>
      </c>
      <c r="AH26" s="3">
        <f t="shared" si="15"/>
        <v>615.2796012</v>
      </c>
      <c r="AI26" s="3">
        <f t="shared" si="15"/>
        <v>0</v>
      </c>
      <c r="AJ26" s="3">
        <f t="shared" si="15"/>
        <v>0</v>
      </c>
      <c r="AK26" s="3">
        <f t="shared" si="15"/>
        <v>7675.44</v>
      </c>
      <c r="AL26" s="3">
        <f t="shared" si="15"/>
        <v>4033.13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25039.7</v>
      </c>
      <c r="AQ26" s="3">
        <f t="shared" si="15"/>
        <v>0</v>
      </c>
      <c r="AR26" s="3">
        <f t="shared" si="15"/>
        <v>128147.19</v>
      </c>
      <c r="AS26" s="3">
        <f t="shared" si="15"/>
        <v>0</v>
      </c>
      <c r="AT26" s="3">
        <f t="shared" si="15"/>
        <v>103107.49</v>
      </c>
      <c r="AU26" s="3">
        <f t="shared" ref="AU26:BZ26" si="16">AU75</f>
        <v>0</v>
      </c>
      <c r="AV26" s="3">
        <f t="shared" si="16"/>
        <v>107651.76</v>
      </c>
      <c r="AW26" s="3">
        <f t="shared" si="16"/>
        <v>82612.06</v>
      </c>
      <c r="AX26" s="3">
        <f t="shared" si="16"/>
        <v>0</v>
      </c>
      <c r="AY26" s="3">
        <f t="shared" si="16"/>
        <v>82612.06</v>
      </c>
      <c r="AZ26" s="3">
        <f t="shared" si="16"/>
        <v>25039.7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25039.7</v>
      </c>
      <c r="BZ26" s="3">
        <f t="shared" si="16"/>
        <v>0</v>
      </c>
      <c r="CA26" s="3">
        <f t="shared" ref="CA26:DF26" si="17">CA75</f>
        <v>128147.19</v>
      </c>
      <c r="CB26" s="3">
        <f t="shared" si="17"/>
        <v>0</v>
      </c>
      <c r="CC26" s="3">
        <f t="shared" si="17"/>
        <v>103107.49</v>
      </c>
      <c r="CD26" s="3">
        <f t="shared" si="17"/>
        <v>0</v>
      </c>
      <c r="CE26" s="3">
        <f t="shared" si="17"/>
        <v>107651.76</v>
      </c>
      <c r="CF26" s="3">
        <f t="shared" si="17"/>
        <v>82612.06</v>
      </c>
      <c r="CG26" s="3">
        <f t="shared" si="17"/>
        <v>0</v>
      </c>
      <c r="CH26" s="3">
        <f t="shared" si="17"/>
        <v>82612.06</v>
      </c>
      <c r="CI26" s="3">
        <f t="shared" si="17"/>
        <v>25039.7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DG75</f>
        <v>1094737.6399999999</v>
      </c>
      <c r="DH26" s="4">
        <f t="shared" si="18"/>
        <v>650315.77</v>
      </c>
      <c r="DI26" s="4">
        <f t="shared" si="18"/>
        <v>18106.939999999999</v>
      </c>
      <c r="DJ26" s="4">
        <f t="shared" si="18"/>
        <v>9526.49</v>
      </c>
      <c r="DK26" s="4">
        <f t="shared" si="18"/>
        <v>426314.93</v>
      </c>
      <c r="DL26" s="4">
        <f t="shared" si="18"/>
        <v>0</v>
      </c>
      <c r="DM26" s="4">
        <f t="shared" si="18"/>
        <v>615.2796012</v>
      </c>
      <c r="DN26" s="4">
        <f t="shared" si="18"/>
        <v>0</v>
      </c>
      <c r="DO26" s="4">
        <f t="shared" si="18"/>
        <v>0</v>
      </c>
      <c r="DP26" s="4">
        <f t="shared" si="18"/>
        <v>422071.77</v>
      </c>
      <c r="DQ26" s="4">
        <f t="shared" si="18"/>
        <v>221783.12</v>
      </c>
      <c r="DR26" s="4">
        <f t="shared" si="18"/>
        <v>0</v>
      </c>
      <c r="DS26" s="4">
        <f t="shared" si="18"/>
        <v>0</v>
      </c>
      <c r="DT26" s="4">
        <f t="shared" si="18"/>
        <v>1094737.6399999999</v>
      </c>
      <c r="DU26" s="4">
        <f t="shared" si="18"/>
        <v>650315.77</v>
      </c>
      <c r="DV26" s="4">
        <f t="shared" si="18"/>
        <v>18106.939999999999</v>
      </c>
      <c r="DW26" s="4">
        <f t="shared" si="18"/>
        <v>9526.49</v>
      </c>
      <c r="DX26" s="4">
        <f t="shared" si="18"/>
        <v>426314.93</v>
      </c>
      <c r="DY26" s="4">
        <f t="shared" si="18"/>
        <v>0</v>
      </c>
      <c r="DZ26" s="4">
        <f t="shared" si="18"/>
        <v>615.2796012</v>
      </c>
      <c r="EA26" s="4">
        <f t="shared" si="18"/>
        <v>0</v>
      </c>
      <c r="EB26" s="4">
        <f t="shared" si="18"/>
        <v>0</v>
      </c>
      <c r="EC26" s="4">
        <f t="shared" si="18"/>
        <v>422071.77</v>
      </c>
      <c r="ED26" s="4">
        <f t="shared" si="18"/>
        <v>221783.12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191804.11</v>
      </c>
      <c r="EI26" s="4">
        <f t="shared" si="18"/>
        <v>0</v>
      </c>
      <c r="EJ26" s="4">
        <f t="shared" si="18"/>
        <v>1738592.53</v>
      </c>
      <c r="EK26" s="4">
        <f t="shared" si="18"/>
        <v>0</v>
      </c>
      <c r="EL26" s="4">
        <f t="shared" si="18"/>
        <v>1546788.42</v>
      </c>
      <c r="EM26" s="4">
        <f t="shared" ref="EM26:FR26" si="19">EM75</f>
        <v>0</v>
      </c>
      <c r="EN26" s="4">
        <f t="shared" si="19"/>
        <v>650315.77</v>
      </c>
      <c r="EO26" s="4">
        <f t="shared" si="19"/>
        <v>458511.66</v>
      </c>
      <c r="EP26" s="4">
        <f t="shared" si="19"/>
        <v>0</v>
      </c>
      <c r="EQ26" s="4">
        <f t="shared" si="19"/>
        <v>458511.66</v>
      </c>
      <c r="ER26" s="4">
        <f t="shared" si="19"/>
        <v>191804.11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191804.11</v>
      </c>
      <c r="FR26" s="4">
        <f t="shared" si="19"/>
        <v>0</v>
      </c>
      <c r="FS26" s="4">
        <f t="shared" ref="FS26:GX26" si="20">FS75</f>
        <v>1738592.53</v>
      </c>
      <c r="FT26" s="4">
        <f t="shared" si="20"/>
        <v>0</v>
      </c>
      <c r="FU26" s="4">
        <f t="shared" si="20"/>
        <v>1546788.42</v>
      </c>
      <c r="FV26" s="4">
        <f t="shared" si="20"/>
        <v>0</v>
      </c>
      <c r="FW26" s="4">
        <f t="shared" si="20"/>
        <v>650315.77</v>
      </c>
      <c r="FX26" s="4">
        <f t="shared" si="20"/>
        <v>458511.66000000003</v>
      </c>
      <c r="FY26" s="4">
        <f t="shared" si="20"/>
        <v>0</v>
      </c>
      <c r="FZ26" s="4">
        <f t="shared" si="20"/>
        <v>458511.66000000003</v>
      </c>
      <c r="GA26" s="4">
        <f t="shared" si="20"/>
        <v>191804.11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ROW(SmtRes!A2)</f>
        <v>2</v>
      </c>
      <c r="D28" s="2">
        <f>ROW(EtalonRes!A3)</f>
        <v>3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73" si="21">ROUND(CP28,2)</f>
        <v>70.41</v>
      </c>
      <c r="P28" s="2">
        <f>ROUND((ROUND((AC28*AW28*I28),2)*BC28),2)</f>
        <v>0</v>
      </c>
      <c r="Q28" s="2">
        <f>(ROUND((ROUND((((ET28*1.1))*AV28*I28),2)*BB28),2)+ROUND((ROUND(((AE28-((EU28*1.1)))*AV28*I28),2)*BS28),2))</f>
        <v>30.62</v>
      </c>
      <c r="R28" s="2">
        <f t="shared" ref="R28:R73" si="22">ROUND((ROUND((AE28*AV28*I28),2)*BS28),2)</f>
        <v>4.6500000000000004</v>
      </c>
      <c r="S28" s="2">
        <f t="shared" ref="S28:S73" si="23">ROUND((ROUND((AF28*AV28*I28),2)*BA28),2)</f>
        <v>39.79</v>
      </c>
      <c r="T28" s="2">
        <f t="shared" ref="T28:T73" si="24">ROUND(CU28*I28,2)</f>
        <v>0</v>
      </c>
      <c r="U28" s="2">
        <f t="shared" ref="U28:U73" si="25">CV28*I28</f>
        <v>3.5587529999999998</v>
      </c>
      <c r="V28" s="2">
        <f t="shared" ref="V28:V73" si="26">CW28*I28</f>
        <v>0</v>
      </c>
      <c r="W28" s="2">
        <f t="shared" ref="W28:W73" si="27">ROUND(CX28*I28,2)</f>
        <v>0</v>
      </c>
      <c r="X28" s="2">
        <f t="shared" ref="X28:X73" si="28">ROUND(CY28,2)</f>
        <v>40</v>
      </c>
      <c r="Y28" s="2">
        <f t="shared" ref="Y28:Y73" si="29">ROUND(CZ28,2)</f>
        <v>20.440000000000001</v>
      </c>
      <c r="Z28" s="2"/>
      <c r="AA28" s="2">
        <v>56959434</v>
      </c>
      <c r="AB28" s="2">
        <f t="shared" ref="AB28:AB73" si="30">ROUND((AC28+AD28+AF28),6)</f>
        <v>67.254000000000005</v>
      </c>
      <c r="AC28" s="2">
        <f t="shared" ref="AC28:AC73" si="31">ROUND((ES28),6)</f>
        <v>0</v>
      </c>
      <c r="AD28" s="2">
        <f>ROUND(((((ET28*1.1))-((EU28*1.1)))+AE28),6)</f>
        <v>29.248999999999999</v>
      </c>
      <c r="AE28" s="2">
        <f>ROUND(((EU28*1.1)),6)</f>
        <v>4.444</v>
      </c>
      <c r="AF28" s="2">
        <f>ROUND(((EV28*1.1)),6)</f>
        <v>38.005000000000003</v>
      </c>
      <c r="AG28" s="2">
        <f t="shared" ref="AG28:AG73" si="32">ROUND((AP28),6)</f>
        <v>0</v>
      </c>
      <c r="AH28" s="2">
        <f>((EW28*1.1))</f>
        <v>3.399</v>
      </c>
      <c r="AI28" s="2">
        <f>((EX28*1.1))</f>
        <v>0</v>
      </c>
      <c r="AJ28" s="2">
        <f t="shared" ref="AJ28:AJ73" si="33">(AS28)</f>
        <v>0</v>
      </c>
      <c r="AK28" s="2">
        <v>61.14</v>
      </c>
      <c r="AL28" s="2">
        <v>0</v>
      </c>
      <c r="AM28" s="2">
        <v>26.59</v>
      </c>
      <c r="AN28" s="2">
        <v>4.04</v>
      </c>
      <c r="AO28" s="2">
        <v>34.549999999999997</v>
      </c>
      <c r="AP28" s="2">
        <v>0</v>
      </c>
      <c r="AQ28" s="2">
        <v>3.09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72</v>
      </c>
      <c r="BN28" s="2">
        <v>55992028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673</v>
      </c>
      <c r="CO28" s="2">
        <v>0</v>
      </c>
      <c r="CP28" s="2">
        <f t="shared" ref="CP28:CP73" si="34">(P28+Q28+S28)</f>
        <v>70.41</v>
      </c>
      <c r="CQ28" s="2">
        <f>ROUND((ROUND((AC28*AW28*1),2)*BC28),2)</f>
        <v>0</v>
      </c>
      <c r="CR28" s="2">
        <f>(ROUND((ROUND((((ET28*1.1))*AV28*1),2)*BB28),2)+ROUND((ROUND(((AE28-((EU28*1.1)))*AV28*1),2)*BS28),2))</f>
        <v>30.62</v>
      </c>
      <c r="CS28" s="2">
        <f t="shared" ref="CS28:CS73" si="35">ROUND((ROUND((AE28*AV28*1),2)*BS28),2)</f>
        <v>4.6500000000000004</v>
      </c>
      <c r="CT28" s="2">
        <f t="shared" ref="CT28:CT73" si="36">ROUND((ROUND((AF28*AV28*1),2)*BA28),2)</f>
        <v>39.79</v>
      </c>
      <c r="CU28" s="2">
        <f t="shared" ref="CU28:CU73" si="37">AG28</f>
        <v>0</v>
      </c>
      <c r="CV28" s="2">
        <f t="shared" ref="CV28:CV73" si="38">(AH28*AV28)</f>
        <v>3.5587529999999998</v>
      </c>
      <c r="CW28" s="2">
        <f t="shared" ref="CW28:CW73" si="39">AI28</f>
        <v>0</v>
      </c>
      <c r="CX28" s="2">
        <f t="shared" ref="CX28:CX73" si="40">AJ28</f>
        <v>0</v>
      </c>
      <c r="CY28" s="2">
        <f t="shared" ref="CY28:CY73" si="41">(((S28+R28)*AT28)/100)</f>
        <v>39.996000000000002</v>
      </c>
      <c r="CZ28" s="2">
        <f t="shared" ref="CZ28:CZ73" si="42">(((S28+R28)*AU28)/100)</f>
        <v>20.442399999999999</v>
      </c>
      <c r="DA28" s="2"/>
      <c r="DB28" s="2"/>
      <c r="DC28" s="2" t="s">
        <v>3</v>
      </c>
      <c r="DD28" s="2" t="s">
        <v>3</v>
      </c>
      <c r="DE28" s="2" t="s">
        <v>23</v>
      </c>
      <c r="DF28" s="2" t="s">
        <v>23</v>
      </c>
      <c r="DG28" s="2" t="s">
        <v>23</v>
      </c>
      <c r="DH28" s="2" t="s">
        <v>3</v>
      </c>
      <c r="DI28" s="2" t="s">
        <v>23</v>
      </c>
      <c r="DJ28" s="2" t="s">
        <v>23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55992157</v>
      </c>
      <c r="EF28" s="2">
        <v>40</v>
      </c>
      <c r="EG28" s="2" t="s">
        <v>24</v>
      </c>
      <c r="EH28" s="2">
        <v>0</v>
      </c>
      <c r="EI28" s="2" t="s">
        <v>3</v>
      </c>
      <c r="EJ28" s="2">
        <v>2</v>
      </c>
      <c r="EK28" s="2">
        <v>72</v>
      </c>
      <c r="EL28" s="2" t="s">
        <v>25</v>
      </c>
      <c r="EM28" s="2" t="s">
        <v>26</v>
      </c>
      <c r="EN28" s="2"/>
      <c r="EO28" s="2" t="s">
        <v>27</v>
      </c>
      <c r="EP28" s="2"/>
      <c r="EQ28" s="2">
        <v>0</v>
      </c>
      <c r="ER28" s="2">
        <v>61.14</v>
      </c>
      <c r="ES28" s="2">
        <v>0</v>
      </c>
      <c r="ET28" s="2">
        <v>26.59</v>
      </c>
      <c r="EU28" s="2">
        <v>4.04</v>
      </c>
      <c r="EV28" s="2">
        <v>34.549999999999997</v>
      </c>
      <c r="EW28" s="2">
        <v>3.09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-1491520468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73" si="43">ROUND(IF(AND(BH28=3,BI28=3,FS28&lt;&gt;0),P28,0),2)</f>
        <v>0</v>
      </c>
      <c r="GM28" s="2">
        <f t="shared" ref="GM28:GM73" si="44">ROUND(O28+X28+Y28,2)+GX28</f>
        <v>130.85</v>
      </c>
      <c r="GN28" s="2">
        <f t="shared" ref="GN28:GN73" si="45">IF(OR(BI28=0,BI28=1),GM28-GX28,0)</f>
        <v>0</v>
      </c>
      <c r="GO28" s="2">
        <f t="shared" ref="GO28:GO73" si="46">IF(BI28=2,GM28-GX28,0)</f>
        <v>130.85</v>
      </c>
      <c r="GP28" s="2">
        <f t="shared" ref="GP28:GP73" si="47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73" si="48">ROUND((GT28),6)</f>
        <v>0</v>
      </c>
      <c r="GW28" s="2">
        <v>1</v>
      </c>
      <c r="GX28" s="2">
        <f t="shared" ref="GX28:GX73" si="49">ROUND(HC28*I28,2)</f>
        <v>0</v>
      </c>
      <c r="GY28" s="2"/>
      <c r="GZ28" s="2"/>
      <c r="HA28" s="2">
        <v>0</v>
      </c>
      <c r="HB28" s="2">
        <v>0</v>
      </c>
      <c r="HC28" s="2">
        <f t="shared" ref="HC28:HC73" si="50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ROW(SmtRes!A4)</f>
        <v>4</v>
      </c>
      <c r="D29">
        <f>ROW(EtalonRes!A6)</f>
        <v>6</v>
      </c>
      <c r="E29" t="s">
        <v>18</v>
      </c>
      <c r="F29" t="s">
        <v>19</v>
      </c>
      <c r="G29" t="s">
        <v>20</v>
      </c>
      <c r="H29" t="s">
        <v>21</v>
      </c>
      <c r="I29">
        <v>1</v>
      </c>
      <c r="J29">
        <v>0</v>
      </c>
      <c r="K29">
        <v>1</v>
      </c>
      <c r="O29">
        <f t="shared" si="21"/>
        <v>2687.16</v>
      </c>
      <c r="P29">
        <f>ROUND((ROUND((AC29*AW29*I29),2)*BC29),2)</f>
        <v>0</v>
      </c>
      <c r="Q29">
        <f>(ROUND((ROUND((((ET29*1.1))*AV29*I29),2)*BB29),2)+ROUND((ROUND(((AE29-((EU29*1.1)))*AV29*I29),2)*BS29),2))</f>
        <v>499.11</v>
      </c>
      <c r="R29">
        <f t="shared" si="22"/>
        <v>255.7</v>
      </c>
      <c r="S29">
        <f t="shared" si="23"/>
        <v>2188.0500000000002</v>
      </c>
      <c r="T29">
        <f t="shared" si="24"/>
        <v>0</v>
      </c>
      <c r="U29">
        <f t="shared" si="25"/>
        <v>3.5587529999999998</v>
      </c>
      <c r="V29">
        <f t="shared" si="26"/>
        <v>0</v>
      </c>
      <c r="W29">
        <f t="shared" si="27"/>
        <v>0</v>
      </c>
      <c r="X29">
        <f t="shared" si="28"/>
        <v>2199.38</v>
      </c>
      <c r="Y29">
        <f t="shared" si="29"/>
        <v>1124.1300000000001</v>
      </c>
      <c r="AA29">
        <v>56959431</v>
      </c>
      <c r="AB29">
        <f t="shared" si="30"/>
        <v>67.254000000000005</v>
      </c>
      <c r="AC29">
        <f t="shared" si="31"/>
        <v>0</v>
      </c>
      <c r="AD29">
        <f>ROUND(((((ET29*1.1))-((EU29*1.1)))+AE29),6)</f>
        <v>29.248999999999999</v>
      </c>
      <c r="AE29">
        <f>ROUND(((EU29*1.1)),6)</f>
        <v>4.444</v>
      </c>
      <c r="AF29">
        <f>ROUND(((EV29*1.1)),6)</f>
        <v>38.005000000000003</v>
      </c>
      <c r="AG29">
        <f t="shared" si="32"/>
        <v>0</v>
      </c>
      <c r="AH29">
        <f>((EW29*1.1))</f>
        <v>3.399</v>
      </c>
      <c r="AI29">
        <f>((EX29*1.1))</f>
        <v>0</v>
      </c>
      <c r="AJ29">
        <f t="shared" si="33"/>
        <v>0</v>
      </c>
      <c r="AK29">
        <v>61.14</v>
      </c>
      <c r="AL29">
        <v>0</v>
      </c>
      <c r="AM29">
        <v>26.59</v>
      </c>
      <c r="AN29">
        <v>4.04</v>
      </c>
      <c r="AO29">
        <v>34.549999999999997</v>
      </c>
      <c r="AP29">
        <v>0</v>
      </c>
      <c r="AQ29">
        <v>3.09</v>
      </c>
      <c r="AR29">
        <v>0</v>
      </c>
      <c r="AS29">
        <v>0</v>
      </c>
      <c r="AT29">
        <v>90</v>
      </c>
      <c r="AU29">
        <v>46</v>
      </c>
      <c r="AV29">
        <v>1.0469999999999999</v>
      </c>
      <c r="AW29">
        <v>1</v>
      </c>
      <c r="AZ29">
        <v>1</v>
      </c>
      <c r="BA29">
        <v>54.99</v>
      </c>
      <c r="BB29">
        <v>16.3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22</v>
      </c>
      <c r="BM29">
        <v>72</v>
      </c>
      <c r="BN29">
        <v>55992028</v>
      </c>
      <c r="BO29" t="s">
        <v>19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90</v>
      </c>
      <c r="CA29">
        <v>46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673</v>
      </c>
      <c r="CO29">
        <v>0</v>
      </c>
      <c r="CP29">
        <f t="shared" si="34"/>
        <v>2687.1600000000003</v>
      </c>
      <c r="CQ29">
        <f>ROUND((ROUND((AC29*AW29*1),2)*BC29),2)</f>
        <v>0</v>
      </c>
      <c r="CR29">
        <f>(ROUND((ROUND((((ET29*1.1))*AV29*1),2)*BB29),2)+ROUND((ROUND(((AE29-((EU29*1.1)))*AV29*1),2)*BS29),2))</f>
        <v>499.11</v>
      </c>
      <c r="CS29">
        <f t="shared" si="35"/>
        <v>255.7</v>
      </c>
      <c r="CT29">
        <f t="shared" si="36"/>
        <v>2188.0500000000002</v>
      </c>
      <c r="CU29">
        <f t="shared" si="37"/>
        <v>0</v>
      </c>
      <c r="CV29">
        <f t="shared" si="38"/>
        <v>3.5587529999999998</v>
      </c>
      <c r="CW29">
        <f t="shared" si="39"/>
        <v>0</v>
      </c>
      <c r="CX29">
        <f t="shared" si="40"/>
        <v>0</v>
      </c>
      <c r="CY29">
        <f t="shared" si="41"/>
        <v>2199.375</v>
      </c>
      <c r="CZ29">
        <f t="shared" si="42"/>
        <v>1124.125</v>
      </c>
      <c r="DC29" t="s">
        <v>3</v>
      </c>
      <c r="DD29" t="s">
        <v>3</v>
      </c>
      <c r="DE29" t="s">
        <v>23</v>
      </c>
      <c r="DF29" t="s">
        <v>23</v>
      </c>
      <c r="DG29" t="s">
        <v>23</v>
      </c>
      <c r="DH29" t="s">
        <v>3</v>
      </c>
      <c r="DI29" t="s">
        <v>23</v>
      </c>
      <c r="DJ29" t="s">
        <v>23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21</v>
      </c>
      <c r="DW29" t="s">
        <v>21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55992157</v>
      </c>
      <c r="EF29">
        <v>40</v>
      </c>
      <c r="EG29" t="s">
        <v>24</v>
      </c>
      <c r="EH29">
        <v>0</v>
      </c>
      <c r="EI29" t="s">
        <v>3</v>
      </c>
      <c r="EJ29">
        <v>2</v>
      </c>
      <c r="EK29">
        <v>72</v>
      </c>
      <c r="EL29" t="s">
        <v>25</v>
      </c>
      <c r="EM29" t="s">
        <v>26</v>
      </c>
      <c r="EO29" t="s">
        <v>27</v>
      </c>
      <c r="EQ29">
        <v>0</v>
      </c>
      <c r="ER29">
        <v>61.14</v>
      </c>
      <c r="ES29">
        <v>0</v>
      </c>
      <c r="ET29">
        <v>26.59</v>
      </c>
      <c r="EU29">
        <v>4.04</v>
      </c>
      <c r="EV29">
        <v>34.549999999999997</v>
      </c>
      <c r="EW29">
        <v>3.09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90</v>
      </c>
      <c r="FY29">
        <v>46</v>
      </c>
      <c r="GA29" t="s">
        <v>3</v>
      </c>
      <c r="GD29">
        <v>1</v>
      </c>
      <c r="GF29">
        <v>-1491520468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43"/>
        <v>0</v>
      </c>
      <c r="GM29">
        <f t="shared" si="44"/>
        <v>6010.67</v>
      </c>
      <c r="GN29">
        <f t="shared" si="45"/>
        <v>0</v>
      </c>
      <c r="GO29">
        <f t="shared" si="46"/>
        <v>6010.67</v>
      </c>
      <c r="GP29">
        <f t="shared" si="47"/>
        <v>0</v>
      </c>
      <c r="GR29">
        <v>0</v>
      </c>
      <c r="GS29">
        <v>3</v>
      </c>
      <c r="GT29">
        <v>0</v>
      </c>
      <c r="GU29" t="s">
        <v>3</v>
      </c>
      <c r="GV29">
        <f t="shared" si="48"/>
        <v>0</v>
      </c>
      <c r="GW29">
        <v>1</v>
      </c>
      <c r="GX29">
        <f t="shared" si="49"/>
        <v>0</v>
      </c>
      <c r="HA29">
        <v>0</v>
      </c>
      <c r="HB29">
        <v>0</v>
      </c>
      <c r="HC29">
        <f t="shared" si="50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28</v>
      </c>
      <c r="F30" s="2" t="s">
        <v>29</v>
      </c>
      <c r="G30" s="2" t="s">
        <v>30</v>
      </c>
      <c r="H30" s="2" t="s">
        <v>31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8548.5499999999993</v>
      </c>
      <c r="P30" s="2">
        <f>ROUND((ROUND((AC30*I30),2)*BC30),2)</f>
        <v>8548.5499999999993</v>
      </c>
      <c r="Q30" s="2">
        <f>(ROUND((ROUND(((ET30)*AV30*I30),2)*BB30),2)+ROUND((ROUND(((AE30-(EU30))*AV30*I30),2)*BS30),2))</f>
        <v>0</v>
      </c>
      <c r="R30" s="2">
        <f t="shared" si="22"/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si="28"/>
        <v>0</v>
      </c>
      <c r="Y30" s="2">
        <f t="shared" si="29"/>
        <v>0</v>
      </c>
      <c r="Z30" s="2"/>
      <c r="AA30" s="2">
        <v>56959434</v>
      </c>
      <c r="AB30" s="2">
        <f t="shared" si="30"/>
        <v>8548.5499999999993</v>
      </c>
      <c r="AC30" s="2">
        <f t="shared" si="31"/>
        <v>8548.5499999999993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32"/>
        <v>0</v>
      </c>
      <c r="AH30" s="2">
        <f>(EW30)</f>
        <v>0</v>
      </c>
      <c r="AI30" s="2">
        <f>(EX30)</f>
        <v>0</v>
      </c>
      <c r="AJ30" s="2">
        <f t="shared" si="33"/>
        <v>0</v>
      </c>
      <c r="AK30" s="2">
        <v>8548.5500000000011</v>
      </c>
      <c r="AL30" s="2">
        <v>8548.5500000000011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4"/>
        <v>8548.5499999999993</v>
      </c>
      <c r="CQ30" s="2">
        <f>ROUND((ROUND((AC30*1),2)*BC30),2)</f>
        <v>8548.5499999999993</v>
      </c>
      <c r="CR30" s="2">
        <f>(ROUND((ROUND(((ET30)*AV30*1),2)*BB30),2)+ROUND((ROUND(((AE30-(EU30))*AV30*1),2)*BS30),2))</f>
        <v>0</v>
      </c>
      <c r="CS30" s="2">
        <f t="shared" si="35"/>
        <v>0</v>
      </c>
      <c r="CT30" s="2">
        <f t="shared" si="36"/>
        <v>0</v>
      </c>
      <c r="CU30" s="2">
        <f t="shared" si="37"/>
        <v>0</v>
      </c>
      <c r="CV30" s="2">
        <f t="shared" si="38"/>
        <v>0</v>
      </c>
      <c r="CW30" s="2">
        <f t="shared" si="39"/>
        <v>0</v>
      </c>
      <c r="CX30" s="2">
        <f t="shared" si="40"/>
        <v>0</v>
      </c>
      <c r="CY30" s="2">
        <f t="shared" si="41"/>
        <v>0</v>
      </c>
      <c r="CZ30" s="2">
        <f t="shared" si="42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31</v>
      </c>
      <c r="DW30" s="2" t="s">
        <v>31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55992259</v>
      </c>
      <c r="EF30" s="2">
        <v>130</v>
      </c>
      <c r="EG30" s="2" t="s">
        <v>32</v>
      </c>
      <c r="EH30" s="2">
        <v>0</v>
      </c>
      <c r="EI30" s="2" t="s">
        <v>3</v>
      </c>
      <c r="EJ30" s="2">
        <v>3</v>
      </c>
      <c r="EK30" s="2">
        <v>746</v>
      </c>
      <c r="EL30" s="2" t="s">
        <v>33</v>
      </c>
      <c r="EM30" s="2" t="s">
        <v>34</v>
      </c>
      <c r="EN30" s="2"/>
      <c r="EO30" s="2" t="s">
        <v>3</v>
      </c>
      <c r="EP30" s="2"/>
      <c r="EQ30" s="2">
        <v>0</v>
      </c>
      <c r="ER30" s="2">
        <v>0</v>
      </c>
      <c r="ES30" s="2">
        <v>8548.5500000000011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8548.5499999999993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35</v>
      </c>
      <c r="GB30" s="2"/>
      <c r="GC30" s="2"/>
      <c r="GD30" s="2">
        <v>1</v>
      </c>
      <c r="GE30" s="2"/>
      <c r="GF30" s="2">
        <v>540965289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43"/>
        <v>0</v>
      </c>
      <c r="GM30" s="2">
        <f t="shared" si="44"/>
        <v>8548.5499999999993</v>
      </c>
      <c r="GN30" s="2">
        <f t="shared" si="45"/>
        <v>0</v>
      </c>
      <c r="GO30" s="2">
        <f t="shared" si="46"/>
        <v>0</v>
      </c>
      <c r="GP30" s="2">
        <f t="shared" si="47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8"/>
        <v>0</v>
      </c>
      <c r="GW30" s="2">
        <v>1</v>
      </c>
      <c r="GX30" s="2">
        <f t="shared" si="49"/>
        <v>0</v>
      </c>
      <c r="GY30" s="2"/>
      <c r="GZ30" s="2"/>
      <c r="HA30" s="2">
        <v>0</v>
      </c>
      <c r="HB30" s="2">
        <v>0</v>
      </c>
      <c r="HC30" s="2">
        <f t="shared" si="50"/>
        <v>0</v>
      </c>
      <c r="HD30" s="2"/>
      <c r="HE30" s="2" t="s">
        <v>36</v>
      </c>
      <c r="HF30" s="2" t="s">
        <v>37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E31" t="s">
        <v>28</v>
      </c>
      <c r="F31" t="s">
        <v>29</v>
      </c>
      <c r="G31" t="s">
        <v>30</v>
      </c>
      <c r="H31" t="s">
        <v>31</v>
      </c>
      <c r="I31">
        <v>1</v>
      </c>
      <c r="J31">
        <v>0</v>
      </c>
      <c r="K31">
        <v>1</v>
      </c>
      <c r="O31">
        <f t="shared" si="21"/>
        <v>65481.89</v>
      </c>
      <c r="P31">
        <f>ROUND((ROUND((AC31*I31),2)*BC31),2)</f>
        <v>65481.89</v>
      </c>
      <c r="Q31">
        <f>(ROUND((ROUND(((ET31)*AV31*I31),2)*BB31),2)+ROUND((ROUND(((AE31-(EU31))*AV31*I31),2)*BS31),2))</f>
        <v>0</v>
      </c>
      <c r="R31">
        <f t="shared" si="22"/>
        <v>0</v>
      </c>
      <c r="S31">
        <f t="shared" si="23"/>
        <v>0</v>
      </c>
      <c r="T31">
        <f t="shared" si="24"/>
        <v>0</v>
      </c>
      <c r="U31">
        <f t="shared" si="25"/>
        <v>0</v>
      </c>
      <c r="V31">
        <f t="shared" si="26"/>
        <v>0</v>
      </c>
      <c r="W31">
        <f t="shared" si="27"/>
        <v>0</v>
      </c>
      <c r="X31">
        <f t="shared" si="28"/>
        <v>0</v>
      </c>
      <c r="Y31">
        <f t="shared" si="29"/>
        <v>0</v>
      </c>
      <c r="AA31">
        <v>56959431</v>
      </c>
      <c r="AB31">
        <f t="shared" si="30"/>
        <v>8548.5499999999993</v>
      </c>
      <c r="AC31">
        <f t="shared" si="31"/>
        <v>8548.5499999999993</v>
      </c>
      <c r="AD31">
        <f>ROUND((((ET31)-(EU31))+AE31),6)</f>
        <v>0</v>
      </c>
      <c r="AE31">
        <f>ROUND((EU31),6)</f>
        <v>0</v>
      </c>
      <c r="AF31">
        <f>ROUND((EV31),6)</f>
        <v>0</v>
      </c>
      <c r="AG31">
        <f t="shared" si="32"/>
        <v>0</v>
      </c>
      <c r="AH31">
        <f>(EW31)</f>
        <v>0</v>
      </c>
      <c r="AI31">
        <f>(EX31)</f>
        <v>0</v>
      </c>
      <c r="AJ31">
        <f t="shared" si="33"/>
        <v>0</v>
      </c>
      <c r="AK31">
        <v>8548.5500000000011</v>
      </c>
      <c r="AL31">
        <v>8548.5500000000011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0</v>
      </c>
      <c r="CA31">
        <v>0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4"/>
        <v>65481.89</v>
      </c>
      <c r="CQ31">
        <f>ROUND((ROUND((AC31*1),2)*BC31),2)</f>
        <v>65481.89</v>
      </c>
      <c r="CR31">
        <f>(ROUND((ROUND(((ET31)*AV31*1),2)*BB31),2)+ROUND((ROUND(((AE31-(EU31))*AV31*1),2)*BS31),2))</f>
        <v>0</v>
      </c>
      <c r="CS31">
        <f t="shared" si="35"/>
        <v>0</v>
      </c>
      <c r="CT31">
        <f t="shared" si="36"/>
        <v>0</v>
      </c>
      <c r="CU31">
        <f t="shared" si="37"/>
        <v>0</v>
      </c>
      <c r="CV31">
        <f t="shared" si="38"/>
        <v>0</v>
      </c>
      <c r="CW31">
        <f t="shared" si="39"/>
        <v>0</v>
      </c>
      <c r="CX31">
        <f t="shared" si="40"/>
        <v>0</v>
      </c>
      <c r="CY31">
        <f t="shared" si="41"/>
        <v>0</v>
      </c>
      <c r="CZ31">
        <f t="shared" si="42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31</v>
      </c>
      <c r="DW31" t="s">
        <v>31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55992259</v>
      </c>
      <c r="EF31">
        <v>130</v>
      </c>
      <c r="EG31" t="s">
        <v>32</v>
      </c>
      <c r="EH31">
        <v>0</v>
      </c>
      <c r="EI31" t="s">
        <v>3</v>
      </c>
      <c r="EJ31">
        <v>3</v>
      </c>
      <c r="EK31">
        <v>746</v>
      </c>
      <c r="EL31" t="s">
        <v>33</v>
      </c>
      <c r="EM31" t="s">
        <v>34</v>
      </c>
      <c r="EO31" t="s">
        <v>3</v>
      </c>
      <c r="EQ31">
        <v>0</v>
      </c>
      <c r="ER31">
        <v>8548.5500000000011</v>
      </c>
      <c r="ES31">
        <v>8548.5500000000011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5</v>
      </c>
      <c r="FC31">
        <v>1</v>
      </c>
      <c r="FD31">
        <v>18</v>
      </c>
      <c r="FF31">
        <v>75385</v>
      </c>
      <c r="FQ31">
        <v>0</v>
      </c>
      <c r="FR31">
        <f>P31</f>
        <v>65481.89</v>
      </c>
      <c r="FS31">
        <v>0</v>
      </c>
      <c r="FX31">
        <v>0</v>
      </c>
      <c r="FY31">
        <v>0</v>
      </c>
      <c r="GA31" t="s">
        <v>35</v>
      </c>
      <c r="GD31">
        <v>1</v>
      </c>
      <c r="GF31">
        <v>540965289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43"/>
        <v>0</v>
      </c>
      <c r="GM31">
        <f t="shared" si="44"/>
        <v>65481.89</v>
      </c>
      <c r="GN31">
        <f t="shared" si="45"/>
        <v>0</v>
      </c>
      <c r="GO31">
        <f t="shared" si="46"/>
        <v>0</v>
      </c>
      <c r="GP31">
        <f t="shared" si="47"/>
        <v>0</v>
      </c>
      <c r="GR31">
        <v>1</v>
      </c>
      <c r="GS31">
        <v>1</v>
      </c>
      <c r="GT31">
        <v>0</v>
      </c>
      <c r="GU31" t="s">
        <v>3</v>
      </c>
      <c r="GV31">
        <f t="shared" si="48"/>
        <v>0</v>
      </c>
      <c r="GW31">
        <v>1</v>
      </c>
      <c r="GX31">
        <f t="shared" si="49"/>
        <v>0</v>
      </c>
      <c r="HA31">
        <v>0</v>
      </c>
      <c r="HB31">
        <v>0</v>
      </c>
      <c r="HC31">
        <f t="shared" si="50"/>
        <v>0</v>
      </c>
      <c r="HE31" t="s">
        <v>36</v>
      </c>
      <c r="HF31" t="s">
        <v>37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ROW(SmtRes!A11)</f>
        <v>11</v>
      </c>
      <c r="D32" s="2">
        <f>ROW(EtalonRes!A13)</f>
        <v>13</v>
      </c>
      <c r="E32" s="2" t="s">
        <v>36</v>
      </c>
      <c r="F32" s="2" t="s">
        <v>38</v>
      </c>
      <c r="G32" s="2" t="s">
        <v>39</v>
      </c>
      <c r="H32" s="2" t="s">
        <v>21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139.13999999999999</v>
      </c>
      <c r="P32" s="2">
        <f t="shared" ref="P32:P37" si="51">ROUND((ROUND((AC32*AW32*I32),2)*BC32),2)</f>
        <v>109.01</v>
      </c>
      <c r="Q32" s="2">
        <f>(ROUND((ROUND((((ET32*1.1))*AV32*I32),2)*BB32),2)+ROUND((ROUND(((AE32-((EU32*1.1)))*AV32*I32),2)*BS32),2))</f>
        <v>2.74</v>
      </c>
      <c r="R32" s="2">
        <f t="shared" si="22"/>
        <v>0.28999999999999998</v>
      </c>
      <c r="S32" s="2">
        <f t="shared" si="23"/>
        <v>27.39</v>
      </c>
      <c r="T32" s="2">
        <f t="shared" si="24"/>
        <v>0</v>
      </c>
      <c r="U32" s="2">
        <f t="shared" si="25"/>
        <v>2.3033999999999999</v>
      </c>
      <c r="V32" s="2">
        <f t="shared" si="26"/>
        <v>0</v>
      </c>
      <c r="W32" s="2">
        <f t="shared" si="27"/>
        <v>0</v>
      </c>
      <c r="X32" s="2">
        <f t="shared" si="28"/>
        <v>24.91</v>
      </c>
      <c r="Y32" s="2">
        <f t="shared" si="29"/>
        <v>12.73</v>
      </c>
      <c r="Z32" s="2"/>
      <c r="AA32" s="2">
        <v>56959434</v>
      </c>
      <c r="AB32" s="2">
        <f t="shared" si="30"/>
        <v>137.786</v>
      </c>
      <c r="AC32" s="2">
        <f t="shared" si="31"/>
        <v>109.01</v>
      </c>
      <c r="AD32" s="2">
        <f>ROUND(((((ET32*1.1))-((EU32*1.1)))+AE32),6)</f>
        <v>2.6179999999999999</v>
      </c>
      <c r="AE32" s="2">
        <f>ROUND(((EU32*1.1)),6)</f>
        <v>0.27500000000000002</v>
      </c>
      <c r="AF32" s="2">
        <f>ROUND(((EV32*1.1)),6)</f>
        <v>26.158000000000001</v>
      </c>
      <c r="AG32" s="2">
        <f t="shared" si="32"/>
        <v>0</v>
      </c>
      <c r="AH32" s="2">
        <f>((EW32*1.1))</f>
        <v>2.2000000000000002</v>
      </c>
      <c r="AI32" s="2">
        <f>((EX32*1.1))</f>
        <v>0</v>
      </c>
      <c r="AJ32" s="2">
        <f t="shared" si="33"/>
        <v>0</v>
      </c>
      <c r="AK32" s="2">
        <v>135.16999999999999</v>
      </c>
      <c r="AL32" s="2">
        <v>109.01</v>
      </c>
      <c r="AM32" s="2">
        <v>2.38</v>
      </c>
      <c r="AN32" s="2">
        <v>0.25</v>
      </c>
      <c r="AO32" s="2">
        <v>23.78</v>
      </c>
      <c r="AP32" s="2">
        <v>0</v>
      </c>
      <c r="AQ32" s="2">
        <v>2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40</v>
      </c>
      <c r="BK32" s="2"/>
      <c r="BL32" s="2"/>
      <c r="BM32" s="2">
        <v>68</v>
      </c>
      <c r="BN32" s="2">
        <v>55992028</v>
      </c>
      <c r="BO32" s="2" t="s">
        <v>38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673</v>
      </c>
      <c r="CO32" s="2">
        <v>0</v>
      </c>
      <c r="CP32" s="2">
        <f t="shared" si="34"/>
        <v>139.13999999999999</v>
      </c>
      <c r="CQ32" s="2">
        <f t="shared" ref="CQ32:CQ37" si="52">ROUND((ROUND((AC32*AW32*1),2)*BC32),2)</f>
        <v>109.01</v>
      </c>
      <c r="CR32" s="2">
        <f>(ROUND((ROUND((((ET32*1.1))*AV32*1),2)*BB32),2)+ROUND((ROUND(((AE32-((EU32*1.1)))*AV32*1),2)*BS32),2))</f>
        <v>2.74</v>
      </c>
      <c r="CS32" s="2">
        <f t="shared" si="35"/>
        <v>0.28999999999999998</v>
      </c>
      <c r="CT32" s="2">
        <f t="shared" si="36"/>
        <v>27.39</v>
      </c>
      <c r="CU32" s="2">
        <f t="shared" si="37"/>
        <v>0</v>
      </c>
      <c r="CV32" s="2">
        <f t="shared" si="38"/>
        <v>2.3033999999999999</v>
      </c>
      <c r="CW32" s="2">
        <f t="shared" si="39"/>
        <v>0</v>
      </c>
      <c r="CX32" s="2">
        <f t="shared" si="40"/>
        <v>0</v>
      </c>
      <c r="CY32" s="2">
        <f t="shared" si="41"/>
        <v>24.911999999999999</v>
      </c>
      <c r="CZ32" s="2">
        <f t="shared" si="42"/>
        <v>12.732799999999999</v>
      </c>
      <c r="DA32" s="2"/>
      <c r="DB32" s="2"/>
      <c r="DC32" s="2" t="s">
        <v>3</v>
      </c>
      <c r="DD32" s="2" t="s">
        <v>3</v>
      </c>
      <c r="DE32" s="2" t="s">
        <v>23</v>
      </c>
      <c r="DF32" s="2" t="s">
        <v>23</v>
      </c>
      <c r="DG32" s="2" t="s">
        <v>23</v>
      </c>
      <c r="DH32" s="2" t="s">
        <v>3</v>
      </c>
      <c r="DI32" s="2" t="s">
        <v>23</v>
      </c>
      <c r="DJ32" s="2" t="s">
        <v>23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21</v>
      </c>
      <c r="DW32" s="2" t="s">
        <v>21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55992152</v>
      </c>
      <c r="EF32" s="2">
        <v>40</v>
      </c>
      <c r="EG32" s="2" t="s">
        <v>24</v>
      </c>
      <c r="EH32" s="2">
        <v>0</v>
      </c>
      <c r="EI32" s="2" t="s">
        <v>3</v>
      </c>
      <c r="EJ32" s="2">
        <v>2</v>
      </c>
      <c r="EK32" s="2">
        <v>68</v>
      </c>
      <c r="EL32" s="2" t="s">
        <v>41</v>
      </c>
      <c r="EM32" s="2" t="s">
        <v>42</v>
      </c>
      <c r="EN32" s="2"/>
      <c r="EO32" s="2" t="s">
        <v>27</v>
      </c>
      <c r="EP32" s="2"/>
      <c r="EQ32" s="2">
        <v>0</v>
      </c>
      <c r="ER32" s="2">
        <v>135.16999999999999</v>
      </c>
      <c r="ES32" s="2">
        <v>109.01</v>
      </c>
      <c r="ET32" s="2">
        <v>2.38</v>
      </c>
      <c r="EU32" s="2">
        <v>0.25</v>
      </c>
      <c r="EV32" s="2">
        <v>23.78</v>
      </c>
      <c r="EW32" s="2">
        <v>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438712902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43"/>
        <v>0</v>
      </c>
      <c r="GM32" s="2">
        <f t="shared" si="44"/>
        <v>176.78</v>
      </c>
      <c r="GN32" s="2">
        <f t="shared" si="45"/>
        <v>0</v>
      </c>
      <c r="GO32" s="2">
        <f t="shared" si="46"/>
        <v>176.78</v>
      </c>
      <c r="GP32" s="2">
        <f t="shared" si="47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8"/>
        <v>0</v>
      </c>
      <c r="GW32" s="2">
        <v>1</v>
      </c>
      <c r="GX32" s="2">
        <f t="shared" si="49"/>
        <v>0</v>
      </c>
      <c r="GY32" s="2"/>
      <c r="GZ32" s="2"/>
      <c r="HA32" s="2">
        <v>0</v>
      </c>
      <c r="HB32" s="2">
        <v>0</v>
      </c>
      <c r="HC32" s="2">
        <f t="shared" si="50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ROW(SmtRes!A18)</f>
        <v>18</v>
      </c>
      <c r="D33">
        <f>ROW(EtalonRes!A20)</f>
        <v>20</v>
      </c>
      <c r="E33" t="s">
        <v>36</v>
      </c>
      <c r="F33" t="s">
        <v>38</v>
      </c>
      <c r="G33" t="s">
        <v>39</v>
      </c>
      <c r="H33" t="s">
        <v>21</v>
      </c>
      <c r="I33">
        <v>1</v>
      </c>
      <c r="J33">
        <v>0</v>
      </c>
      <c r="K33">
        <v>1</v>
      </c>
      <c r="O33">
        <f t="shared" si="21"/>
        <v>1899.88</v>
      </c>
      <c r="P33">
        <f t="shared" si="51"/>
        <v>355.37</v>
      </c>
      <c r="Q33">
        <f>(ROUND((ROUND((((ET33*1.1))*AV33*I33),2)*BB33),2)+ROUND((ROUND(((AE33-((EU33*1.1)))*AV33*I33),2)*BS33),2))</f>
        <v>38.33</v>
      </c>
      <c r="R33">
        <f t="shared" si="22"/>
        <v>15.95</v>
      </c>
      <c r="S33">
        <f t="shared" si="23"/>
        <v>1506.18</v>
      </c>
      <c r="T33">
        <f t="shared" si="24"/>
        <v>0</v>
      </c>
      <c r="U33">
        <f t="shared" si="25"/>
        <v>2.3033999999999999</v>
      </c>
      <c r="V33">
        <f t="shared" si="26"/>
        <v>0</v>
      </c>
      <c r="W33">
        <f t="shared" si="27"/>
        <v>0</v>
      </c>
      <c r="X33">
        <f t="shared" si="28"/>
        <v>1369.92</v>
      </c>
      <c r="Y33">
        <f t="shared" si="29"/>
        <v>700.18</v>
      </c>
      <c r="AA33">
        <v>56959431</v>
      </c>
      <c r="AB33">
        <f t="shared" si="30"/>
        <v>137.786</v>
      </c>
      <c r="AC33">
        <f t="shared" si="31"/>
        <v>109.01</v>
      </c>
      <c r="AD33">
        <f>ROUND(((((ET33*1.1))-((EU33*1.1)))+AE33),6)</f>
        <v>2.6179999999999999</v>
      </c>
      <c r="AE33">
        <f>ROUND(((EU33*1.1)),6)</f>
        <v>0.27500000000000002</v>
      </c>
      <c r="AF33">
        <f>ROUND(((EV33*1.1)),6)</f>
        <v>26.158000000000001</v>
      </c>
      <c r="AG33">
        <f t="shared" si="32"/>
        <v>0</v>
      </c>
      <c r="AH33">
        <f>((EW33*1.1))</f>
        <v>2.2000000000000002</v>
      </c>
      <c r="AI33">
        <f>((EX33*1.1))</f>
        <v>0</v>
      </c>
      <c r="AJ33">
        <f t="shared" si="33"/>
        <v>0</v>
      </c>
      <c r="AK33">
        <v>135.16999999999999</v>
      </c>
      <c r="AL33">
        <v>109.01</v>
      </c>
      <c r="AM33">
        <v>2.38</v>
      </c>
      <c r="AN33">
        <v>0.25</v>
      </c>
      <c r="AO33">
        <v>23.78</v>
      </c>
      <c r="AP33">
        <v>0</v>
      </c>
      <c r="AQ33">
        <v>2</v>
      </c>
      <c r="AR33">
        <v>0</v>
      </c>
      <c r="AS33">
        <v>0</v>
      </c>
      <c r="AT33">
        <v>90</v>
      </c>
      <c r="AU33">
        <v>46</v>
      </c>
      <c r="AV33">
        <v>1.0469999999999999</v>
      </c>
      <c r="AW33">
        <v>1</v>
      </c>
      <c r="AZ33">
        <v>1</v>
      </c>
      <c r="BA33">
        <v>54.99</v>
      </c>
      <c r="BB33">
        <v>13.99</v>
      </c>
      <c r="BC33">
        <v>3.26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2</v>
      </c>
      <c r="BJ33" t="s">
        <v>40</v>
      </c>
      <c r="BM33">
        <v>68</v>
      </c>
      <c r="BN33">
        <v>55992028</v>
      </c>
      <c r="BO33" t="s">
        <v>38</v>
      </c>
      <c r="BP33">
        <v>1</v>
      </c>
      <c r="BQ33">
        <v>40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90</v>
      </c>
      <c r="CA33">
        <v>46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673</v>
      </c>
      <c r="CO33">
        <v>0</v>
      </c>
      <c r="CP33">
        <f t="shared" si="34"/>
        <v>1899.88</v>
      </c>
      <c r="CQ33">
        <f t="shared" si="52"/>
        <v>355.37</v>
      </c>
      <c r="CR33">
        <f>(ROUND((ROUND((((ET33*1.1))*AV33*1),2)*BB33),2)+ROUND((ROUND(((AE33-((EU33*1.1)))*AV33*1),2)*BS33),2))</f>
        <v>38.33</v>
      </c>
      <c r="CS33">
        <f t="shared" si="35"/>
        <v>15.95</v>
      </c>
      <c r="CT33">
        <f t="shared" si="36"/>
        <v>1506.18</v>
      </c>
      <c r="CU33">
        <f t="shared" si="37"/>
        <v>0</v>
      </c>
      <c r="CV33">
        <f t="shared" si="38"/>
        <v>2.3033999999999999</v>
      </c>
      <c r="CW33">
        <f t="shared" si="39"/>
        <v>0</v>
      </c>
      <c r="CX33">
        <f t="shared" si="40"/>
        <v>0</v>
      </c>
      <c r="CY33">
        <f t="shared" si="41"/>
        <v>1369.9170000000001</v>
      </c>
      <c r="CZ33">
        <f t="shared" si="42"/>
        <v>700.17980000000011</v>
      </c>
      <c r="DC33" t="s">
        <v>3</v>
      </c>
      <c r="DD33" t="s">
        <v>3</v>
      </c>
      <c r="DE33" t="s">
        <v>23</v>
      </c>
      <c r="DF33" t="s">
        <v>23</v>
      </c>
      <c r="DG33" t="s">
        <v>23</v>
      </c>
      <c r="DH33" t="s">
        <v>3</v>
      </c>
      <c r="DI33" t="s">
        <v>23</v>
      </c>
      <c r="DJ33" t="s">
        <v>23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21</v>
      </c>
      <c r="DW33" t="s">
        <v>21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55992152</v>
      </c>
      <c r="EF33">
        <v>40</v>
      </c>
      <c r="EG33" t="s">
        <v>24</v>
      </c>
      <c r="EH33">
        <v>0</v>
      </c>
      <c r="EI33" t="s">
        <v>3</v>
      </c>
      <c r="EJ33">
        <v>2</v>
      </c>
      <c r="EK33">
        <v>68</v>
      </c>
      <c r="EL33" t="s">
        <v>41</v>
      </c>
      <c r="EM33" t="s">
        <v>42</v>
      </c>
      <c r="EO33" t="s">
        <v>27</v>
      </c>
      <c r="EQ33">
        <v>0</v>
      </c>
      <c r="ER33">
        <v>135.16999999999999</v>
      </c>
      <c r="ES33">
        <v>109.01</v>
      </c>
      <c r="ET33">
        <v>2.38</v>
      </c>
      <c r="EU33">
        <v>0.25</v>
      </c>
      <c r="EV33">
        <v>23.78</v>
      </c>
      <c r="EW33">
        <v>2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90</v>
      </c>
      <c r="FY33">
        <v>46</v>
      </c>
      <c r="GA33" t="s">
        <v>3</v>
      </c>
      <c r="GD33">
        <v>1</v>
      </c>
      <c r="GF33">
        <v>438712902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43"/>
        <v>0</v>
      </c>
      <c r="GM33">
        <f t="shared" si="44"/>
        <v>3969.98</v>
      </c>
      <c r="GN33">
        <f t="shared" si="45"/>
        <v>0</v>
      </c>
      <c r="GO33">
        <f t="shared" si="46"/>
        <v>3969.98</v>
      </c>
      <c r="GP33">
        <f t="shared" si="47"/>
        <v>0</v>
      </c>
      <c r="GR33">
        <v>0</v>
      </c>
      <c r="GS33">
        <v>3</v>
      </c>
      <c r="GT33">
        <v>0</v>
      </c>
      <c r="GU33" t="s">
        <v>3</v>
      </c>
      <c r="GV33">
        <f t="shared" si="48"/>
        <v>0</v>
      </c>
      <c r="GW33">
        <v>1</v>
      </c>
      <c r="GX33">
        <f t="shared" si="49"/>
        <v>0</v>
      </c>
      <c r="HA33">
        <v>0</v>
      </c>
      <c r="HB33">
        <v>0</v>
      </c>
      <c r="HC33">
        <f t="shared" si="50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18</v>
      </c>
      <c r="B34" s="2">
        <v>1</v>
      </c>
      <c r="C34" s="2">
        <v>10</v>
      </c>
      <c r="D34" s="2"/>
      <c r="E34" s="2" t="s">
        <v>43</v>
      </c>
      <c r="F34" s="2" t="s">
        <v>44</v>
      </c>
      <c r="G34" s="2" t="s">
        <v>45</v>
      </c>
      <c r="H34" s="2" t="s">
        <v>31</v>
      </c>
      <c r="I34" s="2">
        <f>I32*J34</f>
        <v>1</v>
      </c>
      <c r="J34" s="2">
        <v>1</v>
      </c>
      <c r="K34" s="2">
        <v>1</v>
      </c>
      <c r="L34" s="2"/>
      <c r="M34" s="2"/>
      <c r="N34" s="2"/>
      <c r="O34" s="2">
        <f t="shared" si="21"/>
        <v>1975.19</v>
      </c>
      <c r="P34" s="2">
        <f t="shared" si="51"/>
        <v>1975.19</v>
      </c>
      <c r="Q34" s="2">
        <f>(ROUND((ROUND(((ET34)*AV34*I34),2)*BB34),2)+ROUND((ROUND(((AE34-(EU34))*AV34*I34),2)*BS34),2))</f>
        <v>0</v>
      </c>
      <c r="R34" s="2">
        <f t="shared" si="22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28"/>
        <v>0</v>
      </c>
      <c r="Y34" s="2">
        <f t="shared" si="29"/>
        <v>0</v>
      </c>
      <c r="Z34" s="2"/>
      <c r="AA34" s="2">
        <v>56959434</v>
      </c>
      <c r="AB34" s="2">
        <f t="shared" si="30"/>
        <v>1975.19</v>
      </c>
      <c r="AC34" s="2">
        <f t="shared" si="31"/>
        <v>1975.19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32"/>
        <v>0</v>
      </c>
      <c r="AH34" s="2">
        <f>(EW34)</f>
        <v>0</v>
      </c>
      <c r="AI34" s="2">
        <f>(EX34)</f>
        <v>0</v>
      </c>
      <c r="AJ34" s="2">
        <f t="shared" si="33"/>
        <v>0</v>
      </c>
      <c r="AK34" s="2">
        <v>1975.19</v>
      </c>
      <c r="AL34" s="2">
        <v>1975.19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90</v>
      </c>
      <c r="AU34" s="2">
        <v>46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2</v>
      </c>
      <c r="BJ34" s="2" t="s">
        <v>46</v>
      </c>
      <c r="BK34" s="2"/>
      <c r="BL34" s="2"/>
      <c r="BM34" s="2">
        <v>68</v>
      </c>
      <c r="BN34" s="2">
        <v>55992028</v>
      </c>
      <c r="BO34" s="2" t="s">
        <v>3</v>
      </c>
      <c r="BP34" s="2">
        <v>0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4"/>
        <v>1975.19</v>
      </c>
      <c r="CQ34" s="2">
        <f t="shared" si="52"/>
        <v>1975.19</v>
      </c>
      <c r="CR34" s="2">
        <f>(ROUND((ROUND(((ET34)*AV34*1),2)*BB34),2)+ROUND((ROUND(((AE34-(EU34))*AV34*1),2)*BS34),2))</f>
        <v>0</v>
      </c>
      <c r="CS34" s="2">
        <f t="shared" si="35"/>
        <v>0</v>
      </c>
      <c r="CT34" s="2">
        <f t="shared" si="36"/>
        <v>0</v>
      </c>
      <c r="CU34" s="2">
        <f t="shared" si="37"/>
        <v>0</v>
      </c>
      <c r="CV34" s="2">
        <f t="shared" si="38"/>
        <v>0</v>
      </c>
      <c r="CW34" s="2">
        <f t="shared" si="39"/>
        <v>0</v>
      </c>
      <c r="CX34" s="2">
        <f t="shared" si="40"/>
        <v>0</v>
      </c>
      <c r="CY34" s="2">
        <f t="shared" si="41"/>
        <v>0</v>
      </c>
      <c r="CZ34" s="2">
        <f t="shared" si="42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31</v>
      </c>
      <c r="DW34" s="2" t="s">
        <v>31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55992152</v>
      </c>
      <c r="EF34" s="2">
        <v>40</v>
      </c>
      <c r="EG34" s="2" t="s">
        <v>24</v>
      </c>
      <c r="EH34" s="2">
        <v>0</v>
      </c>
      <c r="EI34" s="2" t="s">
        <v>3</v>
      </c>
      <c r="EJ34" s="2">
        <v>2</v>
      </c>
      <c r="EK34" s="2">
        <v>68</v>
      </c>
      <c r="EL34" s="2" t="s">
        <v>41</v>
      </c>
      <c r="EM34" s="2" t="s">
        <v>42</v>
      </c>
      <c r="EN34" s="2"/>
      <c r="EO34" s="2" t="s">
        <v>3</v>
      </c>
      <c r="EP34" s="2"/>
      <c r="EQ34" s="2">
        <v>0</v>
      </c>
      <c r="ER34" s="2">
        <v>1975.19</v>
      </c>
      <c r="ES34" s="2">
        <v>1975.19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672353504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43"/>
        <v>0</v>
      </c>
      <c r="GM34" s="2">
        <f t="shared" si="44"/>
        <v>1975.19</v>
      </c>
      <c r="GN34" s="2">
        <f t="shared" si="45"/>
        <v>0</v>
      </c>
      <c r="GO34" s="2">
        <f t="shared" si="46"/>
        <v>1975.19</v>
      </c>
      <c r="GP34" s="2">
        <f t="shared" si="47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8"/>
        <v>0</v>
      </c>
      <c r="GW34" s="2">
        <v>1</v>
      </c>
      <c r="GX34" s="2">
        <f t="shared" si="49"/>
        <v>0</v>
      </c>
      <c r="GY34" s="2"/>
      <c r="GZ34" s="2"/>
      <c r="HA34" s="2">
        <v>0</v>
      </c>
      <c r="HB34" s="2">
        <v>0</v>
      </c>
      <c r="HC34" s="2">
        <f t="shared" si="50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18</v>
      </c>
      <c r="B35">
        <v>1</v>
      </c>
      <c r="C35">
        <v>17</v>
      </c>
      <c r="E35" t="s">
        <v>43</v>
      </c>
      <c r="F35" t="s">
        <v>44</v>
      </c>
      <c r="G35" t="s">
        <v>45</v>
      </c>
      <c r="H35" t="s">
        <v>31</v>
      </c>
      <c r="I35">
        <f>I33*J35</f>
        <v>1</v>
      </c>
      <c r="J35">
        <v>1</v>
      </c>
      <c r="K35">
        <v>1</v>
      </c>
      <c r="O35">
        <f t="shared" si="21"/>
        <v>13549.8</v>
      </c>
      <c r="P35">
        <f t="shared" si="51"/>
        <v>13549.8</v>
      </c>
      <c r="Q35">
        <f>(ROUND((ROUND(((ET35)*AV35*I35),2)*BB35),2)+ROUND((ROUND(((AE35-(EU35))*AV35*I35),2)*BS35),2))</f>
        <v>0</v>
      </c>
      <c r="R35">
        <f t="shared" si="22"/>
        <v>0</v>
      </c>
      <c r="S35">
        <f t="shared" si="23"/>
        <v>0</v>
      </c>
      <c r="T35">
        <f t="shared" si="24"/>
        <v>0</v>
      </c>
      <c r="U35">
        <f t="shared" si="25"/>
        <v>0</v>
      </c>
      <c r="V35">
        <f t="shared" si="26"/>
        <v>0</v>
      </c>
      <c r="W35">
        <f t="shared" si="27"/>
        <v>0</v>
      </c>
      <c r="X35">
        <f t="shared" si="28"/>
        <v>0</v>
      </c>
      <c r="Y35">
        <f t="shared" si="29"/>
        <v>0</v>
      </c>
      <c r="AA35">
        <v>56959431</v>
      </c>
      <c r="AB35">
        <f t="shared" si="30"/>
        <v>1975.19</v>
      </c>
      <c r="AC35">
        <f t="shared" si="31"/>
        <v>1975.19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32"/>
        <v>0</v>
      </c>
      <c r="AH35">
        <f>(EW35)</f>
        <v>0</v>
      </c>
      <c r="AI35">
        <f>(EX35)</f>
        <v>0</v>
      </c>
      <c r="AJ35">
        <f t="shared" si="33"/>
        <v>0</v>
      </c>
      <c r="AK35">
        <v>1975.19</v>
      </c>
      <c r="AL35">
        <v>1975.19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90</v>
      </c>
      <c r="AU35">
        <v>46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6.86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2</v>
      </c>
      <c r="BJ35" t="s">
        <v>46</v>
      </c>
      <c r="BM35">
        <v>68</v>
      </c>
      <c r="BN35">
        <v>55992028</v>
      </c>
      <c r="BO35" t="s">
        <v>44</v>
      </c>
      <c r="BP35">
        <v>1</v>
      </c>
      <c r="BQ35">
        <v>40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90</v>
      </c>
      <c r="CA35">
        <v>46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4"/>
        <v>13549.8</v>
      </c>
      <c r="CQ35">
        <f t="shared" si="52"/>
        <v>13549.8</v>
      </c>
      <c r="CR35">
        <f>(ROUND((ROUND(((ET35)*AV35*1),2)*BB35),2)+ROUND((ROUND(((AE35-(EU35))*AV35*1),2)*BS35),2))</f>
        <v>0</v>
      </c>
      <c r="CS35">
        <f t="shared" si="35"/>
        <v>0</v>
      </c>
      <c r="CT35">
        <f t="shared" si="36"/>
        <v>0</v>
      </c>
      <c r="CU35">
        <f t="shared" si="37"/>
        <v>0</v>
      </c>
      <c r="CV35">
        <f t="shared" si="38"/>
        <v>0</v>
      </c>
      <c r="CW35">
        <f t="shared" si="39"/>
        <v>0</v>
      </c>
      <c r="CX35">
        <f t="shared" si="40"/>
        <v>0</v>
      </c>
      <c r="CY35">
        <f t="shared" si="41"/>
        <v>0</v>
      </c>
      <c r="CZ35">
        <f t="shared" si="42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31</v>
      </c>
      <c r="DW35" t="s">
        <v>31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55992152</v>
      </c>
      <c r="EF35">
        <v>40</v>
      </c>
      <c r="EG35" t="s">
        <v>24</v>
      </c>
      <c r="EH35">
        <v>0</v>
      </c>
      <c r="EI35" t="s">
        <v>3</v>
      </c>
      <c r="EJ35">
        <v>2</v>
      </c>
      <c r="EK35">
        <v>68</v>
      </c>
      <c r="EL35" t="s">
        <v>41</v>
      </c>
      <c r="EM35" t="s">
        <v>42</v>
      </c>
      <c r="EO35" t="s">
        <v>3</v>
      </c>
      <c r="EQ35">
        <v>0</v>
      </c>
      <c r="ER35">
        <v>1975.19</v>
      </c>
      <c r="ES35">
        <v>1975.19</v>
      </c>
      <c r="ET35">
        <v>0</v>
      </c>
      <c r="EU35">
        <v>0</v>
      </c>
      <c r="EV35">
        <v>0</v>
      </c>
      <c r="EW35">
        <v>0</v>
      </c>
      <c r="EX35">
        <v>0</v>
      </c>
      <c r="FQ35">
        <v>0</v>
      </c>
      <c r="FR35">
        <v>0</v>
      </c>
      <c r="FS35">
        <v>0</v>
      </c>
      <c r="FX35">
        <v>90</v>
      </c>
      <c r="FY35">
        <v>46</v>
      </c>
      <c r="GA35" t="s">
        <v>3</v>
      </c>
      <c r="GD35">
        <v>1</v>
      </c>
      <c r="GF35">
        <v>672353504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43"/>
        <v>0</v>
      </c>
      <c r="GM35">
        <f t="shared" si="44"/>
        <v>13549.8</v>
      </c>
      <c r="GN35">
        <f t="shared" si="45"/>
        <v>0</v>
      </c>
      <c r="GO35">
        <f t="shared" si="46"/>
        <v>13549.8</v>
      </c>
      <c r="GP35">
        <f t="shared" si="47"/>
        <v>0</v>
      </c>
      <c r="GR35">
        <v>0</v>
      </c>
      <c r="GS35">
        <v>3</v>
      </c>
      <c r="GT35">
        <v>0</v>
      </c>
      <c r="GU35" t="s">
        <v>3</v>
      </c>
      <c r="GV35">
        <f t="shared" si="48"/>
        <v>0</v>
      </c>
      <c r="GW35">
        <v>1</v>
      </c>
      <c r="GX35">
        <f t="shared" si="49"/>
        <v>0</v>
      </c>
      <c r="HA35">
        <v>0</v>
      </c>
      <c r="HB35">
        <v>0</v>
      </c>
      <c r="HC35">
        <f t="shared" si="50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ROW(SmtRes!A20)</f>
        <v>20</v>
      </c>
      <c r="D36" s="2">
        <f>ROW(EtalonRes!A23)</f>
        <v>23</v>
      </c>
      <c r="E36" s="2" t="s">
        <v>47</v>
      </c>
      <c r="F36" s="2" t="s">
        <v>48</v>
      </c>
      <c r="G36" s="2" t="s">
        <v>49</v>
      </c>
      <c r="H36" s="2" t="s">
        <v>21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14</v>
      </c>
      <c r="P36" s="2">
        <f t="shared" si="51"/>
        <v>0</v>
      </c>
      <c r="Q36" s="2">
        <f>(ROUND((ROUND((((ET36*1.1))*AV36*I36),2)*BB36),2)+ROUND((ROUND(((AE36-((EU36*1.1)))*AV36*I36),2)*BS36),2))</f>
        <v>0.57999999999999996</v>
      </c>
      <c r="R36" s="2">
        <f t="shared" si="22"/>
        <v>0.09</v>
      </c>
      <c r="S36" s="2">
        <f t="shared" si="23"/>
        <v>13.42</v>
      </c>
      <c r="T36" s="2">
        <f t="shared" si="24"/>
        <v>0</v>
      </c>
      <c r="U36" s="2">
        <f t="shared" si="25"/>
        <v>1.1862510000000002</v>
      </c>
      <c r="V36" s="2">
        <f t="shared" si="26"/>
        <v>0</v>
      </c>
      <c r="W36" s="2">
        <f t="shared" si="27"/>
        <v>0</v>
      </c>
      <c r="X36" s="2">
        <f t="shared" si="28"/>
        <v>12.16</v>
      </c>
      <c r="Y36" s="2">
        <f t="shared" si="29"/>
        <v>6.21</v>
      </c>
      <c r="Z36" s="2"/>
      <c r="AA36" s="2">
        <v>56959434</v>
      </c>
      <c r="AB36" s="2">
        <f t="shared" si="30"/>
        <v>13.365</v>
      </c>
      <c r="AC36" s="2">
        <f t="shared" si="31"/>
        <v>0</v>
      </c>
      <c r="AD36" s="2">
        <f>ROUND(((((ET36*1.1))-((EU36*1.1)))+AE36),6)</f>
        <v>0.55000000000000004</v>
      </c>
      <c r="AE36" s="2">
        <f>ROUND(((EU36*1.1)),6)</f>
        <v>8.7999999999999995E-2</v>
      </c>
      <c r="AF36" s="2">
        <f>ROUND(((EV36*1.1)),6)</f>
        <v>12.815</v>
      </c>
      <c r="AG36" s="2">
        <f t="shared" si="32"/>
        <v>0</v>
      </c>
      <c r="AH36" s="2">
        <f>((EW36*1.1))</f>
        <v>1.1330000000000002</v>
      </c>
      <c r="AI36" s="2">
        <f>((EX36*1.1))</f>
        <v>0</v>
      </c>
      <c r="AJ36" s="2">
        <f t="shared" si="33"/>
        <v>0</v>
      </c>
      <c r="AK36" s="2">
        <v>12.15</v>
      </c>
      <c r="AL36" s="2">
        <v>0</v>
      </c>
      <c r="AM36" s="2">
        <v>0.5</v>
      </c>
      <c r="AN36" s="2">
        <v>0.08</v>
      </c>
      <c r="AO36" s="2">
        <v>11.65</v>
      </c>
      <c r="AP36" s="2">
        <v>0</v>
      </c>
      <c r="AQ36" s="2">
        <v>1.03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50</v>
      </c>
      <c r="BK36" s="2"/>
      <c r="BL36" s="2"/>
      <c r="BM36" s="2">
        <v>72</v>
      </c>
      <c r="BN36" s="2">
        <v>55992028</v>
      </c>
      <c r="BO36" s="2" t="s">
        <v>48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673</v>
      </c>
      <c r="CO36" s="2">
        <v>0</v>
      </c>
      <c r="CP36" s="2">
        <f t="shared" si="34"/>
        <v>14</v>
      </c>
      <c r="CQ36" s="2">
        <f t="shared" si="52"/>
        <v>0</v>
      </c>
      <c r="CR36" s="2">
        <f>(ROUND((ROUND((((ET36*1.1))*AV36*1),2)*BB36),2)+ROUND((ROUND(((AE36-((EU36*1.1)))*AV36*1),2)*BS36),2))</f>
        <v>0.57999999999999996</v>
      </c>
      <c r="CS36" s="2">
        <f t="shared" si="35"/>
        <v>0.09</v>
      </c>
      <c r="CT36" s="2">
        <f t="shared" si="36"/>
        <v>13.42</v>
      </c>
      <c r="CU36" s="2">
        <f t="shared" si="37"/>
        <v>0</v>
      </c>
      <c r="CV36" s="2">
        <f t="shared" si="38"/>
        <v>1.1862510000000002</v>
      </c>
      <c r="CW36" s="2">
        <f t="shared" si="39"/>
        <v>0</v>
      </c>
      <c r="CX36" s="2">
        <f t="shared" si="40"/>
        <v>0</v>
      </c>
      <c r="CY36" s="2">
        <f t="shared" si="41"/>
        <v>12.159000000000001</v>
      </c>
      <c r="CZ36" s="2">
        <f t="shared" si="42"/>
        <v>6.2146000000000008</v>
      </c>
      <c r="DA36" s="2"/>
      <c r="DB36" s="2"/>
      <c r="DC36" s="2" t="s">
        <v>3</v>
      </c>
      <c r="DD36" s="2" t="s">
        <v>3</v>
      </c>
      <c r="DE36" s="2" t="s">
        <v>23</v>
      </c>
      <c r="DF36" s="2" t="s">
        <v>23</v>
      </c>
      <c r="DG36" s="2" t="s">
        <v>23</v>
      </c>
      <c r="DH36" s="2" t="s">
        <v>3</v>
      </c>
      <c r="DI36" s="2" t="s">
        <v>23</v>
      </c>
      <c r="DJ36" s="2" t="s">
        <v>23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21</v>
      </c>
      <c r="DW36" s="2" t="s">
        <v>21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55992157</v>
      </c>
      <c r="EF36" s="2">
        <v>40</v>
      </c>
      <c r="EG36" s="2" t="s">
        <v>24</v>
      </c>
      <c r="EH36" s="2">
        <v>0</v>
      </c>
      <c r="EI36" s="2" t="s">
        <v>3</v>
      </c>
      <c r="EJ36" s="2">
        <v>2</v>
      </c>
      <c r="EK36" s="2">
        <v>72</v>
      </c>
      <c r="EL36" s="2" t="s">
        <v>25</v>
      </c>
      <c r="EM36" s="2" t="s">
        <v>26</v>
      </c>
      <c r="EN36" s="2"/>
      <c r="EO36" s="2" t="s">
        <v>27</v>
      </c>
      <c r="EP36" s="2"/>
      <c r="EQ36" s="2">
        <v>0</v>
      </c>
      <c r="ER36" s="2">
        <v>12.15</v>
      </c>
      <c r="ES36" s="2">
        <v>0</v>
      </c>
      <c r="ET36" s="2">
        <v>0.5</v>
      </c>
      <c r="EU36" s="2">
        <v>0.08</v>
      </c>
      <c r="EV36" s="2">
        <v>11.65</v>
      </c>
      <c r="EW36" s="2">
        <v>1.03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1708693888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43"/>
        <v>0</v>
      </c>
      <c r="GM36" s="2">
        <f t="shared" si="44"/>
        <v>32.369999999999997</v>
      </c>
      <c r="GN36" s="2">
        <f t="shared" si="45"/>
        <v>0</v>
      </c>
      <c r="GO36" s="2">
        <f t="shared" si="46"/>
        <v>32.369999999999997</v>
      </c>
      <c r="GP36" s="2">
        <f t="shared" si="47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8"/>
        <v>0</v>
      </c>
      <c r="GW36" s="2">
        <v>1</v>
      </c>
      <c r="GX36" s="2">
        <f t="shared" si="49"/>
        <v>0</v>
      </c>
      <c r="GY36" s="2"/>
      <c r="GZ36" s="2"/>
      <c r="HA36" s="2">
        <v>0</v>
      </c>
      <c r="HB36" s="2">
        <v>0</v>
      </c>
      <c r="HC36" s="2">
        <f t="shared" si="50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ROW(SmtRes!A22)</f>
        <v>22</v>
      </c>
      <c r="D37">
        <f>ROW(EtalonRes!A26)</f>
        <v>26</v>
      </c>
      <c r="E37" t="s">
        <v>47</v>
      </c>
      <c r="F37" t="s">
        <v>48</v>
      </c>
      <c r="G37" t="s">
        <v>49</v>
      </c>
      <c r="H37" t="s">
        <v>21</v>
      </c>
      <c r="I37">
        <v>1</v>
      </c>
      <c r="J37">
        <v>0</v>
      </c>
      <c r="K37">
        <v>1</v>
      </c>
      <c r="O37">
        <f t="shared" si="21"/>
        <v>747.4</v>
      </c>
      <c r="P37">
        <f t="shared" si="51"/>
        <v>0</v>
      </c>
      <c r="Q37">
        <f>(ROUND((ROUND((((ET37*1.1))*AV37*I37),2)*BB37),2)+ROUND((ROUND(((AE37-((EU37*1.1)))*AV37*I37),2)*BS37),2))</f>
        <v>9.43</v>
      </c>
      <c r="R37">
        <f t="shared" si="22"/>
        <v>4.95</v>
      </c>
      <c r="S37">
        <f t="shared" si="23"/>
        <v>737.97</v>
      </c>
      <c r="T37">
        <f t="shared" si="24"/>
        <v>0</v>
      </c>
      <c r="U37">
        <f t="shared" si="25"/>
        <v>1.1862510000000002</v>
      </c>
      <c r="V37">
        <f t="shared" si="26"/>
        <v>0</v>
      </c>
      <c r="W37">
        <f t="shared" si="27"/>
        <v>0</v>
      </c>
      <c r="X37">
        <f t="shared" si="28"/>
        <v>668.63</v>
      </c>
      <c r="Y37">
        <f t="shared" si="29"/>
        <v>341.74</v>
      </c>
      <c r="AA37">
        <v>56959431</v>
      </c>
      <c r="AB37">
        <f t="shared" si="30"/>
        <v>13.365</v>
      </c>
      <c r="AC37">
        <f t="shared" si="31"/>
        <v>0</v>
      </c>
      <c r="AD37">
        <f>ROUND(((((ET37*1.1))-((EU37*1.1)))+AE37),6)</f>
        <v>0.55000000000000004</v>
      </c>
      <c r="AE37">
        <f>ROUND(((EU37*1.1)),6)</f>
        <v>8.7999999999999995E-2</v>
      </c>
      <c r="AF37">
        <f>ROUND(((EV37*1.1)),6)</f>
        <v>12.815</v>
      </c>
      <c r="AG37">
        <f t="shared" si="32"/>
        <v>0</v>
      </c>
      <c r="AH37">
        <f>((EW37*1.1))</f>
        <v>1.1330000000000002</v>
      </c>
      <c r="AI37">
        <f>((EX37*1.1))</f>
        <v>0</v>
      </c>
      <c r="AJ37">
        <f t="shared" si="33"/>
        <v>0</v>
      </c>
      <c r="AK37">
        <v>12.15</v>
      </c>
      <c r="AL37">
        <v>0</v>
      </c>
      <c r="AM37">
        <v>0.5</v>
      </c>
      <c r="AN37">
        <v>0.08</v>
      </c>
      <c r="AO37">
        <v>11.65</v>
      </c>
      <c r="AP37">
        <v>0</v>
      </c>
      <c r="AQ37">
        <v>1.03</v>
      </c>
      <c r="AR37">
        <v>0</v>
      </c>
      <c r="AS37">
        <v>0</v>
      </c>
      <c r="AT37">
        <v>90</v>
      </c>
      <c r="AU37">
        <v>46</v>
      </c>
      <c r="AV37">
        <v>1.0469999999999999</v>
      </c>
      <c r="AW37">
        <v>1</v>
      </c>
      <c r="AZ37">
        <v>1</v>
      </c>
      <c r="BA37">
        <v>54.99</v>
      </c>
      <c r="BB37">
        <v>16.260000000000002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2</v>
      </c>
      <c r="BJ37" t="s">
        <v>50</v>
      </c>
      <c r="BM37">
        <v>72</v>
      </c>
      <c r="BN37">
        <v>55992028</v>
      </c>
      <c r="BO37" t="s">
        <v>48</v>
      </c>
      <c r="BP37">
        <v>1</v>
      </c>
      <c r="BQ37">
        <v>40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90</v>
      </c>
      <c r="CA37">
        <v>46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673</v>
      </c>
      <c r="CO37">
        <v>0</v>
      </c>
      <c r="CP37">
        <f t="shared" si="34"/>
        <v>747.4</v>
      </c>
      <c r="CQ37">
        <f t="shared" si="52"/>
        <v>0</v>
      </c>
      <c r="CR37">
        <f>(ROUND((ROUND((((ET37*1.1))*AV37*1),2)*BB37),2)+ROUND((ROUND(((AE37-((EU37*1.1)))*AV37*1),2)*BS37),2))</f>
        <v>9.43</v>
      </c>
      <c r="CS37">
        <f t="shared" si="35"/>
        <v>4.95</v>
      </c>
      <c r="CT37">
        <f t="shared" si="36"/>
        <v>737.97</v>
      </c>
      <c r="CU37">
        <f t="shared" si="37"/>
        <v>0</v>
      </c>
      <c r="CV37">
        <f t="shared" si="38"/>
        <v>1.1862510000000002</v>
      </c>
      <c r="CW37">
        <f t="shared" si="39"/>
        <v>0</v>
      </c>
      <c r="CX37">
        <f t="shared" si="40"/>
        <v>0</v>
      </c>
      <c r="CY37">
        <f t="shared" si="41"/>
        <v>668.62800000000004</v>
      </c>
      <c r="CZ37">
        <f t="shared" si="42"/>
        <v>341.74320000000006</v>
      </c>
      <c r="DC37" t="s">
        <v>3</v>
      </c>
      <c r="DD37" t="s">
        <v>3</v>
      </c>
      <c r="DE37" t="s">
        <v>23</v>
      </c>
      <c r="DF37" t="s">
        <v>23</v>
      </c>
      <c r="DG37" t="s">
        <v>23</v>
      </c>
      <c r="DH37" t="s">
        <v>3</v>
      </c>
      <c r="DI37" t="s">
        <v>23</v>
      </c>
      <c r="DJ37" t="s">
        <v>23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21</v>
      </c>
      <c r="DW37" t="s">
        <v>21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55992157</v>
      </c>
      <c r="EF37">
        <v>40</v>
      </c>
      <c r="EG37" t="s">
        <v>24</v>
      </c>
      <c r="EH37">
        <v>0</v>
      </c>
      <c r="EI37" t="s">
        <v>3</v>
      </c>
      <c r="EJ37">
        <v>2</v>
      </c>
      <c r="EK37">
        <v>72</v>
      </c>
      <c r="EL37" t="s">
        <v>25</v>
      </c>
      <c r="EM37" t="s">
        <v>26</v>
      </c>
      <c r="EO37" t="s">
        <v>27</v>
      </c>
      <c r="EQ37">
        <v>0</v>
      </c>
      <c r="ER37">
        <v>12.15</v>
      </c>
      <c r="ES37">
        <v>0</v>
      </c>
      <c r="ET37">
        <v>0.5</v>
      </c>
      <c r="EU37">
        <v>0.08</v>
      </c>
      <c r="EV37">
        <v>11.65</v>
      </c>
      <c r="EW37">
        <v>1.03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90</v>
      </c>
      <c r="FY37">
        <v>46</v>
      </c>
      <c r="GA37" t="s">
        <v>3</v>
      </c>
      <c r="GD37">
        <v>1</v>
      </c>
      <c r="GF37">
        <v>1708693888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43"/>
        <v>0</v>
      </c>
      <c r="GM37">
        <f t="shared" si="44"/>
        <v>1757.77</v>
      </c>
      <c r="GN37">
        <f t="shared" si="45"/>
        <v>0</v>
      </c>
      <c r="GO37">
        <f t="shared" si="46"/>
        <v>1757.77</v>
      </c>
      <c r="GP37">
        <f t="shared" si="47"/>
        <v>0</v>
      </c>
      <c r="GR37">
        <v>0</v>
      </c>
      <c r="GS37">
        <v>3</v>
      </c>
      <c r="GT37">
        <v>0</v>
      </c>
      <c r="GU37" t="s">
        <v>3</v>
      </c>
      <c r="GV37">
        <f t="shared" si="48"/>
        <v>0</v>
      </c>
      <c r="GW37">
        <v>1</v>
      </c>
      <c r="GX37">
        <f t="shared" si="49"/>
        <v>0</v>
      </c>
      <c r="HA37">
        <v>0</v>
      </c>
      <c r="HB37">
        <v>0</v>
      </c>
      <c r="HC37">
        <f t="shared" si="50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/>
      <c r="D38" s="2"/>
      <c r="E38" s="2" t="s">
        <v>51</v>
      </c>
      <c r="F38" s="2" t="s">
        <v>52</v>
      </c>
      <c r="G38" s="2" t="s">
        <v>53</v>
      </c>
      <c r="H38" s="2" t="s">
        <v>31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1"/>
        <v>1618.36</v>
      </c>
      <c r="P38" s="2">
        <f>ROUND((ROUND((AC38*I38),2)*BC38),2)</f>
        <v>1618.36</v>
      </c>
      <c r="Q38" s="2">
        <f>(ROUND((ROUND(((ET38)*AV38*I38),2)*BB38),2)+ROUND((ROUND(((AE38-(EU38))*AV38*I38),2)*BS38),2))</f>
        <v>0</v>
      </c>
      <c r="R38" s="2">
        <f t="shared" si="22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28"/>
        <v>0</v>
      </c>
      <c r="Y38" s="2">
        <f t="shared" si="29"/>
        <v>0</v>
      </c>
      <c r="Z38" s="2"/>
      <c r="AA38" s="2">
        <v>56959434</v>
      </c>
      <c r="AB38" s="2">
        <f t="shared" si="30"/>
        <v>1618.36</v>
      </c>
      <c r="AC38" s="2">
        <f t="shared" si="31"/>
        <v>1618.36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32"/>
        <v>0</v>
      </c>
      <c r="AH38" s="2">
        <f>(EW38)</f>
        <v>0</v>
      </c>
      <c r="AI38" s="2">
        <f>(EX38)</f>
        <v>0</v>
      </c>
      <c r="AJ38" s="2">
        <f t="shared" si="33"/>
        <v>0</v>
      </c>
      <c r="AK38" s="2">
        <v>1618.36</v>
      </c>
      <c r="AL38" s="2">
        <v>1618.36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0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0</v>
      </c>
      <c r="CA38" s="2">
        <v>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4"/>
        <v>1618.36</v>
      </c>
      <c r="CQ38" s="2">
        <f>ROUND((ROUND((AC38*1),2)*BC38),2)</f>
        <v>1618.36</v>
      </c>
      <c r="CR38" s="2">
        <f>(ROUND((ROUND(((ET38)*AV38*1),2)*BB38),2)+ROUND((ROUND(((AE38-(EU38))*AV38*1),2)*BS38),2))</f>
        <v>0</v>
      </c>
      <c r="CS38" s="2">
        <f t="shared" si="35"/>
        <v>0</v>
      </c>
      <c r="CT38" s="2">
        <f t="shared" si="36"/>
        <v>0</v>
      </c>
      <c r="CU38" s="2">
        <f t="shared" si="37"/>
        <v>0</v>
      </c>
      <c r="CV38" s="2">
        <f t="shared" si="38"/>
        <v>0</v>
      </c>
      <c r="CW38" s="2">
        <f t="shared" si="39"/>
        <v>0</v>
      </c>
      <c r="CX38" s="2">
        <f t="shared" si="40"/>
        <v>0</v>
      </c>
      <c r="CY38" s="2">
        <f t="shared" si="41"/>
        <v>0</v>
      </c>
      <c r="CZ38" s="2">
        <f t="shared" si="42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31</v>
      </c>
      <c r="DW38" s="2" t="s">
        <v>31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55992259</v>
      </c>
      <c r="EF38" s="2">
        <v>130</v>
      </c>
      <c r="EG38" s="2" t="s">
        <v>32</v>
      </c>
      <c r="EH38" s="2">
        <v>0</v>
      </c>
      <c r="EI38" s="2" t="s">
        <v>3</v>
      </c>
      <c r="EJ38" s="2">
        <v>3</v>
      </c>
      <c r="EK38" s="2">
        <v>746</v>
      </c>
      <c r="EL38" s="2" t="s">
        <v>33</v>
      </c>
      <c r="EM38" s="2" t="s">
        <v>34</v>
      </c>
      <c r="EN38" s="2"/>
      <c r="EO38" s="2" t="s">
        <v>3</v>
      </c>
      <c r="EP38" s="2"/>
      <c r="EQ38" s="2">
        <v>0</v>
      </c>
      <c r="ER38" s="2">
        <v>0</v>
      </c>
      <c r="ES38" s="2">
        <v>1618.36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>P38</f>
        <v>1618.36</v>
      </c>
      <c r="FS38" s="2">
        <v>0</v>
      </c>
      <c r="FT38" s="2"/>
      <c r="FU38" s="2"/>
      <c r="FV38" s="2"/>
      <c r="FW38" s="2"/>
      <c r="FX38" s="2">
        <v>0</v>
      </c>
      <c r="FY38" s="2">
        <v>0</v>
      </c>
      <c r="FZ38" s="2"/>
      <c r="GA38" s="2" t="s">
        <v>54</v>
      </c>
      <c r="GB38" s="2"/>
      <c r="GC38" s="2"/>
      <c r="GD38" s="2">
        <v>1</v>
      </c>
      <c r="GE38" s="2"/>
      <c r="GF38" s="2">
        <v>493595391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43"/>
        <v>0</v>
      </c>
      <c r="GM38" s="2">
        <f t="shared" si="44"/>
        <v>1618.36</v>
      </c>
      <c r="GN38" s="2">
        <f t="shared" si="45"/>
        <v>0</v>
      </c>
      <c r="GO38" s="2">
        <f t="shared" si="46"/>
        <v>0</v>
      </c>
      <c r="GP38" s="2">
        <f t="shared" si="47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8"/>
        <v>0</v>
      </c>
      <c r="GW38" s="2">
        <v>1</v>
      </c>
      <c r="GX38" s="2">
        <f t="shared" si="49"/>
        <v>0</v>
      </c>
      <c r="GY38" s="2"/>
      <c r="GZ38" s="2"/>
      <c r="HA38" s="2">
        <v>0</v>
      </c>
      <c r="HB38" s="2">
        <v>0</v>
      </c>
      <c r="HC38" s="2">
        <f t="shared" si="50"/>
        <v>0</v>
      </c>
      <c r="HD38" s="2"/>
      <c r="HE38" s="2" t="s">
        <v>36</v>
      </c>
      <c r="HF38" s="2" t="s">
        <v>37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E39" t="s">
        <v>51</v>
      </c>
      <c r="F39" t="s">
        <v>52</v>
      </c>
      <c r="G39" t="s">
        <v>53</v>
      </c>
      <c r="H39" t="s">
        <v>31</v>
      </c>
      <c r="I39">
        <v>1</v>
      </c>
      <c r="J39">
        <v>0</v>
      </c>
      <c r="K39">
        <v>1</v>
      </c>
      <c r="O39">
        <f t="shared" si="21"/>
        <v>12396.64</v>
      </c>
      <c r="P39">
        <f>ROUND((ROUND((AC39*I39),2)*BC39),2)</f>
        <v>12396.64</v>
      </c>
      <c r="Q39">
        <f>(ROUND((ROUND(((ET39)*AV39*I39),2)*BB39),2)+ROUND((ROUND(((AE39-(EU39))*AV39*I39),2)*BS39),2))</f>
        <v>0</v>
      </c>
      <c r="R39">
        <f t="shared" si="22"/>
        <v>0</v>
      </c>
      <c r="S39">
        <f t="shared" si="23"/>
        <v>0</v>
      </c>
      <c r="T39">
        <f t="shared" si="24"/>
        <v>0</v>
      </c>
      <c r="U39">
        <f t="shared" si="25"/>
        <v>0</v>
      </c>
      <c r="V39">
        <f t="shared" si="26"/>
        <v>0</v>
      </c>
      <c r="W39">
        <f t="shared" si="27"/>
        <v>0</v>
      </c>
      <c r="X39">
        <f t="shared" si="28"/>
        <v>0</v>
      </c>
      <c r="Y39">
        <f t="shared" si="29"/>
        <v>0</v>
      </c>
      <c r="AA39">
        <v>56959431</v>
      </c>
      <c r="AB39">
        <f t="shared" si="30"/>
        <v>1618.36</v>
      </c>
      <c r="AC39">
        <f t="shared" si="31"/>
        <v>1618.36</v>
      </c>
      <c r="AD39">
        <f>ROUND((((ET39)-(EU39))+AE39),6)</f>
        <v>0</v>
      </c>
      <c r="AE39">
        <f>ROUND((EU39),6)</f>
        <v>0</v>
      </c>
      <c r="AF39">
        <f>ROUND((EV39),6)</f>
        <v>0</v>
      </c>
      <c r="AG39">
        <f t="shared" si="32"/>
        <v>0</v>
      </c>
      <c r="AH39">
        <f>(EW39)</f>
        <v>0</v>
      </c>
      <c r="AI39">
        <f>(EX39)</f>
        <v>0</v>
      </c>
      <c r="AJ39">
        <f t="shared" si="33"/>
        <v>0</v>
      </c>
      <c r="AK39">
        <v>1618.36</v>
      </c>
      <c r="AL39">
        <v>1618.36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7.66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3</v>
      </c>
      <c r="BJ39" t="s">
        <v>3</v>
      </c>
      <c r="BM39">
        <v>746</v>
      </c>
      <c r="BN39">
        <v>0</v>
      </c>
      <c r="BO39" t="s">
        <v>3</v>
      </c>
      <c r="BP39">
        <v>0</v>
      </c>
      <c r="BQ39">
        <v>130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0</v>
      </c>
      <c r="CA39">
        <v>0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4"/>
        <v>12396.64</v>
      </c>
      <c r="CQ39">
        <f>ROUND((ROUND((AC39*1),2)*BC39),2)</f>
        <v>12396.64</v>
      </c>
      <c r="CR39">
        <f>(ROUND((ROUND(((ET39)*AV39*1),2)*BB39),2)+ROUND((ROUND(((AE39-(EU39))*AV39*1),2)*BS39),2))</f>
        <v>0</v>
      </c>
      <c r="CS39">
        <f t="shared" si="35"/>
        <v>0</v>
      </c>
      <c r="CT39">
        <f t="shared" si="36"/>
        <v>0</v>
      </c>
      <c r="CU39">
        <f t="shared" si="37"/>
        <v>0</v>
      </c>
      <c r="CV39">
        <f t="shared" si="38"/>
        <v>0</v>
      </c>
      <c r="CW39">
        <f t="shared" si="39"/>
        <v>0</v>
      </c>
      <c r="CX39">
        <f t="shared" si="40"/>
        <v>0</v>
      </c>
      <c r="CY39">
        <f t="shared" si="41"/>
        <v>0</v>
      </c>
      <c r="CZ39">
        <f t="shared" si="42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1010</v>
      </c>
      <c r="DV39" t="s">
        <v>31</v>
      </c>
      <c r="DW39" t="s">
        <v>31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55992259</v>
      </c>
      <c r="EF39">
        <v>130</v>
      </c>
      <c r="EG39" t="s">
        <v>32</v>
      </c>
      <c r="EH39">
        <v>0</v>
      </c>
      <c r="EI39" t="s">
        <v>3</v>
      </c>
      <c r="EJ39">
        <v>3</v>
      </c>
      <c r="EK39">
        <v>746</v>
      </c>
      <c r="EL39" t="s">
        <v>33</v>
      </c>
      <c r="EM39" t="s">
        <v>34</v>
      </c>
      <c r="EO39" t="s">
        <v>3</v>
      </c>
      <c r="EQ39">
        <v>0</v>
      </c>
      <c r="ER39">
        <v>1618.36</v>
      </c>
      <c r="ES39">
        <v>1618.36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5</v>
      </c>
      <c r="FC39">
        <v>1</v>
      </c>
      <c r="FD39">
        <v>18</v>
      </c>
      <c r="FF39">
        <v>14271.44</v>
      </c>
      <c r="FQ39">
        <v>0</v>
      </c>
      <c r="FR39">
        <f>P39</f>
        <v>12396.64</v>
      </c>
      <c r="FS39">
        <v>0</v>
      </c>
      <c r="FX39">
        <v>0</v>
      </c>
      <c r="FY39">
        <v>0</v>
      </c>
      <c r="GA39" t="s">
        <v>54</v>
      </c>
      <c r="GD39">
        <v>1</v>
      </c>
      <c r="GF39">
        <v>493595391</v>
      </c>
      <c r="GG39">
        <v>2</v>
      </c>
      <c r="GH39">
        <v>3</v>
      </c>
      <c r="GI39">
        <v>5</v>
      </c>
      <c r="GJ39">
        <v>0</v>
      </c>
      <c r="GK39">
        <v>0</v>
      </c>
      <c r="GL39">
        <f t="shared" si="43"/>
        <v>0</v>
      </c>
      <c r="GM39">
        <f t="shared" si="44"/>
        <v>12396.64</v>
      </c>
      <c r="GN39">
        <f t="shared" si="45"/>
        <v>0</v>
      </c>
      <c r="GO39">
        <f t="shared" si="46"/>
        <v>0</v>
      </c>
      <c r="GP39">
        <f t="shared" si="47"/>
        <v>0</v>
      </c>
      <c r="GR39">
        <v>1</v>
      </c>
      <c r="GS39">
        <v>1</v>
      </c>
      <c r="GT39">
        <v>0</v>
      </c>
      <c r="GU39" t="s">
        <v>3</v>
      </c>
      <c r="GV39">
        <f t="shared" si="48"/>
        <v>0</v>
      </c>
      <c r="GW39">
        <v>1</v>
      </c>
      <c r="GX39">
        <f t="shared" si="49"/>
        <v>0</v>
      </c>
      <c r="HA39">
        <v>0</v>
      </c>
      <c r="HB39">
        <v>0</v>
      </c>
      <c r="HC39">
        <f t="shared" si="50"/>
        <v>0</v>
      </c>
      <c r="HE39" t="s">
        <v>36</v>
      </c>
      <c r="HF39" t="s">
        <v>37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>
        <f>ROW(SmtRes!A26)</f>
        <v>26</v>
      </c>
      <c r="D40" s="2">
        <f>ROW(EtalonRes!A31)</f>
        <v>31</v>
      </c>
      <c r="E40" s="2" t="s">
        <v>55</v>
      </c>
      <c r="F40" s="2" t="s">
        <v>56</v>
      </c>
      <c r="G40" s="2" t="s">
        <v>57</v>
      </c>
      <c r="H40" s="2" t="s">
        <v>58</v>
      </c>
      <c r="I40" s="2">
        <f>ROUND(1/10,9)</f>
        <v>0.1</v>
      </c>
      <c r="J40" s="2">
        <v>0</v>
      </c>
      <c r="K40" s="2">
        <f>ROUND(1/10,9)</f>
        <v>0.1</v>
      </c>
      <c r="L40" s="2"/>
      <c r="M40" s="2"/>
      <c r="N40" s="2"/>
      <c r="O40" s="2">
        <f t="shared" si="21"/>
        <v>54.5</v>
      </c>
      <c r="P40" s="2">
        <f>ROUND((ROUND((AC40*AW40*I40),2)*BC40),2)</f>
        <v>0.13</v>
      </c>
      <c r="Q40" s="2">
        <f>(ROUND((ROUND((((ET40*1.1))*AV40*I40),2)*BB40),2)+ROUND((ROUND(((AE40-((EU40*1.1)))*AV40*I40),2)*BS40),2))</f>
        <v>0.13</v>
      </c>
      <c r="R40" s="2">
        <f t="shared" si="22"/>
        <v>0.01</v>
      </c>
      <c r="S40" s="2">
        <f t="shared" si="23"/>
        <v>54.24</v>
      </c>
      <c r="T40" s="2">
        <f t="shared" si="24"/>
        <v>0</v>
      </c>
      <c r="U40" s="2">
        <f t="shared" si="25"/>
        <v>3.4504932000000004</v>
      </c>
      <c r="V40" s="2">
        <f t="shared" si="26"/>
        <v>0</v>
      </c>
      <c r="W40" s="2">
        <f t="shared" si="27"/>
        <v>0</v>
      </c>
      <c r="X40" s="2">
        <f t="shared" si="28"/>
        <v>48.83</v>
      </c>
      <c r="Y40" s="2">
        <f t="shared" si="29"/>
        <v>24.96</v>
      </c>
      <c r="Z40" s="2"/>
      <c r="AA40" s="2">
        <v>56959434</v>
      </c>
      <c r="AB40" s="2">
        <f t="shared" si="30"/>
        <v>520.53399999999999</v>
      </c>
      <c r="AC40" s="2">
        <f t="shared" si="31"/>
        <v>1.29</v>
      </c>
      <c r="AD40" s="2">
        <f>ROUND(((((ET40*1.1))-((EU40*1.1)))+AE40),6)</f>
        <v>1.21</v>
      </c>
      <c r="AE40" s="2">
        <f>ROUND(((EU40*1.1)),6)</f>
        <v>0.14299999999999999</v>
      </c>
      <c r="AF40" s="2">
        <f>ROUND(((EV40*1.1)),6)</f>
        <v>518.03399999999999</v>
      </c>
      <c r="AG40" s="2">
        <f t="shared" si="32"/>
        <v>0</v>
      </c>
      <c r="AH40" s="2">
        <f>((EW40*1.1))</f>
        <v>32.956000000000003</v>
      </c>
      <c r="AI40" s="2">
        <f>((EX40*1.1))</f>
        <v>0</v>
      </c>
      <c r="AJ40" s="2">
        <f t="shared" si="33"/>
        <v>0</v>
      </c>
      <c r="AK40" s="2">
        <v>473.33</v>
      </c>
      <c r="AL40" s="2">
        <v>1.29</v>
      </c>
      <c r="AM40" s="2">
        <v>1.1000000000000001</v>
      </c>
      <c r="AN40" s="2">
        <v>0.13</v>
      </c>
      <c r="AO40" s="2">
        <v>470.94</v>
      </c>
      <c r="AP40" s="2">
        <v>0</v>
      </c>
      <c r="AQ40" s="2">
        <v>29.96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59</v>
      </c>
      <c r="BK40" s="2"/>
      <c r="BL40" s="2"/>
      <c r="BM40" s="2">
        <v>68</v>
      </c>
      <c r="BN40" s="2">
        <v>55992028</v>
      </c>
      <c r="BO40" s="2" t="s">
        <v>56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673</v>
      </c>
      <c r="CO40" s="2">
        <v>0</v>
      </c>
      <c r="CP40" s="2">
        <f t="shared" si="34"/>
        <v>54.5</v>
      </c>
      <c r="CQ40" s="2">
        <f>ROUND((ROUND((AC40*AW40*1),2)*BC40),2)</f>
        <v>1.29</v>
      </c>
      <c r="CR40" s="2">
        <f>(ROUND((ROUND((((ET40*1.1))*AV40*1),2)*BB40),2)+ROUND((ROUND(((AE40-((EU40*1.1)))*AV40*1),2)*BS40),2))</f>
        <v>1.27</v>
      </c>
      <c r="CS40" s="2">
        <f t="shared" si="35"/>
        <v>0.15</v>
      </c>
      <c r="CT40" s="2">
        <f t="shared" si="36"/>
        <v>542.38</v>
      </c>
      <c r="CU40" s="2">
        <f t="shared" si="37"/>
        <v>0</v>
      </c>
      <c r="CV40" s="2">
        <f t="shared" si="38"/>
        <v>34.504932000000004</v>
      </c>
      <c r="CW40" s="2">
        <f t="shared" si="39"/>
        <v>0</v>
      </c>
      <c r="CX40" s="2">
        <f t="shared" si="40"/>
        <v>0</v>
      </c>
      <c r="CY40" s="2">
        <f t="shared" si="41"/>
        <v>48.825000000000003</v>
      </c>
      <c r="CZ40" s="2">
        <f t="shared" si="42"/>
        <v>24.954999999999998</v>
      </c>
      <c r="DA40" s="2"/>
      <c r="DB40" s="2"/>
      <c r="DC40" s="2" t="s">
        <v>3</v>
      </c>
      <c r="DD40" s="2" t="s">
        <v>3</v>
      </c>
      <c r="DE40" s="2" t="s">
        <v>23</v>
      </c>
      <c r="DF40" s="2" t="s">
        <v>23</v>
      </c>
      <c r="DG40" s="2" t="s">
        <v>23</v>
      </c>
      <c r="DH40" s="2" t="s">
        <v>3</v>
      </c>
      <c r="DI40" s="2" t="s">
        <v>23</v>
      </c>
      <c r="DJ40" s="2" t="s">
        <v>23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58</v>
      </c>
      <c r="DW40" s="2" t="s">
        <v>58</v>
      </c>
      <c r="DX40" s="2">
        <v>10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55992152</v>
      </c>
      <c r="EF40" s="2">
        <v>40</v>
      </c>
      <c r="EG40" s="2" t="s">
        <v>24</v>
      </c>
      <c r="EH40" s="2">
        <v>0</v>
      </c>
      <c r="EI40" s="2" t="s">
        <v>3</v>
      </c>
      <c r="EJ40" s="2">
        <v>2</v>
      </c>
      <c r="EK40" s="2">
        <v>68</v>
      </c>
      <c r="EL40" s="2" t="s">
        <v>41</v>
      </c>
      <c r="EM40" s="2" t="s">
        <v>42</v>
      </c>
      <c r="EN40" s="2"/>
      <c r="EO40" s="2" t="s">
        <v>27</v>
      </c>
      <c r="EP40" s="2"/>
      <c r="EQ40" s="2">
        <v>0</v>
      </c>
      <c r="ER40" s="2">
        <v>473.33</v>
      </c>
      <c r="ES40" s="2">
        <v>1.29</v>
      </c>
      <c r="ET40" s="2">
        <v>1.1000000000000001</v>
      </c>
      <c r="EU40" s="2">
        <v>0.13</v>
      </c>
      <c r="EV40" s="2">
        <v>470.94</v>
      </c>
      <c r="EW40" s="2">
        <v>29.96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-733186695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43"/>
        <v>0</v>
      </c>
      <c r="GM40" s="2">
        <f t="shared" si="44"/>
        <v>128.29</v>
      </c>
      <c r="GN40" s="2">
        <f t="shared" si="45"/>
        <v>0</v>
      </c>
      <c r="GO40" s="2">
        <f t="shared" si="46"/>
        <v>128.29</v>
      </c>
      <c r="GP40" s="2">
        <f t="shared" si="47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8"/>
        <v>0</v>
      </c>
      <c r="GW40" s="2">
        <v>1</v>
      </c>
      <c r="GX40" s="2">
        <f t="shared" si="49"/>
        <v>0</v>
      </c>
      <c r="GY40" s="2"/>
      <c r="GZ40" s="2"/>
      <c r="HA40" s="2">
        <v>0</v>
      </c>
      <c r="HB40" s="2">
        <v>0</v>
      </c>
      <c r="HC40" s="2">
        <f t="shared" si="50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C41">
        <f>ROW(SmtRes!A30)</f>
        <v>30</v>
      </c>
      <c r="D41">
        <f>ROW(EtalonRes!A36)</f>
        <v>36</v>
      </c>
      <c r="E41" t="s">
        <v>55</v>
      </c>
      <c r="F41" t="s">
        <v>56</v>
      </c>
      <c r="G41" t="s">
        <v>57</v>
      </c>
      <c r="H41" t="s">
        <v>58</v>
      </c>
      <c r="I41">
        <f>ROUND(1/10,9)</f>
        <v>0.1</v>
      </c>
      <c r="J41">
        <v>0</v>
      </c>
      <c r="K41">
        <f>ROUND(1/10,9)</f>
        <v>0.1</v>
      </c>
      <c r="O41">
        <f t="shared" si="21"/>
        <v>2985.48</v>
      </c>
      <c r="P41">
        <f>ROUND((ROUND((AC41*AW41*I41),2)*BC41),2)</f>
        <v>0.94</v>
      </c>
      <c r="Q41">
        <f>(ROUND((ROUND((((ET41*1.1))*AV41*I41),2)*BB41),2)+ROUND((ROUND(((AE41-((EU41*1.1)))*AV41*I41),2)*BS41),2))</f>
        <v>1.88</v>
      </c>
      <c r="R41">
        <f t="shared" si="22"/>
        <v>0.55000000000000004</v>
      </c>
      <c r="S41">
        <f t="shared" si="23"/>
        <v>2982.66</v>
      </c>
      <c r="T41">
        <f t="shared" si="24"/>
        <v>0</v>
      </c>
      <c r="U41">
        <f t="shared" si="25"/>
        <v>3.4504932000000004</v>
      </c>
      <c r="V41">
        <f t="shared" si="26"/>
        <v>0</v>
      </c>
      <c r="W41">
        <f t="shared" si="27"/>
        <v>0</v>
      </c>
      <c r="X41">
        <f t="shared" si="28"/>
        <v>2684.89</v>
      </c>
      <c r="Y41">
        <f t="shared" si="29"/>
        <v>1372.28</v>
      </c>
      <c r="AA41">
        <v>56959431</v>
      </c>
      <c r="AB41">
        <f t="shared" si="30"/>
        <v>520.53399999999999</v>
      </c>
      <c r="AC41">
        <f t="shared" si="31"/>
        <v>1.29</v>
      </c>
      <c r="AD41">
        <f>ROUND(((((ET41*1.1))-((EU41*1.1)))+AE41),6)</f>
        <v>1.21</v>
      </c>
      <c r="AE41">
        <f>ROUND(((EU41*1.1)),6)</f>
        <v>0.14299999999999999</v>
      </c>
      <c r="AF41">
        <f>ROUND(((EV41*1.1)),6)</f>
        <v>518.03399999999999</v>
      </c>
      <c r="AG41">
        <f t="shared" si="32"/>
        <v>0</v>
      </c>
      <c r="AH41">
        <f>((EW41*1.1))</f>
        <v>32.956000000000003</v>
      </c>
      <c r="AI41">
        <f>((EX41*1.1))</f>
        <v>0</v>
      </c>
      <c r="AJ41">
        <f t="shared" si="33"/>
        <v>0</v>
      </c>
      <c r="AK41">
        <v>473.33</v>
      </c>
      <c r="AL41">
        <v>1.29</v>
      </c>
      <c r="AM41">
        <v>1.1000000000000001</v>
      </c>
      <c r="AN41">
        <v>0.13</v>
      </c>
      <c r="AO41">
        <v>470.94</v>
      </c>
      <c r="AP41">
        <v>0</v>
      </c>
      <c r="AQ41">
        <v>29.96</v>
      </c>
      <c r="AR41">
        <v>0</v>
      </c>
      <c r="AS41">
        <v>0</v>
      </c>
      <c r="AT41">
        <v>90</v>
      </c>
      <c r="AU41">
        <v>46</v>
      </c>
      <c r="AV41">
        <v>1.0469999999999999</v>
      </c>
      <c r="AW41">
        <v>1</v>
      </c>
      <c r="AZ41">
        <v>1</v>
      </c>
      <c r="BA41">
        <v>54.99</v>
      </c>
      <c r="BB41">
        <v>14.48</v>
      </c>
      <c r="BC41">
        <v>7.25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2</v>
      </c>
      <c r="BJ41" t="s">
        <v>59</v>
      </c>
      <c r="BM41">
        <v>68</v>
      </c>
      <c r="BN41">
        <v>55992028</v>
      </c>
      <c r="BO41" t="s">
        <v>56</v>
      </c>
      <c r="BP41">
        <v>1</v>
      </c>
      <c r="BQ41">
        <v>40</v>
      </c>
      <c r="BR41">
        <v>0</v>
      </c>
      <c r="BS41">
        <v>54.99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90</v>
      </c>
      <c r="CA41">
        <v>46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673</v>
      </c>
      <c r="CO41">
        <v>0</v>
      </c>
      <c r="CP41">
        <f t="shared" si="34"/>
        <v>2985.48</v>
      </c>
      <c r="CQ41">
        <f>ROUND((ROUND((AC41*AW41*1),2)*BC41),2)</f>
        <v>9.35</v>
      </c>
      <c r="CR41">
        <f>(ROUND((ROUND((((ET41*1.1))*AV41*1),2)*BB41),2)+ROUND((ROUND(((AE41-((EU41*1.1)))*AV41*1),2)*BS41),2))</f>
        <v>18.39</v>
      </c>
      <c r="CS41">
        <f t="shared" si="35"/>
        <v>8.25</v>
      </c>
      <c r="CT41">
        <f t="shared" si="36"/>
        <v>29825.48</v>
      </c>
      <c r="CU41">
        <f t="shared" si="37"/>
        <v>0</v>
      </c>
      <c r="CV41">
        <f t="shared" si="38"/>
        <v>34.504932000000004</v>
      </c>
      <c r="CW41">
        <f t="shared" si="39"/>
        <v>0</v>
      </c>
      <c r="CX41">
        <f t="shared" si="40"/>
        <v>0</v>
      </c>
      <c r="CY41">
        <f t="shared" si="41"/>
        <v>2684.8890000000001</v>
      </c>
      <c r="CZ41">
        <f t="shared" si="42"/>
        <v>1372.2766000000001</v>
      </c>
      <c r="DC41" t="s">
        <v>3</v>
      </c>
      <c r="DD41" t="s">
        <v>3</v>
      </c>
      <c r="DE41" t="s">
        <v>23</v>
      </c>
      <c r="DF41" t="s">
        <v>23</v>
      </c>
      <c r="DG41" t="s">
        <v>23</v>
      </c>
      <c r="DH41" t="s">
        <v>3</v>
      </c>
      <c r="DI41" t="s">
        <v>23</v>
      </c>
      <c r="DJ41" t="s">
        <v>23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1010</v>
      </c>
      <c r="DV41" t="s">
        <v>58</v>
      </c>
      <c r="DW41" t="s">
        <v>58</v>
      </c>
      <c r="DX41">
        <v>10</v>
      </c>
      <c r="DZ41" t="s">
        <v>3</v>
      </c>
      <c r="EA41" t="s">
        <v>3</v>
      </c>
      <c r="EB41" t="s">
        <v>3</v>
      </c>
      <c r="EC41" t="s">
        <v>3</v>
      </c>
      <c r="EE41">
        <v>55992152</v>
      </c>
      <c r="EF41">
        <v>40</v>
      </c>
      <c r="EG41" t="s">
        <v>24</v>
      </c>
      <c r="EH41">
        <v>0</v>
      </c>
      <c r="EI41" t="s">
        <v>3</v>
      </c>
      <c r="EJ41">
        <v>2</v>
      </c>
      <c r="EK41">
        <v>68</v>
      </c>
      <c r="EL41" t="s">
        <v>41</v>
      </c>
      <c r="EM41" t="s">
        <v>42</v>
      </c>
      <c r="EO41" t="s">
        <v>27</v>
      </c>
      <c r="EQ41">
        <v>0</v>
      </c>
      <c r="ER41">
        <v>473.33</v>
      </c>
      <c r="ES41">
        <v>1.29</v>
      </c>
      <c r="ET41">
        <v>1.1000000000000001</v>
      </c>
      <c r="EU41">
        <v>0.13</v>
      </c>
      <c r="EV41">
        <v>470.94</v>
      </c>
      <c r="EW41">
        <v>29.96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90</v>
      </c>
      <c r="FY41">
        <v>46</v>
      </c>
      <c r="GA41" t="s">
        <v>3</v>
      </c>
      <c r="GD41">
        <v>1</v>
      </c>
      <c r="GF41">
        <v>-733186695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43"/>
        <v>0</v>
      </c>
      <c r="GM41">
        <f t="shared" si="44"/>
        <v>7042.65</v>
      </c>
      <c r="GN41">
        <f t="shared" si="45"/>
        <v>0</v>
      </c>
      <c r="GO41">
        <f t="shared" si="46"/>
        <v>7042.65</v>
      </c>
      <c r="GP41">
        <f t="shared" si="47"/>
        <v>0</v>
      </c>
      <c r="GR41">
        <v>0</v>
      </c>
      <c r="GS41">
        <v>3</v>
      </c>
      <c r="GT41">
        <v>0</v>
      </c>
      <c r="GU41" t="s">
        <v>3</v>
      </c>
      <c r="GV41">
        <f t="shared" si="48"/>
        <v>0</v>
      </c>
      <c r="GW41">
        <v>1</v>
      </c>
      <c r="GX41">
        <f t="shared" si="49"/>
        <v>0</v>
      </c>
      <c r="HA41">
        <v>0</v>
      </c>
      <c r="HB41">
        <v>0</v>
      </c>
      <c r="HC41">
        <f t="shared" si="50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60</v>
      </c>
      <c r="F42" s="2" t="s">
        <v>61</v>
      </c>
      <c r="G42" s="2" t="s">
        <v>62</v>
      </c>
      <c r="H42" s="2" t="s">
        <v>31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3784.21</v>
      </c>
      <c r="P42" s="2">
        <f>ROUND((ROUND((AC42*I42),2)*BC42),2)</f>
        <v>3784.21</v>
      </c>
      <c r="Q42" s="2">
        <f>(ROUND((ROUND(((ET42)*AV42*I42),2)*BB42),2)+ROUND((ROUND(((AE42-(EU42))*AV42*I42),2)*BS42),2))</f>
        <v>0</v>
      </c>
      <c r="R42" s="2">
        <f t="shared" si="22"/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 t="shared" si="28"/>
        <v>0</v>
      </c>
      <c r="Y42" s="2">
        <f t="shared" si="29"/>
        <v>0</v>
      </c>
      <c r="Z42" s="2"/>
      <c r="AA42" s="2">
        <v>56959434</v>
      </c>
      <c r="AB42" s="2">
        <f t="shared" si="30"/>
        <v>3784.21</v>
      </c>
      <c r="AC42" s="2">
        <f t="shared" si="31"/>
        <v>3784.21</v>
      </c>
      <c r="AD42" s="2">
        <f>ROUND((((ET42)-(EU42))+AE42),6)</f>
        <v>0</v>
      </c>
      <c r="AE42" s="2">
        <f>ROUND((EU42),6)</f>
        <v>0</v>
      </c>
      <c r="AF42" s="2">
        <f>ROUND((EV42),6)</f>
        <v>0</v>
      </c>
      <c r="AG42" s="2">
        <f t="shared" si="32"/>
        <v>0</v>
      </c>
      <c r="AH42" s="2">
        <f>(EW42)</f>
        <v>0</v>
      </c>
      <c r="AI42" s="2">
        <f>(EX42)</f>
        <v>0</v>
      </c>
      <c r="AJ42" s="2">
        <f t="shared" si="33"/>
        <v>0</v>
      </c>
      <c r="AK42" s="2">
        <v>3784.2099999999996</v>
      </c>
      <c r="AL42" s="2">
        <v>3784.2099999999996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4"/>
        <v>3784.21</v>
      </c>
      <c r="CQ42" s="2">
        <f>ROUND((ROUND((AC42*1),2)*BC42),2)</f>
        <v>3784.21</v>
      </c>
      <c r="CR42" s="2">
        <f>(ROUND((ROUND(((ET42)*AV42*1),2)*BB42),2)+ROUND((ROUND(((AE42-(EU42))*AV42*1),2)*BS42),2))</f>
        <v>0</v>
      </c>
      <c r="CS42" s="2">
        <f t="shared" si="35"/>
        <v>0</v>
      </c>
      <c r="CT42" s="2">
        <f t="shared" si="36"/>
        <v>0</v>
      </c>
      <c r="CU42" s="2">
        <f t="shared" si="37"/>
        <v>0</v>
      </c>
      <c r="CV42" s="2">
        <f t="shared" si="38"/>
        <v>0</v>
      </c>
      <c r="CW42" s="2">
        <f t="shared" si="39"/>
        <v>0</v>
      </c>
      <c r="CX42" s="2">
        <f t="shared" si="40"/>
        <v>0</v>
      </c>
      <c r="CY42" s="2">
        <f t="shared" si="41"/>
        <v>0</v>
      </c>
      <c r="CZ42" s="2">
        <f t="shared" si="42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31</v>
      </c>
      <c r="DW42" s="2" t="s">
        <v>31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55992259</v>
      </c>
      <c r="EF42" s="2">
        <v>130</v>
      </c>
      <c r="EG42" s="2" t="s">
        <v>32</v>
      </c>
      <c r="EH42" s="2">
        <v>0</v>
      </c>
      <c r="EI42" s="2" t="s">
        <v>3</v>
      </c>
      <c r="EJ42" s="2">
        <v>3</v>
      </c>
      <c r="EK42" s="2">
        <v>746</v>
      </c>
      <c r="EL42" s="2" t="s">
        <v>33</v>
      </c>
      <c r="EM42" s="2" t="s">
        <v>34</v>
      </c>
      <c r="EN42" s="2"/>
      <c r="EO42" s="2" t="s">
        <v>3</v>
      </c>
      <c r="EP42" s="2"/>
      <c r="EQ42" s="2">
        <v>0</v>
      </c>
      <c r="ER42" s="2">
        <v>0</v>
      </c>
      <c r="ES42" s="2">
        <v>3784.2099999999996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3784.21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63</v>
      </c>
      <c r="GB42" s="2"/>
      <c r="GC42" s="2"/>
      <c r="GD42" s="2">
        <v>1</v>
      </c>
      <c r="GE42" s="2"/>
      <c r="GF42" s="2">
        <v>782956652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43"/>
        <v>0</v>
      </c>
      <c r="GM42" s="2">
        <f t="shared" si="44"/>
        <v>3784.21</v>
      </c>
      <c r="GN42" s="2">
        <f t="shared" si="45"/>
        <v>0</v>
      </c>
      <c r="GO42" s="2">
        <f t="shared" si="46"/>
        <v>0</v>
      </c>
      <c r="GP42" s="2">
        <f t="shared" si="47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8"/>
        <v>0</v>
      </c>
      <c r="GW42" s="2">
        <v>1</v>
      </c>
      <c r="GX42" s="2">
        <f t="shared" si="49"/>
        <v>0</v>
      </c>
      <c r="GY42" s="2"/>
      <c r="GZ42" s="2"/>
      <c r="HA42" s="2">
        <v>0</v>
      </c>
      <c r="HB42" s="2">
        <v>0</v>
      </c>
      <c r="HC42" s="2">
        <f t="shared" si="50"/>
        <v>0</v>
      </c>
      <c r="HD42" s="2"/>
      <c r="HE42" s="2" t="s">
        <v>36</v>
      </c>
      <c r="HF42" s="2" t="s">
        <v>37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60</v>
      </c>
      <c r="F43" t="s">
        <v>61</v>
      </c>
      <c r="G43" t="s">
        <v>62</v>
      </c>
      <c r="H43" t="s">
        <v>31</v>
      </c>
      <c r="I43">
        <v>1</v>
      </c>
      <c r="J43">
        <v>0</v>
      </c>
      <c r="K43">
        <v>1</v>
      </c>
      <c r="O43">
        <f t="shared" si="21"/>
        <v>28987.05</v>
      </c>
      <c r="P43">
        <f>ROUND((ROUND((AC43*I43),2)*BC43),2)</f>
        <v>28987.05</v>
      </c>
      <c r="Q43">
        <f>(ROUND((ROUND(((ET43)*AV43*I43),2)*BB43),2)+ROUND((ROUND(((AE43-(EU43))*AV43*I43),2)*BS43),2))</f>
        <v>0</v>
      </c>
      <c r="R43">
        <f t="shared" si="22"/>
        <v>0</v>
      </c>
      <c r="S43">
        <f t="shared" si="23"/>
        <v>0</v>
      </c>
      <c r="T43">
        <f t="shared" si="24"/>
        <v>0</v>
      </c>
      <c r="U43">
        <f t="shared" si="25"/>
        <v>0</v>
      </c>
      <c r="V43">
        <f t="shared" si="26"/>
        <v>0</v>
      </c>
      <c r="W43">
        <f t="shared" si="27"/>
        <v>0</v>
      </c>
      <c r="X43">
        <f t="shared" si="28"/>
        <v>0</v>
      </c>
      <c r="Y43">
        <f t="shared" si="29"/>
        <v>0</v>
      </c>
      <c r="AA43">
        <v>56959431</v>
      </c>
      <c r="AB43">
        <f t="shared" si="30"/>
        <v>3784.21</v>
      </c>
      <c r="AC43">
        <f t="shared" si="31"/>
        <v>3784.21</v>
      </c>
      <c r="AD43">
        <f>ROUND((((ET43)-(EU43))+AE43),6)</f>
        <v>0</v>
      </c>
      <c r="AE43">
        <f>ROUND((EU43),6)</f>
        <v>0</v>
      </c>
      <c r="AF43">
        <f>ROUND((EV43),6)</f>
        <v>0</v>
      </c>
      <c r="AG43">
        <f t="shared" si="32"/>
        <v>0</v>
      </c>
      <c r="AH43">
        <f>(EW43)</f>
        <v>0</v>
      </c>
      <c r="AI43">
        <f>(EX43)</f>
        <v>0</v>
      </c>
      <c r="AJ43">
        <f t="shared" si="33"/>
        <v>0</v>
      </c>
      <c r="AK43">
        <v>3784.2099999999996</v>
      </c>
      <c r="AL43">
        <v>3784.2099999999996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7.66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3</v>
      </c>
      <c r="BJ43" t="s">
        <v>3</v>
      </c>
      <c r="BM43">
        <v>746</v>
      </c>
      <c r="BN43">
        <v>0</v>
      </c>
      <c r="BO43" t="s">
        <v>3</v>
      </c>
      <c r="BP43">
        <v>0</v>
      </c>
      <c r="BQ43">
        <v>130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34"/>
        <v>28987.05</v>
      </c>
      <c r="CQ43">
        <f>ROUND((ROUND((AC43*1),2)*BC43),2)</f>
        <v>28987.05</v>
      </c>
      <c r="CR43">
        <f>(ROUND((ROUND(((ET43)*AV43*1),2)*BB43),2)+ROUND((ROUND(((AE43-(EU43))*AV43*1),2)*BS43),2))</f>
        <v>0</v>
      </c>
      <c r="CS43">
        <f t="shared" si="35"/>
        <v>0</v>
      </c>
      <c r="CT43">
        <f t="shared" si="36"/>
        <v>0</v>
      </c>
      <c r="CU43">
        <f t="shared" si="37"/>
        <v>0</v>
      </c>
      <c r="CV43">
        <f t="shared" si="38"/>
        <v>0</v>
      </c>
      <c r="CW43">
        <f t="shared" si="39"/>
        <v>0</v>
      </c>
      <c r="CX43">
        <f t="shared" si="40"/>
        <v>0</v>
      </c>
      <c r="CY43">
        <f t="shared" si="41"/>
        <v>0</v>
      </c>
      <c r="CZ43">
        <f t="shared" si="42"/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1010</v>
      </c>
      <c r="DV43" t="s">
        <v>31</v>
      </c>
      <c r="DW43" t="s">
        <v>31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55992259</v>
      </c>
      <c r="EF43">
        <v>130</v>
      </c>
      <c r="EG43" t="s">
        <v>32</v>
      </c>
      <c r="EH43">
        <v>0</v>
      </c>
      <c r="EI43" t="s">
        <v>3</v>
      </c>
      <c r="EJ43">
        <v>3</v>
      </c>
      <c r="EK43">
        <v>746</v>
      </c>
      <c r="EL43" t="s">
        <v>33</v>
      </c>
      <c r="EM43" t="s">
        <v>34</v>
      </c>
      <c r="EO43" t="s">
        <v>3</v>
      </c>
      <c r="EQ43">
        <v>0</v>
      </c>
      <c r="ER43">
        <v>3784.2099999999996</v>
      </c>
      <c r="ES43">
        <v>3784.2099999999996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5</v>
      </c>
      <c r="FC43">
        <v>1</v>
      </c>
      <c r="FD43">
        <v>18</v>
      </c>
      <c r="FF43">
        <v>33370.9</v>
      </c>
      <c r="FQ43">
        <v>0</v>
      </c>
      <c r="FR43">
        <f>P43</f>
        <v>28987.05</v>
      </c>
      <c r="FS43">
        <v>0</v>
      </c>
      <c r="FX43">
        <v>0</v>
      </c>
      <c r="FY43">
        <v>0</v>
      </c>
      <c r="GA43" t="s">
        <v>63</v>
      </c>
      <c r="GD43">
        <v>1</v>
      </c>
      <c r="GF43">
        <v>782956652</v>
      </c>
      <c r="GG43">
        <v>2</v>
      </c>
      <c r="GH43">
        <v>3</v>
      </c>
      <c r="GI43">
        <v>5</v>
      </c>
      <c r="GJ43">
        <v>0</v>
      </c>
      <c r="GK43">
        <v>0</v>
      </c>
      <c r="GL43">
        <f t="shared" si="43"/>
        <v>0</v>
      </c>
      <c r="GM43">
        <f t="shared" si="44"/>
        <v>28987.05</v>
      </c>
      <c r="GN43">
        <f t="shared" si="45"/>
        <v>0</v>
      </c>
      <c r="GO43">
        <f t="shared" si="46"/>
        <v>0</v>
      </c>
      <c r="GP43">
        <f t="shared" si="47"/>
        <v>0</v>
      </c>
      <c r="GR43">
        <v>1</v>
      </c>
      <c r="GS43">
        <v>1</v>
      </c>
      <c r="GT43">
        <v>0</v>
      </c>
      <c r="GU43" t="s">
        <v>3</v>
      </c>
      <c r="GV43">
        <f t="shared" si="48"/>
        <v>0</v>
      </c>
      <c r="GW43">
        <v>1</v>
      </c>
      <c r="GX43">
        <f t="shared" si="49"/>
        <v>0</v>
      </c>
      <c r="HA43">
        <v>0</v>
      </c>
      <c r="HB43">
        <v>0</v>
      </c>
      <c r="HC43">
        <f t="shared" si="50"/>
        <v>0</v>
      </c>
      <c r="HE43" t="s">
        <v>36</v>
      </c>
      <c r="HF43" t="s">
        <v>37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ROW(SmtRes!A32)</f>
        <v>32</v>
      </c>
      <c r="D44" s="2">
        <f>ROW(EtalonRes!A39)</f>
        <v>39</v>
      </c>
      <c r="E44" s="2" t="s">
        <v>64</v>
      </c>
      <c r="F44" s="2" t="s">
        <v>48</v>
      </c>
      <c r="G44" s="2" t="s">
        <v>49</v>
      </c>
      <c r="H44" s="2" t="s">
        <v>21</v>
      </c>
      <c r="I44" s="2">
        <v>2</v>
      </c>
      <c r="J44" s="2">
        <v>0</v>
      </c>
      <c r="K44" s="2">
        <v>2</v>
      </c>
      <c r="L44" s="2"/>
      <c r="M44" s="2"/>
      <c r="N44" s="2"/>
      <c r="O44" s="2">
        <f t="shared" si="21"/>
        <v>27.98</v>
      </c>
      <c r="P44" s="2">
        <f>ROUND((ROUND((AC44*AW44*I44),2)*BC44),2)</f>
        <v>0</v>
      </c>
      <c r="Q44" s="2">
        <f>(ROUND((ROUND((((ET44*1.1))*AV44*I44),2)*BB44),2)+ROUND((ROUND(((AE44-((EU44*1.1)))*AV44*I44),2)*BS44),2))</f>
        <v>1.1499999999999999</v>
      </c>
      <c r="R44" s="2">
        <f t="shared" si="22"/>
        <v>0.18</v>
      </c>
      <c r="S44" s="2">
        <f t="shared" si="23"/>
        <v>26.83</v>
      </c>
      <c r="T44" s="2">
        <f t="shared" si="24"/>
        <v>0</v>
      </c>
      <c r="U44" s="2">
        <f t="shared" si="25"/>
        <v>2.3725020000000003</v>
      </c>
      <c r="V44" s="2">
        <f t="shared" si="26"/>
        <v>0</v>
      </c>
      <c r="W44" s="2">
        <f t="shared" si="27"/>
        <v>0</v>
      </c>
      <c r="X44" s="2">
        <f t="shared" si="28"/>
        <v>24.31</v>
      </c>
      <c r="Y44" s="2">
        <f t="shared" si="29"/>
        <v>12.42</v>
      </c>
      <c r="Z44" s="2"/>
      <c r="AA44" s="2">
        <v>56959434</v>
      </c>
      <c r="AB44" s="2">
        <f t="shared" si="30"/>
        <v>13.365</v>
      </c>
      <c r="AC44" s="2">
        <f t="shared" si="31"/>
        <v>0</v>
      </c>
      <c r="AD44" s="2">
        <f>ROUND(((((ET44*1.1))-((EU44*1.1)))+AE44),6)</f>
        <v>0.55000000000000004</v>
      </c>
      <c r="AE44" s="2">
        <f>ROUND(((EU44*1.1)),6)</f>
        <v>8.7999999999999995E-2</v>
      </c>
      <c r="AF44" s="2">
        <f>ROUND(((EV44*1.1)),6)</f>
        <v>12.815</v>
      </c>
      <c r="AG44" s="2">
        <f t="shared" si="32"/>
        <v>0</v>
      </c>
      <c r="AH44" s="2">
        <f>((EW44*1.1))</f>
        <v>1.1330000000000002</v>
      </c>
      <c r="AI44" s="2">
        <f>((EX44*1.1))</f>
        <v>0</v>
      </c>
      <c r="AJ44" s="2">
        <f t="shared" si="33"/>
        <v>0</v>
      </c>
      <c r="AK44" s="2">
        <v>12.15</v>
      </c>
      <c r="AL44" s="2">
        <v>0</v>
      </c>
      <c r="AM44" s="2">
        <v>0.5</v>
      </c>
      <c r="AN44" s="2">
        <v>0.08</v>
      </c>
      <c r="AO44" s="2">
        <v>11.65</v>
      </c>
      <c r="AP44" s="2">
        <v>0</v>
      </c>
      <c r="AQ44" s="2">
        <v>1.03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50</v>
      </c>
      <c r="BK44" s="2"/>
      <c r="BL44" s="2"/>
      <c r="BM44" s="2">
        <v>72</v>
      </c>
      <c r="BN44" s="2">
        <v>55992028</v>
      </c>
      <c r="BO44" s="2" t="s">
        <v>48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673</v>
      </c>
      <c r="CO44" s="2">
        <v>0</v>
      </c>
      <c r="CP44" s="2">
        <f t="shared" si="34"/>
        <v>27.979999999999997</v>
      </c>
      <c r="CQ44" s="2">
        <f>ROUND((ROUND((AC44*AW44*1),2)*BC44),2)</f>
        <v>0</v>
      </c>
      <c r="CR44" s="2">
        <f>(ROUND((ROUND((((ET44*1.1))*AV44*1),2)*BB44),2)+ROUND((ROUND(((AE44-((EU44*1.1)))*AV44*1),2)*BS44),2))</f>
        <v>0.57999999999999996</v>
      </c>
      <c r="CS44" s="2">
        <f t="shared" si="35"/>
        <v>0.09</v>
      </c>
      <c r="CT44" s="2">
        <f t="shared" si="36"/>
        <v>13.42</v>
      </c>
      <c r="CU44" s="2">
        <f t="shared" si="37"/>
        <v>0</v>
      </c>
      <c r="CV44" s="2">
        <f t="shared" si="38"/>
        <v>1.1862510000000002</v>
      </c>
      <c r="CW44" s="2">
        <f t="shared" si="39"/>
        <v>0</v>
      </c>
      <c r="CX44" s="2">
        <f t="shared" si="40"/>
        <v>0</v>
      </c>
      <c r="CY44" s="2">
        <f t="shared" si="41"/>
        <v>24.308999999999997</v>
      </c>
      <c r="CZ44" s="2">
        <f t="shared" si="42"/>
        <v>12.424599999999998</v>
      </c>
      <c r="DA44" s="2"/>
      <c r="DB44" s="2"/>
      <c r="DC44" s="2" t="s">
        <v>3</v>
      </c>
      <c r="DD44" s="2" t="s">
        <v>3</v>
      </c>
      <c r="DE44" s="2" t="s">
        <v>23</v>
      </c>
      <c r="DF44" s="2" t="s">
        <v>23</v>
      </c>
      <c r="DG44" s="2" t="s">
        <v>23</v>
      </c>
      <c r="DH44" s="2" t="s">
        <v>3</v>
      </c>
      <c r="DI44" s="2" t="s">
        <v>23</v>
      </c>
      <c r="DJ44" s="2" t="s">
        <v>23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21</v>
      </c>
      <c r="DW44" s="2" t="s">
        <v>21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55992157</v>
      </c>
      <c r="EF44" s="2">
        <v>40</v>
      </c>
      <c r="EG44" s="2" t="s">
        <v>24</v>
      </c>
      <c r="EH44" s="2">
        <v>0</v>
      </c>
      <c r="EI44" s="2" t="s">
        <v>3</v>
      </c>
      <c r="EJ44" s="2">
        <v>2</v>
      </c>
      <c r="EK44" s="2">
        <v>72</v>
      </c>
      <c r="EL44" s="2" t="s">
        <v>25</v>
      </c>
      <c r="EM44" s="2" t="s">
        <v>26</v>
      </c>
      <c r="EN44" s="2"/>
      <c r="EO44" s="2" t="s">
        <v>27</v>
      </c>
      <c r="EP44" s="2"/>
      <c r="EQ44" s="2">
        <v>0</v>
      </c>
      <c r="ER44" s="2">
        <v>12.15</v>
      </c>
      <c r="ES44" s="2">
        <v>0</v>
      </c>
      <c r="ET44" s="2">
        <v>0.5</v>
      </c>
      <c r="EU44" s="2">
        <v>0.08</v>
      </c>
      <c r="EV44" s="2">
        <v>11.65</v>
      </c>
      <c r="EW44" s="2">
        <v>1.03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1708693888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43"/>
        <v>0</v>
      </c>
      <c r="GM44" s="2">
        <f t="shared" si="44"/>
        <v>64.709999999999994</v>
      </c>
      <c r="GN44" s="2">
        <f t="shared" si="45"/>
        <v>0</v>
      </c>
      <c r="GO44" s="2">
        <f t="shared" si="46"/>
        <v>64.709999999999994</v>
      </c>
      <c r="GP44" s="2">
        <f t="shared" si="47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8"/>
        <v>0</v>
      </c>
      <c r="GW44" s="2">
        <v>1</v>
      </c>
      <c r="GX44" s="2">
        <f t="shared" si="49"/>
        <v>0</v>
      </c>
      <c r="GY44" s="2"/>
      <c r="GZ44" s="2"/>
      <c r="HA44" s="2">
        <v>0</v>
      </c>
      <c r="HB44" s="2">
        <v>0</v>
      </c>
      <c r="HC44" s="2">
        <f t="shared" si="50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ROW(SmtRes!A34)</f>
        <v>34</v>
      </c>
      <c r="D45">
        <f>ROW(EtalonRes!A42)</f>
        <v>42</v>
      </c>
      <c r="E45" t="s">
        <v>64</v>
      </c>
      <c r="F45" t="s">
        <v>48</v>
      </c>
      <c r="G45" t="s">
        <v>49</v>
      </c>
      <c r="H45" t="s">
        <v>21</v>
      </c>
      <c r="I45">
        <v>2</v>
      </c>
      <c r="J45">
        <v>0</v>
      </c>
      <c r="K45">
        <v>2</v>
      </c>
      <c r="O45">
        <f t="shared" si="21"/>
        <v>1494.08</v>
      </c>
      <c r="P45">
        <f>ROUND((ROUND((AC45*AW45*I45),2)*BC45),2)</f>
        <v>0</v>
      </c>
      <c r="Q45">
        <f>(ROUND((ROUND((((ET45*1.1))*AV45*I45),2)*BB45),2)+ROUND((ROUND(((AE45-((EU45*1.1)))*AV45*I45),2)*BS45),2))</f>
        <v>18.7</v>
      </c>
      <c r="R45">
        <f t="shared" si="22"/>
        <v>9.9</v>
      </c>
      <c r="S45">
        <f t="shared" si="23"/>
        <v>1475.38</v>
      </c>
      <c r="T45">
        <f t="shared" si="24"/>
        <v>0</v>
      </c>
      <c r="U45">
        <f t="shared" si="25"/>
        <v>2.3725020000000003</v>
      </c>
      <c r="V45">
        <f t="shared" si="26"/>
        <v>0</v>
      </c>
      <c r="W45">
        <f t="shared" si="27"/>
        <v>0</v>
      </c>
      <c r="X45">
        <f t="shared" si="28"/>
        <v>1336.75</v>
      </c>
      <c r="Y45">
        <f t="shared" si="29"/>
        <v>683.23</v>
      </c>
      <c r="AA45">
        <v>56959431</v>
      </c>
      <c r="AB45">
        <f t="shared" si="30"/>
        <v>13.365</v>
      </c>
      <c r="AC45">
        <f t="shared" si="31"/>
        <v>0</v>
      </c>
      <c r="AD45">
        <f>ROUND(((((ET45*1.1))-((EU45*1.1)))+AE45),6)</f>
        <v>0.55000000000000004</v>
      </c>
      <c r="AE45">
        <f>ROUND(((EU45*1.1)),6)</f>
        <v>8.7999999999999995E-2</v>
      </c>
      <c r="AF45">
        <f>ROUND(((EV45*1.1)),6)</f>
        <v>12.815</v>
      </c>
      <c r="AG45">
        <f t="shared" si="32"/>
        <v>0</v>
      </c>
      <c r="AH45">
        <f>((EW45*1.1))</f>
        <v>1.1330000000000002</v>
      </c>
      <c r="AI45">
        <f>((EX45*1.1))</f>
        <v>0</v>
      </c>
      <c r="AJ45">
        <f t="shared" si="33"/>
        <v>0</v>
      </c>
      <c r="AK45">
        <v>12.15</v>
      </c>
      <c r="AL45">
        <v>0</v>
      </c>
      <c r="AM45">
        <v>0.5</v>
      </c>
      <c r="AN45">
        <v>0.08</v>
      </c>
      <c r="AO45">
        <v>11.65</v>
      </c>
      <c r="AP45">
        <v>0</v>
      </c>
      <c r="AQ45">
        <v>1.03</v>
      </c>
      <c r="AR45">
        <v>0</v>
      </c>
      <c r="AS45">
        <v>0</v>
      </c>
      <c r="AT45">
        <v>90</v>
      </c>
      <c r="AU45">
        <v>46</v>
      </c>
      <c r="AV45">
        <v>1.0469999999999999</v>
      </c>
      <c r="AW45">
        <v>1</v>
      </c>
      <c r="AZ45">
        <v>1</v>
      </c>
      <c r="BA45">
        <v>54.99</v>
      </c>
      <c r="BB45">
        <v>16.260000000000002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2</v>
      </c>
      <c r="BJ45" t="s">
        <v>50</v>
      </c>
      <c r="BM45">
        <v>72</v>
      </c>
      <c r="BN45">
        <v>55992028</v>
      </c>
      <c r="BO45" t="s">
        <v>48</v>
      </c>
      <c r="BP45">
        <v>1</v>
      </c>
      <c r="BQ45">
        <v>40</v>
      </c>
      <c r="BR45">
        <v>0</v>
      </c>
      <c r="BS45">
        <v>54.99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90</v>
      </c>
      <c r="CA45">
        <v>46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673</v>
      </c>
      <c r="CO45">
        <v>0</v>
      </c>
      <c r="CP45">
        <f t="shared" si="34"/>
        <v>1494.0800000000002</v>
      </c>
      <c r="CQ45">
        <f>ROUND((ROUND((AC45*AW45*1),2)*BC45),2)</f>
        <v>0</v>
      </c>
      <c r="CR45">
        <f>(ROUND((ROUND((((ET45*1.1))*AV45*1),2)*BB45),2)+ROUND((ROUND(((AE45-((EU45*1.1)))*AV45*1),2)*BS45),2))</f>
        <v>9.43</v>
      </c>
      <c r="CS45">
        <f t="shared" si="35"/>
        <v>4.95</v>
      </c>
      <c r="CT45">
        <f t="shared" si="36"/>
        <v>737.97</v>
      </c>
      <c r="CU45">
        <f t="shared" si="37"/>
        <v>0</v>
      </c>
      <c r="CV45">
        <f t="shared" si="38"/>
        <v>1.1862510000000002</v>
      </c>
      <c r="CW45">
        <f t="shared" si="39"/>
        <v>0</v>
      </c>
      <c r="CX45">
        <f t="shared" si="40"/>
        <v>0</v>
      </c>
      <c r="CY45">
        <f t="shared" si="41"/>
        <v>1336.7520000000002</v>
      </c>
      <c r="CZ45">
        <f t="shared" si="42"/>
        <v>683.22880000000009</v>
      </c>
      <c r="DC45" t="s">
        <v>3</v>
      </c>
      <c r="DD45" t="s">
        <v>3</v>
      </c>
      <c r="DE45" t="s">
        <v>23</v>
      </c>
      <c r="DF45" t="s">
        <v>23</v>
      </c>
      <c r="DG45" t="s">
        <v>23</v>
      </c>
      <c r="DH45" t="s">
        <v>3</v>
      </c>
      <c r="DI45" t="s">
        <v>23</v>
      </c>
      <c r="DJ45" t="s">
        <v>23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1013</v>
      </c>
      <c r="DV45" t="s">
        <v>21</v>
      </c>
      <c r="DW45" t="s">
        <v>21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55992157</v>
      </c>
      <c r="EF45">
        <v>40</v>
      </c>
      <c r="EG45" t="s">
        <v>24</v>
      </c>
      <c r="EH45">
        <v>0</v>
      </c>
      <c r="EI45" t="s">
        <v>3</v>
      </c>
      <c r="EJ45">
        <v>2</v>
      </c>
      <c r="EK45">
        <v>72</v>
      </c>
      <c r="EL45" t="s">
        <v>25</v>
      </c>
      <c r="EM45" t="s">
        <v>26</v>
      </c>
      <c r="EO45" t="s">
        <v>27</v>
      </c>
      <c r="EQ45">
        <v>0</v>
      </c>
      <c r="ER45">
        <v>12.15</v>
      </c>
      <c r="ES45">
        <v>0</v>
      </c>
      <c r="ET45">
        <v>0.5</v>
      </c>
      <c r="EU45">
        <v>0.08</v>
      </c>
      <c r="EV45">
        <v>11.65</v>
      </c>
      <c r="EW45">
        <v>1.03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90</v>
      </c>
      <c r="FY45">
        <v>46</v>
      </c>
      <c r="GA45" t="s">
        <v>3</v>
      </c>
      <c r="GD45">
        <v>1</v>
      </c>
      <c r="GF45">
        <v>1708693888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43"/>
        <v>0</v>
      </c>
      <c r="GM45">
        <f t="shared" si="44"/>
        <v>3514.06</v>
      </c>
      <c r="GN45">
        <f t="shared" si="45"/>
        <v>0</v>
      </c>
      <c r="GO45">
        <f t="shared" si="46"/>
        <v>3514.06</v>
      </c>
      <c r="GP45">
        <f t="shared" si="47"/>
        <v>0</v>
      </c>
      <c r="GR45">
        <v>0</v>
      </c>
      <c r="GS45">
        <v>3</v>
      </c>
      <c r="GT45">
        <v>0</v>
      </c>
      <c r="GU45" t="s">
        <v>3</v>
      </c>
      <c r="GV45">
        <f t="shared" si="48"/>
        <v>0</v>
      </c>
      <c r="GW45">
        <v>1</v>
      </c>
      <c r="GX45">
        <f t="shared" si="49"/>
        <v>0</v>
      </c>
      <c r="HA45">
        <v>0</v>
      </c>
      <c r="HB45">
        <v>0</v>
      </c>
      <c r="HC45">
        <f t="shared" si="50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/>
      <c r="D46" s="2"/>
      <c r="E46" s="2" t="s">
        <v>65</v>
      </c>
      <c r="F46" s="2" t="s">
        <v>66</v>
      </c>
      <c r="G46" s="2" t="s">
        <v>67</v>
      </c>
      <c r="H46" s="2" t="s">
        <v>31</v>
      </c>
      <c r="I46" s="2">
        <v>2</v>
      </c>
      <c r="J46" s="2">
        <v>0</v>
      </c>
      <c r="K46" s="2">
        <v>2</v>
      </c>
      <c r="L46" s="2"/>
      <c r="M46" s="2"/>
      <c r="N46" s="2"/>
      <c r="O46" s="2">
        <f t="shared" si="21"/>
        <v>2951.1</v>
      </c>
      <c r="P46" s="2">
        <f>ROUND((ROUND((AC46*I46),2)*BC46),2)</f>
        <v>2951.1</v>
      </c>
      <c r="Q46" s="2">
        <f>(ROUND((ROUND(((ET46)*AV46*I46),2)*BB46),2)+ROUND((ROUND(((AE46-(EU46))*AV46*I46),2)*BS46),2))</f>
        <v>0</v>
      </c>
      <c r="R46" s="2">
        <f t="shared" si="22"/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 t="shared" si="28"/>
        <v>0</v>
      </c>
      <c r="Y46" s="2">
        <f t="shared" si="29"/>
        <v>0</v>
      </c>
      <c r="Z46" s="2"/>
      <c r="AA46" s="2">
        <v>56959434</v>
      </c>
      <c r="AB46" s="2">
        <f t="shared" si="30"/>
        <v>1475.55</v>
      </c>
      <c r="AC46" s="2">
        <f t="shared" si="31"/>
        <v>1475.55</v>
      </c>
      <c r="AD46" s="2">
        <f>ROUND((((ET46)-(EU46))+AE46),6)</f>
        <v>0</v>
      </c>
      <c r="AE46" s="2">
        <f>ROUND((EU46),6)</f>
        <v>0</v>
      </c>
      <c r="AF46" s="2">
        <f>ROUND((EV46),6)</f>
        <v>0</v>
      </c>
      <c r="AG46" s="2">
        <f t="shared" si="32"/>
        <v>0</v>
      </c>
      <c r="AH46" s="2">
        <f>(EW46)</f>
        <v>0</v>
      </c>
      <c r="AI46" s="2">
        <f>(EX46)</f>
        <v>0</v>
      </c>
      <c r="AJ46" s="2">
        <f t="shared" si="33"/>
        <v>0</v>
      </c>
      <c r="AK46" s="2">
        <v>1475.55</v>
      </c>
      <c r="AL46" s="2">
        <v>1475.55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3</v>
      </c>
      <c r="BJ46" s="2" t="s">
        <v>3</v>
      </c>
      <c r="BK46" s="2"/>
      <c r="BL46" s="2"/>
      <c r="BM46" s="2">
        <v>746</v>
      </c>
      <c r="BN46" s="2">
        <v>0</v>
      </c>
      <c r="BO46" s="2" t="s">
        <v>3</v>
      </c>
      <c r="BP46" s="2">
        <v>0</v>
      </c>
      <c r="BQ46" s="2">
        <v>130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0</v>
      </c>
      <c r="CA46" s="2">
        <v>0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4"/>
        <v>2951.1</v>
      </c>
      <c r="CQ46" s="2">
        <f>ROUND((ROUND((AC46*1),2)*BC46),2)</f>
        <v>1475.55</v>
      </c>
      <c r="CR46" s="2">
        <f>(ROUND((ROUND(((ET46)*AV46*1),2)*BB46),2)+ROUND((ROUND(((AE46-(EU46))*AV46*1),2)*BS46),2))</f>
        <v>0</v>
      </c>
      <c r="CS46" s="2">
        <f t="shared" si="35"/>
        <v>0</v>
      </c>
      <c r="CT46" s="2">
        <f t="shared" si="36"/>
        <v>0</v>
      </c>
      <c r="CU46" s="2">
        <f t="shared" si="37"/>
        <v>0</v>
      </c>
      <c r="CV46" s="2">
        <f t="shared" si="38"/>
        <v>0</v>
      </c>
      <c r="CW46" s="2">
        <f t="shared" si="39"/>
        <v>0</v>
      </c>
      <c r="CX46" s="2">
        <f t="shared" si="40"/>
        <v>0</v>
      </c>
      <c r="CY46" s="2">
        <f t="shared" si="41"/>
        <v>0</v>
      </c>
      <c r="CZ46" s="2">
        <f t="shared" si="42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31</v>
      </c>
      <c r="DW46" s="2" t="s">
        <v>31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55992259</v>
      </c>
      <c r="EF46" s="2">
        <v>130</v>
      </c>
      <c r="EG46" s="2" t="s">
        <v>32</v>
      </c>
      <c r="EH46" s="2">
        <v>0</v>
      </c>
      <c r="EI46" s="2" t="s">
        <v>3</v>
      </c>
      <c r="EJ46" s="2">
        <v>3</v>
      </c>
      <c r="EK46" s="2">
        <v>746</v>
      </c>
      <c r="EL46" s="2" t="s">
        <v>33</v>
      </c>
      <c r="EM46" s="2" t="s">
        <v>34</v>
      </c>
      <c r="EN46" s="2"/>
      <c r="EO46" s="2" t="s">
        <v>3</v>
      </c>
      <c r="EP46" s="2"/>
      <c r="EQ46" s="2">
        <v>0</v>
      </c>
      <c r="ER46" s="2">
        <v>0</v>
      </c>
      <c r="ES46" s="2">
        <v>1475.55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f>P46</f>
        <v>2951.1</v>
      </c>
      <c r="FS46" s="2">
        <v>0</v>
      </c>
      <c r="FT46" s="2"/>
      <c r="FU46" s="2"/>
      <c r="FV46" s="2"/>
      <c r="FW46" s="2"/>
      <c r="FX46" s="2">
        <v>0</v>
      </c>
      <c r="FY46" s="2">
        <v>0</v>
      </c>
      <c r="FZ46" s="2"/>
      <c r="GA46" s="2" t="s">
        <v>68</v>
      </c>
      <c r="GB46" s="2"/>
      <c r="GC46" s="2"/>
      <c r="GD46" s="2">
        <v>1</v>
      </c>
      <c r="GE46" s="2"/>
      <c r="GF46" s="2">
        <v>1155956824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43"/>
        <v>0</v>
      </c>
      <c r="GM46" s="2">
        <f t="shared" si="44"/>
        <v>2951.1</v>
      </c>
      <c r="GN46" s="2">
        <f t="shared" si="45"/>
        <v>0</v>
      </c>
      <c r="GO46" s="2">
        <f t="shared" si="46"/>
        <v>0</v>
      </c>
      <c r="GP46" s="2">
        <f t="shared" si="47"/>
        <v>0</v>
      </c>
      <c r="GQ46" s="2"/>
      <c r="GR46" s="2">
        <v>0</v>
      </c>
      <c r="GS46" s="2">
        <v>2</v>
      </c>
      <c r="GT46" s="2">
        <v>0</v>
      </c>
      <c r="GU46" s="2" t="s">
        <v>3</v>
      </c>
      <c r="GV46" s="2">
        <f t="shared" si="48"/>
        <v>0</v>
      </c>
      <c r="GW46" s="2">
        <v>1</v>
      </c>
      <c r="GX46" s="2">
        <f t="shared" si="49"/>
        <v>0</v>
      </c>
      <c r="GY46" s="2"/>
      <c r="GZ46" s="2"/>
      <c r="HA46" s="2">
        <v>0</v>
      </c>
      <c r="HB46" s="2">
        <v>0</v>
      </c>
      <c r="HC46" s="2">
        <f t="shared" si="50"/>
        <v>0</v>
      </c>
      <c r="HD46" s="2"/>
      <c r="HE46" s="2" t="s">
        <v>36</v>
      </c>
      <c r="HF46" s="2" t="s">
        <v>37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E47" t="s">
        <v>65</v>
      </c>
      <c r="F47" t="s">
        <v>66</v>
      </c>
      <c r="G47" t="s">
        <v>67</v>
      </c>
      <c r="H47" t="s">
        <v>31</v>
      </c>
      <c r="I47">
        <v>2</v>
      </c>
      <c r="J47">
        <v>0</v>
      </c>
      <c r="K47">
        <v>2</v>
      </c>
      <c r="O47">
        <f t="shared" si="21"/>
        <v>22605.43</v>
      </c>
      <c r="P47">
        <f>ROUND((ROUND((AC47*I47),2)*BC47),2)</f>
        <v>22605.43</v>
      </c>
      <c r="Q47">
        <f>(ROUND((ROUND(((ET47)*AV47*I47),2)*BB47),2)+ROUND((ROUND(((AE47-(EU47))*AV47*I47),2)*BS47),2))</f>
        <v>0</v>
      </c>
      <c r="R47">
        <f t="shared" si="22"/>
        <v>0</v>
      </c>
      <c r="S47">
        <f t="shared" si="23"/>
        <v>0</v>
      </c>
      <c r="T47">
        <f t="shared" si="24"/>
        <v>0</v>
      </c>
      <c r="U47">
        <f t="shared" si="25"/>
        <v>0</v>
      </c>
      <c r="V47">
        <f t="shared" si="26"/>
        <v>0</v>
      </c>
      <c r="W47">
        <f t="shared" si="27"/>
        <v>0</v>
      </c>
      <c r="X47">
        <f t="shared" si="28"/>
        <v>0</v>
      </c>
      <c r="Y47">
        <f t="shared" si="29"/>
        <v>0</v>
      </c>
      <c r="AA47">
        <v>56959431</v>
      </c>
      <c r="AB47">
        <f t="shared" si="30"/>
        <v>1475.55</v>
      </c>
      <c r="AC47">
        <f t="shared" si="31"/>
        <v>1475.55</v>
      </c>
      <c r="AD47">
        <f>ROUND((((ET47)-(EU47))+AE47),6)</f>
        <v>0</v>
      </c>
      <c r="AE47">
        <f>ROUND((EU47),6)</f>
        <v>0</v>
      </c>
      <c r="AF47">
        <f>ROUND((EV47),6)</f>
        <v>0</v>
      </c>
      <c r="AG47">
        <f t="shared" si="32"/>
        <v>0</v>
      </c>
      <c r="AH47">
        <f>(EW47)</f>
        <v>0</v>
      </c>
      <c r="AI47">
        <f>(EX47)</f>
        <v>0</v>
      </c>
      <c r="AJ47">
        <f t="shared" si="33"/>
        <v>0</v>
      </c>
      <c r="AK47">
        <v>1475.55</v>
      </c>
      <c r="AL47">
        <v>1475.55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Z47">
        <v>1</v>
      </c>
      <c r="BA47">
        <v>1</v>
      </c>
      <c r="BB47">
        <v>1</v>
      </c>
      <c r="BC47">
        <v>7.66</v>
      </c>
      <c r="BD47" t="s">
        <v>3</v>
      </c>
      <c r="BE47" t="s">
        <v>3</v>
      </c>
      <c r="BF47" t="s">
        <v>3</v>
      </c>
      <c r="BG47" t="s">
        <v>3</v>
      </c>
      <c r="BH47">
        <v>3</v>
      </c>
      <c r="BI47">
        <v>3</v>
      </c>
      <c r="BJ47" t="s">
        <v>3</v>
      </c>
      <c r="BM47">
        <v>746</v>
      </c>
      <c r="BN47">
        <v>0</v>
      </c>
      <c r="BO47" t="s">
        <v>3</v>
      </c>
      <c r="BP47">
        <v>0</v>
      </c>
      <c r="BQ47">
        <v>130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0</v>
      </c>
      <c r="CA47">
        <v>0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34"/>
        <v>22605.43</v>
      </c>
      <c r="CQ47">
        <f>ROUND((ROUND((AC47*1),2)*BC47),2)</f>
        <v>11302.71</v>
      </c>
      <c r="CR47">
        <f>(ROUND((ROUND(((ET47)*AV47*1),2)*BB47),2)+ROUND((ROUND(((AE47-(EU47))*AV47*1),2)*BS47),2))</f>
        <v>0</v>
      </c>
      <c r="CS47">
        <f t="shared" si="35"/>
        <v>0</v>
      </c>
      <c r="CT47">
        <f t="shared" si="36"/>
        <v>0</v>
      </c>
      <c r="CU47">
        <f t="shared" si="37"/>
        <v>0</v>
      </c>
      <c r="CV47">
        <f t="shared" si="38"/>
        <v>0</v>
      </c>
      <c r="CW47">
        <f t="shared" si="39"/>
        <v>0</v>
      </c>
      <c r="CX47">
        <f t="shared" si="40"/>
        <v>0</v>
      </c>
      <c r="CY47">
        <f t="shared" si="41"/>
        <v>0</v>
      </c>
      <c r="CZ47">
        <f t="shared" si="42"/>
        <v>0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1010</v>
      </c>
      <c r="DV47" t="s">
        <v>31</v>
      </c>
      <c r="DW47" t="s">
        <v>31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55992259</v>
      </c>
      <c r="EF47">
        <v>130</v>
      </c>
      <c r="EG47" t="s">
        <v>32</v>
      </c>
      <c r="EH47">
        <v>0</v>
      </c>
      <c r="EI47" t="s">
        <v>3</v>
      </c>
      <c r="EJ47">
        <v>3</v>
      </c>
      <c r="EK47">
        <v>746</v>
      </c>
      <c r="EL47" t="s">
        <v>33</v>
      </c>
      <c r="EM47" t="s">
        <v>34</v>
      </c>
      <c r="EO47" t="s">
        <v>3</v>
      </c>
      <c r="EQ47">
        <v>0</v>
      </c>
      <c r="ER47">
        <v>1475.55</v>
      </c>
      <c r="ES47">
        <v>1475.55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5</v>
      </c>
      <c r="FC47">
        <v>1</v>
      </c>
      <c r="FD47">
        <v>18</v>
      </c>
      <c r="FF47">
        <v>13012</v>
      </c>
      <c r="FQ47">
        <v>0</v>
      </c>
      <c r="FR47">
        <f>P47</f>
        <v>22605.43</v>
      </c>
      <c r="FS47">
        <v>0</v>
      </c>
      <c r="FX47">
        <v>0</v>
      </c>
      <c r="FY47">
        <v>0</v>
      </c>
      <c r="GA47" t="s">
        <v>68</v>
      </c>
      <c r="GD47">
        <v>1</v>
      </c>
      <c r="GF47">
        <v>1155956824</v>
      </c>
      <c r="GG47">
        <v>2</v>
      </c>
      <c r="GH47">
        <v>3</v>
      </c>
      <c r="GI47">
        <v>5</v>
      </c>
      <c r="GJ47">
        <v>0</v>
      </c>
      <c r="GK47">
        <v>0</v>
      </c>
      <c r="GL47">
        <f t="shared" si="43"/>
        <v>0</v>
      </c>
      <c r="GM47">
        <f t="shared" si="44"/>
        <v>22605.43</v>
      </c>
      <c r="GN47">
        <f t="shared" si="45"/>
        <v>0</v>
      </c>
      <c r="GO47">
        <f t="shared" si="46"/>
        <v>0</v>
      </c>
      <c r="GP47">
        <f t="shared" si="47"/>
        <v>0</v>
      </c>
      <c r="GR47">
        <v>1</v>
      </c>
      <c r="GS47">
        <v>1</v>
      </c>
      <c r="GT47">
        <v>0</v>
      </c>
      <c r="GU47" t="s">
        <v>3</v>
      </c>
      <c r="GV47">
        <f t="shared" si="48"/>
        <v>0</v>
      </c>
      <c r="GW47">
        <v>1</v>
      </c>
      <c r="GX47">
        <f t="shared" si="49"/>
        <v>0</v>
      </c>
      <c r="HA47">
        <v>0</v>
      </c>
      <c r="HB47">
        <v>0</v>
      </c>
      <c r="HC47">
        <f t="shared" si="50"/>
        <v>0</v>
      </c>
      <c r="HE47" t="s">
        <v>36</v>
      </c>
      <c r="HF47" t="s">
        <v>37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>
        <f>ROW(SmtRes!A36)</f>
        <v>36</v>
      </c>
      <c r="D48" s="2">
        <f>ROW(EtalonRes!A45)</f>
        <v>45</v>
      </c>
      <c r="E48" s="2" t="s">
        <v>69</v>
      </c>
      <c r="F48" s="2" t="s">
        <v>48</v>
      </c>
      <c r="G48" s="2" t="s">
        <v>49</v>
      </c>
      <c r="H48" s="2" t="s">
        <v>21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14</v>
      </c>
      <c r="P48" s="2">
        <f>ROUND((ROUND((AC48*AW48*I48),2)*BC48),2)</f>
        <v>0</v>
      </c>
      <c r="Q48" s="2">
        <f>(ROUND((ROUND((((ET48*1.1))*AV48*I48),2)*BB48),2)+ROUND((ROUND(((AE48-((EU48*1.1)))*AV48*I48),2)*BS48),2))</f>
        <v>0.57999999999999996</v>
      </c>
      <c r="R48" s="2">
        <f t="shared" si="22"/>
        <v>0.09</v>
      </c>
      <c r="S48" s="2">
        <f t="shared" si="23"/>
        <v>13.42</v>
      </c>
      <c r="T48" s="2">
        <f t="shared" si="24"/>
        <v>0</v>
      </c>
      <c r="U48" s="2">
        <f t="shared" si="25"/>
        <v>1.1862510000000002</v>
      </c>
      <c r="V48" s="2">
        <f t="shared" si="26"/>
        <v>0</v>
      </c>
      <c r="W48" s="2">
        <f t="shared" si="27"/>
        <v>0</v>
      </c>
      <c r="X48" s="2">
        <f t="shared" si="28"/>
        <v>12.16</v>
      </c>
      <c r="Y48" s="2">
        <f t="shared" si="29"/>
        <v>6.21</v>
      </c>
      <c r="Z48" s="2"/>
      <c r="AA48" s="2">
        <v>56959434</v>
      </c>
      <c r="AB48" s="2">
        <f t="shared" si="30"/>
        <v>13.365</v>
      </c>
      <c r="AC48" s="2">
        <f t="shared" si="31"/>
        <v>0</v>
      </c>
      <c r="AD48" s="2">
        <f>ROUND(((((ET48*1.1))-((EU48*1.1)))+AE48),6)</f>
        <v>0.55000000000000004</v>
      </c>
      <c r="AE48" s="2">
        <f>ROUND(((EU48*1.1)),6)</f>
        <v>8.7999999999999995E-2</v>
      </c>
      <c r="AF48" s="2">
        <f>ROUND(((EV48*1.1)),6)</f>
        <v>12.815</v>
      </c>
      <c r="AG48" s="2">
        <f t="shared" si="32"/>
        <v>0</v>
      </c>
      <c r="AH48" s="2">
        <f>((EW48*1.1))</f>
        <v>1.1330000000000002</v>
      </c>
      <c r="AI48" s="2">
        <f>((EX48*1.1))</f>
        <v>0</v>
      </c>
      <c r="AJ48" s="2">
        <f t="shared" si="33"/>
        <v>0</v>
      </c>
      <c r="AK48" s="2">
        <v>12.15</v>
      </c>
      <c r="AL48" s="2">
        <v>0</v>
      </c>
      <c r="AM48" s="2">
        <v>0.5</v>
      </c>
      <c r="AN48" s="2">
        <v>0.08</v>
      </c>
      <c r="AO48" s="2">
        <v>11.65</v>
      </c>
      <c r="AP48" s="2">
        <v>0</v>
      </c>
      <c r="AQ48" s="2">
        <v>1.03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50</v>
      </c>
      <c r="BK48" s="2"/>
      <c r="BL48" s="2"/>
      <c r="BM48" s="2">
        <v>72</v>
      </c>
      <c r="BN48" s="2">
        <v>55992028</v>
      </c>
      <c r="BO48" s="2" t="s">
        <v>48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673</v>
      </c>
      <c r="CO48" s="2">
        <v>0</v>
      </c>
      <c r="CP48" s="2">
        <f t="shared" si="34"/>
        <v>14</v>
      </c>
      <c r="CQ48" s="2">
        <f>ROUND((ROUND((AC48*AW48*1),2)*BC48),2)</f>
        <v>0</v>
      </c>
      <c r="CR48" s="2">
        <f>(ROUND((ROUND((((ET48*1.1))*AV48*1),2)*BB48),2)+ROUND((ROUND(((AE48-((EU48*1.1)))*AV48*1),2)*BS48),2))</f>
        <v>0.57999999999999996</v>
      </c>
      <c r="CS48" s="2">
        <f t="shared" si="35"/>
        <v>0.09</v>
      </c>
      <c r="CT48" s="2">
        <f t="shared" si="36"/>
        <v>13.42</v>
      </c>
      <c r="CU48" s="2">
        <f t="shared" si="37"/>
        <v>0</v>
      </c>
      <c r="CV48" s="2">
        <f t="shared" si="38"/>
        <v>1.1862510000000002</v>
      </c>
      <c r="CW48" s="2">
        <f t="shared" si="39"/>
        <v>0</v>
      </c>
      <c r="CX48" s="2">
        <f t="shared" si="40"/>
        <v>0</v>
      </c>
      <c r="CY48" s="2">
        <f t="shared" si="41"/>
        <v>12.159000000000001</v>
      </c>
      <c r="CZ48" s="2">
        <f t="shared" si="42"/>
        <v>6.2146000000000008</v>
      </c>
      <c r="DA48" s="2"/>
      <c r="DB48" s="2"/>
      <c r="DC48" s="2" t="s">
        <v>3</v>
      </c>
      <c r="DD48" s="2" t="s">
        <v>3</v>
      </c>
      <c r="DE48" s="2" t="s">
        <v>23</v>
      </c>
      <c r="DF48" s="2" t="s">
        <v>23</v>
      </c>
      <c r="DG48" s="2" t="s">
        <v>23</v>
      </c>
      <c r="DH48" s="2" t="s">
        <v>3</v>
      </c>
      <c r="DI48" s="2" t="s">
        <v>23</v>
      </c>
      <c r="DJ48" s="2" t="s">
        <v>23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21</v>
      </c>
      <c r="DW48" s="2" t="s">
        <v>21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55992157</v>
      </c>
      <c r="EF48" s="2">
        <v>40</v>
      </c>
      <c r="EG48" s="2" t="s">
        <v>24</v>
      </c>
      <c r="EH48" s="2">
        <v>0</v>
      </c>
      <c r="EI48" s="2" t="s">
        <v>3</v>
      </c>
      <c r="EJ48" s="2">
        <v>2</v>
      </c>
      <c r="EK48" s="2">
        <v>72</v>
      </c>
      <c r="EL48" s="2" t="s">
        <v>25</v>
      </c>
      <c r="EM48" s="2" t="s">
        <v>26</v>
      </c>
      <c r="EN48" s="2"/>
      <c r="EO48" s="2" t="s">
        <v>27</v>
      </c>
      <c r="EP48" s="2"/>
      <c r="EQ48" s="2">
        <v>0</v>
      </c>
      <c r="ER48" s="2">
        <v>12.15</v>
      </c>
      <c r="ES48" s="2">
        <v>0</v>
      </c>
      <c r="ET48" s="2">
        <v>0.5</v>
      </c>
      <c r="EU48" s="2">
        <v>0.08</v>
      </c>
      <c r="EV48" s="2">
        <v>11.65</v>
      </c>
      <c r="EW48" s="2">
        <v>1.03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1708693888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43"/>
        <v>0</v>
      </c>
      <c r="GM48" s="2">
        <f t="shared" si="44"/>
        <v>32.369999999999997</v>
      </c>
      <c r="GN48" s="2">
        <f t="shared" si="45"/>
        <v>0</v>
      </c>
      <c r="GO48" s="2">
        <f t="shared" si="46"/>
        <v>32.369999999999997</v>
      </c>
      <c r="GP48" s="2">
        <f t="shared" si="47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48"/>
        <v>0</v>
      </c>
      <c r="GW48" s="2">
        <v>1</v>
      </c>
      <c r="GX48" s="2">
        <f t="shared" si="49"/>
        <v>0</v>
      </c>
      <c r="GY48" s="2"/>
      <c r="GZ48" s="2"/>
      <c r="HA48" s="2">
        <v>0</v>
      </c>
      <c r="HB48" s="2">
        <v>0</v>
      </c>
      <c r="HC48" s="2">
        <f t="shared" si="50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C49">
        <f>ROW(SmtRes!A38)</f>
        <v>38</v>
      </c>
      <c r="D49">
        <f>ROW(EtalonRes!A48)</f>
        <v>48</v>
      </c>
      <c r="E49" t="s">
        <v>69</v>
      </c>
      <c r="F49" t="s">
        <v>48</v>
      </c>
      <c r="G49" t="s">
        <v>49</v>
      </c>
      <c r="H49" t="s">
        <v>21</v>
      </c>
      <c r="I49">
        <v>1</v>
      </c>
      <c r="J49">
        <v>0</v>
      </c>
      <c r="K49">
        <v>1</v>
      </c>
      <c r="O49">
        <f t="shared" si="21"/>
        <v>747.4</v>
      </c>
      <c r="P49">
        <f>ROUND((ROUND((AC49*AW49*I49),2)*BC49),2)</f>
        <v>0</v>
      </c>
      <c r="Q49">
        <f>(ROUND((ROUND((((ET49*1.1))*AV49*I49),2)*BB49),2)+ROUND((ROUND(((AE49-((EU49*1.1)))*AV49*I49),2)*BS49),2))</f>
        <v>9.43</v>
      </c>
      <c r="R49">
        <f t="shared" si="22"/>
        <v>4.95</v>
      </c>
      <c r="S49">
        <f t="shared" si="23"/>
        <v>737.97</v>
      </c>
      <c r="T49">
        <f t="shared" si="24"/>
        <v>0</v>
      </c>
      <c r="U49">
        <f t="shared" si="25"/>
        <v>1.1862510000000002</v>
      </c>
      <c r="V49">
        <f t="shared" si="26"/>
        <v>0</v>
      </c>
      <c r="W49">
        <f t="shared" si="27"/>
        <v>0</v>
      </c>
      <c r="X49">
        <f t="shared" si="28"/>
        <v>668.63</v>
      </c>
      <c r="Y49">
        <f t="shared" si="29"/>
        <v>341.74</v>
      </c>
      <c r="AA49">
        <v>56959431</v>
      </c>
      <c r="AB49">
        <f t="shared" si="30"/>
        <v>13.365</v>
      </c>
      <c r="AC49">
        <f t="shared" si="31"/>
        <v>0</v>
      </c>
      <c r="AD49">
        <f>ROUND(((((ET49*1.1))-((EU49*1.1)))+AE49),6)</f>
        <v>0.55000000000000004</v>
      </c>
      <c r="AE49">
        <f>ROUND(((EU49*1.1)),6)</f>
        <v>8.7999999999999995E-2</v>
      </c>
      <c r="AF49">
        <f>ROUND(((EV49*1.1)),6)</f>
        <v>12.815</v>
      </c>
      <c r="AG49">
        <f t="shared" si="32"/>
        <v>0</v>
      </c>
      <c r="AH49">
        <f>((EW49*1.1))</f>
        <v>1.1330000000000002</v>
      </c>
      <c r="AI49">
        <f>((EX49*1.1))</f>
        <v>0</v>
      </c>
      <c r="AJ49">
        <f t="shared" si="33"/>
        <v>0</v>
      </c>
      <c r="AK49">
        <v>12.15</v>
      </c>
      <c r="AL49">
        <v>0</v>
      </c>
      <c r="AM49">
        <v>0.5</v>
      </c>
      <c r="AN49">
        <v>0.08</v>
      </c>
      <c r="AO49">
        <v>11.65</v>
      </c>
      <c r="AP49">
        <v>0</v>
      </c>
      <c r="AQ49">
        <v>1.03</v>
      </c>
      <c r="AR49">
        <v>0</v>
      </c>
      <c r="AS49">
        <v>0</v>
      </c>
      <c r="AT49">
        <v>90</v>
      </c>
      <c r="AU49">
        <v>46</v>
      </c>
      <c r="AV49">
        <v>1.0469999999999999</v>
      </c>
      <c r="AW49">
        <v>1</v>
      </c>
      <c r="AZ49">
        <v>1</v>
      </c>
      <c r="BA49">
        <v>54.99</v>
      </c>
      <c r="BB49">
        <v>16.260000000000002</v>
      </c>
      <c r="BC49">
        <v>1</v>
      </c>
      <c r="BD49" t="s">
        <v>3</v>
      </c>
      <c r="BE49" t="s">
        <v>3</v>
      </c>
      <c r="BF49" t="s">
        <v>3</v>
      </c>
      <c r="BG49" t="s">
        <v>3</v>
      </c>
      <c r="BH49">
        <v>0</v>
      </c>
      <c r="BI49">
        <v>2</v>
      </c>
      <c r="BJ49" t="s">
        <v>50</v>
      </c>
      <c r="BM49">
        <v>72</v>
      </c>
      <c r="BN49">
        <v>55992028</v>
      </c>
      <c r="BO49" t="s">
        <v>48</v>
      </c>
      <c r="BP49">
        <v>1</v>
      </c>
      <c r="BQ49">
        <v>40</v>
      </c>
      <c r="BR49">
        <v>0</v>
      </c>
      <c r="BS49">
        <v>54.99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90</v>
      </c>
      <c r="CA49">
        <v>46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673</v>
      </c>
      <c r="CO49">
        <v>0</v>
      </c>
      <c r="CP49">
        <f t="shared" si="34"/>
        <v>747.4</v>
      </c>
      <c r="CQ49">
        <f>ROUND((ROUND((AC49*AW49*1),2)*BC49),2)</f>
        <v>0</v>
      </c>
      <c r="CR49">
        <f>(ROUND((ROUND((((ET49*1.1))*AV49*1),2)*BB49),2)+ROUND((ROUND(((AE49-((EU49*1.1)))*AV49*1),2)*BS49),2))</f>
        <v>9.43</v>
      </c>
      <c r="CS49">
        <f t="shared" si="35"/>
        <v>4.95</v>
      </c>
      <c r="CT49">
        <f t="shared" si="36"/>
        <v>737.97</v>
      </c>
      <c r="CU49">
        <f t="shared" si="37"/>
        <v>0</v>
      </c>
      <c r="CV49">
        <f t="shared" si="38"/>
        <v>1.1862510000000002</v>
      </c>
      <c r="CW49">
        <f t="shared" si="39"/>
        <v>0</v>
      </c>
      <c r="CX49">
        <f t="shared" si="40"/>
        <v>0</v>
      </c>
      <c r="CY49">
        <f t="shared" si="41"/>
        <v>668.62800000000004</v>
      </c>
      <c r="CZ49">
        <f t="shared" si="42"/>
        <v>341.74320000000006</v>
      </c>
      <c r="DC49" t="s">
        <v>3</v>
      </c>
      <c r="DD49" t="s">
        <v>3</v>
      </c>
      <c r="DE49" t="s">
        <v>23</v>
      </c>
      <c r="DF49" t="s">
        <v>23</v>
      </c>
      <c r="DG49" t="s">
        <v>23</v>
      </c>
      <c r="DH49" t="s">
        <v>3</v>
      </c>
      <c r="DI49" t="s">
        <v>23</v>
      </c>
      <c r="DJ49" t="s">
        <v>23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1013</v>
      </c>
      <c r="DV49" t="s">
        <v>21</v>
      </c>
      <c r="DW49" t="s">
        <v>21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55992157</v>
      </c>
      <c r="EF49">
        <v>40</v>
      </c>
      <c r="EG49" t="s">
        <v>24</v>
      </c>
      <c r="EH49">
        <v>0</v>
      </c>
      <c r="EI49" t="s">
        <v>3</v>
      </c>
      <c r="EJ49">
        <v>2</v>
      </c>
      <c r="EK49">
        <v>72</v>
      </c>
      <c r="EL49" t="s">
        <v>25</v>
      </c>
      <c r="EM49" t="s">
        <v>26</v>
      </c>
      <c r="EO49" t="s">
        <v>27</v>
      </c>
      <c r="EQ49">
        <v>0</v>
      </c>
      <c r="ER49">
        <v>12.15</v>
      </c>
      <c r="ES49">
        <v>0</v>
      </c>
      <c r="ET49">
        <v>0.5</v>
      </c>
      <c r="EU49">
        <v>0.08</v>
      </c>
      <c r="EV49">
        <v>11.65</v>
      </c>
      <c r="EW49">
        <v>1.03</v>
      </c>
      <c r="EX49">
        <v>0</v>
      </c>
      <c r="EY49">
        <v>0</v>
      </c>
      <c r="FQ49">
        <v>0</v>
      </c>
      <c r="FR49">
        <v>0</v>
      </c>
      <c r="FS49">
        <v>0</v>
      </c>
      <c r="FX49">
        <v>90</v>
      </c>
      <c r="FY49">
        <v>46</v>
      </c>
      <c r="GA49" t="s">
        <v>3</v>
      </c>
      <c r="GD49">
        <v>1</v>
      </c>
      <c r="GF49">
        <v>1708693888</v>
      </c>
      <c r="GG49">
        <v>2</v>
      </c>
      <c r="GH49">
        <v>1</v>
      </c>
      <c r="GI49">
        <v>2</v>
      </c>
      <c r="GJ49">
        <v>0</v>
      </c>
      <c r="GK49">
        <v>0</v>
      </c>
      <c r="GL49">
        <f t="shared" si="43"/>
        <v>0</v>
      </c>
      <c r="GM49">
        <f t="shared" si="44"/>
        <v>1757.77</v>
      </c>
      <c r="GN49">
        <f t="shared" si="45"/>
        <v>0</v>
      </c>
      <c r="GO49">
        <f t="shared" si="46"/>
        <v>1757.77</v>
      </c>
      <c r="GP49">
        <f t="shared" si="47"/>
        <v>0</v>
      </c>
      <c r="GR49">
        <v>0</v>
      </c>
      <c r="GS49">
        <v>3</v>
      </c>
      <c r="GT49">
        <v>0</v>
      </c>
      <c r="GU49" t="s">
        <v>3</v>
      </c>
      <c r="GV49">
        <f t="shared" si="48"/>
        <v>0</v>
      </c>
      <c r="GW49">
        <v>1</v>
      </c>
      <c r="GX49">
        <f t="shared" si="49"/>
        <v>0</v>
      </c>
      <c r="HA49">
        <v>0</v>
      </c>
      <c r="HB49">
        <v>0</v>
      </c>
      <c r="HC49">
        <f t="shared" si="50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/>
      <c r="D50" s="2"/>
      <c r="E50" s="2" t="s">
        <v>70</v>
      </c>
      <c r="F50" s="2" t="s">
        <v>71</v>
      </c>
      <c r="G50" s="2" t="s">
        <v>72</v>
      </c>
      <c r="H50" s="2" t="s">
        <v>31</v>
      </c>
      <c r="I50" s="2">
        <v>1</v>
      </c>
      <c r="J50" s="2">
        <v>0</v>
      </c>
      <c r="K50" s="2">
        <v>1</v>
      </c>
      <c r="L50" s="2"/>
      <c r="M50" s="2"/>
      <c r="N50" s="2"/>
      <c r="O50" s="2">
        <f t="shared" si="21"/>
        <v>8137.48</v>
      </c>
      <c r="P50" s="2">
        <f>ROUND((ROUND((AC50*I50),2)*BC50),2)</f>
        <v>8137.48</v>
      </c>
      <c r="Q50" s="2">
        <f>(ROUND((ROUND(((ET50)*AV50*I50),2)*BB50),2)+ROUND((ROUND(((AE50-(EU50))*AV50*I50),2)*BS50),2))</f>
        <v>0</v>
      </c>
      <c r="R50" s="2">
        <f t="shared" si="22"/>
        <v>0</v>
      </c>
      <c r="S50" s="2">
        <f t="shared" si="23"/>
        <v>0</v>
      </c>
      <c r="T50" s="2">
        <f t="shared" si="24"/>
        <v>0</v>
      </c>
      <c r="U50" s="2">
        <f t="shared" si="25"/>
        <v>0</v>
      </c>
      <c r="V50" s="2">
        <f t="shared" si="26"/>
        <v>0</v>
      </c>
      <c r="W50" s="2">
        <f t="shared" si="27"/>
        <v>0</v>
      </c>
      <c r="X50" s="2">
        <f t="shared" si="28"/>
        <v>0</v>
      </c>
      <c r="Y50" s="2">
        <f t="shared" si="29"/>
        <v>0</v>
      </c>
      <c r="Z50" s="2"/>
      <c r="AA50" s="2">
        <v>56959434</v>
      </c>
      <c r="AB50" s="2">
        <f t="shared" si="30"/>
        <v>8137.48</v>
      </c>
      <c r="AC50" s="2">
        <f t="shared" si="31"/>
        <v>8137.48</v>
      </c>
      <c r="AD50" s="2">
        <f>ROUND((((ET50)-(EU50))+AE50),6)</f>
        <v>0</v>
      </c>
      <c r="AE50" s="2">
        <f>ROUND((EU50),6)</f>
        <v>0</v>
      </c>
      <c r="AF50" s="2">
        <f>ROUND((EV50),6)</f>
        <v>0</v>
      </c>
      <c r="AG50" s="2">
        <f t="shared" si="32"/>
        <v>0</v>
      </c>
      <c r="AH50" s="2">
        <f>(EW50)</f>
        <v>0</v>
      </c>
      <c r="AI50" s="2">
        <f>(EX50)</f>
        <v>0</v>
      </c>
      <c r="AJ50" s="2">
        <f t="shared" si="33"/>
        <v>0</v>
      </c>
      <c r="AK50" s="2">
        <v>8137.48</v>
      </c>
      <c r="AL50" s="2">
        <v>8137.48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3</v>
      </c>
      <c r="BJ50" s="2" t="s">
        <v>3</v>
      </c>
      <c r="BK50" s="2"/>
      <c r="BL50" s="2"/>
      <c r="BM50" s="2">
        <v>746</v>
      </c>
      <c r="BN50" s="2">
        <v>0</v>
      </c>
      <c r="BO50" s="2" t="s">
        <v>3</v>
      </c>
      <c r="BP50" s="2">
        <v>0</v>
      </c>
      <c r="BQ50" s="2">
        <v>130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0</v>
      </c>
      <c r="CA50" s="2">
        <v>0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4"/>
        <v>8137.48</v>
      </c>
      <c r="CQ50" s="2">
        <f>ROUND((ROUND((AC50*1),2)*BC50),2)</f>
        <v>8137.48</v>
      </c>
      <c r="CR50" s="2">
        <f>(ROUND((ROUND(((ET50)*AV50*1),2)*BB50),2)+ROUND((ROUND(((AE50-(EU50))*AV50*1),2)*BS50),2))</f>
        <v>0</v>
      </c>
      <c r="CS50" s="2">
        <f t="shared" si="35"/>
        <v>0</v>
      </c>
      <c r="CT50" s="2">
        <f t="shared" si="36"/>
        <v>0</v>
      </c>
      <c r="CU50" s="2">
        <f t="shared" si="37"/>
        <v>0</v>
      </c>
      <c r="CV50" s="2">
        <f t="shared" si="38"/>
        <v>0</v>
      </c>
      <c r="CW50" s="2">
        <f t="shared" si="39"/>
        <v>0</v>
      </c>
      <c r="CX50" s="2">
        <f t="shared" si="40"/>
        <v>0</v>
      </c>
      <c r="CY50" s="2">
        <f t="shared" si="41"/>
        <v>0</v>
      </c>
      <c r="CZ50" s="2">
        <f t="shared" si="42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31</v>
      </c>
      <c r="DW50" s="2" t="s">
        <v>31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55992259</v>
      </c>
      <c r="EF50" s="2">
        <v>130</v>
      </c>
      <c r="EG50" s="2" t="s">
        <v>32</v>
      </c>
      <c r="EH50" s="2">
        <v>0</v>
      </c>
      <c r="EI50" s="2" t="s">
        <v>3</v>
      </c>
      <c r="EJ50" s="2">
        <v>3</v>
      </c>
      <c r="EK50" s="2">
        <v>746</v>
      </c>
      <c r="EL50" s="2" t="s">
        <v>33</v>
      </c>
      <c r="EM50" s="2" t="s">
        <v>34</v>
      </c>
      <c r="EN50" s="2"/>
      <c r="EO50" s="2" t="s">
        <v>3</v>
      </c>
      <c r="EP50" s="2"/>
      <c r="EQ50" s="2">
        <v>0</v>
      </c>
      <c r="ER50" s="2">
        <v>0</v>
      </c>
      <c r="ES50" s="2">
        <v>8137.48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f>P50</f>
        <v>8137.48</v>
      </c>
      <c r="FS50" s="2">
        <v>0</v>
      </c>
      <c r="FT50" s="2"/>
      <c r="FU50" s="2"/>
      <c r="FV50" s="2"/>
      <c r="FW50" s="2"/>
      <c r="FX50" s="2">
        <v>0</v>
      </c>
      <c r="FY50" s="2">
        <v>0</v>
      </c>
      <c r="FZ50" s="2"/>
      <c r="GA50" s="2" t="s">
        <v>73</v>
      </c>
      <c r="GB50" s="2"/>
      <c r="GC50" s="2"/>
      <c r="GD50" s="2">
        <v>1</v>
      </c>
      <c r="GE50" s="2"/>
      <c r="GF50" s="2">
        <v>1362054495</v>
      </c>
      <c r="GG50" s="2">
        <v>2</v>
      </c>
      <c r="GH50" s="2">
        <v>4</v>
      </c>
      <c r="GI50" s="2">
        <v>-2</v>
      </c>
      <c r="GJ50" s="2">
        <v>0</v>
      </c>
      <c r="GK50" s="2">
        <v>0</v>
      </c>
      <c r="GL50" s="2">
        <f t="shared" si="43"/>
        <v>0</v>
      </c>
      <c r="GM50" s="2">
        <f t="shared" si="44"/>
        <v>8137.48</v>
      </c>
      <c r="GN50" s="2">
        <f t="shared" si="45"/>
        <v>0</v>
      </c>
      <c r="GO50" s="2">
        <f t="shared" si="46"/>
        <v>0</v>
      </c>
      <c r="GP50" s="2">
        <f t="shared" si="47"/>
        <v>0</v>
      </c>
      <c r="GQ50" s="2"/>
      <c r="GR50" s="2">
        <v>0</v>
      </c>
      <c r="GS50" s="2">
        <v>2</v>
      </c>
      <c r="GT50" s="2">
        <v>0</v>
      </c>
      <c r="GU50" s="2" t="s">
        <v>3</v>
      </c>
      <c r="GV50" s="2">
        <f t="shared" si="48"/>
        <v>0</v>
      </c>
      <c r="GW50" s="2">
        <v>1</v>
      </c>
      <c r="GX50" s="2">
        <f t="shared" si="49"/>
        <v>0</v>
      </c>
      <c r="GY50" s="2"/>
      <c r="GZ50" s="2"/>
      <c r="HA50" s="2">
        <v>0</v>
      </c>
      <c r="HB50" s="2">
        <v>0</v>
      </c>
      <c r="HC50" s="2">
        <f t="shared" si="50"/>
        <v>0</v>
      </c>
      <c r="HD50" s="2"/>
      <c r="HE50" s="2" t="s">
        <v>36</v>
      </c>
      <c r="HF50" s="2" t="s">
        <v>37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E51" t="s">
        <v>70</v>
      </c>
      <c r="F51" t="s">
        <v>71</v>
      </c>
      <c r="G51" t="s">
        <v>72</v>
      </c>
      <c r="H51" t="s">
        <v>31</v>
      </c>
      <c r="I51">
        <v>1</v>
      </c>
      <c r="J51">
        <v>0</v>
      </c>
      <c r="K51">
        <v>1</v>
      </c>
      <c r="O51">
        <f t="shared" si="21"/>
        <v>62333.1</v>
      </c>
      <c r="P51">
        <f>ROUND((ROUND((AC51*I51),2)*BC51),2)</f>
        <v>62333.1</v>
      </c>
      <c r="Q51">
        <f>(ROUND((ROUND(((ET51)*AV51*I51),2)*BB51),2)+ROUND((ROUND(((AE51-(EU51))*AV51*I51),2)*BS51),2))</f>
        <v>0</v>
      </c>
      <c r="R51">
        <f t="shared" si="22"/>
        <v>0</v>
      </c>
      <c r="S51">
        <f t="shared" si="23"/>
        <v>0</v>
      </c>
      <c r="T51">
        <f t="shared" si="24"/>
        <v>0</v>
      </c>
      <c r="U51">
        <f t="shared" si="25"/>
        <v>0</v>
      </c>
      <c r="V51">
        <f t="shared" si="26"/>
        <v>0</v>
      </c>
      <c r="W51">
        <f t="shared" si="27"/>
        <v>0</v>
      </c>
      <c r="X51">
        <f t="shared" si="28"/>
        <v>0</v>
      </c>
      <c r="Y51">
        <f t="shared" si="29"/>
        <v>0</v>
      </c>
      <c r="AA51">
        <v>56959431</v>
      </c>
      <c r="AB51">
        <f t="shared" si="30"/>
        <v>8137.48</v>
      </c>
      <c r="AC51">
        <f t="shared" si="31"/>
        <v>8137.48</v>
      </c>
      <c r="AD51">
        <f>ROUND((((ET51)-(EU51))+AE51),6)</f>
        <v>0</v>
      </c>
      <c r="AE51">
        <f>ROUND((EU51),6)</f>
        <v>0</v>
      </c>
      <c r="AF51">
        <f>ROUND((EV51),6)</f>
        <v>0</v>
      </c>
      <c r="AG51">
        <f t="shared" si="32"/>
        <v>0</v>
      </c>
      <c r="AH51">
        <f>(EW51)</f>
        <v>0</v>
      </c>
      <c r="AI51">
        <f>(EX51)</f>
        <v>0</v>
      </c>
      <c r="AJ51">
        <f t="shared" si="33"/>
        <v>0</v>
      </c>
      <c r="AK51">
        <v>8137.48</v>
      </c>
      <c r="AL51">
        <v>8137.48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Z51">
        <v>1</v>
      </c>
      <c r="BA51">
        <v>1</v>
      </c>
      <c r="BB51">
        <v>1</v>
      </c>
      <c r="BC51">
        <v>7.66</v>
      </c>
      <c r="BD51" t="s">
        <v>3</v>
      </c>
      <c r="BE51" t="s">
        <v>3</v>
      </c>
      <c r="BF51" t="s">
        <v>3</v>
      </c>
      <c r="BG51" t="s">
        <v>3</v>
      </c>
      <c r="BH51">
        <v>3</v>
      </c>
      <c r="BI51">
        <v>3</v>
      </c>
      <c r="BJ51" t="s">
        <v>3</v>
      </c>
      <c r="BM51">
        <v>746</v>
      </c>
      <c r="BN51">
        <v>0</v>
      </c>
      <c r="BO51" t="s">
        <v>3</v>
      </c>
      <c r="BP51">
        <v>0</v>
      </c>
      <c r="BQ51">
        <v>130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0</v>
      </c>
      <c r="CA51">
        <v>0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3</v>
      </c>
      <c r="CO51">
        <v>0</v>
      </c>
      <c r="CP51">
        <f t="shared" si="34"/>
        <v>62333.1</v>
      </c>
      <c r="CQ51">
        <f>ROUND((ROUND((AC51*1),2)*BC51),2)</f>
        <v>62333.1</v>
      </c>
      <c r="CR51">
        <f>(ROUND((ROUND(((ET51)*AV51*1),2)*BB51),2)+ROUND((ROUND(((AE51-(EU51))*AV51*1),2)*BS51),2))</f>
        <v>0</v>
      </c>
      <c r="CS51">
        <f t="shared" si="35"/>
        <v>0</v>
      </c>
      <c r="CT51">
        <f t="shared" si="36"/>
        <v>0</v>
      </c>
      <c r="CU51">
        <f t="shared" si="37"/>
        <v>0</v>
      </c>
      <c r="CV51">
        <f t="shared" si="38"/>
        <v>0</v>
      </c>
      <c r="CW51">
        <f t="shared" si="39"/>
        <v>0</v>
      </c>
      <c r="CX51">
        <f t="shared" si="40"/>
        <v>0</v>
      </c>
      <c r="CY51">
        <f t="shared" si="41"/>
        <v>0</v>
      </c>
      <c r="CZ51">
        <f t="shared" si="42"/>
        <v>0</v>
      </c>
      <c r="DC51" t="s">
        <v>3</v>
      </c>
      <c r="DD51" t="s">
        <v>3</v>
      </c>
      <c r="DE51" t="s">
        <v>3</v>
      </c>
      <c r="DF51" t="s">
        <v>3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1010</v>
      </c>
      <c r="DV51" t="s">
        <v>31</v>
      </c>
      <c r="DW51" t="s">
        <v>31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55992259</v>
      </c>
      <c r="EF51">
        <v>130</v>
      </c>
      <c r="EG51" t="s">
        <v>32</v>
      </c>
      <c r="EH51">
        <v>0</v>
      </c>
      <c r="EI51" t="s">
        <v>3</v>
      </c>
      <c r="EJ51">
        <v>3</v>
      </c>
      <c r="EK51">
        <v>746</v>
      </c>
      <c r="EL51" t="s">
        <v>33</v>
      </c>
      <c r="EM51" t="s">
        <v>34</v>
      </c>
      <c r="EO51" t="s">
        <v>3</v>
      </c>
      <c r="EQ51">
        <v>0</v>
      </c>
      <c r="ER51">
        <v>8137.48</v>
      </c>
      <c r="ES51">
        <v>8137.48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5</v>
      </c>
      <c r="FC51">
        <v>1</v>
      </c>
      <c r="FD51">
        <v>18</v>
      </c>
      <c r="FF51">
        <v>71760</v>
      </c>
      <c r="FQ51">
        <v>0</v>
      </c>
      <c r="FR51">
        <f>P51</f>
        <v>62333.1</v>
      </c>
      <c r="FS51">
        <v>0</v>
      </c>
      <c r="FX51">
        <v>0</v>
      </c>
      <c r="FY51">
        <v>0</v>
      </c>
      <c r="GA51" t="s">
        <v>73</v>
      </c>
      <c r="GD51">
        <v>1</v>
      </c>
      <c r="GF51">
        <v>1362054495</v>
      </c>
      <c r="GG51">
        <v>2</v>
      </c>
      <c r="GH51">
        <v>3</v>
      </c>
      <c r="GI51">
        <v>5</v>
      </c>
      <c r="GJ51">
        <v>0</v>
      </c>
      <c r="GK51">
        <v>0</v>
      </c>
      <c r="GL51">
        <f t="shared" si="43"/>
        <v>0</v>
      </c>
      <c r="GM51">
        <f t="shared" si="44"/>
        <v>62333.1</v>
      </c>
      <c r="GN51">
        <f t="shared" si="45"/>
        <v>0</v>
      </c>
      <c r="GO51">
        <f t="shared" si="46"/>
        <v>0</v>
      </c>
      <c r="GP51">
        <f t="shared" si="47"/>
        <v>0</v>
      </c>
      <c r="GR51">
        <v>1</v>
      </c>
      <c r="GS51">
        <v>1</v>
      </c>
      <c r="GT51">
        <v>0</v>
      </c>
      <c r="GU51" t="s">
        <v>3</v>
      </c>
      <c r="GV51">
        <f t="shared" si="48"/>
        <v>0</v>
      </c>
      <c r="GW51">
        <v>1</v>
      </c>
      <c r="GX51">
        <f t="shared" si="49"/>
        <v>0</v>
      </c>
      <c r="HA51">
        <v>0</v>
      </c>
      <c r="HB51">
        <v>0</v>
      </c>
      <c r="HC51">
        <f t="shared" si="50"/>
        <v>0</v>
      </c>
      <c r="HE51" t="s">
        <v>36</v>
      </c>
      <c r="HF51" t="s">
        <v>37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>
        <f>ROW(SmtRes!A40)</f>
        <v>40</v>
      </c>
      <c r="D52" s="2">
        <f>ROW(EtalonRes!A52)</f>
        <v>52</v>
      </c>
      <c r="E52" s="2" t="s">
        <v>74</v>
      </c>
      <c r="F52" s="2" t="s">
        <v>75</v>
      </c>
      <c r="G52" s="2" t="s">
        <v>76</v>
      </c>
      <c r="H52" s="2" t="s">
        <v>77</v>
      </c>
      <c r="I52" s="2">
        <f>ROUND(2300/100,9)</f>
        <v>23</v>
      </c>
      <c r="J52" s="2">
        <v>0</v>
      </c>
      <c r="K52" s="2">
        <f>ROUND(2300/100,9)</f>
        <v>23</v>
      </c>
      <c r="L52" s="2"/>
      <c r="M52" s="2"/>
      <c r="N52" s="2"/>
      <c r="O52" s="2">
        <f t="shared" si="21"/>
        <v>13192.16</v>
      </c>
      <c r="P52" s="2">
        <f t="shared" ref="P52:P73" si="53">ROUND((ROUND((AC52*AW52*I52),2)*BC52),2)</f>
        <v>7228.67</v>
      </c>
      <c r="Q52" s="2">
        <f>(ROUND((ROUND((((ET52*1.1))*AV52*I52),2)*BB52),2)+ROUND((ROUND(((AE52-((EU52*1.1)))*AV52*I52),2)*BS52),2))</f>
        <v>870.7</v>
      </c>
      <c r="R52" s="2">
        <f t="shared" si="22"/>
        <v>151.25</v>
      </c>
      <c r="S52" s="2">
        <f t="shared" si="23"/>
        <v>5092.79</v>
      </c>
      <c r="T52" s="2">
        <f t="shared" si="24"/>
        <v>0</v>
      </c>
      <c r="U52" s="2">
        <f t="shared" si="25"/>
        <v>397.33649999999994</v>
      </c>
      <c r="V52" s="2">
        <f t="shared" si="26"/>
        <v>0</v>
      </c>
      <c r="W52" s="2">
        <f t="shared" si="27"/>
        <v>0</v>
      </c>
      <c r="X52" s="2">
        <f t="shared" si="28"/>
        <v>5086.72</v>
      </c>
      <c r="Y52" s="2">
        <f t="shared" si="29"/>
        <v>2674.46</v>
      </c>
      <c r="Z52" s="2"/>
      <c r="AA52" s="2">
        <v>56959434</v>
      </c>
      <c r="AB52" s="2">
        <f t="shared" si="30"/>
        <v>561.93299999999999</v>
      </c>
      <c r="AC52" s="2">
        <f t="shared" si="31"/>
        <v>314.29000000000002</v>
      </c>
      <c r="AD52" s="2">
        <f>ROUND(((((ET52*1.1))-((EU52*1.1)))+AE52),6)</f>
        <v>36.156999999999996</v>
      </c>
      <c r="AE52" s="2">
        <f>ROUND(((EU52*1.1)),6)</f>
        <v>6.2809999999999997</v>
      </c>
      <c r="AF52" s="2">
        <f>ROUND(((EV52*1.1)),6)</f>
        <v>211.48599999999999</v>
      </c>
      <c r="AG52" s="2">
        <f t="shared" si="32"/>
        <v>0</v>
      </c>
      <c r="AH52" s="2">
        <f>((EW52*1.1))</f>
        <v>16.5</v>
      </c>
      <c r="AI52" s="2">
        <f>((EX52*1.1))</f>
        <v>0</v>
      </c>
      <c r="AJ52" s="2">
        <f t="shared" si="33"/>
        <v>0</v>
      </c>
      <c r="AK52" s="2">
        <v>539.41999999999996</v>
      </c>
      <c r="AL52" s="2">
        <v>314.29000000000002</v>
      </c>
      <c r="AM52" s="2">
        <v>32.869999999999997</v>
      </c>
      <c r="AN52" s="2">
        <v>5.71</v>
      </c>
      <c r="AO52" s="2">
        <v>192.26</v>
      </c>
      <c r="AP52" s="2">
        <v>0</v>
      </c>
      <c r="AQ52" s="2">
        <v>15</v>
      </c>
      <c r="AR52" s="2">
        <v>0</v>
      </c>
      <c r="AS52" s="2">
        <v>0</v>
      </c>
      <c r="AT52" s="2">
        <v>97</v>
      </c>
      <c r="AU52" s="2">
        <v>51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78</v>
      </c>
      <c r="BK52" s="2"/>
      <c r="BL52" s="2"/>
      <c r="BM52" s="2">
        <v>67</v>
      </c>
      <c r="BN52" s="2">
        <v>55992028</v>
      </c>
      <c r="BO52" s="2" t="s">
        <v>75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97</v>
      </c>
      <c r="CA52" s="2">
        <v>51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673</v>
      </c>
      <c r="CO52" s="2">
        <v>0</v>
      </c>
      <c r="CP52" s="2">
        <f t="shared" si="34"/>
        <v>13192.16</v>
      </c>
      <c r="CQ52" s="2">
        <f t="shared" ref="CQ52:CQ73" si="54">ROUND((ROUND((AC52*AW52*1),2)*BC52),2)</f>
        <v>314.29000000000002</v>
      </c>
      <c r="CR52" s="2">
        <f>(ROUND((ROUND((((ET52*1.1))*AV52*1),2)*BB52),2)+ROUND((ROUND(((AE52-((EU52*1.1)))*AV52*1),2)*BS52),2))</f>
        <v>37.86</v>
      </c>
      <c r="CS52" s="2">
        <f t="shared" si="35"/>
        <v>6.58</v>
      </c>
      <c r="CT52" s="2">
        <f t="shared" si="36"/>
        <v>221.43</v>
      </c>
      <c r="CU52" s="2">
        <f t="shared" si="37"/>
        <v>0</v>
      </c>
      <c r="CV52" s="2">
        <f t="shared" si="38"/>
        <v>17.275499999999997</v>
      </c>
      <c r="CW52" s="2">
        <f t="shared" si="39"/>
        <v>0</v>
      </c>
      <c r="CX52" s="2">
        <f t="shared" si="40"/>
        <v>0</v>
      </c>
      <c r="CY52" s="2">
        <f t="shared" si="41"/>
        <v>5086.7187999999996</v>
      </c>
      <c r="CZ52" s="2">
        <f t="shared" si="42"/>
        <v>2674.4603999999999</v>
      </c>
      <c r="DA52" s="2"/>
      <c r="DB52" s="2"/>
      <c r="DC52" s="2" t="s">
        <v>3</v>
      </c>
      <c r="DD52" s="2" t="s">
        <v>3</v>
      </c>
      <c r="DE52" s="2" t="s">
        <v>23</v>
      </c>
      <c r="DF52" s="2" t="s">
        <v>23</v>
      </c>
      <c r="DG52" s="2" t="s">
        <v>23</v>
      </c>
      <c r="DH52" s="2" t="s">
        <v>3</v>
      </c>
      <c r="DI52" s="2" t="s">
        <v>23</v>
      </c>
      <c r="DJ52" s="2" t="s">
        <v>23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77</v>
      </c>
      <c r="DW52" s="2" t="s">
        <v>77</v>
      </c>
      <c r="DX52" s="2">
        <v>100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55992151</v>
      </c>
      <c r="EF52" s="2">
        <v>40</v>
      </c>
      <c r="EG52" s="2" t="s">
        <v>24</v>
      </c>
      <c r="EH52" s="2">
        <v>0</v>
      </c>
      <c r="EI52" s="2" t="s">
        <v>3</v>
      </c>
      <c r="EJ52" s="2">
        <v>2</v>
      </c>
      <c r="EK52" s="2">
        <v>67</v>
      </c>
      <c r="EL52" s="2" t="s">
        <v>79</v>
      </c>
      <c r="EM52" s="2" t="s">
        <v>80</v>
      </c>
      <c r="EN52" s="2"/>
      <c r="EO52" s="2" t="s">
        <v>27</v>
      </c>
      <c r="EP52" s="2"/>
      <c r="EQ52" s="2">
        <v>0</v>
      </c>
      <c r="ER52" s="2">
        <v>539.41999999999996</v>
      </c>
      <c r="ES52" s="2">
        <v>314.29000000000002</v>
      </c>
      <c r="ET52" s="2">
        <v>32.869999999999997</v>
      </c>
      <c r="EU52" s="2">
        <v>5.71</v>
      </c>
      <c r="EV52" s="2">
        <v>192.26</v>
      </c>
      <c r="EW52" s="2">
        <v>15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97</v>
      </c>
      <c r="FY52" s="2">
        <v>51</v>
      </c>
      <c r="FZ52" s="2"/>
      <c r="GA52" s="2" t="s">
        <v>3</v>
      </c>
      <c r="GB52" s="2"/>
      <c r="GC52" s="2"/>
      <c r="GD52" s="2">
        <v>1</v>
      </c>
      <c r="GE52" s="2"/>
      <c r="GF52" s="2">
        <v>1705749599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43"/>
        <v>0</v>
      </c>
      <c r="GM52" s="2">
        <f t="shared" si="44"/>
        <v>20953.34</v>
      </c>
      <c r="GN52" s="2">
        <f t="shared" si="45"/>
        <v>0</v>
      </c>
      <c r="GO52" s="2">
        <f t="shared" si="46"/>
        <v>20953.34</v>
      </c>
      <c r="GP52" s="2">
        <f t="shared" si="47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48"/>
        <v>0</v>
      </c>
      <c r="GW52" s="2">
        <v>1</v>
      </c>
      <c r="GX52" s="2">
        <f t="shared" si="49"/>
        <v>0</v>
      </c>
      <c r="GY52" s="2"/>
      <c r="GZ52" s="2"/>
      <c r="HA52" s="2">
        <v>0</v>
      </c>
      <c r="HB52" s="2">
        <v>0</v>
      </c>
      <c r="HC52" s="2">
        <f t="shared" si="50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C53">
        <f>ROW(SmtRes!A42)</f>
        <v>42</v>
      </c>
      <c r="D53">
        <f>ROW(EtalonRes!A56)</f>
        <v>56</v>
      </c>
      <c r="E53" t="s">
        <v>74</v>
      </c>
      <c r="F53" t="s">
        <v>75</v>
      </c>
      <c r="G53" t="s">
        <v>76</v>
      </c>
      <c r="H53" t="s">
        <v>77</v>
      </c>
      <c r="I53">
        <f>ROUND(2300/100,9)</f>
        <v>23</v>
      </c>
      <c r="J53">
        <v>0</v>
      </c>
      <c r="K53">
        <f>ROUND(2300/100,9)</f>
        <v>23</v>
      </c>
      <c r="O53">
        <f t="shared" si="21"/>
        <v>367086.07</v>
      </c>
      <c r="P53">
        <f t="shared" si="53"/>
        <v>71491.55</v>
      </c>
      <c r="Q53">
        <f>(ROUND((ROUND((((ET53*1.1))*AV53*I53),2)*BB53),2)+ROUND((ROUND(((AE53-((EU53*1.1)))*AV53*I53),2)*BS53),2))</f>
        <v>15542</v>
      </c>
      <c r="R53">
        <f t="shared" si="22"/>
        <v>8317.24</v>
      </c>
      <c r="S53">
        <f t="shared" si="23"/>
        <v>280052.52</v>
      </c>
      <c r="T53">
        <f t="shared" si="24"/>
        <v>0</v>
      </c>
      <c r="U53">
        <f t="shared" si="25"/>
        <v>397.33649999999994</v>
      </c>
      <c r="V53">
        <f t="shared" si="26"/>
        <v>0</v>
      </c>
      <c r="W53">
        <f t="shared" si="27"/>
        <v>0</v>
      </c>
      <c r="X53">
        <f t="shared" si="28"/>
        <v>279718.67</v>
      </c>
      <c r="Y53">
        <f t="shared" si="29"/>
        <v>147068.57999999999</v>
      </c>
      <c r="AA53">
        <v>56959431</v>
      </c>
      <c r="AB53">
        <f t="shared" si="30"/>
        <v>561.93299999999999</v>
      </c>
      <c r="AC53">
        <f t="shared" si="31"/>
        <v>314.29000000000002</v>
      </c>
      <c r="AD53">
        <f>ROUND(((((ET53*1.1))-((EU53*1.1)))+AE53),6)</f>
        <v>36.156999999999996</v>
      </c>
      <c r="AE53">
        <f>ROUND(((EU53*1.1)),6)</f>
        <v>6.2809999999999997</v>
      </c>
      <c r="AF53">
        <f>ROUND(((EV53*1.1)),6)</f>
        <v>211.48599999999999</v>
      </c>
      <c r="AG53">
        <f t="shared" si="32"/>
        <v>0</v>
      </c>
      <c r="AH53">
        <f>((EW53*1.1))</f>
        <v>16.5</v>
      </c>
      <c r="AI53">
        <f>((EX53*1.1))</f>
        <v>0</v>
      </c>
      <c r="AJ53">
        <f t="shared" si="33"/>
        <v>0</v>
      </c>
      <c r="AK53">
        <v>539.41999999999996</v>
      </c>
      <c r="AL53">
        <v>314.29000000000002</v>
      </c>
      <c r="AM53">
        <v>32.869999999999997</v>
      </c>
      <c r="AN53">
        <v>5.71</v>
      </c>
      <c r="AO53">
        <v>192.26</v>
      </c>
      <c r="AP53">
        <v>0</v>
      </c>
      <c r="AQ53">
        <v>15</v>
      </c>
      <c r="AR53">
        <v>0</v>
      </c>
      <c r="AS53">
        <v>0</v>
      </c>
      <c r="AT53">
        <v>97</v>
      </c>
      <c r="AU53">
        <v>51</v>
      </c>
      <c r="AV53">
        <v>1.0469999999999999</v>
      </c>
      <c r="AW53">
        <v>1</v>
      </c>
      <c r="AZ53">
        <v>1</v>
      </c>
      <c r="BA53">
        <v>54.99</v>
      </c>
      <c r="BB53">
        <v>17.850000000000001</v>
      </c>
      <c r="BC53">
        <v>9.89</v>
      </c>
      <c r="BD53" t="s">
        <v>3</v>
      </c>
      <c r="BE53" t="s">
        <v>3</v>
      </c>
      <c r="BF53" t="s">
        <v>3</v>
      </c>
      <c r="BG53" t="s">
        <v>3</v>
      </c>
      <c r="BH53">
        <v>0</v>
      </c>
      <c r="BI53">
        <v>2</v>
      </c>
      <c r="BJ53" t="s">
        <v>78</v>
      </c>
      <c r="BM53">
        <v>67</v>
      </c>
      <c r="BN53">
        <v>55992028</v>
      </c>
      <c r="BO53" t="s">
        <v>75</v>
      </c>
      <c r="BP53">
        <v>1</v>
      </c>
      <c r="BQ53">
        <v>40</v>
      </c>
      <c r="BR53">
        <v>0</v>
      </c>
      <c r="BS53">
        <v>54.99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97</v>
      </c>
      <c r="CA53">
        <v>51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673</v>
      </c>
      <c r="CO53">
        <v>0</v>
      </c>
      <c r="CP53">
        <f t="shared" si="34"/>
        <v>367086.07</v>
      </c>
      <c r="CQ53">
        <f t="shared" si="54"/>
        <v>3108.33</v>
      </c>
      <c r="CR53">
        <f>(ROUND((ROUND((((ET53*1.1))*AV53*1),2)*BB53),2)+ROUND((ROUND(((AE53-((EU53*1.1)))*AV53*1),2)*BS53),2))</f>
        <v>675.8</v>
      </c>
      <c r="CS53">
        <f t="shared" si="35"/>
        <v>361.83</v>
      </c>
      <c r="CT53">
        <f t="shared" si="36"/>
        <v>12176.44</v>
      </c>
      <c r="CU53">
        <f t="shared" si="37"/>
        <v>0</v>
      </c>
      <c r="CV53">
        <f t="shared" si="38"/>
        <v>17.275499999999997</v>
      </c>
      <c r="CW53">
        <f t="shared" si="39"/>
        <v>0</v>
      </c>
      <c r="CX53">
        <f t="shared" si="40"/>
        <v>0</v>
      </c>
      <c r="CY53">
        <f t="shared" si="41"/>
        <v>279718.66720000003</v>
      </c>
      <c r="CZ53">
        <f t="shared" si="42"/>
        <v>147068.57759999999</v>
      </c>
      <c r="DC53" t="s">
        <v>3</v>
      </c>
      <c r="DD53" t="s">
        <v>3</v>
      </c>
      <c r="DE53" t="s">
        <v>23</v>
      </c>
      <c r="DF53" t="s">
        <v>23</v>
      </c>
      <c r="DG53" t="s">
        <v>23</v>
      </c>
      <c r="DH53" t="s">
        <v>3</v>
      </c>
      <c r="DI53" t="s">
        <v>23</v>
      </c>
      <c r="DJ53" t="s">
        <v>23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1003</v>
      </c>
      <c r="DV53" t="s">
        <v>77</v>
      </c>
      <c r="DW53" t="s">
        <v>77</v>
      </c>
      <c r="DX53">
        <v>100</v>
      </c>
      <c r="DZ53" t="s">
        <v>3</v>
      </c>
      <c r="EA53" t="s">
        <v>3</v>
      </c>
      <c r="EB53" t="s">
        <v>3</v>
      </c>
      <c r="EC53" t="s">
        <v>3</v>
      </c>
      <c r="EE53">
        <v>55992151</v>
      </c>
      <c r="EF53">
        <v>40</v>
      </c>
      <c r="EG53" t="s">
        <v>24</v>
      </c>
      <c r="EH53">
        <v>0</v>
      </c>
      <c r="EI53" t="s">
        <v>3</v>
      </c>
      <c r="EJ53">
        <v>2</v>
      </c>
      <c r="EK53">
        <v>67</v>
      </c>
      <c r="EL53" t="s">
        <v>79</v>
      </c>
      <c r="EM53" t="s">
        <v>80</v>
      </c>
      <c r="EO53" t="s">
        <v>27</v>
      </c>
      <c r="EQ53">
        <v>0</v>
      </c>
      <c r="ER53">
        <v>539.41999999999996</v>
      </c>
      <c r="ES53">
        <v>314.29000000000002</v>
      </c>
      <c r="ET53">
        <v>32.869999999999997</v>
      </c>
      <c r="EU53">
        <v>5.71</v>
      </c>
      <c r="EV53">
        <v>192.26</v>
      </c>
      <c r="EW53">
        <v>15</v>
      </c>
      <c r="EX53">
        <v>0</v>
      </c>
      <c r="EY53">
        <v>0</v>
      </c>
      <c r="FQ53">
        <v>0</v>
      </c>
      <c r="FR53">
        <v>0</v>
      </c>
      <c r="FS53">
        <v>0</v>
      </c>
      <c r="FX53">
        <v>97</v>
      </c>
      <c r="FY53">
        <v>51</v>
      </c>
      <c r="GA53" t="s">
        <v>3</v>
      </c>
      <c r="GD53">
        <v>1</v>
      </c>
      <c r="GF53">
        <v>1705749599</v>
      </c>
      <c r="GG53">
        <v>2</v>
      </c>
      <c r="GH53">
        <v>1</v>
      </c>
      <c r="GI53">
        <v>2</v>
      </c>
      <c r="GJ53">
        <v>0</v>
      </c>
      <c r="GK53">
        <v>0</v>
      </c>
      <c r="GL53">
        <f t="shared" si="43"/>
        <v>0</v>
      </c>
      <c r="GM53">
        <f t="shared" si="44"/>
        <v>793873.32</v>
      </c>
      <c r="GN53">
        <f t="shared" si="45"/>
        <v>0</v>
      </c>
      <c r="GO53">
        <f t="shared" si="46"/>
        <v>793873.32</v>
      </c>
      <c r="GP53">
        <f t="shared" si="47"/>
        <v>0</v>
      </c>
      <c r="GR53">
        <v>0</v>
      </c>
      <c r="GS53">
        <v>3</v>
      </c>
      <c r="GT53">
        <v>0</v>
      </c>
      <c r="GU53" t="s">
        <v>3</v>
      </c>
      <c r="GV53">
        <f t="shared" si="48"/>
        <v>0</v>
      </c>
      <c r="GW53">
        <v>1</v>
      </c>
      <c r="GX53">
        <f t="shared" si="49"/>
        <v>0</v>
      </c>
      <c r="HA53">
        <v>0</v>
      </c>
      <c r="HB53">
        <v>0</v>
      </c>
      <c r="HC53">
        <f t="shared" si="50"/>
        <v>0</v>
      </c>
      <c r="HE53" t="s">
        <v>3</v>
      </c>
      <c r="HF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18</v>
      </c>
      <c r="B54" s="2">
        <v>1</v>
      </c>
      <c r="C54" s="2">
        <v>40</v>
      </c>
      <c r="D54" s="2"/>
      <c r="E54" s="2" t="s">
        <v>81</v>
      </c>
      <c r="F54" s="2" t="s">
        <v>82</v>
      </c>
      <c r="G54" s="2" t="s">
        <v>83</v>
      </c>
      <c r="H54" s="2" t="s">
        <v>84</v>
      </c>
      <c r="I54" s="2">
        <f>I52*J54</f>
        <v>2346</v>
      </c>
      <c r="J54" s="2">
        <v>102</v>
      </c>
      <c r="K54" s="2">
        <v>102</v>
      </c>
      <c r="L54" s="2"/>
      <c r="M54" s="2"/>
      <c r="N54" s="2"/>
      <c r="O54" s="2">
        <f t="shared" si="21"/>
        <v>8093.7</v>
      </c>
      <c r="P54" s="2">
        <f t="shared" si="53"/>
        <v>8093.7</v>
      </c>
      <c r="Q54" s="2">
        <f>(ROUND((ROUND(((ET54)*AV54*I54),2)*BB54),2)+ROUND((ROUND(((AE54-(EU54))*AV54*I54),2)*BS54),2))</f>
        <v>0</v>
      </c>
      <c r="R54" s="2">
        <f t="shared" si="22"/>
        <v>0</v>
      </c>
      <c r="S54" s="2">
        <f t="shared" si="23"/>
        <v>0</v>
      </c>
      <c r="T54" s="2">
        <f t="shared" si="24"/>
        <v>0</v>
      </c>
      <c r="U54" s="2">
        <f t="shared" si="25"/>
        <v>0</v>
      </c>
      <c r="V54" s="2">
        <f t="shared" si="26"/>
        <v>0</v>
      </c>
      <c r="W54" s="2">
        <f t="shared" si="27"/>
        <v>0</v>
      </c>
      <c r="X54" s="2">
        <f t="shared" si="28"/>
        <v>0</v>
      </c>
      <c r="Y54" s="2">
        <f t="shared" si="29"/>
        <v>0</v>
      </c>
      <c r="Z54" s="2"/>
      <c r="AA54" s="2">
        <v>56959434</v>
      </c>
      <c r="AB54" s="2">
        <f t="shared" si="30"/>
        <v>3.45</v>
      </c>
      <c r="AC54" s="2">
        <f t="shared" si="31"/>
        <v>3.45</v>
      </c>
      <c r="AD54" s="2">
        <f>ROUND((((ET54)-(EU54))+AE54),6)</f>
        <v>0</v>
      </c>
      <c r="AE54" s="2">
        <f>ROUND((EU54),6)</f>
        <v>0</v>
      </c>
      <c r="AF54" s="2">
        <f>ROUND((EV54),6)</f>
        <v>0</v>
      </c>
      <c r="AG54" s="2">
        <f t="shared" si="32"/>
        <v>0</v>
      </c>
      <c r="AH54" s="2">
        <f>(EW54)</f>
        <v>0</v>
      </c>
      <c r="AI54" s="2">
        <f>(EX54)</f>
        <v>0</v>
      </c>
      <c r="AJ54" s="2">
        <f t="shared" si="33"/>
        <v>0</v>
      </c>
      <c r="AK54" s="2">
        <v>3.45</v>
      </c>
      <c r="AL54" s="2">
        <v>3.45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97</v>
      </c>
      <c r="AU54" s="2">
        <v>51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2</v>
      </c>
      <c r="BJ54" s="2" t="s">
        <v>85</v>
      </c>
      <c r="BK54" s="2"/>
      <c r="BL54" s="2"/>
      <c r="BM54" s="2">
        <v>67</v>
      </c>
      <c r="BN54" s="2">
        <v>55992028</v>
      </c>
      <c r="BO54" s="2" t="s">
        <v>3</v>
      </c>
      <c r="BP54" s="2">
        <v>0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97</v>
      </c>
      <c r="CA54" s="2">
        <v>51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4"/>
        <v>8093.7</v>
      </c>
      <c r="CQ54" s="2">
        <f t="shared" si="54"/>
        <v>3.45</v>
      </c>
      <c r="CR54" s="2">
        <f>(ROUND((ROUND(((ET54)*AV54*1),2)*BB54),2)+ROUND((ROUND(((AE54-(EU54))*AV54*1),2)*BS54),2))</f>
        <v>0</v>
      </c>
      <c r="CS54" s="2">
        <f t="shared" si="35"/>
        <v>0</v>
      </c>
      <c r="CT54" s="2">
        <f t="shared" si="36"/>
        <v>0</v>
      </c>
      <c r="CU54" s="2">
        <f t="shared" si="37"/>
        <v>0</v>
      </c>
      <c r="CV54" s="2">
        <f t="shared" si="38"/>
        <v>0</v>
      </c>
      <c r="CW54" s="2">
        <f t="shared" si="39"/>
        <v>0</v>
      </c>
      <c r="CX54" s="2">
        <f t="shared" si="40"/>
        <v>0</v>
      </c>
      <c r="CY54" s="2">
        <f t="shared" si="41"/>
        <v>0</v>
      </c>
      <c r="CZ54" s="2">
        <f t="shared" si="42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1003</v>
      </c>
      <c r="DV54" s="2" t="s">
        <v>84</v>
      </c>
      <c r="DW54" s="2" t="s">
        <v>84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55992151</v>
      </c>
      <c r="EF54" s="2">
        <v>40</v>
      </c>
      <c r="EG54" s="2" t="s">
        <v>24</v>
      </c>
      <c r="EH54" s="2">
        <v>0</v>
      </c>
      <c r="EI54" s="2" t="s">
        <v>3</v>
      </c>
      <c r="EJ54" s="2">
        <v>2</v>
      </c>
      <c r="EK54" s="2">
        <v>67</v>
      </c>
      <c r="EL54" s="2" t="s">
        <v>79</v>
      </c>
      <c r="EM54" s="2" t="s">
        <v>80</v>
      </c>
      <c r="EN54" s="2"/>
      <c r="EO54" s="2" t="s">
        <v>3</v>
      </c>
      <c r="EP54" s="2"/>
      <c r="EQ54" s="2">
        <v>0</v>
      </c>
      <c r="ER54" s="2">
        <v>3.45</v>
      </c>
      <c r="ES54" s="2">
        <v>3.45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97</v>
      </c>
      <c r="FY54" s="2">
        <v>51</v>
      </c>
      <c r="FZ54" s="2"/>
      <c r="GA54" s="2" t="s">
        <v>3</v>
      </c>
      <c r="GB54" s="2"/>
      <c r="GC54" s="2"/>
      <c r="GD54" s="2">
        <v>1</v>
      </c>
      <c r="GE54" s="2"/>
      <c r="GF54" s="2">
        <v>-1305428159</v>
      </c>
      <c r="GG54" s="2">
        <v>2</v>
      </c>
      <c r="GH54" s="2">
        <v>1</v>
      </c>
      <c r="GI54" s="2">
        <v>-2</v>
      </c>
      <c r="GJ54" s="2">
        <v>0</v>
      </c>
      <c r="GK54" s="2">
        <v>0</v>
      </c>
      <c r="GL54" s="2">
        <f t="shared" si="43"/>
        <v>0</v>
      </c>
      <c r="GM54" s="2">
        <f t="shared" si="44"/>
        <v>8093.7</v>
      </c>
      <c r="GN54" s="2">
        <f t="shared" si="45"/>
        <v>0</v>
      </c>
      <c r="GO54" s="2">
        <f t="shared" si="46"/>
        <v>8093.7</v>
      </c>
      <c r="GP54" s="2">
        <f t="shared" si="47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8"/>
        <v>0</v>
      </c>
      <c r="GW54" s="2">
        <v>1</v>
      </c>
      <c r="GX54" s="2">
        <f t="shared" si="49"/>
        <v>0</v>
      </c>
      <c r="GY54" s="2"/>
      <c r="GZ54" s="2"/>
      <c r="HA54" s="2">
        <v>0</v>
      </c>
      <c r="HB54" s="2">
        <v>0</v>
      </c>
      <c r="HC54" s="2">
        <f t="shared" si="50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18</v>
      </c>
      <c r="B55">
        <v>1</v>
      </c>
      <c r="C55">
        <v>42</v>
      </c>
      <c r="E55" t="s">
        <v>81</v>
      </c>
      <c r="F55" t="s">
        <v>82</v>
      </c>
      <c r="G55" t="s">
        <v>83</v>
      </c>
      <c r="H55" t="s">
        <v>84</v>
      </c>
      <c r="I55">
        <f>I53*J55</f>
        <v>2346</v>
      </c>
      <c r="J55">
        <v>102</v>
      </c>
      <c r="K55">
        <v>102</v>
      </c>
      <c r="O55">
        <f t="shared" si="21"/>
        <v>31808.240000000002</v>
      </c>
      <c r="P55">
        <f t="shared" si="53"/>
        <v>31808.240000000002</v>
      </c>
      <c r="Q55">
        <f>(ROUND((ROUND(((ET55)*AV55*I55),2)*BB55),2)+ROUND((ROUND(((AE55-(EU55))*AV55*I55),2)*BS55),2))</f>
        <v>0</v>
      </c>
      <c r="R55">
        <f t="shared" si="22"/>
        <v>0</v>
      </c>
      <c r="S55">
        <f t="shared" si="23"/>
        <v>0</v>
      </c>
      <c r="T55">
        <f t="shared" si="24"/>
        <v>0</v>
      </c>
      <c r="U55">
        <f t="shared" si="25"/>
        <v>0</v>
      </c>
      <c r="V55">
        <f t="shared" si="26"/>
        <v>0</v>
      </c>
      <c r="W55">
        <f t="shared" si="27"/>
        <v>0</v>
      </c>
      <c r="X55">
        <f t="shared" si="28"/>
        <v>0</v>
      </c>
      <c r="Y55">
        <f t="shared" si="29"/>
        <v>0</v>
      </c>
      <c r="AA55">
        <v>56959431</v>
      </c>
      <c r="AB55">
        <f t="shared" si="30"/>
        <v>3.45</v>
      </c>
      <c r="AC55">
        <f t="shared" si="31"/>
        <v>3.45</v>
      </c>
      <c r="AD55">
        <f>ROUND((((ET55)-(EU55))+AE55),6)</f>
        <v>0</v>
      </c>
      <c r="AE55">
        <f>ROUND((EU55),6)</f>
        <v>0</v>
      </c>
      <c r="AF55">
        <f>ROUND((EV55),6)</f>
        <v>0</v>
      </c>
      <c r="AG55">
        <f t="shared" si="32"/>
        <v>0</v>
      </c>
      <c r="AH55">
        <f>(EW55)</f>
        <v>0</v>
      </c>
      <c r="AI55">
        <f>(EX55)</f>
        <v>0</v>
      </c>
      <c r="AJ55">
        <f t="shared" si="33"/>
        <v>0</v>
      </c>
      <c r="AK55">
        <v>3.45</v>
      </c>
      <c r="AL55">
        <v>3.45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97</v>
      </c>
      <c r="AU55">
        <v>51</v>
      </c>
      <c r="AV55">
        <v>1</v>
      </c>
      <c r="AW55">
        <v>1</v>
      </c>
      <c r="AZ55">
        <v>1</v>
      </c>
      <c r="BA55">
        <v>1</v>
      </c>
      <c r="BB55">
        <v>1</v>
      </c>
      <c r="BC55">
        <v>3.93</v>
      </c>
      <c r="BD55" t="s">
        <v>3</v>
      </c>
      <c r="BE55" t="s">
        <v>3</v>
      </c>
      <c r="BF55" t="s">
        <v>3</v>
      </c>
      <c r="BG55" t="s">
        <v>3</v>
      </c>
      <c r="BH55">
        <v>3</v>
      </c>
      <c r="BI55">
        <v>2</v>
      </c>
      <c r="BJ55" t="s">
        <v>85</v>
      </c>
      <c r="BM55">
        <v>67</v>
      </c>
      <c r="BN55">
        <v>55992028</v>
      </c>
      <c r="BO55" t="s">
        <v>82</v>
      </c>
      <c r="BP55">
        <v>1</v>
      </c>
      <c r="BQ55">
        <v>40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97</v>
      </c>
      <c r="CA55">
        <v>51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3</v>
      </c>
      <c r="CO55">
        <v>0</v>
      </c>
      <c r="CP55">
        <f t="shared" si="34"/>
        <v>31808.240000000002</v>
      </c>
      <c r="CQ55">
        <f t="shared" si="54"/>
        <v>13.56</v>
      </c>
      <c r="CR55">
        <f>(ROUND((ROUND(((ET55)*AV55*1),2)*BB55),2)+ROUND((ROUND(((AE55-(EU55))*AV55*1),2)*BS55),2))</f>
        <v>0</v>
      </c>
      <c r="CS55">
        <f t="shared" si="35"/>
        <v>0</v>
      </c>
      <c r="CT55">
        <f t="shared" si="36"/>
        <v>0</v>
      </c>
      <c r="CU55">
        <f t="shared" si="37"/>
        <v>0</v>
      </c>
      <c r="CV55">
        <f t="shared" si="38"/>
        <v>0</v>
      </c>
      <c r="CW55">
        <f t="shared" si="39"/>
        <v>0</v>
      </c>
      <c r="CX55">
        <f t="shared" si="40"/>
        <v>0</v>
      </c>
      <c r="CY55">
        <f t="shared" si="41"/>
        <v>0</v>
      </c>
      <c r="CZ55">
        <f t="shared" si="42"/>
        <v>0</v>
      </c>
      <c r="DC55" t="s">
        <v>3</v>
      </c>
      <c r="DD55" t="s">
        <v>3</v>
      </c>
      <c r="DE55" t="s">
        <v>3</v>
      </c>
      <c r="DF55" t="s">
        <v>3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1003</v>
      </c>
      <c r="DV55" t="s">
        <v>84</v>
      </c>
      <c r="DW55" t="s">
        <v>84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55992151</v>
      </c>
      <c r="EF55">
        <v>40</v>
      </c>
      <c r="EG55" t="s">
        <v>24</v>
      </c>
      <c r="EH55">
        <v>0</v>
      </c>
      <c r="EI55" t="s">
        <v>3</v>
      </c>
      <c r="EJ55">
        <v>2</v>
      </c>
      <c r="EK55">
        <v>67</v>
      </c>
      <c r="EL55" t="s">
        <v>79</v>
      </c>
      <c r="EM55" t="s">
        <v>80</v>
      </c>
      <c r="EO55" t="s">
        <v>3</v>
      </c>
      <c r="EQ55">
        <v>0</v>
      </c>
      <c r="ER55">
        <v>3.45</v>
      </c>
      <c r="ES55">
        <v>3.45</v>
      </c>
      <c r="ET55">
        <v>0</v>
      </c>
      <c r="EU55">
        <v>0</v>
      </c>
      <c r="EV55">
        <v>0</v>
      </c>
      <c r="EW55">
        <v>0</v>
      </c>
      <c r="EX55">
        <v>0</v>
      </c>
      <c r="FQ55">
        <v>0</v>
      </c>
      <c r="FR55">
        <v>0</v>
      </c>
      <c r="FS55">
        <v>0</v>
      </c>
      <c r="FX55">
        <v>97</v>
      </c>
      <c r="FY55">
        <v>51</v>
      </c>
      <c r="GA55" t="s">
        <v>3</v>
      </c>
      <c r="GD55">
        <v>1</v>
      </c>
      <c r="GF55">
        <v>-1305428159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43"/>
        <v>0</v>
      </c>
      <c r="GM55">
        <f t="shared" si="44"/>
        <v>31808.240000000002</v>
      </c>
      <c r="GN55">
        <f t="shared" si="45"/>
        <v>0</v>
      </c>
      <c r="GO55">
        <f t="shared" si="46"/>
        <v>31808.240000000002</v>
      </c>
      <c r="GP55">
        <f t="shared" si="47"/>
        <v>0</v>
      </c>
      <c r="GR55">
        <v>0</v>
      </c>
      <c r="GS55">
        <v>3</v>
      </c>
      <c r="GT55">
        <v>0</v>
      </c>
      <c r="GU55" t="s">
        <v>3</v>
      </c>
      <c r="GV55">
        <f t="shared" si="48"/>
        <v>0</v>
      </c>
      <c r="GW55">
        <v>1</v>
      </c>
      <c r="GX55">
        <f t="shared" si="49"/>
        <v>0</v>
      </c>
      <c r="HA55">
        <v>0</v>
      </c>
      <c r="HB55">
        <v>0</v>
      </c>
      <c r="HC55">
        <f t="shared" si="50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>
        <f>ROW(SmtRes!A44)</f>
        <v>44</v>
      </c>
      <c r="D56" s="2">
        <f>ROW(EtalonRes!A64)</f>
        <v>64</v>
      </c>
      <c r="E56" s="2" t="s">
        <v>86</v>
      </c>
      <c r="F56" s="2" t="s">
        <v>87</v>
      </c>
      <c r="G56" s="2" t="s">
        <v>88</v>
      </c>
      <c r="H56" s="2" t="s">
        <v>77</v>
      </c>
      <c r="I56" s="2">
        <f>ROUND(200/100,9)</f>
        <v>2</v>
      </c>
      <c r="J56" s="2">
        <v>0</v>
      </c>
      <c r="K56" s="2">
        <f>ROUND(200/100,9)</f>
        <v>2</v>
      </c>
      <c r="L56" s="2"/>
      <c r="M56" s="2"/>
      <c r="N56" s="2"/>
      <c r="O56" s="2">
        <f t="shared" si="21"/>
        <v>3027.03</v>
      </c>
      <c r="P56" s="2">
        <f t="shared" si="53"/>
        <v>2036.54</v>
      </c>
      <c r="Q56" s="2">
        <f>(ROUND((ROUND((((ET56*1.1))*AV56*I56),2)*BB56),2)+ROUND((ROUND(((AE56-((EU56*1.1)))*AV56*I56),2)*BS56),2))</f>
        <v>56.46</v>
      </c>
      <c r="R56" s="2">
        <f t="shared" si="22"/>
        <v>8.43</v>
      </c>
      <c r="S56" s="2">
        <f t="shared" si="23"/>
        <v>934.03</v>
      </c>
      <c r="T56" s="2">
        <f t="shared" si="24"/>
        <v>0</v>
      </c>
      <c r="U56" s="2">
        <f t="shared" si="25"/>
        <v>77.831885999999997</v>
      </c>
      <c r="V56" s="2">
        <f t="shared" si="26"/>
        <v>0</v>
      </c>
      <c r="W56" s="2">
        <f t="shared" si="27"/>
        <v>0</v>
      </c>
      <c r="X56" s="2">
        <f t="shared" si="28"/>
        <v>914.19</v>
      </c>
      <c r="Y56" s="2">
        <f t="shared" si="29"/>
        <v>480.65</v>
      </c>
      <c r="Z56" s="2"/>
      <c r="AA56" s="2">
        <v>56959434</v>
      </c>
      <c r="AB56" s="2">
        <f t="shared" si="30"/>
        <v>1491.2809999999999</v>
      </c>
      <c r="AC56" s="2">
        <f t="shared" si="31"/>
        <v>1018.27</v>
      </c>
      <c r="AD56" s="2">
        <f>ROUND(((((ET56*1.1))-((EU56*1.1)))+AE56),6)</f>
        <v>26.960999999999999</v>
      </c>
      <c r="AE56" s="2">
        <f>ROUND(((EU56*1.1)),6)</f>
        <v>4.0259999999999998</v>
      </c>
      <c r="AF56" s="2">
        <f>ROUND(((EV56*1.1)),6)</f>
        <v>446.05</v>
      </c>
      <c r="AG56" s="2">
        <f t="shared" si="32"/>
        <v>0</v>
      </c>
      <c r="AH56" s="2">
        <f>((EW56*1.1))</f>
        <v>37.169000000000004</v>
      </c>
      <c r="AI56" s="2">
        <f>((EX56*1.1))</f>
        <v>0</v>
      </c>
      <c r="AJ56" s="2">
        <f t="shared" si="33"/>
        <v>0</v>
      </c>
      <c r="AK56" s="2">
        <v>1448.28</v>
      </c>
      <c r="AL56" s="2">
        <v>1018.27</v>
      </c>
      <c r="AM56" s="2">
        <v>24.51</v>
      </c>
      <c r="AN56" s="2">
        <v>3.66</v>
      </c>
      <c r="AO56" s="2">
        <v>405.5</v>
      </c>
      <c r="AP56" s="2">
        <v>0</v>
      </c>
      <c r="AQ56" s="2">
        <v>33.79</v>
      </c>
      <c r="AR56" s="2">
        <v>0</v>
      </c>
      <c r="AS56" s="2">
        <v>0</v>
      </c>
      <c r="AT56" s="2">
        <v>97</v>
      </c>
      <c r="AU56" s="2">
        <v>51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89</v>
      </c>
      <c r="BK56" s="2"/>
      <c r="BL56" s="2"/>
      <c r="BM56" s="2">
        <v>67</v>
      </c>
      <c r="BN56" s="2">
        <v>55992028</v>
      </c>
      <c r="BO56" s="2" t="s">
        <v>87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97</v>
      </c>
      <c r="CA56" s="2">
        <v>51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673</v>
      </c>
      <c r="CO56" s="2">
        <v>0</v>
      </c>
      <c r="CP56" s="2">
        <f t="shared" si="34"/>
        <v>3027.0299999999997</v>
      </c>
      <c r="CQ56" s="2">
        <f t="shared" si="54"/>
        <v>1018.27</v>
      </c>
      <c r="CR56" s="2">
        <f>(ROUND((ROUND((((ET56*1.1))*AV56*1),2)*BB56),2)+ROUND((ROUND(((AE56-((EU56*1.1)))*AV56*1),2)*BS56),2))</f>
        <v>28.23</v>
      </c>
      <c r="CS56" s="2">
        <f t="shared" si="35"/>
        <v>4.22</v>
      </c>
      <c r="CT56" s="2">
        <f t="shared" si="36"/>
        <v>467.01</v>
      </c>
      <c r="CU56" s="2">
        <f t="shared" si="37"/>
        <v>0</v>
      </c>
      <c r="CV56" s="2">
        <f t="shared" si="38"/>
        <v>38.915942999999999</v>
      </c>
      <c r="CW56" s="2">
        <f t="shared" si="39"/>
        <v>0</v>
      </c>
      <c r="CX56" s="2">
        <f t="shared" si="40"/>
        <v>0</v>
      </c>
      <c r="CY56" s="2">
        <f t="shared" si="41"/>
        <v>914.18619999999999</v>
      </c>
      <c r="CZ56" s="2">
        <f t="shared" si="42"/>
        <v>480.65460000000002</v>
      </c>
      <c r="DA56" s="2"/>
      <c r="DB56" s="2"/>
      <c r="DC56" s="2" t="s">
        <v>3</v>
      </c>
      <c r="DD56" s="2" t="s">
        <v>3</v>
      </c>
      <c r="DE56" s="2" t="s">
        <v>23</v>
      </c>
      <c r="DF56" s="2" t="s">
        <v>23</v>
      </c>
      <c r="DG56" s="2" t="s">
        <v>23</v>
      </c>
      <c r="DH56" s="2" t="s">
        <v>3</v>
      </c>
      <c r="DI56" s="2" t="s">
        <v>23</v>
      </c>
      <c r="DJ56" s="2" t="s">
        <v>23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1003</v>
      </c>
      <c r="DV56" s="2" t="s">
        <v>77</v>
      </c>
      <c r="DW56" s="2" t="s">
        <v>77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55992151</v>
      </c>
      <c r="EF56" s="2">
        <v>40</v>
      </c>
      <c r="EG56" s="2" t="s">
        <v>24</v>
      </c>
      <c r="EH56" s="2">
        <v>0</v>
      </c>
      <c r="EI56" s="2" t="s">
        <v>3</v>
      </c>
      <c r="EJ56" s="2">
        <v>2</v>
      </c>
      <c r="EK56" s="2">
        <v>67</v>
      </c>
      <c r="EL56" s="2" t="s">
        <v>79</v>
      </c>
      <c r="EM56" s="2" t="s">
        <v>80</v>
      </c>
      <c r="EN56" s="2"/>
      <c r="EO56" s="2" t="s">
        <v>27</v>
      </c>
      <c r="EP56" s="2"/>
      <c r="EQ56" s="2">
        <v>0</v>
      </c>
      <c r="ER56" s="2">
        <v>1448.28</v>
      </c>
      <c r="ES56" s="2">
        <v>1018.27</v>
      </c>
      <c r="ET56" s="2">
        <v>24.51</v>
      </c>
      <c r="EU56" s="2">
        <v>3.66</v>
      </c>
      <c r="EV56" s="2">
        <v>405.5</v>
      </c>
      <c r="EW56" s="2">
        <v>33.79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97</v>
      </c>
      <c r="FY56" s="2">
        <v>51</v>
      </c>
      <c r="FZ56" s="2"/>
      <c r="GA56" s="2" t="s">
        <v>3</v>
      </c>
      <c r="GB56" s="2"/>
      <c r="GC56" s="2"/>
      <c r="GD56" s="2">
        <v>1</v>
      </c>
      <c r="GE56" s="2"/>
      <c r="GF56" s="2">
        <v>-283934161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43"/>
        <v>0</v>
      </c>
      <c r="GM56" s="2">
        <f t="shared" si="44"/>
        <v>4421.87</v>
      </c>
      <c r="GN56" s="2">
        <f t="shared" si="45"/>
        <v>0</v>
      </c>
      <c r="GO56" s="2">
        <f t="shared" si="46"/>
        <v>4421.87</v>
      </c>
      <c r="GP56" s="2">
        <f t="shared" si="47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48"/>
        <v>0</v>
      </c>
      <c r="GW56" s="2">
        <v>1</v>
      </c>
      <c r="GX56" s="2">
        <f t="shared" si="49"/>
        <v>0</v>
      </c>
      <c r="GY56" s="2"/>
      <c r="GZ56" s="2"/>
      <c r="HA56" s="2">
        <v>0</v>
      </c>
      <c r="HB56" s="2">
        <v>0</v>
      </c>
      <c r="HC56" s="2">
        <f t="shared" si="50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C57">
        <f>ROW(SmtRes!A46)</f>
        <v>46</v>
      </c>
      <c r="D57">
        <f>ROW(EtalonRes!A72)</f>
        <v>72</v>
      </c>
      <c r="E57" t="s">
        <v>86</v>
      </c>
      <c r="F57" t="s">
        <v>87</v>
      </c>
      <c r="G57" t="s">
        <v>88</v>
      </c>
      <c r="H57" t="s">
        <v>77</v>
      </c>
      <c r="I57">
        <f>ROUND(200/100,9)</f>
        <v>2</v>
      </c>
      <c r="J57">
        <v>0</v>
      </c>
      <c r="K57">
        <f>ROUND(200/100,9)</f>
        <v>2</v>
      </c>
      <c r="O57">
        <f t="shared" si="21"/>
        <v>72449.399999999994</v>
      </c>
      <c r="P57">
        <f t="shared" si="53"/>
        <v>20141.38</v>
      </c>
      <c r="Q57">
        <f>(ROUND((ROUND((((ET57*1.1))*AV57*I57),2)*BB57),2)+ROUND((ROUND(((AE57-((EU57*1.1)))*AV57*I57),2)*BS57),2))</f>
        <v>945.71</v>
      </c>
      <c r="R57">
        <f t="shared" si="22"/>
        <v>463.57</v>
      </c>
      <c r="S57">
        <f t="shared" si="23"/>
        <v>51362.31</v>
      </c>
      <c r="T57">
        <f t="shared" si="24"/>
        <v>0</v>
      </c>
      <c r="U57">
        <f t="shared" si="25"/>
        <v>77.831885999999997</v>
      </c>
      <c r="V57">
        <f t="shared" si="26"/>
        <v>0</v>
      </c>
      <c r="W57">
        <f t="shared" si="27"/>
        <v>0</v>
      </c>
      <c r="X57">
        <f t="shared" si="28"/>
        <v>50271.1</v>
      </c>
      <c r="Y57">
        <f t="shared" si="29"/>
        <v>26431.200000000001</v>
      </c>
      <c r="AA57">
        <v>56959431</v>
      </c>
      <c r="AB57">
        <f t="shared" si="30"/>
        <v>1491.2809999999999</v>
      </c>
      <c r="AC57">
        <f t="shared" si="31"/>
        <v>1018.27</v>
      </c>
      <c r="AD57">
        <f>ROUND(((((ET57*1.1))-((EU57*1.1)))+AE57),6)</f>
        <v>26.960999999999999</v>
      </c>
      <c r="AE57">
        <f>ROUND(((EU57*1.1)),6)</f>
        <v>4.0259999999999998</v>
      </c>
      <c r="AF57">
        <f>ROUND(((EV57*1.1)),6)</f>
        <v>446.05</v>
      </c>
      <c r="AG57">
        <f t="shared" si="32"/>
        <v>0</v>
      </c>
      <c r="AH57">
        <f>((EW57*1.1))</f>
        <v>37.169000000000004</v>
      </c>
      <c r="AI57">
        <f>((EX57*1.1))</f>
        <v>0</v>
      </c>
      <c r="AJ57">
        <f t="shared" si="33"/>
        <v>0</v>
      </c>
      <c r="AK57">
        <v>1448.28</v>
      </c>
      <c r="AL57">
        <v>1018.27</v>
      </c>
      <c r="AM57">
        <v>24.51</v>
      </c>
      <c r="AN57">
        <v>3.66</v>
      </c>
      <c r="AO57">
        <v>405.5</v>
      </c>
      <c r="AP57">
        <v>0</v>
      </c>
      <c r="AQ57">
        <v>33.79</v>
      </c>
      <c r="AR57">
        <v>0</v>
      </c>
      <c r="AS57">
        <v>0</v>
      </c>
      <c r="AT57">
        <v>97</v>
      </c>
      <c r="AU57">
        <v>51</v>
      </c>
      <c r="AV57">
        <v>1.0469999999999999</v>
      </c>
      <c r="AW57">
        <v>1</v>
      </c>
      <c r="AZ57">
        <v>1</v>
      </c>
      <c r="BA57">
        <v>54.99</v>
      </c>
      <c r="BB57">
        <v>16.75</v>
      </c>
      <c r="BC57">
        <v>9.89</v>
      </c>
      <c r="BD57" t="s">
        <v>3</v>
      </c>
      <c r="BE57" t="s">
        <v>3</v>
      </c>
      <c r="BF57" t="s">
        <v>3</v>
      </c>
      <c r="BG57" t="s">
        <v>3</v>
      </c>
      <c r="BH57">
        <v>0</v>
      </c>
      <c r="BI57">
        <v>2</v>
      </c>
      <c r="BJ57" t="s">
        <v>89</v>
      </c>
      <c r="BM57">
        <v>67</v>
      </c>
      <c r="BN57">
        <v>55992028</v>
      </c>
      <c r="BO57" t="s">
        <v>87</v>
      </c>
      <c r="BP57">
        <v>1</v>
      </c>
      <c r="BQ57">
        <v>40</v>
      </c>
      <c r="BR57">
        <v>0</v>
      </c>
      <c r="BS57">
        <v>54.99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97</v>
      </c>
      <c r="CA57">
        <v>51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673</v>
      </c>
      <c r="CO57">
        <v>0</v>
      </c>
      <c r="CP57">
        <f t="shared" si="34"/>
        <v>72449.399999999994</v>
      </c>
      <c r="CQ57">
        <f t="shared" si="54"/>
        <v>10070.69</v>
      </c>
      <c r="CR57">
        <f>(ROUND((ROUND((((ET57*1.1))*AV57*1),2)*BB57),2)+ROUND((ROUND(((AE57-((EU57*1.1)))*AV57*1),2)*BS57),2))</f>
        <v>472.85</v>
      </c>
      <c r="CS57">
        <f t="shared" si="35"/>
        <v>232.06</v>
      </c>
      <c r="CT57">
        <f t="shared" si="36"/>
        <v>25680.880000000001</v>
      </c>
      <c r="CU57">
        <f t="shared" si="37"/>
        <v>0</v>
      </c>
      <c r="CV57">
        <f t="shared" si="38"/>
        <v>38.915942999999999</v>
      </c>
      <c r="CW57">
        <f t="shared" si="39"/>
        <v>0</v>
      </c>
      <c r="CX57">
        <f t="shared" si="40"/>
        <v>0</v>
      </c>
      <c r="CY57">
        <f t="shared" si="41"/>
        <v>50271.103599999995</v>
      </c>
      <c r="CZ57">
        <f t="shared" si="42"/>
        <v>26431.198799999998</v>
      </c>
      <c r="DC57" t="s">
        <v>3</v>
      </c>
      <c r="DD57" t="s">
        <v>3</v>
      </c>
      <c r="DE57" t="s">
        <v>23</v>
      </c>
      <c r="DF57" t="s">
        <v>23</v>
      </c>
      <c r="DG57" t="s">
        <v>23</v>
      </c>
      <c r="DH57" t="s">
        <v>3</v>
      </c>
      <c r="DI57" t="s">
        <v>23</v>
      </c>
      <c r="DJ57" t="s">
        <v>23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1003</v>
      </c>
      <c r="DV57" t="s">
        <v>77</v>
      </c>
      <c r="DW57" t="s">
        <v>77</v>
      </c>
      <c r="DX57">
        <v>100</v>
      </c>
      <c r="DZ57" t="s">
        <v>3</v>
      </c>
      <c r="EA57" t="s">
        <v>3</v>
      </c>
      <c r="EB57" t="s">
        <v>3</v>
      </c>
      <c r="EC57" t="s">
        <v>3</v>
      </c>
      <c r="EE57">
        <v>55992151</v>
      </c>
      <c r="EF57">
        <v>40</v>
      </c>
      <c r="EG57" t="s">
        <v>24</v>
      </c>
      <c r="EH57">
        <v>0</v>
      </c>
      <c r="EI57" t="s">
        <v>3</v>
      </c>
      <c r="EJ57">
        <v>2</v>
      </c>
      <c r="EK57">
        <v>67</v>
      </c>
      <c r="EL57" t="s">
        <v>79</v>
      </c>
      <c r="EM57" t="s">
        <v>80</v>
      </c>
      <c r="EO57" t="s">
        <v>27</v>
      </c>
      <c r="EQ57">
        <v>0</v>
      </c>
      <c r="ER57">
        <v>1448.28</v>
      </c>
      <c r="ES57">
        <v>1018.27</v>
      </c>
      <c r="ET57">
        <v>24.51</v>
      </c>
      <c r="EU57">
        <v>3.66</v>
      </c>
      <c r="EV57">
        <v>405.5</v>
      </c>
      <c r="EW57">
        <v>33.79</v>
      </c>
      <c r="EX57">
        <v>0</v>
      </c>
      <c r="EY57">
        <v>0</v>
      </c>
      <c r="FQ57">
        <v>0</v>
      </c>
      <c r="FR57">
        <v>0</v>
      </c>
      <c r="FS57">
        <v>0</v>
      </c>
      <c r="FX57">
        <v>97</v>
      </c>
      <c r="FY57">
        <v>51</v>
      </c>
      <c r="GA57" t="s">
        <v>3</v>
      </c>
      <c r="GD57">
        <v>1</v>
      </c>
      <c r="GF57">
        <v>-283934161</v>
      </c>
      <c r="GG57">
        <v>2</v>
      </c>
      <c r="GH57">
        <v>1</v>
      </c>
      <c r="GI57">
        <v>2</v>
      </c>
      <c r="GJ57">
        <v>0</v>
      </c>
      <c r="GK57">
        <v>0</v>
      </c>
      <c r="GL57">
        <f t="shared" si="43"/>
        <v>0</v>
      </c>
      <c r="GM57">
        <f t="shared" si="44"/>
        <v>149151.70000000001</v>
      </c>
      <c r="GN57">
        <f t="shared" si="45"/>
        <v>0</v>
      </c>
      <c r="GO57">
        <f t="shared" si="46"/>
        <v>149151.70000000001</v>
      </c>
      <c r="GP57">
        <f t="shared" si="47"/>
        <v>0</v>
      </c>
      <c r="GR57">
        <v>0</v>
      </c>
      <c r="GS57">
        <v>3</v>
      </c>
      <c r="GT57">
        <v>0</v>
      </c>
      <c r="GU57" t="s">
        <v>3</v>
      </c>
      <c r="GV57">
        <f t="shared" si="48"/>
        <v>0</v>
      </c>
      <c r="GW57">
        <v>1</v>
      </c>
      <c r="GX57">
        <f t="shared" si="49"/>
        <v>0</v>
      </c>
      <c r="HA57">
        <v>0</v>
      </c>
      <c r="HB57">
        <v>0</v>
      </c>
      <c r="HC57">
        <f t="shared" si="50"/>
        <v>0</v>
      </c>
      <c r="HE57" t="s">
        <v>3</v>
      </c>
      <c r="HF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18</v>
      </c>
      <c r="B58" s="2">
        <v>1</v>
      </c>
      <c r="C58" s="2">
        <v>44</v>
      </c>
      <c r="D58" s="2"/>
      <c r="E58" s="2" t="s">
        <v>90</v>
      </c>
      <c r="F58" s="2" t="s">
        <v>91</v>
      </c>
      <c r="G58" s="2" t="s">
        <v>92</v>
      </c>
      <c r="H58" s="2" t="s">
        <v>84</v>
      </c>
      <c r="I58" s="2">
        <f>I56*J58</f>
        <v>200</v>
      </c>
      <c r="J58" s="2">
        <v>100</v>
      </c>
      <c r="K58" s="2">
        <v>100</v>
      </c>
      <c r="L58" s="2"/>
      <c r="M58" s="2"/>
      <c r="N58" s="2"/>
      <c r="O58" s="2">
        <f t="shared" si="21"/>
        <v>760</v>
      </c>
      <c r="P58" s="2">
        <f t="shared" si="53"/>
        <v>760</v>
      </c>
      <c r="Q58" s="2">
        <f>(ROUND((ROUND(((ET58)*AV58*I58),2)*BB58),2)+ROUND((ROUND(((AE58-(EU58))*AV58*I58),2)*BS58),2))</f>
        <v>0</v>
      </c>
      <c r="R58" s="2">
        <f t="shared" si="22"/>
        <v>0</v>
      </c>
      <c r="S58" s="2">
        <f t="shared" si="23"/>
        <v>0</v>
      </c>
      <c r="T58" s="2">
        <f t="shared" si="24"/>
        <v>0</v>
      </c>
      <c r="U58" s="2">
        <f t="shared" si="25"/>
        <v>0</v>
      </c>
      <c r="V58" s="2">
        <f t="shared" si="26"/>
        <v>0</v>
      </c>
      <c r="W58" s="2">
        <f t="shared" si="27"/>
        <v>0</v>
      </c>
      <c r="X58" s="2">
        <f t="shared" si="28"/>
        <v>0</v>
      </c>
      <c r="Y58" s="2">
        <f t="shared" si="29"/>
        <v>0</v>
      </c>
      <c r="Z58" s="2"/>
      <c r="AA58" s="2">
        <v>56959434</v>
      </c>
      <c r="AB58" s="2">
        <f t="shared" si="30"/>
        <v>3.8</v>
      </c>
      <c r="AC58" s="2">
        <f t="shared" si="31"/>
        <v>3.8</v>
      </c>
      <c r="AD58" s="2">
        <f>ROUND((((ET58)-(EU58))+AE58),6)</f>
        <v>0</v>
      </c>
      <c r="AE58" s="2">
        <f>ROUND((EU58),6)</f>
        <v>0</v>
      </c>
      <c r="AF58" s="2">
        <f>ROUND((EV58),6)</f>
        <v>0</v>
      </c>
      <c r="AG58" s="2">
        <f t="shared" si="32"/>
        <v>0</v>
      </c>
      <c r="AH58" s="2">
        <f>(EW58)</f>
        <v>0</v>
      </c>
      <c r="AI58" s="2">
        <f>(EX58)</f>
        <v>0</v>
      </c>
      <c r="AJ58" s="2">
        <f t="shared" si="33"/>
        <v>0</v>
      </c>
      <c r="AK58" s="2">
        <v>3.8</v>
      </c>
      <c r="AL58" s="2">
        <v>3.8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97</v>
      </c>
      <c r="AU58" s="2">
        <v>51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2</v>
      </c>
      <c r="BJ58" s="2" t="s">
        <v>93</v>
      </c>
      <c r="BK58" s="2"/>
      <c r="BL58" s="2"/>
      <c r="BM58" s="2">
        <v>67</v>
      </c>
      <c r="BN58" s="2">
        <v>55992028</v>
      </c>
      <c r="BO58" s="2" t="s">
        <v>3</v>
      </c>
      <c r="BP58" s="2">
        <v>0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97</v>
      </c>
      <c r="CA58" s="2">
        <v>51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4"/>
        <v>760</v>
      </c>
      <c r="CQ58" s="2">
        <f t="shared" si="54"/>
        <v>3.8</v>
      </c>
      <c r="CR58" s="2">
        <f>(ROUND((ROUND(((ET58)*AV58*1),2)*BB58),2)+ROUND((ROUND(((AE58-(EU58))*AV58*1),2)*BS58),2))</f>
        <v>0</v>
      </c>
      <c r="CS58" s="2">
        <f t="shared" si="35"/>
        <v>0</v>
      </c>
      <c r="CT58" s="2">
        <f t="shared" si="36"/>
        <v>0</v>
      </c>
      <c r="CU58" s="2">
        <f t="shared" si="37"/>
        <v>0</v>
      </c>
      <c r="CV58" s="2">
        <f t="shared" si="38"/>
        <v>0</v>
      </c>
      <c r="CW58" s="2">
        <f t="shared" si="39"/>
        <v>0</v>
      </c>
      <c r="CX58" s="2">
        <f t="shared" si="40"/>
        <v>0</v>
      </c>
      <c r="CY58" s="2">
        <f t="shared" si="41"/>
        <v>0</v>
      </c>
      <c r="CZ58" s="2">
        <f t="shared" si="42"/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1003</v>
      </c>
      <c r="DV58" s="2" t="s">
        <v>84</v>
      </c>
      <c r="DW58" s="2" t="s">
        <v>84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55992151</v>
      </c>
      <c r="EF58" s="2">
        <v>40</v>
      </c>
      <c r="EG58" s="2" t="s">
        <v>24</v>
      </c>
      <c r="EH58" s="2">
        <v>0</v>
      </c>
      <c r="EI58" s="2" t="s">
        <v>3</v>
      </c>
      <c r="EJ58" s="2">
        <v>2</v>
      </c>
      <c r="EK58" s="2">
        <v>67</v>
      </c>
      <c r="EL58" s="2" t="s">
        <v>79</v>
      </c>
      <c r="EM58" s="2" t="s">
        <v>80</v>
      </c>
      <c r="EN58" s="2"/>
      <c r="EO58" s="2" t="s">
        <v>3</v>
      </c>
      <c r="EP58" s="2"/>
      <c r="EQ58" s="2">
        <v>0</v>
      </c>
      <c r="ER58" s="2">
        <v>3.8</v>
      </c>
      <c r="ES58" s="2">
        <v>3.8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97</v>
      </c>
      <c r="FY58" s="2">
        <v>51</v>
      </c>
      <c r="FZ58" s="2"/>
      <c r="GA58" s="2" t="s">
        <v>3</v>
      </c>
      <c r="GB58" s="2"/>
      <c r="GC58" s="2"/>
      <c r="GD58" s="2">
        <v>1</v>
      </c>
      <c r="GE58" s="2"/>
      <c r="GF58" s="2">
        <v>1290991592</v>
      </c>
      <c r="GG58" s="2">
        <v>2</v>
      </c>
      <c r="GH58" s="2">
        <v>1</v>
      </c>
      <c r="GI58" s="2">
        <v>-2</v>
      </c>
      <c r="GJ58" s="2">
        <v>0</v>
      </c>
      <c r="GK58" s="2">
        <v>0</v>
      </c>
      <c r="GL58" s="2">
        <f t="shared" si="43"/>
        <v>0</v>
      </c>
      <c r="GM58" s="2">
        <f t="shared" si="44"/>
        <v>760</v>
      </c>
      <c r="GN58" s="2">
        <f t="shared" si="45"/>
        <v>0</v>
      </c>
      <c r="GO58" s="2">
        <f t="shared" si="46"/>
        <v>760</v>
      </c>
      <c r="GP58" s="2">
        <f t="shared" si="47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48"/>
        <v>0</v>
      </c>
      <c r="GW58" s="2">
        <v>1</v>
      </c>
      <c r="GX58" s="2">
        <f t="shared" si="49"/>
        <v>0</v>
      </c>
      <c r="GY58" s="2"/>
      <c r="GZ58" s="2"/>
      <c r="HA58" s="2">
        <v>0</v>
      </c>
      <c r="HB58" s="2">
        <v>0</v>
      </c>
      <c r="HC58" s="2">
        <f t="shared" si="50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18</v>
      </c>
      <c r="B59">
        <v>1</v>
      </c>
      <c r="C59">
        <v>46</v>
      </c>
      <c r="E59" t="s">
        <v>90</v>
      </c>
      <c r="F59" t="s">
        <v>91</v>
      </c>
      <c r="G59" t="s">
        <v>92</v>
      </c>
      <c r="H59" t="s">
        <v>84</v>
      </c>
      <c r="I59">
        <f>I57*J59</f>
        <v>200</v>
      </c>
      <c r="J59">
        <v>100</v>
      </c>
      <c r="K59">
        <v>100</v>
      </c>
      <c r="O59">
        <f t="shared" si="21"/>
        <v>5228.8</v>
      </c>
      <c r="P59">
        <f t="shared" si="53"/>
        <v>5228.8</v>
      </c>
      <c r="Q59">
        <f>(ROUND((ROUND(((ET59)*AV59*I59),2)*BB59),2)+ROUND((ROUND(((AE59-(EU59))*AV59*I59),2)*BS59),2))</f>
        <v>0</v>
      </c>
      <c r="R59">
        <f t="shared" si="22"/>
        <v>0</v>
      </c>
      <c r="S59">
        <f t="shared" si="23"/>
        <v>0</v>
      </c>
      <c r="T59">
        <f t="shared" si="24"/>
        <v>0</v>
      </c>
      <c r="U59">
        <f t="shared" si="25"/>
        <v>0</v>
      </c>
      <c r="V59">
        <f t="shared" si="26"/>
        <v>0</v>
      </c>
      <c r="W59">
        <f t="shared" si="27"/>
        <v>0</v>
      </c>
      <c r="X59">
        <f t="shared" si="28"/>
        <v>0</v>
      </c>
      <c r="Y59">
        <f t="shared" si="29"/>
        <v>0</v>
      </c>
      <c r="AA59">
        <v>56959431</v>
      </c>
      <c r="AB59">
        <f t="shared" si="30"/>
        <v>3.8</v>
      </c>
      <c r="AC59">
        <f t="shared" si="31"/>
        <v>3.8</v>
      </c>
      <c r="AD59">
        <f>ROUND((((ET59)-(EU59))+AE59),6)</f>
        <v>0</v>
      </c>
      <c r="AE59">
        <f>ROUND((EU59),6)</f>
        <v>0</v>
      </c>
      <c r="AF59">
        <f>ROUND((EV59),6)</f>
        <v>0</v>
      </c>
      <c r="AG59">
        <f t="shared" si="32"/>
        <v>0</v>
      </c>
      <c r="AH59">
        <f>(EW59)</f>
        <v>0</v>
      </c>
      <c r="AI59">
        <f>(EX59)</f>
        <v>0</v>
      </c>
      <c r="AJ59">
        <f t="shared" si="33"/>
        <v>0</v>
      </c>
      <c r="AK59">
        <v>3.8</v>
      </c>
      <c r="AL59">
        <v>3.8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97</v>
      </c>
      <c r="AU59">
        <v>51</v>
      </c>
      <c r="AV59">
        <v>1</v>
      </c>
      <c r="AW59">
        <v>1</v>
      </c>
      <c r="AZ59">
        <v>1</v>
      </c>
      <c r="BA59">
        <v>1</v>
      </c>
      <c r="BB59">
        <v>1</v>
      </c>
      <c r="BC59">
        <v>6.88</v>
      </c>
      <c r="BD59" t="s">
        <v>3</v>
      </c>
      <c r="BE59" t="s">
        <v>3</v>
      </c>
      <c r="BF59" t="s">
        <v>3</v>
      </c>
      <c r="BG59" t="s">
        <v>3</v>
      </c>
      <c r="BH59">
        <v>3</v>
      </c>
      <c r="BI59">
        <v>2</v>
      </c>
      <c r="BJ59" t="s">
        <v>93</v>
      </c>
      <c r="BM59">
        <v>67</v>
      </c>
      <c r="BN59">
        <v>55992028</v>
      </c>
      <c r="BO59" t="s">
        <v>91</v>
      </c>
      <c r="BP59">
        <v>1</v>
      </c>
      <c r="BQ59">
        <v>40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97</v>
      </c>
      <c r="CA59">
        <v>51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3</v>
      </c>
      <c r="CO59">
        <v>0</v>
      </c>
      <c r="CP59">
        <f t="shared" si="34"/>
        <v>5228.8</v>
      </c>
      <c r="CQ59">
        <f t="shared" si="54"/>
        <v>26.14</v>
      </c>
      <c r="CR59">
        <f>(ROUND((ROUND(((ET59)*AV59*1),2)*BB59),2)+ROUND((ROUND(((AE59-(EU59))*AV59*1),2)*BS59),2))</f>
        <v>0</v>
      </c>
      <c r="CS59">
        <f t="shared" si="35"/>
        <v>0</v>
      </c>
      <c r="CT59">
        <f t="shared" si="36"/>
        <v>0</v>
      </c>
      <c r="CU59">
        <f t="shared" si="37"/>
        <v>0</v>
      </c>
      <c r="CV59">
        <f t="shared" si="38"/>
        <v>0</v>
      </c>
      <c r="CW59">
        <f t="shared" si="39"/>
        <v>0</v>
      </c>
      <c r="CX59">
        <f t="shared" si="40"/>
        <v>0</v>
      </c>
      <c r="CY59">
        <f t="shared" si="41"/>
        <v>0</v>
      </c>
      <c r="CZ59">
        <f t="shared" si="42"/>
        <v>0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1003</v>
      </c>
      <c r="DV59" t="s">
        <v>84</v>
      </c>
      <c r="DW59" t="s">
        <v>84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55992151</v>
      </c>
      <c r="EF59">
        <v>40</v>
      </c>
      <c r="EG59" t="s">
        <v>24</v>
      </c>
      <c r="EH59">
        <v>0</v>
      </c>
      <c r="EI59" t="s">
        <v>3</v>
      </c>
      <c r="EJ59">
        <v>2</v>
      </c>
      <c r="EK59">
        <v>67</v>
      </c>
      <c r="EL59" t="s">
        <v>79</v>
      </c>
      <c r="EM59" t="s">
        <v>80</v>
      </c>
      <c r="EO59" t="s">
        <v>3</v>
      </c>
      <c r="EQ59">
        <v>0</v>
      </c>
      <c r="ER59">
        <v>3.8</v>
      </c>
      <c r="ES59">
        <v>3.8</v>
      </c>
      <c r="ET59">
        <v>0</v>
      </c>
      <c r="EU59">
        <v>0</v>
      </c>
      <c r="EV59">
        <v>0</v>
      </c>
      <c r="EW59">
        <v>0</v>
      </c>
      <c r="EX59">
        <v>0</v>
      </c>
      <c r="FQ59">
        <v>0</v>
      </c>
      <c r="FR59">
        <v>0</v>
      </c>
      <c r="FS59">
        <v>0</v>
      </c>
      <c r="FX59">
        <v>97</v>
      </c>
      <c r="FY59">
        <v>51</v>
      </c>
      <c r="GA59" t="s">
        <v>3</v>
      </c>
      <c r="GD59">
        <v>1</v>
      </c>
      <c r="GF59">
        <v>1290991592</v>
      </c>
      <c r="GG59">
        <v>2</v>
      </c>
      <c r="GH59">
        <v>1</v>
      </c>
      <c r="GI59">
        <v>2</v>
      </c>
      <c r="GJ59">
        <v>0</v>
      </c>
      <c r="GK59">
        <v>0</v>
      </c>
      <c r="GL59">
        <f t="shared" si="43"/>
        <v>0</v>
      </c>
      <c r="GM59">
        <f t="shared" si="44"/>
        <v>5228.8</v>
      </c>
      <c r="GN59">
        <f t="shared" si="45"/>
        <v>0</v>
      </c>
      <c r="GO59">
        <f t="shared" si="46"/>
        <v>5228.8</v>
      </c>
      <c r="GP59">
        <f t="shared" si="47"/>
        <v>0</v>
      </c>
      <c r="GR59">
        <v>0</v>
      </c>
      <c r="GS59">
        <v>3</v>
      </c>
      <c r="GT59">
        <v>0</v>
      </c>
      <c r="GU59" t="s">
        <v>3</v>
      </c>
      <c r="GV59">
        <f t="shared" si="48"/>
        <v>0</v>
      </c>
      <c r="GW59">
        <v>1</v>
      </c>
      <c r="GX59">
        <f t="shared" si="49"/>
        <v>0</v>
      </c>
      <c r="HA59">
        <v>0</v>
      </c>
      <c r="HB59">
        <v>0</v>
      </c>
      <c r="HC59">
        <f t="shared" si="50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17</v>
      </c>
      <c r="B60" s="2">
        <v>1</v>
      </c>
      <c r="C60" s="2">
        <f>ROW(SmtRes!A56)</f>
        <v>56</v>
      </c>
      <c r="D60" s="2">
        <f>ROW(EtalonRes!A82)</f>
        <v>82</v>
      </c>
      <c r="E60" s="2" t="s">
        <v>94</v>
      </c>
      <c r="F60" s="2" t="s">
        <v>95</v>
      </c>
      <c r="G60" s="2" t="s">
        <v>96</v>
      </c>
      <c r="H60" s="2" t="s">
        <v>77</v>
      </c>
      <c r="I60" s="2">
        <f>ROUND(1000/100,9)</f>
        <v>10</v>
      </c>
      <c r="J60" s="2">
        <v>0</v>
      </c>
      <c r="K60" s="2">
        <f>ROUND(1000/100,9)</f>
        <v>10</v>
      </c>
      <c r="L60" s="2"/>
      <c r="M60" s="2"/>
      <c r="N60" s="2"/>
      <c r="O60" s="2">
        <f t="shared" si="21"/>
        <v>1247.75</v>
      </c>
      <c r="P60" s="2">
        <f t="shared" si="53"/>
        <v>581.5</v>
      </c>
      <c r="Q60" s="2">
        <f>(ROUND((ROUND((((ET60*1.1))*AV60*I60),2)*BB60),2)+ROUND((ROUND(((AE60-((EU60*1.1)))*AV60*I60),2)*BS60),2))</f>
        <v>30.17</v>
      </c>
      <c r="R60" s="2">
        <f t="shared" si="22"/>
        <v>3.46</v>
      </c>
      <c r="S60" s="2">
        <f t="shared" si="23"/>
        <v>636.08000000000004</v>
      </c>
      <c r="T60" s="2">
        <f t="shared" si="24"/>
        <v>0</v>
      </c>
      <c r="U60" s="2">
        <f t="shared" si="25"/>
        <v>51.711330000000011</v>
      </c>
      <c r="V60" s="2">
        <f t="shared" si="26"/>
        <v>0</v>
      </c>
      <c r="W60" s="2">
        <f t="shared" si="27"/>
        <v>0</v>
      </c>
      <c r="X60" s="2">
        <f t="shared" si="28"/>
        <v>620.35</v>
      </c>
      <c r="Y60" s="2">
        <f t="shared" si="29"/>
        <v>326.17</v>
      </c>
      <c r="Z60" s="2"/>
      <c r="AA60" s="2">
        <v>56959434</v>
      </c>
      <c r="AB60" s="2">
        <f t="shared" si="30"/>
        <v>121.785</v>
      </c>
      <c r="AC60" s="2">
        <f t="shared" si="31"/>
        <v>58.15</v>
      </c>
      <c r="AD60" s="2">
        <f>ROUND(((((ET60*1.1))-((EU60*1.1)))+AE60),6)</f>
        <v>2.8820000000000001</v>
      </c>
      <c r="AE60" s="2">
        <f>ROUND(((EU60*1.1)),6)</f>
        <v>0.33</v>
      </c>
      <c r="AF60" s="2">
        <f>ROUND(((EV60*1.1)),6)</f>
        <v>60.753</v>
      </c>
      <c r="AG60" s="2">
        <f t="shared" si="32"/>
        <v>0</v>
      </c>
      <c r="AH60" s="2">
        <f>((EW60*1.1))</f>
        <v>4.9390000000000009</v>
      </c>
      <c r="AI60" s="2">
        <f>((EX60*1.1))</f>
        <v>0</v>
      </c>
      <c r="AJ60" s="2">
        <f t="shared" si="33"/>
        <v>0</v>
      </c>
      <c r="AK60" s="2">
        <v>116</v>
      </c>
      <c r="AL60" s="2">
        <v>58.15</v>
      </c>
      <c r="AM60" s="2">
        <v>2.62</v>
      </c>
      <c r="AN60" s="2">
        <v>0.3</v>
      </c>
      <c r="AO60" s="2">
        <v>55.23</v>
      </c>
      <c r="AP60" s="2">
        <v>0</v>
      </c>
      <c r="AQ60" s="2">
        <v>4.49</v>
      </c>
      <c r="AR60" s="2">
        <v>0</v>
      </c>
      <c r="AS60" s="2">
        <v>0</v>
      </c>
      <c r="AT60" s="2">
        <v>97</v>
      </c>
      <c r="AU60" s="2">
        <v>51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97</v>
      </c>
      <c r="BK60" s="2"/>
      <c r="BL60" s="2"/>
      <c r="BM60" s="2">
        <v>67</v>
      </c>
      <c r="BN60" s="2">
        <v>55992028</v>
      </c>
      <c r="BO60" s="2" t="s">
        <v>95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97</v>
      </c>
      <c r="CA60" s="2">
        <v>51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673</v>
      </c>
      <c r="CO60" s="2">
        <v>0</v>
      </c>
      <c r="CP60" s="2">
        <f t="shared" si="34"/>
        <v>1247.75</v>
      </c>
      <c r="CQ60" s="2">
        <f t="shared" si="54"/>
        <v>58.15</v>
      </c>
      <c r="CR60" s="2">
        <f>(ROUND((ROUND((((ET60*1.1))*AV60*1),2)*BB60),2)+ROUND((ROUND(((AE60-((EU60*1.1)))*AV60*1),2)*BS60),2))</f>
        <v>3.02</v>
      </c>
      <c r="CS60" s="2">
        <f t="shared" si="35"/>
        <v>0.35</v>
      </c>
      <c r="CT60" s="2">
        <f t="shared" si="36"/>
        <v>63.61</v>
      </c>
      <c r="CU60" s="2">
        <f t="shared" si="37"/>
        <v>0</v>
      </c>
      <c r="CV60" s="2">
        <f t="shared" si="38"/>
        <v>5.1711330000000011</v>
      </c>
      <c r="CW60" s="2">
        <f t="shared" si="39"/>
        <v>0</v>
      </c>
      <c r="CX60" s="2">
        <f t="shared" si="40"/>
        <v>0</v>
      </c>
      <c r="CY60" s="2">
        <f t="shared" si="41"/>
        <v>620.35380000000009</v>
      </c>
      <c r="CZ60" s="2">
        <f t="shared" si="42"/>
        <v>326.16540000000003</v>
      </c>
      <c r="DA60" s="2"/>
      <c r="DB60" s="2"/>
      <c r="DC60" s="2" t="s">
        <v>3</v>
      </c>
      <c r="DD60" s="2" t="s">
        <v>3</v>
      </c>
      <c r="DE60" s="2" t="s">
        <v>23</v>
      </c>
      <c r="DF60" s="2" t="s">
        <v>23</v>
      </c>
      <c r="DG60" s="2" t="s">
        <v>23</v>
      </c>
      <c r="DH60" s="2" t="s">
        <v>3</v>
      </c>
      <c r="DI60" s="2" t="s">
        <v>23</v>
      </c>
      <c r="DJ60" s="2" t="s">
        <v>23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1003</v>
      </c>
      <c r="DV60" s="2" t="s">
        <v>77</v>
      </c>
      <c r="DW60" s="2" t="s">
        <v>77</v>
      </c>
      <c r="DX60" s="2">
        <v>100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55992151</v>
      </c>
      <c r="EF60" s="2">
        <v>40</v>
      </c>
      <c r="EG60" s="2" t="s">
        <v>24</v>
      </c>
      <c r="EH60" s="2">
        <v>0</v>
      </c>
      <c r="EI60" s="2" t="s">
        <v>3</v>
      </c>
      <c r="EJ60" s="2">
        <v>2</v>
      </c>
      <c r="EK60" s="2">
        <v>67</v>
      </c>
      <c r="EL60" s="2" t="s">
        <v>79</v>
      </c>
      <c r="EM60" s="2" t="s">
        <v>80</v>
      </c>
      <c r="EN60" s="2"/>
      <c r="EO60" s="2" t="s">
        <v>27</v>
      </c>
      <c r="EP60" s="2"/>
      <c r="EQ60" s="2">
        <v>0</v>
      </c>
      <c r="ER60" s="2">
        <v>116</v>
      </c>
      <c r="ES60" s="2">
        <v>58.15</v>
      </c>
      <c r="ET60" s="2">
        <v>2.62</v>
      </c>
      <c r="EU60" s="2">
        <v>0.3</v>
      </c>
      <c r="EV60" s="2">
        <v>55.23</v>
      </c>
      <c r="EW60" s="2">
        <v>4.49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97</v>
      </c>
      <c r="FY60" s="2">
        <v>51</v>
      </c>
      <c r="FZ60" s="2"/>
      <c r="GA60" s="2" t="s">
        <v>3</v>
      </c>
      <c r="GB60" s="2"/>
      <c r="GC60" s="2"/>
      <c r="GD60" s="2">
        <v>1</v>
      </c>
      <c r="GE60" s="2"/>
      <c r="GF60" s="2">
        <v>770559996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si="43"/>
        <v>0</v>
      </c>
      <c r="GM60" s="2">
        <f t="shared" si="44"/>
        <v>2194.27</v>
      </c>
      <c r="GN60" s="2">
        <f t="shared" si="45"/>
        <v>0</v>
      </c>
      <c r="GO60" s="2">
        <f t="shared" si="46"/>
        <v>2194.27</v>
      </c>
      <c r="GP60" s="2">
        <f t="shared" si="47"/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48"/>
        <v>0</v>
      </c>
      <c r="GW60" s="2">
        <v>1</v>
      </c>
      <c r="GX60" s="2">
        <f t="shared" si="49"/>
        <v>0</v>
      </c>
      <c r="GY60" s="2"/>
      <c r="GZ60" s="2"/>
      <c r="HA60" s="2">
        <v>0</v>
      </c>
      <c r="HB60" s="2">
        <v>0</v>
      </c>
      <c r="HC60" s="2">
        <f t="shared" si="50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17</v>
      </c>
      <c r="B61">
        <v>1</v>
      </c>
      <c r="C61">
        <f>ROW(SmtRes!A66)</f>
        <v>66</v>
      </c>
      <c r="D61">
        <f>ROW(EtalonRes!A92)</f>
        <v>92</v>
      </c>
      <c r="E61" t="s">
        <v>94</v>
      </c>
      <c r="F61" t="s">
        <v>95</v>
      </c>
      <c r="G61" t="s">
        <v>96</v>
      </c>
      <c r="H61" t="s">
        <v>77</v>
      </c>
      <c r="I61">
        <f>ROUND(1000/100,9)</f>
        <v>10</v>
      </c>
      <c r="J61">
        <v>0</v>
      </c>
      <c r="K61">
        <f>ROUND(1000/100,9)</f>
        <v>10</v>
      </c>
      <c r="O61">
        <f t="shared" si="21"/>
        <v>37569.17</v>
      </c>
      <c r="P61">
        <f t="shared" si="53"/>
        <v>2151.5500000000002</v>
      </c>
      <c r="Q61">
        <f>(ROUND((ROUND((((ET61*1.1))*AV61*I61),2)*BB61),2)+ROUND((ROUND(((AE61-((EU61*1.1)))*AV61*I61),2)*BS61),2))</f>
        <v>439.58</v>
      </c>
      <c r="R61">
        <f t="shared" si="22"/>
        <v>190.27</v>
      </c>
      <c r="S61">
        <f t="shared" si="23"/>
        <v>34978.04</v>
      </c>
      <c r="T61">
        <f t="shared" si="24"/>
        <v>0</v>
      </c>
      <c r="U61">
        <f t="shared" si="25"/>
        <v>51.711330000000011</v>
      </c>
      <c r="V61">
        <f t="shared" si="26"/>
        <v>0</v>
      </c>
      <c r="W61">
        <f t="shared" si="27"/>
        <v>0</v>
      </c>
      <c r="X61">
        <f t="shared" si="28"/>
        <v>34113.26</v>
      </c>
      <c r="Y61">
        <f t="shared" si="29"/>
        <v>17935.84</v>
      </c>
      <c r="AA61">
        <v>56959431</v>
      </c>
      <c r="AB61">
        <f t="shared" si="30"/>
        <v>121.785</v>
      </c>
      <c r="AC61">
        <f t="shared" si="31"/>
        <v>58.15</v>
      </c>
      <c r="AD61">
        <f>ROUND(((((ET61*1.1))-((EU61*1.1)))+AE61),6)</f>
        <v>2.8820000000000001</v>
      </c>
      <c r="AE61">
        <f>ROUND(((EU61*1.1)),6)</f>
        <v>0.33</v>
      </c>
      <c r="AF61">
        <f>ROUND(((EV61*1.1)),6)</f>
        <v>60.753</v>
      </c>
      <c r="AG61">
        <f t="shared" si="32"/>
        <v>0</v>
      </c>
      <c r="AH61">
        <f>((EW61*1.1))</f>
        <v>4.9390000000000009</v>
      </c>
      <c r="AI61">
        <f>((EX61*1.1))</f>
        <v>0</v>
      </c>
      <c r="AJ61">
        <f t="shared" si="33"/>
        <v>0</v>
      </c>
      <c r="AK61">
        <v>116</v>
      </c>
      <c r="AL61">
        <v>58.15</v>
      </c>
      <c r="AM61">
        <v>2.62</v>
      </c>
      <c r="AN61">
        <v>0.3</v>
      </c>
      <c r="AO61">
        <v>55.23</v>
      </c>
      <c r="AP61">
        <v>0</v>
      </c>
      <c r="AQ61">
        <v>4.49</v>
      </c>
      <c r="AR61">
        <v>0</v>
      </c>
      <c r="AS61">
        <v>0</v>
      </c>
      <c r="AT61">
        <v>97</v>
      </c>
      <c r="AU61">
        <v>51</v>
      </c>
      <c r="AV61">
        <v>1.0469999999999999</v>
      </c>
      <c r="AW61">
        <v>1</v>
      </c>
      <c r="AZ61">
        <v>1</v>
      </c>
      <c r="BA61">
        <v>54.99</v>
      </c>
      <c r="BB61">
        <v>14.57</v>
      </c>
      <c r="BC61">
        <v>3.7</v>
      </c>
      <c r="BD61" t="s">
        <v>3</v>
      </c>
      <c r="BE61" t="s">
        <v>3</v>
      </c>
      <c r="BF61" t="s">
        <v>3</v>
      </c>
      <c r="BG61" t="s">
        <v>3</v>
      </c>
      <c r="BH61">
        <v>0</v>
      </c>
      <c r="BI61">
        <v>2</v>
      </c>
      <c r="BJ61" t="s">
        <v>97</v>
      </c>
      <c r="BM61">
        <v>67</v>
      </c>
      <c r="BN61">
        <v>55992028</v>
      </c>
      <c r="BO61" t="s">
        <v>95</v>
      </c>
      <c r="BP61">
        <v>1</v>
      </c>
      <c r="BQ61">
        <v>40</v>
      </c>
      <c r="BR61">
        <v>0</v>
      </c>
      <c r="BS61">
        <v>54.99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97</v>
      </c>
      <c r="CA61">
        <v>51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673</v>
      </c>
      <c r="CO61">
        <v>0</v>
      </c>
      <c r="CP61">
        <f t="shared" si="34"/>
        <v>37569.17</v>
      </c>
      <c r="CQ61">
        <f t="shared" si="54"/>
        <v>215.16</v>
      </c>
      <c r="CR61">
        <f>(ROUND((ROUND((((ET61*1.1))*AV61*1),2)*BB61),2)+ROUND((ROUND(((AE61-((EU61*1.1)))*AV61*1),2)*BS61),2))</f>
        <v>44</v>
      </c>
      <c r="CS61">
        <f t="shared" si="35"/>
        <v>19.25</v>
      </c>
      <c r="CT61">
        <f t="shared" si="36"/>
        <v>3497.91</v>
      </c>
      <c r="CU61">
        <f t="shared" si="37"/>
        <v>0</v>
      </c>
      <c r="CV61">
        <f t="shared" si="38"/>
        <v>5.1711330000000011</v>
      </c>
      <c r="CW61">
        <f t="shared" si="39"/>
        <v>0</v>
      </c>
      <c r="CX61">
        <f t="shared" si="40"/>
        <v>0</v>
      </c>
      <c r="CY61">
        <f t="shared" si="41"/>
        <v>34113.260699999999</v>
      </c>
      <c r="CZ61">
        <f t="shared" si="42"/>
        <v>17935.838099999997</v>
      </c>
      <c r="DC61" t="s">
        <v>3</v>
      </c>
      <c r="DD61" t="s">
        <v>3</v>
      </c>
      <c r="DE61" t="s">
        <v>23</v>
      </c>
      <c r="DF61" t="s">
        <v>23</v>
      </c>
      <c r="DG61" t="s">
        <v>23</v>
      </c>
      <c r="DH61" t="s">
        <v>3</v>
      </c>
      <c r="DI61" t="s">
        <v>23</v>
      </c>
      <c r="DJ61" t="s">
        <v>23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1003</v>
      </c>
      <c r="DV61" t="s">
        <v>77</v>
      </c>
      <c r="DW61" t="s">
        <v>77</v>
      </c>
      <c r="DX61">
        <v>100</v>
      </c>
      <c r="DZ61" t="s">
        <v>3</v>
      </c>
      <c r="EA61" t="s">
        <v>3</v>
      </c>
      <c r="EB61" t="s">
        <v>3</v>
      </c>
      <c r="EC61" t="s">
        <v>3</v>
      </c>
      <c r="EE61">
        <v>55992151</v>
      </c>
      <c r="EF61">
        <v>40</v>
      </c>
      <c r="EG61" t="s">
        <v>24</v>
      </c>
      <c r="EH61">
        <v>0</v>
      </c>
      <c r="EI61" t="s">
        <v>3</v>
      </c>
      <c r="EJ61">
        <v>2</v>
      </c>
      <c r="EK61">
        <v>67</v>
      </c>
      <c r="EL61" t="s">
        <v>79</v>
      </c>
      <c r="EM61" t="s">
        <v>80</v>
      </c>
      <c r="EO61" t="s">
        <v>27</v>
      </c>
      <c r="EQ61">
        <v>0</v>
      </c>
      <c r="ER61">
        <v>116</v>
      </c>
      <c r="ES61">
        <v>58.15</v>
      </c>
      <c r="ET61">
        <v>2.62</v>
      </c>
      <c r="EU61">
        <v>0.3</v>
      </c>
      <c r="EV61">
        <v>55.23</v>
      </c>
      <c r="EW61">
        <v>4.49</v>
      </c>
      <c r="EX61">
        <v>0</v>
      </c>
      <c r="EY61">
        <v>0</v>
      </c>
      <c r="FQ61">
        <v>0</v>
      </c>
      <c r="FR61">
        <v>0</v>
      </c>
      <c r="FS61">
        <v>0</v>
      </c>
      <c r="FX61">
        <v>97</v>
      </c>
      <c r="FY61">
        <v>51</v>
      </c>
      <c r="GA61" t="s">
        <v>3</v>
      </c>
      <c r="GD61">
        <v>1</v>
      </c>
      <c r="GF61">
        <v>770559996</v>
      </c>
      <c r="GG61">
        <v>2</v>
      </c>
      <c r="GH61">
        <v>1</v>
      </c>
      <c r="GI61">
        <v>2</v>
      </c>
      <c r="GJ61">
        <v>0</v>
      </c>
      <c r="GK61">
        <v>0</v>
      </c>
      <c r="GL61">
        <f t="shared" si="43"/>
        <v>0</v>
      </c>
      <c r="GM61">
        <f t="shared" si="44"/>
        <v>89618.27</v>
      </c>
      <c r="GN61">
        <f t="shared" si="45"/>
        <v>0</v>
      </c>
      <c r="GO61">
        <f t="shared" si="46"/>
        <v>89618.27</v>
      </c>
      <c r="GP61">
        <f t="shared" si="47"/>
        <v>0</v>
      </c>
      <c r="GR61">
        <v>0</v>
      </c>
      <c r="GS61">
        <v>3</v>
      </c>
      <c r="GT61">
        <v>0</v>
      </c>
      <c r="GU61" t="s">
        <v>3</v>
      </c>
      <c r="GV61">
        <f t="shared" si="48"/>
        <v>0</v>
      </c>
      <c r="GW61">
        <v>1</v>
      </c>
      <c r="GX61">
        <f t="shared" si="49"/>
        <v>0</v>
      </c>
      <c r="HA61">
        <v>0</v>
      </c>
      <c r="HB61">
        <v>0</v>
      </c>
      <c r="HC61">
        <f t="shared" si="50"/>
        <v>0</v>
      </c>
      <c r="HE61" t="s">
        <v>3</v>
      </c>
      <c r="HF61" t="s">
        <v>3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2" spans="1:255" x14ac:dyDescent="0.2">
      <c r="A62" s="2">
        <v>18</v>
      </c>
      <c r="B62" s="2">
        <v>1</v>
      </c>
      <c r="C62" s="2">
        <v>56</v>
      </c>
      <c r="D62" s="2"/>
      <c r="E62" s="2" t="s">
        <v>98</v>
      </c>
      <c r="F62" s="2" t="s">
        <v>99</v>
      </c>
      <c r="G62" s="2" t="s">
        <v>100</v>
      </c>
      <c r="H62" s="2" t="s">
        <v>101</v>
      </c>
      <c r="I62" s="2">
        <f>I60*J62</f>
        <v>1020</v>
      </c>
      <c r="J62" s="2">
        <v>102</v>
      </c>
      <c r="K62" s="2">
        <v>102</v>
      </c>
      <c r="L62" s="2"/>
      <c r="M62" s="2"/>
      <c r="N62" s="2"/>
      <c r="O62" s="2">
        <f t="shared" si="21"/>
        <v>5181.6000000000004</v>
      </c>
      <c r="P62" s="2">
        <f t="shared" si="53"/>
        <v>5181.6000000000004</v>
      </c>
      <c r="Q62" s="2">
        <f>(ROUND((ROUND(((ET62)*AV62*I62),2)*BB62),2)+ROUND((ROUND(((AE62-(EU62))*AV62*I62),2)*BS62),2))</f>
        <v>0</v>
      </c>
      <c r="R62" s="2">
        <f t="shared" si="22"/>
        <v>0</v>
      </c>
      <c r="S62" s="2">
        <f t="shared" si="23"/>
        <v>0</v>
      </c>
      <c r="T62" s="2">
        <f t="shared" si="24"/>
        <v>0</v>
      </c>
      <c r="U62" s="2">
        <f t="shared" si="25"/>
        <v>0</v>
      </c>
      <c r="V62" s="2">
        <f t="shared" si="26"/>
        <v>0</v>
      </c>
      <c r="W62" s="2">
        <f t="shared" si="27"/>
        <v>0</v>
      </c>
      <c r="X62" s="2">
        <f t="shared" si="28"/>
        <v>0</v>
      </c>
      <c r="Y62" s="2">
        <f t="shared" si="29"/>
        <v>0</v>
      </c>
      <c r="Z62" s="2"/>
      <c r="AA62" s="2">
        <v>56959434</v>
      </c>
      <c r="AB62" s="2">
        <f t="shared" si="30"/>
        <v>5.08</v>
      </c>
      <c r="AC62" s="2">
        <f t="shared" si="31"/>
        <v>5.08</v>
      </c>
      <c r="AD62" s="2">
        <f>ROUND((((ET62)-(EU62))+AE62),6)</f>
        <v>0</v>
      </c>
      <c r="AE62" s="2">
        <f>ROUND((EU62),6)</f>
        <v>0</v>
      </c>
      <c r="AF62" s="2">
        <f>ROUND((EV62),6)</f>
        <v>0</v>
      </c>
      <c r="AG62" s="2">
        <f t="shared" si="32"/>
        <v>0</v>
      </c>
      <c r="AH62" s="2">
        <f>(EW62)</f>
        <v>0</v>
      </c>
      <c r="AI62" s="2">
        <f>(EX62)</f>
        <v>0</v>
      </c>
      <c r="AJ62" s="2">
        <f t="shared" si="33"/>
        <v>0</v>
      </c>
      <c r="AK62" s="2">
        <v>5.08</v>
      </c>
      <c r="AL62" s="2">
        <v>5.08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97</v>
      </c>
      <c r="AU62" s="2">
        <v>51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2</v>
      </c>
      <c r="BJ62" s="2" t="s">
        <v>3</v>
      </c>
      <c r="BK62" s="2"/>
      <c r="BL62" s="2"/>
      <c r="BM62" s="2">
        <v>67</v>
      </c>
      <c r="BN62" s="2">
        <v>0</v>
      </c>
      <c r="BO62" s="2" t="s">
        <v>3</v>
      </c>
      <c r="BP62" s="2">
        <v>0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97</v>
      </c>
      <c r="CA62" s="2">
        <v>51</v>
      </c>
      <c r="CB62" s="2" t="s">
        <v>3</v>
      </c>
      <c r="CC62" s="2"/>
      <c r="CD62" s="2"/>
      <c r="CE62" s="2">
        <v>30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34"/>
        <v>5181.6000000000004</v>
      </c>
      <c r="CQ62" s="2">
        <f t="shared" si="54"/>
        <v>5.08</v>
      </c>
      <c r="CR62" s="2">
        <f>(ROUND((ROUND(((ET62)*AV62*1),2)*BB62),2)+ROUND((ROUND(((AE62-(EU62))*AV62*1),2)*BS62),2))</f>
        <v>0</v>
      </c>
      <c r="CS62" s="2">
        <f t="shared" si="35"/>
        <v>0</v>
      </c>
      <c r="CT62" s="2">
        <f t="shared" si="36"/>
        <v>0</v>
      </c>
      <c r="CU62" s="2">
        <f t="shared" si="37"/>
        <v>0</v>
      </c>
      <c r="CV62" s="2">
        <f t="shared" si="38"/>
        <v>0</v>
      </c>
      <c r="CW62" s="2">
        <f t="shared" si="39"/>
        <v>0</v>
      </c>
      <c r="CX62" s="2">
        <f t="shared" si="40"/>
        <v>0</v>
      </c>
      <c r="CY62" s="2">
        <f t="shared" si="41"/>
        <v>0</v>
      </c>
      <c r="CZ62" s="2">
        <f t="shared" si="42"/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101</v>
      </c>
      <c r="DW62" s="2" t="s">
        <v>101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55992151</v>
      </c>
      <c r="EF62" s="2">
        <v>40</v>
      </c>
      <c r="EG62" s="2" t="s">
        <v>24</v>
      </c>
      <c r="EH62" s="2">
        <v>0</v>
      </c>
      <c r="EI62" s="2" t="s">
        <v>3</v>
      </c>
      <c r="EJ62" s="2">
        <v>2</v>
      </c>
      <c r="EK62" s="2">
        <v>67</v>
      </c>
      <c r="EL62" s="2" t="s">
        <v>79</v>
      </c>
      <c r="EM62" s="2" t="s">
        <v>80</v>
      </c>
      <c r="EN62" s="2"/>
      <c r="EO62" s="2" t="s">
        <v>3</v>
      </c>
      <c r="EP62" s="2"/>
      <c r="EQ62" s="2">
        <v>0</v>
      </c>
      <c r="ER62" s="2">
        <v>0</v>
      </c>
      <c r="ES62" s="2">
        <v>5.08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97</v>
      </c>
      <c r="FY62" s="2">
        <v>51</v>
      </c>
      <c r="FZ62" s="2"/>
      <c r="GA62" s="2" t="s">
        <v>102</v>
      </c>
      <c r="GB62" s="2"/>
      <c r="GC62" s="2"/>
      <c r="GD62" s="2">
        <v>1</v>
      </c>
      <c r="GE62" s="2"/>
      <c r="GF62" s="2">
        <v>1285757954</v>
      </c>
      <c r="GG62" s="2">
        <v>2</v>
      </c>
      <c r="GH62" s="2">
        <v>4</v>
      </c>
      <c r="GI62" s="2">
        <v>-2</v>
      </c>
      <c r="GJ62" s="2">
        <v>0</v>
      </c>
      <c r="GK62" s="2">
        <v>0</v>
      </c>
      <c r="GL62" s="2">
        <f t="shared" si="43"/>
        <v>0</v>
      </c>
      <c r="GM62" s="2">
        <f t="shared" si="44"/>
        <v>5181.6000000000004</v>
      </c>
      <c r="GN62" s="2">
        <f t="shared" si="45"/>
        <v>0</v>
      </c>
      <c r="GO62" s="2">
        <f t="shared" si="46"/>
        <v>5181.6000000000004</v>
      </c>
      <c r="GP62" s="2">
        <f t="shared" si="47"/>
        <v>0</v>
      </c>
      <c r="GQ62" s="2"/>
      <c r="GR62" s="2">
        <v>0</v>
      </c>
      <c r="GS62" s="2">
        <v>2</v>
      </c>
      <c r="GT62" s="2">
        <v>0</v>
      </c>
      <c r="GU62" s="2" t="s">
        <v>3</v>
      </c>
      <c r="GV62" s="2">
        <f t="shared" si="48"/>
        <v>0</v>
      </c>
      <c r="GW62" s="2">
        <v>1</v>
      </c>
      <c r="GX62" s="2">
        <f t="shared" si="49"/>
        <v>0</v>
      </c>
      <c r="GY62" s="2"/>
      <c r="GZ62" s="2"/>
      <c r="HA62" s="2">
        <v>0</v>
      </c>
      <c r="HB62" s="2">
        <v>0</v>
      </c>
      <c r="HC62" s="2">
        <f t="shared" si="50"/>
        <v>0</v>
      </c>
      <c r="HD62" s="2"/>
      <c r="HE62" s="2" t="s">
        <v>103</v>
      </c>
      <c r="HF62" s="2" t="s">
        <v>28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>
        <v>18</v>
      </c>
      <c r="B63">
        <v>1</v>
      </c>
      <c r="C63">
        <v>66</v>
      </c>
      <c r="E63" t="s">
        <v>98</v>
      </c>
      <c r="F63" t="s">
        <v>99</v>
      </c>
      <c r="G63" t="s">
        <v>100</v>
      </c>
      <c r="H63" t="s">
        <v>101</v>
      </c>
      <c r="I63">
        <f>I61*J63</f>
        <v>1020</v>
      </c>
      <c r="J63">
        <v>102</v>
      </c>
      <c r="K63">
        <v>102</v>
      </c>
      <c r="O63">
        <f t="shared" si="21"/>
        <v>51194.21</v>
      </c>
      <c r="P63">
        <f t="shared" si="53"/>
        <v>51194.21</v>
      </c>
      <c r="Q63">
        <f>(ROUND((ROUND(((ET63)*AV63*I63),2)*BB63),2)+ROUND((ROUND(((AE63-(EU63))*AV63*I63),2)*BS63),2))</f>
        <v>0</v>
      </c>
      <c r="R63">
        <f t="shared" si="22"/>
        <v>0</v>
      </c>
      <c r="S63">
        <f t="shared" si="23"/>
        <v>0</v>
      </c>
      <c r="T63">
        <f t="shared" si="24"/>
        <v>0</v>
      </c>
      <c r="U63">
        <f t="shared" si="25"/>
        <v>0</v>
      </c>
      <c r="V63">
        <f t="shared" si="26"/>
        <v>0</v>
      </c>
      <c r="W63">
        <f t="shared" si="27"/>
        <v>0</v>
      </c>
      <c r="X63">
        <f t="shared" si="28"/>
        <v>0</v>
      </c>
      <c r="Y63">
        <f t="shared" si="29"/>
        <v>0</v>
      </c>
      <c r="AA63">
        <v>56959431</v>
      </c>
      <c r="AB63">
        <f t="shared" si="30"/>
        <v>5.08</v>
      </c>
      <c r="AC63">
        <f t="shared" si="31"/>
        <v>5.08</v>
      </c>
      <c r="AD63">
        <f>ROUND((((ET63)-(EU63))+AE63),6)</f>
        <v>0</v>
      </c>
      <c r="AE63">
        <f>ROUND((EU63),6)</f>
        <v>0</v>
      </c>
      <c r="AF63">
        <f>ROUND((EV63),6)</f>
        <v>0</v>
      </c>
      <c r="AG63">
        <f t="shared" si="32"/>
        <v>0</v>
      </c>
      <c r="AH63">
        <f>(EW63)</f>
        <v>0</v>
      </c>
      <c r="AI63">
        <f>(EX63)</f>
        <v>0</v>
      </c>
      <c r="AJ63">
        <f t="shared" si="33"/>
        <v>0</v>
      </c>
      <c r="AK63">
        <v>5.08</v>
      </c>
      <c r="AL63">
        <v>5.08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97</v>
      </c>
      <c r="AU63">
        <v>51</v>
      </c>
      <c r="AV63">
        <v>1</v>
      </c>
      <c r="AW63">
        <v>1</v>
      </c>
      <c r="AZ63">
        <v>1</v>
      </c>
      <c r="BA63">
        <v>1</v>
      </c>
      <c r="BB63">
        <v>1</v>
      </c>
      <c r="BC63">
        <v>9.8800000000000008</v>
      </c>
      <c r="BD63" t="s">
        <v>3</v>
      </c>
      <c r="BE63" t="s">
        <v>3</v>
      </c>
      <c r="BF63" t="s">
        <v>3</v>
      </c>
      <c r="BG63" t="s">
        <v>3</v>
      </c>
      <c r="BH63">
        <v>3</v>
      </c>
      <c r="BI63">
        <v>2</v>
      </c>
      <c r="BJ63" t="s">
        <v>3</v>
      </c>
      <c r="BM63">
        <v>67</v>
      </c>
      <c r="BN63">
        <v>0</v>
      </c>
      <c r="BO63" t="s">
        <v>3</v>
      </c>
      <c r="BP63">
        <v>0</v>
      </c>
      <c r="BQ63">
        <v>40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 t="s">
        <v>3</v>
      </c>
      <c r="BZ63">
        <v>97</v>
      </c>
      <c r="CA63">
        <v>51</v>
      </c>
      <c r="CB63" t="s">
        <v>3</v>
      </c>
      <c r="CE63">
        <v>30</v>
      </c>
      <c r="CF63">
        <v>0</v>
      </c>
      <c r="CG63">
        <v>0</v>
      </c>
      <c r="CM63">
        <v>0</v>
      </c>
      <c r="CN63" t="s">
        <v>3</v>
      </c>
      <c r="CO63">
        <v>0</v>
      </c>
      <c r="CP63">
        <f t="shared" si="34"/>
        <v>51194.21</v>
      </c>
      <c r="CQ63">
        <f t="shared" si="54"/>
        <v>50.19</v>
      </c>
      <c r="CR63">
        <f>(ROUND((ROUND(((ET63)*AV63*1),2)*BB63),2)+ROUND((ROUND(((AE63-(EU63))*AV63*1),2)*BS63),2))</f>
        <v>0</v>
      </c>
      <c r="CS63">
        <f t="shared" si="35"/>
        <v>0</v>
      </c>
      <c r="CT63">
        <f t="shared" si="36"/>
        <v>0</v>
      </c>
      <c r="CU63">
        <f t="shared" si="37"/>
        <v>0</v>
      </c>
      <c r="CV63">
        <f t="shared" si="38"/>
        <v>0</v>
      </c>
      <c r="CW63">
        <f t="shared" si="39"/>
        <v>0</v>
      </c>
      <c r="CX63">
        <f t="shared" si="40"/>
        <v>0</v>
      </c>
      <c r="CY63">
        <f t="shared" si="41"/>
        <v>0</v>
      </c>
      <c r="CZ63">
        <f t="shared" si="42"/>
        <v>0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>
        <v>0</v>
      </c>
      <c r="DO63">
        <v>0</v>
      </c>
      <c r="DP63">
        <v>1</v>
      </c>
      <c r="DQ63">
        <v>1</v>
      </c>
      <c r="DU63">
        <v>1013</v>
      </c>
      <c r="DV63" t="s">
        <v>101</v>
      </c>
      <c r="DW63" t="s">
        <v>101</v>
      </c>
      <c r="DX63">
        <v>1</v>
      </c>
      <c r="DZ63" t="s">
        <v>3</v>
      </c>
      <c r="EA63" t="s">
        <v>3</v>
      </c>
      <c r="EB63" t="s">
        <v>3</v>
      </c>
      <c r="EC63" t="s">
        <v>3</v>
      </c>
      <c r="EE63">
        <v>55992151</v>
      </c>
      <c r="EF63">
        <v>40</v>
      </c>
      <c r="EG63" t="s">
        <v>24</v>
      </c>
      <c r="EH63">
        <v>0</v>
      </c>
      <c r="EI63" t="s">
        <v>3</v>
      </c>
      <c r="EJ63">
        <v>2</v>
      </c>
      <c r="EK63">
        <v>67</v>
      </c>
      <c r="EL63" t="s">
        <v>79</v>
      </c>
      <c r="EM63" t="s">
        <v>80</v>
      </c>
      <c r="EO63" t="s">
        <v>3</v>
      </c>
      <c r="EQ63">
        <v>0</v>
      </c>
      <c r="ER63">
        <v>5.08</v>
      </c>
      <c r="ES63">
        <v>5.08</v>
      </c>
      <c r="ET63">
        <v>0</v>
      </c>
      <c r="EU63">
        <v>0</v>
      </c>
      <c r="EV63">
        <v>0</v>
      </c>
      <c r="EW63">
        <v>0</v>
      </c>
      <c r="EX63">
        <v>0</v>
      </c>
      <c r="EZ63">
        <v>5</v>
      </c>
      <c r="FC63">
        <v>1</v>
      </c>
      <c r="FD63">
        <v>18</v>
      </c>
      <c r="FF63">
        <v>59</v>
      </c>
      <c r="FQ63">
        <v>0</v>
      </c>
      <c r="FR63">
        <v>0</v>
      </c>
      <c r="FS63">
        <v>0</v>
      </c>
      <c r="FX63">
        <v>97</v>
      </c>
      <c r="FY63">
        <v>51</v>
      </c>
      <c r="GA63" t="s">
        <v>102</v>
      </c>
      <c r="GD63">
        <v>1</v>
      </c>
      <c r="GF63">
        <v>1285757954</v>
      </c>
      <c r="GG63">
        <v>2</v>
      </c>
      <c r="GH63">
        <v>3</v>
      </c>
      <c r="GI63">
        <v>5</v>
      </c>
      <c r="GJ63">
        <v>0</v>
      </c>
      <c r="GK63">
        <v>0</v>
      </c>
      <c r="GL63">
        <f t="shared" si="43"/>
        <v>0</v>
      </c>
      <c r="GM63">
        <f t="shared" si="44"/>
        <v>51194.21</v>
      </c>
      <c r="GN63">
        <f t="shared" si="45"/>
        <v>0</v>
      </c>
      <c r="GO63">
        <f t="shared" si="46"/>
        <v>51194.21</v>
      </c>
      <c r="GP63">
        <f t="shared" si="47"/>
        <v>0</v>
      </c>
      <c r="GR63">
        <v>1</v>
      </c>
      <c r="GS63">
        <v>1</v>
      </c>
      <c r="GT63">
        <v>0</v>
      </c>
      <c r="GU63" t="s">
        <v>3</v>
      </c>
      <c r="GV63">
        <f t="shared" si="48"/>
        <v>0</v>
      </c>
      <c r="GW63">
        <v>1</v>
      </c>
      <c r="GX63">
        <f t="shared" si="49"/>
        <v>0</v>
      </c>
      <c r="HA63">
        <v>0</v>
      </c>
      <c r="HB63">
        <v>0</v>
      </c>
      <c r="HC63">
        <f t="shared" si="50"/>
        <v>0</v>
      </c>
      <c r="HE63" t="s">
        <v>103</v>
      </c>
      <c r="HF63" t="s">
        <v>28</v>
      </c>
      <c r="HM63" t="s">
        <v>3</v>
      </c>
      <c r="HN63" t="s">
        <v>3</v>
      </c>
      <c r="HO63" t="s">
        <v>3</v>
      </c>
      <c r="HP63" t="s">
        <v>3</v>
      </c>
      <c r="HQ63" t="s">
        <v>3</v>
      </c>
      <c r="HS63">
        <v>0</v>
      </c>
      <c r="IK63">
        <v>0</v>
      </c>
    </row>
    <row r="64" spans="1:255" x14ac:dyDescent="0.2">
      <c r="A64" s="2">
        <v>17</v>
      </c>
      <c r="B64" s="2">
        <v>1</v>
      </c>
      <c r="C64" s="2">
        <f>ROW(SmtRes!A77)</f>
        <v>77</v>
      </c>
      <c r="D64" s="2">
        <f>ROW(EtalonRes!A102)</f>
        <v>102</v>
      </c>
      <c r="E64" s="2" t="s">
        <v>104</v>
      </c>
      <c r="F64" s="2" t="s">
        <v>95</v>
      </c>
      <c r="G64" s="2" t="s">
        <v>96</v>
      </c>
      <c r="H64" s="2" t="s">
        <v>77</v>
      </c>
      <c r="I64" s="2">
        <f>ROUND(1300/100,9)</f>
        <v>13</v>
      </c>
      <c r="J64" s="2">
        <v>0</v>
      </c>
      <c r="K64" s="2">
        <f>ROUND(1300/100,9)</f>
        <v>13</v>
      </c>
      <c r="L64" s="2"/>
      <c r="M64" s="2"/>
      <c r="N64" s="2"/>
      <c r="O64" s="2">
        <f t="shared" si="21"/>
        <v>1622.09</v>
      </c>
      <c r="P64" s="2">
        <f t="shared" si="53"/>
        <v>755.95</v>
      </c>
      <c r="Q64" s="2">
        <f>(ROUND((ROUND((((ET64*1.1))*AV64*I64),2)*BB64),2)+ROUND((ROUND(((AE64-((EU64*1.1)))*AV64*I64),2)*BS64),2))</f>
        <v>39.229999999999997</v>
      </c>
      <c r="R64" s="2">
        <f t="shared" si="22"/>
        <v>4.49</v>
      </c>
      <c r="S64" s="2">
        <f t="shared" si="23"/>
        <v>826.91</v>
      </c>
      <c r="T64" s="2">
        <f t="shared" si="24"/>
        <v>0</v>
      </c>
      <c r="U64" s="2">
        <f t="shared" si="25"/>
        <v>67.224729000000011</v>
      </c>
      <c r="V64" s="2">
        <f t="shared" si="26"/>
        <v>0</v>
      </c>
      <c r="W64" s="2">
        <f t="shared" si="27"/>
        <v>0</v>
      </c>
      <c r="X64" s="2">
        <f t="shared" si="28"/>
        <v>806.46</v>
      </c>
      <c r="Y64" s="2">
        <f t="shared" si="29"/>
        <v>424.01</v>
      </c>
      <c r="Z64" s="2"/>
      <c r="AA64" s="2">
        <v>56959434</v>
      </c>
      <c r="AB64" s="2">
        <f t="shared" si="30"/>
        <v>121.785</v>
      </c>
      <c r="AC64" s="2">
        <f t="shared" si="31"/>
        <v>58.15</v>
      </c>
      <c r="AD64" s="2">
        <f>ROUND(((((ET64*1.1))-((EU64*1.1)))+AE64),6)</f>
        <v>2.8820000000000001</v>
      </c>
      <c r="AE64" s="2">
        <f>ROUND(((EU64*1.1)),6)</f>
        <v>0.33</v>
      </c>
      <c r="AF64" s="2">
        <f>ROUND(((EV64*1.1)),6)</f>
        <v>60.753</v>
      </c>
      <c r="AG64" s="2">
        <f t="shared" si="32"/>
        <v>0</v>
      </c>
      <c r="AH64" s="2">
        <f>((EW64*1.1))</f>
        <v>4.9390000000000009</v>
      </c>
      <c r="AI64" s="2">
        <f>((EX64*1.1))</f>
        <v>0</v>
      </c>
      <c r="AJ64" s="2">
        <f t="shared" si="33"/>
        <v>0</v>
      </c>
      <c r="AK64" s="2">
        <v>116</v>
      </c>
      <c r="AL64" s="2">
        <v>58.15</v>
      </c>
      <c r="AM64" s="2">
        <v>2.62</v>
      </c>
      <c r="AN64" s="2">
        <v>0.3</v>
      </c>
      <c r="AO64" s="2">
        <v>55.23</v>
      </c>
      <c r="AP64" s="2">
        <v>0</v>
      </c>
      <c r="AQ64" s="2">
        <v>4.49</v>
      </c>
      <c r="AR64" s="2">
        <v>0</v>
      </c>
      <c r="AS64" s="2">
        <v>0</v>
      </c>
      <c r="AT64" s="2">
        <v>97</v>
      </c>
      <c r="AU64" s="2">
        <v>51</v>
      </c>
      <c r="AV64" s="2">
        <v>1.0469999999999999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0</v>
      </c>
      <c r="BI64" s="2">
        <v>2</v>
      </c>
      <c r="BJ64" s="2" t="s">
        <v>97</v>
      </c>
      <c r="BK64" s="2"/>
      <c r="BL64" s="2"/>
      <c r="BM64" s="2">
        <v>67</v>
      </c>
      <c r="BN64" s="2">
        <v>55992028</v>
      </c>
      <c r="BO64" s="2" t="s">
        <v>95</v>
      </c>
      <c r="BP64" s="2">
        <v>1</v>
      </c>
      <c r="BQ64" s="2">
        <v>40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97</v>
      </c>
      <c r="CA64" s="2">
        <v>51</v>
      </c>
      <c r="CB64" s="2" t="s">
        <v>3</v>
      </c>
      <c r="CC64" s="2"/>
      <c r="CD64" s="2"/>
      <c r="CE64" s="2">
        <v>30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673</v>
      </c>
      <c r="CO64" s="2">
        <v>0</v>
      </c>
      <c r="CP64" s="2">
        <f t="shared" si="34"/>
        <v>1622.0900000000001</v>
      </c>
      <c r="CQ64" s="2">
        <f t="shared" si="54"/>
        <v>58.15</v>
      </c>
      <c r="CR64" s="2">
        <f>(ROUND((ROUND((((ET64*1.1))*AV64*1),2)*BB64),2)+ROUND((ROUND(((AE64-((EU64*1.1)))*AV64*1),2)*BS64),2))</f>
        <v>3.02</v>
      </c>
      <c r="CS64" s="2">
        <f t="shared" si="35"/>
        <v>0.35</v>
      </c>
      <c r="CT64" s="2">
        <f t="shared" si="36"/>
        <v>63.61</v>
      </c>
      <c r="CU64" s="2">
        <f t="shared" si="37"/>
        <v>0</v>
      </c>
      <c r="CV64" s="2">
        <f t="shared" si="38"/>
        <v>5.1711330000000011</v>
      </c>
      <c r="CW64" s="2">
        <f t="shared" si="39"/>
        <v>0</v>
      </c>
      <c r="CX64" s="2">
        <f t="shared" si="40"/>
        <v>0</v>
      </c>
      <c r="CY64" s="2">
        <f t="shared" si="41"/>
        <v>806.45800000000008</v>
      </c>
      <c r="CZ64" s="2">
        <f t="shared" si="42"/>
        <v>424.01400000000001</v>
      </c>
      <c r="DA64" s="2"/>
      <c r="DB64" s="2"/>
      <c r="DC64" s="2" t="s">
        <v>3</v>
      </c>
      <c r="DD64" s="2" t="s">
        <v>3</v>
      </c>
      <c r="DE64" s="2" t="s">
        <v>23</v>
      </c>
      <c r="DF64" s="2" t="s">
        <v>23</v>
      </c>
      <c r="DG64" s="2" t="s">
        <v>23</v>
      </c>
      <c r="DH64" s="2" t="s">
        <v>3</v>
      </c>
      <c r="DI64" s="2" t="s">
        <v>23</v>
      </c>
      <c r="DJ64" s="2" t="s">
        <v>23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1003</v>
      </c>
      <c r="DV64" s="2" t="s">
        <v>77</v>
      </c>
      <c r="DW64" s="2" t="s">
        <v>77</v>
      </c>
      <c r="DX64" s="2">
        <v>100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55992151</v>
      </c>
      <c r="EF64" s="2">
        <v>40</v>
      </c>
      <c r="EG64" s="2" t="s">
        <v>24</v>
      </c>
      <c r="EH64" s="2">
        <v>0</v>
      </c>
      <c r="EI64" s="2" t="s">
        <v>3</v>
      </c>
      <c r="EJ64" s="2">
        <v>2</v>
      </c>
      <c r="EK64" s="2">
        <v>67</v>
      </c>
      <c r="EL64" s="2" t="s">
        <v>79</v>
      </c>
      <c r="EM64" s="2" t="s">
        <v>80</v>
      </c>
      <c r="EN64" s="2"/>
      <c r="EO64" s="2" t="s">
        <v>27</v>
      </c>
      <c r="EP64" s="2"/>
      <c r="EQ64" s="2">
        <v>0</v>
      </c>
      <c r="ER64" s="2">
        <v>116</v>
      </c>
      <c r="ES64" s="2">
        <v>58.15</v>
      </c>
      <c r="ET64" s="2">
        <v>2.62</v>
      </c>
      <c r="EU64" s="2">
        <v>0.3</v>
      </c>
      <c r="EV64" s="2">
        <v>55.23</v>
      </c>
      <c r="EW64" s="2">
        <v>4.49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97</v>
      </c>
      <c r="FY64" s="2">
        <v>51</v>
      </c>
      <c r="FZ64" s="2"/>
      <c r="GA64" s="2" t="s">
        <v>3</v>
      </c>
      <c r="GB64" s="2"/>
      <c r="GC64" s="2"/>
      <c r="GD64" s="2">
        <v>1</v>
      </c>
      <c r="GE64" s="2"/>
      <c r="GF64" s="2">
        <v>770559996</v>
      </c>
      <c r="GG64" s="2">
        <v>2</v>
      </c>
      <c r="GH64" s="2">
        <v>1</v>
      </c>
      <c r="GI64" s="2">
        <v>2</v>
      </c>
      <c r="GJ64" s="2">
        <v>0</v>
      </c>
      <c r="GK64" s="2">
        <v>0</v>
      </c>
      <c r="GL64" s="2">
        <f t="shared" si="43"/>
        <v>0</v>
      </c>
      <c r="GM64" s="2">
        <f t="shared" si="44"/>
        <v>2852.56</v>
      </c>
      <c r="GN64" s="2">
        <f t="shared" si="45"/>
        <v>0</v>
      </c>
      <c r="GO64" s="2">
        <f t="shared" si="46"/>
        <v>2852.56</v>
      </c>
      <c r="GP64" s="2">
        <f t="shared" si="47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48"/>
        <v>0</v>
      </c>
      <c r="GW64" s="2">
        <v>1</v>
      </c>
      <c r="GX64" s="2">
        <f t="shared" si="49"/>
        <v>0</v>
      </c>
      <c r="GY64" s="2"/>
      <c r="GZ64" s="2"/>
      <c r="HA64" s="2">
        <v>0</v>
      </c>
      <c r="HB64" s="2">
        <v>0</v>
      </c>
      <c r="HC64" s="2">
        <f t="shared" si="50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>
        <v>17</v>
      </c>
      <c r="B65">
        <v>1</v>
      </c>
      <c r="C65">
        <f>ROW(SmtRes!A88)</f>
        <v>88</v>
      </c>
      <c r="D65">
        <f>ROW(EtalonRes!A112)</f>
        <v>112</v>
      </c>
      <c r="E65" t="s">
        <v>104</v>
      </c>
      <c r="F65" t="s">
        <v>95</v>
      </c>
      <c r="G65" t="s">
        <v>96</v>
      </c>
      <c r="H65" t="s">
        <v>77</v>
      </c>
      <c r="I65">
        <f>ROUND(1300/100,9)</f>
        <v>13</v>
      </c>
      <c r="J65">
        <v>0</v>
      </c>
      <c r="K65">
        <f>ROUND(1300/100,9)</f>
        <v>13</v>
      </c>
      <c r="O65">
        <f t="shared" si="21"/>
        <v>48840.38</v>
      </c>
      <c r="P65">
        <f t="shared" si="53"/>
        <v>2797.02</v>
      </c>
      <c r="Q65">
        <f>(ROUND((ROUND((((ET65*1.1))*AV65*I65),2)*BB65),2)+ROUND((ROUND(((AE65-((EU65*1.1)))*AV65*I65),2)*BS65),2))</f>
        <v>571.58000000000004</v>
      </c>
      <c r="R65">
        <f t="shared" si="22"/>
        <v>246.91</v>
      </c>
      <c r="S65">
        <f t="shared" si="23"/>
        <v>45471.78</v>
      </c>
      <c r="T65">
        <f t="shared" si="24"/>
        <v>0</v>
      </c>
      <c r="U65">
        <f t="shared" si="25"/>
        <v>67.224729000000011</v>
      </c>
      <c r="V65">
        <f t="shared" si="26"/>
        <v>0</v>
      </c>
      <c r="W65">
        <f t="shared" si="27"/>
        <v>0</v>
      </c>
      <c r="X65">
        <f t="shared" si="28"/>
        <v>44347.13</v>
      </c>
      <c r="Y65">
        <f t="shared" si="29"/>
        <v>23316.53</v>
      </c>
      <c r="AA65">
        <v>56959431</v>
      </c>
      <c r="AB65">
        <f t="shared" si="30"/>
        <v>121.785</v>
      </c>
      <c r="AC65">
        <f t="shared" si="31"/>
        <v>58.15</v>
      </c>
      <c r="AD65">
        <f>ROUND(((((ET65*1.1))-((EU65*1.1)))+AE65),6)</f>
        <v>2.8820000000000001</v>
      </c>
      <c r="AE65">
        <f>ROUND(((EU65*1.1)),6)</f>
        <v>0.33</v>
      </c>
      <c r="AF65">
        <f>ROUND(((EV65*1.1)),6)</f>
        <v>60.753</v>
      </c>
      <c r="AG65">
        <f t="shared" si="32"/>
        <v>0</v>
      </c>
      <c r="AH65">
        <f>((EW65*1.1))</f>
        <v>4.9390000000000009</v>
      </c>
      <c r="AI65">
        <f>((EX65*1.1))</f>
        <v>0</v>
      </c>
      <c r="AJ65">
        <f t="shared" si="33"/>
        <v>0</v>
      </c>
      <c r="AK65">
        <v>116</v>
      </c>
      <c r="AL65">
        <v>58.15</v>
      </c>
      <c r="AM65">
        <v>2.62</v>
      </c>
      <c r="AN65">
        <v>0.3</v>
      </c>
      <c r="AO65">
        <v>55.23</v>
      </c>
      <c r="AP65">
        <v>0</v>
      </c>
      <c r="AQ65">
        <v>4.49</v>
      </c>
      <c r="AR65">
        <v>0</v>
      </c>
      <c r="AS65">
        <v>0</v>
      </c>
      <c r="AT65">
        <v>97</v>
      </c>
      <c r="AU65">
        <v>51</v>
      </c>
      <c r="AV65">
        <v>1.0469999999999999</v>
      </c>
      <c r="AW65">
        <v>1</v>
      </c>
      <c r="AZ65">
        <v>1</v>
      </c>
      <c r="BA65">
        <v>54.99</v>
      </c>
      <c r="BB65">
        <v>14.57</v>
      </c>
      <c r="BC65">
        <v>3.7</v>
      </c>
      <c r="BD65" t="s">
        <v>3</v>
      </c>
      <c r="BE65" t="s">
        <v>3</v>
      </c>
      <c r="BF65" t="s">
        <v>3</v>
      </c>
      <c r="BG65" t="s">
        <v>3</v>
      </c>
      <c r="BH65">
        <v>0</v>
      </c>
      <c r="BI65">
        <v>2</v>
      </c>
      <c r="BJ65" t="s">
        <v>97</v>
      </c>
      <c r="BM65">
        <v>67</v>
      </c>
      <c r="BN65">
        <v>55992028</v>
      </c>
      <c r="BO65" t="s">
        <v>95</v>
      </c>
      <c r="BP65">
        <v>1</v>
      </c>
      <c r="BQ65">
        <v>40</v>
      </c>
      <c r="BR65">
        <v>0</v>
      </c>
      <c r="BS65">
        <v>54.99</v>
      </c>
      <c r="BT65">
        <v>1</v>
      </c>
      <c r="BU65">
        <v>1</v>
      </c>
      <c r="BV65">
        <v>1</v>
      </c>
      <c r="BW65">
        <v>1</v>
      </c>
      <c r="BX65">
        <v>1</v>
      </c>
      <c r="BY65" t="s">
        <v>3</v>
      </c>
      <c r="BZ65">
        <v>97</v>
      </c>
      <c r="CA65">
        <v>51</v>
      </c>
      <c r="CB65" t="s">
        <v>3</v>
      </c>
      <c r="CE65">
        <v>30</v>
      </c>
      <c r="CF65">
        <v>0</v>
      </c>
      <c r="CG65">
        <v>0</v>
      </c>
      <c r="CM65">
        <v>0</v>
      </c>
      <c r="CN65" t="s">
        <v>673</v>
      </c>
      <c r="CO65">
        <v>0</v>
      </c>
      <c r="CP65">
        <f t="shared" si="34"/>
        <v>48840.38</v>
      </c>
      <c r="CQ65">
        <f t="shared" si="54"/>
        <v>215.16</v>
      </c>
      <c r="CR65">
        <f>(ROUND((ROUND((((ET65*1.1))*AV65*1),2)*BB65),2)+ROUND((ROUND(((AE65-((EU65*1.1)))*AV65*1),2)*BS65),2))</f>
        <v>44</v>
      </c>
      <c r="CS65">
        <f t="shared" si="35"/>
        <v>19.25</v>
      </c>
      <c r="CT65">
        <f t="shared" si="36"/>
        <v>3497.91</v>
      </c>
      <c r="CU65">
        <f t="shared" si="37"/>
        <v>0</v>
      </c>
      <c r="CV65">
        <f t="shared" si="38"/>
        <v>5.1711330000000011</v>
      </c>
      <c r="CW65">
        <f t="shared" si="39"/>
        <v>0</v>
      </c>
      <c r="CX65">
        <f t="shared" si="40"/>
        <v>0</v>
      </c>
      <c r="CY65">
        <f t="shared" si="41"/>
        <v>44347.129300000008</v>
      </c>
      <c r="CZ65">
        <f t="shared" si="42"/>
        <v>23316.531899999998</v>
      </c>
      <c r="DC65" t="s">
        <v>3</v>
      </c>
      <c r="DD65" t="s">
        <v>3</v>
      </c>
      <c r="DE65" t="s">
        <v>23</v>
      </c>
      <c r="DF65" t="s">
        <v>23</v>
      </c>
      <c r="DG65" t="s">
        <v>23</v>
      </c>
      <c r="DH65" t="s">
        <v>3</v>
      </c>
      <c r="DI65" t="s">
        <v>23</v>
      </c>
      <c r="DJ65" t="s">
        <v>23</v>
      </c>
      <c r="DK65" t="s">
        <v>3</v>
      </c>
      <c r="DL65" t="s">
        <v>3</v>
      </c>
      <c r="DM65" t="s">
        <v>3</v>
      </c>
      <c r="DN65">
        <v>0</v>
      </c>
      <c r="DO65">
        <v>0</v>
      </c>
      <c r="DP65">
        <v>1</v>
      </c>
      <c r="DQ65">
        <v>1</v>
      </c>
      <c r="DU65">
        <v>1003</v>
      </c>
      <c r="DV65" t="s">
        <v>77</v>
      </c>
      <c r="DW65" t="s">
        <v>77</v>
      </c>
      <c r="DX65">
        <v>100</v>
      </c>
      <c r="DZ65" t="s">
        <v>3</v>
      </c>
      <c r="EA65" t="s">
        <v>3</v>
      </c>
      <c r="EB65" t="s">
        <v>3</v>
      </c>
      <c r="EC65" t="s">
        <v>3</v>
      </c>
      <c r="EE65">
        <v>55992151</v>
      </c>
      <c r="EF65">
        <v>40</v>
      </c>
      <c r="EG65" t="s">
        <v>24</v>
      </c>
      <c r="EH65">
        <v>0</v>
      </c>
      <c r="EI65" t="s">
        <v>3</v>
      </c>
      <c r="EJ65">
        <v>2</v>
      </c>
      <c r="EK65">
        <v>67</v>
      </c>
      <c r="EL65" t="s">
        <v>79</v>
      </c>
      <c r="EM65" t="s">
        <v>80</v>
      </c>
      <c r="EO65" t="s">
        <v>27</v>
      </c>
      <c r="EQ65">
        <v>0</v>
      </c>
      <c r="ER65">
        <v>116</v>
      </c>
      <c r="ES65">
        <v>58.15</v>
      </c>
      <c r="ET65">
        <v>2.62</v>
      </c>
      <c r="EU65">
        <v>0.3</v>
      </c>
      <c r="EV65">
        <v>55.23</v>
      </c>
      <c r="EW65">
        <v>4.49</v>
      </c>
      <c r="EX65">
        <v>0</v>
      </c>
      <c r="EY65">
        <v>0</v>
      </c>
      <c r="FQ65">
        <v>0</v>
      </c>
      <c r="FR65">
        <v>0</v>
      </c>
      <c r="FS65">
        <v>0</v>
      </c>
      <c r="FX65">
        <v>97</v>
      </c>
      <c r="FY65">
        <v>51</v>
      </c>
      <c r="GA65" t="s">
        <v>3</v>
      </c>
      <c r="GD65">
        <v>1</v>
      </c>
      <c r="GF65">
        <v>770559996</v>
      </c>
      <c r="GG65">
        <v>2</v>
      </c>
      <c r="GH65">
        <v>1</v>
      </c>
      <c r="GI65">
        <v>2</v>
      </c>
      <c r="GJ65">
        <v>0</v>
      </c>
      <c r="GK65">
        <v>0</v>
      </c>
      <c r="GL65">
        <f t="shared" si="43"/>
        <v>0</v>
      </c>
      <c r="GM65">
        <f t="shared" si="44"/>
        <v>116504.04</v>
      </c>
      <c r="GN65">
        <f t="shared" si="45"/>
        <v>0</v>
      </c>
      <c r="GO65">
        <f t="shared" si="46"/>
        <v>116504.04</v>
      </c>
      <c r="GP65">
        <f t="shared" si="47"/>
        <v>0</v>
      </c>
      <c r="GR65">
        <v>0</v>
      </c>
      <c r="GS65">
        <v>3</v>
      </c>
      <c r="GT65">
        <v>0</v>
      </c>
      <c r="GU65" t="s">
        <v>3</v>
      </c>
      <c r="GV65">
        <f t="shared" si="48"/>
        <v>0</v>
      </c>
      <c r="GW65">
        <v>1</v>
      </c>
      <c r="GX65">
        <f t="shared" si="49"/>
        <v>0</v>
      </c>
      <c r="HA65">
        <v>0</v>
      </c>
      <c r="HB65">
        <v>0</v>
      </c>
      <c r="HC65">
        <f t="shared" si="50"/>
        <v>0</v>
      </c>
      <c r="HE65" t="s">
        <v>3</v>
      </c>
      <c r="HF65" t="s">
        <v>3</v>
      </c>
      <c r="HM65" t="s">
        <v>3</v>
      </c>
      <c r="HN65" t="s">
        <v>3</v>
      </c>
      <c r="HO65" t="s">
        <v>3</v>
      </c>
      <c r="HP65" t="s">
        <v>3</v>
      </c>
      <c r="HQ65" t="s">
        <v>3</v>
      </c>
      <c r="HS65">
        <v>0</v>
      </c>
      <c r="IK65">
        <v>0</v>
      </c>
    </row>
    <row r="66" spans="1:255" x14ac:dyDescent="0.2">
      <c r="A66" s="2">
        <v>18</v>
      </c>
      <c r="B66" s="2">
        <v>1</v>
      </c>
      <c r="C66" s="2">
        <v>76</v>
      </c>
      <c r="D66" s="2"/>
      <c r="E66" s="2" t="s">
        <v>105</v>
      </c>
      <c r="F66" s="2" t="s">
        <v>106</v>
      </c>
      <c r="G66" s="2" t="s">
        <v>107</v>
      </c>
      <c r="H66" s="2" t="s">
        <v>108</v>
      </c>
      <c r="I66" s="2">
        <f>I64*J66</f>
        <v>1.3260000000000001</v>
      </c>
      <c r="J66" s="2">
        <v>0.10200000000000001</v>
      </c>
      <c r="K66" s="2">
        <v>0.10199999999999999</v>
      </c>
      <c r="L66" s="2"/>
      <c r="M66" s="2"/>
      <c r="N66" s="2"/>
      <c r="O66" s="2">
        <f t="shared" si="21"/>
        <v>48283.64</v>
      </c>
      <c r="P66" s="2">
        <f t="shared" si="53"/>
        <v>48283.64</v>
      </c>
      <c r="Q66" s="2">
        <f>(ROUND((ROUND(((ET66)*AV66*I66),2)*BB66),2)+ROUND((ROUND(((AE66-(EU66))*AV66*I66),2)*BS66),2))</f>
        <v>0</v>
      </c>
      <c r="R66" s="2">
        <f t="shared" si="22"/>
        <v>0</v>
      </c>
      <c r="S66" s="2">
        <f t="shared" si="23"/>
        <v>0</v>
      </c>
      <c r="T66" s="2">
        <f t="shared" si="24"/>
        <v>0</v>
      </c>
      <c r="U66" s="2">
        <f t="shared" si="25"/>
        <v>0</v>
      </c>
      <c r="V66" s="2">
        <f t="shared" si="26"/>
        <v>0</v>
      </c>
      <c r="W66" s="2">
        <f t="shared" si="27"/>
        <v>0</v>
      </c>
      <c r="X66" s="2">
        <f t="shared" si="28"/>
        <v>0</v>
      </c>
      <c r="Y66" s="2">
        <f t="shared" si="29"/>
        <v>0</v>
      </c>
      <c r="Z66" s="2"/>
      <c r="AA66" s="2">
        <v>56959434</v>
      </c>
      <c r="AB66" s="2">
        <f t="shared" si="30"/>
        <v>36413</v>
      </c>
      <c r="AC66" s="2">
        <f t="shared" si="31"/>
        <v>36413</v>
      </c>
      <c r="AD66" s="2">
        <f>ROUND((((ET66)-(EU66))+AE66),6)</f>
        <v>0</v>
      </c>
      <c r="AE66" s="2">
        <f t="shared" ref="AE66:AF69" si="55">ROUND((EU66),6)</f>
        <v>0</v>
      </c>
      <c r="AF66" s="2">
        <f t="shared" si="55"/>
        <v>0</v>
      </c>
      <c r="AG66" s="2">
        <f t="shared" si="32"/>
        <v>0</v>
      </c>
      <c r="AH66" s="2">
        <f t="shared" ref="AH66:AI69" si="56">(EW66)</f>
        <v>0</v>
      </c>
      <c r="AI66" s="2">
        <f t="shared" si="56"/>
        <v>0</v>
      </c>
      <c r="AJ66" s="2">
        <f t="shared" si="33"/>
        <v>0</v>
      </c>
      <c r="AK66" s="2">
        <v>36413</v>
      </c>
      <c r="AL66" s="2">
        <v>36413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97</v>
      </c>
      <c r="AU66" s="2">
        <v>51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2</v>
      </c>
      <c r="BJ66" s="2" t="s">
        <v>109</v>
      </c>
      <c r="BK66" s="2"/>
      <c r="BL66" s="2"/>
      <c r="BM66" s="2">
        <v>67</v>
      </c>
      <c r="BN66" s="2">
        <v>55992028</v>
      </c>
      <c r="BO66" s="2" t="s">
        <v>3</v>
      </c>
      <c r="BP66" s="2">
        <v>0</v>
      </c>
      <c r="BQ66" s="2">
        <v>40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97</v>
      </c>
      <c r="CA66" s="2">
        <v>51</v>
      </c>
      <c r="CB66" s="2" t="s">
        <v>3</v>
      </c>
      <c r="CC66" s="2"/>
      <c r="CD66" s="2"/>
      <c r="CE66" s="2">
        <v>30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34"/>
        <v>48283.64</v>
      </c>
      <c r="CQ66" s="2">
        <f t="shared" si="54"/>
        <v>36413</v>
      </c>
      <c r="CR66" s="2">
        <f>(ROUND((ROUND(((ET66)*AV66*1),2)*BB66),2)+ROUND((ROUND(((AE66-(EU66))*AV66*1),2)*BS66),2))</f>
        <v>0</v>
      </c>
      <c r="CS66" s="2">
        <f t="shared" si="35"/>
        <v>0</v>
      </c>
      <c r="CT66" s="2">
        <f t="shared" si="36"/>
        <v>0</v>
      </c>
      <c r="CU66" s="2">
        <f t="shared" si="37"/>
        <v>0</v>
      </c>
      <c r="CV66" s="2">
        <f t="shared" si="38"/>
        <v>0</v>
      </c>
      <c r="CW66" s="2">
        <f t="shared" si="39"/>
        <v>0</v>
      </c>
      <c r="CX66" s="2">
        <f t="shared" si="40"/>
        <v>0</v>
      </c>
      <c r="CY66" s="2">
        <f t="shared" si="41"/>
        <v>0</v>
      </c>
      <c r="CZ66" s="2">
        <f t="shared" si="42"/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1003</v>
      </c>
      <c r="DV66" s="2" t="s">
        <v>108</v>
      </c>
      <c r="DW66" s="2" t="s">
        <v>108</v>
      </c>
      <c r="DX66" s="2">
        <v>1000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55992151</v>
      </c>
      <c r="EF66" s="2">
        <v>40</v>
      </c>
      <c r="EG66" s="2" t="s">
        <v>24</v>
      </c>
      <c r="EH66" s="2">
        <v>0</v>
      </c>
      <c r="EI66" s="2" t="s">
        <v>3</v>
      </c>
      <c r="EJ66" s="2">
        <v>2</v>
      </c>
      <c r="EK66" s="2">
        <v>67</v>
      </c>
      <c r="EL66" s="2" t="s">
        <v>79</v>
      </c>
      <c r="EM66" s="2" t="s">
        <v>80</v>
      </c>
      <c r="EN66" s="2"/>
      <c r="EO66" s="2" t="s">
        <v>3</v>
      </c>
      <c r="EP66" s="2"/>
      <c r="EQ66" s="2">
        <v>0</v>
      </c>
      <c r="ER66" s="2">
        <v>36413</v>
      </c>
      <c r="ES66" s="2">
        <v>36413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97</v>
      </c>
      <c r="FY66" s="2">
        <v>51</v>
      </c>
      <c r="FZ66" s="2"/>
      <c r="GA66" s="2" t="s">
        <v>3</v>
      </c>
      <c r="GB66" s="2"/>
      <c r="GC66" s="2"/>
      <c r="GD66" s="2">
        <v>1</v>
      </c>
      <c r="GE66" s="2"/>
      <c r="GF66" s="2">
        <v>-205854567</v>
      </c>
      <c r="GG66" s="2">
        <v>2</v>
      </c>
      <c r="GH66" s="2">
        <v>1</v>
      </c>
      <c r="GI66" s="2">
        <v>-2</v>
      </c>
      <c r="GJ66" s="2">
        <v>0</v>
      </c>
      <c r="GK66" s="2">
        <v>0</v>
      </c>
      <c r="GL66" s="2">
        <f t="shared" si="43"/>
        <v>0</v>
      </c>
      <c r="GM66" s="2">
        <f t="shared" si="44"/>
        <v>48283.64</v>
      </c>
      <c r="GN66" s="2">
        <f t="shared" si="45"/>
        <v>0</v>
      </c>
      <c r="GO66" s="2">
        <f t="shared" si="46"/>
        <v>48283.64</v>
      </c>
      <c r="GP66" s="2">
        <f t="shared" si="47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48"/>
        <v>0</v>
      </c>
      <c r="GW66" s="2">
        <v>1</v>
      </c>
      <c r="GX66" s="2">
        <f t="shared" si="49"/>
        <v>0</v>
      </c>
      <c r="GY66" s="2"/>
      <c r="GZ66" s="2"/>
      <c r="HA66" s="2">
        <v>0</v>
      </c>
      <c r="HB66" s="2">
        <v>0</v>
      </c>
      <c r="HC66" s="2">
        <f t="shared" si="50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>
        <v>18</v>
      </c>
      <c r="B67">
        <v>1</v>
      </c>
      <c r="C67">
        <v>87</v>
      </c>
      <c r="E67" t="s">
        <v>105</v>
      </c>
      <c r="F67" t="s">
        <v>106</v>
      </c>
      <c r="G67" t="s">
        <v>107</v>
      </c>
      <c r="H67" t="s">
        <v>108</v>
      </c>
      <c r="I67">
        <f>I65*J67</f>
        <v>1.3260000000000001</v>
      </c>
      <c r="J67">
        <v>0.10200000000000001</v>
      </c>
      <c r="K67">
        <v>0.10199999999999999</v>
      </c>
      <c r="O67">
        <f t="shared" si="21"/>
        <v>224036.09</v>
      </c>
      <c r="P67">
        <f t="shared" si="53"/>
        <v>224036.09</v>
      </c>
      <c r="Q67">
        <f>(ROUND((ROUND(((ET67)*AV67*I67),2)*BB67),2)+ROUND((ROUND(((AE67-(EU67))*AV67*I67),2)*BS67),2))</f>
        <v>0</v>
      </c>
      <c r="R67">
        <f t="shared" si="22"/>
        <v>0</v>
      </c>
      <c r="S67">
        <f t="shared" si="23"/>
        <v>0</v>
      </c>
      <c r="T67">
        <f t="shared" si="24"/>
        <v>0</v>
      </c>
      <c r="U67">
        <f t="shared" si="25"/>
        <v>0</v>
      </c>
      <c r="V67">
        <f t="shared" si="26"/>
        <v>0</v>
      </c>
      <c r="W67">
        <f t="shared" si="27"/>
        <v>0</v>
      </c>
      <c r="X67">
        <f t="shared" si="28"/>
        <v>0</v>
      </c>
      <c r="Y67">
        <f t="shared" si="29"/>
        <v>0</v>
      </c>
      <c r="AA67">
        <v>56959431</v>
      </c>
      <c r="AB67">
        <f t="shared" si="30"/>
        <v>36413</v>
      </c>
      <c r="AC67">
        <f t="shared" si="31"/>
        <v>36413</v>
      </c>
      <c r="AD67">
        <f>ROUND((((ET67)-(EU67))+AE67),6)</f>
        <v>0</v>
      </c>
      <c r="AE67">
        <f t="shared" si="55"/>
        <v>0</v>
      </c>
      <c r="AF67">
        <f t="shared" si="55"/>
        <v>0</v>
      </c>
      <c r="AG67">
        <f t="shared" si="32"/>
        <v>0</v>
      </c>
      <c r="AH67">
        <f t="shared" si="56"/>
        <v>0</v>
      </c>
      <c r="AI67">
        <f t="shared" si="56"/>
        <v>0</v>
      </c>
      <c r="AJ67">
        <f t="shared" si="33"/>
        <v>0</v>
      </c>
      <c r="AK67">
        <v>36413</v>
      </c>
      <c r="AL67">
        <v>36413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97</v>
      </c>
      <c r="AU67">
        <v>51</v>
      </c>
      <c r="AV67">
        <v>1</v>
      </c>
      <c r="AW67">
        <v>1</v>
      </c>
      <c r="AZ67">
        <v>1</v>
      </c>
      <c r="BA67">
        <v>1</v>
      </c>
      <c r="BB67">
        <v>1</v>
      </c>
      <c r="BC67">
        <v>4.6399999999999997</v>
      </c>
      <c r="BD67" t="s">
        <v>3</v>
      </c>
      <c r="BE67" t="s">
        <v>3</v>
      </c>
      <c r="BF67" t="s">
        <v>3</v>
      </c>
      <c r="BG67" t="s">
        <v>3</v>
      </c>
      <c r="BH67">
        <v>3</v>
      </c>
      <c r="BI67">
        <v>2</v>
      </c>
      <c r="BJ67" t="s">
        <v>109</v>
      </c>
      <c r="BM67">
        <v>67</v>
      </c>
      <c r="BN67">
        <v>55992028</v>
      </c>
      <c r="BO67" t="s">
        <v>106</v>
      </c>
      <c r="BP67">
        <v>1</v>
      </c>
      <c r="BQ67">
        <v>40</v>
      </c>
      <c r="BR67">
        <v>0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 t="s">
        <v>3</v>
      </c>
      <c r="BZ67">
        <v>97</v>
      </c>
      <c r="CA67">
        <v>51</v>
      </c>
      <c r="CB67" t="s">
        <v>3</v>
      </c>
      <c r="CE67">
        <v>30</v>
      </c>
      <c r="CF67">
        <v>0</v>
      </c>
      <c r="CG67">
        <v>0</v>
      </c>
      <c r="CM67">
        <v>0</v>
      </c>
      <c r="CN67" t="s">
        <v>3</v>
      </c>
      <c r="CO67">
        <v>0</v>
      </c>
      <c r="CP67">
        <f t="shared" si="34"/>
        <v>224036.09</v>
      </c>
      <c r="CQ67">
        <f t="shared" si="54"/>
        <v>168956.32</v>
      </c>
      <c r="CR67">
        <f>(ROUND((ROUND(((ET67)*AV67*1),2)*BB67),2)+ROUND((ROUND(((AE67-(EU67))*AV67*1),2)*BS67),2))</f>
        <v>0</v>
      </c>
      <c r="CS67">
        <f t="shared" si="35"/>
        <v>0</v>
      </c>
      <c r="CT67">
        <f t="shared" si="36"/>
        <v>0</v>
      </c>
      <c r="CU67">
        <f t="shared" si="37"/>
        <v>0</v>
      </c>
      <c r="CV67">
        <f t="shared" si="38"/>
        <v>0</v>
      </c>
      <c r="CW67">
        <f t="shared" si="39"/>
        <v>0</v>
      </c>
      <c r="CX67">
        <f t="shared" si="40"/>
        <v>0</v>
      </c>
      <c r="CY67">
        <f t="shared" si="41"/>
        <v>0</v>
      </c>
      <c r="CZ67">
        <f t="shared" si="42"/>
        <v>0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>
        <v>0</v>
      </c>
      <c r="DO67">
        <v>0</v>
      </c>
      <c r="DP67">
        <v>1</v>
      </c>
      <c r="DQ67">
        <v>1</v>
      </c>
      <c r="DU67">
        <v>1003</v>
      </c>
      <c r="DV67" t="s">
        <v>108</v>
      </c>
      <c r="DW67" t="s">
        <v>108</v>
      </c>
      <c r="DX67">
        <v>1000</v>
      </c>
      <c r="DZ67" t="s">
        <v>3</v>
      </c>
      <c r="EA67" t="s">
        <v>3</v>
      </c>
      <c r="EB67" t="s">
        <v>3</v>
      </c>
      <c r="EC67" t="s">
        <v>3</v>
      </c>
      <c r="EE67">
        <v>55992151</v>
      </c>
      <c r="EF67">
        <v>40</v>
      </c>
      <c r="EG67" t="s">
        <v>24</v>
      </c>
      <c r="EH67">
        <v>0</v>
      </c>
      <c r="EI67" t="s">
        <v>3</v>
      </c>
      <c r="EJ67">
        <v>2</v>
      </c>
      <c r="EK67">
        <v>67</v>
      </c>
      <c r="EL67" t="s">
        <v>79</v>
      </c>
      <c r="EM67" t="s">
        <v>80</v>
      </c>
      <c r="EO67" t="s">
        <v>3</v>
      </c>
      <c r="EQ67">
        <v>0</v>
      </c>
      <c r="ER67">
        <v>36413</v>
      </c>
      <c r="ES67">
        <v>36413</v>
      </c>
      <c r="ET67">
        <v>0</v>
      </c>
      <c r="EU67">
        <v>0</v>
      </c>
      <c r="EV67">
        <v>0</v>
      </c>
      <c r="EW67">
        <v>0</v>
      </c>
      <c r="EX67">
        <v>0</v>
      </c>
      <c r="FQ67">
        <v>0</v>
      </c>
      <c r="FR67">
        <v>0</v>
      </c>
      <c r="FS67">
        <v>0</v>
      </c>
      <c r="FX67">
        <v>97</v>
      </c>
      <c r="FY67">
        <v>51</v>
      </c>
      <c r="GA67" t="s">
        <v>3</v>
      </c>
      <c r="GD67">
        <v>1</v>
      </c>
      <c r="GF67">
        <v>-205854567</v>
      </c>
      <c r="GG67">
        <v>2</v>
      </c>
      <c r="GH67">
        <v>1</v>
      </c>
      <c r="GI67">
        <v>2</v>
      </c>
      <c r="GJ67">
        <v>0</v>
      </c>
      <c r="GK67">
        <v>0</v>
      </c>
      <c r="GL67">
        <f t="shared" si="43"/>
        <v>0</v>
      </c>
      <c r="GM67">
        <f t="shared" si="44"/>
        <v>224036.09</v>
      </c>
      <c r="GN67">
        <f t="shared" si="45"/>
        <v>0</v>
      </c>
      <c r="GO67">
        <f t="shared" si="46"/>
        <v>224036.09</v>
      </c>
      <c r="GP67">
        <f t="shared" si="47"/>
        <v>0</v>
      </c>
      <c r="GR67">
        <v>0</v>
      </c>
      <c r="GS67">
        <v>3</v>
      </c>
      <c r="GT67">
        <v>0</v>
      </c>
      <c r="GU67" t="s">
        <v>3</v>
      </c>
      <c r="GV67">
        <f t="shared" si="48"/>
        <v>0</v>
      </c>
      <c r="GW67">
        <v>1</v>
      </c>
      <c r="GX67">
        <f t="shared" si="49"/>
        <v>0</v>
      </c>
      <c r="HA67">
        <v>0</v>
      </c>
      <c r="HB67">
        <v>0</v>
      </c>
      <c r="HC67">
        <f t="shared" si="50"/>
        <v>0</v>
      </c>
      <c r="HE67" t="s">
        <v>3</v>
      </c>
      <c r="HF67" t="s">
        <v>3</v>
      </c>
      <c r="HM67" t="s">
        <v>3</v>
      </c>
      <c r="HN67" t="s">
        <v>3</v>
      </c>
      <c r="HO67" t="s">
        <v>3</v>
      </c>
      <c r="HP67" t="s">
        <v>3</v>
      </c>
      <c r="HQ67" t="s">
        <v>3</v>
      </c>
      <c r="HS67">
        <v>0</v>
      </c>
      <c r="IK67">
        <v>0</v>
      </c>
    </row>
    <row r="68" spans="1:255" x14ac:dyDescent="0.2">
      <c r="A68" s="2">
        <v>18</v>
      </c>
      <c r="B68" s="2">
        <v>1</v>
      </c>
      <c r="C68" s="2">
        <v>77</v>
      </c>
      <c r="D68" s="2"/>
      <c r="E68" s="2" t="s">
        <v>110</v>
      </c>
      <c r="F68" s="2" t="s">
        <v>111</v>
      </c>
      <c r="G68" s="2" t="s">
        <v>112</v>
      </c>
      <c r="H68" s="2" t="s">
        <v>101</v>
      </c>
      <c r="I68" s="2">
        <f>I64*J68</f>
        <v>0</v>
      </c>
      <c r="J68" s="2">
        <v>0</v>
      </c>
      <c r="K68" s="2">
        <v>0</v>
      </c>
      <c r="L68" s="2"/>
      <c r="M68" s="2"/>
      <c r="N68" s="2"/>
      <c r="O68" s="2">
        <f t="shared" si="21"/>
        <v>0</v>
      </c>
      <c r="P68" s="2">
        <f t="shared" si="53"/>
        <v>0</v>
      </c>
      <c r="Q68" s="2">
        <f>(ROUND((ROUND(((ET68)*AV68*I68),2)*BB68),2)+ROUND((ROUND(((AE68-(EU68))*AV68*I68),2)*BS68),2))</f>
        <v>0</v>
      </c>
      <c r="R68" s="2">
        <f t="shared" si="22"/>
        <v>0</v>
      </c>
      <c r="S68" s="2">
        <f t="shared" si="23"/>
        <v>0</v>
      </c>
      <c r="T68" s="2">
        <f t="shared" si="24"/>
        <v>0</v>
      </c>
      <c r="U68" s="2">
        <f t="shared" si="25"/>
        <v>0</v>
      </c>
      <c r="V68" s="2">
        <f t="shared" si="26"/>
        <v>0</v>
      </c>
      <c r="W68" s="2">
        <f t="shared" si="27"/>
        <v>0</v>
      </c>
      <c r="X68" s="2">
        <f t="shared" si="28"/>
        <v>0</v>
      </c>
      <c r="Y68" s="2">
        <f t="shared" si="29"/>
        <v>0</v>
      </c>
      <c r="Z68" s="2"/>
      <c r="AA68" s="2">
        <v>56959434</v>
      </c>
      <c r="AB68" s="2">
        <f t="shared" si="30"/>
        <v>5.08</v>
      </c>
      <c r="AC68" s="2">
        <f t="shared" si="31"/>
        <v>5.08</v>
      </c>
      <c r="AD68" s="2">
        <f>ROUND((((ET68)-(EU68))+AE68),6)</f>
        <v>0</v>
      </c>
      <c r="AE68" s="2">
        <f t="shared" si="55"/>
        <v>0</v>
      </c>
      <c r="AF68" s="2">
        <f t="shared" si="55"/>
        <v>0</v>
      </c>
      <c r="AG68" s="2">
        <f t="shared" si="32"/>
        <v>0</v>
      </c>
      <c r="AH68" s="2">
        <f t="shared" si="56"/>
        <v>0</v>
      </c>
      <c r="AI68" s="2">
        <f t="shared" si="56"/>
        <v>0</v>
      </c>
      <c r="AJ68" s="2">
        <f t="shared" si="33"/>
        <v>0</v>
      </c>
      <c r="AK68" s="2">
        <v>5.08</v>
      </c>
      <c r="AL68" s="2">
        <v>5.08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97</v>
      </c>
      <c r="AU68" s="2">
        <v>51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2</v>
      </c>
      <c r="BJ68" s="2" t="s">
        <v>3</v>
      </c>
      <c r="BK68" s="2"/>
      <c r="BL68" s="2"/>
      <c r="BM68" s="2">
        <v>67</v>
      </c>
      <c r="BN68" s="2">
        <v>0</v>
      </c>
      <c r="BO68" s="2" t="s">
        <v>3</v>
      </c>
      <c r="BP68" s="2">
        <v>0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97</v>
      </c>
      <c r="CA68" s="2">
        <v>51</v>
      </c>
      <c r="CB68" s="2" t="s">
        <v>3</v>
      </c>
      <c r="CC68" s="2"/>
      <c r="CD68" s="2"/>
      <c r="CE68" s="2">
        <v>30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34"/>
        <v>0</v>
      </c>
      <c r="CQ68" s="2">
        <f t="shared" si="54"/>
        <v>5.08</v>
      </c>
      <c r="CR68" s="2">
        <f>(ROUND((ROUND(((ET68)*AV68*1),2)*BB68),2)+ROUND((ROUND(((AE68-(EU68))*AV68*1),2)*BS68),2))</f>
        <v>0</v>
      </c>
      <c r="CS68" s="2">
        <f t="shared" si="35"/>
        <v>0</v>
      </c>
      <c r="CT68" s="2">
        <f t="shared" si="36"/>
        <v>0</v>
      </c>
      <c r="CU68" s="2">
        <f t="shared" si="37"/>
        <v>0</v>
      </c>
      <c r="CV68" s="2">
        <f t="shared" si="38"/>
        <v>0</v>
      </c>
      <c r="CW68" s="2">
        <f t="shared" si="39"/>
        <v>0</v>
      </c>
      <c r="CX68" s="2">
        <f t="shared" si="40"/>
        <v>0</v>
      </c>
      <c r="CY68" s="2">
        <f t="shared" si="41"/>
        <v>0</v>
      </c>
      <c r="CZ68" s="2">
        <f t="shared" si="42"/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1013</v>
      </c>
      <c r="DV68" s="2" t="s">
        <v>101</v>
      </c>
      <c r="DW68" s="2" t="s">
        <v>101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55992151</v>
      </c>
      <c r="EF68" s="2">
        <v>40</v>
      </c>
      <c r="EG68" s="2" t="s">
        <v>24</v>
      </c>
      <c r="EH68" s="2">
        <v>0</v>
      </c>
      <c r="EI68" s="2" t="s">
        <v>3</v>
      </c>
      <c r="EJ68" s="2">
        <v>2</v>
      </c>
      <c r="EK68" s="2">
        <v>67</v>
      </c>
      <c r="EL68" s="2" t="s">
        <v>79</v>
      </c>
      <c r="EM68" s="2" t="s">
        <v>80</v>
      </c>
      <c r="EN68" s="2"/>
      <c r="EO68" s="2" t="s">
        <v>3</v>
      </c>
      <c r="EP68" s="2"/>
      <c r="EQ68" s="2">
        <v>0</v>
      </c>
      <c r="ER68" s="2">
        <v>0</v>
      </c>
      <c r="ES68" s="2">
        <v>5.08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97</v>
      </c>
      <c r="FY68" s="2">
        <v>51</v>
      </c>
      <c r="FZ68" s="2"/>
      <c r="GA68" s="2" t="s">
        <v>102</v>
      </c>
      <c r="GB68" s="2"/>
      <c r="GC68" s="2"/>
      <c r="GD68" s="2">
        <v>1</v>
      </c>
      <c r="GE68" s="2"/>
      <c r="GF68" s="2">
        <v>2097214465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43"/>
        <v>0</v>
      </c>
      <c r="GM68" s="2">
        <f t="shared" si="44"/>
        <v>0</v>
      </c>
      <c r="GN68" s="2">
        <f t="shared" si="45"/>
        <v>0</v>
      </c>
      <c r="GO68" s="2">
        <f t="shared" si="46"/>
        <v>0</v>
      </c>
      <c r="GP68" s="2">
        <f t="shared" si="47"/>
        <v>0</v>
      </c>
      <c r="GQ68" s="2"/>
      <c r="GR68" s="2">
        <v>0</v>
      </c>
      <c r="GS68" s="2">
        <v>2</v>
      </c>
      <c r="GT68" s="2">
        <v>0</v>
      </c>
      <c r="GU68" s="2" t="s">
        <v>3</v>
      </c>
      <c r="GV68" s="2">
        <f t="shared" si="48"/>
        <v>0</v>
      </c>
      <c r="GW68" s="2">
        <v>1</v>
      </c>
      <c r="GX68" s="2">
        <f t="shared" si="49"/>
        <v>0</v>
      </c>
      <c r="GY68" s="2"/>
      <c r="GZ68" s="2"/>
      <c r="HA68" s="2">
        <v>0</v>
      </c>
      <c r="HB68" s="2">
        <v>0</v>
      </c>
      <c r="HC68" s="2">
        <f t="shared" si="50"/>
        <v>0</v>
      </c>
      <c r="HD68" s="2"/>
      <c r="HE68" s="2" t="s">
        <v>103</v>
      </c>
      <c r="HF68" s="2" t="s">
        <v>28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>
        <v>18</v>
      </c>
      <c r="B69">
        <v>1</v>
      </c>
      <c r="C69">
        <v>88</v>
      </c>
      <c r="E69" t="s">
        <v>110</v>
      </c>
      <c r="F69" t="s">
        <v>111</v>
      </c>
      <c r="G69" t="s">
        <v>112</v>
      </c>
      <c r="H69" t="s">
        <v>101</v>
      </c>
      <c r="I69">
        <f>I65*J69</f>
        <v>0</v>
      </c>
      <c r="J69">
        <v>0</v>
      </c>
      <c r="K69">
        <v>0</v>
      </c>
      <c r="O69">
        <f t="shared" si="21"/>
        <v>0</v>
      </c>
      <c r="P69">
        <f t="shared" si="53"/>
        <v>0</v>
      </c>
      <c r="Q69">
        <f>(ROUND((ROUND(((ET69)*AV69*I69),2)*BB69),2)+ROUND((ROUND(((AE69-(EU69))*AV69*I69),2)*BS69),2))</f>
        <v>0</v>
      </c>
      <c r="R69">
        <f t="shared" si="22"/>
        <v>0</v>
      </c>
      <c r="S69">
        <f t="shared" si="23"/>
        <v>0</v>
      </c>
      <c r="T69">
        <f t="shared" si="24"/>
        <v>0</v>
      </c>
      <c r="U69">
        <f t="shared" si="25"/>
        <v>0</v>
      </c>
      <c r="V69">
        <f t="shared" si="26"/>
        <v>0</v>
      </c>
      <c r="W69">
        <f t="shared" si="27"/>
        <v>0</v>
      </c>
      <c r="X69">
        <f t="shared" si="28"/>
        <v>0</v>
      </c>
      <c r="Y69">
        <f t="shared" si="29"/>
        <v>0</v>
      </c>
      <c r="AA69">
        <v>56959431</v>
      </c>
      <c r="AB69">
        <f t="shared" si="30"/>
        <v>5.08</v>
      </c>
      <c r="AC69">
        <f t="shared" si="31"/>
        <v>5.08</v>
      </c>
      <c r="AD69">
        <f>ROUND((((ET69)-(EU69))+AE69),6)</f>
        <v>0</v>
      </c>
      <c r="AE69">
        <f t="shared" si="55"/>
        <v>0</v>
      </c>
      <c r="AF69">
        <f t="shared" si="55"/>
        <v>0</v>
      </c>
      <c r="AG69">
        <f t="shared" si="32"/>
        <v>0</v>
      </c>
      <c r="AH69">
        <f t="shared" si="56"/>
        <v>0</v>
      </c>
      <c r="AI69">
        <f t="shared" si="56"/>
        <v>0</v>
      </c>
      <c r="AJ69">
        <f t="shared" si="33"/>
        <v>0</v>
      </c>
      <c r="AK69">
        <v>5.08</v>
      </c>
      <c r="AL69">
        <v>5.08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97</v>
      </c>
      <c r="AU69">
        <v>51</v>
      </c>
      <c r="AV69">
        <v>1</v>
      </c>
      <c r="AW69">
        <v>1</v>
      </c>
      <c r="AZ69">
        <v>1</v>
      </c>
      <c r="BA69">
        <v>1</v>
      </c>
      <c r="BB69">
        <v>1</v>
      </c>
      <c r="BC69">
        <v>9.8800000000000008</v>
      </c>
      <c r="BD69" t="s">
        <v>3</v>
      </c>
      <c r="BE69" t="s">
        <v>3</v>
      </c>
      <c r="BF69" t="s">
        <v>3</v>
      </c>
      <c r="BG69" t="s">
        <v>3</v>
      </c>
      <c r="BH69">
        <v>3</v>
      </c>
      <c r="BI69">
        <v>2</v>
      </c>
      <c r="BJ69" t="s">
        <v>3</v>
      </c>
      <c r="BM69">
        <v>67</v>
      </c>
      <c r="BN69">
        <v>0</v>
      </c>
      <c r="BO69" t="s">
        <v>3</v>
      </c>
      <c r="BP69">
        <v>0</v>
      </c>
      <c r="BQ69">
        <v>40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 t="s">
        <v>3</v>
      </c>
      <c r="BZ69">
        <v>97</v>
      </c>
      <c r="CA69">
        <v>51</v>
      </c>
      <c r="CB69" t="s">
        <v>3</v>
      </c>
      <c r="CE69">
        <v>30</v>
      </c>
      <c r="CF69">
        <v>0</v>
      </c>
      <c r="CG69">
        <v>0</v>
      </c>
      <c r="CM69">
        <v>0</v>
      </c>
      <c r="CN69" t="s">
        <v>3</v>
      </c>
      <c r="CO69">
        <v>0</v>
      </c>
      <c r="CP69">
        <f t="shared" si="34"/>
        <v>0</v>
      </c>
      <c r="CQ69">
        <f t="shared" si="54"/>
        <v>50.19</v>
      </c>
      <c r="CR69">
        <f>(ROUND((ROUND(((ET69)*AV69*1),2)*BB69),2)+ROUND((ROUND(((AE69-(EU69))*AV69*1),2)*BS69),2))</f>
        <v>0</v>
      </c>
      <c r="CS69">
        <f t="shared" si="35"/>
        <v>0</v>
      </c>
      <c r="CT69">
        <f t="shared" si="36"/>
        <v>0</v>
      </c>
      <c r="CU69">
        <f t="shared" si="37"/>
        <v>0</v>
      </c>
      <c r="CV69">
        <f t="shared" si="38"/>
        <v>0</v>
      </c>
      <c r="CW69">
        <f t="shared" si="39"/>
        <v>0</v>
      </c>
      <c r="CX69">
        <f t="shared" si="40"/>
        <v>0</v>
      </c>
      <c r="CY69">
        <f t="shared" si="41"/>
        <v>0</v>
      </c>
      <c r="CZ69">
        <f t="shared" si="42"/>
        <v>0</v>
      </c>
      <c r="DC69" t="s">
        <v>3</v>
      </c>
      <c r="DD69" t="s">
        <v>3</v>
      </c>
      <c r="DE69" t="s">
        <v>3</v>
      </c>
      <c r="DF69" t="s">
        <v>3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  <c r="DN69">
        <v>0</v>
      </c>
      <c r="DO69">
        <v>0</v>
      </c>
      <c r="DP69">
        <v>1</v>
      </c>
      <c r="DQ69">
        <v>1</v>
      </c>
      <c r="DU69">
        <v>1013</v>
      </c>
      <c r="DV69" t="s">
        <v>101</v>
      </c>
      <c r="DW69" t="s">
        <v>101</v>
      </c>
      <c r="DX69">
        <v>1</v>
      </c>
      <c r="DZ69" t="s">
        <v>3</v>
      </c>
      <c r="EA69" t="s">
        <v>3</v>
      </c>
      <c r="EB69" t="s">
        <v>3</v>
      </c>
      <c r="EC69" t="s">
        <v>3</v>
      </c>
      <c r="EE69">
        <v>55992151</v>
      </c>
      <c r="EF69">
        <v>40</v>
      </c>
      <c r="EG69" t="s">
        <v>24</v>
      </c>
      <c r="EH69">
        <v>0</v>
      </c>
      <c r="EI69" t="s">
        <v>3</v>
      </c>
      <c r="EJ69">
        <v>2</v>
      </c>
      <c r="EK69">
        <v>67</v>
      </c>
      <c r="EL69" t="s">
        <v>79</v>
      </c>
      <c r="EM69" t="s">
        <v>80</v>
      </c>
      <c r="EO69" t="s">
        <v>3</v>
      </c>
      <c r="EQ69">
        <v>0</v>
      </c>
      <c r="ER69">
        <v>5.08</v>
      </c>
      <c r="ES69">
        <v>5.08</v>
      </c>
      <c r="ET69">
        <v>0</v>
      </c>
      <c r="EU69">
        <v>0</v>
      </c>
      <c r="EV69">
        <v>0</v>
      </c>
      <c r="EW69">
        <v>0</v>
      </c>
      <c r="EX69">
        <v>0</v>
      </c>
      <c r="EZ69">
        <v>5</v>
      </c>
      <c r="FC69">
        <v>1</v>
      </c>
      <c r="FD69">
        <v>18</v>
      </c>
      <c r="FF69">
        <v>59</v>
      </c>
      <c r="FQ69">
        <v>0</v>
      </c>
      <c r="FR69">
        <v>0</v>
      </c>
      <c r="FS69">
        <v>0</v>
      </c>
      <c r="FX69">
        <v>97</v>
      </c>
      <c r="FY69">
        <v>51</v>
      </c>
      <c r="GA69" t="s">
        <v>102</v>
      </c>
      <c r="GD69">
        <v>1</v>
      </c>
      <c r="GF69">
        <v>2097214465</v>
      </c>
      <c r="GG69">
        <v>2</v>
      </c>
      <c r="GH69">
        <v>3</v>
      </c>
      <c r="GI69">
        <v>5</v>
      </c>
      <c r="GJ69">
        <v>0</v>
      </c>
      <c r="GK69">
        <v>0</v>
      </c>
      <c r="GL69">
        <f t="shared" si="43"/>
        <v>0</v>
      </c>
      <c r="GM69">
        <f t="shared" si="44"/>
        <v>0</v>
      </c>
      <c r="GN69">
        <f t="shared" si="45"/>
        <v>0</v>
      </c>
      <c r="GO69">
        <f t="shared" si="46"/>
        <v>0</v>
      </c>
      <c r="GP69">
        <f t="shared" si="47"/>
        <v>0</v>
      </c>
      <c r="GR69">
        <v>1</v>
      </c>
      <c r="GS69">
        <v>1</v>
      </c>
      <c r="GT69">
        <v>0</v>
      </c>
      <c r="GU69" t="s">
        <v>3</v>
      </c>
      <c r="GV69">
        <f t="shared" si="48"/>
        <v>0</v>
      </c>
      <c r="GW69">
        <v>1</v>
      </c>
      <c r="GX69">
        <f t="shared" si="49"/>
        <v>0</v>
      </c>
      <c r="HA69">
        <v>0</v>
      </c>
      <c r="HB69">
        <v>0</v>
      </c>
      <c r="HC69">
        <f t="shared" si="50"/>
        <v>0</v>
      </c>
      <c r="HE69" t="s">
        <v>103</v>
      </c>
      <c r="HF69" t="s">
        <v>28</v>
      </c>
      <c r="HM69" t="s">
        <v>3</v>
      </c>
      <c r="HN69" t="s">
        <v>3</v>
      </c>
      <c r="HO69" t="s">
        <v>3</v>
      </c>
      <c r="HP69" t="s">
        <v>3</v>
      </c>
      <c r="HQ69" t="s">
        <v>3</v>
      </c>
      <c r="HS69">
        <v>0</v>
      </c>
      <c r="IK69">
        <v>0</v>
      </c>
    </row>
    <row r="70" spans="1:255" x14ac:dyDescent="0.2">
      <c r="A70" s="2">
        <v>17</v>
      </c>
      <c r="B70" s="2">
        <v>1</v>
      </c>
      <c r="C70" s="2">
        <f>ROW(SmtRes!A95)</f>
        <v>95</v>
      </c>
      <c r="D70" s="2">
        <f>ROW(EtalonRes!A119)</f>
        <v>119</v>
      </c>
      <c r="E70" s="2" t="s">
        <v>113</v>
      </c>
      <c r="F70" s="2" t="s">
        <v>114</v>
      </c>
      <c r="G70" s="2" t="s">
        <v>115</v>
      </c>
      <c r="H70" s="2" t="s">
        <v>77</v>
      </c>
      <c r="I70" s="2">
        <f>ROUND(200/100,9)</f>
        <v>2</v>
      </c>
      <c r="J70" s="2">
        <v>0</v>
      </c>
      <c r="K70" s="2">
        <f>ROUND(200/100,9)</f>
        <v>2</v>
      </c>
      <c r="L70" s="2"/>
      <c r="M70" s="2"/>
      <c r="N70" s="2"/>
      <c r="O70" s="2">
        <f t="shared" si="21"/>
        <v>267.48</v>
      </c>
      <c r="P70" s="2">
        <f t="shared" si="53"/>
        <v>177.88</v>
      </c>
      <c r="Q70" s="2">
        <f>(ROUND((ROUND((((ET70*1.1))*AV70*I70),2)*BB70),2)+ROUND((ROUND(((AE70-((EU70*1.1)))*AV70*I70),2)*BS70),2))</f>
        <v>1.91</v>
      </c>
      <c r="R70" s="2">
        <f t="shared" si="22"/>
        <v>0.3</v>
      </c>
      <c r="S70" s="2">
        <f t="shared" si="23"/>
        <v>87.69</v>
      </c>
      <c r="T70" s="2">
        <f t="shared" si="24"/>
        <v>0</v>
      </c>
      <c r="U70" s="2">
        <f t="shared" si="25"/>
        <v>7.1175059999999997</v>
      </c>
      <c r="V70" s="2">
        <f t="shared" si="26"/>
        <v>0</v>
      </c>
      <c r="W70" s="2">
        <f t="shared" si="27"/>
        <v>0</v>
      </c>
      <c r="X70" s="2">
        <f t="shared" si="28"/>
        <v>85.35</v>
      </c>
      <c r="Y70" s="2">
        <f t="shared" si="29"/>
        <v>44.87</v>
      </c>
      <c r="Z70" s="2"/>
      <c r="AA70" s="2">
        <v>56959434</v>
      </c>
      <c r="AB70" s="2">
        <f t="shared" si="30"/>
        <v>131.72999999999999</v>
      </c>
      <c r="AC70" s="2">
        <f t="shared" si="31"/>
        <v>88.94</v>
      </c>
      <c r="AD70" s="2">
        <f>ROUND(((((ET70*1.1))-((EU70*1.1)))+AE70),6)</f>
        <v>0.91300000000000003</v>
      </c>
      <c r="AE70" s="2">
        <f>ROUND(((EU70*1.1)),6)</f>
        <v>0.14299999999999999</v>
      </c>
      <c r="AF70" s="2">
        <f>ROUND(((EV70*1.1)),6)</f>
        <v>41.877000000000002</v>
      </c>
      <c r="AG70" s="2">
        <f t="shared" si="32"/>
        <v>0</v>
      </c>
      <c r="AH70" s="2">
        <f>((EW70*1.1))</f>
        <v>3.399</v>
      </c>
      <c r="AI70" s="2">
        <f>((EX70*1.1))</f>
        <v>0</v>
      </c>
      <c r="AJ70" s="2">
        <f t="shared" si="33"/>
        <v>0</v>
      </c>
      <c r="AK70" s="2">
        <v>127.84</v>
      </c>
      <c r="AL70" s="2">
        <v>88.94</v>
      </c>
      <c r="AM70" s="2">
        <v>0.83</v>
      </c>
      <c r="AN70" s="2">
        <v>0.13</v>
      </c>
      <c r="AO70" s="2">
        <v>38.07</v>
      </c>
      <c r="AP70" s="2">
        <v>0</v>
      </c>
      <c r="AQ70" s="2">
        <v>3.09</v>
      </c>
      <c r="AR70" s="2">
        <v>0</v>
      </c>
      <c r="AS70" s="2">
        <v>0</v>
      </c>
      <c r="AT70" s="2">
        <v>97</v>
      </c>
      <c r="AU70" s="2">
        <v>51</v>
      </c>
      <c r="AV70" s="2">
        <v>1.0469999999999999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0</v>
      </c>
      <c r="BI70" s="2">
        <v>2</v>
      </c>
      <c r="BJ70" s="2" t="s">
        <v>116</v>
      </c>
      <c r="BK70" s="2"/>
      <c r="BL70" s="2"/>
      <c r="BM70" s="2">
        <v>67</v>
      </c>
      <c r="BN70" s="2">
        <v>55992028</v>
      </c>
      <c r="BO70" s="2" t="s">
        <v>114</v>
      </c>
      <c r="BP70" s="2">
        <v>1</v>
      </c>
      <c r="BQ70" s="2">
        <v>40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97</v>
      </c>
      <c r="CA70" s="2">
        <v>51</v>
      </c>
      <c r="CB70" s="2" t="s">
        <v>3</v>
      </c>
      <c r="CC70" s="2"/>
      <c r="CD70" s="2"/>
      <c r="CE70" s="2">
        <v>30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673</v>
      </c>
      <c r="CO70" s="2">
        <v>0</v>
      </c>
      <c r="CP70" s="2">
        <f t="shared" si="34"/>
        <v>267.48</v>
      </c>
      <c r="CQ70" s="2">
        <f t="shared" si="54"/>
        <v>88.94</v>
      </c>
      <c r="CR70" s="2">
        <f>(ROUND((ROUND((((ET70*1.1))*AV70*1),2)*BB70),2)+ROUND((ROUND(((AE70-((EU70*1.1)))*AV70*1),2)*BS70),2))</f>
        <v>0.96</v>
      </c>
      <c r="CS70" s="2">
        <f t="shared" si="35"/>
        <v>0.15</v>
      </c>
      <c r="CT70" s="2">
        <f t="shared" si="36"/>
        <v>43.85</v>
      </c>
      <c r="CU70" s="2">
        <f t="shared" si="37"/>
        <v>0</v>
      </c>
      <c r="CV70" s="2">
        <f t="shared" si="38"/>
        <v>3.5587529999999998</v>
      </c>
      <c r="CW70" s="2">
        <f t="shared" si="39"/>
        <v>0</v>
      </c>
      <c r="CX70" s="2">
        <f t="shared" si="40"/>
        <v>0</v>
      </c>
      <c r="CY70" s="2">
        <f t="shared" si="41"/>
        <v>85.35029999999999</v>
      </c>
      <c r="CZ70" s="2">
        <f t="shared" si="42"/>
        <v>44.874899999999997</v>
      </c>
      <c r="DA70" s="2"/>
      <c r="DB70" s="2"/>
      <c r="DC70" s="2" t="s">
        <v>3</v>
      </c>
      <c r="DD70" s="2" t="s">
        <v>3</v>
      </c>
      <c r="DE70" s="2" t="s">
        <v>23</v>
      </c>
      <c r="DF70" s="2" t="s">
        <v>23</v>
      </c>
      <c r="DG70" s="2" t="s">
        <v>23</v>
      </c>
      <c r="DH70" s="2" t="s">
        <v>3</v>
      </c>
      <c r="DI70" s="2" t="s">
        <v>23</v>
      </c>
      <c r="DJ70" s="2" t="s">
        <v>23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1003</v>
      </c>
      <c r="DV70" s="2" t="s">
        <v>77</v>
      </c>
      <c r="DW70" s="2" t="s">
        <v>77</v>
      </c>
      <c r="DX70" s="2">
        <v>100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55992151</v>
      </c>
      <c r="EF70" s="2">
        <v>40</v>
      </c>
      <c r="EG70" s="2" t="s">
        <v>24</v>
      </c>
      <c r="EH70" s="2">
        <v>0</v>
      </c>
      <c r="EI70" s="2" t="s">
        <v>3</v>
      </c>
      <c r="EJ70" s="2">
        <v>2</v>
      </c>
      <c r="EK70" s="2">
        <v>67</v>
      </c>
      <c r="EL70" s="2" t="s">
        <v>79</v>
      </c>
      <c r="EM70" s="2" t="s">
        <v>80</v>
      </c>
      <c r="EN70" s="2"/>
      <c r="EO70" s="2" t="s">
        <v>27</v>
      </c>
      <c r="EP70" s="2"/>
      <c r="EQ70" s="2">
        <v>0</v>
      </c>
      <c r="ER70" s="2">
        <v>127.84</v>
      </c>
      <c r="ES70" s="2">
        <v>88.94</v>
      </c>
      <c r="ET70" s="2">
        <v>0.83</v>
      </c>
      <c r="EU70" s="2">
        <v>0.13</v>
      </c>
      <c r="EV70" s="2">
        <v>38.07</v>
      </c>
      <c r="EW70" s="2">
        <v>3.09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97</v>
      </c>
      <c r="FY70" s="2">
        <v>51</v>
      </c>
      <c r="FZ70" s="2"/>
      <c r="GA70" s="2" t="s">
        <v>3</v>
      </c>
      <c r="GB70" s="2"/>
      <c r="GC70" s="2"/>
      <c r="GD70" s="2">
        <v>1</v>
      </c>
      <c r="GE70" s="2"/>
      <c r="GF70" s="2">
        <v>-1750277137</v>
      </c>
      <c r="GG70" s="2">
        <v>2</v>
      </c>
      <c r="GH70" s="2">
        <v>1</v>
      </c>
      <c r="GI70" s="2">
        <v>2</v>
      </c>
      <c r="GJ70" s="2">
        <v>0</v>
      </c>
      <c r="GK70" s="2">
        <v>0</v>
      </c>
      <c r="GL70" s="2">
        <f t="shared" si="43"/>
        <v>0</v>
      </c>
      <c r="GM70" s="2">
        <f t="shared" si="44"/>
        <v>397.7</v>
      </c>
      <c r="GN70" s="2">
        <f t="shared" si="45"/>
        <v>0</v>
      </c>
      <c r="GO70" s="2">
        <f t="shared" si="46"/>
        <v>397.7</v>
      </c>
      <c r="GP70" s="2">
        <f t="shared" si="47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48"/>
        <v>0</v>
      </c>
      <c r="GW70" s="2">
        <v>1</v>
      </c>
      <c r="GX70" s="2">
        <f t="shared" si="49"/>
        <v>0</v>
      </c>
      <c r="GY70" s="2"/>
      <c r="GZ70" s="2"/>
      <c r="HA70" s="2">
        <v>0</v>
      </c>
      <c r="HB70" s="2">
        <v>0</v>
      </c>
      <c r="HC70" s="2">
        <f t="shared" si="50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>
        <v>17</v>
      </c>
      <c r="B71">
        <v>1</v>
      </c>
      <c r="C71">
        <f>ROW(SmtRes!A102)</f>
        <v>102</v>
      </c>
      <c r="D71">
        <f>ROW(EtalonRes!A126)</f>
        <v>126</v>
      </c>
      <c r="E71" t="s">
        <v>113</v>
      </c>
      <c r="F71" t="s">
        <v>114</v>
      </c>
      <c r="G71" t="s">
        <v>115</v>
      </c>
      <c r="H71" t="s">
        <v>77</v>
      </c>
      <c r="I71">
        <f>ROUND(200/100,9)</f>
        <v>2</v>
      </c>
      <c r="J71">
        <v>0</v>
      </c>
      <c r="K71">
        <f>ROUND(200/100,9)</f>
        <v>2</v>
      </c>
      <c r="O71">
        <f t="shared" si="21"/>
        <v>6142.89</v>
      </c>
      <c r="P71">
        <f t="shared" si="53"/>
        <v>1289.6300000000001</v>
      </c>
      <c r="Q71">
        <f>(ROUND((ROUND((((ET71*1.1))*AV71*I71),2)*BB71),2)+ROUND((ROUND(((AE71-((EU71*1.1)))*AV71*I71),2)*BS71),2))</f>
        <v>31.19</v>
      </c>
      <c r="R71">
        <f t="shared" si="22"/>
        <v>16.5</v>
      </c>
      <c r="S71">
        <f t="shared" si="23"/>
        <v>4822.07</v>
      </c>
      <c r="T71">
        <f t="shared" si="24"/>
        <v>0</v>
      </c>
      <c r="U71">
        <f t="shared" si="25"/>
        <v>7.1175059999999997</v>
      </c>
      <c r="V71">
        <f t="shared" si="26"/>
        <v>0</v>
      </c>
      <c r="W71">
        <f t="shared" si="27"/>
        <v>0</v>
      </c>
      <c r="X71">
        <f t="shared" si="28"/>
        <v>4693.41</v>
      </c>
      <c r="Y71">
        <f t="shared" si="29"/>
        <v>2467.67</v>
      </c>
      <c r="AA71">
        <v>56959431</v>
      </c>
      <c r="AB71">
        <f t="shared" si="30"/>
        <v>131.72999999999999</v>
      </c>
      <c r="AC71">
        <f t="shared" si="31"/>
        <v>88.94</v>
      </c>
      <c r="AD71">
        <f>ROUND(((((ET71*1.1))-((EU71*1.1)))+AE71),6)</f>
        <v>0.91300000000000003</v>
      </c>
      <c r="AE71">
        <f>ROUND(((EU71*1.1)),6)</f>
        <v>0.14299999999999999</v>
      </c>
      <c r="AF71">
        <f>ROUND(((EV71*1.1)),6)</f>
        <v>41.877000000000002</v>
      </c>
      <c r="AG71">
        <f t="shared" si="32"/>
        <v>0</v>
      </c>
      <c r="AH71">
        <f>((EW71*1.1))</f>
        <v>3.399</v>
      </c>
      <c r="AI71">
        <f>((EX71*1.1))</f>
        <v>0</v>
      </c>
      <c r="AJ71">
        <f t="shared" si="33"/>
        <v>0</v>
      </c>
      <c r="AK71">
        <v>127.84</v>
      </c>
      <c r="AL71">
        <v>88.94</v>
      </c>
      <c r="AM71">
        <v>0.83</v>
      </c>
      <c r="AN71">
        <v>0.13</v>
      </c>
      <c r="AO71">
        <v>38.07</v>
      </c>
      <c r="AP71">
        <v>0</v>
      </c>
      <c r="AQ71">
        <v>3.09</v>
      </c>
      <c r="AR71">
        <v>0</v>
      </c>
      <c r="AS71">
        <v>0</v>
      </c>
      <c r="AT71">
        <v>97</v>
      </c>
      <c r="AU71">
        <v>51</v>
      </c>
      <c r="AV71">
        <v>1.0469999999999999</v>
      </c>
      <c r="AW71">
        <v>1</v>
      </c>
      <c r="AZ71">
        <v>1</v>
      </c>
      <c r="BA71">
        <v>54.99</v>
      </c>
      <c r="BB71">
        <v>16.329999999999998</v>
      </c>
      <c r="BC71">
        <v>7.25</v>
      </c>
      <c r="BD71" t="s">
        <v>3</v>
      </c>
      <c r="BE71" t="s">
        <v>3</v>
      </c>
      <c r="BF71" t="s">
        <v>3</v>
      </c>
      <c r="BG71" t="s">
        <v>3</v>
      </c>
      <c r="BH71">
        <v>0</v>
      </c>
      <c r="BI71">
        <v>2</v>
      </c>
      <c r="BJ71" t="s">
        <v>116</v>
      </c>
      <c r="BM71">
        <v>67</v>
      </c>
      <c r="BN71">
        <v>55992028</v>
      </c>
      <c r="BO71" t="s">
        <v>114</v>
      </c>
      <c r="BP71">
        <v>1</v>
      </c>
      <c r="BQ71">
        <v>40</v>
      </c>
      <c r="BR71">
        <v>0</v>
      </c>
      <c r="BS71">
        <v>54.99</v>
      </c>
      <c r="BT71">
        <v>1</v>
      </c>
      <c r="BU71">
        <v>1</v>
      </c>
      <c r="BV71">
        <v>1</v>
      </c>
      <c r="BW71">
        <v>1</v>
      </c>
      <c r="BX71">
        <v>1</v>
      </c>
      <c r="BY71" t="s">
        <v>3</v>
      </c>
      <c r="BZ71">
        <v>97</v>
      </c>
      <c r="CA71">
        <v>51</v>
      </c>
      <c r="CB71" t="s">
        <v>3</v>
      </c>
      <c r="CE71">
        <v>30</v>
      </c>
      <c r="CF71">
        <v>0</v>
      </c>
      <c r="CG71">
        <v>0</v>
      </c>
      <c r="CM71">
        <v>0</v>
      </c>
      <c r="CN71" t="s">
        <v>673</v>
      </c>
      <c r="CO71">
        <v>0</v>
      </c>
      <c r="CP71">
        <f t="shared" si="34"/>
        <v>6142.8899999999994</v>
      </c>
      <c r="CQ71">
        <f t="shared" si="54"/>
        <v>644.82000000000005</v>
      </c>
      <c r="CR71">
        <f>(ROUND((ROUND((((ET71*1.1))*AV71*1),2)*BB71),2)+ROUND((ROUND(((AE71-((EU71*1.1)))*AV71*1),2)*BS71),2))</f>
        <v>15.68</v>
      </c>
      <c r="CS71">
        <f t="shared" si="35"/>
        <v>8.25</v>
      </c>
      <c r="CT71">
        <f t="shared" si="36"/>
        <v>2411.31</v>
      </c>
      <c r="CU71">
        <f t="shared" si="37"/>
        <v>0</v>
      </c>
      <c r="CV71">
        <f t="shared" si="38"/>
        <v>3.5587529999999998</v>
      </c>
      <c r="CW71">
        <f t="shared" si="39"/>
        <v>0</v>
      </c>
      <c r="CX71">
        <f t="shared" si="40"/>
        <v>0</v>
      </c>
      <c r="CY71">
        <f t="shared" si="41"/>
        <v>4693.4128999999994</v>
      </c>
      <c r="CZ71">
        <f t="shared" si="42"/>
        <v>2467.6706999999997</v>
      </c>
      <c r="DC71" t="s">
        <v>3</v>
      </c>
      <c r="DD71" t="s">
        <v>3</v>
      </c>
      <c r="DE71" t="s">
        <v>23</v>
      </c>
      <c r="DF71" t="s">
        <v>23</v>
      </c>
      <c r="DG71" t="s">
        <v>23</v>
      </c>
      <c r="DH71" t="s">
        <v>3</v>
      </c>
      <c r="DI71" t="s">
        <v>23</v>
      </c>
      <c r="DJ71" t="s">
        <v>23</v>
      </c>
      <c r="DK71" t="s">
        <v>3</v>
      </c>
      <c r="DL71" t="s">
        <v>3</v>
      </c>
      <c r="DM71" t="s">
        <v>3</v>
      </c>
      <c r="DN71">
        <v>0</v>
      </c>
      <c r="DO71">
        <v>0</v>
      </c>
      <c r="DP71">
        <v>1</v>
      </c>
      <c r="DQ71">
        <v>1</v>
      </c>
      <c r="DU71">
        <v>1003</v>
      </c>
      <c r="DV71" t="s">
        <v>77</v>
      </c>
      <c r="DW71" t="s">
        <v>77</v>
      </c>
      <c r="DX71">
        <v>100</v>
      </c>
      <c r="DZ71" t="s">
        <v>3</v>
      </c>
      <c r="EA71" t="s">
        <v>3</v>
      </c>
      <c r="EB71" t="s">
        <v>3</v>
      </c>
      <c r="EC71" t="s">
        <v>3</v>
      </c>
      <c r="EE71">
        <v>55992151</v>
      </c>
      <c r="EF71">
        <v>40</v>
      </c>
      <c r="EG71" t="s">
        <v>24</v>
      </c>
      <c r="EH71">
        <v>0</v>
      </c>
      <c r="EI71" t="s">
        <v>3</v>
      </c>
      <c r="EJ71">
        <v>2</v>
      </c>
      <c r="EK71">
        <v>67</v>
      </c>
      <c r="EL71" t="s">
        <v>79</v>
      </c>
      <c r="EM71" t="s">
        <v>80</v>
      </c>
      <c r="EO71" t="s">
        <v>27</v>
      </c>
      <c r="EQ71">
        <v>0</v>
      </c>
      <c r="ER71">
        <v>127.84</v>
      </c>
      <c r="ES71">
        <v>88.94</v>
      </c>
      <c r="ET71">
        <v>0.83</v>
      </c>
      <c r="EU71">
        <v>0.13</v>
      </c>
      <c r="EV71">
        <v>38.07</v>
      </c>
      <c r="EW71">
        <v>3.09</v>
      </c>
      <c r="EX71">
        <v>0</v>
      </c>
      <c r="EY71">
        <v>0</v>
      </c>
      <c r="FQ71">
        <v>0</v>
      </c>
      <c r="FR71">
        <v>0</v>
      </c>
      <c r="FS71">
        <v>0</v>
      </c>
      <c r="FX71">
        <v>97</v>
      </c>
      <c r="FY71">
        <v>51</v>
      </c>
      <c r="GA71" t="s">
        <v>3</v>
      </c>
      <c r="GD71">
        <v>1</v>
      </c>
      <c r="GF71">
        <v>-1750277137</v>
      </c>
      <c r="GG71">
        <v>2</v>
      </c>
      <c r="GH71">
        <v>1</v>
      </c>
      <c r="GI71">
        <v>2</v>
      </c>
      <c r="GJ71">
        <v>0</v>
      </c>
      <c r="GK71">
        <v>0</v>
      </c>
      <c r="GL71">
        <f t="shared" si="43"/>
        <v>0</v>
      </c>
      <c r="GM71">
        <f t="shared" si="44"/>
        <v>13303.97</v>
      </c>
      <c r="GN71">
        <f t="shared" si="45"/>
        <v>0</v>
      </c>
      <c r="GO71">
        <f t="shared" si="46"/>
        <v>13303.97</v>
      </c>
      <c r="GP71">
        <f t="shared" si="47"/>
        <v>0</v>
      </c>
      <c r="GR71">
        <v>0</v>
      </c>
      <c r="GS71">
        <v>3</v>
      </c>
      <c r="GT71">
        <v>0</v>
      </c>
      <c r="GU71" t="s">
        <v>3</v>
      </c>
      <c r="GV71">
        <f t="shared" si="48"/>
        <v>0</v>
      </c>
      <c r="GW71">
        <v>1</v>
      </c>
      <c r="GX71">
        <f t="shared" si="49"/>
        <v>0</v>
      </c>
      <c r="HA71">
        <v>0</v>
      </c>
      <c r="HB71">
        <v>0</v>
      </c>
      <c r="HC71">
        <f t="shared" si="50"/>
        <v>0</v>
      </c>
      <c r="HE71" t="s">
        <v>3</v>
      </c>
      <c r="HF71" t="s">
        <v>3</v>
      </c>
      <c r="HM71" t="s">
        <v>3</v>
      </c>
      <c r="HN71" t="s">
        <v>3</v>
      </c>
      <c r="HO71" t="s">
        <v>3</v>
      </c>
      <c r="HP71" t="s">
        <v>3</v>
      </c>
      <c r="HQ71" t="s">
        <v>3</v>
      </c>
      <c r="HS71">
        <v>0</v>
      </c>
      <c r="IK71">
        <v>0</v>
      </c>
    </row>
    <row r="72" spans="1:255" x14ac:dyDescent="0.2">
      <c r="A72" s="2">
        <v>18</v>
      </c>
      <c r="B72" s="2">
        <v>1</v>
      </c>
      <c r="C72" s="2">
        <v>95</v>
      </c>
      <c r="D72" s="2"/>
      <c r="E72" s="2" t="s">
        <v>117</v>
      </c>
      <c r="F72" s="2" t="s">
        <v>106</v>
      </c>
      <c r="G72" s="2" t="s">
        <v>107</v>
      </c>
      <c r="H72" s="2" t="s">
        <v>108</v>
      </c>
      <c r="I72" s="2">
        <f>I70*J72</f>
        <v>0.20399999999999999</v>
      </c>
      <c r="J72" s="2">
        <v>0.10199999999999999</v>
      </c>
      <c r="K72" s="2">
        <v>0.10199999999999999</v>
      </c>
      <c r="L72" s="2"/>
      <c r="M72" s="2"/>
      <c r="N72" s="2"/>
      <c r="O72" s="2">
        <f t="shared" si="21"/>
        <v>7428.25</v>
      </c>
      <c r="P72" s="2">
        <f t="shared" si="53"/>
        <v>7428.25</v>
      </c>
      <c r="Q72" s="2">
        <f>(ROUND((ROUND(((ET72)*AV72*I72),2)*BB72),2)+ROUND((ROUND(((AE72-(EU72))*AV72*I72),2)*BS72),2))</f>
        <v>0</v>
      </c>
      <c r="R72" s="2">
        <f t="shared" si="22"/>
        <v>0</v>
      </c>
      <c r="S72" s="2">
        <f t="shared" si="23"/>
        <v>0</v>
      </c>
      <c r="T72" s="2">
        <f t="shared" si="24"/>
        <v>0</v>
      </c>
      <c r="U72" s="2">
        <f t="shared" si="25"/>
        <v>0</v>
      </c>
      <c r="V72" s="2">
        <f t="shared" si="26"/>
        <v>0</v>
      </c>
      <c r="W72" s="2">
        <f t="shared" si="27"/>
        <v>0</v>
      </c>
      <c r="X72" s="2">
        <f t="shared" si="28"/>
        <v>0</v>
      </c>
      <c r="Y72" s="2">
        <f t="shared" si="29"/>
        <v>0</v>
      </c>
      <c r="Z72" s="2"/>
      <c r="AA72" s="2">
        <v>56959434</v>
      </c>
      <c r="AB72" s="2">
        <f t="shared" si="30"/>
        <v>36413</v>
      </c>
      <c r="AC72" s="2">
        <f t="shared" si="31"/>
        <v>36413</v>
      </c>
      <c r="AD72" s="2">
        <f>ROUND((((ET72)-(EU72))+AE72),6)</f>
        <v>0</v>
      </c>
      <c r="AE72" s="2">
        <f>ROUND((EU72),6)</f>
        <v>0</v>
      </c>
      <c r="AF72" s="2">
        <f>ROUND((EV72),6)</f>
        <v>0</v>
      </c>
      <c r="AG72" s="2">
        <f t="shared" si="32"/>
        <v>0</v>
      </c>
      <c r="AH72" s="2">
        <f>(EW72)</f>
        <v>0</v>
      </c>
      <c r="AI72" s="2">
        <f>(EX72)</f>
        <v>0</v>
      </c>
      <c r="AJ72" s="2">
        <f t="shared" si="33"/>
        <v>0</v>
      </c>
      <c r="AK72" s="2">
        <v>36413</v>
      </c>
      <c r="AL72" s="2">
        <v>36413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97</v>
      </c>
      <c r="AU72" s="2">
        <v>51</v>
      </c>
      <c r="AV72" s="2">
        <v>1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3</v>
      </c>
      <c r="BI72" s="2">
        <v>2</v>
      </c>
      <c r="BJ72" s="2" t="s">
        <v>109</v>
      </c>
      <c r="BK72" s="2"/>
      <c r="BL72" s="2"/>
      <c r="BM72" s="2">
        <v>67</v>
      </c>
      <c r="BN72" s="2">
        <v>55992028</v>
      </c>
      <c r="BO72" s="2" t="s">
        <v>3</v>
      </c>
      <c r="BP72" s="2">
        <v>0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97</v>
      </c>
      <c r="CA72" s="2">
        <v>51</v>
      </c>
      <c r="CB72" s="2" t="s">
        <v>3</v>
      </c>
      <c r="CC72" s="2"/>
      <c r="CD72" s="2"/>
      <c r="CE72" s="2">
        <v>30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</v>
      </c>
      <c r="CO72" s="2">
        <v>0</v>
      </c>
      <c r="CP72" s="2">
        <f t="shared" si="34"/>
        <v>7428.25</v>
      </c>
      <c r="CQ72" s="2">
        <f t="shared" si="54"/>
        <v>36413</v>
      </c>
      <c r="CR72" s="2">
        <f>(ROUND((ROUND(((ET72)*AV72*1),2)*BB72),2)+ROUND((ROUND(((AE72-(EU72))*AV72*1),2)*BS72),2))</f>
        <v>0</v>
      </c>
      <c r="CS72" s="2">
        <f t="shared" si="35"/>
        <v>0</v>
      </c>
      <c r="CT72" s="2">
        <f t="shared" si="36"/>
        <v>0</v>
      </c>
      <c r="CU72" s="2">
        <f t="shared" si="37"/>
        <v>0</v>
      </c>
      <c r="CV72" s="2">
        <f t="shared" si="38"/>
        <v>0</v>
      </c>
      <c r="CW72" s="2">
        <f t="shared" si="39"/>
        <v>0</v>
      </c>
      <c r="CX72" s="2">
        <f t="shared" si="40"/>
        <v>0</v>
      </c>
      <c r="CY72" s="2">
        <f t="shared" si="41"/>
        <v>0</v>
      </c>
      <c r="CZ72" s="2">
        <f t="shared" si="42"/>
        <v>0</v>
      </c>
      <c r="DA72" s="2"/>
      <c r="DB72" s="2"/>
      <c r="DC72" s="2" t="s">
        <v>3</v>
      </c>
      <c r="DD72" s="2" t="s">
        <v>3</v>
      </c>
      <c r="DE72" s="2" t="s">
        <v>3</v>
      </c>
      <c r="DF72" s="2" t="s">
        <v>3</v>
      </c>
      <c r="DG72" s="2" t="s">
        <v>3</v>
      </c>
      <c r="DH72" s="2" t="s">
        <v>3</v>
      </c>
      <c r="DI72" s="2" t="s">
        <v>3</v>
      </c>
      <c r="DJ72" s="2" t="s">
        <v>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1003</v>
      </c>
      <c r="DV72" s="2" t="s">
        <v>108</v>
      </c>
      <c r="DW72" s="2" t="s">
        <v>108</v>
      </c>
      <c r="DX72" s="2">
        <v>1000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55992151</v>
      </c>
      <c r="EF72" s="2">
        <v>40</v>
      </c>
      <c r="EG72" s="2" t="s">
        <v>24</v>
      </c>
      <c r="EH72" s="2">
        <v>0</v>
      </c>
      <c r="EI72" s="2" t="s">
        <v>3</v>
      </c>
      <c r="EJ72" s="2">
        <v>2</v>
      </c>
      <c r="EK72" s="2">
        <v>67</v>
      </c>
      <c r="EL72" s="2" t="s">
        <v>79</v>
      </c>
      <c r="EM72" s="2" t="s">
        <v>80</v>
      </c>
      <c r="EN72" s="2"/>
      <c r="EO72" s="2" t="s">
        <v>3</v>
      </c>
      <c r="EP72" s="2"/>
      <c r="EQ72" s="2">
        <v>0</v>
      </c>
      <c r="ER72" s="2">
        <v>36413</v>
      </c>
      <c r="ES72" s="2">
        <v>36413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97</v>
      </c>
      <c r="FY72" s="2">
        <v>51</v>
      </c>
      <c r="FZ72" s="2"/>
      <c r="GA72" s="2" t="s">
        <v>3</v>
      </c>
      <c r="GB72" s="2"/>
      <c r="GC72" s="2"/>
      <c r="GD72" s="2">
        <v>1</v>
      </c>
      <c r="GE72" s="2"/>
      <c r="GF72" s="2">
        <v>-205854567</v>
      </c>
      <c r="GG72" s="2">
        <v>2</v>
      </c>
      <c r="GH72" s="2">
        <v>1</v>
      </c>
      <c r="GI72" s="2">
        <v>-2</v>
      </c>
      <c r="GJ72" s="2">
        <v>0</v>
      </c>
      <c r="GK72" s="2">
        <v>0</v>
      </c>
      <c r="GL72" s="2">
        <f t="shared" si="43"/>
        <v>0</v>
      </c>
      <c r="GM72" s="2">
        <f t="shared" si="44"/>
        <v>7428.25</v>
      </c>
      <c r="GN72" s="2">
        <f t="shared" si="45"/>
        <v>0</v>
      </c>
      <c r="GO72" s="2">
        <f t="shared" si="46"/>
        <v>7428.25</v>
      </c>
      <c r="GP72" s="2">
        <f t="shared" si="47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48"/>
        <v>0</v>
      </c>
      <c r="GW72" s="2">
        <v>1</v>
      </c>
      <c r="GX72" s="2">
        <f t="shared" si="49"/>
        <v>0</v>
      </c>
      <c r="GY72" s="2"/>
      <c r="GZ72" s="2"/>
      <c r="HA72" s="2">
        <v>0</v>
      </c>
      <c r="HB72" s="2">
        <v>0</v>
      </c>
      <c r="HC72" s="2">
        <f t="shared" si="50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>
        <v>18</v>
      </c>
      <c r="B73">
        <v>1</v>
      </c>
      <c r="C73">
        <v>102</v>
      </c>
      <c r="E73" t="s">
        <v>117</v>
      </c>
      <c r="F73" t="s">
        <v>106</v>
      </c>
      <c r="G73" t="s">
        <v>107</v>
      </c>
      <c r="H73" t="s">
        <v>108</v>
      </c>
      <c r="I73">
        <f>I71*J73</f>
        <v>0.20399999999999999</v>
      </c>
      <c r="J73">
        <v>0.10199999999999999</v>
      </c>
      <c r="K73">
        <v>0.10199999999999999</v>
      </c>
      <c r="O73">
        <f t="shared" si="21"/>
        <v>34467.08</v>
      </c>
      <c r="P73">
        <f t="shared" si="53"/>
        <v>34467.08</v>
      </c>
      <c r="Q73">
        <f>(ROUND((ROUND(((ET73)*AV73*I73),2)*BB73),2)+ROUND((ROUND(((AE73-(EU73))*AV73*I73),2)*BS73),2))</f>
        <v>0</v>
      </c>
      <c r="R73">
        <f t="shared" si="22"/>
        <v>0</v>
      </c>
      <c r="S73">
        <f t="shared" si="23"/>
        <v>0</v>
      </c>
      <c r="T73">
        <f t="shared" si="24"/>
        <v>0</v>
      </c>
      <c r="U73">
        <f t="shared" si="25"/>
        <v>0</v>
      </c>
      <c r="V73">
        <f t="shared" si="26"/>
        <v>0</v>
      </c>
      <c r="W73">
        <f t="shared" si="27"/>
        <v>0</v>
      </c>
      <c r="X73">
        <f t="shared" si="28"/>
        <v>0</v>
      </c>
      <c r="Y73">
        <f t="shared" si="29"/>
        <v>0</v>
      </c>
      <c r="AA73">
        <v>56959431</v>
      </c>
      <c r="AB73">
        <f t="shared" si="30"/>
        <v>36413</v>
      </c>
      <c r="AC73">
        <f t="shared" si="31"/>
        <v>36413</v>
      </c>
      <c r="AD73">
        <f>ROUND((((ET73)-(EU73))+AE73),6)</f>
        <v>0</v>
      </c>
      <c r="AE73">
        <f>ROUND((EU73),6)</f>
        <v>0</v>
      </c>
      <c r="AF73">
        <f>ROUND((EV73),6)</f>
        <v>0</v>
      </c>
      <c r="AG73">
        <f t="shared" si="32"/>
        <v>0</v>
      </c>
      <c r="AH73">
        <f>(EW73)</f>
        <v>0</v>
      </c>
      <c r="AI73">
        <f>(EX73)</f>
        <v>0</v>
      </c>
      <c r="AJ73">
        <f t="shared" si="33"/>
        <v>0</v>
      </c>
      <c r="AK73">
        <v>36413</v>
      </c>
      <c r="AL73">
        <v>36413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97</v>
      </c>
      <c r="AU73">
        <v>51</v>
      </c>
      <c r="AV73">
        <v>1</v>
      </c>
      <c r="AW73">
        <v>1</v>
      </c>
      <c r="AZ73">
        <v>1</v>
      </c>
      <c r="BA73">
        <v>1</v>
      </c>
      <c r="BB73">
        <v>1</v>
      </c>
      <c r="BC73">
        <v>4.6399999999999997</v>
      </c>
      <c r="BD73" t="s">
        <v>3</v>
      </c>
      <c r="BE73" t="s">
        <v>3</v>
      </c>
      <c r="BF73" t="s">
        <v>3</v>
      </c>
      <c r="BG73" t="s">
        <v>3</v>
      </c>
      <c r="BH73">
        <v>3</v>
      </c>
      <c r="BI73">
        <v>2</v>
      </c>
      <c r="BJ73" t="s">
        <v>109</v>
      </c>
      <c r="BM73">
        <v>67</v>
      </c>
      <c r="BN73">
        <v>55992028</v>
      </c>
      <c r="BO73" t="s">
        <v>106</v>
      </c>
      <c r="BP73">
        <v>1</v>
      </c>
      <c r="BQ73">
        <v>40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 t="s">
        <v>3</v>
      </c>
      <c r="BZ73">
        <v>97</v>
      </c>
      <c r="CA73">
        <v>51</v>
      </c>
      <c r="CB73" t="s">
        <v>3</v>
      </c>
      <c r="CE73">
        <v>30</v>
      </c>
      <c r="CF73">
        <v>0</v>
      </c>
      <c r="CG73">
        <v>0</v>
      </c>
      <c r="CM73">
        <v>0</v>
      </c>
      <c r="CN73" t="s">
        <v>3</v>
      </c>
      <c r="CO73">
        <v>0</v>
      </c>
      <c r="CP73">
        <f t="shared" si="34"/>
        <v>34467.08</v>
      </c>
      <c r="CQ73">
        <f t="shared" si="54"/>
        <v>168956.32</v>
      </c>
      <c r="CR73">
        <f>(ROUND((ROUND(((ET73)*AV73*1),2)*BB73),2)+ROUND((ROUND(((AE73-(EU73))*AV73*1),2)*BS73),2))</f>
        <v>0</v>
      </c>
      <c r="CS73">
        <f t="shared" si="35"/>
        <v>0</v>
      </c>
      <c r="CT73">
        <f t="shared" si="36"/>
        <v>0</v>
      </c>
      <c r="CU73">
        <f t="shared" si="37"/>
        <v>0</v>
      </c>
      <c r="CV73">
        <f t="shared" si="38"/>
        <v>0</v>
      </c>
      <c r="CW73">
        <f t="shared" si="39"/>
        <v>0</v>
      </c>
      <c r="CX73">
        <f t="shared" si="40"/>
        <v>0</v>
      </c>
      <c r="CY73">
        <f t="shared" si="41"/>
        <v>0</v>
      </c>
      <c r="CZ73">
        <f t="shared" si="42"/>
        <v>0</v>
      </c>
      <c r="DC73" t="s">
        <v>3</v>
      </c>
      <c r="DD73" t="s">
        <v>3</v>
      </c>
      <c r="DE73" t="s">
        <v>3</v>
      </c>
      <c r="DF73" t="s">
        <v>3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3</v>
      </c>
      <c r="DM73" t="s">
        <v>3</v>
      </c>
      <c r="DN73">
        <v>0</v>
      </c>
      <c r="DO73">
        <v>0</v>
      </c>
      <c r="DP73">
        <v>1</v>
      </c>
      <c r="DQ73">
        <v>1</v>
      </c>
      <c r="DU73">
        <v>1003</v>
      </c>
      <c r="DV73" t="s">
        <v>108</v>
      </c>
      <c r="DW73" t="s">
        <v>108</v>
      </c>
      <c r="DX73">
        <v>1000</v>
      </c>
      <c r="DZ73" t="s">
        <v>3</v>
      </c>
      <c r="EA73" t="s">
        <v>3</v>
      </c>
      <c r="EB73" t="s">
        <v>3</v>
      </c>
      <c r="EC73" t="s">
        <v>3</v>
      </c>
      <c r="EE73">
        <v>55992151</v>
      </c>
      <c r="EF73">
        <v>40</v>
      </c>
      <c r="EG73" t="s">
        <v>24</v>
      </c>
      <c r="EH73">
        <v>0</v>
      </c>
      <c r="EI73" t="s">
        <v>3</v>
      </c>
      <c r="EJ73">
        <v>2</v>
      </c>
      <c r="EK73">
        <v>67</v>
      </c>
      <c r="EL73" t="s">
        <v>79</v>
      </c>
      <c r="EM73" t="s">
        <v>80</v>
      </c>
      <c r="EO73" t="s">
        <v>3</v>
      </c>
      <c r="EQ73">
        <v>0</v>
      </c>
      <c r="ER73">
        <v>36413</v>
      </c>
      <c r="ES73">
        <v>36413</v>
      </c>
      <c r="ET73">
        <v>0</v>
      </c>
      <c r="EU73">
        <v>0</v>
      </c>
      <c r="EV73">
        <v>0</v>
      </c>
      <c r="EW73">
        <v>0</v>
      </c>
      <c r="EX73">
        <v>0</v>
      </c>
      <c r="FQ73">
        <v>0</v>
      </c>
      <c r="FR73">
        <v>0</v>
      </c>
      <c r="FS73">
        <v>0</v>
      </c>
      <c r="FX73">
        <v>97</v>
      </c>
      <c r="FY73">
        <v>51</v>
      </c>
      <c r="GA73" t="s">
        <v>3</v>
      </c>
      <c r="GD73">
        <v>1</v>
      </c>
      <c r="GF73">
        <v>-205854567</v>
      </c>
      <c r="GG73">
        <v>2</v>
      </c>
      <c r="GH73">
        <v>1</v>
      </c>
      <c r="GI73">
        <v>2</v>
      </c>
      <c r="GJ73">
        <v>0</v>
      </c>
      <c r="GK73">
        <v>0</v>
      </c>
      <c r="GL73">
        <f t="shared" si="43"/>
        <v>0</v>
      </c>
      <c r="GM73">
        <f t="shared" si="44"/>
        <v>34467.08</v>
      </c>
      <c r="GN73">
        <f t="shared" si="45"/>
        <v>0</v>
      </c>
      <c r="GO73">
        <f t="shared" si="46"/>
        <v>34467.08</v>
      </c>
      <c r="GP73">
        <f t="shared" si="47"/>
        <v>0</v>
      </c>
      <c r="GR73">
        <v>0</v>
      </c>
      <c r="GS73">
        <v>3</v>
      </c>
      <c r="GT73">
        <v>0</v>
      </c>
      <c r="GU73" t="s">
        <v>3</v>
      </c>
      <c r="GV73">
        <f t="shared" si="48"/>
        <v>0</v>
      </c>
      <c r="GW73">
        <v>1</v>
      </c>
      <c r="GX73">
        <f t="shared" si="49"/>
        <v>0</v>
      </c>
      <c r="HA73">
        <v>0</v>
      </c>
      <c r="HB73">
        <v>0</v>
      </c>
      <c r="HC73">
        <f t="shared" si="50"/>
        <v>0</v>
      </c>
      <c r="HE73" t="s">
        <v>3</v>
      </c>
      <c r="HF73" t="s">
        <v>3</v>
      </c>
      <c r="HM73" t="s">
        <v>3</v>
      </c>
      <c r="HN73" t="s">
        <v>3</v>
      </c>
      <c r="HO73" t="s">
        <v>3</v>
      </c>
      <c r="HP73" t="s">
        <v>3</v>
      </c>
      <c r="HQ73" t="s">
        <v>3</v>
      </c>
      <c r="HS73">
        <v>0</v>
      </c>
      <c r="IK73">
        <v>0</v>
      </c>
    </row>
    <row r="75" spans="1:255" x14ac:dyDescent="0.2">
      <c r="A75" s="3">
        <v>51</v>
      </c>
      <c r="B75" s="3">
        <f>B24</f>
        <v>1</v>
      </c>
      <c r="C75" s="3">
        <f>A24</f>
        <v>4</v>
      </c>
      <c r="D75" s="3">
        <f>ROW(A24)</f>
        <v>24</v>
      </c>
      <c r="E75" s="3"/>
      <c r="F75" s="3" t="str">
        <f>IF(F24&lt;&gt;"",F24,"")</f>
        <v>Новый раздел</v>
      </c>
      <c r="G75" s="3" t="str">
        <f>IF(G24&lt;&gt;"",G24,"")</f>
        <v>Система управления и диспетчерского контроля инженерного</v>
      </c>
      <c r="H75" s="3">
        <v>0</v>
      </c>
      <c r="I75" s="3"/>
      <c r="J75" s="3"/>
      <c r="K75" s="3"/>
      <c r="L75" s="3"/>
      <c r="M75" s="3"/>
      <c r="N75" s="3"/>
      <c r="O75" s="3">
        <f t="shared" ref="O75:T75" si="57">ROUND(AB75,2)</f>
        <v>116438.62</v>
      </c>
      <c r="P75" s="3">
        <f t="shared" si="57"/>
        <v>107651.76</v>
      </c>
      <c r="Q75" s="3">
        <f t="shared" si="57"/>
        <v>1034.27</v>
      </c>
      <c r="R75" s="3">
        <f t="shared" si="57"/>
        <v>173.24</v>
      </c>
      <c r="S75" s="3">
        <f t="shared" si="57"/>
        <v>7752.59</v>
      </c>
      <c r="T75" s="3">
        <f t="shared" si="57"/>
        <v>0</v>
      </c>
      <c r="U75" s="3">
        <f>AH75</f>
        <v>615.2796012</v>
      </c>
      <c r="V75" s="3">
        <f>AI75</f>
        <v>0</v>
      </c>
      <c r="W75" s="3">
        <f>ROUND(AJ75,2)</f>
        <v>0</v>
      </c>
      <c r="X75" s="3">
        <f>ROUND(AK75,2)</f>
        <v>7675.44</v>
      </c>
      <c r="Y75" s="3">
        <f>ROUND(AL75,2)</f>
        <v>4033.13</v>
      </c>
      <c r="Z75" s="3"/>
      <c r="AA75" s="3"/>
      <c r="AB75" s="3">
        <f>ROUND(SUMIF(AA28:AA73,"=56959434",O28:O73),2)</f>
        <v>116438.62</v>
      </c>
      <c r="AC75" s="3">
        <f>ROUND(SUMIF(AA28:AA73,"=56959434",P28:P73),2)</f>
        <v>107651.76</v>
      </c>
      <c r="AD75" s="3">
        <f>ROUND(SUMIF(AA28:AA73,"=56959434",Q28:Q73),2)</f>
        <v>1034.27</v>
      </c>
      <c r="AE75" s="3">
        <f>ROUND(SUMIF(AA28:AA73,"=56959434",R28:R73),2)</f>
        <v>173.24</v>
      </c>
      <c r="AF75" s="3">
        <f>ROUND(SUMIF(AA28:AA73,"=56959434",S28:S73),2)</f>
        <v>7752.59</v>
      </c>
      <c r="AG75" s="3">
        <f>ROUND(SUMIF(AA28:AA73,"=56959434",T28:T73),2)</f>
        <v>0</v>
      </c>
      <c r="AH75" s="3">
        <f>SUMIF(AA28:AA73,"=56959434",U28:U73)</f>
        <v>615.2796012</v>
      </c>
      <c r="AI75" s="3">
        <f>SUMIF(AA28:AA73,"=56959434",V28:V73)</f>
        <v>0</v>
      </c>
      <c r="AJ75" s="3">
        <f>ROUND(SUMIF(AA28:AA73,"=56959434",W28:W73),2)</f>
        <v>0</v>
      </c>
      <c r="AK75" s="3">
        <f>ROUND(SUMIF(AA28:AA73,"=56959434",X28:X73),2)</f>
        <v>7675.44</v>
      </c>
      <c r="AL75" s="3">
        <f>ROUND(SUMIF(AA28:AA73,"=56959434",Y28:Y73),2)</f>
        <v>4033.13</v>
      </c>
      <c r="AM75" s="3"/>
      <c r="AN75" s="3"/>
      <c r="AO75" s="3">
        <f t="shared" ref="AO75:BD75" si="58">ROUND(BX75,2)</f>
        <v>0</v>
      </c>
      <c r="AP75" s="3">
        <f t="shared" si="58"/>
        <v>25039.7</v>
      </c>
      <c r="AQ75" s="3">
        <f t="shared" si="58"/>
        <v>0</v>
      </c>
      <c r="AR75" s="3">
        <f t="shared" si="58"/>
        <v>128147.19</v>
      </c>
      <c r="AS75" s="3">
        <f t="shared" si="58"/>
        <v>0</v>
      </c>
      <c r="AT75" s="3">
        <f t="shared" si="58"/>
        <v>103107.49</v>
      </c>
      <c r="AU75" s="3">
        <f t="shared" si="58"/>
        <v>0</v>
      </c>
      <c r="AV75" s="3">
        <f t="shared" si="58"/>
        <v>107651.76</v>
      </c>
      <c r="AW75" s="3">
        <f t="shared" si="58"/>
        <v>82612.06</v>
      </c>
      <c r="AX75" s="3">
        <f t="shared" si="58"/>
        <v>0</v>
      </c>
      <c r="AY75" s="3">
        <f t="shared" si="58"/>
        <v>82612.06</v>
      </c>
      <c r="AZ75" s="3">
        <f t="shared" si="58"/>
        <v>25039.7</v>
      </c>
      <c r="BA75" s="3">
        <f t="shared" si="58"/>
        <v>0</v>
      </c>
      <c r="BB75" s="3">
        <f t="shared" si="58"/>
        <v>0</v>
      </c>
      <c r="BC75" s="3">
        <f t="shared" si="58"/>
        <v>0</v>
      </c>
      <c r="BD75" s="3">
        <f t="shared" si="58"/>
        <v>0</v>
      </c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>
        <f>ROUND(SUMIF(AA28:AA73,"=56959434",FQ28:FQ73),2)</f>
        <v>0</v>
      </c>
      <c r="BY75" s="3">
        <f>ROUND(SUMIF(AA28:AA73,"=56959434",FR28:FR73),2)</f>
        <v>25039.7</v>
      </c>
      <c r="BZ75" s="3">
        <f>ROUND(SUMIF(AA28:AA73,"=56959434",GL28:GL73),2)</f>
        <v>0</v>
      </c>
      <c r="CA75" s="3">
        <f>ROUND(SUMIF(AA28:AA73,"=56959434",GM28:GM73),2)</f>
        <v>128147.19</v>
      </c>
      <c r="CB75" s="3">
        <f>ROUND(SUMIF(AA28:AA73,"=56959434",GN28:GN73),2)</f>
        <v>0</v>
      </c>
      <c r="CC75" s="3">
        <f>ROUND(SUMIF(AA28:AA73,"=56959434",GO28:GO73),2)</f>
        <v>103107.49</v>
      </c>
      <c r="CD75" s="3">
        <f>ROUND(SUMIF(AA28:AA73,"=56959434",GP28:GP73),2)</f>
        <v>0</v>
      </c>
      <c r="CE75" s="3">
        <f>AC75-BX75</f>
        <v>107651.76</v>
      </c>
      <c r="CF75" s="3">
        <f>AC75-BY75</f>
        <v>82612.06</v>
      </c>
      <c r="CG75" s="3">
        <f>BX75-BZ75</f>
        <v>0</v>
      </c>
      <c r="CH75" s="3">
        <f>AC75-BX75-BY75+BZ75</f>
        <v>82612.06</v>
      </c>
      <c r="CI75" s="3">
        <f>BY75-BZ75</f>
        <v>25039.7</v>
      </c>
      <c r="CJ75" s="3">
        <f>ROUND(SUMIF(AA28:AA73,"=56959434",GX28:GX73),2)</f>
        <v>0</v>
      </c>
      <c r="CK75" s="3">
        <f>ROUND(SUMIF(AA28:AA73,"=56959434",GY28:GY73),2)</f>
        <v>0</v>
      </c>
      <c r="CL75" s="3">
        <f>ROUND(SUMIF(AA28:AA73,"=56959434",GZ28:GZ73),2)</f>
        <v>0</v>
      </c>
      <c r="CM75" s="3">
        <f>ROUND(SUMIF(AA28:AA73,"=56959434",HD28:HD73),2)</f>
        <v>0</v>
      </c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4">
        <f t="shared" ref="DG75:DL75" si="59">ROUND(DT75,2)</f>
        <v>1094737.6399999999</v>
      </c>
      <c r="DH75" s="4">
        <f t="shared" si="59"/>
        <v>650315.77</v>
      </c>
      <c r="DI75" s="4">
        <f t="shared" si="59"/>
        <v>18106.939999999999</v>
      </c>
      <c r="DJ75" s="4">
        <f t="shared" si="59"/>
        <v>9526.49</v>
      </c>
      <c r="DK75" s="4">
        <f t="shared" si="59"/>
        <v>426314.93</v>
      </c>
      <c r="DL75" s="4">
        <f t="shared" si="59"/>
        <v>0</v>
      </c>
      <c r="DM75" s="4">
        <f>DZ75</f>
        <v>615.2796012</v>
      </c>
      <c r="DN75" s="4">
        <f>EA75</f>
        <v>0</v>
      </c>
      <c r="DO75" s="4">
        <f>ROUND(EB75,2)</f>
        <v>0</v>
      </c>
      <c r="DP75" s="4">
        <f>ROUND(EC75,2)</f>
        <v>422071.77</v>
      </c>
      <c r="DQ75" s="4">
        <f>ROUND(ED75,2)</f>
        <v>221783.12</v>
      </c>
      <c r="DR75" s="4"/>
      <c r="DS75" s="4"/>
      <c r="DT75" s="4">
        <f>ROUND(SUMIF(AA28:AA73,"=56959431",O28:O73),2)</f>
        <v>1094737.6399999999</v>
      </c>
      <c r="DU75" s="4">
        <f>ROUND(SUMIF(AA28:AA73,"=56959431",P28:P73),2)</f>
        <v>650315.77</v>
      </c>
      <c r="DV75" s="4">
        <f>ROUND(SUMIF(AA28:AA73,"=56959431",Q28:Q73),2)</f>
        <v>18106.939999999999</v>
      </c>
      <c r="DW75" s="4">
        <f>ROUND(SUMIF(AA28:AA73,"=56959431",R28:R73),2)</f>
        <v>9526.49</v>
      </c>
      <c r="DX75" s="4">
        <f>ROUND(SUMIF(AA28:AA73,"=56959431",S28:S73),2)</f>
        <v>426314.93</v>
      </c>
      <c r="DY75" s="4">
        <f>ROUND(SUMIF(AA28:AA73,"=56959431",T28:T73),2)</f>
        <v>0</v>
      </c>
      <c r="DZ75" s="4">
        <f>SUMIF(AA28:AA73,"=56959431",U28:U73)</f>
        <v>615.2796012</v>
      </c>
      <c r="EA75" s="4">
        <f>SUMIF(AA28:AA73,"=56959431",V28:V73)</f>
        <v>0</v>
      </c>
      <c r="EB75" s="4">
        <f>ROUND(SUMIF(AA28:AA73,"=56959431",W28:W73),2)</f>
        <v>0</v>
      </c>
      <c r="EC75" s="4">
        <f>ROUND(SUMIF(AA28:AA73,"=56959431",X28:X73),2)</f>
        <v>422071.77</v>
      </c>
      <c r="ED75" s="4">
        <f>ROUND(SUMIF(AA28:AA73,"=56959431",Y28:Y73),2)</f>
        <v>221783.12</v>
      </c>
      <c r="EE75" s="4"/>
      <c r="EF75" s="4"/>
      <c r="EG75" s="4">
        <f t="shared" ref="EG75:EV75" si="60">ROUND(FP75,2)</f>
        <v>0</v>
      </c>
      <c r="EH75" s="4">
        <f t="shared" si="60"/>
        <v>191804.11</v>
      </c>
      <c r="EI75" s="4">
        <f t="shared" si="60"/>
        <v>0</v>
      </c>
      <c r="EJ75" s="4">
        <f t="shared" si="60"/>
        <v>1738592.53</v>
      </c>
      <c r="EK75" s="4">
        <f t="shared" si="60"/>
        <v>0</v>
      </c>
      <c r="EL75" s="4">
        <f t="shared" si="60"/>
        <v>1546788.42</v>
      </c>
      <c r="EM75" s="4">
        <f t="shared" si="60"/>
        <v>0</v>
      </c>
      <c r="EN75" s="4">
        <f t="shared" si="60"/>
        <v>650315.77</v>
      </c>
      <c r="EO75" s="4">
        <f t="shared" si="60"/>
        <v>458511.66</v>
      </c>
      <c r="EP75" s="4">
        <f t="shared" si="60"/>
        <v>0</v>
      </c>
      <c r="EQ75" s="4">
        <f t="shared" si="60"/>
        <v>458511.66</v>
      </c>
      <c r="ER75" s="4">
        <f t="shared" si="60"/>
        <v>191804.11</v>
      </c>
      <c r="ES75" s="4">
        <f t="shared" si="60"/>
        <v>0</v>
      </c>
      <c r="ET75" s="4">
        <f t="shared" si="60"/>
        <v>0</v>
      </c>
      <c r="EU75" s="4">
        <f t="shared" si="60"/>
        <v>0</v>
      </c>
      <c r="EV75" s="4">
        <f t="shared" si="60"/>
        <v>0</v>
      </c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>
        <f>ROUND(SUMIF(AA28:AA73,"=56959431",FQ28:FQ73),2)</f>
        <v>0</v>
      </c>
      <c r="FQ75" s="4">
        <f>ROUND(SUMIF(AA28:AA73,"=56959431",FR28:FR73),2)</f>
        <v>191804.11</v>
      </c>
      <c r="FR75" s="4">
        <f>ROUND(SUMIF(AA28:AA73,"=56959431",GL28:GL73),2)</f>
        <v>0</v>
      </c>
      <c r="FS75" s="4">
        <f>ROUND(SUMIF(AA28:AA73,"=56959431",GM28:GM73),2)</f>
        <v>1738592.53</v>
      </c>
      <c r="FT75" s="4">
        <f>ROUND(SUMIF(AA28:AA73,"=56959431",GN28:GN73),2)</f>
        <v>0</v>
      </c>
      <c r="FU75" s="4">
        <f>ROUND(SUMIF(AA28:AA73,"=56959431",GO28:GO73),2)</f>
        <v>1546788.42</v>
      </c>
      <c r="FV75" s="4">
        <f>ROUND(SUMIF(AA28:AA73,"=56959431",GP28:GP73),2)</f>
        <v>0</v>
      </c>
      <c r="FW75" s="4">
        <f>DU75-FP75</f>
        <v>650315.77</v>
      </c>
      <c r="FX75" s="4">
        <f>DU75-FQ75</f>
        <v>458511.66000000003</v>
      </c>
      <c r="FY75" s="4">
        <f>FP75-FR75</f>
        <v>0</v>
      </c>
      <c r="FZ75" s="4">
        <f>DU75-FP75-FQ75+FR75</f>
        <v>458511.66000000003</v>
      </c>
      <c r="GA75" s="4">
        <f>FQ75-FR75</f>
        <v>191804.11</v>
      </c>
      <c r="GB75" s="4">
        <f>ROUND(SUMIF(AA28:AA73,"=56959431",GX28:GX73),2)</f>
        <v>0</v>
      </c>
      <c r="GC75" s="4">
        <f>ROUND(SUMIF(AA28:AA73,"=56959431",GY28:GY73),2)</f>
        <v>0</v>
      </c>
      <c r="GD75" s="4">
        <f>ROUND(SUMIF(AA28:AA73,"=56959431",GZ28:GZ73),2)</f>
        <v>0</v>
      </c>
      <c r="GE75" s="4">
        <f>ROUND(SUMIF(AA28:AA73,"=56959431",HD28:HD73),2)</f>
        <v>0</v>
      </c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>
        <v>0</v>
      </c>
    </row>
    <row r="77" spans="1:255" x14ac:dyDescent="0.2">
      <c r="A77" s="5">
        <v>50</v>
      </c>
      <c r="B77" s="5">
        <v>0</v>
      </c>
      <c r="C77" s="5">
        <v>0</v>
      </c>
      <c r="D77" s="5">
        <v>1</v>
      </c>
      <c r="E77" s="5">
        <v>201</v>
      </c>
      <c r="F77" s="5">
        <f>ROUND(Source!O75,O77)</f>
        <v>116438.62</v>
      </c>
      <c r="G77" s="5" t="s">
        <v>118</v>
      </c>
      <c r="H77" s="5" t="s">
        <v>119</v>
      </c>
      <c r="I77" s="5"/>
      <c r="J77" s="5"/>
      <c r="K77" s="5">
        <v>201</v>
      </c>
      <c r="L77" s="5">
        <v>1</v>
      </c>
      <c r="M77" s="5">
        <v>3</v>
      </c>
      <c r="N77" s="5" t="s">
        <v>3</v>
      </c>
      <c r="O77" s="5">
        <v>2</v>
      </c>
      <c r="P77" s="5">
        <f>ROUND(Source!DG75,O77)</f>
        <v>1094737.6399999999</v>
      </c>
      <c r="Q77" s="5"/>
      <c r="R77" s="5"/>
      <c r="S77" s="5"/>
      <c r="T77" s="5"/>
      <c r="U77" s="5"/>
      <c r="V77" s="5"/>
      <c r="W77" s="5">
        <v>116438.62</v>
      </c>
      <c r="X77" s="5">
        <v>1</v>
      </c>
      <c r="Y77" s="5">
        <v>116438.62</v>
      </c>
      <c r="Z77" s="5">
        <v>1094737.6399999999</v>
      </c>
      <c r="AA77" s="5">
        <v>1</v>
      </c>
      <c r="AB77" s="5">
        <v>1094737.6399999999</v>
      </c>
    </row>
    <row r="78" spans="1:255" x14ac:dyDescent="0.2">
      <c r="A78" s="5">
        <v>50</v>
      </c>
      <c r="B78" s="5">
        <v>0</v>
      </c>
      <c r="C78" s="5">
        <v>0</v>
      </c>
      <c r="D78" s="5">
        <v>1</v>
      </c>
      <c r="E78" s="5">
        <v>202</v>
      </c>
      <c r="F78" s="5">
        <f>ROUND(Source!P75,O78)</f>
        <v>107651.76</v>
      </c>
      <c r="G78" s="5" t="s">
        <v>120</v>
      </c>
      <c r="H78" s="5" t="s">
        <v>121</v>
      </c>
      <c r="I78" s="5"/>
      <c r="J78" s="5"/>
      <c r="K78" s="5">
        <v>202</v>
      </c>
      <c r="L78" s="5">
        <v>2</v>
      </c>
      <c r="M78" s="5">
        <v>3</v>
      </c>
      <c r="N78" s="5" t="s">
        <v>3</v>
      </c>
      <c r="O78" s="5">
        <v>2</v>
      </c>
      <c r="P78" s="5">
        <f>ROUND(Source!DH75,O78)</f>
        <v>650315.77</v>
      </c>
      <c r="Q78" s="5"/>
      <c r="R78" s="5"/>
      <c r="S78" s="5"/>
      <c r="T78" s="5"/>
      <c r="U78" s="5"/>
      <c r="V78" s="5"/>
      <c r="W78" s="5">
        <v>107651.76</v>
      </c>
      <c r="X78" s="5">
        <v>1</v>
      </c>
      <c r="Y78" s="5">
        <v>107651.76</v>
      </c>
      <c r="Z78" s="5">
        <v>650315.77</v>
      </c>
      <c r="AA78" s="5">
        <v>1</v>
      </c>
      <c r="AB78" s="5">
        <v>650315.77</v>
      </c>
    </row>
    <row r="79" spans="1:255" x14ac:dyDescent="0.2">
      <c r="A79" s="5">
        <v>50</v>
      </c>
      <c r="B79" s="5">
        <v>0</v>
      </c>
      <c r="C79" s="5">
        <v>0</v>
      </c>
      <c r="D79" s="5">
        <v>1</v>
      </c>
      <c r="E79" s="5">
        <v>222</v>
      </c>
      <c r="F79" s="5">
        <f>ROUND(Source!AO75,O79)</f>
        <v>0</v>
      </c>
      <c r="G79" s="5" t="s">
        <v>122</v>
      </c>
      <c r="H79" s="5" t="s">
        <v>123</v>
      </c>
      <c r="I79" s="5"/>
      <c r="J79" s="5"/>
      <c r="K79" s="5">
        <v>222</v>
      </c>
      <c r="L79" s="5">
        <v>3</v>
      </c>
      <c r="M79" s="5">
        <v>3</v>
      </c>
      <c r="N79" s="5" t="s">
        <v>3</v>
      </c>
      <c r="O79" s="5">
        <v>2</v>
      </c>
      <c r="P79" s="5">
        <f>ROUND(Source!EG75,O79)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55" x14ac:dyDescent="0.2">
      <c r="A80" s="5">
        <v>50</v>
      </c>
      <c r="B80" s="5">
        <v>0</v>
      </c>
      <c r="C80" s="5">
        <v>0</v>
      </c>
      <c r="D80" s="5">
        <v>1</v>
      </c>
      <c r="E80" s="5">
        <v>225</v>
      </c>
      <c r="F80" s="5">
        <f>ROUND(Source!AV75,O80)</f>
        <v>107651.76</v>
      </c>
      <c r="G80" s="5" t="s">
        <v>124</v>
      </c>
      <c r="H80" s="5" t="s">
        <v>125</v>
      </c>
      <c r="I80" s="5"/>
      <c r="J80" s="5"/>
      <c r="K80" s="5">
        <v>225</v>
      </c>
      <c r="L80" s="5">
        <v>4</v>
      </c>
      <c r="M80" s="5">
        <v>3</v>
      </c>
      <c r="N80" s="5" t="s">
        <v>3</v>
      </c>
      <c r="O80" s="5">
        <v>2</v>
      </c>
      <c r="P80" s="5">
        <f>ROUND(Source!EN75,O80)</f>
        <v>650315.77</v>
      </c>
      <c r="Q80" s="5"/>
      <c r="R80" s="5"/>
      <c r="S80" s="5"/>
      <c r="T80" s="5"/>
      <c r="U80" s="5"/>
      <c r="V80" s="5"/>
      <c r="W80" s="5">
        <v>107651.76</v>
      </c>
      <c r="X80" s="5">
        <v>1</v>
      </c>
      <c r="Y80" s="5">
        <v>107651.76</v>
      </c>
      <c r="Z80" s="5">
        <v>650315.77</v>
      </c>
      <c r="AA80" s="5">
        <v>1</v>
      </c>
      <c r="AB80" s="5">
        <v>650315.77</v>
      </c>
    </row>
    <row r="81" spans="1:28" x14ac:dyDescent="0.2">
      <c r="A81" s="5">
        <v>50</v>
      </c>
      <c r="B81" s="5">
        <v>0</v>
      </c>
      <c r="C81" s="5">
        <v>0</v>
      </c>
      <c r="D81" s="5">
        <v>1</v>
      </c>
      <c r="E81" s="5">
        <v>226</v>
      </c>
      <c r="F81" s="5">
        <f>ROUND(Source!AW75,O81)</f>
        <v>82612.06</v>
      </c>
      <c r="G81" s="5" t="s">
        <v>126</v>
      </c>
      <c r="H81" s="5" t="s">
        <v>127</v>
      </c>
      <c r="I81" s="5"/>
      <c r="J81" s="5"/>
      <c r="K81" s="5">
        <v>226</v>
      </c>
      <c r="L81" s="5">
        <v>5</v>
      </c>
      <c r="M81" s="5">
        <v>3</v>
      </c>
      <c r="N81" s="5" t="s">
        <v>3</v>
      </c>
      <c r="O81" s="5">
        <v>2</v>
      </c>
      <c r="P81" s="5">
        <f>ROUND(Source!EO75,O81)</f>
        <v>458511.66</v>
      </c>
      <c r="Q81" s="5"/>
      <c r="R81" s="5"/>
      <c r="S81" s="5"/>
      <c r="T81" s="5"/>
      <c r="U81" s="5"/>
      <c r="V81" s="5"/>
      <c r="W81" s="5">
        <v>82612.06</v>
      </c>
      <c r="X81" s="5">
        <v>1</v>
      </c>
      <c r="Y81" s="5">
        <v>82612.06</v>
      </c>
      <c r="Z81" s="5">
        <v>458511.66</v>
      </c>
      <c r="AA81" s="5">
        <v>1</v>
      </c>
      <c r="AB81" s="5">
        <v>458511.66</v>
      </c>
    </row>
    <row r="82" spans="1:28" x14ac:dyDescent="0.2">
      <c r="A82" s="5">
        <v>50</v>
      </c>
      <c r="B82" s="5">
        <v>0</v>
      </c>
      <c r="C82" s="5">
        <v>0</v>
      </c>
      <c r="D82" s="5">
        <v>1</v>
      </c>
      <c r="E82" s="5">
        <v>227</v>
      </c>
      <c r="F82" s="5">
        <f>ROUND(Source!AX75,O82)</f>
        <v>0</v>
      </c>
      <c r="G82" s="5" t="s">
        <v>128</v>
      </c>
      <c r="H82" s="5" t="s">
        <v>129</v>
      </c>
      <c r="I82" s="5"/>
      <c r="J82" s="5"/>
      <c r="K82" s="5">
        <v>227</v>
      </c>
      <c r="L82" s="5">
        <v>6</v>
      </c>
      <c r="M82" s="5">
        <v>3</v>
      </c>
      <c r="N82" s="5" t="s">
        <v>3</v>
      </c>
      <c r="O82" s="5">
        <v>2</v>
      </c>
      <c r="P82" s="5">
        <f>ROUND(Source!EP75,O82)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8" x14ac:dyDescent="0.2">
      <c r="A83" s="5">
        <v>50</v>
      </c>
      <c r="B83" s="5">
        <v>0</v>
      </c>
      <c r="C83" s="5">
        <v>0</v>
      </c>
      <c r="D83" s="5">
        <v>1</v>
      </c>
      <c r="E83" s="5">
        <v>228</v>
      </c>
      <c r="F83" s="5">
        <f>ROUND(Source!AY75,O83)</f>
        <v>82612.06</v>
      </c>
      <c r="G83" s="5" t="s">
        <v>130</v>
      </c>
      <c r="H83" s="5" t="s">
        <v>131</v>
      </c>
      <c r="I83" s="5"/>
      <c r="J83" s="5"/>
      <c r="K83" s="5">
        <v>228</v>
      </c>
      <c r="L83" s="5">
        <v>7</v>
      </c>
      <c r="M83" s="5">
        <v>3</v>
      </c>
      <c r="N83" s="5" t="s">
        <v>3</v>
      </c>
      <c r="O83" s="5">
        <v>2</v>
      </c>
      <c r="P83" s="5">
        <f>ROUND(Source!EQ75,O83)</f>
        <v>458511.66</v>
      </c>
      <c r="Q83" s="5"/>
      <c r="R83" s="5"/>
      <c r="S83" s="5"/>
      <c r="T83" s="5"/>
      <c r="U83" s="5"/>
      <c r="V83" s="5"/>
      <c r="W83" s="5">
        <v>82612.06</v>
      </c>
      <c r="X83" s="5">
        <v>1</v>
      </c>
      <c r="Y83" s="5">
        <v>82612.06</v>
      </c>
      <c r="Z83" s="5">
        <v>458511.66</v>
      </c>
      <c r="AA83" s="5">
        <v>1</v>
      </c>
      <c r="AB83" s="5">
        <v>458511.66</v>
      </c>
    </row>
    <row r="84" spans="1:28" x14ac:dyDescent="0.2">
      <c r="A84" s="5">
        <v>50</v>
      </c>
      <c r="B84" s="5">
        <v>0</v>
      </c>
      <c r="C84" s="5">
        <v>0</v>
      </c>
      <c r="D84" s="5">
        <v>1</v>
      </c>
      <c r="E84" s="5">
        <v>216</v>
      </c>
      <c r="F84" s="5">
        <f>ROUND(Source!AP75,O84)</f>
        <v>25039.7</v>
      </c>
      <c r="G84" s="5" t="s">
        <v>132</v>
      </c>
      <c r="H84" s="5" t="s">
        <v>133</v>
      </c>
      <c r="I84" s="5"/>
      <c r="J84" s="5"/>
      <c r="K84" s="5">
        <v>216</v>
      </c>
      <c r="L84" s="5">
        <v>8</v>
      </c>
      <c r="M84" s="5">
        <v>3</v>
      </c>
      <c r="N84" s="5" t="s">
        <v>3</v>
      </c>
      <c r="O84" s="5">
        <v>2</v>
      </c>
      <c r="P84" s="5">
        <f>ROUND(Source!EH75,O84)</f>
        <v>191804.11</v>
      </c>
      <c r="Q84" s="5"/>
      <c r="R84" s="5"/>
      <c r="S84" s="5"/>
      <c r="T84" s="5"/>
      <c r="U84" s="5"/>
      <c r="V84" s="5"/>
      <c r="W84" s="5">
        <v>25039.7</v>
      </c>
      <c r="X84" s="5">
        <v>1</v>
      </c>
      <c r="Y84" s="5">
        <v>25039.7</v>
      </c>
      <c r="Z84" s="5">
        <v>191804.11</v>
      </c>
      <c r="AA84" s="5">
        <v>1</v>
      </c>
      <c r="AB84" s="5">
        <v>191804.11</v>
      </c>
    </row>
    <row r="85" spans="1:28" x14ac:dyDescent="0.2">
      <c r="A85" s="5">
        <v>50</v>
      </c>
      <c r="B85" s="5">
        <v>0</v>
      </c>
      <c r="C85" s="5">
        <v>0</v>
      </c>
      <c r="D85" s="5">
        <v>1</v>
      </c>
      <c r="E85" s="5">
        <v>223</v>
      </c>
      <c r="F85" s="5">
        <f>ROUND(Source!AQ75,O85)</f>
        <v>0</v>
      </c>
      <c r="G85" s="5" t="s">
        <v>134</v>
      </c>
      <c r="H85" s="5" t="s">
        <v>135</v>
      </c>
      <c r="I85" s="5"/>
      <c r="J85" s="5"/>
      <c r="K85" s="5">
        <v>223</v>
      </c>
      <c r="L85" s="5">
        <v>9</v>
      </c>
      <c r="M85" s="5">
        <v>3</v>
      </c>
      <c r="N85" s="5" t="s">
        <v>3</v>
      </c>
      <c r="O85" s="5">
        <v>2</v>
      </c>
      <c r="P85" s="5">
        <f>ROUND(Source!EI75,O85)</f>
        <v>0</v>
      </c>
      <c r="Q85" s="5"/>
      <c r="R85" s="5"/>
      <c r="S85" s="5"/>
      <c r="T85" s="5"/>
      <c r="U85" s="5"/>
      <c r="V85" s="5"/>
      <c r="W85" s="5">
        <v>0</v>
      </c>
      <c r="X85" s="5">
        <v>1</v>
      </c>
      <c r="Y85" s="5">
        <v>0</v>
      </c>
      <c r="Z85" s="5">
        <v>0</v>
      </c>
      <c r="AA85" s="5">
        <v>1</v>
      </c>
      <c r="AB85" s="5">
        <v>0</v>
      </c>
    </row>
    <row r="86" spans="1:28" x14ac:dyDescent="0.2">
      <c r="A86" s="5">
        <v>50</v>
      </c>
      <c r="B86" s="5">
        <v>0</v>
      </c>
      <c r="C86" s="5">
        <v>0</v>
      </c>
      <c r="D86" s="5">
        <v>1</v>
      </c>
      <c r="E86" s="5">
        <v>229</v>
      </c>
      <c r="F86" s="5">
        <f>ROUND(Source!AZ75,O86)</f>
        <v>25039.7</v>
      </c>
      <c r="G86" s="5" t="s">
        <v>136</v>
      </c>
      <c r="H86" s="5" t="s">
        <v>137</v>
      </c>
      <c r="I86" s="5"/>
      <c r="J86" s="5"/>
      <c r="K86" s="5">
        <v>229</v>
      </c>
      <c r="L86" s="5">
        <v>10</v>
      </c>
      <c r="M86" s="5">
        <v>3</v>
      </c>
      <c r="N86" s="5" t="s">
        <v>3</v>
      </c>
      <c r="O86" s="5">
        <v>2</v>
      </c>
      <c r="P86" s="5">
        <f>ROUND(Source!ER75,O86)</f>
        <v>191804.11</v>
      </c>
      <c r="Q86" s="5"/>
      <c r="R86" s="5"/>
      <c r="S86" s="5"/>
      <c r="T86" s="5"/>
      <c r="U86" s="5"/>
      <c r="V86" s="5"/>
      <c r="W86" s="5">
        <v>25039.7</v>
      </c>
      <c r="X86" s="5">
        <v>1</v>
      </c>
      <c r="Y86" s="5">
        <v>25039.7</v>
      </c>
      <c r="Z86" s="5">
        <v>191804.11</v>
      </c>
      <c r="AA86" s="5">
        <v>1</v>
      </c>
      <c r="AB86" s="5">
        <v>191804.11</v>
      </c>
    </row>
    <row r="87" spans="1:28" x14ac:dyDescent="0.2">
      <c r="A87" s="5">
        <v>50</v>
      </c>
      <c r="B87" s="5">
        <v>0</v>
      </c>
      <c r="C87" s="5">
        <v>0</v>
      </c>
      <c r="D87" s="5">
        <v>1</v>
      </c>
      <c r="E87" s="5">
        <v>203</v>
      </c>
      <c r="F87" s="5">
        <f>ROUND(Source!Q75,O87)</f>
        <v>1034.27</v>
      </c>
      <c r="G87" s="5" t="s">
        <v>138</v>
      </c>
      <c r="H87" s="5" t="s">
        <v>139</v>
      </c>
      <c r="I87" s="5"/>
      <c r="J87" s="5"/>
      <c r="K87" s="5">
        <v>203</v>
      </c>
      <c r="L87" s="5">
        <v>11</v>
      </c>
      <c r="M87" s="5">
        <v>3</v>
      </c>
      <c r="N87" s="5" t="s">
        <v>3</v>
      </c>
      <c r="O87" s="5">
        <v>2</v>
      </c>
      <c r="P87" s="5">
        <f>ROUND(Source!DI75,O87)</f>
        <v>18106.939999999999</v>
      </c>
      <c r="Q87" s="5"/>
      <c r="R87" s="5"/>
      <c r="S87" s="5"/>
      <c r="T87" s="5"/>
      <c r="U87" s="5"/>
      <c r="V87" s="5"/>
      <c r="W87" s="5">
        <v>1034.27</v>
      </c>
      <c r="X87" s="5">
        <v>1</v>
      </c>
      <c r="Y87" s="5">
        <v>1034.27</v>
      </c>
      <c r="Z87" s="5">
        <v>18106.939999999999</v>
      </c>
      <c r="AA87" s="5">
        <v>1</v>
      </c>
      <c r="AB87" s="5">
        <v>18106.939999999999</v>
      </c>
    </row>
    <row r="88" spans="1:28" x14ac:dyDescent="0.2">
      <c r="A88" s="5">
        <v>50</v>
      </c>
      <c r="B88" s="5">
        <v>0</v>
      </c>
      <c r="C88" s="5">
        <v>0</v>
      </c>
      <c r="D88" s="5">
        <v>1</v>
      </c>
      <c r="E88" s="5">
        <v>231</v>
      </c>
      <c r="F88" s="5">
        <f>ROUND(Source!BB75,O88)</f>
        <v>0</v>
      </c>
      <c r="G88" s="5" t="s">
        <v>140</v>
      </c>
      <c r="H88" s="5" t="s">
        <v>141</v>
      </c>
      <c r="I88" s="5"/>
      <c r="J88" s="5"/>
      <c r="K88" s="5">
        <v>231</v>
      </c>
      <c r="L88" s="5">
        <v>12</v>
      </c>
      <c r="M88" s="5">
        <v>3</v>
      </c>
      <c r="N88" s="5" t="s">
        <v>3</v>
      </c>
      <c r="O88" s="5">
        <v>2</v>
      </c>
      <c r="P88" s="5">
        <f>ROUND(Source!ET75,O88)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8" x14ac:dyDescent="0.2">
      <c r="A89" s="5">
        <v>50</v>
      </c>
      <c r="B89" s="5">
        <v>0</v>
      </c>
      <c r="C89" s="5">
        <v>0</v>
      </c>
      <c r="D89" s="5">
        <v>1</v>
      </c>
      <c r="E89" s="5">
        <v>204</v>
      </c>
      <c r="F89" s="5">
        <f>ROUND(Source!R75,O89)</f>
        <v>173.24</v>
      </c>
      <c r="G89" s="5" t="s">
        <v>142</v>
      </c>
      <c r="H89" s="5" t="s">
        <v>143</v>
      </c>
      <c r="I89" s="5"/>
      <c r="J89" s="5"/>
      <c r="K89" s="5">
        <v>204</v>
      </c>
      <c r="L89" s="5">
        <v>13</v>
      </c>
      <c r="M89" s="5">
        <v>3</v>
      </c>
      <c r="N89" s="5" t="s">
        <v>3</v>
      </c>
      <c r="O89" s="5">
        <v>2</v>
      </c>
      <c r="P89" s="5">
        <f>ROUND(Source!DJ75,O89)</f>
        <v>9526.49</v>
      </c>
      <c r="Q89" s="5"/>
      <c r="R89" s="5"/>
      <c r="S89" s="5"/>
      <c r="T89" s="5"/>
      <c r="U89" s="5"/>
      <c r="V89" s="5"/>
      <c r="W89" s="5">
        <v>173.24</v>
      </c>
      <c r="X89" s="5">
        <v>1</v>
      </c>
      <c r="Y89" s="5">
        <v>173.24</v>
      </c>
      <c r="Z89" s="5">
        <v>9526.49</v>
      </c>
      <c r="AA89" s="5">
        <v>1</v>
      </c>
      <c r="AB89" s="5">
        <v>9526.49</v>
      </c>
    </row>
    <row r="90" spans="1:28" x14ac:dyDescent="0.2">
      <c r="A90" s="5">
        <v>50</v>
      </c>
      <c r="B90" s="5">
        <v>0</v>
      </c>
      <c r="C90" s="5">
        <v>0</v>
      </c>
      <c r="D90" s="5">
        <v>1</v>
      </c>
      <c r="E90" s="5">
        <v>205</v>
      </c>
      <c r="F90" s="5">
        <f>ROUND(Source!S75,O90)</f>
        <v>7752.59</v>
      </c>
      <c r="G90" s="5" t="s">
        <v>144</v>
      </c>
      <c r="H90" s="5" t="s">
        <v>145</v>
      </c>
      <c r="I90" s="5"/>
      <c r="J90" s="5"/>
      <c r="K90" s="5">
        <v>205</v>
      </c>
      <c r="L90" s="5">
        <v>14</v>
      </c>
      <c r="M90" s="5">
        <v>3</v>
      </c>
      <c r="N90" s="5" t="s">
        <v>3</v>
      </c>
      <c r="O90" s="5">
        <v>2</v>
      </c>
      <c r="P90" s="5">
        <f>ROUND(Source!DK75,O90)</f>
        <v>426314.93</v>
      </c>
      <c r="Q90" s="5"/>
      <c r="R90" s="5"/>
      <c r="S90" s="5"/>
      <c r="T90" s="5"/>
      <c r="U90" s="5"/>
      <c r="V90" s="5"/>
      <c r="W90" s="5">
        <v>7752.59</v>
      </c>
      <c r="X90" s="5">
        <v>1</v>
      </c>
      <c r="Y90" s="5">
        <v>7752.59</v>
      </c>
      <c r="Z90" s="5">
        <v>426314.93</v>
      </c>
      <c r="AA90" s="5">
        <v>1</v>
      </c>
      <c r="AB90" s="5">
        <v>426314.93</v>
      </c>
    </row>
    <row r="91" spans="1:28" x14ac:dyDescent="0.2">
      <c r="A91" s="5">
        <v>50</v>
      </c>
      <c r="B91" s="5">
        <v>0</v>
      </c>
      <c r="C91" s="5">
        <v>0</v>
      </c>
      <c r="D91" s="5">
        <v>1</v>
      </c>
      <c r="E91" s="5">
        <v>232</v>
      </c>
      <c r="F91" s="5">
        <f>ROUND(Source!BC75,O91)</f>
        <v>0</v>
      </c>
      <c r="G91" s="5" t="s">
        <v>146</v>
      </c>
      <c r="H91" s="5" t="s">
        <v>147</v>
      </c>
      <c r="I91" s="5"/>
      <c r="J91" s="5"/>
      <c r="K91" s="5">
        <v>232</v>
      </c>
      <c r="L91" s="5">
        <v>15</v>
      </c>
      <c r="M91" s="5">
        <v>3</v>
      </c>
      <c r="N91" s="5" t="s">
        <v>3</v>
      </c>
      <c r="O91" s="5">
        <v>2</v>
      </c>
      <c r="P91" s="5">
        <f>ROUND(Source!EU75,O91)</f>
        <v>0</v>
      </c>
      <c r="Q91" s="5"/>
      <c r="R91" s="5"/>
      <c r="S91" s="5"/>
      <c r="T91" s="5"/>
      <c r="U91" s="5"/>
      <c r="V91" s="5"/>
      <c r="W91" s="5">
        <v>0</v>
      </c>
      <c r="X91" s="5">
        <v>1</v>
      </c>
      <c r="Y91" s="5">
        <v>0</v>
      </c>
      <c r="Z91" s="5">
        <v>0</v>
      </c>
      <c r="AA91" s="5">
        <v>1</v>
      </c>
      <c r="AB91" s="5">
        <v>0</v>
      </c>
    </row>
    <row r="92" spans="1:28" x14ac:dyDescent="0.2">
      <c r="A92" s="5">
        <v>50</v>
      </c>
      <c r="B92" s="5">
        <v>0</v>
      </c>
      <c r="C92" s="5">
        <v>0</v>
      </c>
      <c r="D92" s="5">
        <v>1</v>
      </c>
      <c r="E92" s="5">
        <v>214</v>
      </c>
      <c r="F92" s="5">
        <f>ROUND(Source!AS75,O92)</f>
        <v>0</v>
      </c>
      <c r="G92" s="5" t="s">
        <v>148</v>
      </c>
      <c r="H92" s="5" t="s">
        <v>149</v>
      </c>
      <c r="I92" s="5"/>
      <c r="J92" s="5"/>
      <c r="K92" s="5">
        <v>214</v>
      </c>
      <c r="L92" s="5">
        <v>16</v>
      </c>
      <c r="M92" s="5">
        <v>3</v>
      </c>
      <c r="N92" s="5" t="s">
        <v>3</v>
      </c>
      <c r="O92" s="5">
        <v>2</v>
      </c>
      <c r="P92" s="5">
        <f>ROUND(Source!EK75,O92)</f>
        <v>0</v>
      </c>
      <c r="Q92" s="5"/>
      <c r="R92" s="5"/>
      <c r="S92" s="5"/>
      <c r="T92" s="5"/>
      <c r="U92" s="5"/>
      <c r="V92" s="5"/>
      <c r="W92" s="5">
        <v>0</v>
      </c>
      <c r="X92" s="5">
        <v>1</v>
      </c>
      <c r="Y92" s="5">
        <v>0</v>
      </c>
      <c r="Z92" s="5">
        <v>0</v>
      </c>
      <c r="AA92" s="5">
        <v>1</v>
      </c>
      <c r="AB92" s="5">
        <v>0</v>
      </c>
    </row>
    <row r="93" spans="1:28" x14ac:dyDescent="0.2">
      <c r="A93" s="5">
        <v>50</v>
      </c>
      <c r="B93" s="5">
        <v>0</v>
      </c>
      <c r="C93" s="5">
        <v>0</v>
      </c>
      <c r="D93" s="5">
        <v>1</v>
      </c>
      <c r="E93" s="5">
        <v>215</v>
      </c>
      <c r="F93" s="5">
        <f>ROUND(Source!AT75,O93)</f>
        <v>103107.49</v>
      </c>
      <c r="G93" s="5" t="s">
        <v>150</v>
      </c>
      <c r="H93" s="5" t="s">
        <v>151</v>
      </c>
      <c r="I93" s="5"/>
      <c r="J93" s="5"/>
      <c r="K93" s="5">
        <v>215</v>
      </c>
      <c r="L93" s="5">
        <v>17</v>
      </c>
      <c r="M93" s="5">
        <v>3</v>
      </c>
      <c r="N93" s="5" t="s">
        <v>3</v>
      </c>
      <c r="O93" s="5">
        <v>2</v>
      </c>
      <c r="P93" s="5">
        <f>ROUND(Source!EL75,O93)</f>
        <v>1546788.42</v>
      </c>
      <c r="Q93" s="5"/>
      <c r="R93" s="5"/>
      <c r="S93" s="5"/>
      <c r="T93" s="5"/>
      <c r="U93" s="5"/>
      <c r="V93" s="5"/>
      <c r="W93" s="5">
        <v>103107.49</v>
      </c>
      <c r="X93" s="5">
        <v>1</v>
      </c>
      <c r="Y93" s="5">
        <v>103107.49</v>
      </c>
      <c r="Z93" s="5">
        <v>1546788.42</v>
      </c>
      <c r="AA93" s="5">
        <v>1</v>
      </c>
      <c r="AB93" s="5">
        <v>1546788.42</v>
      </c>
    </row>
    <row r="94" spans="1:28" x14ac:dyDescent="0.2">
      <c r="A94" s="5">
        <v>50</v>
      </c>
      <c r="B94" s="5">
        <v>0</v>
      </c>
      <c r="C94" s="5">
        <v>0</v>
      </c>
      <c r="D94" s="5">
        <v>1</v>
      </c>
      <c r="E94" s="5">
        <v>217</v>
      </c>
      <c r="F94" s="5">
        <f>ROUND(Source!AU75,O94)</f>
        <v>0</v>
      </c>
      <c r="G94" s="5" t="s">
        <v>152</v>
      </c>
      <c r="H94" s="5" t="s">
        <v>153</v>
      </c>
      <c r="I94" s="5"/>
      <c r="J94" s="5"/>
      <c r="K94" s="5">
        <v>217</v>
      </c>
      <c r="L94" s="5">
        <v>18</v>
      </c>
      <c r="M94" s="5">
        <v>3</v>
      </c>
      <c r="N94" s="5" t="s">
        <v>3</v>
      </c>
      <c r="O94" s="5">
        <v>2</v>
      </c>
      <c r="P94" s="5">
        <f>ROUND(Source!EM75,O94)</f>
        <v>0</v>
      </c>
      <c r="Q94" s="5"/>
      <c r="R94" s="5"/>
      <c r="S94" s="5"/>
      <c r="T94" s="5"/>
      <c r="U94" s="5"/>
      <c r="V94" s="5"/>
      <c r="W94" s="5">
        <v>0</v>
      </c>
      <c r="X94" s="5">
        <v>1</v>
      </c>
      <c r="Y94" s="5">
        <v>0</v>
      </c>
      <c r="Z94" s="5">
        <v>0</v>
      </c>
      <c r="AA94" s="5">
        <v>1</v>
      </c>
      <c r="AB94" s="5">
        <v>0</v>
      </c>
    </row>
    <row r="95" spans="1:28" x14ac:dyDescent="0.2">
      <c r="A95" s="5">
        <v>50</v>
      </c>
      <c r="B95" s="5">
        <v>0</v>
      </c>
      <c r="C95" s="5">
        <v>0</v>
      </c>
      <c r="D95" s="5">
        <v>1</v>
      </c>
      <c r="E95" s="5">
        <v>230</v>
      </c>
      <c r="F95" s="5">
        <f>ROUND(Source!BA75,O95)</f>
        <v>0</v>
      </c>
      <c r="G95" s="5" t="s">
        <v>154</v>
      </c>
      <c r="H95" s="5" t="s">
        <v>155</v>
      </c>
      <c r="I95" s="5"/>
      <c r="J95" s="5"/>
      <c r="K95" s="5">
        <v>230</v>
      </c>
      <c r="L95" s="5">
        <v>19</v>
      </c>
      <c r="M95" s="5">
        <v>3</v>
      </c>
      <c r="N95" s="5" t="s">
        <v>3</v>
      </c>
      <c r="O95" s="5">
        <v>2</v>
      </c>
      <c r="P95" s="5">
        <f>ROUND(Source!ES75,O95)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8" x14ac:dyDescent="0.2">
      <c r="A96" s="5">
        <v>50</v>
      </c>
      <c r="B96" s="5">
        <v>0</v>
      </c>
      <c r="C96" s="5">
        <v>0</v>
      </c>
      <c r="D96" s="5">
        <v>1</v>
      </c>
      <c r="E96" s="5">
        <v>206</v>
      </c>
      <c r="F96" s="5">
        <f>ROUND(Source!T75,O96)</f>
        <v>0</v>
      </c>
      <c r="G96" s="5" t="s">
        <v>156</v>
      </c>
      <c r="H96" s="5" t="s">
        <v>157</v>
      </c>
      <c r="I96" s="5"/>
      <c r="J96" s="5"/>
      <c r="K96" s="5">
        <v>206</v>
      </c>
      <c r="L96" s="5">
        <v>20</v>
      </c>
      <c r="M96" s="5">
        <v>3</v>
      </c>
      <c r="N96" s="5" t="s">
        <v>3</v>
      </c>
      <c r="O96" s="5">
        <v>2</v>
      </c>
      <c r="P96" s="5">
        <f>ROUND(Source!DL75,O96)</f>
        <v>0</v>
      </c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</row>
    <row r="97" spans="1:255" x14ac:dyDescent="0.2">
      <c r="A97" s="5">
        <v>50</v>
      </c>
      <c r="B97" s="5">
        <v>0</v>
      </c>
      <c r="C97" s="5">
        <v>0</v>
      </c>
      <c r="D97" s="5">
        <v>1</v>
      </c>
      <c r="E97" s="5">
        <v>207</v>
      </c>
      <c r="F97" s="5">
        <f>Source!U75</f>
        <v>615.2796012</v>
      </c>
      <c r="G97" s="5" t="s">
        <v>158</v>
      </c>
      <c r="H97" s="5" t="s">
        <v>159</v>
      </c>
      <c r="I97" s="5"/>
      <c r="J97" s="5"/>
      <c r="K97" s="5">
        <v>207</v>
      </c>
      <c r="L97" s="5">
        <v>21</v>
      </c>
      <c r="M97" s="5">
        <v>3</v>
      </c>
      <c r="N97" s="5" t="s">
        <v>3</v>
      </c>
      <c r="O97" s="5">
        <v>-1</v>
      </c>
      <c r="P97" s="5">
        <f>Source!DM75</f>
        <v>615.2796012</v>
      </c>
      <c r="Q97" s="5"/>
      <c r="R97" s="5"/>
      <c r="S97" s="5"/>
      <c r="T97" s="5"/>
      <c r="U97" s="5"/>
      <c r="V97" s="5"/>
      <c r="W97" s="5">
        <v>615.2796012</v>
      </c>
      <c r="X97" s="5">
        <v>1</v>
      </c>
      <c r="Y97" s="5">
        <v>615.2796012</v>
      </c>
      <c r="Z97" s="5">
        <v>615.2796012</v>
      </c>
      <c r="AA97" s="5">
        <v>1</v>
      </c>
      <c r="AB97" s="5">
        <v>615.2796012</v>
      </c>
    </row>
    <row r="98" spans="1:255" x14ac:dyDescent="0.2">
      <c r="A98" s="5">
        <v>50</v>
      </c>
      <c r="B98" s="5">
        <v>0</v>
      </c>
      <c r="C98" s="5">
        <v>0</v>
      </c>
      <c r="D98" s="5">
        <v>1</v>
      </c>
      <c r="E98" s="5">
        <v>208</v>
      </c>
      <c r="F98" s="5">
        <f>Source!V75</f>
        <v>0</v>
      </c>
      <c r="G98" s="5" t="s">
        <v>160</v>
      </c>
      <c r="H98" s="5" t="s">
        <v>161</v>
      </c>
      <c r="I98" s="5"/>
      <c r="J98" s="5"/>
      <c r="K98" s="5">
        <v>208</v>
      </c>
      <c r="L98" s="5">
        <v>22</v>
      </c>
      <c r="M98" s="5">
        <v>3</v>
      </c>
      <c r="N98" s="5" t="s">
        <v>3</v>
      </c>
      <c r="O98" s="5">
        <v>-1</v>
      </c>
      <c r="P98" s="5">
        <f>Source!DN75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55" x14ac:dyDescent="0.2">
      <c r="A99" s="5">
        <v>50</v>
      </c>
      <c r="B99" s="5">
        <v>0</v>
      </c>
      <c r="C99" s="5">
        <v>0</v>
      </c>
      <c r="D99" s="5">
        <v>1</v>
      </c>
      <c r="E99" s="5">
        <v>209</v>
      </c>
      <c r="F99" s="5">
        <f>ROUND(Source!W75,O99)</f>
        <v>0</v>
      </c>
      <c r="G99" s="5" t="s">
        <v>162</v>
      </c>
      <c r="H99" s="5" t="s">
        <v>163</v>
      </c>
      <c r="I99" s="5"/>
      <c r="J99" s="5"/>
      <c r="K99" s="5">
        <v>209</v>
      </c>
      <c r="L99" s="5">
        <v>23</v>
      </c>
      <c r="M99" s="5">
        <v>3</v>
      </c>
      <c r="N99" s="5" t="s">
        <v>3</v>
      </c>
      <c r="O99" s="5">
        <v>2</v>
      </c>
      <c r="P99" s="5">
        <f>ROUND(Source!DO75,O99)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55" x14ac:dyDescent="0.2">
      <c r="A100" s="5">
        <v>50</v>
      </c>
      <c r="B100" s="5">
        <v>0</v>
      </c>
      <c r="C100" s="5">
        <v>0</v>
      </c>
      <c r="D100" s="5">
        <v>1</v>
      </c>
      <c r="E100" s="5">
        <v>233</v>
      </c>
      <c r="F100" s="5">
        <f>ROUND(Source!BD75,O100)</f>
        <v>0</v>
      </c>
      <c r="G100" s="5" t="s">
        <v>164</v>
      </c>
      <c r="H100" s="5" t="s">
        <v>165</v>
      </c>
      <c r="I100" s="5"/>
      <c r="J100" s="5"/>
      <c r="K100" s="5">
        <v>233</v>
      </c>
      <c r="L100" s="5">
        <v>24</v>
      </c>
      <c r="M100" s="5">
        <v>3</v>
      </c>
      <c r="N100" s="5" t="s">
        <v>3</v>
      </c>
      <c r="O100" s="5">
        <v>2</v>
      </c>
      <c r="P100" s="5">
        <f>ROUND(Source!EV75,O100)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55" x14ac:dyDescent="0.2">
      <c r="A101" s="5">
        <v>50</v>
      </c>
      <c r="B101" s="5">
        <v>0</v>
      </c>
      <c r="C101" s="5">
        <v>0</v>
      </c>
      <c r="D101" s="5">
        <v>1</v>
      </c>
      <c r="E101" s="5">
        <v>210</v>
      </c>
      <c r="F101" s="5">
        <f>ROUND(Source!X75,O101)</f>
        <v>7675.44</v>
      </c>
      <c r="G101" s="5" t="s">
        <v>166</v>
      </c>
      <c r="H101" s="5" t="s">
        <v>167</v>
      </c>
      <c r="I101" s="5"/>
      <c r="J101" s="5"/>
      <c r="K101" s="5">
        <v>210</v>
      </c>
      <c r="L101" s="5">
        <v>25</v>
      </c>
      <c r="M101" s="5">
        <v>3</v>
      </c>
      <c r="N101" s="5" t="s">
        <v>3</v>
      </c>
      <c r="O101" s="5">
        <v>2</v>
      </c>
      <c r="P101" s="5">
        <f>ROUND(Source!DP75,O101)</f>
        <v>422071.77</v>
      </c>
      <c r="Q101" s="5"/>
      <c r="R101" s="5"/>
      <c r="S101" s="5"/>
      <c r="T101" s="5"/>
      <c r="U101" s="5"/>
      <c r="V101" s="5"/>
      <c r="W101" s="5">
        <v>7675.44</v>
      </c>
      <c r="X101" s="5">
        <v>1</v>
      </c>
      <c r="Y101" s="5">
        <v>7675.44</v>
      </c>
      <c r="Z101" s="5">
        <v>422071.77</v>
      </c>
      <c r="AA101" s="5">
        <v>1</v>
      </c>
      <c r="AB101" s="5">
        <v>422071.77</v>
      </c>
    </row>
    <row r="102" spans="1:255" x14ac:dyDescent="0.2">
      <c r="A102" s="5">
        <v>50</v>
      </c>
      <c r="B102" s="5">
        <v>0</v>
      </c>
      <c r="C102" s="5">
        <v>0</v>
      </c>
      <c r="D102" s="5">
        <v>1</v>
      </c>
      <c r="E102" s="5">
        <v>211</v>
      </c>
      <c r="F102" s="5">
        <f>ROUND(Source!Y75,O102)</f>
        <v>4033.13</v>
      </c>
      <c r="G102" s="5" t="s">
        <v>168</v>
      </c>
      <c r="H102" s="5" t="s">
        <v>169</v>
      </c>
      <c r="I102" s="5"/>
      <c r="J102" s="5"/>
      <c r="K102" s="5">
        <v>211</v>
      </c>
      <c r="L102" s="5">
        <v>26</v>
      </c>
      <c r="M102" s="5">
        <v>3</v>
      </c>
      <c r="N102" s="5" t="s">
        <v>3</v>
      </c>
      <c r="O102" s="5">
        <v>2</v>
      </c>
      <c r="P102" s="5">
        <f>ROUND(Source!DQ75,O102)</f>
        <v>221783.12</v>
      </c>
      <c r="Q102" s="5"/>
      <c r="R102" s="5"/>
      <c r="S102" s="5"/>
      <c r="T102" s="5"/>
      <c r="U102" s="5"/>
      <c r="V102" s="5"/>
      <c r="W102" s="5">
        <v>4033.13</v>
      </c>
      <c r="X102" s="5">
        <v>1</v>
      </c>
      <c r="Y102" s="5">
        <v>4033.13</v>
      </c>
      <c r="Z102" s="5">
        <v>221783.12</v>
      </c>
      <c r="AA102" s="5">
        <v>1</v>
      </c>
      <c r="AB102" s="5">
        <v>221783.12</v>
      </c>
    </row>
    <row r="103" spans="1:255" x14ac:dyDescent="0.2">
      <c r="A103" s="5">
        <v>50</v>
      </c>
      <c r="B103" s="5">
        <v>0</v>
      </c>
      <c r="C103" s="5">
        <v>0</v>
      </c>
      <c r="D103" s="5">
        <v>1</v>
      </c>
      <c r="E103" s="5">
        <v>224</v>
      </c>
      <c r="F103" s="5">
        <f>ROUND(Source!AR75,O103)</f>
        <v>128147.19</v>
      </c>
      <c r="G103" s="5" t="s">
        <v>170</v>
      </c>
      <c r="H103" s="5" t="s">
        <v>171</v>
      </c>
      <c r="I103" s="5"/>
      <c r="J103" s="5"/>
      <c r="K103" s="5">
        <v>224</v>
      </c>
      <c r="L103" s="5">
        <v>27</v>
      </c>
      <c r="M103" s="5">
        <v>3</v>
      </c>
      <c r="N103" s="5" t="s">
        <v>3</v>
      </c>
      <c r="O103" s="5">
        <v>2</v>
      </c>
      <c r="P103" s="5">
        <f>ROUND(Source!EJ75,O103)</f>
        <v>1738592.53</v>
      </c>
      <c r="Q103" s="5"/>
      <c r="R103" s="5"/>
      <c r="S103" s="5"/>
      <c r="T103" s="5"/>
      <c r="U103" s="5"/>
      <c r="V103" s="5"/>
      <c r="W103" s="5">
        <v>128147.19</v>
      </c>
      <c r="X103" s="5">
        <v>1</v>
      </c>
      <c r="Y103" s="5">
        <v>128147.19</v>
      </c>
      <c r="Z103" s="5">
        <v>1738592.53</v>
      </c>
      <c r="AA103" s="5">
        <v>1</v>
      </c>
      <c r="AB103" s="5">
        <v>1738592.53</v>
      </c>
    </row>
    <row r="105" spans="1:255" x14ac:dyDescent="0.2">
      <c r="A105" s="1">
        <v>4</v>
      </c>
      <c r="B105" s="1">
        <v>1</v>
      </c>
      <c r="C105" s="1"/>
      <c r="D105" s="1">
        <f>ROW(A114)</f>
        <v>114</v>
      </c>
      <c r="E105" s="1"/>
      <c r="F105" s="1" t="s">
        <v>16</v>
      </c>
      <c r="G105" s="1" t="s">
        <v>172</v>
      </c>
      <c r="H105" s="1" t="s">
        <v>3</v>
      </c>
      <c r="I105" s="1">
        <v>0</v>
      </c>
      <c r="J105" s="1"/>
      <c r="K105" s="1">
        <v>0</v>
      </c>
      <c r="L105" s="1"/>
      <c r="M105" s="1" t="s">
        <v>3</v>
      </c>
      <c r="N105" s="1"/>
      <c r="O105" s="1"/>
      <c r="P105" s="1"/>
      <c r="Q105" s="1"/>
      <c r="R105" s="1"/>
      <c r="S105" s="1">
        <v>0</v>
      </c>
      <c r="T105" s="1">
        <v>0</v>
      </c>
      <c r="U105" s="1" t="s">
        <v>3</v>
      </c>
      <c r="V105" s="1">
        <v>2</v>
      </c>
      <c r="W105" s="1"/>
      <c r="X105" s="1"/>
      <c r="Y105" s="1"/>
      <c r="Z105" s="1"/>
      <c r="AA105" s="1"/>
      <c r="AB105" s="1" t="s">
        <v>3</v>
      </c>
      <c r="AC105" s="1" t="s">
        <v>3</v>
      </c>
      <c r="AD105" s="1" t="s">
        <v>3</v>
      </c>
      <c r="AE105" s="1" t="s">
        <v>3</v>
      </c>
      <c r="AF105" s="1" t="s">
        <v>3</v>
      </c>
      <c r="AG105" s="1" t="s">
        <v>3</v>
      </c>
      <c r="AH105" s="1"/>
      <c r="AI105" s="1"/>
      <c r="AJ105" s="1"/>
      <c r="AK105" s="1"/>
      <c r="AL105" s="1"/>
      <c r="AM105" s="1"/>
      <c r="AN105" s="1"/>
      <c r="AO105" s="1"/>
      <c r="AP105" s="1" t="s">
        <v>3</v>
      </c>
      <c r="AQ105" s="1" t="s">
        <v>3</v>
      </c>
      <c r="AR105" s="1" t="s">
        <v>3</v>
      </c>
      <c r="AS105" s="1"/>
      <c r="AT105" s="1"/>
      <c r="AU105" s="1"/>
      <c r="AV105" s="1"/>
      <c r="AW105" s="1"/>
      <c r="AX105" s="1"/>
      <c r="AY105" s="1"/>
      <c r="AZ105" s="1" t="s">
        <v>3</v>
      </c>
      <c r="BA105" s="1"/>
      <c r="BB105" s="1" t="s">
        <v>3</v>
      </c>
      <c r="BC105" s="1" t="s">
        <v>3</v>
      </c>
      <c r="BD105" s="1" t="s">
        <v>3</v>
      </c>
      <c r="BE105" s="1" t="s">
        <v>3</v>
      </c>
      <c r="BF105" s="1" t="s">
        <v>3</v>
      </c>
      <c r="BG105" s="1" t="s">
        <v>3</v>
      </c>
      <c r="BH105" s="1" t="s">
        <v>3</v>
      </c>
      <c r="BI105" s="1" t="s">
        <v>3</v>
      </c>
      <c r="BJ105" s="1" t="s">
        <v>3</v>
      </c>
      <c r="BK105" s="1" t="s">
        <v>3</v>
      </c>
      <c r="BL105" s="1" t="s">
        <v>3</v>
      </c>
      <c r="BM105" s="1" t="s">
        <v>3</v>
      </c>
      <c r="BN105" s="1" t="s">
        <v>3</v>
      </c>
      <c r="BO105" s="1" t="s">
        <v>3</v>
      </c>
      <c r="BP105" s="1" t="s">
        <v>3</v>
      </c>
      <c r="BQ105" s="1"/>
      <c r="BR105" s="1"/>
      <c r="BS105" s="1"/>
      <c r="BT105" s="1"/>
      <c r="BU105" s="1"/>
      <c r="BV105" s="1"/>
      <c r="BW105" s="1"/>
      <c r="BX105" s="1">
        <v>0</v>
      </c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>
        <v>0</v>
      </c>
    </row>
    <row r="107" spans="1:255" x14ac:dyDescent="0.2">
      <c r="A107" s="3">
        <v>52</v>
      </c>
      <c r="B107" s="3">
        <f t="shared" ref="B107:G107" si="61">B114</f>
        <v>1</v>
      </c>
      <c r="C107" s="3">
        <f t="shared" si="61"/>
        <v>4</v>
      </c>
      <c r="D107" s="3">
        <f t="shared" si="61"/>
        <v>105</v>
      </c>
      <c r="E107" s="3">
        <f t="shared" si="61"/>
        <v>0</v>
      </c>
      <c r="F107" s="3" t="str">
        <f t="shared" si="61"/>
        <v>Новый раздел</v>
      </c>
      <c r="G107" s="3" t="str">
        <f t="shared" si="61"/>
        <v>Программное обеспечение</v>
      </c>
      <c r="H107" s="3"/>
      <c r="I107" s="3"/>
      <c r="J107" s="3"/>
      <c r="K107" s="3"/>
      <c r="L107" s="3"/>
      <c r="M107" s="3"/>
      <c r="N107" s="3"/>
      <c r="O107" s="3">
        <f t="shared" ref="O107:AT107" si="62">O114</f>
        <v>20417.75</v>
      </c>
      <c r="P107" s="3">
        <f t="shared" si="62"/>
        <v>20417.75</v>
      </c>
      <c r="Q107" s="3">
        <f t="shared" si="62"/>
        <v>0</v>
      </c>
      <c r="R107" s="3">
        <f t="shared" si="62"/>
        <v>0</v>
      </c>
      <c r="S107" s="3">
        <f t="shared" si="62"/>
        <v>0</v>
      </c>
      <c r="T107" s="3">
        <f t="shared" si="62"/>
        <v>0</v>
      </c>
      <c r="U107" s="3">
        <f t="shared" si="62"/>
        <v>0</v>
      </c>
      <c r="V107" s="3">
        <f t="shared" si="62"/>
        <v>0</v>
      </c>
      <c r="W107" s="3">
        <f t="shared" si="62"/>
        <v>0</v>
      </c>
      <c r="X107" s="3">
        <f t="shared" si="62"/>
        <v>0</v>
      </c>
      <c r="Y107" s="3">
        <f t="shared" si="62"/>
        <v>0</v>
      </c>
      <c r="Z107" s="3">
        <f t="shared" si="62"/>
        <v>0</v>
      </c>
      <c r="AA107" s="3">
        <f t="shared" si="62"/>
        <v>0</v>
      </c>
      <c r="AB107" s="3">
        <f t="shared" si="62"/>
        <v>20417.75</v>
      </c>
      <c r="AC107" s="3">
        <f t="shared" si="62"/>
        <v>20417.75</v>
      </c>
      <c r="AD107" s="3">
        <f t="shared" si="62"/>
        <v>0</v>
      </c>
      <c r="AE107" s="3">
        <f t="shared" si="62"/>
        <v>0</v>
      </c>
      <c r="AF107" s="3">
        <f t="shared" si="62"/>
        <v>0</v>
      </c>
      <c r="AG107" s="3">
        <f t="shared" si="62"/>
        <v>0</v>
      </c>
      <c r="AH107" s="3">
        <f t="shared" si="62"/>
        <v>0</v>
      </c>
      <c r="AI107" s="3">
        <f t="shared" si="62"/>
        <v>0</v>
      </c>
      <c r="AJ107" s="3">
        <f t="shared" si="62"/>
        <v>0</v>
      </c>
      <c r="AK107" s="3">
        <f t="shared" si="62"/>
        <v>0</v>
      </c>
      <c r="AL107" s="3">
        <f t="shared" si="62"/>
        <v>0</v>
      </c>
      <c r="AM107" s="3">
        <f t="shared" si="62"/>
        <v>0</v>
      </c>
      <c r="AN107" s="3">
        <f t="shared" si="62"/>
        <v>0</v>
      </c>
      <c r="AO107" s="3">
        <f t="shared" si="62"/>
        <v>0</v>
      </c>
      <c r="AP107" s="3">
        <f t="shared" si="62"/>
        <v>20417.75</v>
      </c>
      <c r="AQ107" s="3">
        <f t="shared" si="62"/>
        <v>0</v>
      </c>
      <c r="AR107" s="3">
        <f t="shared" si="62"/>
        <v>20417.75</v>
      </c>
      <c r="AS107" s="3">
        <f t="shared" si="62"/>
        <v>0</v>
      </c>
      <c r="AT107" s="3">
        <f t="shared" si="62"/>
        <v>0</v>
      </c>
      <c r="AU107" s="3">
        <f t="shared" ref="AU107:BZ107" si="63">AU114</f>
        <v>0</v>
      </c>
      <c r="AV107" s="3">
        <f t="shared" si="63"/>
        <v>20417.75</v>
      </c>
      <c r="AW107" s="3">
        <f t="shared" si="63"/>
        <v>0</v>
      </c>
      <c r="AX107" s="3">
        <f t="shared" si="63"/>
        <v>0</v>
      </c>
      <c r="AY107" s="3">
        <f t="shared" si="63"/>
        <v>0</v>
      </c>
      <c r="AZ107" s="3">
        <f t="shared" si="63"/>
        <v>20417.75</v>
      </c>
      <c r="BA107" s="3">
        <f t="shared" si="63"/>
        <v>0</v>
      </c>
      <c r="BB107" s="3">
        <f t="shared" si="63"/>
        <v>0</v>
      </c>
      <c r="BC107" s="3">
        <f t="shared" si="63"/>
        <v>0</v>
      </c>
      <c r="BD107" s="3">
        <f t="shared" si="63"/>
        <v>0</v>
      </c>
      <c r="BE107" s="3">
        <f t="shared" si="63"/>
        <v>0</v>
      </c>
      <c r="BF107" s="3">
        <f t="shared" si="63"/>
        <v>0</v>
      </c>
      <c r="BG107" s="3">
        <f t="shared" si="63"/>
        <v>0</v>
      </c>
      <c r="BH107" s="3">
        <f t="shared" si="63"/>
        <v>0</v>
      </c>
      <c r="BI107" s="3">
        <f t="shared" si="63"/>
        <v>0</v>
      </c>
      <c r="BJ107" s="3">
        <f t="shared" si="63"/>
        <v>0</v>
      </c>
      <c r="BK107" s="3">
        <f t="shared" si="63"/>
        <v>0</v>
      </c>
      <c r="BL107" s="3">
        <f t="shared" si="63"/>
        <v>0</v>
      </c>
      <c r="BM107" s="3">
        <f t="shared" si="63"/>
        <v>0</v>
      </c>
      <c r="BN107" s="3">
        <f t="shared" si="63"/>
        <v>0</v>
      </c>
      <c r="BO107" s="3">
        <f t="shared" si="63"/>
        <v>0</v>
      </c>
      <c r="BP107" s="3">
        <f t="shared" si="63"/>
        <v>0</v>
      </c>
      <c r="BQ107" s="3">
        <f t="shared" si="63"/>
        <v>0</v>
      </c>
      <c r="BR107" s="3">
        <f t="shared" si="63"/>
        <v>0</v>
      </c>
      <c r="BS107" s="3">
        <f t="shared" si="63"/>
        <v>0</v>
      </c>
      <c r="BT107" s="3">
        <f t="shared" si="63"/>
        <v>0</v>
      </c>
      <c r="BU107" s="3">
        <f t="shared" si="63"/>
        <v>0</v>
      </c>
      <c r="BV107" s="3">
        <f t="shared" si="63"/>
        <v>0</v>
      </c>
      <c r="BW107" s="3">
        <f t="shared" si="63"/>
        <v>0</v>
      </c>
      <c r="BX107" s="3">
        <f t="shared" si="63"/>
        <v>0</v>
      </c>
      <c r="BY107" s="3">
        <f t="shared" si="63"/>
        <v>20417.75</v>
      </c>
      <c r="BZ107" s="3">
        <f t="shared" si="63"/>
        <v>0</v>
      </c>
      <c r="CA107" s="3">
        <f t="shared" ref="CA107:DF107" si="64">CA114</f>
        <v>20417.75</v>
      </c>
      <c r="CB107" s="3">
        <f t="shared" si="64"/>
        <v>0</v>
      </c>
      <c r="CC107" s="3">
        <f t="shared" si="64"/>
        <v>0</v>
      </c>
      <c r="CD107" s="3">
        <f t="shared" si="64"/>
        <v>0</v>
      </c>
      <c r="CE107" s="3">
        <f t="shared" si="64"/>
        <v>20417.75</v>
      </c>
      <c r="CF107" s="3">
        <f t="shared" si="64"/>
        <v>0</v>
      </c>
      <c r="CG107" s="3">
        <f t="shared" si="64"/>
        <v>0</v>
      </c>
      <c r="CH107" s="3">
        <f t="shared" si="64"/>
        <v>0</v>
      </c>
      <c r="CI107" s="3">
        <f t="shared" si="64"/>
        <v>20417.75</v>
      </c>
      <c r="CJ107" s="3">
        <f t="shared" si="64"/>
        <v>0</v>
      </c>
      <c r="CK107" s="3">
        <f t="shared" si="64"/>
        <v>0</v>
      </c>
      <c r="CL107" s="3">
        <f t="shared" si="64"/>
        <v>0</v>
      </c>
      <c r="CM107" s="3">
        <f t="shared" si="64"/>
        <v>0</v>
      </c>
      <c r="CN107" s="3">
        <f t="shared" si="64"/>
        <v>0</v>
      </c>
      <c r="CO107" s="3">
        <f t="shared" si="64"/>
        <v>0</v>
      </c>
      <c r="CP107" s="3">
        <f t="shared" si="64"/>
        <v>0</v>
      </c>
      <c r="CQ107" s="3">
        <f t="shared" si="64"/>
        <v>0</v>
      </c>
      <c r="CR107" s="3">
        <f t="shared" si="64"/>
        <v>0</v>
      </c>
      <c r="CS107" s="3">
        <f t="shared" si="64"/>
        <v>0</v>
      </c>
      <c r="CT107" s="3">
        <f t="shared" si="64"/>
        <v>0</v>
      </c>
      <c r="CU107" s="3">
        <f t="shared" si="64"/>
        <v>0</v>
      </c>
      <c r="CV107" s="3">
        <f t="shared" si="64"/>
        <v>0</v>
      </c>
      <c r="CW107" s="3">
        <f t="shared" si="64"/>
        <v>0</v>
      </c>
      <c r="CX107" s="3">
        <f t="shared" si="64"/>
        <v>0</v>
      </c>
      <c r="CY107" s="3">
        <f t="shared" si="64"/>
        <v>0</v>
      </c>
      <c r="CZ107" s="3">
        <f t="shared" si="64"/>
        <v>0</v>
      </c>
      <c r="DA107" s="3">
        <f t="shared" si="64"/>
        <v>0</v>
      </c>
      <c r="DB107" s="3">
        <f t="shared" si="64"/>
        <v>0</v>
      </c>
      <c r="DC107" s="3">
        <f t="shared" si="64"/>
        <v>0</v>
      </c>
      <c r="DD107" s="3">
        <f t="shared" si="64"/>
        <v>0</v>
      </c>
      <c r="DE107" s="3">
        <f t="shared" si="64"/>
        <v>0</v>
      </c>
      <c r="DF107" s="3">
        <f t="shared" si="64"/>
        <v>0</v>
      </c>
      <c r="DG107" s="4">
        <f t="shared" ref="DG107:EL107" si="65">DG114</f>
        <v>156399.97</v>
      </c>
      <c r="DH107" s="4">
        <f t="shared" si="65"/>
        <v>156399.97</v>
      </c>
      <c r="DI107" s="4">
        <f t="shared" si="65"/>
        <v>0</v>
      </c>
      <c r="DJ107" s="4">
        <f t="shared" si="65"/>
        <v>0</v>
      </c>
      <c r="DK107" s="4">
        <f t="shared" si="65"/>
        <v>0</v>
      </c>
      <c r="DL107" s="4">
        <f t="shared" si="65"/>
        <v>0</v>
      </c>
      <c r="DM107" s="4">
        <f t="shared" si="65"/>
        <v>0</v>
      </c>
      <c r="DN107" s="4">
        <f t="shared" si="65"/>
        <v>0</v>
      </c>
      <c r="DO107" s="4">
        <f t="shared" si="65"/>
        <v>0</v>
      </c>
      <c r="DP107" s="4">
        <f t="shared" si="65"/>
        <v>0</v>
      </c>
      <c r="DQ107" s="4">
        <f t="shared" si="65"/>
        <v>0</v>
      </c>
      <c r="DR107" s="4">
        <f t="shared" si="65"/>
        <v>0</v>
      </c>
      <c r="DS107" s="4">
        <f t="shared" si="65"/>
        <v>0</v>
      </c>
      <c r="DT107" s="4">
        <f t="shared" si="65"/>
        <v>156399.97</v>
      </c>
      <c r="DU107" s="4">
        <f t="shared" si="65"/>
        <v>156399.97</v>
      </c>
      <c r="DV107" s="4">
        <f t="shared" si="65"/>
        <v>0</v>
      </c>
      <c r="DW107" s="4">
        <f t="shared" si="65"/>
        <v>0</v>
      </c>
      <c r="DX107" s="4">
        <f t="shared" si="65"/>
        <v>0</v>
      </c>
      <c r="DY107" s="4">
        <f t="shared" si="65"/>
        <v>0</v>
      </c>
      <c r="DZ107" s="4">
        <f t="shared" si="65"/>
        <v>0</v>
      </c>
      <c r="EA107" s="4">
        <f t="shared" si="65"/>
        <v>0</v>
      </c>
      <c r="EB107" s="4">
        <f t="shared" si="65"/>
        <v>0</v>
      </c>
      <c r="EC107" s="4">
        <f t="shared" si="65"/>
        <v>0</v>
      </c>
      <c r="ED107" s="4">
        <f t="shared" si="65"/>
        <v>0</v>
      </c>
      <c r="EE107" s="4">
        <f t="shared" si="65"/>
        <v>0</v>
      </c>
      <c r="EF107" s="4">
        <f t="shared" si="65"/>
        <v>0</v>
      </c>
      <c r="EG107" s="4">
        <f t="shared" si="65"/>
        <v>0</v>
      </c>
      <c r="EH107" s="4">
        <f t="shared" si="65"/>
        <v>156399.97</v>
      </c>
      <c r="EI107" s="4">
        <f t="shared" si="65"/>
        <v>0</v>
      </c>
      <c r="EJ107" s="4">
        <f t="shared" si="65"/>
        <v>156399.97</v>
      </c>
      <c r="EK107" s="4">
        <f t="shared" si="65"/>
        <v>0</v>
      </c>
      <c r="EL107" s="4">
        <f t="shared" si="65"/>
        <v>0</v>
      </c>
      <c r="EM107" s="4">
        <f t="shared" ref="EM107:FR107" si="66">EM114</f>
        <v>0</v>
      </c>
      <c r="EN107" s="4">
        <f t="shared" si="66"/>
        <v>156399.97</v>
      </c>
      <c r="EO107" s="4">
        <f t="shared" si="66"/>
        <v>0</v>
      </c>
      <c r="EP107" s="4">
        <f t="shared" si="66"/>
        <v>0</v>
      </c>
      <c r="EQ107" s="4">
        <f t="shared" si="66"/>
        <v>0</v>
      </c>
      <c r="ER107" s="4">
        <f t="shared" si="66"/>
        <v>156399.97</v>
      </c>
      <c r="ES107" s="4">
        <f t="shared" si="66"/>
        <v>0</v>
      </c>
      <c r="ET107" s="4">
        <f t="shared" si="66"/>
        <v>0</v>
      </c>
      <c r="EU107" s="4">
        <f t="shared" si="66"/>
        <v>0</v>
      </c>
      <c r="EV107" s="4">
        <f t="shared" si="66"/>
        <v>0</v>
      </c>
      <c r="EW107" s="4">
        <f t="shared" si="66"/>
        <v>0</v>
      </c>
      <c r="EX107" s="4">
        <f t="shared" si="66"/>
        <v>0</v>
      </c>
      <c r="EY107" s="4">
        <f t="shared" si="66"/>
        <v>0</v>
      </c>
      <c r="EZ107" s="4">
        <f t="shared" si="66"/>
        <v>0</v>
      </c>
      <c r="FA107" s="4">
        <f t="shared" si="66"/>
        <v>0</v>
      </c>
      <c r="FB107" s="4">
        <f t="shared" si="66"/>
        <v>0</v>
      </c>
      <c r="FC107" s="4">
        <f t="shared" si="66"/>
        <v>0</v>
      </c>
      <c r="FD107" s="4">
        <f t="shared" si="66"/>
        <v>0</v>
      </c>
      <c r="FE107" s="4">
        <f t="shared" si="66"/>
        <v>0</v>
      </c>
      <c r="FF107" s="4">
        <f t="shared" si="66"/>
        <v>0</v>
      </c>
      <c r="FG107" s="4">
        <f t="shared" si="66"/>
        <v>0</v>
      </c>
      <c r="FH107" s="4">
        <f t="shared" si="66"/>
        <v>0</v>
      </c>
      <c r="FI107" s="4">
        <f t="shared" si="66"/>
        <v>0</v>
      </c>
      <c r="FJ107" s="4">
        <f t="shared" si="66"/>
        <v>0</v>
      </c>
      <c r="FK107" s="4">
        <f t="shared" si="66"/>
        <v>0</v>
      </c>
      <c r="FL107" s="4">
        <f t="shared" si="66"/>
        <v>0</v>
      </c>
      <c r="FM107" s="4">
        <f t="shared" si="66"/>
        <v>0</v>
      </c>
      <c r="FN107" s="4">
        <f t="shared" si="66"/>
        <v>0</v>
      </c>
      <c r="FO107" s="4">
        <f t="shared" si="66"/>
        <v>0</v>
      </c>
      <c r="FP107" s="4">
        <f t="shared" si="66"/>
        <v>0</v>
      </c>
      <c r="FQ107" s="4">
        <f t="shared" si="66"/>
        <v>156399.97</v>
      </c>
      <c r="FR107" s="4">
        <f t="shared" si="66"/>
        <v>0</v>
      </c>
      <c r="FS107" s="4">
        <f t="shared" ref="FS107:GX107" si="67">FS114</f>
        <v>156399.97</v>
      </c>
      <c r="FT107" s="4">
        <f t="shared" si="67"/>
        <v>0</v>
      </c>
      <c r="FU107" s="4">
        <f t="shared" si="67"/>
        <v>0</v>
      </c>
      <c r="FV107" s="4">
        <f t="shared" si="67"/>
        <v>0</v>
      </c>
      <c r="FW107" s="4">
        <f t="shared" si="67"/>
        <v>156399.97</v>
      </c>
      <c r="FX107" s="4">
        <f t="shared" si="67"/>
        <v>0</v>
      </c>
      <c r="FY107" s="4">
        <f t="shared" si="67"/>
        <v>0</v>
      </c>
      <c r="FZ107" s="4">
        <f t="shared" si="67"/>
        <v>0</v>
      </c>
      <c r="GA107" s="4">
        <f t="shared" si="67"/>
        <v>156399.97</v>
      </c>
      <c r="GB107" s="4">
        <f t="shared" si="67"/>
        <v>0</v>
      </c>
      <c r="GC107" s="4">
        <f t="shared" si="67"/>
        <v>0</v>
      </c>
      <c r="GD107" s="4">
        <f t="shared" si="67"/>
        <v>0</v>
      </c>
      <c r="GE107" s="4">
        <f t="shared" si="67"/>
        <v>0</v>
      </c>
      <c r="GF107" s="4">
        <f t="shared" si="67"/>
        <v>0</v>
      </c>
      <c r="GG107" s="4">
        <f t="shared" si="67"/>
        <v>0</v>
      </c>
      <c r="GH107" s="4">
        <f t="shared" si="67"/>
        <v>0</v>
      </c>
      <c r="GI107" s="4">
        <f t="shared" si="67"/>
        <v>0</v>
      </c>
      <c r="GJ107" s="4">
        <f t="shared" si="67"/>
        <v>0</v>
      </c>
      <c r="GK107" s="4">
        <f t="shared" si="67"/>
        <v>0</v>
      </c>
      <c r="GL107" s="4">
        <f t="shared" si="67"/>
        <v>0</v>
      </c>
      <c r="GM107" s="4">
        <f t="shared" si="67"/>
        <v>0</v>
      </c>
      <c r="GN107" s="4">
        <f t="shared" si="67"/>
        <v>0</v>
      </c>
      <c r="GO107" s="4">
        <f t="shared" si="67"/>
        <v>0</v>
      </c>
      <c r="GP107" s="4">
        <f t="shared" si="67"/>
        <v>0</v>
      </c>
      <c r="GQ107" s="4">
        <f t="shared" si="67"/>
        <v>0</v>
      </c>
      <c r="GR107" s="4">
        <f t="shared" si="67"/>
        <v>0</v>
      </c>
      <c r="GS107" s="4">
        <f t="shared" si="67"/>
        <v>0</v>
      </c>
      <c r="GT107" s="4">
        <f t="shared" si="67"/>
        <v>0</v>
      </c>
      <c r="GU107" s="4">
        <f t="shared" si="67"/>
        <v>0</v>
      </c>
      <c r="GV107" s="4">
        <f t="shared" si="67"/>
        <v>0</v>
      </c>
      <c r="GW107" s="4">
        <f t="shared" si="67"/>
        <v>0</v>
      </c>
      <c r="GX107" s="4">
        <f t="shared" si="67"/>
        <v>0</v>
      </c>
    </row>
    <row r="109" spans="1:255" x14ac:dyDescent="0.2">
      <c r="A109" s="2">
        <v>17</v>
      </c>
      <c r="B109" s="2">
        <v>1</v>
      </c>
      <c r="C109" s="2"/>
      <c r="D109" s="2"/>
      <c r="E109" s="2" t="s">
        <v>173</v>
      </c>
      <c r="F109" s="2" t="s">
        <v>174</v>
      </c>
      <c r="G109" s="2" t="s">
        <v>175</v>
      </c>
      <c r="H109" s="2" t="s">
        <v>31</v>
      </c>
      <c r="I109" s="2">
        <v>1</v>
      </c>
      <c r="J109" s="2">
        <v>0</v>
      </c>
      <c r="K109" s="2">
        <v>1</v>
      </c>
      <c r="L109" s="2"/>
      <c r="M109" s="2"/>
      <c r="N109" s="2"/>
      <c r="O109" s="2">
        <f>ROUND(CP109,2)</f>
        <v>19386.419999999998</v>
      </c>
      <c r="P109" s="2">
        <f>ROUND((ROUND((AC109*I109),2)*BC109),2)</f>
        <v>19386.419999999998</v>
      </c>
      <c r="Q109" s="2">
        <f>(ROUND((ROUND(((ET109)*AV109*I109),2)*BB109),2)+ROUND((ROUND(((AE109-(EU109))*AV109*I109),2)*BS109),2))</f>
        <v>0</v>
      </c>
      <c r="R109" s="2">
        <f>ROUND((ROUND((AE109*AV109*I109),2)*BS109),2)</f>
        <v>0</v>
      </c>
      <c r="S109" s="2">
        <f>ROUND((ROUND((AF109*AV109*I109),2)*BA109),2)</f>
        <v>0</v>
      </c>
      <c r="T109" s="2">
        <f>ROUND(CU109*I109,2)</f>
        <v>0</v>
      </c>
      <c r="U109" s="2">
        <f>CV109*I109</f>
        <v>0</v>
      </c>
      <c r="V109" s="2">
        <f>CW109*I109</f>
        <v>0</v>
      </c>
      <c r="W109" s="2">
        <f>ROUND(CX109*I109,2)</f>
        <v>0</v>
      </c>
      <c r="X109" s="2">
        <f t="shared" ref="X109:Y112" si="68">ROUND(CY109,2)</f>
        <v>0</v>
      </c>
      <c r="Y109" s="2">
        <f t="shared" si="68"/>
        <v>0</v>
      </c>
      <c r="Z109" s="2"/>
      <c r="AA109" s="2">
        <v>56959434</v>
      </c>
      <c r="AB109" s="2">
        <f>ROUND((AC109+AD109+AF109),6)</f>
        <v>19386.419999999998</v>
      </c>
      <c r="AC109" s="2">
        <f>ROUND((ES109),6)</f>
        <v>19386.419999999998</v>
      </c>
      <c r="AD109" s="2">
        <f>ROUND((((ET109)-(EU109))+AE109),6)</f>
        <v>0</v>
      </c>
      <c r="AE109" s="2">
        <f t="shared" ref="AE109:AF112" si="69">ROUND((EU109),6)</f>
        <v>0</v>
      </c>
      <c r="AF109" s="2">
        <f t="shared" si="69"/>
        <v>0</v>
      </c>
      <c r="AG109" s="2">
        <f>ROUND((AP109),6)</f>
        <v>0</v>
      </c>
      <c r="AH109" s="2">
        <f t="shared" ref="AH109:AI112" si="70">(EW109)</f>
        <v>0</v>
      </c>
      <c r="AI109" s="2">
        <f t="shared" si="70"/>
        <v>0</v>
      </c>
      <c r="AJ109" s="2">
        <f>(AS109)</f>
        <v>0</v>
      </c>
      <c r="AK109" s="2">
        <v>19386.419999999998</v>
      </c>
      <c r="AL109" s="2">
        <v>19386.419999999998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3</v>
      </c>
      <c r="BJ109" s="2" t="s">
        <v>3</v>
      </c>
      <c r="BK109" s="2"/>
      <c r="BL109" s="2"/>
      <c r="BM109" s="2">
        <v>746</v>
      </c>
      <c r="BN109" s="2">
        <v>0</v>
      </c>
      <c r="BO109" s="2" t="s">
        <v>3</v>
      </c>
      <c r="BP109" s="2">
        <v>0</v>
      </c>
      <c r="BQ109" s="2">
        <v>130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0</v>
      </c>
      <c r="CA109" s="2">
        <v>0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>(P109+Q109+S109)</f>
        <v>19386.419999999998</v>
      </c>
      <c r="CQ109" s="2">
        <f>ROUND((ROUND((AC109*1),2)*BC109),2)</f>
        <v>19386.419999999998</v>
      </c>
      <c r="CR109" s="2">
        <f>(ROUND((ROUND(((ET109)*AV109*1),2)*BB109),2)+ROUND((ROUND(((AE109-(EU109))*AV109*1),2)*BS109),2))</f>
        <v>0</v>
      </c>
      <c r="CS109" s="2">
        <f>ROUND((ROUND((AE109*AV109*1),2)*BS109),2)</f>
        <v>0</v>
      </c>
      <c r="CT109" s="2">
        <f>ROUND((ROUND((AF109*AV109*1),2)*BA109),2)</f>
        <v>0</v>
      </c>
      <c r="CU109" s="2">
        <f>AG109</f>
        <v>0</v>
      </c>
      <c r="CV109" s="2">
        <f>(AH109*AV109)</f>
        <v>0</v>
      </c>
      <c r="CW109" s="2">
        <f t="shared" ref="CW109:CX112" si="71">AI109</f>
        <v>0</v>
      </c>
      <c r="CX109" s="2">
        <f t="shared" si="71"/>
        <v>0</v>
      </c>
      <c r="CY109" s="2">
        <f>(((S109+R109)*AT109)/100)</f>
        <v>0</v>
      </c>
      <c r="CZ109" s="2">
        <f>(((S109+R109)*AU109)/100)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1010</v>
      </c>
      <c r="DV109" s="2" t="s">
        <v>31</v>
      </c>
      <c r="DW109" s="2" t="s">
        <v>31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55992259</v>
      </c>
      <c r="EF109" s="2">
        <v>130</v>
      </c>
      <c r="EG109" s="2" t="s">
        <v>32</v>
      </c>
      <c r="EH109" s="2">
        <v>0</v>
      </c>
      <c r="EI109" s="2" t="s">
        <v>3</v>
      </c>
      <c r="EJ109" s="2">
        <v>3</v>
      </c>
      <c r="EK109" s="2">
        <v>746</v>
      </c>
      <c r="EL109" s="2" t="s">
        <v>33</v>
      </c>
      <c r="EM109" s="2" t="s">
        <v>34</v>
      </c>
      <c r="EN109" s="2"/>
      <c r="EO109" s="2" t="s">
        <v>3</v>
      </c>
      <c r="EP109" s="2"/>
      <c r="EQ109" s="2">
        <v>0</v>
      </c>
      <c r="ER109" s="2">
        <v>0</v>
      </c>
      <c r="ES109" s="2">
        <v>19386.419999999998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f>P109</f>
        <v>19386.419999999998</v>
      </c>
      <c r="FS109" s="2">
        <v>0</v>
      </c>
      <c r="FT109" s="2"/>
      <c r="FU109" s="2"/>
      <c r="FV109" s="2"/>
      <c r="FW109" s="2"/>
      <c r="FX109" s="2">
        <v>0</v>
      </c>
      <c r="FY109" s="2">
        <v>0</v>
      </c>
      <c r="FZ109" s="2"/>
      <c r="GA109" s="2" t="s">
        <v>176</v>
      </c>
      <c r="GB109" s="2"/>
      <c r="GC109" s="2"/>
      <c r="GD109" s="2">
        <v>1</v>
      </c>
      <c r="GE109" s="2"/>
      <c r="GF109" s="2">
        <v>462464082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>ROUND(IF(AND(BH109=3,BI109=3,FS109&lt;&gt;0),P109,0),2)</f>
        <v>0</v>
      </c>
      <c r="GM109" s="2">
        <f>ROUND(O109+X109+Y109,2)+GX109</f>
        <v>19386.419999999998</v>
      </c>
      <c r="GN109" s="2">
        <f>IF(OR(BI109=0,BI109=1),GM109-GX109,0)</f>
        <v>0</v>
      </c>
      <c r="GO109" s="2">
        <f>IF(BI109=2,GM109-GX109,0)</f>
        <v>0</v>
      </c>
      <c r="GP109" s="2">
        <f>IF(BI109=4,GM109-GX109,0)</f>
        <v>0</v>
      </c>
      <c r="GQ109" s="2"/>
      <c r="GR109" s="2">
        <v>0</v>
      </c>
      <c r="GS109" s="2">
        <v>2</v>
      </c>
      <c r="GT109" s="2">
        <v>0</v>
      </c>
      <c r="GU109" s="2" t="s">
        <v>3</v>
      </c>
      <c r="GV109" s="2">
        <f>ROUND((GT109),6)</f>
        <v>0</v>
      </c>
      <c r="GW109" s="2">
        <v>1</v>
      </c>
      <c r="GX109" s="2">
        <f>ROUND(HC109*I109,2)</f>
        <v>0</v>
      </c>
      <c r="GY109" s="2"/>
      <c r="GZ109" s="2"/>
      <c r="HA109" s="2">
        <v>0</v>
      </c>
      <c r="HB109" s="2">
        <v>0</v>
      </c>
      <c r="HC109" s="2">
        <f>GV109*GW109</f>
        <v>0</v>
      </c>
      <c r="HD109" s="2"/>
      <c r="HE109" s="2" t="s">
        <v>103</v>
      </c>
      <c r="HF109" s="2" t="s">
        <v>103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17</v>
      </c>
      <c r="B110">
        <v>1</v>
      </c>
      <c r="E110" t="s">
        <v>173</v>
      </c>
      <c r="F110" t="s">
        <v>174</v>
      </c>
      <c r="G110" t="s">
        <v>175</v>
      </c>
      <c r="H110" t="s">
        <v>31</v>
      </c>
      <c r="I110">
        <v>1</v>
      </c>
      <c r="J110">
        <v>0</v>
      </c>
      <c r="K110">
        <v>1</v>
      </c>
      <c r="O110">
        <f>ROUND(CP110,2)</f>
        <v>148499.98000000001</v>
      </c>
      <c r="P110">
        <f>ROUND((ROUND((AC110*I110),2)*BC110),2)</f>
        <v>148499.98000000001</v>
      </c>
      <c r="Q110">
        <f>(ROUND((ROUND(((ET110)*AV110*I110),2)*BB110),2)+ROUND((ROUND(((AE110-(EU110))*AV110*I110),2)*BS110),2))</f>
        <v>0</v>
      </c>
      <c r="R110">
        <f>ROUND((ROUND((AE110*AV110*I110),2)*BS110),2)</f>
        <v>0</v>
      </c>
      <c r="S110">
        <f>ROUND((ROUND((AF110*AV110*I110),2)*BA110),2)</f>
        <v>0</v>
      </c>
      <c r="T110">
        <f>ROUND(CU110*I110,2)</f>
        <v>0</v>
      </c>
      <c r="U110">
        <f>CV110*I110</f>
        <v>0</v>
      </c>
      <c r="V110">
        <f>CW110*I110</f>
        <v>0</v>
      </c>
      <c r="W110">
        <f>ROUND(CX110*I110,2)</f>
        <v>0</v>
      </c>
      <c r="X110">
        <f t="shared" si="68"/>
        <v>0</v>
      </c>
      <c r="Y110">
        <f t="shared" si="68"/>
        <v>0</v>
      </c>
      <c r="AA110">
        <v>56959431</v>
      </c>
      <c r="AB110">
        <f>ROUND((AC110+AD110+AF110),6)</f>
        <v>19386.419999999998</v>
      </c>
      <c r="AC110">
        <f>ROUND((ES110),6)</f>
        <v>19386.419999999998</v>
      </c>
      <c r="AD110">
        <f>ROUND((((ET110)-(EU110))+AE110),6)</f>
        <v>0</v>
      </c>
      <c r="AE110">
        <f t="shared" si="69"/>
        <v>0</v>
      </c>
      <c r="AF110">
        <f t="shared" si="69"/>
        <v>0</v>
      </c>
      <c r="AG110">
        <f>ROUND((AP110),6)</f>
        <v>0</v>
      </c>
      <c r="AH110">
        <f t="shared" si="70"/>
        <v>0</v>
      </c>
      <c r="AI110">
        <f t="shared" si="70"/>
        <v>0</v>
      </c>
      <c r="AJ110">
        <f>(AS110)</f>
        <v>0</v>
      </c>
      <c r="AK110">
        <v>19386.419999999998</v>
      </c>
      <c r="AL110">
        <v>19386.419999999998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Z110">
        <v>1</v>
      </c>
      <c r="BA110">
        <v>1</v>
      </c>
      <c r="BB110">
        <v>1</v>
      </c>
      <c r="BC110">
        <v>7.66</v>
      </c>
      <c r="BD110" t="s">
        <v>3</v>
      </c>
      <c r="BE110" t="s">
        <v>3</v>
      </c>
      <c r="BF110" t="s">
        <v>3</v>
      </c>
      <c r="BG110" t="s">
        <v>3</v>
      </c>
      <c r="BH110">
        <v>3</v>
      </c>
      <c r="BI110">
        <v>3</v>
      </c>
      <c r="BJ110" t="s">
        <v>3</v>
      </c>
      <c r="BM110">
        <v>746</v>
      </c>
      <c r="BN110">
        <v>0</v>
      </c>
      <c r="BO110" t="s">
        <v>3</v>
      </c>
      <c r="BP110">
        <v>0</v>
      </c>
      <c r="BQ110">
        <v>130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0</v>
      </c>
      <c r="CA110">
        <v>0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3</v>
      </c>
      <c r="CO110">
        <v>0</v>
      </c>
      <c r="CP110">
        <f>(P110+Q110+S110)</f>
        <v>148499.98000000001</v>
      </c>
      <c r="CQ110">
        <f>ROUND((ROUND((AC110*1),2)*BC110),2)</f>
        <v>148499.98000000001</v>
      </c>
      <c r="CR110">
        <f>(ROUND((ROUND(((ET110)*AV110*1),2)*BB110),2)+ROUND((ROUND(((AE110-(EU110))*AV110*1),2)*BS110),2))</f>
        <v>0</v>
      </c>
      <c r="CS110">
        <f>ROUND((ROUND((AE110*AV110*1),2)*BS110),2)</f>
        <v>0</v>
      </c>
      <c r="CT110">
        <f>ROUND((ROUND((AF110*AV110*1),2)*BA110),2)</f>
        <v>0</v>
      </c>
      <c r="CU110">
        <f>AG110</f>
        <v>0</v>
      </c>
      <c r="CV110">
        <f>(AH110*AV110)</f>
        <v>0</v>
      </c>
      <c r="CW110">
        <f t="shared" si="71"/>
        <v>0</v>
      </c>
      <c r="CX110">
        <f t="shared" si="71"/>
        <v>0</v>
      </c>
      <c r="CY110">
        <f>(((S110+R110)*AT110)/100)</f>
        <v>0</v>
      </c>
      <c r="CZ110">
        <f>(((S110+R110)*AU110)/100)</f>
        <v>0</v>
      </c>
      <c r="DC110" t="s">
        <v>3</v>
      </c>
      <c r="DD110" t="s">
        <v>3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>
        <v>0</v>
      </c>
      <c r="DO110">
        <v>0</v>
      </c>
      <c r="DP110">
        <v>1</v>
      </c>
      <c r="DQ110">
        <v>1</v>
      </c>
      <c r="DU110">
        <v>1010</v>
      </c>
      <c r="DV110" t="s">
        <v>31</v>
      </c>
      <c r="DW110" t="s">
        <v>31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55992259</v>
      </c>
      <c r="EF110">
        <v>130</v>
      </c>
      <c r="EG110" t="s">
        <v>32</v>
      </c>
      <c r="EH110">
        <v>0</v>
      </c>
      <c r="EI110" t="s">
        <v>3</v>
      </c>
      <c r="EJ110">
        <v>3</v>
      </c>
      <c r="EK110">
        <v>746</v>
      </c>
      <c r="EL110" t="s">
        <v>33</v>
      </c>
      <c r="EM110" t="s">
        <v>34</v>
      </c>
      <c r="EO110" t="s">
        <v>3</v>
      </c>
      <c r="EQ110">
        <v>0</v>
      </c>
      <c r="ER110">
        <v>19386.419999999998</v>
      </c>
      <c r="ES110">
        <v>19386.419999999998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5</v>
      </c>
      <c r="FC110">
        <v>0</v>
      </c>
      <c r="FD110">
        <v>18</v>
      </c>
      <c r="FF110">
        <v>148500</v>
      </c>
      <c r="FQ110">
        <v>0</v>
      </c>
      <c r="FR110">
        <f>P110</f>
        <v>148499.98000000001</v>
      </c>
      <c r="FS110">
        <v>0</v>
      </c>
      <c r="FX110">
        <v>0</v>
      </c>
      <c r="FY110">
        <v>0</v>
      </c>
      <c r="GA110" t="s">
        <v>176</v>
      </c>
      <c r="GD110">
        <v>1</v>
      </c>
      <c r="GF110">
        <v>462464082</v>
      </c>
      <c r="GG110">
        <v>2</v>
      </c>
      <c r="GH110">
        <v>3</v>
      </c>
      <c r="GI110">
        <v>5</v>
      </c>
      <c r="GJ110">
        <v>0</v>
      </c>
      <c r="GK110">
        <v>0</v>
      </c>
      <c r="GL110">
        <f>ROUND(IF(AND(BH110=3,BI110=3,FS110&lt;&gt;0),P110,0),2)</f>
        <v>0</v>
      </c>
      <c r="GM110">
        <f>ROUND(O110+X110+Y110,2)+GX110</f>
        <v>148499.98000000001</v>
      </c>
      <c r="GN110">
        <f>IF(OR(BI110=0,BI110=1),GM110-GX110,0)</f>
        <v>0</v>
      </c>
      <c r="GO110">
        <f>IF(BI110=2,GM110-GX110,0)</f>
        <v>0</v>
      </c>
      <c r="GP110">
        <f>IF(BI110=4,GM110-GX110,0)</f>
        <v>0</v>
      </c>
      <c r="GR110">
        <v>1</v>
      </c>
      <c r="GS110">
        <v>1</v>
      </c>
      <c r="GT110">
        <v>0</v>
      </c>
      <c r="GU110" t="s">
        <v>3</v>
      </c>
      <c r="GV110">
        <f>ROUND((GT110),6)</f>
        <v>0</v>
      </c>
      <c r="GW110">
        <v>1</v>
      </c>
      <c r="GX110">
        <f>ROUND(HC110*I110,2)</f>
        <v>0</v>
      </c>
      <c r="HA110">
        <v>0</v>
      </c>
      <c r="HB110">
        <v>0</v>
      </c>
      <c r="HC110">
        <f>GV110*GW110</f>
        <v>0</v>
      </c>
      <c r="HE110" t="s">
        <v>103</v>
      </c>
      <c r="HF110" t="s">
        <v>103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/>
      <c r="D111" s="2"/>
      <c r="E111" s="2" t="s">
        <v>177</v>
      </c>
      <c r="F111" s="2" t="s">
        <v>178</v>
      </c>
      <c r="G111" s="2" t="s">
        <v>179</v>
      </c>
      <c r="H111" s="2" t="s">
        <v>31</v>
      </c>
      <c r="I111" s="2">
        <v>1</v>
      </c>
      <c r="J111" s="2">
        <v>0</v>
      </c>
      <c r="K111" s="2">
        <v>1</v>
      </c>
      <c r="L111" s="2"/>
      <c r="M111" s="2"/>
      <c r="N111" s="2"/>
      <c r="O111" s="2">
        <f>ROUND(CP111,2)</f>
        <v>1031.33</v>
      </c>
      <c r="P111" s="2">
        <f>ROUND((ROUND((AC111*I111),2)*BC111),2)</f>
        <v>1031.33</v>
      </c>
      <c r="Q111" s="2">
        <f>(ROUND((ROUND(((ET111)*AV111*I111),2)*BB111),2)+ROUND((ROUND(((AE111-(EU111))*AV111*I111),2)*BS111),2))</f>
        <v>0</v>
      </c>
      <c r="R111" s="2">
        <f>ROUND((ROUND((AE111*AV111*I111),2)*BS111),2)</f>
        <v>0</v>
      </c>
      <c r="S111" s="2">
        <f>ROUND((ROUND((AF111*AV111*I111),2)*BA111),2)</f>
        <v>0</v>
      </c>
      <c r="T111" s="2">
        <f>ROUND(CU111*I111,2)</f>
        <v>0</v>
      </c>
      <c r="U111" s="2">
        <f>CV111*I111</f>
        <v>0</v>
      </c>
      <c r="V111" s="2">
        <f>CW111*I111</f>
        <v>0</v>
      </c>
      <c r="W111" s="2">
        <f>ROUND(CX111*I111,2)</f>
        <v>0</v>
      </c>
      <c r="X111" s="2">
        <f t="shared" si="68"/>
        <v>0</v>
      </c>
      <c r="Y111" s="2">
        <f t="shared" si="68"/>
        <v>0</v>
      </c>
      <c r="Z111" s="2"/>
      <c r="AA111" s="2">
        <v>56959434</v>
      </c>
      <c r="AB111" s="2">
        <f>ROUND((AC111+AD111+AF111),6)</f>
        <v>1031.33</v>
      </c>
      <c r="AC111" s="2">
        <f>ROUND((ES111),6)</f>
        <v>1031.33</v>
      </c>
      <c r="AD111" s="2">
        <f>ROUND((((ET111)-(EU111))+AE111),6)</f>
        <v>0</v>
      </c>
      <c r="AE111" s="2">
        <f t="shared" si="69"/>
        <v>0</v>
      </c>
      <c r="AF111" s="2">
        <f t="shared" si="69"/>
        <v>0</v>
      </c>
      <c r="AG111" s="2">
        <f>ROUND((AP111),6)</f>
        <v>0</v>
      </c>
      <c r="AH111" s="2">
        <f t="shared" si="70"/>
        <v>0</v>
      </c>
      <c r="AI111" s="2">
        <f t="shared" si="70"/>
        <v>0</v>
      </c>
      <c r="AJ111" s="2">
        <f>(AS111)</f>
        <v>0</v>
      </c>
      <c r="AK111" s="2">
        <v>1031.33</v>
      </c>
      <c r="AL111" s="2">
        <v>1031.33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3</v>
      </c>
      <c r="BK111" s="2"/>
      <c r="BL111" s="2"/>
      <c r="BM111" s="2">
        <v>746</v>
      </c>
      <c r="BN111" s="2">
        <v>0</v>
      </c>
      <c r="BO111" s="2" t="s">
        <v>3</v>
      </c>
      <c r="BP111" s="2">
        <v>0</v>
      </c>
      <c r="BQ111" s="2">
        <v>130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>(P111+Q111+S111)</f>
        <v>1031.33</v>
      </c>
      <c r="CQ111" s="2">
        <f>ROUND((ROUND((AC111*1),2)*BC111),2)</f>
        <v>1031.33</v>
      </c>
      <c r="CR111" s="2">
        <f>(ROUND((ROUND(((ET111)*AV111*1),2)*BB111),2)+ROUND((ROUND(((AE111-(EU111))*AV111*1),2)*BS111),2))</f>
        <v>0</v>
      </c>
      <c r="CS111" s="2">
        <f>ROUND((ROUND((AE111*AV111*1),2)*BS111),2)</f>
        <v>0</v>
      </c>
      <c r="CT111" s="2">
        <f>ROUND((ROUND((AF111*AV111*1),2)*BA111),2)</f>
        <v>0</v>
      </c>
      <c r="CU111" s="2">
        <f>AG111</f>
        <v>0</v>
      </c>
      <c r="CV111" s="2">
        <f>(AH111*AV111)</f>
        <v>0</v>
      </c>
      <c r="CW111" s="2">
        <f t="shared" si="71"/>
        <v>0</v>
      </c>
      <c r="CX111" s="2">
        <f t="shared" si="71"/>
        <v>0</v>
      </c>
      <c r="CY111" s="2">
        <f>(((S111+R111)*AT111)/100)</f>
        <v>0</v>
      </c>
      <c r="CZ111" s="2">
        <f>(((S111+R111)*AU111)/100)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31</v>
      </c>
      <c r="DW111" s="2" t="s">
        <v>31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55992259</v>
      </c>
      <c r="EF111" s="2">
        <v>130</v>
      </c>
      <c r="EG111" s="2" t="s">
        <v>32</v>
      </c>
      <c r="EH111" s="2">
        <v>0</v>
      </c>
      <c r="EI111" s="2" t="s">
        <v>3</v>
      </c>
      <c r="EJ111" s="2">
        <v>3</v>
      </c>
      <c r="EK111" s="2">
        <v>746</v>
      </c>
      <c r="EL111" s="2" t="s">
        <v>33</v>
      </c>
      <c r="EM111" s="2" t="s">
        <v>34</v>
      </c>
      <c r="EN111" s="2"/>
      <c r="EO111" s="2" t="s">
        <v>3</v>
      </c>
      <c r="EP111" s="2"/>
      <c r="EQ111" s="2">
        <v>0</v>
      </c>
      <c r="ER111" s="2">
        <v>0</v>
      </c>
      <c r="ES111" s="2">
        <v>1031.33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>P111</f>
        <v>1031.33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180</v>
      </c>
      <c r="GB111" s="2"/>
      <c r="GC111" s="2"/>
      <c r="GD111" s="2">
        <v>1</v>
      </c>
      <c r="GE111" s="2"/>
      <c r="GF111" s="2">
        <v>-138367822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>ROUND(IF(AND(BH111=3,BI111=3,FS111&lt;&gt;0),P111,0),2)</f>
        <v>0</v>
      </c>
      <c r="GM111" s="2">
        <f>ROUND(O111+X111+Y111,2)+GX111</f>
        <v>1031.33</v>
      </c>
      <c r="GN111" s="2">
        <f>IF(OR(BI111=0,BI111=1),GM111-GX111,0)</f>
        <v>0</v>
      </c>
      <c r="GO111" s="2">
        <f>IF(BI111=2,GM111-GX111,0)</f>
        <v>0</v>
      </c>
      <c r="GP111" s="2">
        <f>IF(BI111=4,GM111-GX111,0)</f>
        <v>0</v>
      </c>
      <c r="GQ111" s="2"/>
      <c r="GR111" s="2">
        <v>0</v>
      </c>
      <c r="GS111" s="2">
        <v>2</v>
      </c>
      <c r="GT111" s="2">
        <v>0</v>
      </c>
      <c r="GU111" s="2" t="s">
        <v>3</v>
      </c>
      <c r="GV111" s="2">
        <f>ROUND((GT111),6)</f>
        <v>0</v>
      </c>
      <c r="GW111" s="2">
        <v>1</v>
      </c>
      <c r="GX111" s="2">
        <f>ROUND(HC111*I111,2)</f>
        <v>0</v>
      </c>
      <c r="GY111" s="2"/>
      <c r="GZ111" s="2"/>
      <c r="HA111" s="2">
        <v>0</v>
      </c>
      <c r="HB111" s="2">
        <v>0</v>
      </c>
      <c r="HC111" s="2">
        <f>GV111*GW111</f>
        <v>0</v>
      </c>
      <c r="HD111" s="2"/>
      <c r="HE111" s="2" t="s">
        <v>103</v>
      </c>
      <c r="HF111" s="2" t="s">
        <v>103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E112" t="s">
        <v>177</v>
      </c>
      <c r="F112" t="s">
        <v>178</v>
      </c>
      <c r="G112" t="s">
        <v>179</v>
      </c>
      <c r="H112" t="s">
        <v>31</v>
      </c>
      <c r="I112">
        <v>1</v>
      </c>
      <c r="J112">
        <v>0</v>
      </c>
      <c r="K112">
        <v>1</v>
      </c>
      <c r="O112">
        <f>ROUND(CP112,2)</f>
        <v>7899.99</v>
      </c>
      <c r="P112">
        <f>ROUND((ROUND((AC112*I112),2)*BC112),2)</f>
        <v>7899.99</v>
      </c>
      <c r="Q112">
        <f>(ROUND((ROUND(((ET112)*AV112*I112),2)*BB112),2)+ROUND((ROUND(((AE112-(EU112))*AV112*I112),2)*BS112),2))</f>
        <v>0</v>
      </c>
      <c r="R112">
        <f>ROUND((ROUND((AE112*AV112*I112),2)*BS112),2)</f>
        <v>0</v>
      </c>
      <c r="S112">
        <f>ROUND((ROUND((AF112*AV112*I112),2)*BA112),2)</f>
        <v>0</v>
      </c>
      <c r="T112">
        <f>ROUND(CU112*I112,2)</f>
        <v>0</v>
      </c>
      <c r="U112">
        <f>CV112*I112</f>
        <v>0</v>
      </c>
      <c r="V112">
        <f>CW112*I112</f>
        <v>0</v>
      </c>
      <c r="W112">
        <f>ROUND(CX112*I112,2)</f>
        <v>0</v>
      </c>
      <c r="X112">
        <f t="shared" si="68"/>
        <v>0</v>
      </c>
      <c r="Y112">
        <f t="shared" si="68"/>
        <v>0</v>
      </c>
      <c r="AA112">
        <v>56959431</v>
      </c>
      <c r="AB112">
        <f>ROUND((AC112+AD112+AF112),6)</f>
        <v>1031.33</v>
      </c>
      <c r="AC112">
        <f>ROUND((ES112),6)</f>
        <v>1031.33</v>
      </c>
      <c r="AD112">
        <f>ROUND((((ET112)-(EU112))+AE112),6)</f>
        <v>0</v>
      </c>
      <c r="AE112">
        <f t="shared" si="69"/>
        <v>0</v>
      </c>
      <c r="AF112">
        <f t="shared" si="69"/>
        <v>0</v>
      </c>
      <c r="AG112">
        <f>ROUND((AP112),6)</f>
        <v>0</v>
      </c>
      <c r="AH112">
        <f t="shared" si="70"/>
        <v>0</v>
      </c>
      <c r="AI112">
        <f t="shared" si="70"/>
        <v>0</v>
      </c>
      <c r="AJ112">
        <f>(AS112)</f>
        <v>0</v>
      </c>
      <c r="AK112">
        <v>1031.33</v>
      </c>
      <c r="AL112">
        <v>1031.33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Z112">
        <v>1</v>
      </c>
      <c r="BA112">
        <v>1</v>
      </c>
      <c r="BB112">
        <v>1</v>
      </c>
      <c r="BC112">
        <v>7.66</v>
      </c>
      <c r="BD112" t="s">
        <v>3</v>
      </c>
      <c r="BE112" t="s">
        <v>3</v>
      </c>
      <c r="BF112" t="s">
        <v>3</v>
      </c>
      <c r="BG112" t="s">
        <v>3</v>
      </c>
      <c r="BH112">
        <v>3</v>
      </c>
      <c r="BI112">
        <v>3</v>
      </c>
      <c r="BJ112" t="s">
        <v>3</v>
      </c>
      <c r="BM112">
        <v>746</v>
      </c>
      <c r="BN112">
        <v>0</v>
      </c>
      <c r="BO112" t="s">
        <v>3</v>
      </c>
      <c r="BP112">
        <v>0</v>
      </c>
      <c r="BQ112">
        <v>130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0</v>
      </c>
      <c r="CA112">
        <v>0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3</v>
      </c>
      <c r="CO112">
        <v>0</v>
      </c>
      <c r="CP112">
        <f>(P112+Q112+S112)</f>
        <v>7899.99</v>
      </c>
      <c r="CQ112">
        <f>ROUND((ROUND((AC112*1),2)*BC112),2)</f>
        <v>7899.99</v>
      </c>
      <c r="CR112">
        <f>(ROUND((ROUND(((ET112)*AV112*1),2)*BB112),2)+ROUND((ROUND(((AE112-(EU112))*AV112*1),2)*BS112),2))</f>
        <v>0</v>
      </c>
      <c r="CS112">
        <f>ROUND((ROUND((AE112*AV112*1),2)*BS112),2)</f>
        <v>0</v>
      </c>
      <c r="CT112">
        <f>ROUND((ROUND((AF112*AV112*1),2)*BA112),2)</f>
        <v>0</v>
      </c>
      <c r="CU112">
        <f>AG112</f>
        <v>0</v>
      </c>
      <c r="CV112">
        <f>(AH112*AV112)</f>
        <v>0</v>
      </c>
      <c r="CW112">
        <f t="shared" si="71"/>
        <v>0</v>
      </c>
      <c r="CX112">
        <f t="shared" si="71"/>
        <v>0</v>
      </c>
      <c r="CY112">
        <f>(((S112+R112)*AT112)/100)</f>
        <v>0</v>
      </c>
      <c r="CZ112">
        <f>(((S112+R112)*AU112)/100)</f>
        <v>0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>
        <v>0</v>
      </c>
      <c r="DO112">
        <v>0</v>
      </c>
      <c r="DP112">
        <v>1</v>
      </c>
      <c r="DQ112">
        <v>1</v>
      </c>
      <c r="DU112">
        <v>1010</v>
      </c>
      <c r="DV112" t="s">
        <v>31</v>
      </c>
      <c r="DW112" t="s">
        <v>31</v>
      </c>
      <c r="DX112">
        <v>1</v>
      </c>
      <c r="DZ112" t="s">
        <v>3</v>
      </c>
      <c r="EA112" t="s">
        <v>3</v>
      </c>
      <c r="EB112" t="s">
        <v>3</v>
      </c>
      <c r="EC112" t="s">
        <v>3</v>
      </c>
      <c r="EE112">
        <v>55992259</v>
      </c>
      <c r="EF112">
        <v>130</v>
      </c>
      <c r="EG112" t="s">
        <v>32</v>
      </c>
      <c r="EH112">
        <v>0</v>
      </c>
      <c r="EI112" t="s">
        <v>3</v>
      </c>
      <c r="EJ112">
        <v>3</v>
      </c>
      <c r="EK112">
        <v>746</v>
      </c>
      <c r="EL112" t="s">
        <v>33</v>
      </c>
      <c r="EM112" t="s">
        <v>34</v>
      </c>
      <c r="EO112" t="s">
        <v>3</v>
      </c>
      <c r="EQ112">
        <v>0</v>
      </c>
      <c r="ER112">
        <v>1031.33</v>
      </c>
      <c r="ES112">
        <v>1031.33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5</v>
      </c>
      <c r="FC112">
        <v>1</v>
      </c>
      <c r="FD112">
        <v>18</v>
      </c>
      <c r="FF112">
        <v>9480</v>
      </c>
      <c r="FQ112">
        <v>0</v>
      </c>
      <c r="FR112">
        <f>P112</f>
        <v>7899.99</v>
      </c>
      <c r="FS112">
        <v>0</v>
      </c>
      <c r="FX112">
        <v>0</v>
      </c>
      <c r="FY112">
        <v>0</v>
      </c>
      <c r="GA112" t="s">
        <v>180</v>
      </c>
      <c r="GD112">
        <v>1</v>
      </c>
      <c r="GF112">
        <v>-138367822</v>
      </c>
      <c r="GG112">
        <v>2</v>
      </c>
      <c r="GH112">
        <v>3</v>
      </c>
      <c r="GI112">
        <v>5</v>
      </c>
      <c r="GJ112">
        <v>0</v>
      </c>
      <c r="GK112">
        <v>0</v>
      </c>
      <c r="GL112">
        <f>ROUND(IF(AND(BH112=3,BI112=3,FS112&lt;&gt;0),P112,0),2)</f>
        <v>0</v>
      </c>
      <c r="GM112">
        <f>ROUND(O112+X112+Y112,2)+GX112</f>
        <v>7899.99</v>
      </c>
      <c r="GN112">
        <f>IF(OR(BI112=0,BI112=1),GM112-GX112,0)</f>
        <v>0</v>
      </c>
      <c r="GO112">
        <f>IF(BI112=2,GM112-GX112,0)</f>
        <v>0</v>
      </c>
      <c r="GP112">
        <f>IF(BI112=4,GM112-GX112,0)</f>
        <v>0</v>
      </c>
      <c r="GR112">
        <v>1</v>
      </c>
      <c r="GS112">
        <v>1</v>
      </c>
      <c r="GT112">
        <v>0</v>
      </c>
      <c r="GU112" t="s">
        <v>3</v>
      </c>
      <c r="GV112">
        <f>ROUND((GT112),6)</f>
        <v>0</v>
      </c>
      <c r="GW112">
        <v>1</v>
      </c>
      <c r="GX112">
        <f>ROUND(HC112*I112,2)</f>
        <v>0</v>
      </c>
      <c r="HA112">
        <v>0</v>
      </c>
      <c r="HB112">
        <v>0</v>
      </c>
      <c r="HC112">
        <f>GV112*GW112</f>
        <v>0</v>
      </c>
      <c r="HE112" t="s">
        <v>103</v>
      </c>
      <c r="HF112" t="s">
        <v>103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4" spans="1:206" x14ac:dyDescent="0.2">
      <c r="A114" s="3">
        <v>51</v>
      </c>
      <c r="B114" s="3">
        <f>B105</f>
        <v>1</v>
      </c>
      <c r="C114" s="3">
        <f>A105</f>
        <v>4</v>
      </c>
      <c r="D114" s="3">
        <f>ROW(A105)</f>
        <v>105</v>
      </c>
      <c r="E114" s="3"/>
      <c r="F114" s="3" t="str">
        <f>IF(F105&lt;&gt;"",F105,"")</f>
        <v>Новый раздел</v>
      </c>
      <c r="G114" s="3" t="str">
        <f>IF(G105&lt;&gt;"",G105,"")</f>
        <v>Программное обеспечение</v>
      </c>
      <c r="H114" s="3">
        <v>0</v>
      </c>
      <c r="I114" s="3"/>
      <c r="J114" s="3"/>
      <c r="K114" s="3"/>
      <c r="L114" s="3"/>
      <c r="M114" s="3"/>
      <c r="N114" s="3"/>
      <c r="O114" s="3">
        <f t="shared" ref="O114:T114" si="72">ROUND(AB114,2)</f>
        <v>20417.75</v>
      </c>
      <c r="P114" s="3">
        <f t="shared" si="72"/>
        <v>20417.75</v>
      </c>
      <c r="Q114" s="3">
        <f t="shared" si="72"/>
        <v>0</v>
      </c>
      <c r="R114" s="3">
        <f t="shared" si="72"/>
        <v>0</v>
      </c>
      <c r="S114" s="3">
        <f t="shared" si="72"/>
        <v>0</v>
      </c>
      <c r="T114" s="3">
        <f t="shared" si="72"/>
        <v>0</v>
      </c>
      <c r="U114" s="3">
        <f>AH114</f>
        <v>0</v>
      </c>
      <c r="V114" s="3">
        <f>AI114</f>
        <v>0</v>
      </c>
      <c r="W114" s="3">
        <f>ROUND(AJ114,2)</f>
        <v>0</v>
      </c>
      <c r="X114" s="3">
        <f>ROUND(AK114,2)</f>
        <v>0</v>
      </c>
      <c r="Y114" s="3">
        <f>ROUND(AL114,2)</f>
        <v>0</v>
      </c>
      <c r="Z114" s="3"/>
      <c r="AA114" s="3"/>
      <c r="AB114" s="3">
        <f>ROUND(SUMIF(AA109:AA112,"=56959434",O109:O112),2)</f>
        <v>20417.75</v>
      </c>
      <c r="AC114" s="3">
        <f>ROUND(SUMIF(AA109:AA112,"=56959434",P109:P112),2)</f>
        <v>20417.75</v>
      </c>
      <c r="AD114" s="3">
        <f>ROUND(SUMIF(AA109:AA112,"=56959434",Q109:Q112),2)</f>
        <v>0</v>
      </c>
      <c r="AE114" s="3">
        <f>ROUND(SUMIF(AA109:AA112,"=56959434",R109:R112),2)</f>
        <v>0</v>
      </c>
      <c r="AF114" s="3">
        <f>ROUND(SUMIF(AA109:AA112,"=56959434",S109:S112),2)</f>
        <v>0</v>
      </c>
      <c r="AG114" s="3">
        <f>ROUND(SUMIF(AA109:AA112,"=56959434",T109:T112),2)</f>
        <v>0</v>
      </c>
      <c r="AH114" s="3">
        <f>SUMIF(AA109:AA112,"=56959434",U109:U112)</f>
        <v>0</v>
      </c>
      <c r="AI114" s="3">
        <f>SUMIF(AA109:AA112,"=56959434",V109:V112)</f>
        <v>0</v>
      </c>
      <c r="AJ114" s="3">
        <f>ROUND(SUMIF(AA109:AA112,"=56959434",W109:W112),2)</f>
        <v>0</v>
      </c>
      <c r="AK114" s="3">
        <f>ROUND(SUMIF(AA109:AA112,"=56959434",X109:X112),2)</f>
        <v>0</v>
      </c>
      <c r="AL114" s="3">
        <f>ROUND(SUMIF(AA109:AA112,"=56959434",Y109:Y112),2)</f>
        <v>0</v>
      </c>
      <c r="AM114" s="3"/>
      <c r="AN114" s="3"/>
      <c r="AO114" s="3">
        <f t="shared" ref="AO114:BD114" si="73">ROUND(BX114,2)</f>
        <v>0</v>
      </c>
      <c r="AP114" s="3">
        <f t="shared" si="73"/>
        <v>20417.75</v>
      </c>
      <c r="AQ114" s="3">
        <f t="shared" si="73"/>
        <v>0</v>
      </c>
      <c r="AR114" s="3">
        <f t="shared" si="73"/>
        <v>20417.75</v>
      </c>
      <c r="AS114" s="3">
        <f t="shared" si="73"/>
        <v>0</v>
      </c>
      <c r="AT114" s="3">
        <f t="shared" si="73"/>
        <v>0</v>
      </c>
      <c r="AU114" s="3">
        <f t="shared" si="73"/>
        <v>0</v>
      </c>
      <c r="AV114" s="3">
        <f t="shared" si="73"/>
        <v>20417.75</v>
      </c>
      <c r="AW114" s="3">
        <f t="shared" si="73"/>
        <v>0</v>
      </c>
      <c r="AX114" s="3">
        <f t="shared" si="73"/>
        <v>0</v>
      </c>
      <c r="AY114" s="3">
        <f t="shared" si="73"/>
        <v>0</v>
      </c>
      <c r="AZ114" s="3">
        <f t="shared" si="73"/>
        <v>20417.75</v>
      </c>
      <c r="BA114" s="3">
        <f t="shared" si="73"/>
        <v>0</v>
      </c>
      <c r="BB114" s="3">
        <f t="shared" si="73"/>
        <v>0</v>
      </c>
      <c r="BC114" s="3">
        <f t="shared" si="73"/>
        <v>0</v>
      </c>
      <c r="BD114" s="3">
        <f t="shared" si="73"/>
        <v>0</v>
      </c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>
        <f>ROUND(SUMIF(AA109:AA112,"=56959434",FQ109:FQ112),2)</f>
        <v>0</v>
      </c>
      <c r="BY114" s="3">
        <f>ROUND(SUMIF(AA109:AA112,"=56959434",FR109:FR112),2)</f>
        <v>20417.75</v>
      </c>
      <c r="BZ114" s="3">
        <f>ROUND(SUMIF(AA109:AA112,"=56959434",GL109:GL112),2)</f>
        <v>0</v>
      </c>
      <c r="CA114" s="3">
        <f>ROUND(SUMIF(AA109:AA112,"=56959434",GM109:GM112),2)</f>
        <v>20417.75</v>
      </c>
      <c r="CB114" s="3">
        <f>ROUND(SUMIF(AA109:AA112,"=56959434",GN109:GN112),2)</f>
        <v>0</v>
      </c>
      <c r="CC114" s="3">
        <f>ROUND(SUMIF(AA109:AA112,"=56959434",GO109:GO112),2)</f>
        <v>0</v>
      </c>
      <c r="CD114" s="3">
        <f>ROUND(SUMIF(AA109:AA112,"=56959434",GP109:GP112),2)</f>
        <v>0</v>
      </c>
      <c r="CE114" s="3">
        <f>AC114-BX114</f>
        <v>20417.75</v>
      </c>
      <c r="CF114" s="3">
        <f>AC114-BY114</f>
        <v>0</v>
      </c>
      <c r="CG114" s="3">
        <f>BX114-BZ114</f>
        <v>0</v>
      </c>
      <c r="CH114" s="3">
        <f>AC114-BX114-BY114+BZ114</f>
        <v>0</v>
      </c>
      <c r="CI114" s="3">
        <f>BY114-BZ114</f>
        <v>20417.75</v>
      </c>
      <c r="CJ114" s="3">
        <f>ROUND(SUMIF(AA109:AA112,"=56959434",GX109:GX112),2)</f>
        <v>0</v>
      </c>
      <c r="CK114" s="3">
        <f>ROUND(SUMIF(AA109:AA112,"=56959434",GY109:GY112),2)</f>
        <v>0</v>
      </c>
      <c r="CL114" s="3">
        <f>ROUND(SUMIF(AA109:AA112,"=56959434",GZ109:GZ112),2)</f>
        <v>0</v>
      </c>
      <c r="CM114" s="3">
        <f>ROUND(SUMIF(AA109:AA112,"=56959434",HD109:HD112),2)</f>
        <v>0</v>
      </c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4">
        <f t="shared" ref="DG114:DL114" si="74">ROUND(DT114,2)</f>
        <v>156399.97</v>
      </c>
      <c r="DH114" s="4">
        <f t="shared" si="74"/>
        <v>156399.97</v>
      </c>
      <c r="DI114" s="4">
        <f t="shared" si="74"/>
        <v>0</v>
      </c>
      <c r="DJ114" s="4">
        <f t="shared" si="74"/>
        <v>0</v>
      </c>
      <c r="DK114" s="4">
        <f t="shared" si="74"/>
        <v>0</v>
      </c>
      <c r="DL114" s="4">
        <f t="shared" si="74"/>
        <v>0</v>
      </c>
      <c r="DM114" s="4">
        <f>DZ114</f>
        <v>0</v>
      </c>
      <c r="DN114" s="4">
        <f>EA114</f>
        <v>0</v>
      </c>
      <c r="DO114" s="4">
        <f>ROUND(EB114,2)</f>
        <v>0</v>
      </c>
      <c r="DP114" s="4">
        <f>ROUND(EC114,2)</f>
        <v>0</v>
      </c>
      <c r="DQ114" s="4">
        <f>ROUND(ED114,2)</f>
        <v>0</v>
      </c>
      <c r="DR114" s="4"/>
      <c r="DS114" s="4"/>
      <c r="DT114" s="4">
        <f>ROUND(SUMIF(AA109:AA112,"=56959431",O109:O112),2)</f>
        <v>156399.97</v>
      </c>
      <c r="DU114" s="4">
        <f>ROUND(SUMIF(AA109:AA112,"=56959431",P109:P112),2)</f>
        <v>156399.97</v>
      </c>
      <c r="DV114" s="4">
        <f>ROUND(SUMIF(AA109:AA112,"=56959431",Q109:Q112),2)</f>
        <v>0</v>
      </c>
      <c r="DW114" s="4">
        <f>ROUND(SUMIF(AA109:AA112,"=56959431",R109:R112),2)</f>
        <v>0</v>
      </c>
      <c r="DX114" s="4">
        <f>ROUND(SUMIF(AA109:AA112,"=56959431",S109:S112),2)</f>
        <v>0</v>
      </c>
      <c r="DY114" s="4">
        <f>ROUND(SUMIF(AA109:AA112,"=56959431",T109:T112),2)</f>
        <v>0</v>
      </c>
      <c r="DZ114" s="4">
        <f>SUMIF(AA109:AA112,"=56959431",U109:U112)</f>
        <v>0</v>
      </c>
      <c r="EA114" s="4">
        <f>SUMIF(AA109:AA112,"=56959431",V109:V112)</f>
        <v>0</v>
      </c>
      <c r="EB114" s="4">
        <f>ROUND(SUMIF(AA109:AA112,"=56959431",W109:W112),2)</f>
        <v>0</v>
      </c>
      <c r="EC114" s="4">
        <f>ROUND(SUMIF(AA109:AA112,"=56959431",X109:X112),2)</f>
        <v>0</v>
      </c>
      <c r="ED114" s="4">
        <f>ROUND(SUMIF(AA109:AA112,"=56959431",Y109:Y112),2)</f>
        <v>0</v>
      </c>
      <c r="EE114" s="4"/>
      <c r="EF114" s="4"/>
      <c r="EG114" s="4">
        <f t="shared" ref="EG114:EV114" si="75">ROUND(FP114,2)</f>
        <v>0</v>
      </c>
      <c r="EH114" s="4">
        <f t="shared" si="75"/>
        <v>156399.97</v>
      </c>
      <c r="EI114" s="4">
        <f t="shared" si="75"/>
        <v>0</v>
      </c>
      <c r="EJ114" s="4">
        <f t="shared" si="75"/>
        <v>156399.97</v>
      </c>
      <c r="EK114" s="4">
        <f t="shared" si="75"/>
        <v>0</v>
      </c>
      <c r="EL114" s="4">
        <f t="shared" si="75"/>
        <v>0</v>
      </c>
      <c r="EM114" s="4">
        <f t="shared" si="75"/>
        <v>0</v>
      </c>
      <c r="EN114" s="4">
        <f t="shared" si="75"/>
        <v>156399.97</v>
      </c>
      <c r="EO114" s="4">
        <f t="shared" si="75"/>
        <v>0</v>
      </c>
      <c r="EP114" s="4">
        <f t="shared" si="75"/>
        <v>0</v>
      </c>
      <c r="EQ114" s="4">
        <f t="shared" si="75"/>
        <v>0</v>
      </c>
      <c r="ER114" s="4">
        <f t="shared" si="75"/>
        <v>156399.97</v>
      </c>
      <c r="ES114" s="4">
        <f t="shared" si="75"/>
        <v>0</v>
      </c>
      <c r="ET114" s="4">
        <f t="shared" si="75"/>
        <v>0</v>
      </c>
      <c r="EU114" s="4">
        <f t="shared" si="75"/>
        <v>0</v>
      </c>
      <c r="EV114" s="4">
        <f t="shared" si="75"/>
        <v>0</v>
      </c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>
        <f>ROUND(SUMIF(AA109:AA112,"=56959431",FQ109:FQ112),2)</f>
        <v>0</v>
      </c>
      <c r="FQ114" s="4">
        <f>ROUND(SUMIF(AA109:AA112,"=56959431",FR109:FR112),2)</f>
        <v>156399.97</v>
      </c>
      <c r="FR114" s="4">
        <f>ROUND(SUMIF(AA109:AA112,"=56959431",GL109:GL112),2)</f>
        <v>0</v>
      </c>
      <c r="FS114" s="4">
        <f>ROUND(SUMIF(AA109:AA112,"=56959431",GM109:GM112),2)</f>
        <v>156399.97</v>
      </c>
      <c r="FT114" s="4">
        <f>ROUND(SUMIF(AA109:AA112,"=56959431",GN109:GN112),2)</f>
        <v>0</v>
      </c>
      <c r="FU114" s="4">
        <f>ROUND(SUMIF(AA109:AA112,"=56959431",GO109:GO112),2)</f>
        <v>0</v>
      </c>
      <c r="FV114" s="4">
        <f>ROUND(SUMIF(AA109:AA112,"=56959431",GP109:GP112),2)</f>
        <v>0</v>
      </c>
      <c r="FW114" s="4">
        <f>DU114-FP114</f>
        <v>156399.97</v>
      </c>
      <c r="FX114" s="4">
        <f>DU114-FQ114</f>
        <v>0</v>
      </c>
      <c r="FY114" s="4">
        <f>FP114-FR114</f>
        <v>0</v>
      </c>
      <c r="FZ114" s="4">
        <f>DU114-FP114-FQ114+FR114</f>
        <v>0</v>
      </c>
      <c r="GA114" s="4">
        <f>FQ114-FR114</f>
        <v>156399.97</v>
      </c>
      <c r="GB114" s="4">
        <f>ROUND(SUMIF(AA109:AA112,"=56959431",GX109:GX112),2)</f>
        <v>0</v>
      </c>
      <c r="GC114" s="4">
        <f>ROUND(SUMIF(AA109:AA112,"=56959431",GY109:GY112),2)</f>
        <v>0</v>
      </c>
      <c r="GD114" s="4">
        <f>ROUND(SUMIF(AA109:AA112,"=56959431",GZ109:GZ112),2)</f>
        <v>0</v>
      </c>
      <c r="GE114" s="4">
        <f>ROUND(SUMIF(AA109:AA112,"=56959431",HD109:HD112),2)</f>
        <v>0</v>
      </c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>
        <v>0</v>
      </c>
    </row>
    <row r="116" spans="1:206" x14ac:dyDescent="0.2">
      <c r="A116" s="5">
        <v>50</v>
      </c>
      <c r="B116" s="5">
        <v>0</v>
      </c>
      <c r="C116" s="5">
        <v>0</v>
      </c>
      <c r="D116" s="5">
        <v>1</v>
      </c>
      <c r="E116" s="5">
        <v>201</v>
      </c>
      <c r="F116" s="5">
        <f>ROUND(Source!O114,O116)</f>
        <v>20417.75</v>
      </c>
      <c r="G116" s="5" t="s">
        <v>118</v>
      </c>
      <c r="H116" s="5" t="s">
        <v>119</v>
      </c>
      <c r="I116" s="5"/>
      <c r="J116" s="5"/>
      <c r="K116" s="5">
        <v>201</v>
      </c>
      <c r="L116" s="5">
        <v>1</v>
      </c>
      <c r="M116" s="5">
        <v>3</v>
      </c>
      <c r="N116" s="5" t="s">
        <v>3</v>
      </c>
      <c r="O116" s="5">
        <v>2</v>
      </c>
      <c r="P116" s="5">
        <f>ROUND(Source!DG114,O116)</f>
        <v>156399.97</v>
      </c>
      <c r="Q116" s="5"/>
      <c r="R116" s="5"/>
      <c r="S116" s="5"/>
      <c r="T116" s="5"/>
      <c r="U116" s="5"/>
      <c r="V116" s="5"/>
      <c r="W116" s="5">
        <v>20417.75</v>
      </c>
      <c r="X116" s="5">
        <v>1</v>
      </c>
      <c r="Y116" s="5">
        <v>20417.75</v>
      </c>
      <c r="Z116" s="5">
        <v>156399.97</v>
      </c>
      <c r="AA116" s="5">
        <v>1</v>
      </c>
      <c r="AB116" s="5">
        <v>156399.97</v>
      </c>
    </row>
    <row r="117" spans="1:206" x14ac:dyDescent="0.2">
      <c r="A117" s="5">
        <v>50</v>
      </c>
      <c r="B117" s="5">
        <v>0</v>
      </c>
      <c r="C117" s="5">
        <v>0</v>
      </c>
      <c r="D117" s="5">
        <v>1</v>
      </c>
      <c r="E117" s="5">
        <v>202</v>
      </c>
      <c r="F117" s="5">
        <f>ROUND(Source!P114,O117)</f>
        <v>20417.75</v>
      </c>
      <c r="G117" s="5" t="s">
        <v>120</v>
      </c>
      <c r="H117" s="5" t="s">
        <v>121</v>
      </c>
      <c r="I117" s="5"/>
      <c r="J117" s="5"/>
      <c r="K117" s="5">
        <v>202</v>
      </c>
      <c r="L117" s="5">
        <v>2</v>
      </c>
      <c r="M117" s="5">
        <v>3</v>
      </c>
      <c r="N117" s="5" t="s">
        <v>3</v>
      </c>
      <c r="O117" s="5">
        <v>2</v>
      </c>
      <c r="P117" s="5">
        <f>ROUND(Source!DH114,O117)</f>
        <v>156399.97</v>
      </c>
      <c r="Q117" s="5"/>
      <c r="R117" s="5"/>
      <c r="S117" s="5"/>
      <c r="T117" s="5"/>
      <c r="U117" s="5"/>
      <c r="V117" s="5"/>
      <c r="W117" s="5">
        <v>20417.75</v>
      </c>
      <c r="X117" s="5">
        <v>1</v>
      </c>
      <c r="Y117" s="5">
        <v>20417.75</v>
      </c>
      <c r="Z117" s="5">
        <v>156399.97</v>
      </c>
      <c r="AA117" s="5">
        <v>1</v>
      </c>
      <c r="AB117" s="5">
        <v>156399.97</v>
      </c>
    </row>
    <row r="118" spans="1:206" x14ac:dyDescent="0.2">
      <c r="A118" s="5">
        <v>50</v>
      </c>
      <c r="B118" s="5">
        <v>0</v>
      </c>
      <c r="C118" s="5">
        <v>0</v>
      </c>
      <c r="D118" s="5">
        <v>1</v>
      </c>
      <c r="E118" s="5">
        <v>222</v>
      </c>
      <c r="F118" s="5">
        <f>ROUND(Source!AO114,O118)</f>
        <v>0</v>
      </c>
      <c r="G118" s="5" t="s">
        <v>122</v>
      </c>
      <c r="H118" s="5" t="s">
        <v>123</v>
      </c>
      <c r="I118" s="5"/>
      <c r="J118" s="5"/>
      <c r="K118" s="5">
        <v>222</v>
      </c>
      <c r="L118" s="5">
        <v>3</v>
      </c>
      <c r="M118" s="5">
        <v>3</v>
      </c>
      <c r="N118" s="5" t="s">
        <v>3</v>
      </c>
      <c r="O118" s="5">
        <v>2</v>
      </c>
      <c r="P118" s="5">
        <f>ROUND(Source!EG114,O118)</f>
        <v>0</v>
      </c>
      <c r="Q118" s="5"/>
      <c r="R118" s="5"/>
      <c r="S118" s="5"/>
      <c r="T118" s="5"/>
      <c r="U118" s="5"/>
      <c r="V118" s="5"/>
      <c r="W118" s="5">
        <v>0</v>
      </c>
      <c r="X118" s="5">
        <v>1</v>
      </c>
      <c r="Y118" s="5">
        <v>0</v>
      </c>
      <c r="Z118" s="5">
        <v>0</v>
      </c>
      <c r="AA118" s="5">
        <v>1</v>
      </c>
      <c r="AB118" s="5">
        <v>0</v>
      </c>
    </row>
    <row r="119" spans="1:206" x14ac:dyDescent="0.2">
      <c r="A119" s="5">
        <v>50</v>
      </c>
      <c r="B119" s="5">
        <v>0</v>
      </c>
      <c r="C119" s="5">
        <v>0</v>
      </c>
      <c r="D119" s="5">
        <v>1</v>
      </c>
      <c r="E119" s="5">
        <v>225</v>
      </c>
      <c r="F119" s="5">
        <f>ROUND(Source!AV114,O119)</f>
        <v>20417.75</v>
      </c>
      <c r="G119" s="5" t="s">
        <v>124</v>
      </c>
      <c r="H119" s="5" t="s">
        <v>125</v>
      </c>
      <c r="I119" s="5"/>
      <c r="J119" s="5"/>
      <c r="K119" s="5">
        <v>225</v>
      </c>
      <c r="L119" s="5">
        <v>4</v>
      </c>
      <c r="M119" s="5">
        <v>3</v>
      </c>
      <c r="N119" s="5" t="s">
        <v>3</v>
      </c>
      <c r="O119" s="5">
        <v>2</v>
      </c>
      <c r="P119" s="5">
        <f>ROUND(Source!EN114,O119)</f>
        <v>156399.97</v>
      </c>
      <c r="Q119" s="5"/>
      <c r="R119" s="5"/>
      <c r="S119" s="5"/>
      <c r="T119" s="5"/>
      <c r="U119" s="5"/>
      <c r="V119" s="5"/>
      <c r="W119" s="5">
        <v>20417.75</v>
      </c>
      <c r="X119" s="5">
        <v>1</v>
      </c>
      <c r="Y119" s="5">
        <v>20417.75</v>
      </c>
      <c r="Z119" s="5">
        <v>156399.97</v>
      </c>
      <c r="AA119" s="5">
        <v>1</v>
      </c>
      <c r="AB119" s="5">
        <v>156399.97</v>
      </c>
    </row>
    <row r="120" spans="1:206" x14ac:dyDescent="0.2">
      <c r="A120" s="5">
        <v>50</v>
      </c>
      <c r="B120" s="5">
        <v>0</v>
      </c>
      <c r="C120" s="5">
        <v>0</v>
      </c>
      <c r="D120" s="5">
        <v>1</v>
      </c>
      <c r="E120" s="5">
        <v>226</v>
      </c>
      <c r="F120" s="5">
        <f>ROUND(Source!AW114,O120)</f>
        <v>0</v>
      </c>
      <c r="G120" s="5" t="s">
        <v>126</v>
      </c>
      <c r="H120" s="5" t="s">
        <v>127</v>
      </c>
      <c r="I120" s="5"/>
      <c r="J120" s="5"/>
      <c r="K120" s="5">
        <v>226</v>
      </c>
      <c r="L120" s="5">
        <v>5</v>
      </c>
      <c r="M120" s="5">
        <v>3</v>
      </c>
      <c r="N120" s="5" t="s">
        <v>3</v>
      </c>
      <c r="O120" s="5">
        <v>2</v>
      </c>
      <c r="P120" s="5">
        <f>ROUND(Source!EO114,O120)</f>
        <v>0</v>
      </c>
      <c r="Q120" s="5"/>
      <c r="R120" s="5"/>
      <c r="S120" s="5"/>
      <c r="T120" s="5"/>
      <c r="U120" s="5"/>
      <c r="V120" s="5"/>
      <c r="W120" s="5">
        <v>0</v>
      </c>
      <c r="X120" s="5">
        <v>1</v>
      </c>
      <c r="Y120" s="5">
        <v>0</v>
      </c>
      <c r="Z120" s="5">
        <v>0</v>
      </c>
      <c r="AA120" s="5">
        <v>1</v>
      </c>
      <c r="AB120" s="5">
        <v>0</v>
      </c>
    </row>
    <row r="121" spans="1:206" x14ac:dyDescent="0.2">
      <c r="A121" s="5">
        <v>50</v>
      </c>
      <c r="B121" s="5">
        <v>0</v>
      </c>
      <c r="C121" s="5">
        <v>0</v>
      </c>
      <c r="D121" s="5">
        <v>1</v>
      </c>
      <c r="E121" s="5">
        <v>227</v>
      </c>
      <c r="F121" s="5">
        <f>ROUND(Source!AX114,O121)</f>
        <v>0</v>
      </c>
      <c r="G121" s="5" t="s">
        <v>128</v>
      </c>
      <c r="H121" s="5" t="s">
        <v>129</v>
      </c>
      <c r="I121" s="5"/>
      <c r="J121" s="5"/>
      <c r="K121" s="5">
        <v>227</v>
      </c>
      <c r="L121" s="5">
        <v>6</v>
      </c>
      <c r="M121" s="5">
        <v>3</v>
      </c>
      <c r="N121" s="5" t="s">
        <v>3</v>
      </c>
      <c r="O121" s="5">
        <v>2</v>
      </c>
      <c r="P121" s="5">
        <f>ROUND(Source!EP114,O121)</f>
        <v>0</v>
      </c>
      <c r="Q121" s="5"/>
      <c r="R121" s="5"/>
      <c r="S121" s="5"/>
      <c r="T121" s="5"/>
      <c r="U121" s="5"/>
      <c r="V121" s="5"/>
      <c r="W121" s="5">
        <v>0</v>
      </c>
      <c r="X121" s="5">
        <v>1</v>
      </c>
      <c r="Y121" s="5">
        <v>0</v>
      </c>
      <c r="Z121" s="5">
        <v>0</v>
      </c>
      <c r="AA121" s="5">
        <v>1</v>
      </c>
      <c r="AB121" s="5">
        <v>0</v>
      </c>
    </row>
    <row r="122" spans="1:206" x14ac:dyDescent="0.2">
      <c r="A122" s="5">
        <v>50</v>
      </c>
      <c r="B122" s="5">
        <v>0</v>
      </c>
      <c r="C122" s="5">
        <v>0</v>
      </c>
      <c r="D122" s="5">
        <v>1</v>
      </c>
      <c r="E122" s="5">
        <v>228</v>
      </c>
      <c r="F122" s="5">
        <f>ROUND(Source!AY114,O122)</f>
        <v>0</v>
      </c>
      <c r="G122" s="5" t="s">
        <v>130</v>
      </c>
      <c r="H122" s="5" t="s">
        <v>131</v>
      </c>
      <c r="I122" s="5"/>
      <c r="J122" s="5"/>
      <c r="K122" s="5">
        <v>228</v>
      </c>
      <c r="L122" s="5">
        <v>7</v>
      </c>
      <c r="M122" s="5">
        <v>3</v>
      </c>
      <c r="N122" s="5" t="s">
        <v>3</v>
      </c>
      <c r="O122" s="5">
        <v>2</v>
      </c>
      <c r="P122" s="5">
        <f>ROUND(Source!EQ114,O122)</f>
        <v>0</v>
      </c>
      <c r="Q122" s="5"/>
      <c r="R122" s="5"/>
      <c r="S122" s="5"/>
      <c r="T122" s="5"/>
      <c r="U122" s="5"/>
      <c r="V122" s="5"/>
      <c r="W122" s="5">
        <v>0</v>
      </c>
      <c r="X122" s="5">
        <v>1</v>
      </c>
      <c r="Y122" s="5">
        <v>0</v>
      </c>
      <c r="Z122" s="5">
        <v>0</v>
      </c>
      <c r="AA122" s="5">
        <v>1</v>
      </c>
      <c r="AB122" s="5">
        <v>0</v>
      </c>
    </row>
    <row r="123" spans="1:206" x14ac:dyDescent="0.2">
      <c r="A123" s="5">
        <v>50</v>
      </c>
      <c r="B123" s="5">
        <v>0</v>
      </c>
      <c r="C123" s="5">
        <v>0</v>
      </c>
      <c r="D123" s="5">
        <v>1</v>
      </c>
      <c r="E123" s="5">
        <v>216</v>
      </c>
      <c r="F123" s="5">
        <f>ROUND(Source!AP114,O123)</f>
        <v>20417.75</v>
      </c>
      <c r="G123" s="5" t="s">
        <v>132</v>
      </c>
      <c r="H123" s="5" t="s">
        <v>133</v>
      </c>
      <c r="I123" s="5"/>
      <c r="J123" s="5"/>
      <c r="K123" s="5">
        <v>216</v>
      </c>
      <c r="L123" s="5">
        <v>8</v>
      </c>
      <c r="M123" s="5">
        <v>3</v>
      </c>
      <c r="N123" s="5" t="s">
        <v>3</v>
      </c>
      <c r="O123" s="5">
        <v>2</v>
      </c>
      <c r="P123" s="5">
        <f>ROUND(Source!EH114,O123)</f>
        <v>156399.97</v>
      </c>
      <c r="Q123" s="5"/>
      <c r="R123" s="5"/>
      <c r="S123" s="5"/>
      <c r="T123" s="5"/>
      <c r="U123" s="5"/>
      <c r="V123" s="5"/>
      <c r="W123" s="5">
        <v>20417.75</v>
      </c>
      <c r="X123" s="5">
        <v>1</v>
      </c>
      <c r="Y123" s="5">
        <v>20417.75</v>
      </c>
      <c r="Z123" s="5">
        <v>156399.97</v>
      </c>
      <c r="AA123" s="5">
        <v>1</v>
      </c>
      <c r="AB123" s="5">
        <v>156399.97</v>
      </c>
    </row>
    <row r="124" spans="1:206" x14ac:dyDescent="0.2">
      <c r="A124" s="5">
        <v>50</v>
      </c>
      <c r="B124" s="5">
        <v>0</v>
      </c>
      <c r="C124" s="5">
        <v>0</v>
      </c>
      <c r="D124" s="5">
        <v>1</v>
      </c>
      <c r="E124" s="5">
        <v>223</v>
      </c>
      <c r="F124" s="5">
        <f>ROUND(Source!AQ114,O124)</f>
        <v>0</v>
      </c>
      <c r="G124" s="5" t="s">
        <v>134</v>
      </c>
      <c r="H124" s="5" t="s">
        <v>135</v>
      </c>
      <c r="I124" s="5"/>
      <c r="J124" s="5"/>
      <c r="K124" s="5">
        <v>223</v>
      </c>
      <c r="L124" s="5">
        <v>9</v>
      </c>
      <c r="M124" s="5">
        <v>3</v>
      </c>
      <c r="N124" s="5" t="s">
        <v>3</v>
      </c>
      <c r="O124" s="5">
        <v>2</v>
      </c>
      <c r="P124" s="5">
        <f>ROUND(Source!EI114,O124)</f>
        <v>0</v>
      </c>
      <c r="Q124" s="5"/>
      <c r="R124" s="5"/>
      <c r="S124" s="5"/>
      <c r="T124" s="5"/>
      <c r="U124" s="5"/>
      <c r="V124" s="5"/>
      <c r="W124" s="5">
        <v>0</v>
      </c>
      <c r="X124" s="5">
        <v>1</v>
      </c>
      <c r="Y124" s="5">
        <v>0</v>
      </c>
      <c r="Z124" s="5">
        <v>0</v>
      </c>
      <c r="AA124" s="5">
        <v>1</v>
      </c>
      <c r="AB124" s="5">
        <v>0</v>
      </c>
    </row>
    <row r="125" spans="1:206" x14ac:dyDescent="0.2">
      <c r="A125" s="5">
        <v>50</v>
      </c>
      <c r="B125" s="5">
        <v>0</v>
      </c>
      <c r="C125" s="5">
        <v>0</v>
      </c>
      <c r="D125" s="5">
        <v>1</v>
      </c>
      <c r="E125" s="5">
        <v>229</v>
      </c>
      <c r="F125" s="5">
        <f>ROUND(Source!AZ114,O125)</f>
        <v>20417.75</v>
      </c>
      <c r="G125" s="5" t="s">
        <v>136</v>
      </c>
      <c r="H125" s="5" t="s">
        <v>137</v>
      </c>
      <c r="I125" s="5"/>
      <c r="J125" s="5"/>
      <c r="K125" s="5">
        <v>229</v>
      </c>
      <c r="L125" s="5">
        <v>10</v>
      </c>
      <c r="M125" s="5">
        <v>3</v>
      </c>
      <c r="N125" s="5" t="s">
        <v>3</v>
      </c>
      <c r="O125" s="5">
        <v>2</v>
      </c>
      <c r="P125" s="5">
        <f>ROUND(Source!ER114,O125)</f>
        <v>156399.97</v>
      </c>
      <c r="Q125" s="5"/>
      <c r="R125" s="5"/>
      <c r="S125" s="5"/>
      <c r="T125" s="5"/>
      <c r="U125" s="5"/>
      <c r="V125" s="5"/>
      <c r="W125" s="5">
        <v>20417.75</v>
      </c>
      <c r="X125" s="5">
        <v>1</v>
      </c>
      <c r="Y125" s="5">
        <v>20417.75</v>
      </c>
      <c r="Z125" s="5">
        <v>156399.97</v>
      </c>
      <c r="AA125" s="5">
        <v>1</v>
      </c>
      <c r="AB125" s="5">
        <v>156399.97</v>
      </c>
    </row>
    <row r="126" spans="1:206" x14ac:dyDescent="0.2">
      <c r="A126" s="5">
        <v>50</v>
      </c>
      <c r="B126" s="5">
        <v>0</v>
      </c>
      <c r="C126" s="5">
        <v>0</v>
      </c>
      <c r="D126" s="5">
        <v>1</v>
      </c>
      <c r="E126" s="5">
        <v>203</v>
      </c>
      <c r="F126" s="5">
        <f>ROUND(Source!Q114,O126)</f>
        <v>0</v>
      </c>
      <c r="G126" s="5" t="s">
        <v>138</v>
      </c>
      <c r="H126" s="5" t="s">
        <v>139</v>
      </c>
      <c r="I126" s="5"/>
      <c r="J126" s="5"/>
      <c r="K126" s="5">
        <v>203</v>
      </c>
      <c r="L126" s="5">
        <v>11</v>
      </c>
      <c r="M126" s="5">
        <v>3</v>
      </c>
      <c r="N126" s="5" t="s">
        <v>3</v>
      </c>
      <c r="O126" s="5">
        <v>2</v>
      </c>
      <c r="P126" s="5">
        <f>ROUND(Source!DI114,O126)</f>
        <v>0</v>
      </c>
      <c r="Q126" s="5"/>
      <c r="R126" s="5"/>
      <c r="S126" s="5"/>
      <c r="T126" s="5"/>
      <c r="U126" s="5"/>
      <c r="V126" s="5"/>
      <c r="W126" s="5">
        <v>0</v>
      </c>
      <c r="X126" s="5">
        <v>1</v>
      </c>
      <c r="Y126" s="5">
        <v>0</v>
      </c>
      <c r="Z126" s="5">
        <v>0</v>
      </c>
      <c r="AA126" s="5">
        <v>1</v>
      </c>
      <c r="AB126" s="5">
        <v>0</v>
      </c>
    </row>
    <row r="127" spans="1:206" x14ac:dyDescent="0.2">
      <c r="A127" s="5">
        <v>50</v>
      </c>
      <c r="B127" s="5">
        <v>0</v>
      </c>
      <c r="C127" s="5">
        <v>0</v>
      </c>
      <c r="D127" s="5">
        <v>1</v>
      </c>
      <c r="E127" s="5">
        <v>231</v>
      </c>
      <c r="F127" s="5">
        <f>ROUND(Source!BB114,O127)</f>
        <v>0</v>
      </c>
      <c r="G127" s="5" t="s">
        <v>140</v>
      </c>
      <c r="H127" s="5" t="s">
        <v>141</v>
      </c>
      <c r="I127" s="5"/>
      <c r="J127" s="5"/>
      <c r="K127" s="5">
        <v>231</v>
      </c>
      <c r="L127" s="5">
        <v>12</v>
      </c>
      <c r="M127" s="5">
        <v>3</v>
      </c>
      <c r="N127" s="5" t="s">
        <v>3</v>
      </c>
      <c r="O127" s="5">
        <v>2</v>
      </c>
      <c r="P127" s="5">
        <f>ROUND(Source!ET114,O127)</f>
        <v>0</v>
      </c>
      <c r="Q127" s="5"/>
      <c r="R127" s="5"/>
      <c r="S127" s="5"/>
      <c r="T127" s="5"/>
      <c r="U127" s="5"/>
      <c r="V127" s="5"/>
      <c r="W127" s="5">
        <v>0</v>
      </c>
      <c r="X127" s="5">
        <v>1</v>
      </c>
      <c r="Y127" s="5">
        <v>0</v>
      </c>
      <c r="Z127" s="5">
        <v>0</v>
      </c>
      <c r="AA127" s="5">
        <v>1</v>
      </c>
      <c r="AB127" s="5">
        <v>0</v>
      </c>
    </row>
    <row r="128" spans="1:206" x14ac:dyDescent="0.2">
      <c r="A128" s="5">
        <v>50</v>
      </c>
      <c r="B128" s="5">
        <v>0</v>
      </c>
      <c r="C128" s="5">
        <v>0</v>
      </c>
      <c r="D128" s="5">
        <v>1</v>
      </c>
      <c r="E128" s="5">
        <v>204</v>
      </c>
      <c r="F128" s="5">
        <f>ROUND(Source!R114,O128)</f>
        <v>0</v>
      </c>
      <c r="G128" s="5" t="s">
        <v>142</v>
      </c>
      <c r="H128" s="5" t="s">
        <v>143</v>
      </c>
      <c r="I128" s="5"/>
      <c r="J128" s="5"/>
      <c r="K128" s="5">
        <v>204</v>
      </c>
      <c r="L128" s="5">
        <v>13</v>
      </c>
      <c r="M128" s="5">
        <v>3</v>
      </c>
      <c r="N128" s="5" t="s">
        <v>3</v>
      </c>
      <c r="O128" s="5">
        <v>2</v>
      </c>
      <c r="P128" s="5">
        <f>ROUND(Source!DJ114,O128)</f>
        <v>0</v>
      </c>
      <c r="Q128" s="5"/>
      <c r="R128" s="5"/>
      <c r="S128" s="5"/>
      <c r="T128" s="5"/>
      <c r="U128" s="5"/>
      <c r="V128" s="5"/>
      <c r="W128" s="5">
        <v>0</v>
      </c>
      <c r="X128" s="5">
        <v>1</v>
      </c>
      <c r="Y128" s="5">
        <v>0</v>
      </c>
      <c r="Z128" s="5">
        <v>0</v>
      </c>
      <c r="AA128" s="5">
        <v>1</v>
      </c>
      <c r="AB128" s="5">
        <v>0</v>
      </c>
    </row>
    <row r="129" spans="1:88" x14ac:dyDescent="0.2">
      <c r="A129" s="5">
        <v>50</v>
      </c>
      <c r="B129" s="5">
        <v>0</v>
      </c>
      <c r="C129" s="5">
        <v>0</v>
      </c>
      <c r="D129" s="5">
        <v>1</v>
      </c>
      <c r="E129" s="5">
        <v>205</v>
      </c>
      <c r="F129" s="5">
        <f>ROUND(Source!S114,O129)</f>
        <v>0</v>
      </c>
      <c r="G129" s="5" t="s">
        <v>144</v>
      </c>
      <c r="H129" s="5" t="s">
        <v>145</v>
      </c>
      <c r="I129" s="5"/>
      <c r="J129" s="5"/>
      <c r="K129" s="5">
        <v>205</v>
      </c>
      <c r="L129" s="5">
        <v>14</v>
      </c>
      <c r="M129" s="5">
        <v>3</v>
      </c>
      <c r="N129" s="5" t="s">
        <v>3</v>
      </c>
      <c r="O129" s="5">
        <v>2</v>
      </c>
      <c r="P129" s="5">
        <f>ROUND(Source!DK114,O129)</f>
        <v>0</v>
      </c>
      <c r="Q129" s="5"/>
      <c r="R129" s="5"/>
      <c r="S129" s="5"/>
      <c r="T129" s="5"/>
      <c r="U129" s="5"/>
      <c r="V129" s="5"/>
      <c r="W129" s="5">
        <v>0</v>
      </c>
      <c r="X129" s="5">
        <v>1</v>
      </c>
      <c r="Y129" s="5">
        <v>0</v>
      </c>
      <c r="Z129" s="5">
        <v>0</v>
      </c>
      <c r="AA129" s="5">
        <v>1</v>
      </c>
      <c r="AB129" s="5">
        <v>0</v>
      </c>
    </row>
    <row r="130" spans="1:88" x14ac:dyDescent="0.2">
      <c r="A130" s="5">
        <v>50</v>
      </c>
      <c r="B130" s="5">
        <v>0</v>
      </c>
      <c r="C130" s="5">
        <v>0</v>
      </c>
      <c r="D130" s="5">
        <v>1</v>
      </c>
      <c r="E130" s="5">
        <v>232</v>
      </c>
      <c r="F130" s="5">
        <f>ROUND(Source!BC114,O130)</f>
        <v>0</v>
      </c>
      <c r="G130" s="5" t="s">
        <v>146</v>
      </c>
      <c r="H130" s="5" t="s">
        <v>147</v>
      </c>
      <c r="I130" s="5"/>
      <c r="J130" s="5"/>
      <c r="K130" s="5">
        <v>232</v>
      </c>
      <c r="L130" s="5">
        <v>15</v>
      </c>
      <c r="M130" s="5">
        <v>3</v>
      </c>
      <c r="N130" s="5" t="s">
        <v>3</v>
      </c>
      <c r="O130" s="5">
        <v>2</v>
      </c>
      <c r="P130" s="5">
        <f>ROUND(Source!EU114,O130)</f>
        <v>0</v>
      </c>
      <c r="Q130" s="5"/>
      <c r="R130" s="5"/>
      <c r="S130" s="5"/>
      <c r="T130" s="5"/>
      <c r="U130" s="5"/>
      <c r="V130" s="5"/>
      <c r="W130" s="5">
        <v>0</v>
      </c>
      <c r="X130" s="5">
        <v>1</v>
      </c>
      <c r="Y130" s="5">
        <v>0</v>
      </c>
      <c r="Z130" s="5">
        <v>0</v>
      </c>
      <c r="AA130" s="5">
        <v>1</v>
      </c>
      <c r="AB130" s="5">
        <v>0</v>
      </c>
    </row>
    <row r="131" spans="1:88" x14ac:dyDescent="0.2">
      <c r="A131" s="5">
        <v>50</v>
      </c>
      <c r="B131" s="5">
        <v>0</v>
      </c>
      <c r="C131" s="5">
        <v>0</v>
      </c>
      <c r="D131" s="5">
        <v>1</v>
      </c>
      <c r="E131" s="5">
        <v>214</v>
      </c>
      <c r="F131" s="5">
        <f>ROUND(Source!AS114,O131)</f>
        <v>0</v>
      </c>
      <c r="G131" s="5" t="s">
        <v>148</v>
      </c>
      <c r="H131" s="5" t="s">
        <v>149</v>
      </c>
      <c r="I131" s="5"/>
      <c r="J131" s="5"/>
      <c r="K131" s="5">
        <v>214</v>
      </c>
      <c r="L131" s="5">
        <v>16</v>
      </c>
      <c r="M131" s="5">
        <v>3</v>
      </c>
      <c r="N131" s="5" t="s">
        <v>3</v>
      </c>
      <c r="O131" s="5">
        <v>2</v>
      </c>
      <c r="P131" s="5">
        <f>ROUND(Source!EK114,O131)</f>
        <v>0</v>
      </c>
      <c r="Q131" s="5"/>
      <c r="R131" s="5"/>
      <c r="S131" s="5"/>
      <c r="T131" s="5"/>
      <c r="U131" s="5"/>
      <c r="V131" s="5"/>
      <c r="W131" s="5">
        <v>0</v>
      </c>
      <c r="X131" s="5">
        <v>1</v>
      </c>
      <c r="Y131" s="5">
        <v>0</v>
      </c>
      <c r="Z131" s="5">
        <v>0</v>
      </c>
      <c r="AA131" s="5">
        <v>1</v>
      </c>
      <c r="AB131" s="5">
        <v>0</v>
      </c>
    </row>
    <row r="132" spans="1:88" x14ac:dyDescent="0.2">
      <c r="A132" s="5">
        <v>50</v>
      </c>
      <c r="B132" s="5">
        <v>0</v>
      </c>
      <c r="C132" s="5">
        <v>0</v>
      </c>
      <c r="D132" s="5">
        <v>1</v>
      </c>
      <c r="E132" s="5">
        <v>215</v>
      </c>
      <c r="F132" s="5">
        <f>ROUND(Source!AT114,O132)</f>
        <v>0</v>
      </c>
      <c r="G132" s="5" t="s">
        <v>150</v>
      </c>
      <c r="H132" s="5" t="s">
        <v>151</v>
      </c>
      <c r="I132" s="5"/>
      <c r="J132" s="5"/>
      <c r="K132" s="5">
        <v>215</v>
      </c>
      <c r="L132" s="5">
        <v>17</v>
      </c>
      <c r="M132" s="5">
        <v>3</v>
      </c>
      <c r="N132" s="5" t="s">
        <v>3</v>
      </c>
      <c r="O132" s="5">
        <v>2</v>
      </c>
      <c r="P132" s="5">
        <f>ROUND(Source!EL114,O132)</f>
        <v>0</v>
      </c>
      <c r="Q132" s="5"/>
      <c r="R132" s="5"/>
      <c r="S132" s="5"/>
      <c r="T132" s="5"/>
      <c r="U132" s="5"/>
      <c r="V132" s="5"/>
      <c r="W132" s="5">
        <v>0</v>
      </c>
      <c r="X132" s="5">
        <v>1</v>
      </c>
      <c r="Y132" s="5">
        <v>0</v>
      </c>
      <c r="Z132" s="5">
        <v>0</v>
      </c>
      <c r="AA132" s="5">
        <v>1</v>
      </c>
      <c r="AB132" s="5">
        <v>0</v>
      </c>
    </row>
    <row r="133" spans="1:88" x14ac:dyDescent="0.2">
      <c r="A133" s="5">
        <v>50</v>
      </c>
      <c r="B133" s="5">
        <v>0</v>
      </c>
      <c r="C133" s="5">
        <v>0</v>
      </c>
      <c r="D133" s="5">
        <v>1</v>
      </c>
      <c r="E133" s="5">
        <v>217</v>
      </c>
      <c r="F133" s="5">
        <f>ROUND(Source!AU114,O133)</f>
        <v>0</v>
      </c>
      <c r="G133" s="5" t="s">
        <v>152</v>
      </c>
      <c r="H133" s="5" t="s">
        <v>153</v>
      </c>
      <c r="I133" s="5"/>
      <c r="J133" s="5"/>
      <c r="K133" s="5">
        <v>217</v>
      </c>
      <c r="L133" s="5">
        <v>18</v>
      </c>
      <c r="M133" s="5">
        <v>3</v>
      </c>
      <c r="N133" s="5" t="s">
        <v>3</v>
      </c>
      <c r="O133" s="5">
        <v>2</v>
      </c>
      <c r="P133" s="5">
        <f>ROUND(Source!EM114,O133)</f>
        <v>0</v>
      </c>
      <c r="Q133" s="5"/>
      <c r="R133" s="5"/>
      <c r="S133" s="5"/>
      <c r="T133" s="5"/>
      <c r="U133" s="5"/>
      <c r="V133" s="5"/>
      <c r="W133" s="5">
        <v>0</v>
      </c>
      <c r="X133" s="5">
        <v>1</v>
      </c>
      <c r="Y133" s="5">
        <v>0</v>
      </c>
      <c r="Z133" s="5">
        <v>0</v>
      </c>
      <c r="AA133" s="5">
        <v>1</v>
      </c>
      <c r="AB133" s="5">
        <v>0</v>
      </c>
    </row>
    <row r="134" spans="1:88" x14ac:dyDescent="0.2">
      <c r="A134" s="5">
        <v>50</v>
      </c>
      <c r="B134" s="5">
        <v>0</v>
      </c>
      <c r="C134" s="5">
        <v>0</v>
      </c>
      <c r="D134" s="5">
        <v>1</v>
      </c>
      <c r="E134" s="5">
        <v>230</v>
      </c>
      <c r="F134" s="5">
        <f>ROUND(Source!BA114,O134)</f>
        <v>0</v>
      </c>
      <c r="G134" s="5" t="s">
        <v>154</v>
      </c>
      <c r="H134" s="5" t="s">
        <v>155</v>
      </c>
      <c r="I134" s="5"/>
      <c r="J134" s="5"/>
      <c r="K134" s="5">
        <v>230</v>
      </c>
      <c r="L134" s="5">
        <v>19</v>
      </c>
      <c r="M134" s="5">
        <v>3</v>
      </c>
      <c r="N134" s="5" t="s">
        <v>3</v>
      </c>
      <c r="O134" s="5">
        <v>2</v>
      </c>
      <c r="P134" s="5">
        <f>ROUND(Source!ES114,O134)</f>
        <v>0</v>
      </c>
      <c r="Q134" s="5"/>
      <c r="R134" s="5"/>
      <c r="S134" s="5"/>
      <c r="T134" s="5"/>
      <c r="U134" s="5"/>
      <c r="V134" s="5"/>
      <c r="W134" s="5">
        <v>0</v>
      </c>
      <c r="X134" s="5">
        <v>1</v>
      </c>
      <c r="Y134" s="5">
        <v>0</v>
      </c>
      <c r="Z134" s="5">
        <v>0</v>
      </c>
      <c r="AA134" s="5">
        <v>1</v>
      </c>
      <c r="AB134" s="5">
        <v>0</v>
      </c>
    </row>
    <row r="135" spans="1:88" x14ac:dyDescent="0.2">
      <c r="A135" s="5">
        <v>50</v>
      </c>
      <c r="B135" s="5">
        <v>0</v>
      </c>
      <c r="C135" s="5">
        <v>0</v>
      </c>
      <c r="D135" s="5">
        <v>1</v>
      </c>
      <c r="E135" s="5">
        <v>206</v>
      </c>
      <c r="F135" s="5">
        <f>ROUND(Source!T114,O135)</f>
        <v>0</v>
      </c>
      <c r="G135" s="5" t="s">
        <v>156</v>
      </c>
      <c r="H135" s="5" t="s">
        <v>157</v>
      </c>
      <c r="I135" s="5"/>
      <c r="J135" s="5"/>
      <c r="K135" s="5">
        <v>206</v>
      </c>
      <c r="L135" s="5">
        <v>20</v>
      </c>
      <c r="M135" s="5">
        <v>3</v>
      </c>
      <c r="N135" s="5" t="s">
        <v>3</v>
      </c>
      <c r="O135" s="5">
        <v>2</v>
      </c>
      <c r="P135" s="5">
        <f>ROUND(Source!DL114,O135)</f>
        <v>0</v>
      </c>
      <c r="Q135" s="5"/>
      <c r="R135" s="5"/>
      <c r="S135" s="5"/>
      <c r="T135" s="5"/>
      <c r="U135" s="5"/>
      <c r="V135" s="5"/>
      <c r="W135" s="5">
        <v>0</v>
      </c>
      <c r="X135" s="5">
        <v>1</v>
      </c>
      <c r="Y135" s="5">
        <v>0</v>
      </c>
      <c r="Z135" s="5">
        <v>0</v>
      </c>
      <c r="AA135" s="5">
        <v>1</v>
      </c>
      <c r="AB135" s="5">
        <v>0</v>
      </c>
    </row>
    <row r="136" spans="1:88" x14ac:dyDescent="0.2">
      <c r="A136" s="5">
        <v>50</v>
      </c>
      <c r="B136" s="5">
        <v>0</v>
      </c>
      <c r="C136" s="5">
        <v>0</v>
      </c>
      <c r="D136" s="5">
        <v>1</v>
      </c>
      <c r="E136" s="5">
        <v>207</v>
      </c>
      <c r="F136" s="5">
        <f>Source!U114</f>
        <v>0</v>
      </c>
      <c r="G136" s="5" t="s">
        <v>158</v>
      </c>
      <c r="H136" s="5" t="s">
        <v>159</v>
      </c>
      <c r="I136" s="5"/>
      <c r="J136" s="5"/>
      <c r="K136" s="5">
        <v>207</v>
      </c>
      <c r="L136" s="5">
        <v>21</v>
      </c>
      <c r="M136" s="5">
        <v>3</v>
      </c>
      <c r="N136" s="5" t="s">
        <v>3</v>
      </c>
      <c r="O136" s="5">
        <v>-1</v>
      </c>
      <c r="P136" s="5">
        <f>Source!DM114</f>
        <v>0</v>
      </c>
      <c r="Q136" s="5"/>
      <c r="R136" s="5"/>
      <c r="S136" s="5"/>
      <c r="T136" s="5"/>
      <c r="U136" s="5"/>
      <c r="V136" s="5"/>
      <c r="W136" s="5">
        <v>0</v>
      </c>
      <c r="X136" s="5">
        <v>1</v>
      </c>
      <c r="Y136" s="5">
        <v>0</v>
      </c>
      <c r="Z136" s="5">
        <v>0</v>
      </c>
      <c r="AA136" s="5">
        <v>1</v>
      </c>
      <c r="AB136" s="5">
        <v>0</v>
      </c>
    </row>
    <row r="137" spans="1:88" x14ac:dyDescent="0.2">
      <c r="A137" s="5">
        <v>50</v>
      </c>
      <c r="B137" s="5">
        <v>0</v>
      </c>
      <c r="C137" s="5">
        <v>0</v>
      </c>
      <c r="D137" s="5">
        <v>1</v>
      </c>
      <c r="E137" s="5">
        <v>208</v>
      </c>
      <c r="F137" s="5">
        <f>Source!V114</f>
        <v>0</v>
      </c>
      <c r="G137" s="5" t="s">
        <v>160</v>
      </c>
      <c r="H137" s="5" t="s">
        <v>161</v>
      </c>
      <c r="I137" s="5"/>
      <c r="J137" s="5"/>
      <c r="K137" s="5">
        <v>208</v>
      </c>
      <c r="L137" s="5">
        <v>22</v>
      </c>
      <c r="M137" s="5">
        <v>3</v>
      </c>
      <c r="N137" s="5" t="s">
        <v>3</v>
      </c>
      <c r="O137" s="5">
        <v>-1</v>
      </c>
      <c r="P137" s="5">
        <f>Source!DN114</f>
        <v>0</v>
      </c>
      <c r="Q137" s="5"/>
      <c r="R137" s="5"/>
      <c r="S137" s="5"/>
      <c r="T137" s="5"/>
      <c r="U137" s="5"/>
      <c r="V137" s="5"/>
      <c r="W137" s="5">
        <v>0</v>
      </c>
      <c r="X137" s="5">
        <v>1</v>
      </c>
      <c r="Y137" s="5">
        <v>0</v>
      </c>
      <c r="Z137" s="5">
        <v>0</v>
      </c>
      <c r="AA137" s="5">
        <v>1</v>
      </c>
      <c r="AB137" s="5">
        <v>0</v>
      </c>
    </row>
    <row r="138" spans="1:88" x14ac:dyDescent="0.2">
      <c r="A138" s="5">
        <v>50</v>
      </c>
      <c r="B138" s="5">
        <v>0</v>
      </c>
      <c r="C138" s="5">
        <v>0</v>
      </c>
      <c r="D138" s="5">
        <v>1</v>
      </c>
      <c r="E138" s="5">
        <v>209</v>
      </c>
      <c r="F138" s="5">
        <f>ROUND(Source!W114,O138)</f>
        <v>0</v>
      </c>
      <c r="G138" s="5" t="s">
        <v>162</v>
      </c>
      <c r="H138" s="5" t="s">
        <v>163</v>
      </c>
      <c r="I138" s="5"/>
      <c r="J138" s="5"/>
      <c r="K138" s="5">
        <v>209</v>
      </c>
      <c r="L138" s="5">
        <v>23</v>
      </c>
      <c r="M138" s="5">
        <v>3</v>
      </c>
      <c r="N138" s="5" t="s">
        <v>3</v>
      </c>
      <c r="O138" s="5">
        <v>2</v>
      </c>
      <c r="P138" s="5">
        <f>ROUND(Source!DO114,O138)</f>
        <v>0</v>
      </c>
      <c r="Q138" s="5"/>
      <c r="R138" s="5"/>
      <c r="S138" s="5"/>
      <c r="T138" s="5"/>
      <c r="U138" s="5"/>
      <c r="V138" s="5"/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</row>
    <row r="139" spans="1:88" x14ac:dyDescent="0.2">
      <c r="A139" s="5">
        <v>50</v>
      </c>
      <c r="B139" s="5">
        <v>0</v>
      </c>
      <c r="C139" s="5">
        <v>0</v>
      </c>
      <c r="D139" s="5">
        <v>1</v>
      </c>
      <c r="E139" s="5">
        <v>233</v>
      </c>
      <c r="F139" s="5">
        <f>ROUND(Source!BD114,O139)</f>
        <v>0</v>
      </c>
      <c r="G139" s="5" t="s">
        <v>164</v>
      </c>
      <c r="H139" s="5" t="s">
        <v>165</v>
      </c>
      <c r="I139" s="5"/>
      <c r="J139" s="5"/>
      <c r="K139" s="5">
        <v>233</v>
      </c>
      <c r="L139" s="5">
        <v>24</v>
      </c>
      <c r="M139" s="5">
        <v>3</v>
      </c>
      <c r="N139" s="5" t="s">
        <v>3</v>
      </c>
      <c r="O139" s="5">
        <v>2</v>
      </c>
      <c r="P139" s="5">
        <f>ROUND(Source!EV114,O139)</f>
        <v>0</v>
      </c>
      <c r="Q139" s="5"/>
      <c r="R139" s="5"/>
      <c r="S139" s="5"/>
      <c r="T139" s="5"/>
      <c r="U139" s="5"/>
      <c r="V139" s="5"/>
      <c r="W139" s="5">
        <v>0</v>
      </c>
      <c r="X139" s="5">
        <v>1</v>
      </c>
      <c r="Y139" s="5">
        <v>0</v>
      </c>
      <c r="Z139" s="5">
        <v>0</v>
      </c>
      <c r="AA139" s="5">
        <v>1</v>
      </c>
      <c r="AB139" s="5">
        <v>0</v>
      </c>
    </row>
    <row r="140" spans="1:88" x14ac:dyDescent="0.2">
      <c r="A140" s="5">
        <v>50</v>
      </c>
      <c r="B140" s="5">
        <v>0</v>
      </c>
      <c r="C140" s="5">
        <v>0</v>
      </c>
      <c r="D140" s="5">
        <v>1</v>
      </c>
      <c r="E140" s="5">
        <v>210</v>
      </c>
      <c r="F140" s="5">
        <f>ROUND(Source!X114,O140)</f>
        <v>0</v>
      </c>
      <c r="G140" s="5" t="s">
        <v>166</v>
      </c>
      <c r="H140" s="5" t="s">
        <v>167</v>
      </c>
      <c r="I140" s="5"/>
      <c r="J140" s="5"/>
      <c r="K140" s="5">
        <v>210</v>
      </c>
      <c r="L140" s="5">
        <v>25</v>
      </c>
      <c r="M140" s="5">
        <v>3</v>
      </c>
      <c r="N140" s="5" t="s">
        <v>3</v>
      </c>
      <c r="O140" s="5">
        <v>2</v>
      </c>
      <c r="P140" s="5">
        <f>ROUND(Source!DP114,O140)</f>
        <v>0</v>
      </c>
      <c r="Q140" s="5"/>
      <c r="R140" s="5"/>
      <c r="S140" s="5"/>
      <c r="T140" s="5"/>
      <c r="U140" s="5"/>
      <c r="V140" s="5"/>
      <c r="W140" s="5">
        <v>0</v>
      </c>
      <c r="X140" s="5">
        <v>1</v>
      </c>
      <c r="Y140" s="5">
        <v>0</v>
      </c>
      <c r="Z140" s="5">
        <v>0</v>
      </c>
      <c r="AA140" s="5">
        <v>1</v>
      </c>
      <c r="AB140" s="5">
        <v>0</v>
      </c>
    </row>
    <row r="141" spans="1:88" x14ac:dyDescent="0.2">
      <c r="A141" s="5">
        <v>50</v>
      </c>
      <c r="B141" s="5">
        <v>0</v>
      </c>
      <c r="C141" s="5">
        <v>0</v>
      </c>
      <c r="D141" s="5">
        <v>1</v>
      </c>
      <c r="E141" s="5">
        <v>211</v>
      </c>
      <c r="F141" s="5">
        <f>ROUND(Source!Y114,O141)</f>
        <v>0</v>
      </c>
      <c r="G141" s="5" t="s">
        <v>168</v>
      </c>
      <c r="H141" s="5" t="s">
        <v>169</v>
      </c>
      <c r="I141" s="5"/>
      <c r="J141" s="5"/>
      <c r="K141" s="5">
        <v>211</v>
      </c>
      <c r="L141" s="5">
        <v>26</v>
      </c>
      <c r="M141" s="5">
        <v>3</v>
      </c>
      <c r="N141" s="5" t="s">
        <v>3</v>
      </c>
      <c r="O141" s="5">
        <v>2</v>
      </c>
      <c r="P141" s="5">
        <f>ROUND(Source!DQ114,O141)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88" x14ac:dyDescent="0.2">
      <c r="A142" s="5">
        <v>50</v>
      </c>
      <c r="B142" s="5">
        <v>0</v>
      </c>
      <c r="C142" s="5">
        <v>0</v>
      </c>
      <c r="D142" s="5">
        <v>1</v>
      </c>
      <c r="E142" s="5">
        <v>224</v>
      </c>
      <c r="F142" s="5">
        <f>ROUND(Source!AR114,O142)</f>
        <v>20417.75</v>
      </c>
      <c r="G142" s="5" t="s">
        <v>170</v>
      </c>
      <c r="H142" s="5" t="s">
        <v>171</v>
      </c>
      <c r="I142" s="5"/>
      <c r="J142" s="5"/>
      <c r="K142" s="5">
        <v>224</v>
      </c>
      <c r="L142" s="5">
        <v>27</v>
      </c>
      <c r="M142" s="5">
        <v>3</v>
      </c>
      <c r="N142" s="5" t="s">
        <v>3</v>
      </c>
      <c r="O142" s="5">
        <v>2</v>
      </c>
      <c r="P142" s="5">
        <f>ROUND(Source!EJ114,O142)</f>
        <v>156399.97</v>
      </c>
      <c r="Q142" s="5"/>
      <c r="R142" s="5"/>
      <c r="S142" s="5"/>
      <c r="T142" s="5"/>
      <c r="U142" s="5"/>
      <c r="V142" s="5"/>
      <c r="W142" s="5">
        <v>20417.75</v>
      </c>
      <c r="X142" s="5">
        <v>1</v>
      </c>
      <c r="Y142" s="5">
        <v>20417.75</v>
      </c>
      <c r="Z142" s="5">
        <v>156399.97</v>
      </c>
      <c r="AA142" s="5">
        <v>1</v>
      </c>
      <c r="AB142" s="5">
        <v>156399.97</v>
      </c>
    </row>
    <row r="144" spans="1:88" x14ac:dyDescent="0.2">
      <c r="A144" s="1">
        <v>4</v>
      </c>
      <c r="B144" s="1">
        <v>1</v>
      </c>
      <c r="C144" s="1"/>
      <c r="D144" s="1">
        <f>ROW(A163)</f>
        <v>163</v>
      </c>
      <c r="E144" s="1"/>
      <c r="F144" s="1" t="s">
        <v>16</v>
      </c>
      <c r="G144" s="1" t="s">
        <v>181</v>
      </c>
      <c r="H144" s="1" t="s">
        <v>3</v>
      </c>
      <c r="I144" s="1">
        <v>0</v>
      </c>
      <c r="J144" s="1"/>
      <c r="K144" s="1">
        <v>0</v>
      </c>
      <c r="L144" s="1"/>
      <c r="M144" s="1" t="s">
        <v>3</v>
      </c>
      <c r="N144" s="1"/>
      <c r="O144" s="1"/>
      <c r="P144" s="1"/>
      <c r="Q144" s="1"/>
      <c r="R144" s="1"/>
      <c r="S144" s="1">
        <v>0</v>
      </c>
      <c r="T144" s="1">
        <v>0</v>
      </c>
      <c r="U144" s="1" t="s">
        <v>3</v>
      </c>
      <c r="V144" s="1">
        <v>2</v>
      </c>
      <c r="W144" s="1"/>
      <c r="X144" s="1"/>
      <c r="Y144" s="1"/>
      <c r="Z144" s="1"/>
      <c r="AA144" s="1"/>
      <c r="AB144" s="1" t="s">
        <v>3</v>
      </c>
      <c r="AC144" s="1" t="s">
        <v>3</v>
      </c>
      <c r="AD144" s="1" t="s">
        <v>3</v>
      </c>
      <c r="AE144" s="1" t="s">
        <v>3</v>
      </c>
      <c r="AF144" s="1" t="s">
        <v>3</v>
      </c>
      <c r="AG144" s="1" t="s">
        <v>3</v>
      </c>
      <c r="AH144" s="1"/>
      <c r="AI144" s="1"/>
      <c r="AJ144" s="1"/>
      <c r="AK144" s="1"/>
      <c r="AL144" s="1"/>
      <c r="AM144" s="1"/>
      <c r="AN144" s="1"/>
      <c r="AO144" s="1"/>
      <c r="AP144" s="1" t="s">
        <v>3</v>
      </c>
      <c r="AQ144" s="1" t="s">
        <v>3</v>
      </c>
      <c r="AR144" s="1" t="s">
        <v>3</v>
      </c>
      <c r="AS144" s="1"/>
      <c r="AT144" s="1"/>
      <c r="AU144" s="1"/>
      <c r="AV144" s="1"/>
      <c r="AW144" s="1"/>
      <c r="AX144" s="1"/>
      <c r="AY144" s="1"/>
      <c r="AZ144" s="1" t="s">
        <v>3</v>
      </c>
      <c r="BA144" s="1"/>
      <c r="BB144" s="1" t="s">
        <v>3</v>
      </c>
      <c r="BC144" s="1" t="s">
        <v>3</v>
      </c>
      <c r="BD144" s="1" t="s">
        <v>3</v>
      </c>
      <c r="BE144" s="1" t="s">
        <v>3</v>
      </c>
      <c r="BF144" s="1" t="s">
        <v>3</v>
      </c>
      <c r="BG144" s="1" t="s">
        <v>3</v>
      </c>
      <c r="BH144" s="1" t="s">
        <v>3</v>
      </c>
      <c r="BI144" s="1" t="s">
        <v>3</v>
      </c>
      <c r="BJ144" s="1" t="s">
        <v>3</v>
      </c>
      <c r="BK144" s="1" t="s">
        <v>3</v>
      </c>
      <c r="BL144" s="1" t="s">
        <v>3</v>
      </c>
      <c r="BM144" s="1" t="s">
        <v>3</v>
      </c>
      <c r="BN144" s="1" t="s">
        <v>3</v>
      </c>
      <c r="BO144" s="1" t="s">
        <v>3</v>
      </c>
      <c r="BP144" s="1" t="s">
        <v>3</v>
      </c>
      <c r="BQ144" s="1"/>
      <c r="BR144" s="1"/>
      <c r="BS144" s="1"/>
      <c r="BT144" s="1"/>
      <c r="BU144" s="1"/>
      <c r="BV144" s="1"/>
      <c r="BW144" s="1"/>
      <c r="BX144" s="1">
        <v>0</v>
      </c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>
        <v>0</v>
      </c>
    </row>
    <row r="146" spans="1:255" x14ac:dyDescent="0.2">
      <c r="A146" s="3">
        <v>52</v>
      </c>
      <c r="B146" s="3">
        <f t="shared" ref="B146:G146" si="76">B163</f>
        <v>1</v>
      </c>
      <c r="C146" s="3">
        <f t="shared" si="76"/>
        <v>4</v>
      </c>
      <c r="D146" s="3">
        <f t="shared" si="76"/>
        <v>144</v>
      </c>
      <c r="E146" s="3">
        <f t="shared" si="76"/>
        <v>0</v>
      </c>
      <c r="F146" s="3" t="str">
        <f t="shared" si="76"/>
        <v>Новый раздел</v>
      </c>
      <c r="G146" s="3" t="str">
        <f t="shared" si="76"/>
        <v>Диспетчеризация систем водоснабжения и канализации</v>
      </c>
      <c r="H146" s="3"/>
      <c r="I146" s="3"/>
      <c r="J146" s="3"/>
      <c r="K146" s="3"/>
      <c r="L146" s="3"/>
      <c r="M146" s="3"/>
      <c r="N146" s="3"/>
      <c r="O146" s="3">
        <f t="shared" ref="O146:AT146" si="77">O163</f>
        <v>3736.71</v>
      </c>
      <c r="P146" s="3">
        <f t="shared" si="77"/>
        <v>3397.08</v>
      </c>
      <c r="Q146" s="3">
        <f t="shared" si="77"/>
        <v>40.880000000000003</v>
      </c>
      <c r="R146" s="3">
        <f t="shared" si="77"/>
        <v>6.93</v>
      </c>
      <c r="S146" s="3">
        <f t="shared" si="77"/>
        <v>298.75</v>
      </c>
      <c r="T146" s="3">
        <f t="shared" si="77"/>
        <v>0</v>
      </c>
      <c r="U146" s="3">
        <f t="shared" si="77"/>
        <v>23.598333</v>
      </c>
      <c r="V146" s="3">
        <f t="shared" si="77"/>
        <v>0</v>
      </c>
      <c r="W146" s="3">
        <f t="shared" si="77"/>
        <v>0</v>
      </c>
      <c r="X146" s="3">
        <f t="shared" si="77"/>
        <v>296.23</v>
      </c>
      <c r="Y146" s="3">
        <f t="shared" si="77"/>
        <v>156.18</v>
      </c>
      <c r="Z146" s="3">
        <f t="shared" si="77"/>
        <v>0</v>
      </c>
      <c r="AA146" s="3">
        <f t="shared" si="77"/>
        <v>0</v>
      </c>
      <c r="AB146" s="3">
        <f t="shared" si="77"/>
        <v>3736.71</v>
      </c>
      <c r="AC146" s="3">
        <f t="shared" si="77"/>
        <v>3397.08</v>
      </c>
      <c r="AD146" s="3">
        <f t="shared" si="77"/>
        <v>40.880000000000003</v>
      </c>
      <c r="AE146" s="3">
        <f t="shared" si="77"/>
        <v>6.93</v>
      </c>
      <c r="AF146" s="3">
        <f t="shared" si="77"/>
        <v>298.75</v>
      </c>
      <c r="AG146" s="3">
        <f t="shared" si="77"/>
        <v>0</v>
      </c>
      <c r="AH146" s="3">
        <f t="shared" si="77"/>
        <v>23.598333</v>
      </c>
      <c r="AI146" s="3">
        <f t="shared" si="77"/>
        <v>0</v>
      </c>
      <c r="AJ146" s="3">
        <f t="shared" si="77"/>
        <v>0</v>
      </c>
      <c r="AK146" s="3">
        <f t="shared" si="77"/>
        <v>296.23</v>
      </c>
      <c r="AL146" s="3">
        <f t="shared" si="77"/>
        <v>156.18</v>
      </c>
      <c r="AM146" s="3">
        <f t="shared" si="77"/>
        <v>0</v>
      </c>
      <c r="AN146" s="3">
        <f t="shared" si="77"/>
        <v>0</v>
      </c>
      <c r="AO146" s="3">
        <f t="shared" si="77"/>
        <v>0</v>
      </c>
      <c r="AP146" s="3">
        <f t="shared" si="77"/>
        <v>2154.58</v>
      </c>
      <c r="AQ146" s="3">
        <f t="shared" si="77"/>
        <v>0</v>
      </c>
      <c r="AR146" s="3">
        <f t="shared" si="77"/>
        <v>4189.12</v>
      </c>
      <c r="AS146" s="3">
        <f t="shared" si="77"/>
        <v>0</v>
      </c>
      <c r="AT146" s="3">
        <f t="shared" si="77"/>
        <v>2034.54</v>
      </c>
      <c r="AU146" s="3">
        <f t="shared" ref="AU146:BZ146" si="78">AU163</f>
        <v>0</v>
      </c>
      <c r="AV146" s="3">
        <f t="shared" si="78"/>
        <v>3397.08</v>
      </c>
      <c r="AW146" s="3">
        <f t="shared" si="78"/>
        <v>1242.5</v>
      </c>
      <c r="AX146" s="3">
        <f t="shared" si="78"/>
        <v>0</v>
      </c>
      <c r="AY146" s="3">
        <f t="shared" si="78"/>
        <v>1242.5</v>
      </c>
      <c r="AZ146" s="3">
        <f t="shared" si="78"/>
        <v>2154.58</v>
      </c>
      <c r="BA146" s="3">
        <f t="shared" si="78"/>
        <v>0</v>
      </c>
      <c r="BB146" s="3">
        <f t="shared" si="78"/>
        <v>0</v>
      </c>
      <c r="BC146" s="3">
        <f t="shared" si="78"/>
        <v>0</v>
      </c>
      <c r="BD146" s="3">
        <f t="shared" si="78"/>
        <v>0</v>
      </c>
      <c r="BE146" s="3">
        <f t="shared" si="78"/>
        <v>0</v>
      </c>
      <c r="BF146" s="3">
        <f t="shared" si="78"/>
        <v>0</v>
      </c>
      <c r="BG146" s="3">
        <f t="shared" si="78"/>
        <v>0</v>
      </c>
      <c r="BH146" s="3">
        <f t="shared" si="78"/>
        <v>0</v>
      </c>
      <c r="BI146" s="3">
        <f t="shared" si="78"/>
        <v>0</v>
      </c>
      <c r="BJ146" s="3">
        <f t="shared" si="78"/>
        <v>0</v>
      </c>
      <c r="BK146" s="3">
        <f t="shared" si="78"/>
        <v>0</v>
      </c>
      <c r="BL146" s="3">
        <f t="shared" si="78"/>
        <v>0</v>
      </c>
      <c r="BM146" s="3">
        <f t="shared" si="78"/>
        <v>0</v>
      </c>
      <c r="BN146" s="3">
        <f t="shared" si="78"/>
        <v>0</v>
      </c>
      <c r="BO146" s="3">
        <f t="shared" si="78"/>
        <v>0</v>
      </c>
      <c r="BP146" s="3">
        <f t="shared" si="78"/>
        <v>0</v>
      </c>
      <c r="BQ146" s="3">
        <f t="shared" si="78"/>
        <v>0</v>
      </c>
      <c r="BR146" s="3">
        <f t="shared" si="78"/>
        <v>0</v>
      </c>
      <c r="BS146" s="3">
        <f t="shared" si="78"/>
        <v>0</v>
      </c>
      <c r="BT146" s="3">
        <f t="shared" si="78"/>
        <v>0</v>
      </c>
      <c r="BU146" s="3">
        <f t="shared" si="78"/>
        <v>0</v>
      </c>
      <c r="BV146" s="3">
        <f t="shared" si="78"/>
        <v>0</v>
      </c>
      <c r="BW146" s="3">
        <f t="shared" si="78"/>
        <v>0</v>
      </c>
      <c r="BX146" s="3">
        <f t="shared" si="78"/>
        <v>0</v>
      </c>
      <c r="BY146" s="3">
        <f t="shared" si="78"/>
        <v>2154.58</v>
      </c>
      <c r="BZ146" s="3">
        <f t="shared" si="78"/>
        <v>0</v>
      </c>
      <c r="CA146" s="3">
        <f t="shared" ref="CA146:DF146" si="79">CA163</f>
        <v>4189.12</v>
      </c>
      <c r="CB146" s="3">
        <f t="shared" si="79"/>
        <v>0</v>
      </c>
      <c r="CC146" s="3">
        <f t="shared" si="79"/>
        <v>2034.54</v>
      </c>
      <c r="CD146" s="3">
        <f t="shared" si="79"/>
        <v>0</v>
      </c>
      <c r="CE146" s="3">
        <f t="shared" si="79"/>
        <v>3397.08</v>
      </c>
      <c r="CF146" s="3">
        <f t="shared" si="79"/>
        <v>1242.5</v>
      </c>
      <c r="CG146" s="3">
        <f t="shared" si="79"/>
        <v>0</v>
      </c>
      <c r="CH146" s="3">
        <f t="shared" si="79"/>
        <v>1242.5</v>
      </c>
      <c r="CI146" s="3">
        <f t="shared" si="79"/>
        <v>2154.58</v>
      </c>
      <c r="CJ146" s="3">
        <f t="shared" si="79"/>
        <v>0</v>
      </c>
      <c r="CK146" s="3">
        <f t="shared" si="79"/>
        <v>0</v>
      </c>
      <c r="CL146" s="3">
        <f t="shared" si="79"/>
        <v>0</v>
      </c>
      <c r="CM146" s="3">
        <f t="shared" si="79"/>
        <v>0</v>
      </c>
      <c r="CN146" s="3">
        <f t="shared" si="79"/>
        <v>0</v>
      </c>
      <c r="CO146" s="3">
        <f t="shared" si="79"/>
        <v>0</v>
      </c>
      <c r="CP146" s="3">
        <f t="shared" si="79"/>
        <v>0</v>
      </c>
      <c r="CQ146" s="3">
        <f t="shared" si="79"/>
        <v>0</v>
      </c>
      <c r="CR146" s="3">
        <f t="shared" si="79"/>
        <v>0</v>
      </c>
      <c r="CS146" s="3">
        <f t="shared" si="79"/>
        <v>0</v>
      </c>
      <c r="CT146" s="3">
        <f t="shared" si="79"/>
        <v>0</v>
      </c>
      <c r="CU146" s="3">
        <f t="shared" si="79"/>
        <v>0</v>
      </c>
      <c r="CV146" s="3">
        <f t="shared" si="79"/>
        <v>0</v>
      </c>
      <c r="CW146" s="3">
        <f t="shared" si="79"/>
        <v>0</v>
      </c>
      <c r="CX146" s="3">
        <f t="shared" si="79"/>
        <v>0</v>
      </c>
      <c r="CY146" s="3">
        <f t="shared" si="79"/>
        <v>0</v>
      </c>
      <c r="CZ146" s="3">
        <f t="shared" si="79"/>
        <v>0</v>
      </c>
      <c r="DA146" s="3">
        <f t="shared" si="79"/>
        <v>0</v>
      </c>
      <c r="DB146" s="3">
        <f t="shared" si="79"/>
        <v>0</v>
      </c>
      <c r="DC146" s="3">
        <f t="shared" si="79"/>
        <v>0</v>
      </c>
      <c r="DD146" s="3">
        <f t="shared" si="79"/>
        <v>0</v>
      </c>
      <c r="DE146" s="3">
        <f t="shared" si="79"/>
        <v>0</v>
      </c>
      <c r="DF146" s="3">
        <f t="shared" si="79"/>
        <v>0</v>
      </c>
      <c r="DG146" s="4">
        <f t="shared" ref="DG146:EL146" si="80">DG163</f>
        <v>43478.02</v>
      </c>
      <c r="DH146" s="4">
        <f t="shared" si="80"/>
        <v>26329.96</v>
      </c>
      <c r="DI146" s="4">
        <f t="shared" si="80"/>
        <v>719.8</v>
      </c>
      <c r="DJ146" s="4">
        <f t="shared" si="80"/>
        <v>381.08</v>
      </c>
      <c r="DK146" s="4">
        <f t="shared" si="80"/>
        <v>16428.259999999998</v>
      </c>
      <c r="DL146" s="4">
        <f t="shared" si="80"/>
        <v>0</v>
      </c>
      <c r="DM146" s="4">
        <f t="shared" si="80"/>
        <v>23.598333</v>
      </c>
      <c r="DN146" s="4">
        <f t="shared" si="80"/>
        <v>0</v>
      </c>
      <c r="DO146" s="4">
        <f t="shared" si="80"/>
        <v>0</v>
      </c>
      <c r="DP146" s="4">
        <f t="shared" si="80"/>
        <v>16289.98</v>
      </c>
      <c r="DQ146" s="4">
        <f t="shared" si="80"/>
        <v>8587.84</v>
      </c>
      <c r="DR146" s="4">
        <f t="shared" si="80"/>
        <v>0</v>
      </c>
      <c r="DS146" s="4">
        <f t="shared" si="80"/>
        <v>0</v>
      </c>
      <c r="DT146" s="4">
        <f t="shared" si="80"/>
        <v>43478.02</v>
      </c>
      <c r="DU146" s="4">
        <f t="shared" si="80"/>
        <v>26329.96</v>
      </c>
      <c r="DV146" s="4">
        <f t="shared" si="80"/>
        <v>719.8</v>
      </c>
      <c r="DW146" s="4">
        <f t="shared" si="80"/>
        <v>381.08</v>
      </c>
      <c r="DX146" s="4">
        <f t="shared" si="80"/>
        <v>16428.259999999998</v>
      </c>
      <c r="DY146" s="4">
        <f t="shared" si="80"/>
        <v>0</v>
      </c>
      <c r="DZ146" s="4">
        <f t="shared" si="80"/>
        <v>23.598333</v>
      </c>
      <c r="EA146" s="4">
        <f t="shared" si="80"/>
        <v>0</v>
      </c>
      <c r="EB146" s="4">
        <f t="shared" si="80"/>
        <v>0</v>
      </c>
      <c r="EC146" s="4">
        <f t="shared" si="80"/>
        <v>16289.98</v>
      </c>
      <c r="ED146" s="4">
        <f t="shared" si="80"/>
        <v>8587.84</v>
      </c>
      <c r="EE146" s="4">
        <f t="shared" si="80"/>
        <v>0</v>
      </c>
      <c r="EF146" s="4">
        <f t="shared" si="80"/>
        <v>0</v>
      </c>
      <c r="EG146" s="4">
        <f t="shared" si="80"/>
        <v>0</v>
      </c>
      <c r="EH146" s="4">
        <f t="shared" si="80"/>
        <v>16504.080000000002</v>
      </c>
      <c r="EI146" s="4">
        <f t="shared" si="80"/>
        <v>0</v>
      </c>
      <c r="EJ146" s="4">
        <f t="shared" si="80"/>
        <v>68355.839999999997</v>
      </c>
      <c r="EK146" s="4">
        <f t="shared" si="80"/>
        <v>0</v>
      </c>
      <c r="EL146" s="4">
        <f t="shared" si="80"/>
        <v>51851.76</v>
      </c>
      <c r="EM146" s="4">
        <f t="shared" ref="EM146:FR146" si="81">EM163</f>
        <v>0</v>
      </c>
      <c r="EN146" s="4">
        <f t="shared" si="81"/>
        <v>26329.96</v>
      </c>
      <c r="EO146" s="4">
        <f t="shared" si="81"/>
        <v>9825.8799999999992</v>
      </c>
      <c r="EP146" s="4">
        <f t="shared" si="81"/>
        <v>0</v>
      </c>
      <c r="EQ146" s="4">
        <f t="shared" si="81"/>
        <v>9825.8799999999992</v>
      </c>
      <c r="ER146" s="4">
        <f t="shared" si="81"/>
        <v>16504.080000000002</v>
      </c>
      <c r="ES146" s="4">
        <f t="shared" si="81"/>
        <v>0</v>
      </c>
      <c r="ET146" s="4">
        <f t="shared" si="81"/>
        <v>0</v>
      </c>
      <c r="EU146" s="4">
        <f t="shared" si="81"/>
        <v>0</v>
      </c>
      <c r="EV146" s="4">
        <f t="shared" si="81"/>
        <v>0</v>
      </c>
      <c r="EW146" s="4">
        <f t="shared" si="81"/>
        <v>0</v>
      </c>
      <c r="EX146" s="4">
        <f t="shared" si="81"/>
        <v>0</v>
      </c>
      <c r="EY146" s="4">
        <f t="shared" si="81"/>
        <v>0</v>
      </c>
      <c r="EZ146" s="4">
        <f t="shared" si="81"/>
        <v>0</v>
      </c>
      <c r="FA146" s="4">
        <f t="shared" si="81"/>
        <v>0</v>
      </c>
      <c r="FB146" s="4">
        <f t="shared" si="81"/>
        <v>0</v>
      </c>
      <c r="FC146" s="4">
        <f t="shared" si="81"/>
        <v>0</v>
      </c>
      <c r="FD146" s="4">
        <f t="shared" si="81"/>
        <v>0</v>
      </c>
      <c r="FE146" s="4">
        <f t="shared" si="81"/>
        <v>0</v>
      </c>
      <c r="FF146" s="4">
        <f t="shared" si="81"/>
        <v>0</v>
      </c>
      <c r="FG146" s="4">
        <f t="shared" si="81"/>
        <v>0</v>
      </c>
      <c r="FH146" s="4">
        <f t="shared" si="81"/>
        <v>0</v>
      </c>
      <c r="FI146" s="4">
        <f t="shared" si="81"/>
        <v>0</v>
      </c>
      <c r="FJ146" s="4">
        <f t="shared" si="81"/>
        <v>0</v>
      </c>
      <c r="FK146" s="4">
        <f t="shared" si="81"/>
        <v>0</v>
      </c>
      <c r="FL146" s="4">
        <f t="shared" si="81"/>
        <v>0</v>
      </c>
      <c r="FM146" s="4">
        <f t="shared" si="81"/>
        <v>0</v>
      </c>
      <c r="FN146" s="4">
        <f t="shared" si="81"/>
        <v>0</v>
      </c>
      <c r="FO146" s="4">
        <f t="shared" si="81"/>
        <v>0</v>
      </c>
      <c r="FP146" s="4">
        <f t="shared" si="81"/>
        <v>0</v>
      </c>
      <c r="FQ146" s="4">
        <f t="shared" si="81"/>
        <v>16504.080000000002</v>
      </c>
      <c r="FR146" s="4">
        <f t="shared" si="81"/>
        <v>0</v>
      </c>
      <c r="FS146" s="4">
        <f t="shared" ref="FS146:GX146" si="82">FS163</f>
        <v>68355.839999999997</v>
      </c>
      <c r="FT146" s="4">
        <f t="shared" si="82"/>
        <v>0</v>
      </c>
      <c r="FU146" s="4">
        <f t="shared" si="82"/>
        <v>51851.76</v>
      </c>
      <c r="FV146" s="4">
        <f t="shared" si="82"/>
        <v>0</v>
      </c>
      <c r="FW146" s="4">
        <f t="shared" si="82"/>
        <v>26329.96</v>
      </c>
      <c r="FX146" s="4">
        <f t="shared" si="82"/>
        <v>9825.8799999999974</v>
      </c>
      <c r="FY146" s="4">
        <f t="shared" si="82"/>
        <v>0</v>
      </c>
      <c r="FZ146" s="4">
        <f t="shared" si="82"/>
        <v>9825.8799999999974</v>
      </c>
      <c r="GA146" s="4">
        <f t="shared" si="82"/>
        <v>16504.080000000002</v>
      </c>
      <c r="GB146" s="4">
        <f t="shared" si="82"/>
        <v>0</v>
      </c>
      <c r="GC146" s="4">
        <f t="shared" si="82"/>
        <v>0</v>
      </c>
      <c r="GD146" s="4">
        <f t="shared" si="82"/>
        <v>0</v>
      </c>
      <c r="GE146" s="4">
        <f t="shared" si="82"/>
        <v>0</v>
      </c>
      <c r="GF146" s="4">
        <f t="shared" si="82"/>
        <v>0</v>
      </c>
      <c r="GG146" s="4">
        <f t="shared" si="82"/>
        <v>0</v>
      </c>
      <c r="GH146" s="4">
        <f t="shared" si="82"/>
        <v>0</v>
      </c>
      <c r="GI146" s="4">
        <f t="shared" si="82"/>
        <v>0</v>
      </c>
      <c r="GJ146" s="4">
        <f t="shared" si="82"/>
        <v>0</v>
      </c>
      <c r="GK146" s="4">
        <f t="shared" si="82"/>
        <v>0</v>
      </c>
      <c r="GL146" s="4">
        <f t="shared" si="82"/>
        <v>0</v>
      </c>
      <c r="GM146" s="4">
        <f t="shared" si="82"/>
        <v>0</v>
      </c>
      <c r="GN146" s="4">
        <f t="shared" si="82"/>
        <v>0</v>
      </c>
      <c r="GO146" s="4">
        <f t="shared" si="82"/>
        <v>0</v>
      </c>
      <c r="GP146" s="4">
        <f t="shared" si="82"/>
        <v>0</v>
      </c>
      <c r="GQ146" s="4">
        <f t="shared" si="82"/>
        <v>0</v>
      </c>
      <c r="GR146" s="4">
        <f t="shared" si="82"/>
        <v>0</v>
      </c>
      <c r="GS146" s="4">
        <f t="shared" si="82"/>
        <v>0</v>
      </c>
      <c r="GT146" s="4">
        <f t="shared" si="82"/>
        <v>0</v>
      </c>
      <c r="GU146" s="4">
        <f t="shared" si="82"/>
        <v>0</v>
      </c>
      <c r="GV146" s="4">
        <f t="shared" si="82"/>
        <v>0</v>
      </c>
      <c r="GW146" s="4">
        <f t="shared" si="82"/>
        <v>0</v>
      </c>
      <c r="GX146" s="4">
        <f t="shared" si="82"/>
        <v>0</v>
      </c>
    </row>
    <row r="148" spans="1:255" x14ac:dyDescent="0.2">
      <c r="A148" s="2">
        <v>17</v>
      </c>
      <c r="B148" s="2">
        <v>1</v>
      </c>
      <c r="C148" s="2">
        <f>ROW(SmtRes!A104)</f>
        <v>104</v>
      </c>
      <c r="D148" s="2">
        <f>ROW(EtalonRes!A129)</f>
        <v>129</v>
      </c>
      <c r="E148" s="2" t="s">
        <v>182</v>
      </c>
      <c r="F148" s="2" t="s">
        <v>183</v>
      </c>
      <c r="G148" s="2" t="s">
        <v>184</v>
      </c>
      <c r="H148" s="2" t="s">
        <v>21</v>
      </c>
      <c r="I148" s="2">
        <v>2</v>
      </c>
      <c r="J148" s="2">
        <v>0</v>
      </c>
      <c r="K148" s="2">
        <v>2</v>
      </c>
      <c r="L148" s="2"/>
      <c r="M148" s="2"/>
      <c r="N148" s="2"/>
      <c r="O148" s="2">
        <f t="shared" ref="O148:O161" si="83">ROUND(CP148,2)</f>
        <v>13.71</v>
      </c>
      <c r="P148" s="2">
        <f>ROUND((ROUND((AC148*AW148*I148),2)*BC148),2)</f>
        <v>0</v>
      </c>
      <c r="Q148" s="2">
        <f>(ROUND((ROUND((((ET148*1.1))*AV148*I148),2)*BB148),2)+ROUND((ROUND(((AE148-((EU148*1.1)))*AV148*I148),2)*BS148),2))</f>
        <v>0</v>
      </c>
      <c r="R148" s="2">
        <f t="shared" ref="R148:R161" si="84">ROUND((ROUND((AE148*AV148*I148),2)*BS148),2)</f>
        <v>0</v>
      </c>
      <c r="S148" s="2">
        <f t="shared" ref="S148:S161" si="85">ROUND((ROUND((AF148*AV148*I148),2)*BA148),2)</f>
        <v>13.71</v>
      </c>
      <c r="T148" s="2">
        <f t="shared" ref="T148:T161" si="86">ROUND(CU148*I148,2)</f>
        <v>0</v>
      </c>
      <c r="U148" s="2">
        <f t="shared" ref="U148:U161" si="87">CV148*I148</f>
        <v>1.1516999999999999</v>
      </c>
      <c r="V148" s="2">
        <f t="shared" ref="V148:V161" si="88">CW148*I148</f>
        <v>0</v>
      </c>
      <c r="W148" s="2">
        <f t="shared" ref="W148:W161" si="89">ROUND(CX148*I148,2)</f>
        <v>0</v>
      </c>
      <c r="X148" s="2">
        <f t="shared" ref="X148:X161" si="90">ROUND(CY148,2)</f>
        <v>13.02</v>
      </c>
      <c r="Y148" s="2">
        <f t="shared" ref="Y148:Y161" si="91">ROUND(CZ148,2)</f>
        <v>7.27</v>
      </c>
      <c r="Z148" s="2"/>
      <c r="AA148" s="2">
        <v>56959434</v>
      </c>
      <c r="AB148" s="2">
        <f t="shared" ref="AB148:AB161" si="92">ROUND((AC148+AD148+AF148),6)</f>
        <v>6.5449999999999999</v>
      </c>
      <c r="AC148" s="2">
        <f t="shared" ref="AC148:AC161" si="93">ROUND((ES148),6)</f>
        <v>0</v>
      </c>
      <c r="AD148" s="2">
        <f>ROUND(((((ET148*1.1))-((EU148*1.1)))+AE148),6)</f>
        <v>0</v>
      </c>
      <c r="AE148" s="2">
        <f>ROUND(((EU148*1.1)),6)</f>
        <v>0</v>
      </c>
      <c r="AF148" s="2">
        <f>ROUND(((EV148*1.1)),6)</f>
        <v>6.5449999999999999</v>
      </c>
      <c r="AG148" s="2">
        <f t="shared" ref="AG148:AG161" si="94">ROUND((AP148),6)</f>
        <v>0</v>
      </c>
      <c r="AH148" s="2">
        <f>((EW148*1.1))</f>
        <v>0.55000000000000004</v>
      </c>
      <c r="AI148" s="2">
        <f>((EX148*1.1))</f>
        <v>0</v>
      </c>
      <c r="AJ148" s="2">
        <f t="shared" ref="AJ148:AJ161" si="95">(AS148)</f>
        <v>0</v>
      </c>
      <c r="AK148" s="2">
        <v>5.95</v>
      </c>
      <c r="AL148" s="2">
        <v>0</v>
      </c>
      <c r="AM148" s="2">
        <v>0</v>
      </c>
      <c r="AN148" s="2">
        <v>0</v>
      </c>
      <c r="AO148" s="2">
        <v>5.95</v>
      </c>
      <c r="AP148" s="2">
        <v>0</v>
      </c>
      <c r="AQ148" s="2">
        <v>0.5</v>
      </c>
      <c r="AR148" s="2">
        <v>0</v>
      </c>
      <c r="AS148" s="2">
        <v>0</v>
      </c>
      <c r="AT148" s="2">
        <v>95</v>
      </c>
      <c r="AU148" s="2">
        <v>53</v>
      </c>
      <c r="AV148" s="2">
        <v>1.0469999999999999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0</v>
      </c>
      <c r="BI148" s="2">
        <v>2</v>
      </c>
      <c r="BJ148" s="2" t="s">
        <v>185</v>
      </c>
      <c r="BK148" s="2"/>
      <c r="BL148" s="2"/>
      <c r="BM148" s="2">
        <v>69</v>
      </c>
      <c r="BN148" s="2">
        <v>55992028</v>
      </c>
      <c r="BO148" s="2" t="s">
        <v>183</v>
      </c>
      <c r="BP148" s="2">
        <v>1</v>
      </c>
      <c r="BQ148" s="2">
        <v>40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95</v>
      </c>
      <c r="CA148" s="2">
        <v>53</v>
      </c>
      <c r="CB148" s="2" t="s">
        <v>3</v>
      </c>
      <c r="CC148" s="2"/>
      <c r="CD148" s="2"/>
      <c r="CE148" s="2">
        <v>30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673</v>
      </c>
      <c r="CO148" s="2">
        <v>0</v>
      </c>
      <c r="CP148" s="2">
        <f t="shared" ref="CP148:CP161" si="96">(P148+Q148+S148)</f>
        <v>13.71</v>
      </c>
      <c r="CQ148" s="2">
        <f>ROUND((ROUND((AC148*AW148*1),2)*BC148),2)</f>
        <v>0</v>
      </c>
      <c r="CR148" s="2">
        <f>(ROUND((ROUND((((ET148*1.1))*AV148*1),2)*BB148),2)+ROUND((ROUND(((AE148-((EU148*1.1)))*AV148*1),2)*BS148),2))</f>
        <v>0</v>
      </c>
      <c r="CS148" s="2">
        <f t="shared" ref="CS148:CS161" si="97">ROUND((ROUND((AE148*AV148*1),2)*BS148),2)</f>
        <v>0</v>
      </c>
      <c r="CT148" s="2">
        <f t="shared" ref="CT148:CT161" si="98">ROUND((ROUND((AF148*AV148*1),2)*BA148),2)</f>
        <v>6.85</v>
      </c>
      <c r="CU148" s="2">
        <f t="shared" ref="CU148:CU161" si="99">AG148</f>
        <v>0</v>
      </c>
      <c r="CV148" s="2">
        <f t="shared" ref="CV148:CV161" si="100">(AH148*AV148)</f>
        <v>0.57584999999999997</v>
      </c>
      <c r="CW148" s="2">
        <f t="shared" ref="CW148:CW161" si="101">AI148</f>
        <v>0</v>
      </c>
      <c r="CX148" s="2">
        <f t="shared" ref="CX148:CX161" si="102">AJ148</f>
        <v>0</v>
      </c>
      <c r="CY148" s="2">
        <f t="shared" ref="CY148:CY161" si="103">(((S148+R148)*AT148)/100)</f>
        <v>13.0245</v>
      </c>
      <c r="CZ148" s="2">
        <f t="shared" ref="CZ148:CZ161" si="104">(((S148+R148)*AU148)/100)</f>
        <v>7.2663000000000002</v>
      </c>
      <c r="DA148" s="2"/>
      <c r="DB148" s="2"/>
      <c r="DC148" s="2" t="s">
        <v>3</v>
      </c>
      <c r="DD148" s="2" t="s">
        <v>3</v>
      </c>
      <c r="DE148" s="2" t="s">
        <v>23</v>
      </c>
      <c r="DF148" s="2" t="s">
        <v>23</v>
      </c>
      <c r="DG148" s="2" t="s">
        <v>23</v>
      </c>
      <c r="DH148" s="2" t="s">
        <v>3</v>
      </c>
      <c r="DI148" s="2" t="s">
        <v>23</v>
      </c>
      <c r="DJ148" s="2" t="s">
        <v>23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1013</v>
      </c>
      <c r="DV148" s="2" t="s">
        <v>21</v>
      </c>
      <c r="DW148" s="2" t="s">
        <v>21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55992153</v>
      </c>
      <c r="EF148" s="2">
        <v>40</v>
      </c>
      <c r="EG148" s="2" t="s">
        <v>24</v>
      </c>
      <c r="EH148" s="2">
        <v>0</v>
      </c>
      <c r="EI148" s="2" t="s">
        <v>3</v>
      </c>
      <c r="EJ148" s="2">
        <v>2</v>
      </c>
      <c r="EK148" s="2">
        <v>69</v>
      </c>
      <c r="EL148" s="2" t="s">
        <v>186</v>
      </c>
      <c r="EM148" s="2" t="s">
        <v>187</v>
      </c>
      <c r="EN148" s="2"/>
      <c r="EO148" s="2" t="s">
        <v>27</v>
      </c>
      <c r="EP148" s="2"/>
      <c r="EQ148" s="2">
        <v>0</v>
      </c>
      <c r="ER148" s="2">
        <v>5.95</v>
      </c>
      <c r="ES148" s="2">
        <v>0</v>
      </c>
      <c r="ET148" s="2">
        <v>0</v>
      </c>
      <c r="EU148" s="2">
        <v>0</v>
      </c>
      <c r="EV148" s="2">
        <v>5.95</v>
      </c>
      <c r="EW148" s="2">
        <v>0.5</v>
      </c>
      <c r="EX148" s="2">
        <v>0</v>
      </c>
      <c r="EY148" s="2">
        <v>0</v>
      </c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95</v>
      </c>
      <c r="FY148" s="2">
        <v>53</v>
      </c>
      <c r="FZ148" s="2"/>
      <c r="GA148" s="2" t="s">
        <v>3</v>
      </c>
      <c r="GB148" s="2"/>
      <c r="GC148" s="2"/>
      <c r="GD148" s="2">
        <v>1</v>
      </c>
      <c r="GE148" s="2"/>
      <c r="GF148" s="2">
        <v>888865086</v>
      </c>
      <c r="GG148" s="2">
        <v>2</v>
      </c>
      <c r="GH148" s="2">
        <v>1</v>
      </c>
      <c r="GI148" s="2">
        <v>2</v>
      </c>
      <c r="GJ148" s="2">
        <v>0</v>
      </c>
      <c r="GK148" s="2">
        <v>0</v>
      </c>
      <c r="GL148" s="2">
        <f t="shared" ref="GL148:GL161" si="105">ROUND(IF(AND(BH148=3,BI148=3,FS148&lt;&gt;0),P148,0),2)</f>
        <v>0</v>
      </c>
      <c r="GM148" s="2">
        <f t="shared" ref="GM148:GM161" si="106">ROUND(O148+X148+Y148,2)+GX148</f>
        <v>34</v>
      </c>
      <c r="GN148" s="2">
        <f t="shared" ref="GN148:GN161" si="107">IF(OR(BI148=0,BI148=1),GM148-GX148,0)</f>
        <v>0</v>
      </c>
      <c r="GO148" s="2">
        <f t="shared" ref="GO148:GO161" si="108">IF(BI148=2,GM148-GX148,0)</f>
        <v>34</v>
      </c>
      <c r="GP148" s="2">
        <f t="shared" ref="GP148:GP161" si="109">IF(BI148=4,GM148-GX148,0)</f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ref="GV148:GV161" si="110">ROUND((GT148),6)</f>
        <v>0</v>
      </c>
      <c r="GW148" s="2">
        <v>1</v>
      </c>
      <c r="GX148" s="2">
        <f t="shared" ref="GX148:GX161" si="111">ROUND(HC148*I148,2)</f>
        <v>0</v>
      </c>
      <c r="GY148" s="2"/>
      <c r="GZ148" s="2"/>
      <c r="HA148" s="2">
        <v>0</v>
      </c>
      <c r="HB148" s="2">
        <v>0</v>
      </c>
      <c r="HC148" s="2">
        <f t="shared" ref="HC148:HC161" si="112">GV148*GW148</f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">
      <c r="A149">
        <v>17</v>
      </c>
      <c r="B149">
        <v>1</v>
      </c>
      <c r="C149">
        <f>ROW(SmtRes!A106)</f>
        <v>106</v>
      </c>
      <c r="D149">
        <f>ROW(EtalonRes!A132)</f>
        <v>132</v>
      </c>
      <c r="E149" t="s">
        <v>182</v>
      </c>
      <c r="F149" t="s">
        <v>183</v>
      </c>
      <c r="G149" t="s">
        <v>184</v>
      </c>
      <c r="H149" t="s">
        <v>21</v>
      </c>
      <c r="I149">
        <v>2</v>
      </c>
      <c r="J149">
        <v>0</v>
      </c>
      <c r="K149">
        <v>2</v>
      </c>
      <c r="O149">
        <f t="shared" si="83"/>
        <v>753.91</v>
      </c>
      <c r="P149">
        <f>ROUND((ROUND((AC149*AW149*I149),2)*BC149),2)</f>
        <v>0</v>
      </c>
      <c r="Q149">
        <f>(ROUND((ROUND((((ET149*1.1))*AV149*I149),2)*BB149),2)+ROUND((ROUND(((AE149-((EU149*1.1)))*AV149*I149),2)*BS149),2))</f>
        <v>0</v>
      </c>
      <c r="R149">
        <f t="shared" si="84"/>
        <v>0</v>
      </c>
      <c r="S149">
        <f t="shared" si="85"/>
        <v>753.91</v>
      </c>
      <c r="T149">
        <f t="shared" si="86"/>
        <v>0</v>
      </c>
      <c r="U149">
        <f t="shared" si="87"/>
        <v>1.1516999999999999</v>
      </c>
      <c r="V149">
        <f t="shared" si="88"/>
        <v>0</v>
      </c>
      <c r="W149">
        <f t="shared" si="89"/>
        <v>0</v>
      </c>
      <c r="X149">
        <f t="shared" si="90"/>
        <v>716.21</v>
      </c>
      <c r="Y149">
        <f t="shared" si="91"/>
        <v>399.57</v>
      </c>
      <c r="AA149">
        <v>56959431</v>
      </c>
      <c r="AB149">
        <f t="shared" si="92"/>
        <v>6.5449999999999999</v>
      </c>
      <c r="AC149">
        <f t="shared" si="93"/>
        <v>0</v>
      </c>
      <c r="AD149">
        <f>ROUND(((((ET149*1.1))-((EU149*1.1)))+AE149),6)</f>
        <v>0</v>
      </c>
      <c r="AE149">
        <f>ROUND(((EU149*1.1)),6)</f>
        <v>0</v>
      </c>
      <c r="AF149">
        <f>ROUND(((EV149*1.1)),6)</f>
        <v>6.5449999999999999</v>
      </c>
      <c r="AG149">
        <f t="shared" si="94"/>
        <v>0</v>
      </c>
      <c r="AH149">
        <f>((EW149*1.1))</f>
        <v>0.55000000000000004</v>
      </c>
      <c r="AI149">
        <f>((EX149*1.1))</f>
        <v>0</v>
      </c>
      <c r="AJ149">
        <f t="shared" si="95"/>
        <v>0</v>
      </c>
      <c r="AK149">
        <v>5.95</v>
      </c>
      <c r="AL149">
        <v>0</v>
      </c>
      <c r="AM149">
        <v>0</v>
      </c>
      <c r="AN149">
        <v>0</v>
      </c>
      <c r="AO149">
        <v>5.95</v>
      </c>
      <c r="AP149">
        <v>0</v>
      </c>
      <c r="AQ149">
        <v>0.5</v>
      </c>
      <c r="AR149">
        <v>0</v>
      </c>
      <c r="AS149">
        <v>0</v>
      </c>
      <c r="AT149">
        <v>95</v>
      </c>
      <c r="AU149">
        <v>53</v>
      </c>
      <c r="AV149">
        <v>1.0469999999999999</v>
      </c>
      <c r="AW149">
        <v>1</v>
      </c>
      <c r="AZ149">
        <v>1</v>
      </c>
      <c r="BA149">
        <v>54.99</v>
      </c>
      <c r="BB149">
        <v>1</v>
      </c>
      <c r="BC149">
        <v>1</v>
      </c>
      <c r="BD149" t="s">
        <v>3</v>
      </c>
      <c r="BE149" t="s">
        <v>3</v>
      </c>
      <c r="BF149" t="s">
        <v>3</v>
      </c>
      <c r="BG149" t="s">
        <v>3</v>
      </c>
      <c r="BH149">
        <v>0</v>
      </c>
      <c r="BI149">
        <v>2</v>
      </c>
      <c r="BJ149" t="s">
        <v>185</v>
      </c>
      <c r="BM149">
        <v>69</v>
      </c>
      <c r="BN149">
        <v>55992028</v>
      </c>
      <c r="BO149" t="s">
        <v>183</v>
      </c>
      <c r="BP149">
        <v>1</v>
      </c>
      <c r="BQ149">
        <v>40</v>
      </c>
      <c r="BR149">
        <v>0</v>
      </c>
      <c r="BS149">
        <v>54.99</v>
      </c>
      <c r="BT149">
        <v>1</v>
      </c>
      <c r="BU149">
        <v>1</v>
      </c>
      <c r="BV149">
        <v>1</v>
      </c>
      <c r="BW149">
        <v>1</v>
      </c>
      <c r="BX149">
        <v>1</v>
      </c>
      <c r="BY149" t="s">
        <v>3</v>
      </c>
      <c r="BZ149">
        <v>95</v>
      </c>
      <c r="CA149">
        <v>53</v>
      </c>
      <c r="CB149" t="s">
        <v>3</v>
      </c>
      <c r="CE149">
        <v>30</v>
      </c>
      <c r="CF149">
        <v>0</v>
      </c>
      <c r="CG149">
        <v>0</v>
      </c>
      <c r="CM149">
        <v>0</v>
      </c>
      <c r="CN149" t="s">
        <v>673</v>
      </c>
      <c r="CO149">
        <v>0</v>
      </c>
      <c r="CP149">
        <f t="shared" si="96"/>
        <v>753.91</v>
      </c>
      <c r="CQ149">
        <f>ROUND((ROUND((AC149*AW149*1),2)*BC149),2)</f>
        <v>0</v>
      </c>
      <c r="CR149">
        <f>(ROUND((ROUND((((ET149*1.1))*AV149*1),2)*BB149),2)+ROUND((ROUND(((AE149-((EU149*1.1)))*AV149*1),2)*BS149),2))</f>
        <v>0</v>
      </c>
      <c r="CS149">
        <f t="shared" si="97"/>
        <v>0</v>
      </c>
      <c r="CT149">
        <f t="shared" si="98"/>
        <v>376.68</v>
      </c>
      <c r="CU149">
        <f t="shared" si="99"/>
        <v>0</v>
      </c>
      <c r="CV149">
        <f t="shared" si="100"/>
        <v>0.57584999999999997</v>
      </c>
      <c r="CW149">
        <f t="shared" si="101"/>
        <v>0</v>
      </c>
      <c r="CX149">
        <f t="shared" si="102"/>
        <v>0</v>
      </c>
      <c r="CY149">
        <f t="shared" si="103"/>
        <v>716.21449999999993</v>
      </c>
      <c r="CZ149">
        <f t="shared" si="104"/>
        <v>399.57229999999998</v>
      </c>
      <c r="DC149" t="s">
        <v>3</v>
      </c>
      <c r="DD149" t="s">
        <v>3</v>
      </c>
      <c r="DE149" t="s">
        <v>23</v>
      </c>
      <c r="DF149" t="s">
        <v>23</v>
      </c>
      <c r="DG149" t="s">
        <v>23</v>
      </c>
      <c r="DH149" t="s">
        <v>3</v>
      </c>
      <c r="DI149" t="s">
        <v>23</v>
      </c>
      <c r="DJ149" t="s">
        <v>23</v>
      </c>
      <c r="DK149" t="s">
        <v>3</v>
      </c>
      <c r="DL149" t="s">
        <v>3</v>
      </c>
      <c r="DM149" t="s">
        <v>3</v>
      </c>
      <c r="DN149">
        <v>0</v>
      </c>
      <c r="DO149">
        <v>0</v>
      </c>
      <c r="DP149">
        <v>1</v>
      </c>
      <c r="DQ149">
        <v>1</v>
      </c>
      <c r="DU149">
        <v>1013</v>
      </c>
      <c r="DV149" t="s">
        <v>21</v>
      </c>
      <c r="DW149" t="s">
        <v>21</v>
      </c>
      <c r="DX149">
        <v>1</v>
      </c>
      <c r="DZ149" t="s">
        <v>3</v>
      </c>
      <c r="EA149" t="s">
        <v>3</v>
      </c>
      <c r="EB149" t="s">
        <v>3</v>
      </c>
      <c r="EC149" t="s">
        <v>3</v>
      </c>
      <c r="EE149">
        <v>55992153</v>
      </c>
      <c r="EF149">
        <v>40</v>
      </c>
      <c r="EG149" t="s">
        <v>24</v>
      </c>
      <c r="EH149">
        <v>0</v>
      </c>
      <c r="EI149" t="s">
        <v>3</v>
      </c>
      <c r="EJ149">
        <v>2</v>
      </c>
      <c r="EK149">
        <v>69</v>
      </c>
      <c r="EL149" t="s">
        <v>186</v>
      </c>
      <c r="EM149" t="s">
        <v>187</v>
      </c>
      <c r="EO149" t="s">
        <v>27</v>
      </c>
      <c r="EQ149">
        <v>0</v>
      </c>
      <c r="ER149">
        <v>5.95</v>
      </c>
      <c r="ES149">
        <v>0</v>
      </c>
      <c r="ET149">
        <v>0</v>
      </c>
      <c r="EU149">
        <v>0</v>
      </c>
      <c r="EV149">
        <v>5.95</v>
      </c>
      <c r="EW149">
        <v>0.5</v>
      </c>
      <c r="EX149">
        <v>0</v>
      </c>
      <c r="EY149">
        <v>0</v>
      </c>
      <c r="FQ149">
        <v>0</v>
      </c>
      <c r="FR149">
        <v>0</v>
      </c>
      <c r="FS149">
        <v>0</v>
      </c>
      <c r="FX149">
        <v>95</v>
      </c>
      <c r="FY149">
        <v>53</v>
      </c>
      <c r="GA149" t="s">
        <v>3</v>
      </c>
      <c r="GD149">
        <v>1</v>
      </c>
      <c r="GF149">
        <v>888865086</v>
      </c>
      <c r="GG149">
        <v>2</v>
      </c>
      <c r="GH149">
        <v>1</v>
      </c>
      <c r="GI149">
        <v>2</v>
      </c>
      <c r="GJ149">
        <v>0</v>
      </c>
      <c r="GK149">
        <v>0</v>
      </c>
      <c r="GL149">
        <f t="shared" si="105"/>
        <v>0</v>
      </c>
      <c r="GM149">
        <f t="shared" si="106"/>
        <v>1869.69</v>
      </c>
      <c r="GN149">
        <f t="shared" si="107"/>
        <v>0</v>
      </c>
      <c r="GO149">
        <f t="shared" si="108"/>
        <v>1869.69</v>
      </c>
      <c r="GP149">
        <f t="shared" si="109"/>
        <v>0</v>
      </c>
      <c r="GR149">
        <v>0</v>
      </c>
      <c r="GS149">
        <v>3</v>
      </c>
      <c r="GT149">
        <v>0</v>
      </c>
      <c r="GU149" t="s">
        <v>3</v>
      </c>
      <c r="GV149">
        <f t="shared" si="110"/>
        <v>0</v>
      </c>
      <c r="GW149">
        <v>1</v>
      </c>
      <c r="GX149">
        <f t="shared" si="111"/>
        <v>0</v>
      </c>
      <c r="HA149">
        <v>0</v>
      </c>
      <c r="HB149">
        <v>0</v>
      </c>
      <c r="HC149">
        <f t="shared" si="112"/>
        <v>0</v>
      </c>
      <c r="HE149" t="s">
        <v>3</v>
      </c>
      <c r="HF149" t="s">
        <v>3</v>
      </c>
      <c r="HM149" t="s">
        <v>3</v>
      </c>
      <c r="HN149" t="s">
        <v>3</v>
      </c>
      <c r="HO149" t="s">
        <v>3</v>
      </c>
      <c r="HP149" t="s">
        <v>3</v>
      </c>
      <c r="HQ149" t="s">
        <v>3</v>
      </c>
      <c r="HS149">
        <v>0</v>
      </c>
      <c r="IK149">
        <v>0</v>
      </c>
    </row>
    <row r="150" spans="1:255" x14ac:dyDescent="0.2">
      <c r="A150" s="2">
        <v>17</v>
      </c>
      <c r="B150" s="2">
        <v>1</v>
      </c>
      <c r="C150" s="2"/>
      <c r="D150" s="2"/>
      <c r="E150" s="2" t="s">
        <v>188</v>
      </c>
      <c r="F150" s="2" t="s">
        <v>111</v>
      </c>
      <c r="G150" s="2" t="s">
        <v>189</v>
      </c>
      <c r="H150" s="2" t="s">
        <v>31</v>
      </c>
      <c r="I150" s="2">
        <v>2</v>
      </c>
      <c r="J150" s="2">
        <v>0</v>
      </c>
      <c r="K150" s="2">
        <v>2</v>
      </c>
      <c r="L150" s="2"/>
      <c r="M150" s="2"/>
      <c r="N150" s="2"/>
      <c r="O150" s="2">
        <f t="shared" si="83"/>
        <v>2154.58</v>
      </c>
      <c r="P150" s="2">
        <f>ROUND((ROUND((AC150*I150),2)*BC150),2)</f>
        <v>2154.58</v>
      </c>
      <c r="Q150" s="2">
        <f>(ROUND((ROUND(((ET150)*AV150*I150),2)*BB150),2)+ROUND((ROUND(((AE150-(EU150))*AV150*I150),2)*BS150),2))</f>
        <v>0</v>
      </c>
      <c r="R150" s="2">
        <f t="shared" si="84"/>
        <v>0</v>
      </c>
      <c r="S150" s="2">
        <f t="shared" si="85"/>
        <v>0</v>
      </c>
      <c r="T150" s="2">
        <f t="shared" si="86"/>
        <v>0</v>
      </c>
      <c r="U150" s="2">
        <f t="shared" si="87"/>
        <v>0</v>
      </c>
      <c r="V150" s="2">
        <f t="shared" si="88"/>
        <v>0</v>
      </c>
      <c r="W150" s="2">
        <f t="shared" si="89"/>
        <v>0</v>
      </c>
      <c r="X150" s="2">
        <f t="shared" si="90"/>
        <v>0</v>
      </c>
      <c r="Y150" s="2">
        <f t="shared" si="91"/>
        <v>0</v>
      </c>
      <c r="Z150" s="2"/>
      <c r="AA150" s="2">
        <v>56959434</v>
      </c>
      <c r="AB150" s="2">
        <f t="shared" si="92"/>
        <v>1077.29</v>
      </c>
      <c r="AC150" s="2">
        <f t="shared" si="93"/>
        <v>1077.29</v>
      </c>
      <c r="AD150" s="2">
        <f>ROUND((((ET150)-(EU150))+AE150),6)</f>
        <v>0</v>
      </c>
      <c r="AE150" s="2">
        <f>ROUND((EU150),6)</f>
        <v>0</v>
      </c>
      <c r="AF150" s="2">
        <f>ROUND((EV150),6)</f>
        <v>0</v>
      </c>
      <c r="AG150" s="2">
        <f t="shared" si="94"/>
        <v>0</v>
      </c>
      <c r="AH150" s="2">
        <f>(EW150)</f>
        <v>0</v>
      </c>
      <c r="AI150" s="2">
        <f>(EX150)</f>
        <v>0</v>
      </c>
      <c r="AJ150" s="2">
        <f t="shared" si="95"/>
        <v>0</v>
      </c>
      <c r="AK150" s="2">
        <v>1077.29</v>
      </c>
      <c r="AL150" s="2">
        <v>1077.29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3</v>
      </c>
      <c r="BJ150" s="2" t="s">
        <v>3</v>
      </c>
      <c r="BK150" s="2"/>
      <c r="BL150" s="2"/>
      <c r="BM150" s="2">
        <v>746</v>
      </c>
      <c r="BN150" s="2">
        <v>0</v>
      </c>
      <c r="BO150" s="2" t="s">
        <v>3</v>
      </c>
      <c r="BP150" s="2">
        <v>0</v>
      </c>
      <c r="BQ150" s="2">
        <v>130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0</v>
      </c>
      <c r="CA150" s="2">
        <v>0</v>
      </c>
      <c r="CB150" s="2" t="s">
        <v>3</v>
      </c>
      <c r="CC150" s="2"/>
      <c r="CD150" s="2"/>
      <c r="CE150" s="2">
        <v>30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3</v>
      </c>
      <c r="CO150" s="2">
        <v>0</v>
      </c>
      <c r="CP150" s="2">
        <f t="shared" si="96"/>
        <v>2154.58</v>
      </c>
      <c r="CQ150" s="2">
        <f>ROUND((ROUND((AC150*1),2)*BC150),2)</f>
        <v>1077.29</v>
      </c>
      <c r="CR150" s="2">
        <f>(ROUND((ROUND(((ET150)*AV150*1),2)*BB150),2)+ROUND((ROUND(((AE150-(EU150))*AV150*1),2)*BS150),2))</f>
        <v>0</v>
      </c>
      <c r="CS150" s="2">
        <f t="shared" si="97"/>
        <v>0</v>
      </c>
      <c r="CT150" s="2">
        <f t="shared" si="98"/>
        <v>0</v>
      </c>
      <c r="CU150" s="2">
        <f t="shared" si="99"/>
        <v>0</v>
      </c>
      <c r="CV150" s="2">
        <f t="shared" si="100"/>
        <v>0</v>
      </c>
      <c r="CW150" s="2">
        <f t="shared" si="101"/>
        <v>0</v>
      </c>
      <c r="CX150" s="2">
        <f t="shared" si="102"/>
        <v>0</v>
      </c>
      <c r="CY150" s="2">
        <f t="shared" si="103"/>
        <v>0</v>
      </c>
      <c r="CZ150" s="2">
        <f t="shared" si="104"/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31</v>
      </c>
      <c r="DW150" s="2" t="s">
        <v>31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55992259</v>
      </c>
      <c r="EF150" s="2">
        <v>130</v>
      </c>
      <c r="EG150" s="2" t="s">
        <v>32</v>
      </c>
      <c r="EH150" s="2">
        <v>0</v>
      </c>
      <c r="EI150" s="2" t="s">
        <v>3</v>
      </c>
      <c r="EJ150" s="2">
        <v>3</v>
      </c>
      <c r="EK150" s="2">
        <v>746</v>
      </c>
      <c r="EL150" s="2" t="s">
        <v>33</v>
      </c>
      <c r="EM150" s="2" t="s">
        <v>34</v>
      </c>
      <c r="EN150" s="2"/>
      <c r="EO150" s="2" t="s">
        <v>3</v>
      </c>
      <c r="EP150" s="2"/>
      <c r="EQ150" s="2">
        <v>0</v>
      </c>
      <c r="ER150" s="2">
        <v>0</v>
      </c>
      <c r="ES150" s="2">
        <v>1077.29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f>P150</f>
        <v>2154.58</v>
      </c>
      <c r="FS150" s="2">
        <v>0</v>
      </c>
      <c r="FT150" s="2"/>
      <c r="FU150" s="2"/>
      <c r="FV150" s="2"/>
      <c r="FW150" s="2"/>
      <c r="FX150" s="2">
        <v>0</v>
      </c>
      <c r="FY150" s="2">
        <v>0</v>
      </c>
      <c r="FZ150" s="2"/>
      <c r="GA150" s="2" t="s">
        <v>190</v>
      </c>
      <c r="GB150" s="2"/>
      <c r="GC150" s="2"/>
      <c r="GD150" s="2">
        <v>1</v>
      </c>
      <c r="GE150" s="2"/>
      <c r="GF150" s="2">
        <v>-2141868350</v>
      </c>
      <c r="GG150" s="2">
        <v>2</v>
      </c>
      <c r="GH150" s="2">
        <v>4</v>
      </c>
      <c r="GI150" s="2">
        <v>-2</v>
      </c>
      <c r="GJ150" s="2">
        <v>0</v>
      </c>
      <c r="GK150" s="2">
        <v>0</v>
      </c>
      <c r="GL150" s="2">
        <f t="shared" si="105"/>
        <v>0</v>
      </c>
      <c r="GM150" s="2">
        <f t="shared" si="106"/>
        <v>2154.58</v>
      </c>
      <c r="GN150" s="2">
        <f t="shared" si="107"/>
        <v>0</v>
      </c>
      <c r="GO150" s="2">
        <f t="shared" si="108"/>
        <v>0</v>
      </c>
      <c r="GP150" s="2">
        <f t="shared" si="109"/>
        <v>0</v>
      </c>
      <c r="GQ150" s="2"/>
      <c r="GR150" s="2">
        <v>0</v>
      </c>
      <c r="GS150" s="2">
        <v>2</v>
      </c>
      <c r="GT150" s="2">
        <v>0</v>
      </c>
      <c r="GU150" s="2" t="s">
        <v>3</v>
      </c>
      <c r="GV150" s="2">
        <f t="shared" si="110"/>
        <v>0</v>
      </c>
      <c r="GW150" s="2">
        <v>1</v>
      </c>
      <c r="GX150" s="2">
        <f t="shared" si="111"/>
        <v>0</v>
      </c>
      <c r="GY150" s="2"/>
      <c r="GZ150" s="2"/>
      <c r="HA150" s="2">
        <v>0</v>
      </c>
      <c r="HB150" s="2">
        <v>0</v>
      </c>
      <c r="HC150" s="2">
        <f t="shared" si="112"/>
        <v>0</v>
      </c>
      <c r="HD150" s="2"/>
      <c r="HE150" s="2" t="s">
        <v>36</v>
      </c>
      <c r="HF150" s="2" t="s">
        <v>37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">
      <c r="A151">
        <v>17</v>
      </c>
      <c r="B151">
        <v>1</v>
      </c>
      <c r="E151" t="s">
        <v>188</v>
      </c>
      <c r="F151" t="s">
        <v>111</v>
      </c>
      <c r="G151" t="s">
        <v>189</v>
      </c>
      <c r="H151" t="s">
        <v>31</v>
      </c>
      <c r="I151">
        <v>2</v>
      </c>
      <c r="J151">
        <v>0</v>
      </c>
      <c r="K151">
        <v>2</v>
      </c>
      <c r="O151">
        <f t="shared" si="83"/>
        <v>16504.080000000002</v>
      </c>
      <c r="P151">
        <f>ROUND((ROUND((AC151*I151),2)*BC151),2)</f>
        <v>16504.080000000002</v>
      </c>
      <c r="Q151">
        <f>(ROUND((ROUND(((ET151)*AV151*I151),2)*BB151),2)+ROUND((ROUND(((AE151-(EU151))*AV151*I151),2)*BS151),2))</f>
        <v>0</v>
      </c>
      <c r="R151">
        <f t="shared" si="84"/>
        <v>0</v>
      </c>
      <c r="S151">
        <f t="shared" si="85"/>
        <v>0</v>
      </c>
      <c r="T151">
        <f t="shared" si="86"/>
        <v>0</v>
      </c>
      <c r="U151">
        <f t="shared" si="87"/>
        <v>0</v>
      </c>
      <c r="V151">
        <f t="shared" si="88"/>
        <v>0</v>
      </c>
      <c r="W151">
        <f t="shared" si="89"/>
        <v>0</v>
      </c>
      <c r="X151">
        <f t="shared" si="90"/>
        <v>0</v>
      </c>
      <c r="Y151">
        <f t="shared" si="91"/>
        <v>0</v>
      </c>
      <c r="AA151">
        <v>56959431</v>
      </c>
      <c r="AB151">
        <f t="shared" si="92"/>
        <v>1077.29</v>
      </c>
      <c r="AC151">
        <f t="shared" si="93"/>
        <v>1077.29</v>
      </c>
      <c r="AD151">
        <f>ROUND((((ET151)-(EU151))+AE151),6)</f>
        <v>0</v>
      </c>
      <c r="AE151">
        <f>ROUND((EU151),6)</f>
        <v>0</v>
      </c>
      <c r="AF151">
        <f>ROUND((EV151),6)</f>
        <v>0</v>
      </c>
      <c r="AG151">
        <f t="shared" si="94"/>
        <v>0</v>
      </c>
      <c r="AH151">
        <f>(EW151)</f>
        <v>0</v>
      </c>
      <c r="AI151">
        <f>(EX151)</f>
        <v>0</v>
      </c>
      <c r="AJ151">
        <f t="shared" si="95"/>
        <v>0</v>
      </c>
      <c r="AK151">
        <v>1077.29</v>
      </c>
      <c r="AL151">
        <v>1077.29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Z151">
        <v>1</v>
      </c>
      <c r="BA151">
        <v>1</v>
      </c>
      <c r="BB151">
        <v>1</v>
      </c>
      <c r="BC151">
        <v>7.66</v>
      </c>
      <c r="BD151" t="s">
        <v>3</v>
      </c>
      <c r="BE151" t="s">
        <v>3</v>
      </c>
      <c r="BF151" t="s">
        <v>3</v>
      </c>
      <c r="BG151" t="s">
        <v>3</v>
      </c>
      <c r="BH151">
        <v>3</v>
      </c>
      <c r="BI151">
        <v>3</v>
      </c>
      <c r="BJ151" t="s">
        <v>3</v>
      </c>
      <c r="BM151">
        <v>746</v>
      </c>
      <c r="BN151">
        <v>0</v>
      </c>
      <c r="BO151" t="s">
        <v>3</v>
      </c>
      <c r="BP151">
        <v>0</v>
      </c>
      <c r="BQ151">
        <v>130</v>
      </c>
      <c r="BR151">
        <v>0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 t="s">
        <v>3</v>
      </c>
      <c r="BZ151">
        <v>0</v>
      </c>
      <c r="CA151">
        <v>0</v>
      </c>
      <c r="CB151" t="s">
        <v>3</v>
      </c>
      <c r="CE151">
        <v>30</v>
      </c>
      <c r="CF151">
        <v>0</v>
      </c>
      <c r="CG151">
        <v>0</v>
      </c>
      <c r="CM151">
        <v>0</v>
      </c>
      <c r="CN151" t="s">
        <v>3</v>
      </c>
      <c r="CO151">
        <v>0</v>
      </c>
      <c r="CP151">
        <f t="shared" si="96"/>
        <v>16504.080000000002</v>
      </c>
      <c r="CQ151">
        <f>ROUND((ROUND((AC151*1),2)*BC151),2)</f>
        <v>8252.0400000000009</v>
      </c>
      <c r="CR151">
        <f>(ROUND((ROUND(((ET151)*AV151*1),2)*BB151),2)+ROUND((ROUND(((AE151-(EU151))*AV151*1),2)*BS151),2))</f>
        <v>0</v>
      </c>
      <c r="CS151">
        <f t="shared" si="97"/>
        <v>0</v>
      </c>
      <c r="CT151">
        <f t="shared" si="98"/>
        <v>0</v>
      </c>
      <c r="CU151">
        <f t="shared" si="99"/>
        <v>0</v>
      </c>
      <c r="CV151">
        <f t="shared" si="100"/>
        <v>0</v>
      </c>
      <c r="CW151">
        <f t="shared" si="101"/>
        <v>0</v>
      </c>
      <c r="CX151">
        <f t="shared" si="102"/>
        <v>0</v>
      </c>
      <c r="CY151">
        <f t="shared" si="103"/>
        <v>0</v>
      </c>
      <c r="CZ151">
        <f t="shared" si="104"/>
        <v>0</v>
      </c>
      <c r="DC151" t="s">
        <v>3</v>
      </c>
      <c r="DD151" t="s">
        <v>3</v>
      </c>
      <c r="DE151" t="s">
        <v>3</v>
      </c>
      <c r="DF151" t="s">
        <v>3</v>
      </c>
      <c r="DG151" t="s">
        <v>3</v>
      </c>
      <c r="DH151" t="s">
        <v>3</v>
      </c>
      <c r="DI151" t="s">
        <v>3</v>
      </c>
      <c r="DJ151" t="s">
        <v>3</v>
      </c>
      <c r="DK151" t="s">
        <v>3</v>
      </c>
      <c r="DL151" t="s">
        <v>3</v>
      </c>
      <c r="DM151" t="s">
        <v>3</v>
      </c>
      <c r="DN151">
        <v>0</v>
      </c>
      <c r="DO151">
        <v>0</v>
      </c>
      <c r="DP151">
        <v>1</v>
      </c>
      <c r="DQ151">
        <v>1</v>
      </c>
      <c r="DU151">
        <v>1010</v>
      </c>
      <c r="DV151" t="s">
        <v>31</v>
      </c>
      <c r="DW151" t="s">
        <v>31</v>
      </c>
      <c r="DX151">
        <v>1</v>
      </c>
      <c r="DZ151" t="s">
        <v>3</v>
      </c>
      <c r="EA151" t="s">
        <v>3</v>
      </c>
      <c r="EB151" t="s">
        <v>3</v>
      </c>
      <c r="EC151" t="s">
        <v>3</v>
      </c>
      <c r="EE151">
        <v>55992259</v>
      </c>
      <c r="EF151">
        <v>130</v>
      </c>
      <c r="EG151" t="s">
        <v>32</v>
      </c>
      <c r="EH151">
        <v>0</v>
      </c>
      <c r="EI151" t="s">
        <v>3</v>
      </c>
      <c r="EJ151">
        <v>3</v>
      </c>
      <c r="EK151">
        <v>746</v>
      </c>
      <c r="EL151" t="s">
        <v>33</v>
      </c>
      <c r="EM151" t="s">
        <v>34</v>
      </c>
      <c r="EO151" t="s">
        <v>3</v>
      </c>
      <c r="EQ151">
        <v>0</v>
      </c>
      <c r="ER151">
        <v>1077.29</v>
      </c>
      <c r="ES151">
        <v>1077.29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5</v>
      </c>
      <c r="FC151">
        <v>1</v>
      </c>
      <c r="FD151">
        <v>18</v>
      </c>
      <c r="FF151">
        <v>9500</v>
      </c>
      <c r="FQ151">
        <v>0</v>
      </c>
      <c r="FR151">
        <f>P151</f>
        <v>16504.080000000002</v>
      </c>
      <c r="FS151">
        <v>0</v>
      </c>
      <c r="FX151">
        <v>0</v>
      </c>
      <c r="FY151">
        <v>0</v>
      </c>
      <c r="GA151" t="s">
        <v>190</v>
      </c>
      <c r="GD151">
        <v>1</v>
      </c>
      <c r="GF151">
        <v>-2141868350</v>
      </c>
      <c r="GG151">
        <v>2</v>
      </c>
      <c r="GH151">
        <v>3</v>
      </c>
      <c r="GI151">
        <v>5</v>
      </c>
      <c r="GJ151">
        <v>0</v>
      </c>
      <c r="GK151">
        <v>0</v>
      </c>
      <c r="GL151">
        <f t="shared" si="105"/>
        <v>0</v>
      </c>
      <c r="GM151">
        <f t="shared" si="106"/>
        <v>16504.080000000002</v>
      </c>
      <c r="GN151">
        <f t="shared" si="107"/>
        <v>0</v>
      </c>
      <c r="GO151">
        <f t="shared" si="108"/>
        <v>0</v>
      </c>
      <c r="GP151">
        <f t="shared" si="109"/>
        <v>0</v>
      </c>
      <c r="GR151">
        <v>1</v>
      </c>
      <c r="GS151">
        <v>1</v>
      </c>
      <c r="GT151">
        <v>0</v>
      </c>
      <c r="GU151" t="s">
        <v>3</v>
      </c>
      <c r="GV151">
        <f t="shared" si="110"/>
        <v>0</v>
      </c>
      <c r="GW151">
        <v>1</v>
      </c>
      <c r="GX151">
        <f t="shared" si="111"/>
        <v>0</v>
      </c>
      <c r="HA151">
        <v>0</v>
      </c>
      <c r="HB151">
        <v>0</v>
      </c>
      <c r="HC151">
        <f t="shared" si="112"/>
        <v>0</v>
      </c>
      <c r="HE151" t="s">
        <v>36</v>
      </c>
      <c r="HF151" t="s">
        <v>37</v>
      </c>
      <c r="HM151" t="s">
        <v>3</v>
      </c>
      <c r="HN151" t="s">
        <v>3</v>
      </c>
      <c r="HO151" t="s">
        <v>3</v>
      </c>
      <c r="HP151" t="s">
        <v>3</v>
      </c>
      <c r="HQ151" t="s">
        <v>3</v>
      </c>
      <c r="HS151">
        <v>0</v>
      </c>
      <c r="IK151">
        <v>0</v>
      </c>
    </row>
    <row r="152" spans="1:255" x14ac:dyDescent="0.2">
      <c r="A152" s="2">
        <v>17</v>
      </c>
      <c r="B152" s="2">
        <v>1</v>
      </c>
      <c r="C152" s="2">
        <f>ROW(SmtRes!A108)</f>
        <v>108</v>
      </c>
      <c r="D152" s="2">
        <f>ROW(EtalonRes!A136)</f>
        <v>136</v>
      </c>
      <c r="E152" s="2" t="s">
        <v>191</v>
      </c>
      <c r="F152" s="2" t="s">
        <v>75</v>
      </c>
      <c r="G152" s="2" t="s">
        <v>76</v>
      </c>
      <c r="H152" s="2" t="s">
        <v>77</v>
      </c>
      <c r="I152" s="2">
        <f>ROUND(100/100,9)</f>
        <v>1</v>
      </c>
      <c r="J152" s="2">
        <v>0</v>
      </c>
      <c r="K152" s="2">
        <f>ROUND(100/100,9)</f>
        <v>1</v>
      </c>
      <c r="L152" s="2"/>
      <c r="M152" s="2"/>
      <c r="N152" s="2"/>
      <c r="O152" s="2">
        <f t="shared" si="83"/>
        <v>573.58000000000004</v>
      </c>
      <c r="P152" s="2">
        <f t="shared" ref="P152:P161" si="113">ROUND((ROUND((AC152*AW152*I152),2)*BC152),2)</f>
        <v>314.29000000000002</v>
      </c>
      <c r="Q152" s="2">
        <f>(ROUND((ROUND((((ET152*1.1))*AV152*I152),2)*BB152),2)+ROUND((ROUND(((AE152-((EU152*1.1)))*AV152*I152),2)*BS152),2))</f>
        <v>37.86</v>
      </c>
      <c r="R152" s="2">
        <f t="shared" si="84"/>
        <v>6.58</v>
      </c>
      <c r="S152" s="2">
        <f t="shared" si="85"/>
        <v>221.43</v>
      </c>
      <c r="T152" s="2">
        <f t="shared" si="86"/>
        <v>0</v>
      </c>
      <c r="U152" s="2">
        <f t="shared" si="87"/>
        <v>17.275499999999997</v>
      </c>
      <c r="V152" s="2">
        <f t="shared" si="88"/>
        <v>0</v>
      </c>
      <c r="W152" s="2">
        <f t="shared" si="89"/>
        <v>0</v>
      </c>
      <c r="X152" s="2">
        <f t="shared" si="90"/>
        <v>221.17</v>
      </c>
      <c r="Y152" s="2">
        <f t="shared" si="91"/>
        <v>116.29</v>
      </c>
      <c r="Z152" s="2"/>
      <c r="AA152" s="2">
        <v>56959434</v>
      </c>
      <c r="AB152" s="2">
        <f t="shared" si="92"/>
        <v>561.93299999999999</v>
      </c>
      <c r="AC152" s="2">
        <f t="shared" si="93"/>
        <v>314.29000000000002</v>
      </c>
      <c r="AD152" s="2">
        <f>ROUND(((((ET152*1.1))-((EU152*1.1)))+AE152),6)</f>
        <v>36.156999999999996</v>
      </c>
      <c r="AE152" s="2">
        <f>ROUND(((EU152*1.1)),6)</f>
        <v>6.2809999999999997</v>
      </c>
      <c r="AF152" s="2">
        <f>ROUND(((EV152*1.1)),6)</f>
        <v>211.48599999999999</v>
      </c>
      <c r="AG152" s="2">
        <f t="shared" si="94"/>
        <v>0</v>
      </c>
      <c r="AH152" s="2">
        <f>((EW152*1.1))</f>
        <v>16.5</v>
      </c>
      <c r="AI152" s="2">
        <f>((EX152*1.1))</f>
        <v>0</v>
      </c>
      <c r="AJ152" s="2">
        <f t="shared" si="95"/>
        <v>0</v>
      </c>
      <c r="AK152" s="2">
        <v>539.41999999999996</v>
      </c>
      <c r="AL152" s="2">
        <v>314.29000000000002</v>
      </c>
      <c r="AM152" s="2">
        <v>32.869999999999997</v>
      </c>
      <c r="AN152" s="2">
        <v>5.71</v>
      </c>
      <c r="AO152" s="2">
        <v>192.26</v>
      </c>
      <c r="AP152" s="2">
        <v>0</v>
      </c>
      <c r="AQ152" s="2">
        <v>15</v>
      </c>
      <c r="AR152" s="2">
        <v>0</v>
      </c>
      <c r="AS152" s="2">
        <v>0</v>
      </c>
      <c r="AT152" s="2">
        <v>97</v>
      </c>
      <c r="AU152" s="2">
        <v>51</v>
      </c>
      <c r="AV152" s="2">
        <v>1.0469999999999999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2</v>
      </c>
      <c r="BJ152" s="2" t="s">
        <v>78</v>
      </c>
      <c r="BK152" s="2"/>
      <c r="BL152" s="2"/>
      <c r="BM152" s="2">
        <v>67</v>
      </c>
      <c r="BN152" s="2">
        <v>55992028</v>
      </c>
      <c r="BO152" s="2" t="s">
        <v>75</v>
      </c>
      <c r="BP152" s="2">
        <v>1</v>
      </c>
      <c r="BQ152" s="2">
        <v>40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97</v>
      </c>
      <c r="CA152" s="2">
        <v>51</v>
      </c>
      <c r="CB152" s="2" t="s">
        <v>3</v>
      </c>
      <c r="CC152" s="2"/>
      <c r="CD152" s="2"/>
      <c r="CE152" s="2">
        <v>30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673</v>
      </c>
      <c r="CO152" s="2">
        <v>0</v>
      </c>
      <c r="CP152" s="2">
        <f t="shared" si="96"/>
        <v>573.58000000000004</v>
      </c>
      <c r="CQ152" s="2">
        <f t="shared" ref="CQ152:CQ161" si="114">ROUND((ROUND((AC152*AW152*1),2)*BC152),2)</f>
        <v>314.29000000000002</v>
      </c>
      <c r="CR152" s="2">
        <f>(ROUND((ROUND((((ET152*1.1))*AV152*1),2)*BB152),2)+ROUND((ROUND(((AE152-((EU152*1.1)))*AV152*1),2)*BS152),2))</f>
        <v>37.86</v>
      </c>
      <c r="CS152" s="2">
        <f t="shared" si="97"/>
        <v>6.58</v>
      </c>
      <c r="CT152" s="2">
        <f t="shared" si="98"/>
        <v>221.43</v>
      </c>
      <c r="CU152" s="2">
        <f t="shared" si="99"/>
        <v>0</v>
      </c>
      <c r="CV152" s="2">
        <f t="shared" si="100"/>
        <v>17.275499999999997</v>
      </c>
      <c r="CW152" s="2">
        <f t="shared" si="101"/>
        <v>0</v>
      </c>
      <c r="CX152" s="2">
        <f t="shared" si="102"/>
        <v>0</v>
      </c>
      <c r="CY152" s="2">
        <f t="shared" si="103"/>
        <v>221.16970000000001</v>
      </c>
      <c r="CZ152" s="2">
        <f t="shared" si="104"/>
        <v>116.2851</v>
      </c>
      <c r="DA152" s="2"/>
      <c r="DB152" s="2"/>
      <c r="DC152" s="2" t="s">
        <v>3</v>
      </c>
      <c r="DD152" s="2" t="s">
        <v>3</v>
      </c>
      <c r="DE152" s="2" t="s">
        <v>23</v>
      </c>
      <c r="DF152" s="2" t="s">
        <v>23</v>
      </c>
      <c r="DG152" s="2" t="s">
        <v>23</v>
      </c>
      <c r="DH152" s="2" t="s">
        <v>3</v>
      </c>
      <c r="DI152" s="2" t="s">
        <v>23</v>
      </c>
      <c r="DJ152" s="2" t="s">
        <v>23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1003</v>
      </c>
      <c r="DV152" s="2" t="s">
        <v>77</v>
      </c>
      <c r="DW152" s="2" t="s">
        <v>77</v>
      </c>
      <c r="DX152" s="2">
        <v>100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55992151</v>
      </c>
      <c r="EF152" s="2">
        <v>40</v>
      </c>
      <c r="EG152" s="2" t="s">
        <v>24</v>
      </c>
      <c r="EH152" s="2">
        <v>0</v>
      </c>
      <c r="EI152" s="2" t="s">
        <v>3</v>
      </c>
      <c r="EJ152" s="2">
        <v>2</v>
      </c>
      <c r="EK152" s="2">
        <v>67</v>
      </c>
      <c r="EL152" s="2" t="s">
        <v>79</v>
      </c>
      <c r="EM152" s="2" t="s">
        <v>80</v>
      </c>
      <c r="EN152" s="2"/>
      <c r="EO152" s="2" t="s">
        <v>27</v>
      </c>
      <c r="EP152" s="2"/>
      <c r="EQ152" s="2">
        <v>0</v>
      </c>
      <c r="ER152" s="2">
        <v>539.41999999999996</v>
      </c>
      <c r="ES152" s="2">
        <v>314.29000000000002</v>
      </c>
      <c r="ET152" s="2">
        <v>32.869999999999997</v>
      </c>
      <c r="EU152" s="2">
        <v>5.71</v>
      </c>
      <c r="EV152" s="2">
        <v>192.26</v>
      </c>
      <c r="EW152" s="2">
        <v>15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97</v>
      </c>
      <c r="FY152" s="2">
        <v>51</v>
      </c>
      <c r="FZ152" s="2"/>
      <c r="GA152" s="2" t="s">
        <v>3</v>
      </c>
      <c r="GB152" s="2"/>
      <c r="GC152" s="2"/>
      <c r="GD152" s="2">
        <v>1</v>
      </c>
      <c r="GE152" s="2"/>
      <c r="GF152" s="2">
        <v>1705749599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si="105"/>
        <v>0</v>
      </c>
      <c r="GM152" s="2">
        <f t="shared" si="106"/>
        <v>911.04</v>
      </c>
      <c r="GN152" s="2">
        <f t="shared" si="107"/>
        <v>0</v>
      </c>
      <c r="GO152" s="2">
        <f t="shared" si="108"/>
        <v>911.04</v>
      </c>
      <c r="GP152" s="2">
        <f t="shared" si="109"/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si="110"/>
        <v>0</v>
      </c>
      <c r="GW152" s="2">
        <v>1</v>
      </c>
      <c r="GX152" s="2">
        <f t="shared" si="111"/>
        <v>0</v>
      </c>
      <c r="GY152" s="2"/>
      <c r="GZ152" s="2"/>
      <c r="HA152" s="2">
        <v>0</v>
      </c>
      <c r="HB152" s="2">
        <v>0</v>
      </c>
      <c r="HC152" s="2">
        <f t="shared" si="112"/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>
        <v>17</v>
      </c>
      <c r="B153">
        <v>1</v>
      </c>
      <c r="C153">
        <f>ROW(SmtRes!A110)</f>
        <v>110</v>
      </c>
      <c r="D153">
        <f>ROW(EtalonRes!A140)</f>
        <v>140</v>
      </c>
      <c r="E153" t="s">
        <v>191</v>
      </c>
      <c r="F153" t="s">
        <v>75</v>
      </c>
      <c r="G153" t="s">
        <v>76</v>
      </c>
      <c r="H153" t="s">
        <v>77</v>
      </c>
      <c r="I153">
        <f>ROUND(100/100,9)</f>
        <v>1</v>
      </c>
      <c r="J153">
        <v>0</v>
      </c>
      <c r="K153">
        <f>ROUND(100/100,9)</f>
        <v>1</v>
      </c>
      <c r="O153">
        <f t="shared" si="83"/>
        <v>15960.57</v>
      </c>
      <c r="P153">
        <f t="shared" si="113"/>
        <v>3108.33</v>
      </c>
      <c r="Q153">
        <f>(ROUND((ROUND((((ET153*1.1))*AV153*I153),2)*BB153),2)+ROUND((ROUND(((AE153-((EU153*1.1)))*AV153*I153),2)*BS153),2))</f>
        <v>675.8</v>
      </c>
      <c r="R153">
        <f t="shared" si="84"/>
        <v>361.83</v>
      </c>
      <c r="S153">
        <f t="shared" si="85"/>
        <v>12176.44</v>
      </c>
      <c r="T153">
        <f t="shared" si="86"/>
        <v>0</v>
      </c>
      <c r="U153">
        <f t="shared" si="87"/>
        <v>17.275499999999997</v>
      </c>
      <c r="V153">
        <f t="shared" si="88"/>
        <v>0</v>
      </c>
      <c r="W153">
        <f t="shared" si="89"/>
        <v>0</v>
      </c>
      <c r="X153">
        <f t="shared" si="90"/>
        <v>12162.12</v>
      </c>
      <c r="Y153">
        <f t="shared" si="91"/>
        <v>6394.52</v>
      </c>
      <c r="AA153">
        <v>56959431</v>
      </c>
      <c r="AB153">
        <f t="shared" si="92"/>
        <v>561.93299999999999</v>
      </c>
      <c r="AC153">
        <f t="shared" si="93"/>
        <v>314.29000000000002</v>
      </c>
      <c r="AD153">
        <f>ROUND(((((ET153*1.1))-((EU153*1.1)))+AE153),6)</f>
        <v>36.156999999999996</v>
      </c>
      <c r="AE153">
        <f>ROUND(((EU153*1.1)),6)</f>
        <v>6.2809999999999997</v>
      </c>
      <c r="AF153">
        <f>ROUND(((EV153*1.1)),6)</f>
        <v>211.48599999999999</v>
      </c>
      <c r="AG153">
        <f t="shared" si="94"/>
        <v>0</v>
      </c>
      <c r="AH153">
        <f>((EW153*1.1))</f>
        <v>16.5</v>
      </c>
      <c r="AI153">
        <f>((EX153*1.1))</f>
        <v>0</v>
      </c>
      <c r="AJ153">
        <f t="shared" si="95"/>
        <v>0</v>
      </c>
      <c r="AK153">
        <v>539.41999999999996</v>
      </c>
      <c r="AL153">
        <v>314.29000000000002</v>
      </c>
      <c r="AM153">
        <v>32.869999999999997</v>
      </c>
      <c r="AN153">
        <v>5.71</v>
      </c>
      <c r="AO153">
        <v>192.26</v>
      </c>
      <c r="AP153">
        <v>0</v>
      </c>
      <c r="AQ153">
        <v>15</v>
      </c>
      <c r="AR153">
        <v>0</v>
      </c>
      <c r="AS153">
        <v>0</v>
      </c>
      <c r="AT153">
        <v>97</v>
      </c>
      <c r="AU153">
        <v>51</v>
      </c>
      <c r="AV153">
        <v>1.0469999999999999</v>
      </c>
      <c r="AW153">
        <v>1</v>
      </c>
      <c r="AZ153">
        <v>1</v>
      </c>
      <c r="BA153">
        <v>54.99</v>
      </c>
      <c r="BB153">
        <v>17.850000000000001</v>
      </c>
      <c r="BC153">
        <v>9.89</v>
      </c>
      <c r="BD153" t="s">
        <v>3</v>
      </c>
      <c r="BE153" t="s">
        <v>3</v>
      </c>
      <c r="BF153" t="s">
        <v>3</v>
      </c>
      <c r="BG153" t="s">
        <v>3</v>
      </c>
      <c r="BH153">
        <v>0</v>
      </c>
      <c r="BI153">
        <v>2</v>
      </c>
      <c r="BJ153" t="s">
        <v>78</v>
      </c>
      <c r="BM153">
        <v>67</v>
      </c>
      <c r="BN153">
        <v>55992028</v>
      </c>
      <c r="BO153" t="s">
        <v>75</v>
      </c>
      <c r="BP153">
        <v>1</v>
      </c>
      <c r="BQ153">
        <v>40</v>
      </c>
      <c r="BR153">
        <v>0</v>
      </c>
      <c r="BS153">
        <v>54.99</v>
      </c>
      <c r="BT153">
        <v>1</v>
      </c>
      <c r="BU153">
        <v>1</v>
      </c>
      <c r="BV153">
        <v>1</v>
      </c>
      <c r="BW153">
        <v>1</v>
      </c>
      <c r="BX153">
        <v>1</v>
      </c>
      <c r="BY153" t="s">
        <v>3</v>
      </c>
      <c r="BZ153">
        <v>97</v>
      </c>
      <c r="CA153">
        <v>51</v>
      </c>
      <c r="CB153" t="s">
        <v>3</v>
      </c>
      <c r="CE153">
        <v>30</v>
      </c>
      <c r="CF153">
        <v>0</v>
      </c>
      <c r="CG153">
        <v>0</v>
      </c>
      <c r="CM153">
        <v>0</v>
      </c>
      <c r="CN153" t="s">
        <v>673</v>
      </c>
      <c r="CO153">
        <v>0</v>
      </c>
      <c r="CP153">
        <f t="shared" si="96"/>
        <v>15960.57</v>
      </c>
      <c r="CQ153">
        <f t="shared" si="114"/>
        <v>3108.33</v>
      </c>
      <c r="CR153">
        <f>(ROUND((ROUND((((ET153*1.1))*AV153*1),2)*BB153),2)+ROUND((ROUND(((AE153-((EU153*1.1)))*AV153*1),2)*BS153),2))</f>
        <v>675.8</v>
      </c>
      <c r="CS153">
        <f t="shared" si="97"/>
        <v>361.83</v>
      </c>
      <c r="CT153">
        <f t="shared" si="98"/>
        <v>12176.44</v>
      </c>
      <c r="CU153">
        <f t="shared" si="99"/>
        <v>0</v>
      </c>
      <c r="CV153">
        <f t="shared" si="100"/>
        <v>17.275499999999997</v>
      </c>
      <c r="CW153">
        <f t="shared" si="101"/>
        <v>0</v>
      </c>
      <c r="CX153">
        <f t="shared" si="102"/>
        <v>0</v>
      </c>
      <c r="CY153">
        <f t="shared" si="103"/>
        <v>12162.1219</v>
      </c>
      <c r="CZ153">
        <f t="shared" si="104"/>
        <v>6394.5177000000003</v>
      </c>
      <c r="DC153" t="s">
        <v>3</v>
      </c>
      <c r="DD153" t="s">
        <v>3</v>
      </c>
      <c r="DE153" t="s">
        <v>23</v>
      </c>
      <c r="DF153" t="s">
        <v>23</v>
      </c>
      <c r="DG153" t="s">
        <v>23</v>
      </c>
      <c r="DH153" t="s">
        <v>3</v>
      </c>
      <c r="DI153" t="s">
        <v>23</v>
      </c>
      <c r="DJ153" t="s">
        <v>23</v>
      </c>
      <c r="DK153" t="s">
        <v>3</v>
      </c>
      <c r="DL153" t="s">
        <v>3</v>
      </c>
      <c r="DM153" t="s">
        <v>3</v>
      </c>
      <c r="DN153">
        <v>0</v>
      </c>
      <c r="DO153">
        <v>0</v>
      </c>
      <c r="DP153">
        <v>1</v>
      </c>
      <c r="DQ153">
        <v>1</v>
      </c>
      <c r="DU153">
        <v>1003</v>
      </c>
      <c r="DV153" t="s">
        <v>77</v>
      </c>
      <c r="DW153" t="s">
        <v>77</v>
      </c>
      <c r="DX153">
        <v>100</v>
      </c>
      <c r="DZ153" t="s">
        <v>3</v>
      </c>
      <c r="EA153" t="s">
        <v>3</v>
      </c>
      <c r="EB153" t="s">
        <v>3</v>
      </c>
      <c r="EC153" t="s">
        <v>3</v>
      </c>
      <c r="EE153">
        <v>55992151</v>
      </c>
      <c r="EF153">
        <v>40</v>
      </c>
      <c r="EG153" t="s">
        <v>24</v>
      </c>
      <c r="EH153">
        <v>0</v>
      </c>
      <c r="EI153" t="s">
        <v>3</v>
      </c>
      <c r="EJ153">
        <v>2</v>
      </c>
      <c r="EK153">
        <v>67</v>
      </c>
      <c r="EL153" t="s">
        <v>79</v>
      </c>
      <c r="EM153" t="s">
        <v>80</v>
      </c>
      <c r="EO153" t="s">
        <v>27</v>
      </c>
      <c r="EQ153">
        <v>0</v>
      </c>
      <c r="ER153">
        <v>539.41999999999996</v>
      </c>
      <c r="ES153">
        <v>314.29000000000002</v>
      </c>
      <c r="ET153">
        <v>32.869999999999997</v>
      </c>
      <c r="EU153">
        <v>5.71</v>
      </c>
      <c r="EV153">
        <v>192.26</v>
      </c>
      <c r="EW153">
        <v>15</v>
      </c>
      <c r="EX153">
        <v>0</v>
      </c>
      <c r="EY153">
        <v>0</v>
      </c>
      <c r="FQ153">
        <v>0</v>
      </c>
      <c r="FR153">
        <v>0</v>
      </c>
      <c r="FS153">
        <v>0</v>
      </c>
      <c r="FX153">
        <v>97</v>
      </c>
      <c r="FY153">
        <v>51</v>
      </c>
      <c r="GA153" t="s">
        <v>3</v>
      </c>
      <c r="GD153">
        <v>1</v>
      </c>
      <c r="GF153">
        <v>1705749599</v>
      </c>
      <c r="GG153">
        <v>2</v>
      </c>
      <c r="GH153">
        <v>1</v>
      </c>
      <c r="GI153">
        <v>2</v>
      </c>
      <c r="GJ153">
        <v>0</v>
      </c>
      <c r="GK153">
        <v>0</v>
      </c>
      <c r="GL153">
        <f t="shared" si="105"/>
        <v>0</v>
      </c>
      <c r="GM153">
        <f t="shared" si="106"/>
        <v>34517.21</v>
      </c>
      <c r="GN153">
        <f t="shared" si="107"/>
        <v>0</v>
      </c>
      <c r="GO153">
        <f t="shared" si="108"/>
        <v>34517.21</v>
      </c>
      <c r="GP153">
        <f t="shared" si="109"/>
        <v>0</v>
      </c>
      <c r="GR153">
        <v>0</v>
      </c>
      <c r="GS153">
        <v>3</v>
      </c>
      <c r="GT153">
        <v>0</v>
      </c>
      <c r="GU153" t="s">
        <v>3</v>
      </c>
      <c r="GV153">
        <f t="shared" si="110"/>
        <v>0</v>
      </c>
      <c r="GW153">
        <v>1</v>
      </c>
      <c r="GX153">
        <f t="shared" si="111"/>
        <v>0</v>
      </c>
      <c r="HA153">
        <v>0</v>
      </c>
      <c r="HB153">
        <v>0</v>
      </c>
      <c r="HC153">
        <f t="shared" si="112"/>
        <v>0</v>
      </c>
      <c r="HE153" t="s">
        <v>3</v>
      </c>
      <c r="HF153" t="s">
        <v>3</v>
      </c>
      <c r="HM153" t="s">
        <v>3</v>
      </c>
      <c r="HN153" t="s">
        <v>3</v>
      </c>
      <c r="HO153" t="s">
        <v>3</v>
      </c>
      <c r="HP153" t="s">
        <v>3</v>
      </c>
      <c r="HQ153" t="s">
        <v>3</v>
      </c>
      <c r="HS153">
        <v>0</v>
      </c>
      <c r="IK153">
        <v>0</v>
      </c>
    </row>
    <row r="154" spans="1:255" x14ac:dyDescent="0.2">
      <c r="A154" s="2">
        <v>18</v>
      </c>
      <c r="B154" s="2">
        <v>1</v>
      </c>
      <c r="C154" s="2">
        <v>108</v>
      </c>
      <c r="D154" s="2"/>
      <c r="E154" s="2" t="s">
        <v>192</v>
      </c>
      <c r="F154" s="2" t="s">
        <v>82</v>
      </c>
      <c r="G154" s="2" t="s">
        <v>83</v>
      </c>
      <c r="H154" s="2" t="s">
        <v>84</v>
      </c>
      <c r="I154" s="2">
        <f>I152*J154</f>
        <v>102</v>
      </c>
      <c r="J154" s="2">
        <v>102</v>
      </c>
      <c r="K154" s="2">
        <v>102</v>
      </c>
      <c r="L154" s="2"/>
      <c r="M154" s="2"/>
      <c r="N154" s="2"/>
      <c r="O154" s="2">
        <f t="shared" si="83"/>
        <v>351.9</v>
      </c>
      <c r="P154" s="2">
        <f t="shared" si="113"/>
        <v>351.9</v>
      </c>
      <c r="Q154" s="2">
        <f>(ROUND((ROUND(((ET154)*AV154*I154),2)*BB154),2)+ROUND((ROUND(((AE154-(EU154))*AV154*I154),2)*BS154),2))</f>
        <v>0</v>
      </c>
      <c r="R154" s="2">
        <f t="shared" si="84"/>
        <v>0</v>
      </c>
      <c r="S154" s="2">
        <f t="shared" si="85"/>
        <v>0</v>
      </c>
      <c r="T154" s="2">
        <f t="shared" si="86"/>
        <v>0</v>
      </c>
      <c r="U154" s="2">
        <f t="shared" si="87"/>
        <v>0</v>
      </c>
      <c r="V154" s="2">
        <f t="shared" si="88"/>
        <v>0</v>
      </c>
      <c r="W154" s="2">
        <f t="shared" si="89"/>
        <v>0</v>
      </c>
      <c r="X154" s="2">
        <f t="shared" si="90"/>
        <v>0</v>
      </c>
      <c r="Y154" s="2">
        <f t="shared" si="91"/>
        <v>0</v>
      </c>
      <c r="Z154" s="2"/>
      <c r="AA154" s="2">
        <v>56959434</v>
      </c>
      <c r="AB154" s="2">
        <f t="shared" si="92"/>
        <v>3.45</v>
      </c>
      <c r="AC154" s="2">
        <f t="shared" si="93"/>
        <v>3.45</v>
      </c>
      <c r="AD154" s="2">
        <f>ROUND((((ET154)-(EU154))+AE154),6)</f>
        <v>0</v>
      </c>
      <c r="AE154" s="2">
        <f>ROUND((EU154),6)</f>
        <v>0</v>
      </c>
      <c r="AF154" s="2">
        <f>ROUND((EV154),6)</f>
        <v>0</v>
      </c>
      <c r="AG154" s="2">
        <f t="shared" si="94"/>
        <v>0</v>
      </c>
      <c r="AH154" s="2">
        <f>(EW154)</f>
        <v>0</v>
      </c>
      <c r="AI154" s="2">
        <f>(EX154)</f>
        <v>0</v>
      </c>
      <c r="AJ154" s="2">
        <f t="shared" si="95"/>
        <v>0</v>
      </c>
      <c r="AK154" s="2">
        <v>3.45</v>
      </c>
      <c r="AL154" s="2">
        <v>3.45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97</v>
      </c>
      <c r="AU154" s="2">
        <v>51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2</v>
      </c>
      <c r="BJ154" s="2" t="s">
        <v>85</v>
      </c>
      <c r="BK154" s="2"/>
      <c r="BL154" s="2"/>
      <c r="BM154" s="2">
        <v>67</v>
      </c>
      <c r="BN154" s="2">
        <v>55992028</v>
      </c>
      <c r="BO154" s="2" t="s">
        <v>3</v>
      </c>
      <c r="BP154" s="2">
        <v>0</v>
      </c>
      <c r="BQ154" s="2">
        <v>40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97</v>
      </c>
      <c r="CA154" s="2">
        <v>51</v>
      </c>
      <c r="CB154" s="2" t="s">
        <v>3</v>
      </c>
      <c r="CC154" s="2"/>
      <c r="CD154" s="2"/>
      <c r="CE154" s="2">
        <v>30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96"/>
        <v>351.9</v>
      </c>
      <c r="CQ154" s="2">
        <f t="shared" si="114"/>
        <v>3.45</v>
      </c>
      <c r="CR154" s="2">
        <f>(ROUND((ROUND(((ET154)*AV154*1),2)*BB154),2)+ROUND((ROUND(((AE154-(EU154))*AV154*1),2)*BS154),2))</f>
        <v>0</v>
      </c>
      <c r="CS154" s="2">
        <f t="shared" si="97"/>
        <v>0</v>
      </c>
      <c r="CT154" s="2">
        <f t="shared" si="98"/>
        <v>0</v>
      </c>
      <c r="CU154" s="2">
        <f t="shared" si="99"/>
        <v>0</v>
      </c>
      <c r="CV154" s="2">
        <f t="shared" si="100"/>
        <v>0</v>
      </c>
      <c r="CW154" s="2">
        <f t="shared" si="101"/>
        <v>0</v>
      </c>
      <c r="CX154" s="2">
        <f t="shared" si="102"/>
        <v>0</v>
      </c>
      <c r="CY154" s="2">
        <f t="shared" si="103"/>
        <v>0</v>
      </c>
      <c r="CZ154" s="2">
        <f t="shared" si="104"/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1003</v>
      </c>
      <c r="DV154" s="2" t="s">
        <v>84</v>
      </c>
      <c r="DW154" s="2" t="s">
        <v>84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55992151</v>
      </c>
      <c r="EF154" s="2">
        <v>40</v>
      </c>
      <c r="EG154" s="2" t="s">
        <v>24</v>
      </c>
      <c r="EH154" s="2">
        <v>0</v>
      </c>
      <c r="EI154" s="2" t="s">
        <v>3</v>
      </c>
      <c r="EJ154" s="2">
        <v>2</v>
      </c>
      <c r="EK154" s="2">
        <v>67</v>
      </c>
      <c r="EL154" s="2" t="s">
        <v>79</v>
      </c>
      <c r="EM154" s="2" t="s">
        <v>80</v>
      </c>
      <c r="EN154" s="2"/>
      <c r="EO154" s="2" t="s">
        <v>3</v>
      </c>
      <c r="EP154" s="2"/>
      <c r="EQ154" s="2">
        <v>0</v>
      </c>
      <c r="ER154" s="2">
        <v>3.45</v>
      </c>
      <c r="ES154" s="2">
        <v>3.45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97</v>
      </c>
      <c r="FY154" s="2">
        <v>51</v>
      </c>
      <c r="FZ154" s="2"/>
      <c r="GA154" s="2" t="s">
        <v>3</v>
      </c>
      <c r="GB154" s="2"/>
      <c r="GC154" s="2"/>
      <c r="GD154" s="2">
        <v>1</v>
      </c>
      <c r="GE154" s="2"/>
      <c r="GF154" s="2">
        <v>-1305428159</v>
      </c>
      <c r="GG154" s="2">
        <v>2</v>
      </c>
      <c r="GH154" s="2">
        <v>1</v>
      </c>
      <c r="GI154" s="2">
        <v>-2</v>
      </c>
      <c r="GJ154" s="2">
        <v>0</v>
      </c>
      <c r="GK154" s="2">
        <v>0</v>
      </c>
      <c r="GL154" s="2">
        <f t="shared" si="105"/>
        <v>0</v>
      </c>
      <c r="GM154" s="2">
        <f t="shared" si="106"/>
        <v>351.9</v>
      </c>
      <c r="GN154" s="2">
        <f t="shared" si="107"/>
        <v>0</v>
      </c>
      <c r="GO154" s="2">
        <f t="shared" si="108"/>
        <v>351.9</v>
      </c>
      <c r="GP154" s="2">
        <f t="shared" si="109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10"/>
        <v>0</v>
      </c>
      <c r="GW154" s="2">
        <v>1</v>
      </c>
      <c r="GX154" s="2">
        <f t="shared" si="111"/>
        <v>0</v>
      </c>
      <c r="GY154" s="2"/>
      <c r="GZ154" s="2"/>
      <c r="HA154" s="2">
        <v>0</v>
      </c>
      <c r="HB154" s="2">
        <v>0</v>
      </c>
      <c r="HC154" s="2">
        <f t="shared" si="112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>
        <v>18</v>
      </c>
      <c r="B155">
        <v>1</v>
      </c>
      <c r="C155">
        <v>110</v>
      </c>
      <c r="E155" t="s">
        <v>192</v>
      </c>
      <c r="F155" t="s">
        <v>82</v>
      </c>
      <c r="G155" t="s">
        <v>83</v>
      </c>
      <c r="H155" t="s">
        <v>84</v>
      </c>
      <c r="I155">
        <f>I153*J155</f>
        <v>102</v>
      </c>
      <c r="J155">
        <v>102</v>
      </c>
      <c r="K155">
        <v>102</v>
      </c>
      <c r="O155">
        <f t="shared" si="83"/>
        <v>1382.97</v>
      </c>
      <c r="P155">
        <f t="shared" si="113"/>
        <v>1382.97</v>
      </c>
      <c r="Q155">
        <f>(ROUND((ROUND(((ET155)*AV155*I155),2)*BB155),2)+ROUND((ROUND(((AE155-(EU155))*AV155*I155),2)*BS155),2))</f>
        <v>0</v>
      </c>
      <c r="R155">
        <f t="shared" si="84"/>
        <v>0</v>
      </c>
      <c r="S155">
        <f t="shared" si="85"/>
        <v>0</v>
      </c>
      <c r="T155">
        <f t="shared" si="86"/>
        <v>0</v>
      </c>
      <c r="U155">
        <f t="shared" si="87"/>
        <v>0</v>
      </c>
      <c r="V155">
        <f t="shared" si="88"/>
        <v>0</v>
      </c>
      <c r="W155">
        <f t="shared" si="89"/>
        <v>0</v>
      </c>
      <c r="X155">
        <f t="shared" si="90"/>
        <v>0</v>
      </c>
      <c r="Y155">
        <f t="shared" si="91"/>
        <v>0</v>
      </c>
      <c r="AA155">
        <v>56959431</v>
      </c>
      <c r="AB155">
        <f t="shared" si="92"/>
        <v>3.45</v>
      </c>
      <c r="AC155">
        <f t="shared" si="93"/>
        <v>3.45</v>
      </c>
      <c r="AD155">
        <f>ROUND((((ET155)-(EU155))+AE155),6)</f>
        <v>0</v>
      </c>
      <c r="AE155">
        <f>ROUND((EU155),6)</f>
        <v>0</v>
      </c>
      <c r="AF155">
        <f>ROUND((EV155),6)</f>
        <v>0</v>
      </c>
      <c r="AG155">
        <f t="shared" si="94"/>
        <v>0</v>
      </c>
      <c r="AH155">
        <f>(EW155)</f>
        <v>0</v>
      </c>
      <c r="AI155">
        <f>(EX155)</f>
        <v>0</v>
      </c>
      <c r="AJ155">
        <f t="shared" si="95"/>
        <v>0</v>
      </c>
      <c r="AK155">
        <v>3.45</v>
      </c>
      <c r="AL155">
        <v>3.45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97</v>
      </c>
      <c r="AU155">
        <v>51</v>
      </c>
      <c r="AV155">
        <v>1</v>
      </c>
      <c r="AW155">
        <v>1</v>
      </c>
      <c r="AZ155">
        <v>1</v>
      </c>
      <c r="BA155">
        <v>1</v>
      </c>
      <c r="BB155">
        <v>1</v>
      </c>
      <c r="BC155">
        <v>3.93</v>
      </c>
      <c r="BD155" t="s">
        <v>3</v>
      </c>
      <c r="BE155" t="s">
        <v>3</v>
      </c>
      <c r="BF155" t="s">
        <v>3</v>
      </c>
      <c r="BG155" t="s">
        <v>3</v>
      </c>
      <c r="BH155">
        <v>3</v>
      </c>
      <c r="BI155">
        <v>2</v>
      </c>
      <c r="BJ155" t="s">
        <v>85</v>
      </c>
      <c r="BM155">
        <v>67</v>
      </c>
      <c r="BN155">
        <v>55992028</v>
      </c>
      <c r="BO155" t="s">
        <v>82</v>
      </c>
      <c r="BP155">
        <v>1</v>
      </c>
      <c r="BQ155">
        <v>40</v>
      </c>
      <c r="BR155">
        <v>0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 t="s">
        <v>3</v>
      </c>
      <c r="BZ155">
        <v>97</v>
      </c>
      <c r="CA155">
        <v>51</v>
      </c>
      <c r="CB155" t="s">
        <v>3</v>
      </c>
      <c r="CE155">
        <v>30</v>
      </c>
      <c r="CF155">
        <v>0</v>
      </c>
      <c r="CG155">
        <v>0</v>
      </c>
      <c r="CM155">
        <v>0</v>
      </c>
      <c r="CN155" t="s">
        <v>3</v>
      </c>
      <c r="CO155">
        <v>0</v>
      </c>
      <c r="CP155">
        <f t="shared" si="96"/>
        <v>1382.97</v>
      </c>
      <c r="CQ155">
        <f t="shared" si="114"/>
        <v>13.56</v>
      </c>
      <c r="CR155">
        <f>(ROUND((ROUND(((ET155)*AV155*1),2)*BB155),2)+ROUND((ROUND(((AE155-(EU155))*AV155*1),2)*BS155),2))</f>
        <v>0</v>
      </c>
      <c r="CS155">
        <f t="shared" si="97"/>
        <v>0</v>
      </c>
      <c r="CT155">
        <f t="shared" si="98"/>
        <v>0</v>
      </c>
      <c r="CU155">
        <f t="shared" si="99"/>
        <v>0</v>
      </c>
      <c r="CV155">
        <f t="shared" si="100"/>
        <v>0</v>
      </c>
      <c r="CW155">
        <f t="shared" si="101"/>
        <v>0</v>
      </c>
      <c r="CX155">
        <f t="shared" si="102"/>
        <v>0</v>
      </c>
      <c r="CY155">
        <f t="shared" si="103"/>
        <v>0</v>
      </c>
      <c r="CZ155">
        <f t="shared" si="104"/>
        <v>0</v>
      </c>
      <c r="DC155" t="s">
        <v>3</v>
      </c>
      <c r="DD155" t="s">
        <v>3</v>
      </c>
      <c r="DE155" t="s">
        <v>3</v>
      </c>
      <c r="DF155" t="s">
        <v>3</v>
      </c>
      <c r="DG155" t="s">
        <v>3</v>
      </c>
      <c r="DH155" t="s">
        <v>3</v>
      </c>
      <c r="DI155" t="s">
        <v>3</v>
      </c>
      <c r="DJ155" t="s">
        <v>3</v>
      </c>
      <c r="DK155" t="s">
        <v>3</v>
      </c>
      <c r="DL155" t="s">
        <v>3</v>
      </c>
      <c r="DM155" t="s">
        <v>3</v>
      </c>
      <c r="DN155">
        <v>0</v>
      </c>
      <c r="DO155">
        <v>0</v>
      </c>
      <c r="DP155">
        <v>1</v>
      </c>
      <c r="DQ155">
        <v>1</v>
      </c>
      <c r="DU155">
        <v>1003</v>
      </c>
      <c r="DV155" t="s">
        <v>84</v>
      </c>
      <c r="DW155" t="s">
        <v>84</v>
      </c>
      <c r="DX155">
        <v>1</v>
      </c>
      <c r="DZ155" t="s">
        <v>3</v>
      </c>
      <c r="EA155" t="s">
        <v>3</v>
      </c>
      <c r="EB155" t="s">
        <v>3</v>
      </c>
      <c r="EC155" t="s">
        <v>3</v>
      </c>
      <c r="EE155">
        <v>55992151</v>
      </c>
      <c r="EF155">
        <v>40</v>
      </c>
      <c r="EG155" t="s">
        <v>24</v>
      </c>
      <c r="EH155">
        <v>0</v>
      </c>
      <c r="EI155" t="s">
        <v>3</v>
      </c>
      <c r="EJ155">
        <v>2</v>
      </c>
      <c r="EK155">
        <v>67</v>
      </c>
      <c r="EL155" t="s">
        <v>79</v>
      </c>
      <c r="EM155" t="s">
        <v>80</v>
      </c>
      <c r="EO155" t="s">
        <v>3</v>
      </c>
      <c r="EQ155">
        <v>0</v>
      </c>
      <c r="ER155">
        <v>3.45</v>
      </c>
      <c r="ES155">
        <v>3.45</v>
      </c>
      <c r="ET155">
        <v>0</v>
      </c>
      <c r="EU155">
        <v>0</v>
      </c>
      <c r="EV155">
        <v>0</v>
      </c>
      <c r="EW155">
        <v>0</v>
      </c>
      <c r="EX155">
        <v>0</v>
      </c>
      <c r="FQ155">
        <v>0</v>
      </c>
      <c r="FR155">
        <v>0</v>
      </c>
      <c r="FS155">
        <v>0</v>
      </c>
      <c r="FX155">
        <v>97</v>
      </c>
      <c r="FY155">
        <v>51</v>
      </c>
      <c r="GA155" t="s">
        <v>3</v>
      </c>
      <c r="GD155">
        <v>1</v>
      </c>
      <c r="GF155">
        <v>-1305428159</v>
      </c>
      <c r="GG155">
        <v>2</v>
      </c>
      <c r="GH155">
        <v>1</v>
      </c>
      <c r="GI155">
        <v>2</v>
      </c>
      <c r="GJ155">
        <v>0</v>
      </c>
      <c r="GK155">
        <v>0</v>
      </c>
      <c r="GL155">
        <f t="shared" si="105"/>
        <v>0</v>
      </c>
      <c r="GM155">
        <f t="shared" si="106"/>
        <v>1382.97</v>
      </c>
      <c r="GN155">
        <f t="shared" si="107"/>
        <v>0</v>
      </c>
      <c r="GO155">
        <f t="shared" si="108"/>
        <v>1382.97</v>
      </c>
      <c r="GP155">
        <f t="shared" si="109"/>
        <v>0</v>
      </c>
      <c r="GR155">
        <v>0</v>
      </c>
      <c r="GS155">
        <v>3</v>
      </c>
      <c r="GT155">
        <v>0</v>
      </c>
      <c r="GU155" t="s">
        <v>3</v>
      </c>
      <c r="GV155">
        <f t="shared" si="110"/>
        <v>0</v>
      </c>
      <c r="GW155">
        <v>1</v>
      </c>
      <c r="GX155">
        <f t="shared" si="111"/>
        <v>0</v>
      </c>
      <c r="HA155">
        <v>0</v>
      </c>
      <c r="HB155">
        <v>0</v>
      </c>
      <c r="HC155">
        <f t="shared" si="112"/>
        <v>0</v>
      </c>
      <c r="HE155" t="s">
        <v>3</v>
      </c>
      <c r="HF155" t="s">
        <v>3</v>
      </c>
      <c r="HM155" t="s">
        <v>3</v>
      </c>
      <c r="HN155" t="s">
        <v>3</v>
      </c>
      <c r="HO155" t="s">
        <v>3</v>
      </c>
      <c r="HP155" t="s">
        <v>3</v>
      </c>
      <c r="HQ155" t="s">
        <v>3</v>
      </c>
      <c r="HS155">
        <v>0</v>
      </c>
      <c r="IK155">
        <v>0</v>
      </c>
    </row>
    <row r="156" spans="1:255" x14ac:dyDescent="0.2">
      <c r="A156" s="2">
        <v>17</v>
      </c>
      <c r="B156" s="2">
        <v>1</v>
      </c>
      <c r="C156" s="2">
        <f>ROW(SmtRes!A121)</f>
        <v>121</v>
      </c>
      <c r="D156" s="2">
        <f>ROW(EtalonRes!A150)</f>
        <v>150</v>
      </c>
      <c r="E156" s="2" t="s">
        <v>193</v>
      </c>
      <c r="F156" s="2" t="s">
        <v>95</v>
      </c>
      <c r="G156" s="2" t="s">
        <v>96</v>
      </c>
      <c r="H156" s="2" t="s">
        <v>77</v>
      </c>
      <c r="I156" s="2">
        <f>ROUND(100/100,9)</f>
        <v>1</v>
      </c>
      <c r="J156" s="2">
        <v>0</v>
      </c>
      <c r="K156" s="2">
        <f>ROUND(100/100,9)</f>
        <v>1</v>
      </c>
      <c r="L156" s="2"/>
      <c r="M156" s="2"/>
      <c r="N156" s="2"/>
      <c r="O156" s="2">
        <f t="shared" si="83"/>
        <v>124.78</v>
      </c>
      <c r="P156" s="2">
        <f t="shared" si="113"/>
        <v>58.15</v>
      </c>
      <c r="Q156" s="2">
        <f>(ROUND((ROUND((((ET156*1.1))*AV156*I156),2)*BB156),2)+ROUND((ROUND(((AE156-((EU156*1.1)))*AV156*I156),2)*BS156),2))</f>
        <v>3.02</v>
      </c>
      <c r="R156" s="2">
        <f t="shared" si="84"/>
        <v>0.35</v>
      </c>
      <c r="S156" s="2">
        <f t="shared" si="85"/>
        <v>63.61</v>
      </c>
      <c r="T156" s="2">
        <f t="shared" si="86"/>
        <v>0</v>
      </c>
      <c r="U156" s="2">
        <f t="shared" si="87"/>
        <v>5.1711330000000011</v>
      </c>
      <c r="V156" s="2">
        <f t="shared" si="88"/>
        <v>0</v>
      </c>
      <c r="W156" s="2">
        <f t="shared" si="89"/>
        <v>0</v>
      </c>
      <c r="X156" s="2">
        <f t="shared" si="90"/>
        <v>62.04</v>
      </c>
      <c r="Y156" s="2">
        <f t="shared" si="91"/>
        <v>32.619999999999997</v>
      </c>
      <c r="Z156" s="2"/>
      <c r="AA156" s="2">
        <v>56959434</v>
      </c>
      <c r="AB156" s="2">
        <f t="shared" si="92"/>
        <v>121.785</v>
      </c>
      <c r="AC156" s="2">
        <f t="shared" si="93"/>
        <v>58.15</v>
      </c>
      <c r="AD156" s="2">
        <f>ROUND(((((ET156*1.1))-((EU156*1.1)))+AE156),6)</f>
        <v>2.8820000000000001</v>
      </c>
      <c r="AE156" s="2">
        <f>ROUND(((EU156*1.1)),6)</f>
        <v>0.33</v>
      </c>
      <c r="AF156" s="2">
        <f>ROUND(((EV156*1.1)),6)</f>
        <v>60.753</v>
      </c>
      <c r="AG156" s="2">
        <f t="shared" si="94"/>
        <v>0</v>
      </c>
      <c r="AH156" s="2">
        <f>((EW156*1.1))</f>
        <v>4.9390000000000009</v>
      </c>
      <c r="AI156" s="2">
        <f>((EX156*1.1))</f>
        <v>0</v>
      </c>
      <c r="AJ156" s="2">
        <f t="shared" si="95"/>
        <v>0</v>
      </c>
      <c r="AK156" s="2">
        <v>116</v>
      </c>
      <c r="AL156" s="2">
        <v>58.15</v>
      </c>
      <c r="AM156" s="2">
        <v>2.62</v>
      </c>
      <c r="AN156" s="2">
        <v>0.3</v>
      </c>
      <c r="AO156" s="2">
        <v>55.23</v>
      </c>
      <c r="AP156" s="2">
        <v>0</v>
      </c>
      <c r="AQ156" s="2">
        <v>4.49</v>
      </c>
      <c r="AR156" s="2">
        <v>0</v>
      </c>
      <c r="AS156" s="2">
        <v>0</v>
      </c>
      <c r="AT156" s="2">
        <v>97</v>
      </c>
      <c r="AU156" s="2">
        <v>51</v>
      </c>
      <c r="AV156" s="2">
        <v>1.0469999999999999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0</v>
      </c>
      <c r="BI156" s="2">
        <v>2</v>
      </c>
      <c r="BJ156" s="2" t="s">
        <v>97</v>
      </c>
      <c r="BK156" s="2"/>
      <c r="BL156" s="2"/>
      <c r="BM156" s="2">
        <v>67</v>
      </c>
      <c r="BN156" s="2">
        <v>55992028</v>
      </c>
      <c r="BO156" s="2" t="s">
        <v>95</v>
      </c>
      <c r="BP156" s="2">
        <v>1</v>
      </c>
      <c r="BQ156" s="2">
        <v>40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97</v>
      </c>
      <c r="CA156" s="2">
        <v>51</v>
      </c>
      <c r="CB156" s="2" t="s">
        <v>3</v>
      </c>
      <c r="CC156" s="2"/>
      <c r="CD156" s="2"/>
      <c r="CE156" s="2">
        <v>30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673</v>
      </c>
      <c r="CO156" s="2">
        <v>0</v>
      </c>
      <c r="CP156" s="2">
        <f t="shared" si="96"/>
        <v>124.78</v>
      </c>
      <c r="CQ156" s="2">
        <f t="shared" si="114"/>
        <v>58.15</v>
      </c>
      <c r="CR156" s="2">
        <f>(ROUND((ROUND((((ET156*1.1))*AV156*1),2)*BB156),2)+ROUND((ROUND(((AE156-((EU156*1.1)))*AV156*1),2)*BS156),2))</f>
        <v>3.02</v>
      </c>
      <c r="CS156" s="2">
        <f t="shared" si="97"/>
        <v>0.35</v>
      </c>
      <c r="CT156" s="2">
        <f t="shared" si="98"/>
        <v>63.61</v>
      </c>
      <c r="CU156" s="2">
        <f t="shared" si="99"/>
        <v>0</v>
      </c>
      <c r="CV156" s="2">
        <f t="shared" si="100"/>
        <v>5.1711330000000011</v>
      </c>
      <c r="CW156" s="2">
        <f t="shared" si="101"/>
        <v>0</v>
      </c>
      <c r="CX156" s="2">
        <f t="shared" si="102"/>
        <v>0</v>
      </c>
      <c r="CY156" s="2">
        <f t="shared" si="103"/>
        <v>62.041199999999996</v>
      </c>
      <c r="CZ156" s="2">
        <f t="shared" si="104"/>
        <v>32.619599999999998</v>
      </c>
      <c r="DA156" s="2"/>
      <c r="DB156" s="2"/>
      <c r="DC156" s="2" t="s">
        <v>3</v>
      </c>
      <c r="DD156" s="2" t="s">
        <v>3</v>
      </c>
      <c r="DE156" s="2" t="s">
        <v>23</v>
      </c>
      <c r="DF156" s="2" t="s">
        <v>23</v>
      </c>
      <c r="DG156" s="2" t="s">
        <v>23</v>
      </c>
      <c r="DH156" s="2" t="s">
        <v>3</v>
      </c>
      <c r="DI156" s="2" t="s">
        <v>23</v>
      </c>
      <c r="DJ156" s="2" t="s">
        <v>23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1003</v>
      </c>
      <c r="DV156" s="2" t="s">
        <v>77</v>
      </c>
      <c r="DW156" s="2" t="s">
        <v>77</v>
      </c>
      <c r="DX156" s="2">
        <v>100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55992151</v>
      </c>
      <c r="EF156" s="2">
        <v>40</v>
      </c>
      <c r="EG156" s="2" t="s">
        <v>24</v>
      </c>
      <c r="EH156" s="2">
        <v>0</v>
      </c>
      <c r="EI156" s="2" t="s">
        <v>3</v>
      </c>
      <c r="EJ156" s="2">
        <v>2</v>
      </c>
      <c r="EK156" s="2">
        <v>67</v>
      </c>
      <c r="EL156" s="2" t="s">
        <v>79</v>
      </c>
      <c r="EM156" s="2" t="s">
        <v>80</v>
      </c>
      <c r="EN156" s="2"/>
      <c r="EO156" s="2" t="s">
        <v>27</v>
      </c>
      <c r="EP156" s="2"/>
      <c r="EQ156" s="2">
        <v>0</v>
      </c>
      <c r="ER156" s="2">
        <v>116</v>
      </c>
      <c r="ES156" s="2">
        <v>58.15</v>
      </c>
      <c r="ET156" s="2">
        <v>2.62</v>
      </c>
      <c r="EU156" s="2">
        <v>0.3</v>
      </c>
      <c r="EV156" s="2">
        <v>55.23</v>
      </c>
      <c r="EW156" s="2">
        <v>4.49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97</v>
      </c>
      <c r="FY156" s="2">
        <v>51</v>
      </c>
      <c r="FZ156" s="2"/>
      <c r="GA156" s="2" t="s">
        <v>3</v>
      </c>
      <c r="GB156" s="2"/>
      <c r="GC156" s="2"/>
      <c r="GD156" s="2">
        <v>1</v>
      </c>
      <c r="GE156" s="2"/>
      <c r="GF156" s="2">
        <v>770559996</v>
      </c>
      <c r="GG156" s="2">
        <v>2</v>
      </c>
      <c r="GH156" s="2">
        <v>1</v>
      </c>
      <c r="GI156" s="2">
        <v>2</v>
      </c>
      <c r="GJ156" s="2">
        <v>0</v>
      </c>
      <c r="GK156" s="2">
        <v>0</v>
      </c>
      <c r="GL156" s="2">
        <f t="shared" si="105"/>
        <v>0</v>
      </c>
      <c r="GM156" s="2">
        <f t="shared" si="106"/>
        <v>219.44</v>
      </c>
      <c r="GN156" s="2">
        <f t="shared" si="107"/>
        <v>0</v>
      </c>
      <c r="GO156" s="2">
        <f t="shared" si="108"/>
        <v>219.44</v>
      </c>
      <c r="GP156" s="2">
        <f t="shared" si="109"/>
        <v>0</v>
      </c>
      <c r="GQ156" s="2"/>
      <c r="GR156" s="2">
        <v>0</v>
      </c>
      <c r="GS156" s="2">
        <v>3</v>
      </c>
      <c r="GT156" s="2">
        <v>0</v>
      </c>
      <c r="GU156" s="2" t="s">
        <v>3</v>
      </c>
      <c r="GV156" s="2">
        <f t="shared" si="110"/>
        <v>0</v>
      </c>
      <c r="GW156" s="2">
        <v>1</v>
      </c>
      <c r="GX156" s="2">
        <f t="shared" si="111"/>
        <v>0</v>
      </c>
      <c r="GY156" s="2"/>
      <c r="GZ156" s="2"/>
      <c r="HA156" s="2">
        <v>0</v>
      </c>
      <c r="HB156" s="2">
        <v>0</v>
      </c>
      <c r="HC156" s="2">
        <f t="shared" si="112"/>
        <v>0</v>
      </c>
      <c r="HD156" s="2"/>
      <c r="HE156" s="2" t="s">
        <v>3</v>
      </c>
      <c r="HF156" s="2" t="s">
        <v>3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>
        <v>17</v>
      </c>
      <c r="B157">
        <v>1</v>
      </c>
      <c r="C157">
        <f>ROW(SmtRes!A132)</f>
        <v>132</v>
      </c>
      <c r="D157">
        <f>ROW(EtalonRes!A160)</f>
        <v>160</v>
      </c>
      <c r="E157" t="s">
        <v>193</v>
      </c>
      <c r="F157" t="s">
        <v>95</v>
      </c>
      <c r="G157" t="s">
        <v>96</v>
      </c>
      <c r="H157" t="s">
        <v>77</v>
      </c>
      <c r="I157">
        <f>ROUND(100/100,9)</f>
        <v>1</v>
      </c>
      <c r="J157">
        <v>0</v>
      </c>
      <c r="K157">
        <f>ROUND(100/100,9)</f>
        <v>1</v>
      </c>
      <c r="O157">
        <f t="shared" si="83"/>
        <v>3757.07</v>
      </c>
      <c r="P157">
        <f t="shared" si="113"/>
        <v>215.16</v>
      </c>
      <c r="Q157">
        <f>(ROUND((ROUND((((ET157*1.1))*AV157*I157),2)*BB157),2)+ROUND((ROUND(((AE157-((EU157*1.1)))*AV157*I157),2)*BS157),2))</f>
        <v>44</v>
      </c>
      <c r="R157">
        <f t="shared" si="84"/>
        <v>19.25</v>
      </c>
      <c r="S157">
        <f t="shared" si="85"/>
        <v>3497.91</v>
      </c>
      <c r="T157">
        <f t="shared" si="86"/>
        <v>0</v>
      </c>
      <c r="U157">
        <f t="shared" si="87"/>
        <v>5.1711330000000011</v>
      </c>
      <c r="V157">
        <f t="shared" si="88"/>
        <v>0</v>
      </c>
      <c r="W157">
        <f t="shared" si="89"/>
        <v>0</v>
      </c>
      <c r="X157">
        <f t="shared" si="90"/>
        <v>3411.65</v>
      </c>
      <c r="Y157">
        <f t="shared" si="91"/>
        <v>1793.75</v>
      </c>
      <c r="AA157">
        <v>56959431</v>
      </c>
      <c r="AB157">
        <f t="shared" si="92"/>
        <v>121.785</v>
      </c>
      <c r="AC157">
        <f t="shared" si="93"/>
        <v>58.15</v>
      </c>
      <c r="AD157">
        <f>ROUND(((((ET157*1.1))-((EU157*1.1)))+AE157),6)</f>
        <v>2.8820000000000001</v>
      </c>
      <c r="AE157">
        <f>ROUND(((EU157*1.1)),6)</f>
        <v>0.33</v>
      </c>
      <c r="AF157">
        <f>ROUND(((EV157*1.1)),6)</f>
        <v>60.753</v>
      </c>
      <c r="AG157">
        <f t="shared" si="94"/>
        <v>0</v>
      </c>
      <c r="AH157">
        <f>((EW157*1.1))</f>
        <v>4.9390000000000009</v>
      </c>
      <c r="AI157">
        <f>((EX157*1.1))</f>
        <v>0</v>
      </c>
      <c r="AJ157">
        <f t="shared" si="95"/>
        <v>0</v>
      </c>
      <c r="AK157">
        <v>116</v>
      </c>
      <c r="AL157">
        <v>58.15</v>
      </c>
      <c r="AM157">
        <v>2.62</v>
      </c>
      <c r="AN157">
        <v>0.3</v>
      </c>
      <c r="AO157">
        <v>55.23</v>
      </c>
      <c r="AP157">
        <v>0</v>
      </c>
      <c r="AQ157">
        <v>4.49</v>
      </c>
      <c r="AR157">
        <v>0</v>
      </c>
      <c r="AS157">
        <v>0</v>
      </c>
      <c r="AT157">
        <v>97</v>
      </c>
      <c r="AU157">
        <v>51</v>
      </c>
      <c r="AV157">
        <v>1.0469999999999999</v>
      </c>
      <c r="AW157">
        <v>1</v>
      </c>
      <c r="AZ157">
        <v>1</v>
      </c>
      <c r="BA157">
        <v>54.99</v>
      </c>
      <c r="BB157">
        <v>14.57</v>
      </c>
      <c r="BC157">
        <v>3.7</v>
      </c>
      <c r="BD157" t="s">
        <v>3</v>
      </c>
      <c r="BE157" t="s">
        <v>3</v>
      </c>
      <c r="BF157" t="s">
        <v>3</v>
      </c>
      <c r="BG157" t="s">
        <v>3</v>
      </c>
      <c r="BH157">
        <v>0</v>
      </c>
      <c r="BI157">
        <v>2</v>
      </c>
      <c r="BJ157" t="s">
        <v>97</v>
      </c>
      <c r="BM157">
        <v>67</v>
      </c>
      <c r="BN157">
        <v>55992028</v>
      </c>
      <c r="BO157" t="s">
        <v>95</v>
      </c>
      <c r="BP157">
        <v>1</v>
      </c>
      <c r="BQ157">
        <v>40</v>
      </c>
      <c r="BR157">
        <v>0</v>
      </c>
      <c r="BS157">
        <v>54.99</v>
      </c>
      <c r="BT157">
        <v>1</v>
      </c>
      <c r="BU157">
        <v>1</v>
      </c>
      <c r="BV157">
        <v>1</v>
      </c>
      <c r="BW157">
        <v>1</v>
      </c>
      <c r="BX157">
        <v>1</v>
      </c>
      <c r="BY157" t="s">
        <v>3</v>
      </c>
      <c r="BZ157">
        <v>97</v>
      </c>
      <c r="CA157">
        <v>51</v>
      </c>
      <c r="CB157" t="s">
        <v>3</v>
      </c>
      <c r="CE157">
        <v>30</v>
      </c>
      <c r="CF157">
        <v>0</v>
      </c>
      <c r="CG157">
        <v>0</v>
      </c>
      <c r="CM157">
        <v>0</v>
      </c>
      <c r="CN157" t="s">
        <v>673</v>
      </c>
      <c r="CO157">
        <v>0</v>
      </c>
      <c r="CP157">
        <f t="shared" si="96"/>
        <v>3757.0699999999997</v>
      </c>
      <c r="CQ157">
        <f t="shared" si="114"/>
        <v>215.16</v>
      </c>
      <c r="CR157">
        <f>(ROUND((ROUND((((ET157*1.1))*AV157*1),2)*BB157),2)+ROUND((ROUND(((AE157-((EU157*1.1)))*AV157*1),2)*BS157),2))</f>
        <v>44</v>
      </c>
      <c r="CS157">
        <f t="shared" si="97"/>
        <v>19.25</v>
      </c>
      <c r="CT157">
        <f t="shared" si="98"/>
        <v>3497.91</v>
      </c>
      <c r="CU157">
        <f t="shared" si="99"/>
        <v>0</v>
      </c>
      <c r="CV157">
        <f t="shared" si="100"/>
        <v>5.1711330000000011</v>
      </c>
      <c r="CW157">
        <f t="shared" si="101"/>
        <v>0</v>
      </c>
      <c r="CX157">
        <f t="shared" si="102"/>
        <v>0</v>
      </c>
      <c r="CY157">
        <f t="shared" si="103"/>
        <v>3411.6451999999995</v>
      </c>
      <c r="CZ157">
        <f t="shared" si="104"/>
        <v>1793.7516000000001</v>
      </c>
      <c r="DC157" t="s">
        <v>3</v>
      </c>
      <c r="DD157" t="s">
        <v>3</v>
      </c>
      <c r="DE157" t="s">
        <v>23</v>
      </c>
      <c r="DF157" t="s">
        <v>23</v>
      </c>
      <c r="DG157" t="s">
        <v>23</v>
      </c>
      <c r="DH157" t="s">
        <v>3</v>
      </c>
      <c r="DI157" t="s">
        <v>23</v>
      </c>
      <c r="DJ157" t="s">
        <v>23</v>
      </c>
      <c r="DK157" t="s">
        <v>3</v>
      </c>
      <c r="DL157" t="s">
        <v>3</v>
      </c>
      <c r="DM157" t="s">
        <v>3</v>
      </c>
      <c r="DN157">
        <v>0</v>
      </c>
      <c r="DO157">
        <v>0</v>
      </c>
      <c r="DP157">
        <v>1</v>
      </c>
      <c r="DQ157">
        <v>1</v>
      </c>
      <c r="DU157">
        <v>1003</v>
      </c>
      <c r="DV157" t="s">
        <v>77</v>
      </c>
      <c r="DW157" t="s">
        <v>77</v>
      </c>
      <c r="DX157">
        <v>100</v>
      </c>
      <c r="DZ157" t="s">
        <v>3</v>
      </c>
      <c r="EA157" t="s">
        <v>3</v>
      </c>
      <c r="EB157" t="s">
        <v>3</v>
      </c>
      <c r="EC157" t="s">
        <v>3</v>
      </c>
      <c r="EE157">
        <v>55992151</v>
      </c>
      <c r="EF157">
        <v>40</v>
      </c>
      <c r="EG157" t="s">
        <v>24</v>
      </c>
      <c r="EH157">
        <v>0</v>
      </c>
      <c r="EI157" t="s">
        <v>3</v>
      </c>
      <c r="EJ157">
        <v>2</v>
      </c>
      <c r="EK157">
        <v>67</v>
      </c>
      <c r="EL157" t="s">
        <v>79</v>
      </c>
      <c r="EM157" t="s">
        <v>80</v>
      </c>
      <c r="EO157" t="s">
        <v>27</v>
      </c>
      <c r="EQ157">
        <v>0</v>
      </c>
      <c r="ER157">
        <v>116</v>
      </c>
      <c r="ES157">
        <v>58.15</v>
      </c>
      <c r="ET157">
        <v>2.62</v>
      </c>
      <c r="EU157">
        <v>0.3</v>
      </c>
      <c r="EV157">
        <v>55.23</v>
      </c>
      <c r="EW157">
        <v>4.49</v>
      </c>
      <c r="EX157">
        <v>0</v>
      </c>
      <c r="EY157">
        <v>0</v>
      </c>
      <c r="FQ157">
        <v>0</v>
      </c>
      <c r="FR157">
        <v>0</v>
      </c>
      <c r="FS157">
        <v>0</v>
      </c>
      <c r="FX157">
        <v>97</v>
      </c>
      <c r="FY157">
        <v>51</v>
      </c>
      <c r="GA157" t="s">
        <v>3</v>
      </c>
      <c r="GD157">
        <v>1</v>
      </c>
      <c r="GF157">
        <v>770559996</v>
      </c>
      <c r="GG157">
        <v>2</v>
      </c>
      <c r="GH157">
        <v>1</v>
      </c>
      <c r="GI157">
        <v>2</v>
      </c>
      <c r="GJ157">
        <v>0</v>
      </c>
      <c r="GK157">
        <v>0</v>
      </c>
      <c r="GL157">
        <f t="shared" si="105"/>
        <v>0</v>
      </c>
      <c r="GM157">
        <f t="shared" si="106"/>
        <v>8962.4699999999993</v>
      </c>
      <c r="GN157">
        <f t="shared" si="107"/>
        <v>0</v>
      </c>
      <c r="GO157">
        <f t="shared" si="108"/>
        <v>8962.4699999999993</v>
      </c>
      <c r="GP157">
        <f t="shared" si="109"/>
        <v>0</v>
      </c>
      <c r="GR157">
        <v>0</v>
      </c>
      <c r="GS157">
        <v>3</v>
      </c>
      <c r="GT157">
        <v>0</v>
      </c>
      <c r="GU157" t="s">
        <v>3</v>
      </c>
      <c r="GV157">
        <f t="shared" si="110"/>
        <v>0</v>
      </c>
      <c r="GW157">
        <v>1</v>
      </c>
      <c r="GX157">
        <f t="shared" si="111"/>
        <v>0</v>
      </c>
      <c r="HA157">
        <v>0</v>
      </c>
      <c r="HB157">
        <v>0</v>
      </c>
      <c r="HC157">
        <f t="shared" si="112"/>
        <v>0</v>
      </c>
      <c r="HE157" t="s">
        <v>3</v>
      </c>
      <c r="HF157" t="s">
        <v>3</v>
      </c>
      <c r="HM157" t="s">
        <v>3</v>
      </c>
      <c r="HN157" t="s">
        <v>3</v>
      </c>
      <c r="HO157" t="s">
        <v>3</v>
      </c>
      <c r="HP157" t="s">
        <v>3</v>
      </c>
      <c r="HQ157" t="s">
        <v>3</v>
      </c>
      <c r="HS157">
        <v>0</v>
      </c>
      <c r="IK157">
        <v>0</v>
      </c>
    </row>
    <row r="158" spans="1:255" x14ac:dyDescent="0.2">
      <c r="A158" s="2">
        <v>18</v>
      </c>
      <c r="B158" s="2">
        <v>1</v>
      </c>
      <c r="C158" s="2">
        <v>120</v>
      </c>
      <c r="D158" s="2"/>
      <c r="E158" s="2" t="s">
        <v>194</v>
      </c>
      <c r="F158" s="2" t="s">
        <v>195</v>
      </c>
      <c r="G158" s="2" t="s">
        <v>196</v>
      </c>
      <c r="H158" s="2" t="s">
        <v>108</v>
      </c>
      <c r="I158" s="2">
        <f>I156*J158</f>
        <v>0</v>
      </c>
      <c r="J158" s="2">
        <v>0</v>
      </c>
      <c r="K158" s="2">
        <v>0</v>
      </c>
      <c r="L158" s="2"/>
      <c r="M158" s="2"/>
      <c r="N158" s="2"/>
      <c r="O158" s="2">
        <f t="shared" si="83"/>
        <v>0</v>
      </c>
      <c r="P158" s="2">
        <f t="shared" si="113"/>
        <v>0</v>
      </c>
      <c r="Q158" s="2">
        <f>(ROUND((ROUND(((ET158)*AV158*I158),2)*BB158),2)+ROUND((ROUND(((AE158-(EU158))*AV158*I158),2)*BS158),2))</f>
        <v>0</v>
      </c>
      <c r="R158" s="2">
        <f t="shared" si="84"/>
        <v>0</v>
      </c>
      <c r="S158" s="2">
        <f t="shared" si="85"/>
        <v>0</v>
      </c>
      <c r="T158" s="2">
        <f t="shared" si="86"/>
        <v>0</v>
      </c>
      <c r="U158" s="2">
        <f t="shared" si="87"/>
        <v>0</v>
      </c>
      <c r="V158" s="2">
        <f t="shared" si="88"/>
        <v>0</v>
      </c>
      <c r="W158" s="2">
        <f t="shared" si="89"/>
        <v>0</v>
      </c>
      <c r="X158" s="2">
        <f t="shared" si="90"/>
        <v>0</v>
      </c>
      <c r="Y158" s="2">
        <f t="shared" si="91"/>
        <v>0</v>
      </c>
      <c r="Z158" s="2"/>
      <c r="AA158" s="2">
        <v>56959434</v>
      </c>
      <c r="AB158" s="2">
        <f t="shared" si="92"/>
        <v>4535.74</v>
      </c>
      <c r="AC158" s="2">
        <f t="shared" si="93"/>
        <v>4535.74</v>
      </c>
      <c r="AD158" s="2">
        <f>ROUND((((ET158)-(EU158))+AE158),6)</f>
        <v>0</v>
      </c>
      <c r="AE158" s="2">
        <f t="shared" ref="AE158:AF161" si="115">ROUND((EU158),6)</f>
        <v>0</v>
      </c>
      <c r="AF158" s="2">
        <f t="shared" si="115"/>
        <v>0</v>
      </c>
      <c r="AG158" s="2">
        <f t="shared" si="94"/>
        <v>0</v>
      </c>
      <c r="AH158" s="2">
        <f t="shared" ref="AH158:AI161" si="116">(EW158)</f>
        <v>0</v>
      </c>
      <c r="AI158" s="2">
        <f t="shared" si="116"/>
        <v>0</v>
      </c>
      <c r="AJ158" s="2">
        <f t="shared" si="95"/>
        <v>0</v>
      </c>
      <c r="AK158" s="2">
        <v>4535.74</v>
      </c>
      <c r="AL158" s="2">
        <v>4535.74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97</v>
      </c>
      <c r="AU158" s="2">
        <v>51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2</v>
      </c>
      <c r="BJ158" s="2" t="s">
        <v>197</v>
      </c>
      <c r="BK158" s="2"/>
      <c r="BL158" s="2"/>
      <c r="BM158" s="2">
        <v>67</v>
      </c>
      <c r="BN158" s="2">
        <v>55992028</v>
      </c>
      <c r="BO158" s="2" t="s">
        <v>3</v>
      </c>
      <c r="BP158" s="2">
        <v>0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97</v>
      </c>
      <c r="CA158" s="2">
        <v>51</v>
      </c>
      <c r="CB158" s="2" t="s">
        <v>3</v>
      </c>
      <c r="CC158" s="2"/>
      <c r="CD158" s="2"/>
      <c r="CE158" s="2">
        <v>30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96"/>
        <v>0</v>
      </c>
      <c r="CQ158" s="2">
        <f t="shared" si="114"/>
        <v>4535.74</v>
      </c>
      <c r="CR158" s="2">
        <f>(ROUND((ROUND(((ET158)*AV158*1),2)*BB158),2)+ROUND((ROUND(((AE158-(EU158))*AV158*1),2)*BS158),2))</f>
        <v>0</v>
      </c>
      <c r="CS158" s="2">
        <f t="shared" si="97"/>
        <v>0</v>
      </c>
      <c r="CT158" s="2">
        <f t="shared" si="98"/>
        <v>0</v>
      </c>
      <c r="CU158" s="2">
        <f t="shared" si="99"/>
        <v>0</v>
      </c>
      <c r="CV158" s="2">
        <f t="shared" si="100"/>
        <v>0</v>
      </c>
      <c r="CW158" s="2">
        <f t="shared" si="101"/>
        <v>0</v>
      </c>
      <c r="CX158" s="2">
        <f t="shared" si="102"/>
        <v>0</v>
      </c>
      <c r="CY158" s="2">
        <f t="shared" si="103"/>
        <v>0</v>
      </c>
      <c r="CZ158" s="2">
        <f t="shared" si="104"/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1003</v>
      </c>
      <c r="DV158" s="2" t="s">
        <v>108</v>
      </c>
      <c r="DW158" s="2" t="s">
        <v>108</v>
      </c>
      <c r="DX158" s="2">
        <v>1000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55992151</v>
      </c>
      <c r="EF158" s="2">
        <v>40</v>
      </c>
      <c r="EG158" s="2" t="s">
        <v>24</v>
      </c>
      <c r="EH158" s="2">
        <v>0</v>
      </c>
      <c r="EI158" s="2" t="s">
        <v>3</v>
      </c>
      <c r="EJ158" s="2">
        <v>2</v>
      </c>
      <c r="EK158" s="2">
        <v>67</v>
      </c>
      <c r="EL158" s="2" t="s">
        <v>79</v>
      </c>
      <c r="EM158" s="2" t="s">
        <v>80</v>
      </c>
      <c r="EN158" s="2"/>
      <c r="EO158" s="2" t="s">
        <v>3</v>
      </c>
      <c r="EP158" s="2"/>
      <c r="EQ158" s="2">
        <v>0</v>
      </c>
      <c r="ER158" s="2">
        <v>4535.74</v>
      </c>
      <c r="ES158" s="2">
        <v>4535.74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97</v>
      </c>
      <c r="FY158" s="2">
        <v>51</v>
      </c>
      <c r="FZ158" s="2"/>
      <c r="GA158" s="2" t="s">
        <v>3</v>
      </c>
      <c r="GB158" s="2"/>
      <c r="GC158" s="2"/>
      <c r="GD158" s="2">
        <v>1</v>
      </c>
      <c r="GE158" s="2"/>
      <c r="GF158" s="2">
        <v>-451984637</v>
      </c>
      <c r="GG158" s="2">
        <v>2</v>
      </c>
      <c r="GH158" s="2">
        <v>1</v>
      </c>
      <c r="GI158" s="2">
        <v>-2</v>
      </c>
      <c r="GJ158" s="2">
        <v>0</v>
      </c>
      <c r="GK158" s="2">
        <v>0</v>
      </c>
      <c r="GL158" s="2">
        <f t="shared" si="105"/>
        <v>0</v>
      </c>
      <c r="GM158" s="2">
        <f t="shared" si="106"/>
        <v>0</v>
      </c>
      <c r="GN158" s="2">
        <f t="shared" si="107"/>
        <v>0</v>
      </c>
      <c r="GO158" s="2">
        <f t="shared" si="108"/>
        <v>0</v>
      </c>
      <c r="GP158" s="2">
        <f t="shared" si="109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10"/>
        <v>0</v>
      </c>
      <c r="GW158" s="2">
        <v>1</v>
      </c>
      <c r="GX158" s="2">
        <f t="shared" si="111"/>
        <v>0</v>
      </c>
      <c r="GY158" s="2"/>
      <c r="GZ158" s="2"/>
      <c r="HA158" s="2">
        <v>0</v>
      </c>
      <c r="HB158" s="2">
        <v>0</v>
      </c>
      <c r="HC158" s="2">
        <f t="shared" si="112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>
        <v>18</v>
      </c>
      <c r="B159">
        <v>1</v>
      </c>
      <c r="C159">
        <v>131</v>
      </c>
      <c r="E159" t="s">
        <v>194</v>
      </c>
      <c r="F159" t="s">
        <v>195</v>
      </c>
      <c r="G159" t="s">
        <v>196</v>
      </c>
      <c r="H159" t="s">
        <v>108</v>
      </c>
      <c r="I159">
        <f>I157*J159</f>
        <v>0</v>
      </c>
      <c r="J159">
        <v>0</v>
      </c>
      <c r="K159">
        <v>0</v>
      </c>
      <c r="O159">
        <f t="shared" si="83"/>
        <v>0</v>
      </c>
      <c r="P159">
        <f t="shared" si="113"/>
        <v>0</v>
      </c>
      <c r="Q159">
        <f>(ROUND((ROUND(((ET159)*AV159*I159),2)*BB159),2)+ROUND((ROUND(((AE159-(EU159))*AV159*I159),2)*BS159),2))</f>
        <v>0</v>
      </c>
      <c r="R159">
        <f t="shared" si="84"/>
        <v>0</v>
      </c>
      <c r="S159">
        <f t="shared" si="85"/>
        <v>0</v>
      </c>
      <c r="T159">
        <f t="shared" si="86"/>
        <v>0</v>
      </c>
      <c r="U159">
        <f t="shared" si="87"/>
        <v>0</v>
      </c>
      <c r="V159">
        <f t="shared" si="88"/>
        <v>0</v>
      </c>
      <c r="W159">
        <f t="shared" si="89"/>
        <v>0</v>
      </c>
      <c r="X159">
        <f t="shared" si="90"/>
        <v>0</v>
      </c>
      <c r="Y159">
        <f t="shared" si="91"/>
        <v>0</v>
      </c>
      <c r="AA159">
        <v>56959431</v>
      </c>
      <c r="AB159">
        <f t="shared" si="92"/>
        <v>4535.74</v>
      </c>
      <c r="AC159">
        <f t="shared" si="93"/>
        <v>4535.74</v>
      </c>
      <c r="AD159">
        <f>ROUND((((ET159)-(EU159))+AE159),6)</f>
        <v>0</v>
      </c>
      <c r="AE159">
        <f t="shared" si="115"/>
        <v>0</v>
      </c>
      <c r="AF159">
        <f t="shared" si="115"/>
        <v>0</v>
      </c>
      <c r="AG159">
        <f t="shared" si="94"/>
        <v>0</v>
      </c>
      <c r="AH159">
        <f t="shared" si="116"/>
        <v>0</v>
      </c>
      <c r="AI159">
        <f t="shared" si="116"/>
        <v>0</v>
      </c>
      <c r="AJ159">
        <f t="shared" si="95"/>
        <v>0</v>
      </c>
      <c r="AK159">
        <v>4535.74</v>
      </c>
      <c r="AL159">
        <v>4535.74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97</v>
      </c>
      <c r="AU159">
        <v>51</v>
      </c>
      <c r="AV159">
        <v>1</v>
      </c>
      <c r="AW159">
        <v>1</v>
      </c>
      <c r="AZ159">
        <v>1</v>
      </c>
      <c r="BA159">
        <v>1</v>
      </c>
      <c r="BB159">
        <v>1</v>
      </c>
      <c r="BC159">
        <v>4.2</v>
      </c>
      <c r="BD159" t="s">
        <v>3</v>
      </c>
      <c r="BE159" t="s">
        <v>3</v>
      </c>
      <c r="BF159" t="s">
        <v>3</v>
      </c>
      <c r="BG159" t="s">
        <v>3</v>
      </c>
      <c r="BH159">
        <v>3</v>
      </c>
      <c r="BI159">
        <v>2</v>
      </c>
      <c r="BJ159" t="s">
        <v>197</v>
      </c>
      <c r="BM159">
        <v>67</v>
      </c>
      <c r="BN159">
        <v>55992028</v>
      </c>
      <c r="BO159" t="s">
        <v>195</v>
      </c>
      <c r="BP159">
        <v>1</v>
      </c>
      <c r="BQ159">
        <v>40</v>
      </c>
      <c r="BR159">
        <v>0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 t="s">
        <v>3</v>
      </c>
      <c r="BZ159">
        <v>97</v>
      </c>
      <c r="CA159">
        <v>51</v>
      </c>
      <c r="CB159" t="s">
        <v>3</v>
      </c>
      <c r="CE159">
        <v>30</v>
      </c>
      <c r="CF159">
        <v>0</v>
      </c>
      <c r="CG159">
        <v>0</v>
      </c>
      <c r="CM159">
        <v>0</v>
      </c>
      <c r="CN159" t="s">
        <v>3</v>
      </c>
      <c r="CO159">
        <v>0</v>
      </c>
      <c r="CP159">
        <f t="shared" si="96"/>
        <v>0</v>
      </c>
      <c r="CQ159">
        <f t="shared" si="114"/>
        <v>19050.11</v>
      </c>
      <c r="CR159">
        <f>(ROUND((ROUND(((ET159)*AV159*1),2)*BB159),2)+ROUND((ROUND(((AE159-(EU159))*AV159*1),2)*BS159),2))</f>
        <v>0</v>
      </c>
      <c r="CS159">
        <f t="shared" si="97"/>
        <v>0</v>
      </c>
      <c r="CT159">
        <f t="shared" si="98"/>
        <v>0</v>
      </c>
      <c r="CU159">
        <f t="shared" si="99"/>
        <v>0</v>
      </c>
      <c r="CV159">
        <f t="shared" si="100"/>
        <v>0</v>
      </c>
      <c r="CW159">
        <f t="shared" si="101"/>
        <v>0</v>
      </c>
      <c r="CX159">
        <f t="shared" si="102"/>
        <v>0</v>
      </c>
      <c r="CY159">
        <f t="shared" si="103"/>
        <v>0</v>
      </c>
      <c r="CZ159">
        <f t="shared" si="104"/>
        <v>0</v>
      </c>
      <c r="DC159" t="s">
        <v>3</v>
      </c>
      <c r="DD159" t="s">
        <v>3</v>
      </c>
      <c r="DE159" t="s">
        <v>3</v>
      </c>
      <c r="DF159" t="s">
        <v>3</v>
      </c>
      <c r="DG159" t="s">
        <v>3</v>
      </c>
      <c r="DH159" t="s">
        <v>3</v>
      </c>
      <c r="DI159" t="s">
        <v>3</v>
      </c>
      <c r="DJ159" t="s">
        <v>3</v>
      </c>
      <c r="DK159" t="s">
        <v>3</v>
      </c>
      <c r="DL159" t="s">
        <v>3</v>
      </c>
      <c r="DM159" t="s">
        <v>3</v>
      </c>
      <c r="DN159">
        <v>0</v>
      </c>
      <c r="DO159">
        <v>0</v>
      </c>
      <c r="DP159">
        <v>1</v>
      </c>
      <c r="DQ159">
        <v>1</v>
      </c>
      <c r="DU159">
        <v>1003</v>
      </c>
      <c r="DV159" t="s">
        <v>108</v>
      </c>
      <c r="DW159" t="s">
        <v>108</v>
      </c>
      <c r="DX159">
        <v>1000</v>
      </c>
      <c r="DZ159" t="s">
        <v>3</v>
      </c>
      <c r="EA159" t="s">
        <v>3</v>
      </c>
      <c r="EB159" t="s">
        <v>3</v>
      </c>
      <c r="EC159" t="s">
        <v>3</v>
      </c>
      <c r="EE159">
        <v>55992151</v>
      </c>
      <c r="EF159">
        <v>40</v>
      </c>
      <c r="EG159" t="s">
        <v>24</v>
      </c>
      <c r="EH159">
        <v>0</v>
      </c>
      <c r="EI159" t="s">
        <v>3</v>
      </c>
      <c r="EJ159">
        <v>2</v>
      </c>
      <c r="EK159">
        <v>67</v>
      </c>
      <c r="EL159" t="s">
        <v>79</v>
      </c>
      <c r="EM159" t="s">
        <v>80</v>
      </c>
      <c r="EO159" t="s">
        <v>3</v>
      </c>
      <c r="EQ159">
        <v>0</v>
      </c>
      <c r="ER159">
        <v>4535.74</v>
      </c>
      <c r="ES159">
        <v>4535.74</v>
      </c>
      <c r="ET159">
        <v>0</v>
      </c>
      <c r="EU159">
        <v>0</v>
      </c>
      <c r="EV159">
        <v>0</v>
      </c>
      <c r="EW159">
        <v>0</v>
      </c>
      <c r="EX159">
        <v>0</v>
      </c>
      <c r="FQ159">
        <v>0</v>
      </c>
      <c r="FR159">
        <v>0</v>
      </c>
      <c r="FS159">
        <v>0</v>
      </c>
      <c r="FX159">
        <v>97</v>
      </c>
      <c r="FY159">
        <v>51</v>
      </c>
      <c r="GA159" t="s">
        <v>3</v>
      </c>
      <c r="GD159">
        <v>1</v>
      </c>
      <c r="GF159">
        <v>-451984637</v>
      </c>
      <c r="GG159">
        <v>2</v>
      </c>
      <c r="GH159">
        <v>1</v>
      </c>
      <c r="GI159">
        <v>2</v>
      </c>
      <c r="GJ159">
        <v>0</v>
      </c>
      <c r="GK159">
        <v>0</v>
      </c>
      <c r="GL159">
        <f t="shared" si="105"/>
        <v>0</v>
      </c>
      <c r="GM159">
        <f t="shared" si="106"/>
        <v>0</v>
      </c>
      <c r="GN159">
        <f t="shared" si="107"/>
        <v>0</v>
      </c>
      <c r="GO159">
        <f t="shared" si="108"/>
        <v>0</v>
      </c>
      <c r="GP159">
        <f t="shared" si="109"/>
        <v>0</v>
      </c>
      <c r="GR159">
        <v>0</v>
      </c>
      <c r="GS159">
        <v>3</v>
      </c>
      <c r="GT159">
        <v>0</v>
      </c>
      <c r="GU159" t="s">
        <v>3</v>
      </c>
      <c r="GV159">
        <f t="shared" si="110"/>
        <v>0</v>
      </c>
      <c r="GW159">
        <v>1</v>
      </c>
      <c r="GX159">
        <f t="shared" si="111"/>
        <v>0</v>
      </c>
      <c r="HA159">
        <v>0</v>
      </c>
      <c r="HB159">
        <v>0</v>
      </c>
      <c r="HC159">
        <f t="shared" si="112"/>
        <v>0</v>
      </c>
      <c r="HE159" t="s">
        <v>3</v>
      </c>
      <c r="HF159" t="s">
        <v>3</v>
      </c>
      <c r="HM159" t="s">
        <v>3</v>
      </c>
      <c r="HN159" t="s">
        <v>3</v>
      </c>
      <c r="HO159" t="s">
        <v>3</v>
      </c>
      <c r="HP159" t="s">
        <v>3</v>
      </c>
      <c r="HQ159" t="s">
        <v>3</v>
      </c>
      <c r="HS159">
        <v>0</v>
      </c>
      <c r="IK159">
        <v>0</v>
      </c>
    </row>
    <row r="160" spans="1:255" x14ac:dyDescent="0.2">
      <c r="A160" s="2">
        <v>18</v>
      </c>
      <c r="B160" s="2">
        <v>1</v>
      </c>
      <c r="C160" s="2">
        <v>121</v>
      </c>
      <c r="D160" s="2"/>
      <c r="E160" s="2" t="s">
        <v>198</v>
      </c>
      <c r="F160" s="2" t="s">
        <v>199</v>
      </c>
      <c r="G160" s="2" t="s">
        <v>200</v>
      </c>
      <c r="H160" s="2" t="s">
        <v>101</v>
      </c>
      <c r="I160" s="2">
        <f>I156*J160</f>
        <v>102</v>
      </c>
      <c r="J160" s="2">
        <v>102</v>
      </c>
      <c r="K160" s="2">
        <v>102</v>
      </c>
      <c r="L160" s="2"/>
      <c r="M160" s="2"/>
      <c r="N160" s="2"/>
      <c r="O160" s="2">
        <f t="shared" si="83"/>
        <v>518.16</v>
      </c>
      <c r="P160" s="2">
        <f t="shared" si="113"/>
        <v>518.16</v>
      </c>
      <c r="Q160" s="2">
        <f>(ROUND((ROUND(((ET160)*AV160*I160),2)*BB160),2)+ROUND((ROUND(((AE160-(EU160))*AV160*I160),2)*BS160),2))</f>
        <v>0</v>
      </c>
      <c r="R160" s="2">
        <f t="shared" si="84"/>
        <v>0</v>
      </c>
      <c r="S160" s="2">
        <f t="shared" si="85"/>
        <v>0</v>
      </c>
      <c r="T160" s="2">
        <f t="shared" si="86"/>
        <v>0</v>
      </c>
      <c r="U160" s="2">
        <f t="shared" si="87"/>
        <v>0</v>
      </c>
      <c r="V160" s="2">
        <f t="shared" si="88"/>
        <v>0</v>
      </c>
      <c r="W160" s="2">
        <f t="shared" si="89"/>
        <v>0</v>
      </c>
      <c r="X160" s="2">
        <f t="shared" si="90"/>
        <v>0</v>
      </c>
      <c r="Y160" s="2">
        <f t="shared" si="91"/>
        <v>0</v>
      </c>
      <c r="Z160" s="2"/>
      <c r="AA160" s="2">
        <v>56959434</v>
      </c>
      <c r="AB160" s="2">
        <f t="shared" si="92"/>
        <v>5.08</v>
      </c>
      <c r="AC160" s="2">
        <f t="shared" si="93"/>
        <v>5.08</v>
      </c>
      <c r="AD160" s="2">
        <f>ROUND((((ET160)-(EU160))+AE160),6)</f>
        <v>0</v>
      </c>
      <c r="AE160" s="2">
        <f t="shared" si="115"/>
        <v>0</v>
      </c>
      <c r="AF160" s="2">
        <f t="shared" si="115"/>
        <v>0</v>
      </c>
      <c r="AG160" s="2">
        <f t="shared" si="94"/>
        <v>0</v>
      </c>
      <c r="AH160" s="2">
        <f t="shared" si="116"/>
        <v>0</v>
      </c>
      <c r="AI160" s="2">
        <f t="shared" si="116"/>
        <v>0</v>
      </c>
      <c r="AJ160" s="2">
        <f t="shared" si="95"/>
        <v>0</v>
      </c>
      <c r="AK160" s="2">
        <v>5.08</v>
      </c>
      <c r="AL160" s="2">
        <v>5.08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97</v>
      </c>
      <c r="AU160" s="2">
        <v>51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2</v>
      </c>
      <c r="BJ160" s="2" t="s">
        <v>3</v>
      </c>
      <c r="BK160" s="2"/>
      <c r="BL160" s="2"/>
      <c r="BM160" s="2">
        <v>67</v>
      </c>
      <c r="BN160" s="2">
        <v>0</v>
      </c>
      <c r="BO160" s="2" t="s">
        <v>3</v>
      </c>
      <c r="BP160" s="2">
        <v>0</v>
      </c>
      <c r="BQ160" s="2">
        <v>40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97</v>
      </c>
      <c r="CA160" s="2">
        <v>51</v>
      </c>
      <c r="CB160" s="2" t="s">
        <v>3</v>
      </c>
      <c r="CC160" s="2"/>
      <c r="CD160" s="2"/>
      <c r="CE160" s="2">
        <v>30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96"/>
        <v>518.16</v>
      </c>
      <c r="CQ160" s="2">
        <f t="shared" si="114"/>
        <v>5.08</v>
      </c>
      <c r="CR160" s="2">
        <f>(ROUND((ROUND(((ET160)*AV160*1),2)*BB160),2)+ROUND((ROUND(((AE160-(EU160))*AV160*1),2)*BS160),2))</f>
        <v>0</v>
      </c>
      <c r="CS160" s="2">
        <f t="shared" si="97"/>
        <v>0</v>
      </c>
      <c r="CT160" s="2">
        <f t="shared" si="98"/>
        <v>0</v>
      </c>
      <c r="CU160" s="2">
        <f t="shared" si="99"/>
        <v>0</v>
      </c>
      <c r="CV160" s="2">
        <f t="shared" si="100"/>
        <v>0</v>
      </c>
      <c r="CW160" s="2">
        <f t="shared" si="101"/>
        <v>0</v>
      </c>
      <c r="CX160" s="2">
        <f t="shared" si="102"/>
        <v>0</v>
      </c>
      <c r="CY160" s="2">
        <f t="shared" si="103"/>
        <v>0</v>
      </c>
      <c r="CZ160" s="2">
        <f t="shared" si="104"/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1013</v>
      </c>
      <c r="DV160" s="2" t="s">
        <v>101</v>
      </c>
      <c r="DW160" s="2" t="s">
        <v>101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55992151</v>
      </c>
      <c r="EF160" s="2">
        <v>40</v>
      </c>
      <c r="EG160" s="2" t="s">
        <v>24</v>
      </c>
      <c r="EH160" s="2">
        <v>0</v>
      </c>
      <c r="EI160" s="2" t="s">
        <v>3</v>
      </c>
      <c r="EJ160" s="2">
        <v>2</v>
      </c>
      <c r="EK160" s="2">
        <v>67</v>
      </c>
      <c r="EL160" s="2" t="s">
        <v>79</v>
      </c>
      <c r="EM160" s="2" t="s">
        <v>80</v>
      </c>
      <c r="EN160" s="2"/>
      <c r="EO160" s="2" t="s">
        <v>3</v>
      </c>
      <c r="EP160" s="2"/>
      <c r="EQ160" s="2">
        <v>0</v>
      </c>
      <c r="ER160" s="2">
        <v>0</v>
      </c>
      <c r="ES160" s="2">
        <v>5.08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v>0</v>
      </c>
      <c r="FS160" s="2">
        <v>0</v>
      </c>
      <c r="FT160" s="2"/>
      <c r="FU160" s="2"/>
      <c r="FV160" s="2"/>
      <c r="FW160" s="2"/>
      <c r="FX160" s="2">
        <v>97</v>
      </c>
      <c r="FY160" s="2">
        <v>51</v>
      </c>
      <c r="FZ160" s="2"/>
      <c r="GA160" s="2" t="s">
        <v>102</v>
      </c>
      <c r="GB160" s="2"/>
      <c r="GC160" s="2"/>
      <c r="GD160" s="2">
        <v>1</v>
      </c>
      <c r="GE160" s="2"/>
      <c r="GF160" s="2">
        <v>-1333965113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05"/>
        <v>0</v>
      </c>
      <c r="GM160" s="2">
        <f t="shared" si="106"/>
        <v>518.16</v>
      </c>
      <c r="GN160" s="2">
        <f t="shared" si="107"/>
        <v>0</v>
      </c>
      <c r="GO160" s="2">
        <f t="shared" si="108"/>
        <v>518.16</v>
      </c>
      <c r="GP160" s="2">
        <f t="shared" si="109"/>
        <v>0</v>
      </c>
      <c r="GQ160" s="2"/>
      <c r="GR160" s="2">
        <v>0</v>
      </c>
      <c r="GS160" s="2">
        <v>2</v>
      </c>
      <c r="GT160" s="2">
        <v>0</v>
      </c>
      <c r="GU160" s="2" t="s">
        <v>3</v>
      </c>
      <c r="GV160" s="2">
        <f t="shared" si="110"/>
        <v>0</v>
      </c>
      <c r="GW160" s="2">
        <v>1</v>
      </c>
      <c r="GX160" s="2">
        <f t="shared" si="111"/>
        <v>0</v>
      </c>
      <c r="GY160" s="2"/>
      <c r="GZ160" s="2"/>
      <c r="HA160" s="2">
        <v>0</v>
      </c>
      <c r="HB160" s="2">
        <v>0</v>
      </c>
      <c r="HC160" s="2">
        <f t="shared" si="112"/>
        <v>0</v>
      </c>
      <c r="HD160" s="2"/>
      <c r="HE160" s="2" t="s">
        <v>103</v>
      </c>
      <c r="HF160" s="2" t="s">
        <v>28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45" x14ac:dyDescent="0.2">
      <c r="A161">
        <v>18</v>
      </c>
      <c r="B161">
        <v>1</v>
      </c>
      <c r="C161">
        <v>132</v>
      </c>
      <c r="E161" t="s">
        <v>198</v>
      </c>
      <c r="F161" t="s">
        <v>199</v>
      </c>
      <c r="G161" t="s">
        <v>200</v>
      </c>
      <c r="H161" t="s">
        <v>101</v>
      </c>
      <c r="I161">
        <f>I157*J161</f>
        <v>102</v>
      </c>
      <c r="J161">
        <v>102</v>
      </c>
      <c r="K161">
        <v>102</v>
      </c>
      <c r="O161">
        <f t="shared" si="83"/>
        <v>5119.42</v>
      </c>
      <c r="P161">
        <f t="shared" si="113"/>
        <v>5119.42</v>
      </c>
      <c r="Q161">
        <f>(ROUND((ROUND(((ET161)*AV161*I161),2)*BB161),2)+ROUND((ROUND(((AE161-(EU161))*AV161*I161),2)*BS161),2))</f>
        <v>0</v>
      </c>
      <c r="R161">
        <f t="shared" si="84"/>
        <v>0</v>
      </c>
      <c r="S161">
        <f t="shared" si="85"/>
        <v>0</v>
      </c>
      <c r="T161">
        <f t="shared" si="86"/>
        <v>0</v>
      </c>
      <c r="U161">
        <f t="shared" si="87"/>
        <v>0</v>
      </c>
      <c r="V161">
        <f t="shared" si="88"/>
        <v>0</v>
      </c>
      <c r="W161">
        <f t="shared" si="89"/>
        <v>0</v>
      </c>
      <c r="X161">
        <f t="shared" si="90"/>
        <v>0</v>
      </c>
      <c r="Y161">
        <f t="shared" si="91"/>
        <v>0</v>
      </c>
      <c r="AA161">
        <v>56959431</v>
      </c>
      <c r="AB161">
        <f t="shared" si="92"/>
        <v>5.08</v>
      </c>
      <c r="AC161">
        <f t="shared" si="93"/>
        <v>5.08</v>
      </c>
      <c r="AD161">
        <f>ROUND((((ET161)-(EU161))+AE161),6)</f>
        <v>0</v>
      </c>
      <c r="AE161">
        <f t="shared" si="115"/>
        <v>0</v>
      </c>
      <c r="AF161">
        <f t="shared" si="115"/>
        <v>0</v>
      </c>
      <c r="AG161">
        <f t="shared" si="94"/>
        <v>0</v>
      </c>
      <c r="AH161">
        <f t="shared" si="116"/>
        <v>0</v>
      </c>
      <c r="AI161">
        <f t="shared" si="116"/>
        <v>0</v>
      </c>
      <c r="AJ161">
        <f t="shared" si="95"/>
        <v>0</v>
      </c>
      <c r="AK161">
        <v>5.08</v>
      </c>
      <c r="AL161">
        <v>5.08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97</v>
      </c>
      <c r="AU161">
        <v>51</v>
      </c>
      <c r="AV161">
        <v>1</v>
      </c>
      <c r="AW161">
        <v>1</v>
      </c>
      <c r="AZ161">
        <v>1</v>
      </c>
      <c r="BA161">
        <v>1</v>
      </c>
      <c r="BB161">
        <v>1</v>
      </c>
      <c r="BC161">
        <v>9.8800000000000008</v>
      </c>
      <c r="BD161" t="s">
        <v>3</v>
      </c>
      <c r="BE161" t="s">
        <v>3</v>
      </c>
      <c r="BF161" t="s">
        <v>3</v>
      </c>
      <c r="BG161" t="s">
        <v>3</v>
      </c>
      <c r="BH161">
        <v>3</v>
      </c>
      <c r="BI161">
        <v>2</v>
      </c>
      <c r="BJ161" t="s">
        <v>3</v>
      </c>
      <c r="BM161">
        <v>67</v>
      </c>
      <c r="BN161">
        <v>0</v>
      </c>
      <c r="BO161" t="s">
        <v>3</v>
      </c>
      <c r="BP161">
        <v>0</v>
      </c>
      <c r="BQ161">
        <v>40</v>
      </c>
      <c r="BR161">
        <v>0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 t="s">
        <v>3</v>
      </c>
      <c r="BZ161">
        <v>97</v>
      </c>
      <c r="CA161">
        <v>51</v>
      </c>
      <c r="CB161" t="s">
        <v>3</v>
      </c>
      <c r="CE161">
        <v>30</v>
      </c>
      <c r="CF161">
        <v>0</v>
      </c>
      <c r="CG161">
        <v>0</v>
      </c>
      <c r="CM161">
        <v>0</v>
      </c>
      <c r="CN161" t="s">
        <v>3</v>
      </c>
      <c r="CO161">
        <v>0</v>
      </c>
      <c r="CP161">
        <f t="shared" si="96"/>
        <v>5119.42</v>
      </c>
      <c r="CQ161">
        <f t="shared" si="114"/>
        <v>50.19</v>
      </c>
      <c r="CR161">
        <f>(ROUND((ROUND(((ET161)*AV161*1),2)*BB161),2)+ROUND((ROUND(((AE161-(EU161))*AV161*1),2)*BS161),2))</f>
        <v>0</v>
      </c>
      <c r="CS161">
        <f t="shared" si="97"/>
        <v>0</v>
      </c>
      <c r="CT161">
        <f t="shared" si="98"/>
        <v>0</v>
      </c>
      <c r="CU161">
        <f t="shared" si="99"/>
        <v>0</v>
      </c>
      <c r="CV161">
        <f t="shared" si="100"/>
        <v>0</v>
      </c>
      <c r="CW161">
        <f t="shared" si="101"/>
        <v>0</v>
      </c>
      <c r="CX161">
        <f t="shared" si="102"/>
        <v>0</v>
      </c>
      <c r="CY161">
        <f t="shared" si="103"/>
        <v>0</v>
      </c>
      <c r="CZ161">
        <f t="shared" si="104"/>
        <v>0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  <c r="DN161">
        <v>0</v>
      </c>
      <c r="DO161">
        <v>0</v>
      </c>
      <c r="DP161">
        <v>1</v>
      </c>
      <c r="DQ161">
        <v>1</v>
      </c>
      <c r="DU161">
        <v>1013</v>
      </c>
      <c r="DV161" t="s">
        <v>101</v>
      </c>
      <c r="DW161" t="s">
        <v>101</v>
      </c>
      <c r="DX161">
        <v>1</v>
      </c>
      <c r="DZ161" t="s">
        <v>3</v>
      </c>
      <c r="EA161" t="s">
        <v>3</v>
      </c>
      <c r="EB161" t="s">
        <v>3</v>
      </c>
      <c r="EC161" t="s">
        <v>3</v>
      </c>
      <c r="EE161">
        <v>55992151</v>
      </c>
      <c r="EF161">
        <v>40</v>
      </c>
      <c r="EG161" t="s">
        <v>24</v>
      </c>
      <c r="EH161">
        <v>0</v>
      </c>
      <c r="EI161" t="s">
        <v>3</v>
      </c>
      <c r="EJ161">
        <v>2</v>
      </c>
      <c r="EK161">
        <v>67</v>
      </c>
      <c r="EL161" t="s">
        <v>79</v>
      </c>
      <c r="EM161" t="s">
        <v>80</v>
      </c>
      <c r="EO161" t="s">
        <v>3</v>
      </c>
      <c r="EQ161">
        <v>0</v>
      </c>
      <c r="ER161">
        <v>5.08</v>
      </c>
      <c r="ES161">
        <v>5.08</v>
      </c>
      <c r="ET161">
        <v>0</v>
      </c>
      <c r="EU161">
        <v>0</v>
      </c>
      <c r="EV161">
        <v>0</v>
      </c>
      <c r="EW161">
        <v>0</v>
      </c>
      <c r="EX161">
        <v>0</v>
      </c>
      <c r="EZ161">
        <v>5</v>
      </c>
      <c r="FC161">
        <v>1</v>
      </c>
      <c r="FD161">
        <v>18</v>
      </c>
      <c r="FF161">
        <v>59</v>
      </c>
      <c r="FQ161">
        <v>0</v>
      </c>
      <c r="FR161">
        <v>0</v>
      </c>
      <c r="FS161">
        <v>0</v>
      </c>
      <c r="FX161">
        <v>97</v>
      </c>
      <c r="FY161">
        <v>51</v>
      </c>
      <c r="GA161" t="s">
        <v>102</v>
      </c>
      <c r="GD161">
        <v>1</v>
      </c>
      <c r="GF161">
        <v>-1333965113</v>
      </c>
      <c r="GG161">
        <v>2</v>
      </c>
      <c r="GH161">
        <v>3</v>
      </c>
      <c r="GI161">
        <v>5</v>
      </c>
      <c r="GJ161">
        <v>0</v>
      </c>
      <c r="GK161">
        <v>0</v>
      </c>
      <c r="GL161">
        <f t="shared" si="105"/>
        <v>0</v>
      </c>
      <c r="GM161">
        <f t="shared" si="106"/>
        <v>5119.42</v>
      </c>
      <c r="GN161">
        <f t="shared" si="107"/>
        <v>0</v>
      </c>
      <c r="GO161">
        <f t="shared" si="108"/>
        <v>5119.42</v>
      </c>
      <c r="GP161">
        <f t="shared" si="109"/>
        <v>0</v>
      </c>
      <c r="GR161">
        <v>1</v>
      </c>
      <c r="GS161">
        <v>1</v>
      </c>
      <c r="GT161">
        <v>0</v>
      </c>
      <c r="GU161" t="s">
        <v>3</v>
      </c>
      <c r="GV161">
        <f t="shared" si="110"/>
        <v>0</v>
      </c>
      <c r="GW161">
        <v>1</v>
      </c>
      <c r="GX161">
        <f t="shared" si="111"/>
        <v>0</v>
      </c>
      <c r="HA161">
        <v>0</v>
      </c>
      <c r="HB161">
        <v>0</v>
      </c>
      <c r="HC161">
        <f t="shared" si="112"/>
        <v>0</v>
      </c>
      <c r="HE161" t="s">
        <v>103</v>
      </c>
      <c r="HF161" t="s">
        <v>28</v>
      </c>
      <c r="HM161" t="s">
        <v>3</v>
      </c>
      <c r="HN161" t="s">
        <v>3</v>
      </c>
      <c r="HO161" t="s">
        <v>3</v>
      </c>
      <c r="HP161" t="s">
        <v>3</v>
      </c>
      <c r="HQ161" t="s">
        <v>3</v>
      </c>
      <c r="HS161">
        <v>0</v>
      </c>
      <c r="IK161">
        <v>0</v>
      </c>
    </row>
    <row r="163" spans="1:245" x14ac:dyDescent="0.2">
      <c r="A163" s="3">
        <v>51</v>
      </c>
      <c r="B163" s="3">
        <f>B144</f>
        <v>1</v>
      </c>
      <c r="C163" s="3">
        <f>A144</f>
        <v>4</v>
      </c>
      <c r="D163" s="3">
        <f>ROW(A144)</f>
        <v>144</v>
      </c>
      <c r="E163" s="3"/>
      <c r="F163" s="3" t="str">
        <f>IF(F144&lt;&gt;"",F144,"")</f>
        <v>Новый раздел</v>
      </c>
      <c r="G163" s="3" t="str">
        <f>IF(G144&lt;&gt;"",G144,"")</f>
        <v>Диспетчеризация систем водоснабжения и канализации</v>
      </c>
      <c r="H163" s="3">
        <v>0</v>
      </c>
      <c r="I163" s="3"/>
      <c r="J163" s="3"/>
      <c r="K163" s="3"/>
      <c r="L163" s="3"/>
      <c r="M163" s="3"/>
      <c r="N163" s="3"/>
      <c r="O163" s="3">
        <f t="shared" ref="O163:T163" si="117">ROUND(AB163,2)</f>
        <v>3736.71</v>
      </c>
      <c r="P163" s="3">
        <f t="shared" si="117"/>
        <v>3397.08</v>
      </c>
      <c r="Q163" s="3">
        <f t="shared" si="117"/>
        <v>40.880000000000003</v>
      </c>
      <c r="R163" s="3">
        <f t="shared" si="117"/>
        <v>6.93</v>
      </c>
      <c r="S163" s="3">
        <f t="shared" si="117"/>
        <v>298.75</v>
      </c>
      <c r="T163" s="3">
        <f t="shared" si="117"/>
        <v>0</v>
      </c>
      <c r="U163" s="3">
        <f>AH163</f>
        <v>23.598333</v>
      </c>
      <c r="V163" s="3">
        <f>AI163</f>
        <v>0</v>
      </c>
      <c r="W163" s="3">
        <f>ROUND(AJ163,2)</f>
        <v>0</v>
      </c>
      <c r="X163" s="3">
        <f>ROUND(AK163,2)</f>
        <v>296.23</v>
      </c>
      <c r="Y163" s="3">
        <f>ROUND(AL163,2)</f>
        <v>156.18</v>
      </c>
      <c r="Z163" s="3"/>
      <c r="AA163" s="3"/>
      <c r="AB163" s="3">
        <f>ROUND(SUMIF(AA148:AA161,"=56959434",O148:O161),2)</f>
        <v>3736.71</v>
      </c>
      <c r="AC163" s="3">
        <f>ROUND(SUMIF(AA148:AA161,"=56959434",P148:P161),2)</f>
        <v>3397.08</v>
      </c>
      <c r="AD163" s="3">
        <f>ROUND(SUMIF(AA148:AA161,"=56959434",Q148:Q161),2)</f>
        <v>40.880000000000003</v>
      </c>
      <c r="AE163" s="3">
        <f>ROUND(SUMIF(AA148:AA161,"=56959434",R148:R161),2)</f>
        <v>6.93</v>
      </c>
      <c r="AF163" s="3">
        <f>ROUND(SUMIF(AA148:AA161,"=56959434",S148:S161),2)</f>
        <v>298.75</v>
      </c>
      <c r="AG163" s="3">
        <f>ROUND(SUMIF(AA148:AA161,"=56959434",T148:T161),2)</f>
        <v>0</v>
      </c>
      <c r="AH163" s="3">
        <f>SUMIF(AA148:AA161,"=56959434",U148:U161)</f>
        <v>23.598333</v>
      </c>
      <c r="AI163" s="3">
        <f>SUMIF(AA148:AA161,"=56959434",V148:V161)</f>
        <v>0</v>
      </c>
      <c r="AJ163" s="3">
        <f>ROUND(SUMIF(AA148:AA161,"=56959434",W148:W161),2)</f>
        <v>0</v>
      </c>
      <c r="AK163" s="3">
        <f>ROUND(SUMIF(AA148:AA161,"=56959434",X148:X161),2)</f>
        <v>296.23</v>
      </c>
      <c r="AL163" s="3">
        <f>ROUND(SUMIF(AA148:AA161,"=56959434",Y148:Y161),2)</f>
        <v>156.18</v>
      </c>
      <c r="AM163" s="3"/>
      <c r="AN163" s="3"/>
      <c r="AO163" s="3">
        <f t="shared" ref="AO163:BD163" si="118">ROUND(BX163,2)</f>
        <v>0</v>
      </c>
      <c r="AP163" s="3">
        <f t="shared" si="118"/>
        <v>2154.58</v>
      </c>
      <c r="AQ163" s="3">
        <f t="shared" si="118"/>
        <v>0</v>
      </c>
      <c r="AR163" s="3">
        <f t="shared" si="118"/>
        <v>4189.12</v>
      </c>
      <c r="AS163" s="3">
        <f t="shared" si="118"/>
        <v>0</v>
      </c>
      <c r="AT163" s="3">
        <f t="shared" si="118"/>
        <v>2034.54</v>
      </c>
      <c r="AU163" s="3">
        <f t="shared" si="118"/>
        <v>0</v>
      </c>
      <c r="AV163" s="3">
        <f t="shared" si="118"/>
        <v>3397.08</v>
      </c>
      <c r="AW163" s="3">
        <f t="shared" si="118"/>
        <v>1242.5</v>
      </c>
      <c r="AX163" s="3">
        <f t="shared" si="118"/>
        <v>0</v>
      </c>
      <c r="AY163" s="3">
        <f t="shared" si="118"/>
        <v>1242.5</v>
      </c>
      <c r="AZ163" s="3">
        <f t="shared" si="118"/>
        <v>2154.58</v>
      </c>
      <c r="BA163" s="3">
        <f t="shared" si="118"/>
        <v>0</v>
      </c>
      <c r="BB163" s="3">
        <f t="shared" si="118"/>
        <v>0</v>
      </c>
      <c r="BC163" s="3">
        <f t="shared" si="118"/>
        <v>0</v>
      </c>
      <c r="BD163" s="3">
        <f t="shared" si="118"/>
        <v>0</v>
      </c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>
        <f>ROUND(SUMIF(AA148:AA161,"=56959434",FQ148:FQ161),2)</f>
        <v>0</v>
      </c>
      <c r="BY163" s="3">
        <f>ROUND(SUMIF(AA148:AA161,"=56959434",FR148:FR161),2)</f>
        <v>2154.58</v>
      </c>
      <c r="BZ163" s="3">
        <f>ROUND(SUMIF(AA148:AA161,"=56959434",GL148:GL161),2)</f>
        <v>0</v>
      </c>
      <c r="CA163" s="3">
        <f>ROUND(SUMIF(AA148:AA161,"=56959434",GM148:GM161),2)</f>
        <v>4189.12</v>
      </c>
      <c r="CB163" s="3">
        <f>ROUND(SUMIF(AA148:AA161,"=56959434",GN148:GN161),2)</f>
        <v>0</v>
      </c>
      <c r="CC163" s="3">
        <f>ROUND(SUMIF(AA148:AA161,"=56959434",GO148:GO161),2)</f>
        <v>2034.54</v>
      </c>
      <c r="CD163" s="3">
        <f>ROUND(SUMIF(AA148:AA161,"=56959434",GP148:GP161),2)</f>
        <v>0</v>
      </c>
      <c r="CE163" s="3">
        <f>AC163-BX163</f>
        <v>3397.08</v>
      </c>
      <c r="CF163" s="3">
        <f>AC163-BY163</f>
        <v>1242.5</v>
      </c>
      <c r="CG163" s="3">
        <f>BX163-BZ163</f>
        <v>0</v>
      </c>
      <c r="CH163" s="3">
        <f>AC163-BX163-BY163+BZ163</f>
        <v>1242.5</v>
      </c>
      <c r="CI163" s="3">
        <f>BY163-BZ163</f>
        <v>2154.58</v>
      </c>
      <c r="CJ163" s="3">
        <f>ROUND(SUMIF(AA148:AA161,"=56959434",GX148:GX161),2)</f>
        <v>0</v>
      </c>
      <c r="CK163" s="3">
        <f>ROUND(SUMIF(AA148:AA161,"=56959434",GY148:GY161),2)</f>
        <v>0</v>
      </c>
      <c r="CL163" s="3">
        <f>ROUND(SUMIF(AA148:AA161,"=56959434",GZ148:GZ161),2)</f>
        <v>0</v>
      </c>
      <c r="CM163" s="3">
        <f>ROUND(SUMIF(AA148:AA161,"=56959434",HD148:HD161),2)</f>
        <v>0</v>
      </c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4">
        <f t="shared" ref="DG163:DL163" si="119">ROUND(DT163,2)</f>
        <v>43478.02</v>
      </c>
      <c r="DH163" s="4">
        <f t="shared" si="119"/>
        <v>26329.96</v>
      </c>
      <c r="DI163" s="4">
        <f t="shared" si="119"/>
        <v>719.8</v>
      </c>
      <c r="DJ163" s="4">
        <f t="shared" si="119"/>
        <v>381.08</v>
      </c>
      <c r="DK163" s="4">
        <f t="shared" si="119"/>
        <v>16428.259999999998</v>
      </c>
      <c r="DL163" s="4">
        <f t="shared" si="119"/>
        <v>0</v>
      </c>
      <c r="DM163" s="4">
        <f>DZ163</f>
        <v>23.598333</v>
      </c>
      <c r="DN163" s="4">
        <f>EA163</f>
        <v>0</v>
      </c>
      <c r="DO163" s="4">
        <f>ROUND(EB163,2)</f>
        <v>0</v>
      </c>
      <c r="DP163" s="4">
        <f>ROUND(EC163,2)</f>
        <v>16289.98</v>
      </c>
      <c r="DQ163" s="4">
        <f>ROUND(ED163,2)</f>
        <v>8587.84</v>
      </c>
      <c r="DR163" s="4"/>
      <c r="DS163" s="4"/>
      <c r="DT163" s="4">
        <f>ROUND(SUMIF(AA148:AA161,"=56959431",O148:O161),2)</f>
        <v>43478.02</v>
      </c>
      <c r="DU163" s="4">
        <f>ROUND(SUMIF(AA148:AA161,"=56959431",P148:P161),2)</f>
        <v>26329.96</v>
      </c>
      <c r="DV163" s="4">
        <f>ROUND(SUMIF(AA148:AA161,"=56959431",Q148:Q161),2)</f>
        <v>719.8</v>
      </c>
      <c r="DW163" s="4">
        <f>ROUND(SUMIF(AA148:AA161,"=56959431",R148:R161),2)</f>
        <v>381.08</v>
      </c>
      <c r="DX163" s="4">
        <f>ROUND(SUMIF(AA148:AA161,"=56959431",S148:S161),2)</f>
        <v>16428.259999999998</v>
      </c>
      <c r="DY163" s="4">
        <f>ROUND(SUMIF(AA148:AA161,"=56959431",T148:T161),2)</f>
        <v>0</v>
      </c>
      <c r="DZ163" s="4">
        <f>SUMIF(AA148:AA161,"=56959431",U148:U161)</f>
        <v>23.598333</v>
      </c>
      <c r="EA163" s="4">
        <f>SUMIF(AA148:AA161,"=56959431",V148:V161)</f>
        <v>0</v>
      </c>
      <c r="EB163" s="4">
        <f>ROUND(SUMIF(AA148:AA161,"=56959431",W148:W161),2)</f>
        <v>0</v>
      </c>
      <c r="EC163" s="4">
        <f>ROUND(SUMIF(AA148:AA161,"=56959431",X148:X161),2)</f>
        <v>16289.98</v>
      </c>
      <c r="ED163" s="4">
        <f>ROUND(SUMIF(AA148:AA161,"=56959431",Y148:Y161),2)</f>
        <v>8587.84</v>
      </c>
      <c r="EE163" s="4"/>
      <c r="EF163" s="4"/>
      <c r="EG163" s="4">
        <f t="shared" ref="EG163:EV163" si="120">ROUND(FP163,2)</f>
        <v>0</v>
      </c>
      <c r="EH163" s="4">
        <f t="shared" si="120"/>
        <v>16504.080000000002</v>
      </c>
      <c r="EI163" s="4">
        <f t="shared" si="120"/>
        <v>0</v>
      </c>
      <c r="EJ163" s="4">
        <f t="shared" si="120"/>
        <v>68355.839999999997</v>
      </c>
      <c r="EK163" s="4">
        <f t="shared" si="120"/>
        <v>0</v>
      </c>
      <c r="EL163" s="4">
        <f t="shared" si="120"/>
        <v>51851.76</v>
      </c>
      <c r="EM163" s="4">
        <f t="shared" si="120"/>
        <v>0</v>
      </c>
      <c r="EN163" s="4">
        <f t="shared" si="120"/>
        <v>26329.96</v>
      </c>
      <c r="EO163" s="4">
        <f t="shared" si="120"/>
        <v>9825.8799999999992</v>
      </c>
      <c r="EP163" s="4">
        <f t="shared" si="120"/>
        <v>0</v>
      </c>
      <c r="EQ163" s="4">
        <f t="shared" si="120"/>
        <v>9825.8799999999992</v>
      </c>
      <c r="ER163" s="4">
        <f t="shared" si="120"/>
        <v>16504.080000000002</v>
      </c>
      <c r="ES163" s="4">
        <f t="shared" si="120"/>
        <v>0</v>
      </c>
      <c r="ET163" s="4">
        <f t="shared" si="120"/>
        <v>0</v>
      </c>
      <c r="EU163" s="4">
        <f t="shared" si="120"/>
        <v>0</v>
      </c>
      <c r="EV163" s="4">
        <f t="shared" si="120"/>
        <v>0</v>
      </c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>
        <f>ROUND(SUMIF(AA148:AA161,"=56959431",FQ148:FQ161),2)</f>
        <v>0</v>
      </c>
      <c r="FQ163" s="4">
        <f>ROUND(SUMIF(AA148:AA161,"=56959431",FR148:FR161),2)</f>
        <v>16504.080000000002</v>
      </c>
      <c r="FR163" s="4">
        <f>ROUND(SUMIF(AA148:AA161,"=56959431",GL148:GL161),2)</f>
        <v>0</v>
      </c>
      <c r="FS163" s="4">
        <f>ROUND(SUMIF(AA148:AA161,"=56959431",GM148:GM161),2)</f>
        <v>68355.839999999997</v>
      </c>
      <c r="FT163" s="4">
        <f>ROUND(SUMIF(AA148:AA161,"=56959431",GN148:GN161),2)</f>
        <v>0</v>
      </c>
      <c r="FU163" s="4">
        <f>ROUND(SUMIF(AA148:AA161,"=56959431",GO148:GO161),2)</f>
        <v>51851.76</v>
      </c>
      <c r="FV163" s="4">
        <f>ROUND(SUMIF(AA148:AA161,"=56959431",GP148:GP161),2)</f>
        <v>0</v>
      </c>
      <c r="FW163" s="4">
        <f>DU163-FP163</f>
        <v>26329.96</v>
      </c>
      <c r="FX163" s="4">
        <f>DU163-FQ163</f>
        <v>9825.8799999999974</v>
      </c>
      <c r="FY163" s="4">
        <f>FP163-FR163</f>
        <v>0</v>
      </c>
      <c r="FZ163" s="4">
        <f>DU163-FP163-FQ163+FR163</f>
        <v>9825.8799999999974</v>
      </c>
      <c r="GA163" s="4">
        <f>FQ163-FR163</f>
        <v>16504.080000000002</v>
      </c>
      <c r="GB163" s="4">
        <f>ROUND(SUMIF(AA148:AA161,"=56959431",GX148:GX161),2)</f>
        <v>0</v>
      </c>
      <c r="GC163" s="4">
        <f>ROUND(SUMIF(AA148:AA161,"=56959431",GY148:GY161),2)</f>
        <v>0</v>
      </c>
      <c r="GD163" s="4">
        <f>ROUND(SUMIF(AA148:AA161,"=56959431",GZ148:GZ161),2)</f>
        <v>0</v>
      </c>
      <c r="GE163" s="4">
        <f>ROUND(SUMIF(AA148:AA161,"=56959431",HD148:HD161),2)</f>
        <v>0</v>
      </c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>
        <v>0</v>
      </c>
    </row>
    <row r="165" spans="1:245" x14ac:dyDescent="0.2">
      <c r="A165" s="5">
        <v>50</v>
      </c>
      <c r="B165" s="5">
        <v>0</v>
      </c>
      <c r="C165" s="5">
        <v>0</v>
      </c>
      <c r="D165" s="5">
        <v>1</v>
      </c>
      <c r="E165" s="5">
        <v>201</v>
      </c>
      <c r="F165" s="5">
        <f>ROUND(Source!O163,O165)</f>
        <v>3736.71</v>
      </c>
      <c r="G165" s="5" t="s">
        <v>118</v>
      </c>
      <c r="H165" s="5" t="s">
        <v>119</v>
      </c>
      <c r="I165" s="5"/>
      <c r="J165" s="5"/>
      <c r="K165" s="5">
        <v>201</v>
      </c>
      <c r="L165" s="5">
        <v>1</v>
      </c>
      <c r="M165" s="5">
        <v>3</v>
      </c>
      <c r="N165" s="5" t="s">
        <v>3</v>
      </c>
      <c r="O165" s="5">
        <v>2</v>
      </c>
      <c r="P165" s="5">
        <f>ROUND(Source!DG163,O165)</f>
        <v>43478.02</v>
      </c>
      <c r="Q165" s="5"/>
      <c r="R165" s="5"/>
      <c r="S165" s="5"/>
      <c r="T165" s="5"/>
      <c r="U165" s="5"/>
      <c r="V165" s="5"/>
      <c r="W165" s="5">
        <v>3736.71</v>
      </c>
      <c r="X165" s="5">
        <v>1</v>
      </c>
      <c r="Y165" s="5">
        <v>3736.71</v>
      </c>
      <c r="Z165" s="5">
        <v>43478.02</v>
      </c>
      <c r="AA165" s="5">
        <v>1</v>
      </c>
      <c r="AB165" s="5">
        <v>43478.02</v>
      </c>
    </row>
    <row r="166" spans="1:245" x14ac:dyDescent="0.2">
      <c r="A166" s="5">
        <v>50</v>
      </c>
      <c r="B166" s="5">
        <v>0</v>
      </c>
      <c r="C166" s="5">
        <v>0</v>
      </c>
      <c r="D166" s="5">
        <v>1</v>
      </c>
      <c r="E166" s="5">
        <v>202</v>
      </c>
      <c r="F166" s="5">
        <f>ROUND(Source!P163,O166)</f>
        <v>3397.08</v>
      </c>
      <c r="G166" s="5" t="s">
        <v>120</v>
      </c>
      <c r="H166" s="5" t="s">
        <v>121</v>
      </c>
      <c r="I166" s="5"/>
      <c r="J166" s="5"/>
      <c r="K166" s="5">
        <v>202</v>
      </c>
      <c r="L166" s="5">
        <v>2</v>
      </c>
      <c r="M166" s="5">
        <v>3</v>
      </c>
      <c r="N166" s="5" t="s">
        <v>3</v>
      </c>
      <c r="O166" s="5">
        <v>2</v>
      </c>
      <c r="P166" s="5">
        <f>ROUND(Source!DH163,O166)</f>
        <v>26329.96</v>
      </c>
      <c r="Q166" s="5"/>
      <c r="R166" s="5"/>
      <c r="S166" s="5"/>
      <c r="T166" s="5"/>
      <c r="U166" s="5"/>
      <c r="V166" s="5"/>
      <c r="W166" s="5">
        <v>3397.08</v>
      </c>
      <c r="X166" s="5">
        <v>1</v>
      </c>
      <c r="Y166" s="5">
        <v>3397.08</v>
      </c>
      <c r="Z166" s="5">
        <v>26329.96</v>
      </c>
      <c r="AA166" s="5">
        <v>1</v>
      </c>
      <c r="AB166" s="5">
        <v>26329.96</v>
      </c>
    </row>
    <row r="167" spans="1:245" x14ac:dyDescent="0.2">
      <c r="A167" s="5">
        <v>50</v>
      </c>
      <c r="B167" s="5">
        <v>0</v>
      </c>
      <c r="C167" s="5">
        <v>0</v>
      </c>
      <c r="D167" s="5">
        <v>1</v>
      </c>
      <c r="E167" s="5">
        <v>222</v>
      </c>
      <c r="F167" s="5">
        <f>ROUND(Source!AO163,O167)</f>
        <v>0</v>
      </c>
      <c r="G167" s="5" t="s">
        <v>122</v>
      </c>
      <c r="H167" s="5" t="s">
        <v>123</v>
      </c>
      <c r="I167" s="5"/>
      <c r="J167" s="5"/>
      <c r="K167" s="5">
        <v>222</v>
      </c>
      <c r="L167" s="5">
        <v>3</v>
      </c>
      <c r="M167" s="5">
        <v>3</v>
      </c>
      <c r="N167" s="5" t="s">
        <v>3</v>
      </c>
      <c r="O167" s="5">
        <v>2</v>
      </c>
      <c r="P167" s="5">
        <f>ROUND(Source!EG163,O167)</f>
        <v>0</v>
      </c>
      <c r="Q167" s="5"/>
      <c r="R167" s="5"/>
      <c r="S167" s="5"/>
      <c r="T167" s="5"/>
      <c r="U167" s="5"/>
      <c r="V167" s="5"/>
      <c r="W167" s="5">
        <v>0</v>
      </c>
      <c r="X167" s="5">
        <v>1</v>
      </c>
      <c r="Y167" s="5">
        <v>0</v>
      </c>
      <c r="Z167" s="5">
        <v>0</v>
      </c>
      <c r="AA167" s="5">
        <v>1</v>
      </c>
      <c r="AB167" s="5">
        <v>0</v>
      </c>
    </row>
    <row r="168" spans="1:245" x14ac:dyDescent="0.2">
      <c r="A168" s="5">
        <v>50</v>
      </c>
      <c r="B168" s="5">
        <v>0</v>
      </c>
      <c r="C168" s="5">
        <v>0</v>
      </c>
      <c r="D168" s="5">
        <v>1</v>
      </c>
      <c r="E168" s="5">
        <v>225</v>
      </c>
      <c r="F168" s="5">
        <f>ROUND(Source!AV163,O168)</f>
        <v>3397.08</v>
      </c>
      <c r="G168" s="5" t="s">
        <v>124</v>
      </c>
      <c r="H168" s="5" t="s">
        <v>125</v>
      </c>
      <c r="I168" s="5"/>
      <c r="J168" s="5"/>
      <c r="K168" s="5">
        <v>225</v>
      </c>
      <c r="L168" s="5">
        <v>4</v>
      </c>
      <c r="M168" s="5">
        <v>3</v>
      </c>
      <c r="N168" s="5" t="s">
        <v>3</v>
      </c>
      <c r="O168" s="5">
        <v>2</v>
      </c>
      <c r="P168" s="5">
        <f>ROUND(Source!EN163,O168)</f>
        <v>26329.96</v>
      </c>
      <c r="Q168" s="5"/>
      <c r="R168" s="5"/>
      <c r="S168" s="5"/>
      <c r="T168" s="5"/>
      <c r="U168" s="5"/>
      <c r="V168" s="5"/>
      <c r="W168" s="5">
        <v>3397.08</v>
      </c>
      <c r="X168" s="5">
        <v>1</v>
      </c>
      <c r="Y168" s="5">
        <v>3397.08</v>
      </c>
      <c r="Z168" s="5">
        <v>26329.96</v>
      </c>
      <c r="AA168" s="5">
        <v>1</v>
      </c>
      <c r="AB168" s="5">
        <v>26329.96</v>
      </c>
    </row>
    <row r="169" spans="1:245" x14ac:dyDescent="0.2">
      <c r="A169" s="5">
        <v>50</v>
      </c>
      <c r="B169" s="5">
        <v>0</v>
      </c>
      <c r="C169" s="5">
        <v>0</v>
      </c>
      <c r="D169" s="5">
        <v>1</v>
      </c>
      <c r="E169" s="5">
        <v>226</v>
      </c>
      <c r="F169" s="5">
        <f>ROUND(Source!AW163,O169)</f>
        <v>1242.5</v>
      </c>
      <c r="G169" s="5" t="s">
        <v>126</v>
      </c>
      <c r="H169" s="5" t="s">
        <v>127</v>
      </c>
      <c r="I169" s="5"/>
      <c r="J169" s="5"/>
      <c r="K169" s="5">
        <v>226</v>
      </c>
      <c r="L169" s="5">
        <v>5</v>
      </c>
      <c r="M169" s="5">
        <v>3</v>
      </c>
      <c r="N169" s="5" t="s">
        <v>3</v>
      </c>
      <c r="O169" s="5">
        <v>2</v>
      </c>
      <c r="P169" s="5">
        <f>ROUND(Source!EO163,O169)</f>
        <v>9825.8799999999992</v>
      </c>
      <c r="Q169" s="5"/>
      <c r="R169" s="5"/>
      <c r="S169" s="5"/>
      <c r="T169" s="5"/>
      <c r="U169" s="5"/>
      <c r="V169" s="5"/>
      <c r="W169" s="5">
        <v>1242.5</v>
      </c>
      <c r="X169" s="5">
        <v>1</v>
      </c>
      <c r="Y169" s="5">
        <v>1242.5</v>
      </c>
      <c r="Z169" s="5">
        <v>9825.8799999999992</v>
      </c>
      <c r="AA169" s="5">
        <v>1</v>
      </c>
      <c r="AB169" s="5">
        <v>9825.8799999999992</v>
      </c>
    </row>
    <row r="170" spans="1:245" x14ac:dyDescent="0.2">
      <c r="A170" s="5">
        <v>50</v>
      </c>
      <c r="B170" s="5">
        <v>0</v>
      </c>
      <c r="C170" s="5">
        <v>0</v>
      </c>
      <c r="D170" s="5">
        <v>1</v>
      </c>
      <c r="E170" s="5">
        <v>227</v>
      </c>
      <c r="F170" s="5">
        <f>ROUND(Source!AX163,O170)</f>
        <v>0</v>
      </c>
      <c r="G170" s="5" t="s">
        <v>128</v>
      </c>
      <c r="H170" s="5" t="s">
        <v>129</v>
      </c>
      <c r="I170" s="5"/>
      <c r="J170" s="5"/>
      <c r="K170" s="5">
        <v>227</v>
      </c>
      <c r="L170" s="5">
        <v>6</v>
      </c>
      <c r="M170" s="5">
        <v>3</v>
      </c>
      <c r="N170" s="5" t="s">
        <v>3</v>
      </c>
      <c r="O170" s="5">
        <v>2</v>
      </c>
      <c r="P170" s="5">
        <f>ROUND(Source!EP163,O170)</f>
        <v>0</v>
      </c>
      <c r="Q170" s="5"/>
      <c r="R170" s="5"/>
      <c r="S170" s="5"/>
      <c r="T170" s="5"/>
      <c r="U170" s="5"/>
      <c r="V170" s="5"/>
      <c r="W170" s="5">
        <v>0</v>
      </c>
      <c r="X170" s="5">
        <v>1</v>
      </c>
      <c r="Y170" s="5">
        <v>0</v>
      </c>
      <c r="Z170" s="5">
        <v>0</v>
      </c>
      <c r="AA170" s="5">
        <v>1</v>
      </c>
      <c r="AB170" s="5">
        <v>0</v>
      </c>
    </row>
    <row r="171" spans="1:245" x14ac:dyDescent="0.2">
      <c r="A171" s="5">
        <v>50</v>
      </c>
      <c r="B171" s="5">
        <v>0</v>
      </c>
      <c r="C171" s="5">
        <v>0</v>
      </c>
      <c r="D171" s="5">
        <v>1</v>
      </c>
      <c r="E171" s="5">
        <v>228</v>
      </c>
      <c r="F171" s="5">
        <f>ROUND(Source!AY163,O171)</f>
        <v>1242.5</v>
      </c>
      <c r="G171" s="5" t="s">
        <v>130</v>
      </c>
      <c r="H171" s="5" t="s">
        <v>131</v>
      </c>
      <c r="I171" s="5"/>
      <c r="J171" s="5"/>
      <c r="K171" s="5">
        <v>228</v>
      </c>
      <c r="L171" s="5">
        <v>7</v>
      </c>
      <c r="M171" s="5">
        <v>3</v>
      </c>
      <c r="N171" s="5" t="s">
        <v>3</v>
      </c>
      <c r="O171" s="5">
        <v>2</v>
      </c>
      <c r="P171" s="5">
        <f>ROUND(Source!EQ163,O171)</f>
        <v>9825.8799999999992</v>
      </c>
      <c r="Q171" s="5"/>
      <c r="R171" s="5"/>
      <c r="S171" s="5"/>
      <c r="T171" s="5"/>
      <c r="U171" s="5"/>
      <c r="V171" s="5"/>
      <c r="W171" s="5">
        <v>1242.5</v>
      </c>
      <c r="X171" s="5">
        <v>1</v>
      </c>
      <c r="Y171" s="5">
        <v>1242.5</v>
      </c>
      <c r="Z171" s="5">
        <v>9825.8799999999992</v>
      </c>
      <c r="AA171" s="5">
        <v>1</v>
      </c>
      <c r="AB171" s="5">
        <v>9825.8799999999992</v>
      </c>
    </row>
    <row r="172" spans="1:245" x14ac:dyDescent="0.2">
      <c r="A172" s="5">
        <v>50</v>
      </c>
      <c r="B172" s="5">
        <v>0</v>
      </c>
      <c r="C172" s="5">
        <v>0</v>
      </c>
      <c r="D172" s="5">
        <v>1</v>
      </c>
      <c r="E172" s="5">
        <v>216</v>
      </c>
      <c r="F172" s="5">
        <f>ROUND(Source!AP163,O172)</f>
        <v>2154.58</v>
      </c>
      <c r="G172" s="5" t="s">
        <v>132</v>
      </c>
      <c r="H172" s="5" t="s">
        <v>133</v>
      </c>
      <c r="I172" s="5"/>
      <c r="J172" s="5"/>
      <c r="K172" s="5">
        <v>216</v>
      </c>
      <c r="L172" s="5">
        <v>8</v>
      </c>
      <c r="M172" s="5">
        <v>3</v>
      </c>
      <c r="N172" s="5" t="s">
        <v>3</v>
      </c>
      <c r="O172" s="5">
        <v>2</v>
      </c>
      <c r="P172" s="5">
        <f>ROUND(Source!EH163,O172)</f>
        <v>16504.080000000002</v>
      </c>
      <c r="Q172" s="5"/>
      <c r="R172" s="5"/>
      <c r="S172" s="5"/>
      <c r="T172" s="5"/>
      <c r="U172" s="5"/>
      <c r="V172" s="5"/>
      <c r="W172" s="5">
        <v>2154.58</v>
      </c>
      <c r="X172" s="5">
        <v>1</v>
      </c>
      <c r="Y172" s="5">
        <v>2154.58</v>
      </c>
      <c r="Z172" s="5">
        <v>16504.080000000002</v>
      </c>
      <c r="AA172" s="5">
        <v>1</v>
      </c>
      <c r="AB172" s="5">
        <v>16504.080000000002</v>
      </c>
    </row>
    <row r="173" spans="1:245" x14ac:dyDescent="0.2">
      <c r="A173" s="5">
        <v>50</v>
      </c>
      <c r="B173" s="5">
        <v>0</v>
      </c>
      <c r="C173" s="5">
        <v>0</v>
      </c>
      <c r="D173" s="5">
        <v>1</v>
      </c>
      <c r="E173" s="5">
        <v>223</v>
      </c>
      <c r="F173" s="5">
        <f>ROUND(Source!AQ163,O173)</f>
        <v>0</v>
      </c>
      <c r="G173" s="5" t="s">
        <v>134</v>
      </c>
      <c r="H173" s="5" t="s">
        <v>135</v>
      </c>
      <c r="I173" s="5"/>
      <c r="J173" s="5"/>
      <c r="K173" s="5">
        <v>223</v>
      </c>
      <c r="L173" s="5">
        <v>9</v>
      </c>
      <c r="M173" s="5">
        <v>3</v>
      </c>
      <c r="N173" s="5" t="s">
        <v>3</v>
      </c>
      <c r="O173" s="5">
        <v>2</v>
      </c>
      <c r="P173" s="5">
        <f>ROUND(Source!EI163,O173)</f>
        <v>0</v>
      </c>
      <c r="Q173" s="5"/>
      <c r="R173" s="5"/>
      <c r="S173" s="5"/>
      <c r="T173" s="5"/>
      <c r="U173" s="5"/>
      <c r="V173" s="5"/>
      <c r="W173" s="5">
        <v>0</v>
      </c>
      <c r="X173" s="5">
        <v>1</v>
      </c>
      <c r="Y173" s="5">
        <v>0</v>
      </c>
      <c r="Z173" s="5">
        <v>0</v>
      </c>
      <c r="AA173" s="5">
        <v>1</v>
      </c>
      <c r="AB173" s="5">
        <v>0</v>
      </c>
    </row>
    <row r="174" spans="1:245" x14ac:dyDescent="0.2">
      <c r="A174" s="5">
        <v>50</v>
      </c>
      <c r="B174" s="5">
        <v>0</v>
      </c>
      <c r="C174" s="5">
        <v>0</v>
      </c>
      <c r="D174" s="5">
        <v>1</v>
      </c>
      <c r="E174" s="5">
        <v>229</v>
      </c>
      <c r="F174" s="5">
        <f>ROUND(Source!AZ163,O174)</f>
        <v>2154.58</v>
      </c>
      <c r="G174" s="5" t="s">
        <v>136</v>
      </c>
      <c r="H174" s="5" t="s">
        <v>137</v>
      </c>
      <c r="I174" s="5"/>
      <c r="J174" s="5"/>
      <c r="K174" s="5">
        <v>229</v>
      </c>
      <c r="L174" s="5">
        <v>10</v>
      </c>
      <c r="M174" s="5">
        <v>3</v>
      </c>
      <c r="N174" s="5" t="s">
        <v>3</v>
      </c>
      <c r="O174" s="5">
        <v>2</v>
      </c>
      <c r="P174" s="5">
        <f>ROUND(Source!ER163,O174)</f>
        <v>16504.080000000002</v>
      </c>
      <c r="Q174" s="5"/>
      <c r="R174" s="5"/>
      <c r="S174" s="5"/>
      <c r="T174" s="5"/>
      <c r="U174" s="5"/>
      <c r="V174" s="5"/>
      <c r="W174" s="5">
        <v>2154.58</v>
      </c>
      <c r="X174" s="5">
        <v>1</v>
      </c>
      <c r="Y174" s="5">
        <v>2154.58</v>
      </c>
      <c r="Z174" s="5">
        <v>16504.080000000002</v>
      </c>
      <c r="AA174" s="5">
        <v>1</v>
      </c>
      <c r="AB174" s="5">
        <v>16504.080000000002</v>
      </c>
    </row>
    <row r="175" spans="1:245" x14ac:dyDescent="0.2">
      <c r="A175" s="5">
        <v>50</v>
      </c>
      <c r="B175" s="5">
        <v>0</v>
      </c>
      <c r="C175" s="5">
        <v>0</v>
      </c>
      <c r="D175" s="5">
        <v>1</v>
      </c>
      <c r="E175" s="5">
        <v>203</v>
      </c>
      <c r="F175" s="5">
        <f>ROUND(Source!Q163,O175)</f>
        <v>40.880000000000003</v>
      </c>
      <c r="G175" s="5" t="s">
        <v>138</v>
      </c>
      <c r="H175" s="5" t="s">
        <v>139</v>
      </c>
      <c r="I175" s="5"/>
      <c r="J175" s="5"/>
      <c r="K175" s="5">
        <v>203</v>
      </c>
      <c r="L175" s="5">
        <v>11</v>
      </c>
      <c r="M175" s="5">
        <v>3</v>
      </c>
      <c r="N175" s="5" t="s">
        <v>3</v>
      </c>
      <c r="O175" s="5">
        <v>2</v>
      </c>
      <c r="P175" s="5">
        <f>ROUND(Source!DI163,O175)</f>
        <v>719.8</v>
      </c>
      <c r="Q175" s="5"/>
      <c r="R175" s="5"/>
      <c r="S175" s="5"/>
      <c r="T175" s="5"/>
      <c r="U175" s="5"/>
      <c r="V175" s="5"/>
      <c r="W175" s="5">
        <v>40.880000000000003</v>
      </c>
      <c r="X175" s="5">
        <v>1</v>
      </c>
      <c r="Y175" s="5">
        <v>40.880000000000003</v>
      </c>
      <c r="Z175" s="5">
        <v>719.8</v>
      </c>
      <c r="AA175" s="5">
        <v>1</v>
      </c>
      <c r="AB175" s="5">
        <v>719.8</v>
      </c>
    </row>
    <row r="176" spans="1:245" x14ac:dyDescent="0.2">
      <c r="A176" s="5">
        <v>50</v>
      </c>
      <c r="B176" s="5">
        <v>0</v>
      </c>
      <c r="C176" s="5">
        <v>0</v>
      </c>
      <c r="D176" s="5">
        <v>1</v>
      </c>
      <c r="E176" s="5">
        <v>231</v>
      </c>
      <c r="F176" s="5">
        <f>ROUND(Source!BB163,O176)</f>
        <v>0</v>
      </c>
      <c r="G176" s="5" t="s">
        <v>140</v>
      </c>
      <c r="H176" s="5" t="s">
        <v>141</v>
      </c>
      <c r="I176" s="5"/>
      <c r="J176" s="5"/>
      <c r="K176" s="5">
        <v>231</v>
      </c>
      <c r="L176" s="5">
        <v>12</v>
      </c>
      <c r="M176" s="5">
        <v>3</v>
      </c>
      <c r="N176" s="5" t="s">
        <v>3</v>
      </c>
      <c r="O176" s="5">
        <v>2</v>
      </c>
      <c r="P176" s="5">
        <f>ROUND(Source!ET163,O176)</f>
        <v>0</v>
      </c>
      <c r="Q176" s="5"/>
      <c r="R176" s="5"/>
      <c r="S176" s="5"/>
      <c r="T176" s="5"/>
      <c r="U176" s="5"/>
      <c r="V176" s="5"/>
      <c r="W176" s="5">
        <v>0</v>
      </c>
      <c r="X176" s="5">
        <v>1</v>
      </c>
      <c r="Y176" s="5">
        <v>0</v>
      </c>
      <c r="Z176" s="5">
        <v>0</v>
      </c>
      <c r="AA176" s="5">
        <v>1</v>
      </c>
      <c r="AB176" s="5">
        <v>0</v>
      </c>
    </row>
    <row r="177" spans="1:28" x14ac:dyDescent="0.2">
      <c r="A177" s="5">
        <v>50</v>
      </c>
      <c r="B177" s="5">
        <v>0</v>
      </c>
      <c r="C177" s="5">
        <v>0</v>
      </c>
      <c r="D177" s="5">
        <v>1</v>
      </c>
      <c r="E177" s="5">
        <v>204</v>
      </c>
      <c r="F177" s="5">
        <f>ROUND(Source!R163,O177)</f>
        <v>6.93</v>
      </c>
      <c r="G177" s="5" t="s">
        <v>142</v>
      </c>
      <c r="H177" s="5" t="s">
        <v>143</v>
      </c>
      <c r="I177" s="5"/>
      <c r="J177" s="5"/>
      <c r="K177" s="5">
        <v>204</v>
      </c>
      <c r="L177" s="5">
        <v>13</v>
      </c>
      <c r="M177" s="5">
        <v>3</v>
      </c>
      <c r="N177" s="5" t="s">
        <v>3</v>
      </c>
      <c r="O177" s="5">
        <v>2</v>
      </c>
      <c r="P177" s="5">
        <f>ROUND(Source!DJ163,O177)</f>
        <v>381.08</v>
      </c>
      <c r="Q177" s="5"/>
      <c r="R177" s="5"/>
      <c r="S177" s="5"/>
      <c r="T177" s="5"/>
      <c r="U177" s="5"/>
      <c r="V177" s="5"/>
      <c r="W177" s="5">
        <v>6.93</v>
      </c>
      <c r="X177" s="5">
        <v>1</v>
      </c>
      <c r="Y177" s="5">
        <v>6.93</v>
      </c>
      <c r="Z177" s="5">
        <v>381.08</v>
      </c>
      <c r="AA177" s="5">
        <v>1</v>
      </c>
      <c r="AB177" s="5">
        <v>381.08</v>
      </c>
    </row>
    <row r="178" spans="1:28" x14ac:dyDescent="0.2">
      <c r="A178" s="5">
        <v>50</v>
      </c>
      <c r="B178" s="5">
        <v>0</v>
      </c>
      <c r="C178" s="5">
        <v>0</v>
      </c>
      <c r="D178" s="5">
        <v>1</v>
      </c>
      <c r="E178" s="5">
        <v>205</v>
      </c>
      <c r="F178" s="5">
        <f>ROUND(Source!S163,O178)</f>
        <v>298.75</v>
      </c>
      <c r="G178" s="5" t="s">
        <v>144</v>
      </c>
      <c r="H178" s="5" t="s">
        <v>145</v>
      </c>
      <c r="I178" s="5"/>
      <c r="J178" s="5"/>
      <c r="K178" s="5">
        <v>205</v>
      </c>
      <c r="L178" s="5">
        <v>14</v>
      </c>
      <c r="M178" s="5">
        <v>3</v>
      </c>
      <c r="N178" s="5" t="s">
        <v>3</v>
      </c>
      <c r="O178" s="5">
        <v>2</v>
      </c>
      <c r="P178" s="5">
        <f>ROUND(Source!DK163,O178)</f>
        <v>16428.259999999998</v>
      </c>
      <c r="Q178" s="5"/>
      <c r="R178" s="5"/>
      <c r="S178" s="5"/>
      <c r="T178" s="5"/>
      <c r="U178" s="5"/>
      <c r="V178" s="5"/>
      <c r="W178" s="5">
        <v>298.75</v>
      </c>
      <c r="X178" s="5">
        <v>1</v>
      </c>
      <c r="Y178" s="5">
        <v>298.75</v>
      </c>
      <c r="Z178" s="5">
        <v>16428.259999999998</v>
      </c>
      <c r="AA178" s="5">
        <v>1</v>
      </c>
      <c r="AB178" s="5">
        <v>16428.259999999998</v>
      </c>
    </row>
    <row r="179" spans="1:28" x14ac:dyDescent="0.2">
      <c r="A179" s="5">
        <v>50</v>
      </c>
      <c r="B179" s="5">
        <v>0</v>
      </c>
      <c r="C179" s="5">
        <v>0</v>
      </c>
      <c r="D179" s="5">
        <v>1</v>
      </c>
      <c r="E179" s="5">
        <v>232</v>
      </c>
      <c r="F179" s="5">
        <f>ROUND(Source!BC163,O179)</f>
        <v>0</v>
      </c>
      <c r="G179" s="5" t="s">
        <v>146</v>
      </c>
      <c r="H179" s="5" t="s">
        <v>147</v>
      </c>
      <c r="I179" s="5"/>
      <c r="J179" s="5"/>
      <c r="K179" s="5">
        <v>232</v>
      </c>
      <c r="L179" s="5">
        <v>15</v>
      </c>
      <c r="M179" s="5">
        <v>3</v>
      </c>
      <c r="N179" s="5" t="s">
        <v>3</v>
      </c>
      <c r="O179" s="5">
        <v>2</v>
      </c>
      <c r="P179" s="5">
        <f>ROUND(Source!EU163,O179)</f>
        <v>0</v>
      </c>
      <c r="Q179" s="5"/>
      <c r="R179" s="5"/>
      <c r="S179" s="5"/>
      <c r="T179" s="5"/>
      <c r="U179" s="5"/>
      <c r="V179" s="5"/>
      <c r="W179" s="5">
        <v>0</v>
      </c>
      <c r="X179" s="5">
        <v>1</v>
      </c>
      <c r="Y179" s="5">
        <v>0</v>
      </c>
      <c r="Z179" s="5">
        <v>0</v>
      </c>
      <c r="AA179" s="5">
        <v>1</v>
      </c>
      <c r="AB179" s="5">
        <v>0</v>
      </c>
    </row>
    <row r="180" spans="1:28" x14ac:dyDescent="0.2">
      <c r="A180" s="5">
        <v>50</v>
      </c>
      <c r="B180" s="5">
        <v>0</v>
      </c>
      <c r="C180" s="5">
        <v>0</v>
      </c>
      <c r="D180" s="5">
        <v>1</v>
      </c>
      <c r="E180" s="5">
        <v>214</v>
      </c>
      <c r="F180" s="5">
        <f>ROUND(Source!AS163,O180)</f>
        <v>0</v>
      </c>
      <c r="G180" s="5" t="s">
        <v>148</v>
      </c>
      <c r="H180" s="5" t="s">
        <v>149</v>
      </c>
      <c r="I180" s="5"/>
      <c r="J180" s="5"/>
      <c r="K180" s="5">
        <v>214</v>
      </c>
      <c r="L180" s="5">
        <v>16</v>
      </c>
      <c r="M180" s="5">
        <v>3</v>
      </c>
      <c r="N180" s="5" t="s">
        <v>3</v>
      </c>
      <c r="O180" s="5">
        <v>2</v>
      </c>
      <c r="P180" s="5">
        <f>ROUND(Source!EK163,O180)</f>
        <v>0</v>
      </c>
      <c r="Q180" s="5"/>
      <c r="R180" s="5"/>
      <c r="S180" s="5"/>
      <c r="T180" s="5"/>
      <c r="U180" s="5"/>
      <c r="V180" s="5"/>
      <c r="W180" s="5">
        <v>0</v>
      </c>
      <c r="X180" s="5">
        <v>1</v>
      </c>
      <c r="Y180" s="5">
        <v>0</v>
      </c>
      <c r="Z180" s="5">
        <v>0</v>
      </c>
      <c r="AA180" s="5">
        <v>1</v>
      </c>
      <c r="AB180" s="5">
        <v>0</v>
      </c>
    </row>
    <row r="181" spans="1:28" x14ac:dyDescent="0.2">
      <c r="A181" s="5">
        <v>50</v>
      </c>
      <c r="B181" s="5">
        <v>0</v>
      </c>
      <c r="C181" s="5">
        <v>0</v>
      </c>
      <c r="D181" s="5">
        <v>1</v>
      </c>
      <c r="E181" s="5">
        <v>215</v>
      </c>
      <c r="F181" s="5">
        <f>ROUND(Source!AT163,O181)</f>
        <v>2034.54</v>
      </c>
      <c r="G181" s="5" t="s">
        <v>150</v>
      </c>
      <c r="H181" s="5" t="s">
        <v>151</v>
      </c>
      <c r="I181" s="5"/>
      <c r="J181" s="5"/>
      <c r="K181" s="5">
        <v>215</v>
      </c>
      <c r="L181" s="5">
        <v>17</v>
      </c>
      <c r="M181" s="5">
        <v>3</v>
      </c>
      <c r="N181" s="5" t="s">
        <v>3</v>
      </c>
      <c r="O181" s="5">
        <v>2</v>
      </c>
      <c r="P181" s="5">
        <f>ROUND(Source!EL163,O181)</f>
        <v>51851.76</v>
      </c>
      <c r="Q181" s="5"/>
      <c r="R181" s="5"/>
      <c r="S181" s="5"/>
      <c r="T181" s="5"/>
      <c r="U181" s="5"/>
      <c r="V181" s="5"/>
      <c r="W181" s="5">
        <v>2034.54</v>
      </c>
      <c r="X181" s="5">
        <v>1</v>
      </c>
      <c r="Y181" s="5">
        <v>2034.54</v>
      </c>
      <c r="Z181" s="5">
        <v>51851.76</v>
      </c>
      <c r="AA181" s="5">
        <v>1</v>
      </c>
      <c r="AB181" s="5">
        <v>51851.76</v>
      </c>
    </row>
    <row r="182" spans="1:28" x14ac:dyDescent="0.2">
      <c r="A182" s="5">
        <v>50</v>
      </c>
      <c r="B182" s="5">
        <v>0</v>
      </c>
      <c r="C182" s="5">
        <v>0</v>
      </c>
      <c r="D182" s="5">
        <v>1</v>
      </c>
      <c r="E182" s="5">
        <v>217</v>
      </c>
      <c r="F182" s="5">
        <f>ROUND(Source!AU163,O182)</f>
        <v>0</v>
      </c>
      <c r="G182" s="5" t="s">
        <v>152</v>
      </c>
      <c r="H182" s="5" t="s">
        <v>153</v>
      </c>
      <c r="I182" s="5"/>
      <c r="J182" s="5"/>
      <c r="K182" s="5">
        <v>217</v>
      </c>
      <c r="L182" s="5">
        <v>18</v>
      </c>
      <c r="M182" s="5">
        <v>3</v>
      </c>
      <c r="N182" s="5" t="s">
        <v>3</v>
      </c>
      <c r="O182" s="5">
        <v>2</v>
      </c>
      <c r="P182" s="5">
        <f>ROUND(Source!EM163,O182)</f>
        <v>0</v>
      </c>
      <c r="Q182" s="5"/>
      <c r="R182" s="5"/>
      <c r="S182" s="5"/>
      <c r="T182" s="5"/>
      <c r="U182" s="5"/>
      <c r="V182" s="5"/>
      <c r="W182" s="5">
        <v>0</v>
      </c>
      <c r="X182" s="5">
        <v>1</v>
      </c>
      <c r="Y182" s="5">
        <v>0</v>
      </c>
      <c r="Z182" s="5">
        <v>0</v>
      </c>
      <c r="AA182" s="5">
        <v>1</v>
      </c>
      <c r="AB182" s="5">
        <v>0</v>
      </c>
    </row>
    <row r="183" spans="1:28" x14ac:dyDescent="0.2">
      <c r="A183" s="5">
        <v>50</v>
      </c>
      <c r="B183" s="5">
        <v>0</v>
      </c>
      <c r="C183" s="5">
        <v>0</v>
      </c>
      <c r="D183" s="5">
        <v>1</v>
      </c>
      <c r="E183" s="5">
        <v>230</v>
      </c>
      <c r="F183" s="5">
        <f>ROUND(Source!BA163,O183)</f>
        <v>0</v>
      </c>
      <c r="G183" s="5" t="s">
        <v>154</v>
      </c>
      <c r="H183" s="5" t="s">
        <v>155</v>
      </c>
      <c r="I183" s="5"/>
      <c r="J183" s="5"/>
      <c r="K183" s="5">
        <v>230</v>
      </c>
      <c r="L183" s="5">
        <v>19</v>
      </c>
      <c r="M183" s="5">
        <v>3</v>
      </c>
      <c r="N183" s="5" t="s">
        <v>3</v>
      </c>
      <c r="O183" s="5">
        <v>2</v>
      </c>
      <c r="P183" s="5">
        <f>ROUND(Source!ES163,O183)</f>
        <v>0</v>
      </c>
      <c r="Q183" s="5"/>
      <c r="R183" s="5"/>
      <c r="S183" s="5"/>
      <c r="T183" s="5"/>
      <c r="U183" s="5"/>
      <c r="V183" s="5"/>
      <c r="W183" s="5">
        <v>0</v>
      </c>
      <c r="X183" s="5">
        <v>1</v>
      </c>
      <c r="Y183" s="5">
        <v>0</v>
      </c>
      <c r="Z183" s="5">
        <v>0</v>
      </c>
      <c r="AA183" s="5">
        <v>1</v>
      </c>
      <c r="AB183" s="5">
        <v>0</v>
      </c>
    </row>
    <row r="184" spans="1:28" x14ac:dyDescent="0.2">
      <c r="A184" s="5">
        <v>50</v>
      </c>
      <c r="B184" s="5">
        <v>0</v>
      </c>
      <c r="C184" s="5">
        <v>0</v>
      </c>
      <c r="D184" s="5">
        <v>1</v>
      </c>
      <c r="E184" s="5">
        <v>206</v>
      </c>
      <c r="F184" s="5">
        <f>ROUND(Source!T163,O184)</f>
        <v>0</v>
      </c>
      <c r="G184" s="5" t="s">
        <v>156</v>
      </c>
      <c r="H184" s="5" t="s">
        <v>157</v>
      </c>
      <c r="I184" s="5"/>
      <c r="J184" s="5"/>
      <c r="K184" s="5">
        <v>206</v>
      </c>
      <c r="L184" s="5">
        <v>20</v>
      </c>
      <c r="M184" s="5">
        <v>3</v>
      </c>
      <c r="N184" s="5" t="s">
        <v>3</v>
      </c>
      <c r="O184" s="5">
        <v>2</v>
      </c>
      <c r="P184" s="5">
        <f>ROUND(Source!DL163,O184)</f>
        <v>0</v>
      </c>
      <c r="Q184" s="5"/>
      <c r="R184" s="5"/>
      <c r="S184" s="5"/>
      <c r="T184" s="5"/>
      <c r="U184" s="5"/>
      <c r="V184" s="5"/>
      <c r="W184" s="5">
        <v>0</v>
      </c>
      <c r="X184" s="5">
        <v>1</v>
      </c>
      <c r="Y184" s="5">
        <v>0</v>
      </c>
      <c r="Z184" s="5">
        <v>0</v>
      </c>
      <c r="AA184" s="5">
        <v>1</v>
      </c>
      <c r="AB184" s="5">
        <v>0</v>
      </c>
    </row>
    <row r="185" spans="1:28" x14ac:dyDescent="0.2">
      <c r="A185" s="5">
        <v>50</v>
      </c>
      <c r="B185" s="5">
        <v>0</v>
      </c>
      <c r="C185" s="5">
        <v>0</v>
      </c>
      <c r="D185" s="5">
        <v>1</v>
      </c>
      <c r="E185" s="5">
        <v>207</v>
      </c>
      <c r="F185" s="5">
        <f>Source!U163</f>
        <v>23.598333</v>
      </c>
      <c r="G185" s="5" t="s">
        <v>158</v>
      </c>
      <c r="H185" s="5" t="s">
        <v>159</v>
      </c>
      <c r="I185" s="5"/>
      <c r="J185" s="5"/>
      <c r="K185" s="5">
        <v>207</v>
      </c>
      <c r="L185" s="5">
        <v>21</v>
      </c>
      <c r="M185" s="5">
        <v>3</v>
      </c>
      <c r="N185" s="5" t="s">
        <v>3</v>
      </c>
      <c r="O185" s="5">
        <v>-1</v>
      </c>
      <c r="P185" s="5">
        <f>Source!DM163</f>
        <v>23.598333</v>
      </c>
      <c r="Q185" s="5"/>
      <c r="R185" s="5"/>
      <c r="S185" s="5"/>
      <c r="T185" s="5"/>
      <c r="U185" s="5"/>
      <c r="V185" s="5"/>
      <c r="W185" s="5">
        <v>23.598332999999997</v>
      </c>
      <c r="X185" s="5">
        <v>1</v>
      </c>
      <c r="Y185" s="5">
        <v>23.598332999999997</v>
      </c>
      <c r="Z185" s="5">
        <v>23.598332999999997</v>
      </c>
      <c r="AA185" s="5">
        <v>1</v>
      </c>
      <c r="AB185" s="5">
        <v>23.598332999999997</v>
      </c>
    </row>
    <row r="186" spans="1:28" x14ac:dyDescent="0.2">
      <c r="A186" s="5">
        <v>50</v>
      </c>
      <c r="B186" s="5">
        <v>0</v>
      </c>
      <c r="C186" s="5">
        <v>0</v>
      </c>
      <c r="D186" s="5">
        <v>1</v>
      </c>
      <c r="E186" s="5">
        <v>208</v>
      </c>
      <c r="F186" s="5">
        <f>Source!V163</f>
        <v>0</v>
      </c>
      <c r="G186" s="5" t="s">
        <v>160</v>
      </c>
      <c r="H186" s="5" t="s">
        <v>161</v>
      </c>
      <c r="I186" s="5"/>
      <c r="J186" s="5"/>
      <c r="K186" s="5">
        <v>208</v>
      </c>
      <c r="L186" s="5">
        <v>22</v>
      </c>
      <c r="M186" s="5">
        <v>3</v>
      </c>
      <c r="N186" s="5" t="s">
        <v>3</v>
      </c>
      <c r="O186" s="5">
        <v>-1</v>
      </c>
      <c r="P186" s="5">
        <f>Source!DN163</f>
        <v>0</v>
      </c>
      <c r="Q186" s="5"/>
      <c r="R186" s="5"/>
      <c r="S186" s="5"/>
      <c r="T186" s="5"/>
      <c r="U186" s="5"/>
      <c r="V186" s="5"/>
      <c r="W186" s="5">
        <v>0</v>
      </c>
      <c r="X186" s="5">
        <v>1</v>
      </c>
      <c r="Y186" s="5">
        <v>0</v>
      </c>
      <c r="Z186" s="5">
        <v>0</v>
      </c>
      <c r="AA186" s="5">
        <v>1</v>
      </c>
      <c r="AB186" s="5">
        <v>0</v>
      </c>
    </row>
    <row r="187" spans="1:28" x14ac:dyDescent="0.2">
      <c r="A187" s="5">
        <v>50</v>
      </c>
      <c r="B187" s="5">
        <v>0</v>
      </c>
      <c r="C187" s="5">
        <v>0</v>
      </c>
      <c r="D187" s="5">
        <v>1</v>
      </c>
      <c r="E187" s="5">
        <v>209</v>
      </c>
      <c r="F187" s="5">
        <f>ROUND(Source!W163,O187)</f>
        <v>0</v>
      </c>
      <c r="G187" s="5" t="s">
        <v>162</v>
      </c>
      <c r="H187" s="5" t="s">
        <v>163</v>
      </c>
      <c r="I187" s="5"/>
      <c r="J187" s="5"/>
      <c r="K187" s="5">
        <v>209</v>
      </c>
      <c r="L187" s="5">
        <v>23</v>
      </c>
      <c r="M187" s="5">
        <v>3</v>
      </c>
      <c r="N187" s="5" t="s">
        <v>3</v>
      </c>
      <c r="O187" s="5">
        <v>2</v>
      </c>
      <c r="P187" s="5">
        <f>ROUND(Source!DO163,O187)</f>
        <v>0</v>
      </c>
      <c r="Q187" s="5"/>
      <c r="R187" s="5"/>
      <c r="S187" s="5"/>
      <c r="T187" s="5"/>
      <c r="U187" s="5"/>
      <c r="V187" s="5"/>
      <c r="W187" s="5">
        <v>0</v>
      </c>
      <c r="X187" s="5">
        <v>1</v>
      </c>
      <c r="Y187" s="5">
        <v>0</v>
      </c>
      <c r="Z187" s="5">
        <v>0</v>
      </c>
      <c r="AA187" s="5">
        <v>1</v>
      </c>
      <c r="AB187" s="5">
        <v>0</v>
      </c>
    </row>
    <row r="188" spans="1:28" x14ac:dyDescent="0.2">
      <c r="A188" s="5">
        <v>50</v>
      </c>
      <c r="B188" s="5">
        <v>0</v>
      </c>
      <c r="C188" s="5">
        <v>0</v>
      </c>
      <c r="D188" s="5">
        <v>1</v>
      </c>
      <c r="E188" s="5">
        <v>233</v>
      </c>
      <c r="F188" s="5">
        <f>ROUND(Source!BD163,O188)</f>
        <v>0</v>
      </c>
      <c r="G188" s="5" t="s">
        <v>164</v>
      </c>
      <c r="H188" s="5" t="s">
        <v>165</v>
      </c>
      <c r="I188" s="5"/>
      <c r="J188" s="5"/>
      <c r="K188" s="5">
        <v>233</v>
      </c>
      <c r="L188" s="5">
        <v>24</v>
      </c>
      <c r="M188" s="5">
        <v>3</v>
      </c>
      <c r="N188" s="5" t="s">
        <v>3</v>
      </c>
      <c r="O188" s="5">
        <v>2</v>
      </c>
      <c r="P188" s="5">
        <f>ROUND(Source!EV163,O188)</f>
        <v>0</v>
      </c>
      <c r="Q188" s="5"/>
      <c r="R188" s="5"/>
      <c r="S188" s="5"/>
      <c r="T188" s="5"/>
      <c r="U188" s="5"/>
      <c r="V188" s="5"/>
      <c r="W188" s="5">
        <v>0</v>
      </c>
      <c r="X188" s="5">
        <v>1</v>
      </c>
      <c r="Y188" s="5">
        <v>0</v>
      </c>
      <c r="Z188" s="5">
        <v>0</v>
      </c>
      <c r="AA188" s="5">
        <v>1</v>
      </c>
      <c r="AB188" s="5">
        <v>0</v>
      </c>
    </row>
    <row r="189" spans="1:28" x14ac:dyDescent="0.2">
      <c r="A189" s="5">
        <v>50</v>
      </c>
      <c r="B189" s="5">
        <v>0</v>
      </c>
      <c r="C189" s="5">
        <v>0</v>
      </c>
      <c r="D189" s="5">
        <v>1</v>
      </c>
      <c r="E189" s="5">
        <v>210</v>
      </c>
      <c r="F189" s="5">
        <f>ROUND(Source!X163,O189)</f>
        <v>296.23</v>
      </c>
      <c r="G189" s="5" t="s">
        <v>166</v>
      </c>
      <c r="H189" s="5" t="s">
        <v>167</v>
      </c>
      <c r="I189" s="5"/>
      <c r="J189" s="5"/>
      <c r="K189" s="5">
        <v>210</v>
      </c>
      <c r="L189" s="5">
        <v>25</v>
      </c>
      <c r="M189" s="5">
        <v>3</v>
      </c>
      <c r="N189" s="5" t="s">
        <v>3</v>
      </c>
      <c r="O189" s="5">
        <v>2</v>
      </c>
      <c r="P189" s="5">
        <f>ROUND(Source!DP163,O189)</f>
        <v>16289.98</v>
      </c>
      <c r="Q189" s="5"/>
      <c r="R189" s="5"/>
      <c r="S189" s="5"/>
      <c r="T189" s="5"/>
      <c r="U189" s="5"/>
      <c r="V189" s="5"/>
      <c r="W189" s="5">
        <v>296.23</v>
      </c>
      <c r="X189" s="5">
        <v>1</v>
      </c>
      <c r="Y189" s="5">
        <v>296.23</v>
      </c>
      <c r="Z189" s="5">
        <v>16289.98</v>
      </c>
      <c r="AA189" s="5">
        <v>1</v>
      </c>
      <c r="AB189" s="5">
        <v>16289.98</v>
      </c>
    </row>
    <row r="190" spans="1:28" x14ac:dyDescent="0.2">
      <c r="A190" s="5">
        <v>50</v>
      </c>
      <c r="B190" s="5">
        <v>0</v>
      </c>
      <c r="C190" s="5">
        <v>0</v>
      </c>
      <c r="D190" s="5">
        <v>1</v>
      </c>
      <c r="E190" s="5">
        <v>211</v>
      </c>
      <c r="F190" s="5">
        <f>ROUND(Source!Y163,O190)</f>
        <v>156.18</v>
      </c>
      <c r="G190" s="5" t="s">
        <v>168</v>
      </c>
      <c r="H190" s="5" t="s">
        <v>169</v>
      </c>
      <c r="I190" s="5"/>
      <c r="J190" s="5"/>
      <c r="K190" s="5">
        <v>211</v>
      </c>
      <c r="L190" s="5">
        <v>26</v>
      </c>
      <c r="M190" s="5">
        <v>3</v>
      </c>
      <c r="N190" s="5" t="s">
        <v>3</v>
      </c>
      <c r="O190" s="5">
        <v>2</v>
      </c>
      <c r="P190" s="5">
        <f>ROUND(Source!DQ163,O190)</f>
        <v>8587.84</v>
      </c>
      <c r="Q190" s="5"/>
      <c r="R190" s="5"/>
      <c r="S190" s="5"/>
      <c r="T190" s="5"/>
      <c r="U190" s="5"/>
      <c r="V190" s="5"/>
      <c r="W190" s="5">
        <v>156.18</v>
      </c>
      <c r="X190" s="5">
        <v>1</v>
      </c>
      <c r="Y190" s="5">
        <v>156.18</v>
      </c>
      <c r="Z190" s="5">
        <v>8587.84</v>
      </c>
      <c r="AA190" s="5">
        <v>1</v>
      </c>
      <c r="AB190" s="5">
        <v>8587.84</v>
      </c>
    </row>
    <row r="191" spans="1:28" x14ac:dyDescent="0.2">
      <c r="A191" s="5">
        <v>50</v>
      </c>
      <c r="B191" s="5">
        <v>0</v>
      </c>
      <c r="C191" s="5">
        <v>0</v>
      </c>
      <c r="D191" s="5">
        <v>1</v>
      </c>
      <c r="E191" s="5">
        <v>224</v>
      </c>
      <c r="F191" s="5">
        <f>ROUND(Source!AR163,O191)</f>
        <v>4189.12</v>
      </c>
      <c r="G191" s="5" t="s">
        <v>170</v>
      </c>
      <c r="H191" s="5" t="s">
        <v>171</v>
      </c>
      <c r="I191" s="5"/>
      <c r="J191" s="5"/>
      <c r="K191" s="5">
        <v>224</v>
      </c>
      <c r="L191" s="5">
        <v>27</v>
      </c>
      <c r="M191" s="5">
        <v>3</v>
      </c>
      <c r="N191" s="5" t="s">
        <v>3</v>
      </c>
      <c r="O191" s="5">
        <v>2</v>
      </c>
      <c r="P191" s="5">
        <f>ROUND(Source!EJ163,O191)</f>
        <v>68355.839999999997</v>
      </c>
      <c r="Q191" s="5"/>
      <c r="R191" s="5"/>
      <c r="S191" s="5"/>
      <c r="T191" s="5"/>
      <c r="U191" s="5"/>
      <c r="V191" s="5"/>
      <c r="W191" s="5">
        <v>4189.12</v>
      </c>
      <c r="X191" s="5">
        <v>1</v>
      </c>
      <c r="Y191" s="5">
        <v>4189.12</v>
      </c>
      <c r="Z191" s="5">
        <v>68355.839999999997</v>
      </c>
      <c r="AA191" s="5">
        <v>1</v>
      </c>
      <c r="AB191" s="5">
        <v>68355.839999999997</v>
      </c>
    </row>
    <row r="193" spans="1:255" x14ac:dyDescent="0.2">
      <c r="A193" s="1">
        <v>4</v>
      </c>
      <c r="B193" s="1">
        <v>1</v>
      </c>
      <c r="C193" s="1"/>
      <c r="D193" s="1">
        <f>ROW(A248)</f>
        <v>248</v>
      </c>
      <c r="E193" s="1"/>
      <c r="F193" s="1" t="s">
        <v>16</v>
      </c>
      <c r="G193" s="1" t="s">
        <v>201</v>
      </c>
      <c r="H193" s="1" t="s">
        <v>3</v>
      </c>
      <c r="I193" s="1">
        <v>0</v>
      </c>
      <c r="J193" s="1"/>
      <c r="K193" s="1">
        <v>0</v>
      </c>
      <c r="L193" s="1"/>
      <c r="M193" s="1" t="s">
        <v>3</v>
      </c>
      <c r="N193" s="1"/>
      <c r="O193" s="1"/>
      <c r="P193" s="1"/>
      <c r="Q193" s="1"/>
      <c r="R193" s="1"/>
      <c r="S193" s="1">
        <v>0</v>
      </c>
      <c r="T193" s="1">
        <v>0</v>
      </c>
      <c r="U193" s="1" t="s">
        <v>3</v>
      </c>
      <c r="V193" s="1">
        <v>2</v>
      </c>
      <c r="W193" s="1"/>
      <c r="X193" s="1"/>
      <c r="Y193" s="1"/>
      <c r="Z193" s="1"/>
      <c r="AA193" s="1"/>
      <c r="AB193" s="1" t="s">
        <v>3</v>
      </c>
      <c r="AC193" s="1" t="s">
        <v>3</v>
      </c>
      <c r="AD193" s="1" t="s">
        <v>3</v>
      </c>
      <c r="AE193" s="1" t="s">
        <v>3</v>
      </c>
      <c r="AF193" s="1" t="s">
        <v>3</v>
      </c>
      <c r="AG193" s="1" t="s">
        <v>3</v>
      </c>
      <c r="AH193" s="1"/>
      <c r="AI193" s="1"/>
      <c r="AJ193" s="1"/>
      <c r="AK193" s="1"/>
      <c r="AL193" s="1"/>
      <c r="AM193" s="1"/>
      <c r="AN193" s="1"/>
      <c r="AO193" s="1"/>
      <c r="AP193" s="1" t="s">
        <v>3</v>
      </c>
      <c r="AQ193" s="1" t="s">
        <v>3</v>
      </c>
      <c r="AR193" s="1" t="s">
        <v>3</v>
      </c>
      <c r="AS193" s="1"/>
      <c r="AT193" s="1"/>
      <c r="AU193" s="1"/>
      <c r="AV193" s="1"/>
      <c r="AW193" s="1"/>
      <c r="AX193" s="1"/>
      <c r="AY193" s="1"/>
      <c r="AZ193" s="1" t="s">
        <v>3</v>
      </c>
      <c r="BA193" s="1"/>
      <c r="BB193" s="1" t="s">
        <v>3</v>
      </c>
      <c r="BC193" s="1" t="s">
        <v>3</v>
      </c>
      <c r="BD193" s="1" t="s">
        <v>3</v>
      </c>
      <c r="BE193" s="1" t="s">
        <v>3</v>
      </c>
      <c r="BF193" s="1" t="s">
        <v>3</v>
      </c>
      <c r="BG193" s="1" t="s">
        <v>3</v>
      </c>
      <c r="BH193" s="1" t="s">
        <v>3</v>
      </c>
      <c r="BI193" s="1" t="s">
        <v>3</v>
      </c>
      <c r="BJ193" s="1" t="s">
        <v>3</v>
      </c>
      <c r="BK193" s="1" t="s">
        <v>3</v>
      </c>
      <c r="BL193" s="1" t="s">
        <v>3</v>
      </c>
      <c r="BM193" s="1" t="s">
        <v>3</v>
      </c>
      <c r="BN193" s="1" t="s">
        <v>3</v>
      </c>
      <c r="BO193" s="1" t="s">
        <v>3</v>
      </c>
      <c r="BP193" s="1" t="s">
        <v>3</v>
      </c>
      <c r="BQ193" s="1"/>
      <c r="BR193" s="1"/>
      <c r="BS193" s="1"/>
      <c r="BT193" s="1"/>
      <c r="BU193" s="1"/>
      <c r="BV193" s="1"/>
      <c r="BW193" s="1"/>
      <c r="BX193" s="1">
        <v>0</v>
      </c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>
        <v>0</v>
      </c>
    </row>
    <row r="195" spans="1:255" x14ac:dyDescent="0.2">
      <c r="A195" s="3">
        <v>52</v>
      </c>
      <c r="B195" s="3">
        <f t="shared" ref="B195:G195" si="121">B248</f>
        <v>1</v>
      </c>
      <c r="C195" s="3">
        <f t="shared" si="121"/>
        <v>4</v>
      </c>
      <c r="D195" s="3">
        <f t="shared" si="121"/>
        <v>193</v>
      </c>
      <c r="E195" s="3">
        <f t="shared" si="121"/>
        <v>0</v>
      </c>
      <c r="F195" s="3" t="str">
        <f t="shared" si="121"/>
        <v>Новый раздел</v>
      </c>
      <c r="G195" s="3" t="str">
        <f t="shared" si="121"/>
        <v>Автоматизация противопожарных мероприятий</v>
      </c>
      <c r="H195" s="3"/>
      <c r="I195" s="3"/>
      <c r="J195" s="3"/>
      <c r="K195" s="3"/>
      <c r="L195" s="3"/>
      <c r="M195" s="3"/>
      <c r="N195" s="3"/>
      <c r="O195" s="3">
        <f t="shared" ref="O195:AT195" si="122">O248</f>
        <v>259787.01</v>
      </c>
      <c r="P195" s="3">
        <f t="shared" si="122"/>
        <v>245332.27</v>
      </c>
      <c r="Q195" s="3">
        <f t="shared" si="122"/>
        <v>1495.08</v>
      </c>
      <c r="R195" s="3">
        <f t="shared" si="122"/>
        <v>254.89</v>
      </c>
      <c r="S195" s="3">
        <f t="shared" si="122"/>
        <v>12959.66</v>
      </c>
      <c r="T195" s="3">
        <f t="shared" si="122"/>
        <v>0</v>
      </c>
      <c r="U195" s="3">
        <f t="shared" si="122"/>
        <v>1076.0517371999999</v>
      </c>
      <c r="V195" s="3">
        <f t="shared" si="122"/>
        <v>0</v>
      </c>
      <c r="W195" s="3">
        <f t="shared" si="122"/>
        <v>0</v>
      </c>
      <c r="X195" s="3">
        <f t="shared" si="122"/>
        <v>12558.38</v>
      </c>
      <c r="Y195" s="3">
        <f t="shared" si="122"/>
        <v>6632.49</v>
      </c>
      <c r="Z195" s="3">
        <f t="shared" si="122"/>
        <v>0</v>
      </c>
      <c r="AA195" s="3">
        <f t="shared" si="122"/>
        <v>0</v>
      </c>
      <c r="AB195" s="3">
        <f t="shared" si="122"/>
        <v>259787.01</v>
      </c>
      <c r="AC195" s="3">
        <f t="shared" si="122"/>
        <v>245332.27</v>
      </c>
      <c r="AD195" s="3">
        <f t="shared" si="122"/>
        <v>1495.08</v>
      </c>
      <c r="AE195" s="3">
        <f t="shared" si="122"/>
        <v>254.89</v>
      </c>
      <c r="AF195" s="3">
        <f t="shared" si="122"/>
        <v>12959.66</v>
      </c>
      <c r="AG195" s="3">
        <f t="shared" si="122"/>
        <v>0</v>
      </c>
      <c r="AH195" s="3">
        <f t="shared" si="122"/>
        <v>1076.0517371999999</v>
      </c>
      <c r="AI195" s="3">
        <f t="shared" si="122"/>
        <v>0</v>
      </c>
      <c r="AJ195" s="3">
        <f t="shared" si="122"/>
        <v>0</v>
      </c>
      <c r="AK195" s="3">
        <f t="shared" si="122"/>
        <v>12558.38</v>
      </c>
      <c r="AL195" s="3">
        <f t="shared" si="122"/>
        <v>6632.49</v>
      </c>
      <c r="AM195" s="3">
        <f t="shared" si="122"/>
        <v>0</v>
      </c>
      <c r="AN195" s="3">
        <f t="shared" si="122"/>
        <v>0</v>
      </c>
      <c r="AO195" s="3">
        <f t="shared" si="122"/>
        <v>0</v>
      </c>
      <c r="AP195" s="3">
        <f t="shared" si="122"/>
        <v>215808.32</v>
      </c>
      <c r="AQ195" s="3">
        <f t="shared" si="122"/>
        <v>0</v>
      </c>
      <c r="AR195" s="3">
        <f t="shared" si="122"/>
        <v>278977.88</v>
      </c>
      <c r="AS195" s="3">
        <f t="shared" si="122"/>
        <v>0</v>
      </c>
      <c r="AT195" s="3">
        <f t="shared" si="122"/>
        <v>63169.56</v>
      </c>
      <c r="AU195" s="3">
        <f t="shared" ref="AU195:BZ195" si="123">AU248</f>
        <v>0</v>
      </c>
      <c r="AV195" s="3">
        <f t="shared" si="123"/>
        <v>245332.27</v>
      </c>
      <c r="AW195" s="3">
        <f t="shared" si="123"/>
        <v>29523.95</v>
      </c>
      <c r="AX195" s="3">
        <f t="shared" si="123"/>
        <v>0</v>
      </c>
      <c r="AY195" s="3">
        <f t="shared" si="123"/>
        <v>29523.95</v>
      </c>
      <c r="AZ195" s="3">
        <f t="shared" si="123"/>
        <v>215808.32</v>
      </c>
      <c r="BA195" s="3">
        <f t="shared" si="123"/>
        <v>0</v>
      </c>
      <c r="BB195" s="3">
        <f t="shared" si="123"/>
        <v>0</v>
      </c>
      <c r="BC195" s="3">
        <f t="shared" si="123"/>
        <v>0</v>
      </c>
      <c r="BD195" s="3">
        <f t="shared" si="123"/>
        <v>0</v>
      </c>
      <c r="BE195" s="3">
        <f t="shared" si="123"/>
        <v>0</v>
      </c>
      <c r="BF195" s="3">
        <f t="shared" si="123"/>
        <v>0</v>
      </c>
      <c r="BG195" s="3">
        <f t="shared" si="123"/>
        <v>0</v>
      </c>
      <c r="BH195" s="3">
        <f t="shared" si="123"/>
        <v>0</v>
      </c>
      <c r="BI195" s="3">
        <f t="shared" si="123"/>
        <v>0</v>
      </c>
      <c r="BJ195" s="3">
        <f t="shared" si="123"/>
        <v>0</v>
      </c>
      <c r="BK195" s="3">
        <f t="shared" si="123"/>
        <v>0</v>
      </c>
      <c r="BL195" s="3">
        <f t="shared" si="123"/>
        <v>0</v>
      </c>
      <c r="BM195" s="3">
        <f t="shared" si="123"/>
        <v>0</v>
      </c>
      <c r="BN195" s="3">
        <f t="shared" si="123"/>
        <v>0</v>
      </c>
      <c r="BO195" s="3">
        <f t="shared" si="123"/>
        <v>0</v>
      </c>
      <c r="BP195" s="3">
        <f t="shared" si="123"/>
        <v>0</v>
      </c>
      <c r="BQ195" s="3">
        <f t="shared" si="123"/>
        <v>0</v>
      </c>
      <c r="BR195" s="3">
        <f t="shared" si="123"/>
        <v>0</v>
      </c>
      <c r="BS195" s="3">
        <f t="shared" si="123"/>
        <v>0</v>
      </c>
      <c r="BT195" s="3">
        <f t="shared" si="123"/>
        <v>0</v>
      </c>
      <c r="BU195" s="3">
        <f t="shared" si="123"/>
        <v>0</v>
      </c>
      <c r="BV195" s="3">
        <f t="shared" si="123"/>
        <v>0</v>
      </c>
      <c r="BW195" s="3">
        <f t="shared" si="123"/>
        <v>0</v>
      </c>
      <c r="BX195" s="3">
        <f t="shared" si="123"/>
        <v>0</v>
      </c>
      <c r="BY195" s="3">
        <f t="shared" si="123"/>
        <v>215808.32</v>
      </c>
      <c r="BZ195" s="3">
        <f t="shared" si="123"/>
        <v>0</v>
      </c>
      <c r="CA195" s="3">
        <f t="shared" ref="CA195:DF195" si="124">CA248</f>
        <v>278977.88</v>
      </c>
      <c r="CB195" s="3">
        <f t="shared" si="124"/>
        <v>0</v>
      </c>
      <c r="CC195" s="3">
        <f t="shared" si="124"/>
        <v>63169.56</v>
      </c>
      <c r="CD195" s="3">
        <f t="shared" si="124"/>
        <v>0</v>
      </c>
      <c r="CE195" s="3">
        <f t="shared" si="124"/>
        <v>245332.27</v>
      </c>
      <c r="CF195" s="3">
        <f t="shared" si="124"/>
        <v>29523.949999999983</v>
      </c>
      <c r="CG195" s="3">
        <f t="shared" si="124"/>
        <v>0</v>
      </c>
      <c r="CH195" s="3">
        <f t="shared" si="124"/>
        <v>29523.949999999983</v>
      </c>
      <c r="CI195" s="3">
        <f t="shared" si="124"/>
        <v>215808.32</v>
      </c>
      <c r="CJ195" s="3">
        <f t="shared" si="124"/>
        <v>0</v>
      </c>
      <c r="CK195" s="3">
        <f t="shared" si="124"/>
        <v>0</v>
      </c>
      <c r="CL195" s="3">
        <f t="shared" si="124"/>
        <v>0</v>
      </c>
      <c r="CM195" s="3">
        <f t="shared" si="124"/>
        <v>0</v>
      </c>
      <c r="CN195" s="3">
        <f t="shared" si="124"/>
        <v>0</v>
      </c>
      <c r="CO195" s="3">
        <f t="shared" si="124"/>
        <v>0</v>
      </c>
      <c r="CP195" s="3">
        <f t="shared" si="124"/>
        <v>0</v>
      </c>
      <c r="CQ195" s="3">
        <f t="shared" si="124"/>
        <v>0</v>
      </c>
      <c r="CR195" s="3">
        <f t="shared" si="124"/>
        <v>0</v>
      </c>
      <c r="CS195" s="3">
        <f t="shared" si="124"/>
        <v>0</v>
      </c>
      <c r="CT195" s="3">
        <f t="shared" si="124"/>
        <v>0</v>
      </c>
      <c r="CU195" s="3">
        <f t="shared" si="124"/>
        <v>0</v>
      </c>
      <c r="CV195" s="3">
        <f t="shared" si="124"/>
        <v>0</v>
      </c>
      <c r="CW195" s="3">
        <f t="shared" si="124"/>
        <v>0</v>
      </c>
      <c r="CX195" s="3">
        <f t="shared" si="124"/>
        <v>0</v>
      </c>
      <c r="CY195" s="3">
        <f t="shared" si="124"/>
        <v>0</v>
      </c>
      <c r="CZ195" s="3">
        <f t="shared" si="124"/>
        <v>0</v>
      </c>
      <c r="DA195" s="3">
        <f t="shared" si="124"/>
        <v>0</v>
      </c>
      <c r="DB195" s="3">
        <f t="shared" si="124"/>
        <v>0</v>
      </c>
      <c r="DC195" s="3">
        <f t="shared" si="124"/>
        <v>0</v>
      </c>
      <c r="DD195" s="3">
        <f t="shared" si="124"/>
        <v>0</v>
      </c>
      <c r="DE195" s="3">
        <f t="shared" si="124"/>
        <v>0</v>
      </c>
      <c r="DF195" s="3">
        <f t="shared" si="124"/>
        <v>0</v>
      </c>
      <c r="DG195" s="4">
        <f t="shared" ref="DG195:EL195" si="125">DG248</f>
        <v>2545535.0699999998</v>
      </c>
      <c r="DH195" s="4">
        <f t="shared" si="125"/>
        <v>1806366.05</v>
      </c>
      <c r="DI195" s="4">
        <f t="shared" si="125"/>
        <v>26517.33</v>
      </c>
      <c r="DJ195" s="4">
        <f t="shared" si="125"/>
        <v>14016.41</v>
      </c>
      <c r="DK195" s="4">
        <f t="shared" si="125"/>
        <v>712651.69</v>
      </c>
      <c r="DL195" s="4">
        <f t="shared" si="125"/>
        <v>0</v>
      </c>
      <c r="DM195" s="4">
        <f t="shared" si="125"/>
        <v>1076.0517371999999</v>
      </c>
      <c r="DN195" s="4">
        <f t="shared" si="125"/>
        <v>0</v>
      </c>
      <c r="DO195" s="4">
        <f t="shared" si="125"/>
        <v>0</v>
      </c>
      <c r="DP195" s="4">
        <f t="shared" si="125"/>
        <v>690585.77</v>
      </c>
      <c r="DQ195" s="4">
        <f t="shared" si="125"/>
        <v>364720.59</v>
      </c>
      <c r="DR195" s="4">
        <f t="shared" si="125"/>
        <v>0</v>
      </c>
      <c r="DS195" s="4">
        <f t="shared" si="125"/>
        <v>0</v>
      </c>
      <c r="DT195" s="4">
        <f t="shared" si="125"/>
        <v>2545535.0699999998</v>
      </c>
      <c r="DU195" s="4">
        <f t="shared" si="125"/>
        <v>1806366.05</v>
      </c>
      <c r="DV195" s="4">
        <f t="shared" si="125"/>
        <v>26517.33</v>
      </c>
      <c r="DW195" s="4">
        <f t="shared" si="125"/>
        <v>14016.41</v>
      </c>
      <c r="DX195" s="4">
        <f t="shared" si="125"/>
        <v>712651.69</v>
      </c>
      <c r="DY195" s="4">
        <f t="shared" si="125"/>
        <v>0</v>
      </c>
      <c r="DZ195" s="4">
        <f t="shared" si="125"/>
        <v>1076.0517371999999</v>
      </c>
      <c r="EA195" s="4">
        <f t="shared" si="125"/>
        <v>0</v>
      </c>
      <c r="EB195" s="4">
        <f t="shared" si="125"/>
        <v>0</v>
      </c>
      <c r="EC195" s="4">
        <f t="shared" si="125"/>
        <v>690585.77</v>
      </c>
      <c r="ED195" s="4">
        <f t="shared" si="125"/>
        <v>364720.59</v>
      </c>
      <c r="EE195" s="4">
        <f t="shared" si="125"/>
        <v>0</v>
      </c>
      <c r="EF195" s="4">
        <f t="shared" si="125"/>
        <v>0</v>
      </c>
      <c r="EG195" s="4">
        <f t="shared" si="125"/>
        <v>0</v>
      </c>
      <c r="EH195" s="4">
        <f t="shared" si="125"/>
        <v>1614192.26</v>
      </c>
      <c r="EI195" s="4">
        <f t="shared" si="125"/>
        <v>0</v>
      </c>
      <c r="EJ195" s="4">
        <f t="shared" si="125"/>
        <v>3600841.43</v>
      </c>
      <c r="EK195" s="4">
        <f t="shared" si="125"/>
        <v>0</v>
      </c>
      <c r="EL195" s="4">
        <f t="shared" si="125"/>
        <v>1986649.17</v>
      </c>
      <c r="EM195" s="4">
        <f t="shared" ref="EM195:FR195" si="126">EM248</f>
        <v>0</v>
      </c>
      <c r="EN195" s="4">
        <f t="shared" si="126"/>
        <v>1806366.05</v>
      </c>
      <c r="EO195" s="4">
        <f t="shared" si="126"/>
        <v>192173.79</v>
      </c>
      <c r="EP195" s="4">
        <f t="shared" si="126"/>
        <v>0</v>
      </c>
      <c r="EQ195" s="4">
        <f t="shared" si="126"/>
        <v>192173.79</v>
      </c>
      <c r="ER195" s="4">
        <f t="shared" si="126"/>
        <v>1614192.26</v>
      </c>
      <c r="ES195" s="4">
        <f t="shared" si="126"/>
        <v>0</v>
      </c>
      <c r="ET195" s="4">
        <f t="shared" si="126"/>
        <v>0</v>
      </c>
      <c r="EU195" s="4">
        <f t="shared" si="126"/>
        <v>0</v>
      </c>
      <c r="EV195" s="4">
        <f t="shared" si="126"/>
        <v>0</v>
      </c>
      <c r="EW195" s="4">
        <f t="shared" si="126"/>
        <v>0</v>
      </c>
      <c r="EX195" s="4">
        <f t="shared" si="126"/>
        <v>0</v>
      </c>
      <c r="EY195" s="4">
        <f t="shared" si="126"/>
        <v>0</v>
      </c>
      <c r="EZ195" s="4">
        <f t="shared" si="126"/>
        <v>0</v>
      </c>
      <c r="FA195" s="4">
        <f t="shared" si="126"/>
        <v>0</v>
      </c>
      <c r="FB195" s="4">
        <f t="shared" si="126"/>
        <v>0</v>
      </c>
      <c r="FC195" s="4">
        <f t="shared" si="126"/>
        <v>0</v>
      </c>
      <c r="FD195" s="4">
        <f t="shared" si="126"/>
        <v>0</v>
      </c>
      <c r="FE195" s="4">
        <f t="shared" si="126"/>
        <v>0</v>
      </c>
      <c r="FF195" s="4">
        <f t="shared" si="126"/>
        <v>0</v>
      </c>
      <c r="FG195" s="4">
        <f t="shared" si="126"/>
        <v>0</v>
      </c>
      <c r="FH195" s="4">
        <f t="shared" si="126"/>
        <v>0</v>
      </c>
      <c r="FI195" s="4">
        <f t="shared" si="126"/>
        <v>0</v>
      </c>
      <c r="FJ195" s="4">
        <f t="shared" si="126"/>
        <v>0</v>
      </c>
      <c r="FK195" s="4">
        <f t="shared" si="126"/>
        <v>0</v>
      </c>
      <c r="FL195" s="4">
        <f t="shared" si="126"/>
        <v>0</v>
      </c>
      <c r="FM195" s="4">
        <f t="shared" si="126"/>
        <v>0</v>
      </c>
      <c r="FN195" s="4">
        <f t="shared" si="126"/>
        <v>0</v>
      </c>
      <c r="FO195" s="4">
        <f t="shared" si="126"/>
        <v>0</v>
      </c>
      <c r="FP195" s="4">
        <f t="shared" si="126"/>
        <v>0</v>
      </c>
      <c r="FQ195" s="4">
        <f t="shared" si="126"/>
        <v>1614192.26</v>
      </c>
      <c r="FR195" s="4">
        <f t="shared" si="126"/>
        <v>0</v>
      </c>
      <c r="FS195" s="4">
        <f t="shared" ref="FS195:GX195" si="127">FS248</f>
        <v>3600841.43</v>
      </c>
      <c r="FT195" s="4">
        <f t="shared" si="127"/>
        <v>0</v>
      </c>
      <c r="FU195" s="4">
        <f t="shared" si="127"/>
        <v>1986649.17</v>
      </c>
      <c r="FV195" s="4">
        <f t="shared" si="127"/>
        <v>0</v>
      </c>
      <c r="FW195" s="4">
        <f t="shared" si="127"/>
        <v>1806366.05</v>
      </c>
      <c r="FX195" s="4">
        <f t="shared" si="127"/>
        <v>192173.79000000004</v>
      </c>
      <c r="FY195" s="4">
        <f t="shared" si="127"/>
        <v>0</v>
      </c>
      <c r="FZ195" s="4">
        <f t="shared" si="127"/>
        <v>192173.79000000004</v>
      </c>
      <c r="GA195" s="4">
        <f t="shared" si="127"/>
        <v>1614192.26</v>
      </c>
      <c r="GB195" s="4">
        <f t="shared" si="127"/>
        <v>0</v>
      </c>
      <c r="GC195" s="4">
        <f t="shared" si="127"/>
        <v>0</v>
      </c>
      <c r="GD195" s="4">
        <f t="shared" si="127"/>
        <v>0</v>
      </c>
      <c r="GE195" s="4">
        <f t="shared" si="127"/>
        <v>0</v>
      </c>
      <c r="GF195" s="4">
        <f t="shared" si="127"/>
        <v>0</v>
      </c>
      <c r="GG195" s="4">
        <f t="shared" si="127"/>
        <v>0</v>
      </c>
      <c r="GH195" s="4">
        <f t="shared" si="127"/>
        <v>0</v>
      </c>
      <c r="GI195" s="4">
        <f t="shared" si="127"/>
        <v>0</v>
      </c>
      <c r="GJ195" s="4">
        <f t="shared" si="127"/>
        <v>0</v>
      </c>
      <c r="GK195" s="4">
        <f t="shared" si="127"/>
        <v>0</v>
      </c>
      <c r="GL195" s="4">
        <f t="shared" si="127"/>
        <v>0</v>
      </c>
      <c r="GM195" s="4">
        <f t="shared" si="127"/>
        <v>0</v>
      </c>
      <c r="GN195" s="4">
        <f t="shared" si="127"/>
        <v>0</v>
      </c>
      <c r="GO195" s="4">
        <f t="shared" si="127"/>
        <v>0</v>
      </c>
      <c r="GP195" s="4">
        <f t="shared" si="127"/>
        <v>0</v>
      </c>
      <c r="GQ195" s="4">
        <f t="shared" si="127"/>
        <v>0</v>
      </c>
      <c r="GR195" s="4">
        <f t="shared" si="127"/>
        <v>0</v>
      </c>
      <c r="GS195" s="4">
        <f t="shared" si="127"/>
        <v>0</v>
      </c>
      <c r="GT195" s="4">
        <f t="shared" si="127"/>
        <v>0</v>
      </c>
      <c r="GU195" s="4">
        <f t="shared" si="127"/>
        <v>0</v>
      </c>
      <c r="GV195" s="4">
        <f t="shared" si="127"/>
        <v>0</v>
      </c>
      <c r="GW195" s="4">
        <f t="shared" si="127"/>
        <v>0</v>
      </c>
      <c r="GX195" s="4">
        <f t="shared" si="127"/>
        <v>0</v>
      </c>
    </row>
    <row r="197" spans="1:255" x14ac:dyDescent="0.2">
      <c r="A197" s="2">
        <v>17</v>
      </c>
      <c r="B197" s="2">
        <v>1</v>
      </c>
      <c r="C197" s="2">
        <f>ROW(SmtRes!A133)</f>
        <v>133</v>
      </c>
      <c r="D197" s="2">
        <f>ROW(EtalonRes!A161)</f>
        <v>161</v>
      </c>
      <c r="E197" s="2" t="s">
        <v>202</v>
      </c>
      <c r="F197" s="2" t="s">
        <v>203</v>
      </c>
      <c r="G197" s="2" t="s">
        <v>204</v>
      </c>
      <c r="H197" s="2" t="s">
        <v>21</v>
      </c>
      <c r="I197" s="2">
        <v>1</v>
      </c>
      <c r="J197" s="2">
        <v>0</v>
      </c>
      <c r="K197" s="2">
        <v>1</v>
      </c>
      <c r="L197" s="2"/>
      <c r="M197" s="2"/>
      <c r="N197" s="2"/>
      <c r="O197" s="2">
        <f t="shared" ref="O197:O228" si="128">ROUND(CP197,2)</f>
        <v>93.97</v>
      </c>
      <c r="P197" s="2">
        <f>ROUND((ROUND((AC197*AW197*I197),2)*BC197),2)</f>
        <v>4.83</v>
      </c>
      <c r="Q197" s="2">
        <f>(ROUND((ROUND((((ET197*1.1))*AV197*I197),2)*BB197),2)+ROUND((ROUND(((AE197-((EU197*1.1)))*AV197*I197),2)*BS197),2))</f>
        <v>0.06</v>
      </c>
      <c r="R197" s="2">
        <f t="shared" ref="R197:R228" si="129">ROUND((ROUND((AE197*AV197*I197),2)*BS197),2)</f>
        <v>0.01</v>
      </c>
      <c r="S197" s="2">
        <f t="shared" ref="S197:S228" si="130">ROUND((ROUND((AF197*AV197*I197),2)*BA197),2)</f>
        <v>89.08</v>
      </c>
      <c r="T197" s="2">
        <f t="shared" ref="T197:T228" si="131">ROUND(CU197*I197,2)</f>
        <v>0</v>
      </c>
      <c r="U197" s="2">
        <f t="shared" ref="U197:U228" si="132">CV197*I197</f>
        <v>6.5646899999999997</v>
      </c>
      <c r="V197" s="2">
        <f t="shared" ref="V197:V228" si="133">CW197*I197</f>
        <v>0</v>
      </c>
      <c r="W197" s="2">
        <f t="shared" ref="W197:W228" si="134">ROUND(CX197*I197,2)</f>
        <v>0</v>
      </c>
      <c r="X197" s="2">
        <f t="shared" ref="X197:X228" si="135">ROUND(CY197,2)</f>
        <v>80.180000000000007</v>
      </c>
      <c r="Y197" s="2">
        <f t="shared" ref="Y197:Y228" si="136">ROUND(CZ197,2)</f>
        <v>40.98</v>
      </c>
      <c r="Z197" s="2"/>
      <c r="AA197" s="2">
        <v>56959434</v>
      </c>
      <c r="AB197" s="2">
        <f t="shared" ref="AB197:AB228" si="137">ROUND((AC197+AD197+AF197),6)</f>
        <v>89.97</v>
      </c>
      <c r="AC197" s="2">
        <f t="shared" ref="AC197:AC228" si="138">ROUND((ES197),6)</f>
        <v>4.83</v>
      </c>
      <c r="AD197" s="2">
        <f>ROUND(((((ET197*1.1))-((EU197*1.1)))+AE197),6)</f>
        <v>5.5E-2</v>
      </c>
      <c r="AE197" s="2">
        <f>ROUND(((EU197*1.1)),6)</f>
        <v>1.0999999999999999E-2</v>
      </c>
      <c r="AF197" s="2">
        <f>ROUND(((EV197*1.1)),6)</f>
        <v>85.084999999999994</v>
      </c>
      <c r="AG197" s="2">
        <f t="shared" ref="AG197:AG228" si="139">ROUND((AP197),6)</f>
        <v>0</v>
      </c>
      <c r="AH197" s="2">
        <f>((EW197*1.1))</f>
        <v>6.2700000000000005</v>
      </c>
      <c r="AI197" s="2">
        <f>((EX197*1.1))</f>
        <v>0</v>
      </c>
      <c r="AJ197" s="2">
        <f t="shared" ref="AJ197:AJ228" si="140">(AS197)</f>
        <v>0</v>
      </c>
      <c r="AK197" s="2">
        <v>82.23</v>
      </c>
      <c r="AL197" s="2">
        <v>4.83</v>
      </c>
      <c r="AM197" s="2">
        <v>0.05</v>
      </c>
      <c r="AN197" s="2">
        <v>0.01</v>
      </c>
      <c r="AO197" s="2">
        <v>77.349999999999994</v>
      </c>
      <c r="AP197" s="2">
        <v>0</v>
      </c>
      <c r="AQ197" s="2">
        <v>5.7</v>
      </c>
      <c r="AR197" s="2">
        <v>0</v>
      </c>
      <c r="AS197" s="2">
        <v>0</v>
      </c>
      <c r="AT197" s="2">
        <v>90</v>
      </c>
      <c r="AU197" s="2">
        <v>46</v>
      </c>
      <c r="AV197" s="2">
        <v>1.0469999999999999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0</v>
      </c>
      <c r="BI197" s="2">
        <v>2</v>
      </c>
      <c r="BJ197" s="2" t="s">
        <v>205</v>
      </c>
      <c r="BK197" s="2"/>
      <c r="BL197" s="2"/>
      <c r="BM197" s="2">
        <v>68</v>
      </c>
      <c r="BN197" s="2">
        <v>55992028</v>
      </c>
      <c r="BO197" s="2" t="s">
        <v>203</v>
      </c>
      <c r="BP197" s="2">
        <v>1</v>
      </c>
      <c r="BQ197" s="2">
        <v>40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90</v>
      </c>
      <c r="CA197" s="2">
        <v>46</v>
      </c>
      <c r="CB197" s="2" t="s">
        <v>3</v>
      </c>
      <c r="CC197" s="2"/>
      <c r="CD197" s="2"/>
      <c r="CE197" s="2">
        <v>30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673</v>
      </c>
      <c r="CO197" s="2">
        <v>0</v>
      </c>
      <c r="CP197" s="2">
        <f t="shared" ref="CP197:CP228" si="141">(P197+Q197+S197)</f>
        <v>93.97</v>
      </c>
      <c r="CQ197" s="2">
        <f>ROUND((ROUND((AC197*AW197*1),2)*BC197),2)</f>
        <v>4.83</v>
      </c>
      <c r="CR197" s="2">
        <f>(ROUND((ROUND((((ET197*1.1))*AV197*1),2)*BB197),2)+ROUND((ROUND(((AE197-((EU197*1.1)))*AV197*1),2)*BS197),2))</f>
        <v>0.06</v>
      </c>
      <c r="CS197" s="2">
        <f t="shared" ref="CS197:CS228" si="142">ROUND((ROUND((AE197*AV197*1),2)*BS197),2)</f>
        <v>0.01</v>
      </c>
      <c r="CT197" s="2">
        <f t="shared" ref="CT197:CT228" si="143">ROUND((ROUND((AF197*AV197*1),2)*BA197),2)</f>
        <v>89.08</v>
      </c>
      <c r="CU197" s="2">
        <f t="shared" ref="CU197:CU228" si="144">AG197</f>
        <v>0</v>
      </c>
      <c r="CV197" s="2">
        <f t="shared" ref="CV197:CV228" si="145">(AH197*AV197)</f>
        <v>6.5646899999999997</v>
      </c>
      <c r="CW197" s="2">
        <f t="shared" ref="CW197:CW228" si="146">AI197</f>
        <v>0</v>
      </c>
      <c r="CX197" s="2">
        <f t="shared" ref="CX197:CX228" si="147">AJ197</f>
        <v>0</v>
      </c>
      <c r="CY197" s="2">
        <f t="shared" ref="CY197:CY228" si="148">(((S197+R197)*AT197)/100)</f>
        <v>80.180999999999997</v>
      </c>
      <c r="CZ197" s="2">
        <f t="shared" ref="CZ197:CZ228" si="149">(((S197+R197)*AU197)/100)</f>
        <v>40.981400000000001</v>
      </c>
      <c r="DA197" s="2"/>
      <c r="DB197" s="2"/>
      <c r="DC197" s="2" t="s">
        <v>3</v>
      </c>
      <c r="DD197" s="2" t="s">
        <v>3</v>
      </c>
      <c r="DE197" s="2" t="s">
        <v>23</v>
      </c>
      <c r="DF197" s="2" t="s">
        <v>23</v>
      </c>
      <c r="DG197" s="2" t="s">
        <v>23</v>
      </c>
      <c r="DH197" s="2" t="s">
        <v>3</v>
      </c>
      <c r="DI197" s="2" t="s">
        <v>23</v>
      </c>
      <c r="DJ197" s="2" t="s">
        <v>23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1013</v>
      </c>
      <c r="DV197" s="2" t="s">
        <v>21</v>
      </c>
      <c r="DW197" s="2" t="s">
        <v>21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55992152</v>
      </c>
      <c r="EF197" s="2">
        <v>40</v>
      </c>
      <c r="EG197" s="2" t="s">
        <v>24</v>
      </c>
      <c r="EH197" s="2">
        <v>0</v>
      </c>
      <c r="EI197" s="2" t="s">
        <v>3</v>
      </c>
      <c r="EJ197" s="2">
        <v>2</v>
      </c>
      <c r="EK197" s="2">
        <v>68</v>
      </c>
      <c r="EL197" s="2" t="s">
        <v>41</v>
      </c>
      <c r="EM197" s="2" t="s">
        <v>42</v>
      </c>
      <c r="EN197" s="2"/>
      <c r="EO197" s="2" t="s">
        <v>27</v>
      </c>
      <c r="EP197" s="2"/>
      <c r="EQ197" s="2">
        <v>0</v>
      </c>
      <c r="ER197" s="2">
        <v>82.23</v>
      </c>
      <c r="ES197" s="2">
        <v>4.83</v>
      </c>
      <c r="ET197" s="2">
        <v>0.05</v>
      </c>
      <c r="EU197" s="2">
        <v>0.01</v>
      </c>
      <c r="EV197" s="2">
        <v>77.349999999999994</v>
      </c>
      <c r="EW197" s="2">
        <v>5.7</v>
      </c>
      <c r="EX197" s="2">
        <v>0</v>
      </c>
      <c r="EY197" s="2">
        <v>0</v>
      </c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90</v>
      </c>
      <c r="FY197" s="2">
        <v>46</v>
      </c>
      <c r="FZ197" s="2"/>
      <c r="GA197" s="2" t="s">
        <v>3</v>
      </c>
      <c r="GB197" s="2"/>
      <c r="GC197" s="2"/>
      <c r="GD197" s="2">
        <v>1</v>
      </c>
      <c r="GE197" s="2"/>
      <c r="GF197" s="2">
        <v>1762388533</v>
      </c>
      <c r="GG197" s="2">
        <v>2</v>
      </c>
      <c r="GH197" s="2">
        <v>1</v>
      </c>
      <c r="GI197" s="2">
        <v>2</v>
      </c>
      <c r="GJ197" s="2">
        <v>0</v>
      </c>
      <c r="GK197" s="2">
        <v>0</v>
      </c>
      <c r="GL197" s="2">
        <f t="shared" ref="GL197:GL228" si="150">ROUND(IF(AND(BH197=3,BI197=3,FS197&lt;&gt;0),P197,0),2)</f>
        <v>0</v>
      </c>
      <c r="GM197" s="2">
        <f t="shared" ref="GM197:GM228" si="151">ROUND(O197+X197+Y197,2)+GX197</f>
        <v>215.13</v>
      </c>
      <c r="GN197" s="2">
        <f t="shared" ref="GN197:GN228" si="152">IF(OR(BI197=0,BI197=1),GM197-GX197,0)</f>
        <v>0</v>
      </c>
      <c r="GO197" s="2">
        <f t="shared" ref="GO197:GO228" si="153">IF(BI197=2,GM197-GX197,0)</f>
        <v>215.13</v>
      </c>
      <c r="GP197" s="2">
        <f t="shared" ref="GP197:GP228" si="154">IF(BI197=4,GM197-GX197,0)</f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ref="GV197:GV228" si="155">ROUND((GT197),6)</f>
        <v>0</v>
      </c>
      <c r="GW197" s="2">
        <v>1</v>
      </c>
      <c r="GX197" s="2">
        <f t="shared" ref="GX197:GX228" si="156">ROUND(HC197*I197,2)</f>
        <v>0</v>
      </c>
      <c r="GY197" s="2"/>
      <c r="GZ197" s="2"/>
      <c r="HA197" s="2">
        <v>0</v>
      </c>
      <c r="HB197" s="2">
        <v>0</v>
      </c>
      <c r="HC197" s="2">
        <f t="shared" ref="HC197:HC228" si="157">GV197*GW197</f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>
        <v>17</v>
      </c>
      <c r="B198">
        <v>1</v>
      </c>
      <c r="C198">
        <f>ROW(SmtRes!A134)</f>
        <v>134</v>
      </c>
      <c r="D198">
        <f>ROW(EtalonRes!A162)</f>
        <v>162</v>
      </c>
      <c r="E198" t="s">
        <v>202</v>
      </c>
      <c r="F198" t="s">
        <v>203</v>
      </c>
      <c r="G198" t="s">
        <v>204</v>
      </c>
      <c r="H198" t="s">
        <v>21</v>
      </c>
      <c r="I198">
        <v>1</v>
      </c>
      <c r="J198">
        <v>0</v>
      </c>
      <c r="K198">
        <v>1</v>
      </c>
      <c r="O198">
        <f t="shared" si="128"/>
        <v>4947.42</v>
      </c>
      <c r="P198">
        <f>ROUND((ROUND((AC198*AW198*I198),2)*BC198),2)</f>
        <v>47.77</v>
      </c>
      <c r="Q198">
        <f>(ROUND((ROUND((((ET198*1.1))*AV198*I198),2)*BB198),2)+ROUND((ROUND(((AE198-((EU198*1.1)))*AV198*I198),2)*BS198),2))</f>
        <v>1.1399999999999999</v>
      </c>
      <c r="R198">
        <f t="shared" si="129"/>
        <v>0.55000000000000004</v>
      </c>
      <c r="S198">
        <f t="shared" si="130"/>
        <v>4898.51</v>
      </c>
      <c r="T198">
        <f t="shared" si="131"/>
        <v>0</v>
      </c>
      <c r="U198">
        <f t="shared" si="132"/>
        <v>6.5646899999999997</v>
      </c>
      <c r="V198">
        <f t="shared" si="133"/>
        <v>0</v>
      </c>
      <c r="W198">
        <f t="shared" si="134"/>
        <v>0</v>
      </c>
      <c r="X198">
        <f t="shared" si="135"/>
        <v>4409.1499999999996</v>
      </c>
      <c r="Y198">
        <f t="shared" si="136"/>
        <v>2253.5700000000002</v>
      </c>
      <c r="AA198">
        <v>56959431</v>
      </c>
      <c r="AB198">
        <f t="shared" si="137"/>
        <v>89.97</v>
      </c>
      <c r="AC198">
        <f t="shared" si="138"/>
        <v>4.83</v>
      </c>
      <c r="AD198">
        <f>ROUND(((((ET198*1.1))-((EU198*1.1)))+AE198),6)</f>
        <v>5.5E-2</v>
      </c>
      <c r="AE198">
        <f>ROUND(((EU198*1.1)),6)</f>
        <v>1.0999999999999999E-2</v>
      </c>
      <c r="AF198">
        <f>ROUND(((EV198*1.1)),6)</f>
        <v>85.084999999999994</v>
      </c>
      <c r="AG198">
        <f t="shared" si="139"/>
        <v>0</v>
      </c>
      <c r="AH198">
        <f>((EW198*1.1))</f>
        <v>6.2700000000000005</v>
      </c>
      <c r="AI198">
        <f>((EX198*1.1))</f>
        <v>0</v>
      </c>
      <c r="AJ198">
        <f t="shared" si="140"/>
        <v>0</v>
      </c>
      <c r="AK198">
        <v>82.23</v>
      </c>
      <c r="AL198">
        <v>4.83</v>
      </c>
      <c r="AM198">
        <v>0.05</v>
      </c>
      <c r="AN198">
        <v>0.01</v>
      </c>
      <c r="AO198">
        <v>77.349999999999994</v>
      </c>
      <c r="AP198">
        <v>0</v>
      </c>
      <c r="AQ198">
        <v>5.7</v>
      </c>
      <c r="AR198">
        <v>0</v>
      </c>
      <c r="AS198">
        <v>0</v>
      </c>
      <c r="AT198">
        <v>90</v>
      </c>
      <c r="AU198">
        <v>46</v>
      </c>
      <c r="AV198">
        <v>1.0469999999999999</v>
      </c>
      <c r="AW198">
        <v>1</v>
      </c>
      <c r="AZ198">
        <v>1</v>
      </c>
      <c r="BA198">
        <v>54.99</v>
      </c>
      <c r="BB198">
        <v>19</v>
      </c>
      <c r="BC198">
        <v>9.89</v>
      </c>
      <c r="BD198" t="s">
        <v>3</v>
      </c>
      <c r="BE198" t="s">
        <v>3</v>
      </c>
      <c r="BF198" t="s">
        <v>3</v>
      </c>
      <c r="BG198" t="s">
        <v>3</v>
      </c>
      <c r="BH198">
        <v>0</v>
      </c>
      <c r="BI198">
        <v>2</v>
      </c>
      <c r="BJ198" t="s">
        <v>205</v>
      </c>
      <c r="BM198">
        <v>68</v>
      </c>
      <c r="BN198">
        <v>55992028</v>
      </c>
      <c r="BO198" t="s">
        <v>203</v>
      </c>
      <c r="BP198">
        <v>1</v>
      </c>
      <c r="BQ198">
        <v>40</v>
      </c>
      <c r="BR198">
        <v>0</v>
      </c>
      <c r="BS198">
        <v>54.99</v>
      </c>
      <c r="BT198">
        <v>1</v>
      </c>
      <c r="BU198">
        <v>1</v>
      </c>
      <c r="BV198">
        <v>1</v>
      </c>
      <c r="BW198">
        <v>1</v>
      </c>
      <c r="BX198">
        <v>1</v>
      </c>
      <c r="BY198" t="s">
        <v>3</v>
      </c>
      <c r="BZ198">
        <v>90</v>
      </c>
      <c r="CA198">
        <v>46</v>
      </c>
      <c r="CB198" t="s">
        <v>3</v>
      </c>
      <c r="CE198">
        <v>30</v>
      </c>
      <c r="CF198">
        <v>0</v>
      </c>
      <c r="CG198">
        <v>0</v>
      </c>
      <c r="CM198">
        <v>0</v>
      </c>
      <c r="CN198" t="s">
        <v>673</v>
      </c>
      <c r="CO198">
        <v>0</v>
      </c>
      <c r="CP198">
        <f t="shared" si="141"/>
        <v>4947.42</v>
      </c>
      <c r="CQ198">
        <f>ROUND((ROUND((AC198*AW198*1),2)*BC198),2)</f>
        <v>47.77</v>
      </c>
      <c r="CR198">
        <f>(ROUND((ROUND((((ET198*1.1))*AV198*1),2)*BB198),2)+ROUND((ROUND(((AE198-((EU198*1.1)))*AV198*1),2)*BS198),2))</f>
        <v>1.1399999999999999</v>
      </c>
      <c r="CS198">
        <f t="shared" si="142"/>
        <v>0.55000000000000004</v>
      </c>
      <c r="CT198">
        <f t="shared" si="143"/>
        <v>4898.51</v>
      </c>
      <c r="CU198">
        <f t="shared" si="144"/>
        <v>0</v>
      </c>
      <c r="CV198">
        <f t="shared" si="145"/>
        <v>6.5646899999999997</v>
      </c>
      <c r="CW198">
        <f t="shared" si="146"/>
        <v>0</v>
      </c>
      <c r="CX198">
        <f t="shared" si="147"/>
        <v>0</v>
      </c>
      <c r="CY198">
        <f t="shared" si="148"/>
        <v>4409.1540000000005</v>
      </c>
      <c r="CZ198">
        <f t="shared" si="149"/>
        <v>2253.5676000000003</v>
      </c>
      <c r="DC198" t="s">
        <v>3</v>
      </c>
      <c r="DD198" t="s">
        <v>3</v>
      </c>
      <c r="DE198" t="s">
        <v>23</v>
      </c>
      <c r="DF198" t="s">
        <v>23</v>
      </c>
      <c r="DG198" t="s">
        <v>23</v>
      </c>
      <c r="DH198" t="s">
        <v>3</v>
      </c>
      <c r="DI198" t="s">
        <v>23</v>
      </c>
      <c r="DJ198" t="s">
        <v>23</v>
      </c>
      <c r="DK198" t="s">
        <v>3</v>
      </c>
      <c r="DL198" t="s">
        <v>3</v>
      </c>
      <c r="DM198" t="s">
        <v>3</v>
      </c>
      <c r="DN198">
        <v>0</v>
      </c>
      <c r="DO198">
        <v>0</v>
      </c>
      <c r="DP198">
        <v>1</v>
      </c>
      <c r="DQ198">
        <v>1</v>
      </c>
      <c r="DU198">
        <v>1013</v>
      </c>
      <c r="DV198" t="s">
        <v>21</v>
      </c>
      <c r="DW198" t="s">
        <v>21</v>
      </c>
      <c r="DX198">
        <v>1</v>
      </c>
      <c r="DZ198" t="s">
        <v>3</v>
      </c>
      <c r="EA198" t="s">
        <v>3</v>
      </c>
      <c r="EB198" t="s">
        <v>3</v>
      </c>
      <c r="EC198" t="s">
        <v>3</v>
      </c>
      <c r="EE198">
        <v>55992152</v>
      </c>
      <c r="EF198">
        <v>40</v>
      </c>
      <c r="EG198" t="s">
        <v>24</v>
      </c>
      <c r="EH198">
        <v>0</v>
      </c>
      <c r="EI198" t="s">
        <v>3</v>
      </c>
      <c r="EJ198">
        <v>2</v>
      </c>
      <c r="EK198">
        <v>68</v>
      </c>
      <c r="EL198" t="s">
        <v>41</v>
      </c>
      <c r="EM198" t="s">
        <v>42</v>
      </c>
      <c r="EO198" t="s">
        <v>27</v>
      </c>
      <c r="EQ198">
        <v>0</v>
      </c>
      <c r="ER198">
        <v>82.23</v>
      </c>
      <c r="ES198">
        <v>4.83</v>
      </c>
      <c r="ET198">
        <v>0.05</v>
      </c>
      <c r="EU198">
        <v>0.01</v>
      </c>
      <c r="EV198">
        <v>77.349999999999994</v>
      </c>
      <c r="EW198">
        <v>5.7</v>
      </c>
      <c r="EX198">
        <v>0</v>
      </c>
      <c r="EY198">
        <v>0</v>
      </c>
      <c r="FQ198">
        <v>0</v>
      </c>
      <c r="FR198">
        <v>0</v>
      </c>
      <c r="FS198">
        <v>0</v>
      </c>
      <c r="FX198">
        <v>90</v>
      </c>
      <c r="FY198">
        <v>46</v>
      </c>
      <c r="GA198" t="s">
        <v>3</v>
      </c>
      <c r="GD198">
        <v>1</v>
      </c>
      <c r="GF198">
        <v>1762388533</v>
      </c>
      <c r="GG198">
        <v>2</v>
      </c>
      <c r="GH198">
        <v>1</v>
      </c>
      <c r="GI198">
        <v>2</v>
      </c>
      <c r="GJ198">
        <v>0</v>
      </c>
      <c r="GK198">
        <v>0</v>
      </c>
      <c r="GL198">
        <f t="shared" si="150"/>
        <v>0</v>
      </c>
      <c r="GM198">
        <f t="shared" si="151"/>
        <v>11610.14</v>
      </c>
      <c r="GN198">
        <f t="shared" si="152"/>
        <v>0</v>
      </c>
      <c r="GO198">
        <f t="shared" si="153"/>
        <v>11610.14</v>
      </c>
      <c r="GP198">
        <f t="shared" si="154"/>
        <v>0</v>
      </c>
      <c r="GR198">
        <v>0</v>
      </c>
      <c r="GS198">
        <v>3</v>
      </c>
      <c r="GT198">
        <v>0</v>
      </c>
      <c r="GU198" t="s">
        <v>3</v>
      </c>
      <c r="GV198">
        <f t="shared" si="155"/>
        <v>0</v>
      </c>
      <c r="GW198">
        <v>1</v>
      </c>
      <c r="GX198">
        <f t="shared" si="156"/>
        <v>0</v>
      </c>
      <c r="HA198">
        <v>0</v>
      </c>
      <c r="HB198">
        <v>0</v>
      </c>
      <c r="HC198">
        <f t="shared" si="157"/>
        <v>0</v>
      </c>
      <c r="HE198" t="s">
        <v>3</v>
      </c>
      <c r="HF198" t="s">
        <v>3</v>
      </c>
      <c r="HM198" t="s">
        <v>3</v>
      </c>
      <c r="HN198" t="s">
        <v>3</v>
      </c>
      <c r="HO198" t="s">
        <v>3</v>
      </c>
      <c r="HP198" t="s">
        <v>3</v>
      </c>
      <c r="HQ198" t="s">
        <v>3</v>
      </c>
      <c r="HS198">
        <v>0</v>
      </c>
      <c r="IK198">
        <v>0</v>
      </c>
    </row>
    <row r="199" spans="1:255" x14ac:dyDescent="0.2">
      <c r="A199" s="2">
        <v>17</v>
      </c>
      <c r="B199" s="2">
        <v>1</v>
      </c>
      <c r="C199" s="2"/>
      <c r="D199" s="2"/>
      <c r="E199" s="2" t="s">
        <v>206</v>
      </c>
      <c r="F199" s="2" t="s">
        <v>207</v>
      </c>
      <c r="G199" s="2" t="s">
        <v>208</v>
      </c>
      <c r="H199" s="2" t="s">
        <v>31</v>
      </c>
      <c r="I199" s="2">
        <v>1</v>
      </c>
      <c r="J199" s="2">
        <v>0</v>
      </c>
      <c r="K199" s="2">
        <v>1</v>
      </c>
      <c r="L199" s="2"/>
      <c r="M199" s="2"/>
      <c r="N199" s="2"/>
      <c r="O199" s="2">
        <f t="shared" si="128"/>
        <v>4873.9799999999996</v>
      </c>
      <c r="P199" s="2">
        <f>ROUND((ROUND((AC199*I199),2)*BC199),2)</f>
        <v>4873.9799999999996</v>
      </c>
      <c r="Q199" s="2">
        <f>(ROUND((ROUND(((ET199)*AV199*I199),2)*BB199),2)+ROUND((ROUND(((AE199-(EU199))*AV199*I199),2)*BS199),2))</f>
        <v>0</v>
      </c>
      <c r="R199" s="2">
        <f t="shared" si="129"/>
        <v>0</v>
      </c>
      <c r="S199" s="2">
        <f t="shared" si="130"/>
        <v>0</v>
      </c>
      <c r="T199" s="2">
        <f t="shared" si="131"/>
        <v>0</v>
      </c>
      <c r="U199" s="2">
        <f t="shared" si="132"/>
        <v>0</v>
      </c>
      <c r="V199" s="2">
        <f t="shared" si="133"/>
        <v>0</v>
      </c>
      <c r="W199" s="2">
        <f t="shared" si="134"/>
        <v>0</v>
      </c>
      <c r="X199" s="2">
        <f t="shared" si="135"/>
        <v>0</v>
      </c>
      <c r="Y199" s="2">
        <f t="shared" si="136"/>
        <v>0</v>
      </c>
      <c r="Z199" s="2"/>
      <c r="AA199" s="2">
        <v>56959434</v>
      </c>
      <c r="AB199" s="2">
        <f t="shared" si="137"/>
        <v>4873.9799999999996</v>
      </c>
      <c r="AC199" s="2">
        <f t="shared" si="138"/>
        <v>4873.9799999999996</v>
      </c>
      <c r="AD199" s="2">
        <f>ROUND((((ET199)-(EU199))+AE199),6)</f>
        <v>0</v>
      </c>
      <c r="AE199" s="2">
        <f>ROUND((EU199),6)</f>
        <v>0</v>
      </c>
      <c r="AF199" s="2">
        <f>ROUND((EV199),6)</f>
        <v>0</v>
      </c>
      <c r="AG199" s="2">
        <f t="shared" si="139"/>
        <v>0</v>
      </c>
      <c r="AH199" s="2">
        <f>(EW199)</f>
        <v>0</v>
      </c>
      <c r="AI199" s="2">
        <f>(EX199)</f>
        <v>0</v>
      </c>
      <c r="AJ199" s="2">
        <f t="shared" si="140"/>
        <v>0</v>
      </c>
      <c r="AK199" s="2">
        <v>4873.9799999999996</v>
      </c>
      <c r="AL199" s="2">
        <v>4873.9799999999996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3</v>
      </c>
      <c r="BJ199" s="2" t="s">
        <v>3</v>
      </c>
      <c r="BK199" s="2"/>
      <c r="BL199" s="2"/>
      <c r="BM199" s="2">
        <v>746</v>
      </c>
      <c r="BN199" s="2">
        <v>0</v>
      </c>
      <c r="BO199" s="2" t="s">
        <v>3</v>
      </c>
      <c r="BP199" s="2">
        <v>0</v>
      </c>
      <c r="BQ199" s="2">
        <v>130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0</v>
      </c>
      <c r="CA199" s="2">
        <v>0</v>
      </c>
      <c r="CB199" s="2" t="s">
        <v>3</v>
      </c>
      <c r="CC199" s="2"/>
      <c r="CD199" s="2"/>
      <c r="CE199" s="2">
        <v>30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41"/>
        <v>4873.9799999999996</v>
      </c>
      <c r="CQ199" s="2">
        <f>ROUND((ROUND((AC199*1),2)*BC199),2)</f>
        <v>4873.9799999999996</v>
      </c>
      <c r="CR199" s="2">
        <f>(ROUND((ROUND(((ET199)*AV199*1),2)*BB199),2)+ROUND((ROUND(((AE199-(EU199))*AV199*1),2)*BS199),2))</f>
        <v>0</v>
      </c>
      <c r="CS199" s="2">
        <f t="shared" si="142"/>
        <v>0</v>
      </c>
      <c r="CT199" s="2">
        <f t="shared" si="143"/>
        <v>0</v>
      </c>
      <c r="CU199" s="2">
        <f t="shared" si="144"/>
        <v>0</v>
      </c>
      <c r="CV199" s="2">
        <f t="shared" si="145"/>
        <v>0</v>
      </c>
      <c r="CW199" s="2">
        <f t="shared" si="146"/>
        <v>0</v>
      </c>
      <c r="CX199" s="2">
        <f t="shared" si="147"/>
        <v>0</v>
      </c>
      <c r="CY199" s="2">
        <f t="shared" si="148"/>
        <v>0</v>
      </c>
      <c r="CZ199" s="2">
        <f t="shared" si="149"/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1010</v>
      </c>
      <c r="DV199" s="2" t="s">
        <v>31</v>
      </c>
      <c r="DW199" s="2" t="s">
        <v>31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55992259</v>
      </c>
      <c r="EF199" s="2">
        <v>130</v>
      </c>
      <c r="EG199" s="2" t="s">
        <v>32</v>
      </c>
      <c r="EH199" s="2">
        <v>0</v>
      </c>
      <c r="EI199" s="2" t="s">
        <v>3</v>
      </c>
      <c r="EJ199" s="2">
        <v>3</v>
      </c>
      <c r="EK199" s="2">
        <v>746</v>
      </c>
      <c r="EL199" s="2" t="s">
        <v>33</v>
      </c>
      <c r="EM199" s="2" t="s">
        <v>34</v>
      </c>
      <c r="EN199" s="2"/>
      <c r="EO199" s="2" t="s">
        <v>3</v>
      </c>
      <c r="EP199" s="2"/>
      <c r="EQ199" s="2">
        <v>0</v>
      </c>
      <c r="ER199" s="2">
        <v>0</v>
      </c>
      <c r="ES199" s="2">
        <v>4873.9799999999996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f>P199</f>
        <v>4873.9799999999996</v>
      </c>
      <c r="FS199" s="2">
        <v>0</v>
      </c>
      <c r="FT199" s="2"/>
      <c r="FU199" s="2"/>
      <c r="FV199" s="2"/>
      <c r="FW199" s="2"/>
      <c r="FX199" s="2">
        <v>0</v>
      </c>
      <c r="FY199" s="2">
        <v>0</v>
      </c>
      <c r="FZ199" s="2"/>
      <c r="GA199" s="2" t="s">
        <v>209</v>
      </c>
      <c r="GB199" s="2"/>
      <c r="GC199" s="2"/>
      <c r="GD199" s="2">
        <v>1</v>
      </c>
      <c r="GE199" s="2"/>
      <c r="GF199" s="2">
        <v>49221312</v>
      </c>
      <c r="GG199" s="2">
        <v>2</v>
      </c>
      <c r="GH199" s="2">
        <v>4</v>
      </c>
      <c r="GI199" s="2">
        <v>-2</v>
      </c>
      <c r="GJ199" s="2">
        <v>0</v>
      </c>
      <c r="GK199" s="2">
        <v>0</v>
      </c>
      <c r="GL199" s="2">
        <f t="shared" si="150"/>
        <v>0</v>
      </c>
      <c r="GM199" s="2">
        <f t="shared" si="151"/>
        <v>4873.9799999999996</v>
      </c>
      <c r="GN199" s="2">
        <f t="shared" si="152"/>
        <v>0</v>
      </c>
      <c r="GO199" s="2">
        <f t="shared" si="153"/>
        <v>0</v>
      </c>
      <c r="GP199" s="2">
        <f t="shared" si="154"/>
        <v>0</v>
      </c>
      <c r="GQ199" s="2"/>
      <c r="GR199" s="2">
        <v>0</v>
      </c>
      <c r="GS199" s="2">
        <v>2</v>
      </c>
      <c r="GT199" s="2">
        <v>0</v>
      </c>
      <c r="GU199" s="2" t="s">
        <v>3</v>
      </c>
      <c r="GV199" s="2">
        <f t="shared" si="155"/>
        <v>0</v>
      </c>
      <c r="GW199" s="2">
        <v>1</v>
      </c>
      <c r="GX199" s="2">
        <f t="shared" si="156"/>
        <v>0</v>
      </c>
      <c r="GY199" s="2"/>
      <c r="GZ199" s="2"/>
      <c r="HA199" s="2">
        <v>0</v>
      </c>
      <c r="HB199" s="2">
        <v>0</v>
      </c>
      <c r="HC199" s="2">
        <f t="shared" si="157"/>
        <v>0</v>
      </c>
      <c r="HD199" s="2"/>
      <c r="HE199" s="2" t="s">
        <v>36</v>
      </c>
      <c r="HF199" s="2" t="s">
        <v>37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">
      <c r="A200">
        <v>17</v>
      </c>
      <c r="B200">
        <v>1</v>
      </c>
      <c r="E200" t="s">
        <v>206</v>
      </c>
      <c r="F200" t="s">
        <v>207</v>
      </c>
      <c r="G200" t="s">
        <v>208</v>
      </c>
      <c r="H200" t="s">
        <v>31</v>
      </c>
      <c r="I200">
        <v>1</v>
      </c>
      <c r="J200">
        <v>0</v>
      </c>
      <c r="K200">
        <v>1</v>
      </c>
      <c r="O200">
        <f t="shared" si="128"/>
        <v>37334.69</v>
      </c>
      <c r="P200">
        <f>ROUND((ROUND((AC200*I200),2)*BC200),2)</f>
        <v>37334.69</v>
      </c>
      <c r="Q200">
        <f>(ROUND((ROUND(((ET200)*AV200*I200),2)*BB200),2)+ROUND((ROUND(((AE200-(EU200))*AV200*I200),2)*BS200),2))</f>
        <v>0</v>
      </c>
      <c r="R200">
        <f t="shared" si="129"/>
        <v>0</v>
      </c>
      <c r="S200">
        <f t="shared" si="130"/>
        <v>0</v>
      </c>
      <c r="T200">
        <f t="shared" si="131"/>
        <v>0</v>
      </c>
      <c r="U200">
        <f t="shared" si="132"/>
        <v>0</v>
      </c>
      <c r="V200">
        <f t="shared" si="133"/>
        <v>0</v>
      </c>
      <c r="W200">
        <f t="shared" si="134"/>
        <v>0</v>
      </c>
      <c r="X200">
        <f t="shared" si="135"/>
        <v>0</v>
      </c>
      <c r="Y200">
        <f t="shared" si="136"/>
        <v>0</v>
      </c>
      <c r="AA200">
        <v>56959431</v>
      </c>
      <c r="AB200">
        <f t="shared" si="137"/>
        <v>4873.9799999999996</v>
      </c>
      <c r="AC200">
        <f t="shared" si="138"/>
        <v>4873.9799999999996</v>
      </c>
      <c r="AD200">
        <f>ROUND((((ET200)-(EU200))+AE200),6)</f>
        <v>0</v>
      </c>
      <c r="AE200">
        <f>ROUND((EU200),6)</f>
        <v>0</v>
      </c>
      <c r="AF200">
        <f>ROUND((EV200),6)</f>
        <v>0</v>
      </c>
      <c r="AG200">
        <f t="shared" si="139"/>
        <v>0</v>
      </c>
      <c r="AH200">
        <f>(EW200)</f>
        <v>0</v>
      </c>
      <c r="AI200">
        <f>(EX200)</f>
        <v>0</v>
      </c>
      <c r="AJ200">
        <f t="shared" si="140"/>
        <v>0</v>
      </c>
      <c r="AK200">
        <v>4873.9799999999996</v>
      </c>
      <c r="AL200">
        <v>4873.9799999999996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1</v>
      </c>
      <c r="AZ200">
        <v>1</v>
      </c>
      <c r="BA200">
        <v>1</v>
      </c>
      <c r="BB200">
        <v>1</v>
      </c>
      <c r="BC200">
        <v>7.66</v>
      </c>
      <c r="BD200" t="s">
        <v>3</v>
      </c>
      <c r="BE200" t="s">
        <v>3</v>
      </c>
      <c r="BF200" t="s">
        <v>3</v>
      </c>
      <c r="BG200" t="s">
        <v>3</v>
      </c>
      <c r="BH200">
        <v>3</v>
      </c>
      <c r="BI200">
        <v>3</v>
      </c>
      <c r="BJ200" t="s">
        <v>3</v>
      </c>
      <c r="BM200">
        <v>746</v>
      </c>
      <c r="BN200">
        <v>0</v>
      </c>
      <c r="BO200" t="s">
        <v>3</v>
      </c>
      <c r="BP200">
        <v>0</v>
      </c>
      <c r="BQ200">
        <v>130</v>
      </c>
      <c r="BR200">
        <v>0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 t="s">
        <v>3</v>
      </c>
      <c r="BZ200">
        <v>0</v>
      </c>
      <c r="CA200">
        <v>0</v>
      </c>
      <c r="CB200" t="s">
        <v>3</v>
      </c>
      <c r="CE200">
        <v>30</v>
      </c>
      <c r="CF200">
        <v>0</v>
      </c>
      <c r="CG200">
        <v>0</v>
      </c>
      <c r="CM200">
        <v>0</v>
      </c>
      <c r="CN200" t="s">
        <v>3</v>
      </c>
      <c r="CO200">
        <v>0</v>
      </c>
      <c r="CP200">
        <f t="shared" si="141"/>
        <v>37334.69</v>
      </c>
      <c r="CQ200">
        <f>ROUND((ROUND((AC200*1),2)*BC200),2)</f>
        <v>37334.69</v>
      </c>
      <c r="CR200">
        <f>(ROUND((ROUND(((ET200)*AV200*1),2)*BB200),2)+ROUND((ROUND(((AE200-(EU200))*AV200*1),2)*BS200),2))</f>
        <v>0</v>
      </c>
      <c r="CS200">
        <f t="shared" si="142"/>
        <v>0</v>
      </c>
      <c r="CT200">
        <f t="shared" si="143"/>
        <v>0</v>
      </c>
      <c r="CU200">
        <f t="shared" si="144"/>
        <v>0</v>
      </c>
      <c r="CV200">
        <f t="shared" si="145"/>
        <v>0</v>
      </c>
      <c r="CW200">
        <f t="shared" si="146"/>
        <v>0</v>
      </c>
      <c r="CX200">
        <f t="shared" si="147"/>
        <v>0</v>
      </c>
      <c r="CY200">
        <f t="shared" si="148"/>
        <v>0</v>
      </c>
      <c r="CZ200">
        <f t="shared" si="149"/>
        <v>0</v>
      </c>
      <c r="DC200" t="s">
        <v>3</v>
      </c>
      <c r="DD200" t="s">
        <v>3</v>
      </c>
      <c r="DE200" t="s">
        <v>3</v>
      </c>
      <c r="DF200" t="s">
        <v>3</v>
      </c>
      <c r="DG200" t="s">
        <v>3</v>
      </c>
      <c r="DH200" t="s">
        <v>3</v>
      </c>
      <c r="DI200" t="s">
        <v>3</v>
      </c>
      <c r="DJ200" t="s">
        <v>3</v>
      </c>
      <c r="DK200" t="s">
        <v>3</v>
      </c>
      <c r="DL200" t="s">
        <v>3</v>
      </c>
      <c r="DM200" t="s">
        <v>3</v>
      </c>
      <c r="DN200">
        <v>0</v>
      </c>
      <c r="DO200">
        <v>0</v>
      </c>
      <c r="DP200">
        <v>1</v>
      </c>
      <c r="DQ200">
        <v>1</v>
      </c>
      <c r="DU200">
        <v>1010</v>
      </c>
      <c r="DV200" t="s">
        <v>31</v>
      </c>
      <c r="DW200" t="s">
        <v>31</v>
      </c>
      <c r="DX200">
        <v>1</v>
      </c>
      <c r="DZ200" t="s">
        <v>3</v>
      </c>
      <c r="EA200" t="s">
        <v>3</v>
      </c>
      <c r="EB200" t="s">
        <v>3</v>
      </c>
      <c r="EC200" t="s">
        <v>3</v>
      </c>
      <c r="EE200">
        <v>55992259</v>
      </c>
      <c r="EF200">
        <v>130</v>
      </c>
      <c r="EG200" t="s">
        <v>32</v>
      </c>
      <c r="EH200">
        <v>0</v>
      </c>
      <c r="EI200" t="s">
        <v>3</v>
      </c>
      <c r="EJ200">
        <v>3</v>
      </c>
      <c r="EK200">
        <v>746</v>
      </c>
      <c r="EL200" t="s">
        <v>33</v>
      </c>
      <c r="EM200" t="s">
        <v>34</v>
      </c>
      <c r="EO200" t="s">
        <v>3</v>
      </c>
      <c r="EQ200">
        <v>0</v>
      </c>
      <c r="ER200">
        <v>4873.9799999999996</v>
      </c>
      <c r="ES200">
        <v>4873.9799999999996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5</v>
      </c>
      <c r="FC200">
        <v>1</v>
      </c>
      <c r="FD200">
        <v>18</v>
      </c>
      <c r="FF200">
        <v>42981</v>
      </c>
      <c r="FQ200">
        <v>0</v>
      </c>
      <c r="FR200">
        <f>P200</f>
        <v>37334.69</v>
      </c>
      <c r="FS200">
        <v>0</v>
      </c>
      <c r="FX200">
        <v>0</v>
      </c>
      <c r="FY200">
        <v>0</v>
      </c>
      <c r="GA200" t="s">
        <v>209</v>
      </c>
      <c r="GD200">
        <v>1</v>
      </c>
      <c r="GF200">
        <v>49221312</v>
      </c>
      <c r="GG200">
        <v>2</v>
      </c>
      <c r="GH200">
        <v>3</v>
      </c>
      <c r="GI200">
        <v>5</v>
      </c>
      <c r="GJ200">
        <v>0</v>
      </c>
      <c r="GK200">
        <v>0</v>
      </c>
      <c r="GL200">
        <f t="shared" si="150"/>
        <v>0</v>
      </c>
      <c r="GM200">
        <f t="shared" si="151"/>
        <v>37334.69</v>
      </c>
      <c r="GN200">
        <f t="shared" si="152"/>
        <v>0</v>
      </c>
      <c r="GO200">
        <f t="shared" si="153"/>
        <v>0</v>
      </c>
      <c r="GP200">
        <f t="shared" si="154"/>
        <v>0</v>
      </c>
      <c r="GR200">
        <v>1</v>
      </c>
      <c r="GS200">
        <v>1</v>
      </c>
      <c r="GT200">
        <v>0</v>
      </c>
      <c r="GU200" t="s">
        <v>3</v>
      </c>
      <c r="GV200">
        <f t="shared" si="155"/>
        <v>0</v>
      </c>
      <c r="GW200">
        <v>1</v>
      </c>
      <c r="GX200">
        <f t="shared" si="156"/>
        <v>0</v>
      </c>
      <c r="HA200">
        <v>0</v>
      </c>
      <c r="HB200">
        <v>0</v>
      </c>
      <c r="HC200">
        <f t="shared" si="157"/>
        <v>0</v>
      </c>
      <c r="HE200" t="s">
        <v>36</v>
      </c>
      <c r="HF200" t="s">
        <v>37</v>
      </c>
      <c r="HM200" t="s">
        <v>3</v>
      </c>
      <c r="HN200" t="s">
        <v>3</v>
      </c>
      <c r="HO200" t="s">
        <v>3</v>
      </c>
      <c r="HP200" t="s">
        <v>3</v>
      </c>
      <c r="HQ200" t="s">
        <v>3</v>
      </c>
      <c r="HS200">
        <v>0</v>
      </c>
      <c r="IK200">
        <v>0</v>
      </c>
    </row>
    <row r="201" spans="1:255" x14ac:dyDescent="0.2">
      <c r="A201" s="2">
        <v>17</v>
      </c>
      <c r="B201" s="2">
        <v>1</v>
      </c>
      <c r="C201" s="2">
        <f>ROW(SmtRes!A136)</f>
        <v>136</v>
      </c>
      <c r="D201" s="2">
        <f>ROW(EtalonRes!A165)</f>
        <v>165</v>
      </c>
      <c r="E201" s="2" t="s">
        <v>210</v>
      </c>
      <c r="F201" s="2" t="s">
        <v>48</v>
      </c>
      <c r="G201" s="2" t="s">
        <v>49</v>
      </c>
      <c r="H201" s="2" t="s">
        <v>21</v>
      </c>
      <c r="I201" s="2">
        <v>186</v>
      </c>
      <c r="J201" s="2">
        <v>0</v>
      </c>
      <c r="K201" s="2">
        <v>186</v>
      </c>
      <c r="L201" s="2"/>
      <c r="M201" s="2"/>
      <c r="N201" s="2"/>
      <c r="O201" s="2">
        <f t="shared" si="128"/>
        <v>2602.73</v>
      </c>
      <c r="P201" s="2">
        <f>ROUND((ROUND((AC201*AW201*I201),2)*BC201),2)</f>
        <v>0</v>
      </c>
      <c r="Q201" s="2">
        <f>(ROUND((ROUND((((ET201*1.1))*AV201*I201),2)*BB201),2)+ROUND((ROUND(((AE201-((EU201*1.1)))*AV201*I201),2)*BS201),2))</f>
        <v>107.11</v>
      </c>
      <c r="R201" s="2">
        <f t="shared" si="129"/>
        <v>17.14</v>
      </c>
      <c r="S201" s="2">
        <f t="shared" si="130"/>
        <v>2495.62</v>
      </c>
      <c r="T201" s="2">
        <f t="shared" si="131"/>
        <v>0</v>
      </c>
      <c r="U201" s="2">
        <f t="shared" si="132"/>
        <v>220.64268600000003</v>
      </c>
      <c r="V201" s="2">
        <f t="shared" si="133"/>
        <v>0</v>
      </c>
      <c r="W201" s="2">
        <f t="shared" si="134"/>
        <v>0</v>
      </c>
      <c r="X201" s="2">
        <f t="shared" si="135"/>
        <v>2261.48</v>
      </c>
      <c r="Y201" s="2">
        <f t="shared" si="136"/>
        <v>1155.8699999999999</v>
      </c>
      <c r="Z201" s="2"/>
      <c r="AA201" s="2">
        <v>56959434</v>
      </c>
      <c r="AB201" s="2">
        <f t="shared" si="137"/>
        <v>13.365</v>
      </c>
      <c r="AC201" s="2">
        <f t="shared" si="138"/>
        <v>0</v>
      </c>
      <c r="AD201" s="2">
        <f>ROUND(((((ET201*1.1))-((EU201*1.1)))+AE201),6)</f>
        <v>0.55000000000000004</v>
      </c>
      <c r="AE201" s="2">
        <f>ROUND(((EU201*1.1)),6)</f>
        <v>8.7999999999999995E-2</v>
      </c>
      <c r="AF201" s="2">
        <f>ROUND(((EV201*1.1)),6)</f>
        <v>12.815</v>
      </c>
      <c r="AG201" s="2">
        <f t="shared" si="139"/>
        <v>0</v>
      </c>
      <c r="AH201" s="2">
        <f>((EW201*1.1))</f>
        <v>1.1330000000000002</v>
      </c>
      <c r="AI201" s="2">
        <f>((EX201*1.1))</f>
        <v>0</v>
      </c>
      <c r="AJ201" s="2">
        <f t="shared" si="140"/>
        <v>0</v>
      </c>
      <c r="AK201" s="2">
        <v>12.15</v>
      </c>
      <c r="AL201" s="2">
        <v>0</v>
      </c>
      <c r="AM201" s="2">
        <v>0.5</v>
      </c>
      <c r="AN201" s="2">
        <v>0.08</v>
      </c>
      <c r="AO201" s="2">
        <v>11.65</v>
      </c>
      <c r="AP201" s="2">
        <v>0</v>
      </c>
      <c r="AQ201" s="2">
        <v>1.03</v>
      </c>
      <c r="AR201" s="2">
        <v>0</v>
      </c>
      <c r="AS201" s="2">
        <v>0</v>
      </c>
      <c r="AT201" s="2">
        <v>90</v>
      </c>
      <c r="AU201" s="2">
        <v>46</v>
      </c>
      <c r="AV201" s="2">
        <v>1.0469999999999999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0</v>
      </c>
      <c r="BI201" s="2">
        <v>2</v>
      </c>
      <c r="BJ201" s="2" t="s">
        <v>50</v>
      </c>
      <c r="BK201" s="2"/>
      <c r="BL201" s="2"/>
      <c r="BM201" s="2">
        <v>72</v>
      </c>
      <c r="BN201" s="2">
        <v>55992028</v>
      </c>
      <c r="BO201" s="2" t="s">
        <v>48</v>
      </c>
      <c r="BP201" s="2">
        <v>1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90</v>
      </c>
      <c r="CA201" s="2">
        <v>46</v>
      </c>
      <c r="CB201" s="2" t="s">
        <v>3</v>
      </c>
      <c r="CC201" s="2"/>
      <c r="CD201" s="2"/>
      <c r="CE201" s="2">
        <v>30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673</v>
      </c>
      <c r="CO201" s="2">
        <v>0</v>
      </c>
      <c r="CP201" s="2">
        <f t="shared" si="141"/>
        <v>2602.73</v>
      </c>
      <c r="CQ201" s="2">
        <f>ROUND((ROUND((AC201*AW201*1),2)*BC201),2)</f>
        <v>0</v>
      </c>
      <c r="CR201" s="2">
        <f>(ROUND((ROUND((((ET201*1.1))*AV201*1),2)*BB201),2)+ROUND((ROUND(((AE201-((EU201*1.1)))*AV201*1),2)*BS201),2))</f>
        <v>0.57999999999999996</v>
      </c>
      <c r="CS201" s="2">
        <f t="shared" si="142"/>
        <v>0.09</v>
      </c>
      <c r="CT201" s="2">
        <f t="shared" si="143"/>
        <v>13.42</v>
      </c>
      <c r="CU201" s="2">
        <f t="shared" si="144"/>
        <v>0</v>
      </c>
      <c r="CV201" s="2">
        <f t="shared" si="145"/>
        <v>1.1862510000000002</v>
      </c>
      <c r="CW201" s="2">
        <f t="shared" si="146"/>
        <v>0</v>
      </c>
      <c r="CX201" s="2">
        <f t="shared" si="147"/>
        <v>0</v>
      </c>
      <c r="CY201" s="2">
        <f t="shared" si="148"/>
        <v>2261.4839999999995</v>
      </c>
      <c r="CZ201" s="2">
        <f t="shared" si="149"/>
        <v>1155.8696</v>
      </c>
      <c r="DA201" s="2"/>
      <c r="DB201" s="2"/>
      <c r="DC201" s="2" t="s">
        <v>3</v>
      </c>
      <c r="DD201" s="2" t="s">
        <v>3</v>
      </c>
      <c r="DE201" s="2" t="s">
        <v>23</v>
      </c>
      <c r="DF201" s="2" t="s">
        <v>23</v>
      </c>
      <c r="DG201" s="2" t="s">
        <v>23</v>
      </c>
      <c r="DH201" s="2" t="s">
        <v>3</v>
      </c>
      <c r="DI201" s="2" t="s">
        <v>23</v>
      </c>
      <c r="DJ201" s="2" t="s">
        <v>23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1013</v>
      </c>
      <c r="DV201" s="2" t="s">
        <v>21</v>
      </c>
      <c r="DW201" s="2" t="s">
        <v>21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55992157</v>
      </c>
      <c r="EF201" s="2">
        <v>40</v>
      </c>
      <c r="EG201" s="2" t="s">
        <v>24</v>
      </c>
      <c r="EH201" s="2">
        <v>0</v>
      </c>
      <c r="EI201" s="2" t="s">
        <v>3</v>
      </c>
      <c r="EJ201" s="2">
        <v>2</v>
      </c>
      <c r="EK201" s="2">
        <v>72</v>
      </c>
      <c r="EL201" s="2" t="s">
        <v>25</v>
      </c>
      <c r="EM201" s="2" t="s">
        <v>26</v>
      </c>
      <c r="EN201" s="2"/>
      <c r="EO201" s="2" t="s">
        <v>27</v>
      </c>
      <c r="EP201" s="2"/>
      <c r="EQ201" s="2">
        <v>0</v>
      </c>
      <c r="ER201" s="2">
        <v>12.15</v>
      </c>
      <c r="ES201" s="2">
        <v>0</v>
      </c>
      <c r="ET201" s="2">
        <v>0.5</v>
      </c>
      <c r="EU201" s="2">
        <v>0.08</v>
      </c>
      <c r="EV201" s="2">
        <v>11.65</v>
      </c>
      <c r="EW201" s="2">
        <v>1.03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90</v>
      </c>
      <c r="FY201" s="2">
        <v>46</v>
      </c>
      <c r="FZ201" s="2"/>
      <c r="GA201" s="2" t="s">
        <v>3</v>
      </c>
      <c r="GB201" s="2"/>
      <c r="GC201" s="2"/>
      <c r="GD201" s="2">
        <v>1</v>
      </c>
      <c r="GE201" s="2"/>
      <c r="GF201" s="2">
        <v>1708693888</v>
      </c>
      <c r="GG201" s="2">
        <v>2</v>
      </c>
      <c r="GH201" s="2">
        <v>1</v>
      </c>
      <c r="GI201" s="2">
        <v>2</v>
      </c>
      <c r="GJ201" s="2">
        <v>0</v>
      </c>
      <c r="GK201" s="2">
        <v>0</v>
      </c>
      <c r="GL201" s="2">
        <f t="shared" si="150"/>
        <v>0</v>
      </c>
      <c r="GM201" s="2">
        <f t="shared" si="151"/>
        <v>6020.08</v>
      </c>
      <c r="GN201" s="2">
        <f t="shared" si="152"/>
        <v>0</v>
      </c>
      <c r="GO201" s="2">
        <f t="shared" si="153"/>
        <v>6020.08</v>
      </c>
      <c r="GP201" s="2">
        <f t="shared" si="154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155"/>
        <v>0</v>
      </c>
      <c r="GW201" s="2">
        <v>1</v>
      </c>
      <c r="GX201" s="2">
        <f t="shared" si="156"/>
        <v>0</v>
      </c>
      <c r="GY201" s="2"/>
      <c r="GZ201" s="2"/>
      <c r="HA201" s="2">
        <v>0</v>
      </c>
      <c r="HB201" s="2">
        <v>0</v>
      </c>
      <c r="HC201" s="2">
        <f t="shared" si="157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>
        <v>17</v>
      </c>
      <c r="B202">
        <v>1</v>
      </c>
      <c r="C202">
        <f>ROW(SmtRes!A138)</f>
        <v>138</v>
      </c>
      <c r="D202">
        <f>ROW(EtalonRes!A168)</f>
        <v>168</v>
      </c>
      <c r="E202" t="s">
        <v>210</v>
      </c>
      <c r="F202" t="s">
        <v>48</v>
      </c>
      <c r="G202" t="s">
        <v>49</v>
      </c>
      <c r="H202" t="s">
        <v>21</v>
      </c>
      <c r="I202">
        <v>186</v>
      </c>
      <c r="J202">
        <v>0</v>
      </c>
      <c r="K202">
        <v>186</v>
      </c>
      <c r="O202">
        <f t="shared" si="128"/>
        <v>138975.75</v>
      </c>
      <c r="P202">
        <f>ROUND((ROUND((AC202*AW202*I202),2)*BC202),2)</f>
        <v>0</v>
      </c>
      <c r="Q202">
        <f>(ROUND((ROUND((((ET202*1.1))*AV202*I202),2)*BB202),2)+ROUND((ROUND(((AE202-((EU202*1.1)))*AV202*I202),2)*BS202),2))</f>
        <v>1741.61</v>
      </c>
      <c r="R202">
        <f t="shared" si="129"/>
        <v>942.53</v>
      </c>
      <c r="S202">
        <f t="shared" si="130"/>
        <v>137234.14000000001</v>
      </c>
      <c r="T202">
        <f t="shared" si="131"/>
        <v>0</v>
      </c>
      <c r="U202">
        <f t="shared" si="132"/>
        <v>220.64268600000003</v>
      </c>
      <c r="V202">
        <f t="shared" si="133"/>
        <v>0</v>
      </c>
      <c r="W202">
        <f t="shared" si="134"/>
        <v>0</v>
      </c>
      <c r="X202">
        <f t="shared" si="135"/>
        <v>124359</v>
      </c>
      <c r="Y202">
        <f t="shared" si="136"/>
        <v>63561.27</v>
      </c>
      <c r="AA202">
        <v>56959431</v>
      </c>
      <c r="AB202">
        <f t="shared" si="137"/>
        <v>13.365</v>
      </c>
      <c r="AC202">
        <f t="shared" si="138"/>
        <v>0</v>
      </c>
      <c r="AD202">
        <f>ROUND(((((ET202*1.1))-((EU202*1.1)))+AE202),6)</f>
        <v>0.55000000000000004</v>
      </c>
      <c r="AE202">
        <f>ROUND(((EU202*1.1)),6)</f>
        <v>8.7999999999999995E-2</v>
      </c>
      <c r="AF202">
        <f>ROUND(((EV202*1.1)),6)</f>
        <v>12.815</v>
      </c>
      <c r="AG202">
        <f t="shared" si="139"/>
        <v>0</v>
      </c>
      <c r="AH202">
        <f>((EW202*1.1))</f>
        <v>1.1330000000000002</v>
      </c>
      <c r="AI202">
        <f>((EX202*1.1))</f>
        <v>0</v>
      </c>
      <c r="AJ202">
        <f t="shared" si="140"/>
        <v>0</v>
      </c>
      <c r="AK202">
        <v>12.15</v>
      </c>
      <c r="AL202">
        <v>0</v>
      </c>
      <c r="AM202">
        <v>0.5</v>
      </c>
      <c r="AN202">
        <v>0.08</v>
      </c>
      <c r="AO202">
        <v>11.65</v>
      </c>
      <c r="AP202">
        <v>0</v>
      </c>
      <c r="AQ202">
        <v>1.03</v>
      </c>
      <c r="AR202">
        <v>0</v>
      </c>
      <c r="AS202">
        <v>0</v>
      </c>
      <c r="AT202">
        <v>90</v>
      </c>
      <c r="AU202">
        <v>46</v>
      </c>
      <c r="AV202">
        <v>1.0469999999999999</v>
      </c>
      <c r="AW202">
        <v>1</v>
      </c>
      <c r="AZ202">
        <v>1</v>
      </c>
      <c r="BA202">
        <v>54.99</v>
      </c>
      <c r="BB202">
        <v>16.260000000000002</v>
      </c>
      <c r="BC202">
        <v>1</v>
      </c>
      <c r="BD202" t="s">
        <v>3</v>
      </c>
      <c r="BE202" t="s">
        <v>3</v>
      </c>
      <c r="BF202" t="s">
        <v>3</v>
      </c>
      <c r="BG202" t="s">
        <v>3</v>
      </c>
      <c r="BH202">
        <v>0</v>
      </c>
      <c r="BI202">
        <v>2</v>
      </c>
      <c r="BJ202" t="s">
        <v>50</v>
      </c>
      <c r="BM202">
        <v>72</v>
      </c>
      <c r="BN202">
        <v>55992028</v>
      </c>
      <c r="BO202" t="s">
        <v>48</v>
      </c>
      <c r="BP202">
        <v>1</v>
      </c>
      <c r="BQ202">
        <v>40</v>
      </c>
      <c r="BR202">
        <v>0</v>
      </c>
      <c r="BS202">
        <v>54.99</v>
      </c>
      <c r="BT202">
        <v>1</v>
      </c>
      <c r="BU202">
        <v>1</v>
      </c>
      <c r="BV202">
        <v>1</v>
      </c>
      <c r="BW202">
        <v>1</v>
      </c>
      <c r="BX202">
        <v>1</v>
      </c>
      <c r="BY202" t="s">
        <v>3</v>
      </c>
      <c r="BZ202">
        <v>90</v>
      </c>
      <c r="CA202">
        <v>46</v>
      </c>
      <c r="CB202" t="s">
        <v>3</v>
      </c>
      <c r="CE202">
        <v>30</v>
      </c>
      <c r="CF202">
        <v>0</v>
      </c>
      <c r="CG202">
        <v>0</v>
      </c>
      <c r="CM202">
        <v>0</v>
      </c>
      <c r="CN202" t="s">
        <v>673</v>
      </c>
      <c r="CO202">
        <v>0</v>
      </c>
      <c r="CP202">
        <f t="shared" si="141"/>
        <v>138975.75</v>
      </c>
      <c r="CQ202">
        <f>ROUND((ROUND((AC202*AW202*1),2)*BC202),2)</f>
        <v>0</v>
      </c>
      <c r="CR202">
        <f>(ROUND((ROUND((((ET202*1.1))*AV202*1),2)*BB202),2)+ROUND((ROUND(((AE202-((EU202*1.1)))*AV202*1),2)*BS202),2))</f>
        <v>9.43</v>
      </c>
      <c r="CS202">
        <f t="shared" si="142"/>
        <v>4.95</v>
      </c>
      <c r="CT202">
        <f t="shared" si="143"/>
        <v>737.97</v>
      </c>
      <c r="CU202">
        <f t="shared" si="144"/>
        <v>0</v>
      </c>
      <c r="CV202">
        <f t="shared" si="145"/>
        <v>1.1862510000000002</v>
      </c>
      <c r="CW202">
        <f t="shared" si="146"/>
        <v>0</v>
      </c>
      <c r="CX202">
        <f t="shared" si="147"/>
        <v>0</v>
      </c>
      <c r="CY202">
        <f t="shared" si="148"/>
        <v>124359.00300000001</v>
      </c>
      <c r="CZ202">
        <f t="shared" si="149"/>
        <v>63561.268200000006</v>
      </c>
      <c r="DC202" t="s">
        <v>3</v>
      </c>
      <c r="DD202" t="s">
        <v>3</v>
      </c>
      <c r="DE202" t="s">
        <v>23</v>
      </c>
      <c r="DF202" t="s">
        <v>23</v>
      </c>
      <c r="DG202" t="s">
        <v>23</v>
      </c>
      <c r="DH202" t="s">
        <v>3</v>
      </c>
      <c r="DI202" t="s">
        <v>23</v>
      </c>
      <c r="DJ202" t="s">
        <v>23</v>
      </c>
      <c r="DK202" t="s">
        <v>3</v>
      </c>
      <c r="DL202" t="s">
        <v>3</v>
      </c>
      <c r="DM202" t="s">
        <v>3</v>
      </c>
      <c r="DN202">
        <v>0</v>
      </c>
      <c r="DO202">
        <v>0</v>
      </c>
      <c r="DP202">
        <v>1</v>
      </c>
      <c r="DQ202">
        <v>1</v>
      </c>
      <c r="DU202">
        <v>1013</v>
      </c>
      <c r="DV202" t="s">
        <v>21</v>
      </c>
      <c r="DW202" t="s">
        <v>21</v>
      </c>
      <c r="DX202">
        <v>1</v>
      </c>
      <c r="DZ202" t="s">
        <v>3</v>
      </c>
      <c r="EA202" t="s">
        <v>3</v>
      </c>
      <c r="EB202" t="s">
        <v>3</v>
      </c>
      <c r="EC202" t="s">
        <v>3</v>
      </c>
      <c r="EE202">
        <v>55992157</v>
      </c>
      <c r="EF202">
        <v>40</v>
      </c>
      <c r="EG202" t="s">
        <v>24</v>
      </c>
      <c r="EH202">
        <v>0</v>
      </c>
      <c r="EI202" t="s">
        <v>3</v>
      </c>
      <c r="EJ202">
        <v>2</v>
      </c>
      <c r="EK202">
        <v>72</v>
      </c>
      <c r="EL202" t="s">
        <v>25</v>
      </c>
      <c r="EM202" t="s">
        <v>26</v>
      </c>
      <c r="EO202" t="s">
        <v>27</v>
      </c>
      <c r="EQ202">
        <v>0</v>
      </c>
      <c r="ER202">
        <v>12.15</v>
      </c>
      <c r="ES202">
        <v>0</v>
      </c>
      <c r="ET202">
        <v>0.5</v>
      </c>
      <c r="EU202">
        <v>0.08</v>
      </c>
      <c r="EV202">
        <v>11.65</v>
      </c>
      <c r="EW202">
        <v>1.03</v>
      </c>
      <c r="EX202">
        <v>0</v>
      </c>
      <c r="EY202">
        <v>0</v>
      </c>
      <c r="FQ202">
        <v>0</v>
      </c>
      <c r="FR202">
        <v>0</v>
      </c>
      <c r="FS202">
        <v>0</v>
      </c>
      <c r="FX202">
        <v>90</v>
      </c>
      <c r="FY202">
        <v>46</v>
      </c>
      <c r="GA202" t="s">
        <v>3</v>
      </c>
      <c r="GD202">
        <v>1</v>
      </c>
      <c r="GF202">
        <v>1708693888</v>
      </c>
      <c r="GG202">
        <v>2</v>
      </c>
      <c r="GH202">
        <v>1</v>
      </c>
      <c r="GI202">
        <v>2</v>
      </c>
      <c r="GJ202">
        <v>0</v>
      </c>
      <c r="GK202">
        <v>0</v>
      </c>
      <c r="GL202">
        <f t="shared" si="150"/>
        <v>0</v>
      </c>
      <c r="GM202">
        <f t="shared" si="151"/>
        <v>326896.02</v>
      </c>
      <c r="GN202">
        <f t="shared" si="152"/>
        <v>0</v>
      </c>
      <c r="GO202">
        <f t="shared" si="153"/>
        <v>326896.02</v>
      </c>
      <c r="GP202">
        <f t="shared" si="154"/>
        <v>0</v>
      </c>
      <c r="GR202">
        <v>0</v>
      </c>
      <c r="GS202">
        <v>3</v>
      </c>
      <c r="GT202">
        <v>0</v>
      </c>
      <c r="GU202" t="s">
        <v>3</v>
      </c>
      <c r="GV202">
        <f t="shared" si="155"/>
        <v>0</v>
      </c>
      <c r="GW202">
        <v>1</v>
      </c>
      <c r="GX202">
        <f t="shared" si="156"/>
        <v>0</v>
      </c>
      <c r="HA202">
        <v>0</v>
      </c>
      <c r="HB202">
        <v>0</v>
      </c>
      <c r="HC202">
        <f t="shared" si="157"/>
        <v>0</v>
      </c>
      <c r="HE202" t="s">
        <v>3</v>
      </c>
      <c r="HF202" t="s">
        <v>3</v>
      </c>
      <c r="HM202" t="s">
        <v>3</v>
      </c>
      <c r="HN202" t="s">
        <v>3</v>
      </c>
      <c r="HO202" t="s">
        <v>3</v>
      </c>
      <c r="HP202" t="s">
        <v>3</v>
      </c>
      <c r="HQ202" t="s">
        <v>3</v>
      </c>
      <c r="HS202">
        <v>0</v>
      </c>
      <c r="IK202">
        <v>0</v>
      </c>
    </row>
    <row r="203" spans="1:255" x14ac:dyDescent="0.2">
      <c r="A203" s="2">
        <v>17</v>
      </c>
      <c r="B203" s="2">
        <v>1</v>
      </c>
      <c r="C203" s="2"/>
      <c r="D203" s="2"/>
      <c r="E203" s="2" t="s">
        <v>211</v>
      </c>
      <c r="F203" s="2" t="s">
        <v>212</v>
      </c>
      <c r="G203" s="2" t="s">
        <v>213</v>
      </c>
      <c r="H203" s="2" t="s">
        <v>31</v>
      </c>
      <c r="I203" s="2">
        <v>186</v>
      </c>
      <c r="J203" s="2">
        <v>0</v>
      </c>
      <c r="K203" s="2">
        <v>186</v>
      </c>
      <c r="L203" s="2"/>
      <c r="M203" s="2"/>
      <c r="N203" s="2"/>
      <c r="O203" s="2">
        <f t="shared" si="128"/>
        <v>87531.6</v>
      </c>
      <c r="P203" s="2">
        <f>ROUND((ROUND((AC203*I203),2)*BC203),2)</f>
        <v>87531.6</v>
      </c>
      <c r="Q203" s="2">
        <f>(ROUND((ROUND(((ET203)*AV203*I203),2)*BB203),2)+ROUND((ROUND(((AE203-(EU203))*AV203*I203),2)*BS203),2))</f>
        <v>0</v>
      </c>
      <c r="R203" s="2">
        <f t="shared" si="129"/>
        <v>0</v>
      </c>
      <c r="S203" s="2">
        <f t="shared" si="130"/>
        <v>0</v>
      </c>
      <c r="T203" s="2">
        <f t="shared" si="131"/>
        <v>0</v>
      </c>
      <c r="U203" s="2">
        <f t="shared" si="132"/>
        <v>0</v>
      </c>
      <c r="V203" s="2">
        <f t="shared" si="133"/>
        <v>0</v>
      </c>
      <c r="W203" s="2">
        <f t="shared" si="134"/>
        <v>0</v>
      </c>
      <c r="X203" s="2">
        <f t="shared" si="135"/>
        <v>0</v>
      </c>
      <c r="Y203" s="2">
        <f t="shared" si="136"/>
        <v>0</v>
      </c>
      <c r="Z203" s="2"/>
      <c r="AA203" s="2">
        <v>56959434</v>
      </c>
      <c r="AB203" s="2">
        <f t="shared" si="137"/>
        <v>470.6</v>
      </c>
      <c r="AC203" s="2">
        <f t="shared" si="138"/>
        <v>470.6</v>
      </c>
      <c r="AD203" s="2">
        <f>ROUND((((ET203)-(EU203))+AE203),6)</f>
        <v>0</v>
      </c>
      <c r="AE203" s="2">
        <f>ROUND((EU203),6)</f>
        <v>0</v>
      </c>
      <c r="AF203" s="2">
        <f>ROUND((EV203),6)</f>
        <v>0</v>
      </c>
      <c r="AG203" s="2">
        <f t="shared" si="139"/>
        <v>0</v>
      </c>
      <c r="AH203" s="2">
        <f>(EW203)</f>
        <v>0</v>
      </c>
      <c r="AI203" s="2">
        <f>(EX203)</f>
        <v>0</v>
      </c>
      <c r="AJ203" s="2">
        <f t="shared" si="140"/>
        <v>0</v>
      </c>
      <c r="AK203" s="2">
        <v>470.6</v>
      </c>
      <c r="AL203" s="2">
        <v>470.6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3</v>
      </c>
      <c r="BJ203" s="2" t="s">
        <v>3</v>
      </c>
      <c r="BK203" s="2"/>
      <c r="BL203" s="2"/>
      <c r="BM203" s="2">
        <v>746</v>
      </c>
      <c r="BN203" s="2">
        <v>0</v>
      </c>
      <c r="BO203" s="2" t="s">
        <v>3</v>
      </c>
      <c r="BP203" s="2">
        <v>0</v>
      </c>
      <c r="BQ203" s="2">
        <v>130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0</v>
      </c>
      <c r="CA203" s="2">
        <v>0</v>
      </c>
      <c r="CB203" s="2" t="s">
        <v>3</v>
      </c>
      <c r="CC203" s="2"/>
      <c r="CD203" s="2"/>
      <c r="CE203" s="2">
        <v>30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3</v>
      </c>
      <c r="CO203" s="2">
        <v>0</v>
      </c>
      <c r="CP203" s="2">
        <f t="shared" si="141"/>
        <v>87531.6</v>
      </c>
      <c r="CQ203" s="2">
        <f>ROUND((ROUND((AC203*1),2)*BC203),2)</f>
        <v>470.6</v>
      </c>
      <c r="CR203" s="2">
        <f>(ROUND((ROUND(((ET203)*AV203*1),2)*BB203),2)+ROUND((ROUND(((AE203-(EU203))*AV203*1),2)*BS203),2))</f>
        <v>0</v>
      </c>
      <c r="CS203" s="2">
        <f t="shared" si="142"/>
        <v>0</v>
      </c>
      <c r="CT203" s="2">
        <f t="shared" si="143"/>
        <v>0</v>
      </c>
      <c r="CU203" s="2">
        <f t="shared" si="144"/>
        <v>0</v>
      </c>
      <c r="CV203" s="2">
        <f t="shared" si="145"/>
        <v>0</v>
      </c>
      <c r="CW203" s="2">
        <f t="shared" si="146"/>
        <v>0</v>
      </c>
      <c r="CX203" s="2">
        <f t="shared" si="147"/>
        <v>0</v>
      </c>
      <c r="CY203" s="2">
        <f t="shared" si="148"/>
        <v>0</v>
      </c>
      <c r="CZ203" s="2">
        <f t="shared" si="149"/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31</v>
      </c>
      <c r="DW203" s="2" t="s">
        <v>31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55992259</v>
      </c>
      <c r="EF203" s="2">
        <v>130</v>
      </c>
      <c r="EG203" s="2" t="s">
        <v>32</v>
      </c>
      <c r="EH203" s="2">
        <v>0</v>
      </c>
      <c r="EI203" s="2" t="s">
        <v>3</v>
      </c>
      <c r="EJ203" s="2">
        <v>3</v>
      </c>
      <c r="EK203" s="2">
        <v>746</v>
      </c>
      <c r="EL203" s="2" t="s">
        <v>33</v>
      </c>
      <c r="EM203" s="2" t="s">
        <v>34</v>
      </c>
      <c r="EN203" s="2"/>
      <c r="EO203" s="2" t="s">
        <v>3</v>
      </c>
      <c r="EP203" s="2"/>
      <c r="EQ203" s="2">
        <v>0</v>
      </c>
      <c r="ER203" s="2">
        <v>0</v>
      </c>
      <c r="ES203" s="2">
        <v>470.6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f>P203</f>
        <v>87531.6</v>
      </c>
      <c r="FS203" s="2">
        <v>0</v>
      </c>
      <c r="FT203" s="2"/>
      <c r="FU203" s="2"/>
      <c r="FV203" s="2"/>
      <c r="FW203" s="2"/>
      <c r="FX203" s="2">
        <v>0</v>
      </c>
      <c r="FY203" s="2">
        <v>0</v>
      </c>
      <c r="FZ203" s="2"/>
      <c r="GA203" s="2" t="s">
        <v>214</v>
      </c>
      <c r="GB203" s="2"/>
      <c r="GC203" s="2"/>
      <c r="GD203" s="2">
        <v>1</v>
      </c>
      <c r="GE203" s="2"/>
      <c r="GF203" s="2">
        <v>-213940152</v>
      </c>
      <c r="GG203" s="2">
        <v>2</v>
      </c>
      <c r="GH203" s="2">
        <v>4</v>
      </c>
      <c r="GI203" s="2">
        <v>-2</v>
      </c>
      <c r="GJ203" s="2">
        <v>0</v>
      </c>
      <c r="GK203" s="2">
        <v>0</v>
      </c>
      <c r="GL203" s="2">
        <f t="shared" si="150"/>
        <v>0</v>
      </c>
      <c r="GM203" s="2">
        <f t="shared" si="151"/>
        <v>87531.6</v>
      </c>
      <c r="GN203" s="2">
        <f t="shared" si="152"/>
        <v>0</v>
      </c>
      <c r="GO203" s="2">
        <f t="shared" si="153"/>
        <v>0</v>
      </c>
      <c r="GP203" s="2">
        <f t="shared" si="154"/>
        <v>0</v>
      </c>
      <c r="GQ203" s="2"/>
      <c r="GR203" s="2">
        <v>0</v>
      </c>
      <c r="GS203" s="2">
        <v>2</v>
      </c>
      <c r="GT203" s="2">
        <v>0</v>
      </c>
      <c r="GU203" s="2" t="s">
        <v>3</v>
      </c>
      <c r="GV203" s="2">
        <f t="shared" si="155"/>
        <v>0</v>
      </c>
      <c r="GW203" s="2">
        <v>1</v>
      </c>
      <c r="GX203" s="2">
        <f t="shared" si="156"/>
        <v>0</v>
      </c>
      <c r="GY203" s="2"/>
      <c r="GZ203" s="2"/>
      <c r="HA203" s="2">
        <v>0</v>
      </c>
      <c r="HB203" s="2">
        <v>0</v>
      </c>
      <c r="HC203" s="2">
        <f t="shared" si="157"/>
        <v>0</v>
      </c>
      <c r="HD203" s="2"/>
      <c r="HE203" s="2" t="s">
        <v>36</v>
      </c>
      <c r="HF203" s="2" t="s">
        <v>37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">
      <c r="A204">
        <v>17</v>
      </c>
      <c r="B204">
        <v>1</v>
      </c>
      <c r="E204" t="s">
        <v>211</v>
      </c>
      <c r="F204" t="s">
        <v>212</v>
      </c>
      <c r="G204" t="s">
        <v>213</v>
      </c>
      <c r="H204" t="s">
        <v>31</v>
      </c>
      <c r="I204">
        <v>186</v>
      </c>
      <c r="J204">
        <v>0</v>
      </c>
      <c r="K204">
        <v>186</v>
      </c>
      <c r="O204">
        <f t="shared" si="128"/>
        <v>670492.06000000006</v>
      </c>
      <c r="P204">
        <f>ROUND((ROUND((AC204*I204),2)*BC204),2)</f>
        <v>670492.06000000006</v>
      </c>
      <c r="Q204">
        <f>(ROUND((ROUND(((ET204)*AV204*I204),2)*BB204),2)+ROUND((ROUND(((AE204-(EU204))*AV204*I204),2)*BS204),2))</f>
        <v>0</v>
      </c>
      <c r="R204">
        <f t="shared" si="129"/>
        <v>0</v>
      </c>
      <c r="S204">
        <f t="shared" si="130"/>
        <v>0</v>
      </c>
      <c r="T204">
        <f t="shared" si="131"/>
        <v>0</v>
      </c>
      <c r="U204">
        <f t="shared" si="132"/>
        <v>0</v>
      </c>
      <c r="V204">
        <f t="shared" si="133"/>
        <v>0</v>
      </c>
      <c r="W204">
        <f t="shared" si="134"/>
        <v>0</v>
      </c>
      <c r="X204">
        <f t="shared" si="135"/>
        <v>0</v>
      </c>
      <c r="Y204">
        <f t="shared" si="136"/>
        <v>0</v>
      </c>
      <c r="AA204">
        <v>56959431</v>
      </c>
      <c r="AB204">
        <f t="shared" si="137"/>
        <v>470.6</v>
      </c>
      <c r="AC204">
        <f t="shared" si="138"/>
        <v>470.6</v>
      </c>
      <c r="AD204">
        <f>ROUND((((ET204)-(EU204))+AE204),6)</f>
        <v>0</v>
      </c>
      <c r="AE204">
        <f>ROUND((EU204),6)</f>
        <v>0</v>
      </c>
      <c r="AF204">
        <f>ROUND((EV204),6)</f>
        <v>0</v>
      </c>
      <c r="AG204">
        <f t="shared" si="139"/>
        <v>0</v>
      </c>
      <c r="AH204">
        <f>(EW204)</f>
        <v>0</v>
      </c>
      <c r="AI204">
        <f>(EX204)</f>
        <v>0</v>
      </c>
      <c r="AJ204">
        <f t="shared" si="140"/>
        <v>0</v>
      </c>
      <c r="AK204">
        <v>470.6</v>
      </c>
      <c r="AL204">
        <v>470.6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1</v>
      </c>
      <c r="AZ204">
        <v>1</v>
      </c>
      <c r="BA204">
        <v>1</v>
      </c>
      <c r="BB204">
        <v>1</v>
      </c>
      <c r="BC204">
        <v>7.66</v>
      </c>
      <c r="BD204" t="s">
        <v>3</v>
      </c>
      <c r="BE204" t="s">
        <v>3</v>
      </c>
      <c r="BF204" t="s">
        <v>3</v>
      </c>
      <c r="BG204" t="s">
        <v>3</v>
      </c>
      <c r="BH204">
        <v>3</v>
      </c>
      <c r="BI204">
        <v>3</v>
      </c>
      <c r="BJ204" t="s">
        <v>3</v>
      </c>
      <c r="BM204">
        <v>746</v>
      </c>
      <c r="BN204">
        <v>0</v>
      </c>
      <c r="BO204" t="s">
        <v>3</v>
      </c>
      <c r="BP204">
        <v>0</v>
      </c>
      <c r="BQ204">
        <v>130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 t="s">
        <v>3</v>
      </c>
      <c r="BZ204">
        <v>0</v>
      </c>
      <c r="CA204">
        <v>0</v>
      </c>
      <c r="CB204" t="s">
        <v>3</v>
      </c>
      <c r="CE204">
        <v>30</v>
      </c>
      <c r="CF204">
        <v>0</v>
      </c>
      <c r="CG204">
        <v>0</v>
      </c>
      <c r="CM204">
        <v>0</v>
      </c>
      <c r="CN204" t="s">
        <v>3</v>
      </c>
      <c r="CO204">
        <v>0</v>
      </c>
      <c r="CP204">
        <f t="shared" si="141"/>
        <v>670492.06000000006</v>
      </c>
      <c r="CQ204">
        <f>ROUND((ROUND((AC204*1),2)*BC204),2)</f>
        <v>3604.8</v>
      </c>
      <c r="CR204">
        <f>(ROUND((ROUND(((ET204)*AV204*1),2)*BB204),2)+ROUND((ROUND(((AE204-(EU204))*AV204*1),2)*BS204),2))</f>
        <v>0</v>
      </c>
      <c r="CS204">
        <f t="shared" si="142"/>
        <v>0</v>
      </c>
      <c r="CT204">
        <f t="shared" si="143"/>
        <v>0</v>
      </c>
      <c r="CU204">
        <f t="shared" si="144"/>
        <v>0</v>
      </c>
      <c r="CV204">
        <f t="shared" si="145"/>
        <v>0</v>
      </c>
      <c r="CW204">
        <f t="shared" si="146"/>
        <v>0</v>
      </c>
      <c r="CX204">
        <f t="shared" si="147"/>
        <v>0</v>
      </c>
      <c r="CY204">
        <f t="shared" si="148"/>
        <v>0</v>
      </c>
      <c r="CZ204">
        <f t="shared" si="149"/>
        <v>0</v>
      </c>
      <c r="DC204" t="s">
        <v>3</v>
      </c>
      <c r="DD204" t="s">
        <v>3</v>
      </c>
      <c r="DE204" t="s">
        <v>3</v>
      </c>
      <c r="DF204" t="s">
        <v>3</v>
      </c>
      <c r="DG204" t="s">
        <v>3</v>
      </c>
      <c r="DH204" t="s">
        <v>3</v>
      </c>
      <c r="DI204" t="s">
        <v>3</v>
      </c>
      <c r="DJ204" t="s">
        <v>3</v>
      </c>
      <c r="DK204" t="s">
        <v>3</v>
      </c>
      <c r="DL204" t="s">
        <v>3</v>
      </c>
      <c r="DM204" t="s">
        <v>3</v>
      </c>
      <c r="DN204">
        <v>0</v>
      </c>
      <c r="DO204">
        <v>0</v>
      </c>
      <c r="DP204">
        <v>1</v>
      </c>
      <c r="DQ204">
        <v>1</v>
      </c>
      <c r="DU204">
        <v>1010</v>
      </c>
      <c r="DV204" t="s">
        <v>31</v>
      </c>
      <c r="DW204" t="s">
        <v>31</v>
      </c>
      <c r="DX204">
        <v>1</v>
      </c>
      <c r="DZ204" t="s">
        <v>3</v>
      </c>
      <c r="EA204" t="s">
        <v>3</v>
      </c>
      <c r="EB204" t="s">
        <v>3</v>
      </c>
      <c r="EC204" t="s">
        <v>3</v>
      </c>
      <c r="EE204">
        <v>55992259</v>
      </c>
      <c r="EF204">
        <v>130</v>
      </c>
      <c r="EG204" t="s">
        <v>32</v>
      </c>
      <c r="EH204">
        <v>0</v>
      </c>
      <c r="EI204" t="s">
        <v>3</v>
      </c>
      <c r="EJ204">
        <v>3</v>
      </c>
      <c r="EK204">
        <v>746</v>
      </c>
      <c r="EL204" t="s">
        <v>33</v>
      </c>
      <c r="EM204" t="s">
        <v>34</v>
      </c>
      <c r="EO204" t="s">
        <v>3</v>
      </c>
      <c r="EQ204">
        <v>0</v>
      </c>
      <c r="ER204">
        <v>470.6</v>
      </c>
      <c r="ES204">
        <v>470.6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5</v>
      </c>
      <c r="FC204">
        <v>1</v>
      </c>
      <c r="FD204">
        <v>18</v>
      </c>
      <c r="FF204">
        <v>4150</v>
      </c>
      <c r="FQ204">
        <v>0</v>
      </c>
      <c r="FR204">
        <f>P204</f>
        <v>670492.06000000006</v>
      </c>
      <c r="FS204">
        <v>0</v>
      </c>
      <c r="FX204">
        <v>0</v>
      </c>
      <c r="FY204">
        <v>0</v>
      </c>
      <c r="GA204" t="s">
        <v>214</v>
      </c>
      <c r="GD204">
        <v>1</v>
      </c>
      <c r="GF204">
        <v>-213940152</v>
      </c>
      <c r="GG204">
        <v>2</v>
      </c>
      <c r="GH204">
        <v>3</v>
      </c>
      <c r="GI204">
        <v>5</v>
      </c>
      <c r="GJ204">
        <v>0</v>
      </c>
      <c r="GK204">
        <v>0</v>
      </c>
      <c r="GL204">
        <f t="shared" si="150"/>
        <v>0</v>
      </c>
      <c r="GM204">
        <f t="shared" si="151"/>
        <v>670492.06000000006</v>
      </c>
      <c r="GN204">
        <f t="shared" si="152"/>
        <v>0</v>
      </c>
      <c r="GO204">
        <f t="shared" si="153"/>
        <v>0</v>
      </c>
      <c r="GP204">
        <f t="shared" si="154"/>
        <v>0</v>
      </c>
      <c r="GR204">
        <v>1</v>
      </c>
      <c r="GS204">
        <v>1</v>
      </c>
      <c r="GT204">
        <v>0</v>
      </c>
      <c r="GU204" t="s">
        <v>3</v>
      </c>
      <c r="GV204">
        <f t="shared" si="155"/>
        <v>0</v>
      </c>
      <c r="GW204">
        <v>1</v>
      </c>
      <c r="GX204">
        <f t="shared" si="156"/>
        <v>0</v>
      </c>
      <c r="HA204">
        <v>0</v>
      </c>
      <c r="HB204">
        <v>0</v>
      </c>
      <c r="HC204">
        <f t="shared" si="157"/>
        <v>0</v>
      </c>
      <c r="HE204" t="s">
        <v>36</v>
      </c>
      <c r="HF204" t="s">
        <v>37</v>
      </c>
      <c r="HM204" t="s">
        <v>3</v>
      </c>
      <c r="HN204" t="s">
        <v>3</v>
      </c>
      <c r="HO204" t="s">
        <v>3</v>
      </c>
      <c r="HP204" t="s">
        <v>3</v>
      </c>
      <c r="HQ204" t="s">
        <v>3</v>
      </c>
      <c r="HS204">
        <v>0</v>
      </c>
      <c r="IK204">
        <v>0</v>
      </c>
    </row>
    <row r="205" spans="1:255" x14ac:dyDescent="0.2">
      <c r="A205" s="2">
        <v>17</v>
      </c>
      <c r="B205" s="2">
        <v>1</v>
      </c>
      <c r="C205" s="2">
        <f>ROW(SmtRes!A139)</f>
        <v>139</v>
      </c>
      <c r="D205" s="2">
        <f>ROW(EtalonRes!A169)</f>
        <v>169</v>
      </c>
      <c r="E205" s="2" t="s">
        <v>215</v>
      </c>
      <c r="F205" s="2" t="s">
        <v>216</v>
      </c>
      <c r="G205" s="2" t="s">
        <v>217</v>
      </c>
      <c r="H205" s="2" t="s">
        <v>21</v>
      </c>
      <c r="I205" s="2">
        <v>17</v>
      </c>
      <c r="J205" s="2">
        <v>0</v>
      </c>
      <c r="K205" s="2">
        <v>17</v>
      </c>
      <c r="L205" s="2"/>
      <c r="M205" s="2"/>
      <c r="N205" s="2"/>
      <c r="O205" s="2">
        <f t="shared" si="128"/>
        <v>348.93</v>
      </c>
      <c r="P205" s="2">
        <f>ROUND((ROUND((AC205*AW205*I205),2)*BC205),2)</f>
        <v>33.32</v>
      </c>
      <c r="Q205" s="2">
        <f>(ROUND((ROUND((((ET205*1.1))*AV205*I205),2)*BB205),2)+ROUND((ROUND(((AE205-((EU205*1.1)))*AV205*I205),2)*BS205),2))</f>
        <v>0.98</v>
      </c>
      <c r="R205" s="2">
        <f t="shared" si="129"/>
        <v>0.2</v>
      </c>
      <c r="S205" s="2">
        <f t="shared" si="130"/>
        <v>314.63</v>
      </c>
      <c r="T205" s="2">
        <f t="shared" si="131"/>
        <v>0</v>
      </c>
      <c r="U205" s="2">
        <f t="shared" si="132"/>
        <v>23.494679999999999</v>
      </c>
      <c r="V205" s="2">
        <f t="shared" si="133"/>
        <v>0</v>
      </c>
      <c r="W205" s="2">
        <f t="shared" si="134"/>
        <v>0</v>
      </c>
      <c r="X205" s="2">
        <f t="shared" si="135"/>
        <v>283.35000000000002</v>
      </c>
      <c r="Y205" s="2">
        <f t="shared" si="136"/>
        <v>144.82</v>
      </c>
      <c r="Z205" s="2"/>
      <c r="AA205" s="2">
        <v>56959434</v>
      </c>
      <c r="AB205" s="2">
        <f t="shared" si="137"/>
        <v>19.692</v>
      </c>
      <c r="AC205" s="2">
        <f t="shared" si="138"/>
        <v>1.96</v>
      </c>
      <c r="AD205" s="2">
        <f>ROUND(((((ET205*1.1))-((EU205*1.1)))+AE205),6)</f>
        <v>5.5E-2</v>
      </c>
      <c r="AE205" s="2">
        <f>ROUND(((EU205*1.1)),6)</f>
        <v>1.0999999999999999E-2</v>
      </c>
      <c r="AF205" s="2">
        <f>ROUND(((EV205*1.1)),6)</f>
        <v>17.677</v>
      </c>
      <c r="AG205" s="2">
        <f t="shared" si="139"/>
        <v>0</v>
      </c>
      <c r="AH205" s="2">
        <f>((EW205*1.1))</f>
        <v>1.32</v>
      </c>
      <c r="AI205" s="2">
        <f>((EX205*1.1))</f>
        <v>0</v>
      </c>
      <c r="AJ205" s="2">
        <f t="shared" si="140"/>
        <v>0</v>
      </c>
      <c r="AK205" s="2">
        <v>18.079999999999998</v>
      </c>
      <c r="AL205" s="2">
        <v>1.96</v>
      </c>
      <c r="AM205" s="2">
        <v>0.05</v>
      </c>
      <c r="AN205" s="2">
        <v>0.01</v>
      </c>
      <c r="AO205" s="2">
        <v>16.07</v>
      </c>
      <c r="AP205" s="2">
        <v>0</v>
      </c>
      <c r="AQ205" s="2">
        <v>1.2</v>
      </c>
      <c r="AR205" s="2">
        <v>0</v>
      </c>
      <c r="AS205" s="2">
        <v>0</v>
      </c>
      <c r="AT205" s="2">
        <v>90</v>
      </c>
      <c r="AU205" s="2">
        <v>46</v>
      </c>
      <c r="AV205" s="2">
        <v>1.0469999999999999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0</v>
      </c>
      <c r="BI205" s="2">
        <v>2</v>
      </c>
      <c r="BJ205" s="2" t="s">
        <v>218</v>
      </c>
      <c r="BK205" s="2"/>
      <c r="BL205" s="2"/>
      <c r="BM205" s="2">
        <v>68</v>
      </c>
      <c r="BN205" s="2">
        <v>55992028</v>
      </c>
      <c r="BO205" s="2" t="s">
        <v>216</v>
      </c>
      <c r="BP205" s="2">
        <v>1</v>
      </c>
      <c r="BQ205" s="2">
        <v>40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90</v>
      </c>
      <c r="CA205" s="2">
        <v>46</v>
      </c>
      <c r="CB205" s="2" t="s">
        <v>3</v>
      </c>
      <c r="CC205" s="2"/>
      <c r="CD205" s="2"/>
      <c r="CE205" s="2">
        <v>30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673</v>
      </c>
      <c r="CO205" s="2">
        <v>0</v>
      </c>
      <c r="CP205" s="2">
        <f t="shared" si="141"/>
        <v>348.93</v>
      </c>
      <c r="CQ205" s="2">
        <f>ROUND((ROUND((AC205*AW205*1),2)*BC205),2)</f>
        <v>1.96</v>
      </c>
      <c r="CR205" s="2">
        <f>(ROUND((ROUND((((ET205*1.1))*AV205*1),2)*BB205),2)+ROUND((ROUND(((AE205-((EU205*1.1)))*AV205*1),2)*BS205),2))</f>
        <v>0.06</v>
      </c>
      <c r="CS205" s="2">
        <f t="shared" si="142"/>
        <v>0.01</v>
      </c>
      <c r="CT205" s="2">
        <f t="shared" si="143"/>
        <v>18.510000000000002</v>
      </c>
      <c r="CU205" s="2">
        <f t="shared" si="144"/>
        <v>0</v>
      </c>
      <c r="CV205" s="2">
        <f t="shared" si="145"/>
        <v>1.3820399999999999</v>
      </c>
      <c r="CW205" s="2">
        <f t="shared" si="146"/>
        <v>0</v>
      </c>
      <c r="CX205" s="2">
        <f t="shared" si="147"/>
        <v>0</v>
      </c>
      <c r="CY205" s="2">
        <f t="shared" si="148"/>
        <v>283.34699999999998</v>
      </c>
      <c r="CZ205" s="2">
        <f t="shared" si="149"/>
        <v>144.8218</v>
      </c>
      <c r="DA205" s="2"/>
      <c r="DB205" s="2"/>
      <c r="DC205" s="2" t="s">
        <v>3</v>
      </c>
      <c r="DD205" s="2" t="s">
        <v>3</v>
      </c>
      <c r="DE205" s="2" t="s">
        <v>23</v>
      </c>
      <c r="DF205" s="2" t="s">
        <v>23</v>
      </c>
      <c r="DG205" s="2" t="s">
        <v>23</v>
      </c>
      <c r="DH205" s="2" t="s">
        <v>3</v>
      </c>
      <c r="DI205" s="2" t="s">
        <v>23</v>
      </c>
      <c r="DJ205" s="2" t="s">
        <v>23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1013</v>
      </c>
      <c r="DV205" s="2" t="s">
        <v>21</v>
      </c>
      <c r="DW205" s="2" t="s">
        <v>21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55992152</v>
      </c>
      <c r="EF205" s="2">
        <v>40</v>
      </c>
      <c r="EG205" s="2" t="s">
        <v>24</v>
      </c>
      <c r="EH205" s="2">
        <v>0</v>
      </c>
      <c r="EI205" s="2" t="s">
        <v>3</v>
      </c>
      <c r="EJ205" s="2">
        <v>2</v>
      </c>
      <c r="EK205" s="2">
        <v>68</v>
      </c>
      <c r="EL205" s="2" t="s">
        <v>41</v>
      </c>
      <c r="EM205" s="2" t="s">
        <v>42</v>
      </c>
      <c r="EN205" s="2"/>
      <c r="EO205" s="2" t="s">
        <v>27</v>
      </c>
      <c r="EP205" s="2"/>
      <c r="EQ205" s="2">
        <v>0</v>
      </c>
      <c r="ER205" s="2">
        <v>18.079999999999998</v>
      </c>
      <c r="ES205" s="2">
        <v>1.96</v>
      </c>
      <c r="ET205" s="2">
        <v>0.05</v>
      </c>
      <c r="EU205" s="2">
        <v>0.01</v>
      </c>
      <c r="EV205" s="2">
        <v>16.07</v>
      </c>
      <c r="EW205" s="2">
        <v>1.2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0</v>
      </c>
      <c r="FT205" s="2"/>
      <c r="FU205" s="2"/>
      <c r="FV205" s="2"/>
      <c r="FW205" s="2"/>
      <c r="FX205" s="2">
        <v>90</v>
      </c>
      <c r="FY205" s="2">
        <v>46</v>
      </c>
      <c r="FZ205" s="2"/>
      <c r="GA205" s="2" t="s">
        <v>3</v>
      </c>
      <c r="GB205" s="2"/>
      <c r="GC205" s="2"/>
      <c r="GD205" s="2">
        <v>1</v>
      </c>
      <c r="GE205" s="2"/>
      <c r="GF205" s="2">
        <v>1665592289</v>
      </c>
      <c r="GG205" s="2">
        <v>2</v>
      </c>
      <c r="GH205" s="2">
        <v>1</v>
      </c>
      <c r="GI205" s="2">
        <v>2</v>
      </c>
      <c r="GJ205" s="2">
        <v>0</v>
      </c>
      <c r="GK205" s="2">
        <v>0</v>
      </c>
      <c r="GL205" s="2">
        <f t="shared" si="150"/>
        <v>0</v>
      </c>
      <c r="GM205" s="2">
        <f t="shared" si="151"/>
        <v>777.1</v>
      </c>
      <c r="GN205" s="2">
        <f t="shared" si="152"/>
        <v>0</v>
      </c>
      <c r="GO205" s="2">
        <f t="shared" si="153"/>
        <v>777.1</v>
      </c>
      <c r="GP205" s="2">
        <f t="shared" si="154"/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si="155"/>
        <v>0</v>
      </c>
      <c r="GW205" s="2">
        <v>1</v>
      </c>
      <c r="GX205" s="2">
        <f t="shared" si="156"/>
        <v>0</v>
      </c>
      <c r="GY205" s="2"/>
      <c r="GZ205" s="2"/>
      <c r="HA205" s="2">
        <v>0</v>
      </c>
      <c r="HB205" s="2">
        <v>0</v>
      </c>
      <c r="HC205" s="2">
        <f t="shared" si="157"/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">
      <c r="A206">
        <v>17</v>
      </c>
      <c r="B206">
        <v>1</v>
      </c>
      <c r="C206">
        <f>ROW(SmtRes!A140)</f>
        <v>140</v>
      </c>
      <c r="D206">
        <f>ROW(EtalonRes!A170)</f>
        <v>170</v>
      </c>
      <c r="E206" t="s">
        <v>215</v>
      </c>
      <c r="F206" t="s">
        <v>216</v>
      </c>
      <c r="G206" t="s">
        <v>217</v>
      </c>
      <c r="H206" t="s">
        <v>21</v>
      </c>
      <c r="I206">
        <v>17</v>
      </c>
      <c r="J206">
        <v>0</v>
      </c>
      <c r="K206">
        <v>17</v>
      </c>
      <c r="O206">
        <f t="shared" si="128"/>
        <v>17649.650000000001</v>
      </c>
      <c r="P206">
        <f>ROUND((ROUND((AC206*AW206*I206),2)*BC206),2)</f>
        <v>329.53</v>
      </c>
      <c r="Q206">
        <f>(ROUND((ROUND((((ET206*1.1))*AV206*I206),2)*BB206),2)+ROUND((ROUND(((AE206-((EU206*1.1)))*AV206*I206),2)*BS206),2))</f>
        <v>18.62</v>
      </c>
      <c r="R206">
        <f t="shared" si="129"/>
        <v>11</v>
      </c>
      <c r="S206">
        <f t="shared" si="130"/>
        <v>17301.5</v>
      </c>
      <c r="T206">
        <f t="shared" si="131"/>
        <v>0</v>
      </c>
      <c r="U206">
        <f t="shared" si="132"/>
        <v>23.494679999999999</v>
      </c>
      <c r="V206">
        <f t="shared" si="133"/>
        <v>0</v>
      </c>
      <c r="W206">
        <f t="shared" si="134"/>
        <v>0</v>
      </c>
      <c r="X206">
        <f t="shared" si="135"/>
        <v>15581.25</v>
      </c>
      <c r="Y206">
        <f t="shared" si="136"/>
        <v>7963.75</v>
      </c>
      <c r="AA206">
        <v>56959431</v>
      </c>
      <c r="AB206">
        <f t="shared" si="137"/>
        <v>19.692</v>
      </c>
      <c r="AC206">
        <f t="shared" si="138"/>
        <v>1.96</v>
      </c>
      <c r="AD206">
        <f>ROUND(((((ET206*1.1))-((EU206*1.1)))+AE206),6)</f>
        <v>5.5E-2</v>
      </c>
      <c r="AE206">
        <f>ROUND(((EU206*1.1)),6)</f>
        <v>1.0999999999999999E-2</v>
      </c>
      <c r="AF206">
        <f>ROUND(((EV206*1.1)),6)</f>
        <v>17.677</v>
      </c>
      <c r="AG206">
        <f t="shared" si="139"/>
        <v>0</v>
      </c>
      <c r="AH206">
        <f>((EW206*1.1))</f>
        <v>1.32</v>
      </c>
      <c r="AI206">
        <f>((EX206*1.1))</f>
        <v>0</v>
      </c>
      <c r="AJ206">
        <f t="shared" si="140"/>
        <v>0</v>
      </c>
      <c r="AK206">
        <v>18.079999999999998</v>
      </c>
      <c r="AL206">
        <v>1.96</v>
      </c>
      <c r="AM206">
        <v>0.05</v>
      </c>
      <c r="AN206">
        <v>0.01</v>
      </c>
      <c r="AO206">
        <v>16.07</v>
      </c>
      <c r="AP206">
        <v>0</v>
      </c>
      <c r="AQ206">
        <v>1.2</v>
      </c>
      <c r="AR206">
        <v>0</v>
      </c>
      <c r="AS206">
        <v>0</v>
      </c>
      <c r="AT206">
        <v>90</v>
      </c>
      <c r="AU206">
        <v>46</v>
      </c>
      <c r="AV206">
        <v>1.0469999999999999</v>
      </c>
      <c r="AW206">
        <v>1</v>
      </c>
      <c r="AZ206">
        <v>1</v>
      </c>
      <c r="BA206">
        <v>54.99</v>
      </c>
      <c r="BB206">
        <v>19</v>
      </c>
      <c r="BC206">
        <v>9.89</v>
      </c>
      <c r="BD206" t="s">
        <v>3</v>
      </c>
      <c r="BE206" t="s">
        <v>3</v>
      </c>
      <c r="BF206" t="s">
        <v>3</v>
      </c>
      <c r="BG206" t="s">
        <v>3</v>
      </c>
      <c r="BH206">
        <v>0</v>
      </c>
      <c r="BI206">
        <v>2</v>
      </c>
      <c r="BJ206" t="s">
        <v>218</v>
      </c>
      <c r="BM206">
        <v>68</v>
      </c>
      <c r="BN206">
        <v>55992028</v>
      </c>
      <c r="BO206" t="s">
        <v>216</v>
      </c>
      <c r="BP206">
        <v>1</v>
      </c>
      <c r="BQ206">
        <v>40</v>
      </c>
      <c r="BR206">
        <v>0</v>
      </c>
      <c r="BS206">
        <v>54.99</v>
      </c>
      <c r="BT206">
        <v>1</v>
      </c>
      <c r="BU206">
        <v>1</v>
      </c>
      <c r="BV206">
        <v>1</v>
      </c>
      <c r="BW206">
        <v>1</v>
      </c>
      <c r="BX206">
        <v>1</v>
      </c>
      <c r="BY206" t="s">
        <v>3</v>
      </c>
      <c r="BZ206">
        <v>90</v>
      </c>
      <c r="CA206">
        <v>46</v>
      </c>
      <c r="CB206" t="s">
        <v>3</v>
      </c>
      <c r="CE206">
        <v>30</v>
      </c>
      <c r="CF206">
        <v>0</v>
      </c>
      <c r="CG206">
        <v>0</v>
      </c>
      <c r="CM206">
        <v>0</v>
      </c>
      <c r="CN206" t="s">
        <v>673</v>
      </c>
      <c r="CO206">
        <v>0</v>
      </c>
      <c r="CP206">
        <f t="shared" si="141"/>
        <v>17649.650000000001</v>
      </c>
      <c r="CQ206">
        <f>ROUND((ROUND((AC206*AW206*1),2)*BC206),2)</f>
        <v>19.38</v>
      </c>
      <c r="CR206">
        <f>(ROUND((ROUND((((ET206*1.1))*AV206*1),2)*BB206),2)+ROUND((ROUND(((AE206-((EU206*1.1)))*AV206*1),2)*BS206),2))</f>
        <v>1.1399999999999999</v>
      </c>
      <c r="CS206">
        <f t="shared" si="142"/>
        <v>0.55000000000000004</v>
      </c>
      <c r="CT206">
        <f t="shared" si="143"/>
        <v>1017.86</v>
      </c>
      <c r="CU206">
        <f t="shared" si="144"/>
        <v>0</v>
      </c>
      <c r="CV206">
        <f t="shared" si="145"/>
        <v>1.3820399999999999</v>
      </c>
      <c r="CW206">
        <f t="shared" si="146"/>
        <v>0</v>
      </c>
      <c r="CX206">
        <f t="shared" si="147"/>
        <v>0</v>
      </c>
      <c r="CY206">
        <f t="shared" si="148"/>
        <v>15581.25</v>
      </c>
      <c r="CZ206">
        <f t="shared" si="149"/>
        <v>7963.75</v>
      </c>
      <c r="DC206" t="s">
        <v>3</v>
      </c>
      <c r="DD206" t="s">
        <v>3</v>
      </c>
      <c r="DE206" t="s">
        <v>23</v>
      </c>
      <c r="DF206" t="s">
        <v>23</v>
      </c>
      <c r="DG206" t="s">
        <v>23</v>
      </c>
      <c r="DH206" t="s">
        <v>3</v>
      </c>
      <c r="DI206" t="s">
        <v>23</v>
      </c>
      <c r="DJ206" t="s">
        <v>23</v>
      </c>
      <c r="DK206" t="s">
        <v>3</v>
      </c>
      <c r="DL206" t="s">
        <v>3</v>
      </c>
      <c r="DM206" t="s">
        <v>3</v>
      </c>
      <c r="DN206">
        <v>0</v>
      </c>
      <c r="DO206">
        <v>0</v>
      </c>
      <c r="DP206">
        <v>1</v>
      </c>
      <c r="DQ206">
        <v>1</v>
      </c>
      <c r="DU206">
        <v>1013</v>
      </c>
      <c r="DV206" t="s">
        <v>21</v>
      </c>
      <c r="DW206" t="s">
        <v>21</v>
      </c>
      <c r="DX206">
        <v>1</v>
      </c>
      <c r="DZ206" t="s">
        <v>3</v>
      </c>
      <c r="EA206" t="s">
        <v>3</v>
      </c>
      <c r="EB206" t="s">
        <v>3</v>
      </c>
      <c r="EC206" t="s">
        <v>3</v>
      </c>
      <c r="EE206">
        <v>55992152</v>
      </c>
      <c r="EF206">
        <v>40</v>
      </c>
      <c r="EG206" t="s">
        <v>24</v>
      </c>
      <c r="EH206">
        <v>0</v>
      </c>
      <c r="EI206" t="s">
        <v>3</v>
      </c>
      <c r="EJ206">
        <v>2</v>
      </c>
      <c r="EK206">
        <v>68</v>
      </c>
      <c r="EL206" t="s">
        <v>41</v>
      </c>
      <c r="EM206" t="s">
        <v>42</v>
      </c>
      <c r="EO206" t="s">
        <v>27</v>
      </c>
      <c r="EQ206">
        <v>0</v>
      </c>
      <c r="ER206">
        <v>18.079999999999998</v>
      </c>
      <c r="ES206">
        <v>1.96</v>
      </c>
      <c r="ET206">
        <v>0.05</v>
      </c>
      <c r="EU206">
        <v>0.01</v>
      </c>
      <c r="EV206">
        <v>16.07</v>
      </c>
      <c r="EW206">
        <v>1.2</v>
      </c>
      <c r="EX206">
        <v>0</v>
      </c>
      <c r="EY206">
        <v>0</v>
      </c>
      <c r="FQ206">
        <v>0</v>
      </c>
      <c r="FR206">
        <v>0</v>
      </c>
      <c r="FS206">
        <v>0</v>
      </c>
      <c r="FX206">
        <v>90</v>
      </c>
      <c r="FY206">
        <v>46</v>
      </c>
      <c r="GA206" t="s">
        <v>3</v>
      </c>
      <c r="GD206">
        <v>1</v>
      </c>
      <c r="GF206">
        <v>1665592289</v>
      </c>
      <c r="GG206">
        <v>2</v>
      </c>
      <c r="GH206">
        <v>1</v>
      </c>
      <c r="GI206">
        <v>2</v>
      </c>
      <c r="GJ206">
        <v>0</v>
      </c>
      <c r="GK206">
        <v>0</v>
      </c>
      <c r="GL206">
        <f t="shared" si="150"/>
        <v>0</v>
      </c>
      <c r="GM206">
        <f t="shared" si="151"/>
        <v>41194.65</v>
      </c>
      <c r="GN206">
        <f t="shared" si="152"/>
        <v>0</v>
      </c>
      <c r="GO206">
        <f t="shared" si="153"/>
        <v>41194.65</v>
      </c>
      <c r="GP206">
        <f t="shared" si="154"/>
        <v>0</v>
      </c>
      <c r="GR206">
        <v>0</v>
      </c>
      <c r="GS206">
        <v>3</v>
      </c>
      <c r="GT206">
        <v>0</v>
      </c>
      <c r="GU206" t="s">
        <v>3</v>
      </c>
      <c r="GV206">
        <f t="shared" si="155"/>
        <v>0</v>
      </c>
      <c r="GW206">
        <v>1</v>
      </c>
      <c r="GX206">
        <f t="shared" si="156"/>
        <v>0</v>
      </c>
      <c r="HA206">
        <v>0</v>
      </c>
      <c r="HB206">
        <v>0</v>
      </c>
      <c r="HC206">
        <f t="shared" si="157"/>
        <v>0</v>
      </c>
      <c r="HE206" t="s">
        <v>3</v>
      </c>
      <c r="HF206" t="s">
        <v>3</v>
      </c>
      <c r="HM206" t="s">
        <v>3</v>
      </c>
      <c r="HN206" t="s">
        <v>3</v>
      </c>
      <c r="HO206" t="s">
        <v>3</v>
      </c>
      <c r="HP206" t="s">
        <v>3</v>
      </c>
      <c r="HQ206" t="s">
        <v>3</v>
      </c>
      <c r="HS206">
        <v>0</v>
      </c>
      <c r="IK206">
        <v>0</v>
      </c>
    </row>
    <row r="207" spans="1:255" x14ac:dyDescent="0.2">
      <c r="A207" s="2">
        <v>17</v>
      </c>
      <c r="B207" s="2">
        <v>1</v>
      </c>
      <c r="C207" s="2"/>
      <c r="D207" s="2"/>
      <c r="E207" s="2" t="s">
        <v>219</v>
      </c>
      <c r="F207" s="2" t="s">
        <v>220</v>
      </c>
      <c r="G207" s="2" t="s">
        <v>221</v>
      </c>
      <c r="H207" s="2" t="s">
        <v>31</v>
      </c>
      <c r="I207" s="2">
        <v>13</v>
      </c>
      <c r="J207" s="2">
        <v>0</v>
      </c>
      <c r="K207" s="2">
        <v>13</v>
      </c>
      <c r="L207" s="2"/>
      <c r="M207" s="2"/>
      <c r="N207" s="2"/>
      <c r="O207" s="2">
        <f t="shared" si="128"/>
        <v>4581.72</v>
      </c>
      <c r="P207" s="2">
        <f>ROUND((ROUND((AC207*I207),2)*BC207),2)</f>
        <v>4581.72</v>
      </c>
      <c r="Q207" s="2">
        <f>(ROUND((ROUND(((ET207)*AV207*I207),2)*BB207),2)+ROUND((ROUND(((AE207-(EU207))*AV207*I207),2)*BS207),2))</f>
        <v>0</v>
      </c>
      <c r="R207" s="2">
        <f t="shared" si="129"/>
        <v>0</v>
      </c>
      <c r="S207" s="2">
        <f t="shared" si="130"/>
        <v>0</v>
      </c>
      <c r="T207" s="2">
        <f t="shared" si="131"/>
        <v>0</v>
      </c>
      <c r="U207" s="2">
        <f t="shared" si="132"/>
        <v>0</v>
      </c>
      <c r="V207" s="2">
        <f t="shared" si="133"/>
        <v>0</v>
      </c>
      <c r="W207" s="2">
        <f t="shared" si="134"/>
        <v>0</v>
      </c>
      <c r="X207" s="2">
        <f t="shared" si="135"/>
        <v>0</v>
      </c>
      <c r="Y207" s="2">
        <f t="shared" si="136"/>
        <v>0</v>
      </c>
      <c r="Z207" s="2"/>
      <c r="AA207" s="2">
        <v>56959434</v>
      </c>
      <c r="AB207" s="2">
        <f t="shared" si="137"/>
        <v>352.44</v>
      </c>
      <c r="AC207" s="2">
        <f t="shared" si="138"/>
        <v>352.44</v>
      </c>
      <c r="AD207" s="2">
        <f>ROUND((((ET207)-(EU207))+AE207),6)</f>
        <v>0</v>
      </c>
      <c r="AE207" s="2">
        <f t="shared" ref="AE207:AF210" si="158">ROUND((EU207),6)</f>
        <v>0</v>
      </c>
      <c r="AF207" s="2">
        <f t="shared" si="158"/>
        <v>0</v>
      </c>
      <c r="AG207" s="2">
        <f t="shared" si="139"/>
        <v>0</v>
      </c>
      <c r="AH207" s="2">
        <f t="shared" ref="AH207:AI210" si="159">(EW207)</f>
        <v>0</v>
      </c>
      <c r="AI207" s="2">
        <f t="shared" si="159"/>
        <v>0</v>
      </c>
      <c r="AJ207" s="2">
        <f t="shared" si="140"/>
        <v>0</v>
      </c>
      <c r="AK207" s="2">
        <v>352.44</v>
      </c>
      <c r="AL207" s="2">
        <v>352.44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1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3</v>
      </c>
      <c r="BI207" s="2">
        <v>3</v>
      </c>
      <c r="BJ207" s="2" t="s">
        <v>3</v>
      </c>
      <c r="BK207" s="2"/>
      <c r="BL207" s="2"/>
      <c r="BM207" s="2">
        <v>746</v>
      </c>
      <c r="BN207" s="2">
        <v>0</v>
      </c>
      <c r="BO207" s="2" t="s">
        <v>3</v>
      </c>
      <c r="BP207" s="2">
        <v>0</v>
      </c>
      <c r="BQ207" s="2">
        <v>130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0</v>
      </c>
      <c r="CA207" s="2">
        <v>0</v>
      </c>
      <c r="CB207" s="2" t="s">
        <v>3</v>
      </c>
      <c r="CC207" s="2"/>
      <c r="CD207" s="2"/>
      <c r="CE207" s="2">
        <v>30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3</v>
      </c>
      <c r="CO207" s="2">
        <v>0</v>
      </c>
      <c r="CP207" s="2">
        <f t="shared" si="141"/>
        <v>4581.72</v>
      </c>
      <c r="CQ207" s="2">
        <f>ROUND((ROUND((AC207*1),2)*BC207),2)</f>
        <v>352.44</v>
      </c>
      <c r="CR207" s="2">
        <f>(ROUND((ROUND(((ET207)*AV207*1),2)*BB207),2)+ROUND((ROUND(((AE207-(EU207))*AV207*1),2)*BS207),2))</f>
        <v>0</v>
      </c>
      <c r="CS207" s="2">
        <f t="shared" si="142"/>
        <v>0</v>
      </c>
      <c r="CT207" s="2">
        <f t="shared" si="143"/>
        <v>0</v>
      </c>
      <c r="CU207" s="2">
        <f t="shared" si="144"/>
        <v>0</v>
      </c>
      <c r="CV207" s="2">
        <f t="shared" si="145"/>
        <v>0</v>
      </c>
      <c r="CW207" s="2">
        <f t="shared" si="146"/>
        <v>0</v>
      </c>
      <c r="CX207" s="2">
        <f t="shared" si="147"/>
        <v>0</v>
      </c>
      <c r="CY207" s="2">
        <f t="shared" si="148"/>
        <v>0</v>
      </c>
      <c r="CZ207" s="2">
        <f t="shared" si="149"/>
        <v>0</v>
      </c>
      <c r="DA207" s="2"/>
      <c r="DB207" s="2"/>
      <c r="DC207" s="2" t="s">
        <v>3</v>
      </c>
      <c r="DD207" s="2" t="s">
        <v>3</v>
      </c>
      <c r="DE207" s="2" t="s">
        <v>3</v>
      </c>
      <c r="DF207" s="2" t="s">
        <v>3</v>
      </c>
      <c r="DG207" s="2" t="s">
        <v>3</v>
      </c>
      <c r="DH207" s="2" t="s">
        <v>3</v>
      </c>
      <c r="DI207" s="2" t="s">
        <v>3</v>
      </c>
      <c r="DJ207" s="2" t="s">
        <v>3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1010</v>
      </c>
      <c r="DV207" s="2" t="s">
        <v>31</v>
      </c>
      <c r="DW207" s="2" t="s">
        <v>31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55992259</v>
      </c>
      <c r="EF207" s="2">
        <v>130</v>
      </c>
      <c r="EG207" s="2" t="s">
        <v>32</v>
      </c>
      <c r="EH207" s="2">
        <v>0</v>
      </c>
      <c r="EI207" s="2" t="s">
        <v>3</v>
      </c>
      <c r="EJ207" s="2">
        <v>3</v>
      </c>
      <c r="EK207" s="2">
        <v>746</v>
      </c>
      <c r="EL207" s="2" t="s">
        <v>33</v>
      </c>
      <c r="EM207" s="2" t="s">
        <v>34</v>
      </c>
      <c r="EN207" s="2"/>
      <c r="EO207" s="2" t="s">
        <v>3</v>
      </c>
      <c r="EP207" s="2"/>
      <c r="EQ207" s="2">
        <v>0</v>
      </c>
      <c r="ER207" s="2">
        <v>0</v>
      </c>
      <c r="ES207" s="2">
        <v>352.44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f>P207</f>
        <v>4581.72</v>
      </c>
      <c r="FS207" s="2">
        <v>0</v>
      </c>
      <c r="FT207" s="2"/>
      <c r="FU207" s="2"/>
      <c r="FV207" s="2"/>
      <c r="FW207" s="2"/>
      <c r="FX207" s="2">
        <v>0</v>
      </c>
      <c r="FY207" s="2">
        <v>0</v>
      </c>
      <c r="FZ207" s="2"/>
      <c r="GA207" s="2" t="s">
        <v>222</v>
      </c>
      <c r="GB207" s="2"/>
      <c r="GC207" s="2"/>
      <c r="GD207" s="2">
        <v>1</v>
      </c>
      <c r="GE207" s="2"/>
      <c r="GF207" s="2">
        <v>-426249781</v>
      </c>
      <c r="GG207" s="2">
        <v>2</v>
      </c>
      <c r="GH207" s="2">
        <v>4</v>
      </c>
      <c r="GI207" s="2">
        <v>-2</v>
      </c>
      <c r="GJ207" s="2">
        <v>0</v>
      </c>
      <c r="GK207" s="2">
        <v>0</v>
      </c>
      <c r="GL207" s="2">
        <f t="shared" si="150"/>
        <v>0</v>
      </c>
      <c r="GM207" s="2">
        <f t="shared" si="151"/>
        <v>4581.72</v>
      </c>
      <c r="GN207" s="2">
        <f t="shared" si="152"/>
        <v>0</v>
      </c>
      <c r="GO207" s="2">
        <f t="shared" si="153"/>
        <v>0</v>
      </c>
      <c r="GP207" s="2">
        <f t="shared" si="154"/>
        <v>0</v>
      </c>
      <c r="GQ207" s="2"/>
      <c r="GR207" s="2">
        <v>0</v>
      </c>
      <c r="GS207" s="2">
        <v>2</v>
      </c>
      <c r="GT207" s="2">
        <v>0</v>
      </c>
      <c r="GU207" s="2" t="s">
        <v>3</v>
      </c>
      <c r="GV207" s="2">
        <f t="shared" si="155"/>
        <v>0</v>
      </c>
      <c r="GW207" s="2">
        <v>1</v>
      </c>
      <c r="GX207" s="2">
        <f t="shared" si="156"/>
        <v>0</v>
      </c>
      <c r="GY207" s="2"/>
      <c r="GZ207" s="2"/>
      <c r="HA207" s="2">
        <v>0</v>
      </c>
      <c r="HB207" s="2">
        <v>0</v>
      </c>
      <c r="HC207" s="2">
        <f t="shared" si="157"/>
        <v>0</v>
      </c>
      <c r="HD207" s="2"/>
      <c r="HE207" s="2" t="s">
        <v>36</v>
      </c>
      <c r="HF207" s="2" t="s">
        <v>37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">
      <c r="A208">
        <v>17</v>
      </c>
      <c r="B208">
        <v>1</v>
      </c>
      <c r="E208" t="s">
        <v>219</v>
      </c>
      <c r="F208" t="s">
        <v>220</v>
      </c>
      <c r="G208" t="s">
        <v>221</v>
      </c>
      <c r="H208" t="s">
        <v>31</v>
      </c>
      <c r="I208">
        <v>13</v>
      </c>
      <c r="J208">
        <v>0</v>
      </c>
      <c r="K208">
        <v>13</v>
      </c>
      <c r="O208">
        <f t="shared" si="128"/>
        <v>35095.980000000003</v>
      </c>
      <c r="P208">
        <f>ROUND((ROUND((AC208*I208),2)*BC208),2)</f>
        <v>35095.980000000003</v>
      </c>
      <c r="Q208">
        <f>(ROUND((ROUND(((ET208)*AV208*I208),2)*BB208),2)+ROUND((ROUND(((AE208-(EU208))*AV208*I208),2)*BS208),2))</f>
        <v>0</v>
      </c>
      <c r="R208">
        <f t="shared" si="129"/>
        <v>0</v>
      </c>
      <c r="S208">
        <f t="shared" si="130"/>
        <v>0</v>
      </c>
      <c r="T208">
        <f t="shared" si="131"/>
        <v>0</v>
      </c>
      <c r="U208">
        <f t="shared" si="132"/>
        <v>0</v>
      </c>
      <c r="V208">
        <f t="shared" si="133"/>
        <v>0</v>
      </c>
      <c r="W208">
        <f t="shared" si="134"/>
        <v>0</v>
      </c>
      <c r="X208">
        <f t="shared" si="135"/>
        <v>0</v>
      </c>
      <c r="Y208">
        <f t="shared" si="136"/>
        <v>0</v>
      </c>
      <c r="AA208">
        <v>56959431</v>
      </c>
      <c r="AB208">
        <f t="shared" si="137"/>
        <v>352.44</v>
      </c>
      <c r="AC208">
        <f t="shared" si="138"/>
        <v>352.44</v>
      </c>
      <c r="AD208">
        <f>ROUND((((ET208)-(EU208))+AE208),6)</f>
        <v>0</v>
      </c>
      <c r="AE208">
        <f t="shared" si="158"/>
        <v>0</v>
      </c>
      <c r="AF208">
        <f t="shared" si="158"/>
        <v>0</v>
      </c>
      <c r="AG208">
        <f t="shared" si="139"/>
        <v>0</v>
      </c>
      <c r="AH208">
        <f t="shared" si="159"/>
        <v>0</v>
      </c>
      <c r="AI208">
        <f t="shared" si="159"/>
        <v>0</v>
      </c>
      <c r="AJ208">
        <f t="shared" si="140"/>
        <v>0</v>
      </c>
      <c r="AK208">
        <v>352.44</v>
      </c>
      <c r="AL208">
        <v>352.44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1</v>
      </c>
      <c r="AZ208">
        <v>1</v>
      </c>
      <c r="BA208">
        <v>1</v>
      </c>
      <c r="BB208">
        <v>1</v>
      </c>
      <c r="BC208">
        <v>7.66</v>
      </c>
      <c r="BD208" t="s">
        <v>3</v>
      </c>
      <c r="BE208" t="s">
        <v>3</v>
      </c>
      <c r="BF208" t="s">
        <v>3</v>
      </c>
      <c r="BG208" t="s">
        <v>3</v>
      </c>
      <c r="BH208">
        <v>3</v>
      </c>
      <c r="BI208">
        <v>3</v>
      </c>
      <c r="BJ208" t="s">
        <v>3</v>
      </c>
      <c r="BM208">
        <v>746</v>
      </c>
      <c r="BN208">
        <v>0</v>
      </c>
      <c r="BO208" t="s">
        <v>3</v>
      </c>
      <c r="BP208">
        <v>0</v>
      </c>
      <c r="BQ208">
        <v>130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 t="s">
        <v>3</v>
      </c>
      <c r="BZ208">
        <v>0</v>
      </c>
      <c r="CA208">
        <v>0</v>
      </c>
      <c r="CB208" t="s">
        <v>3</v>
      </c>
      <c r="CE208">
        <v>30</v>
      </c>
      <c r="CF208">
        <v>0</v>
      </c>
      <c r="CG208">
        <v>0</v>
      </c>
      <c r="CM208">
        <v>0</v>
      </c>
      <c r="CN208" t="s">
        <v>3</v>
      </c>
      <c r="CO208">
        <v>0</v>
      </c>
      <c r="CP208">
        <f t="shared" si="141"/>
        <v>35095.980000000003</v>
      </c>
      <c r="CQ208">
        <f>ROUND((ROUND((AC208*1),2)*BC208),2)</f>
        <v>2699.69</v>
      </c>
      <c r="CR208">
        <f>(ROUND((ROUND(((ET208)*AV208*1),2)*BB208),2)+ROUND((ROUND(((AE208-(EU208))*AV208*1),2)*BS208),2))</f>
        <v>0</v>
      </c>
      <c r="CS208">
        <f t="shared" si="142"/>
        <v>0</v>
      </c>
      <c r="CT208">
        <f t="shared" si="143"/>
        <v>0</v>
      </c>
      <c r="CU208">
        <f t="shared" si="144"/>
        <v>0</v>
      </c>
      <c r="CV208">
        <f t="shared" si="145"/>
        <v>0</v>
      </c>
      <c r="CW208">
        <f t="shared" si="146"/>
        <v>0</v>
      </c>
      <c r="CX208">
        <f t="shared" si="147"/>
        <v>0</v>
      </c>
      <c r="CY208">
        <f t="shared" si="148"/>
        <v>0</v>
      </c>
      <c r="CZ208">
        <f t="shared" si="149"/>
        <v>0</v>
      </c>
      <c r="DC208" t="s">
        <v>3</v>
      </c>
      <c r="DD208" t="s">
        <v>3</v>
      </c>
      <c r="DE208" t="s">
        <v>3</v>
      </c>
      <c r="DF208" t="s">
        <v>3</v>
      </c>
      <c r="DG208" t="s">
        <v>3</v>
      </c>
      <c r="DH208" t="s">
        <v>3</v>
      </c>
      <c r="DI208" t="s">
        <v>3</v>
      </c>
      <c r="DJ208" t="s">
        <v>3</v>
      </c>
      <c r="DK208" t="s">
        <v>3</v>
      </c>
      <c r="DL208" t="s">
        <v>3</v>
      </c>
      <c r="DM208" t="s">
        <v>3</v>
      </c>
      <c r="DN208">
        <v>0</v>
      </c>
      <c r="DO208">
        <v>0</v>
      </c>
      <c r="DP208">
        <v>1</v>
      </c>
      <c r="DQ208">
        <v>1</v>
      </c>
      <c r="DU208">
        <v>1010</v>
      </c>
      <c r="DV208" t="s">
        <v>31</v>
      </c>
      <c r="DW208" t="s">
        <v>31</v>
      </c>
      <c r="DX208">
        <v>1</v>
      </c>
      <c r="DZ208" t="s">
        <v>3</v>
      </c>
      <c r="EA208" t="s">
        <v>3</v>
      </c>
      <c r="EB208" t="s">
        <v>3</v>
      </c>
      <c r="EC208" t="s">
        <v>3</v>
      </c>
      <c r="EE208">
        <v>55992259</v>
      </c>
      <c r="EF208">
        <v>130</v>
      </c>
      <c r="EG208" t="s">
        <v>32</v>
      </c>
      <c r="EH208">
        <v>0</v>
      </c>
      <c r="EI208" t="s">
        <v>3</v>
      </c>
      <c r="EJ208">
        <v>3</v>
      </c>
      <c r="EK208">
        <v>746</v>
      </c>
      <c r="EL208" t="s">
        <v>33</v>
      </c>
      <c r="EM208" t="s">
        <v>34</v>
      </c>
      <c r="EO208" t="s">
        <v>3</v>
      </c>
      <c r="EQ208">
        <v>0</v>
      </c>
      <c r="ER208">
        <v>352.44</v>
      </c>
      <c r="ES208">
        <v>352.44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5</v>
      </c>
      <c r="FC208">
        <v>1</v>
      </c>
      <c r="FD208">
        <v>18</v>
      </c>
      <c r="FF208">
        <v>3108</v>
      </c>
      <c r="FQ208">
        <v>0</v>
      </c>
      <c r="FR208">
        <f>P208</f>
        <v>35095.980000000003</v>
      </c>
      <c r="FS208">
        <v>0</v>
      </c>
      <c r="FX208">
        <v>0</v>
      </c>
      <c r="FY208">
        <v>0</v>
      </c>
      <c r="GA208" t="s">
        <v>222</v>
      </c>
      <c r="GD208">
        <v>1</v>
      </c>
      <c r="GF208">
        <v>-426249781</v>
      </c>
      <c r="GG208">
        <v>2</v>
      </c>
      <c r="GH208">
        <v>3</v>
      </c>
      <c r="GI208">
        <v>5</v>
      </c>
      <c r="GJ208">
        <v>0</v>
      </c>
      <c r="GK208">
        <v>0</v>
      </c>
      <c r="GL208">
        <f t="shared" si="150"/>
        <v>0</v>
      </c>
      <c r="GM208">
        <f t="shared" si="151"/>
        <v>35095.980000000003</v>
      </c>
      <c r="GN208">
        <f t="shared" si="152"/>
        <v>0</v>
      </c>
      <c r="GO208">
        <f t="shared" si="153"/>
        <v>0</v>
      </c>
      <c r="GP208">
        <f t="shared" si="154"/>
        <v>0</v>
      </c>
      <c r="GR208">
        <v>1</v>
      </c>
      <c r="GS208">
        <v>1</v>
      </c>
      <c r="GT208">
        <v>0</v>
      </c>
      <c r="GU208" t="s">
        <v>3</v>
      </c>
      <c r="GV208">
        <f t="shared" si="155"/>
        <v>0</v>
      </c>
      <c r="GW208">
        <v>1</v>
      </c>
      <c r="GX208">
        <f t="shared" si="156"/>
        <v>0</v>
      </c>
      <c r="HA208">
        <v>0</v>
      </c>
      <c r="HB208">
        <v>0</v>
      </c>
      <c r="HC208">
        <f t="shared" si="157"/>
        <v>0</v>
      </c>
      <c r="HE208" t="s">
        <v>36</v>
      </c>
      <c r="HF208" t="s">
        <v>37</v>
      </c>
      <c r="HM208" t="s">
        <v>3</v>
      </c>
      <c r="HN208" t="s">
        <v>3</v>
      </c>
      <c r="HO208" t="s">
        <v>3</v>
      </c>
      <c r="HP208" t="s">
        <v>3</v>
      </c>
      <c r="HQ208" t="s">
        <v>3</v>
      </c>
      <c r="HS208">
        <v>0</v>
      </c>
      <c r="IK208">
        <v>0</v>
      </c>
    </row>
    <row r="209" spans="1:255" x14ac:dyDescent="0.2">
      <c r="A209" s="2">
        <v>17</v>
      </c>
      <c r="B209" s="2">
        <v>1</v>
      </c>
      <c r="C209" s="2"/>
      <c r="D209" s="2"/>
      <c r="E209" s="2" t="s">
        <v>223</v>
      </c>
      <c r="F209" s="2" t="s">
        <v>224</v>
      </c>
      <c r="G209" s="2" t="s">
        <v>225</v>
      </c>
      <c r="H209" s="2" t="s">
        <v>31</v>
      </c>
      <c r="I209" s="2">
        <v>4</v>
      </c>
      <c r="J209" s="2">
        <v>0</v>
      </c>
      <c r="K209" s="2">
        <v>4</v>
      </c>
      <c r="L209" s="2"/>
      <c r="M209" s="2"/>
      <c r="N209" s="2"/>
      <c r="O209" s="2">
        <f t="shared" si="128"/>
        <v>1666.92</v>
      </c>
      <c r="P209" s="2">
        <f>ROUND((ROUND((AC209*I209),2)*BC209),2)</f>
        <v>1666.92</v>
      </c>
      <c r="Q209" s="2">
        <f>(ROUND((ROUND(((ET209)*AV209*I209),2)*BB209),2)+ROUND((ROUND(((AE209-(EU209))*AV209*I209),2)*BS209),2))</f>
        <v>0</v>
      </c>
      <c r="R209" s="2">
        <f t="shared" si="129"/>
        <v>0</v>
      </c>
      <c r="S209" s="2">
        <f t="shared" si="130"/>
        <v>0</v>
      </c>
      <c r="T209" s="2">
        <f t="shared" si="131"/>
        <v>0</v>
      </c>
      <c r="U209" s="2">
        <f t="shared" si="132"/>
        <v>0</v>
      </c>
      <c r="V209" s="2">
        <f t="shared" si="133"/>
        <v>0</v>
      </c>
      <c r="W209" s="2">
        <f t="shared" si="134"/>
        <v>0</v>
      </c>
      <c r="X209" s="2">
        <f t="shared" si="135"/>
        <v>0</v>
      </c>
      <c r="Y209" s="2">
        <f t="shared" si="136"/>
        <v>0</v>
      </c>
      <c r="Z209" s="2"/>
      <c r="AA209" s="2">
        <v>56959434</v>
      </c>
      <c r="AB209" s="2">
        <f t="shared" si="137"/>
        <v>416.73</v>
      </c>
      <c r="AC209" s="2">
        <f t="shared" si="138"/>
        <v>416.73</v>
      </c>
      <c r="AD209" s="2">
        <f>ROUND((((ET209)-(EU209))+AE209),6)</f>
        <v>0</v>
      </c>
      <c r="AE209" s="2">
        <f t="shared" si="158"/>
        <v>0</v>
      </c>
      <c r="AF209" s="2">
        <f t="shared" si="158"/>
        <v>0</v>
      </c>
      <c r="AG209" s="2">
        <f t="shared" si="139"/>
        <v>0</v>
      </c>
      <c r="AH209" s="2">
        <f t="shared" si="159"/>
        <v>0</v>
      </c>
      <c r="AI209" s="2">
        <f t="shared" si="159"/>
        <v>0</v>
      </c>
      <c r="AJ209" s="2">
        <f t="shared" si="140"/>
        <v>0</v>
      </c>
      <c r="AK209" s="2">
        <v>416.73</v>
      </c>
      <c r="AL209" s="2">
        <v>416.73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3</v>
      </c>
      <c r="BI209" s="2">
        <v>3</v>
      </c>
      <c r="BJ209" s="2" t="s">
        <v>3</v>
      </c>
      <c r="BK209" s="2"/>
      <c r="BL209" s="2"/>
      <c r="BM209" s="2">
        <v>746</v>
      </c>
      <c r="BN209" s="2">
        <v>0</v>
      </c>
      <c r="BO209" s="2" t="s">
        <v>3</v>
      </c>
      <c r="BP209" s="2">
        <v>0</v>
      </c>
      <c r="BQ209" s="2">
        <v>130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0</v>
      </c>
      <c r="CA209" s="2">
        <v>0</v>
      </c>
      <c r="CB209" s="2" t="s">
        <v>3</v>
      </c>
      <c r="CC209" s="2"/>
      <c r="CD209" s="2"/>
      <c r="CE209" s="2">
        <v>30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3</v>
      </c>
      <c r="CO209" s="2">
        <v>0</v>
      </c>
      <c r="CP209" s="2">
        <f t="shared" si="141"/>
        <v>1666.92</v>
      </c>
      <c r="CQ209" s="2">
        <f>ROUND((ROUND((AC209*1),2)*BC209),2)</f>
        <v>416.73</v>
      </c>
      <c r="CR209" s="2">
        <f>(ROUND((ROUND(((ET209)*AV209*1),2)*BB209),2)+ROUND((ROUND(((AE209-(EU209))*AV209*1),2)*BS209),2))</f>
        <v>0</v>
      </c>
      <c r="CS209" s="2">
        <f t="shared" si="142"/>
        <v>0</v>
      </c>
      <c r="CT209" s="2">
        <f t="shared" si="143"/>
        <v>0</v>
      </c>
      <c r="CU209" s="2">
        <f t="shared" si="144"/>
        <v>0</v>
      </c>
      <c r="CV209" s="2">
        <f t="shared" si="145"/>
        <v>0</v>
      </c>
      <c r="CW209" s="2">
        <f t="shared" si="146"/>
        <v>0</v>
      </c>
      <c r="CX209" s="2">
        <f t="shared" si="147"/>
        <v>0</v>
      </c>
      <c r="CY209" s="2">
        <f t="shared" si="148"/>
        <v>0</v>
      </c>
      <c r="CZ209" s="2">
        <f t="shared" si="149"/>
        <v>0</v>
      </c>
      <c r="DA209" s="2"/>
      <c r="DB209" s="2"/>
      <c r="DC209" s="2" t="s">
        <v>3</v>
      </c>
      <c r="DD209" s="2" t="s">
        <v>3</v>
      </c>
      <c r="DE209" s="2" t="s">
        <v>3</v>
      </c>
      <c r="DF209" s="2" t="s">
        <v>3</v>
      </c>
      <c r="DG209" s="2" t="s">
        <v>3</v>
      </c>
      <c r="DH209" s="2" t="s">
        <v>3</v>
      </c>
      <c r="DI209" s="2" t="s">
        <v>3</v>
      </c>
      <c r="DJ209" s="2" t="s">
        <v>3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1010</v>
      </c>
      <c r="DV209" s="2" t="s">
        <v>31</v>
      </c>
      <c r="DW209" s="2" t="s">
        <v>31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55992259</v>
      </c>
      <c r="EF209" s="2">
        <v>130</v>
      </c>
      <c r="EG209" s="2" t="s">
        <v>32</v>
      </c>
      <c r="EH209" s="2">
        <v>0</v>
      </c>
      <c r="EI209" s="2" t="s">
        <v>3</v>
      </c>
      <c r="EJ209" s="2">
        <v>3</v>
      </c>
      <c r="EK209" s="2">
        <v>746</v>
      </c>
      <c r="EL209" s="2" t="s">
        <v>33</v>
      </c>
      <c r="EM209" s="2" t="s">
        <v>34</v>
      </c>
      <c r="EN209" s="2"/>
      <c r="EO209" s="2" t="s">
        <v>3</v>
      </c>
      <c r="EP209" s="2"/>
      <c r="EQ209" s="2">
        <v>0</v>
      </c>
      <c r="ER209" s="2">
        <v>0</v>
      </c>
      <c r="ES209" s="2">
        <v>416.73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f>P209</f>
        <v>1666.92</v>
      </c>
      <c r="FS209" s="2">
        <v>0</v>
      </c>
      <c r="FT209" s="2"/>
      <c r="FU209" s="2"/>
      <c r="FV209" s="2"/>
      <c r="FW209" s="2"/>
      <c r="FX209" s="2">
        <v>0</v>
      </c>
      <c r="FY209" s="2">
        <v>0</v>
      </c>
      <c r="FZ209" s="2"/>
      <c r="GA209" s="2" t="s">
        <v>226</v>
      </c>
      <c r="GB209" s="2"/>
      <c r="GC209" s="2"/>
      <c r="GD209" s="2">
        <v>1</v>
      </c>
      <c r="GE209" s="2"/>
      <c r="GF209" s="2">
        <v>1621764018</v>
      </c>
      <c r="GG209" s="2">
        <v>2</v>
      </c>
      <c r="GH209" s="2">
        <v>4</v>
      </c>
      <c r="GI209" s="2">
        <v>-2</v>
      </c>
      <c r="GJ209" s="2">
        <v>0</v>
      </c>
      <c r="GK209" s="2">
        <v>0</v>
      </c>
      <c r="GL209" s="2">
        <f t="shared" si="150"/>
        <v>0</v>
      </c>
      <c r="GM209" s="2">
        <f t="shared" si="151"/>
        <v>1666.92</v>
      </c>
      <c r="GN209" s="2">
        <f t="shared" si="152"/>
        <v>0</v>
      </c>
      <c r="GO209" s="2">
        <f t="shared" si="153"/>
        <v>0</v>
      </c>
      <c r="GP209" s="2">
        <f t="shared" si="154"/>
        <v>0</v>
      </c>
      <c r="GQ209" s="2"/>
      <c r="GR209" s="2">
        <v>0</v>
      </c>
      <c r="GS209" s="2">
        <v>2</v>
      </c>
      <c r="GT209" s="2">
        <v>0</v>
      </c>
      <c r="GU209" s="2" t="s">
        <v>3</v>
      </c>
      <c r="GV209" s="2">
        <f t="shared" si="155"/>
        <v>0</v>
      </c>
      <c r="GW209" s="2">
        <v>1</v>
      </c>
      <c r="GX209" s="2">
        <f t="shared" si="156"/>
        <v>0</v>
      </c>
      <c r="GY209" s="2"/>
      <c r="GZ209" s="2"/>
      <c r="HA209" s="2">
        <v>0</v>
      </c>
      <c r="HB209" s="2">
        <v>0</v>
      </c>
      <c r="HC209" s="2">
        <f t="shared" si="157"/>
        <v>0</v>
      </c>
      <c r="HD209" s="2"/>
      <c r="HE209" s="2" t="s">
        <v>36</v>
      </c>
      <c r="HF209" s="2" t="s">
        <v>37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">
      <c r="A210">
        <v>17</v>
      </c>
      <c r="B210">
        <v>1</v>
      </c>
      <c r="E210" t="s">
        <v>223</v>
      </c>
      <c r="F210" t="s">
        <v>224</v>
      </c>
      <c r="G210" t="s">
        <v>225</v>
      </c>
      <c r="H210" t="s">
        <v>31</v>
      </c>
      <c r="I210">
        <v>4</v>
      </c>
      <c r="J210">
        <v>0</v>
      </c>
      <c r="K210">
        <v>4</v>
      </c>
      <c r="O210">
        <f t="shared" si="128"/>
        <v>12768.61</v>
      </c>
      <c r="P210">
        <f>ROUND((ROUND((AC210*I210),2)*BC210),2)</f>
        <v>12768.61</v>
      </c>
      <c r="Q210">
        <f>(ROUND((ROUND(((ET210)*AV210*I210),2)*BB210),2)+ROUND((ROUND(((AE210-(EU210))*AV210*I210),2)*BS210),2))</f>
        <v>0</v>
      </c>
      <c r="R210">
        <f t="shared" si="129"/>
        <v>0</v>
      </c>
      <c r="S210">
        <f t="shared" si="130"/>
        <v>0</v>
      </c>
      <c r="T210">
        <f t="shared" si="131"/>
        <v>0</v>
      </c>
      <c r="U210">
        <f t="shared" si="132"/>
        <v>0</v>
      </c>
      <c r="V210">
        <f t="shared" si="133"/>
        <v>0</v>
      </c>
      <c r="W210">
        <f t="shared" si="134"/>
        <v>0</v>
      </c>
      <c r="X210">
        <f t="shared" si="135"/>
        <v>0</v>
      </c>
      <c r="Y210">
        <f t="shared" si="136"/>
        <v>0</v>
      </c>
      <c r="AA210">
        <v>56959431</v>
      </c>
      <c r="AB210">
        <f t="shared" si="137"/>
        <v>416.73</v>
      </c>
      <c r="AC210">
        <f t="shared" si="138"/>
        <v>416.73</v>
      </c>
      <c r="AD210">
        <f>ROUND((((ET210)-(EU210))+AE210),6)</f>
        <v>0</v>
      </c>
      <c r="AE210">
        <f t="shared" si="158"/>
        <v>0</v>
      </c>
      <c r="AF210">
        <f t="shared" si="158"/>
        <v>0</v>
      </c>
      <c r="AG210">
        <f t="shared" si="139"/>
        <v>0</v>
      </c>
      <c r="AH210">
        <f t="shared" si="159"/>
        <v>0</v>
      </c>
      <c r="AI210">
        <f t="shared" si="159"/>
        <v>0</v>
      </c>
      <c r="AJ210">
        <f t="shared" si="140"/>
        <v>0</v>
      </c>
      <c r="AK210">
        <v>416.73</v>
      </c>
      <c r="AL210">
        <v>416.73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1</v>
      </c>
      <c r="AZ210">
        <v>1</v>
      </c>
      <c r="BA210">
        <v>1</v>
      </c>
      <c r="BB210">
        <v>1</v>
      </c>
      <c r="BC210">
        <v>7.66</v>
      </c>
      <c r="BD210" t="s">
        <v>3</v>
      </c>
      <c r="BE210" t="s">
        <v>3</v>
      </c>
      <c r="BF210" t="s">
        <v>3</v>
      </c>
      <c r="BG210" t="s">
        <v>3</v>
      </c>
      <c r="BH210">
        <v>3</v>
      </c>
      <c r="BI210">
        <v>3</v>
      </c>
      <c r="BJ210" t="s">
        <v>3</v>
      </c>
      <c r="BM210">
        <v>746</v>
      </c>
      <c r="BN210">
        <v>0</v>
      </c>
      <c r="BO210" t="s">
        <v>3</v>
      </c>
      <c r="BP210">
        <v>0</v>
      </c>
      <c r="BQ210">
        <v>130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 t="s">
        <v>3</v>
      </c>
      <c r="BZ210">
        <v>0</v>
      </c>
      <c r="CA210">
        <v>0</v>
      </c>
      <c r="CB210" t="s">
        <v>3</v>
      </c>
      <c r="CE210">
        <v>30</v>
      </c>
      <c r="CF210">
        <v>0</v>
      </c>
      <c r="CG210">
        <v>0</v>
      </c>
      <c r="CM210">
        <v>0</v>
      </c>
      <c r="CN210" t="s">
        <v>3</v>
      </c>
      <c r="CO210">
        <v>0</v>
      </c>
      <c r="CP210">
        <f t="shared" si="141"/>
        <v>12768.61</v>
      </c>
      <c r="CQ210">
        <f>ROUND((ROUND((AC210*1),2)*BC210),2)</f>
        <v>3192.15</v>
      </c>
      <c r="CR210">
        <f>(ROUND((ROUND(((ET210)*AV210*1),2)*BB210),2)+ROUND((ROUND(((AE210-(EU210))*AV210*1),2)*BS210),2))</f>
        <v>0</v>
      </c>
      <c r="CS210">
        <f t="shared" si="142"/>
        <v>0</v>
      </c>
      <c r="CT210">
        <f t="shared" si="143"/>
        <v>0</v>
      </c>
      <c r="CU210">
        <f t="shared" si="144"/>
        <v>0</v>
      </c>
      <c r="CV210">
        <f t="shared" si="145"/>
        <v>0</v>
      </c>
      <c r="CW210">
        <f t="shared" si="146"/>
        <v>0</v>
      </c>
      <c r="CX210">
        <f t="shared" si="147"/>
        <v>0</v>
      </c>
      <c r="CY210">
        <f t="shared" si="148"/>
        <v>0</v>
      </c>
      <c r="CZ210">
        <f t="shared" si="149"/>
        <v>0</v>
      </c>
      <c r="DC210" t="s">
        <v>3</v>
      </c>
      <c r="DD210" t="s">
        <v>3</v>
      </c>
      <c r="DE210" t="s">
        <v>3</v>
      </c>
      <c r="DF210" t="s">
        <v>3</v>
      </c>
      <c r="DG210" t="s">
        <v>3</v>
      </c>
      <c r="DH210" t="s">
        <v>3</v>
      </c>
      <c r="DI210" t="s">
        <v>3</v>
      </c>
      <c r="DJ210" t="s">
        <v>3</v>
      </c>
      <c r="DK210" t="s">
        <v>3</v>
      </c>
      <c r="DL210" t="s">
        <v>3</v>
      </c>
      <c r="DM210" t="s">
        <v>3</v>
      </c>
      <c r="DN210">
        <v>0</v>
      </c>
      <c r="DO210">
        <v>0</v>
      </c>
      <c r="DP210">
        <v>1</v>
      </c>
      <c r="DQ210">
        <v>1</v>
      </c>
      <c r="DU210">
        <v>1010</v>
      </c>
      <c r="DV210" t="s">
        <v>31</v>
      </c>
      <c r="DW210" t="s">
        <v>31</v>
      </c>
      <c r="DX210">
        <v>1</v>
      </c>
      <c r="DZ210" t="s">
        <v>3</v>
      </c>
      <c r="EA210" t="s">
        <v>3</v>
      </c>
      <c r="EB210" t="s">
        <v>3</v>
      </c>
      <c r="EC210" t="s">
        <v>3</v>
      </c>
      <c r="EE210">
        <v>55992259</v>
      </c>
      <c r="EF210">
        <v>130</v>
      </c>
      <c r="EG210" t="s">
        <v>32</v>
      </c>
      <c r="EH210">
        <v>0</v>
      </c>
      <c r="EI210" t="s">
        <v>3</v>
      </c>
      <c r="EJ210">
        <v>3</v>
      </c>
      <c r="EK210">
        <v>746</v>
      </c>
      <c r="EL210" t="s">
        <v>33</v>
      </c>
      <c r="EM210" t="s">
        <v>34</v>
      </c>
      <c r="EO210" t="s">
        <v>3</v>
      </c>
      <c r="EQ210">
        <v>0</v>
      </c>
      <c r="ER210">
        <v>416.73</v>
      </c>
      <c r="ES210">
        <v>416.73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5</v>
      </c>
      <c r="FC210">
        <v>1</v>
      </c>
      <c r="FD210">
        <v>18</v>
      </c>
      <c r="FF210">
        <v>3675</v>
      </c>
      <c r="FQ210">
        <v>0</v>
      </c>
      <c r="FR210">
        <f>P210</f>
        <v>12768.61</v>
      </c>
      <c r="FS210">
        <v>0</v>
      </c>
      <c r="FX210">
        <v>0</v>
      </c>
      <c r="FY210">
        <v>0</v>
      </c>
      <c r="GA210" t="s">
        <v>226</v>
      </c>
      <c r="GD210">
        <v>1</v>
      </c>
      <c r="GF210">
        <v>1621764018</v>
      </c>
      <c r="GG210">
        <v>2</v>
      </c>
      <c r="GH210">
        <v>3</v>
      </c>
      <c r="GI210">
        <v>5</v>
      </c>
      <c r="GJ210">
        <v>0</v>
      </c>
      <c r="GK210">
        <v>0</v>
      </c>
      <c r="GL210">
        <f t="shared" si="150"/>
        <v>0</v>
      </c>
      <c r="GM210">
        <f t="shared" si="151"/>
        <v>12768.61</v>
      </c>
      <c r="GN210">
        <f t="shared" si="152"/>
        <v>0</v>
      </c>
      <c r="GO210">
        <f t="shared" si="153"/>
        <v>0</v>
      </c>
      <c r="GP210">
        <f t="shared" si="154"/>
        <v>0</v>
      </c>
      <c r="GR210">
        <v>1</v>
      </c>
      <c r="GS210">
        <v>1</v>
      </c>
      <c r="GT210">
        <v>0</v>
      </c>
      <c r="GU210" t="s">
        <v>3</v>
      </c>
      <c r="GV210">
        <f t="shared" si="155"/>
        <v>0</v>
      </c>
      <c r="GW210">
        <v>1</v>
      </c>
      <c r="GX210">
        <f t="shared" si="156"/>
        <v>0</v>
      </c>
      <c r="HA210">
        <v>0</v>
      </c>
      <c r="HB210">
        <v>0</v>
      </c>
      <c r="HC210">
        <f t="shared" si="157"/>
        <v>0</v>
      </c>
      <c r="HE210" t="s">
        <v>36</v>
      </c>
      <c r="HF210" t="s">
        <v>37</v>
      </c>
      <c r="HM210" t="s">
        <v>3</v>
      </c>
      <c r="HN210" t="s">
        <v>3</v>
      </c>
      <c r="HO210" t="s">
        <v>3</v>
      </c>
      <c r="HP210" t="s">
        <v>3</v>
      </c>
      <c r="HQ210" t="s">
        <v>3</v>
      </c>
      <c r="HS210">
        <v>0</v>
      </c>
      <c r="IK210">
        <v>0</v>
      </c>
    </row>
    <row r="211" spans="1:255" x14ac:dyDescent="0.2">
      <c r="A211" s="2">
        <v>17</v>
      </c>
      <c r="B211" s="2">
        <v>1</v>
      </c>
      <c r="C211" s="2">
        <f>ROW(SmtRes!A142)</f>
        <v>142</v>
      </c>
      <c r="D211" s="2">
        <f>ROW(EtalonRes!A173)</f>
        <v>173</v>
      </c>
      <c r="E211" s="2" t="s">
        <v>227</v>
      </c>
      <c r="F211" s="2" t="s">
        <v>228</v>
      </c>
      <c r="G211" s="2" t="s">
        <v>229</v>
      </c>
      <c r="H211" s="2" t="s">
        <v>21</v>
      </c>
      <c r="I211" s="2">
        <v>186</v>
      </c>
      <c r="J211" s="2">
        <v>0</v>
      </c>
      <c r="K211" s="2">
        <v>186</v>
      </c>
      <c r="L211" s="2"/>
      <c r="M211" s="2"/>
      <c r="N211" s="2"/>
      <c r="O211" s="2">
        <f t="shared" si="128"/>
        <v>2292.11</v>
      </c>
      <c r="P211" s="2">
        <f>ROUND((ROUND((AC211*AW211*I211),2)*BC211),2)</f>
        <v>0</v>
      </c>
      <c r="Q211" s="2">
        <f>(ROUND((ROUND((((ET211*1.1))*AV211*I211),2)*BB211),2)+ROUND((ROUND(((AE211-((EU211*1.1)))*AV211*I211),2)*BS211),2))</f>
        <v>0</v>
      </c>
      <c r="R211" s="2">
        <f t="shared" si="129"/>
        <v>0</v>
      </c>
      <c r="S211" s="2">
        <f t="shared" si="130"/>
        <v>2292.11</v>
      </c>
      <c r="T211" s="2">
        <f t="shared" si="131"/>
        <v>0</v>
      </c>
      <c r="U211" s="2">
        <f t="shared" si="132"/>
        <v>214.21619999999999</v>
      </c>
      <c r="V211" s="2">
        <f t="shared" si="133"/>
        <v>0</v>
      </c>
      <c r="W211" s="2">
        <f t="shared" si="134"/>
        <v>0</v>
      </c>
      <c r="X211" s="2">
        <f t="shared" si="135"/>
        <v>2177.5</v>
      </c>
      <c r="Y211" s="2">
        <f t="shared" si="136"/>
        <v>1214.82</v>
      </c>
      <c r="Z211" s="2"/>
      <c r="AA211" s="2">
        <v>56959434</v>
      </c>
      <c r="AB211" s="2">
        <f t="shared" si="137"/>
        <v>11.77</v>
      </c>
      <c r="AC211" s="2">
        <f t="shared" si="138"/>
        <v>0</v>
      </c>
      <c r="AD211" s="2">
        <f>ROUND(((((ET211*1.1))-((EU211*1.1)))+AE211),6)</f>
        <v>0</v>
      </c>
      <c r="AE211" s="2">
        <f>ROUND(((EU211*1.1)),6)</f>
        <v>0</v>
      </c>
      <c r="AF211" s="2">
        <f>ROUND(((EV211*1.1)),6)</f>
        <v>11.77</v>
      </c>
      <c r="AG211" s="2">
        <f t="shared" si="139"/>
        <v>0</v>
      </c>
      <c r="AH211" s="2">
        <f>((EW211*1.1))</f>
        <v>1.1000000000000001</v>
      </c>
      <c r="AI211" s="2">
        <f>((EX211*1.1))</f>
        <v>0</v>
      </c>
      <c r="AJ211" s="2">
        <f t="shared" si="140"/>
        <v>0</v>
      </c>
      <c r="AK211" s="2">
        <v>10.7</v>
      </c>
      <c r="AL211" s="2">
        <v>0</v>
      </c>
      <c r="AM211" s="2">
        <v>0</v>
      </c>
      <c r="AN211" s="2">
        <v>0</v>
      </c>
      <c r="AO211" s="2">
        <v>10.7</v>
      </c>
      <c r="AP211" s="2">
        <v>0</v>
      </c>
      <c r="AQ211" s="2">
        <v>1</v>
      </c>
      <c r="AR211" s="2">
        <v>0</v>
      </c>
      <c r="AS211" s="2">
        <v>0</v>
      </c>
      <c r="AT211" s="2">
        <v>95</v>
      </c>
      <c r="AU211" s="2">
        <v>53</v>
      </c>
      <c r="AV211" s="2">
        <v>1.0469999999999999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0</v>
      </c>
      <c r="BI211" s="2">
        <v>2</v>
      </c>
      <c r="BJ211" s="2" t="s">
        <v>230</v>
      </c>
      <c r="BK211" s="2"/>
      <c r="BL211" s="2"/>
      <c r="BM211" s="2">
        <v>69</v>
      </c>
      <c r="BN211" s="2">
        <v>55992028</v>
      </c>
      <c r="BO211" s="2" t="s">
        <v>228</v>
      </c>
      <c r="BP211" s="2">
        <v>1</v>
      </c>
      <c r="BQ211" s="2">
        <v>40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95</v>
      </c>
      <c r="CA211" s="2">
        <v>53</v>
      </c>
      <c r="CB211" s="2" t="s">
        <v>3</v>
      </c>
      <c r="CC211" s="2"/>
      <c r="CD211" s="2"/>
      <c r="CE211" s="2">
        <v>30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673</v>
      </c>
      <c r="CO211" s="2">
        <v>0</v>
      </c>
      <c r="CP211" s="2">
        <f t="shared" si="141"/>
        <v>2292.11</v>
      </c>
      <c r="CQ211" s="2">
        <f>ROUND((ROUND((AC211*AW211*1),2)*BC211),2)</f>
        <v>0</v>
      </c>
      <c r="CR211" s="2">
        <f>(ROUND((ROUND((((ET211*1.1))*AV211*1),2)*BB211),2)+ROUND((ROUND(((AE211-((EU211*1.1)))*AV211*1),2)*BS211),2))</f>
        <v>0</v>
      </c>
      <c r="CS211" s="2">
        <f t="shared" si="142"/>
        <v>0</v>
      </c>
      <c r="CT211" s="2">
        <f t="shared" si="143"/>
        <v>12.32</v>
      </c>
      <c r="CU211" s="2">
        <f t="shared" si="144"/>
        <v>0</v>
      </c>
      <c r="CV211" s="2">
        <f t="shared" si="145"/>
        <v>1.1516999999999999</v>
      </c>
      <c r="CW211" s="2">
        <f t="shared" si="146"/>
        <v>0</v>
      </c>
      <c r="CX211" s="2">
        <f t="shared" si="147"/>
        <v>0</v>
      </c>
      <c r="CY211" s="2">
        <f t="shared" si="148"/>
        <v>2177.5045</v>
      </c>
      <c r="CZ211" s="2">
        <f t="shared" si="149"/>
        <v>1214.8182999999999</v>
      </c>
      <c r="DA211" s="2"/>
      <c r="DB211" s="2"/>
      <c r="DC211" s="2" t="s">
        <v>3</v>
      </c>
      <c r="DD211" s="2" t="s">
        <v>3</v>
      </c>
      <c r="DE211" s="2" t="s">
        <v>23</v>
      </c>
      <c r="DF211" s="2" t="s">
        <v>23</v>
      </c>
      <c r="DG211" s="2" t="s">
        <v>23</v>
      </c>
      <c r="DH211" s="2" t="s">
        <v>3</v>
      </c>
      <c r="DI211" s="2" t="s">
        <v>23</v>
      </c>
      <c r="DJ211" s="2" t="s">
        <v>23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1013</v>
      </c>
      <c r="DV211" s="2" t="s">
        <v>21</v>
      </c>
      <c r="DW211" s="2" t="s">
        <v>21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55992153</v>
      </c>
      <c r="EF211" s="2">
        <v>40</v>
      </c>
      <c r="EG211" s="2" t="s">
        <v>24</v>
      </c>
      <c r="EH211" s="2">
        <v>0</v>
      </c>
      <c r="EI211" s="2" t="s">
        <v>3</v>
      </c>
      <c r="EJ211" s="2">
        <v>2</v>
      </c>
      <c r="EK211" s="2">
        <v>69</v>
      </c>
      <c r="EL211" s="2" t="s">
        <v>186</v>
      </c>
      <c r="EM211" s="2" t="s">
        <v>187</v>
      </c>
      <c r="EN211" s="2"/>
      <c r="EO211" s="2" t="s">
        <v>27</v>
      </c>
      <c r="EP211" s="2"/>
      <c r="EQ211" s="2">
        <v>0</v>
      </c>
      <c r="ER211" s="2">
        <v>10.7</v>
      </c>
      <c r="ES211" s="2">
        <v>0</v>
      </c>
      <c r="ET211" s="2">
        <v>0</v>
      </c>
      <c r="EU211" s="2">
        <v>0</v>
      </c>
      <c r="EV211" s="2">
        <v>10.7</v>
      </c>
      <c r="EW211" s="2">
        <v>1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95</v>
      </c>
      <c r="FY211" s="2">
        <v>53</v>
      </c>
      <c r="FZ211" s="2"/>
      <c r="GA211" s="2" t="s">
        <v>3</v>
      </c>
      <c r="GB211" s="2"/>
      <c r="GC211" s="2"/>
      <c r="GD211" s="2">
        <v>1</v>
      </c>
      <c r="GE211" s="2"/>
      <c r="GF211" s="2">
        <v>-1595364230</v>
      </c>
      <c r="GG211" s="2">
        <v>2</v>
      </c>
      <c r="GH211" s="2">
        <v>1</v>
      </c>
      <c r="GI211" s="2">
        <v>2</v>
      </c>
      <c r="GJ211" s="2">
        <v>0</v>
      </c>
      <c r="GK211" s="2">
        <v>0</v>
      </c>
      <c r="GL211" s="2">
        <f t="shared" si="150"/>
        <v>0</v>
      </c>
      <c r="GM211" s="2">
        <f t="shared" si="151"/>
        <v>5684.43</v>
      </c>
      <c r="GN211" s="2">
        <f t="shared" si="152"/>
        <v>0</v>
      </c>
      <c r="GO211" s="2">
        <f t="shared" si="153"/>
        <v>5684.43</v>
      </c>
      <c r="GP211" s="2">
        <f t="shared" si="154"/>
        <v>0</v>
      </c>
      <c r="GQ211" s="2"/>
      <c r="GR211" s="2">
        <v>0</v>
      </c>
      <c r="GS211" s="2">
        <v>3</v>
      </c>
      <c r="GT211" s="2">
        <v>0</v>
      </c>
      <c r="GU211" s="2" t="s">
        <v>3</v>
      </c>
      <c r="GV211" s="2">
        <f t="shared" si="155"/>
        <v>0</v>
      </c>
      <c r="GW211" s="2">
        <v>1</v>
      </c>
      <c r="GX211" s="2">
        <f t="shared" si="156"/>
        <v>0</v>
      </c>
      <c r="GY211" s="2"/>
      <c r="GZ211" s="2"/>
      <c r="HA211" s="2">
        <v>0</v>
      </c>
      <c r="HB211" s="2">
        <v>0</v>
      </c>
      <c r="HC211" s="2">
        <f t="shared" si="157"/>
        <v>0</v>
      </c>
      <c r="HD211" s="2"/>
      <c r="HE211" s="2" t="s">
        <v>3</v>
      </c>
      <c r="HF211" s="2" t="s">
        <v>3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">
      <c r="A212">
        <v>17</v>
      </c>
      <c r="B212">
        <v>1</v>
      </c>
      <c r="C212">
        <f>ROW(SmtRes!A144)</f>
        <v>144</v>
      </c>
      <c r="D212">
        <f>ROW(EtalonRes!A176)</f>
        <v>176</v>
      </c>
      <c r="E212" t="s">
        <v>227</v>
      </c>
      <c r="F212" t="s">
        <v>228</v>
      </c>
      <c r="G212" t="s">
        <v>229</v>
      </c>
      <c r="H212" t="s">
        <v>21</v>
      </c>
      <c r="I212">
        <v>186</v>
      </c>
      <c r="J212">
        <v>0</v>
      </c>
      <c r="K212">
        <v>186</v>
      </c>
      <c r="O212">
        <f t="shared" si="128"/>
        <v>126043.13</v>
      </c>
      <c r="P212">
        <f>ROUND((ROUND((AC212*AW212*I212),2)*BC212),2)</f>
        <v>0</v>
      </c>
      <c r="Q212">
        <f>(ROUND((ROUND((((ET212*1.1))*AV212*I212),2)*BB212),2)+ROUND((ROUND(((AE212-((EU212*1.1)))*AV212*I212),2)*BS212),2))</f>
        <v>0</v>
      </c>
      <c r="R212">
        <f t="shared" si="129"/>
        <v>0</v>
      </c>
      <c r="S212">
        <f t="shared" si="130"/>
        <v>126043.13</v>
      </c>
      <c r="T212">
        <f t="shared" si="131"/>
        <v>0</v>
      </c>
      <c r="U212">
        <f t="shared" si="132"/>
        <v>214.21619999999999</v>
      </c>
      <c r="V212">
        <f t="shared" si="133"/>
        <v>0</v>
      </c>
      <c r="W212">
        <f t="shared" si="134"/>
        <v>0</v>
      </c>
      <c r="X212">
        <f t="shared" si="135"/>
        <v>119740.97</v>
      </c>
      <c r="Y212">
        <f t="shared" si="136"/>
        <v>66802.86</v>
      </c>
      <c r="AA212">
        <v>56959431</v>
      </c>
      <c r="AB212">
        <f t="shared" si="137"/>
        <v>11.77</v>
      </c>
      <c r="AC212">
        <f t="shared" si="138"/>
        <v>0</v>
      </c>
      <c r="AD212">
        <f>ROUND(((((ET212*1.1))-((EU212*1.1)))+AE212),6)</f>
        <v>0</v>
      </c>
      <c r="AE212">
        <f>ROUND(((EU212*1.1)),6)</f>
        <v>0</v>
      </c>
      <c r="AF212">
        <f>ROUND(((EV212*1.1)),6)</f>
        <v>11.77</v>
      </c>
      <c r="AG212">
        <f t="shared" si="139"/>
        <v>0</v>
      </c>
      <c r="AH212">
        <f>((EW212*1.1))</f>
        <v>1.1000000000000001</v>
      </c>
      <c r="AI212">
        <f>((EX212*1.1))</f>
        <v>0</v>
      </c>
      <c r="AJ212">
        <f t="shared" si="140"/>
        <v>0</v>
      </c>
      <c r="AK212">
        <v>10.7</v>
      </c>
      <c r="AL212">
        <v>0</v>
      </c>
      <c r="AM212">
        <v>0</v>
      </c>
      <c r="AN212">
        <v>0</v>
      </c>
      <c r="AO212">
        <v>10.7</v>
      </c>
      <c r="AP212">
        <v>0</v>
      </c>
      <c r="AQ212">
        <v>1</v>
      </c>
      <c r="AR212">
        <v>0</v>
      </c>
      <c r="AS212">
        <v>0</v>
      </c>
      <c r="AT212">
        <v>95</v>
      </c>
      <c r="AU212">
        <v>53</v>
      </c>
      <c r="AV212">
        <v>1.0469999999999999</v>
      </c>
      <c r="AW212">
        <v>1</v>
      </c>
      <c r="AZ212">
        <v>1</v>
      </c>
      <c r="BA212">
        <v>54.99</v>
      </c>
      <c r="BB212">
        <v>1</v>
      </c>
      <c r="BC212">
        <v>1</v>
      </c>
      <c r="BD212" t="s">
        <v>3</v>
      </c>
      <c r="BE212" t="s">
        <v>3</v>
      </c>
      <c r="BF212" t="s">
        <v>3</v>
      </c>
      <c r="BG212" t="s">
        <v>3</v>
      </c>
      <c r="BH212">
        <v>0</v>
      </c>
      <c r="BI212">
        <v>2</v>
      </c>
      <c r="BJ212" t="s">
        <v>230</v>
      </c>
      <c r="BM212">
        <v>69</v>
      </c>
      <c r="BN212">
        <v>55992028</v>
      </c>
      <c r="BO212" t="s">
        <v>228</v>
      </c>
      <c r="BP212">
        <v>1</v>
      </c>
      <c r="BQ212">
        <v>40</v>
      </c>
      <c r="BR212">
        <v>0</v>
      </c>
      <c r="BS212">
        <v>54.99</v>
      </c>
      <c r="BT212">
        <v>1</v>
      </c>
      <c r="BU212">
        <v>1</v>
      </c>
      <c r="BV212">
        <v>1</v>
      </c>
      <c r="BW212">
        <v>1</v>
      </c>
      <c r="BX212">
        <v>1</v>
      </c>
      <c r="BY212" t="s">
        <v>3</v>
      </c>
      <c r="BZ212">
        <v>95</v>
      </c>
      <c r="CA212">
        <v>53</v>
      </c>
      <c r="CB212" t="s">
        <v>3</v>
      </c>
      <c r="CE212">
        <v>30</v>
      </c>
      <c r="CF212">
        <v>0</v>
      </c>
      <c r="CG212">
        <v>0</v>
      </c>
      <c r="CM212">
        <v>0</v>
      </c>
      <c r="CN212" t="s">
        <v>673</v>
      </c>
      <c r="CO212">
        <v>0</v>
      </c>
      <c r="CP212">
        <f t="shared" si="141"/>
        <v>126043.13</v>
      </c>
      <c r="CQ212">
        <f>ROUND((ROUND((AC212*AW212*1),2)*BC212),2)</f>
        <v>0</v>
      </c>
      <c r="CR212">
        <f>(ROUND((ROUND((((ET212*1.1))*AV212*1),2)*BB212),2)+ROUND((ROUND(((AE212-((EU212*1.1)))*AV212*1),2)*BS212),2))</f>
        <v>0</v>
      </c>
      <c r="CS212">
        <f t="shared" si="142"/>
        <v>0</v>
      </c>
      <c r="CT212">
        <f t="shared" si="143"/>
        <v>677.48</v>
      </c>
      <c r="CU212">
        <f t="shared" si="144"/>
        <v>0</v>
      </c>
      <c r="CV212">
        <f t="shared" si="145"/>
        <v>1.1516999999999999</v>
      </c>
      <c r="CW212">
        <f t="shared" si="146"/>
        <v>0</v>
      </c>
      <c r="CX212">
        <f t="shared" si="147"/>
        <v>0</v>
      </c>
      <c r="CY212">
        <f t="shared" si="148"/>
        <v>119740.97349999999</v>
      </c>
      <c r="CZ212">
        <f t="shared" si="149"/>
        <v>66802.858900000007</v>
      </c>
      <c r="DC212" t="s">
        <v>3</v>
      </c>
      <c r="DD212" t="s">
        <v>3</v>
      </c>
      <c r="DE212" t="s">
        <v>23</v>
      </c>
      <c r="DF212" t="s">
        <v>23</v>
      </c>
      <c r="DG212" t="s">
        <v>23</v>
      </c>
      <c r="DH212" t="s">
        <v>3</v>
      </c>
      <c r="DI212" t="s">
        <v>23</v>
      </c>
      <c r="DJ212" t="s">
        <v>23</v>
      </c>
      <c r="DK212" t="s">
        <v>3</v>
      </c>
      <c r="DL212" t="s">
        <v>3</v>
      </c>
      <c r="DM212" t="s">
        <v>3</v>
      </c>
      <c r="DN212">
        <v>0</v>
      </c>
      <c r="DO212">
        <v>0</v>
      </c>
      <c r="DP212">
        <v>1</v>
      </c>
      <c r="DQ212">
        <v>1</v>
      </c>
      <c r="DU212">
        <v>1013</v>
      </c>
      <c r="DV212" t="s">
        <v>21</v>
      </c>
      <c r="DW212" t="s">
        <v>21</v>
      </c>
      <c r="DX212">
        <v>1</v>
      </c>
      <c r="DZ212" t="s">
        <v>3</v>
      </c>
      <c r="EA212" t="s">
        <v>3</v>
      </c>
      <c r="EB212" t="s">
        <v>3</v>
      </c>
      <c r="EC212" t="s">
        <v>3</v>
      </c>
      <c r="EE212">
        <v>55992153</v>
      </c>
      <c r="EF212">
        <v>40</v>
      </c>
      <c r="EG212" t="s">
        <v>24</v>
      </c>
      <c r="EH212">
        <v>0</v>
      </c>
      <c r="EI212" t="s">
        <v>3</v>
      </c>
      <c r="EJ212">
        <v>2</v>
      </c>
      <c r="EK212">
        <v>69</v>
      </c>
      <c r="EL212" t="s">
        <v>186</v>
      </c>
      <c r="EM212" t="s">
        <v>187</v>
      </c>
      <c r="EO212" t="s">
        <v>27</v>
      </c>
      <c r="EQ212">
        <v>0</v>
      </c>
      <c r="ER212">
        <v>10.7</v>
      </c>
      <c r="ES212">
        <v>0</v>
      </c>
      <c r="ET212">
        <v>0</v>
      </c>
      <c r="EU212">
        <v>0</v>
      </c>
      <c r="EV212">
        <v>10.7</v>
      </c>
      <c r="EW212">
        <v>1</v>
      </c>
      <c r="EX212">
        <v>0</v>
      </c>
      <c r="EY212">
        <v>0</v>
      </c>
      <c r="FQ212">
        <v>0</v>
      </c>
      <c r="FR212">
        <v>0</v>
      </c>
      <c r="FS212">
        <v>0</v>
      </c>
      <c r="FX212">
        <v>95</v>
      </c>
      <c r="FY212">
        <v>53</v>
      </c>
      <c r="GA212" t="s">
        <v>3</v>
      </c>
      <c r="GD212">
        <v>1</v>
      </c>
      <c r="GF212">
        <v>-1595364230</v>
      </c>
      <c r="GG212">
        <v>2</v>
      </c>
      <c r="GH212">
        <v>1</v>
      </c>
      <c r="GI212">
        <v>2</v>
      </c>
      <c r="GJ212">
        <v>0</v>
      </c>
      <c r="GK212">
        <v>0</v>
      </c>
      <c r="GL212">
        <f t="shared" si="150"/>
        <v>0</v>
      </c>
      <c r="GM212">
        <f t="shared" si="151"/>
        <v>312586.96000000002</v>
      </c>
      <c r="GN212">
        <f t="shared" si="152"/>
        <v>0</v>
      </c>
      <c r="GO212">
        <f t="shared" si="153"/>
        <v>312586.96000000002</v>
      </c>
      <c r="GP212">
        <f t="shared" si="154"/>
        <v>0</v>
      </c>
      <c r="GR212">
        <v>0</v>
      </c>
      <c r="GS212">
        <v>3</v>
      </c>
      <c r="GT212">
        <v>0</v>
      </c>
      <c r="GU212" t="s">
        <v>3</v>
      </c>
      <c r="GV212">
        <f t="shared" si="155"/>
        <v>0</v>
      </c>
      <c r="GW212">
        <v>1</v>
      </c>
      <c r="GX212">
        <f t="shared" si="156"/>
        <v>0</v>
      </c>
      <c r="HA212">
        <v>0</v>
      </c>
      <c r="HB212">
        <v>0</v>
      </c>
      <c r="HC212">
        <f t="shared" si="157"/>
        <v>0</v>
      </c>
      <c r="HE212" t="s">
        <v>3</v>
      </c>
      <c r="HF212" t="s">
        <v>3</v>
      </c>
      <c r="HM212" t="s">
        <v>3</v>
      </c>
      <c r="HN212" t="s">
        <v>3</v>
      </c>
      <c r="HO212" t="s">
        <v>3</v>
      </c>
      <c r="HP212" t="s">
        <v>3</v>
      </c>
      <c r="HQ212" t="s">
        <v>3</v>
      </c>
      <c r="HS212">
        <v>0</v>
      </c>
      <c r="IK212">
        <v>0</v>
      </c>
    </row>
    <row r="213" spans="1:255" x14ac:dyDescent="0.2">
      <c r="A213" s="2">
        <v>17</v>
      </c>
      <c r="B213" s="2">
        <v>1</v>
      </c>
      <c r="C213" s="2"/>
      <c r="D213" s="2"/>
      <c r="E213" s="2" t="s">
        <v>231</v>
      </c>
      <c r="F213" s="2" t="s">
        <v>232</v>
      </c>
      <c r="G213" s="2" t="s">
        <v>233</v>
      </c>
      <c r="H213" s="2" t="s">
        <v>31</v>
      </c>
      <c r="I213" s="2">
        <v>186</v>
      </c>
      <c r="J213" s="2">
        <v>0</v>
      </c>
      <c r="K213" s="2">
        <v>186</v>
      </c>
      <c r="L213" s="2"/>
      <c r="M213" s="2"/>
      <c r="N213" s="2"/>
      <c r="O213" s="2">
        <f t="shared" si="128"/>
        <v>6872.7</v>
      </c>
      <c r="P213" s="2">
        <f>ROUND((ROUND((AC213*I213),2)*BC213),2)</f>
        <v>6872.7</v>
      </c>
      <c r="Q213" s="2">
        <f>(ROUND((ROUND(((ET213)*AV213*I213),2)*BB213),2)+ROUND((ROUND(((AE213-(EU213))*AV213*I213),2)*BS213),2))</f>
        <v>0</v>
      </c>
      <c r="R213" s="2">
        <f t="shared" si="129"/>
        <v>0</v>
      </c>
      <c r="S213" s="2">
        <f t="shared" si="130"/>
        <v>0</v>
      </c>
      <c r="T213" s="2">
        <f t="shared" si="131"/>
        <v>0</v>
      </c>
      <c r="U213" s="2">
        <f t="shared" si="132"/>
        <v>0</v>
      </c>
      <c r="V213" s="2">
        <f t="shared" si="133"/>
        <v>0</v>
      </c>
      <c r="W213" s="2">
        <f t="shared" si="134"/>
        <v>0</v>
      </c>
      <c r="X213" s="2">
        <f t="shared" si="135"/>
        <v>0</v>
      </c>
      <c r="Y213" s="2">
        <f t="shared" si="136"/>
        <v>0</v>
      </c>
      <c r="Z213" s="2"/>
      <c r="AA213" s="2">
        <v>56959434</v>
      </c>
      <c r="AB213" s="2">
        <f t="shared" si="137"/>
        <v>36.950000000000003</v>
      </c>
      <c r="AC213" s="2">
        <f t="shared" si="138"/>
        <v>36.950000000000003</v>
      </c>
      <c r="AD213" s="2">
        <f>ROUND((((ET213)-(EU213))+AE213),6)</f>
        <v>0</v>
      </c>
      <c r="AE213" s="2">
        <f>ROUND((EU213),6)</f>
        <v>0</v>
      </c>
      <c r="AF213" s="2">
        <f>ROUND((EV213),6)</f>
        <v>0</v>
      </c>
      <c r="AG213" s="2">
        <f t="shared" si="139"/>
        <v>0</v>
      </c>
      <c r="AH213" s="2">
        <f>(EW213)</f>
        <v>0</v>
      </c>
      <c r="AI213" s="2">
        <f>(EX213)</f>
        <v>0</v>
      </c>
      <c r="AJ213" s="2">
        <f t="shared" si="140"/>
        <v>0</v>
      </c>
      <c r="AK213" s="2">
        <v>36.950000000000003</v>
      </c>
      <c r="AL213" s="2">
        <v>36.950000000000003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3</v>
      </c>
      <c r="BJ213" s="2" t="s">
        <v>3</v>
      </c>
      <c r="BK213" s="2"/>
      <c r="BL213" s="2"/>
      <c r="BM213" s="2">
        <v>746</v>
      </c>
      <c r="BN213" s="2">
        <v>55992028</v>
      </c>
      <c r="BO213" s="2" t="s">
        <v>3</v>
      </c>
      <c r="BP213" s="2">
        <v>0</v>
      </c>
      <c r="BQ213" s="2">
        <v>130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0</v>
      </c>
      <c r="CA213" s="2">
        <v>0</v>
      </c>
      <c r="CB213" s="2" t="s">
        <v>3</v>
      </c>
      <c r="CC213" s="2"/>
      <c r="CD213" s="2"/>
      <c r="CE213" s="2">
        <v>30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</v>
      </c>
      <c r="CO213" s="2">
        <v>0</v>
      </c>
      <c r="CP213" s="2">
        <f t="shared" si="141"/>
        <v>6872.7</v>
      </c>
      <c r="CQ213" s="2">
        <f>ROUND((ROUND((AC213*1),2)*BC213),2)</f>
        <v>36.950000000000003</v>
      </c>
      <c r="CR213" s="2">
        <f>(ROUND((ROUND(((ET213)*AV213*1),2)*BB213),2)+ROUND((ROUND(((AE213-(EU213))*AV213*1),2)*BS213),2))</f>
        <v>0</v>
      </c>
      <c r="CS213" s="2">
        <f t="shared" si="142"/>
        <v>0</v>
      </c>
      <c r="CT213" s="2">
        <f t="shared" si="143"/>
        <v>0</v>
      </c>
      <c r="CU213" s="2">
        <f t="shared" si="144"/>
        <v>0</v>
      </c>
      <c r="CV213" s="2">
        <f t="shared" si="145"/>
        <v>0</v>
      </c>
      <c r="CW213" s="2">
        <f t="shared" si="146"/>
        <v>0</v>
      </c>
      <c r="CX213" s="2">
        <f t="shared" si="147"/>
        <v>0</v>
      </c>
      <c r="CY213" s="2">
        <f t="shared" si="148"/>
        <v>0</v>
      </c>
      <c r="CZ213" s="2">
        <f t="shared" si="149"/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1010</v>
      </c>
      <c r="DV213" s="2" t="s">
        <v>31</v>
      </c>
      <c r="DW213" s="2" t="s">
        <v>31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55992259</v>
      </c>
      <c r="EF213" s="2">
        <v>130</v>
      </c>
      <c r="EG213" s="2" t="s">
        <v>32</v>
      </c>
      <c r="EH213" s="2">
        <v>0</v>
      </c>
      <c r="EI213" s="2" t="s">
        <v>3</v>
      </c>
      <c r="EJ213" s="2">
        <v>3</v>
      </c>
      <c r="EK213" s="2">
        <v>746</v>
      </c>
      <c r="EL213" s="2" t="s">
        <v>33</v>
      </c>
      <c r="EM213" s="2" t="s">
        <v>34</v>
      </c>
      <c r="EN213" s="2"/>
      <c r="EO213" s="2" t="s">
        <v>3</v>
      </c>
      <c r="EP213" s="2"/>
      <c r="EQ213" s="2">
        <v>0</v>
      </c>
      <c r="ER213" s="2">
        <v>36.950000000000003</v>
      </c>
      <c r="ES213" s="2">
        <v>36.950000000000003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f>P213</f>
        <v>6872.7</v>
      </c>
      <c r="FS213" s="2">
        <v>0</v>
      </c>
      <c r="FT213" s="2"/>
      <c r="FU213" s="2"/>
      <c r="FV213" s="2"/>
      <c r="FW213" s="2"/>
      <c r="FX213" s="2">
        <v>0</v>
      </c>
      <c r="FY213" s="2">
        <v>0</v>
      </c>
      <c r="FZ213" s="2"/>
      <c r="GA213" s="2" t="s">
        <v>3</v>
      </c>
      <c r="GB213" s="2"/>
      <c r="GC213" s="2"/>
      <c r="GD213" s="2">
        <v>1</v>
      </c>
      <c r="GE213" s="2"/>
      <c r="GF213" s="2">
        <v>1177980250</v>
      </c>
      <c r="GG213" s="2">
        <v>2</v>
      </c>
      <c r="GH213" s="2">
        <v>1</v>
      </c>
      <c r="GI213" s="2">
        <v>-2</v>
      </c>
      <c r="GJ213" s="2">
        <v>0</v>
      </c>
      <c r="GK213" s="2">
        <v>0</v>
      </c>
      <c r="GL213" s="2">
        <f t="shared" si="150"/>
        <v>0</v>
      </c>
      <c r="GM213" s="2">
        <f t="shared" si="151"/>
        <v>6872.7</v>
      </c>
      <c r="GN213" s="2">
        <f t="shared" si="152"/>
        <v>0</v>
      </c>
      <c r="GO213" s="2">
        <f t="shared" si="153"/>
        <v>0</v>
      </c>
      <c r="GP213" s="2">
        <f t="shared" si="154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155"/>
        <v>0</v>
      </c>
      <c r="GW213" s="2">
        <v>1</v>
      </c>
      <c r="GX213" s="2">
        <f t="shared" si="156"/>
        <v>0</v>
      </c>
      <c r="GY213" s="2"/>
      <c r="GZ213" s="2"/>
      <c r="HA213" s="2">
        <v>0</v>
      </c>
      <c r="HB213" s="2">
        <v>0</v>
      </c>
      <c r="HC213" s="2">
        <f t="shared" si="157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">
      <c r="A214">
        <v>17</v>
      </c>
      <c r="B214">
        <v>1</v>
      </c>
      <c r="E214" t="s">
        <v>231</v>
      </c>
      <c r="F214" t="s">
        <v>232</v>
      </c>
      <c r="G214" t="s">
        <v>233</v>
      </c>
      <c r="H214" t="s">
        <v>31</v>
      </c>
      <c r="I214">
        <v>186</v>
      </c>
      <c r="J214">
        <v>0</v>
      </c>
      <c r="K214">
        <v>186</v>
      </c>
      <c r="O214">
        <f t="shared" si="128"/>
        <v>13745.4</v>
      </c>
      <c r="P214">
        <f>ROUND((ROUND((AC214*I214),2)*BC214),2)</f>
        <v>13745.4</v>
      </c>
      <c r="Q214">
        <f>(ROUND((ROUND(((ET214)*AV214*I214),2)*BB214),2)+ROUND((ROUND(((AE214-(EU214))*AV214*I214),2)*BS214),2))</f>
        <v>0</v>
      </c>
      <c r="R214">
        <f t="shared" si="129"/>
        <v>0</v>
      </c>
      <c r="S214">
        <f t="shared" si="130"/>
        <v>0</v>
      </c>
      <c r="T214">
        <f t="shared" si="131"/>
        <v>0</v>
      </c>
      <c r="U214">
        <f t="shared" si="132"/>
        <v>0</v>
      </c>
      <c r="V214">
        <f t="shared" si="133"/>
        <v>0</v>
      </c>
      <c r="W214">
        <f t="shared" si="134"/>
        <v>0</v>
      </c>
      <c r="X214">
        <f t="shared" si="135"/>
        <v>0</v>
      </c>
      <c r="Y214">
        <f t="shared" si="136"/>
        <v>0</v>
      </c>
      <c r="AA214">
        <v>56959431</v>
      </c>
      <c r="AB214">
        <f t="shared" si="137"/>
        <v>36.950000000000003</v>
      </c>
      <c r="AC214">
        <f t="shared" si="138"/>
        <v>36.950000000000003</v>
      </c>
      <c r="AD214">
        <f>ROUND((((ET214)-(EU214))+AE214),6)</f>
        <v>0</v>
      </c>
      <c r="AE214">
        <f>ROUND((EU214),6)</f>
        <v>0</v>
      </c>
      <c r="AF214">
        <f>ROUND((EV214),6)</f>
        <v>0</v>
      </c>
      <c r="AG214">
        <f t="shared" si="139"/>
        <v>0</v>
      </c>
      <c r="AH214">
        <f>(EW214)</f>
        <v>0</v>
      </c>
      <c r="AI214">
        <f>(EX214)</f>
        <v>0</v>
      </c>
      <c r="AJ214">
        <f t="shared" si="140"/>
        <v>0</v>
      </c>
      <c r="AK214">
        <v>36.950000000000003</v>
      </c>
      <c r="AL214">
        <v>36.950000000000003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1</v>
      </c>
      <c r="AZ214">
        <v>1</v>
      </c>
      <c r="BA214">
        <v>1</v>
      </c>
      <c r="BB214">
        <v>1</v>
      </c>
      <c r="BC214">
        <v>2</v>
      </c>
      <c r="BD214" t="s">
        <v>3</v>
      </c>
      <c r="BE214" t="s">
        <v>3</v>
      </c>
      <c r="BF214" t="s">
        <v>3</v>
      </c>
      <c r="BG214" t="s">
        <v>3</v>
      </c>
      <c r="BH214">
        <v>3</v>
      </c>
      <c r="BI214">
        <v>3</v>
      </c>
      <c r="BJ214" t="s">
        <v>3</v>
      </c>
      <c r="BM214">
        <v>746</v>
      </c>
      <c r="BN214">
        <v>55992028</v>
      </c>
      <c r="BO214" t="s">
        <v>3</v>
      </c>
      <c r="BP214">
        <v>0</v>
      </c>
      <c r="BQ214">
        <v>130</v>
      </c>
      <c r="BR214">
        <v>0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 t="s">
        <v>3</v>
      </c>
      <c r="BZ214">
        <v>0</v>
      </c>
      <c r="CA214">
        <v>0</v>
      </c>
      <c r="CB214" t="s">
        <v>3</v>
      </c>
      <c r="CE214">
        <v>30</v>
      </c>
      <c r="CF214">
        <v>0</v>
      </c>
      <c r="CG214">
        <v>0</v>
      </c>
      <c r="CM214">
        <v>0</v>
      </c>
      <c r="CN214" t="s">
        <v>3</v>
      </c>
      <c r="CO214">
        <v>0</v>
      </c>
      <c r="CP214">
        <f t="shared" si="141"/>
        <v>13745.4</v>
      </c>
      <c r="CQ214">
        <f>ROUND((ROUND((AC214*1),2)*BC214),2)</f>
        <v>73.900000000000006</v>
      </c>
      <c r="CR214">
        <f>(ROUND((ROUND(((ET214)*AV214*1),2)*BB214),2)+ROUND((ROUND(((AE214-(EU214))*AV214*1),2)*BS214),2))</f>
        <v>0</v>
      </c>
      <c r="CS214">
        <f t="shared" si="142"/>
        <v>0</v>
      </c>
      <c r="CT214">
        <f t="shared" si="143"/>
        <v>0</v>
      </c>
      <c r="CU214">
        <f t="shared" si="144"/>
        <v>0</v>
      </c>
      <c r="CV214">
        <f t="shared" si="145"/>
        <v>0</v>
      </c>
      <c r="CW214">
        <f t="shared" si="146"/>
        <v>0</v>
      </c>
      <c r="CX214">
        <f t="shared" si="147"/>
        <v>0</v>
      </c>
      <c r="CY214">
        <f t="shared" si="148"/>
        <v>0</v>
      </c>
      <c r="CZ214">
        <f t="shared" si="149"/>
        <v>0</v>
      </c>
      <c r="DC214" t="s">
        <v>3</v>
      </c>
      <c r="DD214" t="s">
        <v>3</v>
      </c>
      <c r="DE214" t="s">
        <v>3</v>
      </c>
      <c r="DF214" t="s">
        <v>3</v>
      </c>
      <c r="DG214" t="s">
        <v>3</v>
      </c>
      <c r="DH214" t="s">
        <v>3</v>
      </c>
      <c r="DI214" t="s">
        <v>3</v>
      </c>
      <c r="DJ214" t="s">
        <v>3</v>
      </c>
      <c r="DK214" t="s">
        <v>3</v>
      </c>
      <c r="DL214" t="s">
        <v>3</v>
      </c>
      <c r="DM214" t="s">
        <v>3</v>
      </c>
      <c r="DN214">
        <v>0</v>
      </c>
      <c r="DO214">
        <v>0</v>
      </c>
      <c r="DP214">
        <v>1</v>
      </c>
      <c r="DQ214">
        <v>1</v>
      </c>
      <c r="DU214">
        <v>1010</v>
      </c>
      <c r="DV214" t="s">
        <v>31</v>
      </c>
      <c r="DW214" t="s">
        <v>31</v>
      </c>
      <c r="DX214">
        <v>1</v>
      </c>
      <c r="DZ214" t="s">
        <v>3</v>
      </c>
      <c r="EA214" t="s">
        <v>3</v>
      </c>
      <c r="EB214" t="s">
        <v>3</v>
      </c>
      <c r="EC214" t="s">
        <v>3</v>
      </c>
      <c r="EE214">
        <v>55992259</v>
      </c>
      <c r="EF214">
        <v>130</v>
      </c>
      <c r="EG214" t="s">
        <v>32</v>
      </c>
      <c r="EH214">
        <v>0</v>
      </c>
      <c r="EI214" t="s">
        <v>3</v>
      </c>
      <c r="EJ214">
        <v>3</v>
      </c>
      <c r="EK214">
        <v>746</v>
      </c>
      <c r="EL214" t="s">
        <v>33</v>
      </c>
      <c r="EM214" t="s">
        <v>34</v>
      </c>
      <c r="EO214" t="s">
        <v>3</v>
      </c>
      <c r="EQ214">
        <v>0</v>
      </c>
      <c r="ER214">
        <v>36.950000000000003</v>
      </c>
      <c r="ES214">
        <v>36.950000000000003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FQ214">
        <v>0</v>
      </c>
      <c r="FR214">
        <f>P214</f>
        <v>13745.4</v>
      </c>
      <c r="FS214">
        <v>0</v>
      </c>
      <c r="FX214">
        <v>0</v>
      </c>
      <c r="FY214">
        <v>0</v>
      </c>
      <c r="GA214" t="s">
        <v>3</v>
      </c>
      <c r="GD214">
        <v>1</v>
      </c>
      <c r="GF214">
        <v>1177980250</v>
      </c>
      <c r="GG214">
        <v>2</v>
      </c>
      <c r="GH214">
        <v>1</v>
      </c>
      <c r="GI214">
        <v>2</v>
      </c>
      <c r="GJ214">
        <v>0</v>
      </c>
      <c r="GK214">
        <v>0</v>
      </c>
      <c r="GL214">
        <f t="shared" si="150"/>
        <v>0</v>
      </c>
      <c r="GM214">
        <f t="shared" si="151"/>
        <v>13745.4</v>
      </c>
      <c r="GN214">
        <f t="shared" si="152"/>
        <v>0</v>
      </c>
      <c r="GO214">
        <f t="shared" si="153"/>
        <v>0</v>
      </c>
      <c r="GP214">
        <f t="shared" si="154"/>
        <v>0</v>
      </c>
      <c r="GR214">
        <v>0</v>
      </c>
      <c r="GS214">
        <v>3</v>
      </c>
      <c r="GT214">
        <v>0</v>
      </c>
      <c r="GU214" t="s">
        <v>3</v>
      </c>
      <c r="GV214">
        <f t="shared" si="155"/>
        <v>0</v>
      </c>
      <c r="GW214">
        <v>1</v>
      </c>
      <c r="GX214">
        <f t="shared" si="156"/>
        <v>0</v>
      </c>
      <c r="HA214">
        <v>0</v>
      </c>
      <c r="HB214">
        <v>0</v>
      </c>
      <c r="HC214">
        <f t="shared" si="157"/>
        <v>0</v>
      </c>
      <c r="HE214" t="s">
        <v>3</v>
      </c>
      <c r="HF214" t="s">
        <v>3</v>
      </c>
      <c r="HM214" t="s">
        <v>3</v>
      </c>
      <c r="HN214" t="s">
        <v>3</v>
      </c>
      <c r="HO214" t="s">
        <v>3</v>
      </c>
      <c r="HP214" t="s">
        <v>3</v>
      </c>
      <c r="HQ214" t="s">
        <v>3</v>
      </c>
      <c r="HS214">
        <v>0</v>
      </c>
      <c r="IK214">
        <v>0</v>
      </c>
    </row>
    <row r="215" spans="1:255" x14ac:dyDescent="0.2">
      <c r="A215" s="2">
        <v>17</v>
      </c>
      <c r="B215" s="2">
        <v>1</v>
      </c>
      <c r="C215" s="2">
        <f>ROW(SmtRes!A148)</f>
        <v>148</v>
      </c>
      <c r="D215" s="2">
        <f>ROW(EtalonRes!A181)</f>
        <v>181</v>
      </c>
      <c r="E215" s="2" t="s">
        <v>234</v>
      </c>
      <c r="F215" s="2" t="s">
        <v>235</v>
      </c>
      <c r="G215" s="2" t="s">
        <v>236</v>
      </c>
      <c r="H215" s="2" t="s">
        <v>21</v>
      </c>
      <c r="I215" s="2">
        <v>3</v>
      </c>
      <c r="J215" s="2">
        <v>0</v>
      </c>
      <c r="K215" s="2">
        <v>3</v>
      </c>
      <c r="L215" s="2"/>
      <c r="M215" s="2"/>
      <c r="N215" s="2"/>
      <c r="O215" s="2">
        <f t="shared" si="128"/>
        <v>145.81</v>
      </c>
      <c r="P215" s="2">
        <f>ROUND((ROUND((AC215*AW215*I215),2)*BC215),2)</f>
        <v>7.02</v>
      </c>
      <c r="Q215" s="2">
        <f>(ROUND((ROUND((((ET215*1.1))*AV215*I215),2)*BB215),2)+ROUND((ROUND(((AE215-((EU215*1.1)))*AV215*I215),2)*BS215),2))</f>
        <v>0</v>
      </c>
      <c r="R215" s="2">
        <f t="shared" si="129"/>
        <v>0</v>
      </c>
      <c r="S215" s="2">
        <f t="shared" si="130"/>
        <v>138.79</v>
      </c>
      <c r="T215" s="2">
        <f t="shared" si="131"/>
        <v>0</v>
      </c>
      <c r="U215" s="2">
        <f t="shared" si="132"/>
        <v>10.987218</v>
      </c>
      <c r="V215" s="2">
        <f t="shared" si="133"/>
        <v>0</v>
      </c>
      <c r="W215" s="2">
        <f t="shared" si="134"/>
        <v>0</v>
      </c>
      <c r="X215" s="2">
        <f t="shared" si="135"/>
        <v>124.91</v>
      </c>
      <c r="Y215" s="2">
        <f t="shared" si="136"/>
        <v>63.84</v>
      </c>
      <c r="Z215" s="2"/>
      <c r="AA215" s="2">
        <v>56959434</v>
      </c>
      <c r="AB215" s="2">
        <f t="shared" si="137"/>
        <v>46.527000000000001</v>
      </c>
      <c r="AC215" s="2">
        <f t="shared" si="138"/>
        <v>2.34</v>
      </c>
      <c r="AD215" s="2">
        <f>ROUND(((((ET215*1.1))-((EU215*1.1)))+AE215),6)</f>
        <v>0</v>
      </c>
      <c r="AE215" s="2">
        <f>ROUND(((EU215*1.1)),6)</f>
        <v>0</v>
      </c>
      <c r="AF215" s="2">
        <f>ROUND(((EV215*1.1)),6)</f>
        <v>44.186999999999998</v>
      </c>
      <c r="AG215" s="2">
        <f t="shared" si="139"/>
        <v>0</v>
      </c>
      <c r="AH215" s="2">
        <f>((EW215*1.1))</f>
        <v>3.4980000000000007</v>
      </c>
      <c r="AI215" s="2">
        <f>((EX215*1.1))</f>
        <v>0</v>
      </c>
      <c r="AJ215" s="2">
        <f t="shared" si="140"/>
        <v>0</v>
      </c>
      <c r="AK215" s="2">
        <v>42.51</v>
      </c>
      <c r="AL215" s="2">
        <v>2.34</v>
      </c>
      <c r="AM215" s="2">
        <v>0</v>
      </c>
      <c r="AN215" s="2">
        <v>0</v>
      </c>
      <c r="AO215" s="2">
        <v>40.17</v>
      </c>
      <c r="AP215" s="2">
        <v>0</v>
      </c>
      <c r="AQ215" s="2">
        <v>3.18</v>
      </c>
      <c r="AR215" s="2">
        <v>0</v>
      </c>
      <c r="AS215" s="2">
        <v>0</v>
      </c>
      <c r="AT215" s="2">
        <v>90</v>
      </c>
      <c r="AU215" s="2">
        <v>46</v>
      </c>
      <c r="AV215" s="2">
        <v>1.0469999999999999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0</v>
      </c>
      <c r="BI215" s="2">
        <v>2</v>
      </c>
      <c r="BJ215" s="2" t="s">
        <v>237</v>
      </c>
      <c r="BK215" s="2"/>
      <c r="BL215" s="2"/>
      <c r="BM215" s="2">
        <v>68</v>
      </c>
      <c r="BN215" s="2">
        <v>55992028</v>
      </c>
      <c r="BO215" s="2" t="s">
        <v>235</v>
      </c>
      <c r="BP215" s="2">
        <v>1</v>
      </c>
      <c r="BQ215" s="2">
        <v>40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90</v>
      </c>
      <c r="CA215" s="2">
        <v>46</v>
      </c>
      <c r="CB215" s="2" t="s">
        <v>3</v>
      </c>
      <c r="CC215" s="2"/>
      <c r="CD215" s="2"/>
      <c r="CE215" s="2">
        <v>30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673</v>
      </c>
      <c r="CO215" s="2">
        <v>0</v>
      </c>
      <c r="CP215" s="2">
        <f t="shared" si="141"/>
        <v>145.81</v>
      </c>
      <c r="CQ215" s="2">
        <f>ROUND((ROUND((AC215*AW215*1),2)*BC215),2)</f>
        <v>2.34</v>
      </c>
      <c r="CR215" s="2">
        <f>(ROUND((ROUND((((ET215*1.1))*AV215*1),2)*BB215),2)+ROUND((ROUND(((AE215-((EU215*1.1)))*AV215*1),2)*BS215),2))</f>
        <v>0</v>
      </c>
      <c r="CS215" s="2">
        <f t="shared" si="142"/>
        <v>0</v>
      </c>
      <c r="CT215" s="2">
        <f t="shared" si="143"/>
        <v>46.26</v>
      </c>
      <c r="CU215" s="2">
        <f t="shared" si="144"/>
        <v>0</v>
      </c>
      <c r="CV215" s="2">
        <f t="shared" si="145"/>
        <v>3.6624060000000003</v>
      </c>
      <c r="CW215" s="2">
        <f t="shared" si="146"/>
        <v>0</v>
      </c>
      <c r="CX215" s="2">
        <f t="shared" si="147"/>
        <v>0</v>
      </c>
      <c r="CY215" s="2">
        <f t="shared" si="148"/>
        <v>124.91099999999999</v>
      </c>
      <c r="CZ215" s="2">
        <f t="shared" si="149"/>
        <v>63.843399999999995</v>
      </c>
      <c r="DA215" s="2"/>
      <c r="DB215" s="2"/>
      <c r="DC215" s="2" t="s">
        <v>3</v>
      </c>
      <c r="DD215" s="2" t="s">
        <v>3</v>
      </c>
      <c r="DE215" s="2" t="s">
        <v>23</v>
      </c>
      <c r="DF215" s="2" t="s">
        <v>23</v>
      </c>
      <c r="DG215" s="2" t="s">
        <v>23</v>
      </c>
      <c r="DH215" s="2" t="s">
        <v>3</v>
      </c>
      <c r="DI215" s="2" t="s">
        <v>23</v>
      </c>
      <c r="DJ215" s="2" t="s">
        <v>23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1013</v>
      </c>
      <c r="DV215" s="2" t="s">
        <v>21</v>
      </c>
      <c r="DW215" s="2" t="s">
        <v>21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55992152</v>
      </c>
      <c r="EF215" s="2">
        <v>40</v>
      </c>
      <c r="EG215" s="2" t="s">
        <v>24</v>
      </c>
      <c r="EH215" s="2">
        <v>0</v>
      </c>
      <c r="EI215" s="2" t="s">
        <v>3</v>
      </c>
      <c r="EJ215" s="2">
        <v>2</v>
      </c>
      <c r="EK215" s="2">
        <v>68</v>
      </c>
      <c r="EL215" s="2" t="s">
        <v>41</v>
      </c>
      <c r="EM215" s="2" t="s">
        <v>42</v>
      </c>
      <c r="EN215" s="2"/>
      <c r="EO215" s="2" t="s">
        <v>27</v>
      </c>
      <c r="EP215" s="2"/>
      <c r="EQ215" s="2">
        <v>0</v>
      </c>
      <c r="ER215" s="2">
        <v>42.51</v>
      </c>
      <c r="ES215" s="2">
        <v>2.34</v>
      </c>
      <c r="ET215" s="2">
        <v>0</v>
      </c>
      <c r="EU215" s="2">
        <v>0</v>
      </c>
      <c r="EV215" s="2">
        <v>40.17</v>
      </c>
      <c r="EW215" s="2">
        <v>3.18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90</v>
      </c>
      <c r="FY215" s="2">
        <v>46</v>
      </c>
      <c r="FZ215" s="2"/>
      <c r="GA215" s="2" t="s">
        <v>3</v>
      </c>
      <c r="GB215" s="2"/>
      <c r="GC215" s="2"/>
      <c r="GD215" s="2">
        <v>1</v>
      </c>
      <c r="GE215" s="2"/>
      <c r="GF215" s="2">
        <v>1548884140</v>
      </c>
      <c r="GG215" s="2">
        <v>2</v>
      </c>
      <c r="GH215" s="2">
        <v>1</v>
      </c>
      <c r="GI215" s="2">
        <v>2</v>
      </c>
      <c r="GJ215" s="2">
        <v>0</v>
      </c>
      <c r="GK215" s="2">
        <v>0</v>
      </c>
      <c r="GL215" s="2">
        <f t="shared" si="150"/>
        <v>0</v>
      </c>
      <c r="GM215" s="2">
        <f t="shared" si="151"/>
        <v>334.56</v>
      </c>
      <c r="GN215" s="2">
        <f t="shared" si="152"/>
        <v>0</v>
      </c>
      <c r="GO215" s="2">
        <f t="shared" si="153"/>
        <v>334.56</v>
      </c>
      <c r="GP215" s="2">
        <f t="shared" si="154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155"/>
        <v>0</v>
      </c>
      <c r="GW215" s="2">
        <v>1</v>
      </c>
      <c r="GX215" s="2">
        <f t="shared" si="156"/>
        <v>0</v>
      </c>
      <c r="GY215" s="2"/>
      <c r="GZ215" s="2"/>
      <c r="HA215" s="2">
        <v>0</v>
      </c>
      <c r="HB215" s="2">
        <v>0</v>
      </c>
      <c r="HC215" s="2">
        <f t="shared" si="157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">
      <c r="A216">
        <v>17</v>
      </c>
      <c r="B216">
        <v>1</v>
      </c>
      <c r="C216">
        <f>ROW(SmtRes!A152)</f>
        <v>152</v>
      </c>
      <c r="D216">
        <f>ROW(EtalonRes!A186)</f>
        <v>186</v>
      </c>
      <c r="E216" t="s">
        <v>234</v>
      </c>
      <c r="F216" t="s">
        <v>235</v>
      </c>
      <c r="G216" t="s">
        <v>236</v>
      </c>
      <c r="H216" t="s">
        <v>21</v>
      </c>
      <c r="I216">
        <v>3</v>
      </c>
      <c r="J216">
        <v>0</v>
      </c>
      <c r="K216">
        <v>3</v>
      </c>
      <c r="O216">
        <f t="shared" si="128"/>
        <v>7704.09</v>
      </c>
      <c r="P216">
        <f>ROUND((ROUND((AC216*AW216*I216),2)*BC216),2)</f>
        <v>72.03</v>
      </c>
      <c r="Q216">
        <f>(ROUND((ROUND((((ET216*1.1))*AV216*I216),2)*BB216),2)+ROUND((ROUND(((AE216-((EU216*1.1)))*AV216*I216),2)*BS216),2))</f>
        <v>0</v>
      </c>
      <c r="R216">
        <f t="shared" si="129"/>
        <v>0</v>
      </c>
      <c r="S216">
        <f t="shared" si="130"/>
        <v>7632.06</v>
      </c>
      <c r="T216">
        <f t="shared" si="131"/>
        <v>0</v>
      </c>
      <c r="U216">
        <f t="shared" si="132"/>
        <v>10.987218</v>
      </c>
      <c r="V216">
        <f t="shared" si="133"/>
        <v>0</v>
      </c>
      <c r="W216">
        <f t="shared" si="134"/>
        <v>0</v>
      </c>
      <c r="X216">
        <f t="shared" si="135"/>
        <v>6868.85</v>
      </c>
      <c r="Y216">
        <f t="shared" si="136"/>
        <v>3510.75</v>
      </c>
      <c r="AA216">
        <v>56959431</v>
      </c>
      <c r="AB216">
        <f t="shared" si="137"/>
        <v>46.527000000000001</v>
      </c>
      <c r="AC216">
        <f t="shared" si="138"/>
        <v>2.34</v>
      </c>
      <c r="AD216">
        <f>ROUND(((((ET216*1.1))-((EU216*1.1)))+AE216),6)</f>
        <v>0</v>
      </c>
      <c r="AE216">
        <f>ROUND(((EU216*1.1)),6)</f>
        <v>0</v>
      </c>
      <c r="AF216">
        <f>ROUND(((EV216*1.1)),6)</f>
        <v>44.186999999999998</v>
      </c>
      <c r="AG216">
        <f t="shared" si="139"/>
        <v>0</v>
      </c>
      <c r="AH216">
        <f>((EW216*1.1))</f>
        <v>3.4980000000000007</v>
      </c>
      <c r="AI216">
        <f>((EX216*1.1))</f>
        <v>0</v>
      </c>
      <c r="AJ216">
        <f t="shared" si="140"/>
        <v>0</v>
      </c>
      <c r="AK216">
        <v>42.51</v>
      </c>
      <c r="AL216">
        <v>2.34</v>
      </c>
      <c r="AM216">
        <v>0</v>
      </c>
      <c r="AN216">
        <v>0</v>
      </c>
      <c r="AO216">
        <v>40.17</v>
      </c>
      <c r="AP216">
        <v>0</v>
      </c>
      <c r="AQ216">
        <v>3.18</v>
      </c>
      <c r="AR216">
        <v>0</v>
      </c>
      <c r="AS216">
        <v>0</v>
      </c>
      <c r="AT216">
        <v>90</v>
      </c>
      <c r="AU216">
        <v>46</v>
      </c>
      <c r="AV216">
        <v>1.0469999999999999</v>
      </c>
      <c r="AW216">
        <v>1</v>
      </c>
      <c r="AZ216">
        <v>1</v>
      </c>
      <c r="BA216">
        <v>54.99</v>
      </c>
      <c r="BB216">
        <v>1</v>
      </c>
      <c r="BC216">
        <v>10.26</v>
      </c>
      <c r="BD216" t="s">
        <v>3</v>
      </c>
      <c r="BE216" t="s">
        <v>3</v>
      </c>
      <c r="BF216" t="s">
        <v>3</v>
      </c>
      <c r="BG216" t="s">
        <v>3</v>
      </c>
      <c r="BH216">
        <v>0</v>
      </c>
      <c r="BI216">
        <v>2</v>
      </c>
      <c r="BJ216" t="s">
        <v>237</v>
      </c>
      <c r="BM216">
        <v>68</v>
      </c>
      <c r="BN216">
        <v>55992028</v>
      </c>
      <c r="BO216" t="s">
        <v>235</v>
      </c>
      <c r="BP216">
        <v>1</v>
      </c>
      <c r="BQ216">
        <v>40</v>
      </c>
      <c r="BR216">
        <v>0</v>
      </c>
      <c r="BS216">
        <v>54.99</v>
      </c>
      <c r="BT216">
        <v>1</v>
      </c>
      <c r="BU216">
        <v>1</v>
      </c>
      <c r="BV216">
        <v>1</v>
      </c>
      <c r="BW216">
        <v>1</v>
      </c>
      <c r="BX216">
        <v>1</v>
      </c>
      <c r="BY216" t="s">
        <v>3</v>
      </c>
      <c r="BZ216">
        <v>90</v>
      </c>
      <c r="CA216">
        <v>46</v>
      </c>
      <c r="CB216" t="s">
        <v>3</v>
      </c>
      <c r="CE216">
        <v>30</v>
      </c>
      <c r="CF216">
        <v>0</v>
      </c>
      <c r="CG216">
        <v>0</v>
      </c>
      <c r="CM216">
        <v>0</v>
      </c>
      <c r="CN216" t="s">
        <v>673</v>
      </c>
      <c r="CO216">
        <v>0</v>
      </c>
      <c r="CP216">
        <f t="shared" si="141"/>
        <v>7704.09</v>
      </c>
      <c r="CQ216">
        <f>ROUND((ROUND((AC216*AW216*1),2)*BC216),2)</f>
        <v>24.01</v>
      </c>
      <c r="CR216">
        <f>(ROUND((ROUND((((ET216*1.1))*AV216*1),2)*BB216),2)+ROUND((ROUND(((AE216-((EU216*1.1)))*AV216*1),2)*BS216),2))</f>
        <v>0</v>
      </c>
      <c r="CS216">
        <f t="shared" si="142"/>
        <v>0</v>
      </c>
      <c r="CT216">
        <f t="shared" si="143"/>
        <v>2543.84</v>
      </c>
      <c r="CU216">
        <f t="shared" si="144"/>
        <v>0</v>
      </c>
      <c r="CV216">
        <f t="shared" si="145"/>
        <v>3.6624060000000003</v>
      </c>
      <c r="CW216">
        <f t="shared" si="146"/>
        <v>0</v>
      </c>
      <c r="CX216">
        <f t="shared" si="147"/>
        <v>0</v>
      </c>
      <c r="CY216">
        <f t="shared" si="148"/>
        <v>6868.8540000000003</v>
      </c>
      <c r="CZ216">
        <f t="shared" si="149"/>
        <v>3510.7476000000001</v>
      </c>
      <c r="DC216" t="s">
        <v>3</v>
      </c>
      <c r="DD216" t="s">
        <v>3</v>
      </c>
      <c r="DE216" t="s">
        <v>23</v>
      </c>
      <c r="DF216" t="s">
        <v>23</v>
      </c>
      <c r="DG216" t="s">
        <v>23</v>
      </c>
      <c r="DH216" t="s">
        <v>3</v>
      </c>
      <c r="DI216" t="s">
        <v>23</v>
      </c>
      <c r="DJ216" t="s">
        <v>23</v>
      </c>
      <c r="DK216" t="s">
        <v>3</v>
      </c>
      <c r="DL216" t="s">
        <v>3</v>
      </c>
      <c r="DM216" t="s">
        <v>3</v>
      </c>
      <c r="DN216">
        <v>0</v>
      </c>
      <c r="DO216">
        <v>0</v>
      </c>
      <c r="DP216">
        <v>1</v>
      </c>
      <c r="DQ216">
        <v>1</v>
      </c>
      <c r="DU216">
        <v>1013</v>
      </c>
      <c r="DV216" t="s">
        <v>21</v>
      </c>
      <c r="DW216" t="s">
        <v>21</v>
      </c>
      <c r="DX216">
        <v>1</v>
      </c>
      <c r="DZ216" t="s">
        <v>3</v>
      </c>
      <c r="EA216" t="s">
        <v>3</v>
      </c>
      <c r="EB216" t="s">
        <v>3</v>
      </c>
      <c r="EC216" t="s">
        <v>3</v>
      </c>
      <c r="EE216">
        <v>55992152</v>
      </c>
      <c r="EF216">
        <v>40</v>
      </c>
      <c r="EG216" t="s">
        <v>24</v>
      </c>
      <c r="EH216">
        <v>0</v>
      </c>
      <c r="EI216" t="s">
        <v>3</v>
      </c>
      <c r="EJ216">
        <v>2</v>
      </c>
      <c r="EK216">
        <v>68</v>
      </c>
      <c r="EL216" t="s">
        <v>41</v>
      </c>
      <c r="EM216" t="s">
        <v>42</v>
      </c>
      <c r="EO216" t="s">
        <v>27</v>
      </c>
      <c r="EQ216">
        <v>0</v>
      </c>
      <c r="ER216">
        <v>42.51</v>
      </c>
      <c r="ES216">
        <v>2.34</v>
      </c>
      <c r="ET216">
        <v>0</v>
      </c>
      <c r="EU216">
        <v>0</v>
      </c>
      <c r="EV216">
        <v>40.17</v>
      </c>
      <c r="EW216">
        <v>3.18</v>
      </c>
      <c r="EX216">
        <v>0</v>
      </c>
      <c r="EY216">
        <v>0</v>
      </c>
      <c r="FQ216">
        <v>0</v>
      </c>
      <c r="FR216">
        <v>0</v>
      </c>
      <c r="FS216">
        <v>0</v>
      </c>
      <c r="FX216">
        <v>90</v>
      </c>
      <c r="FY216">
        <v>46</v>
      </c>
      <c r="GA216" t="s">
        <v>3</v>
      </c>
      <c r="GD216">
        <v>1</v>
      </c>
      <c r="GF216">
        <v>1548884140</v>
      </c>
      <c r="GG216">
        <v>2</v>
      </c>
      <c r="GH216">
        <v>1</v>
      </c>
      <c r="GI216">
        <v>2</v>
      </c>
      <c r="GJ216">
        <v>0</v>
      </c>
      <c r="GK216">
        <v>0</v>
      </c>
      <c r="GL216">
        <f t="shared" si="150"/>
        <v>0</v>
      </c>
      <c r="GM216">
        <f t="shared" si="151"/>
        <v>18083.689999999999</v>
      </c>
      <c r="GN216">
        <f t="shared" si="152"/>
        <v>0</v>
      </c>
      <c r="GO216">
        <f t="shared" si="153"/>
        <v>18083.689999999999</v>
      </c>
      <c r="GP216">
        <f t="shared" si="154"/>
        <v>0</v>
      </c>
      <c r="GR216">
        <v>0</v>
      </c>
      <c r="GS216">
        <v>3</v>
      </c>
      <c r="GT216">
        <v>0</v>
      </c>
      <c r="GU216" t="s">
        <v>3</v>
      </c>
      <c r="GV216">
        <f t="shared" si="155"/>
        <v>0</v>
      </c>
      <c r="GW216">
        <v>1</v>
      </c>
      <c r="GX216">
        <f t="shared" si="156"/>
        <v>0</v>
      </c>
      <c r="HA216">
        <v>0</v>
      </c>
      <c r="HB216">
        <v>0</v>
      </c>
      <c r="HC216">
        <f t="shared" si="157"/>
        <v>0</v>
      </c>
      <c r="HE216" t="s">
        <v>3</v>
      </c>
      <c r="HF216" t="s">
        <v>3</v>
      </c>
      <c r="HM216" t="s">
        <v>3</v>
      </c>
      <c r="HN216" t="s">
        <v>3</v>
      </c>
      <c r="HO216" t="s">
        <v>3</v>
      </c>
      <c r="HP216" t="s">
        <v>3</v>
      </c>
      <c r="HQ216" t="s">
        <v>3</v>
      </c>
      <c r="HS216">
        <v>0</v>
      </c>
      <c r="IK216">
        <v>0</v>
      </c>
    </row>
    <row r="217" spans="1:255" x14ac:dyDescent="0.2">
      <c r="A217" s="2">
        <v>17</v>
      </c>
      <c r="B217" s="2">
        <v>1</v>
      </c>
      <c r="C217" s="2"/>
      <c r="D217" s="2"/>
      <c r="E217" s="2" t="s">
        <v>238</v>
      </c>
      <c r="F217" s="2" t="s">
        <v>239</v>
      </c>
      <c r="G217" s="2" t="s">
        <v>240</v>
      </c>
      <c r="H217" s="2" t="s">
        <v>31</v>
      </c>
      <c r="I217" s="2">
        <v>3</v>
      </c>
      <c r="J217" s="2">
        <v>0</v>
      </c>
      <c r="K217" s="2">
        <v>3</v>
      </c>
      <c r="L217" s="2"/>
      <c r="M217" s="2"/>
      <c r="N217" s="2"/>
      <c r="O217" s="2">
        <f t="shared" si="128"/>
        <v>3835.71</v>
      </c>
      <c r="P217" s="2">
        <f>ROUND((ROUND((AC217*I217),2)*BC217),2)</f>
        <v>3835.71</v>
      </c>
      <c r="Q217" s="2">
        <f>(ROUND((ROUND(((ET217)*AV217*I217),2)*BB217),2)+ROUND((ROUND(((AE217-(EU217))*AV217*I217),2)*BS217),2))</f>
        <v>0</v>
      </c>
      <c r="R217" s="2">
        <f t="shared" si="129"/>
        <v>0</v>
      </c>
      <c r="S217" s="2">
        <f t="shared" si="130"/>
        <v>0</v>
      </c>
      <c r="T217" s="2">
        <f t="shared" si="131"/>
        <v>0</v>
      </c>
      <c r="U217" s="2">
        <f t="shared" si="132"/>
        <v>0</v>
      </c>
      <c r="V217" s="2">
        <f t="shared" si="133"/>
        <v>0</v>
      </c>
      <c r="W217" s="2">
        <f t="shared" si="134"/>
        <v>0</v>
      </c>
      <c r="X217" s="2">
        <f t="shared" si="135"/>
        <v>0</v>
      </c>
      <c r="Y217" s="2">
        <f t="shared" si="136"/>
        <v>0</v>
      </c>
      <c r="Z217" s="2"/>
      <c r="AA217" s="2">
        <v>56959434</v>
      </c>
      <c r="AB217" s="2">
        <f t="shared" si="137"/>
        <v>1278.57</v>
      </c>
      <c r="AC217" s="2">
        <f t="shared" si="138"/>
        <v>1278.57</v>
      </c>
      <c r="AD217" s="2">
        <f>ROUND((((ET217)-(EU217))+AE217),6)</f>
        <v>0</v>
      </c>
      <c r="AE217" s="2">
        <f t="shared" ref="AE217:AF220" si="160">ROUND((EU217),6)</f>
        <v>0</v>
      </c>
      <c r="AF217" s="2">
        <f t="shared" si="160"/>
        <v>0</v>
      </c>
      <c r="AG217" s="2">
        <f t="shared" si="139"/>
        <v>0</v>
      </c>
      <c r="AH217" s="2">
        <f t="shared" ref="AH217:AI220" si="161">(EW217)</f>
        <v>0</v>
      </c>
      <c r="AI217" s="2">
        <f t="shared" si="161"/>
        <v>0</v>
      </c>
      <c r="AJ217" s="2">
        <f t="shared" si="140"/>
        <v>0</v>
      </c>
      <c r="AK217" s="2">
        <v>1278.57</v>
      </c>
      <c r="AL217" s="2">
        <v>1278.57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1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3</v>
      </c>
      <c r="BI217" s="2">
        <v>3</v>
      </c>
      <c r="BJ217" s="2" t="s">
        <v>3</v>
      </c>
      <c r="BK217" s="2"/>
      <c r="BL217" s="2"/>
      <c r="BM217" s="2">
        <v>746</v>
      </c>
      <c r="BN217" s="2">
        <v>0</v>
      </c>
      <c r="BO217" s="2" t="s">
        <v>3</v>
      </c>
      <c r="BP217" s="2">
        <v>0</v>
      </c>
      <c r="BQ217" s="2">
        <v>130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0</v>
      </c>
      <c r="CA217" s="2">
        <v>0</v>
      </c>
      <c r="CB217" s="2" t="s">
        <v>3</v>
      </c>
      <c r="CC217" s="2"/>
      <c r="CD217" s="2"/>
      <c r="CE217" s="2">
        <v>30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3</v>
      </c>
      <c r="CO217" s="2">
        <v>0</v>
      </c>
      <c r="CP217" s="2">
        <f t="shared" si="141"/>
        <v>3835.71</v>
      </c>
      <c r="CQ217" s="2">
        <f>ROUND((ROUND((AC217*1),2)*BC217),2)</f>
        <v>1278.57</v>
      </c>
      <c r="CR217" s="2">
        <f>(ROUND((ROUND(((ET217)*AV217*1),2)*BB217),2)+ROUND((ROUND(((AE217-(EU217))*AV217*1),2)*BS217),2))</f>
        <v>0</v>
      </c>
      <c r="CS217" s="2">
        <f t="shared" si="142"/>
        <v>0</v>
      </c>
      <c r="CT217" s="2">
        <f t="shared" si="143"/>
        <v>0</v>
      </c>
      <c r="CU217" s="2">
        <f t="shared" si="144"/>
        <v>0</v>
      </c>
      <c r="CV217" s="2">
        <f t="shared" si="145"/>
        <v>0</v>
      </c>
      <c r="CW217" s="2">
        <f t="shared" si="146"/>
        <v>0</v>
      </c>
      <c r="CX217" s="2">
        <f t="shared" si="147"/>
        <v>0</v>
      </c>
      <c r="CY217" s="2">
        <f t="shared" si="148"/>
        <v>0</v>
      </c>
      <c r="CZ217" s="2">
        <f t="shared" si="149"/>
        <v>0</v>
      </c>
      <c r="DA217" s="2"/>
      <c r="DB217" s="2"/>
      <c r="DC217" s="2" t="s">
        <v>3</v>
      </c>
      <c r="DD217" s="2" t="s">
        <v>3</v>
      </c>
      <c r="DE217" s="2" t="s">
        <v>3</v>
      </c>
      <c r="DF217" s="2" t="s">
        <v>3</v>
      </c>
      <c r="DG217" s="2" t="s">
        <v>3</v>
      </c>
      <c r="DH217" s="2" t="s">
        <v>3</v>
      </c>
      <c r="DI217" s="2" t="s">
        <v>3</v>
      </c>
      <c r="DJ217" s="2" t="s">
        <v>3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1010</v>
      </c>
      <c r="DV217" s="2" t="s">
        <v>31</v>
      </c>
      <c r="DW217" s="2" t="s">
        <v>31</v>
      </c>
      <c r="DX217" s="2">
        <v>1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55992259</v>
      </c>
      <c r="EF217" s="2">
        <v>130</v>
      </c>
      <c r="EG217" s="2" t="s">
        <v>32</v>
      </c>
      <c r="EH217" s="2">
        <v>0</v>
      </c>
      <c r="EI217" s="2" t="s">
        <v>3</v>
      </c>
      <c r="EJ217" s="2">
        <v>3</v>
      </c>
      <c r="EK217" s="2">
        <v>746</v>
      </c>
      <c r="EL217" s="2" t="s">
        <v>33</v>
      </c>
      <c r="EM217" s="2" t="s">
        <v>34</v>
      </c>
      <c r="EN217" s="2"/>
      <c r="EO217" s="2" t="s">
        <v>3</v>
      </c>
      <c r="EP217" s="2"/>
      <c r="EQ217" s="2">
        <v>0</v>
      </c>
      <c r="ER217" s="2">
        <v>0</v>
      </c>
      <c r="ES217" s="2">
        <v>1278.57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f>P217</f>
        <v>3835.71</v>
      </c>
      <c r="FS217" s="2">
        <v>0</v>
      </c>
      <c r="FT217" s="2"/>
      <c r="FU217" s="2"/>
      <c r="FV217" s="2"/>
      <c r="FW217" s="2"/>
      <c r="FX217" s="2">
        <v>0</v>
      </c>
      <c r="FY217" s="2">
        <v>0</v>
      </c>
      <c r="FZ217" s="2"/>
      <c r="GA217" s="2" t="s">
        <v>241</v>
      </c>
      <c r="GB217" s="2"/>
      <c r="GC217" s="2"/>
      <c r="GD217" s="2">
        <v>1</v>
      </c>
      <c r="GE217" s="2"/>
      <c r="GF217" s="2">
        <v>1343418543</v>
      </c>
      <c r="GG217" s="2">
        <v>2</v>
      </c>
      <c r="GH217" s="2">
        <v>4</v>
      </c>
      <c r="GI217" s="2">
        <v>-2</v>
      </c>
      <c r="GJ217" s="2">
        <v>0</v>
      </c>
      <c r="GK217" s="2">
        <v>0</v>
      </c>
      <c r="GL217" s="2">
        <f t="shared" si="150"/>
        <v>0</v>
      </c>
      <c r="GM217" s="2">
        <f t="shared" si="151"/>
        <v>3835.71</v>
      </c>
      <c r="GN217" s="2">
        <f t="shared" si="152"/>
        <v>0</v>
      </c>
      <c r="GO217" s="2">
        <f t="shared" si="153"/>
        <v>0</v>
      </c>
      <c r="GP217" s="2">
        <f t="shared" si="154"/>
        <v>0</v>
      </c>
      <c r="GQ217" s="2"/>
      <c r="GR217" s="2">
        <v>0</v>
      </c>
      <c r="GS217" s="2">
        <v>2</v>
      </c>
      <c r="GT217" s="2">
        <v>0</v>
      </c>
      <c r="GU217" s="2" t="s">
        <v>3</v>
      </c>
      <c r="GV217" s="2">
        <f t="shared" si="155"/>
        <v>0</v>
      </c>
      <c r="GW217" s="2">
        <v>1</v>
      </c>
      <c r="GX217" s="2">
        <f t="shared" si="156"/>
        <v>0</v>
      </c>
      <c r="GY217" s="2"/>
      <c r="GZ217" s="2"/>
      <c r="HA217" s="2">
        <v>0</v>
      </c>
      <c r="HB217" s="2">
        <v>0</v>
      </c>
      <c r="HC217" s="2">
        <f t="shared" si="157"/>
        <v>0</v>
      </c>
      <c r="HD217" s="2"/>
      <c r="HE217" s="2" t="s">
        <v>36</v>
      </c>
      <c r="HF217" s="2" t="s">
        <v>37</v>
      </c>
      <c r="HG217" s="2"/>
      <c r="HH217" s="2"/>
      <c r="HI217" s="2"/>
      <c r="HJ217" s="2"/>
      <c r="HK217" s="2"/>
      <c r="HL217" s="2"/>
      <c r="HM217" s="2" t="s">
        <v>3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2">
      <c r="A218">
        <v>17</v>
      </c>
      <c r="B218">
        <v>1</v>
      </c>
      <c r="E218" t="s">
        <v>238</v>
      </c>
      <c r="F218" t="s">
        <v>239</v>
      </c>
      <c r="G218" t="s">
        <v>240</v>
      </c>
      <c r="H218" t="s">
        <v>31</v>
      </c>
      <c r="I218">
        <v>3</v>
      </c>
      <c r="J218">
        <v>0</v>
      </c>
      <c r="K218">
        <v>3</v>
      </c>
      <c r="O218">
        <f t="shared" si="128"/>
        <v>29381.54</v>
      </c>
      <c r="P218">
        <f>ROUND((ROUND((AC218*I218),2)*BC218),2)</f>
        <v>29381.54</v>
      </c>
      <c r="Q218">
        <f>(ROUND((ROUND(((ET218)*AV218*I218),2)*BB218),2)+ROUND((ROUND(((AE218-(EU218))*AV218*I218),2)*BS218),2))</f>
        <v>0</v>
      </c>
      <c r="R218">
        <f t="shared" si="129"/>
        <v>0</v>
      </c>
      <c r="S218">
        <f t="shared" si="130"/>
        <v>0</v>
      </c>
      <c r="T218">
        <f t="shared" si="131"/>
        <v>0</v>
      </c>
      <c r="U218">
        <f t="shared" si="132"/>
        <v>0</v>
      </c>
      <c r="V218">
        <f t="shared" si="133"/>
        <v>0</v>
      </c>
      <c r="W218">
        <f t="shared" si="134"/>
        <v>0</v>
      </c>
      <c r="X218">
        <f t="shared" si="135"/>
        <v>0</v>
      </c>
      <c r="Y218">
        <f t="shared" si="136"/>
        <v>0</v>
      </c>
      <c r="AA218">
        <v>56959431</v>
      </c>
      <c r="AB218">
        <f t="shared" si="137"/>
        <v>1278.57</v>
      </c>
      <c r="AC218">
        <f t="shared" si="138"/>
        <v>1278.57</v>
      </c>
      <c r="AD218">
        <f>ROUND((((ET218)-(EU218))+AE218),6)</f>
        <v>0</v>
      </c>
      <c r="AE218">
        <f t="shared" si="160"/>
        <v>0</v>
      </c>
      <c r="AF218">
        <f t="shared" si="160"/>
        <v>0</v>
      </c>
      <c r="AG218">
        <f t="shared" si="139"/>
        <v>0</v>
      </c>
      <c r="AH218">
        <f t="shared" si="161"/>
        <v>0</v>
      </c>
      <c r="AI218">
        <f t="shared" si="161"/>
        <v>0</v>
      </c>
      <c r="AJ218">
        <f t="shared" si="140"/>
        <v>0</v>
      </c>
      <c r="AK218">
        <v>1278.57</v>
      </c>
      <c r="AL218">
        <v>1278.57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1</v>
      </c>
      <c r="AZ218">
        <v>1</v>
      </c>
      <c r="BA218">
        <v>1</v>
      </c>
      <c r="BB218">
        <v>1</v>
      </c>
      <c r="BC218">
        <v>7.66</v>
      </c>
      <c r="BD218" t="s">
        <v>3</v>
      </c>
      <c r="BE218" t="s">
        <v>3</v>
      </c>
      <c r="BF218" t="s">
        <v>3</v>
      </c>
      <c r="BG218" t="s">
        <v>3</v>
      </c>
      <c r="BH218">
        <v>3</v>
      </c>
      <c r="BI218">
        <v>3</v>
      </c>
      <c r="BJ218" t="s">
        <v>3</v>
      </c>
      <c r="BM218">
        <v>746</v>
      </c>
      <c r="BN218">
        <v>0</v>
      </c>
      <c r="BO218" t="s">
        <v>3</v>
      </c>
      <c r="BP218">
        <v>0</v>
      </c>
      <c r="BQ218">
        <v>130</v>
      </c>
      <c r="BR218">
        <v>0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 t="s">
        <v>3</v>
      </c>
      <c r="BZ218">
        <v>0</v>
      </c>
      <c r="CA218">
        <v>0</v>
      </c>
      <c r="CB218" t="s">
        <v>3</v>
      </c>
      <c r="CE218">
        <v>30</v>
      </c>
      <c r="CF218">
        <v>0</v>
      </c>
      <c r="CG218">
        <v>0</v>
      </c>
      <c r="CM218">
        <v>0</v>
      </c>
      <c r="CN218" t="s">
        <v>3</v>
      </c>
      <c r="CO218">
        <v>0</v>
      </c>
      <c r="CP218">
        <f t="shared" si="141"/>
        <v>29381.54</v>
      </c>
      <c r="CQ218">
        <f>ROUND((ROUND((AC218*1),2)*BC218),2)</f>
        <v>9793.85</v>
      </c>
      <c r="CR218">
        <f>(ROUND((ROUND(((ET218)*AV218*1),2)*BB218),2)+ROUND((ROUND(((AE218-(EU218))*AV218*1),2)*BS218),2))</f>
        <v>0</v>
      </c>
      <c r="CS218">
        <f t="shared" si="142"/>
        <v>0</v>
      </c>
      <c r="CT218">
        <f t="shared" si="143"/>
        <v>0</v>
      </c>
      <c r="CU218">
        <f t="shared" si="144"/>
        <v>0</v>
      </c>
      <c r="CV218">
        <f t="shared" si="145"/>
        <v>0</v>
      </c>
      <c r="CW218">
        <f t="shared" si="146"/>
        <v>0</v>
      </c>
      <c r="CX218">
        <f t="shared" si="147"/>
        <v>0</v>
      </c>
      <c r="CY218">
        <f t="shared" si="148"/>
        <v>0</v>
      </c>
      <c r="CZ218">
        <f t="shared" si="149"/>
        <v>0</v>
      </c>
      <c r="DC218" t="s">
        <v>3</v>
      </c>
      <c r="DD218" t="s">
        <v>3</v>
      </c>
      <c r="DE218" t="s">
        <v>3</v>
      </c>
      <c r="DF218" t="s">
        <v>3</v>
      </c>
      <c r="DG218" t="s">
        <v>3</v>
      </c>
      <c r="DH218" t="s">
        <v>3</v>
      </c>
      <c r="DI218" t="s">
        <v>3</v>
      </c>
      <c r="DJ218" t="s">
        <v>3</v>
      </c>
      <c r="DK218" t="s">
        <v>3</v>
      </c>
      <c r="DL218" t="s">
        <v>3</v>
      </c>
      <c r="DM218" t="s">
        <v>3</v>
      </c>
      <c r="DN218">
        <v>0</v>
      </c>
      <c r="DO218">
        <v>0</v>
      </c>
      <c r="DP218">
        <v>1</v>
      </c>
      <c r="DQ218">
        <v>1</v>
      </c>
      <c r="DU218">
        <v>1010</v>
      </c>
      <c r="DV218" t="s">
        <v>31</v>
      </c>
      <c r="DW218" t="s">
        <v>31</v>
      </c>
      <c r="DX218">
        <v>1</v>
      </c>
      <c r="DZ218" t="s">
        <v>3</v>
      </c>
      <c r="EA218" t="s">
        <v>3</v>
      </c>
      <c r="EB218" t="s">
        <v>3</v>
      </c>
      <c r="EC218" t="s">
        <v>3</v>
      </c>
      <c r="EE218">
        <v>55992259</v>
      </c>
      <c r="EF218">
        <v>130</v>
      </c>
      <c r="EG218" t="s">
        <v>32</v>
      </c>
      <c r="EH218">
        <v>0</v>
      </c>
      <c r="EI218" t="s">
        <v>3</v>
      </c>
      <c r="EJ218">
        <v>3</v>
      </c>
      <c r="EK218">
        <v>746</v>
      </c>
      <c r="EL218" t="s">
        <v>33</v>
      </c>
      <c r="EM218" t="s">
        <v>34</v>
      </c>
      <c r="EO218" t="s">
        <v>3</v>
      </c>
      <c r="EQ218">
        <v>0</v>
      </c>
      <c r="ER218">
        <v>1278.57</v>
      </c>
      <c r="ES218">
        <v>1278.57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5</v>
      </c>
      <c r="FC218">
        <v>1</v>
      </c>
      <c r="FD218">
        <v>18</v>
      </c>
      <c r="FF218">
        <v>11275</v>
      </c>
      <c r="FQ218">
        <v>0</v>
      </c>
      <c r="FR218">
        <f>P218</f>
        <v>29381.54</v>
      </c>
      <c r="FS218">
        <v>0</v>
      </c>
      <c r="FX218">
        <v>0</v>
      </c>
      <c r="FY218">
        <v>0</v>
      </c>
      <c r="GA218" t="s">
        <v>241</v>
      </c>
      <c r="GD218">
        <v>1</v>
      </c>
      <c r="GF218">
        <v>1343418543</v>
      </c>
      <c r="GG218">
        <v>2</v>
      </c>
      <c r="GH218">
        <v>3</v>
      </c>
      <c r="GI218">
        <v>5</v>
      </c>
      <c r="GJ218">
        <v>0</v>
      </c>
      <c r="GK218">
        <v>0</v>
      </c>
      <c r="GL218">
        <f t="shared" si="150"/>
        <v>0</v>
      </c>
      <c r="GM218">
        <f t="shared" si="151"/>
        <v>29381.54</v>
      </c>
      <c r="GN218">
        <f t="shared" si="152"/>
        <v>0</v>
      </c>
      <c r="GO218">
        <f t="shared" si="153"/>
        <v>0</v>
      </c>
      <c r="GP218">
        <f t="shared" si="154"/>
        <v>0</v>
      </c>
      <c r="GR218">
        <v>1</v>
      </c>
      <c r="GS218">
        <v>1</v>
      </c>
      <c r="GT218">
        <v>0</v>
      </c>
      <c r="GU218" t="s">
        <v>3</v>
      </c>
      <c r="GV218">
        <f t="shared" si="155"/>
        <v>0</v>
      </c>
      <c r="GW218">
        <v>1</v>
      </c>
      <c r="GX218">
        <f t="shared" si="156"/>
        <v>0</v>
      </c>
      <c r="HA218">
        <v>0</v>
      </c>
      <c r="HB218">
        <v>0</v>
      </c>
      <c r="HC218">
        <f t="shared" si="157"/>
        <v>0</v>
      </c>
      <c r="HE218" t="s">
        <v>36</v>
      </c>
      <c r="HF218" t="s">
        <v>37</v>
      </c>
      <c r="HM218" t="s">
        <v>3</v>
      </c>
      <c r="HN218" t="s">
        <v>3</v>
      </c>
      <c r="HO218" t="s">
        <v>3</v>
      </c>
      <c r="HP218" t="s">
        <v>3</v>
      </c>
      <c r="HQ218" t="s">
        <v>3</v>
      </c>
      <c r="HS218">
        <v>0</v>
      </c>
      <c r="IK218">
        <v>0</v>
      </c>
    </row>
    <row r="219" spans="1:255" x14ac:dyDescent="0.2">
      <c r="A219" s="2">
        <v>17</v>
      </c>
      <c r="B219" s="2">
        <v>1</v>
      </c>
      <c r="C219" s="2">
        <f>ROW(SmtRes!A158)</f>
        <v>158</v>
      </c>
      <c r="D219" s="2">
        <f>ROW(EtalonRes!A193)</f>
        <v>193</v>
      </c>
      <c r="E219" s="2" t="s">
        <v>3</v>
      </c>
      <c r="F219" s="2" t="s">
        <v>38</v>
      </c>
      <c r="G219" s="2" t="s">
        <v>39</v>
      </c>
      <c r="H219" s="2" t="s">
        <v>21</v>
      </c>
      <c r="I219" s="2">
        <f>ROUND((7+5+1+4+1)*0,9)</f>
        <v>0</v>
      </c>
      <c r="J219" s="2">
        <v>0</v>
      </c>
      <c r="K219" s="2">
        <f>ROUND((7+5+1+4+1)*0,9)</f>
        <v>0</v>
      </c>
      <c r="L219" s="2"/>
      <c r="M219" s="2"/>
      <c r="N219" s="2"/>
      <c r="O219" s="2">
        <f t="shared" si="128"/>
        <v>0</v>
      </c>
      <c r="P219" s="2">
        <f t="shared" ref="P219:P224" si="162">ROUND((ROUND((AC219*AW219*I219),2)*BC219),2)</f>
        <v>0</v>
      </c>
      <c r="Q219" s="2">
        <f>(ROUND((ROUND(((ET219)*AV219*I219),2)*BB219),2)+ROUND((ROUND(((AE219-(EU219))*AV219*I219),2)*BS219),2))</f>
        <v>0</v>
      </c>
      <c r="R219" s="2">
        <f t="shared" si="129"/>
        <v>0</v>
      </c>
      <c r="S219" s="2">
        <f t="shared" si="130"/>
        <v>0</v>
      </c>
      <c r="T219" s="2">
        <f t="shared" si="131"/>
        <v>0</v>
      </c>
      <c r="U219" s="2">
        <f t="shared" si="132"/>
        <v>0</v>
      </c>
      <c r="V219" s="2">
        <f t="shared" si="133"/>
        <v>0</v>
      </c>
      <c r="W219" s="2">
        <f t="shared" si="134"/>
        <v>0</v>
      </c>
      <c r="X219" s="2">
        <f t="shared" si="135"/>
        <v>0</v>
      </c>
      <c r="Y219" s="2">
        <f t="shared" si="136"/>
        <v>0</v>
      </c>
      <c r="Z219" s="2"/>
      <c r="AA219" s="2">
        <v>-1</v>
      </c>
      <c r="AB219" s="2">
        <f t="shared" si="137"/>
        <v>135.16999999999999</v>
      </c>
      <c r="AC219" s="2">
        <f t="shared" si="138"/>
        <v>109.01</v>
      </c>
      <c r="AD219" s="2">
        <f>ROUND((((ET219)-(EU219))+AE219),6)</f>
        <v>2.38</v>
      </c>
      <c r="AE219" s="2">
        <f t="shared" si="160"/>
        <v>0.25</v>
      </c>
      <c r="AF219" s="2">
        <f t="shared" si="160"/>
        <v>23.78</v>
      </c>
      <c r="AG219" s="2">
        <f t="shared" si="139"/>
        <v>0</v>
      </c>
      <c r="AH219" s="2">
        <f t="shared" si="161"/>
        <v>2</v>
      </c>
      <c r="AI219" s="2">
        <f t="shared" si="161"/>
        <v>0</v>
      </c>
      <c r="AJ219" s="2">
        <f t="shared" si="140"/>
        <v>0</v>
      </c>
      <c r="AK219" s="2">
        <v>135.16999999999999</v>
      </c>
      <c r="AL219" s="2">
        <v>109.01</v>
      </c>
      <c r="AM219" s="2">
        <v>2.38</v>
      </c>
      <c r="AN219" s="2">
        <v>0.25</v>
      </c>
      <c r="AO219" s="2">
        <v>23.78</v>
      </c>
      <c r="AP219" s="2">
        <v>0</v>
      </c>
      <c r="AQ219" s="2">
        <v>2</v>
      </c>
      <c r="AR219" s="2">
        <v>0</v>
      </c>
      <c r="AS219" s="2">
        <v>0</v>
      </c>
      <c r="AT219" s="2">
        <v>90</v>
      </c>
      <c r="AU219" s="2">
        <v>46</v>
      </c>
      <c r="AV219" s="2">
        <v>1.0469999999999999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0</v>
      </c>
      <c r="BI219" s="2">
        <v>2</v>
      </c>
      <c r="BJ219" s="2" t="s">
        <v>40</v>
      </c>
      <c r="BK219" s="2"/>
      <c r="BL219" s="2"/>
      <c r="BM219" s="2">
        <v>68</v>
      </c>
      <c r="BN219" s="2">
        <v>55992028</v>
      </c>
      <c r="BO219" s="2" t="s">
        <v>38</v>
      </c>
      <c r="BP219" s="2">
        <v>1</v>
      </c>
      <c r="BQ219" s="2">
        <v>40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90</v>
      </c>
      <c r="CA219" s="2">
        <v>46</v>
      </c>
      <c r="CB219" s="2" t="s">
        <v>3</v>
      </c>
      <c r="CC219" s="2"/>
      <c r="CD219" s="2"/>
      <c r="CE219" s="2">
        <v>30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3</v>
      </c>
      <c r="CO219" s="2">
        <v>0</v>
      </c>
      <c r="CP219" s="2">
        <f t="shared" si="141"/>
        <v>0</v>
      </c>
      <c r="CQ219" s="2">
        <f t="shared" ref="CQ219:CQ224" si="163">ROUND((ROUND((AC219*AW219*1),2)*BC219),2)</f>
        <v>109.01</v>
      </c>
      <c r="CR219" s="2">
        <f>(ROUND((ROUND(((ET219)*AV219*1),2)*BB219),2)+ROUND((ROUND(((AE219-(EU219))*AV219*1),2)*BS219),2))</f>
        <v>2.4900000000000002</v>
      </c>
      <c r="CS219" s="2">
        <f t="shared" si="142"/>
        <v>0.26</v>
      </c>
      <c r="CT219" s="2">
        <f t="shared" si="143"/>
        <v>24.9</v>
      </c>
      <c r="CU219" s="2">
        <f t="shared" si="144"/>
        <v>0</v>
      </c>
      <c r="CV219" s="2">
        <f t="shared" si="145"/>
        <v>2.0939999999999999</v>
      </c>
      <c r="CW219" s="2">
        <f t="shared" si="146"/>
        <v>0</v>
      </c>
      <c r="CX219" s="2">
        <f t="shared" si="147"/>
        <v>0</v>
      </c>
      <c r="CY219" s="2">
        <f t="shared" si="148"/>
        <v>0</v>
      </c>
      <c r="CZ219" s="2">
        <f t="shared" si="149"/>
        <v>0</v>
      </c>
      <c r="DA219" s="2"/>
      <c r="DB219" s="2"/>
      <c r="DC219" s="2" t="s">
        <v>3</v>
      </c>
      <c r="DD219" s="2" t="s">
        <v>3</v>
      </c>
      <c r="DE219" s="2" t="s">
        <v>3</v>
      </c>
      <c r="DF219" s="2" t="s">
        <v>3</v>
      </c>
      <c r="DG219" s="2" t="s">
        <v>3</v>
      </c>
      <c r="DH219" s="2" t="s">
        <v>3</v>
      </c>
      <c r="DI219" s="2" t="s">
        <v>3</v>
      </c>
      <c r="DJ219" s="2" t="s">
        <v>3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1013</v>
      </c>
      <c r="DV219" s="2" t="s">
        <v>21</v>
      </c>
      <c r="DW219" s="2" t="s">
        <v>21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55992152</v>
      </c>
      <c r="EF219" s="2">
        <v>40</v>
      </c>
      <c r="EG219" s="2" t="s">
        <v>24</v>
      </c>
      <c r="EH219" s="2">
        <v>0</v>
      </c>
      <c r="EI219" s="2" t="s">
        <v>3</v>
      </c>
      <c r="EJ219" s="2">
        <v>2</v>
      </c>
      <c r="EK219" s="2">
        <v>68</v>
      </c>
      <c r="EL219" s="2" t="s">
        <v>41</v>
      </c>
      <c r="EM219" s="2" t="s">
        <v>42</v>
      </c>
      <c r="EN219" s="2"/>
      <c r="EO219" s="2" t="s">
        <v>3</v>
      </c>
      <c r="EP219" s="2"/>
      <c r="EQ219" s="2">
        <v>1024</v>
      </c>
      <c r="ER219" s="2">
        <v>135.16999999999999</v>
      </c>
      <c r="ES219" s="2">
        <v>109.01</v>
      </c>
      <c r="ET219" s="2">
        <v>2.38</v>
      </c>
      <c r="EU219" s="2">
        <v>0.25</v>
      </c>
      <c r="EV219" s="2">
        <v>23.78</v>
      </c>
      <c r="EW219" s="2">
        <v>2</v>
      </c>
      <c r="EX219" s="2">
        <v>0</v>
      </c>
      <c r="EY219" s="2">
        <v>0</v>
      </c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v>0</v>
      </c>
      <c r="FS219" s="2">
        <v>0</v>
      </c>
      <c r="FT219" s="2"/>
      <c r="FU219" s="2"/>
      <c r="FV219" s="2"/>
      <c r="FW219" s="2"/>
      <c r="FX219" s="2">
        <v>90</v>
      </c>
      <c r="FY219" s="2">
        <v>46</v>
      </c>
      <c r="FZ219" s="2"/>
      <c r="GA219" s="2" t="s">
        <v>3</v>
      </c>
      <c r="GB219" s="2"/>
      <c r="GC219" s="2"/>
      <c r="GD219" s="2">
        <v>1</v>
      </c>
      <c r="GE219" s="2"/>
      <c r="GF219" s="2">
        <v>438712902</v>
      </c>
      <c r="GG219" s="2">
        <v>2</v>
      </c>
      <c r="GH219" s="2">
        <v>1</v>
      </c>
      <c r="GI219" s="2">
        <v>2</v>
      </c>
      <c r="GJ219" s="2">
        <v>0</v>
      </c>
      <c r="GK219" s="2">
        <v>0</v>
      </c>
      <c r="GL219" s="2">
        <f t="shared" si="150"/>
        <v>0</v>
      </c>
      <c r="GM219" s="2">
        <f t="shared" si="151"/>
        <v>0</v>
      </c>
      <c r="GN219" s="2">
        <f t="shared" si="152"/>
        <v>0</v>
      </c>
      <c r="GO219" s="2">
        <f t="shared" si="153"/>
        <v>0</v>
      </c>
      <c r="GP219" s="2">
        <f t="shared" si="154"/>
        <v>0</v>
      </c>
      <c r="GQ219" s="2"/>
      <c r="GR219" s="2">
        <v>0</v>
      </c>
      <c r="GS219" s="2">
        <v>3</v>
      </c>
      <c r="GT219" s="2">
        <v>0</v>
      </c>
      <c r="GU219" s="2" t="s">
        <v>3</v>
      </c>
      <c r="GV219" s="2">
        <f t="shared" si="155"/>
        <v>0</v>
      </c>
      <c r="GW219" s="2">
        <v>1</v>
      </c>
      <c r="GX219" s="2">
        <f t="shared" si="156"/>
        <v>0</v>
      </c>
      <c r="GY219" s="2"/>
      <c r="GZ219" s="2"/>
      <c r="HA219" s="2">
        <v>0</v>
      </c>
      <c r="HB219" s="2">
        <v>0</v>
      </c>
      <c r="HC219" s="2">
        <f t="shared" si="157"/>
        <v>0</v>
      </c>
      <c r="HD219" s="2"/>
      <c r="HE219" s="2" t="s">
        <v>3</v>
      </c>
      <c r="HF219" s="2" t="s">
        <v>3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2">
      <c r="A220">
        <v>17</v>
      </c>
      <c r="B220">
        <v>1</v>
      </c>
      <c r="C220">
        <f>ROW(SmtRes!A164)</f>
        <v>164</v>
      </c>
      <c r="D220">
        <f>ROW(EtalonRes!A200)</f>
        <v>200</v>
      </c>
      <c r="E220" t="s">
        <v>3</v>
      </c>
      <c r="F220" t="s">
        <v>38</v>
      </c>
      <c r="G220" t="s">
        <v>39</v>
      </c>
      <c r="H220" t="s">
        <v>21</v>
      </c>
      <c r="I220">
        <f>ROUND((7+5+1+4+1)*0,9)</f>
        <v>0</v>
      </c>
      <c r="J220">
        <v>0</v>
      </c>
      <c r="K220">
        <f>ROUND((7+5+1+4+1)*0,9)</f>
        <v>0</v>
      </c>
      <c r="O220">
        <f t="shared" si="128"/>
        <v>0</v>
      </c>
      <c r="P220">
        <f t="shared" si="162"/>
        <v>0</v>
      </c>
      <c r="Q220">
        <f>(ROUND((ROUND(((ET220)*AV220*I220),2)*BB220),2)+ROUND((ROUND(((AE220-(EU220))*AV220*I220),2)*BS220),2))</f>
        <v>0</v>
      </c>
      <c r="R220">
        <f t="shared" si="129"/>
        <v>0</v>
      </c>
      <c r="S220">
        <f t="shared" si="130"/>
        <v>0</v>
      </c>
      <c r="T220">
        <f t="shared" si="131"/>
        <v>0</v>
      </c>
      <c r="U220">
        <f t="shared" si="132"/>
        <v>0</v>
      </c>
      <c r="V220">
        <f t="shared" si="133"/>
        <v>0</v>
      </c>
      <c r="W220">
        <f t="shared" si="134"/>
        <v>0</v>
      </c>
      <c r="X220">
        <f t="shared" si="135"/>
        <v>0</v>
      </c>
      <c r="Y220">
        <f t="shared" si="136"/>
        <v>0</v>
      </c>
      <c r="AA220">
        <v>-1</v>
      </c>
      <c r="AB220">
        <f t="shared" si="137"/>
        <v>135.16999999999999</v>
      </c>
      <c r="AC220">
        <f t="shared" si="138"/>
        <v>109.01</v>
      </c>
      <c r="AD220">
        <f>ROUND((((ET220)-(EU220))+AE220),6)</f>
        <v>2.38</v>
      </c>
      <c r="AE220">
        <f t="shared" si="160"/>
        <v>0.25</v>
      </c>
      <c r="AF220">
        <f t="shared" si="160"/>
        <v>23.78</v>
      </c>
      <c r="AG220">
        <f t="shared" si="139"/>
        <v>0</v>
      </c>
      <c r="AH220">
        <f t="shared" si="161"/>
        <v>2</v>
      </c>
      <c r="AI220">
        <f t="shared" si="161"/>
        <v>0</v>
      </c>
      <c r="AJ220">
        <f t="shared" si="140"/>
        <v>0</v>
      </c>
      <c r="AK220">
        <v>135.16999999999999</v>
      </c>
      <c r="AL220">
        <v>109.01</v>
      </c>
      <c r="AM220">
        <v>2.38</v>
      </c>
      <c r="AN220">
        <v>0.25</v>
      </c>
      <c r="AO220">
        <v>23.78</v>
      </c>
      <c r="AP220">
        <v>0</v>
      </c>
      <c r="AQ220">
        <v>2</v>
      </c>
      <c r="AR220">
        <v>0</v>
      </c>
      <c r="AS220">
        <v>0</v>
      </c>
      <c r="AT220">
        <v>90</v>
      </c>
      <c r="AU220">
        <v>46</v>
      </c>
      <c r="AV220">
        <v>1.0469999999999999</v>
      </c>
      <c r="AW220">
        <v>1</v>
      </c>
      <c r="AZ220">
        <v>1</v>
      </c>
      <c r="BA220">
        <v>54.99</v>
      </c>
      <c r="BB220">
        <v>13.99</v>
      </c>
      <c r="BC220">
        <v>3.26</v>
      </c>
      <c r="BD220" t="s">
        <v>3</v>
      </c>
      <c r="BE220" t="s">
        <v>3</v>
      </c>
      <c r="BF220" t="s">
        <v>3</v>
      </c>
      <c r="BG220" t="s">
        <v>3</v>
      </c>
      <c r="BH220">
        <v>0</v>
      </c>
      <c r="BI220">
        <v>2</v>
      </c>
      <c r="BJ220" t="s">
        <v>40</v>
      </c>
      <c r="BM220">
        <v>68</v>
      </c>
      <c r="BN220">
        <v>55992028</v>
      </c>
      <c r="BO220" t="s">
        <v>38</v>
      </c>
      <c r="BP220">
        <v>1</v>
      </c>
      <c r="BQ220">
        <v>40</v>
      </c>
      <c r="BR220">
        <v>0</v>
      </c>
      <c r="BS220">
        <v>54.99</v>
      </c>
      <c r="BT220">
        <v>1</v>
      </c>
      <c r="BU220">
        <v>1</v>
      </c>
      <c r="BV220">
        <v>1</v>
      </c>
      <c r="BW220">
        <v>1</v>
      </c>
      <c r="BX220">
        <v>1</v>
      </c>
      <c r="BY220" t="s">
        <v>3</v>
      </c>
      <c r="BZ220">
        <v>90</v>
      </c>
      <c r="CA220">
        <v>46</v>
      </c>
      <c r="CB220" t="s">
        <v>3</v>
      </c>
      <c r="CE220">
        <v>30</v>
      </c>
      <c r="CF220">
        <v>0</v>
      </c>
      <c r="CG220">
        <v>0</v>
      </c>
      <c r="CM220">
        <v>0</v>
      </c>
      <c r="CN220" t="s">
        <v>3</v>
      </c>
      <c r="CO220">
        <v>0</v>
      </c>
      <c r="CP220">
        <f t="shared" si="141"/>
        <v>0</v>
      </c>
      <c r="CQ220">
        <f t="shared" si="163"/>
        <v>355.37</v>
      </c>
      <c r="CR220">
        <f>(ROUND((ROUND(((ET220)*AV220*1),2)*BB220),2)+ROUND((ROUND(((AE220-(EU220))*AV220*1),2)*BS220),2))</f>
        <v>34.840000000000003</v>
      </c>
      <c r="CS220">
        <f t="shared" si="142"/>
        <v>14.3</v>
      </c>
      <c r="CT220">
        <f t="shared" si="143"/>
        <v>1369.25</v>
      </c>
      <c r="CU220">
        <f t="shared" si="144"/>
        <v>0</v>
      </c>
      <c r="CV220">
        <f t="shared" si="145"/>
        <v>2.0939999999999999</v>
      </c>
      <c r="CW220">
        <f t="shared" si="146"/>
        <v>0</v>
      </c>
      <c r="CX220">
        <f t="shared" si="147"/>
        <v>0</v>
      </c>
      <c r="CY220">
        <f t="shared" si="148"/>
        <v>0</v>
      </c>
      <c r="CZ220">
        <f t="shared" si="149"/>
        <v>0</v>
      </c>
      <c r="DC220" t="s">
        <v>3</v>
      </c>
      <c r="DD220" t="s">
        <v>3</v>
      </c>
      <c r="DE220" t="s">
        <v>3</v>
      </c>
      <c r="DF220" t="s">
        <v>3</v>
      </c>
      <c r="DG220" t="s">
        <v>3</v>
      </c>
      <c r="DH220" t="s">
        <v>3</v>
      </c>
      <c r="DI220" t="s">
        <v>3</v>
      </c>
      <c r="DJ220" t="s">
        <v>3</v>
      </c>
      <c r="DK220" t="s">
        <v>3</v>
      </c>
      <c r="DL220" t="s">
        <v>3</v>
      </c>
      <c r="DM220" t="s">
        <v>3</v>
      </c>
      <c r="DN220">
        <v>0</v>
      </c>
      <c r="DO220">
        <v>0</v>
      </c>
      <c r="DP220">
        <v>1</v>
      </c>
      <c r="DQ220">
        <v>1</v>
      </c>
      <c r="DU220">
        <v>1013</v>
      </c>
      <c r="DV220" t="s">
        <v>21</v>
      </c>
      <c r="DW220" t="s">
        <v>21</v>
      </c>
      <c r="DX220">
        <v>1</v>
      </c>
      <c r="DZ220" t="s">
        <v>3</v>
      </c>
      <c r="EA220" t="s">
        <v>3</v>
      </c>
      <c r="EB220" t="s">
        <v>3</v>
      </c>
      <c r="EC220" t="s">
        <v>3</v>
      </c>
      <c r="EE220">
        <v>55992152</v>
      </c>
      <c r="EF220">
        <v>40</v>
      </c>
      <c r="EG220" t="s">
        <v>24</v>
      </c>
      <c r="EH220">
        <v>0</v>
      </c>
      <c r="EI220" t="s">
        <v>3</v>
      </c>
      <c r="EJ220">
        <v>2</v>
      </c>
      <c r="EK220">
        <v>68</v>
      </c>
      <c r="EL220" t="s">
        <v>41</v>
      </c>
      <c r="EM220" t="s">
        <v>42</v>
      </c>
      <c r="EO220" t="s">
        <v>3</v>
      </c>
      <c r="EQ220">
        <v>1024</v>
      </c>
      <c r="ER220">
        <v>135.16999999999999</v>
      </c>
      <c r="ES220">
        <v>109.01</v>
      </c>
      <c r="ET220">
        <v>2.38</v>
      </c>
      <c r="EU220">
        <v>0.25</v>
      </c>
      <c r="EV220">
        <v>23.78</v>
      </c>
      <c r="EW220">
        <v>2</v>
      </c>
      <c r="EX220">
        <v>0</v>
      </c>
      <c r="EY220">
        <v>0</v>
      </c>
      <c r="FQ220">
        <v>0</v>
      </c>
      <c r="FR220">
        <v>0</v>
      </c>
      <c r="FS220">
        <v>0</v>
      </c>
      <c r="FX220">
        <v>90</v>
      </c>
      <c r="FY220">
        <v>46</v>
      </c>
      <c r="GA220" t="s">
        <v>3</v>
      </c>
      <c r="GD220">
        <v>1</v>
      </c>
      <c r="GF220">
        <v>438712902</v>
      </c>
      <c r="GG220">
        <v>2</v>
      </c>
      <c r="GH220">
        <v>1</v>
      </c>
      <c r="GI220">
        <v>2</v>
      </c>
      <c r="GJ220">
        <v>0</v>
      </c>
      <c r="GK220">
        <v>0</v>
      </c>
      <c r="GL220">
        <f t="shared" si="150"/>
        <v>0</v>
      </c>
      <c r="GM220">
        <f t="shared" si="151"/>
        <v>0</v>
      </c>
      <c r="GN220">
        <f t="shared" si="152"/>
        <v>0</v>
      </c>
      <c r="GO220">
        <f t="shared" si="153"/>
        <v>0</v>
      </c>
      <c r="GP220">
        <f t="shared" si="154"/>
        <v>0</v>
      </c>
      <c r="GR220">
        <v>0</v>
      </c>
      <c r="GS220">
        <v>3</v>
      </c>
      <c r="GT220">
        <v>0</v>
      </c>
      <c r="GU220" t="s">
        <v>3</v>
      </c>
      <c r="GV220">
        <f t="shared" si="155"/>
        <v>0</v>
      </c>
      <c r="GW220">
        <v>1</v>
      </c>
      <c r="GX220">
        <f t="shared" si="156"/>
        <v>0</v>
      </c>
      <c r="HA220">
        <v>0</v>
      </c>
      <c r="HB220">
        <v>0</v>
      </c>
      <c r="HC220">
        <f t="shared" si="157"/>
        <v>0</v>
      </c>
      <c r="HE220" t="s">
        <v>3</v>
      </c>
      <c r="HF220" t="s">
        <v>3</v>
      </c>
      <c r="HM220" t="s">
        <v>3</v>
      </c>
      <c r="HN220" t="s">
        <v>3</v>
      </c>
      <c r="HO220" t="s">
        <v>3</v>
      </c>
      <c r="HP220" t="s">
        <v>3</v>
      </c>
      <c r="HQ220" t="s">
        <v>3</v>
      </c>
      <c r="HS220">
        <v>0</v>
      </c>
      <c r="IK220">
        <v>0</v>
      </c>
    </row>
    <row r="221" spans="1:255" x14ac:dyDescent="0.2">
      <c r="A221" s="2">
        <v>17</v>
      </c>
      <c r="B221" s="2">
        <v>1</v>
      </c>
      <c r="C221" s="2">
        <f>ROW(SmtRes!A172)</f>
        <v>172</v>
      </c>
      <c r="D221" s="2">
        <f>ROW(EtalonRes!A209)</f>
        <v>209</v>
      </c>
      <c r="E221" s="2" t="s">
        <v>242</v>
      </c>
      <c r="F221" s="2" t="s">
        <v>243</v>
      </c>
      <c r="G221" s="2" t="s">
        <v>244</v>
      </c>
      <c r="H221" s="2" t="s">
        <v>21</v>
      </c>
      <c r="I221" s="2">
        <f>ROUND(7+5+1+4+1,9)</f>
        <v>18</v>
      </c>
      <c r="J221" s="2">
        <v>0</v>
      </c>
      <c r="K221" s="2">
        <f>ROUND(7+5+1+4+1,9)</f>
        <v>18</v>
      </c>
      <c r="L221" s="2"/>
      <c r="M221" s="2"/>
      <c r="N221" s="2"/>
      <c r="O221" s="2">
        <f t="shared" si="128"/>
        <v>942.16</v>
      </c>
      <c r="P221" s="2">
        <f t="shared" si="162"/>
        <v>26.28</v>
      </c>
      <c r="Q221" s="2">
        <f>(ROUND((ROUND((((ET221*1.1))*AV221*I221),2)*BB221),2)+ROUND((ROUND(((AE221-((EU221*1.1)))*AV221*I221),2)*BS221),2))</f>
        <v>361.13</v>
      </c>
      <c r="R221" s="2">
        <f t="shared" si="129"/>
        <v>65.510000000000005</v>
      </c>
      <c r="S221" s="2">
        <f t="shared" si="130"/>
        <v>554.75</v>
      </c>
      <c r="T221" s="2">
        <f t="shared" si="131"/>
        <v>0</v>
      </c>
      <c r="U221" s="2">
        <f t="shared" si="132"/>
        <v>42.705036000000007</v>
      </c>
      <c r="V221" s="2">
        <f t="shared" si="133"/>
        <v>0</v>
      </c>
      <c r="W221" s="2">
        <f t="shared" si="134"/>
        <v>0</v>
      </c>
      <c r="X221" s="2">
        <f t="shared" si="135"/>
        <v>601.65</v>
      </c>
      <c r="Y221" s="2">
        <f t="shared" si="136"/>
        <v>316.33</v>
      </c>
      <c r="Z221" s="2"/>
      <c r="AA221" s="2">
        <v>56959434</v>
      </c>
      <c r="AB221" s="2">
        <f t="shared" si="137"/>
        <v>50.058</v>
      </c>
      <c r="AC221" s="2">
        <f t="shared" si="138"/>
        <v>1.46</v>
      </c>
      <c r="AD221" s="2">
        <f>ROUND(((((ET221*1.1))-((EU221*1.1)))+AE221),6)</f>
        <v>19.161999999999999</v>
      </c>
      <c r="AE221" s="2">
        <f>ROUND(((EU221*1.1)),6)</f>
        <v>3.476</v>
      </c>
      <c r="AF221" s="2">
        <f>ROUND(((EV221*1.1)),6)</f>
        <v>29.436</v>
      </c>
      <c r="AG221" s="2">
        <f t="shared" si="139"/>
        <v>0</v>
      </c>
      <c r="AH221" s="2">
        <f>((EW221*1.1))</f>
        <v>2.2660000000000005</v>
      </c>
      <c r="AI221" s="2">
        <f>((EX221*1.1))</f>
        <v>0</v>
      </c>
      <c r="AJ221" s="2">
        <f t="shared" si="140"/>
        <v>0</v>
      </c>
      <c r="AK221" s="2">
        <v>45.64</v>
      </c>
      <c r="AL221" s="2">
        <v>1.46</v>
      </c>
      <c r="AM221" s="2">
        <v>17.420000000000002</v>
      </c>
      <c r="AN221" s="2">
        <v>3.16</v>
      </c>
      <c r="AO221" s="2">
        <v>26.76</v>
      </c>
      <c r="AP221" s="2">
        <v>0</v>
      </c>
      <c r="AQ221" s="2">
        <v>2.06</v>
      </c>
      <c r="AR221" s="2">
        <v>0</v>
      </c>
      <c r="AS221" s="2">
        <v>0</v>
      </c>
      <c r="AT221" s="2">
        <v>97</v>
      </c>
      <c r="AU221" s="2">
        <v>51</v>
      </c>
      <c r="AV221" s="2">
        <v>1.0469999999999999</v>
      </c>
      <c r="AW221" s="2">
        <v>1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0</v>
      </c>
      <c r="BI221" s="2">
        <v>2</v>
      </c>
      <c r="BJ221" s="2" t="s">
        <v>245</v>
      </c>
      <c r="BK221" s="2"/>
      <c r="BL221" s="2"/>
      <c r="BM221" s="2">
        <v>67</v>
      </c>
      <c r="BN221" s="2">
        <v>55992028</v>
      </c>
      <c r="BO221" s="2" t="s">
        <v>243</v>
      </c>
      <c r="BP221" s="2">
        <v>1</v>
      </c>
      <c r="BQ221" s="2">
        <v>40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97</v>
      </c>
      <c r="CA221" s="2">
        <v>51</v>
      </c>
      <c r="CB221" s="2" t="s">
        <v>3</v>
      </c>
      <c r="CC221" s="2"/>
      <c r="CD221" s="2"/>
      <c r="CE221" s="2">
        <v>30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673</v>
      </c>
      <c r="CO221" s="2">
        <v>0</v>
      </c>
      <c r="CP221" s="2">
        <f t="shared" si="141"/>
        <v>942.16</v>
      </c>
      <c r="CQ221" s="2">
        <f t="shared" si="163"/>
        <v>1.46</v>
      </c>
      <c r="CR221" s="2">
        <f>(ROUND((ROUND((((ET221*1.1))*AV221*1),2)*BB221),2)+ROUND((ROUND(((AE221-((EU221*1.1)))*AV221*1),2)*BS221),2))</f>
        <v>20.059999999999999</v>
      </c>
      <c r="CS221" s="2">
        <f t="shared" si="142"/>
        <v>3.64</v>
      </c>
      <c r="CT221" s="2">
        <f t="shared" si="143"/>
        <v>30.82</v>
      </c>
      <c r="CU221" s="2">
        <f t="shared" si="144"/>
        <v>0</v>
      </c>
      <c r="CV221" s="2">
        <f t="shared" si="145"/>
        <v>2.3725020000000003</v>
      </c>
      <c r="CW221" s="2">
        <f t="shared" si="146"/>
        <v>0</v>
      </c>
      <c r="CX221" s="2">
        <f t="shared" si="147"/>
        <v>0</v>
      </c>
      <c r="CY221" s="2">
        <f t="shared" si="148"/>
        <v>601.65219999999999</v>
      </c>
      <c r="CZ221" s="2">
        <f t="shared" si="149"/>
        <v>316.33259999999996</v>
      </c>
      <c r="DA221" s="2"/>
      <c r="DB221" s="2"/>
      <c r="DC221" s="2" t="s">
        <v>3</v>
      </c>
      <c r="DD221" s="2" t="s">
        <v>3</v>
      </c>
      <c r="DE221" s="2" t="s">
        <v>23</v>
      </c>
      <c r="DF221" s="2" t="s">
        <v>23</v>
      </c>
      <c r="DG221" s="2" t="s">
        <v>23</v>
      </c>
      <c r="DH221" s="2" t="s">
        <v>3</v>
      </c>
      <c r="DI221" s="2" t="s">
        <v>23</v>
      </c>
      <c r="DJ221" s="2" t="s">
        <v>23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1013</v>
      </c>
      <c r="DV221" s="2" t="s">
        <v>21</v>
      </c>
      <c r="DW221" s="2" t="s">
        <v>21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55992151</v>
      </c>
      <c r="EF221" s="2">
        <v>40</v>
      </c>
      <c r="EG221" s="2" t="s">
        <v>24</v>
      </c>
      <c r="EH221" s="2">
        <v>0</v>
      </c>
      <c r="EI221" s="2" t="s">
        <v>3</v>
      </c>
      <c r="EJ221" s="2">
        <v>2</v>
      </c>
      <c r="EK221" s="2">
        <v>67</v>
      </c>
      <c r="EL221" s="2" t="s">
        <v>79</v>
      </c>
      <c r="EM221" s="2" t="s">
        <v>80</v>
      </c>
      <c r="EN221" s="2"/>
      <c r="EO221" s="2" t="s">
        <v>27</v>
      </c>
      <c r="EP221" s="2"/>
      <c r="EQ221" s="2">
        <v>0</v>
      </c>
      <c r="ER221" s="2">
        <v>45.64</v>
      </c>
      <c r="ES221" s="2">
        <v>1.46</v>
      </c>
      <c r="ET221" s="2">
        <v>17.420000000000002</v>
      </c>
      <c r="EU221" s="2">
        <v>3.16</v>
      </c>
      <c r="EV221" s="2">
        <v>26.76</v>
      </c>
      <c r="EW221" s="2">
        <v>2.06</v>
      </c>
      <c r="EX221" s="2">
        <v>0</v>
      </c>
      <c r="EY221" s="2">
        <v>0</v>
      </c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v>0</v>
      </c>
      <c r="FS221" s="2">
        <v>0</v>
      </c>
      <c r="FT221" s="2"/>
      <c r="FU221" s="2"/>
      <c r="FV221" s="2"/>
      <c r="FW221" s="2"/>
      <c r="FX221" s="2">
        <v>97</v>
      </c>
      <c r="FY221" s="2">
        <v>51</v>
      </c>
      <c r="FZ221" s="2"/>
      <c r="GA221" s="2" t="s">
        <v>3</v>
      </c>
      <c r="GB221" s="2"/>
      <c r="GC221" s="2"/>
      <c r="GD221" s="2">
        <v>1</v>
      </c>
      <c r="GE221" s="2"/>
      <c r="GF221" s="2">
        <v>-208332064</v>
      </c>
      <c r="GG221" s="2">
        <v>2</v>
      </c>
      <c r="GH221" s="2">
        <v>1</v>
      </c>
      <c r="GI221" s="2">
        <v>2</v>
      </c>
      <c r="GJ221" s="2">
        <v>0</v>
      </c>
      <c r="GK221" s="2">
        <v>0</v>
      </c>
      <c r="GL221" s="2">
        <f t="shared" si="150"/>
        <v>0</v>
      </c>
      <c r="GM221" s="2">
        <f t="shared" si="151"/>
        <v>1860.14</v>
      </c>
      <c r="GN221" s="2">
        <f t="shared" si="152"/>
        <v>0</v>
      </c>
      <c r="GO221" s="2">
        <f t="shared" si="153"/>
        <v>1860.14</v>
      </c>
      <c r="GP221" s="2">
        <f t="shared" si="154"/>
        <v>0</v>
      </c>
      <c r="GQ221" s="2"/>
      <c r="GR221" s="2">
        <v>0</v>
      </c>
      <c r="GS221" s="2">
        <v>3</v>
      </c>
      <c r="GT221" s="2">
        <v>0</v>
      </c>
      <c r="GU221" s="2" t="s">
        <v>3</v>
      </c>
      <c r="GV221" s="2">
        <f t="shared" si="155"/>
        <v>0</v>
      </c>
      <c r="GW221" s="2">
        <v>1</v>
      </c>
      <c r="GX221" s="2">
        <f t="shared" si="156"/>
        <v>0</v>
      </c>
      <c r="GY221" s="2"/>
      <c r="GZ221" s="2"/>
      <c r="HA221" s="2">
        <v>0</v>
      </c>
      <c r="HB221" s="2">
        <v>0</v>
      </c>
      <c r="HC221" s="2">
        <f t="shared" si="157"/>
        <v>0</v>
      </c>
      <c r="HD221" s="2"/>
      <c r="HE221" s="2" t="s">
        <v>3</v>
      </c>
      <c r="HF221" s="2" t="s">
        <v>3</v>
      </c>
      <c r="HG221" s="2"/>
      <c r="HH221" s="2"/>
      <c r="HI221" s="2"/>
      <c r="HJ221" s="2"/>
      <c r="HK221" s="2"/>
      <c r="HL221" s="2"/>
      <c r="HM221" s="2" t="s">
        <v>3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2">
      <c r="A222">
        <v>17</v>
      </c>
      <c r="B222">
        <v>1</v>
      </c>
      <c r="C222">
        <f>ROW(SmtRes!A180)</f>
        <v>180</v>
      </c>
      <c r="D222">
        <f>ROW(EtalonRes!A218)</f>
        <v>218</v>
      </c>
      <c r="E222" t="s">
        <v>242</v>
      </c>
      <c r="F222" t="s">
        <v>243</v>
      </c>
      <c r="G222" t="s">
        <v>244</v>
      </c>
      <c r="H222" t="s">
        <v>21</v>
      </c>
      <c r="I222">
        <f>ROUND(7+5+1+4+1,9)</f>
        <v>18</v>
      </c>
      <c r="J222">
        <v>0</v>
      </c>
      <c r="K222">
        <f>ROUND(7+5+1+4+1,9)</f>
        <v>18</v>
      </c>
      <c r="O222">
        <f t="shared" si="128"/>
        <v>37611.230000000003</v>
      </c>
      <c r="P222">
        <f t="shared" si="162"/>
        <v>323.51</v>
      </c>
      <c r="Q222">
        <f>(ROUND((ROUND((((ET222*1.1))*AV222*I222),2)*BB222),2)+ROUND((ROUND(((AE222-((EU222*1.1)))*AV222*I222),2)*BS222),2))</f>
        <v>6782.02</v>
      </c>
      <c r="R222">
        <f t="shared" si="129"/>
        <v>3602.39</v>
      </c>
      <c r="S222">
        <f t="shared" si="130"/>
        <v>30505.7</v>
      </c>
      <c r="T222">
        <f t="shared" si="131"/>
        <v>0</v>
      </c>
      <c r="U222">
        <f t="shared" si="132"/>
        <v>42.705036000000007</v>
      </c>
      <c r="V222">
        <f t="shared" si="133"/>
        <v>0</v>
      </c>
      <c r="W222">
        <f t="shared" si="134"/>
        <v>0</v>
      </c>
      <c r="X222">
        <f t="shared" si="135"/>
        <v>33084.85</v>
      </c>
      <c r="Y222">
        <f t="shared" si="136"/>
        <v>17395.13</v>
      </c>
      <c r="AA222">
        <v>56959431</v>
      </c>
      <c r="AB222">
        <f t="shared" si="137"/>
        <v>50.058</v>
      </c>
      <c r="AC222">
        <f t="shared" si="138"/>
        <v>1.46</v>
      </c>
      <c r="AD222">
        <f>ROUND(((((ET222*1.1))-((EU222*1.1)))+AE222),6)</f>
        <v>19.161999999999999</v>
      </c>
      <c r="AE222">
        <f>ROUND(((EU222*1.1)),6)</f>
        <v>3.476</v>
      </c>
      <c r="AF222">
        <f>ROUND(((EV222*1.1)),6)</f>
        <v>29.436</v>
      </c>
      <c r="AG222">
        <f t="shared" si="139"/>
        <v>0</v>
      </c>
      <c r="AH222">
        <f>((EW222*1.1))</f>
        <v>2.2660000000000005</v>
      </c>
      <c r="AI222">
        <f>((EX222*1.1))</f>
        <v>0</v>
      </c>
      <c r="AJ222">
        <f t="shared" si="140"/>
        <v>0</v>
      </c>
      <c r="AK222">
        <v>45.64</v>
      </c>
      <c r="AL222">
        <v>1.46</v>
      </c>
      <c r="AM222">
        <v>17.420000000000002</v>
      </c>
      <c r="AN222">
        <v>3.16</v>
      </c>
      <c r="AO222">
        <v>26.76</v>
      </c>
      <c r="AP222">
        <v>0</v>
      </c>
      <c r="AQ222">
        <v>2.06</v>
      </c>
      <c r="AR222">
        <v>0</v>
      </c>
      <c r="AS222">
        <v>0</v>
      </c>
      <c r="AT222">
        <v>97</v>
      </c>
      <c r="AU222">
        <v>51</v>
      </c>
      <c r="AV222">
        <v>1.0469999999999999</v>
      </c>
      <c r="AW222">
        <v>1</v>
      </c>
      <c r="AZ222">
        <v>1</v>
      </c>
      <c r="BA222">
        <v>54.99</v>
      </c>
      <c r="BB222">
        <v>18.78</v>
      </c>
      <c r="BC222">
        <v>12.31</v>
      </c>
      <c r="BD222" t="s">
        <v>3</v>
      </c>
      <c r="BE222" t="s">
        <v>3</v>
      </c>
      <c r="BF222" t="s">
        <v>3</v>
      </c>
      <c r="BG222" t="s">
        <v>3</v>
      </c>
      <c r="BH222">
        <v>0</v>
      </c>
      <c r="BI222">
        <v>2</v>
      </c>
      <c r="BJ222" t="s">
        <v>245</v>
      </c>
      <c r="BM222">
        <v>67</v>
      </c>
      <c r="BN222">
        <v>55992028</v>
      </c>
      <c r="BO222" t="s">
        <v>243</v>
      </c>
      <c r="BP222">
        <v>1</v>
      </c>
      <c r="BQ222">
        <v>40</v>
      </c>
      <c r="BR222">
        <v>0</v>
      </c>
      <c r="BS222">
        <v>54.99</v>
      </c>
      <c r="BT222">
        <v>1</v>
      </c>
      <c r="BU222">
        <v>1</v>
      </c>
      <c r="BV222">
        <v>1</v>
      </c>
      <c r="BW222">
        <v>1</v>
      </c>
      <c r="BX222">
        <v>1</v>
      </c>
      <c r="BY222" t="s">
        <v>3</v>
      </c>
      <c r="BZ222">
        <v>97</v>
      </c>
      <c r="CA222">
        <v>51</v>
      </c>
      <c r="CB222" t="s">
        <v>3</v>
      </c>
      <c r="CE222">
        <v>30</v>
      </c>
      <c r="CF222">
        <v>0</v>
      </c>
      <c r="CG222">
        <v>0</v>
      </c>
      <c r="CM222">
        <v>0</v>
      </c>
      <c r="CN222" t="s">
        <v>673</v>
      </c>
      <c r="CO222">
        <v>0</v>
      </c>
      <c r="CP222">
        <f t="shared" si="141"/>
        <v>37611.230000000003</v>
      </c>
      <c r="CQ222">
        <f t="shared" si="163"/>
        <v>17.97</v>
      </c>
      <c r="CR222">
        <f>(ROUND((ROUND((((ET222*1.1))*AV222*1),2)*BB222),2)+ROUND((ROUND(((AE222-((EU222*1.1)))*AV222*1),2)*BS222),2))</f>
        <v>376.73</v>
      </c>
      <c r="CS222">
        <f t="shared" si="142"/>
        <v>200.16</v>
      </c>
      <c r="CT222">
        <f t="shared" si="143"/>
        <v>1694.79</v>
      </c>
      <c r="CU222">
        <f t="shared" si="144"/>
        <v>0</v>
      </c>
      <c r="CV222">
        <f t="shared" si="145"/>
        <v>2.3725020000000003</v>
      </c>
      <c r="CW222">
        <f t="shared" si="146"/>
        <v>0</v>
      </c>
      <c r="CX222">
        <f t="shared" si="147"/>
        <v>0</v>
      </c>
      <c r="CY222">
        <f t="shared" si="148"/>
        <v>33084.847300000001</v>
      </c>
      <c r="CZ222">
        <f t="shared" si="149"/>
        <v>17395.125899999999</v>
      </c>
      <c r="DC222" t="s">
        <v>3</v>
      </c>
      <c r="DD222" t="s">
        <v>3</v>
      </c>
      <c r="DE222" t="s">
        <v>23</v>
      </c>
      <c r="DF222" t="s">
        <v>23</v>
      </c>
      <c r="DG222" t="s">
        <v>23</v>
      </c>
      <c r="DH222" t="s">
        <v>3</v>
      </c>
      <c r="DI222" t="s">
        <v>23</v>
      </c>
      <c r="DJ222" t="s">
        <v>23</v>
      </c>
      <c r="DK222" t="s">
        <v>3</v>
      </c>
      <c r="DL222" t="s">
        <v>3</v>
      </c>
      <c r="DM222" t="s">
        <v>3</v>
      </c>
      <c r="DN222">
        <v>0</v>
      </c>
      <c r="DO222">
        <v>0</v>
      </c>
      <c r="DP222">
        <v>1</v>
      </c>
      <c r="DQ222">
        <v>1</v>
      </c>
      <c r="DU222">
        <v>1013</v>
      </c>
      <c r="DV222" t="s">
        <v>21</v>
      </c>
      <c r="DW222" t="s">
        <v>21</v>
      </c>
      <c r="DX222">
        <v>1</v>
      </c>
      <c r="DZ222" t="s">
        <v>3</v>
      </c>
      <c r="EA222" t="s">
        <v>3</v>
      </c>
      <c r="EB222" t="s">
        <v>3</v>
      </c>
      <c r="EC222" t="s">
        <v>3</v>
      </c>
      <c r="EE222">
        <v>55992151</v>
      </c>
      <c r="EF222">
        <v>40</v>
      </c>
      <c r="EG222" t="s">
        <v>24</v>
      </c>
      <c r="EH222">
        <v>0</v>
      </c>
      <c r="EI222" t="s">
        <v>3</v>
      </c>
      <c r="EJ222">
        <v>2</v>
      </c>
      <c r="EK222">
        <v>67</v>
      </c>
      <c r="EL222" t="s">
        <v>79</v>
      </c>
      <c r="EM222" t="s">
        <v>80</v>
      </c>
      <c r="EO222" t="s">
        <v>27</v>
      </c>
      <c r="EQ222">
        <v>0</v>
      </c>
      <c r="ER222">
        <v>45.64</v>
      </c>
      <c r="ES222">
        <v>1.46</v>
      </c>
      <c r="ET222">
        <v>17.420000000000002</v>
      </c>
      <c r="EU222">
        <v>3.16</v>
      </c>
      <c r="EV222">
        <v>26.76</v>
      </c>
      <c r="EW222">
        <v>2.06</v>
      </c>
      <c r="EX222">
        <v>0</v>
      </c>
      <c r="EY222">
        <v>0</v>
      </c>
      <c r="FQ222">
        <v>0</v>
      </c>
      <c r="FR222">
        <v>0</v>
      </c>
      <c r="FS222">
        <v>0</v>
      </c>
      <c r="FX222">
        <v>97</v>
      </c>
      <c r="FY222">
        <v>51</v>
      </c>
      <c r="GA222" t="s">
        <v>3</v>
      </c>
      <c r="GD222">
        <v>1</v>
      </c>
      <c r="GF222">
        <v>-208332064</v>
      </c>
      <c r="GG222">
        <v>2</v>
      </c>
      <c r="GH222">
        <v>1</v>
      </c>
      <c r="GI222">
        <v>2</v>
      </c>
      <c r="GJ222">
        <v>0</v>
      </c>
      <c r="GK222">
        <v>0</v>
      </c>
      <c r="GL222">
        <f t="shared" si="150"/>
        <v>0</v>
      </c>
      <c r="GM222">
        <f t="shared" si="151"/>
        <v>88091.21</v>
      </c>
      <c r="GN222">
        <f t="shared" si="152"/>
        <v>0</v>
      </c>
      <c r="GO222">
        <f t="shared" si="153"/>
        <v>88091.21</v>
      </c>
      <c r="GP222">
        <f t="shared" si="154"/>
        <v>0</v>
      </c>
      <c r="GR222">
        <v>0</v>
      </c>
      <c r="GS222">
        <v>3</v>
      </c>
      <c r="GT222">
        <v>0</v>
      </c>
      <c r="GU222" t="s">
        <v>3</v>
      </c>
      <c r="GV222">
        <f t="shared" si="155"/>
        <v>0</v>
      </c>
      <c r="GW222">
        <v>1</v>
      </c>
      <c r="GX222">
        <f t="shared" si="156"/>
        <v>0</v>
      </c>
      <c r="HA222">
        <v>0</v>
      </c>
      <c r="HB222">
        <v>0</v>
      </c>
      <c r="HC222">
        <f t="shared" si="157"/>
        <v>0</v>
      </c>
      <c r="HE222" t="s">
        <v>3</v>
      </c>
      <c r="HF222" t="s">
        <v>3</v>
      </c>
      <c r="HM222" t="s">
        <v>3</v>
      </c>
      <c r="HN222" t="s">
        <v>3</v>
      </c>
      <c r="HO222" t="s">
        <v>3</v>
      </c>
      <c r="HP222" t="s">
        <v>3</v>
      </c>
      <c r="HQ222" t="s">
        <v>3</v>
      </c>
      <c r="HS222">
        <v>0</v>
      </c>
      <c r="IK222">
        <v>0</v>
      </c>
    </row>
    <row r="223" spans="1:255" x14ac:dyDescent="0.2">
      <c r="A223" s="2">
        <v>18</v>
      </c>
      <c r="B223" s="2">
        <v>1</v>
      </c>
      <c r="C223" s="2">
        <v>172</v>
      </c>
      <c r="D223" s="2"/>
      <c r="E223" s="2" t="s">
        <v>246</v>
      </c>
      <c r="F223" s="2" t="s">
        <v>247</v>
      </c>
      <c r="G223" s="2" t="s">
        <v>248</v>
      </c>
      <c r="H223" s="2" t="s">
        <v>249</v>
      </c>
      <c r="I223" s="2">
        <f>I221*J223</f>
        <v>1.8</v>
      </c>
      <c r="J223" s="2">
        <v>0.1</v>
      </c>
      <c r="K223" s="2">
        <v>0.1</v>
      </c>
      <c r="L223" s="2"/>
      <c r="M223" s="2"/>
      <c r="N223" s="2"/>
      <c r="O223" s="2">
        <f t="shared" si="128"/>
        <v>55.94</v>
      </c>
      <c r="P223" s="2">
        <f t="shared" si="162"/>
        <v>55.94</v>
      </c>
      <c r="Q223" s="2">
        <f t="shared" ref="Q223:Q234" si="164">(ROUND((ROUND(((ET223)*AV223*I223),2)*BB223),2)+ROUND((ROUND(((AE223-(EU223))*AV223*I223),2)*BS223),2))</f>
        <v>0</v>
      </c>
      <c r="R223" s="2">
        <f t="shared" si="129"/>
        <v>0</v>
      </c>
      <c r="S223" s="2">
        <f t="shared" si="130"/>
        <v>0</v>
      </c>
      <c r="T223" s="2">
        <f t="shared" si="131"/>
        <v>0</v>
      </c>
      <c r="U223" s="2">
        <f t="shared" si="132"/>
        <v>0</v>
      </c>
      <c r="V223" s="2">
        <f t="shared" si="133"/>
        <v>0</v>
      </c>
      <c r="W223" s="2">
        <f t="shared" si="134"/>
        <v>0</v>
      </c>
      <c r="X223" s="2">
        <f t="shared" si="135"/>
        <v>0</v>
      </c>
      <c r="Y223" s="2">
        <f t="shared" si="136"/>
        <v>0</v>
      </c>
      <c r="Z223" s="2"/>
      <c r="AA223" s="2">
        <v>56959434</v>
      </c>
      <c r="AB223" s="2">
        <f t="shared" si="137"/>
        <v>31.08</v>
      </c>
      <c r="AC223" s="2">
        <f t="shared" si="138"/>
        <v>31.08</v>
      </c>
      <c r="AD223" s="2">
        <f t="shared" ref="AD223:AD234" si="165">ROUND((((ET223)-(EU223))+AE223),6)</f>
        <v>0</v>
      </c>
      <c r="AE223" s="2">
        <f t="shared" ref="AE223:AE234" si="166">ROUND((EU223),6)</f>
        <v>0</v>
      </c>
      <c r="AF223" s="2">
        <f t="shared" ref="AF223:AF234" si="167">ROUND((EV223),6)</f>
        <v>0</v>
      </c>
      <c r="AG223" s="2">
        <f t="shared" si="139"/>
        <v>0</v>
      </c>
      <c r="AH223" s="2">
        <f t="shared" ref="AH223:AH234" si="168">(EW223)</f>
        <v>0</v>
      </c>
      <c r="AI223" s="2">
        <f t="shared" ref="AI223:AI234" si="169">(EX223)</f>
        <v>0</v>
      </c>
      <c r="AJ223" s="2">
        <f t="shared" si="140"/>
        <v>0</v>
      </c>
      <c r="AK223" s="2">
        <v>31.08</v>
      </c>
      <c r="AL223" s="2">
        <v>31.08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97</v>
      </c>
      <c r="AU223" s="2">
        <v>51</v>
      </c>
      <c r="AV223" s="2">
        <v>1</v>
      </c>
      <c r="AW223" s="2">
        <v>1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3</v>
      </c>
      <c r="BI223" s="2">
        <v>2</v>
      </c>
      <c r="BJ223" s="2" t="s">
        <v>250</v>
      </c>
      <c r="BK223" s="2"/>
      <c r="BL223" s="2"/>
      <c r="BM223" s="2">
        <v>67</v>
      </c>
      <c r="BN223" s="2">
        <v>55992028</v>
      </c>
      <c r="BO223" s="2" t="s">
        <v>3</v>
      </c>
      <c r="BP223" s="2">
        <v>0</v>
      </c>
      <c r="BQ223" s="2">
        <v>40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97</v>
      </c>
      <c r="CA223" s="2">
        <v>51</v>
      </c>
      <c r="CB223" s="2" t="s">
        <v>3</v>
      </c>
      <c r="CC223" s="2"/>
      <c r="CD223" s="2"/>
      <c r="CE223" s="2">
        <v>30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3</v>
      </c>
      <c r="CO223" s="2">
        <v>0</v>
      </c>
      <c r="CP223" s="2">
        <f t="shared" si="141"/>
        <v>55.94</v>
      </c>
      <c r="CQ223" s="2">
        <f t="shared" si="163"/>
        <v>31.08</v>
      </c>
      <c r="CR223" s="2">
        <f t="shared" ref="CR223:CR234" si="170">(ROUND((ROUND(((ET223)*AV223*1),2)*BB223),2)+ROUND((ROUND(((AE223-(EU223))*AV223*1),2)*BS223),2))</f>
        <v>0</v>
      </c>
      <c r="CS223" s="2">
        <f t="shared" si="142"/>
        <v>0</v>
      </c>
      <c r="CT223" s="2">
        <f t="shared" si="143"/>
        <v>0</v>
      </c>
      <c r="CU223" s="2">
        <f t="shared" si="144"/>
        <v>0</v>
      </c>
      <c r="CV223" s="2">
        <f t="shared" si="145"/>
        <v>0</v>
      </c>
      <c r="CW223" s="2">
        <f t="shared" si="146"/>
        <v>0</v>
      </c>
      <c r="CX223" s="2">
        <f t="shared" si="147"/>
        <v>0</v>
      </c>
      <c r="CY223" s="2">
        <f t="shared" si="148"/>
        <v>0</v>
      </c>
      <c r="CZ223" s="2">
        <f t="shared" si="149"/>
        <v>0</v>
      </c>
      <c r="DA223" s="2"/>
      <c r="DB223" s="2"/>
      <c r="DC223" s="2" t="s">
        <v>3</v>
      </c>
      <c r="DD223" s="2" t="s">
        <v>3</v>
      </c>
      <c r="DE223" s="2" t="s">
        <v>3</v>
      </c>
      <c r="DF223" s="2" t="s">
        <v>3</v>
      </c>
      <c r="DG223" s="2" t="s">
        <v>3</v>
      </c>
      <c r="DH223" s="2" t="s">
        <v>3</v>
      </c>
      <c r="DI223" s="2" t="s">
        <v>3</v>
      </c>
      <c r="DJ223" s="2" t="s">
        <v>3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1009</v>
      </c>
      <c r="DV223" s="2" t="s">
        <v>249</v>
      </c>
      <c r="DW223" s="2" t="s">
        <v>249</v>
      </c>
      <c r="DX223" s="2">
        <v>1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55992151</v>
      </c>
      <c r="EF223" s="2">
        <v>40</v>
      </c>
      <c r="EG223" s="2" t="s">
        <v>24</v>
      </c>
      <c r="EH223" s="2">
        <v>0</v>
      </c>
      <c r="EI223" s="2" t="s">
        <v>3</v>
      </c>
      <c r="EJ223" s="2">
        <v>2</v>
      </c>
      <c r="EK223" s="2">
        <v>67</v>
      </c>
      <c r="EL223" s="2" t="s">
        <v>79</v>
      </c>
      <c r="EM223" s="2" t="s">
        <v>80</v>
      </c>
      <c r="EN223" s="2"/>
      <c r="EO223" s="2" t="s">
        <v>3</v>
      </c>
      <c r="EP223" s="2"/>
      <c r="EQ223" s="2">
        <v>0</v>
      </c>
      <c r="ER223" s="2">
        <v>31.08</v>
      </c>
      <c r="ES223" s="2">
        <v>31.08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0</v>
      </c>
      <c r="FT223" s="2"/>
      <c r="FU223" s="2"/>
      <c r="FV223" s="2"/>
      <c r="FW223" s="2"/>
      <c r="FX223" s="2">
        <v>97</v>
      </c>
      <c r="FY223" s="2">
        <v>51</v>
      </c>
      <c r="FZ223" s="2"/>
      <c r="GA223" s="2" t="s">
        <v>3</v>
      </c>
      <c r="GB223" s="2"/>
      <c r="GC223" s="2"/>
      <c r="GD223" s="2">
        <v>1</v>
      </c>
      <c r="GE223" s="2"/>
      <c r="GF223" s="2">
        <v>1143487818</v>
      </c>
      <c r="GG223" s="2">
        <v>2</v>
      </c>
      <c r="GH223" s="2">
        <v>1</v>
      </c>
      <c r="GI223" s="2">
        <v>-2</v>
      </c>
      <c r="GJ223" s="2">
        <v>0</v>
      </c>
      <c r="GK223" s="2">
        <v>0</v>
      </c>
      <c r="GL223" s="2">
        <f t="shared" si="150"/>
        <v>0</v>
      </c>
      <c r="GM223" s="2">
        <f t="shared" si="151"/>
        <v>55.94</v>
      </c>
      <c r="GN223" s="2">
        <f t="shared" si="152"/>
        <v>0</v>
      </c>
      <c r="GO223" s="2">
        <f t="shared" si="153"/>
        <v>55.94</v>
      </c>
      <c r="GP223" s="2">
        <f t="shared" si="154"/>
        <v>0</v>
      </c>
      <c r="GQ223" s="2"/>
      <c r="GR223" s="2">
        <v>0</v>
      </c>
      <c r="GS223" s="2">
        <v>3</v>
      </c>
      <c r="GT223" s="2">
        <v>0</v>
      </c>
      <c r="GU223" s="2" t="s">
        <v>3</v>
      </c>
      <c r="GV223" s="2">
        <f t="shared" si="155"/>
        <v>0</v>
      </c>
      <c r="GW223" s="2">
        <v>1</v>
      </c>
      <c r="GX223" s="2">
        <f t="shared" si="156"/>
        <v>0</v>
      </c>
      <c r="GY223" s="2"/>
      <c r="GZ223" s="2"/>
      <c r="HA223" s="2">
        <v>0</v>
      </c>
      <c r="HB223" s="2">
        <v>0</v>
      </c>
      <c r="HC223" s="2">
        <f t="shared" si="157"/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3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">
      <c r="A224">
        <v>18</v>
      </c>
      <c r="B224">
        <v>1</v>
      </c>
      <c r="C224">
        <v>180</v>
      </c>
      <c r="E224" t="s">
        <v>246</v>
      </c>
      <c r="F224" t="s">
        <v>247</v>
      </c>
      <c r="G224" t="s">
        <v>248</v>
      </c>
      <c r="H224" t="s">
        <v>249</v>
      </c>
      <c r="I224">
        <f>I222*J224</f>
        <v>1.8</v>
      </c>
      <c r="J224">
        <v>0.1</v>
      </c>
      <c r="K224">
        <v>0.1</v>
      </c>
      <c r="O224">
        <f t="shared" si="128"/>
        <v>286.41000000000003</v>
      </c>
      <c r="P224">
        <f t="shared" si="162"/>
        <v>286.41000000000003</v>
      </c>
      <c r="Q224">
        <f t="shared" si="164"/>
        <v>0</v>
      </c>
      <c r="R224">
        <f t="shared" si="129"/>
        <v>0</v>
      </c>
      <c r="S224">
        <f t="shared" si="130"/>
        <v>0</v>
      </c>
      <c r="T224">
        <f t="shared" si="131"/>
        <v>0</v>
      </c>
      <c r="U224">
        <f t="shared" si="132"/>
        <v>0</v>
      </c>
      <c r="V224">
        <f t="shared" si="133"/>
        <v>0</v>
      </c>
      <c r="W224">
        <f t="shared" si="134"/>
        <v>0</v>
      </c>
      <c r="X224">
        <f t="shared" si="135"/>
        <v>0</v>
      </c>
      <c r="Y224">
        <f t="shared" si="136"/>
        <v>0</v>
      </c>
      <c r="AA224">
        <v>56959431</v>
      </c>
      <c r="AB224">
        <f t="shared" si="137"/>
        <v>31.08</v>
      </c>
      <c r="AC224">
        <f t="shared" si="138"/>
        <v>31.08</v>
      </c>
      <c r="AD224">
        <f t="shared" si="165"/>
        <v>0</v>
      </c>
      <c r="AE224">
        <f t="shared" si="166"/>
        <v>0</v>
      </c>
      <c r="AF224">
        <f t="shared" si="167"/>
        <v>0</v>
      </c>
      <c r="AG224">
        <f t="shared" si="139"/>
        <v>0</v>
      </c>
      <c r="AH224">
        <f t="shared" si="168"/>
        <v>0</v>
      </c>
      <c r="AI224">
        <f t="shared" si="169"/>
        <v>0</v>
      </c>
      <c r="AJ224">
        <f t="shared" si="140"/>
        <v>0</v>
      </c>
      <c r="AK224">
        <v>31.08</v>
      </c>
      <c r="AL224">
        <v>31.08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97</v>
      </c>
      <c r="AU224">
        <v>51</v>
      </c>
      <c r="AV224">
        <v>1</v>
      </c>
      <c r="AW224">
        <v>1</v>
      </c>
      <c r="AZ224">
        <v>1</v>
      </c>
      <c r="BA224">
        <v>1</v>
      </c>
      <c r="BB224">
        <v>1</v>
      </c>
      <c r="BC224">
        <v>5.12</v>
      </c>
      <c r="BD224" t="s">
        <v>3</v>
      </c>
      <c r="BE224" t="s">
        <v>3</v>
      </c>
      <c r="BF224" t="s">
        <v>3</v>
      </c>
      <c r="BG224" t="s">
        <v>3</v>
      </c>
      <c r="BH224">
        <v>3</v>
      </c>
      <c r="BI224">
        <v>2</v>
      </c>
      <c r="BJ224" t="s">
        <v>250</v>
      </c>
      <c r="BM224">
        <v>67</v>
      </c>
      <c r="BN224">
        <v>55992028</v>
      </c>
      <c r="BO224" t="s">
        <v>247</v>
      </c>
      <c r="BP224">
        <v>1</v>
      </c>
      <c r="BQ224">
        <v>40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 t="s">
        <v>3</v>
      </c>
      <c r="BZ224">
        <v>97</v>
      </c>
      <c r="CA224">
        <v>51</v>
      </c>
      <c r="CB224" t="s">
        <v>3</v>
      </c>
      <c r="CE224">
        <v>30</v>
      </c>
      <c r="CF224">
        <v>0</v>
      </c>
      <c r="CG224">
        <v>0</v>
      </c>
      <c r="CM224">
        <v>0</v>
      </c>
      <c r="CN224" t="s">
        <v>3</v>
      </c>
      <c r="CO224">
        <v>0</v>
      </c>
      <c r="CP224">
        <f t="shared" si="141"/>
        <v>286.41000000000003</v>
      </c>
      <c r="CQ224">
        <f t="shared" si="163"/>
        <v>159.13</v>
      </c>
      <c r="CR224">
        <f t="shared" si="170"/>
        <v>0</v>
      </c>
      <c r="CS224">
        <f t="shared" si="142"/>
        <v>0</v>
      </c>
      <c r="CT224">
        <f t="shared" si="143"/>
        <v>0</v>
      </c>
      <c r="CU224">
        <f t="shared" si="144"/>
        <v>0</v>
      </c>
      <c r="CV224">
        <f t="shared" si="145"/>
        <v>0</v>
      </c>
      <c r="CW224">
        <f t="shared" si="146"/>
        <v>0</v>
      </c>
      <c r="CX224">
        <f t="shared" si="147"/>
        <v>0</v>
      </c>
      <c r="CY224">
        <f t="shared" si="148"/>
        <v>0</v>
      </c>
      <c r="CZ224">
        <f t="shared" si="149"/>
        <v>0</v>
      </c>
      <c r="DC224" t="s">
        <v>3</v>
      </c>
      <c r="DD224" t="s">
        <v>3</v>
      </c>
      <c r="DE224" t="s">
        <v>3</v>
      </c>
      <c r="DF224" t="s">
        <v>3</v>
      </c>
      <c r="DG224" t="s">
        <v>3</v>
      </c>
      <c r="DH224" t="s">
        <v>3</v>
      </c>
      <c r="DI224" t="s">
        <v>3</v>
      </c>
      <c r="DJ224" t="s">
        <v>3</v>
      </c>
      <c r="DK224" t="s">
        <v>3</v>
      </c>
      <c r="DL224" t="s">
        <v>3</v>
      </c>
      <c r="DM224" t="s">
        <v>3</v>
      </c>
      <c r="DN224">
        <v>0</v>
      </c>
      <c r="DO224">
        <v>0</v>
      </c>
      <c r="DP224">
        <v>1</v>
      </c>
      <c r="DQ224">
        <v>1</v>
      </c>
      <c r="DU224">
        <v>1009</v>
      </c>
      <c r="DV224" t="s">
        <v>249</v>
      </c>
      <c r="DW224" t="s">
        <v>249</v>
      </c>
      <c r="DX224">
        <v>1</v>
      </c>
      <c r="DZ224" t="s">
        <v>3</v>
      </c>
      <c r="EA224" t="s">
        <v>3</v>
      </c>
      <c r="EB224" t="s">
        <v>3</v>
      </c>
      <c r="EC224" t="s">
        <v>3</v>
      </c>
      <c r="EE224">
        <v>55992151</v>
      </c>
      <c r="EF224">
        <v>40</v>
      </c>
      <c r="EG224" t="s">
        <v>24</v>
      </c>
      <c r="EH224">
        <v>0</v>
      </c>
      <c r="EI224" t="s">
        <v>3</v>
      </c>
      <c r="EJ224">
        <v>2</v>
      </c>
      <c r="EK224">
        <v>67</v>
      </c>
      <c r="EL224" t="s">
        <v>79</v>
      </c>
      <c r="EM224" t="s">
        <v>80</v>
      </c>
      <c r="EO224" t="s">
        <v>3</v>
      </c>
      <c r="EQ224">
        <v>0</v>
      </c>
      <c r="ER224">
        <v>31.08</v>
      </c>
      <c r="ES224">
        <v>31.08</v>
      </c>
      <c r="ET224">
        <v>0</v>
      </c>
      <c r="EU224">
        <v>0</v>
      </c>
      <c r="EV224">
        <v>0</v>
      </c>
      <c r="EW224">
        <v>0</v>
      </c>
      <c r="EX224">
        <v>0</v>
      </c>
      <c r="FQ224">
        <v>0</v>
      </c>
      <c r="FR224">
        <v>0</v>
      </c>
      <c r="FS224">
        <v>0</v>
      </c>
      <c r="FX224">
        <v>97</v>
      </c>
      <c r="FY224">
        <v>51</v>
      </c>
      <c r="GA224" t="s">
        <v>3</v>
      </c>
      <c r="GD224">
        <v>1</v>
      </c>
      <c r="GF224">
        <v>1143487818</v>
      </c>
      <c r="GG224">
        <v>2</v>
      </c>
      <c r="GH224">
        <v>1</v>
      </c>
      <c r="GI224">
        <v>2</v>
      </c>
      <c r="GJ224">
        <v>0</v>
      </c>
      <c r="GK224">
        <v>0</v>
      </c>
      <c r="GL224">
        <f t="shared" si="150"/>
        <v>0</v>
      </c>
      <c r="GM224">
        <f t="shared" si="151"/>
        <v>286.41000000000003</v>
      </c>
      <c r="GN224">
        <f t="shared" si="152"/>
        <v>0</v>
      </c>
      <c r="GO224">
        <f t="shared" si="153"/>
        <v>286.41000000000003</v>
      </c>
      <c r="GP224">
        <f t="shared" si="154"/>
        <v>0</v>
      </c>
      <c r="GR224">
        <v>0</v>
      </c>
      <c r="GS224">
        <v>3</v>
      </c>
      <c r="GT224">
        <v>0</v>
      </c>
      <c r="GU224" t="s">
        <v>3</v>
      </c>
      <c r="GV224">
        <f t="shared" si="155"/>
        <v>0</v>
      </c>
      <c r="GW224">
        <v>1</v>
      </c>
      <c r="GX224">
        <f t="shared" si="156"/>
        <v>0</v>
      </c>
      <c r="HA224">
        <v>0</v>
      </c>
      <c r="HB224">
        <v>0</v>
      </c>
      <c r="HC224">
        <f t="shared" si="157"/>
        <v>0</v>
      </c>
      <c r="HE224" t="s">
        <v>3</v>
      </c>
      <c r="HF224" t="s">
        <v>3</v>
      </c>
      <c r="HM224" t="s">
        <v>3</v>
      </c>
      <c r="HN224" t="s">
        <v>3</v>
      </c>
      <c r="HO224" t="s">
        <v>3</v>
      </c>
      <c r="HP224" t="s">
        <v>3</v>
      </c>
      <c r="HQ224" t="s">
        <v>3</v>
      </c>
      <c r="HS224">
        <v>0</v>
      </c>
      <c r="IK224">
        <v>0</v>
      </c>
    </row>
    <row r="225" spans="1:255" x14ac:dyDescent="0.2">
      <c r="A225" s="2">
        <v>17</v>
      </c>
      <c r="B225" s="2">
        <v>1</v>
      </c>
      <c r="C225" s="2"/>
      <c r="D225" s="2"/>
      <c r="E225" s="2" t="s">
        <v>251</v>
      </c>
      <c r="F225" s="2" t="s">
        <v>252</v>
      </c>
      <c r="G225" s="2" t="s">
        <v>253</v>
      </c>
      <c r="H225" s="2" t="s">
        <v>31</v>
      </c>
      <c r="I225" s="2">
        <v>7</v>
      </c>
      <c r="J225" s="2">
        <v>0</v>
      </c>
      <c r="K225" s="2">
        <v>7</v>
      </c>
      <c r="L225" s="2"/>
      <c r="M225" s="2"/>
      <c r="N225" s="2"/>
      <c r="O225" s="2">
        <f t="shared" si="128"/>
        <v>40707.17</v>
      </c>
      <c r="P225" s="2">
        <f t="shared" ref="P225:P234" si="171">ROUND((ROUND((AC225*I225),2)*BC225),2)</f>
        <v>40707.17</v>
      </c>
      <c r="Q225" s="2">
        <f t="shared" si="164"/>
        <v>0</v>
      </c>
      <c r="R225" s="2">
        <f t="shared" si="129"/>
        <v>0</v>
      </c>
      <c r="S225" s="2">
        <f t="shared" si="130"/>
        <v>0</v>
      </c>
      <c r="T225" s="2">
        <f t="shared" si="131"/>
        <v>0</v>
      </c>
      <c r="U225" s="2">
        <f t="shared" si="132"/>
        <v>0</v>
      </c>
      <c r="V225" s="2">
        <f t="shared" si="133"/>
        <v>0</v>
      </c>
      <c r="W225" s="2">
        <f t="shared" si="134"/>
        <v>0</v>
      </c>
      <c r="X225" s="2">
        <f t="shared" si="135"/>
        <v>0</v>
      </c>
      <c r="Y225" s="2">
        <f t="shared" si="136"/>
        <v>0</v>
      </c>
      <c r="Z225" s="2"/>
      <c r="AA225" s="2">
        <v>56959434</v>
      </c>
      <c r="AB225" s="2">
        <f t="shared" si="137"/>
        <v>5815.31</v>
      </c>
      <c r="AC225" s="2">
        <f t="shared" si="138"/>
        <v>5815.31</v>
      </c>
      <c r="AD225" s="2">
        <f t="shared" si="165"/>
        <v>0</v>
      </c>
      <c r="AE225" s="2">
        <f t="shared" si="166"/>
        <v>0</v>
      </c>
      <c r="AF225" s="2">
        <f t="shared" si="167"/>
        <v>0</v>
      </c>
      <c r="AG225" s="2">
        <f t="shared" si="139"/>
        <v>0</v>
      </c>
      <c r="AH225" s="2">
        <f t="shared" si="168"/>
        <v>0</v>
      </c>
      <c r="AI225" s="2">
        <f t="shared" si="169"/>
        <v>0</v>
      </c>
      <c r="AJ225" s="2">
        <f t="shared" si="140"/>
        <v>0</v>
      </c>
      <c r="AK225" s="2">
        <v>5815.3099999999995</v>
      </c>
      <c r="AL225" s="2">
        <v>5815.3099999999995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1</v>
      </c>
      <c r="AW225" s="2">
        <v>1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3</v>
      </c>
      <c r="BI225" s="2">
        <v>3</v>
      </c>
      <c r="BJ225" s="2" t="s">
        <v>3</v>
      </c>
      <c r="BK225" s="2"/>
      <c r="BL225" s="2"/>
      <c r="BM225" s="2">
        <v>746</v>
      </c>
      <c r="BN225" s="2">
        <v>0</v>
      </c>
      <c r="BO225" s="2" t="s">
        <v>3</v>
      </c>
      <c r="BP225" s="2">
        <v>0</v>
      </c>
      <c r="BQ225" s="2">
        <v>130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0</v>
      </c>
      <c r="CA225" s="2">
        <v>0</v>
      </c>
      <c r="CB225" s="2" t="s">
        <v>3</v>
      </c>
      <c r="CC225" s="2"/>
      <c r="CD225" s="2"/>
      <c r="CE225" s="2">
        <v>30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3</v>
      </c>
      <c r="CO225" s="2">
        <v>0</v>
      </c>
      <c r="CP225" s="2">
        <f t="shared" si="141"/>
        <v>40707.17</v>
      </c>
      <c r="CQ225" s="2">
        <f t="shared" ref="CQ225:CQ234" si="172">ROUND((ROUND((AC225*1),2)*BC225),2)</f>
        <v>5815.31</v>
      </c>
      <c r="CR225" s="2">
        <f t="shared" si="170"/>
        <v>0</v>
      </c>
      <c r="CS225" s="2">
        <f t="shared" si="142"/>
        <v>0</v>
      </c>
      <c r="CT225" s="2">
        <f t="shared" si="143"/>
        <v>0</v>
      </c>
      <c r="CU225" s="2">
        <f t="shared" si="144"/>
        <v>0</v>
      </c>
      <c r="CV225" s="2">
        <f t="shared" si="145"/>
        <v>0</v>
      </c>
      <c r="CW225" s="2">
        <f t="shared" si="146"/>
        <v>0</v>
      </c>
      <c r="CX225" s="2">
        <f t="shared" si="147"/>
        <v>0</v>
      </c>
      <c r="CY225" s="2">
        <f t="shared" si="148"/>
        <v>0</v>
      </c>
      <c r="CZ225" s="2">
        <f t="shared" si="149"/>
        <v>0</v>
      </c>
      <c r="DA225" s="2"/>
      <c r="DB225" s="2"/>
      <c r="DC225" s="2" t="s">
        <v>3</v>
      </c>
      <c r="DD225" s="2" t="s">
        <v>3</v>
      </c>
      <c r="DE225" s="2" t="s">
        <v>3</v>
      </c>
      <c r="DF225" s="2" t="s">
        <v>3</v>
      </c>
      <c r="DG225" s="2" t="s">
        <v>3</v>
      </c>
      <c r="DH225" s="2" t="s">
        <v>3</v>
      </c>
      <c r="DI225" s="2" t="s">
        <v>3</v>
      </c>
      <c r="DJ225" s="2" t="s">
        <v>3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1010</v>
      </c>
      <c r="DV225" s="2" t="s">
        <v>31</v>
      </c>
      <c r="DW225" s="2" t="s">
        <v>31</v>
      </c>
      <c r="DX225" s="2">
        <v>1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55992259</v>
      </c>
      <c r="EF225" s="2">
        <v>130</v>
      </c>
      <c r="EG225" s="2" t="s">
        <v>32</v>
      </c>
      <c r="EH225" s="2">
        <v>0</v>
      </c>
      <c r="EI225" s="2" t="s">
        <v>3</v>
      </c>
      <c r="EJ225" s="2">
        <v>3</v>
      </c>
      <c r="EK225" s="2">
        <v>746</v>
      </c>
      <c r="EL225" s="2" t="s">
        <v>33</v>
      </c>
      <c r="EM225" s="2" t="s">
        <v>34</v>
      </c>
      <c r="EN225" s="2"/>
      <c r="EO225" s="2" t="s">
        <v>3</v>
      </c>
      <c r="EP225" s="2"/>
      <c r="EQ225" s="2">
        <v>0</v>
      </c>
      <c r="ER225" s="2">
        <v>0</v>
      </c>
      <c r="ES225" s="2">
        <v>5815.3099999999995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f t="shared" ref="FR225:FR234" si="173">P225</f>
        <v>40707.17</v>
      </c>
      <c r="FS225" s="2">
        <v>0</v>
      </c>
      <c r="FT225" s="2"/>
      <c r="FU225" s="2"/>
      <c r="FV225" s="2"/>
      <c r="FW225" s="2"/>
      <c r="FX225" s="2">
        <v>0</v>
      </c>
      <c r="FY225" s="2">
        <v>0</v>
      </c>
      <c r="FZ225" s="2"/>
      <c r="GA225" s="2" t="s">
        <v>254</v>
      </c>
      <c r="GB225" s="2"/>
      <c r="GC225" s="2"/>
      <c r="GD225" s="2">
        <v>1</v>
      </c>
      <c r="GE225" s="2"/>
      <c r="GF225" s="2">
        <v>469861673</v>
      </c>
      <c r="GG225" s="2">
        <v>2</v>
      </c>
      <c r="GH225" s="2">
        <v>4</v>
      </c>
      <c r="GI225" s="2">
        <v>-2</v>
      </c>
      <c r="GJ225" s="2">
        <v>0</v>
      </c>
      <c r="GK225" s="2">
        <v>0</v>
      </c>
      <c r="GL225" s="2">
        <f t="shared" si="150"/>
        <v>0</v>
      </c>
      <c r="GM225" s="2">
        <f t="shared" si="151"/>
        <v>40707.17</v>
      </c>
      <c r="GN225" s="2">
        <f t="shared" si="152"/>
        <v>0</v>
      </c>
      <c r="GO225" s="2">
        <f t="shared" si="153"/>
        <v>0</v>
      </c>
      <c r="GP225" s="2">
        <f t="shared" si="154"/>
        <v>0</v>
      </c>
      <c r="GQ225" s="2"/>
      <c r="GR225" s="2">
        <v>0</v>
      </c>
      <c r="GS225" s="2">
        <v>2</v>
      </c>
      <c r="GT225" s="2">
        <v>0</v>
      </c>
      <c r="GU225" s="2" t="s">
        <v>3</v>
      </c>
      <c r="GV225" s="2">
        <f t="shared" si="155"/>
        <v>0</v>
      </c>
      <c r="GW225" s="2">
        <v>1</v>
      </c>
      <c r="GX225" s="2">
        <f t="shared" si="156"/>
        <v>0</v>
      </c>
      <c r="GY225" s="2"/>
      <c r="GZ225" s="2"/>
      <c r="HA225" s="2">
        <v>0</v>
      </c>
      <c r="HB225" s="2">
        <v>0</v>
      </c>
      <c r="HC225" s="2">
        <f t="shared" si="157"/>
        <v>0</v>
      </c>
      <c r="HD225" s="2"/>
      <c r="HE225" s="2" t="s">
        <v>36</v>
      </c>
      <c r="HF225" s="2" t="s">
        <v>37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">
      <c r="A226">
        <v>17</v>
      </c>
      <c r="B226">
        <v>1</v>
      </c>
      <c r="E226" t="s">
        <v>251</v>
      </c>
      <c r="F226" t="s">
        <v>252</v>
      </c>
      <c r="G226" t="s">
        <v>253</v>
      </c>
      <c r="H226" t="s">
        <v>31</v>
      </c>
      <c r="I226">
        <v>7</v>
      </c>
      <c r="J226">
        <v>0</v>
      </c>
      <c r="K226">
        <v>7</v>
      </c>
      <c r="O226">
        <f t="shared" si="128"/>
        <v>311816.92</v>
      </c>
      <c r="P226">
        <f t="shared" si="171"/>
        <v>311816.92</v>
      </c>
      <c r="Q226">
        <f t="shared" si="164"/>
        <v>0</v>
      </c>
      <c r="R226">
        <f t="shared" si="129"/>
        <v>0</v>
      </c>
      <c r="S226">
        <f t="shared" si="130"/>
        <v>0</v>
      </c>
      <c r="T226">
        <f t="shared" si="131"/>
        <v>0</v>
      </c>
      <c r="U226">
        <f t="shared" si="132"/>
        <v>0</v>
      </c>
      <c r="V226">
        <f t="shared" si="133"/>
        <v>0</v>
      </c>
      <c r="W226">
        <f t="shared" si="134"/>
        <v>0</v>
      </c>
      <c r="X226">
        <f t="shared" si="135"/>
        <v>0</v>
      </c>
      <c r="Y226">
        <f t="shared" si="136"/>
        <v>0</v>
      </c>
      <c r="AA226">
        <v>56959431</v>
      </c>
      <c r="AB226">
        <f t="shared" si="137"/>
        <v>5815.31</v>
      </c>
      <c r="AC226">
        <f t="shared" si="138"/>
        <v>5815.31</v>
      </c>
      <c r="AD226">
        <f t="shared" si="165"/>
        <v>0</v>
      </c>
      <c r="AE226">
        <f t="shared" si="166"/>
        <v>0</v>
      </c>
      <c r="AF226">
        <f t="shared" si="167"/>
        <v>0</v>
      </c>
      <c r="AG226">
        <f t="shared" si="139"/>
        <v>0</v>
      </c>
      <c r="AH226">
        <f t="shared" si="168"/>
        <v>0</v>
      </c>
      <c r="AI226">
        <f t="shared" si="169"/>
        <v>0</v>
      </c>
      <c r="AJ226">
        <f t="shared" si="140"/>
        <v>0</v>
      </c>
      <c r="AK226">
        <v>5815.3099999999995</v>
      </c>
      <c r="AL226">
        <v>5815.3099999999995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1</v>
      </c>
      <c r="AZ226">
        <v>1</v>
      </c>
      <c r="BA226">
        <v>1</v>
      </c>
      <c r="BB226">
        <v>1</v>
      </c>
      <c r="BC226">
        <v>7.66</v>
      </c>
      <c r="BD226" t="s">
        <v>3</v>
      </c>
      <c r="BE226" t="s">
        <v>3</v>
      </c>
      <c r="BF226" t="s">
        <v>3</v>
      </c>
      <c r="BG226" t="s">
        <v>3</v>
      </c>
      <c r="BH226">
        <v>3</v>
      </c>
      <c r="BI226">
        <v>3</v>
      </c>
      <c r="BJ226" t="s">
        <v>3</v>
      </c>
      <c r="BM226">
        <v>746</v>
      </c>
      <c r="BN226">
        <v>0</v>
      </c>
      <c r="BO226" t="s">
        <v>3</v>
      </c>
      <c r="BP226">
        <v>0</v>
      </c>
      <c r="BQ226">
        <v>130</v>
      </c>
      <c r="BR226">
        <v>0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 t="s">
        <v>3</v>
      </c>
      <c r="BZ226">
        <v>0</v>
      </c>
      <c r="CA226">
        <v>0</v>
      </c>
      <c r="CB226" t="s">
        <v>3</v>
      </c>
      <c r="CE226">
        <v>30</v>
      </c>
      <c r="CF226">
        <v>0</v>
      </c>
      <c r="CG226">
        <v>0</v>
      </c>
      <c r="CM226">
        <v>0</v>
      </c>
      <c r="CN226" t="s">
        <v>3</v>
      </c>
      <c r="CO226">
        <v>0</v>
      </c>
      <c r="CP226">
        <f t="shared" si="141"/>
        <v>311816.92</v>
      </c>
      <c r="CQ226">
        <f t="shared" si="172"/>
        <v>44545.27</v>
      </c>
      <c r="CR226">
        <f t="shared" si="170"/>
        <v>0</v>
      </c>
      <c r="CS226">
        <f t="shared" si="142"/>
        <v>0</v>
      </c>
      <c r="CT226">
        <f t="shared" si="143"/>
        <v>0</v>
      </c>
      <c r="CU226">
        <f t="shared" si="144"/>
        <v>0</v>
      </c>
      <c r="CV226">
        <f t="shared" si="145"/>
        <v>0</v>
      </c>
      <c r="CW226">
        <f t="shared" si="146"/>
        <v>0</v>
      </c>
      <c r="CX226">
        <f t="shared" si="147"/>
        <v>0</v>
      </c>
      <c r="CY226">
        <f t="shared" si="148"/>
        <v>0</v>
      </c>
      <c r="CZ226">
        <f t="shared" si="149"/>
        <v>0</v>
      </c>
      <c r="DC226" t="s">
        <v>3</v>
      </c>
      <c r="DD226" t="s">
        <v>3</v>
      </c>
      <c r="DE226" t="s">
        <v>3</v>
      </c>
      <c r="DF226" t="s">
        <v>3</v>
      </c>
      <c r="DG226" t="s">
        <v>3</v>
      </c>
      <c r="DH226" t="s">
        <v>3</v>
      </c>
      <c r="DI226" t="s">
        <v>3</v>
      </c>
      <c r="DJ226" t="s">
        <v>3</v>
      </c>
      <c r="DK226" t="s">
        <v>3</v>
      </c>
      <c r="DL226" t="s">
        <v>3</v>
      </c>
      <c r="DM226" t="s">
        <v>3</v>
      </c>
      <c r="DN226">
        <v>0</v>
      </c>
      <c r="DO226">
        <v>0</v>
      </c>
      <c r="DP226">
        <v>1</v>
      </c>
      <c r="DQ226">
        <v>1</v>
      </c>
      <c r="DU226">
        <v>1010</v>
      </c>
      <c r="DV226" t="s">
        <v>31</v>
      </c>
      <c r="DW226" t="s">
        <v>31</v>
      </c>
      <c r="DX226">
        <v>1</v>
      </c>
      <c r="DZ226" t="s">
        <v>3</v>
      </c>
      <c r="EA226" t="s">
        <v>3</v>
      </c>
      <c r="EB226" t="s">
        <v>3</v>
      </c>
      <c r="EC226" t="s">
        <v>3</v>
      </c>
      <c r="EE226">
        <v>55992259</v>
      </c>
      <c r="EF226">
        <v>130</v>
      </c>
      <c r="EG226" t="s">
        <v>32</v>
      </c>
      <c r="EH226">
        <v>0</v>
      </c>
      <c r="EI226" t="s">
        <v>3</v>
      </c>
      <c r="EJ226">
        <v>3</v>
      </c>
      <c r="EK226">
        <v>746</v>
      </c>
      <c r="EL226" t="s">
        <v>33</v>
      </c>
      <c r="EM226" t="s">
        <v>34</v>
      </c>
      <c r="EO226" t="s">
        <v>3</v>
      </c>
      <c r="EQ226">
        <v>0</v>
      </c>
      <c r="ER226">
        <v>5815.3099999999995</v>
      </c>
      <c r="ES226">
        <v>5815.3099999999995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5</v>
      </c>
      <c r="FC226">
        <v>1</v>
      </c>
      <c r="FD226">
        <v>18</v>
      </c>
      <c r="FF226">
        <v>51282</v>
      </c>
      <c r="FQ226">
        <v>0</v>
      </c>
      <c r="FR226">
        <f t="shared" si="173"/>
        <v>311816.92</v>
      </c>
      <c r="FS226">
        <v>0</v>
      </c>
      <c r="FX226">
        <v>0</v>
      </c>
      <c r="FY226">
        <v>0</v>
      </c>
      <c r="GA226" t="s">
        <v>254</v>
      </c>
      <c r="GD226">
        <v>1</v>
      </c>
      <c r="GF226">
        <v>469861673</v>
      </c>
      <c r="GG226">
        <v>2</v>
      </c>
      <c r="GH226">
        <v>3</v>
      </c>
      <c r="GI226">
        <v>5</v>
      </c>
      <c r="GJ226">
        <v>0</v>
      </c>
      <c r="GK226">
        <v>0</v>
      </c>
      <c r="GL226">
        <f t="shared" si="150"/>
        <v>0</v>
      </c>
      <c r="GM226">
        <f t="shared" si="151"/>
        <v>311816.92</v>
      </c>
      <c r="GN226">
        <f t="shared" si="152"/>
        <v>0</v>
      </c>
      <c r="GO226">
        <f t="shared" si="153"/>
        <v>0</v>
      </c>
      <c r="GP226">
        <f t="shared" si="154"/>
        <v>0</v>
      </c>
      <c r="GR226">
        <v>1</v>
      </c>
      <c r="GS226">
        <v>1</v>
      </c>
      <c r="GT226">
        <v>0</v>
      </c>
      <c r="GU226" t="s">
        <v>3</v>
      </c>
      <c r="GV226">
        <f t="shared" si="155"/>
        <v>0</v>
      </c>
      <c r="GW226">
        <v>1</v>
      </c>
      <c r="GX226">
        <f t="shared" si="156"/>
        <v>0</v>
      </c>
      <c r="HA226">
        <v>0</v>
      </c>
      <c r="HB226">
        <v>0</v>
      </c>
      <c r="HC226">
        <f t="shared" si="157"/>
        <v>0</v>
      </c>
      <c r="HE226" t="s">
        <v>36</v>
      </c>
      <c r="HF226" t="s">
        <v>37</v>
      </c>
      <c r="HM226" t="s">
        <v>3</v>
      </c>
      <c r="HN226" t="s">
        <v>3</v>
      </c>
      <c r="HO226" t="s">
        <v>3</v>
      </c>
      <c r="HP226" t="s">
        <v>3</v>
      </c>
      <c r="HQ226" t="s">
        <v>3</v>
      </c>
      <c r="HS226">
        <v>0</v>
      </c>
      <c r="IK226">
        <v>0</v>
      </c>
    </row>
    <row r="227" spans="1:255" x14ac:dyDescent="0.2">
      <c r="A227" s="2">
        <v>17</v>
      </c>
      <c r="B227" s="2">
        <v>1</v>
      </c>
      <c r="C227" s="2"/>
      <c r="D227" s="2"/>
      <c r="E227" s="2" t="s">
        <v>255</v>
      </c>
      <c r="F227" s="2" t="s">
        <v>256</v>
      </c>
      <c r="G227" s="2" t="s">
        <v>257</v>
      </c>
      <c r="H227" s="2" t="s">
        <v>31</v>
      </c>
      <c r="I227" s="2">
        <v>5</v>
      </c>
      <c r="J227" s="2">
        <v>0</v>
      </c>
      <c r="K227" s="2">
        <v>5</v>
      </c>
      <c r="L227" s="2"/>
      <c r="M227" s="2"/>
      <c r="N227" s="2"/>
      <c r="O227" s="2">
        <f t="shared" si="128"/>
        <v>29361.7</v>
      </c>
      <c r="P227" s="2">
        <f t="shared" si="171"/>
        <v>29361.7</v>
      </c>
      <c r="Q227" s="2">
        <f t="shared" si="164"/>
        <v>0</v>
      </c>
      <c r="R227" s="2">
        <f t="shared" si="129"/>
        <v>0</v>
      </c>
      <c r="S227" s="2">
        <f t="shared" si="130"/>
        <v>0</v>
      </c>
      <c r="T227" s="2">
        <f t="shared" si="131"/>
        <v>0</v>
      </c>
      <c r="U227" s="2">
        <f t="shared" si="132"/>
        <v>0</v>
      </c>
      <c r="V227" s="2">
        <f t="shared" si="133"/>
        <v>0</v>
      </c>
      <c r="W227" s="2">
        <f t="shared" si="134"/>
        <v>0</v>
      </c>
      <c r="X227" s="2">
        <f t="shared" si="135"/>
        <v>0</v>
      </c>
      <c r="Y227" s="2">
        <f t="shared" si="136"/>
        <v>0</v>
      </c>
      <c r="Z227" s="2"/>
      <c r="AA227" s="2">
        <v>56959434</v>
      </c>
      <c r="AB227" s="2">
        <f t="shared" si="137"/>
        <v>5872.34</v>
      </c>
      <c r="AC227" s="2">
        <f t="shared" si="138"/>
        <v>5872.34</v>
      </c>
      <c r="AD227" s="2">
        <f t="shared" si="165"/>
        <v>0</v>
      </c>
      <c r="AE227" s="2">
        <f t="shared" si="166"/>
        <v>0</v>
      </c>
      <c r="AF227" s="2">
        <f t="shared" si="167"/>
        <v>0</v>
      </c>
      <c r="AG227" s="2">
        <f t="shared" si="139"/>
        <v>0</v>
      </c>
      <c r="AH227" s="2">
        <f t="shared" si="168"/>
        <v>0</v>
      </c>
      <c r="AI227" s="2">
        <f t="shared" si="169"/>
        <v>0</v>
      </c>
      <c r="AJ227" s="2">
        <f t="shared" si="140"/>
        <v>0</v>
      </c>
      <c r="AK227" s="2">
        <v>5872.34</v>
      </c>
      <c r="AL227" s="2">
        <v>5872.34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1</v>
      </c>
      <c r="AW227" s="2">
        <v>1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3</v>
      </c>
      <c r="BI227" s="2">
        <v>3</v>
      </c>
      <c r="BJ227" s="2" t="s">
        <v>3</v>
      </c>
      <c r="BK227" s="2"/>
      <c r="BL227" s="2"/>
      <c r="BM227" s="2">
        <v>746</v>
      </c>
      <c r="BN227" s="2">
        <v>0</v>
      </c>
      <c r="BO227" s="2" t="s">
        <v>3</v>
      </c>
      <c r="BP227" s="2">
        <v>0</v>
      </c>
      <c r="BQ227" s="2">
        <v>130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0</v>
      </c>
      <c r="CA227" s="2">
        <v>0</v>
      </c>
      <c r="CB227" s="2" t="s">
        <v>3</v>
      </c>
      <c r="CC227" s="2"/>
      <c r="CD227" s="2"/>
      <c r="CE227" s="2">
        <v>30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3</v>
      </c>
      <c r="CO227" s="2">
        <v>0</v>
      </c>
      <c r="CP227" s="2">
        <f t="shared" si="141"/>
        <v>29361.7</v>
      </c>
      <c r="CQ227" s="2">
        <f t="shared" si="172"/>
        <v>5872.34</v>
      </c>
      <c r="CR227" s="2">
        <f t="shared" si="170"/>
        <v>0</v>
      </c>
      <c r="CS227" s="2">
        <f t="shared" si="142"/>
        <v>0</v>
      </c>
      <c r="CT227" s="2">
        <f t="shared" si="143"/>
        <v>0</v>
      </c>
      <c r="CU227" s="2">
        <f t="shared" si="144"/>
        <v>0</v>
      </c>
      <c r="CV227" s="2">
        <f t="shared" si="145"/>
        <v>0</v>
      </c>
      <c r="CW227" s="2">
        <f t="shared" si="146"/>
        <v>0</v>
      </c>
      <c r="CX227" s="2">
        <f t="shared" si="147"/>
        <v>0</v>
      </c>
      <c r="CY227" s="2">
        <f t="shared" si="148"/>
        <v>0</v>
      </c>
      <c r="CZ227" s="2">
        <f t="shared" si="149"/>
        <v>0</v>
      </c>
      <c r="DA227" s="2"/>
      <c r="DB227" s="2"/>
      <c r="DC227" s="2" t="s">
        <v>3</v>
      </c>
      <c r="DD227" s="2" t="s">
        <v>3</v>
      </c>
      <c r="DE227" s="2" t="s">
        <v>3</v>
      </c>
      <c r="DF227" s="2" t="s">
        <v>3</v>
      </c>
      <c r="DG227" s="2" t="s">
        <v>3</v>
      </c>
      <c r="DH227" s="2" t="s">
        <v>3</v>
      </c>
      <c r="DI227" s="2" t="s">
        <v>3</v>
      </c>
      <c r="DJ227" s="2" t="s">
        <v>3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1010</v>
      </c>
      <c r="DV227" s="2" t="s">
        <v>31</v>
      </c>
      <c r="DW227" s="2" t="s">
        <v>31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55992259</v>
      </c>
      <c r="EF227" s="2">
        <v>130</v>
      </c>
      <c r="EG227" s="2" t="s">
        <v>32</v>
      </c>
      <c r="EH227" s="2">
        <v>0</v>
      </c>
      <c r="EI227" s="2" t="s">
        <v>3</v>
      </c>
      <c r="EJ227" s="2">
        <v>3</v>
      </c>
      <c r="EK227" s="2">
        <v>746</v>
      </c>
      <c r="EL227" s="2" t="s">
        <v>33</v>
      </c>
      <c r="EM227" s="2" t="s">
        <v>34</v>
      </c>
      <c r="EN227" s="2"/>
      <c r="EO227" s="2" t="s">
        <v>3</v>
      </c>
      <c r="EP227" s="2"/>
      <c r="EQ227" s="2">
        <v>0</v>
      </c>
      <c r="ER227" s="2">
        <v>0</v>
      </c>
      <c r="ES227" s="2">
        <v>5872.34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f t="shared" si="173"/>
        <v>29361.7</v>
      </c>
      <c r="FS227" s="2">
        <v>0</v>
      </c>
      <c r="FT227" s="2"/>
      <c r="FU227" s="2"/>
      <c r="FV227" s="2"/>
      <c r="FW227" s="2"/>
      <c r="FX227" s="2">
        <v>0</v>
      </c>
      <c r="FY227" s="2">
        <v>0</v>
      </c>
      <c r="FZ227" s="2"/>
      <c r="GA227" s="2" t="s">
        <v>258</v>
      </c>
      <c r="GB227" s="2"/>
      <c r="GC227" s="2"/>
      <c r="GD227" s="2">
        <v>1</v>
      </c>
      <c r="GE227" s="2"/>
      <c r="GF227" s="2">
        <v>-2102849885</v>
      </c>
      <c r="GG227" s="2">
        <v>2</v>
      </c>
      <c r="GH227" s="2">
        <v>4</v>
      </c>
      <c r="GI227" s="2">
        <v>-2</v>
      </c>
      <c r="GJ227" s="2">
        <v>0</v>
      </c>
      <c r="GK227" s="2">
        <v>0</v>
      </c>
      <c r="GL227" s="2">
        <f t="shared" si="150"/>
        <v>0</v>
      </c>
      <c r="GM227" s="2">
        <f t="shared" si="151"/>
        <v>29361.7</v>
      </c>
      <c r="GN227" s="2">
        <f t="shared" si="152"/>
        <v>0</v>
      </c>
      <c r="GO227" s="2">
        <f t="shared" si="153"/>
        <v>0</v>
      </c>
      <c r="GP227" s="2">
        <f t="shared" si="154"/>
        <v>0</v>
      </c>
      <c r="GQ227" s="2"/>
      <c r="GR227" s="2">
        <v>0</v>
      </c>
      <c r="GS227" s="2">
        <v>2</v>
      </c>
      <c r="GT227" s="2">
        <v>0</v>
      </c>
      <c r="GU227" s="2" t="s">
        <v>3</v>
      </c>
      <c r="GV227" s="2">
        <f t="shared" si="155"/>
        <v>0</v>
      </c>
      <c r="GW227" s="2">
        <v>1</v>
      </c>
      <c r="GX227" s="2">
        <f t="shared" si="156"/>
        <v>0</v>
      </c>
      <c r="GY227" s="2"/>
      <c r="GZ227" s="2"/>
      <c r="HA227" s="2">
        <v>0</v>
      </c>
      <c r="HB227" s="2">
        <v>0</v>
      </c>
      <c r="HC227" s="2">
        <f t="shared" si="157"/>
        <v>0</v>
      </c>
      <c r="HD227" s="2"/>
      <c r="HE227" s="2" t="s">
        <v>36</v>
      </c>
      <c r="HF227" s="2" t="s">
        <v>37</v>
      </c>
      <c r="HG227" s="2"/>
      <c r="HH227" s="2"/>
      <c r="HI227" s="2"/>
      <c r="HJ227" s="2"/>
      <c r="HK227" s="2"/>
      <c r="HL227" s="2"/>
      <c r="HM227" s="2" t="s">
        <v>3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">
      <c r="A228">
        <v>17</v>
      </c>
      <c r="B228">
        <v>1</v>
      </c>
      <c r="E228" t="s">
        <v>255</v>
      </c>
      <c r="F228" t="s">
        <v>256</v>
      </c>
      <c r="G228" t="s">
        <v>257</v>
      </c>
      <c r="H228" t="s">
        <v>31</v>
      </c>
      <c r="I228">
        <v>5</v>
      </c>
      <c r="J228">
        <v>0</v>
      </c>
      <c r="K228">
        <v>5</v>
      </c>
      <c r="O228">
        <f t="shared" si="128"/>
        <v>224910.62</v>
      </c>
      <c r="P228">
        <f t="shared" si="171"/>
        <v>224910.62</v>
      </c>
      <c r="Q228">
        <f t="shared" si="164"/>
        <v>0</v>
      </c>
      <c r="R228">
        <f t="shared" si="129"/>
        <v>0</v>
      </c>
      <c r="S228">
        <f t="shared" si="130"/>
        <v>0</v>
      </c>
      <c r="T228">
        <f t="shared" si="131"/>
        <v>0</v>
      </c>
      <c r="U228">
        <f t="shared" si="132"/>
        <v>0</v>
      </c>
      <c r="V228">
        <f t="shared" si="133"/>
        <v>0</v>
      </c>
      <c r="W228">
        <f t="shared" si="134"/>
        <v>0</v>
      </c>
      <c r="X228">
        <f t="shared" si="135"/>
        <v>0</v>
      </c>
      <c r="Y228">
        <f t="shared" si="136"/>
        <v>0</v>
      </c>
      <c r="AA228">
        <v>56959431</v>
      </c>
      <c r="AB228">
        <f t="shared" si="137"/>
        <v>5872.34</v>
      </c>
      <c r="AC228">
        <f t="shared" si="138"/>
        <v>5872.34</v>
      </c>
      <c r="AD228">
        <f t="shared" si="165"/>
        <v>0</v>
      </c>
      <c r="AE228">
        <f t="shared" si="166"/>
        <v>0</v>
      </c>
      <c r="AF228">
        <f t="shared" si="167"/>
        <v>0</v>
      </c>
      <c r="AG228">
        <f t="shared" si="139"/>
        <v>0</v>
      </c>
      <c r="AH228">
        <f t="shared" si="168"/>
        <v>0</v>
      </c>
      <c r="AI228">
        <f t="shared" si="169"/>
        <v>0</v>
      </c>
      <c r="AJ228">
        <f t="shared" si="140"/>
        <v>0</v>
      </c>
      <c r="AK228">
        <v>5872.34</v>
      </c>
      <c r="AL228">
        <v>5872.34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1</v>
      </c>
      <c r="AZ228">
        <v>1</v>
      </c>
      <c r="BA228">
        <v>1</v>
      </c>
      <c r="BB228">
        <v>1</v>
      </c>
      <c r="BC228">
        <v>7.66</v>
      </c>
      <c r="BD228" t="s">
        <v>3</v>
      </c>
      <c r="BE228" t="s">
        <v>3</v>
      </c>
      <c r="BF228" t="s">
        <v>3</v>
      </c>
      <c r="BG228" t="s">
        <v>3</v>
      </c>
      <c r="BH228">
        <v>3</v>
      </c>
      <c r="BI228">
        <v>3</v>
      </c>
      <c r="BJ228" t="s">
        <v>3</v>
      </c>
      <c r="BM228">
        <v>746</v>
      </c>
      <c r="BN228">
        <v>0</v>
      </c>
      <c r="BO228" t="s">
        <v>3</v>
      </c>
      <c r="BP228">
        <v>0</v>
      </c>
      <c r="BQ228">
        <v>130</v>
      </c>
      <c r="BR228">
        <v>0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 t="s">
        <v>3</v>
      </c>
      <c r="BZ228">
        <v>0</v>
      </c>
      <c r="CA228">
        <v>0</v>
      </c>
      <c r="CB228" t="s">
        <v>3</v>
      </c>
      <c r="CE228">
        <v>30</v>
      </c>
      <c r="CF228">
        <v>0</v>
      </c>
      <c r="CG228">
        <v>0</v>
      </c>
      <c r="CM228">
        <v>0</v>
      </c>
      <c r="CN228" t="s">
        <v>3</v>
      </c>
      <c r="CO228">
        <v>0</v>
      </c>
      <c r="CP228">
        <f t="shared" si="141"/>
        <v>224910.62</v>
      </c>
      <c r="CQ228">
        <f t="shared" si="172"/>
        <v>44982.12</v>
      </c>
      <c r="CR228">
        <f t="shared" si="170"/>
        <v>0</v>
      </c>
      <c r="CS228">
        <f t="shared" si="142"/>
        <v>0</v>
      </c>
      <c r="CT228">
        <f t="shared" si="143"/>
        <v>0</v>
      </c>
      <c r="CU228">
        <f t="shared" si="144"/>
        <v>0</v>
      </c>
      <c r="CV228">
        <f t="shared" si="145"/>
        <v>0</v>
      </c>
      <c r="CW228">
        <f t="shared" si="146"/>
        <v>0</v>
      </c>
      <c r="CX228">
        <f t="shared" si="147"/>
        <v>0</v>
      </c>
      <c r="CY228">
        <f t="shared" si="148"/>
        <v>0</v>
      </c>
      <c r="CZ228">
        <f t="shared" si="149"/>
        <v>0</v>
      </c>
      <c r="DC228" t="s">
        <v>3</v>
      </c>
      <c r="DD228" t="s">
        <v>3</v>
      </c>
      <c r="DE228" t="s">
        <v>3</v>
      </c>
      <c r="DF228" t="s">
        <v>3</v>
      </c>
      <c r="DG228" t="s">
        <v>3</v>
      </c>
      <c r="DH228" t="s">
        <v>3</v>
      </c>
      <c r="DI228" t="s">
        <v>3</v>
      </c>
      <c r="DJ228" t="s">
        <v>3</v>
      </c>
      <c r="DK228" t="s">
        <v>3</v>
      </c>
      <c r="DL228" t="s">
        <v>3</v>
      </c>
      <c r="DM228" t="s">
        <v>3</v>
      </c>
      <c r="DN228">
        <v>0</v>
      </c>
      <c r="DO228">
        <v>0</v>
      </c>
      <c r="DP228">
        <v>1</v>
      </c>
      <c r="DQ228">
        <v>1</v>
      </c>
      <c r="DU228">
        <v>1010</v>
      </c>
      <c r="DV228" t="s">
        <v>31</v>
      </c>
      <c r="DW228" t="s">
        <v>31</v>
      </c>
      <c r="DX228">
        <v>1</v>
      </c>
      <c r="DZ228" t="s">
        <v>3</v>
      </c>
      <c r="EA228" t="s">
        <v>3</v>
      </c>
      <c r="EB228" t="s">
        <v>3</v>
      </c>
      <c r="EC228" t="s">
        <v>3</v>
      </c>
      <c r="EE228">
        <v>55992259</v>
      </c>
      <c r="EF228">
        <v>130</v>
      </c>
      <c r="EG228" t="s">
        <v>32</v>
      </c>
      <c r="EH228">
        <v>0</v>
      </c>
      <c r="EI228" t="s">
        <v>3</v>
      </c>
      <c r="EJ228">
        <v>3</v>
      </c>
      <c r="EK228">
        <v>746</v>
      </c>
      <c r="EL228" t="s">
        <v>33</v>
      </c>
      <c r="EM228" t="s">
        <v>34</v>
      </c>
      <c r="EO228" t="s">
        <v>3</v>
      </c>
      <c r="EQ228">
        <v>0</v>
      </c>
      <c r="ER228">
        <v>5872.34</v>
      </c>
      <c r="ES228">
        <v>5872.34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5</v>
      </c>
      <c r="FC228">
        <v>1</v>
      </c>
      <c r="FD228">
        <v>18</v>
      </c>
      <c r="FF228">
        <v>51785</v>
      </c>
      <c r="FQ228">
        <v>0</v>
      </c>
      <c r="FR228">
        <f t="shared" si="173"/>
        <v>224910.62</v>
      </c>
      <c r="FS228">
        <v>0</v>
      </c>
      <c r="FX228">
        <v>0</v>
      </c>
      <c r="FY228">
        <v>0</v>
      </c>
      <c r="GA228" t="s">
        <v>258</v>
      </c>
      <c r="GD228">
        <v>1</v>
      </c>
      <c r="GF228">
        <v>-2102849885</v>
      </c>
      <c r="GG228">
        <v>2</v>
      </c>
      <c r="GH228">
        <v>3</v>
      </c>
      <c r="GI228">
        <v>5</v>
      </c>
      <c r="GJ228">
        <v>0</v>
      </c>
      <c r="GK228">
        <v>0</v>
      </c>
      <c r="GL228">
        <f t="shared" si="150"/>
        <v>0</v>
      </c>
      <c r="GM228">
        <f t="shared" si="151"/>
        <v>224910.62</v>
      </c>
      <c r="GN228">
        <f t="shared" si="152"/>
        <v>0</v>
      </c>
      <c r="GO228">
        <f t="shared" si="153"/>
        <v>0</v>
      </c>
      <c r="GP228">
        <f t="shared" si="154"/>
        <v>0</v>
      </c>
      <c r="GR228">
        <v>1</v>
      </c>
      <c r="GS228">
        <v>1</v>
      </c>
      <c r="GT228">
        <v>0</v>
      </c>
      <c r="GU228" t="s">
        <v>3</v>
      </c>
      <c r="GV228">
        <f t="shared" si="155"/>
        <v>0</v>
      </c>
      <c r="GW228">
        <v>1</v>
      </c>
      <c r="GX228">
        <f t="shared" si="156"/>
        <v>0</v>
      </c>
      <c r="HA228">
        <v>0</v>
      </c>
      <c r="HB228">
        <v>0</v>
      </c>
      <c r="HC228">
        <f t="shared" si="157"/>
        <v>0</v>
      </c>
      <c r="HE228" t="s">
        <v>36</v>
      </c>
      <c r="HF228" t="s">
        <v>37</v>
      </c>
      <c r="HM228" t="s">
        <v>3</v>
      </c>
      <c r="HN228" t="s">
        <v>3</v>
      </c>
      <c r="HO228" t="s">
        <v>3</v>
      </c>
      <c r="HP228" t="s">
        <v>3</v>
      </c>
      <c r="HQ228" t="s">
        <v>3</v>
      </c>
      <c r="HS228">
        <v>0</v>
      </c>
      <c r="IK228">
        <v>0</v>
      </c>
    </row>
    <row r="229" spans="1:255" x14ac:dyDescent="0.2">
      <c r="A229" s="2">
        <v>17</v>
      </c>
      <c r="B229" s="2">
        <v>1</v>
      </c>
      <c r="C229" s="2"/>
      <c r="D229" s="2"/>
      <c r="E229" s="2" t="s">
        <v>259</v>
      </c>
      <c r="F229" s="2" t="s">
        <v>260</v>
      </c>
      <c r="G229" s="2" t="s">
        <v>261</v>
      </c>
      <c r="H229" s="2" t="s">
        <v>31</v>
      </c>
      <c r="I229" s="2">
        <v>1</v>
      </c>
      <c r="J229" s="2">
        <v>0</v>
      </c>
      <c r="K229" s="2">
        <v>1</v>
      </c>
      <c r="L229" s="2"/>
      <c r="M229" s="2"/>
      <c r="N229" s="2"/>
      <c r="O229" s="2">
        <f t="shared" ref="O229:O246" si="174">ROUND(CP229,2)</f>
        <v>6184.08</v>
      </c>
      <c r="P229" s="2">
        <f t="shared" si="171"/>
        <v>6184.08</v>
      </c>
      <c r="Q229" s="2">
        <f t="shared" si="164"/>
        <v>0</v>
      </c>
      <c r="R229" s="2">
        <f t="shared" ref="R229:R246" si="175">ROUND((ROUND((AE229*AV229*I229),2)*BS229),2)</f>
        <v>0</v>
      </c>
      <c r="S229" s="2">
        <f t="shared" ref="S229:S246" si="176">ROUND((ROUND((AF229*AV229*I229),2)*BA229),2)</f>
        <v>0</v>
      </c>
      <c r="T229" s="2">
        <f t="shared" ref="T229:T246" si="177">ROUND(CU229*I229,2)</f>
        <v>0</v>
      </c>
      <c r="U229" s="2">
        <f t="shared" ref="U229:U246" si="178">CV229*I229</f>
        <v>0</v>
      </c>
      <c r="V229" s="2">
        <f t="shared" ref="V229:V246" si="179">CW229*I229</f>
        <v>0</v>
      </c>
      <c r="W229" s="2">
        <f t="shared" ref="W229:W246" si="180">ROUND(CX229*I229,2)</f>
        <v>0</v>
      </c>
      <c r="X229" s="2">
        <f t="shared" ref="X229:X246" si="181">ROUND(CY229,2)</f>
        <v>0</v>
      </c>
      <c r="Y229" s="2">
        <f t="shared" ref="Y229:Y246" si="182">ROUND(CZ229,2)</f>
        <v>0</v>
      </c>
      <c r="Z229" s="2"/>
      <c r="AA229" s="2">
        <v>56959434</v>
      </c>
      <c r="AB229" s="2">
        <f t="shared" ref="AB229:AB246" si="183">ROUND((AC229+AD229+AF229),6)</f>
        <v>6184.08</v>
      </c>
      <c r="AC229" s="2">
        <f t="shared" ref="AC229:AC246" si="184">ROUND((ES229),6)</f>
        <v>6184.08</v>
      </c>
      <c r="AD229" s="2">
        <f t="shared" si="165"/>
        <v>0</v>
      </c>
      <c r="AE229" s="2">
        <f t="shared" si="166"/>
        <v>0</v>
      </c>
      <c r="AF229" s="2">
        <f t="shared" si="167"/>
        <v>0</v>
      </c>
      <c r="AG229" s="2">
        <f t="shared" ref="AG229:AG246" si="185">ROUND((AP229),6)</f>
        <v>0</v>
      </c>
      <c r="AH229" s="2">
        <f t="shared" si="168"/>
        <v>0</v>
      </c>
      <c r="AI229" s="2">
        <f t="shared" si="169"/>
        <v>0</v>
      </c>
      <c r="AJ229" s="2">
        <f t="shared" ref="AJ229:AJ246" si="186">(AS229)</f>
        <v>0</v>
      </c>
      <c r="AK229" s="2">
        <v>6184.08</v>
      </c>
      <c r="AL229" s="2">
        <v>6184.08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1</v>
      </c>
      <c r="AW229" s="2">
        <v>1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3</v>
      </c>
      <c r="BI229" s="2">
        <v>3</v>
      </c>
      <c r="BJ229" s="2" t="s">
        <v>3</v>
      </c>
      <c r="BK229" s="2"/>
      <c r="BL229" s="2"/>
      <c r="BM229" s="2">
        <v>746</v>
      </c>
      <c r="BN229" s="2">
        <v>0</v>
      </c>
      <c r="BO229" s="2" t="s">
        <v>3</v>
      </c>
      <c r="BP229" s="2">
        <v>0</v>
      </c>
      <c r="BQ229" s="2">
        <v>130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0</v>
      </c>
      <c r="CA229" s="2">
        <v>0</v>
      </c>
      <c r="CB229" s="2" t="s">
        <v>3</v>
      </c>
      <c r="CC229" s="2"/>
      <c r="CD229" s="2"/>
      <c r="CE229" s="2">
        <v>30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3</v>
      </c>
      <c r="CO229" s="2">
        <v>0</v>
      </c>
      <c r="CP229" s="2">
        <f t="shared" ref="CP229:CP246" si="187">(P229+Q229+S229)</f>
        <v>6184.08</v>
      </c>
      <c r="CQ229" s="2">
        <f t="shared" si="172"/>
        <v>6184.08</v>
      </c>
      <c r="CR229" s="2">
        <f t="shared" si="170"/>
        <v>0</v>
      </c>
      <c r="CS229" s="2">
        <f t="shared" ref="CS229:CS246" si="188">ROUND((ROUND((AE229*AV229*1),2)*BS229),2)</f>
        <v>0</v>
      </c>
      <c r="CT229" s="2">
        <f t="shared" ref="CT229:CT246" si="189">ROUND((ROUND((AF229*AV229*1),2)*BA229),2)</f>
        <v>0</v>
      </c>
      <c r="CU229" s="2">
        <f t="shared" ref="CU229:CU246" si="190">AG229</f>
        <v>0</v>
      </c>
      <c r="CV229" s="2">
        <f t="shared" ref="CV229:CV246" si="191">(AH229*AV229)</f>
        <v>0</v>
      </c>
      <c r="CW229" s="2">
        <f t="shared" ref="CW229:CW246" si="192">AI229</f>
        <v>0</v>
      </c>
      <c r="CX229" s="2">
        <f t="shared" ref="CX229:CX246" si="193">AJ229</f>
        <v>0</v>
      </c>
      <c r="CY229" s="2">
        <f t="shared" ref="CY229:CY246" si="194">(((S229+R229)*AT229)/100)</f>
        <v>0</v>
      </c>
      <c r="CZ229" s="2">
        <f t="shared" ref="CZ229:CZ246" si="195">(((S229+R229)*AU229)/100)</f>
        <v>0</v>
      </c>
      <c r="DA229" s="2"/>
      <c r="DB229" s="2"/>
      <c r="DC229" s="2" t="s">
        <v>3</v>
      </c>
      <c r="DD229" s="2" t="s">
        <v>3</v>
      </c>
      <c r="DE229" s="2" t="s">
        <v>3</v>
      </c>
      <c r="DF229" s="2" t="s">
        <v>3</v>
      </c>
      <c r="DG229" s="2" t="s">
        <v>3</v>
      </c>
      <c r="DH229" s="2" t="s">
        <v>3</v>
      </c>
      <c r="DI229" s="2" t="s">
        <v>3</v>
      </c>
      <c r="DJ229" s="2" t="s">
        <v>3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1010</v>
      </c>
      <c r="DV229" s="2" t="s">
        <v>31</v>
      </c>
      <c r="DW229" s="2" t="s">
        <v>31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55992259</v>
      </c>
      <c r="EF229" s="2">
        <v>130</v>
      </c>
      <c r="EG229" s="2" t="s">
        <v>32</v>
      </c>
      <c r="EH229" s="2">
        <v>0</v>
      </c>
      <c r="EI229" s="2" t="s">
        <v>3</v>
      </c>
      <c r="EJ229" s="2">
        <v>3</v>
      </c>
      <c r="EK229" s="2">
        <v>746</v>
      </c>
      <c r="EL229" s="2" t="s">
        <v>33</v>
      </c>
      <c r="EM229" s="2" t="s">
        <v>34</v>
      </c>
      <c r="EN229" s="2"/>
      <c r="EO229" s="2" t="s">
        <v>3</v>
      </c>
      <c r="EP229" s="2"/>
      <c r="EQ229" s="2">
        <v>0</v>
      </c>
      <c r="ER229" s="2">
        <v>0</v>
      </c>
      <c r="ES229" s="2">
        <v>6184.08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f t="shared" si="173"/>
        <v>6184.08</v>
      </c>
      <c r="FS229" s="2">
        <v>0</v>
      </c>
      <c r="FT229" s="2"/>
      <c r="FU229" s="2"/>
      <c r="FV229" s="2"/>
      <c r="FW229" s="2"/>
      <c r="FX229" s="2">
        <v>0</v>
      </c>
      <c r="FY229" s="2">
        <v>0</v>
      </c>
      <c r="FZ229" s="2"/>
      <c r="GA229" s="2" t="s">
        <v>262</v>
      </c>
      <c r="GB229" s="2"/>
      <c r="GC229" s="2"/>
      <c r="GD229" s="2">
        <v>1</v>
      </c>
      <c r="GE229" s="2"/>
      <c r="GF229" s="2">
        <v>1796291198</v>
      </c>
      <c r="GG229" s="2">
        <v>2</v>
      </c>
      <c r="GH229" s="2">
        <v>4</v>
      </c>
      <c r="GI229" s="2">
        <v>-2</v>
      </c>
      <c r="GJ229" s="2">
        <v>0</v>
      </c>
      <c r="GK229" s="2">
        <v>0</v>
      </c>
      <c r="GL229" s="2">
        <f t="shared" ref="GL229:GL246" si="196">ROUND(IF(AND(BH229=3,BI229=3,FS229&lt;&gt;0),P229,0),2)</f>
        <v>0</v>
      </c>
      <c r="GM229" s="2">
        <f t="shared" ref="GM229:GM246" si="197">ROUND(O229+X229+Y229,2)+GX229</f>
        <v>6184.08</v>
      </c>
      <c r="GN229" s="2">
        <f t="shared" ref="GN229:GN246" si="198">IF(OR(BI229=0,BI229=1),GM229-GX229,0)</f>
        <v>0</v>
      </c>
      <c r="GO229" s="2">
        <f t="shared" ref="GO229:GO246" si="199">IF(BI229=2,GM229-GX229,0)</f>
        <v>0</v>
      </c>
      <c r="GP229" s="2">
        <f t="shared" ref="GP229:GP246" si="200">IF(BI229=4,GM229-GX229,0)</f>
        <v>0</v>
      </c>
      <c r="GQ229" s="2"/>
      <c r="GR229" s="2">
        <v>0</v>
      </c>
      <c r="GS229" s="2">
        <v>2</v>
      </c>
      <c r="GT229" s="2">
        <v>0</v>
      </c>
      <c r="GU229" s="2" t="s">
        <v>3</v>
      </c>
      <c r="GV229" s="2">
        <f t="shared" ref="GV229:GV246" si="201">ROUND((GT229),6)</f>
        <v>0</v>
      </c>
      <c r="GW229" s="2">
        <v>1</v>
      </c>
      <c r="GX229" s="2">
        <f t="shared" ref="GX229:GX246" si="202">ROUND(HC229*I229,2)</f>
        <v>0</v>
      </c>
      <c r="GY229" s="2"/>
      <c r="GZ229" s="2"/>
      <c r="HA229" s="2">
        <v>0</v>
      </c>
      <c r="HB229" s="2">
        <v>0</v>
      </c>
      <c r="HC229" s="2">
        <f t="shared" ref="HC229:HC246" si="203">GV229*GW229</f>
        <v>0</v>
      </c>
      <c r="HD229" s="2"/>
      <c r="HE229" s="2" t="s">
        <v>36</v>
      </c>
      <c r="HF229" s="2" t="s">
        <v>37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">
      <c r="A230">
        <v>17</v>
      </c>
      <c r="B230">
        <v>1</v>
      </c>
      <c r="E230" t="s">
        <v>259</v>
      </c>
      <c r="F230" t="s">
        <v>260</v>
      </c>
      <c r="G230" t="s">
        <v>261</v>
      </c>
      <c r="H230" t="s">
        <v>31</v>
      </c>
      <c r="I230">
        <v>1</v>
      </c>
      <c r="J230">
        <v>0</v>
      </c>
      <c r="K230">
        <v>1</v>
      </c>
      <c r="O230">
        <f t="shared" si="174"/>
        <v>47370.05</v>
      </c>
      <c r="P230">
        <f t="shared" si="171"/>
        <v>47370.05</v>
      </c>
      <c r="Q230">
        <f t="shared" si="164"/>
        <v>0</v>
      </c>
      <c r="R230">
        <f t="shared" si="175"/>
        <v>0</v>
      </c>
      <c r="S230">
        <f t="shared" si="176"/>
        <v>0</v>
      </c>
      <c r="T230">
        <f t="shared" si="177"/>
        <v>0</v>
      </c>
      <c r="U230">
        <f t="shared" si="178"/>
        <v>0</v>
      </c>
      <c r="V230">
        <f t="shared" si="179"/>
        <v>0</v>
      </c>
      <c r="W230">
        <f t="shared" si="180"/>
        <v>0</v>
      </c>
      <c r="X230">
        <f t="shared" si="181"/>
        <v>0</v>
      </c>
      <c r="Y230">
        <f t="shared" si="182"/>
        <v>0</v>
      </c>
      <c r="AA230">
        <v>56959431</v>
      </c>
      <c r="AB230">
        <f t="shared" si="183"/>
        <v>6184.08</v>
      </c>
      <c r="AC230">
        <f t="shared" si="184"/>
        <v>6184.08</v>
      </c>
      <c r="AD230">
        <f t="shared" si="165"/>
        <v>0</v>
      </c>
      <c r="AE230">
        <f t="shared" si="166"/>
        <v>0</v>
      </c>
      <c r="AF230">
        <f t="shared" si="167"/>
        <v>0</v>
      </c>
      <c r="AG230">
        <f t="shared" si="185"/>
        <v>0</v>
      </c>
      <c r="AH230">
        <f t="shared" si="168"/>
        <v>0</v>
      </c>
      <c r="AI230">
        <f t="shared" si="169"/>
        <v>0</v>
      </c>
      <c r="AJ230">
        <f t="shared" si="186"/>
        <v>0</v>
      </c>
      <c r="AK230">
        <v>6184.08</v>
      </c>
      <c r="AL230">
        <v>6184.08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</v>
      </c>
      <c r="AZ230">
        <v>1</v>
      </c>
      <c r="BA230">
        <v>1</v>
      </c>
      <c r="BB230">
        <v>1</v>
      </c>
      <c r="BC230">
        <v>7.66</v>
      </c>
      <c r="BD230" t="s">
        <v>3</v>
      </c>
      <c r="BE230" t="s">
        <v>3</v>
      </c>
      <c r="BF230" t="s">
        <v>3</v>
      </c>
      <c r="BG230" t="s">
        <v>3</v>
      </c>
      <c r="BH230">
        <v>3</v>
      </c>
      <c r="BI230">
        <v>3</v>
      </c>
      <c r="BJ230" t="s">
        <v>3</v>
      </c>
      <c r="BM230">
        <v>746</v>
      </c>
      <c r="BN230">
        <v>0</v>
      </c>
      <c r="BO230" t="s">
        <v>3</v>
      </c>
      <c r="BP230">
        <v>0</v>
      </c>
      <c r="BQ230">
        <v>130</v>
      </c>
      <c r="BR230">
        <v>0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 t="s">
        <v>3</v>
      </c>
      <c r="BZ230">
        <v>0</v>
      </c>
      <c r="CA230">
        <v>0</v>
      </c>
      <c r="CB230" t="s">
        <v>3</v>
      </c>
      <c r="CE230">
        <v>30</v>
      </c>
      <c r="CF230">
        <v>0</v>
      </c>
      <c r="CG230">
        <v>0</v>
      </c>
      <c r="CM230">
        <v>0</v>
      </c>
      <c r="CN230" t="s">
        <v>3</v>
      </c>
      <c r="CO230">
        <v>0</v>
      </c>
      <c r="CP230">
        <f t="shared" si="187"/>
        <v>47370.05</v>
      </c>
      <c r="CQ230">
        <f t="shared" si="172"/>
        <v>47370.05</v>
      </c>
      <c r="CR230">
        <f t="shared" si="170"/>
        <v>0</v>
      </c>
      <c r="CS230">
        <f t="shared" si="188"/>
        <v>0</v>
      </c>
      <c r="CT230">
        <f t="shared" si="189"/>
        <v>0</v>
      </c>
      <c r="CU230">
        <f t="shared" si="190"/>
        <v>0</v>
      </c>
      <c r="CV230">
        <f t="shared" si="191"/>
        <v>0</v>
      </c>
      <c r="CW230">
        <f t="shared" si="192"/>
        <v>0</v>
      </c>
      <c r="CX230">
        <f t="shared" si="193"/>
        <v>0</v>
      </c>
      <c r="CY230">
        <f t="shared" si="194"/>
        <v>0</v>
      </c>
      <c r="CZ230">
        <f t="shared" si="195"/>
        <v>0</v>
      </c>
      <c r="DC230" t="s">
        <v>3</v>
      </c>
      <c r="DD230" t="s">
        <v>3</v>
      </c>
      <c r="DE230" t="s">
        <v>3</v>
      </c>
      <c r="DF230" t="s">
        <v>3</v>
      </c>
      <c r="DG230" t="s">
        <v>3</v>
      </c>
      <c r="DH230" t="s">
        <v>3</v>
      </c>
      <c r="DI230" t="s">
        <v>3</v>
      </c>
      <c r="DJ230" t="s">
        <v>3</v>
      </c>
      <c r="DK230" t="s">
        <v>3</v>
      </c>
      <c r="DL230" t="s">
        <v>3</v>
      </c>
      <c r="DM230" t="s">
        <v>3</v>
      </c>
      <c r="DN230">
        <v>0</v>
      </c>
      <c r="DO230">
        <v>0</v>
      </c>
      <c r="DP230">
        <v>1</v>
      </c>
      <c r="DQ230">
        <v>1</v>
      </c>
      <c r="DU230">
        <v>1010</v>
      </c>
      <c r="DV230" t="s">
        <v>31</v>
      </c>
      <c r="DW230" t="s">
        <v>31</v>
      </c>
      <c r="DX230">
        <v>1</v>
      </c>
      <c r="DZ230" t="s">
        <v>3</v>
      </c>
      <c r="EA230" t="s">
        <v>3</v>
      </c>
      <c r="EB230" t="s">
        <v>3</v>
      </c>
      <c r="EC230" t="s">
        <v>3</v>
      </c>
      <c r="EE230">
        <v>55992259</v>
      </c>
      <c r="EF230">
        <v>130</v>
      </c>
      <c r="EG230" t="s">
        <v>32</v>
      </c>
      <c r="EH230">
        <v>0</v>
      </c>
      <c r="EI230" t="s">
        <v>3</v>
      </c>
      <c r="EJ230">
        <v>3</v>
      </c>
      <c r="EK230">
        <v>746</v>
      </c>
      <c r="EL230" t="s">
        <v>33</v>
      </c>
      <c r="EM230" t="s">
        <v>34</v>
      </c>
      <c r="EO230" t="s">
        <v>3</v>
      </c>
      <c r="EQ230">
        <v>0</v>
      </c>
      <c r="ER230">
        <v>6184.08</v>
      </c>
      <c r="ES230">
        <v>6184.08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5</v>
      </c>
      <c r="FC230">
        <v>1</v>
      </c>
      <c r="FD230">
        <v>18</v>
      </c>
      <c r="FF230">
        <v>54534</v>
      </c>
      <c r="FQ230">
        <v>0</v>
      </c>
      <c r="FR230">
        <f t="shared" si="173"/>
        <v>47370.05</v>
      </c>
      <c r="FS230">
        <v>0</v>
      </c>
      <c r="FX230">
        <v>0</v>
      </c>
      <c r="FY230">
        <v>0</v>
      </c>
      <c r="GA230" t="s">
        <v>262</v>
      </c>
      <c r="GD230">
        <v>1</v>
      </c>
      <c r="GF230">
        <v>1796291198</v>
      </c>
      <c r="GG230">
        <v>2</v>
      </c>
      <c r="GH230">
        <v>3</v>
      </c>
      <c r="GI230">
        <v>5</v>
      </c>
      <c r="GJ230">
        <v>0</v>
      </c>
      <c r="GK230">
        <v>0</v>
      </c>
      <c r="GL230">
        <f t="shared" si="196"/>
        <v>0</v>
      </c>
      <c r="GM230">
        <f t="shared" si="197"/>
        <v>47370.05</v>
      </c>
      <c r="GN230">
        <f t="shared" si="198"/>
        <v>0</v>
      </c>
      <c r="GO230">
        <f t="shared" si="199"/>
        <v>0</v>
      </c>
      <c r="GP230">
        <f t="shared" si="200"/>
        <v>0</v>
      </c>
      <c r="GR230">
        <v>1</v>
      </c>
      <c r="GS230">
        <v>1</v>
      </c>
      <c r="GT230">
        <v>0</v>
      </c>
      <c r="GU230" t="s">
        <v>3</v>
      </c>
      <c r="GV230">
        <f t="shared" si="201"/>
        <v>0</v>
      </c>
      <c r="GW230">
        <v>1</v>
      </c>
      <c r="GX230">
        <f t="shared" si="202"/>
        <v>0</v>
      </c>
      <c r="HA230">
        <v>0</v>
      </c>
      <c r="HB230">
        <v>0</v>
      </c>
      <c r="HC230">
        <f t="shared" si="203"/>
        <v>0</v>
      </c>
      <c r="HE230" t="s">
        <v>36</v>
      </c>
      <c r="HF230" t="s">
        <v>37</v>
      </c>
      <c r="HM230" t="s">
        <v>3</v>
      </c>
      <c r="HN230" t="s">
        <v>3</v>
      </c>
      <c r="HO230" t="s">
        <v>3</v>
      </c>
      <c r="HP230" t="s">
        <v>3</v>
      </c>
      <c r="HQ230" t="s">
        <v>3</v>
      </c>
      <c r="HS230">
        <v>0</v>
      </c>
      <c r="IK230">
        <v>0</v>
      </c>
    </row>
    <row r="231" spans="1:255" x14ac:dyDescent="0.2">
      <c r="A231" s="2">
        <v>17</v>
      </c>
      <c r="B231" s="2">
        <v>1</v>
      </c>
      <c r="C231" s="2"/>
      <c r="D231" s="2"/>
      <c r="E231" s="2" t="s">
        <v>263</v>
      </c>
      <c r="F231" s="2" t="s">
        <v>264</v>
      </c>
      <c r="G231" s="2" t="s">
        <v>265</v>
      </c>
      <c r="H231" s="2" t="s">
        <v>31</v>
      </c>
      <c r="I231" s="2">
        <v>4</v>
      </c>
      <c r="J231" s="2">
        <v>0</v>
      </c>
      <c r="K231" s="2">
        <v>4</v>
      </c>
      <c r="L231" s="2"/>
      <c r="M231" s="2"/>
      <c r="N231" s="2"/>
      <c r="O231" s="2">
        <f t="shared" si="174"/>
        <v>24112.639999999999</v>
      </c>
      <c r="P231" s="2">
        <f t="shared" si="171"/>
        <v>24112.639999999999</v>
      </c>
      <c r="Q231" s="2">
        <f t="shared" si="164"/>
        <v>0</v>
      </c>
      <c r="R231" s="2">
        <f t="shared" si="175"/>
        <v>0</v>
      </c>
      <c r="S231" s="2">
        <f t="shared" si="176"/>
        <v>0</v>
      </c>
      <c r="T231" s="2">
        <f t="shared" si="177"/>
        <v>0</v>
      </c>
      <c r="U231" s="2">
        <f t="shared" si="178"/>
        <v>0</v>
      </c>
      <c r="V231" s="2">
        <f t="shared" si="179"/>
        <v>0</v>
      </c>
      <c r="W231" s="2">
        <f t="shared" si="180"/>
        <v>0</v>
      </c>
      <c r="X231" s="2">
        <f t="shared" si="181"/>
        <v>0</v>
      </c>
      <c r="Y231" s="2">
        <f t="shared" si="182"/>
        <v>0</v>
      </c>
      <c r="Z231" s="2"/>
      <c r="AA231" s="2">
        <v>56959434</v>
      </c>
      <c r="AB231" s="2">
        <f t="shared" si="183"/>
        <v>6028.16</v>
      </c>
      <c r="AC231" s="2">
        <f t="shared" si="184"/>
        <v>6028.16</v>
      </c>
      <c r="AD231" s="2">
        <f t="shared" si="165"/>
        <v>0</v>
      </c>
      <c r="AE231" s="2">
        <f t="shared" si="166"/>
        <v>0</v>
      </c>
      <c r="AF231" s="2">
        <f t="shared" si="167"/>
        <v>0</v>
      </c>
      <c r="AG231" s="2">
        <f t="shared" si="185"/>
        <v>0</v>
      </c>
      <c r="AH231" s="2">
        <f t="shared" si="168"/>
        <v>0</v>
      </c>
      <c r="AI231" s="2">
        <f t="shared" si="169"/>
        <v>0</v>
      </c>
      <c r="AJ231" s="2">
        <f t="shared" si="186"/>
        <v>0</v>
      </c>
      <c r="AK231" s="2">
        <v>6028.16</v>
      </c>
      <c r="AL231" s="2">
        <v>6028.16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1</v>
      </c>
      <c r="AW231" s="2">
        <v>1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3</v>
      </c>
      <c r="BJ231" s="2" t="s">
        <v>3</v>
      </c>
      <c r="BK231" s="2"/>
      <c r="BL231" s="2"/>
      <c r="BM231" s="2">
        <v>746</v>
      </c>
      <c r="BN231" s="2">
        <v>0</v>
      </c>
      <c r="BO231" s="2" t="s">
        <v>3</v>
      </c>
      <c r="BP231" s="2">
        <v>0</v>
      </c>
      <c r="BQ231" s="2">
        <v>130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0</v>
      </c>
      <c r="CA231" s="2">
        <v>0</v>
      </c>
      <c r="CB231" s="2" t="s">
        <v>3</v>
      </c>
      <c r="CC231" s="2"/>
      <c r="CD231" s="2"/>
      <c r="CE231" s="2">
        <v>30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3</v>
      </c>
      <c r="CO231" s="2">
        <v>0</v>
      </c>
      <c r="CP231" s="2">
        <f t="shared" si="187"/>
        <v>24112.639999999999</v>
      </c>
      <c r="CQ231" s="2">
        <f t="shared" si="172"/>
        <v>6028.16</v>
      </c>
      <c r="CR231" s="2">
        <f t="shared" si="170"/>
        <v>0</v>
      </c>
      <c r="CS231" s="2">
        <f t="shared" si="188"/>
        <v>0</v>
      </c>
      <c r="CT231" s="2">
        <f t="shared" si="189"/>
        <v>0</v>
      </c>
      <c r="CU231" s="2">
        <f t="shared" si="190"/>
        <v>0</v>
      </c>
      <c r="CV231" s="2">
        <f t="shared" si="191"/>
        <v>0</v>
      </c>
      <c r="CW231" s="2">
        <f t="shared" si="192"/>
        <v>0</v>
      </c>
      <c r="CX231" s="2">
        <f t="shared" si="193"/>
        <v>0</v>
      </c>
      <c r="CY231" s="2">
        <f t="shared" si="194"/>
        <v>0</v>
      </c>
      <c r="CZ231" s="2">
        <f t="shared" si="195"/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1010</v>
      </c>
      <c r="DV231" s="2" t="s">
        <v>31</v>
      </c>
      <c r="DW231" s="2" t="s">
        <v>31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55992259</v>
      </c>
      <c r="EF231" s="2">
        <v>130</v>
      </c>
      <c r="EG231" s="2" t="s">
        <v>32</v>
      </c>
      <c r="EH231" s="2">
        <v>0</v>
      </c>
      <c r="EI231" s="2" t="s">
        <v>3</v>
      </c>
      <c r="EJ231" s="2">
        <v>3</v>
      </c>
      <c r="EK231" s="2">
        <v>746</v>
      </c>
      <c r="EL231" s="2" t="s">
        <v>33</v>
      </c>
      <c r="EM231" s="2" t="s">
        <v>34</v>
      </c>
      <c r="EN231" s="2"/>
      <c r="EO231" s="2" t="s">
        <v>3</v>
      </c>
      <c r="EP231" s="2"/>
      <c r="EQ231" s="2">
        <v>0</v>
      </c>
      <c r="ER231" s="2">
        <v>0</v>
      </c>
      <c r="ES231" s="2">
        <v>6028.16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f t="shared" si="173"/>
        <v>24112.639999999999</v>
      </c>
      <c r="FS231" s="2">
        <v>0</v>
      </c>
      <c r="FT231" s="2"/>
      <c r="FU231" s="2"/>
      <c r="FV231" s="2"/>
      <c r="FW231" s="2"/>
      <c r="FX231" s="2">
        <v>0</v>
      </c>
      <c r="FY231" s="2">
        <v>0</v>
      </c>
      <c r="FZ231" s="2"/>
      <c r="GA231" s="2" t="s">
        <v>266</v>
      </c>
      <c r="GB231" s="2"/>
      <c r="GC231" s="2"/>
      <c r="GD231" s="2">
        <v>1</v>
      </c>
      <c r="GE231" s="2"/>
      <c r="GF231" s="2">
        <v>-602998083</v>
      </c>
      <c r="GG231" s="2">
        <v>2</v>
      </c>
      <c r="GH231" s="2">
        <v>4</v>
      </c>
      <c r="GI231" s="2">
        <v>-2</v>
      </c>
      <c r="GJ231" s="2">
        <v>0</v>
      </c>
      <c r="GK231" s="2">
        <v>0</v>
      </c>
      <c r="GL231" s="2">
        <f t="shared" si="196"/>
        <v>0</v>
      </c>
      <c r="GM231" s="2">
        <f t="shared" si="197"/>
        <v>24112.639999999999</v>
      </c>
      <c r="GN231" s="2">
        <f t="shared" si="198"/>
        <v>0</v>
      </c>
      <c r="GO231" s="2">
        <f t="shared" si="199"/>
        <v>0</v>
      </c>
      <c r="GP231" s="2">
        <f t="shared" si="200"/>
        <v>0</v>
      </c>
      <c r="GQ231" s="2"/>
      <c r="GR231" s="2">
        <v>0</v>
      </c>
      <c r="GS231" s="2">
        <v>2</v>
      </c>
      <c r="GT231" s="2">
        <v>0</v>
      </c>
      <c r="GU231" s="2" t="s">
        <v>3</v>
      </c>
      <c r="GV231" s="2">
        <f t="shared" si="201"/>
        <v>0</v>
      </c>
      <c r="GW231" s="2">
        <v>1</v>
      </c>
      <c r="GX231" s="2">
        <f t="shared" si="202"/>
        <v>0</v>
      </c>
      <c r="GY231" s="2"/>
      <c r="GZ231" s="2"/>
      <c r="HA231" s="2">
        <v>0</v>
      </c>
      <c r="HB231" s="2">
        <v>0</v>
      </c>
      <c r="HC231" s="2">
        <f t="shared" si="203"/>
        <v>0</v>
      </c>
      <c r="HD231" s="2"/>
      <c r="HE231" s="2" t="s">
        <v>36</v>
      </c>
      <c r="HF231" s="2" t="s">
        <v>37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">
      <c r="A232">
        <v>17</v>
      </c>
      <c r="B232">
        <v>1</v>
      </c>
      <c r="E232" t="s">
        <v>263</v>
      </c>
      <c r="F232" t="s">
        <v>264</v>
      </c>
      <c r="G232" t="s">
        <v>265</v>
      </c>
      <c r="H232" t="s">
        <v>31</v>
      </c>
      <c r="I232">
        <v>4</v>
      </c>
      <c r="J232">
        <v>0</v>
      </c>
      <c r="K232">
        <v>4</v>
      </c>
      <c r="O232">
        <f t="shared" si="174"/>
        <v>184702.82</v>
      </c>
      <c r="P232">
        <f t="shared" si="171"/>
        <v>184702.82</v>
      </c>
      <c r="Q232">
        <f t="shared" si="164"/>
        <v>0</v>
      </c>
      <c r="R232">
        <f t="shared" si="175"/>
        <v>0</v>
      </c>
      <c r="S232">
        <f t="shared" si="176"/>
        <v>0</v>
      </c>
      <c r="T232">
        <f t="shared" si="177"/>
        <v>0</v>
      </c>
      <c r="U232">
        <f t="shared" si="178"/>
        <v>0</v>
      </c>
      <c r="V232">
        <f t="shared" si="179"/>
        <v>0</v>
      </c>
      <c r="W232">
        <f t="shared" si="180"/>
        <v>0</v>
      </c>
      <c r="X232">
        <f t="shared" si="181"/>
        <v>0</v>
      </c>
      <c r="Y232">
        <f t="shared" si="182"/>
        <v>0</v>
      </c>
      <c r="AA232">
        <v>56959431</v>
      </c>
      <c r="AB232">
        <f t="shared" si="183"/>
        <v>6028.16</v>
      </c>
      <c r="AC232">
        <f t="shared" si="184"/>
        <v>6028.16</v>
      </c>
      <c r="AD232">
        <f t="shared" si="165"/>
        <v>0</v>
      </c>
      <c r="AE232">
        <f t="shared" si="166"/>
        <v>0</v>
      </c>
      <c r="AF232">
        <f t="shared" si="167"/>
        <v>0</v>
      </c>
      <c r="AG232">
        <f t="shared" si="185"/>
        <v>0</v>
      </c>
      <c r="AH232">
        <f t="shared" si="168"/>
        <v>0</v>
      </c>
      <c r="AI232">
        <f t="shared" si="169"/>
        <v>0</v>
      </c>
      <c r="AJ232">
        <f t="shared" si="186"/>
        <v>0</v>
      </c>
      <c r="AK232">
        <v>6028.16</v>
      </c>
      <c r="AL232">
        <v>6028.16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1</v>
      </c>
      <c r="AZ232">
        <v>1</v>
      </c>
      <c r="BA232">
        <v>1</v>
      </c>
      <c r="BB232">
        <v>1</v>
      </c>
      <c r="BC232">
        <v>7.66</v>
      </c>
      <c r="BD232" t="s">
        <v>3</v>
      </c>
      <c r="BE232" t="s">
        <v>3</v>
      </c>
      <c r="BF232" t="s">
        <v>3</v>
      </c>
      <c r="BG232" t="s">
        <v>3</v>
      </c>
      <c r="BH232">
        <v>3</v>
      </c>
      <c r="BI232">
        <v>3</v>
      </c>
      <c r="BJ232" t="s">
        <v>3</v>
      </c>
      <c r="BM232">
        <v>746</v>
      </c>
      <c r="BN232">
        <v>0</v>
      </c>
      <c r="BO232" t="s">
        <v>3</v>
      </c>
      <c r="BP232">
        <v>0</v>
      </c>
      <c r="BQ232">
        <v>130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 t="s">
        <v>3</v>
      </c>
      <c r="BZ232">
        <v>0</v>
      </c>
      <c r="CA232">
        <v>0</v>
      </c>
      <c r="CB232" t="s">
        <v>3</v>
      </c>
      <c r="CE232">
        <v>30</v>
      </c>
      <c r="CF232">
        <v>0</v>
      </c>
      <c r="CG232">
        <v>0</v>
      </c>
      <c r="CM232">
        <v>0</v>
      </c>
      <c r="CN232" t="s">
        <v>3</v>
      </c>
      <c r="CO232">
        <v>0</v>
      </c>
      <c r="CP232">
        <f t="shared" si="187"/>
        <v>184702.82</v>
      </c>
      <c r="CQ232">
        <f t="shared" si="172"/>
        <v>46175.71</v>
      </c>
      <c r="CR232">
        <f t="shared" si="170"/>
        <v>0</v>
      </c>
      <c r="CS232">
        <f t="shared" si="188"/>
        <v>0</v>
      </c>
      <c r="CT232">
        <f t="shared" si="189"/>
        <v>0</v>
      </c>
      <c r="CU232">
        <f t="shared" si="190"/>
        <v>0</v>
      </c>
      <c r="CV232">
        <f t="shared" si="191"/>
        <v>0</v>
      </c>
      <c r="CW232">
        <f t="shared" si="192"/>
        <v>0</v>
      </c>
      <c r="CX232">
        <f t="shared" si="193"/>
        <v>0</v>
      </c>
      <c r="CY232">
        <f t="shared" si="194"/>
        <v>0</v>
      </c>
      <c r="CZ232">
        <f t="shared" si="195"/>
        <v>0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3</v>
      </c>
      <c r="DI232" t="s">
        <v>3</v>
      </c>
      <c r="DJ232" t="s">
        <v>3</v>
      </c>
      <c r="DK232" t="s">
        <v>3</v>
      </c>
      <c r="DL232" t="s">
        <v>3</v>
      </c>
      <c r="DM232" t="s">
        <v>3</v>
      </c>
      <c r="DN232">
        <v>0</v>
      </c>
      <c r="DO232">
        <v>0</v>
      </c>
      <c r="DP232">
        <v>1</v>
      </c>
      <c r="DQ232">
        <v>1</v>
      </c>
      <c r="DU232">
        <v>1010</v>
      </c>
      <c r="DV232" t="s">
        <v>31</v>
      </c>
      <c r="DW232" t="s">
        <v>31</v>
      </c>
      <c r="DX232">
        <v>1</v>
      </c>
      <c r="DZ232" t="s">
        <v>3</v>
      </c>
      <c r="EA232" t="s">
        <v>3</v>
      </c>
      <c r="EB232" t="s">
        <v>3</v>
      </c>
      <c r="EC232" t="s">
        <v>3</v>
      </c>
      <c r="EE232">
        <v>55992259</v>
      </c>
      <c r="EF232">
        <v>130</v>
      </c>
      <c r="EG232" t="s">
        <v>32</v>
      </c>
      <c r="EH232">
        <v>0</v>
      </c>
      <c r="EI232" t="s">
        <v>3</v>
      </c>
      <c r="EJ232">
        <v>3</v>
      </c>
      <c r="EK232">
        <v>746</v>
      </c>
      <c r="EL232" t="s">
        <v>33</v>
      </c>
      <c r="EM232" t="s">
        <v>34</v>
      </c>
      <c r="EO232" t="s">
        <v>3</v>
      </c>
      <c r="EQ232">
        <v>0</v>
      </c>
      <c r="ER232">
        <v>6028.16</v>
      </c>
      <c r="ES232">
        <v>6028.16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5</v>
      </c>
      <c r="FC232">
        <v>1</v>
      </c>
      <c r="FD232">
        <v>18</v>
      </c>
      <c r="FF232">
        <v>53159</v>
      </c>
      <c r="FQ232">
        <v>0</v>
      </c>
      <c r="FR232">
        <f t="shared" si="173"/>
        <v>184702.82</v>
      </c>
      <c r="FS232">
        <v>0</v>
      </c>
      <c r="FX232">
        <v>0</v>
      </c>
      <c r="FY232">
        <v>0</v>
      </c>
      <c r="GA232" t="s">
        <v>266</v>
      </c>
      <c r="GD232">
        <v>1</v>
      </c>
      <c r="GF232">
        <v>-602998083</v>
      </c>
      <c r="GG232">
        <v>2</v>
      </c>
      <c r="GH232">
        <v>3</v>
      </c>
      <c r="GI232">
        <v>5</v>
      </c>
      <c r="GJ232">
        <v>0</v>
      </c>
      <c r="GK232">
        <v>0</v>
      </c>
      <c r="GL232">
        <f t="shared" si="196"/>
        <v>0</v>
      </c>
      <c r="GM232">
        <f t="shared" si="197"/>
        <v>184702.82</v>
      </c>
      <c r="GN232">
        <f t="shared" si="198"/>
        <v>0</v>
      </c>
      <c r="GO232">
        <f t="shared" si="199"/>
        <v>0</v>
      </c>
      <c r="GP232">
        <f t="shared" si="200"/>
        <v>0</v>
      </c>
      <c r="GR232">
        <v>1</v>
      </c>
      <c r="GS232">
        <v>1</v>
      </c>
      <c r="GT232">
        <v>0</v>
      </c>
      <c r="GU232" t="s">
        <v>3</v>
      </c>
      <c r="GV232">
        <f t="shared" si="201"/>
        <v>0</v>
      </c>
      <c r="GW232">
        <v>1</v>
      </c>
      <c r="GX232">
        <f t="shared" si="202"/>
        <v>0</v>
      </c>
      <c r="HA232">
        <v>0</v>
      </c>
      <c r="HB232">
        <v>0</v>
      </c>
      <c r="HC232">
        <f t="shared" si="203"/>
        <v>0</v>
      </c>
      <c r="HE232" t="s">
        <v>36</v>
      </c>
      <c r="HF232" t="s">
        <v>37</v>
      </c>
      <c r="HM232" t="s">
        <v>3</v>
      </c>
      <c r="HN232" t="s">
        <v>3</v>
      </c>
      <c r="HO232" t="s">
        <v>3</v>
      </c>
      <c r="HP232" t="s">
        <v>3</v>
      </c>
      <c r="HQ232" t="s">
        <v>3</v>
      </c>
      <c r="HS232">
        <v>0</v>
      </c>
      <c r="IK232">
        <v>0</v>
      </c>
    </row>
    <row r="233" spans="1:255" x14ac:dyDescent="0.2">
      <c r="A233" s="2">
        <v>17</v>
      </c>
      <c r="B233" s="2">
        <v>1</v>
      </c>
      <c r="C233" s="2"/>
      <c r="D233" s="2"/>
      <c r="E233" s="2" t="s">
        <v>267</v>
      </c>
      <c r="F233" s="2" t="s">
        <v>268</v>
      </c>
      <c r="G233" s="2" t="s">
        <v>269</v>
      </c>
      <c r="H233" s="2" t="s">
        <v>31</v>
      </c>
      <c r="I233" s="2">
        <v>1</v>
      </c>
      <c r="J233" s="2">
        <v>0</v>
      </c>
      <c r="K233" s="2">
        <v>1</v>
      </c>
      <c r="L233" s="2"/>
      <c r="M233" s="2"/>
      <c r="N233" s="2"/>
      <c r="O233" s="2">
        <f t="shared" si="174"/>
        <v>6080.1</v>
      </c>
      <c r="P233" s="2">
        <f t="shared" si="171"/>
        <v>6080.1</v>
      </c>
      <c r="Q233" s="2">
        <f t="shared" si="164"/>
        <v>0</v>
      </c>
      <c r="R233" s="2">
        <f t="shared" si="175"/>
        <v>0</v>
      </c>
      <c r="S233" s="2">
        <f t="shared" si="176"/>
        <v>0</v>
      </c>
      <c r="T233" s="2">
        <f t="shared" si="177"/>
        <v>0</v>
      </c>
      <c r="U233" s="2">
        <f t="shared" si="178"/>
        <v>0</v>
      </c>
      <c r="V233" s="2">
        <f t="shared" si="179"/>
        <v>0</v>
      </c>
      <c r="W233" s="2">
        <f t="shared" si="180"/>
        <v>0</v>
      </c>
      <c r="X233" s="2">
        <f t="shared" si="181"/>
        <v>0</v>
      </c>
      <c r="Y233" s="2">
        <f t="shared" si="182"/>
        <v>0</v>
      </c>
      <c r="Z233" s="2"/>
      <c r="AA233" s="2">
        <v>56959434</v>
      </c>
      <c r="AB233" s="2">
        <f t="shared" si="183"/>
        <v>6080.1</v>
      </c>
      <c r="AC233" s="2">
        <f t="shared" si="184"/>
        <v>6080.1</v>
      </c>
      <c r="AD233" s="2">
        <f t="shared" si="165"/>
        <v>0</v>
      </c>
      <c r="AE233" s="2">
        <f t="shared" si="166"/>
        <v>0</v>
      </c>
      <c r="AF233" s="2">
        <f t="shared" si="167"/>
        <v>0</v>
      </c>
      <c r="AG233" s="2">
        <f t="shared" si="185"/>
        <v>0</v>
      </c>
      <c r="AH233" s="2">
        <f t="shared" si="168"/>
        <v>0</v>
      </c>
      <c r="AI233" s="2">
        <f t="shared" si="169"/>
        <v>0</v>
      </c>
      <c r="AJ233" s="2">
        <f t="shared" si="186"/>
        <v>0</v>
      </c>
      <c r="AK233" s="2">
        <v>6080.1</v>
      </c>
      <c r="AL233" s="2">
        <v>6080.1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1</v>
      </c>
      <c r="AW233" s="2">
        <v>1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3</v>
      </c>
      <c r="BI233" s="2">
        <v>3</v>
      </c>
      <c r="BJ233" s="2" t="s">
        <v>3</v>
      </c>
      <c r="BK233" s="2"/>
      <c r="BL233" s="2"/>
      <c r="BM233" s="2">
        <v>746</v>
      </c>
      <c r="BN233" s="2">
        <v>0</v>
      </c>
      <c r="BO233" s="2" t="s">
        <v>3</v>
      </c>
      <c r="BP233" s="2">
        <v>0</v>
      </c>
      <c r="BQ233" s="2">
        <v>130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0</v>
      </c>
      <c r="CA233" s="2">
        <v>0</v>
      </c>
      <c r="CB233" s="2" t="s">
        <v>3</v>
      </c>
      <c r="CC233" s="2"/>
      <c r="CD233" s="2"/>
      <c r="CE233" s="2">
        <v>30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3</v>
      </c>
      <c r="CO233" s="2">
        <v>0</v>
      </c>
      <c r="CP233" s="2">
        <f t="shared" si="187"/>
        <v>6080.1</v>
      </c>
      <c r="CQ233" s="2">
        <f t="shared" si="172"/>
        <v>6080.1</v>
      </c>
      <c r="CR233" s="2">
        <f t="shared" si="170"/>
        <v>0</v>
      </c>
      <c r="CS233" s="2">
        <f t="shared" si="188"/>
        <v>0</v>
      </c>
      <c r="CT233" s="2">
        <f t="shared" si="189"/>
        <v>0</v>
      </c>
      <c r="CU233" s="2">
        <f t="shared" si="190"/>
        <v>0</v>
      </c>
      <c r="CV233" s="2">
        <f t="shared" si="191"/>
        <v>0</v>
      </c>
      <c r="CW233" s="2">
        <f t="shared" si="192"/>
        <v>0</v>
      </c>
      <c r="CX233" s="2">
        <f t="shared" si="193"/>
        <v>0</v>
      </c>
      <c r="CY233" s="2">
        <f t="shared" si="194"/>
        <v>0</v>
      </c>
      <c r="CZ233" s="2">
        <f t="shared" si="195"/>
        <v>0</v>
      </c>
      <c r="DA233" s="2"/>
      <c r="DB233" s="2"/>
      <c r="DC233" s="2" t="s">
        <v>3</v>
      </c>
      <c r="DD233" s="2" t="s">
        <v>3</v>
      </c>
      <c r="DE233" s="2" t="s">
        <v>3</v>
      </c>
      <c r="DF233" s="2" t="s">
        <v>3</v>
      </c>
      <c r="DG233" s="2" t="s">
        <v>3</v>
      </c>
      <c r="DH233" s="2" t="s">
        <v>3</v>
      </c>
      <c r="DI233" s="2" t="s">
        <v>3</v>
      </c>
      <c r="DJ233" s="2" t="s">
        <v>3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1010</v>
      </c>
      <c r="DV233" s="2" t="s">
        <v>31</v>
      </c>
      <c r="DW233" s="2" t="s">
        <v>31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55992259</v>
      </c>
      <c r="EF233" s="2">
        <v>130</v>
      </c>
      <c r="EG233" s="2" t="s">
        <v>32</v>
      </c>
      <c r="EH233" s="2">
        <v>0</v>
      </c>
      <c r="EI233" s="2" t="s">
        <v>3</v>
      </c>
      <c r="EJ233" s="2">
        <v>3</v>
      </c>
      <c r="EK233" s="2">
        <v>746</v>
      </c>
      <c r="EL233" s="2" t="s">
        <v>33</v>
      </c>
      <c r="EM233" s="2" t="s">
        <v>34</v>
      </c>
      <c r="EN233" s="2"/>
      <c r="EO233" s="2" t="s">
        <v>3</v>
      </c>
      <c r="EP233" s="2"/>
      <c r="EQ233" s="2">
        <v>0</v>
      </c>
      <c r="ER233" s="2">
        <v>0</v>
      </c>
      <c r="ES233" s="2">
        <v>6080.1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f t="shared" si="173"/>
        <v>6080.1</v>
      </c>
      <c r="FS233" s="2">
        <v>0</v>
      </c>
      <c r="FT233" s="2"/>
      <c r="FU233" s="2"/>
      <c r="FV233" s="2"/>
      <c r="FW233" s="2"/>
      <c r="FX233" s="2">
        <v>0</v>
      </c>
      <c r="FY233" s="2">
        <v>0</v>
      </c>
      <c r="FZ233" s="2"/>
      <c r="GA233" s="2" t="s">
        <v>270</v>
      </c>
      <c r="GB233" s="2"/>
      <c r="GC233" s="2"/>
      <c r="GD233" s="2">
        <v>1</v>
      </c>
      <c r="GE233" s="2"/>
      <c r="GF233" s="2">
        <v>-1910336181</v>
      </c>
      <c r="GG233" s="2">
        <v>2</v>
      </c>
      <c r="GH233" s="2">
        <v>4</v>
      </c>
      <c r="GI233" s="2">
        <v>-2</v>
      </c>
      <c r="GJ233" s="2">
        <v>0</v>
      </c>
      <c r="GK233" s="2">
        <v>0</v>
      </c>
      <c r="GL233" s="2">
        <f t="shared" si="196"/>
        <v>0</v>
      </c>
      <c r="GM233" s="2">
        <f t="shared" si="197"/>
        <v>6080.1</v>
      </c>
      <c r="GN233" s="2">
        <f t="shared" si="198"/>
        <v>0</v>
      </c>
      <c r="GO233" s="2">
        <f t="shared" si="199"/>
        <v>0</v>
      </c>
      <c r="GP233" s="2">
        <f t="shared" si="200"/>
        <v>0</v>
      </c>
      <c r="GQ233" s="2"/>
      <c r="GR233" s="2">
        <v>0</v>
      </c>
      <c r="GS233" s="2">
        <v>2</v>
      </c>
      <c r="GT233" s="2">
        <v>0</v>
      </c>
      <c r="GU233" s="2" t="s">
        <v>3</v>
      </c>
      <c r="GV233" s="2">
        <f t="shared" si="201"/>
        <v>0</v>
      </c>
      <c r="GW233" s="2">
        <v>1</v>
      </c>
      <c r="GX233" s="2">
        <f t="shared" si="202"/>
        <v>0</v>
      </c>
      <c r="GY233" s="2"/>
      <c r="GZ233" s="2"/>
      <c r="HA233" s="2">
        <v>0</v>
      </c>
      <c r="HB233" s="2">
        <v>0</v>
      </c>
      <c r="HC233" s="2">
        <f t="shared" si="203"/>
        <v>0</v>
      </c>
      <c r="HD233" s="2"/>
      <c r="HE233" s="2" t="s">
        <v>36</v>
      </c>
      <c r="HF233" s="2" t="s">
        <v>37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">
      <c r="A234">
        <v>17</v>
      </c>
      <c r="B234">
        <v>1</v>
      </c>
      <c r="E234" t="s">
        <v>267</v>
      </c>
      <c r="F234" t="s">
        <v>268</v>
      </c>
      <c r="G234" t="s">
        <v>269</v>
      </c>
      <c r="H234" t="s">
        <v>31</v>
      </c>
      <c r="I234">
        <v>1</v>
      </c>
      <c r="J234">
        <v>0</v>
      </c>
      <c r="K234">
        <v>1</v>
      </c>
      <c r="O234">
        <f t="shared" si="174"/>
        <v>46573.57</v>
      </c>
      <c r="P234">
        <f t="shared" si="171"/>
        <v>46573.57</v>
      </c>
      <c r="Q234">
        <f t="shared" si="164"/>
        <v>0</v>
      </c>
      <c r="R234">
        <f t="shared" si="175"/>
        <v>0</v>
      </c>
      <c r="S234">
        <f t="shared" si="176"/>
        <v>0</v>
      </c>
      <c r="T234">
        <f t="shared" si="177"/>
        <v>0</v>
      </c>
      <c r="U234">
        <f t="shared" si="178"/>
        <v>0</v>
      </c>
      <c r="V234">
        <f t="shared" si="179"/>
        <v>0</v>
      </c>
      <c r="W234">
        <f t="shared" si="180"/>
        <v>0</v>
      </c>
      <c r="X234">
        <f t="shared" si="181"/>
        <v>0</v>
      </c>
      <c r="Y234">
        <f t="shared" si="182"/>
        <v>0</v>
      </c>
      <c r="AA234">
        <v>56959431</v>
      </c>
      <c r="AB234">
        <f t="shared" si="183"/>
        <v>6080.1</v>
      </c>
      <c r="AC234">
        <f t="shared" si="184"/>
        <v>6080.1</v>
      </c>
      <c r="AD234">
        <f t="shared" si="165"/>
        <v>0</v>
      </c>
      <c r="AE234">
        <f t="shared" si="166"/>
        <v>0</v>
      </c>
      <c r="AF234">
        <f t="shared" si="167"/>
        <v>0</v>
      </c>
      <c r="AG234">
        <f t="shared" si="185"/>
        <v>0</v>
      </c>
      <c r="AH234">
        <f t="shared" si="168"/>
        <v>0</v>
      </c>
      <c r="AI234">
        <f t="shared" si="169"/>
        <v>0</v>
      </c>
      <c r="AJ234">
        <f t="shared" si="186"/>
        <v>0</v>
      </c>
      <c r="AK234">
        <v>6080.1</v>
      </c>
      <c r="AL234">
        <v>6080.1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1</v>
      </c>
      <c r="AZ234">
        <v>1</v>
      </c>
      <c r="BA234">
        <v>1</v>
      </c>
      <c r="BB234">
        <v>1</v>
      </c>
      <c r="BC234">
        <v>7.66</v>
      </c>
      <c r="BD234" t="s">
        <v>3</v>
      </c>
      <c r="BE234" t="s">
        <v>3</v>
      </c>
      <c r="BF234" t="s">
        <v>3</v>
      </c>
      <c r="BG234" t="s">
        <v>3</v>
      </c>
      <c r="BH234">
        <v>3</v>
      </c>
      <c r="BI234">
        <v>3</v>
      </c>
      <c r="BJ234" t="s">
        <v>3</v>
      </c>
      <c r="BM234">
        <v>746</v>
      </c>
      <c r="BN234">
        <v>0</v>
      </c>
      <c r="BO234" t="s">
        <v>3</v>
      </c>
      <c r="BP234">
        <v>0</v>
      </c>
      <c r="BQ234">
        <v>130</v>
      </c>
      <c r="BR234">
        <v>0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 t="s">
        <v>3</v>
      </c>
      <c r="BZ234">
        <v>0</v>
      </c>
      <c r="CA234">
        <v>0</v>
      </c>
      <c r="CB234" t="s">
        <v>3</v>
      </c>
      <c r="CE234">
        <v>30</v>
      </c>
      <c r="CF234">
        <v>0</v>
      </c>
      <c r="CG234">
        <v>0</v>
      </c>
      <c r="CM234">
        <v>0</v>
      </c>
      <c r="CN234" t="s">
        <v>3</v>
      </c>
      <c r="CO234">
        <v>0</v>
      </c>
      <c r="CP234">
        <f t="shared" si="187"/>
        <v>46573.57</v>
      </c>
      <c r="CQ234">
        <f t="shared" si="172"/>
        <v>46573.57</v>
      </c>
      <c r="CR234">
        <f t="shared" si="170"/>
        <v>0</v>
      </c>
      <c r="CS234">
        <f t="shared" si="188"/>
        <v>0</v>
      </c>
      <c r="CT234">
        <f t="shared" si="189"/>
        <v>0</v>
      </c>
      <c r="CU234">
        <f t="shared" si="190"/>
        <v>0</v>
      </c>
      <c r="CV234">
        <f t="shared" si="191"/>
        <v>0</v>
      </c>
      <c r="CW234">
        <f t="shared" si="192"/>
        <v>0</v>
      </c>
      <c r="CX234">
        <f t="shared" si="193"/>
        <v>0</v>
      </c>
      <c r="CY234">
        <f t="shared" si="194"/>
        <v>0</v>
      </c>
      <c r="CZ234">
        <f t="shared" si="195"/>
        <v>0</v>
      </c>
      <c r="DC234" t="s">
        <v>3</v>
      </c>
      <c r="DD234" t="s">
        <v>3</v>
      </c>
      <c r="DE234" t="s">
        <v>3</v>
      </c>
      <c r="DF234" t="s">
        <v>3</v>
      </c>
      <c r="DG234" t="s">
        <v>3</v>
      </c>
      <c r="DH234" t="s">
        <v>3</v>
      </c>
      <c r="DI234" t="s">
        <v>3</v>
      </c>
      <c r="DJ234" t="s">
        <v>3</v>
      </c>
      <c r="DK234" t="s">
        <v>3</v>
      </c>
      <c r="DL234" t="s">
        <v>3</v>
      </c>
      <c r="DM234" t="s">
        <v>3</v>
      </c>
      <c r="DN234">
        <v>0</v>
      </c>
      <c r="DO234">
        <v>0</v>
      </c>
      <c r="DP234">
        <v>1</v>
      </c>
      <c r="DQ234">
        <v>1</v>
      </c>
      <c r="DU234">
        <v>1010</v>
      </c>
      <c r="DV234" t="s">
        <v>31</v>
      </c>
      <c r="DW234" t="s">
        <v>31</v>
      </c>
      <c r="DX234">
        <v>1</v>
      </c>
      <c r="DZ234" t="s">
        <v>3</v>
      </c>
      <c r="EA234" t="s">
        <v>3</v>
      </c>
      <c r="EB234" t="s">
        <v>3</v>
      </c>
      <c r="EC234" t="s">
        <v>3</v>
      </c>
      <c r="EE234">
        <v>55992259</v>
      </c>
      <c r="EF234">
        <v>130</v>
      </c>
      <c r="EG234" t="s">
        <v>32</v>
      </c>
      <c r="EH234">
        <v>0</v>
      </c>
      <c r="EI234" t="s">
        <v>3</v>
      </c>
      <c r="EJ234">
        <v>3</v>
      </c>
      <c r="EK234">
        <v>746</v>
      </c>
      <c r="EL234" t="s">
        <v>33</v>
      </c>
      <c r="EM234" t="s">
        <v>34</v>
      </c>
      <c r="EO234" t="s">
        <v>3</v>
      </c>
      <c r="EQ234">
        <v>0</v>
      </c>
      <c r="ER234">
        <v>6080.1</v>
      </c>
      <c r="ES234">
        <v>6080.1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5</v>
      </c>
      <c r="FC234">
        <v>1</v>
      </c>
      <c r="FD234">
        <v>18</v>
      </c>
      <c r="FF234">
        <v>53617</v>
      </c>
      <c r="FQ234">
        <v>0</v>
      </c>
      <c r="FR234">
        <f t="shared" si="173"/>
        <v>46573.57</v>
      </c>
      <c r="FS234">
        <v>0</v>
      </c>
      <c r="FX234">
        <v>0</v>
      </c>
      <c r="FY234">
        <v>0</v>
      </c>
      <c r="GA234" t="s">
        <v>270</v>
      </c>
      <c r="GD234">
        <v>1</v>
      </c>
      <c r="GF234">
        <v>-1910336181</v>
      </c>
      <c r="GG234">
        <v>2</v>
      </c>
      <c r="GH234">
        <v>3</v>
      </c>
      <c r="GI234">
        <v>5</v>
      </c>
      <c r="GJ234">
        <v>0</v>
      </c>
      <c r="GK234">
        <v>0</v>
      </c>
      <c r="GL234">
        <f t="shared" si="196"/>
        <v>0</v>
      </c>
      <c r="GM234">
        <f t="shared" si="197"/>
        <v>46573.57</v>
      </c>
      <c r="GN234">
        <f t="shared" si="198"/>
        <v>0</v>
      </c>
      <c r="GO234">
        <f t="shared" si="199"/>
        <v>0</v>
      </c>
      <c r="GP234">
        <f t="shared" si="200"/>
        <v>0</v>
      </c>
      <c r="GR234">
        <v>1</v>
      </c>
      <c r="GS234">
        <v>1</v>
      </c>
      <c r="GT234">
        <v>0</v>
      </c>
      <c r="GU234" t="s">
        <v>3</v>
      </c>
      <c r="GV234">
        <f t="shared" si="201"/>
        <v>0</v>
      </c>
      <c r="GW234">
        <v>1</v>
      </c>
      <c r="GX234">
        <f t="shared" si="202"/>
        <v>0</v>
      </c>
      <c r="HA234">
        <v>0</v>
      </c>
      <c r="HB234">
        <v>0</v>
      </c>
      <c r="HC234">
        <f t="shared" si="203"/>
        <v>0</v>
      </c>
      <c r="HE234" t="s">
        <v>36</v>
      </c>
      <c r="HF234" t="s">
        <v>37</v>
      </c>
      <c r="HM234" t="s">
        <v>3</v>
      </c>
      <c r="HN234" t="s">
        <v>3</v>
      </c>
      <c r="HO234" t="s">
        <v>3</v>
      </c>
      <c r="HP234" t="s">
        <v>3</v>
      </c>
      <c r="HQ234" t="s">
        <v>3</v>
      </c>
      <c r="HS234">
        <v>0</v>
      </c>
      <c r="IK234">
        <v>0</v>
      </c>
    </row>
    <row r="235" spans="1:255" x14ac:dyDescent="0.2">
      <c r="A235" s="2">
        <v>17</v>
      </c>
      <c r="B235" s="2">
        <v>1</v>
      </c>
      <c r="C235" s="2">
        <f>ROW(SmtRes!A182)</f>
        <v>182</v>
      </c>
      <c r="D235" s="2">
        <f>ROW(EtalonRes!A222)</f>
        <v>222</v>
      </c>
      <c r="E235" s="2" t="s">
        <v>271</v>
      </c>
      <c r="F235" s="2" t="s">
        <v>75</v>
      </c>
      <c r="G235" s="2" t="s">
        <v>76</v>
      </c>
      <c r="H235" s="2" t="s">
        <v>77</v>
      </c>
      <c r="I235" s="2">
        <f>ROUND(2440/100,9)</f>
        <v>24.4</v>
      </c>
      <c r="J235" s="2">
        <v>0</v>
      </c>
      <c r="K235" s="2">
        <f>ROUND(2440/100,9)</f>
        <v>24.4</v>
      </c>
      <c r="L235" s="2"/>
      <c r="M235" s="2"/>
      <c r="N235" s="2"/>
      <c r="O235" s="2">
        <f t="shared" si="174"/>
        <v>13995.17</v>
      </c>
      <c r="P235" s="2">
        <f t="shared" ref="P235:P246" si="204">ROUND((ROUND((AC235*AW235*I235),2)*BC235),2)</f>
        <v>7668.68</v>
      </c>
      <c r="Q235" s="2">
        <f>(ROUND((ROUND((((ET235*1.1))*AV235*I235),2)*BB235),2)+ROUND((ROUND(((AE235-((EU235*1.1)))*AV235*I235),2)*BS235),2))</f>
        <v>923.7</v>
      </c>
      <c r="R235" s="2">
        <f t="shared" si="175"/>
        <v>160.46</v>
      </c>
      <c r="S235" s="2">
        <f t="shared" si="176"/>
        <v>5402.79</v>
      </c>
      <c r="T235" s="2">
        <f t="shared" si="177"/>
        <v>0</v>
      </c>
      <c r="U235" s="2">
        <f t="shared" si="178"/>
        <v>421.52219999999988</v>
      </c>
      <c r="V235" s="2">
        <f t="shared" si="179"/>
        <v>0</v>
      </c>
      <c r="W235" s="2">
        <f t="shared" si="180"/>
        <v>0</v>
      </c>
      <c r="X235" s="2">
        <f t="shared" si="181"/>
        <v>5396.35</v>
      </c>
      <c r="Y235" s="2">
        <f t="shared" si="182"/>
        <v>2837.26</v>
      </c>
      <c r="Z235" s="2"/>
      <c r="AA235" s="2">
        <v>56959434</v>
      </c>
      <c r="AB235" s="2">
        <f t="shared" si="183"/>
        <v>561.93299999999999</v>
      </c>
      <c r="AC235" s="2">
        <f t="shared" si="184"/>
        <v>314.29000000000002</v>
      </c>
      <c r="AD235" s="2">
        <f>ROUND(((((ET235*1.1))-((EU235*1.1)))+AE235),6)</f>
        <v>36.156999999999996</v>
      </c>
      <c r="AE235" s="2">
        <f>ROUND(((EU235*1.1)),6)</f>
        <v>6.2809999999999997</v>
      </c>
      <c r="AF235" s="2">
        <f>ROUND(((EV235*1.1)),6)</f>
        <v>211.48599999999999</v>
      </c>
      <c r="AG235" s="2">
        <f t="shared" si="185"/>
        <v>0</v>
      </c>
      <c r="AH235" s="2">
        <f>((EW235*1.1))</f>
        <v>16.5</v>
      </c>
      <c r="AI235" s="2">
        <f>((EX235*1.1))</f>
        <v>0</v>
      </c>
      <c r="AJ235" s="2">
        <f t="shared" si="186"/>
        <v>0</v>
      </c>
      <c r="AK235" s="2">
        <v>539.41999999999996</v>
      </c>
      <c r="AL235" s="2">
        <v>314.29000000000002</v>
      </c>
      <c r="AM235" s="2">
        <v>32.869999999999997</v>
      </c>
      <c r="AN235" s="2">
        <v>5.71</v>
      </c>
      <c r="AO235" s="2">
        <v>192.26</v>
      </c>
      <c r="AP235" s="2">
        <v>0</v>
      </c>
      <c r="AQ235" s="2">
        <v>15</v>
      </c>
      <c r="AR235" s="2">
        <v>0</v>
      </c>
      <c r="AS235" s="2">
        <v>0</v>
      </c>
      <c r="AT235" s="2">
        <v>97</v>
      </c>
      <c r="AU235" s="2">
        <v>51</v>
      </c>
      <c r="AV235" s="2">
        <v>1.0469999999999999</v>
      </c>
      <c r="AW235" s="2">
        <v>1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0</v>
      </c>
      <c r="BI235" s="2">
        <v>2</v>
      </c>
      <c r="BJ235" s="2" t="s">
        <v>78</v>
      </c>
      <c r="BK235" s="2"/>
      <c r="BL235" s="2"/>
      <c r="BM235" s="2">
        <v>67</v>
      </c>
      <c r="BN235" s="2">
        <v>55992028</v>
      </c>
      <c r="BO235" s="2" t="s">
        <v>75</v>
      </c>
      <c r="BP235" s="2">
        <v>1</v>
      </c>
      <c r="BQ235" s="2">
        <v>40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97</v>
      </c>
      <c r="CA235" s="2">
        <v>51</v>
      </c>
      <c r="CB235" s="2" t="s">
        <v>3</v>
      </c>
      <c r="CC235" s="2"/>
      <c r="CD235" s="2"/>
      <c r="CE235" s="2">
        <v>30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673</v>
      </c>
      <c r="CO235" s="2">
        <v>0</v>
      </c>
      <c r="CP235" s="2">
        <f t="shared" si="187"/>
        <v>13995.170000000002</v>
      </c>
      <c r="CQ235" s="2">
        <f t="shared" ref="CQ235:CQ246" si="205">ROUND((ROUND((AC235*AW235*1),2)*BC235),2)</f>
        <v>314.29000000000002</v>
      </c>
      <c r="CR235" s="2">
        <f>(ROUND((ROUND((((ET235*1.1))*AV235*1),2)*BB235),2)+ROUND((ROUND(((AE235-((EU235*1.1)))*AV235*1),2)*BS235),2))</f>
        <v>37.86</v>
      </c>
      <c r="CS235" s="2">
        <f t="shared" si="188"/>
        <v>6.58</v>
      </c>
      <c r="CT235" s="2">
        <f t="shared" si="189"/>
        <v>221.43</v>
      </c>
      <c r="CU235" s="2">
        <f t="shared" si="190"/>
        <v>0</v>
      </c>
      <c r="CV235" s="2">
        <f t="shared" si="191"/>
        <v>17.275499999999997</v>
      </c>
      <c r="CW235" s="2">
        <f t="shared" si="192"/>
        <v>0</v>
      </c>
      <c r="CX235" s="2">
        <f t="shared" si="193"/>
        <v>0</v>
      </c>
      <c r="CY235" s="2">
        <f t="shared" si="194"/>
        <v>5396.3525</v>
      </c>
      <c r="CZ235" s="2">
        <f t="shared" si="195"/>
        <v>2837.2575000000002</v>
      </c>
      <c r="DA235" s="2"/>
      <c r="DB235" s="2"/>
      <c r="DC235" s="2" t="s">
        <v>3</v>
      </c>
      <c r="DD235" s="2" t="s">
        <v>3</v>
      </c>
      <c r="DE235" s="2" t="s">
        <v>23</v>
      </c>
      <c r="DF235" s="2" t="s">
        <v>23</v>
      </c>
      <c r="DG235" s="2" t="s">
        <v>23</v>
      </c>
      <c r="DH235" s="2" t="s">
        <v>3</v>
      </c>
      <c r="DI235" s="2" t="s">
        <v>23</v>
      </c>
      <c r="DJ235" s="2" t="s">
        <v>23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1003</v>
      </c>
      <c r="DV235" s="2" t="s">
        <v>77</v>
      </c>
      <c r="DW235" s="2" t="s">
        <v>77</v>
      </c>
      <c r="DX235" s="2">
        <v>100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55992151</v>
      </c>
      <c r="EF235" s="2">
        <v>40</v>
      </c>
      <c r="EG235" s="2" t="s">
        <v>24</v>
      </c>
      <c r="EH235" s="2">
        <v>0</v>
      </c>
      <c r="EI235" s="2" t="s">
        <v>3</v>
      </c>
      <c r="EJ235" s="2">
        <v>2</v>
      </c>
      <c r="EK235" s="2">
        <v>67</v>
      </c>
      <c r="EL235" s="2" t="s">
        <v>79</v>
      </c>
      <c r="EM235" s="2" t="s">
        <v>80</v>
      </c>
      <c r="EN235" s="2"/>
      <c r="EO235" s="2" t="s">
        <v>27</v>
      </c>
      <c r="EP235" s="2"/>
      <c r="EQ235" s="2">
        <v>0</v>
      </c>
      <c r="ER235" s="2">
        <v>539.41999999999996</v>
      </c>
      <c r="ES235" s="2">
        <v>314.29000000000002</v>
      </c>
      <c r="ET235" s="2">
        <v>32.869999999999997</v>
      </c>
      <c r="EU235" s="2">
        <v>5.71</v>
      </c>
      <c r="EV235" s="2">
        <v>192.26</v>
      </c>
      <c r="EW235" s="2">
        <v>15</v>
      </c>
      <c r="EX235" s="2">
        <v>0</v>
      </c>
      <c r="EY235" s="2">
        <v>0</v>
      </c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97</v>
      </c>
      <c r="FY235" s="2">
        <v>51</v>
      </c>
      <c r="FZ235" s="2"/>
      <c r="GA235" s="2" t="s">
        <v>3</v>
      </c>
      <c r="GB235" s="2"/>
      <c r="GC235" s="2"/>
      <c r="GD235" s="2">
        <v>1</v>
      </c>
      <c r="GE235" s="2"/>
      <c r="GF235" s="2">
        <v>1705749599</v>
      </c>
      <c r="GG235" s="2">
        <v>2</v>
      </c>
      <c r="GH235" s="2">
        <v>1</v>
      </c>
      <c r="GI235" s="2">
        <v>2</v>
      </c>
      <c r="GJ235" s="2">
        <v>0</v>
      </c>
      <c r="GK235" s="2">
        <v>0</v>
      </c>
      <c r="GL235" s="2">
        <f t="shared" si="196"/>
        <v>0</v>
      </c>
      <c r="GM235" s="2">
        <f t="shared" si="197"/>
        <v>22228.78</v>
      </c>
      <c r="GN235" s="2">
        <f t="shared" si="198"/>
        <v>0</v>
      </c>
      <c r="GO235" s="2">
        <f t="shared" si="199"/>
        <v>22228.78</v>
      </c>
      <c r="GP235" s="2">
        <f t="shared" si="200"/>
        <v>0</v>
      </c>
      <c r="GQ235" s="2"/>
      <c r="GR235" s="2">
        <v>0</v>
      </c>
      <c r="GS235" s="2">
        <v>3</v>
      </c>
      <c r="GT235" s="2">
        <v>0</v>
      </c>
      <c r="GU235" s="2" t="s">
        <v>3</v>
      </c>
      <c r="GV235" s="2">
        <f t="shared" si="201"/>
        <v>0</v>
      </c>
      <c r="GW235" s="2">
        <v>1</v>
      </c>
      <c r="GX235" s="2">
        <f t="shared" si="202"/>
        <v>0</v>
      </c>
      <c r="GY235" s="2"/>
      <c r="GZ235" s="2"/>
      <c r="HA235" s="2">
        <v>0</v>
      </c>
      <c r="HB235" s="2">
        <v>0</v>
      </c>
      <c r="HC235" s="2">
        <f t="shared" si="203"/>
        <v>0</v>
      </c>
      <c r="HD235" s="2"/>
      <c r="HE235" s="2" t="s">
        <v>3</v>
      </c>
      <c r="HF235" s="2" t="s">
        <v>3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">
      <c r="A236">
        <v>17</v>
      </c>
      <c r="B236">
        <v>1</v>
      </c>
      <c r="C236">
        <f>ROW(SmtRes!A184)</f>
        <v>184</v>
      </c>
      <c r="D236">
        <f>ROW(EtalonRes!A226)</f>
        <v>226</v>
      </c>
      <c r="E236" t="s">
        <v>271</v>
      </c>
      <c r="F236" t="s">
        <v>75</v>
      </c>
      <c r="G236" t="s">
        <v>76</v>
      </c>
      <c r="H236" t="s">
        <v>77</v>
      </c>
      <c r="I236">
        <f>ROUND(2440/100,9)</f>
        <v>24.4</v>
      </c>
      <c r="J236">
        <v>0</v>
      </c>
      <c r="K236">
        <f>ROUND(2440/100,9)</f>
        <v>24.4</v>
      </c>
      <c r="O236">
        <f t="shared" si="174"/>
        <v>389430.72</v>
      </c>
      <c r="P236">
        <f t="shared" si="204"/>
        <v>75843.25</v>
      </c>
      <c r="Q236">
        <f>(ROUND((ROUND((((ET236*1.1))*AV236*I236),2)*BB236),2)+ROUND((ROUND(((AE236-((EU236*1.1)))*AV236*I236),2)*BS236),2))</f>
        <v>16488.05</v>
      </c>
      <c r="R236">
        <f t="shared" si="175"/>
        <v>8823.7000000000007</v>
      </c>
      <c r="S236">
        <f t="shared" si="176"/>
        <v>297099.42</v>
      </c>
      <c r="T236">
        <f t="shared" si="177"/>
        <v>0</v>
      </c>
      <c r="U236">
        <f t="shared" si="178"/>
        <v>421.52219999999988</v>
      </c>
      <c r="V236">
        <f t="shared" si="179"/>
        <v>0</v>
      </c>
      <c r="W236">
        <f t="shared" si="180"/>
        <v>0</v>
      </c>
      <c r="X236">
        <f t="shared" si="181"/>
        <v>296745.43</v>
      </c>
      <c r="Y236">
        <f t="shared" si="182"/>
        <v>156020.79</v>
      </c>
      <c r="AA236">
        <v>56959431</v>
      </c>
      <c r="AB236">
        <f t="shared" si="183"/>
        <v>561.93299999999999</v>
      </c>
      <c r="AC236">
        <f t="shared" si="184"/>
        <v>314.29000000000002</v>
      </c>
      <c r="AD236">
        <f>ROUND(((((ET236*1.1))-((EU236*1.1)))+AE236),6)</f>
        <v>36.156999999999996</v>
      </c>
      <c r="AE236">
        <f>ROUND(((EU236*1.1)),6)</f>
        <v>6.2809999999999997</v>
      </c>
      <c r="AF236">
        <f>ROUND(((EV236*1.1)),6)</f>
        <v>211.48599999999999</v>
      </c>
      <c r="AG236">
        <f t="shared" si="185"/>
        <v>0</v>
      </c>
      <c r="AH236">
        <f>((EW236*1.1))</f>
        <v>16.5</v>
      </c>
      <c r="AI236">
        <f>((EX236*1.1))</f>
        <v>0</v>
      </c>
      <c r="AJ236">
        <f t="shared" si="186"/>
        <v>0</v>
      </c>
      <c r="AK236">
        <v>539.41999999999996</v>
      </c>
      <c r="AL236">
        <v>314.29000000000002</v>
      </c>
      <c r="AM236">
        <v>32.869999999999997</v>
      </c>
      <c r="AN236">
        <v>5.71</v>
      </c>
      <c r="AO236">
        <v>192.26</v>
      </c>
      <c r="AP236">
        <v>0</v>
      </c>
      <c r="AQ236">
        <v>15</v>
      </c>
      <c r="AR236">
        <v>0</v>
      </c>
      <c r="AS236">
        <v>0</v>
      </c>
      <c r="AT236">
        <v>97</v>
      </c>
      <c r="AU236">
        <v>51</v>
      </c>
      <c r="AV236">
        <v>1.0469999999999999</v>
      </c>
      <c r="AW236">
        <v>1</v>
      </c>
      <c r="AZ236">
        <v>1</v>
      </c>
      <c r="BA236">
        <v>54.99</v>
      </c>
      <c r="BB236">
        <v>17.850000000000001</v>
      </c>
      <c r="BC236">
        <v>9.89</v>
      </c>
      <c r="BD236" t="s">
        <v>3</v>
      </c>
      <c r="BE236" t="s">
        <v>3</v>
      </c>
      <c r="BF236" t="s">
        <v>3</v>
      </c>
      <c r="BG236" t="s">
        <v>3</v>
      </c>
      <c r="BH236">
        <v>0</v>
      </c>
      <c r="BI236">
        <v>2</v>
      </c>
      <c r="BJ236" t="s">
        <v>78</v>
      </c>
      <c r="BM236">
        <v>67</v>
      </c>
      <c r="BN236">
        <v>55992028</v>
      </c>
      <c r="BO236" t="s">
        <v>75</v>
      </c>
      <c r="BP236">
        <v>1</v>
      </c>
      <c r="BQ236">
        <v>40</v>
      </c>
      <c r="BR236">
        <v>0</v>
      </c>
      <c r="BS236">
        <v>54.99</v>
      </c>
      <c r="BT236">
        <v>1</v>
      </c>
      <c r="BU236">
        <v>1</v>
      </c>
      <c r="BV236">
        <v>1</v>
      </c>
      <c r="BW236">
        <v>1</v>
      </c>
      <c r="BX236">
        <v>1</v>
      </c>
      <c r="BY236" t="s">
        <v>3</v>
      </c>
      <c r="BZ236">
        <v>97</v>
      </c>
      <c r="CA236">
        <v>51</v>
      </c>
      <c r="CB236" t="s">
        <v>3</v>
      </c>
      <c r="CE236">
        <v>30</v>
      </c>
      <c r="CF236">
        <v>0</v>
      </c>
      <c r="CG236">
        <v>0</v>
      </c>
      <c r="CM236">
        <v>0</v>
      </c>
      <c r="CN236" t="s">
        <v>673</v>
      </c>
      <c r="CO236">
        <v>0</v>
      </c>
      <c r="CP236">
        <f t="shared" si="187"/>
        <v>389430.72</v>
      </c>
      <c r="CQ236">
        <f t="shared" si="205"/>
        <v>3108.33</v>
      </c>
      <c r="CR236">
        <f>(ROUND((ROUND((((ET236*1.1))*AV236*1),2)*BB236),2)+ROUND((ROUND(((AE236-((EU236*1.1)))*AV236*1),2)*BS236),2))</f>
        <v>675.8</v>
      </c>
      <c r="CS236">
        <f t="shared" si="188"/>
        <v>361.83</v>
      </c>
      <c r="CT236">
        <f t="shared" si="189"/>
        <v>12176.44</v>
      </c>
      <c r="CU236">
        <f t="shared" si="190"/>
        <v>0</v>
      </c>
      <c r="CV236">
        <f t="shared" si="191"/>
        <v>17.275499999999997</v>
      </c>
      <c r="CW236">
        <f t="shared" si="192"/>
        <v>0</v>
      </c>
      <c r="CX236">
        <f t="shared" si="193"/>
        <v>0</v>
      </c>
      <c r="CY236">
        <f t="shared" si="194"/>
        <v>296745.4264</v>
      </c>
      <c r="CZ236">
        <f t="shared" si="195"/>
        <v>156020.79119999998</v>
      </c>
      <c r="DC236" t="s">
        <v>3</v>
      </c>
      <c r="DD236" t="s">
        <v>3</v>
      </c>
      <c r="DE236" t="s">
        <v>23</v>
      </c>
      <c r="DF236" t="s">
        <v>23</v>
      </c>
      <c r="DG236" t="s">
        <v>23</v>
      </c>
      <c r="DH236" t="s">
        <v>3</v>
      </c>
      <c r="DI236" t="s">
        <v>23</v>
      </c>
      <c r="DJ236" t="s">
        <v>23</v>
      </c>
      <c r="DK236" t="s">
        <v>3</v>
      </c>
      <c r="DL236" t="s">
        <v>3</v>
      </c>
      <c r="DM236" t="s">
        <v>3</v>
      </c>
      <c r="DN236">
        <v>0</v>
      </c>
      <c r="DO236">
        <v>0</v>
      </c>
      <c r="DP236">
        <v>1</v>
      </c>
      <c r="DQ236">
        <v>1</v>
      </c>
      <c r="DU236">
        <v>1003</v>
      </c>
      <c r="DV236" t="s">
        <v>77</v>
      </c>
      <c r="DW236" t="s">
        <v>77</v>
      </c>
      <c r="DX236">
        <v>100</v>
      </c>
      <c r="DZ236" t="s">
        <v>3</v>
      </c>
      <c r="EA236" t="s">
        <v>3</v>
      </c>
      <c r="EB236" t="s">
        <v>3</v>
      </c>
      <c r="EC236" t="s">
        <v>3</v>
      </c>
      <c r="EE236">
        <v>55992151</v>
      </c>
      <c r="EF236">
        <v>40</v>
      </c>
      <c r="EG236" t="s">
        <v>24</v>
      </c>
      <c r="EH236">
        <v>0</v>
      </c>
      <c r="EI236" t="s">
        <v>3</v>
      </c>
      <c r="EJ236">
        <v>2</v>
      </c>
      <c r="EK236">
        <v>67</v>
      </c>
      <c r="EL236" t="s">
        <v>79</v>
      </c>
      <c r="EM236" t="s">
        <v>80</v>
      </c>
      <c r="EO236" t="s">
        <v>27</v>
      </c>
      <c r="EQ236">
        <v>0</v>
      </c>
      <c r="ER236">
        <v>539.41999999999996</v>
      </c>
      <c r="ES236">
        <v>314.29000000000002</v>
      </c>
      <c r="ET236">
        <v>32.869999999999997</v>
      </c>
      <c r="EU236">
        <v>5.71</v>
      </c>
      <c r="EV236">
        <v>192.26</v>
      </c>
      <c r="EW236">
        <v>15</v>
      </c>
      <c r="EX236">
        <v>0</v>
      </c>
      <c r="EY236">
        <v>0</v>
      </c>
      <c r="FQ236">
        <v>0</v>
      </c>
      <c r="FR236">
        <v>0</v>
      </c>
      <c r="FS236">
        <v>0</v>
      </c>
      <c r="FX236">
        <v>97</v>
      </c>
      <c r="FY236">
        <v>51</v>
      </c>
      <c r="GA236" t="s">
        <v>3</v>
      </c>
      <c r="GD236">
        <v>1</v>
      </c>
      <c r="GF236">
        <v>1705749599</v>
      </c>
      <c r="GG236">
        <v>2</v>
      </c>
      <c r="GH236">
        <v>1</v>
      </c>
      <c r="GI236">
        <v>2</v>
      </c>
      <c r="GJ236">
        <v>0</v>
      </c>
      <c r="GK236">
        <v>0</v>
      </c>
      <c r="GL236">
        <f t="shared" si="196"/>
        <v>0</v>
      </c>
      <c r="GM236">
        <f t="shared" si="197"/>
        <v>842196.94</v>
      </c>
      <c r="GN236">
        <f t="shared" si="198"/>
        <v>0</v>
      </c>
      <c r="GO236">
        <f t="shared" si="199"/>
        <v>842196.94</v>
      </c>
      <c r="GP236">
        <f t="shared" si="200"/>
        <v>0</v>
      </c>
      <c r="GR236">
        <v>0</v>
      </c>
      <c r="GS236">
        <v>3</v>
      </c>
      <c r="GT236">
        <v>0</v>
      </c>
      <c r="GU236" t="s">
        <v>3</v>
      </c>
      <c r="GV236">
        <f t="shared" si="201"/>
        <v>0</v>
      </c>
      <c r="GW236">
        <v>1</v>
      </c>
      <c r="GX236">
        <f t="shared" si="202"/>
        <v>0</v>
      </c>
      <c r="HA236">
        <v>0</v>
      </c>
      <c r="HB236">
        <v>0</v>
      </c>
      <c r="HC236">
        <f t="shared" si="203"/>
        <v>0</v>
      </c>
      <c r="HE236" t="s">
        <v>3</v>
      </c>
      <c r="HF236" t="s">
        <v>3</v>
      </c>
      <c r="HM236" t="s">
        <v>3</v>
      </c>
      <c r="HN236" t="s">
        <v>3</v>
      </c>
      <c r="HO236" t="s">
        <v>3</v>
      </c>
      <c r="HP236" t="s">
        <v>3</v>
      </c>
      <c r="HQ236" t="s">
        <v>3</v>
      </c>
      <c r="HS236">
        <v>0</v>
      </c>
      <c r="IK236">
        <v>0</v>
      </c>
    </row>
    <row r="237" spans="1:255" x14ac:dyDescent="0.2">
      <c r="A237" s="2">
        <v>18</v>
      </c>
      <c r="B237" s="2">
        <v>1</v>
      </c>
      <c r="C237" s="2">
        <v>182</v>
      </c>
      <c r="D237" s="2"/>
      <c r="E237" s="2" t="s">
        <v>272</v>
      </c>
      <c r="F237" s="2" t="s">
        <v>82</v>
      </c>
      <c r="G237" s="2" t="s">
        <v>83</v>
      </c>
      <c r="H237" s="2" t="s">
        <v>84</v>
      </c>
      <c r="I237" s="2">
        <f>I235*J237</f>
        <v>2488.8000000000002</v>
      </c>
      <c r="J237" s="2">
        <v>102.00000000000001</v>
      </c>
      <c r="K237" s="2">
        <v>102</v>
      </c>
      <c r="L237" s="2"/>
      <c r="M237" s="2"/>
      <c r="N237" s="2"/>
      <c r="O237" s="2">
        <f t="shared" si="174"/>
        <v>8586.36</v>
      </c>
      <c r="P237" s="2">
        <f t="shared" si="204"/>
        <v>8586.36</v>
      </c>
      <c r="Q237" s="2">
        <f>(ROUND((ROUND(((ET237)*AV237*I237),2)*BB237),2)+ROUND((ROUND(((AE237-(EU237))*AV237*I237),2)*BS237),2))</f>
        <v>0</v>
      </c>
      <c r="R237" s="2">
        <f t="shared" si="175"/>
        <v>0</v>
      </c>
      <c r="S237" s="2">
        <f t="shared" si="176"/>
        <v>0</v>
      </c>
      <c r="T237" s="2">
        <f t="shared" si="177"/>
        <v>0</v>
      </c>
      <c r="U237" s="2">
        <f t="shared" si="178"/>
        <v>0</v>
      </c>
      <c r="V237" s="2">
        <f t="shared" si="179"/>
        <v>0</v>
      </c>
      <c r="W237" s="2">
        <f t="shared" si="180"/>
        <v>0</v>
      </c>
      <c r="X237" s="2">
        <f t="shared" si="181"/>
        <v>0</v>
      </c>
      <c r="Y237" s="2">
        <f t="shared" si="182"/>
        <v>0</v>
      </c>
      <c r="Z237" s="2"/>
      <c r="AA237" s="2">
        <v>56959434</v>
      </c>
      <c r="AB237" s="2">
        <f t="shared" si="183"/>
        <v>3.45</v>
      </c>
      <c r="AC237" s="2">
        <f t="shared" si="184"/>
        <v>3.45</v>
      </c>
      <c r="AD237" s="2">
        <f>ROUND((((ET237)-(EU237))+AE237),6)</f>
        <v>0</v>
      </c>
      <c r="AE237" s="2">
        <f>ROUND((EU237),6)</f>
        <v>0</v>
      </c>
      <c r="AF237" s="2">
        <f>ROUND((EV237),6)</f>
        <v>0</v>
      </c>
      <c r="AG237" s="2">
        <f t="shared" si="185"/>
        <v>0</v>
      </c>
      <c r="AH237" s="2">
        <f>(EW237)</f>
        <v>0</v>
      </c>
      <c r="AI237" s="2">
        <f>(EX237)</f>
        <v>0</v>
      </c>
      <c r="AJ237" s="2">
        <f t="shared" si="186"/>
        <v>0</v>
      </c>
      <c r="AK237" s="2">
        <v>3.45</v>
      </c>
      <c r="AL237" s="2">
        <v>3.45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97</v>
      </c>
      <c r="AU237" s="2">
        <v>51</v>
      </c>
      <c r="AV237" s="2">
        <v>1</v>
      </c>
      <c r="AW237" s="2">
        <v>1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3</v>
      </c>
      <c r="BI237" s="2">
        <v>2</v>
      </c>
      <c r="BJ237" s="2" t="s">
        <v>85</v>
      </c>
      <c r="BK237" s="2"/>
      <c r="BL237" s="2"/>
      <c r="BM237" s="2">
        <v>67</v>
      </c>
      <c r="BN237" s="2">
        <v>55992028</v>
      </c>
      <c r="BO237" s="2" t="s">
        <v>3</v>
      </c>
      <c r="BP237" s="2">
        <v>0</v>
      </c>
      <c r="BQ237" s="2">
        <v>40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97</v>
      </c>
      <c r="CA237" s="2">
        <v>51</v>
      </c>
      <c r="CB237" s="2" t="s">
        <v>3</v>
      </c>
      <c r="CC237" s="2"/>
      <c r="CD237" s="2"/>
      <c r="CE237" s="2">
        <v>30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3</v>
      </c>
      <c r="CO237" s="2">
        <v>0</v>
      </c>
      <c r="CP237" s="2">
        <f t="shared" si="187"/>
        <v>8586.36</v>
      </c>
      <c r="CQ237" s="2">
        <f t="shared" si="205"/>
        <v>3.45</v>
      </c>
      <c r="CR237" s="2">
        <f>(ROUND((ROUND(((ET237)*AV237*1),2)*BB237),2)+ROUND((ROUND(((AE237-(EU237))*AV237*1),2)*BS237),2))</f>
        <v>0</v>
      </c>
      <c r="CS237" s="2">
        <f t="shared" si="188"/>
        <v>0</v>
      </c>
      <c r="CT237" s="2">
        <f t="shared" si="189"/>
        <v>0</v>
      </c>
      <c r="CU237" s="2">
        <f t="shared" si="190"/>
        <v>0</v>
      </c>
      <c r="CV237" s="2">
        <f t="shared" si="191"/>
        <v>0</v>
      </c>
      <c r="CW237" s="2">
        <f t="shared" si="192"/>
        <v>0</v>
      </c>
      <c r="CX237" s="2">
        <f t="shared" si="193"/>
        <v>0</v>
      </c>
      <c r="CY237" s="2">
        <f t="shared" si="194"/>
        <v>0</v>
      </c>
      <c r="CZ237" s="2">
        <f t="shared" si="195"/>
        <v>0</v>
      </c>
      <c r="DA237" s="2"/>
      <c r="DB237" s="2"/>
      <c r="DC237" s="2" t="s">
        <v>3</v>
      </c>
      <c r="DD237" s="2" t="s">
        <v>3</v>
      </c>
      <c r="DE237" s="2" t="s">
        <v>3</v>
      </c>
      <c r="DF237" s="2" t="s">
        <v>3</v>
      </c>
      <c r="DG237" s="2" t="s">
        <v>3</v>
      </c>
      <c r="DH237" s="2" t="s">
        <v>3</v>
      </c>
      <c r="DI237" s="2" t="s">
        <v>3</v>
      </c>
      <c r="DJ237" s="2" t="s">
        <v>3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1003</v>
      </c>
      <c r="DV237" s="2" t="s">
        <v>84</v>
      </c>
      <c r="DW237" s="2" t="s">
        <v>84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55992151</v>
      </c>
      <c r="EF237" s="2">
        <v>40</v>
      </c>
      <c r="EG237" s="2" t="s">
        <v>24</v>
      </c>
      <c r="EH237" s="2">
        <v>0</v>
      </c>
      <c r="EI237" s="2" t="s">
        <v>3</v>
      </c>
      <c r="EJ237" s="2">
        <v>2</v>
      </c>
      <c r="EK237" s="2">
        <v>67</v>
      </c>
      <c r="EL237" s="2" t="s">
        <v>79</v>
      </c>
      <c r="EM237" s="2" t="s">
        <v>80</v>
      </c>
      <c r="EN237" s="2"/>
      <c r="EO237" s="2" t="s">
        <v>3</v>
      </c>
      <c r="EP237" s="2"/>
      <c r="EQ237" s="2">
        <v>0</v>
      </c>
      <c r="ER237" s="2">
        <v>3.45</v>
      </c>
      <c r="ES237" s="2">
        <v>3.45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0</v>
      </c>
      <c r="FT237" s="2"/>
      <c r="FU237" s="2"/>
      <c r="FV237" s="2"/>
      <c r="FW237" s="2"/>
      <c r="FX237" s="2">
        <v>97</v>
      </c>
      <c r="FY237" s="2">
        <v>51</v>
      </c>
      <c r="FZ237" s="2"/>
      <c r="GA237" s="2" t="s">
        <v>3</v>
      </c>
      <c r="GB237" s="2"/>
      <c r="GC237" s="2"/>
      <c r="GD237" s="2">
        <v>1</v>
      </c>
      <c r="GE237" s="2"/>
      <c r="GF237" s="2">
        <v>-1305428159</v>
      </c>
      <c r="GG237" s="2">
        <v>2</v>
      </c>
      <c r="GH237" s="2">
        <v>1</v>
      </c>
      <c r="GI237" s="2">
        <v>-2</v>
      </c>
      <c r="GJ237" s="2">
        <v>0</v>
      </c>
      <c r="GK237" s="2">
        <v>0</v>
      </c>
      <c r="GL237" s="2">
        <f t="shared" si="196"/>
        <v>0</v>
      </c>
      <c r="GM237" s="2">
        <f t="shared" si="197"/>
        <v>8586.36</v>
      </c>
      <c r="GN237" s="2">
        <f t="shared" si="198"/>
        <v>0</v>
      </c>
      <c r="GO237" s="2">
        <f t="shared" si="199"/>
        <v>8586.36</v>
      </c>
      <c r="GP237" s="2">
        <f t="shared" si="200"/>
        <v>0</v>
      </c>
      <c r="GQ237" s="2"/>
      <c r="GR237" s="2">
        <v>0</v>
      </c>
      <c r="GS237" s="2">
        <v>3</v>
      </c>
      <c r="GT237" s="2">
        <v>0</v>
      </c>
      <c r="GU237" s="2" t="s">
        <v>3</v>
      </c>
      <c r="GV237" s="2">
        <f t="shared" si="201"/>
        <v>0</v>
      </c>
      <c r="GW237" s="2">
        <v>1</v>
      </c>
      <c r="GX237" s="2">
        <f t="shared" si="202"/>
        <v>0</v>
      </c>
      <c r="GY237" s="2"/>
      <c r="GZ237" s="2"/>
      <c r="HA237" s="2">
        <v>0</v>
      </c>
      <c r="HB237" s="2">
        <v>0</v>
      </c>
      <c r="HC237" s="2">
        <f t="shared" si="203"/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3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2">
      <c r="A238">
        <v>18</v>
      </c>
      <c r="B238">
        <v>1</v>
      </c>
      <c r="C238">
        <v>184</v>
      </c>
      <c r="E238" t="s">
        <v>272</v>
      </c>
      <c r="F238" t="s">
        <v>82</v>
      </c>
      <c r="G238" t="s">
        <v>83</v>
      </c>
      <c r="H238" t="s">
        <v>84</v>
      </c>
      <c r="I238">
        <f>I236*J238</f>
        <v>2488.8000000000002</v>
      </c>
      <c r="J238">
        <v>102.00000000000001</v>
      </c>
      <c r="K238">
        <v>102</v>
      </c>
      <c r="O238">
        <f t="shared" si="174"/>
        <v>33744.39</v>
      </c>
      <c r="P238">
        <f t="shared" si="204"/>
        <v>33744.39</v>
      </c>
      <c r="Q238">
        <f>(ROUND((ROUND(((ET238)*AV238*I238),2)*BB238),2)+ROUND((ROUND(((AE238-(EU238))*AV238*I238),2)*BS238),2))</f>
        <v>0</v>
      </c>
      <c r="R238">
        <f t="shared" si="175"/>
        <v>0</v>
      </c>
      <c r="S238">
        <f t="shared" si="176"/>
        <v>0</v>
      </c>
      <c r="T238">
        <f t="shared" si="177"/>
        <v>0</v>
      </c>
      <c r="U238">
        <f t="shared" si="178"/>
        <v>0</v>
      </c>
      <c r="V238">
        <f t="shared" si="179"/>
        <v>0</v>
      </c>
      <c r="W238">
        <f t="shared" si="180"/>
        <v>0</v>
      </c>
      <c r="X238">
        <f t="shared" si="181"/>
        <v>0</v>
      </c>
      <c r="Y238">
        <f t="shared" si="182"/>
        <v>0</v>
      </c>
      <c r="AA238">
        <v>56959431</v>
      </c>
      <c r="AB238">
        <f t="shared" si="183"/>
        <v>3.45</v>
      </c>
      <c r="AC238">
        <f t="shared" si="184"/>
        <v>3.45</v>
      </c>
      <c r="AD238">
        <f>ROUND((((ET238)-(EU238))+AE238),6)</f>
        <v>0</v>
      </c>
      <c r="AE238">
        <f>ROUND((EU238),6)</f>
        <v>0</v>
      </c>
      <c r="AF238">
        <f>ROUND((EV238),6)</f>
        <v>0</v>
      </c>
      <c r="AG238">
        <f t="shared" si="185"/>
        <v>0</v>
      </c>
      <c r="AH238">
        <f>(EW238)</f>
        <v>0</v>
      </c>
      <c r="AI238">
        <f>(EX238)</f>
        <v>0</v>
      </c>
      <c r="AJ238">
        <f t="shared" si="186"/>
        <v>0</v>
      </c>
      <c r="AK238">
        <v>3.45</v>
      </c>
      <c r="AL238">
        <v>3.45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97</v>
      </c>
      <c r="AU238">
        <v>51</v>
      </c>
      <c r="AV238">
        <v>1</v>
      </c>
      <c r="AW238">
        <v>1</v>
      </c>
      <c r="AZ238">
        <v>1</v>
      </c>
      <c r="BA238">
        <v>1</v>
      </c>
      <c r="BB238">
        <v>1</v>
      </c>
      <c r="BC238">
        <v>3.93</v>
      </c>
      <c r="BD238" t="s">
        <v>3</v>
      </c>
      <c r="BE238" t="s">
        <v>3</v>
      </c>
      <c r="BF238" t="s">
        <v>3</v>
      </c>
      <c r="BG238" t="s">
        <v>3</v>
      </c>
      <c r="BH238">
        <v>3</v>
      </c>
      <c r="BI238">
        <v>2</v>
      </c>
      <c r="BJ238" t="s">
        <v>85</v>
      </c>
      <c r="BM238">
        <v>67</v>
      </c>
      <c r="BN238">
        <v>55992028</v>
      </c>
      <c r="BO238" t="s">
        <v>82</v>
      </c>
      <c r="BP238">
        <v>1</v>
      </c>
      <c r="BQ238">
        <v>40</v>
      </c>
      <c r="BR238">
        <v>0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 t="s">
        <v>3</v>
      </c>
      <c r="BZ238">
        <v>97</v>
      </c>
      <c r="CA238">
        <v>51</v>
      </c>
      <c r="CB238" t="s">
        <v>3</v>
      </c>
      <c r="CE238">
        <v>30</v>
      </c>
      <c r="CF238">
        <v>0</v>
      </c>
      <c r="CG238">
        <v>0</v>
      </c>
      <c r="CM238">
        <v>0</v>
      </c>
      <c r="CN238" t="s">
        <v>3</v>
      </c>
      <c r="CO238">
        <v>0</v>
      </c>
      <c r="CP238">
        <f t="shared" si="187"/>
        <v>33744.39</v>
      </c>
      <c r="CQ238">
        <f t="shared" si="205"/>
        <v>13.56</v>
      </c>
      <c r="CR238">
        <f>(ROUND((ROUND(((ET238)*AV238*1),2)*BB238),2)+ROUND((ROUND(((AE238-(EU238))*AV238*1),2)*BS238),2))</f>
        <v>0</v>
      </c>
      <c r="CS238">
        <f t="shared" si="188"/>
        <v>0</v>
      </c>
      <c r="CT238">
        <f t="shared" si="189"/>
        <v>0</v>
      </c>
      <c r="CU238">
        <f t="shared" si="190"/>
        <v>0</v>
      </c>
      <c r="CV238">
        <f t="shared" si="191"/>
        <v>0</v>
      </c>
      <c r="CW238">
        <f t="shared" si="192"/>
        <v>0</v>
      </c>
      <c r="CX238">
        <f t="shared" si="193"/>
        <v>0</v>
      </c>
      <c r="CY238">
        <f t="shared" si="194"/>
        <v>0</v>
      </c>
      <c r="CZ238">
        <f t="shared" si="195"/>
        <v>0</v>
      </c>
      <c r="DC238" t="s">
        <v>3</v>
      </c>
      <c r="DD238" t="s">
        <v>3</v>
      </c>
      <c r="DE238" t="s">
        <v>3</v>
      </c>
      <c r="DF238" t="s">
        <v>3</v>
      </c>
      <c r="DG238" t="s">
        <v>3</v>
      </c>
      <c r="DH238" t="s">
        <v>3</v>
      </c>
      <c r="DI238" t="s">
        <v>3</v>
      </c>
      <c r="DJ238" t="s">
        <v>3</v>
      </c>
      <c r="DK238" t="s">
        <v>3</v>
      </c>
      <c r="DL238" t="s">
        <v>3</v>
      </c>
      <c r="DM238" t="s">
        <v>3</v>
      </c>
      <c r="DN238">
        <v>0</v>
      </c>
      <c r="DO238">
        <v>0</v>
      </c>
      <c r="DP238">
        <v>1</v>
      </c>
      <c r="DQ238">
        <v>1</v>
      </c>
      <c r="DU238">
        <v>1003</v>
      </c>
      <c r="DV238" t="s">
        <v>84</v>
      </c>
      <c r="DW238" t="s">
        <v>84</v>
      </c>
      <c r="DX238">
        <v>1</v>
      </c>
      <c r="DZ238" t="s">
        <v>3</v>
      </c>
      <c r="EA238" t="s">
        <v>3</v>
      </c>
      <c r="EB238" t="s">
        <v>3</v>
      </c>
      <c r="EC238" t="s">
        <v>3</v>
      </c>
      <c r="EE238">
        <v>55992151</v>
      </c>
      <c r="EF238">
        <v>40</v>
      </c>
      <c r="EG238" t="s">
        <v>24</v>
      </c>
      <c r="EH238">
        <v>0</v>
      </c>
      <c r="EI238" t="s">
        <v>3</v>
      </c>
      <c r="EJ238">
        <v>2</v>
      </c>
      <c r="EK238">
        <v>67</v>
      </c>
      <c r="EL238" t="s">
        <v>79</v>
      </c>
      <c r="EM238" t="s">
        <v>80</v>
      </c>
      <c r="EO238" t="s">
        <v>3</v>
      </c>
      <c r="EQ238">
        <v>0</v>
      </c>
      <c r="ER238">
        <v>3.45</v>
      </c>
      <c r="ES238">
        <v>3.45</v>
      </c>
      <c r="ET238">
        <v>0</v>
      </c>
      <c r="EU238">
        <v>0</v>
      </c>
      <c r="EV238">
        <v>0</v>
      </c>
      <c r="EW238">
        <v>0</v>
      </c>
      <c r="EX238">
        <v>0</v>
      </c>
      <c r="FQ238">
        <v>0</v>
      </c>
      <c r="FR238">
        <v>0</v>
      </c>
      <c r="FS238">
        <v>0</v>
      </c>
      <c r="FX238">
        <v>97</v>
      </c>
      <c r="FY238">
        <v>51</v>
      </c>
      <c r="GA238" t="s">
        <v>3</v>
      </c>
      <c r="GD238">
        <v>1</v>
      </c>
      <c r="GF238">
        <v>-1305428159</v>
      </c>
      <c r="GG238">
        <v>2</v>
      </c>
      <c r="GH238">
        <v>1</v>
      </c>
      <c r="GI238">
        <v>2</v>
      </c>
      <c r="GJ238">
        <v>0</v>
      </c>
      <c r="GK238">
        <v>0</v>
      </c>
      <c r="GL238">
        <f t="shared" si="196"/>
        <v>0</v>
      </c>
      <c r="GM238">
        <f t="shared" si="197"/>
        <v>33744.39</v>
      </c>
      <c r="GN238">
        <f t="shared" si="198"/>
        <v>0</v>
      </c>
      <c r="GO238">
        <f t="shared" si="199"/>
        <v>33744.39</v>
      </c>
      <c r="GP238">
        <f t="shared" si="200"/>
        <v>0</v>
      </c>
      <c r="GR238">
        <v>0</v>
      </c>
      <c r="GS238">
        <v>3</v>
      </c>
      <c r="GT238">
        <v>0</v>
      </c>
      <c r="GU238" t="s">
        <v>3</v>
      </c>
      <c r="GV238">
        <f t="shared" si="201"/>
        <v>0</v>
      </c>
      <c r="GW238">
        <v>1</v>
      </c>
      <c r="GX238">
        <f t="shared" si="202"/>
        <v>0</v>
      </c>
      <c r="HA238">
        <v>0</v>
      </c>
      <c r="HB238">
        <v>0</v>
      </c>
      <c r="HC238">
        <f t="shared" si="203"/>
        <v>0</v>
      </c>
      <c r="HE238" t="s">
        <v>3</v>
      </c>
      <c r="HF238" t="s">
        <v>3</v>
      </c>
      <c r="HM238" t="s">
        <v>3</v>
      </c>
      <c r="HN238" t="s">
        <v>3</v>
      </c>
      <c r="HO238" t="s">
        <v>3</v>
      </c>
      <c r="HP238" t="s">
        <v>3</v>
      </c>
      <c r="HQ238" t="s">
        <v>3</v>
      </c>
      <c r="HS238">
        <v>0</v>
      </c>
      <c r="IK238">
        <v>0</v>
      </c>
    </row>
    <row r="239" spans="1:255" x14ac:dyDescent="0.2">
      <c r="A239" s="2">
        <v>17</v>
      </c>
      <c r="B239" s="2">
        <v>1</v>
      </c>
      <c r="C239" s="2">
        <f>ROW(SmtRes!A194)</f>
        <v>194</v>
      </c>
      <c r="D239" s="2">
        <f>ROW(EtalonRes!A236)</f>
        <v>236</v>
      </c>
      <c r="E239" s="2" t="s">
        <v>273</v>
      </c>
      <c r="F239" s="2" t="s">
        <v>95</v>
      </c>
      <c r="G239" s="2" t="s">
        <v>96</v>
      </c>
      <c r="H239" s="2" t="s">
        <v>77</v>
      </c>
      <c r="I239" s="2">
        <f>ROUND(1500/100,9)</f>
        <v>15</v>
      </c>
      <c r="J239" s="2">
        <v>0</v>
      </c>
      <c r="K239" s="2">
        <f>ROUND(1500/100,9)</f>
        <v>15</v>
      </c>
      <c r="L239" s="2"/>
      <c r="M239" s="2"/>
      <c r="N239" s="2"/>
      <c r="O239" s="2">
        <f t="shared" si="174"/>
        <v>1871.64</v>
      </c>
      <c r="P239" s="2">
        <f t="shared" si="204"/>
        <v>872.25</v>
      </c>
      <c r="Q239" s="2">
        <f>(ROUND((ROUND((((ET239*1.1))*AV239*I239),2)*BB239),2)+ROUND((ROUND(((AE239-((EU239*1.1)))*AV239*I239),2)*BS239),2))</f>
        <v>45.26</v>
      </c>
      <c r="R239" s="2">
        <f t="shared" si="175"/>
        <v>5.18</v>
      </c>
      <c r="S239" s="2">
        <f t="shared" si="176"/>
        <v>954.13</v>
      </c>
      <c r="T239" s="2">
        <f t="shared" si="177"/>
        <v>0</v>
      </c>
      <c r="U239" s="2">
        <f t="shared" si="178"/>
        <v>77.56699500000002</v>
      </c>
      <c r="V239" s="2">
        <f t="shared" si="179"/>
        <v>0</v>
      </c>
      <c r="W239" s="2">
        <f t="shared" si="180"/>
        <v>0</v>
      </c>
      <c r="X239" s="2">
        <f t="shared" si="181"/>
        <v>930.53</v>
      </c>
      <c r="Y239" s="2">
        <f t="shared" si="182"/>
        <v>489.25</v>
      </c>
      <c r="Z239" s="2"/>
      <c r="AA239" s="2">
        <v>56959434</v>
      </c>
      <c r="AB239" s="2">
        <f t="shared" si="183"/>
        <v>121.785</v>
      </c>
      <c r="AC239" s="2">
        <f t="shared" si="184"/>
        <v>58.15</v>
      </c>
      <c r="AD239" s="2">
        <f>ROUND(((((ET239*1.1))-((EU239*1.1)))+AE239),6)</f>
        <v>2.8820000000000001</v>
      </c>
      <c r="AE239" s="2">
        <f>ROUND(((EU239*1.1)),6)</f>
        <v>0.33</v>
      </c>
      <c r="AF239" s="2">
        <f>ROUND(((EV239*1.1)),6)</f>
        <v>60.753</v>
      </c>
      <c r="AG239" s="2">
        <f t="shared" si="185"/>
        <v>0</v>
      </c>
      <c r="AH239" s="2">
        <f>((EW239*1.1))</f>
        <v>4.9390000000000009</v>
      </c>
      <c r="AI239" s="2">
        <f>((EX239*1.1))</f>
        <v>0</v>
      </c>
      <c r="AJ239" s="2">
        <f t="shared" si="186"/>
        <v>0</v>
      </c>
      <c r="AK239" s="2">
        <v>116</v>
      </c>
      <c r="AL239" s="2">
        <v>58.15</v>
      </c>
      <c r="AM239" s="2">
        <v>2.62</v>
      </c>
      <c r="AN239" s="2">
        <v>0.3</v>
      </c>
      <c r="AO239" s="2">
        <v>55.23</v>
      </c>
      <c r="AP239" s="2">
        <v>0</v>
      </c>
      <c r="AQ239" s="2">
        <v>4.49</v>
      </c>
      <c r="AR239" s="2">
        <v>0</v>
      </c>
      <c r="AS239" s="2">
        <v>0</v>
      </c>
      <c r="AT239" s="2">
        <v>97</v>
      </c>
      <c r="AU239" s="2">
        <v>51</v>
      </c>
      <c r="AV239" s="2">
        <v>1.0469999999999999</v>
      </c>
      <c r="AW239" s="2">
        <v>1</v>
      </c>
      <c r="AX239" s="2"/>
      <c r="AY239" s="2"/>
      <c r="AZ239" s="2">
        <v>1</v>
      </c>
      <c r="BA239" s="2">
        <v>1</v>
      </c>
      <c r="BB239" s="2">
        <v>1</v>
      </c>
      <c r="BC239" s="2">
        <v>1</v>
      </c>
      <c r="BD239" s="2" t="s">
        <v>3</v>
      </c>
      <c r="BE239" s="2" t="s">
        <v>3</v>
      </c>
      <c r="BF239" s="2" t="s">
        <v>3</v>
      </c>
      <c r="BG239" s="2" t="s">
        <v>3</v>
      </c>
      <c r="BH239" s="2">
        <v>0</v>
      </c>
      <c r="BI239" s="2">
        <v>2</v>
      </c>
      <c r="BJ239" s="2" t="s">
        <v>97</v>
      </c>
      <c r="BK239" s="2"/>
      <c r="BL239" s="2"/>
      <c r="BM239" s="2">
        <v>67</v>
      </c>
      <c r="BN239" s="2">
        <v>55992028</v>
      </c>
      <c r="BO239" s="2" t="s">
        <v>95</v>
      </c>
      <c r="BP239" s="2">
        <v>1</v>
      </c>
      <c r="BQ239" s="2">
        <v>40</v>
      </c>
      <c r="BR239" s="2">
        <v>0</v>
      </c>
      <c r="BS239" s="2">
        <v>1</v>
      </c>
      <c r="BT239" s="2">
        <v>1</v>
      </c>
      <c r="BU239" s="2">
        <v>1</v>
      </c>
      <c r="BV239" s="2">
        <v>1</v>
      </c>
      <c r="BW239" s="2">
        <v>1</v>
      </c>
      <c r="BX239" s="2">
        <v>1</v>
      </c>
      <c r="BY239" s="2" t="s">
        <v>3</v>
      </c>
      <c r="BZ239" s="2">
        <v>97</v>
      </c>
      <c r="CA239" s="2">
        <v>51</v>
      </c>
      <c r="CB239" s="2" t="s">
        <v>3</v>
      </c>
      <c r="CC239" s="2"/>
      <c r="CD239" s="2"/>
      <c r="CE239" s="2">
        <v>30</v>
      </c>
      <c r="CF239" s="2">
        <v>0</v>
      </c>
      <c r="CG239" s="2">
        <v>0</v>
      </c>
      <c r="CH239" s="2"/>
      <c r="CI239" s="2"/>
      <c r="CJ239" s="2"/>
      <c r="CK239" s="2"/>
      <c r="CL239" s="2"/>
      <c r="CM239" s="2">
        <v>0</v>
      </c>
      <c r="CN239" s="2" t="s">
        <v>673</v>
      </c>
      <c r="CO239" s="2">
        <v>0</v>
      </c>
      <c r="CP239" s="2">
        <f t="shared" si="187"/>
        <v>1871.6399999999999</v>
      </c>
      <c r="CQ239" s="2">
        <f t="shared" si="205"/>
        <v>58.15</v>
      </c>
      <c r="CR239" s="2">
        <f>(ROUND((ROUND((((ET239*1.1))*AV239*1),2)*BB239),2)+ROUND((ROUND(((AE239-((EU239*1.1)))*AV239*1),2)*BS239),2))</f>
        <v>3.02</v>
      </c>
      <c r="CS239" s="2">
        <f t="shared" si="188"/>
        <v>0.35</v>
      </c>
      <c r="CT239" s="2">
        <f t="shared" si="189"/>
        <v>63.61</v>
      </c>
      <c r="CU239" s="2">
        <f t="shared" si="190"/>
        <v>0</v>
      </c>
      <c r="CV239" s="2">
        <f t="shared" si="191"/>
        <v>5.1711330000000011</v>
      </c>
      <c r="CW239" s="2">
        <f t="shared" si="192"/>
        <v>0</v>
      </c>
      <c r="CX239" s="2">
        <f t="shared" si="193"/>
        <v>0</v>
      </c>
      <c r="CY239" s="2">
        <f t="shared" si="194"/>
        <v>930.53069999999991</v>
      </c>
      <c r="CZ239" s="2">
        <f t="shared" si="195"/>
        <v>489.24809999999997</v>
      </c>
      <c r="DA239" s="2"/>
      <c r="DB239" s="2"/>
      <c r="DC239" s="2" t="s">
        <v>3</v>
      </c>
      <c r="DD239" s="2" t="s">
        <v>3</v>
      </c>
      <c r="DE239" s="2" t="s">
        <v>23</v>
      </c>
      <c r="DF239" s="2" t="s">
        <v>23</v>
      </c>
      <c r="DG239" s="2" t="s">
        <v>23</v>
      </c>
      <c r="DH239" s="2" t="s">
        <v>3</v>
      </c>
      <c r="DI239" s="2" t="s">
        <v>23</v>
      </c>
      <c r="DJ239" s="2" t="s">
        <v>23</v>
      </c>
      <c r="DK239" s="2" t="s">
        <v>3</v>
      </c>
      <c r="DL239" s="2" t="s">
        <v>3</v>
      </c>
      <c r="DM239" s="2" t="s">
        <v>3</v>
      </c>
      <c r="DN239" s="2">
        <v>0</v>
      </c>
      <c r="DO239" s="2">
        <v>0</v>
      </c>
      <c r="DP239" s="2">
        <v>1</v>
      </c>
      <c r="DQ239" s="2">
        <v>1</v>
      </c>
      <c r="DR239" s="2"/>
      <c r="DS239" s="2"/>
      <c r="DT239" s="2"/>
      <c r="DU239" s="2">
        <v>1003</v>
      </c>
      <c r="DV239" s="2" t="s">
        <v>77</v>
      </c>
      <c r="DW239" s="2" t="s">
        <v>77</v>
      </c>
      <c r="DX239" s="2">
        <v>100</v>
      </c>
      <c r="DY239" s="2"/>
      <c r="DZ239" s="2" t="s">
        <v>3</v>
      </c>
      <c r="EA239" s="2" t="s">
        <v>3</v>
      </c>
      <c r="EB239" s="2" t="s">
        <v>3</v>
      </c>
      <c r="EC239" s="2" t="s">
        <v>3</v>
      </c>
      <c r="ED239" s="2"/>
      <c r="EE239" s="2">
        <v>55992151</v>
      </c>
      <c r="EF239" s="2">
        <v>40</v>
      </c>
      <c r="EG239" s="2" t="s">
        <v>24</v>
      </c>
      <c r="EH239" s="2">
        <v>0</v>
      </c>
      <c r="EI239" s="2" t="s">
        <v>3</v>
      </c>
      <c r="EJ239" s="2">
        <v>2</v>
      </c>
      <c r="EK239" s="2">
        <v>67</v>
      </c>
      <c r="EL239" s="2" t="s">
        <v>79</v>
      </c>
      <c r="EM239" s="2" t="s">
        <v>80</v>
      </c>
      <c r="EN239" s="2"/>
      <c r="EO239" s="2" t="s">
        <v>27</v>
      </c>
      <c r="EP239" s="2"/>
      <c r="EQ239" s="2">
        <v>0</v>
      </c>
      <c r="ER239" s="2">
        <v>116</v>
      </c>
      <c r="ES239" s="2">
        <v>58.15</v>
      </c>
      <c r="ET239" s="2">
        <v>2.62</v>
      </c>
      <c r="EU239" s="2">
        <v>0.3</v>
      </c>
      <c r="EV239" s="2">
        <v>55.23</v>
      </c>
      <c r="EW239" s="2">
        <v>4.49</v>
      </c>
      <c r="EX239" s="2">
        <v>0</v>
      </c>
      <c r="EY239" s="2">
        <v>0</v>
      </c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>
        <v>0</v>
      </c>
      <c r="FR239" s="2">
        <v>0</v>
      </c>
      <c r="FS239" s="2">
        <v>0</v>
      </c>
      <c r="FT239" s="2"/>
      <c r="FU239" s="2"/>
      <c r="FV239" s="2"/>
      <c r="FW239" s="2"/>
      <c r="FX239" s="2">
        <v>97</v>
      </c>
      <c r="FY239" s="2">
        <v>51</v>
      </c>
      <c r="FZ239" s="2"/>
      <c r="GA239" s="2" t="s">
        <v>3</v>
      </c>
      <c r="GB239" s="2"/>
      <c r="GC239" s="2"/>
      <c r="GD239" s="2">
        <v>1</v>
      </c>
      <c r="GE239" s="2"/>
      <c r="GF239" s="2">
        <v>770559996</v>
      </c>
      <c r="GG239" s="2">
        <v>2</v>
      </c>
      <c r="GH239" s="2">
        <v>1</v>
      </c>
      <c r="GI239" s="2">
        <v>2</v>
      </c>
      <c r="GJ239" s="2">
        <v>0</v>
      </c>
      <c r="GK239" s="2">
        <v>0</v>
      </c>
      <c r="GL239" s="2">
        <f t="shared" si="196"/>
        <v>0</v>
      </c>
      <c r="GM239" s="2">
        <f t="shared" si="197"/>
        <v>3291.42</v>
      </c>
      <c r="GN239" s="2">
        <f t="shared" si="198"/>
        <v>0</v>
      </c>
      <c r="GO239" s="2">
        <f t="shared" si="199"/>
        <v>3291.42</v>
      </c>
      <c r="GP239" s="2">
        <f t="shared" si="200"/>
        <v>0</v>
      </c>
      <c r="GQ239" s="2"/>
      <c r="GR239" s="2">
        <v>0</v>
      </c>
      <c r="GS239" s="2">
        <v>3</v>
      </c>
      <c r="GT239" s="2">
        <v>0</v>
      </c>
      <c r="GU239" s="2" t="s">
        <v>3</v>
      </c>
      <c r="GV239" s="2">
        <f t="shared" si="201"/>
        <v>0</v>
      </c>
      <c r="GW239" s="2">
        <v>1</v>
      </c>
      <c r="GX239" s="2">
        <f t="shared" si="202"/>
        <v>0</v>
      </c>
      <c r="GY239" s="2"/>
      <c r="GZ239" s="2"/>
      <c r="HA239" s="2">
        <v>0</v>
      </c>
      <c r="HB239" s="2">
        <v>0</v>
      </c>
      <c r="HC239" s="2">
        <f t="shared" si="203"/>
        <v>0</v>
      </c>
      <c r="HD239" s="2"/>
      <c r="HE239" s="2" t="s">
        <v>3</v>
      </c>
      <c r="HF239" s="2" t="s">
        <v>3</v>
      </c>
      <c r="HG239" s="2"/>
      <c r="HH239" s="2"/>
      <c r="HI239" s="2"/>
      <c r="HJ239" s="2"/>
      <c r="HK239" s="2"/>
      <c r="HL239" s="2"/>
      <c r="HM239" s="2" t="s">
        <v>3</v>
      </c>
      <c r="HN239" s="2" t="s">
        <v>3</v>
      </c>
      <c r="HO239" s="2" t="s">
        <v>3</v>
      </c>
      <c r="HP239" s="2" t="s">
        <v>3</v>
      </c>
      <c r="HQ239" s="2" t="s">
        <v>3</v>
      </c>
      <c r="HR239" s="2"/>
      <c r="HS239" s="2">
        <v>0</v>
      </c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>
        <v>0</v>
      </c>
      <c r="IL239" s="2"/>
      <c r="IM239" s="2"/>
      <c r="IN239" s="2"/>
      <c r="IO239" s="2"/>
      <c r="IP239" s="2"/>
      <c r="IQ239" s="2"/>
      <c r="IR239" s="2"/>
      <c r="IS239" s="2"/>
      <c r="IT239" s="2"/>
      <c r="IU239" s="2"/>
    </row>
    <row r="240" spans="1:255" x14ac:dyDescent="0.2">
      <c r="A240">
        <v>17</v>
      </c>
      <c r="B240">
        <v>1</v>
      </c>
      <c r="C240">
        <f>ROW(SmtRes!A204)</f>
        <v>204</v>
      </c>
      <c r="D240">
        <f>ROW(EtalonRes!A246)</f>
        <v>246</v>
      </c>
      <c r="E240" t="s">
        <v>273</v>
      </c>
      <c r="F240" t="s">
        <v>95</v>
      </c>
      <c r="G240" t="s">
        <v>96</v>
      </c>
      <c r="H240" t="s">
        <v>77</v>
      </c>
      <c r="I240">
        <f>ROUND(1500/100,9)</f>
        <v>15</v>
      </c>
      <c r="J240">
        <v>0</v>
      </c>
      <c r="K240">
        <f>ROUND(1500/100,9)</f>
        <v>15</v>
      </c>
      <c r="O240">
        <f t="shared" si="174"/>
        <v>56354.38</v>
      </c>
      <c r="P240">
        <f t="shared" si="204"/>
        <v>3227.33</v>
      </c>
      <c r="Q240">
        <f>(ROUND((ROUND((((ET240*1.1))*AV240*I240),2)*BB240),2)+ROUND((ROUND(((AE240-((EU240*1.1)))*AV240*I240),2)*BS240),2))</f>
        <v>659.44</v>
      </c>
      <c r="R240">
        <f t="shared" si="175"/>
        <v>284.85000000000002</v>
      </c>
      <c r="S240">
        <f t="shared" si="176"/>
        <v>52467.61</v>
      </c>
      <c r="T240">
        <f t="shared" si="177"/>
        <v>0</v>
      </c>
      <c r="U240">
        <f t="shared" si="178"/>
        <v>77.56699500000002</v>
      </c>
      <c r="V240">
        <f t="shared" si="179"/>
        <v>0</v>
      </c>
      <c r="W240">
        <f t="shared" si="180"/>
        <v>0</v>
      </c>
      <c r="X240">
        <f t="shared" si="181"/>
        <v>51169.89</v>
      </c>
      <c r="Y240">
        <f t="shared" si="182"/>
        <v>26903.75</v>
      </c>
      <c r="AA240">
        <v>56959431</v>
      </c>
      <c r="AB240">
        <f t="shared" si="183"/>
        <v>121.785</v>
      </c>
      <c r="AC240">
        <f t="shared" si="184"/>
        <v>58.15</v>
      </c>
      <c r="AD240">
        <f>ROUND(((((ET240*1.1))-((EU240*1.1)))+AE240),6)</f>
        <v>2.8820000000000001</v>
      </c>
      <c r="AE240">
        <f>ROUND(((EU240*1.1)),6)</f>
        <v>0.33</v>
      </c>
      <c r="AF240">
        <f>ROUND(((EV240*1.1)),6)</f>
        <v>60.753</v>
      </c>
      <c r="AG240">
        <f t="shared" si="185"/>
        <v>0</v>
      </c>
      <c r="AH240">
        <f>((EW240*1.1))</f>
        <v>4.9390000000000009</v>
      </c>
      <c r="AI240">
        <f>((EX240*1.1))</f>
        <v>0</v>
      </c>
      <c r="AJ240">
        <f t="shared" si="186"/>
        <v>0</v>
      </c>
      <c r="AK240">
        <v>116</v>
      </c>
      <c r="AL240">
        <v>58.15</v>
      </c>
      <c r="AM240">
        <v>2.62</v>
      </c>
      <c r="AN240">
        <v>0.3</v>
      </c>
      <c r="AO240">
        <v>55.23</v>
      </c>
      <c r="AP240">
        <v>0</v>
      </c>
      <c r="AQ240">
        <v>4.49</v>
      </c>
      <c r="AR240">
        <v>0</v>
      </c>
      <c r="AS240">
        <v>0</v>
      </c>
      <c r="AT240">
        <v>97</v>
      </c>
      <c r="AU240">
        <v>51</v>
      </c>
      <c r="AV240">
        <v>1.0469999999999999</v>
      </c>
      <c r="AW240">
        <v>1</v>
      </c>
      <c r="AZ240">
        <v>1</v>
      </c>
      <c r="BA240">
        <v>54.99</v>
      </c>
      <c r="BB240">
        <v>14.57</v>
      </c>
      <c r="BC240">
        <v>3.7</v>
      </c>
      <c r="BD240" t="s">
        <v>3</v>
      </c>
      <c r="BE240" t="s">
        <v>3</v>
      </c>
      <c r="BF240" t="s">
        <v>3</v>
      </c>
      <c r="BG240" t="s">
        <v>3</v>
      </c>
      <c r="BH240">
        <v>0</v>
      </c>
      <c r="BI240">
        <v>2</v>
      </c>
      <c r="BJ240" t="s">
        <v>97</v>
      </c>
      <c r="BM240">
        <v>67</v>
      </c>
      <c r="BN240">
        <v>55992028</v>
      </c>
      <c r="BO240" t="s">
        <v>95</v>
      </c>
      <c r="BP240">
        <v>1</v>
      </c>
      <c r="BQ240">
        <v>40</v>
      </c>
      <c r="BR240">
        <v>0</v>
      </c>
      <c r="BS240">
        <v>54.99</v>
      </c>
      <c r="BT240">
        <v>1</v>
      </c>
      <c r="BU240">
        <v>1</v>
      </c>
      <c r="BV240">
        <v>1</v>
      </c>
      <c r="BW240">
        <v>1</v>
      </c>
      <c r="BX240">
        <v>1</v>
      </c>
      <c r="BY240" t="s">
        <v>3</v>
      </c>
      <c r="BZ240">
        <v>97</v>
      </c>
      <c r="CA240">
        <v>51</v>
      </c>
      <c r="CB240" t="s">
        <v>3</v>
      </c>
      <c r="CE240">
        <v>30</v>
      </c>
      <c r="CF240">
        <v>0</v>
      </c>
      <c r="CG240">
        <v>0</v>
      </c>
      <c r="CM240">
        <v>0</v>
      </c>
      <c r="CN240" t="s">
        <v>673</v>
      </c>
      <c r="CO240">
        <v>0</v>
      </c>
      <c r="CP240">
        <f t="shared" si="187"/>
        <v>56354.38</v>
      </c>
      <c r="CQ240">
        <f t="shared" si="205"/>
        <v>215.16</v>
      </c>
      <c r="CR240">
        <f>(ROUND((ROUND((((ET240*1.1))*AV240*1),2)*BB240),2)+ROUND((ROUND(((AE240-((EU240*1.1)))*AV240*1),2)*BS240),2))</f>
        <v>44</v>
      </c>
      <c r="CS240">
        <f t="shared" si="188"/>
        <v>19.25</v>
      </c>
      <c r="CT240">
        <f t="shared" si="189"/>
        <v>3497.91</v>
      </c>
      <c r="CU240">
        <f t="shared" si="190"/>
        <v>0</v>
      </c>
      <c r="CV240">
        <f t="shared" si="191"/>
        <v>5.1711330000000011</v>
      </c>
      <c r="CW240">
        <f t="shared" si="192"/>
        <v>0</v>
      </c>
      <c r="CX240">
        <f t="shared" si="193"/>
        <v>0</v>
      </c>
      <c r="CY240">
        <f t="shared" si="194"/>
        <v>51169.886200000001</v>
      </c>
      <c r="CZ240">
        <f t="shared" si="195"/>
        <v>26903.7546</v>
      </c>
      <c r="DC240" t="s">
        <v>3</v>
      </c>
      <c r="DD240" t="s">
        <v>3</v>
      </c>
      <c r="DE240" t="s">
        <v>23</v>
      </c>
      <c r="DF240" t="s">
        <v>23</v>
      </c>
      <c r="DG240" t="s">
        <v>23</v>
      </c>
      <c r="DH240" t="s">
        <v>3</v>
      </c>
      <c r="DI240" t="s">
        <v>23</v>
      </c>
      <c r="DJ240" t="s">
        <v>23</v>
      </c>
      <c r="DK240" t="s">
        <v>3</v>
      </c>
      <c r="DL240" t="s">
        <v>3</v>
      </c>
      <c r="DM240" t="s">
        <v>3</v>
      </c>
      <c r="DN240">
        <v>0</v>
      </c>
      <c r="DO240">
        <v>0</v>
      </c>
      <c r="DP240">
        <v>1</v>
      </c>
      <c r="DQ240">
        <v>1</v>
      </c>
      <c r="DU240">
        <v>1003</v>
      </c>
      <c r="DV240" t="s">
        <v>77</v>
      </c>
      <c r="DW240" t="s">
        <v>77</v>
      </c>
      <c r="DX240">
        <v>100</v>
      </c>
      <c r="DZ240" t="s">
        <v>3</v>
      </c>
      <c r="EA240" t="s">
        <v>3</v>
      </c>
      <c r="EB240" t="s">
        <v>3</v>
      </c>
      <c r="EC240" t="s">
        <v>3</v>
      </c>
      <c r="EE240">
        <v>55992151</v>
      </c>
      <c r="EF240">
        <v>40</v>
      </c>
      <c r="EG240" t="s">
        <v>24</v>
      </c>
      <c r="EH240">
        <v>0</v>
      </c>
      <c r="EI240" t="s">
        <v>3</v>
      </c>
      <c r="EJ240">
        <v>2</v>
      </c>
      <c r="EK240">
        <v>67</v>
      </c>
      <c r="EL240" t="s">
        <v>79</v>
      </c>
      <c r="EM240" t="s">
        <v>80</v>
      </c>
      <c r="EO240" t="s">
        <v>27</v>
      </c>
      <c r="EQ240">
        <v>0</v>
      </c>
      <c r="ER240">
        <v>116</v>
      </c>
      <c r="ES240">
        <v>58.15</v>
      </c>
      <c r="ET240">
        <v>2.62</v>
      </c>
      <c r="EU240">
        <v>0.3</v>
      </c>
      <c r="EV240">
        <v>55.23</v>
      </c>
      <c r="EW240">
        <v>4.49</v>
      </c>
      <c r="EX240">
        <v>0</v>
      </c>
      <c r="EY240">
        <v>0</v>
      </c>
      <c r="FQ240">
        <v>0</v>
      </c>
      <c r="FR240">
        <v>0</v>
      </c>
      <c r="FS240">
        <v>0</v>
      </c>
      <c r="FX240">
        <v>97</v>
      </c>
      <c r="FY240">
        <v>51</v>
      </c>
      <c r="GA240" t="s">
        <v>3</v>
      </c>
      <c r="GD240">
        <v>1</v>
      </c>
      <c r="GF240">
        <v>770559996</v>
      </c>
      <c r="GG240">
        <v>2</v>
      </c>
      <c r="GH240">
        <v>1</v>
      </c>
      <c r="GI240">
        <v>2</v>
      </c>
      <c r="GJ240">
        <v>0</v>
      </c>
      <c r="GK240">
        <v>0</v>
      </c>
      <c r="GL240">
        <f t="shared" si="196"/>
        <v>0</v>
      </c>
      <c r="GM240">
        <f t="shared" si="197"/>
        <v>134428.01999999999</v>
      </c>
      <c r="GN240">
        <f t="shared" si="198"/>
        <v>0</v>
      </c>
      <c r="GO240">
        <f t="shared" si="199"/>
        <v>134428.01999999999</v>
      </c>
      <c r="GP240">
        <f t="shared" si="200"/>
        <v>0</v>
      </c>
      <c r="GR240">
        <v>0</v>
      </c>
      <c r="GS240">
        <v>3</v>
      </c>
      <c r="GT240">
        <v>0</v>
      </c>
      <c r="GU240" t="s">
        <v>3</v>
      </c>
      <c r="GV240">
        <f t="shared" si="201"/>
        <v>0</v>
      </c>
      <c r="GW240">
        <v>1</v>
      </c>
      <c r="GX240">
        <f t="shared" si="202"/>
        <v>0</v>
      </c>
      <c r="HA240">
        <v>0</v>
      </c>
      <c r="HB240">
        <v>0</v>
      </c>
      <c r="HC240">
        <f t="shared" si="203"/>
        <v>0</v>
      </c>
      <c r="HE240" t="s">
        <v>3</v>
      </c>
      <c r="HF240" t="s">
        <v>3</v>
      </c>
      <c r="HM240" t="s">
        <v>3</v>
      </c>
      <c r="HN240" t="s">
        <v>3</v>
      </c>
      <c r="HO240" t="s">
        <v>3</v>
      </c>
      <c r="HP240" t="s">
        <v>3</v>
      </c>
      <c r="HQ240" t="s">
        <v>3</v>
      </c>
      <c r="HS240">
        <v>0</v>
      </c>
      <c r="IK240">
        <v>0</v>
      </c>
    </row>
    <row r="241" spans="1:255" x14ac:dyDescent="0.2">
      <c r="A241" s="2">
        <v>18</v>
      </c>
      <c r="B241" s="2">
        <v>1</v>
      </c>
      <c r="C241" s="2">
        <v>194</v>
      </c>
      <c r="D241" s="2"/>
      <c r="E241" s="2" t="s">
        <v>274</v>
      </c>
      <c r="F241" s="2" t="s">
        <v>195</v>
      </c>
      <c r="G241" s="2" t="s">
        <v>196</v>
      </c>
      <c r="H241" s="2" t="s">
        <v>108</v>
      </c>
      <c r="I241" s="2">
        <f>I239*J241</f>
        <v>1.5449999999999999</v>
      </c>
      <c r="J241" s="2">
        <v>0.10299999999999999</v>
      </c>
      <c r="K241" s="2">
        <v>0.10299999999999999</v>
      </c>
      <c r="L241" s="2"/>
      <c r="M241" s="2"/>
      <c r="N241" s="2"/>
      <c r="O241" s="2">
        <f t="shared" si="174"/>
        <v>7007.72</v>
      </c>
      <c r="P241" s="2">
        <f t="shared" si="204"/>
        <v>7007.72</v>
      </c>
      <c r="Q241" s="2">
        <f>(ROUND((ROUND(((ET241)*AV241*I241),2)*BB241),2)+ROUND((ROUND(((AE241-(EU241))*AV241*I241),2)*BS241),2))</f>
        <v>0</v>
      </c>
      <c r="R241" s="2">
        <f t="shared" si="175"/>
        <v>0</v>
      </c>
      <c r="S241" s="2">
        <f t="shared" si="176"/>
        <v>0</v>
      </c>
      <c r="T241" s="2">
        <f t="shared" si="177"/>
        <v>0</v>
      </c>
      <c r="U241" s="2">
        <f t="shared" si="178"/>
        <v>0</v>
      </c>
      <c r="V241" s="2">
        <f t="shared" si="179"/>
        <v>0</v>
      </c>
      <c r="W241" s="2">
        <f t="shared" si="180"/>
        <v>0</v>
      </c>
      <c r="X241" s="2">
        <f t="shared" si="181"/>
        <v>0</v>
      </c>
      <c r="Y241" s="2">
        <f t="shared" si="182"/>
        <v>0</v>
      </c>
      <c r="Z241" s="2"/>
      <c r="AA241" s="2">
        <v>56959434</v>
      </c>
      <c r="AB241" s="2">
        <f t="shared" si="183"/>
        <v>4535.74</v>
      </c>
      <c r="AC241" s="2">
        <f t="shared" si="184"/>
        <v>4535.74</v>
      </c>
      <c r="AD241" s="2">
        <f>ROUND((((ET241)-(EU241))+AE241),6)</f>
        <v>0</v>
      </c>
      <c r="AE241" s="2">
        <f>ROUND((EU241),6)</f>
        <v>0</v>
      </c>
      <c r="AF241" s="2">
        <f>ROUND((EV241),6)</f>
        <v>0</v>
      </c>
      <c r="AG241" s="2">
        <f t="shared" si="185"/>
        <v>0</v>
      </c>
      <c r="AH241" s="2">
        <f>(EW241)</f>
        <v>0</v>
      </c>
      <c r="AI241" s="2">
        <f>(EX241)</f>
        <v>0</v>
      </c>
      <c r="AJ241" s="2">
        <f t="shared" si="186"/>
        <v>0</v>
      </c>
      <c r="AK241" s="2">
        <v>4535.74</v>
      </c>
      <c r="AL241" s="2">
        <v>4535.74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97</v>
      </c>
      <c r="AU241" s="2">
        <v>51</v>
      </c>
      <c r="AV241" s="2">
        <v>1</v>
      </c>
      <c r="AW241" s="2">
        <v>1</v>
      </c>
      <c r="AX241" s="2"/>
      <c r="AY241" s="2"/>
      <c r="AZ241" s="2">
        <v>1</v>
      </c>
      <c r="BA241" s="2">
        <v>1</v>
      </c>
      <c r="BB241" s="2">
        <v>1</v>
      </c>
      <c r="BC241" s="2">
        <v>1</v>
      </c>
      <c r="BD241" s="2" t="s">
        <v>3</v>
      </c>
      <c r="BE241" s="2" t="s">
        <v>3</v>
      </c>
      <c r="BF241" s="2" t="s">
        <v>3</v>
      </c>
      <c r="BG241" s="2" t="s">
        <v>3</v>
      </c>
      <c r="BH241" s="2">
        <v>3</v>
      </c>
      <c r="BI241" s="2">
        <v>2</v>
      </c>
      <c r="BJ241" s="2" t="s">
        <v>197</v>
      </c>
      <c r="BK241" s="2"/>
      <c r="BL241" s="2"/>
      <c r="BM241" s="2">
        <v>67</v>
      </c>
      <c r="BN241" s="2">
        <v>55992028</v>
      </c>
      <c r="BO241" s="2" t="s">
        <v>3</v>
      </c>
      <c r="BP241" s="2">
        <v>0</v>
      </c>
      <c r="BQ241" s="2">
        <v>40</v>
      </c>
      <c r="BR241" s="2">
        <v>0</v>
      </c>
      <c r="BS241" s="2">
        <v>1</v>
      </c>
      <c r="BT241" s="2">
        <v>1</v>
      </c>
      <c r="BU241" s="2">
        <v>1</v>
      </c>
      <c r="BV241" s="2">
        <v>1</v>
      </c>
      <c r="BW241" s="2">
        <v>1</v>
      </c>
      <c r="BX241" s="2">
        <v>1</v>
      </c>
      <c r="BY241" s="2" t="s">
        <v>3</v>
      </c>
      <c r="BZ241" s="2">
        <v>97</v>
      </c>
      <c r="CA241" s="2">
        <v>51</v>
      </c>
      <c r="CB241" s="2" t="s">
        <v>3</v>
      </c>
      <c r="CC241" s="2"/>
      <c r="CD241" s="2"/>
      <c r="CE241" s="2">
        <v>30</v>
      </c>
      <c r="CF241" s="2">
        <v>0</v>
      </c>
      <c r="CG241" s="2">
        <v>0</v>
      </c>
      <c r="CH241" s="2"/>
      <c r="CI241" s="2"/>
      <c r="CJ241" s="2"/>
      <c r="CK241" s="2"/>
      <c r="CL241" s="2"/>
      <c r="CM241" s="2">
        <v>0</v>
      </c>
      <c r="CN241" s="2" t="s">
        <v>3</v>
      </c>
      <c r="CO241" s="2">
        <v>0</v>
      </c>
      <c r="CP241" s="2">
        <f t="shared" si="187"/>
        <v>7007.72</v>
      </c>
      <c r="CQ241" s="2">
        <f t="shared" si="205"/>
        <v>4535.74</v>
      </c>
      <c r="CR241" s="2">
        <f>(ROUND((ROUND(((ET241)*AV241*1),2)*BB241),2)+ROUND((ROUND(((AE241-(EU241))*AV241*1),2)*BS241),2))</f>
        <v>0</v>
      </c>
      <c r="CS241" s="2">
        <f t="shared" si="188"/>
        <v>0</v>
      </c>
      <c r="CT241" s="2">
        <f t="shared" si="189"/>
        <v>0</v>
      </c>
      <c r="CU241" s="2">
        <f t="shared" si="190"/>
        <v>0</v>
      </c>
      <c r="CV241" s="2">
        <f t="shared" si="191"/>
        <v>0</v>
      </c>
      <c r="CW241" s="2">
        <f t="shared" si="192"/>
        <v>0</v>
      </c>
      <c r="CX241" s="2">
        <f t="shared" si="193"/>
        <v>0</v>
      </c>
      <c r="CY241" s="2">
        <f t="shared" si="194"/>
        <v>0</v>
      </c>
      <c r="CZ241" s="2">
        <f t="shared" si="195"/>
        <v>0</v>
      </c>
      <c r="DA241" s="2"/>
      <c r="DB241" s="2"/>
      <c r="DC241" s="2" t="s">
        <v>3</v>
      </c>
      <c r="DD241" s="2" t="s">
        <v>3</v>
      </c>
      <c r="DE241" s="2" t="s">
        <v>3</v>
      </c>
      <c r="DF241" s="2" t="s">
        <v>3</v>
      </c>
      <c r="DG241" s="2" t="s">
        <v>3</v>
      </c>
      <c r="DH241" s="2" t="s">
        <v>3</v>
      </c>
      <c r="DI241" s="2" t="s">
        <v>3</v>
      </c>
      <c r="DJ241" s="2" t="s">
        <v>3</v>
      </c>
      <c r="DK241" s="2" t="s">
        <v>3</v>
      </c>
      <c r="DL241" s="2" t="s">
        <v>3</v>
      </c>
      <c r="DM241" s="2" t="s">
        <v>3</v>
      </c>
      <c r="DN241" s="2">
        <v>0</v>
      </c>
      <c r="DO241" s="2">
        <v>0</v>
      </c>
      <c r="DP241" s="2">
        <v>1</v>
      </c>
      <c r="DQ241" s="2">
        <v>1</v>
      </c>
      <c r="DR241" s="2"/>
      <c r="DS241" s="2"/>
      <c r="DT241" s="2"/>
      <c r="DU241" s="2">
        <v>1003</v>
      </c>
      <c r="DV241" s="2" t="s">
        <v>108</v>
      </c>
      <c r="DW241" s="2" t="s">
        <v>108</v>
      </c>
      <c r="DX241" s="2">
        <v>1000</v>
      </c>
      <c r="DY241" s="2"/>
      <c r="DZ241" s="2" t="s">
        <v>3</v>
      </c>
      <c r="EA241" s="2" t="s">
        <v>3</v>
      </c>
      <c r="EB241" s="2" t="s">
        <v>3</v>
      </c>
      <c r="EC241" s="2" t="s">
        <v>3</v>
      </c>
      <c r="ED241" s="2"/>
      <c r="EE241" s="2">
        <v>55992151</v>
      </c>
      <c r="EF241" s="2">
        <v>40</v>
      </c>
      <c r="EG241" s="2" t="s">
        <v>24</v>
      </c>
      <c r="EH241" s="2">
        <v>0</v>
      </c>
      <c r="EI241" s="2" t="s">
        <v>3</v>
      </c>
      <c r="EJ241" s="2">
        <v>2</v>
      </c>
      <c r="EK241" s="2">
        <v>67</v>
      </c>
      <c r="EL241" s="2" t="s">
        <v>79</v>
      </c>
      <c r="EM241" s="2" t="s">
        <v>80</v>
      </c>
      <c r="EN241" s="2"/>
      <c r="EO241" s="2" t="s">
        <v>3</v>
      </c>
      <c r="EP241" s="2"/>
      <c r="EQ241" s="2">
        <v>0</v>
      </c>
      <c r="ER241" s="2">
        <v>4535.74</v>
      </c>
      <c r="ES241" s="2">
        <v>4535.74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>
        <v>0</v>
      </c>
      <c r="FR241" s="2">
        <v>0</v>
      </c>
      <c r="FS241" s="2">
        <v>0</v>
      </c>
      <c r="FT241" s="2"/>
      <c r="FU241" s="2"/>
      <c r="FV241" s="2"/>
      <c r="FW241" s="2"/>
      <c r="FX241" s="2">
        <v>97</v>
      </c>
      <c r="FY241" s="2">
        <v>51</v>
      </c>
      <c r="FZ241" s="2"/>
      <c r="GA241" s="2" t="s">
        <v>3</v>
      </c>
      <c r="GB241" s="2"/>
      <c r="GC241" s="2"/>
      <c r="GD241" s="2">
        <v>1</v>
      </c>
      <c r="GE241" s="2"/>
      <c r="GF241" s="2">
        <v>-451984637</v>
      </c>
      <c r="GG241" s="2">
        <v>2</v>
      </c>
      <c r="GH241" s="2">
        <v>1</v>
      </c>
      <c r="GI241" s="2">
        <v>-2</v>
      </c>
      <c r="GJ241" s="2">
        <v>0</v>
      </c>
      <c r="GK241" s="2">
        <v>0</v>
      </c>
      <c r="GL241" s="2">
        <f t="shared" si="196"/>
        <v>0</v>
      </c>
      <c r="GM241" s="2">
        <f t="shared" si="197"/>
        <v>7007.72</v>
      </c>
      <c r="GN241" s="2">
        <f t="shared" si="198"/>
        <v>0</v>
      </c>
      <c r="GO241" s="2">
        <f t="shared" si="199"/>
        <v>7007.72</v>
      </c>
      <c r="GP241" s="2">
        <f t="shared" si="200"/>
        <v>0</v>
      </c>
      <c r="GQ241" s="2"/>
      <c r="GR241" s="2">
        <v>0</v>
      </c>
      <c r="GS241" s="2">
        <v>3</v>
      </c>
      <c r="GT241" s="2">
        <v>0</v>
      </c>
      <c r="GU241" s="2" t="s">
        <v>3</v>
      </c>
      <c r="GV241" s="2">
        <f t="shared" si="201"/>
        <v>0</v>
      </c>
      <c r="GW241" s="2">
        <v>1</v>
      </c>
      <c r="GX241" s="2">
        <f t="shared" si="202"/>
        <v>0</v>
      </c>
      <c r="GY241" s="2"/>
      <c r="GZ241" s="2"/>
      <c r="HA241" s="2">
        <v>0</v>
      </c>
      <c r="HB241" s="2">
        <v>0</v>
      </c>
      <c r="HC241" s="2">
        <f t="shared" si="203"/>
        <v>0</v>
      </c>
      <c r="HD241" s="2"/>
      <c r="HE241" s="2" t="s">
        <v>3</v>
      </c>
      <c r="HF241" s="2" t="s">
        <v>3</v>
      </c>
      <c r="HG241" s="2"/>
      <c r="HH241" s="2"/>
      <c r="HI241" s="2"/>
      <c r="HJ241" s="2"/>
      <c r="HK241" s="2"/>
      <c r="HL241" s="2"/>
      <c r="HM241" s="2" t="s">
        <v>3</v>
      </c>
      <c r="HN241" s="2" t="s">
        <v>3</v>
      </c>
      <c r="HO241" s="2" t="s">
        <v>3</v>
      </c>
      <c r="HP241" s="2" t="s">
        <v>3</v>
      </c>
      <c r="HQ241" s="2" t="s">
        <v>3</v>
      </c>
      <c r="HR241" s="2"/>
      <c r="HS241" s="2">
        <v>0</v>
      </c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>
        <v>0</v>
      </c>
      <c r="IL241" s="2"/>
      <c r="IM241" s="2"/>
      <c r="IN241" s="2"/>
      <c r="IO241" s="2"/>
      <c r="IP241" s="2"/>
      <c r="IQ241" s="2"/>
      <c r="IR241" s="2"/>
      <c r="IS241" s="2"/>
      <c r="IT241" s="2"/>
      <c r="IU241" s="2"/>
    </row>
    <row r="242" spans="1:255" x14ac:dyDescent="0.2">
      <c r="A242">
        <v>18</v>
      </c>
      <c r="B242">
        <v>1</v>
      </c>
      <c r="C242">
        <v>204</v>
      </c>
      <c r="E242" t="s">
        <v>274</v>
      </c>
      <c r="F242" t="s">
        <v>195</v>
      </c>
      <c r="G242" t="s">
        <v>196</v>
      </c>
      <c r="H242" t="s">
        <v>108</v>
      </c>
      <c r="I242">
        <f>I240*J242</f>
        <v>1.5449999999999999</v>
      </c>
      <c r="J242">
        <v>0.10299999999999999</v>
      </c>
      <c r="K242">
        <v>0.10299999999999999</v>
      </c>
      <c r="O242">
        <f t="shared" si="174"/>
        <v>29432.42</v>
      </c>
      <c r="P242">
        <f t="shared" si="204"/>
        <v>29432.42</v>
      </c>
      <c r="Q242">
        <f>(ROUND((ROUND(((ET242)*AV242*I242),2)*BB242),2)+ROUND((ROUND(((AE242-(EU242))*AV242*I242),2)*BS242),2))</f>
        <v>0</v>
      </c>
      <c r="R242">
        <f t="shared" si="175"/>
        <v>0</v>
      </c>
      <c r="S242">
        <f t="shared" si="176"/>
        <v>0</v>
      </c>
      <c r="T242">
        <f t="shared" si="177"/>
        <v>0</v>
      </c>
      <c r="U242">
        <f t="shared" si="178"/>
        <v>0</v>
      </c>
      <c r="V242">
        <f t="shared" si="179"/>
        <v>0</v>
      </c>
      <c r="W242">
        <f t="shared" si="180"/>
        <v>0</v>
      </c>
      <c r="X242">
        <f t="shared" si="181"/>
        <v>0</v>
      </c>
      <c r="Y242">
        <f t="shared" si="182"/>
        <v>0</v>
      </c>
      <c r="AA242">
        <v>56959431</v>
      </c>
      <c r="AB242">
        <f t="shared" si="183"/>
        <v>4535.74</v>
      </c>
      <c r="AC242">
        <f t="shared" si="184"/>
        <v>4535.74</v>
      </c>
      <c r="AD242">
        <f>ROUND((((ET242)-(EU242))+AE242),6)</f>
        <v>0</v>
      </c>
      <c r="AE242">
        <f>ROUND((EU242),6)</f>
        <v>0</v>
      </c>
      <c r="AF242">
        <f>ROUND((EV242),6)</f>
        <v>0</v>
      </c>
      <c r="AG242">
        <f t="shared" si="185"/>
        <v>0</v>
      </c>
      <c r="AH242">
        <f>(EW242)</f>
        <v>0</v>
      </c>
      <c r="AI242">
        <f>(EX242)</f>
        <v>0</v>
      </c>
      <c r="AJ242">
        <f t="shared" si="186"/>
        <v>0</v>
      </c>
      <c r="AK242">
        <v>4535.74</v>
      </c>
      <c r="AL242">
        <v>4535.74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97</v>
      </c>
      <c r="AU242">
        <v>51</v>
      </c>
      <c r="AV242">
        <v>1</v>
      </c>
      <c r="AW242">
        <v>1</v>
      </c>
      <c r="AZ242">
        <v>1</v>
      </c>
      <c r="BA242">
        <v>1</v>
      </c>
      <c r="BB242">
        <v>1</v>
      </c>
      <c r="BC242">
        <v>4.2</v>
      </c>
      <c r="BD242" t="s">
        <v>3</v>
      </c>
      <c r="BE242" t="s">
        <v>3</v>
      </c>
      <c r="BF242" t="s">
        <v>3</v>
      </c>
      <c r="BG242" t="s">
        <v>3</v>
      </c>
      <c r="BH242">
        <v>3</v>
      </c>
      <c r="BI242">
        <v>2</v>
      </c>
      <c r="BJ242" t="s">
        <v>197</v>
      </c>
      <c r="BM242">
        <v>67</v>
      </c>
      <c r="BN242">
        <v>55992028</v>
      </c>
      <c r="BO242" t="s">
        <v>195</v>
      </c>
      <c r="BP242">
        <v>1</v>
      </c>
      <c r="BQ242">
        <v>40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 t="s">
        <v>3</v>
      </c>
      <c r="BZ242">
        <v>97</v>
      </c>
      <c r="CA242">
        <v>51</v>
      </c>
      <c r="CB242" t="s">
        <v>3</v>
      </c>
      <c r="CE242">
        <v>30</v>
      </c>
      <c r="CF242">
        <v>0</v>
      </c>
      <c r="CG242">
        <v>0</v>
      </c>
      <c r="CM242">
        <v>0</v>
      </c>
      <c r="CN242" t="s">
        <v>3</v>
      </c>
      <c r="CO242">
        <v>0</v>
      </c>
      <c r="CP242">
        <f t="shared" si="187"/>
        <v>29432.42</v>
      </c>
      <c r="CQ242">
        <f t="shared" si="205"/>
        <v>19050.11</v>
      </c>
      <c r="CR242">
        <f>(ROUND((ROUND(((ET242)*AV242*1),2)*BB242),2)+ROUND((ROUND(((AE242-(EU242))*AV242*1),2)*BS242),2))</f>
        <v>0</v>
      </c>
      <c r="CS242">
        <f t="shared" si="188"/>
        <v>0</v>
      </c>
      <c r="CT242">
        <f t="shared" si="189"/>
        <v>0</v>
      </c>
      <c r="CU242">
        <f t="shared" si="190"/>
        <v>0</v>
      </c>
      <c r="CV242">
        <f t="shared" si="191"/>
        <v>0</v>
      </c>
      <c r="CW242">
        <f t="shared" si="192"/>
        <v>0</v>
      </c>
      <c r="CX242">
        <f t="shared" si="193"/>
        <v>0</v>
      </c>
      <c r="CY242">
        <f t="shared" si="194"/>
        <v>0</v>
      </c>
      <c r="CZ242">
        <f t="shared" si="195"/>
        <v>0</v>
      </c>
      <c r="DC242" t="s">
        <v>3</v>
      </c>
      <c r="DD242" t="s">
        <v>3</v>
      </c>
      <c r="DE242" t="s">
        <v>3</v>
      </c>
      <c r="DF242" t="s">
        <v>3</v>
      </c>
      <c r="DG242" t="s">
        <v>3</v>
      </c>
      <c r="DH242" t="s">
        <v>3</v>
      </c>
      <c r="DI242" t="s">
        <v>3</v>
      </c>
      <c r="DJ242" t="s">
        <v>3</v>
      </c>
      <c r="DK242" t="s">
        <v>3</v>
      </c>
      <c r="DL242" t="s">
        <v>3</v>
      </c>
      <c r="DM242" t="s">
        <v>3</v>
      </c>
      <c r="DN242">
        <v>0</v>
      </c>
      <c r="DO242">
        <v>0</v>
      </c>
      <c r="DP242">
        <v>1</v>
      </c>
      <c r="DQ242">
        <v>1</v>
      </c>
      <c r="DU242">
        <v>1003</v>
      </c>
      <c r="DV242" t="s">
        <v>108</v>
      </c>
      <c r="DW242" t="s">
        <v>108</v>
      </c>
      <c r="DX242">
        <v>1000</v>
      </c>
      <c r="DZ242" t="s">
        <v>3</v>
      </c>
      <c r="EA242" t="s">
        <v>3</v>
      </c>
      <c r="EB242" t="s">
        <v>3</v>
      </c>
      <c r="EC242" t="s">
        <v>3</v>
      </c>
      <c r="EE242">
        <v>55992151</v>
      </c>
      <c r="EF242">
        <v>40</v>
      </c>
      <c r="EG242" t="s">
        <v>24</v>
      </c>
      <c r="EH242">
        <v>0</v>
      </c>
      <c r="EI242" t="s">
        <v>3</v>
      </c>
      <c r="EJ242">
        <v>2</v>
      </c>
      <c r="EK242">
        <v>67</v>
      </c>
      <c r="EL242" t="s">
        <v>79</v>
      </c>
      <c r="EM242" t="s">
        <v>80</v>
      </c>
      <c r="EO242" t="s">
        <v>3</v>
      </c>
      <c r="EQ242">
        <v>0</v>
      </c>
      <c r="ER242">
        <v>4535.74</v>
      </c>
      <c r="ES242">
        <v>4535.74</v>
      </c>
      <c r="ET242">
        <v>0</v>
      </c>
      <c r="EU242">
        <v>0</v>
      </c>
      <c r="EV242">
        <v>0</v>
      </c>
      <c r="EW242">
        <v>0</v>
      </c>
      <c r="EX242">
        <v>0</v>
      </c>
      <c r="FQ242">
        <v>0</v>
      </c>
      <c r="FR242">
        <v>0</v>
      </c>
      <c r="FS242">
        <v>0</v>
      </c>
      <c r="FX242">
        <v>97</v>
      </c>
      <c r="FY242">
        <v>51</v>
      </c>
      <c r="GA242" t="s">
        <v>3</v>
      </c>
      <c r="GD242">
        <v>1</v>
      </c>
      <c r="GF242">
        <v>-451984637</v>
      </c>
      <c r="GG242">
        <v>2</v>
      </c>
      <c r="GH242">
        <v>1</v>
      </c>
      <c r="GI242">
        <v>2</v>
      </c>
      <c r="GJ242">
        <v>0</v>
      </c>
      <c r="GK242">
        <v>0</v>
      </c>
      <c r="GL242">
        <f t="shared" si="196"/>
        <v>0</v>
      </c>
      <c r="GM242">
        <f t="shared" si="197"/>
        <v>29432.42</v>
      </c>
      <c r="GN242">
        <f t="shared" si="198"/>
        <v>0</v>
      </c>
      <c r="GO242">
        <f t="shared" si="199"/>
        <v>29432.42</v>
      </c>
      <c r="GP242">
        <f t="shared" si="200"/>
        <v>0</v>
      </c>
      <c r="GR242">
        <v>0</v>
      </c>
      <c r="GS242">
        <v>3</v>
      </c>
      <c r="GT242">
        <v>0</v>
      </c>
      <c r="GU242" t="s">
        <v>3</v>
      </c>
      <c r="GV242">
        <f t="shared" si="201"/>
        <v>0</v>
      </c>
      <c r="GW242">
        <v>1</v>
      </c>
      <c r="GX242">
        <f t="shared" si="202"/>
        <v>0</v>
      </c>
      <c r="HA242">
        <v>0</v>
      </c>
      <c r="HB242">
        <v>0</v>
      </c>
      <c r="HC242">
        <f t="shared" si="203"/>
        <v>0</v>
      </c>
      <c r="HE242" t="s">
        <v>3</v>
      </c>
      <c r="HF242" t="s">
        <v>3</v>
      </c>
      <c r="HM242" t="s">
        <v>3</v>
      </c>
      <c r="HN242" t="s">
        <v>3</v>
      </c>
      <c r="HO242" t="s">
        <v>3</v>
      </c>
      <c r="HP242" t="s">
        <v>3</v>
      </c>
      <c r="HQ242" t="s">
        <v>3</v>
      </c>
      <c r="HS242">
        <v>0</v>
      </c>
      <c r="IK242">
        <v>0</v>
      </c>
    </row>
    <row r="243" spans="1:255" x14ac:dyDescent="0.2">
      <c r="A243" s="2">
        <v>17</v>
      </c>
      <c r="B243" s="2">
        <v>1</v>
      </c>
      <c r="C243" s="2">
        <f>ROW(SmtRes!A214)</f>
        <v>214</v>
      </c>
      <c r="D243" s="2">
        <f>ROW(EtalonRes!A256)</f>
        <v>256</v>
      </c>
      <c r="E243" s="2" t="s">
        <v>275</v>
      </c>
      <c r="F243" s="2" t="s">
        <v>276</v>
      </c>
      <c r="G243" s="2" t="s">
        <v>277</v>
      </c>
      <c r="H243" s="2" t="s">
        <v>77</v>
      </c>
      <c r="I243" s="2">
        <f>ROUND(940/100,9)</f>
        <v>9.4</v>
      </c>
      <c r="J243" s="2">
        <v>0</v>
      </c>
      <c r="K243" s="2">
        <f>ROUND(940/100,9)</f>
        <v>9.4</v>
      </c>
      <c r="L243" s="2"/>
      <c r="M243" s="2"/>
      <c r="N243" s="2"/>
      <c r="O243" s="2">
        <f t="shared" si="174"/>
        <v>1357.21</v>
      </c>
      <c r="P243" s="2">
        <f t="shared" si="204"/>
        <v>582.61</v>
      </c>
      <c r="Q243" s="2">
        <f>(ROUND((ROUND((((ET243*1.1))*AV243*I243),2)*BB243),2)+ROUND((ROUND(((AE243-((EU243*1.1)))*AV243*I243),2)*BS243),2))</f>
        <v>56.84</v>
      </c>
      <c r="R243" s="2">
        <f t="shared" si="175"/>
        <v>6.39</v>
      </c>
      <c r="S243" s="2">
        <f t="shared" si="176"/>
        <v>717.76</v>
      </c>
      <c r="T243" s="2">
        <f t="shared" si="177"/>
        <v>0</v>
      </c>
      <c r="U243" s="2">
        <f t="shared" si="178"/>
        <v>58.352032200000004</v>
      </c>
      <c r="V243" s="2">
        <f t="shared" si="179"/>
        <v>0</v>
      </c>
      <c r="W243" s="2">
        <f t="shared" si="180"/>
        <v>0</v>
      </c>
      <c r="X243" s="2">
        <f t="shared" si="181"/>
        <v>702.43</v>
      </c>
      <c r="Y243" s="2">
        <f t="shared" si="182"/>
        <v>369.32</v>
      </c>
      <c r="Z243" s="2"/>
      <c r="AA243" s="2">
        <v>56959434</v>
      </c>
      <c r="AB243" s="2">
        <f t="shared" si="183"/>
        <v>140.685</v>
      </c>
      <c r="AC243" s="2">
        <f t="shared" si="184"/>
        <v>61.98</v>
      </c>
      <c r="AD243" s="2">
        <f>ROUND(((((ET243*1.1))-((EU243*1.1)))+AE243),6)</f>
        <v>5.7750000000000004</v>
      </c>
      <c r="AE243" s="2">
        <f>ROUND(((EU243*1.1)),6)</f>
        <v>0.64900000000000002</v>
      </c>
      <c r="AF243" s="2">
        <f>ROUND(((EV243*1.1)),6)</f>
        <v>72.930000000000007</v>
      </c>
      <c r="AG243" s="2">
        <f t="shared" si="185"/>
        <v>0</v>
      </c>
      <c r="AH243" s="2">
        <f>((EW243*1.1))</f>
        <v>5.9290000000000003</v>
      </c>
      <c r="AI243" s="2">
        <f>((EX243*1.1))</f>
        <v>0</v>
      </c>
      <c r="AJ243" s="2">
        <f t="shared" si="186"/>
        <v>0</v>
      </c>
      <c r="AK243" s="2">
        <v>133.53</v>
      </c>
      <c r="AL243" s="2">
        <v>61.98</v>
      </c>
      <c r="AM243" s="2">
        <v>5.25</v>
      </c>
      <c r="AN243" s="2">
        <v>0.59</v>
      </c>
      <c r="AO243" s="2">
        <v>66.3</v>
      </c>
      <c r="AP243" s="2">
        <v>0</v>
      </c>
      <c r="AQ243" s="2">
        <v>5.39</v>
      </c>
      <c r="AR243" s="2">
        <v>0</v>
      </c>
      <c r="AS243" s="2">
        <v>0</v>
      </c>
      <c r="AT243" s="2">
        <v>97</v>
      </c>
      <c r="AU243" s="2">
        <v>51</v>
      </c>
      <c r="AV243" s="2">
        <v>1.0469999999999999</v>
      </c>
      <c r="AW243" s="2">
        <v>1</v>
      </c>
      <c r="AX243" s="2"/>
      <c r="AY243" s="2"/>
      <c r="AZ243" s="2">
        <v>1</v>
      </c>
      <c r="BA243" s="2">
        <v>1</v>
      </c>
      <c r="BB243" s="2">
        <v>1</v>
      </c>
      <c r="BC243" s="2">
        <v>1</v>
      </c>
      <c r="BD243" s="2" t="s">
        <v>3</v>
      </c>
      <c r="BE243" s="2" t="s">
        <v>3</v>
      </c>
      <c r="BF243" s="2" t="s">
        <v>3</v>
      </c>
      <c r="BG243" s="2" t="s">
        <v>3</v>
      </c>
      <c r="BH243" s="2">
        <v>0</v>
      </c>
      <c r="BI243" s="2">
        <v>2</v>
      </c>
      <c r="BJ243" s="2" t="s">
        <v>278</v>
      </c>
      <c r="BK243" s="2"/>
      <c r="BL243" s="2"/>
      <c r="BM243" s="2">
        <v>67</v>
      </c>
      <c r="BN243" s="2">
        <v>55992028</v>
      </c>
      <c r="BO243" s="2" t="s">
        <v>276</v>
      </c>
      <c r="BP243" s="2">
        <v>1</v>
      </c>
      <c r="BQ243" s="2">
        <v>40</v>
      </c>
      <c r="BR243" s="2">
        <v>0</v>
      </c>
      <c r="BS243" s="2">
        <v>1</v>
      </c>
      <c r="BT243" s="2">
        <v>1</v>
      </c>
      <c r="BU243" s="2">
        <v>1</v>
      </c>
      <c r="BV243" s="2">
        <v>1</v>
      </c>
      <c r="BW243" s="2">
        <v>1</v>
      </c>
      <c r="BX243" s="2">
        <v>1</v>
      </c>
      <c r="BY243" s="2" t="s">
        <v>3</v>
      </c>
      <c r="BZ243" s="2">
        <v>97</v>
      </c>
      <c r="CA243" s="2">
        <v>51</v>
      </c>
      <c r="CB243" s="2" t="s">
        <v>3</v>
      </c>
      <c r="CC243" s="2"/>
      <c r="CD243" s="2"/>
      <c r="CE243" s="2">
        <v>30</v>
      </c>
      <c r="CF243" s="2">
        <v>0</v>
      </c>
      <c r="CG243" s="2">
        <v>0</v>
      </c>
      <c r="CH243" s="2"/>
      <c r="CI243" s="2"/>
      <c r="CJ243" s="2"/>
      <c r="CK243" s="2"/>
      <c r="CL243" s="2"/>
      <c r="CM243" s="2">
        <v>0</v>
      </c>
      <c r="CN243" s="2" t="s">
        <v>673</v>
      </c>
      <c r="CO243" s="2">
        <v>0</v>
      </c>
      <c r="CP243" s="2">
        <f t="shared" si="187"/>
        <v>1357.21</v>
      </c>
      <c r="CQ243" s="2">
        <f t="shared" si="205"/>
        <v>61.98</v>
      </c>
      <c r="CR243" s="2">
        <f>(ROUND((ROUND((((ET243*1.1))*AV243*1),2)*BB243),2)+ROUND((ROUND(((AE243-((EU243*1.1)))*AV243*1),2)*BS243),2))</f>
        <v>6.05</v>
      </c>
      <c r="CS243" s="2">
        <f t="shared" si="188"/>
        <v>0.68</v>
      </c>
      <c r="CT243" s="2">
        <f t="shared" si="189"/>
        <v>76.36</v>
      </c>
      <c r="CU243" s="2">
        <f t="shared" si="190"/>
        <v>0</v>
      </c>
      <c r="CV243" s="2">
        <f t="shared" si="191"/>
        <v>6.2076630000000002</v>
      </c>
      <c r="CW243" s="2">
        <f t="shared" si="192"/>
        <v>0</v>
      </c>
      <c r="CX243" s="2">
        <f t="shared" si="193"/>
        <v>0</v>
      </c>
      <c r="CY243" s="2">
        <f t="shared" si="194"/>
        <v>702.42550000000006</v>
      </c>
      <c r="CZ243" s="2">
        <f t="shared" si="195"/>
        <v>369.31650000000002</v>
      </c>
      <c r="DA243" s="2"/>
      <c r="DB243" s="2"/>
      <c r="DC243" s="2" t="s">
        <v>3</v>
      </c>
      <c r="DD243" s="2" t="s">
        <v>3</v>
      </c>
      <c r="DE243" s="2" t="s">
        <v>23</v>
      </c>
      <c r="DF243" s="2" t="s">
        <v>23</v>
      </c>
      <c r="DG243" s="2" t="s">
        <v>23</v>
      </c>
      <c r="DH243" s="2" t="s">
        <v>3</v>
      </c>
      <c r="DI243" s="2" t="s">
        <v>23</v>
      </c>
      <c r="DJ243" s="2" t="s">
        <v>23</v>
      </c>
      <c r="DK243" s="2" t="s">
        <v>3</v>
      </c>
      <c r="DL243" s="2" t="s">
        <v>3</v>
      </c>
      <c r="DM243" s="2" t="s">
        <v>3</v>
      </c>
      <c r="DN243" s="2">
        <v>0</v>
      </c>
      <c r="DO243" s="2">
        <v>0</v>
      </c>
      <c r="DP243" s="2">
        <v>1</v>
      </c>
      <c r="DQ243" s="2">
        <v>1</v>
      </c>
      <c r="DR243" s="2"/>
      <c r="DS243" s="2"/>
      <c r="DT243" s="2"/>
      <c r="DU243" s="2">
        <v>1003</v>
      </c>
      <c r="DV243" s="2" t="s">
        <v>77</v>
      </c>
      <c r="DW243" s="2" t="s">
        <v>77</v>
      </c>
      <c r="DX243" s="2">
        <v>100</v>
      </c>
      <c r="DY243" s="2"/>
      <c r="DZ243" s="2" t="s">
        <v>3</v>
      </c>
      <c r="EA243" s="2" t="s">
        <v>3</v>
      </c>
      <c r="EB243" s="2" t="s">
        <v>3</v>
      </c>
      <c r="EC243" s="2" t="s">
        <v>3</v>
      </c>
      <c r="ED243" s="2"/>
      <c r="EE243" s="2">
        <v>55992151</v>
      </c>
      <c r="EF243" s="2">
        <v>40</v>
      </c>
      <c r="EG243" s="2" t="s">
        <v>24</v>
      </c>
      <c r="EH243" s="2">
        <v>0</v>
      </c>
      <c r="EI243" s="2" t="s">
        <v>3</v>
      </c>
      <c r="EJ243" s="2">
        <v>2</v>
      </c>
      <c r="EK243" s="2">
        <v>67</v>
      </c>
      <c r="EL243" s="2" t="s">
        <v>79</v>
      </c>
      <c r="EM243" s="2" t="s">
        <v>80</v>
      </c>
      <c r="EN243" s="2"/>
      <c r="EO243" s="2" t="s">
        <v>27</v>
      </c>
      <c r="EP243" s="2"/>
      <c r="EQ243" s="2">
        <v>0</v>
      </c>
      <c r="ER243" s="2">
        <v>133.53</v>
      </c>
      <c r="ES243" s="2">
        <v>61.98</v>
      </c>
      <c r="ET243" s="2">
        <v>5.25</v>
      </c>
      <c r="EU243" s="2">
        <v>0.59</v>
      </c>
      <c r="EV243" s="2">
        <v>66.3</v>
      </c>
      <c r="EW243" s="2">
        <v>5.39</v>
      </c>
      <c r="EX243" s="2">
        <v>0</v>
      </c>
      <c r="EY243" s="2">
        <v>0</v>
      </c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>
        <v>0</v>
      </c>
      <c r="FR243" s="2">
        <v>0</v>
      </c>
      <c r="FS243" s="2">
        <v>0</v>
      </c>
      <c r="FT243" s="2"/>
      <c r="FU243" s="2"/>
      <c r="FV243" s="2"/>
      <c r="FW243" s="2"/>
      <c r="FX243" s="2">
        <v>97</v>
      </c>
      <c r="FY243" s="2">
        <v>51</v>
      </c>
      <c r="FZ243" s="2"/>
      <c r="GA243" s="2" t="s">
        <v>3</v>
      </c>
      <c r="GB243" s="2"/>
      <c r="GC243" s="2"/>
      <c r="GD243" s="2">
        <v>1</v>
      </c>
      <c r="GE243" s="2"/>
      <c r="GF243" s="2">
        <v>-1822715932</v>
      </c>
      <c r="GG243" s="2">
        <v>2</v>
      </c>
      <c r="GH243" s="2">
        <v>1</v>
      </c>
      <c r="GI243" s="2">
        <v>2</v>
      </c>
      <c r="GJ243" s="2">
        <v>0</v>
      </c>
      <c r="GK243" s="2">
        <v>0</v>
      </c>
      <c r="GL243" s="2">
        <f t="shared" si="196"/>
        <v>0</v>
      </c>
      <c r="GM243" s="2">
        <f t="shared" si="197"/>
        <v>2428.96</v>
      </c>
      <c r="GN243" s="2">
        <f t="shared" si="198"/>
        <v>0</v>
      </c>
      <c r="GO243" s="2">
        <f t="shared" si="199"/>
        <v>2428.96</v>
      </c>
      <c r="GP243" s="2">
        <f t="shared" si="200"/>
        <v>0</v>
      </c>
      <c r="GQ243" s="2"/>
      <c r="GR243" s="2">
        <v>0</v>
      </c>
      <c r="GS243" s="2">
        <v>3</v>
      </c>
      <c r="GT243" s="2">
        <v>0</v>
      </c>
      <c r="GU243" s="2" t="s">
        <v>3</v>
      </c>
      <c r="GV243" s="2">
        <f t="shared" si="201"/>
        <v>0</v>
      </c>
      <c r="GW243" s="2">
        <v>1</v>
      </c>
      <c r="GX243" s="2">
        <f t="shared" si="202"/>
        <v>0</v>
      </c>
      <c r="GY243" s="2"/>
      <c r="GZ243" s="2"/>
      <c r="HA243" s="2">
        <v>0</v>
      </c>
      <c r="HB243" s="2">
        <v>0</v>
      </c>
      <c r="HC243" s="2">
        <f t="shared" si="203"/>
        <v>0</v>
      </c>
      <c r="HD243" s="2"/>
      <c r="HE243" s="2" t="s">
        <v>3</v>
      </c>
      <c r="HF243" s="2" t="s">
        <v>3</v>
      </c>
      <c r="HG243" s="2"/>
      <c r="HH243" s="2"/>
      <c r="HI243" s="2"/>
      <c r="HJ243" s="2"/>
      <c r="HK243" s="2"/>
      <c r="HL243" s="2"/>
      <c r="HM243" s="2" t="s">
        <v>3</v>
      </c>
      <c r="HN243" s="2" t="s">
        <v>3</v>
      </c>
      <c r="HO243" s="2" t="s">
        <v>3</v>
      </c>
      <c r="HP243" s="2" t="s">
        <v>3</v>
      </c>
      <c r="HQ243" s="2" t="s">
        <v>3</v>
      </c>
      <c r="HR243" s="2"/>
      <c r="HS243" s="2">
        <v>0</v>
      </c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>
        <v>0</v>
      </c>
      <c r="IL243" s="2"/>
      <c r="IM243" s="2"/>
      <c r="IN243" s="2"/>
      <c r="IO243" s="2"/>
      <c r="IP243" s="2"/>
      <c r="IQ243" s="2"/>
      <c r="IR243" s="2"/>
      <c r="IS243" s="2"/>
      <c r="IT243" s="2"/>
      <c r="IU243" s="2"/>
    </row>
    <row r="244" spans="1:255" x14ac:dyDescent="0.2">
      <c r="A244">
        <v>17</v>
      </c>
      <c r="B244">
        <v>1</v>
      </c>
      <c r="C244">
        <f>ROW(SmtRes!A224)</f>
        <v>224</v>
      </c>
      <c r="D244">
        <f>ROW(EtalonRes!A266)</f>
        <v>266</v>
      </c>
      <c r="E244" t="s">
        <v>275</v>
      </c>
      <c r="F244" t="s">
        <v>276</v>
      </c>
      <c r="G244" t="s">
        <v>277</v>
      </c>
      <c r="H244" t="s">
        <v>77</v>
      </c>
      <c r="I244">
        <f>ROUND(940/100,9)</f>
        <v>9.4</v>
      </c>
      <c r="J244">
        <v>0</v>
      </c>
      <c r="K244">
        <f>ROUND(940/100,9)</f>
        <v>9.4</v>
      </c>
      <c r="O244">
        <f t="shared" si="174"/>
        <v>42935.29</v>
      </c>
      <c r="P244">
        <f t="shared" si="204"/>
        <v>2639.22</v>
      </c>
      <c r="Q244">
        <f>(ROUND((ROUND((((ET244*1.1))*AV244*I244),2)*BB244),2)+ROUND((ROUND(((AE244-((EU244*1.1)))*AV244*I244),2)*BS244),2))</f>
        <v>826.45</v>
      </c>
      <c r="R244">
        <f t="shared" si="175"/>
        <v>351.39</v>
      </c>
      <c r="S244">
        <f t="shared" si="176"/>
        <v>39469.620000000003</v>
      </c>
      <c r="T244">
        <f t="shared" si="177"/>
        <v>0</v>
      </c>
      <c r="U244">
        <f t="shared" si="178"/>
        <v>58.352032200000004</v>
      </c>
      <c r="V244">
        <f t="shared" si="179"/>
        <v>0</v>
      </c>
      <c r="W244">
        <f t="shared" si="180"/>
        <v>0</v>
      </c>
      <c r="X244">
        <f t="shared" si="181"/>
        <v>38626.379999999997</v>
      </c>
      <c r="Y244">
        <f t="shared" si="182"/>
        <v>20308.72</v>
      </c>
      <c r="AA244">
        <v>56959431</v>
      </c>
      <c r="AB244">
        <f t="shared" si="183"/>
        <v>140.685</v>
      </c>
      <c r="AC244">
        <f t="shared" si="184"/>
        <v>61.98</v>
      </c>
      <c r="AD244">
        <f>ROUND(((((ET244*1.1))-((EU244*1.1)))+AE244),6)</f>
        <v>5.7750000000000004</v>
      </c>
      <c r="AE244">
        <f>ROUND(((EU244*1.1)),6)</f>
        <v>0.64900000000000002</v>
      </c>
      <c r="AF244">
        <f>ROUND(((EV244*1.1)),6)</f>
        <v>72.930000000000007</v>
      </c>
      <c r="AG244">
        <f t="shared" si="185"/>
        <v>0</v>
      </c>
      <c r="AH244">
        <f>((EW244*1.1))</f>
        <v>5.9290000000000003</v>
      </c>
      <c r="AI244">
        <f>((EX244*1.1))</f>
        <v>0</v>
      </c>
      <c r="AJ244">
        <f t="shared" si="186"/>
        <v>0</v>
      </c>
      <c r="AK244">
        <v>133.53</v>
      </c>
      <c r="AL244">
        <v>61.98</v>
      </c>
      <c r="AM244">
        <v>5.25</v>
      </c>
      <c r="AN244">
        <v>0.59</v>
      </c>
      <c r="AO244">
        <v>66.3</v>
      </c>
      <c r="AP244">
        <v>0</v>
      </c>
      <c r="AQ244">
        <v>5.39</v>
      </c>
      <c r="AR244">
        <v>0</v>
      </c>
      <c r="AS244">
        <v>0</v>
      </c>
      <c r="AT244">
        <v>97</v>
      </c>
      <c r="AU244">
        <v>51</v>
      </c>
      <c r="AV244">
        <v>1.0469999999999999</v>
      </c>
      <c r="AW244">
        <v>1</v>
      </c>
      <c r="AZ244">
        <v>1</v>
      </c>
      <c r="BA244">
        <v>54.99</v>
      </c>
      <c r="BB244">
        <v>14.54</v>
      </c>
      <c r="BC244">
        <v>4.53</v>
      </c>
      <c r="BD244" t="s">
        <v>3</v>
      </c>
      <c r="BE244" t="s">
        <v>3</v>
      </c>
      <c r="BF244" t="s">
        <v>3</v>
      </c>
      <c r="BG244" t="s">
        <v>3</v>
      </c>
      <c r="BH244">
        <v>0</v>
      </c>
      <c r="BI244">
        <v>2</v>
      </c>
      <c r="BJ244" t="s">
        <v>278</v>
      </c>
      <c r="BM244">
        <v>67</v>
      </c>
      <c r="BN244">
        <v>55992028</v>
      </c>
      <c r="BO244" t="s">
        <v>276</v>
      </c>
      <c r="BP244">
        <v>1</v>
      </c>
      <c r="BQ244">
        <v>40</v>
      </c>
      <c r="BR244">
        <v>0</v>
      </c>
      <c r="BS244">
        <v>54.99</v>
      </c>
      <c r="BT244">
        <v>1</v>
      </c>
      <c r="BU244">
        <v>1</v>
      </c>
      <c r="BV244">
        <v>1</v>
      </c>
      <c r="BW244">
        <v>1</v>
      </c>
      <c r="BX244">
        <v>1</v>
      </c>
      <c r="BY244" t="s">
        <v>3</v>
      </c>
      <c r="BZ244">
        <v>97</v>
      </c>
      <c r="CA244">
        <v>51</v>
      </c>
      <c r="CB244" t="s">
        <v>3</v>
      </c>
      <c r="CE244">
        <v>30</v>
      </c>
      <c r="CF244">
        <v>0</v>
      </c>
      <c r="CG244">
        <v>0</v>
      </c>
      <c r="CM244">
        <v>0</v>
      </c>
      <c r="CN244" t="s">
        <v>673</v>
      </c>
      <c r="CO244">
        <v>0</v>
      </c>
      <c r="CP244">
        <f t="shared" si="187"/>
        <v>42935.29</v>
      </c>
      <c r="CQ244">
        <f t="shared" si="205"/>
        <v>280.77</v>
      </c>
      <c r="CR244">
        <f>(ROUND((ROUND((((ET244*1.1))*AV244*1),2)*BB244),2)+ROUND((ROUND(((AE244-((EU244*1.1)))*AV244*1),2)*BS244),2))</f>
        <v>87.97</v>
      </c>
      <c r="CS244">
        <f t="shared" si="188"/>
        <v>37.39</v>
      </c>
      <c r="CT244">
        <f t="shared" si="189"/>
        <v>4199.04</v>
      </c>
      <c r="CU244">
        <f t="shared" si="190"/>
        <v>0</v>
      </c>
      <c r="CV244">
        <f t="shared" si="191"/>
        <v>6.2076630000000002</v>
      </c>
      <c r="CW244">
        <f t="shared" si="192"/>
        <v>0</v>
      </c>
      <c r="CX244">
        <f t="shared" si="193"/>
        <v>0</v>
      </c>
      <c r="CY244">
        <f t="shared" si="194"/>
        <v>38626.379700000005</v>
      </c>
      <c r="CZ244">
        <f t="shared" si="195"/>
        <v>20308.715100000001</v>
      </c>
      <c r="DC244" t="s">
        <v>3</v>
      </c>
      <c r="DD244" t="s">
        <v>3</v>
      </c>
      <c r="DE244" t="s">
        <v>23</v>
      </c>
      <c r="DF244" t="s">
        <v>23</v>
      </c>
      <c r="DG244" t="s">
        <v>23</v>
      </c>
      <c r="DH244" t="s">
        <v>3</v>
      </c>
      <c r="DI244" t="s">
        <v>23</v>
      </c>
      <c r="DJ244" t="s">
        <v>23</v>
      </c>
      <c r="DK244" t="s">
        <v>3</v>
      </c>
      <c r="DL244" t="s">
        <v>3</v>
      </c>
      <c r="DM244" t="s">
        <v>3</v>
      </c>
      <c r="DN244">
        <v>0</v>
      </c>
      <c r="DO244">
        <v>0</v>
      </c>
      <c r="DP244">
        <v>1</v>
      </c>
      <c r="DQ244">
        <v>1</v>
      </c>
      <c r="DU244">
        <v>1003</v>
      </c>
      <c r="DV244" t="s">
        <v>77</v>
      </c>
      <c r="DW244" t="s">
        <v>77</v>
      </c>
      <c r="DX244">
        <v>100</v>
      </c>
      <c r="DZ244" t="s">
        <v>3</v>
      </c>
      <c r="EA244" t="s">
        <v>3</v>
      </c>
      <c r="EB244" t="s">
        <v>3</v>
      </c>
      <c r="EC244" t="s">
        <v>3</v>
      </c>
      <c r="EE244">
        <v>55992151</v>
      </c>
      <c r="EF244">
        <v>40</v>
      </c>
      <c r="EG244" t="s">
        <v>24</v>
      </c>
      <c r="EH244">
        <v>0</v>
      </c>
      <c r="EI244" t="s">
        <v>3</v>
      </c>
      <c r="EJ244">
        <v>2</v>
      </c>
      <c r="EK244">
        <v>67</v>
      </c>
      <c r="EL244" t="s">
        <v>79</v>
      </c>
      <c r="EM244" t="s">
        <v>80</v>
      </c>
      <c r="EO244" t="s">
        <v>27</v>
      </c>
      <c r="EQ244">
        <v>0</v>
      </c>
      <c r="ER244">
        <v>133.53</v>
      </c>
      <c r="ES244">
        <v>61.98</v>
      </c>
      <c r="ET244">
        <v>5.25</v>
      </c>
      <c r="EU244">
        <v>0.59</v>
      </c>
      <c r="EV244">
        <v>66.3</v>
      </c>
      <c r="EW244">
        <v>5.39</v>
      </c>
      <c r="EX244">
        <v>0</v>
      </c>
      <c r="EY244">
        <v>0</v>
      </c>
      <c r="FQ244">
        <v>0</v>
      </c>
      <c r="FR244">
        <v>0</v>
      </c>
      <c r="FS244">
        <v>0</v>
      </c>
      <c r="FX244">
        <v>97</v>
      </c>
      <c r="FY244">
        <v>51</v>
      </c>
      <c r="GA244" t="s">
        <v>3</v>
      </c>
      <c r="GD244">
        <v>1</v>
      </c>
      <c r="GF244">
        <v>-1822715932</v>
      </c>
      <c r="GG244">
        <v>2</v>
      </c>
      <c r="GH244">
        <v>1</v>
      </c>
      <c r="GI244">
        <v>2</v>
      </c>
      <c r="GJ244">
        <v>0</v>
      </c>
      <c r="GK244">
        <v>0</v>
      </c>
      <c r="GL244">
        <f t="shared" si="196"/>
        <v>0</v>
      </c>
      <c r="GM244">
        <f t="shared" si="197"/>
        <v>101870.39</v>
      </c>
      <c r="GN244">
        <f t="shared" si="198"/>
        <v>0</v>
      </c>
      <c r="GO244">
        <f t="shared" si="199"/>
        <v>101870.39</v>
      </c>
      <c r="GP244">
        <f t="shared" si="200"/>
        <v>0</v>
      </c>
      <c r="GR244">
        <v>0</v>
      </c>
      <c r="GS244">
        <v>3</v>
      </c>
      <c r="GT244">
        <v>0</v>
      </c>
      <c r="GU244" t="s">
        <v>3</v>
      </c>
      <c r="GV244">
        <f t="shared" si="201"/>
        <v>0</v>
      </c>
      <c r="GW244">
        <v>1</v>
      </c>
      <c r="GX244">
        <f t="shared" si="202"/>
        <v>0</v>
      </c>
      <c r="HA244">
        <v>0</v>
      </c>
      <c r="HB244">
        <v>0</v>
      </c>
      <c r="HC244">
        <f t="shared" si="203"/>
        <v>0</v>
      </c>
      <c r="HE244" t="s">
        <v>3</v>
      </c>
      <c r="HF244" t="s">
        <v>3</v>
      </c>
      <c r="HM244" t="s">
        <v>3</v>
      </c>
      <c r="HN244" t="s">
        <v>3</v>
      </c>
      <c r="HO244" t="s">
        <v>3</v>
      </c>
      <c r="HP244" t="s">
        <v>3</v>
      </c>
      <c r="HQ244" t="s">
        <v>3</v>
      </c>
      <c r="HS244">
        <v>0</v>
      </c>
      <c r="IK244">
        <v>0</v>
      </c>
    </row>
    <row r="245" spans="1:255" x14ac:dyDescent="0.2">
      <c r="A245" s="2">
        <v>18</v>
      </c>
      <c r="B245" s="2">
        <v>1</v>
      </c>
      <c r="C245" s="2">
        <v>214</v>
      </c>
      <c r="D245" s="2"/>
      <c r="E245" s="2" t="s">
        <v>279</v>
      </c>
      <c r="F245" s="2" t="s">
        <v>280</v>
      </c>
      <c r="G245" s="2" t="s">
        <v>281</v>
      </c>
      <c r="H245" s="2" t="s">
        <v>101</v>
      </c>
      <c r="I245" s="2">
        <f>I243*J245</f>
        <v>958.8</v>
      </c>
      <c r="J245" s="2">
        <v>101.99999999999999</v>
      </c>
      <c r="K245" s="2">
        <v>102</v>
      </c>
      <c r="L245" s="2"/>
      <c r="M245" s="2"/>
      <c r="N245" s="2"/>
      <c r="O245" s="2">
        <f t="shared" si="174"/>
        <v>4678.9399999999996</v>
      </c>
      <c r="P245" s="2">
        <f t="shared" si="204"/>
        <v>4678.9399999999996</v>
      </c>
      <c r="Q245" s="2">
        <f>(ROUND((ROUND(((ET245)*AV245*I245),2)*BB245),2)+ROUND((ROUND(((AE245-(EU245))*AV245*I245),2)*BS245),2))</f>
        <v>0</v>
      </c>
      <c r="R245" s="2">
        <f t="shared" si="175"/>
        <v>0</v>
      </c>
      <c r="S245" s="2">
        <f t="shared" si="176"/>
        <v>0</v>
      </c>
      <c r="T245" s="2">
        <f t="shared" si="177"/>
        <v>0</v>
      </c>
      <c r="U245" s="2">
        <f t="shared" si="178"/>
        <v>0</v>
      </c>
      <c r="V245" s="2">
        <f t="shared" si="179"/>
        <v>0</v>
      </c>
      <c r="W245" s="2">
        <f t="shared" si="180"/>
        <v>0</v>
      </c>
      <c r="X245" s="2">
        <f t="shared" si="181"/>
        <v>0</v>
      </c>
      <c r="Y245" s="2">
        <f t="shared" si="182"/>
        <v>0</v>
      </c>
      <c r="Z245" s="2"/>
      <c r="AA245" s="2">
        <v>56959434</v>
      </c>
      <c r="AB245" s="2">
        <f t="shared" si="183"/>
        <v>4.88</v>
      </c>
      <c r="AC245" s="2">
        <f t="shared" si="184"/>
        <v>4.88</v>
      </c>
      <c r="AD245" s="2">
        <f>ROUND((((ET245)-(EU245))+AE245),6)</f>
        <v>0</v>
      </c>
      <c r="AE245" s="2">
        <f>ROUND((EU245),6)</f>
        <v>0</v>
      </c>
      <c r="AF245" s="2">
        <f>ROUND((EV245),6)</f>
        <v>0</v>
      </c>
      <c r="AG245" s="2">
        <f t="shared" si="185"/>
        <v>0</v>
      </c>
      <c r="AH245" s="2">
        <f>(EW245)</f>
        <v>0</v>
      </c>
      <c r="AI245" s="2">
        <f>(EX245)</f>
        <v>0</v>
      </c>
      <c r="AJ245" s="2">
        <f t="shared" si="186"/>
        <v>0</v>
      </c>
      <c r="AK245" s="2">
        <v>4.88</v>
      </c>
      <c r="AL245" s="2">
        <v>4.88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97</v>
      </c>
      <c r="AU245" s="2">
        <v>51</v>
      </c>
      <c r="AV245" s="2">
        <v>1</v>
      </c>
      <c r="AW245" s="2">
        <v>1</v>
      </c>
      <c r="AX245" s="2"/>
      <c r="AY245" s="2"/>
      <c r="AZ245" s="2">
        <v>1</v>
      </c>
      <c r="BA245" s="2">
        <v>1</v>
      </c>
      <c r="BB245" s="2">
        <v>1</v>
      </c>
      <c r="BC245" s="2">
        <v>1</v>
      </c>
      <c r="BD245" s="2" t="s">
        <v>3</v>
      </c>
      <c r="BE245" s="2" t="s">
        <v>3</v>
      </c>
      <c r="BF245" s="2" t="s">
        <v>3</v>
      </c>
      <c r="BG245" s="2" t="s">
        <v>3</v>
      </c>
      <c r="BH245" s="2">
        <v>3</v>
      </c>
      <c r="BI245" s="2">
        <v>2</v>
      </c>
      <c r="BJ245" s="2" t="s">
        <v>3</v>
      </c>
      <c r="BK245" s="2"/>
      <c r="BL245" s="2"/>
      <c r="BM245" s="2">
        <v>67</v>
      </c>
      <c r="BN245" s="2">
        <v>0</v>
      </c>
      <c r="BO245" s="2" t="s">
        <v>3</v>
      </c>
      <c r="BP245" s="2">
        <v>0</v>
      </c>
      <c r="BQ245" s="2">
        <v>40</v>
      </c>
      <c r="BR245" s="2">
        <v>0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 t="s">
        <v>3</v>
      </c>
      <c r="BZ245" s="2">
        <v>97</v>
      </c>
      <c r="CA245" s="2">
        <v>51</v>
      </c>
      <c r="CB245" s="2" t="s">
        <v>3</v>
      </c>
      <c r="CC245" s="2"/>
      <c r="CD245" s="2"/>
      <c r="CE245" s="2">
        <v>30</v>
      </c>
      <c r="CF245" s="2">
        <v>0</v>
      </c>
      <c r="CG245" s="2">
        <v>0</v>
      </c>
      <c r="CH245" s="2"/>
      <c r="CI245" s="2"/>
      <c r="CJ245" s="2"/>
      <c r="CK245" s="2"/>
      <c r="CL245" s="2"/>
      <c r="CM245" s="2">
        <v>0</v>
      </c>
      <c r="CN245" s="2" t="s">
        <v>3</v>
      </c>
      <c r="CO245" s="2">
        <v>0</v>
      </c>
      <c r="CP245" s="2">
        <f t="shared" si="187"/>
        <v>4678.9399999999996</v>
      </c>
      <c r="CQ245" s="2">
        <f t="shared" si="205"/>
        <v>4.88</v>
      </c>
      <c r="CR245" s="2">
        <f>(ROUND((ROUND(((ET245)*AV245*1),2)*BB245),2)+ROUND((ROUND(((AE245-(EU245))*AV245*1),2)*BS245),2))</f>
        <v>0</v>
      </c>
      <c r="CS245" s="2">
        <f t="shared" si="188"/>
        <v>0</v>
      </c>
      <c r="CT245" s="2">
        <f t="shared" si="189"/>
        <v>0</v>
      </c>
      <c r="CU245" s="2">
        <f t="shared" si="190"/>
        <v>0</v>
      </c>
      <c r="CV245" s="2">
        <f t="shared" si="191"/>
        <v>0</v>
      </c>
      <c r="CW245" s="2">
        <f t="shared" si="192"/>
        <v>0</v>
      </c>
      <c r="CX245" s="2">
        <f t="shared" si="193"/>
        <v>0</v>
      </c>
      <c r="CY245" s="2">
        <f t="shared" si="194"/>
        <v>0</v>
      </c>
      <c r="CZ245" s="2">
        <f t="shared" si="195"/>
        <v>0</v>
      </c>
      <c r="DA245" s="2"/>
      <c r="DB245" s="2"/>
      <c r="DC245" s="2" t="s">
        <v>3</v>
      </c>
      <c r="DD245" s="2" t="s">
        <v>3</v>
      </c>
      <c r="DE245" s="2" t="s">
        <v>3</v>
      </c>
      <c r="DF245" s="2" t="s">
        <v>3</v>
      </c>
      <c r="DG245" s="2" t="s">
        <v>3</v>
      </c>
      <c r="DH245" s="2" t="s">
        <v>3</v>
      </c>
      <c r="DI245" s="2" t="s">
        <v>3</v>
      </c>
      <c r="DJ245" s="2" t="s">
        <v>3</v>
      </c>
      <c r="DK245" s="2" t="s">
        <v>3</v>
      </c>
      <c r="DL245" s="2" t="s">
        <v>3</v>
      </c>
      <c r="DM245" s="2" t="s">
        <v>3</v>
      </c>
      <c r="DN245" s="2">
        <v>0</v>
      </c>
      <c r="DO245" s="2">
        <v>0</v>
      </c>
      <c r="DP245" s="2">
        <v>1</v>
      </c>
      <c r="DQ245" s="2">
        <v>1</v>
      </c>
      <c r="DR245" s="2"/>
      <c r="DS245" s="2"/>
      <c r="DT245" s="2"/>
      <c r="DU245" s="2">
        <v>1013</v>
      </c>
      <c r="DV245" s="2" t="s">
        <v>101</v>
      </c>
      <c r="DW245" s="2" t="s">
        <v>101</v>
      </c>
      <c r="DX245" s="2">
        <v>1</v>
      </c>
      <c r="DY245" s="2"/>
      <c r="DZ245" s="2" t="s">
        <v>3</v>
      </c>
      <c r="EA245" s="2" t="s">
        <v>3</v>
      </c>
      <c r="EB245" s="2" t="s">
        <v>3</v>
      </c>
      <c r="EC245" s="2" t="s">
        <v>3</v>
      </c>
      <c r="ED245" s="2"/>
      <c r="EE245" s="2">
        <v>55992151</v>
      </c>
      <c r="EF245" s="2">
        <v>40</v>
      </c>
      <c r="EG245" s="2" t="s">
        <v>24</v>
      </c>
      <c r="EH245" s="2">
        <v>0</v>
      </c>
      <c r="EI245" s="2" t="s">
        <v>3</v>
      </c>
      <c r="EJ245" s="2">
        <v>2</v>
      </c>
      <c r="EK245" s="2">
        <v>67</v>
      </c>
      <c r="EL245" s="2" t="s">
        <v>79</v>
      </c>
      <c r="EM245" s="2" t="s">
        <v>80</v>
      </c>
      <c r="EN245" s="2"/>
      <c r="EO245" s="2" t="s">
        <v>3</v>
      </c>
      <c r="EP245" s="2"/>
      <c r="EQ245" s="2">
        <v>0</v>
      </c>
      <c r="ER245" s="2">
        <v>0</v>
      </c>
      <c r="ES245" s="2">
        <v>4.88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>
        <v>0</v>
      </c>
      <c r="FR245" s="2">
        <v>0</v>
      </c>
      <c r="FS245" s="2">
        <v>0</v>
      </c>
      <c r="FT245" s="2"/>
      <c r="FU245" s="2"/>
      <c r="FV245" s="2"/>
      <c r="FW245" s="2"/>
      <c r="FX245" s="2">
        <v>97</v>
      </c>
      <c r="FY245" s="2">
        <v>51</v>
      </c>
      <c r="FZ245" s="2"/>
      <c r="GA245" s="2" t="s">
        <v>282</v>
      </c>
      <c r="GB245" s="2"/>
      <c r="GC245" s="2"/>
      <c r="GD245" s="2">
        <v>1</v>
      </c>
      <c r="GE245" s="2"/>
      <c r="GF245" s="2">
        <v>544496089</v>
      </c>
      <c r="GG245" s="2">
        <v>2</v>
      </c>
      <c r="GH245" s="2">
        <v>4</v>
      </c>
      <c r="GI245" s="2">
        <v>-2</v>
      </c>
      <c r="GJ245" s="2">
        <v>0</v>
      </c>
      <c r="GK245" s="2">
        <v>0</v>
      </c>
      <c r="GL245" s="2">
        <f t="shared" si="196"/>
        <v>0</v>
      </c>
      <c r="GM245" s="2">
        <f t="shared" si="197"/>
        <v>4678.9399999999996</v>
      </c>
      <c r="GN245" s="2">
        <f t="shared" si="198"/>
        <v>0</v>
      </c>
      <c r="GO245" s="2">
        <f t="shared" si="199"/>
        <v>4678.9399999999996</v>
      </c>
      <c r="GP245" s="2">
        <f t="shared" si="200"/>
        <v>0</v>
      </c>
      <c r="GQ245" s="2"/>
      <c r="GR245" s="2">
        <v>0</v>
      </c>
      <c r="GS245" s="2">
        <v>2</v>
      </c>
      <c r="GT245" s="2">
        <v>0</v>
      </c>
      <c r="GU245" s="2" t="s">
        <v>3</v>
      </c>
      <c r="GV245" s="2">
        <f t="shared" si="201"/>
        <v>0</v>
      </c>
      <c r="GW245" s="2">
        <v>1</v>
      </c>
      <c r="GX245" s="2">
        <f t="shared" si="202"/>
        <v>0</v>
      </c>
      <c r="GY245" s="2"/>
      <c r="GZ245" s="2"/>
      <c r="HA245" s="2">
        <v>0</v>
      </c>
      <c r="HB245" s="2">
        <v>0</v>
      </c>
      <c r="HC245" s="2">
        <f t="shared" si="203"/>
        <v>0</v>
      </c>
      <c r="HD245" s="2"/>
      <c r="HE245" s="2" t="s">
        <v>103</v>
      </c>
      <c r="HF245" s="2" t="s">
        <v>28</v>
      </c>
      <c r="HG245" s="2"/>
      <c r="HH245" s="2"/>
      <c r="HI245" s="2"/>
      <c r="HJ245" s="2"/>
      <c r="HK245" s="2"/>
      <c r="HL245" s="2"/>
      <c r="HM245" s="2" t="s">
        <v>3</v>
      </c>
      <c r="HN245" s="2" t="s">
        <v>3</v>
      </c>
      <c r="HO245" s="2" t="s">
        <v>3</v>
      </c>
      <c r="HP245" s="2" t="s">
        <v>3</v>
      </c>
      <c r="HQ245" s="2" t="s">
        <v>3</v>
      </c>
      <c r="HR245" s="2"/>
      <c r="HS245" s="2">
        <v>0</v>
      </c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>
        <v>0</v>
      </c>
      <c r="IL245" s="2"/>
      <c r="IM245" s="2"/>
      <c r="IN245" s="2"/>
      <c r="IO245" s="2"/>
      <c r="IP245" s="2"/>
      <c r="IQ245" s="2"/>
      <c r="IR245" s="2"/>
      <c r="IS245" s="2"/>
      <c r="IT245" s="2"/>
      <c r="IU245" s="2"/>
    </row>
    <row r="246" spans="1:255" x14ac:dyDescent="0.2">
      <c r="A246">
        <v>18</v>
      </c>
      <c r="B246">
        <v>1</v>
      </c>
      <c r="C246">
        <v>224</v>
      </c>
      <c r="E246" t="s">
        <v>279</v>
      </c>
      <c r="F246" t="s">
        <v>280</v>
      </c>
      <c r="G246" t="s">
        <v>281</v>
      </c>
      <c r="H246" t="s">
        <v>101</v>
      </c>
      <c r="I246">
        <f>I244*J246</f>
        <v>958.8</v>
      </c>
      <c r="J246">
        <v>101.99999999999999</v>
      </c>
      <c r="K246">
        <v>102</v>
      </c>
      <c r="O246">
        <f t="shared" si="174"/>
        <v>46227.93</v>
      </c>
      <c r="P246">
        <f t="shared" si="204"/>
        <v>46227.93</v>
      </c>
      <c r="Q246">
        <f>(ROUND((ROUND(((ET246)*AV246*I246),2)*BB246),2)+ROUND((ROUND(((AE246-(EU246))*AV246*I246),2)*BS246),2))</f>
        <v>0</v>
      </c>
      <c r="R246">
        <f t="shared" si="175"/>
        <v>0</v>
      </c>
      <c r="S246">
        <f t="shared" si="176"/>
        <v>0</v>
      </c>
      <c r="T246">
        <f t="shared" si="177"/>
        <v>0</v>
      </c>
      <c r="U246">
        <f t="shared" si="178"/>
        <v>0</v>
      </c>
      <c r="V246">
        <f t="shared" si="179"/>
        <v>0</v>
      </c>
      <c r="W246">
        <f t="shared" si="180"/>
        <v>0</v>
      </c>
      <c r="X246">
        <f t="shared" si="181"/>
        <v>0</v>
      </c>
      <c r="Y246">
        <f t="shared" si="182"/>
        <v>0</v>
      </c>
      <c r="AA246">
        <v>56959431</v>
      </c>
      <c r="AB246">
        <f t="shared" si="183"/>
        <v>4.88</v>
      </c>
      <c r="AC246">
        <f t="shared" si="184"/>
        <v>4.88</v>
      </c>
      <c r="AD246">
        <f>ROUND((((ET246)-(EU246))+AE246),6)</f>
        <v>0</v>
      </c>
      <c r="AE246">
        <f>ROUND((EU246),6)</f>
        <v>0</v>
      </c>
      <c r="AF246">
        <f>ROUND((EV246),6)</f>
        <v>0</v>
      </c>
      <c r="AG246">
        <f t="shared" si="185"/>
        <v>0</v>
      </c>
      <c r="AH246">
        <f>(EW246)</f>
        <v>0</v>
      </c>
      <c r="AI246">
        <f>(EX246)</f>
        <v>0</v>
      </c>
      <c r="AJ246">
        <f t="shared" si="186"/>
        <v>0</v>
      </c>
      <c r="AK246">
        <v>4.88</v>
      </c>
      <c r="AL246">
        <v>4.88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97</v>
      </c>
      <c r="AU246">
        <v>51</v>
      </c>
      <c r="AV246">
        <v>1</v>
      </c>
      <c r="AW246">
        <v>1</v>
      </c>
      <c r="AZ246">
        <v>1</v>
      </c>
      <c r="BA246">
        <v>1</v>
      </c>
      <c r="BB246">
        <v>1</v>
      </c>
      <c r="BC246">
        <v>9.8800000000000008</v>
      </c>
      <c r="BD246" t="s">
        <v>3</v>
      </c>
      <c r="BE246" t="s">
        <v>3</v>
      </c>
      <c r="BF246" t="s">
        <v>3</v>
      </c>
      <c r="BG246" t="s">
        <v>3</v>
      </c>
      <c r="BH246">
        <v>3</v>
      </c>
      <c r="BI246">
        <v>2</v>
      </c>
      <c r="BJ246" t="s">
        <v>3</v>
      </c>
      <c r="BM246">
        <v>67</v>
      </c>
      <c r="BN246">
        <v>0</v>
      </c>
      <c r="BO246" t="s">
        <v>3</v>
      </c>
      <c r="BP246">
        <v>0</v>
      </c>
      <c r="BQ246">
        <v>40</v>
      </c>
      <c r="BR246">
        <v>0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 t="s">
        <v>3</v>
      </c>
      <c r="BZ246">
        <v>97</v>
      </c>
      <c r="CA246">
        <v>51</v>
      </c>
      <c r="CB246" t="s">
        <v>3</v>
      </c>
      <c r="CE246">
        <v>30</v>
      </c>
      <c r="CF246">
        <v>0</v>
      </c>
      <c r="CG246">
        <v>0</v>
      </c>
      <c r="CM246">
        <v>0</v>
      </c>
      <c r="CN246" t="s">
        <v>3</v>
      </c>
      <c r="CO246">
        <v>0</v>
      </c>
      <c r="CP246">
        <f t="shared" si="187"/>
        <v>46227.93</v>
      </c>
      <c r="CQ246">
        <f t="shared" si="205"/>
        <v>48.21</v>
      </c>
      <c r="CR246">
        <f>(ROUND((ROUND(((ET246)*AV246*1),2)*BB246),2)+ROUND((ROUND(((AE246-(EU246))*AV246*1),2)*BS246),2))</f>
        <v>0</v>
      </c>
      <c r="CS246">
        <f t="shared" si="188"/>
        <v>0</v>
      </c>
      <c r="CT246">
        <f t="shared" si="189"/>
        <v>0</v>
      </c>
      <c r="CU246">
        <f t="shared" si="190"/>
        <v>0</v>
      </c>
      <c r="CV246">
        <f t="shared" si="191"/>
        <v>0</v>
      </c>
      <c r="CW246">
        <f t="shared" si="192"/>
        <v>0</v>
      </c>
      <c r="CX246">
        <f t="shared" si="193"/>
        <v>0</v>
      </c>
      <c r="CY246">
        <f t="shared" si="194"/>
        <v>0</v>
      </c>
      <c r="CZ246">
        <f t="shared" si="195"/>
        <v>0</v>
      </c>
      <c r="DC246" t="s">
        <v>3</v>
      </c>
      <c r="DD246" t="s">
        <v>3</v>
      </c>
      <c r="DE246" t="s">
        <v>3</v>
      </c>
      <c r="DF246" t="s">
        <v>3</v>
      </c>
      <c r="DG246" t="s">
        <v>3</v>
      </c>
      <c r="DH246" t="s">
        <v>3</v>
      </c>
      <c r="DI246" t="s">
        <v>3</v>
      </c>
      <c r="DJ246" t="s">
        <v>3</v>
      </c>
      <c r="DK246" t="s">
        <v>3</v>
      </c>
      <c r="DL246" t="s">
        <v>3</v>
      </c>
      <c r="DM246" t="s">
        <v>3</v>
      </c>
      <c r="DN246">
        <v>0</v>
      </c>
      <c r="DO246">
        <v>0</v>
      </c>
      <c r="DP246">
        <v>1</v>
      </c>
      <c r="DQ246">
        <v>1</v>
      </c>
      <c r="DU246">
        <v>1013</v>
      </c>
      <c r="DV246" t="s">
        <v>101</v>
      </c>
      <c r="DW246" t="s">
        <v>101</v>
      </c>
      <c r="DX246">
        <v>1</v>
      </c>
      <c r="DZ246" t="s">
        <v>3</v>
      </c>
      <c r="EA246" t="s">
        <v>3</v>
      </c>
      <c r="EB246" t="s">
        <v>3</v>
      </c>
      <c r="EC246" t="s">
        <v>3</v>
      </c>
      <c r="EE246">
        <v>55992151</v>
      </c>
      <c r="EF246">
        <v>40</v>
      </c>
      <c r="EG246" t="s">
        <v>24</v>
      </c>
      <c r="EH246">
        <v>0</v>
      </c>
      <c r="EI246" t="s">
        <v>3</v>
      </c>
      <c r="EJ246">
        <v>2</v>
      </c>
      <c r="EK246">
        <v>67</v>
      </c>
      <c r="EL246" t="s">
        <v>79</v>
      </c>
      <c r="EM246" t="s">
        <v>80</v>
      </c>
      <c r="EO246" t="s">
        <v>3</v>
      </c>
      <c r="EQ246">
        <v>0</v>
      </c>
      <c r="ER246">
        <v>4.88</v>
      </c>
      <c r="ES246">
        <v>4.88</v>
      </c>
      <c r="ET246">
        <v>0</v>
      </c>
      <c r="EU246">
        <v>0</v>
      </c>
      <c r="EV246">
        <v>0</v>
      </c>
      <c r="EW246">
        <v>0</v>
      </c>
      <c r="EX246">
        <v>0</v>
      </c>
      <c r="EZ246">
        <v>5</v>
      </c>
      <c r="FC246">
        <v>1</v>
      </c>
      <c r="FD246">
        <v>18</v>
      </c>
      <c r="FF246">
        <v>56.65</v>
      </c>
      <c r="FQ246">
        <v>0</v>
      </c>
      <c r="FR246">
        <v>0</v>
      </c>
      <c r="FS246">
        <v>0</v>
      </c>
      <c r="FX246">
        <v>97</v>
      </c>
      <c r="FY246">
        <v>51</v>
      </c>
      <c r="GA246" t="s">
        <v>282</v>
      </c>
      <c r="GD246">
        <v>1</v>
      </c>
      <c r="GF246">
        <v>544496089</v>
      </c>
      <c r="GG246">
        <v>2</v>
      </c>
      <c r="GH246">
        <v>3</v>
      </c>
      <c r="GI246">
        <v>5</v>
      </c>
      <c r="GJ246">
        <v>0</v>
      </c>
      <c r="GK246">
        <v>0</v>
      </c>
      <c r="GL246">
        <f t="shared" si="196"/>
        <v>0</v>
      </c>
      <c r="GM246">
        <f t="shared" si="197"/>
        <v>46227.93</v>
      </c>
      <c r="GN246">
        <f t="shared" si="198"/>
        <v>0</v>
      </c>
      <c r="GO246">
        <f t="shared" si="199"/>
        <v>46227.93</v>
      </c>
      <c r="GP246">
        <f t="shared" si="200"/>
        <v>0</v>
      </c>
      <c r="GR246">
        <v>1</v>
      </c>
      <c r="GS246">
        <v>1</v>
      </c>
      <c r="GT246">
        <v>0</v>
      </c>
      <c r="GU246" t="s">
        <v>3</v>
      </c>
      <c r="GV246">
        <f t="shared" si="201"/>
        <v>0</v>
      </c>
      <c r="GW246">
        <v>1</v>
      </c>
      <c r="GX246">
        <f t="shared" si="202"/>
        <v>0</v>
      </c>
      <c r="HA246">
        <v>0</v>
      </c>
      <c r="HB246">
        <v>0</v>
      </c>
      <c r="HC246">
        <f t="shared" si="203"/>
        <v>0</v>
      </c>
      <c r="HE246" t="s">
        <v>103</v>
      </c>
      <c r="HF246" t="s">
        <v>28</v>
      </c>
      <c r="HM246" t="s">
        <v>3</v>
      </c>
      <c r="HN246" t="s">
        <v>3</v>
      </c>
      <c r="HO246" t="s">
        <v>3</v>
      </c>
      <c r="HP246" t="s">
        <v>3</v>
      </c>
      <c r="HQ246" t="s">
        <v>3</v>
      </c>
      <c r="HS246">
        <v>0</v>
      </c>
      <c r="IK246">
        <v>0</v>
      </c>
    </row>
    <row r="248" spans="1:255" x14ac:dyDescent="0.2">
      <c r="A248" s="3">
        <v>51</v>
      </c>
      <c r="B248" s="3">
        <f>B193</f>
        <v>1</v>
      </c>
      <c r="C248" s="3">
        <f>A193</f>
        <v>4</v>
      </c>
      <c r="D248" s="3">
        <f>ROW(A193)</f>
        <v>193</v>
      </c>
      <c r="E248" s="3"/>
      <c r="F248" s="3" t="str">
        <f>IF(F193&lt;&gt;"",F193,"")</f>
        <v>Новый раздел</v>
      </c>
      <c r="G248" s="3" t="str">
        <f>IF(G193&lt;&gt;"",G193,"")</f>
        <v>Автоматизация противопожарных мероприятий</v>
      </c>
      <c r="H248" s="3">
        <v>0</v>
      </c>
      <c r="I248" s="3"/>
      <c r="J248" s="3"/>
      <c r="K248" s="3"/>
      <c r="L248" s="3"/>
      <c r="M248" s="3"/>
      <c r="N248" s="3"/>
      <c r="O248" s="3">
        <f t="shared" ref="O248:T248" si="206">ROUND(AB248,2)</f>
        <v>259787.01</v>
      </c>
      <c r="P248" s="3">
        <f t="shared" si="206"/>
        <v>245332.27</v>
      </c>
      <c r="Q248" s="3">
        <f t="shared" si="206"/>
        <v>1495.08</v>
      </c>
      <c r="R248" s="3">
        <f t="shared" si="206"/>
        <v>254.89</v>
      </c>
      <c r="S248" s="3">
        <f t="shared" si="206"/>
        <v>12959.66</v>
      </c>
      <c r="T248" s="3">
        <f t="shared" si="206"/>
        <v>0</v>
      </c>
      <c r="U248" s="3">
        <f>AH248</f>
        <v>1076.0517371999999</v>
      </c>
      <c r="V248" s="3">
        <f>AI248</f>
        <v>0</v>
      </c>
      <c r="W248" s="3">
        <f>ROUND(AJ248,2)</f>
        <v>0</v>
      </c>
      <c r="X248" s="3">
        <f>ROUND(AK248,2)</f>
        <v>12558.38</v>
      </c>
      <c r="Y248" s="3">
        <f>ROUND(AL248,2)</f>
        <v>6632.49</v>
      </c>
      <c r="Z248" s="3"/>
      <c r="AA248" s="3"/>
      <c r="AB248" s="3">
        <f>ROUND(SUMIF(AA197:AA246,"=56959434",O197:O246),2)</f>
        <v>259787.01</v>
      </c>
      <c r="AC248" s="3">
        <f>ROUND(SUMIF(AA197:AA246,"=56959434",P197:P246),2)</f>
        <v>245332.27</v>
      </c>
      <c r="AD248" s="3">
        <f>ROUND(SUMIF(AA197:AA246,"=56959434",Q197:Q246),2)</f>
        <v>1495.08</v>
      </c>
      <c r="AE248" s="3">
        <f>ROUND(SUMIF(AA197:AA246,"=56959434",R197:R246),2)</f>
        <v>254.89</v>
      </c>
      <c r="AF248" s="3">
        <f>ROUND(SUMIF(AA197:AA246,"=56959434",S197:S246),2)</f>
        <v>12959.66</v>
      </c>
      <c r="AG248" s="3">
        <f>ROUND(SUMIF(AA197:AA246,"=56959434",T197:T246),2)</f>
        <v>0</v>
      </c>
      <c r="AH248" s="3">
        <f>SUMIF(AA197:AA246,"=56959434",U197:U246)</f>
        <v>1076.0517371999999</v>
      </c>
      <c r="AI248" s="3">
        <f>SUMIF(AA197:AA246,"=56959434",V197:V246)</f>
        <v>0</v>
      </c>
      <c r="AJ248" s="3">
        <f>ROUND(SUMIF(AA197:AA246,"=56959434",W197:W246),2)</f>
        <v>0</v>
      </c>
      <c r="AK248" s="3">
        <f>ROUND(SUMIF(AA197:AA246,"=56959434",X197:X246),2)</f>
        <v>12558.38</v>
      </c>
      <c r="AL248" s="3">
        <f>ROUND(SUMIF(AA197:AA246,"=56959434",Y197:Y246),2)</f>
        <v>6632.49</v>
      </c>
      <c r="AM248" s="3"/>
      <c r="AN248" s="3"/>
      <c r="AO248" s="3">
        <f t="shared" ref="AO248:BD248" si="207">ROUND(BX248,2)</f>
        <v>0</v>
      </c>
      <c r="AP248" s="3">
        <f t="shared" si="207"/>
        <v>215808.32</v>
      </c>
      <c r="AQ248" s="3">
        <f t="shared" si="207"/>
        <v>0</v>
      </c>
      <c r="AR248" s="3">
        <f t="shared" si="207"/>
        <v>278977.88</v>
      </c>
      <c r="AS248" s="3">
        <f t="shared" si="207"/>
        <v>0</v>
      </c>
      <c r="AT248" s="3">
        <f t="shared" si="207"/>
        <v>63169.56</v>
      </c>
      <c r="AU248" s="3">
        <f t="shared" si="207"/>
        <v>0</v>
      </c>
      <c r="AV248" s="3">
        <f t="shared" si="207"/>
        <v>245332.27</v>
      </c>
      <c r="AW248" s="3">
        <f t="shared" si="207"/>
        <v>29523.95</v>
      </c>
      <c r="AX248" s="3">
        <f t="shared" si="207"/>
        <v>0</v>
      </c>
      <c r="AY248" s="3">
        <f t="shared" si="207"/>
        <v>29523.95</v>
      </c>
      <c r="AZ248" s="3">
        <f t="shared" si="207"/>
        <v>215808.32</v>
      </c>
      <c r="BA248" s="3">
        <f t="shared" si="207"/>
        <v>0</v>
      </c>
      <c r="BB248" s="3">
        <f t="shared" si="207"/>
        <v>0</v>
      </c>
      <c r="BC248" s="3">
        <f t="shared" si="207"/>
        <v>0</v>
      </c>
      <c r="BD248" s="3">
        <f t="shared" si="207"/>
        <v>0</v>
      </c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>
        <f>ROUND(SUMIF(AA197:AA246,"=56959434",FQ197:FQ246),2)</f>
        <v>0</v>
      </c>
      <c r="BY248" s="3">
        <f>ROUND(SUMIF(AA197:AA246,"=56959434",FR197:FR246),2)</f>
        <v>215808.32</v>
      </c>
      <c r="BZ248" s="3">
        <f>ROUND(SUMIF(AA197:AA246,"=56959434",GL197:GL246),2)</f>
        <v>0</v>
      </c>
      <c r="CA248" s="3">
        <f>ROUND(SUMIF(AA197:AA246,"=56959434",GM197:GM246),2)</f>
        <v>278977.88</v>
      </c>
      <c r="CB248" s="3">
        <f>ROUND(SUMIF(AA197:AA246,"=56959434",GN197:GN246),2)</f>
        <v>0</v>
      </c>
      <c r="CC248" s="3">
        <f>ROUND(SUMIF(AA197:AA246,"=56959434",GO197:GO246),2)</f>
        <v>63169.56</v>
      </c>
      <c r="CD248" s="3">
        <f>ROUND(SUMIF(AA197:AA246,"=56959434",GP197:GP246),2)</f>
        <v>0</v>
      </c>
      <c r="CE248" s="3">
        <f>AC248-BX248</f>
        <v>245332.27</v>
      </c>
      <c r="CF248" s="3">
        <f>AC248-BY248</f>
        <v>29523.949999999983</v>
      </c>
      <c r="CG248" s="3">
        <f>BX248-BZ248</f>
        <v>0</v>
      </c>
      <c r="CH248" s="3">
        <f>AC248-BX248-BY248+BZ248</f>
        <v>29523.949999999983</v>
      </c>
      <c r="CI248" s="3">
        <f>BY248-BZ248</f>
        <v>215808.32</v>
      </c>
      <c r="CJ248" s="3">
        <f>ROUND(SUMIF(AA197:AA246,"=56959434",GX197:GX246),2)</f>
        <v>0</v>
      </c>
      <c r="CK248" s="3">
        <f>ROUND(SUMIF(AA197:AA246,"=56959434",GY197:GY246),2)</f>
        <v>0</v>
      </c>
      <c r="CL248" s="3">
        <f>ROUND(SUMIF(AA197:AA246,"=56959434",GZ197:GZ246),2)</f>
        <v>0</v>
      </c>
      <c r="CM248" s="3">
        <f>ROUND(SUMIF(AA197:AA246,"=56959434",HD197:HD246),2)</f>
        <v>0</v>
      </c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4">
        <f t="shared" ref="DG248:DL248" si="208">ROUND(DT248,2)</f>
        <v>2545535.0699999998</v>
      </c>
      <c r="DH248" s="4">
        <f t="shared" si="208"/>
        <v>1806366.05</v>
      </c>
      <c r="DI248" s="4">
        <f t="shared" si="208"/>
        <v>26517.33</v>
      </c>
      <c r="DJ248" s="4">
        <f t="shared" si="208"/>
        <v>14016.41</v>
      </c>
      <c r="DK248" s="4">
        <f t="shared" si="208"/>
        <v>712651.69</v>
      </c>
      <c r="DL248" s="4">
        <f t="shared" si="208"/>
        <v>0</v>
      </c>
      <c r="DM248" s="4">
        <f>DZ248</f>
        <v>1076.0517371999999</v>
      </c>
      <c r="DN248" s="4">
        <f>EA248</f>
        <v>0</v>
      </c>
      <c r="DO248" s="4">
        <f>ROUND(EB248,2)</f>
        <v>0</v>
      </c>
      <c r="DP248" s="4">
        <f>ROUND(EC248,2)</f>
        <v>690585.77</v>
      </c>
      <c r="DQ248" s="4">
        <f>ROUND(ED248,2)</f>
        <v>364720.59</v>
      </c>
      <c r="DR248" s="4"/>
      <c r="DS248" s="4"/>
      <c r="DT248" s="4">
        <f>ROUND(SUMIF(AA197:AA246,"=56959431",O197:O246),2)</f>
        <v>2545535.0699999998</v>
      </c>
      <c r="DU248" s="4">
        <f>ROUND(SUMIF(AA197:AA246,"=56959431",P197:P246),2)</f>
        <v>1806366.05</v>
      </c>
      <c r="DV248" s="4">
        <f>ROUND(SUMIF(AA197:AA246,"=56959431",Q197:Q246),2)</f>
        <v>26517.33</v>
      </c>
      <c r="DW248" s="4">
        <f>ROUND(SUMIF(AA197:AA246,"=56959431",R197:R246),2)</f>
        <v>14016.41</v>
      </c>
      <c r="DX248" s="4">
        <f>ROUND(SUMIF(AA197:AA246,"=56959431",S197:S246),2)</f>
        <v>712651.69</v>
      </c>
      <c r="DY248" s="4">
        <f>ROUND(SUMIF(AA197:AA246,"=56959431",T197:T246),2)</f>
        <v>0</v>
      </c>
      <c r="DZ248" s="4">
        <f>SUMIF(AA197:AA246,"=56959431",U197:U246)</f>
        <v>1076.0517371999999</v>
      </c>
      <c r="EA248" s="4">
        <f>SUMIF(AA197:AA246,"=56959431",V197:V246)</f>
        <v>0</v>
      </c>
      <c r="EB248" s="4">
        <f>ROUND(SUMIF(AA197:AA246,"=56959431",W197:W246),2)</f>
        <v>0</v>
      </c>
      <c r="EC248" s="4">
        <f>ROUND(SUMIF(AA197:AA246,"=56959431",X197:X246),2)</f>
        <v>690585.77</v>
      </c>
      <c r="ED248" s="4">
        <f>ROUND(SUMIF(AA197:AA246,"=56959431",Y197:Y246),2)</f>
        <v>364720.59</v>
      </c>
      <c r="EE248" s="4"/>
      <c r="EF248" s="4"/>
      <c r="EG248" s="4">
        <f t="shared" ref="EG248:EV248" si="209">ROUND(FP248,2)</f>
        <v>0</v>
      </c>
      <c r="EH248" s="4">
        <f t="shared" si="209"/>
        <v>1614192.26</v>
      </c>
      <c r="EI248" s="4">
        <f t="shared" si="209"/>
        <v>0</v>
      </c>
      <c r="EJ248" s="4">
        <f t="shared" si="209"/>
        <v>3600841.43</v>
      </c>
      <c r="EK248" s="4">
        <f t="shared" si="209"/>
        <v>0</v>
      </c>
      <c r="EL248" s="4">
        <f t="shared" si="209"/>
        <v>1986649.17</v>
      </c>
      <c r="EM248" s="4">
        <f t="shared" si="209"/>
        <v>0</v>
      </c>
      <c r="EN248" s="4">
        <f t="shared" si="209"/>
        <v>1806366.05</v>
      </c>
      <c r="EO248" s="4">
        <f t="shared" si="209"/>
        <v>192173.79</v>
      </c>
      <c r="EP248" s="4">
        <f t="shared" si="209"/>
        <v>0</v>
      </c>
      <c r="EQ248" s="4">
        <f t="shared" si="209"/>
        <v>192173.79</v>
      </c>
      <c r="ER248" s="4">
        <f t="shared" si="209"/>
        <v>1614192.26</v>
      </c>
      <c r="ES248" s="4">
        <f t="shared" si="209"/>
        <v>0</v>
      </c>
      <c r="ET248" s="4">
        <f t="shared" si="209"/>
        <v>0</v>
      </c>
      <c r="EU248" s="4">
        <f t="shared" si="209"/>
        <v>0</v>
      </c>
      <c r="EV248" s="4">
        <f t="shared" si="209"/>
        <v>0</v>
      </c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>
        <f>ROUND(SUMIF(AA197:AA246,"=56959431",FQ197:FQ246),2)</f>
        <v>0</v>
      </c>
      <c r="FQ248" s="4">
        <f>ROUND(SUMIF(AA197:AA246,"=56959431",FR197:FR246),2)</f>
        <v>1614192.26</v>
      </c>
      <c r="FR248" s="4">
        <f>ROUND(SUMIF(AA197:AA246,"=56959431",GL197:GL246),2)</f>
        <v>0</v>
      </c>
      <c r="FS248" s="4">
        <f>ROUND(SUMIF(AA197:AA246,"=56959431",GM197:GM246),2)</f>
        <v>3600841.43</v>
      </c>
      <c r="FT248" s="4">
        <f>ROUND(SUMIF(AA197:AA246,"=56959431",GN197:GN246),2)</f>
        <v>0</v>
      </c>
      <c r="FU248" s="4">
        <f>ROUND(SUMIF(AA197:AA246,"=56959431",GO197:GO246),2)</f>
        <v>1986649.17</v>
      </c>
      <c r="FV248" s="4">
        <f>ROUND(SUMIF(AA197:AA246,"=56959431",GP197:GP246),2)</f>
        <v>0</v>
      </c>
      <c r="FW248" s="4">
        <f>DU248-FP248</f>
        <v>1806366.05</v>
      </c>
      <c r="FX248" s="4">
        <f>DU248-FQ248</f>
        <v>192173.79000000004</v>
      </c>
      <c r="FY248" s="4">
        <f>FP248-FR248</f>
        <v>0</v>
      </c>
      <c r="FZ248" s="4">
        <f>DU248-FP248-FQ248+FR248</f>
        <v>192173.79000000004</v>
      </c>
      <c r="GA248" s="4">
        <f>FQ248-FR248</f>
        <v>1614192.26</v>
      </c>
      <c r="GB248" s="4">
        <f>ROUND(SUMIF(AA197:AA246,"=56959431",GX197:GX246),2)</f>
        <v>0</v>
      </c>
      <c r="GC248" s="4">
        <f>ROUND(SUMIF(AA197:AA246,"=56959431",GY197:GY246),2)</f>
        <v>0</v>
      </c>
      <c r="GD248" s="4">
        <f>ROUND(SUMIF(AA197:AA246,"=56959431",GZ197:GZ246),2)</f>
        <v>0</v>
      </c>
      <c r="GE248" s="4">
        <f>ROUND(SUMIF(AA197:AA246,"=56959431",HD197:HD246),2)</f>
        <v>0</v>
      </c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>
        <v>0</v>
      </c>
    </row>
    <row r="250" spans="1:255" x14ac:dyDescent="0.2">
      <c r="A250" s="5">
        <v>50</v>
      </c>
      <c r="B250" s="5">
        <v>0</v>
      </c>
      <c r="C250" s="5">
        <v>0</v>
      </c>
      <c r="D250" s="5">
        <v>1</v>
      </c>
      <c r="E250" s="5">
        <v>201</v>
      </c>
      <c r="F250" s="5">
        <f>ROUND(Source!O248,O250)</f>
        <v>259787.01</v>
      </c>
      <c r="G250" s="5" t="s">
        <v>118</v>
      </c>
      <c r="H250" s="5" t="s">
        <v>119</v>
      </c>
      <c r="I250" s="5"/>
      <c r="J250" s="5"/>
      <c r="K250" s="5">
        <v>201</v>
      </c>
      <c r="L250" s="5">
        <v>1</v>
      </c>
      <c r="M250" s="5">
        <v>3</v>
      </c>
      <c r="N250" s="5" t="s">
        <v>3</v>
      </c>
      <c r="O250" s="5">
        <v>2</v>
      </c>
      <c r="P250" s="5">
        <f>ROUND(Source!DG248,O250)</f>
        <v>2545535.0699999998</v>
      </c>
      <c r="Q250" s="5"/>
      <c r="R250" s="5"/>
      <c r="S250" s="5"/>
      <c r="T250" s="5"/>
      <c r="U250" s="5"/>
      <c r="V250" s="5"/>
      <c r="W250" s="5">
        <v>259787.01</v>
      </c>
      <c r="X250" s="5">
        <v>1</v>
      </c>
      <c r="Y250" s="5">
        <v>259787.01</v>
      </c>
      <c r="Z250" s="5">
        <v>2545535.0699999998</v>
      </c>
      <c r="AA250" s="5">
        <v>1</v>
      </c>
      <c r="AB250" s="5">
        <v>2545535.0699999998</v>
      </c>
    </row>
    <row r="251" spans="1:255" x14ac:dyDescent="0.2">
      <c r="A251" s="5">
        <v>50</v>
      </c>
      <c r="B251" s="5">
        <v>0</v>
      </c>
      <c r="C251" s="5">
        <v>0</v>
      </c>
      <c r="D251" s="5">
        <v>1</v>
      </c>
      <c r="E251" s="5">
        <v>202</v>
      </c>
      <c r="F251" s="5">
        <f>ROUND(Source!P248,O251)</f>
        <v>245332.27</v>
      </c>
      <c r="G251" s="5" t="s">
        <v>120</v>
      </c>
      <c r="H251" s="5" t="s">
        <v>121</v>
      </c>
      <c r="I251" s="5"/>
      <c r="J251" s="5"/>
      <c r="K251" s="5">
        <v>202</v>
      </c>
      <c r="L251" s="5">
        <v>2</v>
      </c>
      <c r="M251" s="5">
        <v>3</v>
      </c>
      <c r="N251" s="5" t="s">
        <v>3</v>
      </c>
      <c r="O251" s="5">
        <v>2</v>
      </c>
      <c r="P251" s="5">
        <f>ROUND(Source!DH248,O251)</f>
        <v>1806366.05</v>
      </c>
      <c r="Q251" s="5"/>
      <c r="R251" s="5"/>
      <c r="S251" s="5"/>
      <c r="T251" s="5"/>
      <c r="U251" s="5"/>
      <c r="V251" s="5"/>
      <c r="W251" s="5">
        <v>245332.27</v>
      </c>
      <c r="X251" s="5">
        <v>1</v>
      </c>
      <c r="Y251" s="5">
        <v>245332.27</v>
      </c>
      <c r="Z251" s="5">
        <v>1806366.05</v>
      </c>
      <c r="AA251" s="5">
        <v>1</v>
      </c>
      <c r="AB251" s="5">
        <v>1806366.05</v>
      </c>
    </row>
    <row r="252" spans="1:255" x14ac:dyDescent="0.2">
      <c r="A252" s="5">
        <v>50</v>
      </c>
      <c r="B252" s="5">
        <v>0</v>
      </c>
      <c r="C252" s="5">
        <v>0</v>
      </c>
      <c r="D252" s="5">
        <v>1</v>
      </c>
      <c r="E252" s="5">
        <v>222</v>
      </c>
      <c r="F252" s="5">
        <f>ROUND(Source!AO248,O252)</f>
        <v>0</v>
      </c>
      <c r="G252" s="5" t="s">
        <v>122</v>
      </c>
      <c r="H252" s="5" t="s">
        <v>123</v>
      </c>
      <c r="I252" s="5"/>
      <c r="J252" s="5"/>
      <c r="K252" s="5">
        <v>222</v>
      </c>
      <c r="L252" s="5">
        <v>3</v>
      </c>
      <c r="M252" s="5">
        <v>3</v>
      </c>
      <c r="N252" s="5" t="s">
        <v>3</v>
      </c>
      <c r="O252" s="5">
        <v>2</v>
      </c>
      <c r="P252" s="5">
        <f>ROUND(Source!EG248,O252)</f>
        <v>0</v>
      </c>
      <c r="Q252" s="5"/>
      <c r="R252" s="5"/>
      <c r="S252" s="5"/>
      <c r="T252" s="5"/>
      <c r="U252" s="5"/>
      <c r="V252" s="5"/>
      <c r="W252" s="5">
        <v>0</v>
      </c>
      <c r="X252" s="5">
        <v>1</v>
      </c>
      <c r="Y252" s="5">
        <v>0</v>
      </c>
      <c r="Z252" s="5">
        <v>0</v>
      </c>
      <c r="AA252" s="5">
        <v>1</v>
      </c>
      <c r="AB252" s="5">
        <v>0</v>
      </c>
    </row>
    <row r="253" spans="1:255" x14ac:dyDescent="0.2">
      <c r="A253" s="5">
        <v>50</v>
      </c>
      <c r="B253" s="5">
        <v>0</v>
      </c>
      <c r="C253" s="5">
        <v>0</v>
      </c>
      <c r="D253" s="5">
        <v>1</v>
      </c>
      <c r="E253" s="5">
        <v>225</v>
      </c>
      <c r="F253" s="5">
        <f>ROUND(Source!AV248,O253)</f>
        <v>245332.27</v>
      </c>
      <c r="G253" s="5" t="s">
        <v>124</v>
      </c>
      <c r="H253" s="5" t="s">
        <v>125</v>
      </c>
      <c r="I253" s="5"/>
      <c r="J253" s="5"/>
      <c r="K253" s="5">
        <v>225</v>
      </c>
      <c r="L253" s="5">
        <v>4</v>
      </c>
      <c r="M253" s="5">
        <v>3</v>
      </c>
      <c r="N253" s="5" t="s">
        <v>3</v>
      </c>
      <c r="O253" s="5">
        <v>2</v>
      </c>
      <c r="P253" s="5">
        <f>ROUND(Source!EN248,O253)</f>
        <v>1806366.05</v>
      </c>
      <c r="Q253" s="5"/>
      <c r="R253" s="5"/>
      <c r="S253" s="5"/>
      <c r="T253" s="5"/>
      <c r="U253" s="5"/>
      <c r="V253" s="5"/>
      <c r="W253" s="5">
        <v>245332.27</v>
      </c>
      <c r="X253" s="5">
        <v>1</v>
      </c>
      <c r="Y253" s="5">
        <v>245332.27</v>
      </c>
      <c r="Z253" s="5">
        <v>1806366.05</v>
      </c>
      <c r="AA253" s="5">
        <v>1</v>
      </c>
      <c r="AB253" s="5">
        <v>1806366.05</v>
      </c>
    </row>
    <row r="254" spans="1:255" x14ac:dyDescent="0.2">
      <c r="A254" s="5">
        <v>50</v>
      </c>
      <c r="B254" s="5">
        <v>0</v>
      </c>
      <c r="C254" s="5">
        <v>0</v>
      </c>
      <c r="D254" s="5">
        <v>1</v>
      </c>
      <c r="E254" s="5">
        <v>226</v>
      </c>
      <c r="F254" s="5">
        <f>ROUND(Source!AW248,O254)</f>
        <v>29523.95</v>
      </c>
      <c r="G254" s="5" t="s">
        <v>126</v>
      </c>
      <c r="H254" s="5" t="s">
        <v>127</v>
      </c>
      <c r="I254" s="5"/>
      <c r="J254" s="5"/>
      <c r="K254" s="5">
        <v>226</v>
      </c>
      <c r="L254" s="5">
        <v>5</v>
      </c>
      <c r="M254" s="5">
        <v>3</v>
      </c>
      <c r="N254" s="5" t="s">
        <v>3</v>
      </c>
      <c r="O254" s="5">
        <v>2</v>
      </c>
      <c r="P254" s="5">
        <f>ROUND(Source!EO248,O254)</f>
        <v>192173.79</v>
      </c>
      <c r="Q254" s="5"/>
      <c r="R254" s="5"/>
      <c r="S254" s="5"/>
      <c r="T254" s="5"/>
      <c r="U254" s="5"/>
      <c r="V254" s="5"/>
      <c r="W254" s="5">
        <v>29523.95</v>
      </c>
      <c r="X254" s="5">
        <v>1</v>
      </c>
      <c r="Y254" s="5">
        <v>29523.95</v>
      </c>
      <c r="Z254" s="5">
        <v>192173.79</v>
      </c>
      <c r="AA254" s="5">
        <v>1</v>
      </c>
      <c r="AB254" s="5">
        <v>192173.79</v>
      </c>
    </row>
    <row r="255" spans="1:255" x14ac:dyDescent="0.2">
      <c r="A255" s="5">
        <v>50</v>
      </c>
      <c r="B255" s="5">
        <v>0</v>
      </c>
      <c r="C255" s="5">
        <v>0</v>
      </c>
      <c r="D255" s="5">
        <v>1</v>
      </c>
      <c r="E255" s="5">
        <v>227</v>
      </c>
      <c r="F255" s="5">
        <f>ROUND(Source!AX248,O255)</f>
        <v>0</v>
      </c>
      <c r="G255" s="5" t="s">
        <v>128</v>
      </c>
      <c r="H255" s="5" t="s">
        <v>129</v>
      </c>
      <c r="I255" s="5"/>
      <c r="J255" s="5"/>
      <c r="K255" s="5">
        <v>227</v>
      </c>
      <c r="L255" s="5">
        <v>6</v>
      </c>
      <c r="M255" s="5">
        <v>3</v>
      </c>
      <c r="N255" s="5" t="s">
        <v>3</v>
      </c>
      <c r="O255" s="5">
        <v>2</v>
      </c>
      <c r="P255" s="5">
        <f>ROUND(Source!EP248,O255)</f>
        <v>0</v>
      </c>
      <c r="Q255" s="5"/>
      <c r="R255" s="5"/>
      <c r="S255" s="5"/>
      <c r="T255" s="5"/>
      <c r="U255" s="5"/>
      <c r="V255" s="5"/>
      <c r="W255" s="5">
        <v>0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</row>
    <row r="256" spans="1:255" x14ac:dyDescent="0.2">
      <c r="A256" s="5">
        <v>50</v>
      </c>
      <c r="B256" s="5">
        <v>0</v>
      </c>
      <c r="C256" s="5">
        <v>0</v>
      </c>
      <c r="D256" s="5">
        <v>1</v>
      </c>
      <c r="E256" s="5">
        <v>228</v>
      </c>
      <c r="F256" s="5">
        <f>ROUND(Source!AY248,O256)</f>
        <v>29523.95</v>
      </c>
      <c r="G256" s="5" t="s">
        <v>130</v>
      </c>
      <c r="H256" s="5" t="s">
        <v>131</v>
      </c>
      <c r="I256" s="5"/>
      <c r="J256" s="5"/>
      <c r="K256" s="5">
        <v>228</v>
      </c>
      <c r="L256" s="5">
        <v>7</v>
      </c>
      <c r="M256" s="5">
        <v>3</v>
      </c>
      <c r="N256" s="5" t="s">
        <v>3</v>
      </c>
      <c r="O256" s="5">
        <v>2</v>
      </c>
      <c r="P256" s="5">
        <f>ROUND(Source!EQ248,O256)</f>
        <v>192173.79</v>
      </c>
      <c r="Q256" s="5"/>
      <c r="R256" s="5"/>
      <c r="S256" s="5"/>
      <c r="T256" s="5"/>
      <c r="U256" s="5"/>
      <c r="V256" s="5"/>
      <c r="W256" s="5">
        <v>29523.95</v>
      </c>
      <c r="X256" s="5">
        <v>1</v>
      </c>
      <c r="Y256" s="5">
        <v>29523.95</v>
      </c>
      <c r="Z256" s="5">
        <v>192173.79</v>
      </c>
      <c r="AA256" s="5">
        <v>1</v>
      </c>
      <c r="AB256" s="5">
        <v>192173.79</v>
      </c>
    </row>
    <row r="257" spans="1:28" x14ac:dyDescent="0.2">
      <c r="A257" s="5">
        <v>50</v>
      </c>
      <c r="B257" s="5">
        <v>0</v>
      </c>
      <c r="C257" s="5">
        <v>0</v>
      </c>
      <c r="D257" s="5">
        <v>1</v>
      </c>
      <c r="E257" s="5">
        <v>216</v>
      </c>
      <c r="F257" s="5">
        <f>ROUND(Source!AP248,O257)</f>
        <v>215808.32</v>
      </c>
      <c r="G257" s="5" t="s">
        <v>132</v>
      </c>
      <c r="H257" s="5" t="s">
        <v>133</v>
      </c>
      <c r="I257" s="5"/>
      <c r="J257" s="5"/>
      <c r="K257" s="5">
        <v>216</v>
      </c>
      <c r="L257" s="5">
        <v>8</v>
      </c>
      <c r="M257" s="5">
        <v>3</v>
      </c>
      <c r="N257" s="5" t="s">
        <v>3</v>
      </c>
      <c r="O257" s="5">
        <v>2</v>
      </c>
      <c r="P257" s="5">
        <f>ROUND(Source!EH248,O257)</f>
        <v>1614192.26</v>
      </c>
      <c r="Q257" s="5"/>
      <c r="R257" s="5"/>
      <c r="S257" s="5"/>
      <c r="T257" s="5"/>
      <c r="U257" s="5"/>
      <c r="V257" s="5"/>
      <c r="W257" s="5">
        <v>215808.32</v>
      </c>
      <c r="X257" s="5">
        <v>1</v>
      </c>
      <c r="Y257" s="5">
        <v>215808.32</v>
      </c>
      <c r="Z257" s="5">
        <v>1614192.26</v>
      </c>
      <c r="AA257" s="5">
        <v>1</v>
      </c>
      <c r="AB257" s="5">
        <v>1614192.26</v>
      </c>
    </row>
    <row r="258" spans="1:28" x14ac:dyDescent="0.2">
      <c r="A258" s="5">
        <v>50</v>
      </c>
      <c r="B258" s="5">
        <v>0</v>
      </c>
      <c r="C258" s="5">
        <v>0</v>
      </c>
      <c r="D258" s="5">
        <v>1</v>
      </c>
      <c r="E258" s="5">
        <v>223</v>
      </c>
      <c r="F258" s="5">
        <f>ROUND(Source!AQ248,O258)</f>
        <v>0</v>
      </c>
      <c r="G258" s="5" t="s">
        <v>134</v>
      </c>
      <c r="H258" s="5" t="s">
        <v>135</v>
      </c>
      <c r="I258" s="5"/>
      <c r="J258" s="5"/>
      <c r="K258" s="5">
        <v>223</v>
      </c>
      <c r="L258" s="5">
        <v>9</v>
      </c>
      <c r="M258" s="5">
        <v>3</v>
      </c>
      <c r="N258" s="5" t="s">
        <v>3</v>
      </c>
      <c r="O258" s="5">
        <v>2</v>
      </c>
      <c r="P258" s="5">
        <f>ROUND(Source!EI248,O258)</f>
        <v>0</v>
      </c>
      <c r="Q258" s="5"/>
      <c r="R258" s="5"/>
      <c r="S258" s="5"/>
      <c r="T258" s="5"/>
      <c r="U258" s="5"/>
      <c r="V258" s="5"/>
      <c r="W258" s="5">
        <v>0</v>
      </c>
      <c r="X258" s="5">
        <v>1</v>
      </c>
      <c r="Y258" s="5">
        <v>0</v>
      </c>
      <c r="Z258" s="5">
        <v>0</v>
      </c>
      <c r="AA258" s="5">
        <v>1</v>
      </c>
      <c r="AB258" s="5">
        <v>0</v>
      </c>
    </row>
    <row r="259" spans="1:28" x14ac:dyDescent="0.2">
      <c r="A259" s="5">
        <v>50</v>
      </c>
      <c r="B259" s="5">
        <v>0</v>
      </c>
      <c r="C259" s="5">
        <v>0</v>
      </c>
      <c r="D259" s="5">
        <v>1</v>
      </c>
      <c r="E259" s="5">
        <v>229</v>
      </c>
      <c r="F259" s="5">
        <f>ROUND(Source!AZ248,O259)</f>
        <v>215808.32</v>
      </c>
      <c r="G259" s="5" t="s">
        <v>136</v>
      </c>
      <c r="H259" s="5" t="s">
        <v>137</v>
      </c>
      <c r="I259" s="5"/>
      <c r="J259" s="5"/>
      <c r="K259" s="5">
        <v>229</v>
      </c>
      <c r="L259" s="5">
        <v>10</v>
      </c>
      <c r="M259" s="5">
        <v>3</v>
      </c>
      <c r="N259" s="5" t="s">
        <v>3</v>
      </c>
      <c r="O259" s="5">
        <v>2</v>
      </c>
      <c r="P259" s="5">
        <f>ROUND(Source!ER248,O259)</f>
        <v>1614192.26</v>
      </c>
      <c r="Q259" s="5"/>
      <c r="R259" s="5"/>
      <c r="S259" s="5"/>
      <c r="T259" s="5"/>
      <c r="U259" s="5"/>
      <c r="V259" s="5"/>
      <c r="W259" s="5">
        <v>215808.32</v>
      </c>
      <c r="X259" s="5">
        <v>1</v>
      </c>
      <c r="Y259" s="5">
        <v>215808.32</v>
      </c>
      <c r="Z259" s="5">
        <v>1614192.26</v>
      </c>
      <c r="AA259" s="5">
        <v>1</v>
      </c>
      <c r="AB259" s="5">
        <v>1614192.26</v>
      </c>
    </row>
    <row r="260" spans="1:28" x14ac:dyDescent="0.2">
      <c r="A260" s="5">
        <v>50</v>
      </c>
      <c r="B260" s="5">
        <v>0</v>
      </c>
      <c r="C260" s="5">
        <v>0</v>
      </c>
      <c r="D260" s="5">
        <v>1</v>
      </c>
      <c r="E260" s="5">
        <v>203</v>
      </c>
      <c r="F260" s="5">
        <f>ROUND(Source!Q248,O260)</f>
        <v>1495.08</v>
      </c>
      <c r="G260" s="5" t="s">
        <v>138</v>
      </c>
      <c r="H260" s="5" t="s">
        <v>139</v>
      </c>
      <c r="I260" s="5"/>
      <c r="J260" s="5"/>
      <c r="K260" s="5">
        <v>203</v>
      </c>
      <c r="L260" s="5">
        <v>11</v>
      </c>
      <c r="M260" s="5">
        <v>3</v>
      </c>
      <c r="N260" s="5" t="s">
        <v>3</v>
      </c>
      <c r="O260" s="5">
        <v>2</v>
      </c>
      <c r="P260" s="5">
        <f>ROUND(Source!DI248,O260)</f>
        <v>26517.33</v>
      </c>
      <c r="Q260" s="5"/>
      <c r="R260" s="5"/>
      <c r="S260" s="5"/>
      <c r="T260" s="5"/>
      <c r="U260" s="5"/>
      <c r="V260" s="5"/>
      <c r="W260" s="5">
        <v>1495.08</v>
      </c>
      <c r="X260" s="5">
        <v>1</v>
      </c>
      <c r="Y260" s="5">
        <v>1495.08</v>
      </c>
      <c r="Z260" s="5">
        <v>26517.33</v>
      </c>
      <c r="AA260" s="5">
        <v>1</v>
      </c>
      <c r="AB260" s="5">
        <v>26517.33</v>
      </c>
    </row>
    <row r="261" spans="1:28" x14ac:dyDescent="0.2">
      <c r="A261" s="5">
        <v>50</v>
      </c>
      <c r="B261" s="5">
        <v>0</v>
      </c>
      <c r="C261" s="5">
        <v>0</v>
      </c>
      <c r="D261" s="5">
        <v>1</v>
      </c>
      <c r="E261" s="5">
        <v>231</v>
      </c>
      <c r="F261" s="5">
        <f>ROUND(Source!BB248,O261)</f>
        <v>0</v>
      </c>
      <c r="G261" s="5" t="s">
        <v>140</v>
      </c>
      <c r="H261" s="5" t="s">
        <v>141</v>
      </c>
      <c r="I261" s="5"/>
      <c r="J261" s="5"/>
      <c r="K261" s="5">
        <v>231</v>
      </c>
      <c r="L261" s="5">
        <v>12</v>
      </c>
      <c r="M261" s="5">
        <v>3</v>
      </c>
      <c r="N261" s="5" t="s">
        <v>3</v>
      </c>
      <c r="O261" s="5">
        <v>2</v>
      </c>
      <c r="P261" s="5">
        <f>ROUND(Source!ET248,O261)</f>
        <v>0</v>
      </c>
      <c r="Q261" s="5"/>
      <c r="R261" s="5"/>
      <c r="S261" s="5"/>
      <c r="T261" s="5"/>
      <c r="U261" s="5"/>
      <c r="V261" s="5"/>
      <c r="W261" s="5">
        <v>0</v>
      </c>
      <c r="X261" s="5">
        <v>1</v>
      </c>
      <c r="Y261" s="5">
        <v>0</v>
      </c>
      <c r="Z261" s="5">
        <v>0</v>
      </c>
      <c r="AA261" s="5">
        <v>1</v>
      </c>
      <c r="AB261" s="5">
        <v>0</v>
      </c>
    </row>
    <row r="262" spans="1:28" x14ac:dyDescent="0.2">
      <c r="A262" s="5">
        <v>50</v>
      </c>
      <c r="B262" s="5">
        <v>0</v>
      </c>
      <c r="C262" s="5">
        <v>0</v>
      </c>
      <c r="D262" s="5">
        <v>1</v>
      </c>
      <c r="E262" s="5">
        <v>204</v>
      </c>
      <c r="F262" s="5">
        <f>ROUND(Source!R248,O262)</f>
        <v>254.89</v>
      </c>
      <c r="G262" s="5" t="s">
        <v>142</v>
      </c>
      <c r="H262" s="5" t="s">
        <v>143</v>
      </c>
      <c r="I262" s="5"/>
      <c r="J262" s="5"/>
      <c r="K262" s="5">
        <v>204</v>
      </c>
      <c r="L262" s="5">
        <v>13</v>
      </c>
      <c r="M262" s="5">
        <v>3</v>
      </c>
      <c r="N262" s="5" t="s">
        <v>3</v>
      </c>
      <c r="O262" s="5">
        <v>2</v>
      </c>
      <c r="P262" s="5">
        <f>ROUND(Source!DJ248,O262)</f>
        <v>14016.41</v>
      </c>
      <c r="Q262" s="5"/>
      <c r="R262" s="5"/>
      <c r="S262" s="5"/>
      <c r="T262" s="5"/>
      <c r="U262" s="5"/>
      <c r="V262" s="5"/>
      <c r="W262" s="5">
        <v>254.89</v>
      </c>
      <c r="X262" s="5">
        <v>1</v>
      </c>
      <c r="Y262" s="5">
        <v>254.89</v>
      </c>
      <c r="Z262" s="5">
        <v>14016.41</v>
      </c>
      <c r="AA262" s="5">
        <v>1</v>
      </c>
      <c r="AB262" s="5">
        <v>14016.41</v>
      </c>
    </row>
    <row r="263" spans="1:28" x14ac:dyDescent="0.2">
      <c r="A263" s="5">
        <v>50</v>
      </c>
      <c r="B263" s="5">
        <v>0</v>
      </c>
      <c r="C263" s="5">
        <v>0</v>
      </c>
      <c r="D263" s="5">
        <v>1</v>
      </c>
      <c r="E263" s="5">
        <v>205</v>
      </c>
      <c r="F263" s="5">
        <f>ROUND(Source!S248,O263)</f>
        <v>12959.66</v>
      </c>
      <c r="G263" s="5" t="s">
        <v>144</v>
      </c>
      <c r="H263" s="5" t="s">
        <v>145</v>
      </c>
      <c r="I263" s="5"/>
      <c r="J263" s="5"/>
      <c r="K263" s="5">
        <v>205</v>
      </c>
      <c r="L263" s="5">
        <v>14</v>
      </c>
      <c r="M263" s="5">
        <v>3</v>
      </c>
      <c r="N263" s="5" t="s">
        <v>3</v>
      </c>
      <c r="O263" s="5">
        <v>2</v>
      </c>
      <c r="P263" s="5">
        <f>ROUND(Source!DK248,O263)</f>
        <v>712651.69</v>
      </c>
      <c r="Q263" s="5"/>
      <c r="R263" s="5"/>
      <c r="S263" s="5"/>
      <c r="T263" s="5"/>
      <c r="U263" s="5"/>
      <c r="V263" s="5"/>
      <c r="W263" s="5">
        <v>12959.66</v>
      </c>
      <c r="X263" s="5">
        <v>1</v>
      </c>
      <c r="Y263" s="5">
        <v>12959.66</v>
      </c>
      <c r="Z263" s="5">
        <v>712651.69</v>
      </c>
      <c r="AA263" s="5">
        <v>1</v>
      </c>
      <c r="AB263" s="5">
        <v>712651.69</v>
      </c>
    </row>
    <row r="264" spans="1:28" x14ac:dyDescent="0.2">
      <c r="A264" s="5">
        <v>50</v>
      </c>
      <c r="B264" s="5">
        <v>0</v>
      </c>
      <c r="C264" s="5">
        <v>0</v>
      </c>
      <c r="D264" s="5">
        <v>1</v>
      </c>
      <c r="E264" s="5">
        <v>232</v>
      </c>
      <c r="F264" s="5">
        <f>ROUND(Source!BC248,O264)</f>
        <v>0</v>
      </c>
      <c r="G264" s="5" t="s">
        <v>146</v>
      </c>
      <c r="H264" s="5" t="s">
        <v>147</v>
      </c>
      <c r="I264" s="5"/>
      <c r="J264" s="5"/>
      <c r="K264" s="5">
        <v>232</v>
      </c>
      <c r="L264" s="5">
        <v>15</v>
      </c>
      <c r="M264" s="5">
        <v>3</v>
      </c>
      <c r="N264" s="5" t="s">
        <v>3</v>
      </c>
      <c r="O264" s="5">
        <v>2</v>
      </c>
      <c r="P264" s="5">
        <f>ROUND(Source!EU248,O264)</f>
        <v>0</v>
      </c>
      <c r="Q264" s="5"/>
      <c r="R264" s="5"/>
      <c r="S264" s="5"/>
      <c r="T264" s="5"/>
      <c r="U264" s="5"/>
      <c r="V264" s="5"/>
      <c r="W264" s="5">
        <v>0</v>
      </c>
      <c r="X264" s="5">
        <v>1</v>
      </c>
      <c r="Y264" s="5">
        <v>0</v>
      </c>
      <c r="Z264" s="5">
        <v>0</v>
      </c>
      <c r="AA264" s="5">
        <v>1</v>
      </c>
      <c r="AB264" s="5">
        <v>0</v>
      </c>
    </row>
    <row r="265" spans="1:28" x14ac:dyDescent="0.2">
      <c r="A265" s="5">
        <v>50</v>
      </c>
      <c r="B265" s="5">
        <v>0</v>
      </c>
      <c r="C265" s="5">
        <v>0</v>
      </c>
      <c r="D265" s="5">
        <v>1</v>
      </c>
      <c r="E265" s="5">
        <v>214</v>
      </c>
      <c r="F265" s="5">
        <f>ROUND(Source!AS248,O265)</f>
        <v>0</v>
      </c>
      <c r="G265" s="5" t="s">
        <v>148</v>
      </c>
      <c r="H265" s="5" t="s">
        <v>149</v>
      </c>
      <c r="I265" s="5"/>
      <c r="J265" s="5"/>
      <c r="K265" s="5">
        <v>214</v>
      </c>
      <c r="L265" s="5">
        <v>16</v>
      </c>
      <c r="M265" s="5">
        <v>3</v>
      </c>
      <c r="N265" s="5" t="s">
        <v>3</v>
      </c>
      <c r="O265" s="5">
        <v>2</v>
      </c>
      <c r="P265" s="5">
        <f>ROUND(Source!EK248,O265)</f>
        <v>0</v>
      </c>
      <c r="Q265" s="5"/>
      <c r="R265" s="5"/>
      <c r="S265" s="5"/>
      <c r="T265" s="5"/>
      <c r="U265" s="5"/>
      <c r="V265" s="5"/>
      <c r="W265" s="5">
        <v>0</v>
      </c>
      <c r="X265" s="5">
        <v>1</v>
      </c>
      <c r="Y265" s="5">
        <v>0</v>
      </c>
      <c r="Z265" s="5">
        <v>0</v>
      </c>
      <c r="AA265" s="5">
        <v>1</v>
      </c>
      <c r="AB265" s="5">
        <v>0</v>
      </c>
    </row>
    <row r="266" spans="1:28" x14ac:dyDescent="0.2">
      <c r="A266" s="5">
        <v>50</v>
      </c>
      <c r="B266" s="5">
        <v>0</v>
      </c>
      <c r="C266" s="5">
        <v>0</v>
      </c>
      <c r="D266" s="5">
        <v>1</v>
      </c>
      <c r="E266" s="5">
        <v>215</v>
      </c>
      <c r="F266" s="5">
        <f>ROUND(Source!AT248,O266)</f>
        <v>63169.56</v>
      </c>
      <c r="G266" s="5" t="s">
        <v>150</v>
      </c>
      <c r="H266" s="5" t="s">
        <v>151</v>
      </c>
      <c r="I266" s="5"/>
      <c r="J266" s="5"/>
      <c r="K266" s="5">
        <v>215</v>
      </c>
      <c r="L266" s="5">
        <v>17</v>
      </c>
      <c r="M266" s="5">
        <v>3</v>
      </c>
      <c r="N266" s="5" t="s">
        <v>3</v>
      </c>
      <c r="O266" s="5">
        <v>2</v>
      </c>
      <c r="P266" s="5">
        <f>ROUND(Source!EL248,O266)</f>
        <v>1986649.17</v>
      </c>
      <c r="Q266" s="5"/>
      <c r="R266" s="5"/>
      <c r="S266" s="5"/>
      <c r="T266" s="5"/>
      <c r="U266" s="5"/>
      <c r="V266" s="5"/>
      <c r="W266" s="5">
        <v>63169.56</v>
      </c>
      <c r="X266" s="5">
        <v>1</v>
      </c>
      <c r="Y266" s="5">
        <v>63169.56</v>
      </c>
      <c r="Z266" s="5">
        <v>1986649.17</v>
      </c>
      <c r="AA266" s="5">
        <v>1</v>
      </c>
      <c r="AB266" s="5">
        <v>1986649.17</v>
      </c>
    </row>
    <row r="267" spans="1:28" x14ac:dyDescent="0.2">
      <c r="A267" s="5">
        <v>50</v>
      </c>
      <c r="B267" s="5">
        <v>0</v>
      </c>
      <c r="C267" s="5">
        <v>0</v>
      </c>
      <c r="D267" s="5">
        <v>1</v>
      </c>
      <c r="E267" s="5">
        <v>217</v>
      </c>
      <c r="F267" s="5">
        <f>ROUND(Source!AU248,O267)</f>
        <v>0</v>
      </c>
      <c r="G267" s="5" t="s">
        <v>152</v>
      </c>
      <c r="H267" s="5" t="s">
        <v>153</v>
      </c>
      <c r="I267" s="5"/>
      <c r="J267" s="5"/>
      <c r="K267" s="5">
        <v>217</v>
      </c>
      <c r="L267" s="5">
        <v>18</v>
      </c>
      <c r="M267" s="5">
        <v>3</v>
      </c>
      <c r="N267" s="5" t="s">
        <v>3</v>
      </c>
      <c r="O267" s="5">
        <v>2</v>
      </c>
      <c r="P267" s="5">
        <f>ROUND(Source!EM248,O267)</f>
        <v>0</v>
      </c>
      <c r="Q267" s="5"/>
      <c r="R267" s="5"/>
      <c r="S267" s="5"/>
      <c r="T267" s="5"/>
      <c r="U267" s="5"/>
      <c r="V267" s="5"/>
      <c r="W267" s="5">
        <v>0</v>
      </c>
      <c r="X267" s="5">
        <v>1</v>
      </c>
      <c r="Y267" s="5">
        <v>0</v>
      </c>
      <c r="Z267" s="5">
        <v>0</v>
      </c>
      <c r="AA267" s="5">
        <v>1</v>
      </c>
      <c r="AB267" s="5">
        <v>0</v>
      </c>
    </row>
    <row r="268" spans="1:28" x14ac:dyDescent="0.2">
      <c r="A268" s="5">
        <v>50</v>
      </c>
      <c r="B268" s="5">
        <v>0</v>
      </c>
      <c r="C268" s="5">
        <v>0</v>
      </c>
      <c r="D268" s="5">
        <v>1</v>
      </c>
      <c r="E268" s="5">
        <v>230</v>
      </c>
      <c r="F268" s="5">
        <f>ROUND(Source!BA248,O268)</f>
        <v>0</v>
      </c>
      <c r="G268" s="5" t="s">
        <v>154</v>
      </c>
      <c r="H268" s="5" t="s">
        <v>155</v>
      </c>
      <c r="I268" s="5"/>
      <c r="J268" s="5"/>
      <c r="K268" s="5">
        <v>230</v>
      </c>
      <c r="L268" s="5">
        <v>19</v>
      </c>
      <c r="M268" s="5">
        <v>3</v>
      </c>
      <c r="N268" s="5" t="s">
        <v>3</v>
      </c>
      <c r="O268" s="5">
        <v>2</v>
      </c>
      <c r="P268" s="5">
        <f>ROUND(Source!ES248,O268)</f>
        <v>0</v>
      </c>
      <c r="Q268" s="5"/>
      <c r="R268" s="5"/>
      <c r="S268" s="5"/>
      <c r="T268" s="5"/>
      <c r="U268" s="5"/>
      <c r="V268" s="5"/>
      <c r="W268" s="5">
        <v>0</v>
      </c>
      <c r="X268" s="5">
        <v>1</v>
      </c>
      <c r="Y268" s="5">
        <v>0</v>
      </c>
      <c r="Z268" s="5">
        <v>0</v>
      </c>
      <c r="AA268" s="5">
        <v>1</v>
      </c>
      <c r="AB268" s="5">
        <v>0</v>
      </c>
    </row>
    <row r="269" spans="1:28" x14ac:dyDescent="0.2">
      <c r="A269" s="5">
        <v>50</v>
      </c>
      <c r="B269" s="5">
        <v>0</v>
      </c>
      <c r="C269" s="5">
        <v>0</v>
      </c>
      <c r="D269" s="5">
        <v>1</v>
      </c>
      <c r="E269" s="5">
        <v>206</v>
      </c>
      <c r="F269" s="5">
        <f>ROUND(Source!T248,O269)</f>
        <v>0</v>
      </c>
      <c r="G269" s="5" t="s">
        <v>156</v>
      </c>
      <c r="H269" s="5" t="s">
        <v>157</v>
      </c>
      <c r="I269" s="5"/>
      <c r="J269" s="5"/>
      <c r="K269" s="5">
        <v>206</v>
      </c>
      <c r="L269" s="5">
        <v>20</v>
      </c>
      <c r="M269" s="5">
        <v>3</v>
      </c>
      <c r="N269" s="5" t="s">
        <v>3</v>
      </c>
      <c r="O269" s="5">
        <v>2</v>
      </c>
      <c r="P269" s="5">
        <f>ROUND(Source!DL248,O269)</f>
        <v>0</v>
      </c>
      <c r="Q269" s="5"/>
      <c r="R269" s="5"/>
      <c r="S269" s="5"/>
      <c r="T269" s="5"/>
      <c r="U269" s="5"/>
      <c r="V269" s="5"/>
      <c r="W269" s="5">
        <v>0</v>
      </c>
      <c r="X269" s="5">
        <v>1</v>
      </c>
      <c r="Y269" s="5">
        <v>0</v>
      </c>
      <c r="Z269" s="5">
        <v>0</v>
      </c>
      <c r="AA269" s="5">
        <v>1</v>
      </c>
      <c r="AB269" s="5">
        <v>0</v>
      </c>
    </row>
    <row r="270" spans="1:28" x14ac:dyDescent="0.2">
      <c r="A270" s="5">
        <v>50</v>
      </c>
      <c r="B270" s="5">
        <v>0</v>
      </c>
      <c r="C270" s="5">
        <v>0</v>
      </c>
      <c r="D270" s="5">
        <v>1</v>
      </c>
      <c r="E270" s="5">
        <v>207</v>
      </c>
      <c r="F270" s="5">
        <f>Source!U248</f>
        <v>1076.0517371999999</v>
      </c>
      <c r="G270" s="5" t="s">
        <v>158</v>
      </c>
      <c r="H270" s="5" t="s">
        <v>159</v>
      </c>
      <c r="I270" s="5"/>
      <c r="J270" s="5"/>
      <c r="K270" s="5">
        <v>207</v>
      </c>
      <c r="L270" s="5">
        <v>21</v>
      </c>
      <c r="M270" s="5">
        <v>3</v>
      </c>
      <c r="N270" s="5" t="s">
        <v>3</v>
      </c>
      <c r="O270" s="5">
        <v>-1</v>
      </c>
      <c r="P270" s="5">
        <f>Source!DM248</f>
        <v>1076.0517371999999</v>
      </c>
      <c r="Q270" s="5"/>
      <c r="R270" s="5"/>
      <c r="S270" s="5"/>
      <c r="T270" s="5"/>
      <c r="U270" s="5"/>
      <c r="V270" s="5"/>
      <c r="W270" s="5">
        <v>1076.0517371999999</v>
      </c>
      <c r="X270" s="5">
        <v>1</v>
      </c>
      <c r="Y270" s="5">
        <v>1076.0517371999999</v>
      </c>
      <c r="Z270" s="5">
        <v>1076.0517371999999</v>
      </c>
      <c r="AA270" s="5">
        <v>1</v>
      </c>
      <c r="AB270" s="5">
        <v>1076.0517371999999</v>
      </c>
    </row>
    <row r="271" spans="1:28" x14ac:dyDescent="0.2">
      <c r="A271" s="5">
        <v>50</v>
      </c>
      <c r="B271" s="5">
        <v>0</v>
      </c>
      <c r="C271" s="5">
        <v>0</v>
      </c>
      <c r="D271" s="5">
        <v>1</v>
      </c>
      <c r="E271" s="5">
        <v>208</v>
      </c>
      <c r="F271" s="5">
        <f>Source!V248</f>
        <v>0</v>
      </c>
      <c r="G271" s="5" t="s">
        <v>160</v>
      </c>
      <c r="H271" s="5" t="s">
        <v>161</v>
      </c>
      <c r="I271" s="5"/>
      <c r="J271" s="5"/>
      <c r="K271" s="5">
        <v>208</v>
      </c>
      <c r="L271" s="5">
        <v>22</v>
      </c>
      <c r="M271" s="5">
        <v>3</v>
      </c>
      <c r="N271" s="5" t="s">
        <v>3</v>
      </c>
      <c r="O271" s="5">
        <v>-1</v>
      </c>
      <c r="P271" s="5">
        <f>Source!DN248</f>
        <v>0</v>
      </c>
      <c r="Q271" s="5"/>
      <c r="R271" s="5"/>
      <c r="S271" s="5"/>
      <c r="T271" s="5"/>
      <c r="U271" s="5"/>
      <c r="V271" s="5"/>
      <c r="W271" s="5">
        <v>0</v>
      </c>
      <c r="X271" s="5">
        <v>1</v>
      </c>
      <c r="Y271" s="5">
        <v>0</v>
      </c>
      <c r="Z271" s="5">
        <v>0</v>
      </c>
      <c r="AA271" s="5">
        <v>1</v>
      </c>
      <c r="AB271" s="5">
        <v>0</v>
      </c>
    </row>
    <row r="272" spans="1:28" x14ac:dyDescent="0.2">
      <c r="A272" s="5">
        <v>50</v>
      </c>
      <c r="B272" s="5">
        <v>0</v>
      </c>
      <c r="C272" s="5">
        <v>0</v>
      </c>
      <c r="D272" s="5">
        <v>1</v>
      </c>
      <c r="E272" s="5">
        <v>209</v>
      </c>
      <c r="F272" s="5">
        <f>ROUND(Source!W248,O272)</f>
        <v>0</v>
      </c>
      <c r="G272" s="5" t="s">
        <v>162</v>
      </c>
      <c r="H272" s="5" t="s">
        <v>163</v>
      </c>
      <c r="I272" s="5"/>
      <c r="J272" s="5"/>
      <c r="K272" s="5">
        <v>209</v>
      </c>
      <c r="L272" s="5">
        <v>23</v>
      </c>
      <c r="M272" s="5">
        <v>3</v>
      </c>
      <c r="N272" s="5" t="s">
        <v>3</v>
      </c>
      <c r="O272" s="5">
        <v>2</v>
      </c>
      <c r="P272" s="5">
        <f>ROUND(Source!DO248,O272)</f>
        <v>0</v>
      </c>
      <c r="Q272" s="5"/>
      <c r="R272" s="5"/>
      <c r="S272" s="5"/>
      <c r="T272" s="5"/>
      <c r="U272" s="5"/>
      <c r="V272" s="5"/>
      <c r="W272" s="5">
        <v>0</v>
      </c>
      <c r="X272" s="5">
        <v>1</v>
      </c>
      <c r="Y272" s="5">
        <v>0</v>
      </c>
      <c r="Z272" s="5">
        <v>0</v>
      </c>
      <c r="AA272" s="5">
        <v>1</v>
      </c>
      <c r="AB272" s="5">
        <v>0</v>
      </c>
    </row>
    <row r="273" spans="1:255" x14ac:dyDescent="0.2">
      <c r="A273" s="5">
        <v>50</v>
      </c>
      <c r="B273" s="5">
        <v>0</v>
      </c>
      <c r="C273" s="5">
        <v>0</v>
      </c>
      <c r="D273" s="5">
        <v>1</v>
      </c>
      <c r="E273" s="5">
        <v>233</v>
      </c>
      <c r="F273" s="5">
        <f>ROUND(Source!BD248,O273)</f>
        <v>0</v>
      </c>
      <c r="G273" s="5" t="s">
        <v>164</v>
      </c>
      <c r="H273" s="5" t="s">
        <v>165</v>
      </c>
      <c r="I273" s="5"/>
      <c r="J273" s="5"/>
      <c r="K273" s="5">
        <v>233</v>
      </c>
      <c r="L273" s="5">
        <v>24</v>
      </c>
      <c r="M273" s="5">
        <v>3</v>
      </c>
      <c r="N273" s="5" t="s">
        <v>3</v>
      </c>
      <c r="O273" s="5">
        <v>2</v>
      </c>
      <c r="P273" s="5">
        <f>ROUND(Source!EV248,O273)</f>
        <v>0</v>
      </c>
      <c r="Q273" s="5"/>
      <c r="R273" s="5"/>
      <c r="S273" s="5"/>
      <c r="T273" s="5"/>
      <c r="U273" s="5"/>
      <c r="V273" s="5"/>
      <c r="W273" s="5">
        <v>0</v>
      </c>
      <c r="X273" s="5">
        <v>1</v>
      </c>
      <c r="Y273" s="5">
        <v>0</v>
      </c>
      <c r="Z273" s="5">
        <v>0</v>
      </c>
      <c r="AA273" s="5">
        <v>1</v>
      </c>
      <c r="AB273" s="5">
        <v>0</v>
      </c>
    </row>
    <row r="274" spans="1:255" x14ac:dyDescent="0.2">
      <c r="A274" s="5">
        <v>50</v>
      </c>
      <c r="B274" s="5">
        <v>0</v>
      </c>
      <c r="C274" s="5">
        <v>0</v>
      </c>
      <c r="D274" s="5">
        <v>1</v>
      </c>
      <c r="E274" s="5">
        <v>210</v>
      </c>
      <c r="F274" s="5">
        <f>ROUND(Source!X248,O274)</f>
        <v>12558.38</v>
      </c>
      <c r="G274" s="5" t="s">
        <v>166</v>
      </c>
      <c r="H274" s="5" t="s">
        <v>167</v>
      </c>
      <c r="I274" s="5"/>
      <c r="J274" s="5"/>
      <c r="K274" s="5">
        <v>210</v>
      </c>
      <c r="L274" s="5">
        <v>25</v>
      </c>
      <c r="M274" s="5">
        <v>3</v>
      </c>
      <c r="N274" s="5" t="s">
        <v>3</v>
      </c>
      <c r="O274" s="5">
        <v>2</v>
      </c>
      <c r="P274" s="5">
        <f>ROUND(Source!DP248,O274)</f>
        <v>690585.77</v>
      </c>
      <c r="Q274" s="5"/>
      <c r="R274" s="5"/>
      <c r="S274" s="5"/>
      <c r="T274" s="5"/>
      <c r="U274" s="5"/>
      <c r="V274" s="5"/>
      <c r="W274" s="5">
        <v>12558.38</v>
      </c>
      <c r="X274" s="5">
        <v>1</v>
      </c>
      <c r="Y274" s="5">
        <v>12558.38</v>
      </c>
      <c r="Z274" s="5">
        <v>690585.77</v>
      </c>
      <c r="AA274" s="5">
        <v>1</v>
      </c>
      <c r="AB274" s="5">
        <v>690585.77</v>
      </c>
    </row>
    <row r="275" spans="1:255" x14ac:dyDescent="0.2">
      <c r="A275" s="5">
        <v>50</v>
      </c>
      <c r="B275" s="5">
        <v>0</v>
      </c>
      <c r="C275" s="5">
        <v>0</v>
      </c>
      <c r="D275" s="5">
        <v>1</v>
      </c>
      <c r="E275" s="5">
        <v>211</v>
      </c>
      <c r="F275" s="5">
        <f>ROUND(Source!Y248,O275)</f>
        <v>6632.49</v>
      </c>
      <c r="G275" s="5" t="s">
        <v>168</v>
      </c>
      <c r="H275" s="5" t="s">
        <v>169</v>
      </c>
      <c r="I275" s="5"/>
      <c r="J275" s="5"/>
      <c r="K275" s="5">
        <v>211</v>
      </c>
      <c r="L275" s="5">
        <v>26</v>
      </c>
      <c r="M275" s="5">
        <v>3</v>
      </c>
      <c r="N275" s="5" t="s">
        <v>3</v>
      </c>
      <c r="O275" s="5">
        <v>2</v>
      </c>
      <c r="P275" s="5">
        <f>ROUND(Source!DQ248,O275)</f>
        <v>364720.59</v>
      </c>
      <c r="Q275" s="5"/>
      <c r="R275" s="5"/>
      <c r="S275" s="5"/>
      <c r="T275" s="5"/>
      <c r="U275" s="5"/>
      <c r="V275" s="5"/>
      <c r="W275" s="5">
        <v>6632.49</v>
      </c>
      <c r="X275" s="5">
        <v>1</v>
      </c>
      <c r="Y275" s="5">
        <v>6632.49</v>
      </c>
      <c r="Z275" s="5">
        <v>364720.59</v>
      </c>
      <c r="AA275" s="5">
        <v>1</v>
      </c>
      <c r="AB275" s="5">
        <v>364720.59</v>
      </c>
    </row>
    <row r="276" spans="1:255" x14ac:dyDescent="0.2">
      <c r="A276" s="5">
        <v>50</v>
      </c>
      <c r="B276" s="5">
        <v>0</v>
      </c>
      <c r="C276" s="5">
        <v>0</v>
      </c>
      <c r="D276" s="5">
        <v>1</v>
      </c>
      <c r="E276" s="5">
        <v>224</v>
      </c>
      <c r="F276" s="5">
        <f>ROUND(Source!AR248,O276)</f>
        <v>278977.88</v>
      </c>
      <c r="G276" s="5" t="s">
        <v>170</v>
      </c>
      <c r="H276" s="5" t="s">
        <v>171</v>
      </c>
      <c r="I276" s="5"/>
      <c r="J276" s="5"/>
      <c r="K276" s="5">
        <v>224</v>
      </c>
      <c r="L276" s="5">
        <v>27</v>
      </c>
      <c r="M276" s="5">
        <v>3</v>
      </c>
      <c r="N276" s="5" t="s">
        <v>3</v>
      </c>
      <c r="O276" s="5">
        <v>2</v>
      </c>
      <c r="P276" s="5">
        <f>ROUND(Source!EJ248,O276)</f>
        <v>3600841.43</v>
      </c>
      <c r="Q276" s="5"/>
      <c r="R276" s="5"/>
      <c r="S276" s="5"/>
      <c r="T276" s="5"/>
      <c r="U276" s="5"/>
      <c r="V276" s="5"/>
      <c r="W276" s="5">
        <v>278977.88</v>
      </c>
      <c r="X276" s="5">
        <v>1</v>
      </c>
      <c r="Y276" s="5">
        <v>278977.88</v>
      </c>
      <c r="Z276" s="5">
        <v>3600841.43</v>
      </c>
      <c r="AA276" s="5">
        <v>1</v>
      </c>
      <c r="AB276" s="5">
        <v>3600841.43</v>
      </c>
    </row>
    <row r="278" spans="1:255" x14ac:dyDescent="0.2">
      <c r="A278" s="1">
        <v>4</v>
      </c>
      <c r="B278" s="1">
        <v>1</v>
      </c>
      <c r="C278" s="1"/>
      <c r="D278" s="1">
        <f>ROW(A323)</f>
        <v>323</v>
      </c>
      <c r="E278" s="1"/>
      <c r="F278" s="1" t="s">
        <v>16</v>
      </c>
      <c r="G278" s="1" t="s">
        <v>283</v>
      </c>
      <c r="H278" s="1" t="s">
        <v>3</v>
      </c>
      <c r="I278" s="1">
        <v>0</v>
      </c>
      <c r="J278" s="1"/>
      <c r="K278" s="1">
        <v>0</v>
      </c>
      <c r="L278" s="1"/>
      <c r="M278" s="1" t="s">
        <v>3</v>
      </c>
      <c r="N278" s="1"/>
      <c r="O278" s="1"/>
      <c r="P278" s="1"/>
      <c r="Q278" s="1"/>
      <c r="R278" s="1"/>
      <c r="S278" s="1">
        <v>0</v>
      </c>
      <c r="T278" s="1">
        <v>0</v>
      </c>
      <c r="U278" s="1" t="s">
        <v>3</v>
      </c>
      <c r="V278" s="1">
        <v>2</v>
      </c>
      <c r="W278" s="1"/>
      <c r="X278" s="1"/>
      <c r="Y278" s="1"/>
      <c r="Z278" s="1"/>
      <c r="AA278" s="1"/>
      <c r="AB278" s="1" t="s">
        <v>3</v>
      </c>
      <c r="AC278" s="1" t="s">
        <v>3</v>
      </c>
      <c r="AD278" s="1" t="s">
        <v>3</v>
      </c>
      <c r="AE278" s="1" t="s">
        <v>3</v>
      </c>
      <c r="AF278" s="1" t="s">
        <v>3</v>
      </c>
      <c r="AG278" s="1" t="s">
        <v>3</v>
      </c>
      <c r="AH278" s="1"/>
      <c r="AI278" s="1"/>
      <c r="AJ278" s="1"/>
      <c r="AK278" s="1"/>
      <c r="AL278" s="1"/>
      <c r="AM278" s="1"/>
      <c r="AN278" s="1"/>
      <c r="AO278" s="1"/>
      <c r="AP278" s="1" t="s">
        <v>3</v>
      </c>
      <c r="AQ278" s="1" t="s">
        <v>3</v>
      </c>
      <c r="AR278" s="1" t="s">
        <v>3</v>
      </c>
      <c r="AS278" s="1"/>
      <c r="AT278" s="1"/>
      <c r="AU278" s="1"/>
      <c r="AV278" s="1"/>
      <c r="AW278" s="1"/>
      <c r="AX278" s="1"/>
      <c r="AY278" s="1"/>
      <c r="AZ278" s="1" t="s">
        <v>3</v>
      </c>
      <c r="BA278" s="1"/>
      <c r="BB278" s="1" t="s">
        <v>3</v>
      </c>
      <c r="BC278" s="1" t="s">
        <v>3</v>
      </c>
      <c r="BD278" s="1" t="s">
        <v>3</v>
      </c>
      <c r="BE278" s="1" t="s">
        <v>3</v>
      </c>
      <c r="BF278" s="1" t="s">
        <v>3</v>
      </c>
      <c r="BG278" s="1" t="s">
        <v>3</v>
      </c>
      <c r="BH278" s="1" t="s">
        <v>3</v>
      </c>
      <c r="BI278" s="1" t="s">
        <v>3</v>
      </c>
      <c r="BJ278" s="1" t="s">
        <v>3</v>
      </c>
      <c r="BK278" s="1" t="s">
        <v>3</v>
      </c>
      <c r="BL278" s="1" t="s">
        <v>3</v>
      </c>
      <c r="BM278" s="1" t="s">
        <v>3</v>
      </c>
      <c r="BN278" s="1" t="s">
        <v>3</v>
      </c>
      <c r="BO278" s="1" t="s">
        <v>3</v>
      </c>
      <c r="BP278" s="1" t="s">
        <v>3</v>
      </c>
      <c r="BQ278" s="1"/>
      <c r="BR278" s="1"/>
      <c r="BS278" s="1"/>
      <c r="BT278" s="1"/>
      <c r="BU278" s="1"/>
      <c r="BV278" s="1"/>
      <c r="BW278" s="1"/>
      <c r="BX278" s="1">
        <v>0</v>
      </c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>
        <v>0</v>
      </c>
    </row>
    <row r="280" spans="1:255" x14ac:dyDescent="0.2">
      <c r="A280" s="3">
        <v>52</v>
      </c>
      <c r="B280" s="3">
        <f t="shared" ref="B280:G280" si="210">B323</f>
        <v>1</v>
      </c>
      <c r="C280" s="3">
        <f t="shared" si="210"/>
        <v>4</v>
      </c>
      <c r="D280" s="3">
        <f t="shared" si="210"/>
        <v>278</v>
      </c>
      <c r="E280" s="3">
        <f t="shared" si="210"/>
        <v>0</v>
      </c>
      <c r="F280" s="3" t="str">
        <f t="shared" si="210"/>
        <v>Новый раздел</v>
      </c>
      <c r="G280" s="3" t="str">
        <f t="shared" si="210"/>
        <v>Автоматизация систем общеобменной вентиляции</v>
      </c>
      <c r="H280" s="3"/>
      <c r="I280" s="3"/>
      <c r="J280" s="3"/>
      <c r="K280" s="3"/>
      <c r="L280" s="3"/>
      <c r="M280" s="3"/>
      <c r="N280" s="3"/>
      <c r="O280" s="3">
        <f t="shared" ref="O280:AT280" si="211">O323</f>
        <v>156658.85</v>
      </c>
      <c r="P280" s="3">
        <f t="shared" si="211"/>
        <v>153307.92000000001</v>
      </c>
      <c r="Q280" s="3">
        <f t="shared" si="211"/>
        <v>2240.1799999999998</v>
      </c>
      <c r="R280" s="3">
        <f t="shared" si="211"/>
        <v>251.12</v>
      </c>
      <c r="S280" s="3">
        <f t="shared" si="211"/>
        <v>1110.75</v>
      </c>
      <c r="T280" s="3">
        <f t="shared" si="211"/>
        <v>0</v>
      </c>
      <c r="U280" s="3">
        <f t="shared" si="211"/>
        <v>91.260707999999994</v>
      </c>
      <c r="V280" s="3">
        <f t="shared" si="211"/>
        <v>0</v>
      </c>
      <c r="W280" s="3">
        <f t="shared" si="211"/>
        <v>0</v>
      </c>
      <c r="X280" s="3">
        <f t="shared" si="211"/>
        <v>1225.68</v>
      </c>
      <c r="Y280" s="3">
        <f t="shared" si="211"/>
        <v>626.46</v>
      </c>
      <c r="Z280" s="3">
        <f t="shared" si="211"/>
        <v>0</v>
      </c>
      <c r="AA280" s="3">
        <f t="shared" si="211"/>
        <v>0</v>
      </c>
      <c r="AB280" s="3">
        <f t="shared" si="211"/>
        <v>156658.85</v>
      </c>
      <c r="AC280" s="3">
        <f t="shared" si="211"/>
        <v>153307.92000000001</v>
      </c>
      <c r="AD280" s="3">
        <f t="shared" si="211"/>
        <v>2240.1799999999998</v>
      </c>
      <c r="AE280" s="3">
        <f t="shared" si="211"/>
        <v>251.12</v>
      </c>
      <c r="AF280" s="3">
        <f t="shared" si="211"/>
        <v>1110.75</v>
      </c>
      <c r="AG280" s="3">
        <f t="shared" si="211"/>
        <v>0</v>
      </c>
      <c r="AH280" s="3">
        <f t="shared" si="211"/>
        <v>91.260707999999994</v>
      </c>
      <c r="AI280" s="3">
        <f t="shared" si="211"/>
        <v>0</v>
      </c>
      <c r="AJ280" s="3">
        <f t="shared" si="211"/>
        <v>0</v>
      </c>
      <c r="AK280" s="3">
        <f t="shared" si="211"/>
        <v>1225.68</v>
      </c>
      <c r="AL280" s="3">
        <f t="shared" si="211"/>
        <v>626.46</v>
      </c>
      <c r="AM280" s="3">
        <f t="shared" si="211"/>
        <v>0</v>
      </c>
      <c r="AN280" s="3">
        <f t="shared" si="211"/>
        <v>0</v>
      </c>
      <c r="AO280" s="3">
        <f t="shared" si="211"/>
        <v>0</v>
      </c>
      <c r="AP280" s="3">
        <f t="shared" si="211"/>
        <v>153197.21</v>
      </c>
      <c r="AQ280" s="3">
        <f t="shared" si="211"/>
        <v>0</v>
      </c>
      <c r="AR280" s="3">
        <f t="shared" si="211"/>
        <v>158510.99</v>
      </c>
      <c r="AS280" s="3">
        <f t="shared" si="211"/>
        <v>0</v>
      </c>
      <c r="AT280" s="3">
        <f t="shared" si="211"/>
        <v>5313.78</v>
      </c>
      <c r="AU280" s="3">
        <f t="shared" ref="AU280:BZ280" si="212">AU323</f>
        <v>0</v>
      </c>
      <c r="AV280" s="3">
        <f t="shared" si="212"/>
        <v>153307.92000000001</v>
      </c>
      <c r="AW280" s="3">
        <f t="shared" si="212"/>
        <v>110.71</v>
      </c>
      <c r="AX280" s="3">
        <f t="shared" si="212"/>
        <v>0</v>
      </c>
      <c r="AY280" s="3">
        <f t="shared" si="212"/>
        <v>110.71</v>
      </c>
      <c r="AZ280" s="3">
        <f t="shared" si="212"/>
        <v>153197.21</v>
      </c>
      <c r="BA280" s="3">
        <f t="shared" si="212"/>
        <v>0</v>
      </c>
      <c r="BB280" s="3">
        <f t="shared" si="212"/>
        <v>0</v>
      </c>
      <c r="BC280" s="3">
        <f t="shared" si="212"/>
        <v>0</v>
      </c>
      <c r="BD280" s="3">
        <f t="shared" si="212"/>
        <v>0</v>
      </c>
      <c r="BE280" s="3">
        <f t="shared" si="212"/>
        <v>0</v>
      </c>
      <c r="BF280" s="3">
        <f t="shared" si="212"/>
        <v>0</v>
      </c>
      <c r="BG280" s="3">
        <f t="shared" si="212"/>
        <v>0</v>
      </c>
      <c r="BH280" s="3">
        <f t="shared" si="212"/>
        <v>0</v>
      </c>
      <c r="BI280" s="3">
        <f t="shared" si="212"/>
        <v>0</v>
      </c>
      <c r="BJ280" s="3">
        <f t="shared" si="212"/>
        <v>0</v>
      </c>
      <c r="BK280" s="3">
        <f t="shared" si="212"/>
        <v>0</v>
      </c>
      <c r="BL280" s="3">
        <f t="shared" si="212"/>
        <v>0</v>
      </c>
      <c r="BM280" s="3">
        <f t="shared" si="212"/>
        <v>0</v>
      </c>
      <c r="BN280" s="3">
        <f t="shared" si="212"/>
        <v>0</v>
      </c>
      <c r="BO280" s="3">
        <f t="shared" si="212"/>
        <v>0</v>
      </c>
      <c r="BP280" s="3">
        <f t="shared" si="212"/>
        <v>0</v>
      </c>
      <c r="BQ280" s="3">
        <f t="shared" si="212"/>
        <v>0</v>
      </c>
      <c r="BR280" s="3">
        <f t="shared" si="212"/>
        <v>0</v>
      </c>
      <c r="BS280" s="3">
        <f t="shared" si="212"/>
        <v>0</v>
      </c>
      <c r="BT280" s="3">
        <f t="shared" si="212"/>
        <v>0</v>
      </c>
      <c r="BU280" s="3">
        <f t="shared" si="212"/>
        <v>0</v>
      </c>
      <c r="BV280" s="3">
        <f t="shared" si="212"/>
        <v>0</v>
      </c>
      <c r="BW280" s="3">
        <f t="shared" si="212"/>
        <v>0</v>
      </c>
      <c r="BX280" s="3">
        <f t="shared" si="212"/>
        <v>0</v>
      </c>
      <c r="BY280" s="3">
        <f t="shared" si="212"/>
        <v>153197.21</v>
      </c>
      <c r="BZ280" s="3">
        <f t="shared" si="212"/>
        <v>0</v>
      </c>
      <c r="CA280" s="3">
        <f t="shared" ref="CA280:DF280" si="213">CA323</f>
        <v>158510.99</v>
      </c>
      <c r="CB280" s="3">
        <f t="shared" si="213"/>
        <v>0</v>
      </c>
      <c r="CC280" s="3">
        <f t="shared" si="213"/>
        <v>5313.78</v>
      </c>
      <c r="CD280" s="3">
        <f t="shared" si="213"/>
        <v>0</v>
      </c>
      <c r="CE280" s="3">
        <f t="shared" si="213"/>
        <v>153307.92000000001</v>
      </c>
      <c r="CF280" s="3">
        <f t="shared" si="213"/>
        <v>110.71000000002095</v>
      </c>
      <c r="CG280" s="3">
        <f t="shared" si="213"/>
        <v>0</v>
      </c>
      <c r="CH280" s="3">
        <f t="shared" si="213"/>
        <v>110.71000000002095</v>
      </c>
      <c r="CI280" s="3">
        <f t="shared" si="213"/>
        <v>153197.21</v>
      </c>
      <c r="CJ280" s="3">
        <f t="shared" si="213"/>
        <v>0</v>
      </c>
      <c r="CK280" s="3">
        <f t="shared" si="213"/>
        <v>0</v>
      </c>
      <c r="CL280" s="3">
        <f t="shared" si="213"/>
        <v>0</v>
      </c>
      <c r="CM280" s="3">
        <f t="shared" si="213"/>
        <v>0</v>
      </c>
      <c r="CN280" s="3">
        <f t="shared" si="213"/>
        <v>0</v>
      </c>
      <c r="CO280" s="3">
        <f t="shared" si="213"/>
        <v>0</v>
      </c>
      <c r="CP280" s="3">
        <f t="shared" si="213"/>
        <v>0</v>
      </c>
      <c r="CQ280" s="3">
        <f t="shared" si="213"/>
        <v>0</v>
      </c>
      <c r="CR280" s="3">
        <f t="shared" si="213"/>
        <v>0</v>
      </c>
      <c r="CS280" s="3">
        <f t="shared" si="213"/>
        <v>0</v>
      </c>
      <c r="CT280" s="3">
        <f t="shared" si="213"/>
        <v>0</v>
      </c>
      <c r="CU280" s="3">
        <f t="shared" si="213"/>
        <v>0</v>
      </c>
      <c r="CV280" s="3">
        <f t="shared" si="213"/>
        <v>0</v>
      </c>
      <c r="CW280" s="3">
        <f t="shared" si="213"/>
        <v>0</v>
      </c>
      <c r="CX280" s="3">
        <f t="shared" si="213"/>
        <v>0</v>
      </c>
      <c r="CY280" s="3">
        <f t="shared" si="213"/>
        <v>0</v>
      </c>
      <c r="CZ280" s="3">
        <f t="shared" si="213"/>
        <v>0</v>
      </c>
      <c r="DA280" s="3">
        <f t="shared" si="213"/>
        <v>0</v>
      </c>
      <c r="DB280" s="3">
        <f t="shared" si="213"/>
        <v>0</v>
      </c>
      <c r="DC280" s="3">
        <f t="shared" si="213"/>
        <v>0</v>
      </c>
      <c r="DD280" s="3">
        <f t="shared" si="213"/>
        <v>0</v>
      </c>
      <c r="DE280" s="3">
        <f t="shared" si="213"/>
        <v>0</v>
      </c>
      <c r="DF280" s="3">
        <f t="shared" si="213"/>
        <v>0</v>
      </c>
      <c r="DG280" s="4">
        <f t="shared" ref="DG280:EL280" si="214">DG323</f>
        <v>1268611.47</v>
      </c>
      <c r="DH280" s="4">
        <f t="shared" si="214"/>
        <v>1174421.47</v>
      </c>
      <c r="DI280" s="4">
        <f t="shared" si="214"/>
        <v>33109.86</v>
      </c>
      <c r="DJ280" s="4">
        <f t="shared" si="214"/>
        <v>13809.09</v>
      </c>
      <c r="DK280" s="4">
        <f t="shared" si="214"/>
        <v>61080.14</v>
      </c>
      <c r="DL280" s="4">
        <f t="shared" si="214"/>
        <v>0</v>
      </c>
      <c r="DM280" s="4">
        <f t="shared" si="214"/>
        <v>91.260707999999994</v>
      </c>
      <c r="DN280" s="4">
        <f t="shared" si="214"/>
        <v>0</v>
      </c>
      <c r="DO280" s="4">
        <f t="shared" si="214"/>
        <v>0</v>
      </c>
      <c r="DP280" s="4">
        <f t="shared" si="214"/>
        <v>67400.31</v>
      </c>
      <c r="DQ280" s="4">
        <f t="shared" si="214"/>
        <v>34449.040000000001</v>
      </c>
      <c r="DR280" s="4">
        <f t="shared" si="214"/>
        <v>0</v>
      </c>
      <c r="DS280" s="4">
        <f t="shared" si="214"/>
        <v>0</v>
      </c>
      <c r="DT280" s="4">
        <f t="shared" si="214"/>
        <v>1268611.47</v>
      </c>
      <c r="DU280" s="4">
        <f t="shared" si="214"/>
        <v>1174421.47</v>
      </c>
      <c r="DV280" s="4">
        <f t="shared" si="214"/>
        <v>33109.86</v>
      </c>
      <c r="DW280" s="4">
        <f t="shared" si="214"/>
        <v>13809.09</v>
      </c>
      <c r="DX280" s="4">
        <f t="shared" si="214"/>
        <v>61080.14</v>
      </c>
      <c r="DY280" s="4">
        <f t="shared" si="214"/>
        <v>0</v>
      </c>
      <c r="DZ280" s="4">
        <f t="shared" si="214"/>
        <v>91.260707999999994</v>
      </c>
      <c r="EA280" s="4">
        <f t="shared" si="214"/>
        <v>0</v>
      </c>
      <c r="EB280" s="4">
        <f t="shared" si="214"/>
        <v>0</v>
      </c>
      <c r="EC280" s="4">
        <f t="shared" si="214"/>
        <v>67400.31</v>
      </c>
      <c r="ED280" s="4">
        <f t="shared" si="214"/>
        <v>34449.040000000001</v>
      </c>
      <c r="EE280" s="4">
        <f t="shared" si="214"/>
        <v>0</v>
      </c>
      <c r="EF280" s="4">
        <f t="shared" si="214"/>
        <v>0</v>
      </c>
      <c r="EG280" s="4">
        <f t="shared" si="214"/>
        <v>0</v>
      </c>
      <c r="EH280" s="4">
        <f t="shared" si="214"/>
        <v>1173490.6399999999</v>
      </c>
      <c r="EI280" s="4">
        <f t="shared" si="214"/>
        <v>0</v>
      </c>
      <c r="EJ280" s="4">
        <f t="shared" si="214"/>
        <v>1370460.82</v>
      </c>
      <c r="EK280" s="4">
        <f t="shared" si="214"/>
        <v>0</v>
      </c>
      <c r="EL280" s="4">
        <f t="shared" si="214"/>
        <v>196970.18</v>
      </c>
      <c r="EM280" s="4">
        <f t="shared" ref="EM280:FR280" si="215">EM323</f>
        <v>0</v>
      </c>
      <c r="EN280" s="4">
        <f t="shared" si="215"/>
        <v>1174421.47</v>
      </c>
      <c r="EO280" s="4">
        <f t="shared" si="215"/>
        <v>930.83</v>
      </c>
      <c r="EP280" s="4">
        <f t="shared" si="215"/>
        <v>0</v>
      </c>
      <c r="EQ280" s="4">
        <f t="shared" si="215"/>
        <v>930.83</v>
      </c>
      <c r="ER280" s="4">
        <f t="shared" si="215"/>
        <v>1173490.6399999999</v>
      </c>
      <c r="ES280" s="4">
        <f t="shared" si="215"/>
        <v>0</v>
      </c>
      <c r="ET280" s="4">
        <f t="shared" si="215"/>
        <v>0</v>
      </c>
      <c r="EU280" s="4">
        <f t="shared" si="215"/>
        <v>0</v>
      </c>
      <c r="EV280" s="4">
        <f t="shared" si="215"/>
        <v>0</v>
      </c>
      <c r="EW280" s="4">
        <f t="shared" si="215"/>
        <v>0</v>
      </c>
      <c r="EX280" s="4">
        <f t="shared" si="215"/>
        <v>0</v>
      </c>
      <c r="EY280" s="4">
        <f t="shared" si="215"/>
        <v>0</v>
      </c>
      <c r="EZ280" s="4">
        <f t="shared" si="215"/>
        <v>0</v>
      </c>
      <c r="FA280" s="4">
        <f t="shared" si="215"/>
        <v>0</v>
      </c>
      <c r="FB280" s="4">
        <f t="shared" si="215"/>
        <v>0</v>
      </c>
      <c r="FC280" s="4">
        <f t="shared" si="215"/>
        <v>0</v>
      </c>
      <c r="FD280" s="4">
        <f t="shared" si="215"/>
        <v>0</v>
      </c>
      <c r="FE280" s="4">
        <f t="shared" si="215"/>
        <v>0</v>
      </c>
      <c r="FF280" s="4">
        <f t="shared" si="215"/>
        <v>0</v>
      </c>
      <c r="FG280" s="4">
        <f t="shared" si="215"/>
        <v>0</v>
      </c>
      <c r="FH280" s="4">
        <f t="shared" si="215"/>
        <v>0</v>
      </c>
      <c r="FI280" s="4">
        <f t="shared" si="215"/>
        <v>0</v>
      </c>
      <c r="FJ280" s="4">
        <f t="shared" si="215"/>
        <v>0</v>
      </c>
      <c r="FK280" s="4">
        <f t="shared" si="215"/>
        <v>0</v>
      </c>
      <c r="FL280" s="4">
        <f t="shared" si="215"/>
        <v>0</v>
      </c>
      <c r="FM280" s="4">
        <f t="shared" si="215"/>
        <v>0</v>
      </c>
      <c r="FN280" s="4">
        <f t="shared" si="215"/>
        <v>0</v>
      </c>
      <c r="FO280" s="4">
        <f t="shared" si="215"/>
        <v>0</v>
      </c>
      <c r="FP280" s="4">
        <f t="shared" si="215"/>
        <v>0</v>
      </c>
      <c r="FQ280" s="4">
        <f t="shared" si="215"/>
        <v>1173490.6399999999</v>
      </c>
      <c r="FR280" s="4">
        <f t="shared" si="215"/>
        <v>0</v>
      </c>
      <c r="FS280" s="4">
        <f t="shared" ref="FS280:GX280" si="216">FS323</f>
        <v>1370460.82</v>
      </c>
      <c r="FT280" s="4">
        <f t="shared" si="216"/>
        <v>0</v>
      </c>
      <c r="FU280" s="4">
        <f t="shared" si="216"/>
        <v>196970.18</v>
      </c>
      <c r="FV280" s="4">
        <f t="shared" si="216"/>
        <v>0</v>
      </c>
      <c r="FW280" s="4">
        <f t="shared" si="216"/>
        <v>1174421.47</v>
      </c>
      <c r="FX280" s="4">
        <f t="shared" si="216"/>
        <v>930.83000000007451</v>
      </c>
      <c r="FY280" s="4">
        <f t="shared" si="216"/>
        <v>0</v>
      </c>
      <c r="FZ280" s="4">
        <f t="shared" si="216"/>
        <v>930.83000000007451</v>
      </c>
      <c r="GA280" s="4">
        <f t="shared" si="216"/>
        <v>1173490.6399999999</v>
      </c>
      <c r="GB280" s="4">
        <f t="shared" si="216"/>
        <v>0</v>
      </c>
      <c r="GC280" s="4">
        <f t="shared" si="216"/>
        <v>0</v>
      </c>
      <c r="GD280" s="4">
        <f t="shared" si="216"/>
        <v>0</v>
      </c>
      <c r="GE280" s="4">
        <f t="shared" si="216"/>
        <v>0</v>
      </c>
      <c r="GF280" s="4">
        <f t="shared" si="216"/>
        <v>0</v>
      </c>
      <c r="GG280" s="4">
        <f t="shared" si="216"/>
        <v>0</v>
      </c>
      <c r="GH280" s="4">
        <f t="shared" si="216"/>
        <v>0</v>
      </c>
      <c r="GI280" s="4">
        <f t="shared" si="216"/>
        <v>0</v>
      </c>
      <c r="GJ280" s="4">
        <f t="shared" si="216"/>
        <v>0</v>
      </c>
      <c r="GK280" s="4">
        <f t="shared" si="216"/>
        <v>0</v>
      </c>
      <c r="GL280" s="4">
        <f t="shared" si="216"/>
        <v>0</v>
      </c>
      <c r="GM280" s="4">
        <f t="shared" si="216"/>
        <v>0</v>
      </c>
      <c r="GN280" s="4">
        <f t="shared" si="216"/>
        <v>0</v>
      </c>
      <c r="GO280" s="4">
        <f t="shared" si="216"/>
        <v>0</v>
      </c>
      <c r="GP280" s="4">
        <f t="shared" si="216"/>
        <v>0</v>
      </c>
      <c r="GQ280" s="4">
        <f t="shared" si="216"/>
        <v>0</v>
      </c>
      <c r="GR280" s="4">
        <f t="shared" si="216"/>
        <v>0</v>
      </c>
      <c r="GS280" s="4">
        <f t="shared" si="216"/>
        <v>0</v>
      </c>
      <c r="GT280" s="4">
        <f t="shared" si="216"/>
        <v>0</v>
      </c>
      <c r="GU280" s="4">
        <f t="shared" si="216"/>
        <v>0</v>
      </c>
      <c r="GV280" s="4">
        <f t="shared" si="216"/>
        <v>0</v>
      </c>
      <c r="GW280" s="4">
        <f t="shared" si="216"/>
        <v>0</v>
      </c>
      <c r="GX280" s="4">
        <f t="shared" si="216"/>
        <v>0</v>
      </c>
    </row>
    <row r="282" spans="1:255" x14ac:dyDescent="0.2">
      <c r="A282" s="2">
        <v>17</v>
      </c>
      <c r="B282" s="2">
        <v>1</v>
      </c>
      <c r="C282" s="2">
        <f>ROW(SmtRes!A226)</f>
        <v>226</v>
      </c>
      <c r="D282" s="2">
        <f>ROW(EtalonRes!A269)</f>
        <v>269</v>
      </c>
      <c r="E282" s="2" t="s">
        <v>284</v>
      </c>
      <c r="F282" s="2" t="s">
        <v>285</v>
      </c>
      <c r="G282" s="2" t="s">
        <v>286</v>
      </c>
      <c r="H282" s="2" t="s">
        <v>21</v>
      </c>
      <c r="I282" s="2">
        <f>ROUND(2+6+5,9)</f>
        <v>13</v>
      </c>
      <c r="J282" s="2">
        <v>0</v>
      </c>
      <c r="K282" s="2">
        <f>ROUND(2+6+5,9)</f>
        <v>13</v>
      </c>
      <c r="L282" s="2"/>
      <c r="M282" s="2"/>
      <c r="N282" s="2"/>
      <c r="O282" s="2">
        <f t="shared" ref="O282:O321" si="217">ROUND(CP282,2)</f>
        <v>101.06</v>
      </c>
      <c r="P282" s="2">
        <f>ROUND((ROUND((AC282*AW282*I282),2)*BC282),2)</f>
        <v>0</v>
      </c>
      <c r="Q282" s="2">
        <f>(ROUND((ROUND((((ET282*1.1))*AV282*I282),2)*BB282),2)+ROUND((ROUND(((AE282-((EU282*1.1)))*AV282*I282),2)*BS282),2))</f>
        <v>0</v>
      </c>
      <c r="R282" s="2">
        <f t="shared" ref="R282:R321" si="218">ROUND((ROUND((AE282*AV282*I282),2)*BS282),2)</f>
        <v>0</v>
      </c>
      <c r="S282" s="2">
        <f t="shared" ref="S282:S321" si="219">ROUND((ROUND((AF282*AV282*I282),2)*BA282),2)</f>
        <v>101.06</v>
      </c>
      <c r="T282" s="2">
        <f t="shared" ref="T282:T321" si="220">ROUND(CU282*I282,2)</f>
        <v>0</v>
      </c>
      <c r="U282" s="2">
        <f t="shared" ref="U282:U321" si="221">CV282*I282</f>
        <v>7.7854919999999996</v>
      </c>
      <c r="V282" s="2">
        <f t="shared" ref="V282:V321" si="222">CW282*I282</f>
        <v>0</v>
      </c>
      <c r="W282" s="2">
        <f t="shared" ref="W282:W321" si="223">ROUND(CX282*I282,2)</f>
        <v>0</v>
      </c>
      <c r="X282" s="2">
        <f t="shared" ref="X282:X321" si="224">ROUND(CY282,2)</f>
        <v>90.95</v>
      </c>
      <c r="Y282" s="2">
        <f t="shared" ref="Y282:Y321" si="225">ROUND(CZ282,2)</f>
        <v>46.49</v>
      </c>
      <c r="Z282" s="2"/>
      <c r="AA282" s="2">
        <v>56959434</v>
      </c>
      <c r="AB282" s="2">
        <f t="shared" ref="AB282:AB321" si="226">ROUND((AC282+AD282+AF282),6)</f>
        <v>7.4249999999999998</v>
      </c>
      <c r="AC282" s="2">
        <f t="shared" ref="AC282:AC321" si="227">ROUND((ES282),6)</f>
        <v>0</v>
      </c>
      <c r="AD282" s="2">
        <f>ROUND(((((ET282*1.1))-((EU282*1.1)))+AE282),6)</f>
        <v>0</v>
      </c>
      <c r="AE282" s="2">
        <f>ROUND(((EU282*1.1)),6)</f>
        <v>0</v>
      </c>
      <c r="AF282" s="2">
        <f>ROUND(((EV282*1.1)),6)</f>
        <v>7.4249999999999998</v>
      </c>
      <c r="AG282" s="2">
        <f t="shared" ref="AG282:AG321" si="228">ROUND((AP282),6)</f>
        <v>0</v>
      </c>
      <c r="AH282" s="2">
        <f>((EW282*1.1))</f>
        <v>0.57200000000000006</v>
      </c>
      <c r="AI282" s="2">
        <f>((EX282*1.1))</f>
        <v>0</v>
      </c>
      <c r="AJ282" s="2">
        <f t="shared" ref="AJ282:AJ321" si="229">(AS282)</f>
        <v>0</v>
      </c>
      <c r="AK282" s="2">
        <v>6.75</v>
      </c>
      <c r="AL282" s="2">
        <v>0</v>
      </c>
      <c r="AM282" s="2">
        <v>0</v>
      </c>
      <c r="AN282" s="2">
        <v>0</v>
      </c>
      <c r="AO282" s="2">
        <v>6.75</v>
      </c>
      <c r="AP282" s="2">
        <v>0</v>
      </c>
      <c r="AQ282" s="2">
        <v>0.52</v>
      </c>
      <c r="AR282" s="2">
        <v>0</v>
      </c>
      <c r="AS282" s="2">
        <v>0</v>
      </c>
      <c r="AT282" s="2">
        <v>90</v>
      </c>
      <c r="AU282" s="2">
        <v>46</v>
      </c>
      <c r="AV282" s="2">
        <v>1.0469999999999999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0</v>
      </c>
      <c r="BI282" s="2">
        <v>2</v>
      </c>
      <c r="BJ282" s="2" t="s">
        <v>287</v>
      </c>
      <c r="BK282" s="2"/>
      <c r="BL282" s="2"/>
      <c r="BM282" s="2">
        <v>72</v>
      </c>
      <c r="BN282" s="2">
        <v>55992028</v>
      </c>
      <c r="BO282" s="2" t="s">
        <v>285</v>
      </c>
      <c r="BP282" s="2">
        <v>1</v>
      </c>
      <c r="BQ282" s="2">
        <v>40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90</v>
      </c>
      <c r="CA282" s="2">
        <v>46</v>
      </c>
      <c r="CB282" s="2" t="s">
        <v>3</v>
      </c>
      <c r="CC282" s="2"/>
      <c r="CD282" s="2"/>
      <c r="CE282" s="2">
        <v>30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673</v>
      </c>
      <c r="CO282" s="2">
        <v>0</v>
      </c>
      <c r="CP282" s="2">
        <f t="shared" ref="CP282:CP321" si="230">(P282+Q282+S282)</f>
        <v>101.06</v>
      </c>
      <c r="CQ282" s="2">
        <f>ROUND((ROUND((AC282*AW282*1),2)*BC282),2)</f>
        <v>0</v>
      </c>
      <c r="CR282" s="2">
        <f>(ROUND((ROUND((((ET282*1.1))*AV282*1),2)*BB282),2)+ROUND((ROUND(((AE282-((EU282*1.1)))*AV282*1),2)*BS282),2))</f>
        <v>0</v>
      </c>
      <c r="CS282" s="2">
        <f t="shared" ref="CS282:CS321" si="231">ROUND((ROUND((AE282*AV282*1),2)*BS282),2)</f>
        <v>0</v>
      </c>
      <c r="CT282" s="2">
        <f t="shared" ref="CT282:CT321" si="232">ROUND((ROUND((AF282*AV282*1),2)*BA282),2)</f>
        <v>7.77</v>
      </c>
      <c r="CU282" s="2">
        <f t="shared" ref="CU282:CU321" si="233">AG282</f>
        <v>0</v>
      </c>
      <c r="CV282" s="2">
        <f t="shared" ref="CV282:CV321" si="234">(AH282*AV282)</f>
        <v>0.59888399999999997</v>
      </c>
      <c r="CW282" s="2">
        <f t="shared" ref="CW282:CW321" si="235">AI282</f>
        <v>0</v>
      </c>
      <c r="CX282" s="2">
        <f t="shared" ref="CX282:CX321" si="236">AJ282</f>
        <v>0</v>
      </c>
      <c r="CY282" s="2">
        <f t="shared" ref="CY282:CY321" si="237">(((S282+R282)*AT282)/100)</f>
        <v>90.953999999999994</v>
      </c>
      <c r="CZ282" s="2">
        <f t="shared" ref="CZ282:CZ321" si="238">(((S282+R282)*AU282)/100)</f>
        <v>46.4876</v>
      </c>
      <c r="DA282" s="2"/>
      <c r="DB282" s="2"/>
      <c r="DC282" s="2" t="s">
        <v>3</v>
      </c>
      <c r="DD282" s="2" t="s">
        <v>3</v>
      </c>
      <c r="DE282" s="2" t="s">
        <v>23</v>
      </c>
      <c r="DF282" s="2" t="s">
        <v>23</v>
      </c>
      <c r="DG282" s="2" t="s">
        <v>23</v>
      </c>
      <c r="DH282" s="2" t="s">
        <v>3</v>
      </c>
      <c r="DI282" s="2" t="s">
        <v>23</v>
      </c>
      <c r="DJ282" s="2" t="s">
        <v>23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1013</v>
      </c>
      <c r="DV282" s="2" t="s">
        <v>21</v>
      </c>
      <c r="DW282" s="2" t="s">
        <v>21</v>
      </c>
      <c r="DX282" s="2">
        <v>1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55992157</v>
      </c>
      <c r="EF282" s="2">
        <v>40</v>
      </c>
      <c r="EG282" s="2" t="s">
        <v>24</v>
      </c>
      <c r="EH282" s="2">
        <v>0</v>
      </c>
      <c r="EI282" s="2" t="s">
        <v>3</v>
      </c>
      <c r="EJ282" s="2">
        <v>2</v>
      </c>
      <c r="EK282" s="2">
        <v>72</v>
      </c>
      <c r="EL282" s="2" t="s">
        <v>25</v>
      </c>
      <c r="EM282" s="2" t="s">
        <v>26</v>
      </c>
      <c r="EN282" s="2"/>
      <c r="EO282" s="2" t="s">
        <v>27</v>
      </c>
      <c r="EP282" s="2"/>
      <c r="EQ282" s="2">
        <v>0</v>
      </c>
      <c r="ER282" s="2">
        <v>6.75</v>
      </c>
      <c r="ES282" s="2">
        <v>0</v>
      </c>
      <c r="ET282" s="2">
        <v>0</v>
      </c>
      <c r="EU282" s="2">
        <v>0</v>
      </c>
      <c r="EV282" s="2">
        <v>6.75</v>
      </c>
      <c r="EW282" s="2">
        <v>0.52</v>
      </c>
      <c r="EX282" s="2">
        <v>0</v>
      </c>
      <c r="EY282" s="2">
        <v>0</v>
      </c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90</v>
      </c>
      <c r="FY282" s="2">
        <v>46</v>
      </c>
      <c r="FZ282" s="2"/>
      <c r="GA282" s="2" t="s">
        <v>3</v>
      </c>
      <c r="GB282" s="2"/>
      <c r="GC282" s="2"/>
      <c r="GD282" s="2">
        <v>1</v>
      </c>
      <c r="GE282" s="2"/>
      <c r="GF282" s="2">
        <v>1814030111</v>
      </c>
      <c r="GG282" s="2">
        <v>2</v>
      </c>
      <c r="GH282" s="2">
        <v>1</v>
      </c>
      <c r="GI282" s="2">
        <v>2</v>
      </c>
      <c r="GJ282" s="2">
        <v>0</v>
      </c>
      <c r="GK282" s="2">
        <v>0</v>
      </c>
      <c r="GL282" s="2">
        <f t="shared" ref="GL282:GL321" si="239">ROUND(IF(AND(BH282=3,BI282=3,FS282&lt;&gt;0),P282,0),2)</f>
        <v>0</v>
      </c>
      <c r="GM282" s="2">
        <f t="shared" ref="GM282:GM321" si="240">ROUND(O282+X282+Y282,2)+GX282</f>
        <v>238.5</v>
      </c>
      <c r="GN282" s="2">
        <f t="shared" ref="GN282:GN321" si="241">IF(OR(BI282=0,BI282=1),GM282-GX282,0)</f>
        <v>0</v>
      </c>
      <c r="GO282" s="2">
        <f t="shared" ref="GO282:GO321" si="242">IF(BI282=2,GM282-GX282,0)</f>
        <v>238.5</v>
      </c>
      <c r="GP282" s="2">
        <f t="shared" ref="GP282:GP321" si="243">IF(BI282=4,GM282-GX282,0)</f>
        <v>0</v>
      </c>
      <c r="GQ282" s="2"/>
      <c r="GR282" s="2">
        <v>0</v>
      </c>
      <c r="GS282" s="2">
        <v>3</v>
      </c>
      <c r="GT282" s="2">
        <v>0</v>
      </c>
      <c r="GU282" s="2" t="s">
        <v>3</v>
      </c>
      <c r="GV282" s="2">
        <f t="shared" ref="GV282:GV321" si="244">ROUND((GT282),6)</f>
        <v>0</v>
      </c>
      <c r="GW282" s="2">
        <v>1</v>
      </c>
      <c r="GX282" s="2">
        <f t="shared" ref="GX282:GX321" si="245">ROUND(HC282*I282,2)</f>
        <v>0</v>
      </c>
      <c r="GY282" s="2"/>
      <c r="GZ282" s="2"/>
      <c r="HA282" s="2">
        <v>0</v>
      </c>
      <c r="HB282" s="2">
        <v>0</v>
      </c>
      <c r="HC282" s="2">
        <f t="shared" ref="HC282:HC321" si="246">GV282*GW282</f>
        <v>0</v>
      </c>
      <c r="HD282" s="2"/>
      <c r="HE282" s="2" t="s">
        <v>3</v>
      </c>
      <c r="HF282" s="2" t="s">
        <v>3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2">
      <c r="A283">
        <v>17</v>
      </c>
      <c r="B283">
        <v>1</v>
      </c>
      <c r="C283">
        <f>ROW(SmtRes!A228)</f>
        <v>228</v>
      </c>
      <c r="D283">
        <f>ROW(EtalonRes!A272)</f>
        <v>272</v>
      </c>
      <c r="E283" t="s">
        <v>284</v>
      </c>
      <c r="F283" t="s">
        <v>285</v>
      </c>
      <c r="G283" t="s">
        <v>286</v>
      </c>
      <c r="H283" t="s">
        <v>21</v>
      </c>
      <c r="I283">
        <f>ROUND(2+6+5,9)</f>
        <v>13</v>
      </c>
      <c r="J283">
        <v>0</v>
      </c>
      <c r="K283">
        <f>ROUND(2+6+5,9)</f>
        <v>13</v>
      </c>
      <c r="O283">
        <f t="shared" si="217"/>
        <v>5557.29</v>
      </c>
      <c r="P283">
        <f>ROUND((ROUND((AC283*AW283*I283),2)*BC283),2)</f>
        <v>0</v>
      </c>
      <c r="Q283">
        <f>(ROUND((ROUND((((ET283*1.1))*AV283*I283),2)*BB283),2)+ROUND((ROUND(((AE283-((EU283*1.1)))*AV283*I283),2)*BS283),2))</f>
        <v>0</v>
      </c>
      <c r="R283">
        <f t="shared" si="218"/>
        <v>0</v>
      </c>
      <c r="S283">
        <f t="shared" si="219"/>
        <v>5557.29</v>
      </c>
      <c r="T283">
        <f t="shared" si="220"/>
        <v>0</v>
      </c>
      <c r="U283">
        <f t="shared" si="221"/>
        <v>7.7854919999999996</v>
      </c>
      <c r="V283">
        <f t="shared" si="222"/>
        <v>0</v>
      </c>
      <c r="W283">
        <f t="shared" si="223"/>
        <v>0</v>
      </c>
      <c r="X283">
        <f t="shared" si="224"/>
        <v>5001.5600000000004</v>
      </c>
      <c r="Y283">
        <f t="shared" si="225"/>
        <v>2556.35</v>
      </c>
      <c r="AA283">
        <v>56959431</v>
      </c>
      <c r="AB283">
        <f t="shared" si="226"/>
        <v>7.4249999999999998</v>
      </c>
      <c r="AC283">
        <f t="shared" si="227"/>
        <v>0</v>
      </c>
      <c r="AD283">
        <f>ROUND(((((ET283*1.1))-((EU283*1.1)))+AE283),6)</f>
        <v>0</v>
      </c>
      <c r="AE283">
        <f>ROUND(((EU283*1.1)),6)</f>
        <v>0</v>
      </c>
      <c r="AF283">
        <f>ROUND(((EV283*1.1)),6)</f>
        <v>7.4249999999999998</v>
      </c>
      <c r="AG283">
        <f t="shared" si="228"/>
        <v>0</v>
      </c>
      <c r="AH283">
        <f>((EW283*1.1))</f>
        <v>0.57200000000000006</v>
      </c>
      <c r="AI283">
        <f>((EX283*1.1))</f>
        <v>0</v>
      </c>
      <c r="AJ283">
        <f t="shared" si="229"/>
        <v>0</v>
      </c>
      <c r="AK283">
        <v>6.75</v>
      </c>
      <c r="AL283">
        <v>0</v>
      </c>
      <c r="AM283">
        <v>0</v>
      </c>
      <c r="AN283">
        <v>0</v>
      </c>
      <c r="AO283">
        <v>6.75</v>
      </c>
      <c r="AP283">
        <v>0</v>
      </c>
      <c r="AQ283">
        <v>0.52</v>
      </c>
      <c r="AR283">
        <v>0</v>
      </c>
      <c r="AS283">
        <v>0</v>
      </c>
      <c r="AT283">
        <v>90</v>
      </c>
      <c r="AU283">
        <v>46</v>
      </c>
      <c r="AV283">
        <v>1.0469999999999999</v>
      </c>
      <c r="AW283">
        <v>1</v>
      </c>
      <c r="AZ283">
        <v>1</v>
      </c>
      <c r="BA283">
        <v>54.99</v>
      </c>
      <c r="BB283">
        <v>1</v>
      </c>
      <c r="BC283">
        <v>1</v>
      </c>
      <c r="BD283" t="s">
        <v>3</v>
      </c>
      <c r="BE283" t="s">
        <v>3</v>
      </c>
      <c r="BF283" t="s">
        <v>3</v>
      </c>
      <c r="BG283" t="s">
        <v>3</v>
      </c>
      <c r="BH283">
        <v>0</v>
      </c>
      <c r="BI283">
        <v>2</v>
      </c>
      <c r="BJ283" t="s">
        <v>287</v>
      </c>
      <c r="BM283">
        <v>72</v>
      </c>
      <c r="BN283">
        <v>55992028</v>
      </c>
      <c r="BO283" t="s">
        <v>285</v>
      </c>
      <c r="BP283">
        <v>1</v>
      </c>
      <c r="BQ283">
        <v>40</v>
      </c>
      <c r="BR283">
        <v>0</v>
      </c>
      <c r="BS283">
        <v>54.99</v>
      </c>
      <c r="BT283">
        <v>1</v>
      </c>
      <c r="BU283">
        <v>1</v>
      </c>
      <c r="BV283">
        <v>1</v>
      </c>
      <c r="BW283">
        <v>1</v>
      </c>
      <c r="BX283">
        <v>1</v>
      </c>
      <c r="BY283" t="s">
        <v>3</v>
      </c>
      <c r="BZ283">
        <v>90</v>
      </c>
      <c r="CA283">
        <v>46</v>
      </c>
      <c r="CB283" t="s">
        <v>3</v>
      </c>
      <c r="CE283">
        <v>30</v>
      </c>
      <c r="CF283">
        <v>0</v>
      </c>
      <c r="CG283">
        <v>0</v>
      </c>
      <c r="CM283">
        <v>0</v>
      </c>
      <c r="CN283" t="s">
        <v>673</v>
      </c>
      <c r="CO283">
        <v>0</v>
      </c>
      <c r="CP283">
        <f t="shared" si="230"/>
        <v>5557.29</v>
      </c>
      <c r="CQ283">
        <f>ROUND((ROUND((AC283*AW283*1),2)*BC283),2)</f>
        <v>0</v>
      </c>
      <c r="CR283">
        <f>(ROUND((ROUND((((ET283*1.1))*AV283*1),2)*BB283),2)+ROUND((ROUND(((AE283-((EU283*1.1)))*AV283*1),2)*BS283),2))</f>
        <v>0</v>
      </c>
      <c r="CS283">
        <f t="shared" si="231"/>
        <v>0</v>
      </c>
      <c r="CT283">
        <f t="shared" si="232"/>
        <v>427.27</v>
      </c>
      <c r="CU283">
        <f t="shared" si="233"/>
        <v>0</v>
      </c>
      <c r="CV283">
        <f t="shared" si="234"/>
        <v>0.59888399999999997</v>
      </c>
      <c r="CW283">
        <f t="shared" si="235"/>
        <v>0</v>
      </c>
      <c r="CX283">
        <f t="shared" si="236"/>
        <v>0</v>
      </c>
      <c r="CY283">
        <f t="shared" si="237"/>
        <v>5001.5609999999997</v>
      </c>
      <c r="CZ283">
        <f t="shared" si="238"/>
        <v>2556.3534</v>
      </c>
      <c r="DC283" t="s">
        <v>3</v>
      </c>
      <c r="DD283" t="s">
        <v>3</v>
      </c>
      <c r="DE283" t="s">
        <v>23</v>
      </c>
      <c r="DF283" t="s">
        <v>23</v>
      </c>
      <c r="DG283" t="s">
        <v>23</v>
      </c>
      <c r="DH283" t="s">
        <v>3</v>
      </c>
      <c r="DI283" t="s">
        <v>23</v>
      </c>
      <c r="DJ283" t="s">
        <v>23</v>
      </c>
      <c r="DK283" t="s">
        <v>3</v>
      </c>
      <c r="DL283" t="s">
        <v>3</v>
      </c>
      <c r="DM283" t="s">
        <v>3</v>
      </c>
      <c r="DN283">
        <v>0</v>
      </c>
      <c r="DO283">
        <v>0</v>
      </c>
      <c r="DP283">
        <v>1</v>
      </c>
      <c r="DQ283">
        <v>1</v>
      </c>
      <c r="DU283">
        <v>1013</v>
      </c>
      <c r="DV283" t="s">
        <v>21</v>
      </c>
      <c r="DW283" t="s">
        <v>21</v>
      </c>
      <c r="DX283">
        <v>1</v>
      </c>
      <c r="DZ283" t="s">
        <v>3</v>
      </c>
      <c r="EA283" t="s">
        <v>3</v>
      </c>
      <c r="EB283" t="s">
        <v>3</v>
      </c>
      <c r="EC283" t="s">
        <v>3</v>
      </c>
      <c r="EE283">
        <v>55992157</v>
      </c>
      <c r="EF283">
        <v>40</v>
      </c>
      <c r="EG283" t="s">
        <v>24</v>
      </c>
      <c r="EH283">
        <v>0</v>
      </c>
      <c r="EI283" t="s">
        <v>3</v>
      </c>
      <c r="EJ283">
        <v>2</v>
      </c>
      <c r="EK283">
        <v>72</v>
      </c>
      <c r="EL283" t="s">
        <v>25</v>
      </c>
      <c r="EM283" t="s">
        <v>26</v>
      </c>
      <c r="EO283" t="s">
        <v>27</v>
      </c>
      <c r="EQ283">
        <v>0</v>
      </c>
      <c r="ER283">
        <v>6.75</v>
      </c>
      <c r="ES283">
        <v>0</v>
      </c>
      <c r="ET283">
        <v>0</v>
      </c>
      <c r="EU283">
        <v>0</v>
      </c>
      <c r="EV283">
        <v>6.75</v>
      </c>
      <c r="EW283">
        <v>0.52</v>
      </c>
      <c r="EX283">
        <v>0</v>
      </c>
      <c r="EY283">
        <v>0</v>
      </c>
      <c r="FQ283">
        <v>0</v>
      </c>
      <c r="FR283">
        <v>0</v>
      </c>
      <c r="FS283">
        <v>0</v>
      </c>
      <c r="FX283">
        <v>90</v>
      </c>
      <c r="FY283">
        <v>46</v>
      </c>
      <c r="GA283" t="s">
        <v>3</v>
      </c>
      <c r="GD283">
        <v>1</v>
      </c>
      <c r="GF283">
        <v>1814030111</v>
      </c>
      <c r="GG283">
        <v>2</v>
      </c>
      <c r="GH283">
        <v>1</v>
      </c>
      <c r="GI283">
        <v>2</v>
      </c>
      <c r="GJ283">
        <v>0</v>
      </c>
      <c r="GK283">
        <v>0</v>
      </c>
      <c r="GL283">
        <f t="shared" si="239"/>
        <v>0</v>
      </c>
      <c r="GM283">
        <f t="shared" si="240"/>
        <v>13115.2</v>
      </c>
      <c r="GN283">
        <f t="shared" si="241"/>
        <v>0</v>
      </c>
      <c r="GO283">
        <f t="shared" si="242"/>
        <v>13115.2</v>
      </c>
      <c r="GP283">
        <f t="shared" si="243"/>
        <v>0</v>
      </c>
      <c r="GR283">
        <v>0</v>
      </c>
      <c r="GS283">
        <v>3</v>
      </c>
      <c r="GT283">
        <v>0</v>
      </c>
      <c r="GU283" t="s">
        <v>3</v>
      </c>
      <c r="GV283">
        <f t="shared" si="244"/>
        <v>0</v>
      </c>
      <c r="GW283">
        <v>1</v>
      </c>
      <c r="GX283">
        <f t="shared" si="245"/>
        <v>0</v>
      </c>
      <c r="HA283">
        <v>0</v>
      </c>
      <c r="HB283">
        <v>0</v>
      </c>
      <c r="HC283">
        <f t="shared" si="246"/>
        <v>0</v>
      </c>
      <c r="HE283" t="s">
        <v>3</v>
      </c>
      <c r="HF283" t="s">
        <v>3</v>
      </c>
      <c r="HM283" t="s">
        <v>3</v>
      </c>
      <c r="HN283" t="s">
        <v>3</v>
      </c>
      <c r="HO283" t="s">
        <v>3</v>
      </c>
      <c r="HP283" t="s">
        <v>3</v>
      </c>
      <c r="HQ283" t="s">
        <v>3</v>
      </c>
      <c r="HS283">
        <v>0</v>
      </c>
      <c r="IK283">
        <v>0</v>
      </c>
    </row>
    <row r="284" spans="1:255" x14ac:dyDescent="0.2">
      <c r="A284" s="2">
        <v>18</v>
      </c>
      <c r="B284" s="2">
        <v>1</v>
      </c>
      <c r="C284" s="2">
        <v>226</v>
      </c>
      <c r="D284" s="2"/>
      <c r="E284" s="2" t="s">
        <v>288</v>
      </c>
      <c r="F284" s="2" t="s">
        <v>289</v>
      </c>
      <c r="G284" s="2" t="s">
        <v>290</v>
      </c>
      <c r="H284" s="2" t="s">
        <v>291</v>
      </c>
      <c r="I284" s="2">
        <f>I282*J284</f>
        <v>4.5499999999999995E-4</v>
      </c>
      <c r="J284" s="2">
        <v>3.4999999999999997E-5</v>
      </c>
      <c r="K284" s="2">
        <v>3.5000000000000004E-5</v>
      </c>
      <c r="L284" s="2"/>
      <c r="M284" s="2"/>
      <c r="N284" s="2"/>
      <c r="O284" s="2">
        <f t="shared" si="217"/>
        <v>11.2</v>
      </c>
      <c r="P284" s="2">
        <f>ROUND((ROUND((AC284*AW284*I284),2)*BC284),2)</f>
        <v>11.2</v>
      </c>
      <c r="Q284" s="2">
        <f t="shared" ref="Q284:Q291" si="247">(ROUND((ROUND(((ET284)*AV284*I284),2)*BB284),2)+ROUND((ROUND(((AE284-(EU284))*AV284*I284),2)*BS284),2))</f>
        <v>0</v>
      </c>
      <c r="R284" s="2">
        <f t="shared" si="218"/>
        <v>0</v>
      </c>
      <c r="S284" s="2">
        <f t="shared" si="219"/>
        <v>0</v>
      </c>
      <c r="T284" s="2">
        <f t="shared" si="220"/>
        <v>0</v>
      </c>
      <c r="U284" s="2">
        <f t="shared" si="221"/>
        <v>0</v>
      </c>
      <c r="V284" s="2">
        <f t="shared" si="222"/>
        <v>0</v>
      </c>
      <c r="W284" s="2">
        <f t="shared" si="223"/>
        <v>0</v>
      </c>
      <c r="X284" s="2">
        <f t="shared" si="224"/>
        <v>0</v>
      </c>
      <c r="Y284" s="2">
        <f t="shared" si="225"/>
        <v>0</v>
      </c>
      <c r="Z284" s="2"/>
      <c r="AA284" s="2">
        <v>56959434</v>
      </c>
      <c r="AB284" s="2">
        <f t="shared" si="226"/>
        <v>24609.759999999998</v>
      </c>
      <c r="AC284" s="2">
        <f t="shared" si="227"/>
        <v>24609.759999999998</v>
      </c>
      <c r="AD284" s="2">
        <f t="shared" ref="AD284:AD291" si="248">ROUND((((ET284)-(EU284))+AE284),6)</f>
        <v>0</v>
      </c>
      <c r="AE284" s="2">
        <f t="shared" ref="AE284:AF291" si="249">ROUND((EU284),6)</f>
        <v>0</v>
      </c>
      <c r="AF284" s="2">
        <f t="shared" si="249"/>
        <v>0</v>
      </c>
      <c r="AG284" s="2">
        <f t="shared" si="228"/>
        <v>0</v>
      </c>
      <c r="AH284" s="2">
        <f t="shared" ref="AH284:AI291" si="250">(EW284)</f>
        <v>0</v>
      </c>
      <c r="AI284" s="2">
        <f t="shared" si="250"/>
        <v>0</v>
      </c>
      <c r="AJ284" s="2">
        <f t="shared" si="229"/>
        <v>0</v>
      </c>
      <c r="AK284" s="2">
        <v>24609.759999999998</v>
      </c>
      <c r="AL284" s="2">
        <v>24609.759999999998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90</v>
      </c>
      <c r="AU284" s="2">
        <v>46</v>
      </c>
      <c r="AV284" s="2">
        <v>1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3</v>
      </c>
      <c r="BI284" s="2">
        <v>2</v>
      </c>
      <c r="BJ284" s="2" t="s">
        <v>292</v>
      </c>
      <c r="BK284" s="2"/>
      <c r="BL284" s="2"/>
      <c r="BM284" s="2">
        <v>72</v>
      </c>
      <c r="BN284" s="2">
        <v>55992028</v>
      </c>
      <c r="BO284" s="2" t="s">
        <v>3</v>
      </c>
      <c r="BP284" s="2">
        <v>0</v>
      </c>
      <c r="BQ284" s="2">
        <v>40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90</v>
      </c>
      <c r="CA284" s="2">
        <v>46</v>
      </c>
      <c r="CB284" s="2" t="s">
        <v>3</v>
      </c>
      <c r="CC284" s="2"/>
      <c r="CD284" s="2"/>
      <c r="CE284" s="2">
        <v>30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3</v>
      </c>
      <c r="CO284" s="2">
        <v>0</v>
      </c>
      <c r="CP284" s="2">
        <f t="shared" si="230"/>
        <v>11.2</v>
      </c>
      <c r="CQ284" s="2">
        <f>ROUND((ROUND((AC284*AW284*1),2)*BC284),2)</f>
        <v>24609.759999999998</v>
      </c>
      <c r="CR284" s="2">
        <f t="shared" ref="CR284:CR291" si="251">(ROUND((ROUND(((ET284)*AV284*1),2)*BB284),2)+ROUND((ROUND(((AE284-(EU284))*AV284*1),2)*BS284),2))</f>
        <v>0</v>
      </c>
      <c r="CS284" s="2">
        <f t="shared" si="231"/>
        <v>0</v>
      </c>
      <c r="CT284" s="2">
        <f t="shared" si="232"/>
        <v>0</v>
      </c>
      <c r="CU284" s="2">
        <f t="shared" si="233"/>
        <v>0</v>
      </c>
      <c r="CV284" s="2">
        <f t="shared" si="234"/>
        <v>0</v>
      </c>
      <c r="CW284" s="2">
        <f t="shared" si="235"/>
        <v>0</v>
      </c>
      <c r="CX284" s="2">
        <f t="shared" si="236"/>
        <v>0</v>
      </c>
      <c r="CY284" s="2">
        <f t="shared" si="237"/>
        <v>0</v>
      </c>
      <c r="CZ284" s="2">
        <f t="shared" si="238"/>
        <v>0</v>
      </c>
      <c r="DA284" s="2"/>
      <c r="DB284" s="2"/>
      <c r="DC284" s="2" t="s">
        <v>3</v>
      </c>
      <c r="DD284" s="2" t="s">
        <v>3</v>
      </c>
      <c r="DE284" s="2" t="s">
        <v>3</v>
      </c>
      <c r="DF284" s="2" t="s">
        <v>3</v>
      </c>
      <c r="DG284" s="2" t="s">
        <v>3</v>
      </c>
      <c r="DH284" s="2" t="s">
        <v>3</v>
      </c>
      <c r="DI284" s="2" t="s">
        <v>3</v>
      </c>
      <c r="DJ284" s="2" t="s">
        <v>3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1009</v>
      </c>
      <c r="DV284" s="2" t="s">
        <v>291</v>
      </c>
      <c r="DW284" s="2" t="s">
        <v>291</v>
      </c>
      <c r="DX284" s="2">
        <v>1000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55992157</v>
      </c>
      <c r="EF284" s="2">
        <v>40</v>
      </c>
      <c r="EG284" s="2" t="s">
        <v>24</v>
      </c>
      <c r="EH284" s="2">
        <v>0</v>
      </c>
      <c r="EI284" s="2" t="s">
        <v>3</v>
      </c>
      <c r="EJ284" s="2">
        <v>2</v>
      </c>
      <c r="EK284" s="2">
        <v>72</v>
      </c>
      <c r="EL284" s="2" t="s">
        <v>25</v>
      </c>
      <c r="EM284" s="2" t="s">
        <v>26</v>
      </c>
      <c r="EN284" s="2"/>
      <c r="EO284" s="2" t="s">
        <v>3</v>
      </c>
      <c r="EP284" s="2"/>
      <c r="EQ284" s="2">
        <v>0</v>
      </c>
      <c r="ER284" s="2">
        <v>24609.759999999998</v>
      </c>
      <c r="ES284" s="2">
        <v>24609.759999999998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90</v>
      </c>
      <c r="FY284" s="2">
        <v>46</v>
      </c>
      <c r="FZ284" s="2"/>
      <c r="GA284" s="2" t="s">
        <v>3</v>
      </c>
      <c r="GB284" s="2"/>
      <c r="GC284" s="2"/>
      <c r="GD284" s="2">
        <v>1</v>
      </c>
      <c r="GE284" s="2"/>
      <c r="GF284" s="2">
        <v>-566361729</v>
      </c>
      <c r="GG284" s="2">
        <v>2</v>
      </c>
      <c r="GH284" s="2">
        <v>1</v>
      </c>
      <c r="GI284" s="2">
        <v>-2</v>
      </c>
      <c r="GJ284" s="2">
        <v>0</v>
      </c>
      <c r="GK284" s="2">
        <v>0</v>
      </c>
      <c r="GL284" s="2">
        <f t="shared" si="239"/>
        <v>0</v>
      </c>
      <c r="GM284" s="2">
        <f t="shared" si="240"/>
        <v>11.2</v>
      </c>
      <c r="GN284" s="2">
        <f t="shared" si="241"/>
        <v>0</v>
      </c>
      <c r="GO284" s="2">
        <f t="shared" si="242"/>
        <v>11.2</v>
      </c>
      <c r="GP284" s="2">
        <f t="shared" si="243"/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si="244"/>
        <v>0</v>
      </c>
      <c r="GW284" s="2">
        <v>1</v>
      </c>
      <c r="GX284" s="2">
        <f t="shared" si="245"/>
        <v>0</v>
      </c>
      <c r="GY284" s="2"/>
      <c r="GZ284" s="2"/>
      <c r="HA284" s="2">
        <v>0</v>
      </c>
      <c r="HB284" s="2">
        <v>0</v>
      </c>
      <c r="HC284" s="2">
        <f t="shared" si="246"/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">
      <c r="A285">
        <v>18</v>
      </c>
      <c r="B285">
        <v>1</v>
      </c>
      <c r="C285">
        <v>228</v>
      </c>
      <c r="E285" t="s">
        <v>288</v>
      </c>
      <c r="F285" t="s">
        <v>289</v>
      </c>
      <c r="G285" t="s">
        <v>290</v>
      </c>
      <c r="H285" t="s">
        <v>291</v>
      </c>
      <c r="I285">
        <f>I283*J285</f>
        <v>4.5499999999999995E-4</v>
      </c>
      <c r="J285">
        <v>3.4999999999999997E-5</v>
      </c>
      <c r="K285">
        <v>3.5000000000000004E-5</v>
      </c>
      <c r="O285">
        <f t="shared" si="217"/>
        <v>57.68</v>
      </c>
      <c r="P285">
        <f>ROUND((ROUND((AC285*AW285*I285),2)*BC285),2)</f>
        <v>57.68</v>
      </c>
      <c r="Q285">
        <f t="shared" si="247"/>
        <v>0</v>
      </c>
      <c r="R285">
        <f t="shared" si="218"/>
        <v>0</v>
      </c>
      <c r="S285">
        <f t="shared" si="219"/>
        <v>0</v>
      </c>
      <c r="T285">
        <f t="shared" si="220"/>
        <v>0</v>
      </c>
      <c r="U285">
        <f t="shared" si="221"/>
        <v>0</v>
      </c>
      <c r="V285">
        <f t="shared" si="222"/>
        <v>0</v>
      </c>
      <c r="W285">
        <f t="shared" si="223"/>
        <v>0</v>
      </c>
      <c r="X285">
        <f t="shared" si="224"/>
        <v>0</v>
      </c>
      <c r="Y285">
        <f t="shared" si="225"/>
        <v>0</v>
      </c>
      <c r="AA285">
        <v>56959431</v>
      </c>
      <c r="AB285">
        <f t="shared" si="226"/>
        <v>24609.759999999998</v>
      </c>
      <c r="AC285">
        <f t="shared" si="227"/>
        <v>24609.759999999998</v>
      </c>
      <c r="AD285">
        <f t="shared" si="248"/>
        <v>0</v>
      </c>
      <c r="AE285">
        <f t="shared" si="249"/>
        <v>0</v>
      </c>
      <c r="AF285">
        <f t="shared" si="249"/>
        <v>0</v>
      </c>
      <c r="AG285">
        <f t="shared" si="228"/>
        <v>0</v>
      </c>
      <c r="AH285">
        <f t="shared" si="250"/>
        <v>0</v>
      </c>
      <c r="AI285">
        <f t="shared" si="250"/>
        <v>0</v>
      </c>
      <c r="AJ285">
        <f t="shared" si="229"/>
        <v>0</v>
      </c>
      <c r="AK285">
        <v>24609.759999999998</v>
      </c>
      <c r="AL285">
        <v>24609.759999999998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90</v>
      </c>
      <c r="AU285">
        <v>46</v>
      </c>
      <c r="AV285">
        <v>1</v>
      </c>
      <c r="AW285">
        <v>1</v>
      </c>
      <c r="AZ285">
        <v>1</v>
      </c>
      <c r="BA285">
        <v>1</v>
      </c>
      <c r="BB285">
        <v>1</v>
      </c>
      <c r="BC285">
        <v>5.15</v>
      </c>
      <c r="BD285" t="s">
        <v>3</v>
      </c>
      <c r="BE285" t="s">
        <v>3</v>
      </c>
      <c r="BF285" t="s">
        <v>3</v>
      </c>
      <c r="BG285" t="s">
        <v>3</v>
      </c>
      <c r="BH285">
        <v>3</v>
      </c>
      <c r="BI285">
        <v>2</v>
      </c>
      <c r="BJ285" t="s">
        <v>292</v>
      </c>
      <c r="BM285">
        <v>72</v>
      </c>
      <c r="BN285">
        <v>55992028</v>
      </c>
      <c r="BO285" t="s">
        <v>289</v>
      </c>
      <c r="BP285">
        <v>1</v>
      </c>
      <c r="BQ285">
        <v>40</v>
      </c>
      <c r="BR285">
        <v>0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 t="s">
        <v>3</v>
      </c>
      <c r="BZ285">
        <v>90</v>
      </c>
      <c r="CA285">
        <v>46</v>
      </c>
      <c r="CB285" t="s">
        <v>3</v>
      </c>
      <c r="CE285">
        <v>30</v>
      </c>
      <c r="CF285">
        <v>0</v>
      </c>
      <c r="CG285">
        <v>0</v>
      </c>
      <c r="CM285">
        <v>0</v>
      </c>
      <c r="CN285" t="s">
        <v>3</v>
      </c>
      <c r="CO285">
        <v>0</v>
      </c>
      <c r="CP285">
        <f t="shared" si="230"/>
        <v>57.68</v>
      </c>
      <c r="CQ285">
        <f>ROUND((ROUND((AC285*AW285*1),2)*BC285),2)</f>
        <v>126740.26</v>
      </c>
      <c r="CR285">
        <f t="shared" si="251"/>
        <v>0</v>
      </c>
      <c r="CS285">
        <f t="shared" si="231"/>
        <v>0</v>
      </c>
      <c r="CT285">
        <f t="shared" si="232"/>
        <v>0</v>
      </c>
      <c r="CU285">
        <f t="shared" si="233"/>
        <v>0</v>
      </c>
      <c r="CV285">
        <f t="shared" si="234"/>
        <v>0</v>
      </c>
      <c r="CW285">
        <f t="shared" si="235"/>
        <v>0</v>
      </c>
      <c r="CX285">
        <f t="shared" si="236"/>
        <v>0</v>
      </c>
      <c r="CY285">
        <f t="shared" si="237"/>
        <v>0</v>
      </c>
      <c r="CZ285">
        <f t="shared" si="238"/>
        <v>0</v>
      </c>
      <c r="DC285" t="s">
        <v>3</v>
      </c>
      <c r="DD285" t="s">
        <v>3</v>
      </c>
      <c r="DE285" t="s">
        <v>3</v>
      </c>
      <c r="DF285" t="s">
        <v>3</v>
      </c>
      <c r="DG285" t="s">
        <v>3</v>
      </c>
      <c r="DH285" t="s">
        <v>3</v>
      </c>
      <c r="DI285" t="s">
        <v>3</v>
      </c>
      <c r="DJ285" t="s">
        <v>3</v>
      </c>
      <c r="DK285" t="s">
        <v>3</v>
      </c>
      <c r="DL285" t="s">
        <v>3</v>
      </c>
      <c r="DM285" t="s">
        <v>3</v>
      </c>
      <c r="DN285">
        <v>0</v>
      </c>
      <c r="DO285">
        <v>0</v>
      </c>
      <c r="DP285">
        <v>1</v>
      </c>
      <c r="DQ285">
        <v>1</v>
      </c>
      <c r="DU285">
        <v>1009</v>
      </c>
      <c r="DV285" t="s">
        <v>291</v>
      </c>
      <c r="DW285" t="s">
        <v>291</v>
      </c>
      <c r="DX285">
        <v>1000</v>
      </c>
      <c r="DZ285" t="s">
        <v>3</v>
      </c>
      <c r="EA285" t="s">
        <v>3</v>
      </c>
      <c r="EB285" t="s">
        <v>3</v>
      </c>
      <c r="EC285" t="s">
        <v>3</v>
      </c>
      <c r="EE285">
        <v>55992157</v>
      </c>
      <c r="EF285">
        <v>40</v>
      </c>
      <c r="EG285" t="s">
        <v>24</v>
      </c>
      <c r="EH285">
        <v>0</v>
      </c>
      <c r="EI285" t="s">
        <v>3</v>
      </c>
      <c r="EJ285">
        <v>2</v>
      </c>
      <c r="EK285">
        <v>72</v>
      </c>
      <c r="EL285" t="s">
        <v>25</v>
      </c>
      <c r="EM285" t="s">
        <v>26</v>
      </c>
      <c r="EO285" t="s">
        <v>3</v>
      </c>
      <c r="EQ285">
        <v>0</v>
      </c>
      <c r="ER285">
        <v>24609.759999999998</v>
      </c>
      <c r="ES285">
        <v>24609.759999999998</v>
      </c>
      <c r="ET285">
        <v>0</v>
      </c>
      <c r="EU285">
        <v>0</v>
      </c>
      <c r="EV285">
        <v>0</v>
      </c>
      <c r="EW285">
        <v>0</v>
      </c>
      <c r="EX285">
        <v>0</v>
      </c>
      <c r="FQ285">
        <v>0</v>
      </c>
      <c r="FR285">
        <v>0</v>
      </c>
      <c r="FS285">
        <v>0</v>
      </c>
      <c r="FX285">
        <v>90</v>
      </c>
      <c r="FY285">
        <v>46</v>
      </c>
      <c r="GA285" t="s">
        <v>3</v>
      </c>
      <c r="GD285">
        <v>1</v>
      </c>
      <c r="GF285">
        <v>-566361729</v>
      </c>
      <c r="GG285">
        <v>2</v>
      </c>
      <c r="GH285">
        <v>1</v>
      </c>
      <c r="GI285">
        <v>2</v>
      </c>
      <c r="GJ285">
        <v>0</v>
      </c>
      <c r="GK285">
        <v>0</v>
      </c>
      <c r="GL285">
        <f t="shared" si="239"/>
        <v>0</v>
      </c>
      <c r="GM285">
        <f t="shared" si="240"/>
        <v>57.68</v>
      </c>
      <c r="GN285">
        <f t="shared" si="241"/>
        <v>0</v>
      </c>
      <c r="GO285">
        <f t="shared" si="242"/>
        <v>57.68</v>
      </c>
      <c r="GP285">
        <f t="shared" si="243"/>
        <v>0</v>
      </c>
      <c r="GR285">
        <v>0</v>
      </c>
      <c r="GS285">
        <v>3</v>
      </c>
      <c r="GT285">
        <v>0</v>
      </c>
      <c r="GU285" t="s">
        <v>3</v>
      </c>
      <c r="GV285">
        <f t="shared" si="244"/>
        <v>0</v>
      </c>
      <c r="GW285">
        <v>1</v>
      </c>
      <c r="GX285">
        <f t="shared" si="245"/>
        <v>0</v>
      </c>
      <c r="HA285">
        <v>0</v>
      </c>
      <c r="HB285">
        <v>0</v>
      </c>
      <c r="HC285">
        <f t="shared" si="246"/>
        <v>0</v>
      </c>
      <c r="HE285" t="s">
        <v>3</v>
      </c>
      <c r="HF285" t="s">
        <v>3</v>
      </c>
      <c r="HM285" t="s">
        <v>3</v>
      </c>
      <c r="HN285" t="s">
        <v>3</v>
      </c>
      <c r="HO285" t="s">
        <v>3</v>
      </c>
      <c r="HP285" t="s">
        <v>3</v>
      </c>
      <c r="HQ285" t="s">
        <v>3</v>
      </c>
      <c r="HS285">
        <v>0</v>
      </c>
      <c r="IK285">
        <v>0</v>
      </c>
    </row>
    <row r="286" spans="1:255" x14ac:dyDescent="0.2">
      <c r="A286" s="2">
        <v>17</v>
      </c>
      <c r="B286" s="2">
        <v>1</v>
      </c>
      <c r="C286" s="2"/>
      <c r="D286" s="2"/>
      <c r="E286" s="2" t="s">
        <v>293</v>
      </c>
      <c r="F286" s="2" t="s">
        <v>294</v>
      </c>
      <c r="G286" s="2" t="s">
        <v>295</v>
      </c>
      <c r="H286" s="2" t="s">
        <v>31</v>
      </c>
      <c r="I286" s="2">
        <v>2</v>
      </c>
      <c r="J286" s="2">
        <v>0</v>
      </c>
      <c r="K286" s="2">
        <v>2</v>
      </c>
      <c r="L286" s="2"/>
      <c r="M286" s="2"/>
      <c r="N286" s="2"/>
      <c r="O286" s="2">
        <f t="shared" si="217"/>
        <v>1861.3</v>
      </c>
      <c r="P286" s="2">
        <f t="shared" ref="P286:P291" si="252">ROUND((ROUND((AC286*I286),2)*BC286),2)</f>
        <v>1861.3</v>
      </c>
      <c r="Q286" s="2">
        <f t="shared" si="247"/>
        <v>0</v>
      </c>
      <c r="R286" s="2">
        <f t="shared" si="218"/>
        <v>0</v>
      </c>
      <c r="S286" s="2">
        <f t="shared" si="219"/>
        <v>0</v>
      </c>
      <c r="T286" s="2">
        <f t="shared" si="220"/>
        <v>0</v>
      </c>
      <c r="U286" s="2">
        <f t="shared" si="221"/>
        <v>0</v>
      </c>
      <c r="V286" s="2">
        <f t="shared" si="222"/>
        <v>0</v>
      </c>
      <c r="W286" s="2">
        <f t="shared" si="223"/>
        <v>0</v>
      </c>
      <c r="X286" s="2">
        <f t="shared" si="224"/>
        <v>0</v>
      </c>
      <c r="Y286" s="2">
        <f t="shared" si="225"/>
        <v>0</v>
      </c>
      <c r="Z286" s="2"/>
      <c r="AA286" s="2">
        <v>56959434</v>
      </c>
      <c r="AB286" s="2">
        <f t="shared" si="226"/>
        <v>930.65</v>
      </c>
      <c r="AC286" s="2">
        <f t="shared" si="227"/>
        <v>930.65</v>
      </c>
      <c r="AD286" s="2">
        <f t="shared" si="248"/>
        <v>0</v>
      </c>
      <c r="AE286" s="2">
        <f t="shared" si="249"/>
        <v>0</v>
      </c>
      <c r="AF286" s="2">
        <f t="shared" si="249"/>
        <v>0</v>
      </c>
      <c r="AG286" s="2">
        <f t="shared" si="228"/>
        <v>0</v>
      </c>
      <c r="AH286" s="2">
        <f t="shared" si="250"/>
        <v>0</v>
      </c>
      <c r="AI286" s="2">
        <f t="shared" si="250"/>
        <v>0</v>
      </c>
      <c r="AJ286" s="2">
        <f t="shared" si="229"/>
        <v>0</v>
      </c>
      <c r="AK286" s="2">
        <v>930.65</v>
      </c>
      <c r="AL286" s="2">
        <v>930.65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3</v>
      </c>
      <c r="BJ286" s="2" t="s">
        <v>3</v>
      </c>
      <c r="BK286" s="2"/>
      <c r="BL286" s="2"/>
      <c r="BM286" s="2">
        <v>746</v>
      </c>
      <c r="BN286" s="2">
        <v>0</v>
      </c>
      <c r="BO286" s="2" t="s">
        <v>3</v>
      </c>
      <c r="BP286" s="2">
        <v>0</v>
      </c>
      <c r="BQ286" s="2">
        <v>130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0</v>
      </c>
      <c r="CA286" s="2">
        <v>0</v>
      </c>
      <c r="CB286" s="2" t="s">
        <v>3</v>
      </c>
      <c r="CC286" s="2"/>
      <c r="CD286" s="2"/>
      <c r="CE286" s="2">
        <v>30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3</v>
      </c>
      <c r="CO286" s="2">
        <v>0</v>
      </c>
      <c r="CP286" s="2">
        <f t="shared" si="230"/>
        <v>1861.3</v>
      </c>
      <c r="CQ286" s="2">
        <f t="shared" ref="CQ286:CQ291" si="253">ROUND((ROUND((AC286*1),2)*BC286),2)</f>
        <v>930.65</v>
      </c>
      <c r="CR286" s="2">
        <f t="shared" si="251"/>
        <v>0</v>
      </c>
      <c r="CS286" s="2">
        <f t="shared" si="231"/>
        <v>0</v>
      </c>
      <c r="CT286" s="2">
        <f t="shared" si="232"/>
        <v>0</v>
      </c>
      <c r="CU286" s="2">
        <f t="shared" si="233"/>
        <v>0</v>
      </c>
      <c r="CV286" s="2">
        <f t="shared" si="234"/>
        <v>0</v>
      </c>
      <c r="CW286" s="2">
        <f t="shared" si="235"/>
        <v>0</v>
      </c>
      <c r="CX286" s="2">
        <f t="shared" si="236"/>
        <v>0</v>
      </c>
      <c r="CY286" s="2">
        <f t="shared" si="237"/>
        <v>0</v>
      </c>
      <c r="CZ286" s="2">
        <f t="shared" si="238"/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1010</v>
      </c>
      <c r="DV286" s="2" t="s">
        <v>31</v>
      </c>
      <c r="DW286" s="2" t="s">
        <v>31</v>
      </c>
      <c r="DX286" s="2">
        <v>1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55992259</v>
      </c>
      <c r="EF286" s="2">
        <v>130</v>
      </c>
      <c r="EG286" s="2" t="s">
        <v>32</v>
      </c>
      <c r="EH286" s="2">
        <v>0</v>
      </c>
      <c r="EI286" s="2" t="s">
        <v>3</v>
      </c>
      <c r="EJ286" s="2">
        <v>3</v>
      </c>
      <c r="EK286" s="2">
        <v>746</v>
      </c>
      <c r="EL286" s="2" t="s">
        <v>33</v>
      </c>
      <c r="EM286" s="2" t="s">
        <v>34</v>
      </c>
      <c r="EN286" s="2"/>
      <c r="EO286" s="2" t="s">
        <v>3</v>
      </c>
      <c r="EP286" s="2"/>
      <c r="EQ286" s="2">
        <v>0</v>
      </c>
      <c r="ER286" s="2">
        <v>0</v>
      </c>
      <c r="ES286" s="2">
        <v>930.65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f t="shared" ref="FR286:FR291" si="254">P286</f>
        <v>1861.3</v>
      </c>
      <c r="FS286" s="2">
        <v>0</v>
      </c>
      <c r="FT286" s="2"/>
      <c r="FU286" s="2"/>
      <c r="FV286" s="2"/>
      <c r="FW286" s="2"/>
      <c r="FX286" s="2">
        <v>0</v>
      </c>
      <c r="FY286" s="2">
        <v>0</v>
      </c>
      <c r="FZ286" s="2"/>
      <c r="GA286" s="2" t="s">
        <v>296</v>
      </c>
      <c r="GB286" s="2"/>
      <c r="GC286" s="2"/>
      <c r="GD286" s="2">
        <v>1</v>
      </c>
      <c r="GE286" s="2"/>
      <c r="GF286" s="2">
        <v>-466692</v>
      </c>
      <c r="GG286" s="2">
        <v>2</v>
      </c>
      <c r="GH286" s="2">
        <v>4</v>
      </c>
      <c r="GI286" s="2">
        <v>-2</v>
      </c>
      <c r="GJ286" s="2">
        <v>0</v>
      </c>
      <c r="GK286" s="2">
        <v>0</v>
      </c>
      <c r="GL286" s="2">
        <f t="shared" si="239"/>
        <v>0</v>
      </c>
      <c r="GM286" s="2">
        <f t="shared" si="240"/>
        <v>1861.3</v>
      </c>
      <c r="GN286" s="2">
        <f t="shared" si="241"/>
        <v>0</v>
      </c>
      <c r="GO286" s="2">
        <f t="shared" si="242"/>
        <v>0</v>
      </c>
      <c r="GP286" s="2">
        <f t="shared" si="243"/>
        <v>0</v>
      </c>
      <c r="GQ286" s="2"/>
      <c r="GR286" s="2">
        <v>0</v>
      </c>
      <c r="GS286" s="2">
        <v>2</v>
      </c>
      <c r="GT286" s="2">
        <v>0</v>
      </c>
      <c r="GU286" s="2" t="s">
        <v>3</v>
      </c>
      <c r="GV286" s="2">
        <f t="shared" si="244"/>
        <v>0</v>
      </c>
      <c r="GW286" s="2">
        <v>1</v>
      </c>
      <c r="GX286" s="2">
        <f t="shared" si="245"/>
        <v>0</v>
      </c>
      <c r="GY286" s="2"/>
      <c r="GZ286" s="2"/>
      <c r="HA286" s="2">
        <v>0</v>
      </c>
      <c r="HB286" s="2">
        <v>0</v>
      </c>
      <c r="HC286" s="2">
        <f t="shared" si="246"/>
        <v>0</v>
      </c>
      <c r="HD286" s="2"/>
      <c r="HE286" s="2" t="s">
        <v>36</v>
      </c>
      <c r="HF286" s="2" t="s">
        <v>37</v>
      </c>
      <c r="HG286" s="2"/>
      <c r="HH286" s="2"/>
      <c r="HI286" s="2"/>
      <c r="HJ286" s="2"/>
      <c r="HK286" s="2"/>
      <c r="HL286" s="2"/>
      <c r="HM286" s="2" t="s">
        <v>3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">
      <c r="A287">
        <v>17</v>
      </c>
      <c r="B287">
        <v>1</v>
      </c>
      <c r="E287" t="s">
        <v>293</v>
      </c>
      <c r="F287" t="s">
        <v>294</v>
      </c>
      <c r="G287" t="s">
        <v>295</v>
      </c>
      <c r="H287" t="s">
        <v>31</v>
      </c>
      <c r="I287">
        <v>2</v>
      </c>
      <c r="J287">
        <v>0</v>
      </c>
      <c r="K287">
        <v>2</v>
      </c>
      <c r="O287">
        <f t="shared" si="217"/>
        <v>14257.56</v>
      </c>
      <c r="P287">
        <f t="shared" si="252"/>
        <v>14257.56</v>
      </c>
      <c r="Q287">
        <f t="shared" si="247"/>
        <v>0</v>
      </c>
      <c r="R287">
        <f t="shared" si="218"/>
        <v>0</v>
      </c>
      <c r="S287">
        <f t="shared" si="219"/>
        <v>0</v>
      </c>
      <c r="T287">
        <f t="shared" si="220"/>
        <v>0</v>
      </c>
      <c r="U287">
        <f t="shared" si="221"/>
        <v>0</v>
      </c>
      <c r="V287">
        <f t="shared" si="222"/>
        <v>0</v>
      </c>
      <c r="W287">
        <f t="shared" si="223"/>
        <v>0</v>
      </c>
      <c r="X287">
        <f t="shared" si="224"/>
        <v>0</v>
      </c>
      <c r="Y287">
        <f t="shared" si="225"/>
        <v>0</v>
      </c>
      <c r="AA287">
        <v>56959431</v>
      </c>
      <c r="AB287">
        <f t="shared" si="226"/>
        <v>930.65</v>
      </c>
      <c r="AC287">
        <f t="shared" si="227"/>
        <v>930.65</v>
      </c>
      <c r="AD287">
        <f t="shared" si="248"/>
        <v>0</v>
      </c>
      <c r="AE287">
        <f t="shared" si="249"/>
        <v>0</v>
      </c>
      <c r="AF287">
        <f t="shared" si="249"/>
        <v>0</v>
      </c>
      <c r="AG287">
        <f t="shared" si="228"/>
        <v>0</v>
      </c>
      <c r="AH287">
        <f t="shared" si="250"/>
        <v>0</v>
      </c>
      <c r="AI287">
        <f t="shared" si="250"/>
        <v>0</v>
      </c>
      <c r="AJ287">
        <f t="shared" si="229"/>
        <v>0</v>
      </c>
      <c r="AK287">
        <v>930.65</v>
      </c>
      <c r="AL287">
        <v>930.65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1</v>
      </c>
      <c r="AZ287">
        <v>1</v>
      </c>
      <c r="BA287">
        <v>1</v>
      </c>
      <c r="BB287">
        <v>1</v>
      </c>
      <c r="BC287">
        <v>7.66</v>
      </c>
      <c r="BD287" t="s">
        <v>3</v>
      </c>
      <c r="BE287" t="s">
        <v>3</v>
      </c>
      <c r="BF287" t="s">
        <v>3</v>
      </c>
      <c r="BG287" t="s">
        <v>3</v>
      </c>
      <c r="BH287">
        <v>3</v>
      </c>
      <c r="BI287">
        <v>3</v>
      </c>
      <c r="BJ287" t="s">
        <v>3</v>
      </c>
      <c r="BM287">
        <v>746</v>
      </c>
      <c r="BN287">
        <v>0</v>
      </c>
      <c r="BO287" t="s">
        <v>3</v>
      </c>
      <c r="BP287">
        <v>0</v>
      </c>
      <c r="BQ287">
        <v>130</v>
      </c>
      <c r="BR287">
        <v>0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 t="s">
        <v>3</v>
      </c>
      <c r="BZ287">
        <v>0</v>
      </c>
      <c r="CA287">
        <v>0</v>
      </c>
      <c r="CB287" t="s">
        <v>3</v>
      </c>
      <c r="CE287">
        <v>30</v>
      </c>
      <c r="CF287">
        <v>0</v>
      </c>
      <c r="CG287">
        <v>0</v>
      </c>
      <c r="CM287">
        <v>0</v>
      </c>
      <c r="CN287" t="s">
        <v>3</v>
      </c>
      <c r="CO287">
        <v>0</v>
      </c>
      <c r="CP287">
        <f t="shared" si="230"/>
        <v>14257.56</v>
      </c>
      <c r="CQ287">
        <f t="shared" si="253"/>
        <v>7128.78</v>
      </c>
      <c r="CR287">
        <f t="shared" si="251"/>
        <v>0</v>
      </c>
      <c r="CS287">
        <f t="shared" si="231"/>
        <v>0</v>
      </c>
      <c r="CT287">
        <f t="shared" si="232"/>
        <v>0</v>
      </c>
      <c r="CU287">
        <f t="shared" si="233"/>
        <v>0</v>
      </c>
      <c r="CV287">
        <f t="shared" si="234"/>
        <v>0</v>
      </c>
      <c r="CW287">
        <f t="shared" si="235"/>
        <v>0</v>
      </c>
      <c r="CX287">
        <f t="shared" si="236"/>
        <v>0</v>
      </c>
      <c r="CY287">
        <f t="shared" si="237"/>
        <v>0</v>
      </c>
      <c r="CZ287">
        <f t="shared" si="238"/>
        <v>0</v>
      </c>
      <c r="DC287" t="s">
        <v>3</v>
      </c>
      <c r="DD287" t="s">
        <v>3</v>
      </c>
      <c r="DE287" t="s">
        <v>3</v>
      </c>
      <c r="DF287" t="s">
        <v>3</v>
      </c>
      <c r="DG287" t="s">
        <v>3</v>
      </c>
      <c r="DH287" t="s">
        <v>3</v>
      </c>
      <c r="DI287" t="s">
        <v>3</v>
      </c>
      <c r="DJ287" t="s">
        <v>3</v>
      </c>
      <c r="DK287" t="s">
        <v>3</v>
      </c>
      <c r="DL287" t="s">
        <v>3</v>
      </c>
      <c r="DM287" t="s">
        <v>3</v>
      </c>
      <c r="DN287">
        <v>0</v>
      </c>
      <c r="DO287">
        <v>0</v>
      </c>
      <c r="DP287">
        <v>1</v>
      </c>
      <c r="DQ287">
        <v>1</v>
      </c>
      <c r="DU287">
        <v>1010</v>
      </c>
      <c r="DV287" t="s">
        <v>31</v>
      </c>
      <c r="DW287" t="s">
        <v>31</v>
      </c>
      <c r="DX287">
        <v>1</v>
      </c>
      <c r="DZ287" t="s">
        <v>3</v>
      </c>
      <c r="EA287" t="s">
        <v>3</v>
      </c>
      <c r="EB287" t="s">
        <v>3</v>
      </c>
      <c r="EC287" t="s">
        <v>3</v>
      </c>
      <c r="EE287">
        <v>55992259</v>
      </c>
      <c r="EF287">
        <v>130</v>
      </c>
      <c r="EG287" t="s">
        <v>32</v>
      </c>
      <c r="EH287">
        <v>0</v>
      </c>
      <c r="EI287" t="s">
        <v>3</v>
      </c>
      <c r="EJ287">
        <v>3</v>
      </c>
      <c r="EK287">
        <v>746</v>
      </c>
      <c r="EL287" t="s">
        <v>33</v>
      </c>
      <c r="EM287" t="s">
        <v>34</v>
      </c>
      <c r="EO287" t="s">
        <v>3</v>
      </c>
      <c r="EQ287">
        <v>0</v>
      </c>
      <c r="ER287">
        <v>930.65</v>
      </c>
      <c r="ES287">
        <v>930.65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5</v>
      </c>
      <c r="FC287">
        <v>1</v>
      </c>
      <c r="FD287">
        <v>18</v>
      </c>
      <c r="FF287">
        <v>8206.86</v>
      </c>
      <c r="FQ287">
        <v>0</v>
      </c>
      <c r="FR287">
        <f t="shared" si="254"/>
        <v>14257.56</v>
      </c>
      <c r="FS287">
        <v>0</v>
      </c>
      <c r="FX287">
        <v>0</v>
      </c>
      <c r="FY287">
        <v>0</v>
      </c>
      <c r="GA287" t="s">
        <v>296</v>
      </c>
      <c r="GD287">
        <v>1</v>
      </c>
      <c r="GF287">
        <v>-466692</v>
      </c>
      <c r="GG287">
        <v>2</v>
      </c>
      <c r="GH287">
        <v>3</v>
      </c>
      <c r="GI287">
        <v>5</v>
      </c>
      <c r="GJ287">
        <v>0</v>
      </c>
      <c r="GK287">
        <v>0</v>
      </c>
      <c r="GL287">
        <f t="shared" si="239"/>
        <v>0</v>
      </c>
      <c r="GM287">
        <f t="shared" si="240"/>
        <v>14257.56</v>
      </c>
      <c r="GN287">
        <f t="shared" si="241"/>
        <v>0</v>
      </c>
      <c r="GO287">
        <f t="shared" si="242"/>
        <v>0</v>
      </c>
      <c r="GP287">
        <f t="shared" si="243"/>
        <v>0</v>
      </c>
      <c r="GR287">
        <v>1</v>
      </c>
      <c r="GS287">
        <v>1</v>
      </c>
      <c r="GT287">
        <v>0</v>
      </c>
      <c r="GU287" t="s">
        <v>3</v>
      </c>
      <c r="GV287">
        <f t="shared" si="244"/>
        <v>0</v>
      </c>
      <c r="GW287">
        <v>1</v>
      </c>
      <c r="GX287">
        <f t="shared" si="245"/>
        <v>0</v>
      </c>
      <c r="HA287">
        <v>0</v>
      </c>
      <c r="HB287">
        <v>0</v>
      </c>
      <c r="HC287">
        <f t="shared" si="246"/>
        <v>0</v>
      </c>
      <c r="HE287" t="s">
        <v>36</v>
      </c>
      <c r="HF287" t="s">
        <v>37</v>
      </c>
      <c r="HM287" t="s">
        <v>3</v>
      </c>
      <c r="HN287" t="s">
        <v>3</v>
      </c>
      <c r="HO287" t="s">
        <v>3</v>
      </c>
      <c r="HP287" t="s">
        <v>3</v>
      </c>
      <c r="HQ287" t="s">
        <v>3</v>
      </c>
      <c r="HS287">
        <v>0</v>
      </c>
      <c r="IK287">
        <v>0</v>
      </c>
    </row>
    <row r="288" spans="1:255" x14ac:dyDescent="0.2">
      <c r="A288" s="2">
        <v>17</v>
      </c>
      <c r="B288" s="2">
        <v>1</v>
      </c>
      <c r="C288" s="2"/>
      <c r="D288" s="2"/>
      <c r="E288" s="2" t="s">
        <v>297</v>
      </c>
      <c r="F288" s="2" t="s">
        <v>298</v>
      </c>
      <c r="G288" s="2" t="s">
        <v>299</v>
      </c>
      <c r="H288" s="2" t="s">
        <v>31</v>
      </c>
      <c r="I288" s="2">
        <v>6</v>
      </c>
      <c r="J288" s="2">
        <v>0</v>
      </c>
      <c r="K288" s="2">
        <v>6</v>
      </c>
      <c r="L288" s="2"/>
      <c r="M288" s="2"/>
      <c r="N288" s="2"/>
      <c r="O288" s="2">
        <f t="shared" si="217"/>
        <v>6134.4</v>
      </c>
      <c r="P288" s="2">
        <f t="shared" si="252"/>
        <v>6134.4</v>
      </c>
      <c r="Q288" s="2">
        <f t="shared" si="247"/>
        <v>0</v>
      </c>
      <c r="R288" s="2">
        <f t="shared" si="218"/>
        <v>0</v>
      </c>
      <c r="S288" s="2">
        <f t="shared" si="219"/>
        <v>0</v>
      </c>
      <c r="T288" s="2">
        <f t="shared" si="220"/>
        <v>0</v>
      </c>
      <c r="U288" s="2">
        <f t="shared" si="221"/>
        <v>0</v>
      </c>
      <c r="V288" s="2">
        <f t="shared" si="222"/>
        <v>0</v>
      </c>
      <c r="W288" s="2">
        <f t="shared" si="223"/>
        <v>0</v>
      </c>
      <c r="X288" s="2">
        <f t="shared" si="224"/>
        <v>0</v>
      </c>
      <c r="Y288" s="2">
        <f t="shared" si="225"/>
        <v>0</v>
      </c>
      <c r="Z288" s="2"/>
      <c r="AA288" s="2">
        <v>56959434</v>
      </c>
      <c r="AB288" s="2">
        <f t="shared" si="226"/>
        <v>1022.4</v>
      </c>
      <c r="AC288" s="2">
        <f t="shared" si="227"/>
        <v>1022.4</v>
      </c>
      <c r="AD288" s="2">
        <f t="shared" si="248"/>
        <v>0</v>
      </c>
      <c r="AE288" s="2">
        <f t="shared" si="249"/>
        <v>0</v>
      </c>
      <c r="AF288" s="2">
        <f t="shared" si="249"/>
        <v>0</v>
      </c>
      <c r="AG288" s="2">
        <f t="shared" si="228"/>
        <v>0</v>
      </c>
      <c r="AH288" s="2">
        <f t="shared" si="250"/>
        <v>0</v>
      </c>
      <c r="AI288" s="2">
        <f t="shared" si="250"/>
        <v>0</v>
      </c>
      <c r="AJ288" s="2">
        <f t="shared" si="229"/>
        <v>0</v>
      </c>
      <c r="AK288" s="2">
        <v>1022.4</v>
      </c>
      <c r="AL288" s="2">
        <v>1022.4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1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3</v>
      </c>
      <c r="BI288" s="2">
        <v>3</v>
      </c>
      <c r="BJ288" s="2" t="s">
        <v>3</v>
      </c>
      <c r="BK288" s="2"/>
      <c r="BL288" s="2"/>
      <c r="BM288" s="2">
        <v>746</v>
      </c>
      <c r="BN288" s="2">
        <v>0</v>
      </c>
      <c r="BO288" s="2" t="s">
        <v>3</v>
      </c>
      <c r="BP288" s="2">
        <v>0</v>
      </c>
      <c r="BQ288" s="2">
        <v>130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0</v>
      </c>
      <c r="CA288" s="2">
        <v>0</v>
      </c>
      <c r="CB288" s="2" t="s">
        <v>3</v>
      </c>
      <c r="CC288" s="2"/>
      <c r="CD288" s="2"/>
      <c r="CE288" s="2">
        <v>30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3</v>
      </c>
      <c r="CO288" s="2">
        <v>0</v>
      </c>
      <c r="CP288" s="2">
        <f t="shared" si="230"/>
        <v>6134.4</v>
      </c>
      <c r="CQ288" s="2">
        <f t="shared" si="253"/>
        <v>1022.4</v>
      </c>
      <c r="CR288" s="2">
        <f t="shared" si="251"/>
        <v>0</v>
      </c>
      <c r="CS288" s="2">
        <f t="shared" si="231"/>
        <v>0</v>
      </c>
      <c r="CT288" s="2">
        <f t="shared" si="232"/>
        <v>0</v>
      </c>
      <c r="CU288" s="2">
        <f t="shared" si="233"/>
        <v>0</v>
      </c>
      <c r="CV288" s="2">
        <f t="shared" si="234"/>
        <v>0</v>
      </c>
      <c r="CW288" s="2">
        <f t="shared" si="235"/>
        <v>0</v>
      </c>
      <c r="CX288" s="2">
        <f t="shared" si="236"/>
        <v>0</v>
      </c>
      <c r="CY288" s="2">
        <f t="shared" si="237"/>
        <v>0</v>
      </c>
      <c r="CZ288" s="2">
        <f t="shared" si="238"/>
        <v>0</v>
      </c>
      <c r="DA288" s="2"/>
      <c r="DB288" s="2"/>
      <c r="DC288" s="2" t="s">
        <v>3</v>
      </c>
      <c r="DD288" s="2" t="s">
        <v>3</v>
      </c>
      <c r="DE288" s="2" t="s">
        <v>3</v>
      </c>
      <c r="DF288" s="2" t="s">
        <v>3</v>
      </c>
      <c r="DG288" s="2" t="s">
        <v>3</v>
      </c>
      <c r="DH288" s="2" t="s">
        <v>3</v>
      </c>
      <c r="DI288" s="2" t="s">
        <v>3</v>
      </c>
      <c r="DJ288" s="2" t="s">
        <v>3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1010</v>
      </c>
      <c r="DV288" s="2" t="s">
        <v>31</v>
      </c>
      <c r="DW288" s="2" t="s">
        <v>31</v>
      </c>
      <c r="DX288" s="2">
        <v>1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55992259</v>
      </c>
      <c r="EF288" s="2">
        <v>130</v>
      </c>
      <c r="EG288" s="2" t="s">
        <v>32</v>
      </c>
      <c r="EH288" s="2">
        <v>0</v>
      </c>
      <c r="EI288" s="2" t="s">
        <v>3</v>
      </c>
      <c r="EJ288" s="2">
        <v>3</v>
      </c>
      <c r="EK288" s="2">
        <v>746</v>
      </c>
      <c r="EL288" s="2" t="s">
        <v>33</v>
      </c>
      <c r="EM288" s="2" t="s">
        <v>34</v>
      </c>
      <c r="EN288" s="2"/>
      <c r="EO288" s="2" t="s">
        <v>3</v>
      </c>
      <c r="EP288" s="2"/>
      <c r="EQ288" s="2">
        <v>0</v>
      </c>
      <c r="ER288" s="2">
        <v>0</v>
      </c>
      <c r="ES288" s="2">
        <v>1022.4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f t="shared" si="254"/>
        <v>6134.4</v>
      </c>
      <c r="FS288" s="2">
        <v>0</v>
      </c>
      <c r="FT288" s="2"/>
      <c r="FU288" s="2"/>
      <c r="FV288" s="2"/>
      <c r="FW288" s="2"/>
      <c r="FX288" s="2">
        <v>0</v>
      </c>
      <c r="FY288" s="2">
        <v>0</v>
      </c>
      <c r="FZ288" s="2"/>
      <c r="GA288" s="2" t="s">
        <v>300</v>
      </c>
      <c r="GB288" s="2"/>
      <c r="GC288" s="2"/>
      <c r="GD288" s="2">
        <v>1</v>
      </c>
      <c r="GE288" s="2"/>
      <c r="GF288" s="2">
        <v>299998058</v>
      </c>
      <c r="GG288" s="2">
        <v>2</v>
      </c>
      <c r="GH288" s="2">
        <v>4</v>
      </c>
      <c r="GI288" s="2">
        <v>-2</v>
      </c>
      <c r="GJ288" s="2">
        <v>0</v>
      </c>
      <c r="GK288" s="2">
        <v>0</v>
      </c>
      <c r="GL288" s="2">
        <f t="shared" si="239"/>
        <v>0</v>
      </c>
      <c r="GM288" s="2">
        <f t="shared" si="240"/>
        <v>6134.4</v>
      </c>
      <c r="GN288" s="2">
        <f t="shared" si="241"/>
        <v>0</v>
      </c>
      <c r="GO288" s="2">
        <f t="shared" si="242"/>
        <v>0</v>
      </c>
      <c r="GP288" s="2">
        <f t="shared" si="243"/>
        <v>0</v>
      </c>
      <c r="GQ288" s="2"/>
      <c r="GR288" s="2">
        <v>0</v>
      </c>
      <c r="GS288" s="2">
        <v>2</v>
      </c>
      <c r="GT288" s="2">
        <v>0</v>
      </c>
      <c r="GU288" s="2" t="s">
        <v>3</v>
      </c>
      <c r="GV288" s="2">
        <f t="shared" si="244"/>
        <v>0</v>
      </c>
      <c r="GW288" s="2">
        <v>1</v>
      </c>
      <c r="GX288" s="2">
        <f t="shared" si="245"/>
        <v>0</v>
      </c>
      <c r="GY288" s="2"/>
      <c r="GZ288" s="2"/>
      <c r="HA288" s="2">
        <v>0</v>
      </c>
      <c r="HB288" s="2">
        <v>0</v>
      </c>
      <c r="HC288" s="2">
        <f t="shared" si="246"/>
        <v>0</v>
      </c>
      <c r="HD288" s="2"/>
      <c r="HE288" s="2" t="s">
        <v>36</v>
      </c>
      <c r="HF288" s="2" t="s">
        <v>37</v>
      </c>
      <c r="HG288" s="2"/>
      <c r="HH288" s="2"/>
      <c r="HI288" s="2"/>
      <c r="HJ288" s="2"/>
      <c r="HK288" s="2"/>
      <c r="HL288" s="2"/>
      <c r="HM288" s="2" t="s">
        <v>3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">
      <c r="A289">
        <v>17</v>
      </c>
      <c r="B289">
        <v>1</v>
      </c>
      <c r="E289" t="s">
        <v>297</v>
      </c>
      <c r="F289" t="s">
        <v>298</v>
      </c>
      <c r="G289" t="s">
        <v>299</v>
      </c>
      <c r="H289" t="s">
        <v>31</v>
      </c>
      <c r="I289">
        <v>6</v>
      </c>
      <c r="J289">
        <v>0</v>
      </c>
      <c r="K289">
        <v>6</v>
      </c>
      <c r="O289">
        <f t="shared" si="217"/>
        <v>46989.5</v>
      </c>
      <c r="P289">
        <f t="shared" si="252"/>
        <v>46989.5</v>
      </c>
      <c r="Q289">
        <f t="shared" si="247"/>
        <v>0</v>
      </c>
      <c r="R289">
        <f t="shared" si="218"/>
        <v>0</v>
      </c>
      <c r="S289">
        <f t="shared" si="219"/>
        <v>0</v>
      </c>
      <c r="T289">
        <f t="shared" si="220"/>
        <v>0</v>
      </c>
      <c r="U289">
        <f t="shared" si="221"/>
        <v>0</v>
      </c>
      <c r="V289">
        <f t="shared" si="222"/>
        <v>0</v>
      </c>
      <c r="W289">
        <f t="shared" si="223"/>
        <v>0</v>
      </c>
      <c r="X289">
        <f t="shared" si="224"/>
        <v>0</v>
      </c>
      <c r="Y289">
        <f t="shared" si="225"/>
        <v>0</v>
      </c>
      <c r="AA289">
        <v>56959431</v>
      </c>
      <c r="AB289">
        <f t="shared" si="226"/>
        <v>1022.4</v>
      </c>
      <c r="AC289">
        <f t="shared" si="227"/>
        <v>1022.4</v>
      </c>
      <c r="AD289">
        <f t="shared" si="248"/>
        <v>0</v>
      </c>
      <c r="AE289">
        <f t="shared" si="249"/>
        <v>0</v>
      </c>
      <c r="AF289">
        <f t="shared" si="249"/>
        <v>0</v>
      </c>
      <c r="AG289">
        <f t="shared" si="228"/>
        <v>0</v>
      </c>
      <c r="AH289">
        <f t="shared" si="250"/>
        <v>0</v>
      </c>
      <c r="AI289">
        <f t="shared" si="250"/>
        <v>0</v>
      </c>
      <c r="AJ289">
        <f t="shared" si="229"/>
        <v>0</v>
      </c>
      <c r="AK289">
        <v>1022.4</v>
      </c>
      <c r="AL289">
        <v>1022.4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1</v>
      </c>
      <c r="AZ289">
        <v>1</v>
      </c>
      <c r="BA289">
        <v>1</v>
      </c>
      <c r="BB289">
        <v>1</v>
      </c>
      <c r="BC289">
        <v>7.66</v>
      </c>
      <c r="BD289" t="s">
        <v>3</v>
      </c>
      <c r="BE289" t="s">
        <v>3</v>
      </c>
      <c r="BF289" t="s">
        <v>3</v>
      </c>
      <c r="BG289" t="s">
        <v>3</v>
      </c>
      <c r="BH289">
        <v>3</v>
      </c>
      <c r="BI289">
        <v>3</v>
      </c>
      <c r="BJ289" t="s">
        <v>3</v>
      </c>
      <c r="BM289">
        <v>746</v>
      </c>
      <c r="BN289">
        <v>0</v>
      </c>
      <c r="BO289" t="s">
        <v>3</v>
      </c>
      <c r="BP289">
        <v>0</v>
      </c>
      <c r="BQ289">
        <v>130</v>
      </c>
      <c r="BR289">
        <v>0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 t="s">
        <v>3</v>
      </c>
      <c r="BZ289">
        <v>0</v>
      </c>
      <c r="CA289">
        <v>0</v>
      </c>
      <c r="CB289" t="s">
        <v>3</v>
      </c>
      <c r="CE289">
        <v>30</v>
      </c>
      <c r="CF289">
        <v>0</v>
      </c>
      <c r="CG289">
        <v>0</v>
      </c>
      <c r="CM289">
        <v>0</v>
      </c>
      <c r="CN289" t="s">
        <v>3</v>
      </c>
      <c r="CO289">
        <v>0</v>
      </c>
      <c r="CP289">
        <f t="shared" si="230"/>
        <v>46989.5</v>
      </c>
      <c r="CQ289">
        <f t="shared" si="253"/>
        <v>7831.58</v>
      </c>
      <c r="CR289">
        <f t="shared" si="251"/>
        <v>0</v>
      </c>
      <c r="CS289">
        <f t="shared" si="231"/>
        <v>0</v>
      </c>
      <c r="CT289">
        <f t="shared" si="232"/>
        <v>0</v>
      </c>
      <c r="CU289">
        <f t="shared" si="233"/>
        <v>0</v>
      </c>
      <c r="CV289">
        <f t="shared" si="234"/>
        <v>0</v>
      </c>
      <c r="CW289">
        <f t="shared" si="235"/>
        <v>0</v>
      </c>
      <c r="CX289">
        <f t="shared" si="236"/>
        <v>0</v>
      </c>
      <c r="CY289">
        <f t="shared" si="237"/>
        <v>0</v>
      </c>
      <c r="CZ289">
        <f t="shared" si="238"/>
        <v>0</v>
      </c>
      <c r="DC289" t="s">
        <v>3</v>
      </c>
      <c r="DD289" t="s">
        <v>3</v>
      </c>
      <c r="DE289" t="s">
        <v>3</v>
      </c>
      <c r="DF289" t="s">
        <v>3</v>
      </c>
      <c r="DG289" t="s">
        <v>3</v>
      </c>
      <c r="DH289" t="s">
        <v>3</v>
      </c>
      <c r="DI289" t="s">
        <v>3</v>
      </c>
      <c r="DJ289" t="s">
        <v>3</v>
      </c>
      <c r="DK289" t="s">
        <v>3</v>
      </c>
      <c r="DL289" t="s">
        <v>3</v>
      </c>
      <c r="DM289" t="s">
        <v>3</v>
      </c>
      <c r="DN289">
        <v>0</v>
      </c>
      <c r="DO289">
        <v>0</v>
      </c>
      <c r="DP289">
        <v>1</v>
      </c>
      <c r="DQ289">
        <v>1</v>
      </c>
      <c r="DU289">
        <v>1010</v>
      </c>
      <c r="DV289" t="s">
        <v>31</v>
      </c>
      <c r="DW289" t="s">
        <v>31</v>
      </c>
      <c r="DX289">
        <v>1</v>
      </c>
      <c r="DZ289" t="s">
        <v>3</v>
      </c>
      <c r="EA289" t="s">
        <v>3</v>
      </c>
      <c r="EB289" t="s">
        <v>3</v>
      </c>
      <c r="EC289" t="s">
        <v>3</v>
      </c>
      <c r="EE289">
        <v>55992259</v>
      </c>
      <c r="EF289">
        <v>130</v>
      </c>
      <c r="EG289" t="s">
        <v>32</v>
      </c>
      <c r="EH289">
        <v>0</v>
      </c>
      <c r="EI289" t="s">
        <v>3</v>
      </c>
      <c r="EJ289">
        <v>3</v>
      </c>
      <c r="EK289">
        <v>746</v>
      </c>
      <c r="EL289" t="s">
        <v>33</v>
      </c>
      <c r="EM289" t="s">
        <v>34</v>
      </c>
      <c r="EO289" t="s">
        <v>3</v>
      </c>
      <c r="EQ289">
        <v>0</v>
      </c>
      <c r="ER289">
        <v>1022.4</v>
      </c>
      <c r="ES289">
        <v>1022.4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5</v>
      </c>
      <c r="FC289">
        <v>1</v>
      </c>
      <c r="FD289">
        <v>18</v>
      </c>
      <c r="FF289">
        <v>9016</v>
      </c>
      <c r="FQ289">
        <v>0</v>
      </c>
      <c r="FR289">
        <f t="shared" si="254"/>
        <v>46989.5</v>
      </c>
      <c r="FS289">
        <v>0</v>
      </c>
      <c r="FX289">
        <v>0</v>
      </c>
      <c r="FY289">
        <v>0</v>
      </c>
      <c r="GA289" t="s">
        <v>300</v>
      </c>
      <c r="GD289">
        <v>1</v>
      </c>
      <c r="GF289">
        <v>299998058</v>
      </c>
      <c r="GG289">
        <v>2</v>
      </c>
      <c r="GH289">
        <v>3</v>
      </c>
      <c r="GI289">
        <v>5</v>
      </c>
      <c r="GJ289">
        <v>0</v>
      </c>
      <c r="GK289">
        <v>0</v>
      </c>
      <c r="GL289">
        <f t="shared" si="239"/>
        <v>0</v>
      </c>
      <c r="GM289">
        <f t="shared" si="240"/>
        <v>46989.5</v>
      </c>
      <c r="GN289">
        <f t="shared" si="241"/>
        <v>0</v>
      </c>
      <c r="GO289">
        <f t="shared" si="242"/>
        <v>0</v>
      </c>
      <c r="GP289">
        <f t="shared" si="243"/>
        <v>0</v>
      </c>
      <c r="GR289">
        <v>1</v>
      </c>
      <c r="GS289">
        <v>1</v>
      </c>
      <c r="GT289">
        <v>0</v>
      </c>
      <c r="GU289" t="s">
        <v>3</v>
      </c>
      <c r="GV289">
        <f t="shared" si="244"/>
        <v>0</v>
      </c>
      <c r="GW289">
        <v>1</v>
      </c>
      <c r="GX289">
        <f t="shared" si="245"/>
        <v>0</v>
      </c>
      <c r="HA289">
        <v>0</v>
      </c>
      <c r="HB289">
        <v>0</v>
      </c>
      <c r="HC289">
        <f t="shared" si="246"/>
        <v>0</v>
      </c>
      <c r="HE289" t="s">
        <v>36</v>
      </c>
      <c r="HF289" t="s">
        <v>37</v>
      </c>
      <c r="HM289" t="s">
        <v>3</v>
      </c>
      <c r="HN289" t="s">
        <v>3</v>
      </c>
      <c r="HO289" t="s">
        <v>3</v>
      </c>
      <c r="HP289" t="s">
        <v>3</v>
      </c>
      <c r="HQ289" t="s">
        <v>3</v>
      </c>
      <c r="HS289">
        <v>0</v>
      </c>
      <c r="IK289">
        <v>0</v>
      </c>
    </row>
    <row r="290" spans="1:255" x14ac:dyDescent="0.2">
      <c r="A290" s="2">
        <v>17</v>
      </c>
      <c r="B290" s="2">
        <v>1</v>
      </c>
      <c r="C290" s="2"/>
      <c r="D290" s="2"/>
      <c r="E290" s="2" t="s">
        <v>301</v>
      </c>
      <c r="F290" s="2" t="s">
        <v>302</v>
      </c>
      <c r="G290" s="2" t="s">
        <v>303</v>
      </c>
      <c r="H290" s="2" t="s">
        <v>31</v>
      </c>
      <c r="I290" s="2">
        <v>5</v>
      </c>
      <c r="J290" s="2">
        <v>0</v>
      </c>
      <c r="K290" s="2">
        <v>5</v>
      </c>
      <c r="L290" s="2"/>
      <c r="M290" s="2"/>
      <c r="N290" s="2"/>
      <c r="O290" s="2">
        <f t="shared" si="217"/>
        <v>5832.65</v>
      </c>
      <c r="P290" s="2">
        <f t="shared" si="252"/>
        <v>5832.65</v>
      </c>
      <c r="Q290" s="2">
        <f t="shared" si="247"/>
        <v>0</v>
      </c>
      <c r="R290" s="2">
        <f t="shared" si="218"/>
        <v>0</v>
      </c>
      <c r="S290" s="2">
        <f t="shared" si="219"/>
        <v>0</v>
      </c>
      <c r="T290" s="2">
        <f t="shared" si="220"/>
        <v>0</v>
      </c>
      <c r="U290" s="2">
        <f t="shared" si="221"/>
        <v>0</v>
      </c>
      <c r="V290" s="2">
        <f t="shared" si="222"/>
        <v>0</v>
      </c>
      <c r="W290" s="2">
        <f t="shared" si="223"/>
        <v>0</v>
      </c>
      <c r="X290" s="2">
        <f t="shared" si="224"/>
        <v>0</v>
      </c>
      <c r="Y290" s="2">
        <f t="shared" si="225"/>
        <v>0</v>
      </c>
      <c r="Z290" s="2"/>
      <c r="AA290" s="2">
        <v>56959434</v>
      </c>
      <c r="AB290" s="2">
        <f t="shared" si="226"/>
        <v>1166.53</v>
      </c>
      <c r="AC290" s="2">
        <f t="shared" si="227"/>
        <v>1166.53</v>
      </c>
      <c r="AD290" s="2">
        <f t="shared" si="248"/>
        <v>0</v>
      </c>
      <c r="AE290" s="2">
        <f t="shared" si="249"/>
        <v>0</v>
      </c>
      <c r="AF290" s="2">
        <f t="shared" si="249"/>
        <v>0</v>
      </c>
      <c r="AG290" s="2">
        <f t="shared" si="228"/>
        <v>0</v>
      </c>
      <c r="AH290" s="2">
        <f t="shared" si="250"/>
        <v>0</v>
      </c>
      <c r="AI290" s="2">
        <f t="shared" si="250"/>
        <v>0</v>
      </c>
      <c r="AJ290" s="2">
        <f t="shared" si="229"/>
        <v>0</v>
      </c>
      <c r="AK290" s="2">
        <v>1166.53</v>
      </c>
      <c r="AL290" s="2">
        <v>1166.53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1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3</v>
      </c>
      <c r="BI290" s="2">
        <v>3</v>
      </c>
      <c r="BJ290" s="2" t="s">
        <v>3</v>
      </c>
      <c r="BK290" s="2"/>
      <c r="BL290" s="2"/>
      <c r="BM290" s="2">
        <v>746</v>
      </c>
      <c r="BN290" s="2">
        <v>0</v>
      </c>
      <c r="BO290" s="2" t="s">
        <v>3</v>
      </c>
      <c r="BP290" s="2">
        <v>0</v>
      </c>
      <c r="BQ290" s="2">
        <v>130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0</v>
      </c>
      <c r="CA290" s="2">
        <v>0</v>
      </c>
      <c r="CB290" s="2" t="s">
        <v>3</v>
      </c>
      <c r="CC290" s="2"/>
      <c r="CD290" s="2"/>
      <c r="CE290" s="2">
        <v>30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3</v>
      </c>
      <c r="CO290" s="2">
        <v>0</v>
      </c>
      <c r="CP290" s="2">
        <f t="shared" si="230"/>
        <v>5832.65</v>
      </c>
      <c r="CQ290" s="2">
        <f t="shared" si="253"/>
        <v>1166.53</v>
      </c>
      <c r="CR290" s="2">
        <f t="shared" si="251"/>
        <v>0</v>
      </c>
      <c r="CS290" s="2">
        <f t="shared" si="231"/>
        <v>0</v>
      </c>
      <c r="CT290" s="2">
        <f t="shared" si="232"/>
        <v>0</v>
      </c>
      <c r="CU290" s="2">
        <f t="shared" si="233"/>
        <v>0</v>
      </c>
      <c r="CV290" s="2">
        <f t="shared" si="234"/>
        <v>0</v>
      </c>
      <c r="CW290" s="2">
        <f t="shared" si="235"/>
        <v>0</v>
      </c>
      <c r="CX290" s="2">
        <f t="shared" si="236"/>
        <v>0</v>
      </c>
      <c r="CY290" s="2">
        <f t="shared" si="237"/>
        <v>0</v>
      </c>
      <c r="CZ290" s="2">
        <f t="shared" si="238"/>
        <v>0</v>
      </c>
      <c r="DA290" s="2"/>
      <c r="DB290" s="2"/>
      <c r="DC290" s="2" t="s">
        <v>3</v>
      </c>
      <c r="DD290" s="2" t="s">
        <v>3</v>
      </c>
      <c r="DE290" s="2" t="s">
        <v>3</v>
      </c>
      <c r="DF290" s="2" t="s">
        <v>3</v>
      </c>
      <c r="DG290" s="2" t="s">
        <v>3</v>
      </c>
      <c r="DH290" s="2" t="s">
        <v>3</v>
      </c>
      <c r="DI290" s="2" t="s">
        <v>3</v>
      </c>
      <c r="DJ290" s="2" t="s">
        <v>3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1010</v>
      </c>
      <c r="DV290" s="2" t="s">
        <v>31</v>
      </c>
      <c r="DW290" s="2" t="s">
        <v>31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55992259</v>
      </c>
      <c r="EF290" s="2">
        <v>130</v>
      </c>
      <c r="EG290" s="2" t="s">
        <v>32</v>
      </c>
      <c r="EH290" s="2">
        <v>0</v>
      </c>
      <c r="EI290" s="2" t="s">
        <v>3</v>
      </c>
      <c r="EJ290" s="2">
        <v>3</v>
      </c>
      <c r="EK290" s="2">
        <v>746</v>
      </c>
      <c r="EL290" s="2" t="s">
        <v>33</v>
      </c>
      <c r="EM290" s="2" t="s">
        <v>34</v>
      </c>
      <c r="EN290" s="2"/>
      <c r="EO290" s="2" t="s">
        <v>3</v>
      </c>
      <c r="EP290" s="2"/>
      <c r="EQ290" s="2">
        <v>0</v>
      </c>
      <c r="ER290" s="2">
        <v>0</v>
      </c>
      <c r="ES290" s="2">
        <v>1166.53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f t="shared" si="254"/>
        <v>5832.65</v>
      </c>
      <c r="FS290" s="2">
        <v>0</v>
      </c>
      <c r="FT290" s="2"/>
      <c r="FU290" s="2"/>
      <c r="FV290" s="2"/>
      <c r="FW290" s="2"/>
      <c r="FX290" s="2">
        <v>0</v>
      </c>
      <c r="FY290" s="2">
        <v>0</v>
      </c>
      <c r="FZ290" s="2"/>
      <c r="GA290" s="2" t="s">
        <v>304</v>
      </c>
      <c r="GB290" s="2"/>
      <c r="GC290" s="2"/>
      <c r="GD290" s="2">
        <v>1</v>
      </c>
      <c r="GE290" s="2"/>
      <c r="GF290" s="2">
        <v>1780019231</v>
      </c>
      <c r="GG290" s="2">
        <v>2</v>
      </c>
      <c r="GH290" s="2">
        <v>4</v>
      </c>
      <c r="GI290" s="2">
        <v>-2</v>
      </c>
      <c r="GJ290" s="2">
        <v>0</v>
      </c>
      <c r="GK290" s="2">
        <v>0</v>
      </c>
      <c r="GL290" s="2">
        <f t="shared" si="239"/>
        <v>0</v>
      </c>
      <c r="GM290" s="2">
        <f t="shared" si="240"/>
        <v>5832.65</v>
      </c>
      <c r="GN290" s="2">
        <f t="shared" si="241"/>
        <v>0</v>
      </c>
      <c r="GO290" s="2">
        <f t="shared" si="242"/>
        <v>0</v>
      </c>
      <c r="GP290" s="2">
        <f t="shared" si="243"/>
        <v>0</v>
      </c>
      <c r="GQ290" s="2"/>
      <c r="GR290" s="2">
        <v>0</v>
      </c>
      <c r="GS290" s="2">
        <v>2</v>
      </c>
      <c r="GT290" s="2">
        <v>0</v>
      </c>
      <c r="GU290" s="2" t="s">
        <v>3</v>
      </c>
      <c r="GV290" s="2">
        <f t="shared" si="244"/>
        <v>0</v>
      </c>
      <c r="GW290" s="2">
        <v>1</v>
      </c>
      <c r="GX290" s="2">
        <f t="shared" si="245"/>
        <v>0</v>
      </c>
      <c r="GY290" s="2"/>
      <c r="GZ290" s="2"/>
      <c r="HA290" s="2">
        <v>0</v>
      </c>
      <c r="HB290" s="2">
        <v>0</v>
      </c>
      <c r="HC290" s="2">
        <f t="shared" si="246"/>
        <v>0</v>
      </c>
      <c r="HD290" s="2"/>
      <c r="HE290" s="2" t="s">
        <v>36</v>
      </c>
      <c r="HF290" s="2" t="s">
        <v>37</v>
      </c>
      <c r="HG290" s="2"/>
      <c r="HH290" s="2"/>
      <c r="HI290" s="2"/>
      <c r="HJ290" s="2"/>
      <c r="HK290" s="2"/>
      <c r="HL290" s="2"/>
      <c r="HM290" s="2" t="s">
        <v>3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">
      <c r="A291">
        <v>17</v>
      </c>
      <c r="B291">
        <v>1</v>
      </c>
      <c r="E291" t="s">
        <v>301</v>
      </c>
      <c r="F291" t="s">
        <v>302</v>
      </c>
      <c r="G291" t="s">
        <v>303</v>
      </c>
      <c r="H291" t="s">
        <v>31</v>
      </c>
      <c r="I291">
        <v>5</v>
      </c>
      <c r="J291">
        <v>0</v>
      </c>
      <c r="K291">
        <v>5</v>
      </c>
      <c r="O291">
        <f t="shared" si="217"/>
        <v>44678.1</v>
      </c>
      <c r="P291">
        <f t="shared" si="252"/>
        <v>44678.1</v>
      </c>
      <c r="Q291">
        <f t="shared" si="247"/>
        <v>0</v>
      </c>
      <c r="R291">
        <f t="shared" si="218"/>
        <v>0</v>
      </c>
      <c r="S291">
        <f t="shared" si="219"/>
        <v>0</v>
      </c>
      <c r="T291">
        <f t="shared" si="220"/>
        <v>0</v>
      </c>
      <c r="U291">
        <f t="shared" si="221"/>
        <v>0</v>
      </c>
      <c r="V291">
        <f t="shared" si="222"/>
        <v>0</v>
      </c>
      <c r="W291">
        <f t="shared" si="223"/>
        <v>0</v>
      </c>
      <c r="X291">
        <f t="shared" si="224"/>
        <v>0</v>
      </c>
      <c r="Y291">
        <f t="shared" si="225"/>
        <v>0</v>
      </c>
      <c r="AA291">
        <v>56959431</v>
      </c>
      <c r="AB291">
        <f t="shared" si="226"/>
        <v>1166.53</v>
      </c>
      <c r="AC291">
        <f t="shared" si="227"/>
        <v>1166.53</v>
      </c>
      <c r="AD291">
        <f t="shared" si="248"/>
        <v>0</v>
      </c>
      <c r="AE291">
        <f t="shared" si="249"/>
        <v>0</v>
      </c>
      <c r="AF291">
        <f t="shared" si="249"/>
        <v>0</v>
      </c>
      <c r="AG291">
        <f t="shared" si="228"/>
        <v>0</v>
      </c>
      <c r="AH291">
        <f t="shared" si="250"/>
        <v>0</v>
      </c>
      <c r="AI291">
        <f t="shared" si="250"/>
        <v>0</v>
      </c>
      <c r="AJ291">
        <f t="shared" si="229"/>
        <v>0</v>
      </c>
      <c r="AK291">
        <v>1166.53</v>
      </c>
      <c r="AL291">
        <v>1166.53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1</v>
      </c>
      <c r="AZ291">
        <v>1</v>
      </c>
      <c r="BA291">
        <v>1</v>
      </c>
      <c r="BB291">
        <v>1</v>
      </c>
      <c r="BC291">
        <v>7.66</v>
      </c>
      <c r="BD291" t="s">
        <v>3</v>
      </c>
      <c r="BE291" t="s">
        <v>3</v>
      </c>
      <c r="BF291" t="s">
        <v>3</v>
      </c>
      <c r="BG291" t="s">
        <v>3</v>
      </c>
      <c r="BH291">
        <v>3</v>
      </c>
      <c r="BI291">
        <v>3</v>
      </c>
      <c r="BJ291" t="s">
        <v>3</v>
      </c>
      <c r="BM291">
        <v>746</v>
      </c>
      <c r="BN291">
        <v>0</v>
      </c>
      <c r="BO291" t="s">
        <v>3</v>
      </c>
      <c r="BP291">
        <v>0</v>
      </c>
      <c r="BQ291">
        <v>130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 t="s">
        <v>3</v>
      </c>
      <c r="BZ291">
        <v>0</v>
      </c>
      <c r="CA291">
        <v>0</v>
      </c>
      <c r="CB291" t="s">
        <v>3</v>
      </c>
      <c r="CE291">
        <v>30</v>
      </c>
      <c r="CF291">
        <v>0</v>
      </c>
      <c r="CG291">
        <v>0</v>
      </c>
      <c r="CM291">
        <v>0</v>
      </c>
      <c r="CN291" t="s">
        <v>3</v>
      </c>
      <c r="CO291">
        <v>0</v>
      </c>
      <c r="CP291">
        <f t="shared" si="230"/>
        <v>44678.1</v>
      </c>
      <c r="CQ291">
        <f t="shared" si="253"/>
        <v>8935.6200000000008</v>
      </c>
      <c r="CR291">
        <f t="shared" si="251"/>
        <v>0</v>
      </c>
      <c r="CS291">
        <f t="shared" si="231"/>
        <v>0</v>
      </c>
      <c r="CT291">
        <f t="shared" si="232"/>
        <v>0</v>
      </c>
      <c r="CU291">
        <f t="shared" si="233"/>
        <v>0</v>
      </c>
      <c r="CV291">
        <f t="shared" si="234"/>
        <v>0</v>
      </c>
      <c r="CW291">
        <f t="shared" si="235"/>
        <v>0</v>
      </c>
      <c r="CX291">
        <f t="shared" si="236"/>
        <v>0</v>
      </c>
      <c r="CY291">
        <f t="shared" si="237"/>
        <v>0</v>
      </c>
      <c r="CZ291">
        <f t="shared" si="238"/>
        <v>0</v>
      </c>
      <c r="DC291" t="s">
        <v>3</v>
      </c>
      <c r="DD291" t="s">
        <v>3</v>
      </c>
      <c r="DE291" t="s">
        <v>3</v>
      </c>
      <c r="DF291" t="s">
        <v>3</v>
      </c>
      <c r="DG291" t="s">
        <v>3</v>
      </c>
      <c r="DH291" t="s">
        <v>3</v>
      </c>
      <c r="DI291" t="s">
        <v>3</v>
      </c>
      <c r="DJ291" t="s">
        <v>3</v>
      </c>
      <c r="DK291" t="s">
        <v>3</v>
      </c>
      <c r="DL291" t="s">
        <v>3</v>
      </c>
      <c r="DM291" t="s">
        <v>3</v>
      </c>
      <c r="DN291">
        <v>0</v>
      </c>
      <c r="DO291">
        <v>0</v>
      </c>
      <c r="DP291">
        <v>1</v>
      </c>
      <c r="DQ291">
        <v>1</v>
      </c>
      <c r="DU291">
        <v>1010</v>
      </c>
      <c r="DV291" t="s">
        <v>31</v>
      </c>
      <c r="DW291" t="s">
        <v>31</v>
      </c>
      <c r="DX291">
        <v>1</v>
      </c>
      <c r="DZ291" t="s">
        <v>3</v>
      </c>
      <c r="EA291" t="s">
        <v>3</v>
      </c>
      <c r="EB291" t="s">
        <v>3</v>
      </c>
      <c r="EC291" t="s">
        <v>3</v>
      </c>
      <c r="EE291">
        <v>55992259</v>
      </c>
      <c r="EF291">
        <v>130</v>
      </c>
      <c r="EG291" t="s">
        <v>32</v>
      </c>
      <c r="EH291">
        <v>0</v>
      </c>
      <c r="EI291" t="s">
        <v>3</v>
      </c>
      <c r="EJ291">
        <v>3</v>
      </c>
      <c r="EK291">
        <v>746</v>
      </c>
      <c r="EL291" t="s">
        <v>33</v>
      </c>
      <c r="EM291" t="s">
        <v>34</v>
      </c>
      <c r="EO291" t="s">
        <v>3</v>
      </c>
      <c r="EQ291">
        <v>0</v>
      </c>
      <c r="ER291">
        <v>1166.53</v>
      </c>
      <c r="ES291">
        <v>1166.53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5</v>
      </c>
      <c r="FC291">
        <v>1</v>
      </c>
      <c r="FD291">
        <v>18</v>
      </c>
      <c r="FF291">
        <v>10287</v>
      </c>
      <c r="FQ291">
        <v>0</v>
      </c>
      <c r="FR291">
        <f t="shared" si="254"/>
        <v>44678.1</v>
      </c>
      <c r="FS291">
        <v>0</v>
      </c>
      <c r="FX291">
        <v>0</v>
      </c>
      <c r="FY291">
        <v>0</v>
      </c>
      <c r="GA291" t="s">
        <v>304</v>
      </c>
      <c r="GD291">
        <v>1</v>
      </c>
      <c r="GF291">
        <v>1780019231</v>
      </c>
      <c r="GG291">
        <v>2</v>
      </c>
      <c r="GH291">
        <v>3</v>
      </c>
      <c r="GI291">
        <v>5</v>
      </c>
      <c r="GJ291">
        <v>0</v>
      </c>
      <c r="GK291">
        <v>0</v>
      </c>
      <c r="GL291">
        <f t="shared" si="239"/>
        <v>0</v>
      </c>
      <c r="GM291">
        <f t="shared" si="240"/>
        <v>44678.1</v>
      </c>
      <c r="GN291">
        <f t="shared" si="241"/>
        <v>0</v>
      </c>
      <c r="GO291">
        <f t="shared" si="242"/>
        <v>0</v>
      </c>
      <c r="GP291">
        <f t="shared" si="243"/>
        <v>0</v>
      </c>
      <c r="GR291">
        <v>1</v>
      </c>
      <c r="GS291">
        <v>1</v>
      </c>
      <c r="GT291">
        <v>0</v>
      </c>
      <c r="GU291" t="s">
        <v>3</v>
      </c>
      <c r="GV291">
        <f t="shared" si="244"/>
        <v>0</v>
      </c>
      <c r="GW291">
        <v>1</v>
      </c>
      <c r="GX291">
        <f t="shared" si="245"/>
        <v>0</v>
      </c>
      <c r="HA291">
        <v>0</v>
      </c>
      <c r="HB291">
        <v>0</v>
      </c>
      <c r="HC291">
        <f t="shared" si="246"/>
        <v>0</v>
      </c>
      <c r="HE291" t="s">
        <v>36</v>
      </c>
      <c r="HF291" t="s">
        <v>37</v>
      </c>
      <c r="HM291" t="s">
        <v>3</v>
      </c>
      <c r="HN291" t="s">
        <v>3</v>
      </c>
      <c r="HO291" t="s">
        <v>3</v>
      </c>
      <c r="HP291" t="s">
        <v>3</v>
      </c>
      <c r="HQ291" t="s">
        <v>3</v>
      </c>
      <c r="HS291">
        <v>0</v>
      </c>
      <c r="IK291">
        <v>0</v>
      </c>
    </row>
    <row r="292" spans="1:255" x14ac:dyDescent="0.2">
      <c r="A292" s="2">
        <v>17</v>
      </c>
      <c r="B292" s="2">
        <v>1</v>
      </c>
      <c r="C292" s="2">
        <f>ROW(SmtRes!A231)</f>
        <v>231</v>
      </c>
      <c r="D292" s="2">
        <f>ROW(EtalonRes!A276)</f>
        <v>276</v>
      </c>
      <c r="E292" s="2" t="s">
        <v>305</v>
      </c>
      <c r="F292" s="2" t="s">
        <v>306</v>
      </c>
      <c r="G292" s="2" t="s">
        <v>307</v>
      </c>
      <c r="H292" s="2" t="s">
        <v>21</v>
      </c>
      <c r="I292" s="2">
        <f>ROUND(11+4+13+11+2+33+48,9)</f>
        <v>122</v>
      </c>
      <c r="J292" s="2">
        <v>0</v>
      </c>
      <c r="K292" s="2">
        <f>ROUND(11+4+13+11+2+33+48,9)</f>
        <v>122</v>
      </c>
      <c r="L292" s="2"/>
      <c r="M292" s="2"/>
      <c r="N292" s="2"/>
      <c r="O292" s="2">
        <f t="shared" si="217"/>
        <v>646.79999999999995</v>
      </c>
      <c r="P292" s="2">
        <f>ROUND((ROUND((AC292*AW292*I292),2)*BC292),2)</f>
        <v>98.82</v>
      </c>
      <c r="Q292" s="2">
        <f>(ROUND((ROUND((((ET292*1.1))*AV292*I292),2)*BB292),2)+ROUND((ROUND(((AE292-((EU292*1.1)))*AV292*I292),2)*BS292),2))</f>
        <v>0</v>
      </c>
      <c r="R292" s="2">
        <f t="shared" si="218"/>
        <v>0</v>
      </c>
      <c r="S292" s="2">
        <f t="shared" si="219"/>
        <v>547.98</v>
      </c>
      <c r="T292" s="2">
        <f t="shared" si="220"/>
        <v>0</v>
      </c>
      <c r="U292" s="2">
        <f t="shared" si="221"/>
        <v>42.15222</v>
      </c>
      <c r="V292" s="2">
        <f t="shared" si="222"/>
        <v>0</v>
      </c>
      <c r="W292" s="2">
        <f t="shared" si="223"/>
        <v>0</v>
      </c>
      <c r="X292" s="2">
        <f t="shared" si="224"/>
        <v>493.18</v>
      </c>
      <c r="Y292" s="2">
        <f t="shared" si="225"/>
        <v>252.07</v>
      </c>
      <c r="Z292" s="2"/>
      <c r="AA292" s="2">
        <v>56959434</v>
      </c>
      <c r="AB292" s="2">
        <f t="shared" si="226"/>
        <v>5.0999999999999996</v>
      </c>
      <c r="AC292" s="2">
        <f t="shared" si="227"/>
        <v>0.81</v>
      </c>
      <c r="AD292" s="2">
        <f>ROUND(((((ET292*1.1))-((EU292*1.1)))+AE292),6)</f>
        <v>0</v>
      </c>
      <c r="AE292" s="2">
        <f>ROUND(((EU292*1.1)),6)</f>
        <v>0</v>
      </c>
      <c r="AF292" s="2">
        <f>ROUND(((EV292*1.1)),6)</f>
        <v>4.29</v>
      </c>
      <c r="AG292" s="2">
        <f t="shared" si="228"/>
        <v>0</v>
      </c>
      <c r="AH292" s="2">
        <f>((EW292*1.1))</f>
        <v>0.33</v>
      </c>
      <c r="AI292" s="2">
        <f>((EX292*1.1))</f>
        <v>0</v>
      </c>
      <c r="AJ292" s="2">
        <f t="shared" si="229"/>
        <v>0</v>
      </c>
      <c r="AK292" s="2">
        <v>4.71</v>
      </c>
      <c r="AL292" s="2">
        <v>0.81</v>
      </c>
      <c r="AM292" s="2">
        <v>0</v>
      </c>
      <c r="AN292" s="2">
        <v>0</v>
      </c>
      <c r="AO292" s="2">
        <v>3.9</v>
      </c>
      <c r="AP292" s="2">
        <v>0</v>
      </c>
      <c r="AQ292" s="2">
        <v>0.3</v>
      </c>
      <c r="AR292" s="2">
        <v>0</v>
      </c>
      <c r="AS292" s="2">
        <v>0</v>
      </c>
      <c r="AT292" s="2">
        <v>90</v>
      </c>
      <c r="AU292" s="2">
        <v>46</v>
      </c>
      <c r="AV292" s="2">
        <v>1.0469999999999999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0</v>
      </c>
      <c r="BI292" s="2">
        <v>2</v>
      </c>
      <c r="BJ292" s="2" t="s">
        <v>308</v>
      </c>
      <c r="BK292" s="2"/>
      <c r="BL292" s="2"/>
      <c r="BM292" s="2">
        <v>72</v>
      </c>
      <c r="BN292" s="2">
        <v>55992028</v>
      </c>
      <c r="BO292" s="2" t="s">
        <v>306</v>
      </c>
      <c r="BP292" s="2">
        <v>1</v>
      </c>
      <c r="BQ292" s="2">
        <v>40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90</v>
      </c>
      <c r="CA292" s="2">
        <v>46</v>
      </c>
      <c r="CB292" s="2" t="s">
        <v>3</v>
      </c>
      <c r="CC292" s="2"/>
      <c r="CD292" s="2"/>
      <c r="CE292" s="2">
        <v>30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673</v>
      </c>
      <c r="CO292" s="2">
        <v>0</v>
      </c>
      <c r="CP292" s="2">
        <f t="shared" si="230"/>
        <v>646.79999999999995</v>
      </c>
      <c r="CQ292" s="2">
        <f>ROUND((ROUND((AC292*AW292*1),2)*BC292),2)</f>
        <v>0.81</v>
      </c>
      <c r="CR292" s="2">
        <f>(ROUND((ROUND((((ET292*1.1))*AV292*1),2)*BB292),2)+ROUND((ROUND(((AE292-((EU292*1.1)))*AV292*1),2)*BS292),2))</f>
        <v>0</v>
      </c>
      <c r="CS292" s="2">
        <f t="shared" si="231"/>
        <v>0</v>
      </c>
      <c r="CT292" s="2">
        <f t="shared" si="232"/>
        <v>4.49</v>
      </c>
      <c r="CU292" s="2">
        <f t="shared" si="233"/>
        <v>0</v>
      </c>
      <c r="CV292" s="2">
        <f t="shared" si="234"/>
        <v>0.34550999999999998</v>
      </c>
      <c r="CW292" s="2">
        <f t="shared" si="235"/>
        <v>0</v>
      </c>
      <c r="CX292" s="2">
        <f t="shared" si="236"/>
        <v>0</v>
      </c>
      <c r="CY292" s="2">
        <f t="shared" si="237"/>
        <v>493.18200000000002</v>
      </c>
      <c r="CZ292" s="2">
        <f t="shared" si="238"/>
        <v>252.07080000000002</v>
      </c>
      <c r="DA292" s="2"/>
      <c r="DB292" s="2"/>
      <c r="DC292" s="2" t="s">
        <v>3</v>
      </c>
      <c r="DD292" s="2" t="s">
        <v>3</v>
      </c>
      <c r="DE292" s="2" t="s">
        <v>23</v>
      </c>
      <c r="DF292" s="2" t="s">
        <v>23</v>
      </c>
      <c r="DG292" s="2" t="s">
        <v>23</v>
      </c>
      <c r="DH292" s="2" t="s">
        <v>3</v>
      </c>
      <c r="DI292" s="2" t="s">
        <v>23</v>
      </c>
      <c r="DJ292" s="2" t="s">
        <v>23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1013</v>
      </c>
      <c r="DV292" s="2" t="s">
        <v>21</v>
      </c>
      <c r="DW292" s="2" t="s">
        <v>21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55992157</v>
      </c>
      <c r="EF292" s="2">
        <v>40</v>
      </c>
      <c r="EG292" s="2" t="s">
        <v>24</v>
      </c>
      <c r="EH292" s="2">
        <v>0</v>
      </c>
      <c r="EI292" s="2" t="s">
        <v>3</v>
      </c>
      <c r="EJ292" s="2">
        <v>2</v>
      </c>
      <c r="EK292" s="2">
        <v>72</v>
      </c>
      <c r="EL292" s="2" t="s">
        <v>25</v>
      </c>
      <c r="EM292" s="2" t="s">
        <v>26</v>
      </c>
      <c r="EN292" s="2"/>
      <c r="EO292" s="2" t="s">
        <v>27</v>
      </c>
      <c r="EP292" s="2"/>
      <c r="EQ292" s="2">
        <v>0</v>
      </c>
      <c r="ER292" s="2">
        <v>4.71</v>
      </c>
      <c r="ES292" s="2">
        <v>0.81</v>
      </c>
      <c r="ET292" s="2">
        <v>0</v>
      </c>
      <c r="EU292" s="2">
        <v>0</v>
      </c>
      <c r="EV292" s="2">
        <v>3.9</v>
      </c>
      <c r="EW292" s="2">
        <v>0.3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90</v>
      </c>
      <c r="FY292" s="2">
        <v>46</v>
      </c>
      <c r="FZ292" s="2"/>
      <c r="GA292" s="2" t="s">
        <v>3</v>
      </c>
      <c r="GB292" s="2"/>
      <c r="GC292" s="2"/>
      <c r="GD292" s="2">
        <v>1</v>
      </c>
      <c r="GE292" s="2"/>
      <c r="GF292" s="2">
        <v>-2107488673</v>
      </c>
      <c r="GG292" s="2">
        <v>2</v>
      </c>
      <c r="GH292" s="2">
        <v>1</v>
      </c>
      <c r="GI292" s="2">
        <v>2</v>
      </c>
      <c r="GJ292" s="2">
        <v>0</v>
      </c>
      <c r="GK292" s="2">
        <v>0</v>
      </c>
      <c r="GL292" s="2">
        <f t="shared" si="239"/>
        <v>0</v>
      </c>
      <c r="GM292" s="2">
        <f t="shared" si="240"/>
        <v>1392.05</v>
      </c>
      <c r="GN292" s="2">
        <f t="shared" si="241"/>
        <v>0</v>
      </c>
      <c r="GO292" s="2">
        <f t="shared" si="242"/>
        <v>1392.05</v>
      </c>
      <c r="GP292" s="2">
        <f t="shared" si="243"/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si="244"/>
        <v>0</v>
      </c>
      <c r="GW292" s="2">
        <v>1</v>
      </c>
      <c r="GX292" s="2">
        <f t="shared" si="245"/>
        <v>0</v>
      </c>
      <c r="GY292" s="2"/>
      <c r="GZ292" s="2"/>
      <c r="HA292" s="2">
        <v>0</v>
      </c>
      <c r="HB292" s="2">
        <v>0</v>
      </c>
      <c r="HC292" s="2">
        <f t="shared" si="246"/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>
        <v>17</v>
      </c>
      <c r="B293">
        <v>1</v>
      </c>
      <c r="C293">
        <f>ROW(SmtRes!A234)</f>
        <v>234</v>
      </c>
      <c r="D293">
        <f>ROW(EtalonRes!A280)</f>
        <v>280</v>
      </c>
      <c r="E293" t="s">
        <v>305</v>
      </c>
      <c r="F293" t="s">
        <v>306</v>
      </c>
      <c r="G293" t="s">
        <v>307</v>
      </c>
      <c r="H293" t="s">
        <v>21</v>
      </c>
      <c r="I293">
        <f>ROUND(11+4+13+11+2+33+48,9)</f>
        <v>122</v>
      </c>
      <c r="J293">
        <v>0</v>
      </c>
      <c r="K293">
        <f>ROUND(11+4+13+11+2+33+48,9)</f>
        <v>122</v>
      </c>
      <c r="O293">
        <f t="shared" si="217"/>
        <v>31003.040000000001</v>
      </c>
      <c r="P293">
        <f>ROUND((ROUND((AC293*AW293*I293),2)*BC293),2)</f>
        <v>869.62</v>
      </c>
      <c r="Q293">
        <f>(ROUND((ROUND((((ET293*1.1))*AV293*I293),2)*BB293),2)+ROUND((ROUND(((AE293-((EU293*1.1)))*AV293*I293),2)*BS293),2))</f>
        <v>0</v>
      </c>
      <c r="R293">
        <f t="shared" si="218"/>
        <v>0</v>
      </c>
      <c r="S293">
        <f t="shared" si="219"/>
        <v>30133.42</v>
      </c>
      <c r="T293">
        <f t="shared" si="220"/>
        <v>0</v>
      </c>
      <c r="U293">
        <f t="shared" si="221"/>
        <v>42.15222</v>
      </c>
      <c r="V293">
        <f t="shared" si="222"/>
        <v>0</v>
      </c>
      <c r="W293">
        <f t="shared" si="223"/>
        <v>0</v>
      </c>
      <c r="X293">
        <f t="shared" si="224"/>
        <v>27120.080000000002</v>
      </c>
      <c r="Y293">
        <f t="shared" si="225"/>
        <v>13861.37</v>
      </c>
      <c r="AA293">
        <v>56959431</v>
      </c>
      <c r="AB293">
        <f t="shared" si="226"/>
        <v>5.0999999999999996</v>
      </c>
      <c r="AC293">
        <f t="shared" si="227"/>
        <v>0.81</v>
      </c>
      <c r="AD293">
        <f>ROUND(((((ET293*1.1))-((EU293*1.1)))+AE293),6)</f>
        <v>0</v>
      </c>
      <c r="AE293">
        <f>ROUND(((EU293*1.1)),6)</f>
        <v>0</v>
      </c>
      <c r="AF293">
        <f>ROUND(((EV293*1.1)),6)</f>
        <v>4.29</v>
      </c>
      <c r="AG293">
        <f t="shared" si="228"/>
        <v>0</v>
      </c>
      <c r="AH293">
        <f>((EW293*1.1))</f>
        <v>0.33</v>
      </c>
      <c r="AI293">
        <f>((EX293*1.1))</f>
        <v>0</v>
      </c>
      <c r="AJ293">
        <f t="shared" si="229"/>
        <v>0</v>
      </c>
      <c r="AK293">
        <v>4.71</v>
      </c>
      <c r="AL293">
        <v>0.81</v>
      </c>
      <c r="AM293">
        <v>0</v>
      </c>
      <c r="AN293">
        <v>0</v>
      </c>
      <c r="AO293">
        <v>3.9</v>
      </c>
      <c r="AP293">
        <v>0</v>
      </c>
      <c r="AQ293">
        <v>0.3</v>
      </c>
      <c r="AR293">
        <v>0</v>
      </c>
      <c r="AS293">
        <v>0</v>
      </c>
      <c r="AT293">
        <v>90</v>
      </c>
      <c r="AU293">
        <v>46</v>
      </c>
      <c r="AV293">
        <v>1.0469999999999999</v>
      </c>
      <c r="AW293">
        <v>1</v>
      </c>
      <c r="AZ293">
        <v>1</v>
      </c>
      <c r="BA293">
        <v>54.99</v>
      </c>
      <c r="BB293">
        <v>1</v>
      </c>
      <c r="BC293">
        <v>8.8000000000000007</v>
      </c>
      <c r="BD293" t="s">
        <v>3</v>
      </c>
      <c r="BE293" t="s">
        <v>3</v>
      </c>
      <c r="BF293" t="s">
        <v>3</v>
      </c>
      <c r="BG293" t="s">
        <v>3</v>
      </c>
      <c r="BH293">
        <v>0</v>
      </c>
      <c r="BI293">
        <v>2</v>
      </c>
      <c r="BJ293" t="s">
        <v>308</v>
      </c>
      <c r="BM293">
        <v>72</v>
      </c>
      <c r="BN293">
        <v>55992028</v>
      </c>
      <c r="BO293" t="s">
        <v>306</v>
      </c>
      <c r="BP293">
        <v>1</v>
      </c>
      <c r="BQ293">
        <v>40</v>
      </c>
      <c r="BR293">
        <v>0</v>
      </c>
      <c r="BS293">
        <v>54.99</v>
      </c>
      <c r="BT293">
        <v>1</v>
      </c>
      <c r="BU293">
        <v>1</v>
      </c>
      <c r="BV293">
        <v>1</v>
      </c>
      <c r="BW293">
        <v>1</v>
      </c>
      <c r="BX293">
        <v>1</v>
      </c>
      <c r="BY293" t="s">
        <v>3</v>
      </c>
      <c r="BZ293">
        <v>90</v>
      </c>
      <c r="CA293">
        <v>46</v>
      </c>
      <c r="CB293" t="s">
        <v>3</v>
      </c>
      <c r="CE293">
        <v>30</v>
      </c>
      <c r="CF293">
        <v>0</v>
      </c>
      <c r="CG293">
        <v>0</v>
      </c>
      <c r="CM293">
        <v>0</v>
      </c>
      <c r="CN293" t="s">
        <v>673</v>
      </c>
      <c r="CO293">
        <v>0</v>
      </c>
      <c r="CP293">
        <f t="shared" si="230"/>
        <v>31003.039999999997</v>
      </c>
      <c r="CQ293">
        <f>ROUND((ROUND((AC293*AW293*1),2)*BC293),2)</f>
        <v>7.13</v>
      </c>
      <c r="CR293">
        <f>(ROUND((ROUND((((ET293*1.1))*AV293*1),2)*BB293),2)+ROUND((ROUND(((AE293-((EU293*1.1)))*AV293*1),2)*BS293),2))</f>
        <v>0</v>
      </c>
      <c r="CS293">
        <f t="shared" si="231"/>
        <v>0</v>
      </c>
      <c r="CT293">
        <f t="shared" si="232"/>
        <v>246.91</v>
      </c>
      <c r="CU293">
        <f t="shared" si="233"/>
        <v>0</v>
      </c>
      <c r="CV293">
        <f t="shared" si="234"/>
        <v>0.34550999999999998</v>
      </c>
      <c r="CW293">
        <f t="shared" si="235"/>
        <v>0</v>
      </c>
      <c r="CX293">
        <f t="shared" si="236"/>
        <v>0</v>
      </c>
      <c r="CY293">
        <f t="shared" si="237"/>
        <v>27120.077999999998</v>
      </c>
      <c r="CZ293">
        <f t="shared" si="238"/>
        <v>13861.373199999998</v>
      </c>
      <c r="DC293" t="s">
        <v>3</v>
      </c>
      <c r="DD293" t="s">
        <v>3</v>
      </c>
      <c r="DE293" t="s">
        <v>23</v>
      </c>
      <c r="DF293" t="s">
        <v>23</v>
      </c>
      <c r="DG293" t="s">
        <v>23</v>
      </c>
      <c r="DH293" t="s">
        <v>3</v>
      </c>
      <c r="DI293" t="s">
        <v>23</v>
      </c>
      <c r="DJ293" t="s">
        <v>23</v>
      </c>
      <c r="DK293" t="s">
        <v>3</v>
      </c>
      <c r="DL293" t="s">
        <v>3</v>
      </c>
      <c r="DM293" t="s">
        <v>3</v>
      </c>
      <c r="DN293">
        <v>0</v>
      </c>
      <c r="DO293">
        <v>0</v>
      </c>
      <c r="DP293">
        <v>1</v>
      </c>
      <c r="DQ293">
        <v>1</v>
      </c>
      <c r="DU293">
        <v>1013</v>
      </c>
      <c r="DV293" t="s">
        <v>21</v>
      </c>
      <c r="DW293" t="s">
        <v>21</v>
      </c>
      <c r="DX293">
        <v>1</v>
      </c>
      <c r="DZ293" t="s">
        <v>3</v>
      </c>
      <c r="EA293" t="s">
        <v>3</v>
      </c>
      <c r="EB293" t="s">
        <v>3</v>
      </c>
      <c r="EC293" t="s">
        <v>3</v>
      </c>
      <c r="EE293">
        <v>55992157</v>
      </c>
      <c r="EF293">
        <v>40</v>
      </c>
      <c r="EG293" t="s">
        <v>24</v>
      </c>
      <c r="EH293">
        <v>0</v>
      </c>
      <c r="EI293" t="s">
        <v>3</v>
      </c>
      <c r="EJ293">
        <v>2</v>
      </c>
      <c r="EK293">
        <v>72</v>
      </c>
      <c r="EL293" t="s">
        <v>25</v>
      </c>
      <c r="EM293" t="s">
        <v>26</v>
      </c>
      <c r="EO293" t="s">
        <v>27</v>
      </c>
      <c r="EQ293">
        <v>0</v>
      </c>
      <c r="ER293">
        <v>4.71</v>
      </c>
      <c r="ES293">
        <v>0.81</v>
      </c>
      <c r="ET293">
        <v>0</v>
      </c>
      <c r="EU293">
        <v>0</v>
      </c>
      <c r="EV293">
        <v>3.9</v>
      </c>
      <c r="EW293">
        <v>0.3</v>
      </c>
      <c r="EX293">
        <v>0</v>
      </c>
      <c r="EY293">
        <v>0</v>
      </c>
      <c r="FQ293">
        <v>0</v>
      </c>
      <c r="FR293">
        <v>0</v>
      </c>
      <c r="FS293">
        <v>0</v>
      </c>
      <c r="FX293">
        <v>90</v>
      </c>
      <c r="FY293">
        <v>46</v>
      </c>
      <c r="GA293" t="s">
        <v>3</v>
      </c>
      <c r="GD293">
        <v>1</v>
      </c>
      <c r="GF293">
        <v>-2107488673</v>
      </c>
      <c r="GG293">
        <v>2</v>
      </c>
      <c r="GH293">
        <v>1</v>
      </c>
      <c r="GI293">
        <v>2</v>
      </c>
      <c r="GJ293">
        <v>0</v>
      </c>
      <c r="GK293">
        <v>0</v>
      </c>
      <c r="GL293">
        <f t="shared" si="239"/>
        <v>0</v>
      </c>
      <c r="GM293">
        <f t="shared" si="240"/>
        <v>71984.490000000005</v>
      </c>
      <c r="GN293">
        <f t="shared" si="241"/>
        <v>0</v>
      </c>
      <c r="GO293">
        <f t="shared" si="242"/>
        <v>71984.490000000005</v>
      </c>
      <c r="GP293">
        <f t="shared" si="243"/>
        <v>0</v>
      </c>
      <c r="GR293">
        <v>0</v>
      </c>
      <c r="GS293">
        <v>3</v>
      </c>
      <c r="GT293">
        <v>0</v>
      </c>
      <c r="GU293" t="s">
        <v>3</v>
      </c>
      <c r="GV293">
        <f t="shared" si="244"/>
        <v>0</v>
      </c>
      <c r="GW293">
        <v>1</v>
      </c>
      <c r="GX293">
        <f t="shared" si="245"/>
        <v>0</v>
      </c>
      <c r="HA293">
        <v>0</v>
      </c>
      <c r="HB293">
        <v>0</v>
      </c>
      <c r="HC293">
        <f t="shared" si="246"/>
        <v>0</v>
      </c>
      <c r="HE293" t="s">
        <v>3</v>
      </c>
      <c r="HF293" t="s">
        <v>3</v>
      </c>
      <c r="HM293" t="s">
        <v>3</v>
      </c>
      <c r="HN293" t="s">
        <v>3</v>
      </c>
      <c r="HO293" t="s">
        <v>3</v>
      </c>
      <c r="HP293" t="s">
        <v>3</v>
      </c>
      <c r="HQ293" t="s">
        <v>3</v>
      </c>
      <c r="HS293">
        <v>0</v>
      </c>
      <c r="IK293">
        <v>0</v>
      </c>
    </row>
    <row r="294" spans="1:255" x14ac:dyDescent="0.2">
      <c r="A294" s="2">
        <v>17</v>
      </c>
      <c r="B294" s="2">
        <v>1</v>
      </c>
      <c r="C294" s="2"/>
      <c r="D294" s="2"/>
      <c r="E294" s="2" t="s">
        <v>309</v>
      </c>
      <c r="F294" s="2" t="s">
        <v>310</v>
      </c>
      <c r="G294" s="2" t="s">
        <v>311</v>
      </c>
      <c r="H294" s="2" t="s">
        <v>31</v>
      </c>
      <c r="I294" s="2">
        <v>11</v>
      </c>
      <c r="J294" s="2">
        <v>0</v>
      </c>
      <c r="K294" s="2">
        <v>11</v>
      </c>
      <c r="L294" s="2"/>
      <c r="M294" s="2"/>
      <c r="N294" s="2"/>
      <c r="O294" s="2">
        <f t="shared" si="217"/>
        <v>4063.95</v>
      </c>
      <c r="P294" s="2">
        <f t="shared" ref="P294:P307" si="255">ROUND((ROUND((AC294*I294),2)*BC294),2)</f>
        <v>4063.95</v>
      </c>
      <c r="Q294" s="2">
        <f t="shared" ref="Q294:Q307" si="256">(ROUND((ROUND(((ET294)*AV294*I294),2)*BB294),2)+ROUND((ROUND(((AE294-(EU294))*AV294*I294),2)*BS294),2))</f>
        <v>0</v>
      </c>
      <c r="R294" s="2">
        <f t="shared" si="218"/>
        <v>0</v>
      </c>
      <c r="S294" s="2">
        <f t="shared" si="219"/>
        <v>0</v>
      </c>
      <c r="T294" s="2">
        <f t="shared" si="220"/>
        <v>0</v>
      </c>
      <c r="U294" s="2">
        <f t="shared" si="221"/>
        <v>0</v>
      </c>
      <c r="V294" s="2">
        <f t="shared" si="222"/>
        <v>0</v>
      </c>
      <c r="W294" s="2">
        <f t="shared" si="223"/>
        <v>0</v>
      </c>
      <c r="X294" s="2">
        <f t="shared" si="224"/>
        <v>0</v>
      </c>
      <c r="Y294" s="2">
        <f t="shared" si="225"/>
        <v>0</v>
      </c>
      <c r="Z294" s="2"/>
      <c r="AA294" s="2">
        <v>56959434</v>
      </c>
      <c r="AB294" s="2">
        <f t="shared" si="226"/>
        <v>369.45</v>
      </c>
      <c r="AC294" s="2">
        <f t="shared" si="227"/>
        <v>369.45</v>
      </c>
      <c r="AD294" s="2">
        <f t="shared" ref="AD294:AD307" si="257">ROUND((((ET294)-(EU294))+AE294),6)</f>
        <v>0</v>
      </c>
      <c r="AE294" s="2">
        <f t="shared" ref="AE294:AE307" si="258">ROUND((EU294),6)</f>
        <v>0</v>
      </c>
      <c r="AF294" s="2">
        <f t="shared" ref="AF294:AF307" si="259">ROUND((EV294),6)</f>
        <v>0</v>
      </c>
      <c r="AG294" s="2">
        <f t="shared" si="228"/>
        <v>0</v>
      </c>
      <c r="AH294" s="2">
        <f t="shared" ref="AH294:AH307" si="260">(EW294)</f>
        <v>0</v>
      </c>
      <c r="AI294" s="2">
        <f t="shared" ref="AI294:AI307" si="261">(EX294)</f>
        <v>0</v>
      </c>
      <c r="AJ294" s="2">
        <f t="shared" si="229"/>
        <v>0</v>
      </c>
      <c r="AK294" s="2">
        <v>369.45</v>
      </c>
      <c r="AL294" s="2">
        <v>369.45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3</v>
      </c>
      <c r="BJ294" s="2" t="s">
        <v>3</v>
      </c>
      <c r="BK294" s="2"/>
      <c r="BL294" s="2"/>
      <c r="BM294" s="2">
        <v>746</v>
      </c>
      <c r="BN294" s="2">
        <v>0</v>
      </c>
      <c r="BO294" s="2" t="s">
        <v>3</v>
      </c>
      <c r="BP294" s="2">
        <v>0</v>
      </c>
      <c r="BQ294" s="2">
        <v>130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0</v>
      </c>
      <c r="CA294" s="2">
        <v>0</v>
      </c>
      <c r="CB294" s="2" t="s">
        <v>3</v>
      </c>
      <c r="CC294" s="2"/>
      <c r="CD294" s="2"/>
      <c r="CE294" s="2">
        <v>30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3</v>
      </c>
      <c r="CO294" s="2">
        <v>0</v>
      </c>
      <c r="CP294" s="2">
        <f t="shared" si="230"/>
        <v>4063.95</v>
      </c>
      <c r="CQ294" s="2">
        <f t="shared" ref="CQ294:CQ307" si="262">ROUND((ROUND((AC294*1),2)*BC294),2)</f>
        <v>369.45</v>
      </c>
      <c r="CR294" s="2">
        <f t="shared" ref="CR294:CR307" si="263">(ROUND((ROUND(((ET294)*AV294*1),2)*BB294),2)+ROUND((ROUND(((AE294-(EU294))*AV294*1),2)*BS294),2))</f>
        <v>0</v>
      </c>
      <c r="CS294" s="2">
        <f t="shared" si="231"/>
        <v>0</v>
      </c>
      <c r="CT294" s="2">
        <f t="shared" si="232"/>
        <v>0</v>
      </c>
      <c r="CU294" s="2">
        <f t="shared" si="233"/>
        <v>0</v>
      </c>
      <c r="CV294" s="2">
        <f t="shared" si="234"/>
        <v>0</v>
      </c>
      <c r="CW294" s="2">
        <f t="shared" si="235"/>
        <v>0</v>
      </c>
      <c r="CX294" s="2">
        <f t="shared" si="236"/>
        <v>0</v>
      </c>
      <c r="CY294" s="2">
        <f t="shared" si="237"/>
        <v>0</v>
      </c>
      <c r="CZ294" s="2">
        <f t="shared" si="238"/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1010</v>
      </c>
      <c r="DV294" s="2" t="s">
        <v>31</v>
      </c>
      <c r="DW294" s="2" t="s">
        <v>31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55992259</v>
      </c>
      <c r="EF294" s="2">
        <v>130</v>
      </c>
      <c r="EG294" s="2" t="s">
        <v>32</v>
      </c>
      <c r="EH294" s="2">
        <v>0</v>
      </c>
      <c r="EI294" s="2" t="s">
        <v>3</v>
      </c>
      <c r="EJ294" s="2">
        <v>3</v>
      </c>
      <c r="EK294" s="2">
        <v>746</v>
      </c>
      <c r="EL294" s="2" t="s">
        <v>33</v>
      </c>
      <c r="EM294" s="2" t="s">
        <v>34</v>
      </c>
      <c r="EN294" s="2"/>
      <c r="EO294" s="2" t="s">
        <v>3</v>
      </c>
      <c r="EP294" s="2"/>
      <c r="EQ294" s="2">
        <v>0</v>
      </c>
      <c r="ER294" s="2">
        <v>0</v>
      </c>
      <c r="ES294" s="2">
        <v>369.45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f t="shared" ref="FR294:FR307" si="264">P294</f>
        <v>4063.95</v>
      </c>
      <c r="FS294" s="2">
        <v>0</v>
      </c>
      <c r="FT294" s="2"/>
      <c r="FU294" s="2"/>
      <c r="FV294" s="2"/>
      <c r="FW294" s="2"/>
      <c r="FX294" s="2">
        <v>0</v>
      </c>
      <c r="FY294" s="2">
        <v>0</v>
      </c>
      <c r="FZ294" s="2"/>
      <c r="GA294" s="2" t="s">
        <v>312</v>
      </c>
      <c r="GB294" s="2"/>
      <c r="GC294" s="2"/>
      <c r="GD294" s="2">
        <v>1</v>
      </c>
      <c r="GE294" s="2"/>
      <c r="GF294" s="2">
        <v>1559055692</v>
      </c>
      <c r="GG294" s="2">
        <v>2</v>
      </c>
      <c r="GH294" s="2">
        <v>4</v>
      </c>
      <c r="GI294" s="2">
        <v>-2</v>
      </c>
      <c r="GJ294" s="2">
        <v>0</v>
      </c>
      <c r="GK294" s="2">
        <v>0</v>
      </c>
      <c r="GL294" s="2">
        <f t="shared" si="239"/>
        <v>0</v>
      </c>
      <c r="GM294" s="2">
        <f t="shared" si="240"/>
        <v>4063.95</v>
      </c>
      <c r="GN294" s="2">
        <f t="shared" si="241"/>
        <v>0</v>
      </c>
      <c r="GO294" s="2">
        <f t="shared" si="242"/>
        <v>0</v>
      </c>
      <c r="GP294" s="2">
        <f t="shared" si="243"/>
        <v>0</v>
      </c>
      <c r="GQ294" s="2"/>
      <c r="GR294" s="2">
        <v>0</v>
      </c>
      <c r="GS294" s="2">
        <v>2</v>
      </c>
      <c r="GT294" s="2">
        <v>0</v>
      </c>
      <c r="GU294" s="2" t="s">
        <v>3</v>
      </c>
      <c r="GV294" s="2">
        <f t="shared" si="244"/>
        <v>0</v>
      </c>
      <c r="GW294" s="2">
        <v>1</v>
      </c>
      <c r="GX294" s="2">
        <f t="shared" si="245"/>
        <v>0</v>
      </c>
      <c r="GY294" s="2"/>
      <c r="GZ294" s="2"/>
      <c r="HA294" s="2">
        <v>0</v>
      </c>
      <c r="HB294" s="2">
        <v>0</v>
      </c>
      <c r="HC294" s="2">
        <f t="shared" si="246"/>
        <v>0</v>
      </c>
      <c r="HD294" s="2"/>
      <c r="HE294" s="2" t="s">
        <v>36</v>
      </c>
      <c r="HF294" s="2" t="s">
        <v>37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>
        <v>17</v>
      </c>
      <c r="B295">
        <v>1</v>
      </c>
      <c r="E295" t="s">
        <v>309</v>
      </c>
      <c r="F295" t="s">
        <v>310</v>
      </c>
      <c r="G295" t="s">
        <v>311</v>
      </c>
      <c r="H295" t="s">
        <v>31</v>
      </c>
      <c r="I295">
        <v>11</v>
      </c>
      <c r="J295">
        <v>0</v>
      </c>
      <c r="K295">
        <v>11</v>
      </c>
      <c r="O295">
        <f t="shared" si="217"/>
        <v>31129.86</v>
      </c>
      <c r="P295">
        <f t="shared" si="255"/>
        <v>31129.86</v>
      </c>
      <c r="Q295">
        <f t="shared" si="256"/>
        <v>0</v>
      </c>
      <c r="R295">
        <f t="shared" si="218"/>
        <v>0</v>
      </c>
      <c r="S295">
        <f t="shared" si="219"/>
        <v>0</v>
      </c>
      <c r="T295">
        <f t="shared" si="220"/>
        <v>0</v>
      </c>
      <c r="U295">
        <f t="shared" si="221"/>
        <v>0</v>
      </c>
      <c r="V295">
        <f t="shared" si="222"/>
        <v>0</v>
      </c>
      <c r="W295">
        <f t="shared" si="223"/>
        <v>0</v>
      </c>
      <c r="X295">
        <f t="shared" si="224"/>
        <v>0</v>
      </c>
      <c r="Y295">
        <f t="shared" si="225"/>
        <v>0</v>
      </c>
      <c r="AA295">
        <v>56959431</v>
      </c>
      <c r="AB295">
        <f t="shared" si="226"/>
        <v>369.45</v>
      </c>
      <c r="AC295">
        <f t="shared" si="227"/>
        <v>369.45</v>
      </c>
      <c r="AD295">
        <f t="shared" si="257"/>
        <v>0</v>
      </c>
      <c r="AE295">
        <f t="shared" si="258"/>
        <v>0</v>
      </c>
      <c r="AF295">
        <f t="shared" si="259"/>
        <v>0</v>
      </c>
      <c r="AG295">
        <f t="shared" si="228"/>
        <v>0</v>
      </c>
      <c r="AH295">
        <f t="shared" si="260"/>
        <v>0</v>
      </c>
      <c r="AI295">
        <f t="shared" si="261"/>
        <v>0</v>
      </c>
      <c r="AJ295">
        <f t="shared" si="229"/>
        <v>0</v>
      </c>
      <c r="AK295">
        <v>369.45</v>
      </c>
      <c r="AL295">
        <v>369.45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1</v>
      </c>
      <c r="AZ295">
        <v>1</v>
      </c>
      <c r="BA295">
        <v>1</v>
      </c>
      <c r="BB295">
        <v>1</v>
      </c>
      <c r="BC295">
        <v>7.66</v>
      </c>
      <c r="BD295" t="s">
        <v>3</v>
      </c>
      <c r="BE295" t="s">
        <v>3</v>
      </c>
      <c r="BF295" t="s">
        <v>3</v>
      </c>
      <c r="BG295" t="s">
        <v>3</v>
      </c>
      <c r="BH295">
        <v>3</v>
      </c>
      <c r="BI295">
        <v>3</v>
      </c>
      <c r="BJ295" t="s">
        <v>3</v>
      </c>
      <c r="BM295">
        <v>746</v>
      </c>
      <c r="BN295">
        <v>0</v>
      </c>
      <c r="BO295" t="s">
        <v>3</v>
      </c>
      <c r="BP295">
        <v>0</v>
      </c>
      <c r="BQ295">
        <v>130</v>
      </c>
      <c r="BR295">
        <v>0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 t="s">
        <v>3</v>
      </c>
      <c r="BZ295">
        <v>0</v>
      </c>
      <c r="CA295">
        <v>0</v>
      </c>
      <c r="CB295" t="s">
        <v>3</v>
      </c>
      <c r="CE295">
        <v>30</v>
      </c>
      <c r="CF295">
        <v>0</v>
      </c>
      <c r="CG295">
        <v>0</v>
      </c>
      <c r="CM295">
        <v>0</v>
      </c>
      <c r="CN295" t="s">
        <v>3</v>
      </c>
      <c r="CO295">
        <v>0</v>
      </c>
      <c r="CP295">
        <f t="shared" si="230"/>
        <v>31129.86</v>
      </c>
      <c r="CQ295">
        <f t="shared" si="262"/>
        <v>2829.99</v>
      </c>
      <c r="CR295">
        <f t="shared" si="263"/>
        <v>0</v>
      </c>
      <c r="CS295">
        <f t="shared" si="231"/>
        <v>0</v>
      </c>
      <c r="CT295">
        <f t="shared" si="232"/>
        <v>0</v>
      </c>
      <c r="CU295">
        <f t="shared" si="233"/>
        <v>0</v>
      </c>
      <c r="CV295">
        <f t="shared" si="234"/>
        <v>0</v>
      </c>
      <c r="CW295">
        <f t="shared" si="235"/>
        <v>0</v>
      </c>
      <c r="CX295">
        <f t="shared" si="236"/>
        <v>0</v>
      </c>
      <c r="CY295">
        <f t="shared" si="237"/>
        <v>0</v>
      </c>
      <c r="CZ295">
        <f t="shared" si="238"/>
        <v>0</v>
      </c>
      <c r="DC295" t="s">
        <v>3</v>
      </c>
      <c r="DD295" t="s">
        <v>3</v>
      </c>
      <c r="DE295" t="s">
        <v>3</v>
      </c>
      <c r="DF295" t="s">
        <v>3</v>
      </c>
      <c r="DG295" t="s">
        <v>3</v>
      </c>
      <c r="DH295" t="s">
        <v>3</v>
      </c>
      <c r="DI295" t="s">
        <v>3</v>
      </c>
      <c r="DJ295" t="s">
        <v>3</v>
      </c>
      <c r="DK295" t="s">
        <v>3</v>
      </c>
      <c r="DL295" t="s">
        <v>3</v>
      </c>
      <c r="DM295" t="s">
        <v>3</v>
      </c>
      <c r="DN295">
        <v>0</v>
      </c>
      <c r="DO295">
        <v>0</v>
      </c>
      <c r="DP295">
        <v>1</v>
      </c>
      <c r="DQ295">
        <v>1</v>
      </c>
      <c r="DU295">
        <v>1010</v>
      </c>
      <c r="DV295" t="s">
        <v>31</v>
      </c>
      <c r="DW295" t="s">
        <v>31</v>
      </c>
      <c r="DX295">
        <v>1</v>
      </c>
      <c r="DZ295" t="s">
        <v>3</v>
      </c>
      <c r="EA295" t="s">
        <v>3</v>
      </c>
      <c r="EB295" t="s">
        <v>3</v>
      </c>
      <c r="EC295" t="s">
        <v>3</v>
      </c>
      <c r="EE295">
        <v>55992259</v>
      </c>
      <c r="EF295">
        <v>130</v>
      </c>
      <c r="EG295" t="s">
        <v>32</v>
      </c>
      <c r="EH295">
        <v>0</v>
      </c>
      <c r="EI295" t="s">
        <v>3</v>
      </c>
      <c r="EJ295">
        <v>3</v>
      </c>
      <c r="EK295">
        <v>746</v>
      </c>
      <c r="EL295" t="s">
        <v>33</v>
      </c>
      <c r="EM295" t="s">
        <v>34</v>
      </c>
      <c r="EO295" t="s">
        <v>3</v>
      </c>
      <c r="EQ295">
        <v>0</v>
      </c>
      <c r="ER295">
        <v>369.45</v>
      </c>
      <c r="ES295">
        <v>369.45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5</v>
      </c>
      <c r="FC295">
        <v>1</v>
      </c>
      <c r="FD295">
        <v>18</v>
      </c>
      <c r="FF295">
        <v>3258</v>
      </c>
      <c r="FQ295">
        <v>0</v>
      </c>
      <c r="FR295">
        <f t="shared" si="264"/>
        <v>31129.86</v>
      </c>
      <c r="FS295">
        <v>0</v>
      </c>
      <c r="FX295">
        <v>0</v>
      </c>
      <c r="FY295">
        <v>0</v>
      </c>
      <c r="GA295" t="s">
        <v>312</v>
      </c>
      <c r="GD295">
        <v>1</v>
      </c>
      <c r="GF295">
        <v>1559055692</v>
      </c>
      <c r="GG295">
        <v>2</v>
      </c>
      <c r="GH295">
        <v>3</v>
      </c>
      <c r="GI295">
        <v>5</v>
      </c>
      <c r="GJ295">
        <v>0</v>
      </c>
      <c r="GK295">
        <v>0</v>
      </c>
      <c r="GL295">
        <f t="shared" si="239"/>
        <v>0</v>
      </c>
      <c r="GM295">
        <f t="shared" si="240"/>
        <v>31129.86</v>
      </c>
      <c r="GN295">
        <f t="shared" si="241"/>
        <v>0</v>
      </c>
      <c r="GO295">
        <f t="shared" si="242"/>
        <v>0</v>
      </c>
      <c r="GP295">
        <f t="shared" si="243"/>
        <v>0</v>
      </c>
      <c r="GR295">
        <v>1</v>
      </c>
      <c r="GS295">
        <v>1</v>
      </c>
      <c r="GT295">
        <v>0</v>
      </c>
      <c r="GU295" t="s">
        <v>3</v>
      </c>
      <c r="GV295">
        <f t="shared" si="244"/>
        <v>0</v>
      </c>
      <c r="GW295">
        <v>1</v>
      </c>
      <c r="GX295">
        <f t="shared" si="245"/>
        <v>0</v>
      </c>
      <c r="HA295">
        <v>0</v>
      </c>
      <c r="HB295">
        <v>0</v>
      </c>
      <c r="HC295">
        <f t="shared" si="246"/>
        <v>0</v>
      </c>
      <c r="HE295" t="s">
        <v>36</v>
      </c>
      <c r="HF295" t="s">
        <v>37</v>
      </c>
      <c r="HM295" t="s">
        <v>3</v>
      </c>
      <c r="HN295" t="s">
        <v>3</v>
      </c>
      <c r="HO295" t="s">
        <v>3</v>
      </c>
      <c r="HP295" t="s">
        <v>3</v>
      </c>
      <c r="HQ295" t="s">
        <v>3</v>
      </c>
      <c r="HS295">
        <v>0</v>
      </c>
      <c r="IK295">
        <v>0</v>
      </c>
    </row>
    <row r="296" spans="1:255" x14ac:dyDescent="0.2">
      <c r="A296" s="2">
        <v>17</v>
      </c>
      <c r="B296" s="2">
        <v>1</v>
      </c>
      <c r="C296" s="2"/>
      <c r="D296" s="2"/>
      <c r="E296" s="2" t="s">
        <v>313</v>
      </c>
      <c r="F296" s="2" t="s">
        <v>314</v>
      </c>
      <c r="G296" s="2" t="s">
        <v>315</v>
      </c>
      <c r="H296" s="2" t="s">
        <v>31</v>
      </c>
      <c r="I296" s="2">
        <v>4</v>
      </c>
      <c r="J296" s="2">
        <v>0</v>
      </c>
      <c r="K296" s="2">
        <v>4</v>
      </c>
      <c r="L296" s="2"/>
      <c r="M296" s="2"/>
      <c r="N296" s="2"/>
      <c r="O296" s="2">
        <f t="shared" si="217"/>
        <v>1859.72</v>
      </c>
      <c r="P296" s="2">
        <f t="shared" si="255"/>
        <v>1859.72</v>
      </c>
      <c r="Q296" s="2">
        <f t="shared" si="256"/>
        <v>0</v>
      </c>
      <c r="R296" s="2">
        <f t="shared" si="218"/>
        <v>0</v>
      </c>
      <c r="S296" s="2">
        <f t="shared" si="219"/>
        <v>0</v>
      </c>
      <c r="T296" s="2">
        <f t="shared" si="220"/>
        <v>0</v>
      </c>
      <c r="U296" s="2">
        <f t="shared" si="221"/>
        <v>0</v>
      </c>
      <c r="V296" s="2">
        <f t="shared" si="222"/>
        <v>0</v>
      </c>
      <c r="W296" s="2">
        <f t="shared" si="223"/>
        <v>0</v>
      </c>
      <c r="X296" s="2">
        <f t="shared" si="224"/>
        <v>0</v>
      </c>
      <c r="Y296" s="2">
        <f t="shared" si="225"/>
        <v>0</v>
      </c>
      <c r="Z296" s="2"/>
      <c r="AA296" s="2">
        <v>56959434</v>
      </c>
      <c r="AB296" s="2">
        <f t="shared" si="226"/>
        <v>464.93</v>
      </c>
      <c r="AC296" s="2">
        <f t="shared" si="227"/>
        <v>464.93</v>
      </c>
      <c r="AD296" s="2">
        <f t="shared" si="257"/>
        <v>0</v>
      </c>
      <c r="AE296" s="2">
        <f t="shared" si="258"/>
        <v>0</v>
      </c>
      <c r="AF296" s="2">
        <f t="shared" si="259"/>
        <v>0</v>
      </c>
      <c r="AG296" s="2">
        <f t="shared" si="228"/>
        <v>0</v>
      </c>
      <c r="AH296" s="2">
        <f t="shared" si="260"/>
        <v>0</v>
      </c>
      <c r="AI296" s="2">
        <f t="shared" si="261"/>
        <v>0</v>
      </c>
      <c r="AJ296" s="2">
        <f t="shared" si="229"/>
        <v>0</v>
      </c>
      <c r="AK296" s="2">
        <v>464.93</v>
      </c>
      <c r="AL296" s="2">
        <v>464.93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1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3</v>
      </c>
      <c r="BI296" s="2">
        <v>3</v>
      </c>
      <c r="BJ296" s="2" t="s">
        <v>3</v>
      </c>
      <c r="BK296" s="2"/>
      <c r="BL296" s="2"/>
      <c r="BM296" s="2">
        <v>746</v>
      </c>
      <c r="BN296" s="2">
        <v>0</v>
      </c>
      <c r="BO296" s="2" t="s">
        <v>3</v>
      </c>
      <c r="BP296" s="2">
        <v>0</v>
      </c>
      <c r="BQ296" s="2">
        <v>130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0</v>
      </c>
      <c r="CA296" s="2">
        <v>0</v>
      </c>
      <c r="CB296" s="2" t="s">
        <v>3</v>
      </c>
      <c r="CC296" s="2"/>
      <c r="CD296" s="2"/>
      <c r="CE296" s="2">
        <v>30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3</v>
      </c>
      <c r="CO296" s="2">
        <v>0</v>
      </c>
      <c r="CP296" s="2">
        <f t="shared" si="230"/>
        <v>1859.72</v>
      </c>
      <c r="CQ296" s="2">
        <f t="shared" si="262"/>
        <v>464.93</v>
      </c>
      <c r="CR296" s="2">
        <f t="shared" si="263"/>
        <v>0</v>
      </c>
      <c r="CS296" s="2">
        <f t="shared" si="231"/>
        <v>0</v>
      </c>
      <c r="CT296" s="2">
        <f t="shared" si="232"/>
        <v>0</v>
      </c>
      <c r="CU296" s="2">
        <f t="shared" si="233"/>
        <v>0</v>
      </c>
      <c r="CV296" s="2">
        <f t="shared" si="234"/>
        <v>0</v>
      </c>
      <c r="CW296" s="2">
        <f t="shared" si="235"/>
        <v>0</v>
      </c>
      <c r="CX296" s="2">
        <f t="shared" si="236"/>
        <v>0</v>
      </c>
      <c r="CY296" s="2">
        <f t="shared" si="237"/>
        <v>0</v>
      </c>
      <c r="CZ296" s="2">
        <f t="shared" si="238"/>
        <v>0</v>
      </c>
      <c r="DA296" s="2"/>
      <c r="DB296" s="2"/>
      <c r="DC296" s="2" t="s">
        <v>3</v>
      </c>
      <c r="DD296" s="2" t="s">
        <v>3</v>
      </c>
      <c r="DE296" s="2" t="s">
        <v>3</v>
      </c>
      <c r="DF296" s="2" t="s">
        <v>3</v>
      </c>
      <c r="DG296" s="2" t="s">
        <v>3</v>
      </c>
      <c r="DH296" s="2" t="s">
        <v>3</v>
      </c>
      <c r="DI296" s="2" t="s">
        <v>3</v>
      </c>
      <c r="DJ296" s="2" t="s">
        <v>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1010</v>
      </c>
      <c r="DV296" s="2" t="s">
        <v>31</v>
      </c>
      <c r="DW296" s="2" t="s">
        <v>31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55992259</v>
      </c>
      <c r="EF296" s="2">
        <v>130</v>
      </c>
      <c r="EG296" s="2" t="s">
        <v>32</v>
      </c>
      <c r="EH296" s="2">
        <v>0</v>
      </c>
      <c r="EI296" s="2" t="s">
        <v>3</v>
      </c>
      <c r="EJ296" s="2">
        <v>3</v>
      </c>
      <c r="EK296" s="2">
        <v>746</v>
      </c>
      <c r="EL296" s="2" t="s">
        <v>33</v>
      </c>
      <c r="EM296" s="2" t="s">
        <v>34</v>
      </c>
      <c r="EN296" s="2"/>
      <c r="EO296" s="2" t="s">
        <v>3</v>
      </c>
      <c r="EP296" s="2"/>
      <c r="EQ296" s="2">
        <v>0</v>
      </c>
      <c r="ER296" s="2">
        <v>0</v>
      </c>
      <c r="ES296" s="2">
        <v>464.93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f t="shared" si="264"/>
        <v>1859.72</v>
      </c>
      <c r="FS296" s="2">
        <v>0</v>
      </c>
      <c r="FT296" s="2"/>
      <c r="FU296" s="2"/>
      <c r="FV296" s="2"/>
      <c r="FW296" s="2"/>
      <c r="FX296" s="2">
        <v>0</v>
      </c>
      <c r="FY296" s="2">
        <v>0</v>
      </c>
      <c r="FZ296" s="2"/>
      <c r="GA296" s="2" t="s">
        <v>316</v>
      </c>
      <c r="GB296" s="2"/>
      <c r="GC296" s="2"/>
      <c r="GD296" s="2">
        <v>1</v>
      </c>
      <c r="GE296" s="2"/>
      <c r="GF296" s="2">
        <v>1160440768</v>
      </c>
      <c r="GG296" s="2">
        <v>2</v>
      </c>
      <c r="GH296" s="2">
        <v>4</v>
      </c>
      <c r="GI296" s="2">
        <v>-2</v>
      </c>
      <c r="GJ296" s="2">
        <v>0</v>
      </c>
      <c r="GK296" s="2">
        <v>0</v>
      </c>
      <c r="GL296" s="2">
        <f t="shared" si="239"/>
        <v>0</v>
      </c>
      <c r="GM296" s="2">
        <f t="shared" si="240"/>
        <v>1859.72</v>
      </c>
      <c r="GN296" s="2">
        <f t="shared" si="241"/>
        <v>0</v>
      </c>
      <c r="GO296" s="2">
        <f t="shared" si="242"/>
        <v>0</v>
      </c>
      <c r="GP296" s="2">
        <f t="shared" si="243"/>
        <v>0</v>
      </c>
      <c r="GQ296" s="2"/>
      <c r="GR296" s="2">
        <v>0</v>
      </c>
      <c r="GS296" s="2">
        <v>2</v>
      </c>
      <c r="GT296" s="2">
        <v>0</v>
      </c>
      <c r="GU296" s="2" t="s">
        <v>3</v>
      </c>
      <c r="GV296" s="2">
        <f t="shared" si="244"/>
        <v>0</v>
      </c>
      <c r="GW296" s="2">
        <v>1</v>
      </c>
      <c r="GX296" s="2">
        <f t="shared" si="245"/>
        <v>0</v>
      </c>
      <c r="GY296" s="2"/>
      <c r="GZ296" s="2"/>
      <c r="HA296" s="2">
        <v>0</v>
      </c>
      <c r="HB296" s="2">
        <v>0</v>
      </c>
      <c r="HC296" s="2">
        <f t="shared" si="246"/>
        <v>0</v>
      </c>
      <c r="HD296" s="2"/>
      <c r="HE296" s="2" t="s">
        <v>36</v>
      </c>
      <c r="HF296" s="2" t="s">
        <v>37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>
        <v>17</v>
      </c>
      <c r="B297">
        <v>1</v>
      </c>
      <c r="E297" t="s">
        <v>313</v>
      </c>
      <c r="F297" t="s">
        <v>314</v>
      </c>
      <c r="G297" t="s">
        <v>315</v>
      </c>
      <c r="H297" t="s">
        <v>31</v>
      </c>
      <c r="I297">
        <v>4</v>
      </c>
      <c r="J297">
        <v>0</v>
      </c>
      <c r="K297">
        <v>4</v>
      </c>
      <c r="O297">
        <f t="shared" si="217"/>
        <v>14245.46</v>
      </c>
      <c r="P297">
        <f t="shared" si="255"/>
        <v>14245.46</v>
      </c>
      <c r="Q297">
        <f t="shared" si="256"/>
        <v>0</v>
      </c>
      <c r="R297">
        <f t="shared" si="218"/>
        <v>0</v>
      </c>
      <c r="S297">
        <f t="shared" si="219"/>
        <v>0</v>
      </c>
      <c r="T297">
        <f t="shared" si="220"/>
        <v>0</v>
      </c>
      <c r="U297">
        <f t="shared" si="221"/>
        <v>0</v>
      </c>
      <c r="V297">
        <f t="shared" si="222"/>
        <v>0</v>
      </c>
      <c r="W297">
        <f t="shared" si="223"/>
        <v>0</v>
      </c>
      <c r="X297">
        <f t="shared" si="224"/>
        <v>0</v>
      </c>
      <c r="Y297">
        <f t="shared" si="225"/>
        <v>0</v>
      </c>
      <c r="AA297">
        <v>56959431</v>
      </c>
      <c r="AB297">
        <f t="shared" si="226"/>
        <v>464.93</v>
      </c>
      <c r="AC297">
        <f t="shared" si="227"/>
        <v>464.93</v>
      </c>
      <c r="AD297">
        <f t="shared" si="257"/>
        <v>0</v>
      </c>
      <c r="AE297">
        <f t="shared" si="258"/>
        <v>0</v>
      </c>
      <c r="AF297">
        <f t="shared" si="259"/>
        <v>0</v>
      </c>
      <c r="AG297">
        <f t="shared" si="228"/>
        <v>0</v>
      </c>
      <c r="AH297">
        <f t="shared" si="260"/>
        <v>0</v>
      </c>
      <c r="AI297">
        <f t="shared" si="261"/>
        <v>0</v>
      </c>
      <c r="AJ297">
        <f t="shared" si="229"/>
        <v>0</v>
      </c>
      <c r="AK297">
        <v>464.93</v>
      </c>
      <c r="AL297">
        <v>464.93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1</v>
      </c>
      <c r="AZ297">
        <v>1</v>
      </c>
      <c r="BA297">
        <v>1</v>
      </c>
      <c r="BB297">
        <v>1</v>
      </c>
      <c r="BC297">
        <v>7.66</v>
      </c>
      <c r="BD297" t="s">
        <v>3</v>
      </c>
      <c r="BE297" t="s">
        <v>3</v>
      </c>
      <c r="BF297" t="s">
        <v>3</v>
      </c>
      <c r="BG297" t="s">
        <v>3</v>
      </c>
      <c r="BH297">
        <v>3</v>
      </c>
      <c r="BI297">
        <v>3</v>
      </c>
      <c r="BJ297" t="s">
        <v>3</v>
      </c>
      <c r="BM297">
        <v>746</v>
      </c>
      <c r="BN297">
        <v>0</v>
      </c>
      <c r="BO297" t="s">
        <v>3</v>
      </c>
      <c r="BP297">
        <v>0</v>
      </c>
      <c r="BQ297">
        <v>130</v>
      </c>
      <c r="BR297">
        <v>0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 t="s">
        <v>3</v>
      </c>
      <c r="BZ297">
        <v>0</v>
      </c>
      <c r="CA297">
        <v>0</v>
      </c>
      <c r="CB297" t="s">
        <v>3</v>
      </c>
      <c r="CE297">
        <v>30</v>
      </c>
      <c r="CF297">
        <v>0</v>
      </c>
      <c r="CG297">
        <v>0</v>
      </c>
      <c r="CM297">
        <v>0</v>
      </c>
      <c r="CN297" t="s">
        <v>3</v>
      </c>
      <c r="CO297">
        <v>0</v>
      </c>
      <c r="CP297">
        <f t="shared" si="230"/>
        <v>14245.46</v>
      </c>
      <c r="CQ297">
        <f t="shared" si="262"/>
        <v>3561.36</v>
      </c>
      <c r="CR297">
        <f t="shared" si="263"/>
        <v>0</v>
      </c>
      <c r="CS297">
        <f t="shared" si="231"/>
        <v>0</v>
      </c>
      <c r="CT297">
        <f t="shared" si="232"/>
        <v>0</v>
      </c>
      <c r="CU297">
        <f t="shared" si="233"/>
        <v>0</v>
      </c>
      <c r="CV297">
        <f t="shared" si="234"/>
        <v>0</v>
      </c>
      <c r="CW297">
        <f t="shared" si="235"/>
        <v>0</v>
      </c>
      <c r="CX297">
        <f t="shared" si="236"/>
        <v>0</v>
      </c>
      <c r="CY297">
        <f t="shared" si="237"/>
        <v>0</v>
      </c>
      <c r="CZ297">
        <f t="shared" si="238"/>
        <v>0</v>
      </c>
      <c r="DC297" t="s">
        <v>3</v>
      </c>
      <c r="DD297" t="s">
        <v>3</v>
      </c>
      <c r="DE297" t="s">
        <v>3</v>
      </c>
      <c r="DF297" t="s">
        <v>3</v>
      </c>
      <c r="DG297" t="s">
        <v>3</v>
      </c>
      <c r="DH297" t="s">
        <v>3</v>
      </c>
      <c r="DI297" t="s">
        <v>3</v>
      </c>
      <c r="DJ297" t="s">
        <v>3</v>
      </c>
      <c r="DK297" t="s">
        <v>3</v>
      </c>
      <c r="DL297" t="s">
        <v>3</v>
      </c>
      <c r="DM297" t="s">
        <v>3</v>
      </c>
      <c r="DN297">
        <v>0</v>
      </c>
      <c r="DO297">
        <v>0</v>
      </c>
      <c r="DP297">
        <v>1</v>
      </c>
      <c r="DQ297">
        <v>1</v>
      </c>
      <c r="DU297">
        <v>1010</v>
      </c>
      <c r="DV297" t="s">
        <v>31</v>
      </c>
      <c r="DW297" t="s">
        <v>31</v>
      </c>
      <c r="DX297">
        <v>1</v>
      </c>
      <c r="DZ297" t="s">
        <v>3</v>
      </c>
      <c r="EA297" t="s">
        <v>3</v>
      </c>
      <c r="EB297" t="s">
        <v>3</v>
      </c>
      <c r="EC297" t="s">
        <v>3</v>
      </c>
      <c r="EE297">
        <v>55992259</v>
      </c>
      <c r="EF297">
        <v>130</v>
      </c>
      <c r="EG297" t="s">
        <v>32</v>
      </c>
      <c r="EH297">
        <v>0</v>
      </c>
      <c r="EI297" t="s">
        <v>3</v>
      </c>
      <c r="EJ297">
        <v>3</v>
      </c>
      <c r="EK297">
        <v>746</v>
      </c>
      <c r="EL297" t="s">
        <v>33</v>
      </c>
      <c r="EM297" t="s">
        <v>34</v>
      </c>
      <c r="EO297" t="s">
        <v>3</v>
      </c>
      <c r="EQ297">
        <v>0</v>
      </c>
      <c r="ER297">
        <v>464.93</v>
      </c>
      <c r="ES297">
        <v>464.93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5</v>
      </c>
      <c r="FC297">
        <v>1</v>
      </c>
      <c r="FD297">
        <v>18</v>
      </c>
      <c r="FF297">
        <v>4100</v>
      </c>
      <c r="FQ297">
        <v>0</v>
      </c>
      <c r="FR297">
        <f t="shared" si="264"/>
        <v>14245.46</v>
      </c>
      <c r="FS297">
        <v>0</v>
      </c>
      <c r="FX297">
        <v>0</v>
      </c>
      <c r="FY297">
        <v>0</v>
      </c>
      <c r="GA297" t="s">
        <v>316</v>
      </c>
      <c r="GD297">
        <v>1</v>
      </c>
      <c r="GF297">
        <v>1160440768</v>
      </c>
      <c r="GG297">
        <v>2</v>
      </c>
      <c r="GH297">
        <v>3</v>
      </c>
      <c r="GI297">
        <v>5</v>
      </c>
      <c r="GJ297">
        <v>0</v>
      </c>
      <c r="GK297">
        <v>0</v>
      </c>
      <c r="GL297">
        <f t="shared" si="239"/>
        <v>0</v>
      </c>
      <c r="GM297">
        <f t="shared" si="240"/>
        <v>14245.46</v>
      </c>
      <c r="GN297">
        <f t="shared" si="241"/>
        <v>0</v>
      </c>
      <c r="GO297">
        <f t="shared" si="242"/>
        <v>0</v>
      </c>
      <c r="GP297">
        <f t="shared" si="243"/>
        <v>0</v>
      </c>
      <c r="GR297">
        <v>1</v>
      </c>
      <c r="GS297">
        <v>1</v>
      </c>
      <c r="GT297">
        <v>0</v>
      </c>
      <c r="GU297" t="s">
        <v>3</v>
      </c>
      <c r="GV297">
        <f t="shared" si="244"/>
        <v>0</v>
      </c>
      <c r="GW297">
        <v>1</v>
      </c>
      <c r="GX297">
        <f t="shared" si="245"/>
        <v>0</v>
      </c>
      <c r="HA297">
        <v>0</v>
      </c>
      <c r="HB297">
        <v>0</v>
      </c>
      <c r="HC297">
        <f t="shared" si="246"/>
        <v>0</v>
      </c>
      <c r="HE297" t="s">
        <v>36</v>
      </c>
      <c r="HF297" t="s">
        <v>37</v>
      </c>
      <c r="HM297" t="s">
        <v>3</v>
      </c>
      <c r="HN297" t="s">
        <v>3</v>
      </c>
      <c r="HO297" t="s">
        <v>3</v>
      </c>
      <c r="HP297" t="s">
        <v>3</v>
      </c>
      <c r="HQ297" t="s">
        <v>3</v>
      </c>
      <c r="HS297">
        <v>0</v>
      </c>
      <c r="IK297">
        <v>0</v>
      </c>
    </row>
    <row r="298" spans="1:255" x14ac:dyDescent="0.2">
      <c r="A298" s="2">
        <v>17</v>
      </c>
      <c r="B298" s="2">
        <v>1</v>
      </c>
      <c r="C298" s="2"/>
      <c r="D298" s="2"/>
      <c r="E298" s="2" t="s">
        <v>317</v>
      </c>
      <c r="F298" s="2" t="s">
        <v>318</v>
      </c>
      <c r="G298" s="2" t="s">
        <v>319</v>
      </c>
      <c r="H298" s="2" t="s">
        <v>31</v>
      </c>
      <c r="I298" s="2">
        <v>13</v>
      </c>
      <c r="J298" s="2">
        <v>0</v>
      </c>
      <c r="K298" s="2">
        <v>13</v>
      </c>
      <c r="L298" s="2"/>
      <c r="M298" s="2"/>
      <c r="N298" s="2"/>
      <c r="O298" s="2">
        <f t="shared" si="217"/>
        <v>2738.97</v>
      </c>
      <c r="P298" s="2">
        <f t="shared" si="255"/>
        <v>2738.97</v>
      </c>
      <c r="Q298" s="2">
        <f t="shared" si="256"/>
        <v>0</v>
      </c>
      <c r="R298" s="2">
        <f t="shared" si="218"/>
        <v>0</v>
      </c>
      <c r="S298" s="2">
        <f t="shared" si="219"/>
        <v>0</v>
      </c>
      <c r="T298" s="2">
        <f t="shared" si="220"/>
        <v>0</v>
      </c>
      <c r="U298" s="2">
        <f t="shared" si="221"/>
        <v>0</v>
      </c>
      <c r="V298" s="2">
        <f t="shared" si="222"/>
        <v>0</v>
      </c>
      <c r="W298" s="2">
        <f t="shared" si="223"/>
        <v>0</v>
      </c>
      <c r="X298" s="2">
        <f t="shared" si="224"/>
        <v>0</v>
      </c>
      <c r="Y298" s="2">
        <f t="shared" si="225"/>
        <v>0</v>
      </c>
      <c r="Z298" s="2"/>
      <c r="AA298" s="2">
        <v>56959434</v>
      </c>
      <c r="AB298" s="2">
        <f t="shared" si="226"/>
        <v>210.69</v>
      </c>
      <c r="AC298" s="2">
        <f t="shared" si="227"/>
        <v>210.69</v>
      </c>
      <c r="AD298" s="2">
        <f t="shared" si="257"/>
        <v>0</v>
      </c>
      <c r="AE298" s="2">
        <f t="shared" si="258"/>
        <v>0</v>
      </c>
      <c r="AF298" s="2">
        <f t="shared" si="259"/>
        <v>0</v>
      </c>
      <c r="AG298" s="2">
        <f t="shared" si="228"/>
        <v>0</v>
      </c>
      <c r="AH298" s="2">
        <f t="shared" si="260"/>
        <v>0</v>
      </c>
      <c r="AI298" s="2">
        <f t="shared" si="261"/>
        <v>0</v>
      </c>
      <c r="AJ298" s="2">
        <f t="shared" si="229"/>
        <v>0</v>
      </c>
      <c r="AK298" s="2">
        <v>210.69</v>
      </c>
      <c r="AL298" s="2">
        <v>210.69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3</v>
      </c>
      <c r="BJ298" s="2" t="s">
        <v>3</v>
      </c>
      <c r="BK298" s="2"/>
      <c r="BL298" s="2"/>
      <c r="BM298" s="2">
        <v>746</v>
      </c>
      <c r="BN298" s="2">
        <v>0</v>
      </c>
      <c r="BO298" s="2" t="s">
        <v>3</v>
      </c>
      <c r="BP298" s="2">
        <v>0</v>
      </c>
      <c r="BQ298" s="2">
        <v>130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0</v>
      </c>
      <c r="CA298" s="2">
        <v>0</v>
      </c>
      <c r="CB298" s="2" t="s">
        <v>3</v>
      </c>
      <c r="CC298" s="2"/>
      <c r="CD298" s="2"/>
      <c r="CE298" s="2">
        <v>30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3</v>
      </c>
      <c r="CO298" s="2">
        <v>0</v>
      </c>
      <c r="CP298" s="2">
        <f t="shared" si="230"/>
        <v>2738.97</v>
      </c>
      <c r="CQ298" s="2">
        <f t="shared" si="262"/>
        <v>210.69</v>
      </c>
      <c r="CR298" s="2">
        <f t="shared" si="263"/>
        <v>0</v>
      </c>
      <c r="CS298" s="2">
        <f t="shared" si="231"/>
        <v>0</v>
      </c>
      <c r="CT298" s="2">
        <f t="shared" si="232"/>
        <v>0</v>
      </c>
      <c r="CU298" s="2">
        <f t="shared" si="233"/>
        <v>0</v>
      </c>
      <c r="CV298" s="2">
        <f t="shared" si="234"/>
        <v>0</v>
      </c>
      <c r="CW298" s="2">
        <f t="shared" si="235"/>
        <v>0</v>
      </c>
      <c r="CX298" s="2">
        <f t="shared" si="236"/>
        <v>0</v>
      </c>
      <c r="CY298" s="2">
        <f t="shared" si="237"/>
        <v>0</v>
      </c>
      <c r="CZ298" s="2">
        <f t="shared" si="238"/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1010</v>
      </c>
      <c r="DV298" s="2" t="s">
        <v>31</v>
      </c>
      <c r="DW298" s="2" t="s">
        <v>31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55992259</v>
      </c>
      <c r="EF298" s="2">
        <v>130</v>
      </c>
      <c r="EG298" s="2" t="s">
        <v>32</v>
      </c>
      <c r="EH298" s="2">
        <v>0</v>
      </c>
      <c r="EI298" s="2" t="s">
        <v>3</v>
      </c>
      <c r="EJ298" s="2">
        <v>3</v>
      </c>
      <c r="EK298" s="2">
        <v>746</v>
      </c>
      <c r="EL298" s="2" t="s">
        <v>33</v>
      </c>
      <c r="EM298" s="2" t="s">
        <v>34</v>
      </c>
      <c r="EN298" s="2"/>
      <c r="EO298" s="2" t="s">
        <v>3</v>
      </c>
      <c r="EP298" s="2"/>
      <c r="EQ298" s="2">
        <v>0</v>
      </c>
      <c r="ER298" s="2">
        <v>0</v>
      </c>
      <c r="ES298" s="2">
        <v>210.69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f t="shared" si="264"/>
        <v>2738.97</v>
      </c>
      <c r="FS298" s="2">
        <v>0</v>
      </c>
      <c r="FT298" s="2"/>
      <c r="FU298" s="2"/>
      <c r="FV298" s="2"/>
      <c r="FW298" s="2"/>
      <c r="FX298" s="2">
        <v>0</v>
      </c>
      <c r="FY298" s="2">
        <v>0</v>
      </c>
      <c r="FZ298" s="2"/>
      <c r="GA298" s="2" t="s">
        <v>320</v>
      </c>
      <c r="GB298" s="2"/>
      <c r="GC298" s="2"/>
      <c r="GD298" s="2">
        <v>1</v>
      </c>
      <c r="GE298" s="2"/>
      <c r="GF298" s="2">
        <v>-1336502912</v>
      </c>
      <c r="GG298" s="2">
        <v>2</v>
      </c>
      <c r="GH298" s="2">
        <v>4</v>
      </c>
      <c r="GI298" s="2">
        <v>-2</v>
      </c>
      <c r="GJ298" s="2">
        <v>0</v>
      </c>
      <c r="GK298" s="2">
        <v>0</v>
      </c>
      <c r="GL298" s="2">
        <f t="shared" si="239"/>
        <v>0</v>
      </c>
      <c r="GM298" s="2">
        <f t="shared" si="240"/>
        <v>2738.97</v>
      </c>
      <c r="GN298" s="2">
        <f t="shared" si="241"/>
        <v>0</v>
      </c>
      <c r="GO298" s="2">
        <f t="shared" si="242"/>
        <v>0</v>
      </c>
      <c r="GP298" s="2">
        <f t="shared" si="243"/>
        <v>0</v>
      </c>
      <c r="GQ298" s="2"/>
      <c r="GR298" s="2">
        <v>0</v>
      </c>
      <c r="GS298" s="2">
        <v>2</v>
      </c>
      <c r="GT298" s="2">
        <v>0</v>
      </c>
      <c r="GU298" s="2" t="s">
        <v>3</v>
      </c>
      <c r="GV298" s="2">
        <f t="shared" si="244"/>
        <v>0</v>
      </c>
      <c r="GW298" s="2">
        <v>1</v>
      </c>
      <c r="GX298" s="2">
        <f t="shared" si="245"/>
        <v>0</v>
      </c>
      <c r="GY298" s="2"/>
      <c r="GZ298" s="2"/>
      <c r="HA298" s="2">
        <v>0</v>
      </c>
      <c r="HB298" s="2">
        <v>0</v>
      </c>
      <c r="HC298" s="2">
        <f t="shared" si="246"/>
        <v>0</v>
      </c>
      <c r="HD298" s="2"/>
      <c r="HE298" s="2" t="s">
        <v>36</v>
      </c>
      <c r="HF298" s="2" t="s">
        <v>37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>
        <v>17</v>
      </c>
      <c r="B299">
        <v>1</v>
      </c>
      <c r="E299" t="s">
        <v>317</v>
      </c>
      <c r="F299" t="s">
        <v>318</v>
      </c>
      <c r="G299" t="s">
        <v>319</v>
      </c>
      <c r="H299" t="s">
        <v>31</v>
      </c>
      <c r="I299">
        <v>13</v>
      </c>
      <c r="J299">
        <v>0</v>
      </c>
      <c r="K299">
        <v>13</v>
      </c>
      <c r="O299">
        <f t="shared" si="217"/>
        <v>20980.51</v>
      </c>
      <c r="P299">
        <f t="shared" si="255"/>
        <v>20980.51</v>
      </c>
      <c r="Q299">
        <f t="shared" si="256"/>
        <v>0</v>
      </c>
      <c r="R299">
        <f t="shared" si="218"/>
        <v>0</v>
      </c>
      <c r="S299">
        <f t="shared" si="219"/>
        <v>0</v>
      </c>
      <c r="T299">
        <f t="shared" si="220"/>
        <v>0</v>
      </c>
      <c r="U299">
        <f t="shared" si="221"/>
        <v>0</v>
      </c>
      <c r="V299">
        <f t="shared" si="222"/>
        <v>0</v>
      </c>
      <c r="W299">
        <f t="shared" si="223"/>
        <v>0</v>
      </c>
      <c r="X299">
        <f t="shared" si="224"/>
        <v>0</v>
      </c>
      <c r="Y299">
        <f t="shared" si="225"/>
        <v>0</v>
      </c>
      <c r="AA299">
        <v>56959431</v>
      </c>
      <c r="AB299">
        <f t="shared" si="226"/>
        <v>210.69</v>
      </c>
      <c r="AC299">
        <f t="shared" si="227"/>
        <v>210.69</v>
      </c>
      <c r="AD299">
        <f t="shared" si="257"/>
        <v>0</v>
      </c>
      <c r="AE299">
        <f t="shared" si="258"/>
        <v>0</v>
      </c>
      <c r="AF299">
        <f t="shared" si="259"/>
        <v>0</v>
      </c>
      <c r="AG299">
        <f t="shared" si="228"/>
        <v>0</v>
      </c>
      <c r="AH299">
        <f t="shared" si="260"/>
        <v>0</v>
      </c>
      <c r="AI299">
        <f t="shared" si="261"/>
        <v>0</v>
      </c>
      <c r="AJ299">
        <f t="shared" si="229"/>
        <v>0</v>
      </c>
      <c r="AK299">
        <v>210.69</v>
      </c>
      <c r="AL299">
        <v>210.69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1</v>
      </c>
      <c r="AZ299">
        <v>1</v>
      </c>
      <c r="BA299">
        <v>1</v>
      </c>
      <c r="BB299">
        <v>1</v>
      </c>
      <c r="BC299">
        <v>7.66</v>
      </c>
      <c r="BD299" t="s">
        <v>3</v>
      </c>
      <c r="BE299" t="s">
        <v>3</v>
      </c>
      <c r="BF299" t="s">
        <v>3</v>
      </c>
      <c r="BG299" t="s">
        <v>3</v>
      </c>
      <c r="BH299">
        <v>3</v>
      </c>
      <c r="BI299">
        <v>3</v>
      </c>
      <c r="BJ299" t="s">
        <v>3</v>
      </c>
      <c r="BM299">
        <v>746</v>
      </c>
      <c r="BN299">
        <v>0</v>
      </c>
      <c r="BO299" t="s">
        <v>3</v>
      </c>
      <c r="BP299">
        <v>0</v>
      </c>
      <c r="BQ299">
        <v>130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 t="s">
        <v>3</v>
      </c>
      <c r="BZ299">
        <v>0</v>
      </c>
      <c r="CA299">
        <v>0</v>
      </c>
      <c r="CB299" t="s">
        <v>3</v>
      </c>
      <c r="CE299">
        <v>30</v>
      </c>
      <c r="CF299">
        <v>0</v>
      </c>
      <c r="CG299">
        <v>0</v>
      </c>
      <c r="CM299">
        <v>0</v>
      </c>
      <c r="CN299" t="s">
        <v>3</v>
      </c>
      <c r="CO299">
        <v>0</v>
      </c>
      <c r="CP299">
        <f t="shared" si="230"/>
        <v>20980.51</v>
      </c>
      <c r="CQ299">
        <f t="shared" si="262"/>
        <v>1613.89</v>
      </c>
      <c r="CR299">
        <f t="shared" si="263"/>
        <v>0</v>
      </c>
      <c r="CS299">
        <f t="shared" si="231"/>
        <v>0</v>
      </c>
      <c r="CT299">
        <f t="shared" si="232"/>
        <v>0</v>
      </c>
      <c r="CU299">
        <f t="shared" si="233"/>
        <v>0</v>
      </c>
      <c r="CV299">
        <f t="shared" si="234"/>
        <v>0</v>
      </c>
      <c r="CW299">
        <f t="shared" si="235"/>
        <v>0</v>
      </c>
      <c r="CX299">
        <f t="shared" si="236"/>
        <v>0</v>
      </c>
      <c r="CY299">
        <f t="shared" si="237"/>
        <v>0</v>
      </c>
      <c r="CZ299">
        <f t="shared" si="238"/>
        <v>0</v>
      </c>
      <c r="DC299" t="s">
        <v>3</v>
      </c>
      <c r="DD299" t="s">
        <v>3</v>
      </c>
      <c r="DE299" t="s">
        <v>3</v>
      </c>
      <c r="DF299" t="s">
        <v>3</v>
      </c>
      <c r="DG299" t="s">
        <v>3</v>
      </c>
      <c r="DH299" t="s">
        <v>3</v>
      </c>
      <c r="DI299" t="s">
        <v>3</v>
      </c>
      <c r="DJ299" t="s">
        <v>3</v>
      </c>
      <c r="DK299" t="s">
        <v>3</v>
      </c>
      <c r="DL299" t="s">
        <v>3</v>
      </c>
      <c r="DM299" t="s">
        <v>3</v>
      </c>
      <c r="DN299">
        <v>0</v>
      </c>
      <c r="DO299">
        <v>0</v>
      </c>
      <c r="DP299">
        <v>1</v>
      </c>
      <c r="DQ299">
        <v>1</v>
      </c>
      <c r="DU299">
        <v>1010</v>
      </c>
      <c r="DV299" t="s">
        <v>31</v>
      </c>
      <c r="DW299" t="s">
        <v>31</v>
      </c>
      <c r="DX299">
        <v>1</v>
      </c>
      <c r="DZ299" t="s">
        <v>3</v>
      </c>
      <c r="EA299" t="s">
        <v>3</v>
      </c>
      <c r="EB299" t="s">
        <v>3</v>
      </c>
      <c r="EC299" t="s">
        <v>3</v>
      </c>
      <c r="EE299">
        <v>55992259</v>
      </c>
      <c r="EF299">
        <v>130</v>
      </c>
      <c r="EG299" t="s">
        <v>32</v>
      </c>
      <c r="EH299">
        <v>0</v>
      </c>
      <c r="EI299" t="s">
        <v>3</v>
      </c>
      <c r="EJ299">
        <v>3</v>
      </c>
      <c r="EK299">
        <v>746</v>
      </c>
      <c r="EL299" t="s">
        <v>33</v>
      </c>
      <c r="EM299" t="s">
        <v>34</v>
      </c>
      <c r="EO299" t="s">
        <v>3</v>
      </c>
      <c r="EQ299">
        <v>0</v>
      </c>
      <c r="ER299">
        <v>210.69</v>
      </c>
      <c r="ES299">
        <v>210.69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5</v>
      </c>
      <c r="FC299">
        <v>1</v>
      </c>
      <c r="FD299">
        <v>18</v>
      </c>
      <c r="FF299">
        <v>1858</v>
      </c>
      <c r="FQ299">
        <v>0</v>
      </c>
      <c r="FR299">
        <f t="shared" si="264"/>
        <v>20980.51</v>
      </c>
      <c r="FS299">
        <v>0</v>
      </c>
      <c r="FX299">
        <v>0</v>
      </c>
      <c r="FY299">
        <v>0</v>
      </c>
      <c r="GA299" t="s">
        <v>320</v>
      </c>
      <c r="GD299">
        <v>1</v>
      </c>
      <c r="GF299">
        <v>-1336502912</v>
      </c>
      <c r="GG299">
        <v>2</v>
      </c>
      <c r="GH299">
        <v>3</v>
      </c>
      <c r="GI299">
        <v>5</v>
      </c>
      <c r="GJ299">
        <v>0</v>
      </c>
      <c r="GK299">
        <v>0</v>
      </c>
      <c r="GL299">
        <f t="shared" si="239"/>
        <v>0</v>
      </c>
      <c r="GM299">
        <f t="shared" si="240"/>
        <v>20980.51</v>
      </c>
      <c r="GN299">
        <f t="shared" si="241"/>
        <v>0</v>
      </c>
      <c r="GO299">
        <f t="shared" si="242"/>
        <v>0</v>
      </c>
      <c r="GP299">
        <f t="shared" si="243"/>
        <v>0</v>
      </c>
      <c r="GR299">
        <v>1</v>
      </c>
      <c r="GS299">
        <v>1</v>
      </c>
      <c r="GT299">
        <v>0</v>
      </c>
      <c r="GU299" t="s">
        <v>3</v>
      </c>
      <c r="GV299">
        <f t="shared" si="244"/>
        <v>0</v>
      </c>
      <c r="GW299">
        <v>1</v>
      </c>
      <c r="GX299">
        <f t="shared" si="245"/>
        <v>0</v>
      </c>
      <c r="HA299">
        <v>0</v>
      </c>
      <c r="HB299">
        <v>0</v>
      </c>
      <c r="HC299">
        <f t="shared" si="246"/>
        <v>0</v>
      </c>
      <c r="HE299" t="s">
        <v>36</v>
      </c>
      <c r="HF299" t="s">
        <v>37</v>
      </c>
      <c r="HM299" t="s">
        <v>3</v>
      </c>
      <c r="HN299" t="s">
        <v>3</v>
      </c>
      <c r="HO299" t="s">
        <v>3</v>
      </c>
      <c r="HP299" t="s">
        <v>3</v>
      </c>
      <c r="HQ299" t="s">
        <v>3</v>
      </c>
      <c r="HS299">
        <v>0</v>
      </c>
      <c r="IK299">
        <v>0</v>
      </c>
    </row>
    <row r="300" spans="1:255" x14ac:dyDescent="0.2">
      <c r="A300" s="2">
        <v>17</v>
      </c>
      <c r="B300" s="2">
        <v>1</v>
      </c>
      <c r="C300" s="2"/>
      <c r="D300" s="2"/>
      <c r="E300" s="2" t="s">
        <v>321</v>
      </c>
      <c r="F300" s="2" t="s">
        <v>322</v>
      </c>
      <c r="G300" s="2" t="s">
        <v>323</v>
      </c>
      <c r="H300" s="2" t="s">
        <v>31</v>
      </c>
      <c r="I300" s="2">
        <v>11</v>
      </c>
      <c r="J300" s="2">
        <v>0</v>
      </c>
      <c r="K300" s="2">
        <v>11</v>
      </c>
      <c r="L300" s="2"/>
      <c r="M300" s="2"/>
      <c r="N300" s="2"/>
      <c r="O300" s="2">
        <f t="shared" si="217"/>
        <v>4455.66</v>
      </c>
      <c r="P300" s="2">
        <f t="shared" si="255"/>
        <v>4455.66</v>
      </c>
      <c r="Q300" s="2">
        <f t="shared" si="256"/>
        <v>0</v>
      </c>
      <c r="R300" s="2">
        <f t="shared" si="218"/>
        <v>0</v>
      </c>
      <c r="S300" s="2">
        <f t="shared" si="219"/>
        <v>0</v>
      </c>
      <c r="T300" s="2">
        <f t="shared" si="220"/>
        <v>0</v>
      </c>
      <c r="U300" s="2">
        <f t="shared" si="221"/>
        <v>0</v>
      </c>
      <c r="V300" s="2">
        <f t="shared" si="222"/>
        <v>0</v>
      </c>
      <c r="W300" s="2">
        <f t="shared" si="223"/>
        <v>0</v>
      </c>
      <c r="X300" s="2">
        <f t="shared" si="224"/>
        <v>0</v>
      </c>
      <c r="Y300" s="2">
        <f t="shared" si="225"/>
        <v>0</v>
      </c>
      <c r="Z300" s="2"/>
      <c r="AA300" s="2">
        <v>56959434</v>
      </c>
      <c r="AB300" s="2">
        <f t="shared" si="226"/>
        <v>405.06</v>
      </c>
      <c r="AC300" s="2">
        <f t="shared" si="227"/>
        <v>405.06</v>
      </c>
      <c r="AD300" s="2">
        <f t="shared" si="257"/>
        <v>0</v>
      </c>
      <c r="AE300" s="2">
        <f t="shared" si="258"/>
        <v>0</v>
      </c>
      <c r="AF300" s="2">
        <f t="shared" si="259"/>
        <v>0</v>
      </c>
      <c r="AG300" s="2">
        <f t="shared" si="228"/>
        <v>0</v>
      </c>
      <c r="AH300" s="2">
        <f t="shared" si="260"/>
        <v>0</v>
      </c>
      <c r="AI300" s="2">
        <f t="shared" si="261"/>
        <v>0</v>
      </c>
      <c r="AJ300" s="2">
        <f t="shared" si="229"/>
        <v>0</v>
      </c>
      <c r="AK300" s="2">
        <v>405.06000000000006</v>
      </c>
      <c r="AL300" s="2">
        <v>405.06000000000006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1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3</v>
      </c>
      <c r="BI300" s="2">
        <v>3</v>
      </c>
      <c r="BJ300" s="2" t="s">
        <v>3</v>
      </c>
      <c r="BK300" s="2"/>
      <c r="BL300" s="2"/>
      <c r="BM300" s="2">
        <v>746</v>
      </c>
      <c r="BN300" s="2">
        <v>0</v>
      </c>
      <c r="BO300" s="2" t="s">
        <v>3</v>
      </c>
      <c r="BP300" s="2">
        <v>0</v>
      </c>
      <c r="BQ300" s="2">
        <v>130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0</v>
      </c>
      <c r="CA300" s="2">
        <v>0</v>
      </c>
      <c r="CB300" s="2" t="s">
        <v>3</v>
      </c>
      <c r="CC300" s="2"/>
      <c r="CD300" s="2"/>
      <c r="CE300" s="2">
        <v>30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3</v>
      </c>
      <c r="CO300" s="2">
        <v>0</v>
      </c>
      <c r="CP300" s="2">
        <f t="shared" si="230"/>
        <v>4455.66</v>
      </c>
      <c r="CQ300" s="2">
        <f t="shared" si="262"/>
        <v>405.06</v>
      </c>
      <c r="CR300" s="2">
        <f t="shared" si="263"/>
        <v>0</v>
      </c>
      <c r="CS300" s="2">
        <f t="shared" si="231"/>
        <v>0</v>
      </c>
      <c r="CT300" s="2">
        <f t="shared" si="232"/>
        <v>0</v>
      </c>
      <c r="CU300" s="2">
        <f t="shared" si="233"/>
        <v>0</v>
      </c>
      <c r="CV300" s="2">
        <f t="shared" si="234"/>
        <v>0</v>
      </c>
      <c r="CW300" s="2">
        <f t="shared" si="235"/>
        <v>0</v>
      </c>
      <c r="CX300" s="2">
        <f t="shared" si="236"/>
        <v>0</v>
      </c>
      <c r="CY300" s="2">
        <f t="shared" si="237"/>
        <v>0</v>
      </c>
      <c r="CZ300" s="2">
        <f t="shared" si="238"/>
        <v>0</v>
      </c>
      <c r="DA300" s="2"/>
      <c r="DB300" s="2"/>
      <c r="DC300" s="2" t="s">
        <v>3</v>
      </c>
      <c r="DD300" s="2" t="s">
        <v>3</v>
      </c>
      <c r="DE300" s="2" t="s">
        <v>3</v>
      </c>
      <c r="DF300" s="2" t="s">
        <v>3</v>
      </c>
      <c r="DG300" s="2" t="s">
        <v>3</v>
      </c>
      <c r="DH300" s="2" t="s">
        <v>3</v>
      </c>
      <c r="DI300" s="2" t="s">
        <v>3</v>
      </c>
      <c r="DJ300" s="2" t="s">
        <v>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1010</v>
      </c>
      <c r="DV300" s="2" t="s">
        <v>31</v>
      </c>
      <c r="DW300" s="2" t="s">
        <v>31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55992259</v>
      </c>
      <c r="EF300" s="2">
        <v>130</v>
      </c>
      <c r="EG300" s="2" t="s">
        <v>32</v>
      </c>
      <c r="EH300" s="2">
        <v>0</v>
      </c>
      <c r="EI300" s="2" t="s">
        <v>3</v>
      </c>
      <c r="EJ300" s="2">
        <v>3</v>
      </c>
      <c r="EK300" s="2">
        <v>746</v>
      </c>
      <c r="EL300" s="2" t="s">
        <v>33</v>
      </c>
      <c r="EM300" s="2" t="s">
        <v>34</v>
      </c>
      <c r="EN300" s="2"/>
      <c r="EO300" s="2" t="s">
        <v>3</v>
      </c>
      <c r="EP300" s="2"/>
      <c r="EQ300" s="2">
        <v>0</v>
      </c>
      <c r="ER300" s="2">
        <v>0</v>
      </c>
      <c r="ES300" s="2">
        <v>405.06000000000006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f t="shared" si="264"/>
        <v>4455.66</v>
      </c>
      <c r="FS300" s="2">
        <v>0</v>
      </c>
      <c r="FT300" s="2"/>
      <c r="FU300" s="2"/>
      <c r="FV300" s="2"/>
      <c r="FW300" s="2"/>
      <c r="FX300" s="2">
        <v>0</v>
      </c>
      <c r="FY300" s="2">
        <v>0</v>
      </c>
      <c r="FZ300" s="2"/>
      <c r="GA300" s="2" t="s">
        <v>324</v>
      </c>
      <c r="GB300" s="2"/>
      <c r="GC300" s="2"/>
      <c r="GD300" s="2">
        <v>1</v>
      </c>
      <c r="GE300" s="2"/>
      <c r="GF300" s="2">
        <v>672752232</v>
      </c>
      <c r="GG300" s="2">
        <v>2</v>
      </c>
      <c r="GH300" s="2">
        <v>4</v>
      </c>
      <c r="GI300" s="2">
        <v>-2</v>
      </c>
      <c r="GJ300" s="2">
        <v>0</v>
      </c>
      <c r="GK300" s="2">
        <v>0</v>
      </c>
      <c r="GL300" s="2">
        <f t="shared" si="239"/>
        <v>0</v>
      </c>
      <c r="GM300" s="2">
        <f t="shared" si="240"/>
        <v>4455.66</v>
      </c>
      <c r="GN300" s="2">
        <f t="shared" si="241"/>
        <v>0</v>
      </c>
      <c r="GO300" s="2">
        <f t="shared" si="242"/>
        <v>0</v>
      </c>
      <c r="GP300" s="2">
        <f t="shared" si="243"/>
        <v>0</v>
      </c>
      <c r="GQ300" s="2"/>
      <c r="GR300" s="2">
        <v>0</v>
      </c>
      <c r="GS300" s="2">
        <v>2</v>
      </c>
      <c r="GT300" s="2">
        <v>0</v>
      </c>
      <c r="GU300" s="2" t="s">
        <v>3</v>
      </c>
      <c r="GV300" s="2">
        <f t="shared" si="244"/>
        <v>0</v>
      </c>
      <c r="GW300" s="2">
        <v>1</v>
      </c>
      <c r="GX300" s="2">
        <f t="shared" si="245"/>
        <v>0</v>
      </c>
      <c r="GY300" s="2"/>
      <c r="GZ300" s="2"/>
      <c r="HA300" s="2">
        <v>0</v>
      </c>
      <c r="HB300" s="2">
        <v>0</v>
      </c>
      <c r="HC300" s="2">
        <f t="shared" si="246"/>
        <v>0</v>
      </c>
      <c r="HD300" s="2"/>
      <c r="HE300" s="2" t="s">
        <v>36</v>
      </c>
      <c r="HF300" s="2" t="s">
        <v>37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>
        <v>17</v>
      </c>
      <c r="B301">
        <v>1</v>
      </c>
      <c r="E301" t="s">
        <v>321</v>
      </c>
      <c r="F301" t="s">
        <v>322</v>
      </c>
      <c r="G301" t="s">
        <v>323</v>
      </c>
      <c r="H301" t="s">
        <v>31</v>
      </c>
      <c r="I301">
        <v>11</v>
      </c>
      <c r="J301">
        <v>0</v>
      </c>
      <c r="K301">
        <v>11</v>
      </c>
      <c r="O301">
        <f t="shared" si="217"/>
        <v>34130.36</v>
      </c>
      <c r="P301">
        <f t="shared" si="255"/>
        <v>34130.36</v>
      </c>
      <c r="Q301">
        <f t="shared" si="256"/>
        <v>0</v>
      </c>
      <c r="R301">
        <f t="shared" si="218"/>
        <v>0</v>
      </c>
      <c r="S301">
        <f t="shared" si="219"/>
        <v>0</v>
      </c>
      <c r="T301">
        <f t="shared" si="220"/>
        <v>0</v>
      </c>
      <c r="U301">
        <f t="shared" si="221"/>
        <v>0</v>
      </c>
      <c r="V301">
        <f t="shared" si="222"/>
        <v>0</v>
      </c>
      <c r="W301">
        <f t="shared" si="223"/>
        <v>0</v>
      </c>
      <c r="X301">
        <f t="shared" si="224"/>
        <v>0</v>
      </c>
      <c r="Y301">
        <f t="shared" si="225"/>
        <v>0</v>
      </c>
      <c r="AA301">
        <v>56959431</v>
      </c>
      <c r="AB301">
        <f t="shared" si="226"/>
        <v>405.06</v>
      </c>
      <c r="AC301">
        <f t="shared" si="227"/>
        <v>405.06</v>
      </c>
      <c r="AD301">
        <f t="shared" si="257"/>
        <v>0</v>
      </c>
      <c r="AE301">
        <f t="shared" si="258"/>
        <v>0</v>
      </c>
      <c r="AF301">
        <f t="shared" si="259"/>
        <v>0</v>
      </c>
      <c r="AG301">
        <f t="shared" si="228"/>
        <v>0</v>
      </c>
      <c r="AH301">
        <f t="shared" si="260"/>
        <v>0</v>
      </c>
      <c r="AI301">
        <f t="shared" si="261"/>
        <v>0</v>
      </c>
      <c r="AJ301">
        <f t="shared" si="229"/>
        <v>0</v>
      </c>
      <c r="AK301">
        <v>405.06000000000006</v>
      </c>
      <c r="AL301">
        <v>405.06000000000006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1</v>
      </c>
      <c r="AZ301">
        <v>1</v>
      </c>
      <c r="BA301">
        <v>1</v>
      </c>
      <c r="BB301">
        <v>1</v>
      </c>
      <c r="BC301">
        <v>7.66</v>
      </c>
      <c r="BD301" t="s">
        <v>3</v>
      </c>
      <c r="BE301" t="s">
        <v>3</v>
      </c>
      <c r="BF301" t="s">
        <v>3</v>
      </c>
      <c r="BG301" t="s">
        <v>3</v>
      </c>
      <c r="BH301">
        <v>3</v>
      </c>
      <c r="BI301">
        <v>3</v>
      </c>
      <c r="BJ301" t="s">
        <v>3</v>
      </c>
      <c r="BM301">
        <v>746</v>
      </c>
      <c r="BN301">
        <v>0</v>
      </c>
      <c r="BO301" t="s">
        <v>3</v>
      </c>
      <c r="BP301">
        <v>0</v>
      </c>
      <c r="BQ301">
        <v>130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 t="s">
        <v>3</v>
      </c>
      <c r="BZ301">
        <v>0</v>
      </c>
      <c r="CA301">
        <v>0</v>
      </c>
      <c r="CB301" t="s">
        <v>3</v>
      </c>
      <c r="CE301">
        <v>30</v>
      </c>
      <c r="CF301">
        <v>0</v>
      </c>
      <c r="CG301">
        <v>0</v>
      </c>
      <c r="CM301">
        <v>0</v>
      </c>
      <c r="CN301" t="s">
        <v>3</v>
      </c>
      <c r="CO301">
        <v>0</v>
      </c>
      <c r="CP301">
        <f t="shared" si="230"/>
        <v>34130.36</v>
      </c>
      <c r="CQ301">
        <f t="shared" si="262"/>
        <v>3102.76</v>
      </c>
      <c r="CR301">
        <f t="shared" si="263"/>
        <v>0</v>
      </c>
      <c r="CS301">
        <f t="shared" si="231"/>
        <v>0</v>
      </c>
      <c r="CT301">
        <f t="shared" si="232"/>
        <v>0</v>
      </c>
      <c r="CU301">
        <f t="shared" si="233"/>
        <v>0</v>
      </c>
      <c r="CV301">
        <f t="shared" si="234"/>
        <v>0</v>
      </c>
      <c r="CW301">
        <f t="shared" si="235"/>
        <v>0</v>
      </c>
      <c r="CX301">
        <f t="shared" si="236"/>
        <v>0</v>
      </c>
      <c r="CY301">
        <f t="shared" si="237"/>
        <v>0</v>
      </c>
      <c r="CZ301">
        <f t="shared" si="238"/>
        <v>0</v>
      </c>
      <c r="DC301" t="s">
        <v>3</v>
      </c>
      <c r="DD301" t="s">
        <v>3</v>
      </c>
      <c r="DE301" t="s">
        <v>3</v>
      </c>
      <c r="DF301" t="s">
        <v>3</v>
      </c>
      <c r="DG301" t="s">
        <v>3</v>
      </c>
      <c r="DH301" t="s">
        <v>3</v>
      </c>
      <c r="DI301" t="s">
        <v>3</v>
      </c>
      <c r="DJ301" t="s">
        <v>3</v>
      </c>
      <c r="DK301" t="s">
        <v>3</v>
      </c>
      <c r="DL301" t="s">
        <v>3</v>
      </c>
      <c r="DM301" t="s">
        <v>3</v>
      </c>
      <c r="DN301">
        <v>0</v>
      </c>
      <c r="DO301">
        <v>0</v>
      </c>
      <c r="DP301">
        <v>1</v>
      </c>
      <c r="DQ301">
        <v>1</v>
      </c>
      <c r="DU301">
        <v>1010</v>
      </c>
      <c r="DV301" t="s">
        <v>31</v>
      </c>
      <c r="DW301" t="s">
        <v>31</v>
      </c>
      <c r="DX301">
        <v>1</v>
      </c>
      <c r="DZ301" t="s">
        <v>3</v>
      </c>
      <c r="EA301" t="s">
        <v>3</v>
      </c>
      <c r="EB301" t="s">
        <v>3</v>
      </c>
      <c r="EC301" t="s">
        <v>3</v>
      </c>
      <c r="EE301">
        <v>55992259</v>
      </c>
      <c r="EF301">
        <v>130</v>
      </c>
      <c r="EG301" t="s">
        <v>32</v>
      </c>
      <c r="EH301">
        <v>0</v>
      </c>
      <c r="EI301" t="s">
        <v>3</v>
      </c>
      <c r="EJ301">
        <v>3</v>
      </c>
      <c r="EK301">
        <v>746</v>
      </c>
      <c r="EL301" t="s">
        <v>33</v>
      </c>
      <c r="EM301" t="s">
        <v>34</v>
      </c>
      <c r="EO301" t="s">
        <v>3</v>
      </c>
      <c r="EQ301">
        <v>0</v>
      </c>
      <c r="ER301">
        <v>405.06000000000006</v>
      </c>
      <c r="ES301">
        <v>405.06000000000006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5</v>
      </c>
      <c r="FC301">
        <v>1</v>
      </c>
      <c r="FD301">
        <v>18</v>
      </c>
      <c r="FF301">
        <v>3572</v>
      </c>
      <c r="FQ301">
        <v>0</v>
      </c>
      <c r="FR301">
        <f t="shared" si="264"/>
        <v>34130.36</v>
      </c>
      <c r="FS301">
        <v>0</v>
      </c>
      <c r="FX301">
        <v>0</v>
      </c>
      <c r="FY301">
        <v>0</v>
      </c>
      <c r="GA301" t="s">
        <v>324</v>
      </c>
      <c r="GD301">
        <v>1</v>
      </c>
      <c r="GF301">
        <v>672752232</v>
      </c>
      <c r="GG301">
        <v>2</v>
      </c>
      <c r="GH301">
        <v>3</v>
      </c>
      <c r="GI301">
        <v>5</v>
      </c>
      <c r="GJ301">
        <v>0</v>
      </c>
      <c r="GK301">
        <v>0</v>
      </c>
      <c r="GL301">
        <f t="shared" si="239"/>
        <v>0</v>
      </c>
      <c r="GM301">
        <f t="shared" si="240"/>
        <v>34130.36</v>
      </c>
      <c r="GN301">
        <f t="shared" si="241"/>
        <v>0</v>
      </c>
      <c r="GO301">
        <f t="shared" si="242"/>
        <v>0</v>
      </c>
      <c r="GP301">
        <f t="shared" si="243"/>
        <v>0</v>
      </c>
      <c r="GR301">
        <v>1</v>
      </c>
      <c r="GS301">
        <v>1</v>
      </c>
      <c r="GT301">
        <v>0</v>
      </c>
      <c r="GU301" t="s">
        <v>3</v>
      </c>
      <c r="GV301">
        <f t="shared" si="244"/>
        <v>0</v>
      </c>
      <c r="GW301">
        <v>1</v>
      </c>
      <c r="GX301">
        <f t="shared" si="245"/>
        <v>0</v>
      </c>
      <c r="HA301">
        <v>0</v>
      </c>
      <c r="HB301">
        <v>0</v>
      </c>
      <c r="HC301">
        <f t="shared" si="246"/>
        <v>0</v>
      </c>
      <c r="HE301" t="s">
        <v>36</v>
      </c>
      <c r="HF301" t="s">
        <v>37</v>
      </c>
      <c r="HM301" t="s">
        <v>3</v>
      </c>
      <c r="HN301" t="s">
        <v>3</v>
      </c>
      <c r="HO301" t="s">
        <v>3</v>
      </c>
      <c r="HP301" t="s">
        <v>3</v>
      </c>
      <c r="HQ301" t="s">
        <v>3</v>
      </c>
      <c r="HS301">
        <v>0</v>
      </c>
      <c r="IK301">
        <v>0</v>
      </c>
    </row>
    <row r="302" spans="1:255" x14ac:dyDescent="0.2">
      <c r="A302" s="2">
        <v>17</v>
      </c>
      <c r="B302" s="2">
        <v>1</v>
      </c>
      <c r="C302" s="2"/>
      <c r="D302" s="2"/>
      <c r="E302" s="2" t="s">
        <v>325</v>
      </c>
      <c r="F302" s="2" t="s">
        <v>326</v>
      </c>
      <c r="G302" s="2" t="s">
        <v>327</v>
      </c>
      <c r="H302" s="2" t="s">
        <v>31</v>
      </c>
      <c r="I302" s="2">
        <v>2</v>
      </c>
      <c r="J302" s="2">
        <v>0</v>
      </c>
      <c r="K302" s="2">
        <v>2</v>
      </c>
      <c r="L302" s="2"/>
      <c r="M302" s="2"/>
      <c r="N302" s="2"/>
      <c r="O302" s="2">
        <f t="shared" si="217"/>
        <v>791.52</v>
      </c>
      <c r="P302" s="2">
        <f t="shared" si="255"/>
        <v>791.52</v>
      </c>
      <c r="Q302" s="2">
        <f t="shared" si="256"/>
        <v>0</v>
      </c>
      <c r="R302" s="2">
        <f t="shared" si="218"/>
        <v>0</v>
      </c>
      <c r="S302" s="2">
        <f t="shared" si="219"/>
        <v>0</v>
      </c>
      <c r="T302" s="2">
        <f t="shared" si="220"/>
        <v>0</v>
      </c>
      <c r="U302" s="2">
        <f t="shared" si="221"/>
        <v>0</v>
      </c>
      <c r="V302" s="2">
        <f t="shared" si="222"/>
        <v>0</v>
      </c>
      <c r="W302" s="2">
        <f t="shared" si="223"/>
        <v>0</v>
      </c>
      <c r="X302" s="2">
        <f t="shared" si="224"/>
        <v>0</v>
      </c>
      <c r="Y302" s="2">
        <f t="shared" si="225"/>
        <v>0</v>
      </c>
      <c r="Z302" s="2"/>
      <c r="AA302" s="2">
        <v>56959434</v>
      </c>
      <c r="AB302" s="2">
        <f t="shared" si="226"/>
        <v>395.76</v>
      </c>
      <c r="AC302" s="2">
        <f t="shared" si="227"/>
        <v>395.76</v>
      </c>
      <c r="AD302" s="2">
        <f t="shared" si="257"/>
        <v>0</v>
      </c>
      <c r="AE302" s="2">
        <f t="shared" si="258"/>
        <v>0</v>
      </c>
      <c r="AF302" s="2">
        <f t="shared" si="259"/>
        <v>0</v>
      </c>
      <c r="AG302" s="2">
        <f t="shared" si="228"/>
        <v>0</v>
      </c>
      <c r="AH302" s="2">
        <f t="shared" si="260"/>
        <v>0</v>
      </c>
      <c r="AI302" s="2">
        <f t="shared" si="261"/>
        <v>0</v>
      </c>
      <c r="AJ302" s="2">
        <f t="shared" si="229"/>
        <v>0</v>
      </c>
      <c r="AK302" s="2">
        <v>395.76</v>
      </c>
      <c r="AL302" s="2">
        <v>395.76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1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3</v>
      </c>
      <c r="BI302" s="2">
        <v>3</v>
      </c>
      <c r="BJ302" s="2" t="s">
        <v>3</v>
      </c>
      <c r="BK302" s="2"/>
      <c r="BL302" s="2"/>
      <c r="BM302" s="2">
        <v>746</v>
      </c>
      <c r="BN302" s="2">
        <v>0</v>
      </c>
      <c r="BO302" s="2" t="s">
        <v>3</v>
      </c>
      <c r="BP302" s="2">
        <v>0</v>
      </c>
      <c r="BQ302" s="2">
        <v>130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0</v>
      </c>
      <c r="CA302" s="2">
        <v>0</v>
      </c>
      <c r="CB302" s="2" t="s">
        <v>3</v>
      </c>
      <c r="CC302" s="2"/>
      <c r="CD302" s="2"/>
      <c r="CE302" s="2">
        <v>30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3</v>
      </c>
      <c r="CO302" s="2">
        <v>0</v>
      </c>
      <c r="CP302" s="2">
        <f t="shared" si="230"/>
        <v>791.52</v>
      </c>
      <c r="CQ302" s="2">
        <f t="shared" si="262"/>
        <v>395.76</v>
      </c>
      <c r="CR302" s="2">
        <f t="shared" si="263"/>
        <v>0</v>
      </c>
      <c r="CS302" s="2">
        <f t="shared" si="231"/>
        <v>0</v>
      </c>
      <c r="CT302" s="2">
        <f t="shared" si="232"/>
        <v>0</v>
      </c>
      <c r="CU302" s="2">
        <f t="shared" si="233"/>
        <v>0</v>
      </c>
      <c r="CV302" s="2">
        <f t="shared" si="234"/>
        <v>0</v>
      </c>
      <c r="CW302" s="2">
        <f t="shared" si="235"/>
        <v>0</v>
      </c>
      <c r="CX302" s="2">
        <f t="shared" si="236"/>
        <v>0</v>
      </c>
      <c r="CY302" s="2">
        <f t="shared" si="237"/>
        <v>0</v>
      </c>
      <c r="CZ302" s="2">
        <f t="shared" si="238"/>
        <v>0</v>
      </c>
      <c r="DA302" s="2"/>
      <c r="DB302" s="2"/>
      <c r="DC302" s="2" t="s">
        <v>3</v>
      </c>
      <c r="DD302" s="2" t="s">
        <v>3</v>
      </c>
      <c r="DE302" s="2" t="s">
        <v>3</v>
      </c>
      <c r="DF302" s="2" t="s">
        <v>3</v>
      </c>
      <c r="DG302" s="2" t="s">
        <v>3</v>
      </c>
      <c r="DH302" s="2" t="s">
        <v>3</v>
      </c>
      <c r="DI302" s="2" t="s">
        <v>3</v>
      </c>
      <c r="DJ302" s="2" t="s">
        <v>3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1010</v>
      </c>
      <c r="DV302" s="2" t="s">
        <v>31</v>
      </c>
      <c r="DW302" s="2" t="s">
        <v>31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55992259</v>
      </c>
      <c r="EF302" s="2">
        <v>130</v>
      </c>
      <c r="EG302" s="2" t="s">
        <v>32</v>
      </c>
      <c r="EH302" s="2">
        <v>0</v>
      </c>
      <c r="EI302" s="2" t="s">
        <v>3</v>
      </c>
      <c r="EJ302" s="2">
        <v>3</v>
      </c>
      <c r="EK302" s="2">
        <v>746</v>
      </c>
      <c r="EL302" s="2" t="s">
        <v>33</v>
      </c>
      <c r="EM302" s="2" t="s">
        <v>34</v>
      </c>
      <c r="EN302" s="2"/>
      <c r="EO302" s="2" t="s">
        <v>3</v>
      </c>
      <c r="EP302" s="2"/>
      <c r="EQ302" s="2">
        <v>0</v>
      </c>
      <c r="ER302" s="2">
        <v>0</v>
      </c>
      <c r="ES302" s="2">
        <v>395.76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f t="shared" si="264"/>
        <v>791.52</v>
      </c>
      <c r="FS302" s="2">
        <v>0</v>
      </c>
      <c r="FT302" s="2"/>
      <c r="FU302" s="2"/>
      <c r="FV302" s="2"/>
      <c r="FW302" s="2"/>
      <c r="FX302" s="2">
        <v>0</v>
      </c>
      <c r="FY302" s="2">
        <v>0</v>
      </c>
      <c r="FZ302" s="2"/>
      <c r="GA302" s="2" t="s">
        <v>328</v>
      </c>
      <c r="GB302" s="2"/>
      <c r="GC302" s="2"/>
      <c r="GD302" s="2">
        <v>1</v>
      </c>
      <c r="GE302" s="2"/>
      <c r="GF302" s="2">
        <v>-1052135755</v>
      </c>
      <c r="GG302" s="2">
        <v>2</v>
      </c>
      <c r="GH302" s="2">
        <v>4</v>
      </c>
      <c r="GI302" s="2">
        <v>-2</v>
      </c>
      <c r="GJ302" s="2">
        <v>0</v>
      </c>
      <c r="GK302" s="2">
        <v>0</v>
      </c>
      <c r="GL302" s="2">
        <f t="shared" si="239"/>
        <v>0</v>
      </c>
      <c r="GM302" s="2">
        <f t="shared" si="240"/>
        <v>791.52</v>
      </c>
      <c r="GN302" s="2">
        <f t="shared" si="241"/>
        <v>0</v>
      </c>
      <c r="GO302" s="2">
        <f t="shared" si="242"/>
        <v>0</v>
      </c>
      <c r="GP302" s="2">
        <f t="shared" si="243"/>
        <v>0</v>
      </c>
      <c r="GQ302" s="2"/>
      <c r="GR302" s="2">
        <v>0</v>
      </c>
      <c r="GS302" s="2">
        <v>2</v>
      </c>
      <c r="GT302" s="2">
        <v>0</v>
      </c>
      <c r="GU302" s="2" t="s">
        <v>3</v>
      </c>
      <c r="GV302" s="2">
        <f t="shared" si="244"/>
        <v>0</v>
      </c>
      <c r="GW302" s="2">
        <v>1</v>
      </c>
      <c r="GX302" s="2">
        <f t="shared" si="245"/>
        <v>0</v>
      </c>
      <c r="GY302" s="2"/>
      <c r="GZ302" s="2"/>
      <c r="HA302" s="2">
        <v>0</v>
      </c>
      <c r="HB302" s="2">
        <v>0</v>
      </c>
      <c r="HC302" s="2">
        <f t="shared" si="246"/>
        <v>0</v>
      </c>
      <c r="HD302" s="2"/>
      <c r="HE302" s="2" t="s">
        <v>36</v>
      </c>
      <c r="HF302" s="2" t="s">
        <v>37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>
        <v>17</v>
      </c>
      <c r="B303">
        <v>1</v>
      </c>
      <c r="E303" t="s">
        <v>325</v>
      </c>
      <c r="F303" t="s">
        <v>326</v>
      </c>
      <c r="G303" t="s">
        <v>327</v>
      </c>
      <c r="H303" t="s">
        <v>31</v>
      </c>
      <c r="I303">
        <v>2</v>
      </c>
      <c r="J303">
        <v>0</v>
      </c>
      <c r="K303">
        <v>2</v>
      </c>
      <c r="O303">
        <f t="shared" si="217"/>
        <v>6063.04</v>
      </c>
      <c r="P303">
        <f t="shared" si="255"/>
        <v>6063.04</v>
      </c>
      <c r="Q303">
        <f t="shared" si="256"/>
        <v>0</v>
      </c>
      <c r="R303">
        <f t="shared" si="218"/>
        <v>0</v>
      </c>
      <c r="S303">
        <f t="shared" si="219"/>
        <v>0</v>
      </c>
      <c r="T303">
        <f t="shared" si="220"/>
        <v>0</v>
      </c>
      <c r="U303">
        <f t="shared" si="221"/>
        <v>0</v>
      </c>
      <c r="V303">
        <f t="shared" si="222"/>
        <v>0</v>
      </c>
      <c r="W303">
        <f t="shared" si="223"/>
        <v>0</v>
      </c>
      <c r="X303">
        <f t="shared" si="224"/>
        <v>0</v>
      </c>
      <c r="Y303">
        <f t="shared" si="225"/>
        <v>0</v>
      </c>
      <c r="AA303">
        <v>56959431</v>
      </c>
      <c r="AB303">
        <f t="shared" si="226"/>
        <v>395.76</v>
      </c>
      <c r="AC303">
        <f t="shared" si="227"/>
        <v>395.76</v>
      </c>
      <c r="AD303">
        <f t="shared" si="257"/>
        <v>0</v>
      </c>
      <c r="AE303">
        <f t="shared" si="258"/>
        <v>0</v>
      </c>
      <c r="AF303">
        <f t="shared" si="259"/>
        <v>0</v>
      </c>
      <c r="AG303">
        <f t="shared" si="228"/>
        <v>0</v>
      </c>
      <c r="AH303">
        <f t="shared" si="260"/>
        <v>0</v>
      </c>
      <c r="AI303">
        <f t="shared" si="261"/>
        <v>0</v>
      </c>
      <c r="AJ303">
        <f t="shared" si="229"/>
        <v>0</v>
      </c>
      <c r="AK303">
        <v>395.76</v>
      </c>
      <c r="AL303">
        <v>395.76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1</v>
      </c>
      <c r="AZ303">
        <v>1</v>
      </c>
      <c r="BA303">
        <v>1</v>
      </c>
      <c r="BB303">
        <v>1</v>
      </c>
      <c r="BC303">
        <v>7.66</v>
      </c>
      <c r="BD303" t="s">
        <v>3</v>
      </c>
      <c r="BE303" t="s">
        <v>3</v>
      </c>
      <c r="BF303" t="s">
        <v>3</v>
      </c>
      <c r="BG303" t="s">
        <v>3</v>
      </c>
      <c r="BH303">
        <v>3</v>
      </c>
      <c r="BI303">
        <v>3</v>
      </c>
      <c r="BJ303" t="s">
        <v>3</v>
      </c>
      <c r="BM303">
        <v>746</v>
      </c>
      <c r="BN303">
        <v>0</v>
      </c>
      <c r="BO303" t="s">
        <v>3</v>
      </c>
      <c r="BP303">
        <v>0</v>
      </c>
      <c r="BQ303">
        <v>130</v>
      </c>
      <c r="BR303">
        <v>0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 t="s">
        <v>3</v>
      </c>
      <c r="BZ303">
        <v>0</v>
      </c>
      <c r="CA303">
        <v>0</v>
      </c>
      <c r="CB303" t="s">
        <v>3</v>
      </c>
      <c r="CE303">
        <v>30</v>
      </c>
      <c r="CF303">
        <v>0</v>
      </c>
      <c r="CG303">
        <v>0</v>
      </c>
      <c r="CM303">
        <v>0</v>
      </c>
      <c r="CN303" t="s">
        <v>3</v>
      </c>
      <c r="CO303">
        <v>0</v>
      </c>
      <c r="CP303">
        <f t="shared" si="230"/>
        <v>6063.04</v>
      </c>
      <c r="CQ303">
        <f t="shared" si="262"/>
        <v>3031.52</v>
      </c>
      <c r="CR303">
        <f t="shared" si="263"/>
        <v>0</v>
      </c>
      <c r="CS303">
        <f t="shared" si="231"/>
        <v>0</v>
      </c>
      <c r="CT303">
        <f t="shared" si="232"/>
        <v>0</v>
      </c>
      <c r="CU303">
        <f t="shared" si="233"/>
        <v>0</v>
      </c>
      <c r="CV303">
        <f t="shared" si="234"/>
        <v>0</v>
      </c>
      <c r="CW303">
        <f t="shared" si="235"/>
        <v>0</v>
      </c>
      <c r="CX303">
        <f t="shared" si="236"/>
        <v>0</v>
      </c>
      <c r="CY303">
        <f t="shared" si="237"/>
        <v>0</v>
      </c>
      <c r="CZ303">
        <f t="shared" si="238"/>
        <v>0</v>
      </c>
      <c r="DC303" t="s">
        <v>3</v>
      </c>
      <c r="DD303" t="s">
        <v>3</v>
      </c>
      <c r="DE303" t="s">
        <v>3</v>
      </c>
      <c r="DF303" t="s">
        <v>3</v>
      </c>
      <c r="DG303" t="s">
        <v>3</v>
      </c>
      <c r="DH303" t="s">
        <v>3</v>
      </c>
      <c r="DI303" t="s">
        <v>3</v>
      </c>
      <c r="DJ303" t="s">
        <v>3</v>
      </c>
      <c r="DK303" t="s">
        <v>3</v>
      </c>
      <c r="DL303" t="s">
        <v>3</v>
      </c>
      <c r="DM303" t="s">
        <v>3</v>
      </c>
      <c r="DN303">
        <v>0</v>
      </c>
      <c r="DO303">
        <v>0</v>
      </c>
      <c r="DP303">
        <v>1</v>
      </c>
      <c r="DQ303">
        <v>1</v>
      </c>
      <c r="DU303">
        <v>1010</v>
      </c>
      <c r="DV303" t="s">
        <v>31</v>
      </c>
      <c r="DW303" t="s">
        <v>31</v>
      </c>
      <c r="DX303">
        <v>1</v>
      </c>
      <c r="DZ303" t="s">
        <v>3</v>
      </c>
      <c r="EA303" t="s">
        <v>3</v>
      </c>
      <c r="EB303" t="s">
        <v>3</v>
      </c>
      <c r="EC303" t="s">
        <v>3</v>
      </c>
      <c r="EE303">
        <v>55992259</v>
      </c>
      <c r="EF303">
        <v>130</v>
      </c>
      <c r="EG303" t="s">
        <v>32</v>
      </c>
      <c r="EH303">
        <v>0</v>
      </c>
      <c r="EI303" t="s">
        <v>3</v>
      </c>
      <c r="EJ303">
        <v>3</v>
      </c>
      <c r="EK303">
        <v>746</v>
      </c>
      <c r="EL303" t="s">
        <v>33</v>
      </c>
      <c r="EM303" t="s">
        <v>34</v>
      </c>
      <c r="EO303" t="s">
        <v>3</v>
      </c>
      <c r="EQ303">
        <v>0</v>
      </c>
      <c r="ER303">
        <v>395.76</v>
      </c>
      <c r="ES303">
        <v>395.76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5</v>
      </c>
      <c r="FC303">
        <v>1</v>
      </c>
      <c r="FD303">
        <v>18</v>
      </c>
      <c r="FF303">
        <v>3490</v>
      </c>
      <c r="FQ303">
        <v>0</v>
      </c>
      <c r="FR303">
        <f t="shared" si="264"/>
        <v>6063.04</v>
      </c>
      <c r="FS303">
        <v>0</v>
      </c>
      <c r="FX303">
        <v>0</v>
      </c>
      <c r="FY303">
        <v>0</v>
      </c>
      <c r="GA303" t="s">
        <v>328</v>
      </c>
      <c r="GD303">
        <v>1</v>
      </c>
      <c r="GF303">
        <v>-1052135755</v>
      </c>
      <c r="GG303">
        <v>2</v>
      </c>
      <c r="GH303">
        <v>3</v>
      </c>
      <c r="GI303">
        <v>5</v>
      </c>
      <c r="GJ303">
        <v>0</v>
      </c>
      <c r="GK303">
        <v>0</v>
      </c>
      <c r="GL303">
        <f t="shared" si="239"/>
        <v>0</v>
      </c>
      <c r="GM303">
        <f t="shared" si="240"/>
        <v>6063.04</v>
      </c>
      <c r="GN303">
        <f t="shared" si="241"/>
        <v>0</v>
      </c>
      <c r="GO303">
        <f t="shared" si="242"/>
        <v>0</v>
      </c>
      <c r="GP303">
        <f t="shared" si="243"/>
        <v>0</v>
      </c>
      <c r="GR303">
        <v>1</v>
      </c>
      <c r="GS303">
        <v>1</v>
      </c>
      <c r="GT303">
        <v>0</v>
      </c>
      <c r="GU303" t="s">
        <v>3</v>
      </c>
      <c r="GV303">
        <f t="shared" si="244"/>
        <v>0</v>
      </c>
      <c r="GW303">
        <v>1</v>
      </c>
      <c r="GX303">
        <f t="shared" si="245"/>
        <v>0</v>
      </c>
      <c r="HA303">
        <v>0</v>
      </c>
      <c r="HB303">
        <v>0</v>
      </c>
      <c r="HC303">
        <f t="shared" si="246"/>
        <v>0</v>
      </c>
      <c r="HE303" t="s">
        <v>36</v>
      </c>
      <c r="HF303" t="s">
        <v>37</v>
      </c>
      <c r="HM303" t="s">
        <v>3</v>
      </c>
      <c r="HN303" t="s">
        <v>3</v>
      </c>
      <c r="HO303" t="s">
        <v>3</v>
      </c>
      <c r="HP303" t="s">
        <v>3</v>
      </c>
      <c r="HQ303" t="s">
        <v>3</v>
      </c>
      <c r="HS303">
        <v>0</v>
      </c>
      <c r="IK303">
        <v>0</v>
      </c>
    </row>
    <row r="304" spans="1:255" x14ac:dyDescent="0.2">
      <c r="A304" s="2">
        <v>17</v>
      </c>
      <c r="B304" s="2">
        <v>1</v>
      </c>
      <c r="C304" s="2"/>
      <c r="D304" s="2"/>
      <c r="E304" s="2" t="s">
        <v>329</v>
      </c>
      <c r="F304" s="2" t="s">
        <v>330</v>
      </c>
      <c r="G304" s="2" t="s">
        <v>331</v>
      </c>
      <c r="H304" s="2" t="s">
        <v>31</v>
      </c>
      <c r="I304" s="2">
        <v>33</v>
      </c>
      <c r="J304" s="2">
        <v>0</v>
      </c>
      <c r="K304" s="2">
        <v>33</v>
      </c>
      <c r="L304" s="2"/>
      <c r="M304" s="2"/>
      <c r="N304" s="2"/>
      <c r="O304" s="2">
        <f t="shared" si="217"/>
        <v>6361.74</v>
      </c>
      <c r="P304" s="2">
        <f t="shared" si="255"/>
        <v>6361.74</v>
      </c>
      <c r="Q304" s="2">
        <f t="shared" si="256"/>
        <v>0</v>
      </c>
      <c r="R304" s="2">
        <f t="shared" si="218"/>
        <v>0</v>
      </c>
      <c r="S304" s="2">
        <f t="shared" si="219"/>
        <v>0</v>
      </c>
      <c r="T304" s="2">
        <f t="shared" si="220"/>
        <v>0</v>
      </c>
      <c r="U304" s="2">
        <f t="shared" si="221"/>
        <v>0</v>
      </c>
      <c r="V304" s="2">
        <f t="shared" si="222"/>
        <v>0</v>
      </c>
      <c r="W304" s="2">
        <f t="shared" si="223"/>
        <v>0</v>
      </c>
      <c r="X304" s="2">
        <f t="shared" si="224"/>
        <v>0</v>
      </c>
      <c r="Y304" s="2">
        <f t="shared" si="225"/>
        <v>0</v>
      </c>
      <c r="Z304" s="2"/>
      <c r="AA304" s="2">
        <v>56959434</v>
      </c>
      <c r="AB304" s="2">
        <f t="shared" si="226"/>
        <v>192.78</v>
      </c>
      <c r="AC304" s="2">
        <f t="shared" si="227"/>
        <v>192.78</v>
      </c>
      <c r="AD304" s="2">
        <f t="shared" si="257"/>
        <v>0</v>
      </c>
      <c r="AE304" s="2">
        <f t="shared" si="258"/>
        <v>0</v>
      </c>
      <c r="AF304" s="2">
        <f t="shared" si="259"/>
        <v>0</v>
      </c>
      <c r="AG304" s="2">
        <f t="shared" si="228"/>
        <v>0</v>
      </c>
      <c r="AH304" s="2">
        <f t="shared" si="260"/>
        <v>0</v>
      </c>
      <c r="AI304" s="2">
        <f t="shared" si="261"/>
        <v>0</v>
      </c>
      <c r="AJ304" s="2">
        <f t="shared" si="229"/>
        <v>0</v>
      </c>
      <c r="AK304" s="2">
        <v>192.78</v>
      </c>
      <c r="AL304" s="2">
        <v>192.78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1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3</v>
      </c>
      <c r="BJ304" s="2" t="s">
        <v>3</v>
      </c>
      <c r="BK304" s="2"/>
      <c r="BL304" s="2"/>
      <c r="BM304" s="2">
        <v>746</v>
      </c>
      <c r="BN304" s="2">
        <v>0</v>
      </c>
      <c r="BO304" s="2" t="s">
        <v>3</v>
      </c>
      <c r="BP304" s="2">
        <v>0</v>
      </c>
      <c r="BQ304" s="2">
        <v>130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0</v>
      </c>
      <c r="CA304" s="2">
        <v>0</v>
      </c>
      <c r="CB304" s="2" t="s">
        <v>3</v>
      </c>
      <c r="CC304" s="2"/>
      <c r="CD304" s="2"/>
      <c r="CE304" s="2">
        <v>30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3</v>
      </c>
      <c r="CO304" s="2">
        <v>0</v>
      </c>
      <c r="CP304" s="2">
        <f t="shared" si="230"/>
        <v>6361.74</v>
      </c>
      <c r="CQ304" s="2">
        <f t="shared" si="262"/>
        <v>192.78</v>
      </c>
      <c r="CR304" s="2">
        <f t="shared" si="263"/>
        <v>0</v>
      </c>
      <c r="CS304" s="2">
        <f t="shared" si="231"/>
        <v>0</v>
      </c>
      <c r="CT304" s="2">
        <f t="shared" si="232"/>
        <v>0</v>
      </c>
      <c r="CU304" s="2">
        <f t="shared" si="233"/>
        <v>0</v>
      </c>
      <c r="CV304" s="2">
        <f t="shared" si="234"/>
        <v>0</v>
      </c>
      <c r="CW304" s="2">
        <f t="shared" si="235"/>
        <v>0</v>
      </c>
      <c r="CX304" s="2">
        <f t="shared" si="236"/>
        <v>0</v>
      </c>
      <c r="CY304" s="2">
        <f t="shared" si="237"/>
        <v>0</v>
      </c>
      <c r="CZ304" s="2">
        <f t="shared" si="238"/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1010</v>
      </c>
      <c r="DV304" s="2" t="s">
        <v>31</v>
      </c>
      <c r="DW304" s="2" t="s">
        <v>31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55992259</v>
      </c>
      <c r="EF304" s="2">
        <v>130</v>
      </c>
      <c r="EG304" s="2" t="s">
        <v>32</v>
      </c>
      <c r="EH304" s="2">
        <v>0</v>
      </c>
      <c r="EI304" s="2" t="s">
        <v>3</v>
      </c>
      <c r="EJ304" s="2">
        <v>3</v>
      </c>
      <c r="EK304" s="2">
        <v>746</v>
      </c>
      <c r="EL304" s="2" t="s">
        <v>33</v>
      </c>
      <c r="EM304" s="2" t="s">
        <v>34</v>
      </c>
      <c r="EN304" s="2"/>
      <c r="EO304" s="2" t="s">
        <v>3</v>
      </c>
      <c r="EP304" s="2"/>
      <c r="EQ304" s="2">
        <v>0</v>
      </c>
      <c r="ER304" s="2">
        <v>0</v>
      </c>
      <c r="ES304" s="2">
        <v>192.78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f t="shared" si="264"/>
        <v>6361.74</v>
      </c>
      <c r="FS304" s="2">
        <v>0</v>
      </c>
      <c r="FT304" s="2"/>
      <c r="FU304" s="2"/>
      <c r="FV304" s="2"/>
      <c r="FW304" s="2"/>
      <c r="FX304" s="2">
        <v>0</v>
      </c>
      <c r="FY304" s="2">
        <v>0</v>
      </c>
      <c r="FZ304" s="2"/>
      <c r="GA304" s="2" t="s">
        <v>332</v>
      </c>
      <c r="GB304" s="2"/>
      <c r="GC304" s="2"/>
      <c r="GD304" s="2">
        <v>1</v>
      </c>
      <c r="GE304" s="2"/>
      <c r="GF304" s="2">
        <v>1038376548</v>
      </c>
      <c r="GG304" s="2">
        <v>2</v>
      </c>
      <c r="GH304" s="2">
        <v>4</v>
      </c>
      <c r="GI304" s="2">
        <v>-2</v>
      </c>
      <c r="GJ304" s="2">
        <v>0</v>
      </c>
      <c r="GK304" s="2">
        <v>0</v>
      </c>
      <c r="GL304" s="2">
        <f t="shared" si="239"/>
        <v>0</v>
      </c>
      <c r="GM304" s="2">
        <f t="shared" si="240"/>
        <v>6361.74</v>
      </c>
      <c r="GN304" s="2">
        <f t="shared" si="241"/>
        <v>0</v>
      </c>
      <c r="GO304" s="2">
        <f t="shared" si="242"/>
        <v>0</v>
      </c>
      <c r="GP304" s="2">
        <f t="shared" si="243"/>
        <v>0</v>
      </c>
      <c r="GQ304" s="2"/>
      <c r="GR304" s="2">
        <v>0</v>
      </c>
      <c r="GS304" s="2">
        <v>2</v>
      </c>
      <c r="GT304" s="2">
        <v>0</v>
      </c>
      <c r="GU304" s="2" t="s">
        <v>3</v>
      </c>
      <c r="GV304" s="2">
        <f t="shared" si="244"/>
        <v>0</v>
      </c>
      <c r="GW304" s="2">
        <v>1</v>
      </c>
      <c r="GX304" s="2">
        <f t="shared" si="245"/>
        <v>0</v>
      </c>
      <c r="GY304" s="2"/>
      <c r="GZ304" s="2"/>
      <c r="HA304" s="2">
        <v>0</v>
      </c>
      <c r="HB304" s="2">
        <v>0</v>
      </c>
      <c r="HC304" s="2">
        <f t="shared" si="246"/>
        <v>0</v>
      </c>
      <c r="HD304" s="2"/>
      <c r="HE304" s="2" t="s">
        <v>36</v>
      </c>
      <c r="HF304" s="2" t="s">
        <v>37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>
        <v>17</v>
      </c>
      <c r="B305">
        <v>1</v>
      </c>
      <c r="E305" t="s">
        <v>329</v>
      </c>
      <c r="F305" t="s">
        <v>330</v>
      </c>
      <c r="G305" t="s">
        <v>331</v>
      </c>
      <c r="H305" t="s">
        <v>31</v>
      </c>
      <c r="I305">
        <v>33</v>
      </c>
      <c r="J305">
        <v>0</v>
      </c>
      <c r="K305">
        <v>33</v>
      </c>
      <c r="O305">
        <f t="shared" si="217"/>
        <v>48730.93</v>
      </c>
      <c r="P305">
        <f t="shared" si="255"/>
        <v>48730.93</v>
      </c>
      <c r="Q305">
        <f t="shared" si="256"/>
        <v>0</v>
      </c>
      <c r="R305">
        <f t="shared" si="218"/>
        <v>0</v>
      </c>
      <c r="S305">
        <f t="shared" si="219"/>
        <v>0</v>
      </c>
      <c r="T305">
        <f t="shared" si="220"/>
        <v>0</v>
      </c>
      <c r="U305">
        <f t="shared" si="221"/>
        <v>0</v>
      </c>
      <c r="V305">
        <f t="shared" si="222"/>
        <v>0</v>
      </c>
      <c r="W305">
        <f t="shared" si="223"/>
        <v>0</v>
      </c>
      <c r="X305">
        <f t="shared" si="224"/>
        <v>0</v>
      </c>
      <c r="Y305">
        <f t="shared" si="225"/>
        <v>0</v>
      </c>
      <c r="AA305">
        <v>56959431</v>
      </c>
      <c r="AB305">
        <f t="shared" si="226"/>
        <v>192.78</v>
      </c>
      <c r="AC305">
        <f t="shared" si="227"/>
        <v>192.78</v>
      </c>
      <c r="AD305">
        <f t="shared" si="257"/>
        <v>0</v>
      </c>
      <c r="AE305">
        <f t="shared" si="258"/>
        <v>0</v>
      </c>
      <c r="AF305">
        <f t="shared" si="259"/>
        <v>0</v>
      </c>
      <c r="AG305">
        <f t="shared" si="228"/>
        <v>0</v>
      </c>
      <c r="AH305">
        <f t="shared" si="260"/>
        <v>0</v>
      </c>
      <c r="AI305">
        <f t="shared" si="261"/>
        <v>0</v>
      </c>
      <c r="AJ305">
        <f t="shared" si="229"/>
        <v>0</v>
      </c>
      <c r="AK305">
        <v>192.78</v>
      </c>
      <c r="AL305">
        <v>192.78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1</v>
      </c>
      <c r="AZ305">
        <v>1</v>
      </c>
      <c r="BA305">
        <v>1</v>
      </c>
      <c r="BB305">
        <v>1</v>
      </c>
      <c r="BC305">
        <v>7.66</v>
      </c>
      <c r="BD305" t="s">
        <v>3</v>
      </c>
      <c r="BE305" t="s">
        <v>3</v>
      </c>
      <c r="BF305" t="s">
        <v>3</v>
      </c>
      <c r="BG305" t="s">
        <v>3</v>
      </c>
      <c r="BH305">
        <v>3</v>
      </c>
      <c r="BI305">
        <v>3</v>
      </c>
      <c r="BJ305" t="s">
        <v>3</v>
      </c>
      <c r="BM305">
        <v>746</v>
      </c>
      <c r="BN305">
        <v>0</v>
      </c>
      <c r="BO305" t="s">
        <v>3</v>
      </c>
      <c r="BP305">
        <v>0</v>
      </c>
      <c r="BQ305">
        <v>130</v>
      </c>
      <c r="BR305">
        <v>0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 t="s">
        <v>3</v>
      </c>
      <c r="BZ305">
        <v>0</v>
      </c>
      <c r="CA305">
        <v>0</v>
      </c>
      <c r="CB305" t="s">
        <v>3</v>
      </c>
      <c r="CE305">
        <v>30</v>
      </c>
      <c r="CF305">
        <v>0</v>
      </c>
      <c r="CG305">
        <v>0</v>
      </c>
      <c r="CM305">
        <v>0</v>
      </c>
      <c r="CN305" t="s">
        <v>3</v>
      </c>
      <c r="CO305">
        <v>0</v>
      </c>
      <c r="CP305">
        <f t="shared" si="230"/>
        <v>48730.93</v>
      </c>
      <c r="CQ305">
        <f t="shared" si="262"/>
        <v>1476.69</v>
      </c>
      <c r="CR305">
        <f t="shared" si="263"/>
        <v>0</v>
      </c>
      <c r="CS305">
        <f t="shared" si="231"/>
        <v>0</v>
      </c>
      <c r="CT305">
        <f t="shared" si="232"/>
        <v>0</v>
      </c>
      <c r="CU305">
        <f t="shared" si="233"/>
        <v>0</v>
      </c>
      <c r="CV305">
        <f t="shared" si="234"/>
        <v>0</v>
      </c>
      <c r="CW305">
        <f t="shared" si="235"/>
        <v>0</v>
      </c>
      <c r="CX305">
        <f t="shared" si="236"/>
        <v>0</v>
      </c>
      <c r="CY305">
        <f t="shared" si="237"/>
        <v>0</v>
      </c>
      <c r="CZ305">
        <f t="shared" si="238"/>
        <v>0</v>
      </c>
      <c r="DC305" t="s">
        <v>3</v>
      </c>
      <c r="DD305" t="s">
        <v>3</v>
      </c>
      <c r="DE305" t="s">
        <v>3</v>
      </c>
      <c r="DF305" t="s">
        <v>3</v>
      </c>
      <c r="DG305" t="s">
        <v>3</v>
      </c>
      <c r="DH305" t="s">
        <v>3</v>
      </c>
      <c r="DI305" t="s">
        <v>3</v>
      </c>
      <c r="DJ305" t="s">
        <v>3</v>
      </c>
      <c r="DK305" t="s">
        <v>3</v>
      </c>
      <c r="DL305" t="s">
        <v>3</v>
      </c>
      <c r="DM305" t="s">
        <v>3</v>
      </c>
      <c r="DN305">
        <v>0</v>
      </c>
      <c r="DO305">
        <v>0</v>
      </c>
      <c r="DP305">
        <v>1</v>
      </c>
      <c r="DQ305">
        <v>1</v>
      </c>
      <c r="DU305">
        <v>1010</v>
      </c>
      <c r="DV305" t="s">
        <v>31</v>
      </c>
      <c r="DW305" t="s">
        <v>31</v>
      </c>
      <c r="DX305">
        <v>1</v>
      </c>
      <c r="DZ305" t="s">
        <v>3</v>
      </c>
      <c r="EA305" t="s">
        <v>3</v>
      </c>
      <c r="EB305" t="s">
        <v>3</v>
      </c>
      <c r="EC305" t="s">
        <v>3</v>
      </c>
      <c r="EE305">
        <v>55992259</v>
      </c>
      <c r="EF305">
        <v>130</v>
      </c>
      <c r="EG305" t="s">
        <v>32</v>
      </c>
      <c r="EH305">
        <v>0</v>
      </c>
      <c r="EI305" t="s">
        <v>3</v>
      </c>
      <c r="EJ305">
        <v>3</v>
      </c>
      <c r="EK305">
        <v>746</v>
      </c>
      <c r="EL305" t="s">
        <v>33</v>
      </c>
      <c r="EM305" t="s">
        <v>34</v>
      </c>
      <c r="EO305" t="s">
        <v>3</v>
      </c>
      <c r="EQ305">
        <v>0</v>
      </c>
      <c r="ER305">
        <v>192.78</v>
      </c>
      <c r="ES305">
        <v>192.78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5</v>
      </c>
      <c r="FC305">
        <v>1</v>
      </c>
      <c r="FD305">
        <v>18</v>
      </c>
      <c r="FF305">
        <v>1700</v>
      </c>
      <c r="FQ305">
        <v>0</v>
      </c>
      <c r="FR305">
        <f t="shared" si="264"/>
        <v>48730.93</v>
      </c>
      <c r="FS305">
        <v>0</v>
      </c>
      <c r="FX305">
        <v>0</v>
      </c>
      <c r="FY305">
        <v>0</v>
      </c>
      <c r="GA305" t="s">
        <v>332</v>
      </c>
      <c r="GD305">
        <v>1</v>
      </c>
      <c r="GF305">
        <v>1038376548</v>
      </c>
      <c r="GG305">
        <v>2</v>
      </c>
      <c r="GH305">
        <v>3</v>
      </c>
      <c r="GI305">
        <v>5</v>
      </c>
      <c r="GJ305">
        <v>0</v>
      </c>
      <c r="GK305">
        <v>0</v>
      </c>
      <c r="GL305">
        <f t="shared" si="239"/>
        <v>0</v>
      </c>
      <c r="GM305">
        <f t="shared" si="240"/>
        <v>48730.93</v>
      </c>
      <c r="GN305">
        <f t="shared" si="241"/>
        <v>0</v>
      </c>
      <c r="GO305">
        <f t="shared" si="242"/>
        <v>0</v>
      </c>
      <c r="GP305">
        <f t="shared" si="243"/>
        <v>0</v>
      </c>
      <c r="GR305">
        <v>1</v>
      </c>
      <c r="GS305">
        <v>1</v>
      </c>
      <c r="GT305">
        <v>0</v>
      </c>
      <c r="GU305" t="s">
        <v>3</v>
      </c>
      <c r="GV305">
        <f t="shared" si="244"/>
        <v>0</v>
      </c>
      <c r="GW305">
        <v>1</v>
      </c>
      <c r="GX305">
        <f t="shared" si="245"/>
        <v>0</v>
      </c>
      <c r="HA305">
        <v>0</v>
      </c>
      <c r="HB305">
        <v>0</v>
      </c>
      <c r="HC305">
        <f t="shared" si="246"/>
        <v>0</v>
      </c>
      <c r="HE305" t="s">
        <v>36</v>
      </c>
      <c r="HF305" t="s">
        <v>37</v>
      </c>
      <c r="HM305" t="s">
        <v>3</v>
      </c>
      <c r="HN305" t="s">
        <v>3</v>
      </c>
      <c r="HO305" t="s">
        <v>3</v>
      </c>
      <c r="HP305" t="s">
        <v>3</v>
      </c>
      <c r="HQ305" t="s">
        <v>3</v>
      </c>
      <c r="HS305">
        <v>0</v>
      </c>
      <c r="IK305">
        <v>0</v>
      </c>
    </row>
    <row r="306" spans="1:255" x14ac:dyDescent="0.2">
      <c r="A306" s="2">
        <v>17</v>
      </c>
      <c r="B306" s="2">
        <v>1</v>
      </c>
      <c r="C306" s="2"/>
      <c r="D306" s="2"/>
      <c r="E306" s="2" t="s">
        <v>333</v>
      </c>
      <c r="F306" s="2" t="s">
        <v>334</v>
      </c>
      <c r="G306" s="2" t="s">
        <v>335</v>
      </c>
      <c r="H306" s="2" t="s">
        <v>31</v>
      </c>
      <c r="I306" s="2">
        <v>48</v>
      </c>
      <c r="J306" s="2">
        <v>0</v>
      </c>
      <c r="K306" s="2">
        <v>48</v>
      </c>
      <c r="L306" s="2"/>
      <c r="M306" s="2"/>
      <c r="N306" s="2"/>
      <c r="O306" s="2">
        <f t="shared" si="217"/>
        <v>9253.44</v>
      </c>
      <c r="P306" s="2">
        <f t="shared" si="255"/>
        <v>9253.44</v>
      </c>
      <c r="Q306" s="2">
        <f t="shared" si="256"/>
        <v>0</v>
      </c>
      <c r="R306" s="2">
        <f t="shared" si="218"/>
        <v>0</v>
      </c>
      <c r="S306" s="2">
        <f t="shared" si="219"/>
        <v>0</v>
      </c>
      <c r="T306" s="2">
        <f t="shared" si="220"/>
        <v>0</v>
      </c>
      <c r="U306" s="2">
        <f t="shared" si="221"/>
        <v>0</v>
      </c>
      <c r="V306" s="2">
        <f t="shared" si="222"/>
        <v>0</v>
      </c>
      <c r="W306" s="2">
        <f t="shared" si="223"/>
        <v>0</v>
      </c>
      <c r="X306" s="2">
        <f t="shared" si="224"/>
        <v>0</v>
      </c>
      <c r="Y306" s="2">
        <f t="shared" si="225"/>
        <v>0</v>
      </c>
      <c r="Z306" s="2"/>
      <c r="AA306" s="2">
        <v>56959434</v>
      </c>
      <c r="AB306" s="2">
        <f t="shared" si="226"/>
        <v>192.78</v>
      </c>
      <c r="AC306" s="2">
        <f t="shared" si="227"/>
        <v>192.78</v>
      </c>
      <c r="AD306" s="2">
        <f t="shared" si="257"/>
        <v>0</v>
      </c>
      <c r="AE306" s="2">
        <f t="shared" si="258"/>
        <v>0</v>
      </c>
      <c r="AF306" s="2">
        <f t="shared" si="259"/>
        <v>0</v>
      </c>
      <c r="AG306" s="2">
        <f t="shared" si="228"/>
        <v>0</v>
      </c>
      <c r="AH306" s="2">
        <f t="shared" si="260"/>
        <v>0</v>
      </c>
      <c r="AI306" s="2">
        <f t="shared" si="261"/>
        <v>0</v>
      </c>
      <c r="AJ306" s="2">
        <f t="shared" si="229"/>
        <v>0</v>
      </c>
      <c r="AK306" s="2">
        <v>192.78</v>
      </c>
      <c r="AL306" s="2">
        <v>192.78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1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3</v>
      </c>
      <c r="BJ306" s="2" t="s">
        <v>3</v>
      </c>
      <c r="BK306" s="2"/>
      <c r="BL306" s="2"/>
      <c r="BM306" s="2">
        <v>746</v>
      </c>
      <c r="BN306" s="2">
        <v>0</v>
      </c>
      <c r="BO306" s="2" t="s">
        <v>3</v>
      </c>
      <c r="BP306" s="2">
        <v>0</v>
      </c>
      <c r="BQ306" s="2">
        <v>130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0</v>
      </c>
      <c r="CA306" s="2">
        <v>0</v>
      </c>
      <c r="CB306" s="2" t="s">
        <v>3</v>
      </c>
      <c r="CC306" s="2"/>
      <c r="CD306" s="2"/>
      <c r="CE306" s="2">
        <v>30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3</v>
      </c>
      <c r="CO306" s="2">
        <v>0</v>
      </c>
      <c r="CP306" s="2">
        <f t="shared" si="230"/>
        <v>9253.44</v>
      </c>
      <c r="CQ306" s="2">
        <f t="shared" si="262"/>
        <v>192.78</v>
      </c>
      <c r="CR306" s="2">
        <f t="shared" si="263"/>
        <v>0</v>
      </c>
      <c r="CS306" s="2">
        <f t="shared" si="231"/>
        <v>0</v>
      </c>
      <c r="CT306" s="2">
        <f t="shared" si="232"/>
        <v>0</v>
      </c>
      <c r="CU306" s="2">
        <f t="shared" si="233"/>
        <v>0</v>
      </c>
      <c r="CV306" s="2">
        <f t="shared" si="234"/>
        <v>0</v>
      </c>
      <c r="CW306" s="2">
        <f t="shared" si="235"/>
        <v>0</v>
      </c>
      <c r="CX306" s="2">
        <f t="shared" si="236"/>
        <v>0</v>
      </c>
      <c r="CY306" s="2">
        <f t="shared" si="237"/>
        <v>0</v>
      </c>
      <c r="CZ306" s="2">
        <f t="shared" si="238"/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1010</v>
      </c>
      <c r="DV306" s="2" t="s">
        <v>31</v>
      </c>
      <c r="DW306" s="2" t="s">
        <v>31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55992259</v>
      </c>
      <c r="EF306" s="2">
        <v>130</v>
      </c>
      <c r="EG306" s="2" t="s">
        <v>32</v>
      </c>
      <c r="EH306" s="2">
        <v>0</v>
      </c>
      <c r="EI306" s="2" t="s">
        <v>3</v>
      </c>
      <c r="EJ306" s="2">
        <v>3</v>
      </c>
      <c r="EK306" s="2">
        <v>746</v>
      </c>
      <c r="EL306" s="2" t="s">
        <v>33</v>
      </c>
      <c r="EM306" s="2" t="s">
        <v>34</v>
      </c>
      <c r="EN306" s="2"/>
      <c r="EO306" s="2" t="s">
        <v>3</v>
      </c>
      <c r="EP306" s="2"/>
      <c r="EQ306" s="2">
        <v>0</v>
      </c>
      <c r="ER306" s="2">
        <v>0</v>
      </c>
      <c r="ES306" s="2">
        <v>192.78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f t="shared" si="264"/>
        <v>9253.44</v>
      </c>
      <c r="FS306" s="2">
        <v>0</v>
      </c>
      <c r="FT306" s="2"/>
      <c r="FU306" s="2"/>
      <c r="FV306" s="2"/>
      <c r="FW306" s="2"/>
      <c r="FX306" s="2">
        <v>0</v>
      </c>
      <c r="FY306" s="2">
        <v>0</v>
      </c>
      <c r="FZ306" s="2"/>
      <c r="GA306" s="2" t="s">
        <v>332</v>
      </c>
      <c r="GB306" s="2"/>
      <c r="GC306" s="2"/>
      <c r="GD306" s="2">
        <v>1</v>
      </c>
      <c r="GE306" s="2"/>
      <c r="GF306" s="2">
        <v>-989838172</v>
      </c>
      <c r="GG306" s="2">
        <v>2</v>
      </c>
      <c r="GH306" s="2">
        <v>4</v>
      </c>
      <c r="GI306" s="2">
        <v>-2</v>
      </c>
      <c r="GJ306" s="2">
        <v>0</v>
      </c>
      <c r="GK306" s="2">
        <v>0</v>
      </c>
      <c r="GL306" s="2">
        <f t="shared" si="239"/>
        <v>0</v>
      </c>
      <c r="GM306" s="2">
        <f t="shared" si="240"/>
        <v>9253.44</v>
      </c>
      <c r="GN306" s="2">
        <f t="shared" si="241"/>
        <v>0</v>
      </c>
      <c r="GO306" s="2">
        <f t="shared" si="242"/>
        <v>0</v>
      </c>
      <c r="GP306" s="2">
        <f t="shared" si="243"/>
        <v>0</v>
      </c>
      <c r="GQ306" s="2"/>
      <c r="GR306" s="2">
        <v>0</v>
      </c>
      <c r="GS306" s="2">
        <v>2</v>
      </c>
      <c r="GT306" s="2">
        <v>0</v>
      </c>
      <c r="GU306" s="2" t="s">
        <v>3</v>
      </c>
      <c r="GV306" s="2">
        <f t="shared" si="244"/>
        <v>0</v>
      </c>
      <c r="GW306" s="2">
        <v>1</v>
      </c>
      <c r="GX306" s="2">
        <f t="shared" si="245"/>
        <v>0</v>
      </c>
      <c r="GY306" s="2"/>
      <c r="GZ306" s="2"/>
      <c r="HA306" s="2">
        <v>0</v>
      </c>
      <c r="HB306" s="2">
        <v>0</v>
      </c>
      <c r="HC306" s="2">
        <f t="shared" si="246"/>
        <v>0</v>
      </c>
      <c r="HD306" s="2"/>
      <c r="HE306" s="2" t="s">
        <v>36</v>
      </c>
      <c r="HF306" s="2" t="s">
        <v>37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>
        <v>17</v>
      </c>
      <c r="B307">
        <v>1</v>
      </c>
      <c r="E307" t="s">
        <v>333</v>
      </c>
      <c r="F307" t="s">
        <v>334</v>
      </c>
      <c r="G307" t="s">
        <v>335</v>
      </c>
      <c r="H307" t="s">
        <v>31</v>
      </c>
      <c r="I307">
        <v>48</v>
      </c>
      <c r="J307">
        <v>0</v>
      </c>
      <c r="K307">
        <v>48</v>
      </c>
      <c r="O307">
        <f t="shared" si="217"/>
        <v>70881.350000000006</v>
      </c>
      <c r="P307">
        <f t="shared" si="255"/>
        <v>70881.350000000006</v>
      </c>
      <c r="Q307">
        <f t="shared" si="256"/>
        <v>0</v>
      </c>
      <c r="R307">
        <f t="shared" si="218"/>
        <v>0</v>
      </c>
      <c r="S307">
        <f t="shared" si="219"/>
        <v>0</v>
      </c>
      <c r="T307">
        <f t="shared" si="220"/>
        <v>0</v>
      </c>
      <c r="U307">
        <f t="shared" si="221"/>
        <v>0</v>
      </c>
      <c r="V307">
        <f t="shared" si="222"/>
        <v>0</v>
      </c>
      <c r="W307">
        <f t="shared" si="223"/>
        <v>0</v>
      </c>
      <c r="X307">
        <f t="shared" si="224"/>
        <v>0</v>
      </c>
      <c r="Y307">
        <f t="shared" si="225"/>
        <v>0</v>
      </c>
      <c r="AA307">
        <v>56959431</v>
      </c>
      <c r="AB307">
        <f t="shared" si="226"/>
        <v>192.78</v>
      </c>
      <c r="AC307">
        <f t="shared" si="227"/>
        <v>192.78</v>
      </c>
      <c r="AD307">
        <f t="shared" si="257"/>
        <v>0</v>
      </c>
      <c r="AE307">
        <f t="shared" si="258"/>
        <v>0</v>
      </c>
      <c r="AF307">
        <f t="shared" si="259"/>
        <v>0</v>
      </c>
      <c r="AG307">
        <f t="shared" si="228"/>
        <v>0</v>
      </c>
      <c r="AH307">
        <f t="shared" si="260"/>
        <v>0</v>
      </c>
      <c r="AI307">
        <f t="shared" si="261"/>
        <v>0</v>
      </c>
      <c r="AJ307">
        <f t="shared" si="229"/>
        <v>0</v>
      </c>
      <c r="AK307">
        <v>192.78</v>
      </c>
      <c r="AL307">
        <v>192.78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1</v>
      </c>
      <c r="AZ307">
        <v>1</v>
      </c>
      <c r="BA307">
        <v>1</v>
      </c>
      <c r="BB307">
        <v>1</v>
      </c>
      <c r="BC307">
        <v>7.66</v>
      </c>
      <c r="BD307" t="s">
        <v>3</v>
      </c>
      <c r="BE307" t="s">
        <v>3</v>
      </c>
      <c r="BF307" t="s">
        <v>3</v>
      </c>
      <c r="BG307" t="s">
        <v>3</v>
      </c>
      <c r="BH307">
        <v>3</v>
      </c>
      <c r="BI307">
        <v>3</v>
      </c>
      <c r="BJ307" t="s">
        <v>3</v>
      </c>
      <c r="BM307">
        <v>746</v>
      </c>
      <c r="BN307">
        <v>0</v>
      </c>
      <c r="BO307" t="s">
        <v>3</v>
      </c>
      <c r="BP307">
        <v>0</v>
      </c>
      <c r="BQ307">
        <v>130</v>
      </c>
      <c r="BR307">
        <v>0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 t="s">
        <v>3</v>
      </c>
      <c r="BZ307">
        <v>0</v>
      </c>
      <c r="CA307">
        <v>0</v>
      </c>
      <c r="CB307" t="s">
        <v>3</v>
      </c>
      <c r="CE307">
        <v>30</v>
      </c>
      <c r="CF307">
        <v>0</v>
      </c>
      <c r="CG307">
        <v>0</v>
      </c>
      <c r="CM307">
        <v>0</v>
      </c>
      <c r="CN307" t="s">
        <v>3</v>
      </c>
      <c r="CO307">
        <v>0</v>
      </c>
      <c r="CP307">
        <f t="shared" si="230"/>
        <v>70881.350000000006</v>
      </c>
      <c r="CQ307">
        <f t="shared" si="262"/>
        <v>1476.69</v>
      </c>
      <c r="CR307">
        <f t="shared" si="263"/>
        <v>0</v>
      </c>
      <c r="CS307">
        <f t="shared" si="231"/>
        <v>0</v>
      </c>
      <c r="CT307">
        <f t="shared" si="232"/>
        <v>0</v>
      </c>
      <c r="CU307">
        <f t="shared" si="233"/>
        <v>0</v>
      </c>
      <c r="CV307">
        <f t="shared" si="234"/>
        <v>0</v>
      </c>
      <c r="CW307">
        <f t="shared" si="235"/>
        <v>0</v>
      </c>
      <c r="CX307">
        <f t="shared" si="236"/>
        <v>0</v>
      </c>
      <c r="CY307">
        <f t="shared" si="237"/>
        <v>0</v>
      </c>
      <c r="CZ307">
        <f t="shared" si="238"/>
        <v>0</v>
      </c>
      <c r="DC307" t="s">
        <v>3</v>
      </c>
      <c r="DD307" t="s">
        <v>3</v>
      </c>
      <c r="DE307" t="s">
        <v>3</v>
      </c>
      <c r="DF307" t="s">
        <v>3</v>
      </c>
      <c r="DG307" t="s">
        <v>3</v>
      </c>
      <c r="DH307" t="s">
        <v>3</v>
      </c>
      <c r="DI307" t="s">
        <v>3</v>
      </c>
      <c r="DJ307" t="s">
        <v>3</v>
      </c>
      <c r="DK307" t="s">
        <v>3</v>
      </c>
      <c r="DL307" t="s">
        <v>3</v>
      </c>
      <c r="DM307" t="s">
        <v>3</v>
      </c>
      <c r="DN307">
        <v>0</v>
      </c>
      <c r="DO307">
        <v>0</v>
      </c>
      <c r="DP307">
        <v>1</v>
      </c>
      <c r="DQ307">
        <v>1</v>
      </c>
      <c r="DU307">
        <v>1010</v>
      </c>
      <c r="DV307" t="s">
        <v>31</v>
      </c>
      <c r="DW307" t="s">
        <v>31</v>
      </c>
      <c r="DX307">
        <v>1</v>
      </c>
      <c r="DZ307" t="s">
        <v>3</v>
      </c>
      <c r="EA307" t="s">
        <v>3</v>
      </c>
      <c r="EB307" t="s">
        <v>3</v>
      </c>
      <c r="EC307" t="s">
        <v>3</v>
      </c>
      <c r="EE307">
        <v>55992259</v>
      </c>
      <c r="EF307">
        <v>130</v>
      </c>
      <c r="EG307" t="s">
        <v>32</v>
      </c>
      <c r="EH307">
        <v>0</v>
      </c>
      <c r="EI307" t="s">
        <v>3</v>
      </c>
      <c r="EJ307">
        <v>3</v>
      </c>
      <c r="EK307">
        <v>746</v>
      </c>
      <c r="EL307" t="s">
        <v>33</v>
      </c>
      <c r="EM307" t="s">
        <v>34</v>
      </c>
      <c r="EO307" t="s">
        <v>3</v>
      </c>
      <c r="EQ307">
        <v>0</v>
      </c>
      <c r="ER307">
        <v>192.78</v>
      </c>
      <c r="ES307">
        <v>192.78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5</v>
      </c>
      <c r="FC307">
        <v>1</v>
      </c>
      <c r="FD307">
        <v>18</v>
      </c>
      <c r="FF307">
        <v>1700</v>
      </c>
      <c r="FQ307">
        <v>0</v>
      </c>
      <c r="FR307">
        <f t="shared" si="264"/>
        <v>70881.350000000006</v>
      </c>
      <c r="FS307">
        <v>0</v>
      </c>
      <c r="FX307">
        <v>0</v>
      </c>
      <c r="FY307">
        <v>0</v>
      </c>
      <c r="GA307" t="s">
        <v>332</v>
      </c>
      <c r="GD307">
        <v>1</v>
      </c>
      <c r="GF307">
        <v>-989838172</v>
      </c>
      <c r="GG307">
        <v>2</v>
      </c>
      <c r="GH307">
        <v>3</v>
      </c>
      <c r="GI307">
        <v>5</v>
      </c>
      <c r="GJ307">
        <v>0</v>
      </c>
      <c r="GK307">
        <v>0</v>
      </c>
      <c r="GL307">
        <f t="shared" si="239"/>
        <v>0</v>
      </c>
      <c r="GM307">
        <f t="shared" si="240"/>
        <v>70881.350000000006</v>
      </c>
      <c r="GN307">
        <f t="shared" si="241"/>
        <v>0</v>
      </c>
      <c r="GO307">
        <f t="shared" si="242"/>
        <v>0</v>
      </c>
      <c r="GP307">
        <f t="shared" si="243"/>
        <v>0</v>
      </c>
      <c r="GR307">
        <v>1</v>
      </c>
      <c r="GS307">
        <v>1</v>
      </c>
      <c r="GT307">
        <v>0</v>
      </c>
      <c r="GU307" t="s">
        <v>3</v>
      </c>
      <c r="GV307">
        <f t="shared" si="244"/>
        <v>0</v>
      </c>
      <c r="GW307">
        <v>1</v>
      </c>
      <c r="GX307">
        <f t="shared" si="245"/>
        <v>0</v>
      </c>
      <c r="HA307">
        <v>0</v>
      </c>
      <c r="HB307">
        <v>0</v>
      </c>
      <c r="HC307">
        <f t="shared" si="246"/>
        <v>0</v>
      </c>
      <c r="HE307" t="s">
        <v>36</v>
      </c>
      <c r="HF307" t="s">
        <v>37</v>
      </c>
      <c r="HM307" t="s">
        <v>3</v>
      </c>
      <c r="HN307" t="s">
        <v>3</v>
      </c>
      <c r="HO307" t="s">
        <v>3</v>
      </c>
      <c r="HP307" t="s">
        <v>3</v>
      </c>
      <c r="HQ307" t="s">
        <v>3</v>
      </c>
      <c r="HS307">
        <v>0</v>
      </c>
      <c r="IK307">
        <v>0</v>
      </c>
    </row>
    <row r="308" spans="1:255" x14ac:dyDescent="0.2">
      <c r="A308" s="2">
        <v>17</v>
      </c>
      <c r="B308" s="2">
        <v>1</v>
      </c>
      <c r="C308" s="2">
        <f>ROW(SmtRes!A238)</f>
        <v>238</v>
      </c>
      <c r="D308" s="2">
        <f>ROW(EtalonRes!A285)</f>
        <v>285</v>
      </c>
      <c r="E308" s="2" t="s">
        <v>336</v>
      </c>
      <c r="F308" s="2" t="s">
        <v>337</v>
      </c>
      <c r="G308" s="2" t="s">
        <v>338</v>
      </c>
      <c r="H308" s="2" t="s">
        <v>21</v>
      </c>
      <c r="I308" s="2">
        <f>ROUND(9+43+9+2+6,9)</f>
        <v>69</v>
      </c>
      <c r="J308" s="2">
        <v>0</v>
      </c>
      <c r="K308" s="2">
        <f>ROUND(9+43+9+2+6,9)</f>
        <v>69</v>
      </c>
      <c r="L308" s="2"/>
      <c r="M308" s="2"/>
      <c r="N308" s="2"/>
      <c r="O308" s="2">
        <f t="shared" si="217"/>
        <v>2701.89</v>
      </c>
      <c r="P308" s="2">
        <f>ROUND((ROUND((AC308*AW308*I308),2)*BC308),2)</f>
        <v>0</v>
      </c>
      <c r="Q308" s="2">
        <f>(ROUND((ROUND((((ET308*1.1))*AV308*I308),2)*BB308),2)+ROUND((ROUND(((AE308-((EU308*1.1)))*AV308*I308),2)*BS308),2))</f>
        <v>2240.1799999999998</v>
      </c>
      <c r="R308" s="2">
        <f t="shared" si="218"/>
        <v>251.12</v>
      </c>
      <c r="S308" s="2">
        <f t="shared" si="219"/>
        <v>461.71</v>
      </c>
      <c r="T308" s="2">
        <f t="shared" si="220"/>
        <v>0</v>
      </c>
      <c r="U308" s="2">
        <f t="shared" si="221"/>
        <v>41.322995999999996</v>
      </c>
      <c r="V308" s="2">
        <f t="shared" si="222"/>
        <v>0</v>
      </c>
      <c r="W308" s="2">
        <f t="shared" si="223"/>
        <v>0</v>
      </c>
      <c r="X308" s="2">
        <f t="shared" si="224"/>
        <v>641.54999999999995</v>
      </c>
      <c r="Y308" s="2">
        <f t="shared" si="225"/>
        <v>327.9</v>
      </c>
      <c r="Z308" s="2"/>
      <c r="AA308" s="2">
        <v>56959434</v>
      </c>
      <c r="AB308" s="2">
        <f t="shared" si="226"/>
        <v>37.4</v>
      </c>
      <c r="AC308" s="2">
        <f t="shared" si="227"/>
        <v>0</v>
      </c>
      <c r="AD308" s="2">
        <f>ROUND(((((ET308*1.1))-((EU308*1.1)))+AE308),6)</f>
        <v>31.009</v>
      </c>
      <c r="AE308" s="2">
        <f>ROUND(((EU308*1.1)),6)</f>
        <v>3.476</v>
      </c>
      <c r="AF308" s="2">
        <f>ROUND(((EV308*1.1)),6)</f>
        <v>6.391</v>
      </c>
      <c r="AG308" s="2">
        <f t="shared" si="228"/>
        <v>0</v>
      </c>
      <c r="AH308" s="2">
        <f>((EW308*1.1))</f>
        <v>0.57200000000000006</v>
      </c>
      <c r="AI308" s="2">
        <f>((EX308*1.1))</f>
        <v>0</v>
      </c>
      <c r="AJ308" s="2">
        <f t="shared" si="229"/>
        <v>0</v>
      </c>
      <c r="AK308" s="2">
        <v>34</v>
      </c>
      <c r="AL308" s="2">
        <v>0</v>
      </c>
      <c r="AM308" s="2">
        <v>28.19</v>
      </c>
      <c r="AN308" s="2">
        <v>3.16</v>
      </c>
      <c r="AO308" s="2">
        <v>5.81</v>
      </c>
      <c r="AP308" s="2">
        <v>0</v>
      </c>
      <c r="AQ308" s="2">
        <v>0.52</v>
      </c>
      <c r="AR308" s="2">
        <v>0</v>
      </c>
      <c r="AS308" s="2">
        <v>0</v>
      </c>
      <c r="AT308" s="2">
        <v>90</v>
      </c>
      <c r="AU308" s="2">
        <v>46</v>
      </c>
      <c r="AV308" s="2">
        <v>1.0469999999999999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0</v>
      </c>
      <c r="BI308" s="2">
        <v>2</v>
      </c>
      <c r="BJ308" s="2" t="s">
        <v>339</v>
      </c>
      <c r="BK308" s="2"/>
      <c r="BL308" s="2"/>
      <c r="BM308" s="2">
        <v>72</v>
      </c>
      <c r="BN308" s="2">
        <v>55992028</v>
      </c>
      <c r="BO308" s="2" t="s">
        <v>337</v>
      </c>
      <c r="BP308" s="2">
        <v>1</v>
      </c>
      <c r="BQ308" s="2">
        <v>40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90</v>
      </c>
      <c r="CA308" s="2">
        <v>46</v>
      </c>
      <c r="CB308" s="2" t="s">
        <v>3</v>
      </c>
      <c r="CC308" s="2"/>
      <c r="CD308" s="2"/>
      <c r="CE308" s="2">
        <v>30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673</v>
      </c>
      <c r="CO308" s="2">
        <v>0</v>
      </c>
      <c r="CP308" s="2">
        <f t="shared" si="230"/>
        <v>2701.89</v>
      </c>
      <c r="CQ308" s="2">
        <f>ROUND((ROUND((AC308*AW308*1),2)*BC308),2)</f>
        <v>0</v>
      </c>
      <c r="CR308" s="2">
        <f>(ROUND((ROUND((((ET308*1.1))*AV308*1),2)*BB308),2)+ROUND((ROUND(((AE308-((EU308*1.1)))*AV308*1),2)*BS308),2))</f>
        <v>32.47</v>
      </c>
      <c r="CS308" s="2">
        <f t="shared" si="231"/>
        <v>3.64</v>
      </c>
      <c r="CT308" s="2">
        <f t="shared" si="232"/>
        <v>6.69</v>
      </c>
      <c r="CU308" s="2">
        <f t="shared" si="233"/>
        <v>0</v>
      </c>
      <c r="CV308" s="2">
        <f t="shared" si="234"/>
        <v>0.59888399999999997</v>
      </c>
      <c r="CW308" s="2">
        <f t="shared" si="235"/>
        <v>0</v>
      </c>
      <c r="CX308" s="2">
        <f t="shared" si="236"/>
        <v>0</v>
      </c>
      <c r="CY308" s="2">
        <f t="shared" si="237"/>
        <v>641.54700000000003</v>
      </c>
      <c r="CZ308" s="2">
        <f t="shared" si="238"/>
        <v>327.90179999999992</v>
      </c>
      <c r="DA308" s="2"/>
      <c r="DB308" s="2"/>
      <c r="DC308" s="2" t="s">
        <v>3</v>
      </c>
      <c r="DD308" s="2" t="s">
        <v>3</v>
      </c>
      <c r="DE308" s="2" t="s">
        <v>23</v>
      </c>
      <c r="DF308" s="2" t="s">
        <v>23</v>
      </c>
      <c r="DG308" s="2" t="s">
        <v>23</v>
      </c>
      <c r="DH308" s="2" t="s">
        <v>3</v>
      </c>
      <c r="DI308" s="2" t="s">
        <v>23</v>
      </c>
      <c r="DJ308" s="2" t="s">
        <v>23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1013</v>
      </c>
      <c r="DV308" s="2" t="s">
        <v>21</v>
      </c>
      <c r="DW308" s="2" t="s">
        <v>21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55992157</v>
      </c>
      <c r="EF308" s="2">
        <v>40</v>
      </c>
      <c r="EG308" s="2" t="s">
        <v>24</v>
      </c>
      <c r="EH308" s="2">
        <v>0</v>
      </c>
      <c r="EI308" s="2" t="s">
        <v>3</v>
      </c>
      <c r="EJ308" s="2">
        <v>2</v>
      </c>
      <c r="EK308" s="2">
        <v>72</v>
      </c>
      <c r="EL308" s="2" t="s">
        <v>25</v>
      </c>
      <c r="EM308" s="2" t="s">
        <v>26</v>
      </c>
      <c r="EN308" s="2"/>
      <c r="EO308" s="2" t="s">
        <v>27</v>
      </c>
      <c r="EP308" s="2"/>
      <c r="EQ308" s="2">
        <v>0</v>
      </c>
      <c r="ER308" s="2">
        <v>34</v>
      </c>
      <c r="ES308" s="2">
        <v>0</v>
      </c>
      <c r="ET308" s="2">
        <v>28.19</v>
      </c>
      <c r="EU308" s="2">
        <v>3.16</v>
      </c>
      <c r="EV308" s="2">
        <v>5.81</v>
      </c>
      <c r="EW308" s="2">
        <v>0.52</v>
      </c>
      <c r="EX308" s="2">
        <v>0</v>
      </c>
      <c r="EY308" s="2">
        <v>0</v>
      </c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90</v>
      </c>
      <c r="FY308" s="2">
        <v>46</v>
      </c>
      <c r="FZ308" s="2"/>
      <c r="GA308" s="2" t="s">
        <v>3</v>
      </c>
      <c r="GB308" s="2"/>
      <c r="GC308" s="2"/>
      <c r="GD308" s="2">
        <v>1</v>
      </c>
      <c r="GE308" s="2"/>
      <c r="GF308" s="2">
        <v>-1448862825</v>
      </c>
      <c r="GG308" s="2">
        <v>2</v>
      </c>
      <c r="GH308" s="2">
        <v>1</v>
      </c>
      <c r="GI308" s="2">
        <v>2</v>
      </c>
      <c r="GJ308" s="2">
        <v>0</v>
      </c>
      <c r="GK308" s="2">
        <v>0</v>
      </c>
      <c r="GL308" s="2">
        <f t="shared" si="239"/>
        <v>0</v>
      </c>
      <c r="GM308" s="2">
        <f t="shared" si="240"/>
        <v>3671.34</v>
      </c>
      <c r="GN308" s="2">
        <f t="shared" si="241"/>
        <v>0</v>
      </c>
      <c r="GO308" s="2">
        <f t="shared" si="242"/>
        <v>3671.34</v>
      </c>
      <c r="GP308" s="2">
        <f t="shared" si="243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244"/>
        <v>0</v>
      </c>
      <c r="GW308" s="2">
        <v>1</v>
      </c>
      <c r="GX308" s="2">
        <f t="shared" si="245"/>
        <v>0</v>
      </c>
      <c r="GY308" s="2"/>
      <c r="GZ308" s="2"/>
      <c r="HA308" s="2">
        <v>0</v>
      </c>
      <c r="HB308" s="2">
        <v>0</v>
      </c>
      <c r="HC308" s="2">
        <f t="shared" si="246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>
        <v>17</v>
      </c>
      <c r="B309">
        <v>1</v>
      </c>
      <c r="C309">
        <f>ROW(SmtRes!A242)</f>
        <v>242</v>
      </c>
      <c r="D309">
        <f>ROW(EtalonRes!A290)</f>
        <v>290</v>
      </c>
      <c r="E309" t="s">
        <v>336</v>
      </c>
      <c r="F309" t="s">
        <v>337</v>
      </c>
      <c r="G309" t="s">
        <v>338</v>
      </c>
      <c r="H309" t="s">
        <v>21</v>
      </c>
      <c r="I309">
        <f>ROUND(9+43+9+2+6,9)</f>
        <v>69</v>
      </c>
      <c r="J309">
        <v>0</v>
      </c>
      <c r="K309">
        <f>ROUND(9+43+9+2+6,9)</f>
        <v>69</v>
      </c>
      <c r="O309">
        <f t="shared" si="217"/>
        <v>58499.29</v>
      </c>
      <c r="P309">
        <f>ROUND((ROUND((AC309*AW309*I309),2)*BC309),2)</f>
        <v>0</v>
      </c>
      <c r="Q309">
        <f>(ROUND((ROUND((((ET309*1.1))*AV309*I309),2)*BB309),2)+ROUND((ROUND(((AE309-((EU309*1.1)))*AV309*I309),2)*BS309),2))</f>
        <v>33109.86</v>
      </c>
      <c r="R309">
        <f t="shared" si="218"/>
        <v>13809.09</v>
      </c>
      <c r="S309">
        <f t="shared" si="219"/>
        <v>25389.43</v>
      </c>
      <c r="T309">
        <f t="shared" si="220"/>
        <v>0</v>
      </c>
      <c r="U309">
        <f t="shared" si="221"/>
        <v>41.322995999999996</v>
      </c>
      <c r="V309">
        <f t="shared" si="222"/>
        <v>0</v>
      </c>
      <c r="W309">
        <f t="shared" si="223"/>
        <v>0</v>
      </c>
      <c r="X309">
        <f t="shared" si="224"/>
        <v>35278.67</v>
      </c>
      <c r="Y309">
        <f t="shared" si="225"/>
        <v>18031.32</v>
      </c>
      <c r="AA309">
        <v>56959431</v>
      </c>
      <c r="AB309">
        <f t="shared" si="226"/>
        <v>37.4</v>
      </c>
      <c r="AC309">
        <f t="shared" si="227"/>
        <v>0</v>
      </c>
      <c r="AD309">
        <f>ROUND(((((ET309*1.1))-((EU309*1.1)))+AE309),6)</f>
        <v>31.009</v>
      </c>
      <c r="AE309">
        <f>ROUND(((EU309*1.1)),6)</f>
        <v>3.476</v>
      </c>
      <c r="AF309">
        <f>ROUND(((EV309*1.1)),6)</f>
        <v>6.391</v>
      </c>
      <c r="AG309">
        <f t="shared" si="228"/>
        <v>0</v>
      </c>
      <c r="AH309">
        <f>((EW309*1.1))</f>
        <v>0.57200000000000006</v>
      </c>
      <c r="AI309">
        <f>((EX309*1.1))</f>
        <v>0</v>
      </c>
      <c r="AJ309">
        <f t="shared" si="229"/>
        <v>0</v>
      </c>
      <c r="AK309">
        <v>34</v>
      </c>
      <c r="AL309">
        <v>0</v>
      </c>
      <c r="AM309">
        <v>28.19</v>
      </c>
      <c r="AN309">
        <v>3.16</v>
      </c>
      <c r="AO309">
        <v>5.81</v>
      </c>
      <c r="AP309">
        <v>0</v>
      </c>
      <c r="AQ309">
        <v>0.52</v>
      </c>
      <c r="AR309">
        <v>0</v>
      </c>
      <c r="AS309">
        <v>0</v>
      </c>
      <c r="AT309">
        <v>90</v>
      </c>
      <c r="AU309">
        <v>46</v>
      </c>
      <c r="AV309">
        <v>1.0469999999999999</v>
      </c>
      <c r="AW309">
        <v>1</v>
      </c>
      <c r="AZ309">
        <v>1</v>
      </c>
      <c r="BA309">
        <v>54.99</v>
      </c>
      <c r="BB309">
        <v>14.78</v>
      </c>
      <c r="BC309">
        <v>1</v>
      </c>
      <c r="BD309" t="s">
        <v>3</v>
      </c>
      <c r="BE309" t="s">
        <v>3</v>
      </c>
      <c r="BF309" t="s">
        <v>3</v>
      </c>
      <c r="BG309" t="s">
        <v>3</v>
      </c>
      <c r="BH309">
        <v>0</v>
      </c>
      <c r="BI309">
        <v>2</v>
      </c>
      <c r="BJ309" t="s">
        <v>339</v>
      </c>
      <c r="BM309">
        <v>72</v>
      </c>
      <c r="BN309">
        <v>55992028</v>
      </c>
      <c r="BO309" t="s">
        <v>337</v>
      </c>
      <c r="BP309">
        <v>1</v>
      </c>
      <c r="BQ309">
        <v>40</v>
      </c>
      <c r="BR309">
        <v>0</v>
      </c>
      <c r="BS309">
        <v>54.99</v>
      </c>
      <c r="BT309">
        <v>1</v>
      </c>
      <c r="BU309">
        <v>1</v>
      </c>
      <c r="BV309">
        <v>1</v>
      </c>
      <c r="BW309">
        <v>1</v>
      </c>
      <c r="BX309">
        <v>1</v>
      </c>
      <c r="BY309" t="s">
        <v>3</v>
      </c>
      <c r="BZ309">
        <v>90</v>
      </c>
      <c r="CA309">
        <v>46</v>
      </c>
      <c r="CB309" t="s">
        <v>3</v>
      </c>
      <c r="CE309">
        <v>30</v>
      </c>
      <c r="CF309">
        <v>0</v>
      </c>
      <c r="CG309">
        <v>0</v>
      </c>
      <c r="CM309">
        <v>0</v>
      </c>
      <c r="CN309" t="s">
        <v>673</v>
      </c>
      <c r="CO309">
        <v>0</v>
      </c>
      <c r="CP309">
        <f t="shared" si="230"/>
        <v>58499.29</v>
      </c>
      <c r="CQ309">
        <f>ROUND((ROUND((AC309*AW309*1),2)*BC309),2)</f>
        <v>0</v>
      </c>
      <c r="CR309">
        <f>(ROUND((ROUND((((ET309*1.1))*AV309*1),2)*BB309),2)+ROUND((ROUND(((AE309-((EU309*1.1)))*AV309*1),2)*BS309),2))</f>
        <v>479.91</v>
      </c>
      <c r="CS309">
        <f t="shared" si="231"/>
        <v>200.16</v>
      </c>
      <c r="CT309">
        <f t="shared" si="232"/>
        <v>367.88</v>
      </c>
      <c r="CU309">
        <f t="shared" si="233"/>
        <v>0</v>
      </c>
      <c r="CV309">
        <f t="shared" si="234"/>
        <v>0.59888399999999997</v>
      </c>
      <c r="CW309">
        <f t="shared" si="235"/>
        <v>0</v>
      </c>
      <c r="CX309">
        <f t="shared" si="236"/>
        <v>0</v>
      </c>
      <c r="CY309">
        <f t="shared" si="237"/>
        <v>35278.668000000005</v>
      </c>
      <c r="CZ309">
        <f t="shared" si="238"/>
        <v>18031.319200000002</v>
      </c>
      <c r="DC309" t="s">
        <v>3</v>
      </c>
      <c r="DD309" t="s">
        <v>3</v>
      </c>
      <c r="DE309" t="s">
        <v>23</v>
      </c>
      <c r="DF309" t="s">
        <v>23</v>
      </c>
      <c r="DG309" t="s">
        <v>23</v>
      </c>
      <c r="DH309" t="s">
        <v>3</v>
      </c>
      <c r="DI309" t="s">
        <v>23</v>
      </c>
      <c r="DJ309" t="s">
        <v>23</v>
      </c>
      <c r="DK309" t="s">
        <v>3</v>
      </c>
      <c r="DL309" t="s">
        <v>3</v>
      </c>
      <c r="DM309" t="s">
        <v>3</v>
      </c>
      <c r="DN309">
        <v>0</v>
      </c>
      <c r="DO309">
        <v>0</v>
      </c>
      <c r="DP309">
        <v>1</v>
      </c>
      <c r="DQ309">
        <v>1</v>
      </c>
      <c r="DU309">
        <v>1013</v>
      </c>
      <c r="DV309" t="s">
        <v>21</v>
      </c>
      <c r="DW309" t="s">
        <v>21</v>
      </c>
      <c r="DX309">
        <v>1</v>
      </c>
      <c r="DZ309" t="s">
        <v>3</v>
      </c>
      <c r="EA309" t="s">
        <v>3</v>
      </c>
      <c r="EB309" t="s">
        <v>3</v>
      </c>
      <c r="EC309" t="s">
        <v>3</v>
      </c>
      <c r="EE309">
        <v>55992157</v>
      </c>
      <c r="EF309">
        <v>40</v>
      </c>
      <c r="EG309" t="s">
        <v>24</v>
      </c>
      <c r="EH309">
        <v>0</v>
      </c>
      <c r="EI309" t="s">
        <v>3</v>
      </c>
      <c r="EJ309">
        <v>2</v>
      </c>
      <c r="EK309">
        <v>72</v>
      </c>
      <c r="EL309" t="s">
        <v>25</v>
      </c>
      <c r="EM309" t="s">
        <v>26</v>
      </c>
      <c r="EO309" t="s">
        <v>27</v>
      </c>
      <c r="EQ309">
        <v>0</v>
      </c>
      <c r="ER309">
        <v>34</v>
      </c>
      <c r="ES309">
        <v>0</v>
      </c>
      <c r="ET309">
        <v>28.19</v>
      </c>
      <c r="EU309">
        <v>3.16</v>
      </c>
      <c r="EV309">
        <v>5.81</v>
      </c>
      <c r="EW309">
        <v>0.52</v>
      </c>
      <c r="EX309">
        <v>0</v>
      </c>
      <c r="EY309">
        <v>0</v>
      </c>
      <c r="FQ309">
        <v>0</v>
      </c>
      <c r="FR309">
        <v>0</v>
      </c>
      <c r="FS309">
        <v>0</v>
      </c>
      <c r="FX309">
        <v>90</v>
      </c>
      <c r="FY309">
        <v>46</v>
      </c>
      <c r="GA309" t="s">
        <v>3</v>
      </c>
      <c r="GD309">
        <v>1</v>
      </c>
      <c r="GF309">
        <v>-1448862825</v>
      </c>
      <c r="GG309">
        <v>2</v>
      </c>
      <c r="GH309">
        <v>1</v>
      </c>
      <c r="GI309">
        <v>2</v>
      </c>
      <c r="GJ309">
        <v>0</v>
      </c>
      <c r="GK309">
        <v>0</v>
      </c>
      <c r="GL309">
        <f t="shared" si="239"/>
        <v>0</v>
      </c>
      <c r="GM309">
        <f t="shared" si="240"/>
        <v>111809.28</v>
      </c>
      <c r="GN309">
        <f t="shared" si="241"/>
        <v>0</v>
      </c>
      <c r="GO309">
        <f t="shared" si="242"/>
        <v>111809.28</v>
      </c>
      <c r="GP309">
        <f t="shared" si="243"/>
        <v>0</v>
      </c>
      <c r="GR309">
        <v>0</v>
      </c>
      <c r="GS309">
        <v>3</v>
      </c>
      <c r="GT309">
        <v>0</v>
      </c>
      <c r="GU309" t="s">
        <v>3</v>
      </c>
      <c r="GV309">
        <f t="shared" si="244"/>
        <v>0</v>
      </c>
      <c r="GW309">
        <v>1</v>
      </c>
      <c r="GX309">
        <f t="shared" si="245"/>
        <v>0</v>
      </c>
      <c r="HA309">
        <v>0</v>
      </c>
      <c r="HB309">
        <v>0</v>
      </c>
      <c r="HC309">
        <f t="shared" si="246"/>
        <v>0</v>
      </c>
      <c r="HE309" t="s">
        <v>3</v>
      </c>
      <c r="HF309" t="s">
        <v>3</v>
      </c>
      <c r="HM309" t="s">
        <v>3</v>
      </c>
      <c r="HN309" t="s">
        <v>3</v>
      </c>
      <c r="HO309" t="s">
        <v>3</v>
      </c>
      <c r="HP309" t="s">
        <v>3</v>
      </c>
      <c r="HQ309" t="s">
        <v>3</v>
      </c>
      <c r="HS309">
        <v>0</v>
      </c>
      <c r="IK309">
        <v>0</v>
      </c>
    </row>
    <row r="310" spans="1:255" x14ac:dyDescent="0.2">
      <c r="A310" s="2">
        <v>18</v>
      </c>
      <c r="B310" s="2">
        <v>1</v>
      </c>
      <c r="C310" s="2">
        <v>238</v>
      </c>
      <c r="D310" s="2"/>
      <c r="E310" s="2" t="s">
        <v>340</v>
      </c>
      <c r="F310" s="2" t="s">
        <v>247</v>
      </c>
      <c r="G310" s="2" t="s">
        <v>248</v>
      </c>
      <c r="H310" s="2" t="s">
        <v>249</v>
      </c>
      <c r="I310" s="2">
        <f>I308*J310</f>
        <v>2.2079999999999999E-2</v>
      </c>
      <c r="J310" s="2">
        <v>3.1999999999999997E-4</v>
      </c>
      <c r="K310" s="2">
        <v>3.2000000000000003E-4</v>
      </c>
      <c r="L310" s="2"/>
      <c r="M310" s="2"/>
      <c r="N310" s="2"/>
      <c r="O310" s="2">
        <f t="shared" si="217"/>
        <v>0.69</v>
      </c>
      <c r="P310" s="2">
        <f>ROUND((ROUND((AC310*AW310*I310),2)*BC310),2)</f>
        <v>0.69</v>
      </c>
      <c r="Q310" s="2">
        <f t="shared" ref="Q310:Q321" si="265">(ROUND((ROUND(((ET310)*AV310*I310),2)*BB310),2)+ROUND((ROUND(((AE310-(EU310))*AV310*I310),2)*BS310),2))</f>
        <v>0</v>
      </c>
      <c r="R310" s="2">
        <f t="shared" si="218"/>
        <v>0</v>
      </c>
      <c r="S310" s="2">
        <f t="shared" si="219"/>
        <v>0</v>
      </c>
      <c r="T310" s="2">
        <f t="shared" si="220"/>
        <v>0</v>
      </c>
      <c r="U310" s="2">
        <f t="shared" si="221"/>
        <v>0</v>
      </c>
      <c r="V310" s="2">
        <f t="shared" si="222"/>
        <v>0</v>
      </c>
      <c r="W310" s="2">
        <f t="shared" si="223"/>
        <v>0</v>
      </c>
      <c r="X310" s="2">
        <f t="shared" si="224"/>
        <v>0</v>
      </c>
      <c r="Y310" s="2">
        <f t="shared" si="225"/>
        <v>0</v>
      </c>
      <c r="Z310" s="2"/>
      <c r="AA310" s="2">
        <v>56959434</v>
      </c>
      <c r="AB310" s="2">
        <f t="shared" si="226"/>
        <v>31.08</v>
      </c>
      <c r="AC310" s="2">
        <f t="shared" si="227"/>
        <v>31.08</v>
      </c>
      <c r="AD310" s="2">
        <f t="shared" ref="AD310:AD321" si="266">ROUND((((ET310)-(EU310))+AE310),6)</f>
        <v>0</v>
      </c>
      <c r="AE310" s="2">
        <f t="shared" ref="AE310:AE321" si="267">ROUND((EU310),6)</f>
        <v>0</v>
      </c>
      <c r="AF310" s="2">
        <f t="shared" ref="AF310:AF321" si="268">ROUND((EV310),6)</f>
        <v>0</v>
      </c>
      <c r="AG310" s="2">
        <f t="shared" si="228"/>
        <v>0</v>
      </c>
      <c r="AH310" s="2">
        <f t="shared" ref="AH310:AH321" si="269">(EW310)</f>
        <v>0</v>
      </c>
      <c r="AI310" s="2">
        <f t="shared" ref="AI310:AI321" si="270">(EX310)</f>
        <v>0</v>
      </c>
      <c r="AJ310" s="2">
        <f t="shared" si="229"/>
        <v>0</v>
      </c>
      <c r="AK310" s="2">
        <v>31.08</v>
      </c>
      <c r="AL310" s="2">
        <v>31.08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90</v>
      </c>
      <c r="AU310" s="2">
        <v>46</v>
      </c>
      <c r="AV310" s="2">
        <v>1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2</v>
      </c>
      <c r="BJ310" s="2" t="s">
        <v>250</v>
      </c>
      <c r="BK310" s="2"/>
      <c r="BL310" s="2"/>
      <c r="BM310" s="2">
        <v>72</v>
      </c>
      <c r="BN310" s="2">
        <v>55992028</v>
      </c>
      <c r="BO310" s="2" t="s">
        <v>3</v>
      </c>
      <c r="BP310" s="2">
        <v>0</v>
      </c>
      <c r="BQ310" s="2">
        <v>40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90</v>
      </c>
      <c r="CA310" s="2">
        <v>46</v>
      </c>
      <c r="CB310" s="2" t="s">
        <v>3</v>
      </c>
      <c r="CC310" s="2"/>
      <c r="CD310" s="2"/>
      <c r="CE310" s="2">
        <v>30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3</v>
      </c>
      <c r="CO310" s="2">
        <v>0</v>
      </c>
      <c r="CP310" s="2">
        <f t="shared" si="230"/>
        <v>0.69</v>
      </c>
      <c r="CQ310" s="2">
        <f>ROUND((ROUND((AC310*AW310*1),2)*BC310),2)</f>
        <v>31.08</v>
      </c>
      <c r="CR310" s="2">
        <f t="shared" ref="CR310:CR321" si="271">(ROUND((ROUND(((ET310)*AV310*1),2)*BB310),2)+ROUND((ROUND(((AE310-(EU310))*AV310*1),2)*BS310),2))</f>
        <v>0</v>
      </c>
      <c r="CS310" s="2">
        <f t="shared" si="231"/>
        <v>0</v>
      </c>
      <c r="CT310" s="2">
        <f t="shared" si="232"/>
        <v>0</v>
      </c>
      <c r="CU310" s="2">
        <f t="shared" si="233"/>
        <v>0</v>
      </c>
      <c r="CV310" s="2">
        <f t="shared" si="234"/>
        <v>0</v>
      </c>
      <c r="CW310" s="2">
        <f t="shared" si="235"/>
        <v>0</v>
      </c>
      <c r="CX310" s="2">
        <f t="shared" si="236"/>
        <v>0</v>
      </c>
      <c r="CY310" s="2">
        <f t="shared" si="237"/>
        <v>0</v>
      </c>
      <c r="CZ310" s="2">
        <f t="shared" si="238"/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1009</v>
      </c>
      <c r="DV310" s="2" t="s">
        <v>249</v>
      </c>
      <c r="DW310" s="2" t="s">
        <v>249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55992157</v>
      </c>
      <c r="EF310" s="2">
        <v>40</v>
      </c>
      <c r="EG310" s="2" t="s">
        <v>24</v>
      </c>
      <c r="EH310" s="2">
        <v>0</v>
      </c>
      <c r="EI310" s="2" t="s">
        <v>3</v>
      </c>
      <c r="EJ310" s="2">
        <v>2</v>
      </c>
      <c r="EK310" s="2">
        <v>72</v>
      </c>
      <c r="EL310" s="2" t="s">
        <v>25</v>
      </c>
      <c r="EM310" s="2" t="s">
        <v>26</v>
      </c>
      <c r="EN310" s="2"/>
      <c r="EO310" s="2" t="s">
        <v>3</v>
      </c>
      <c r="EP310" s="2"/>
      <c r="EQ310" s="2">
        <v>0</v>
      </c>
      <c r="ER310" s="2">
        <v>31.08</v>
      </c>
      <c r="ES310" s="2">
        <v>31.08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90</v>
      </c>
      <c r="FY310" s="2">
        <v>46</v>
      </c>
      <c r="FZ310" s="2"/>
      <c r="GA310" s="2" t="s">
        <v>3</v>
      </c>
      <c r="GB310" s="2"/>
      <c r="GC310" s="2"/>
      <c r="GD310" s="2">
        <v>1</v>
      </c>
      <c r="GE310" s="2"/>
      <c r="GF310" s="2">
        <v>1143487818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239"/>
        <v>0</v>
      </c>
      <c r="GM310" s="2">
        <f t="shared" si="240"/>
        <v>0.69</v>
      </c>
      <c r="GN310" s="2">
        <f t="shared" si="241"/>
        <v>0</v>
      </c>
      <c r="GO310" s="2">
        <f t="shared" si="242"/>
        <v>0.69</v>
      </c>
      <c r="GP310" s="2">
        <f t="shared" si="243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244"/>
        <v>0</v>
      </c>
      <c r="GW310" s="2">
        <v>1</v>
      </c>
      <c r="GX310" s="2">
        <f t="shared" si="245"/>
        <v>0</v>
      </c>
      <c r="GY310" s="2"/>
      <c r="GZ310" s="2"/>
      <c r="HA310" s="2">
        <v>0</v>
      </c>
      <c r="HB310" s="2">
        <v>0</v>
      </c>
      <c r="HC310" s="2">
        <f t="shared" si="246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3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">
      <c r="A311">
        <v>18</v>
      </c>
      <c r="B311">
        <v>1</v>
      </c>
      <c r="C311">
        <v>242</v>
      </c>
      <c r="E311" t="s">
        <v>340</v>
      </c>
      <c r="F311" t="s">
        <v>247</v>
      </c>
      <c r="G311" t="s">
        <v>248</v>
      </c>
      <c r="H311" t="s">
        <v>249</v>
      </c>
      <c r="I311">
        <f>I309*J311</f>
        <v>2.2079999999999999E-2</v>
      </c>
      <c r="J311">
        <v>3.1999999999999997E-4</v>
      </c>
      <c r="K311">
        <v>3.2000000000000003E-4</v>
      </c>
      <c r="O311">
        <f t="shared" si="217"/>
        <v>3.53</v>
      </c>
      <c r="P311">
        <f>ROUND((ROUND((AC311*AW311*I311),2)*BC311),2)</f>
        <v>3.53</v>
      </c>
      <c r="Q311">
        <f t="shared" si="265"/>
        <v>0</v>
      </c>
      <c r="R311">
        <f t="shared" si="218"/>
        <v>0</v>
      </c>
      <c r="S311">
        <f t="shared" si="219"/>
        <v>0</v>
      </c>
      <c r="T311">
        <f t="shared" si="220"/>
        <v>0</v>
      </c>
      <c r="U311">
        <f t="shared" si="221"/>
        <v>0</v>
      </c>
      <c r="V311">
        <f t="shared" si="222"/>
        <v>0</v>
      </c>
      <c r="W311">
        <f t="shared" si="223"/>
        <v>0</v>
      </c>
      <c r="X311">
        <f t="shared" si="224"/>
        <v>0</v>
      </c>
      <c r="Y311">
        <f t="shared" si="225"/>
        <v>0</v>
      </c>
      <c r="AA311">
        <v>56959431</v>
      </c>
      <c r="AB311">
        <f t="shared" si="226"/>
        <v>31.08</v>
      </c>
      <c r="AC311">
        <f t="shared" si="227"/>
        <v>31.08</v>
      </c>
      <c r="AD311">
        <f t="shared" si="266"/>
        <v>0</v>
      </c>
      <c r="AE311">
        <f t="shared" si="267"/>
        <v>0</v>
      </c>
      <c r="AF311">
        <f t="shared" si="268"/>
        <v>0</v>
      </c>
      <c r="AG311">
        <f t="shared" si="228"/>
        <v>0</v>
      </c>
      <c r="AH311">
        <f t="shared" si="269"/>
        <v>0</v>
      </c>
      <c r="AI311">
        <f t="shared" si="270"/>
        <v>0</v>
      </c>
      <c r="AJ311">
        <f t="shared" si="229"/>
        <v>0</v>
      </c>
      <c r="AK311">
        <v>31.08</v>
      </c>
      <c r="AL311">
        <v>31.08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90</v>
      </c>
      <c r="AU311">
        <v>46</v>
      </c>
      <c r="AV311">
        <v>1</v>
      </c>
      <c r="AW311">
        <v>1</v>
      </c>
      <c r="AZ311">
        <v>1</v>
      </c>
      <c r="BA311">
        <v>1</v>
      </c>
      <c r="BB311">
        <v>1</v>
      </c>
      <c r="BC311">
        <v>5.12</v>
      </c>
      <c r="BD311" t="s">
        <v>3</v>
      </c>
      <c r="BE311" t="s">
        <v>3</v>
      </c>
      <c r="BF311" t="s">
        <v>3</v>
      </c>
      <c r="BG311" t="s">
        <v>3</v>
      </c>
      <c r="BH311">
        <v>3</v>
      </c>
      <c r="BI311">
        <v>2</v>
      </c>
      <c r="BJ311" t="s">
        <v>250</v>
      </c>
      <c r="BM311">
        <v>72</v>
      </c>
      <c r="BN311">
        <v>55992028</v>
      </c>
      <c r="BO311" t="s">
        <v>247</v>
      </c>
      <c r="BP311">
        <v>1</v>
      </c>
      <c r="BQ311">
        <v>40</v>
      </c>
      <c r="BR311">
        <v>0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 t="s">
        <v>3</v>
      </c>
      <c r="BZ311">
        <v>90</v>
      </c>
      <c r="CA311">
        <v>46</v>
      </c>
      <c r="CB311" t="s">
        <v>3</v>
      </c>
      <c r="CE311">
        <v>30</v>
      </c>
      <c r="CF311">
        <v>0</v>
      </c>
      <c r="CG311">
        <v>0</v>
      </c>
      <c r="CM311">
        <v>0</v>
      </c>
      <c r="CN311" t="s">
        <v>3</v>
      </c>
      <c r="CO311">
        <v>0</v>
      </c>
      <c r="CP311">
        <f t="shared" si="230"/>
        <v>3.53</v>
      </c>
      <c r="CQ311">
        <f>ROUND((ROUND((AC311*AW311*1),2)*BC311),2)</f>
        <v>159.13</v>
      </c>
      <c r="CR311">
        <f t="shared" si="271"/>
        <v>0</v>
      </c>
      <c r="CS311">
        <f t="shared" si="231"/>
        <v>0</v>
      </c>
      <c r="CT311">
        <f t="shared" si="232"/>
        <v>0</v>
      </c>
      <c r="CU311">
        <f t="shared" si="233"/>
        <v>0</v>
      </c>
      <c r="CV311">
        <f t="shared" si="234"/>
        <v>0</v>
      </c>
      <c r="CW311">
        <f t="shared" si="235"/>
        <v>0</v>
      </c>
      <c r="CX311">
        <f t="shared" si="236"/>
        <v>0</v>
      </c>
      <c r="CY311">
        <f t="shared" si="237"/>
        <v>0</v>
      </c>
      <c r="CZ311">
        <f t="shared" si="238"/>
        <v>0</v>
      </c>
      <c r="DC311" t="s">
        <v>3</v>
      </c>
      <c r="DD311" t="s">
        <v>3</v>
      </c>
      <c r="DE311" t="s">
        <v>3</v>
      </c>
      <c r="DF311" t="s">
        <v>3</v>
      </c>
      <c r="DG311" t="s">
        <v>3</v>
      </c>
      <c r="DH311" t="s">
        <v>3</v>
      </c>
      <c r="DI311" t="s">
        <v>3</v>
      </c>
      <c r="DJ311" t="s">
        <v>3</v>
      </c>
      <c r="DK311" t="s">
        <v>3</v>
      </c>
      <c r="DL311" t="s">
        <v>3</v>
      </c>
      <c r="DM311" t="s">
        <v>3</v>
      </c>
      <c r="DN311">
        <v>0</v>
      </c>
      <c r="DO311">
        <v>0</v>
      </c>
      <c r="DP311">
        <v>1</v>
      </c>
      <c r="DQ311">
        <v>1</v>
      </c>
      <c r="DU311">
        <v>1009</v>
      </c>
      <c r="DV311" t="s">
        <v>249</v>
      </c>
      <c r="DW311" t="s">
        <v>249</v>
      </c>
      <c r="DX311">
        <v>1</v>
      </c>
      <c r="DZ311" t="s">
        <v>3</v>
      </c>
      <c r="EA311" t="s">
        <v>3</v>
      </c>
      <c r="EB311" t="s">
        <v>3</v>
      </c>
      <c r="EC311" t="s">
        <v>3</v>
      </c>
      <c r="EE311">
        <v>55992157</v>
      </c>
      <c r="EF311">
        <v>40</v>
      </c>
      <c r="EG311" t="s">
        <v>24</v>
      </c>
      <c r="EH311">
        <v>0</v>
      </c>
      <c r="EI311" t="s">
        <v>3</v>
      </c>
      <c r="EJ311">
        <v>2</v>
      </c>
      <c r="EK311">
        <v>72</v>
      </c>
      <c r="EL311" t="s">
        <v>25</v>
      </c>
      <c r="EM311" t="s">
        <v>26</v>
      </c>
      <c r="EO311" t="s">
        <v>3</v>
      </c>
      <c r="EQ311">
        <v>0</v>
      </c>
      <c r="ER311">
        <v>31.08</v>
      </c>
      <c r="ES311">
        <v>31.08</v>
      </c>
      <c r="ET311">
        <v>0</v>
      </c>
      <c r="EU311">
        <v>0</v>
      </c>
      <c r="EV311">
        <v>0</v>
      </c>
      <c r="EW311">
        <v>0</v>
      </c>
      <c r="EX311">
        <v>0</v>
      </c>
      <c r="FQ311">
        <v>0</v>
      </c>
      <c r="FR311">
        <v>0</v>
      </c>
      <c r="FS311">
        <v>0</v>
      </c>
      <c r="FX311">
        <v>90</v>
      </c>
      <c r="FY311">
        <v>46</v>
      </c>
      <c r="GA311" t="s">
        <v>3</v>
      </c>
      <c r="GD311">
        <v>1</v>
      </c>
      <c r="GF311">
        <v>1143487818</v>
      </c>
      <c r="GG311">
        <v>2</v>
      </c>
      <c r="GH311">
        <v>1</v>
      </c>
      <c r="GI311">
        <v>2</v>
      </c>
      <c r="GJ311">
        <v>0</v>
      </c>
      <c r="GK311">
        <v>0</v>
      </c>
      <c r="GL311">
        <f t="shared" si="239"/>
        <v>0</v>
      </c>
      <c r="GM311">
        <f t="shared" si="240"/>
        <v>3.53</v>
      </c>
      <c r="GN311">
        <f t="shared" si="241"/>
        <v>0</v>
      </c>
      <c r="GO311">
        <f t="shared" si="242"/>
        <v>3.53</v>
      </c>
      <c r="GP311">
        <f t="shared" si="243"/>
        <v>0</v>
      </c>
      <c r="GR311">
        <v>0</v>
      </c>
      <c r="GS311">
        <v>3</v>
      </c>
      <c r="GT311">
        <v>0</v>
      </c>
      <c r="GU311" t="s">
        <v>3</v>
      </c>
      <c r="GV311">
        <f t="shared" si="244"/>
        <v>0</v>
      </c>
      <c r="GW311">
        <v>1</v>
      </c>
      <c r="GX311">
        <f t="shared" si="245"/>
        <v>0</v>
      </c>
      <c r="HA311">
        <v>0</v>
      </c>
      <c r="HB311">
        <v>0</v>
      </c>
      <c r="HC311">
        <f t="shared" si="246"/>
        <v>0</v>
      </c>
      <c r="HE311" t="s">
        <v>3</v>
      </c>
      <c r="HF311" t="s">
        <v>3</v>
      </c>
      <c r="HM311" t="s">
        <v>3</v>
      </c>
      <c r="HN311" t="s">
        <v>3</v>
      </c>
      <c r="HO311" t="s">
        <v>3</v>
      </c>
      <c r="HP311" t="s">
        <v>3</v>
      </c>
      <c r="HQ311" t="s">
        <v>3</v>
      </c>
      <c r="HS311">
        <v>0</v>
      </c>
      <c r="IK311">
        <v>0</v>
      </c>
    </row>
    <row r="312" spans="1:255" x14ac:dyDescent="0.2">
      <c r="A312" s="2">
        <v>17</v>
      </c>
      <c r="B312" s="2">
        <v>1</v>
      </c>
      <c r="C312" s="2"/>
      <c r="D312" s="2"/>
      <c r="E312" s="2" t="s">
        <v>341</v>
      </c>
      <c r="F312" s="2" t="s">
        <v>342</v>
      </c>
      <c r="G312" s="2" t="s">
        <v>343</v>
      </c>
      <c r="H312" s="2" t="s">
        <v>31</v>
      </c>
      <c r="I312" s="2">
        <v>9</v>
      </c>
      <c r="J312" s="2">
        <v>0</v>
      </c>
      <c r="K312" s="2">
        <v>9</v>
      </c>
      <c r="L312" s="2"/>
      <c r="M312" s="2"/>
      <c r="N312" s="2"/>
      <c r="O312" s="2">
        <f t="shared" si="217"/>
        <v>20411.73</v>
      </c>
      <c r="P312" s="2">
        <f t="shared" ref="P312:P321" si="272">ROUND((ROUND((AC312*I312),2)*BC312),2)</f>
        <v>20411.73</v>
      </c>
      <c r="Q312" s="2">
        <f t="shared" si="265"/>
        <v>0</v>
      </c>
      <c r="R312" s="2">
        <f t="shared" si="218"/>
        <v>0</v>
      </c>
      <c r="S312" s="2">
        <f t="shared" si="219"/>
        <v>0</v>
      </c>
      <c r="T312" s="2">
        <f t="shared" si="220"/>
        <v>0</v>
      </c>
      <c r="U312" s="2">
        <f t="shared" si="221"/>
        <v>0</v>
      </c>
      <c r="V312" s="2">
        <f t="shared" si="222"/>
        <v>0</v>
      </c>
      <c r="W312" s="2">
        <f t="shared" si="223"/>
        <v>0</v>
      </c>
      <c r="X312" s="2">
        <f t="shared" si="224"/>
        <v>0</v>
      </c>
      <c r="Y312" s="2">
        <f t="shared" si="225"/>
        <v>0</v>
      </c>
      <c r="Z312" s="2"/>
      <c r="AA312" s="2">
        <v>56959434</v>
      </c>
      <c r="AB312" s="2">
        <f t="shared" si="226"/>
        <v>2267.9699999999998</v>
      </c>
      <c r="AC312" s="2">
        <f t="shared" si="227"/>
        <v>2267.9699999999998</v>
      </c>
      <c r="AD312" s="2">
        <f t="shared" si="266"/>
        <v>0</v>
      </c>
      <c r="AE312" s="2">
        <f t="shared" si="267"/>
        <v>0</v>
      </c>
      <c r="AF312" s="2">
        <f t="shared" si="268"/>
        <v>0</v>
      </c>
      <c r="AG312" s="2">
        <f t="shared" si="228"/>
        <v>0</v>
      </c>
      <c r="AH312" s="2">
        <f t="shared" si="269"/>
        <v>0</v>
      </c>
      <c r="AI312" s="2">
        <f t="shared" si="270"/>
        <v>0</v>
      </c>
      <c r="AJ312" s="2">
        <f t="shared" si="229"/>
        <v>0</v>
      </c>
      <c r="AK312" s="2">
        <v>2267.9699999999998</v>
      </c>
      <c r="AL312" s="2">
        <v>2267.9699999999998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1</v>
      </c>
      <c r="AW312" s="2">
        <v>1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3</v>
      </c>
      <c r="BI312" s="2">
        <v>3</v>
      </c>
      <c r="BJ312" s="2" t="s">
        <v>3</v>
      </c>
      <c r="BK312" s="2"/>
      <c r="BL312" s="2"/>
      <c r="BM312" s="2">
        <v>746</v>
      </c>
      <c r="BN312" s="2">
        <v>0</v>
      </c>
      <c r="BO312" s="2" t="s">
        <v>3</v>
      </c>
      <c r="BP312" s="2">
        <v>0</v>
      </c>
      <c r="BQ312" s="2">
        <v>130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0</v>
      </c>
      <c r="CA312" s="2">
        <v>0</v>
      </c>
      <c r="CB312" s="2" t="s">
        <v>3</v>
      </c>
      <c r="CC312" s="2"/>
      <c r="CD312" s="2"/>
      <c r="CE312" s="2">
        <v>30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3</v>
      </c>
      <c r="CO312" s="2">
        <v>0</v>
      </c>
      <c r="CP312" s="2">
        <f t="shared" si="230"/>
        <v>20411.73</v>
      </c>
      <c r="CQ312" s="2">
        <f t="shared" ref="CQ312:CQ321" si="273">ROUND((ROUND((AC312*1),2)*BC312),2)</f>
        <v>2267.9699999999998</v>
      </c>
      <c r="CR312" s="2">
        <f t="shared" si="271"/>
        <v>0</v>
      </c>
      <c r="CS312" s="2">
        <f t="shared" si="231"/>
        <v>0</v>
      </c>
      <c r="CT312" s="2">
        <f t="shared" si="232"/>
        <v>0</v>
      </c>
      <c r="CU312" s="2">
        <f t="shared" si="233"/>
        <v>0</v>
      </c>
      <c r="CV312" s="2">
        <f t="shared" si="234"/>
        <v>0</v>
      </c>
      <c r="CW312" s="2">
        <f t="shared" si="235"/>
        <v>0</v>
      </c>
      <c r="CX312" s="2">
        <f t="shared" si="236"/>
        <v>0</v>
      </c>
      <c r="CY312" s="2">
        <f t="shared" si="237"/>
        <v>0</v>
      </c>
      <c r="CZ312" s="2">
        <f t="shared" si="238"/>
        <v>0</v>
      </c>
      <c r="DA312" s="2"/>
      <c r="DB312" s="2"/>
      <c r="DC312" s="2" t="s">
        <v>3</v>
      </c>
      <c r="DD312" s="2" t="s">
        <v>3</v>
      </c>
      <c r="DE312" s="2" t="s">
        <v>3</v>
      </c>
      <c r="DF312" s="2" t="s">
        <v>3</v>
      </c>
      <c r="DG312" s="2" t="s">
        <v>3</v>
      </c>
      <c r="DH312" s="2" t="s">
        <v>3</v>
      </c>
      <c r="DI312" s="2" t="s">
        <v>3</v>
      </c>
      <c r="DJ312" s="2" t="s">
        <v>3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1010</v>
      </c>
      <c r="DV312" s="2" t="s">
        <v>31</v>
      </c>
      <c r="DW312" s="2" t="s">
        <v>31</v>
      </c>
      <c r="DX312" s="2">
        <v>1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55992259</v>
      </c>
      <c r="EF312" s="2">
        <v>130</v>
      </c>
      <c r="EG312" s="2" t="s">
        <v>32</v>
      </c>
      <c r="EH312" s="2">
        <v>0</v>
      </c>
      <c r="EI312" s="2" t="s">
        <v>3</v>
      </c>
      <c r="EJ312" s="2">
        <v>3</v>
      </c>
      <c r="EK312" s="2">
        <v>746</v>
      </c>
      <c r="EL312" s="2" t="s">
        <v>33</v>
      </c>
      <c r="EM312" s="2" t="s">
        <v>34</v>
      </c>
      <c r="EN312" s="2"/>
      <c r="EO312" s="2" t="s">
        <v>3</v>
      </c>
      <c r="EP312" s="2"/>
      <c r="EQ312" s="2">
        <v>0</v>
      </c>
      <c r="ER312" s="2">
        <v>0</v>
      </c>
      <c r="ES312" s="2">
        <v>2267.9699999999998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f t="shared" ref="FR312:FR321" si="274">P312</f>
        <v>20411.73</v>
      </c>
      <c r="FS312" s="2">
        <v>0</v>
      </c>
      <c r="FT312" s="2"/>
      <c r="FU312" s="2"/>
      <c r="FV312" s="2"/>
      <c r="FW312" s="2"/>
      <c r="FX312" s="2">
        <v>0</v>
      </c>
      <c r="FY312" s="2">
        <v>0</v>
      </c>
      <c r="FZ312" s="2"/>
      <c r="GA312" s="2" t="s">
        <v>344</v>
      </c>
      <c r="GB312" s="2"/>
      <c r="GC312" s="2"/>
      <c r="GD312" s="2">
        <v>1</v>
      </c>
      <c r="GE312" s="2"/>
      <c r="GF312" s="2">
        <v>305246791</v>
      </c>
      <c r="GG312" s="2">
        <v>2</v>
      </c>
      <c r="GH312" s="2">
        <v>4</v>
      </c>
      <c r="GI312" s="2">
        <v>-2</v>
      </c>
      <c r="GJ312" s="2">
        <v>0</v>
      </c>
      <c r="GK312" s="2">
        <v>0</v>
      </c>
      <c r="GL312" s="2">
        <f t="shared" si="239"/>
        <v>0</v>
      </c>
      <c r="GM312" s="2">
        <f t="shared" si="240"/>
        <v>20411.73</v>
      </c>
      <c r="GN312" s="2">
        <f t="shared" si="241"/>
        <v>0</v>
      </c>
      <c r="GO312" s="2">
        <f t="shared" si="242"/>
        <v>0</v>
      </c>
      <c r="GP312" s="2">
        <f t="shared" si="243"/>
        <v>0</v>
      </c>
      <c r="GQ312" s="2"/>
      <c r="GR312" s="2">
        <v>0</v>
      </c>
      <c r="GS312" s="2">
        <v>2</v>
      </c>
      <c r="GT312" s="2">
        <v>0</v>
      </c>
      <c r="GU312" s="2" t="s">
        <v>3</v>
      </c>
      <c r="GV312" s="2">
        <f t="shared" si="244"/>
        <v>0</v>
      </c>
      <c r="GW312" s="2">
        <v>1</v>
      </c>
      <c r="GX312" s="2">
        <f t="shared" si="245"/>
        <v>0</v>
      </c>
      <c r="GY312" s="2"/>
      <c r="GZ312" s="2"/>
      <c r="HA312" s="2">
        <v>0</v>
      </c>
      <c r="HB312" s="2">
        <v>0</v>
      </c>
      <c r="HC312" s="2">
        <f t="shared" si="246"/>
        <v>0</v>
      </c>
      <c r="HD312" s="2"/>
      <c r="HE312" s="2" t="s">
        <v>36</v>
      </c>
      <c r="HF312" s="2" t="s">
        <v>37</v>
      </c>
      <c r="HG312" s="2"/>
      <c r="HH312" s="2"/>
      <c r="HI312" s="2"/>
      <c r="HJ312" s="2"/>
      <c r="HK312" s="2"/>
      <c r="HL312" s="2"/>
      <c r="HM312" s="2" t="s">
        <v>3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">
      <c r="A313">
        <v>17</v>
      </c>
      <c r="B313">
        <v>1</v>
      </c>
      <c r="E313" t="s">
        <v>341</v>
      </c>
      <c r="F313" t="s">
        <v>342</v>
      </c>
      <c r="G313" t="s">
        <v>343</v>
      </c>
      <c r="H313" t="s">
        <v>31</v>
      </c>
      <c r="I313">
        <v>9</v>
      </c>
      <c r="J313">
        <v>0</v>
      </c>
      <c r="K313">
        <v>9</v>
      </c>
      <c r="O313">
        <f t="shared" si="217"/>
        <v>156353.85</v>
      </c>
      <c r="P313">
        <f t="shared" si="272"/>
        <v>156353.85</v>
      </c>
      <c r="Q313">
        <f t="shared" si="265"/>
        <v>0</v>
      </c>
      <c r="R313">
        <f t="shared" si="218"/>
        <v>0</v>
      </c>
      <c r="S313">
        <f t="shared" si="219"/>
        <v>0</v>
      </c>
      <c r="T313">
        <f t="shared" si="220"/>
        <v>0</v>
      </c>
      <c r="U313">
        <f t="shared" si="221"/>
        <v>0</v>
      </c>
      <c r="V313">
        <f t="shared" si="222"/>
        <v>0</v>
      </c>
      <c r="W313">
        <f t="shared" si="223"/>
        <v>0</v>
      </c>
      <c r="X313">
        <f t="shared" si="224"/>
        <v>0</v>
      </c>
      <c r="Y313">
        <f t="shared" si="225"/>
        <v>0</v>
      </c>
      <c r="AA313">
        <v>56959431</v>
      </c>
      <c r="AB313">
        <f t="shared" si="226"/>
        <v>2267.9699999999998</v>
      </c>
      <c r="AC313">
        <f t="shared" si="227"/>
        <v>2267.9699999999998</v>
      </c>
      <c r="AD313">
        <f t="shared" si="266"/>
        <v>0</v>
      </c>
      <c r="AE313">
        <f t="shared" si="267"/>
        <v>0</v>
      </c>
      <c r="AF313">
        <f t="shared" si="268"/>
        <v>0</v>
      </c>
      <c r="AG313">
        <f t="shared" si="228"/>
        <v>0</v>
      </c>
      <c r="AH313">
        <f t="shared" si="269"/>
        <v>0</v>
      </c>
      <c r="AI313">
        <f t="shared" si="270"/>
        <v>0</v>
      </c>
      <c r="AJ313">
        <f t="shared" si="229"/>
        <v>0</v>
      </c>
      <c r="AK313">
        <v>2267.9699999999998</v>
      </c>
      <c r="AL313">
        <v>2267.9699999999998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1</v>
      </c>
      <c r="AZ313">
        <v>1</v>
      </c>
      <c r="BA313">
        <v>1</v>
      </c>
      <c r="BB313">
        <v>1</v>
      </c>
      <c r="BC313">
        <v>7.66</v>
      </c>
      <c r="BD313" t="s">
        <v>3</v>
      </c>
      <c r="BE313" t="s">
        <v>3</v>
      </c>
      <c r="BF313" t="s">
        <v>3</v>
      </c>
      <c r="BG313" t="s">
        <v>3</v>
      </c>
      <c r="BH313">
        <v>3</v>
      </c>
      <c r="BI313">
        <v>3</v>
      </c>
      <c r="BJ313" t="s">
        <v>3</v>
      </c>
      <c r="BM313">
        <v>746</v>
      </c>
      <c r="BN313">
        <v>0</v>
      </c>
      <c r="BO313" t="s">
        <v>3</v>
      </c>
      <c r="BP313">
        <v>0</v>
      </c>
      <c r="BQ313">
        <v>130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 t="s">
        <v>3</v>
      </c>
      <c r="BZ313">
        <v>0</v>
      </c>
      <c r="CA313">
        <v>0</v>
      </c>
      <c r="CB313" t="s">
        <v>3</v>
      </c>
      <c r="CE313">
        <v>30</v>
      </c>
      <c r="CF313">
        <v>0</v>
      </c>
      <c r="CG313">
        <v>0</v>
      </c>
      <c r="CM313">
        <v>0</v>
      </c>
      <c r="CN313" t="s">
        <v>3</v>
      </c>
      <c r="CO313">
        <v>0</v>
      </c>
      <c r="CP313">
        <f t="shared" si="230"/>
        <v>156353.85</v>
      </c>
      <c r="CQ313">
        <f t="shared" si="273"/>
        <v>17372.650000000001</v>
      </c>
      <c r="CR313">
        <f t="shared" si="271"/>
        <v>0</v>
      </c>
      <c r="CS313">
        <f t="shared" si="231"/>
        <v>0</v>
      </c>
      <c r="CT313">
        <f t="shared" si="232"/>
        <v>0</v>
      </c>
      <c r="CU313">
        <f t="shared" si="233"/>
        <v>0</v>
      </c>
      <c r="CV313">
        <f t="shared" si="234"/>
        <v>0</v>
      </c>
      <c r="CW313">
        <f t="shared" si="235"/>
        <v>0</v>
      </c>
      <c r="CX313">
        <f t="shared" si="236"/>
        <v>0</v>
      </c>
      <c r="CY313">
        <f t="shared" si="237"/>
        <v>0</v>
      </c>
      <c r="CZ313">
        <f t="shared" si="238"/>
        <v>0</v>
      </c>
      <c r="DC313" t="s">
        <v>3</v>
      </c>
      <c r="DD313" t="s">
        <v>3</v>
      </c>
      <c r="DE313" t="s">
        <v>3</v>
      </c>
      <c r="DF313" t="s">
        <v>3</v>
      </c>
      <c r="DG313" t="s">
        <v>3</v>
      </c>
      <c r="DH313" t="s">
        <v>3</v>
      </c>
      <c r="DI313" t="s">
        <v>3</v>
      </c>
      <c r="DJ313" t="s">
        <v>3</v>
      </c>
      <c r="DK313" t="s">
        <v>3</v>
      </c>
      <c r="DL313" t="s">
        <v>3</v>
      </c>
      <c r="DM313" t="s">
        <v>3</v>
      </c>
      <c r="DN313">
        <v>0</v>
      </c>
      <c r="DO313">
        <v>0</v>
      </c>
      <c r="DP313">
        <v>1</v>
      </c>
      <c r="DQ313">
        <v>1</v>
      </c>
      <c r="DU313">
        <v>1010</v>
      </c>
      <c r="DV313" t="s">
        <v>31</v>
      </c>
      <c r="DW313" t="s">
        <v>31</v>
      </c>
      <c r="DX313">
        <v>1</v>
      </c>
      <c r="DZ313" t="s">
        <v>3</v>
      </c>
      <c r="EA313" t="s">
        <v>3</v>
      </c>
      <c r="EB313" t="s">
        <v>3</v>
      </c>
      <c r="EC313" t="s">
        <v>3</v>
      </c>
      <c r="EE313">
        <v>55992259</v>
      </c>
      <c r="EF313">
        <v>130</v>
      </c>
      <c r="EG313" t="s">
        <v>32</v>
      </c>
      <c r="EH313">
        <v>0</v>
      </c>
      <c r="EI313" t="s">
        <v>3</v>
      </c>
      <c r="EJ313">
        <v>3</v>
      </c>
      <c r="EK313">
        <v>746</v>
      </c>
      <c r="EL313" t="s">
        <v>33</v>
      </c>
      <c r="EM313" t="s">
        <v>34</v>
      </c>
      <c r="EO313" t="s">
        <v>3</v>
      </c>
      <c r="EQ313">
        <v>0</v>
      </c>
      <c r="ER313">
        <v>2267.9699999999998</v>
      </c>
      <c r="ES313">
        <v>2267.9699999999998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5</v>
      </c>
      <c r="FC313">
        <v>1</v>
      </c>
      <c r="FD313">
        <v>18</v>
      </c>
      <c r="FF313">
        <v>20000</v>
      </c>
      <c r="FQ313">
        <v>0</v>
      </c>
      <c r="FR313">
        <f t="shared" si="274"/>
        <v>156353.85</v>
      </c>
      <c r="FS313">
        <v>0</v>
      </c>
      <c r="FX313">
        <v>0</v>
      </c>
      <c r="FY313">
        <v>0</v>
      </c>
      <c r="GA313" t="s">
        <v>344</v>
      </c>
      <c r="GD313">
        <v>1</v>
      </c>
      <c r="GF313">
        <v>305246791</v>
      </c>
      <c r="GG313">
        <v>2</v>
      </c>
      <c r="GH313">
        <v>3</v>
      </c>
      <c r="GI313">
        <v>5</v>
      </c>
      <c r="GJ313">
        <v>0</v>
      </c>
      <c r="GK313">
        <v>0</v>
      </c>
      <c r="GL313">
        <f t="shared" si="239"/>
        <v>0</v>
      </c>
      <c r="GM313">
        <f t="shared" si="240"/>
        <v>156353.85</v>
      </c>
      <c r="GN313">
        <f t="shared" si="241"/>
        <v>0</v>
      </c>
      <c r="GO313">
        <f t="shared" si="242"/>
        <v>0</v>
      </c>
      <c r="GP313">
        <f t="shared" si="243"/>
        <v>0</v>
      </c>
      <c r="GR313">
        <v>1</v>
      </c>
      <c r="GS313">
        <v>1</v>
      </c>
      <c r="GT313">
        <v>0</v>
      </c>
      <c r="GU313" t="s">
        <v>3</v>
      </c>
      <c r="GV313">
        <f t="shared" si="244"/>
        <v>0</v>
      </c>
      <c r="GW313">
        <v>1</v>
      </c>
      <c r="GX313">
        <f t="shared" si="245"/>
        <v>0</v>
      </c>
      <c r="HA313">
        <v>0</v>
      </c>
      <c r="HB313">
        <v>0</v>
      </c>
      <c r="HC313">
        <f t="shared" si="246"/>
        <v>0</v>
      </c>
      <c r="HE313" t="s">
        <v>36</v>
      </c>
      <c r="HF313" t="s">
        <v>37</v>
      </c>
      <c r="HM313" t="s">
        <v>3</v>
      </c>
      <c r="HN313" t="s">
        <v>3</v>
      </c>
      <c r="HO313" t="s">
        <v>3</v>
      </c>
      <c r="HP313" t="s">
        <v>3</v>
      </c>
      <c r="HQ313" t="s">
        <v>3</v>
      </c>
      <c r="HS313">
        <v>0</v>
      </c>
      <c r="IK313">
        <v>0</v>
      </c>
    </row>
    <row r="314" spans="1:255" x14ac:dyDescent="0.2">
      <c r="A314" s="2">
        <v>17</v>
      </c>
      <c r="B314" s="2">
        <v>1</v>
      </c>
      <c r="C314" s="2"/>
      <c r="D314" s="2"/>
      <c r="E314" s="2" t="s">
        <v>345</v>
      </c>
      <c r="F314" s="2" t="s">
        <v>346</v>
      </c>
      <c r="G314" s="2" t="s">
        <v>347</v>
      </c>
      <c r="H314" s="2" t="s">
        <v>31</v>
      </c>
      <c r="I314" s="2">
        <v>43</v>
      </c>
      <c r="J314" s="2">
        <v>0</v>
      </c>
      <c r="K314" s="2">
        <v>43</v>
      </c>
      <c r="L314" s="2"/>
      <c r="M314" s="2"/>
      <c r="N314" s="2"/>
      <c r="O314" s="2">
        <f t="shared" si="217"/>
        <v>65013.85</v>
      </c>
      <c r="P314" s="2">
        <f t="shared" si="272"/>
        <v>65013.85</v>
      </c>
      <c r="Q314" s="2">
        <f t="shared" si="265"/>
        <v>0</v>
      </c>
      <c r="R314" s="2">
        <f t="shared" si="218"/>
        <v>0</v>
      </c>
      <c r="S314" s="2">
        <f t="shared" si="219"/>
        <v>0</v>
      </c>
      <c r="T314" s="2">
        <f t="shared" si="220"/>
        <v>0</v>
      </c>
      <c r="U314" s="2">
        <f t="shared" si="221"/>
        <v>0</v>
      </c>
      <c r="V314" s="2">
        <f t="shared" si="222"/>
        <v>0</v>
      </c>
      <c r="W314" s="2">
        <f t="shared" si="223"/>
        <v>0</v>
      </c>
      <c r="X314" s="2">
        <f t="shared" si="224"/>
        <v>0</v>
      </c>
      <c r="Y314" s="2">
        <f t="shared" si="225"/>
        <v>0</v>
      </c>
      <c r="Z314" s="2"/>
      <c r="AA314" s="2">
        <v>56959434</v>
      </c>
      <c r="AB314" s="2">
        <f t="shared" si="226"/>
        <v>1511.95</v>
      </c>
      <c r="AC314" s="2">
        <f t="shared" si="227"/>
        <v>1511.95</v>
      </c>
      <c r="AD314" s="2">
        <f t="shared" si="266"/>
        <v>0</v>
      </c>
      <c r="AE314" s="2">
        <f t="shared" si="267"/>
        <v>0</v>
      </c>
      <c r="AF314" s="2">
        <f t="shared" si="268"/>
        <v>0</v>
      </c>
      <c r="AG314" s="2">
        <f t="shared" si="228"/>
        <v>0</v>
      </c>
      <c r="AH314" s="2">
        <f t="shared" si="269"/>
        <v>0</v>
      </c>
      <c r="AI314" s="2">
        <f t="shared" si="270"/>
        <v>0</v>
      </c>
      <c r="AJ314" s="2">
        <f t="shared" si="229"/>
        <v>0</v>
      </c>
      <c r="AK314" s="2">
        <v>1511.95</v>
      </c>
      <c r="AL314" s="2">
        <v>1511.95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1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3</v>
      </c>
      <c r="BJ314" s="2" t="s">
        <v>3</v>
      </c>
      <c r="BK314" s="2"/>
      <c r="BL314" s="2"/>
      <c r="BM314" s="2">
        <v>746</v>
      </c>
      <c r="BN314" s="2">
        <v>0</v>
      </c>
      <c r="BO314" s="2" t="s">
        <v>3</v>
      </c>
      <c r="BP314" s="2">
        <v>0</v>
      </c>
      <c r="BQ314" s="2">
        <v>130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0</v>
      </c>
      <c r="CA314" s="2">
        <v>0</v>
      </c>
      <c r="CB314" s="2" t="s">
        <v>3</v>
      </c>
      <c r="CC314" s="2"/>
      <c r="CD314" s="2"/>
      <c r="CE314" s="2">
        <v>30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3</v>
      </c>
      <c r="CO314" s="2">
        <v>0</v>
      </c>
      <c r="CP314" s="2">
        <f t="shared" si="230"/>
        <v>65013.85</v>
      </c>
      <c r="CQ314" s="2">
        <f t="shared" si="273"/>
        <v>1511.95</v>
      </c>
      <c r="CR314" s="2">
        <f t="shared" si="271"/>
        <v>0</v>
      </c>
      <c r="CS314" s="2">
        <f t="shared" si="231"/>
        <v>0</v>
      </c>
      <c r="CT314" s="2">
        <f t="shared" si="232"/>
        <v>0</v>
      </c>
      <c r="CU314" s="2">
        <f t="shared" si="233"/>
        <v>0</v>
      </c>
      <c r="CV314" s="2">
        <f t="shared" si="234"/>
        <v>0</v>
      </c>
      <c r="CW314" s="2">
        <f t="shared" si="235"/>
        <v>0</v>
      </c>
      <c r="CX314" s="2">
        <f t="shared" si="236"/>
        <v>0</v>
      </c>
      <c r="CY314" s="2">
        <f t="shared" si="237"/>
        <v>0</v>
      </c>
      <c r="CZ314" s="2">
        <f t="shared" si="238"/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1010</v>
      </c>
      <c r="DV314" s="2" t="s">
        <v>31</v>
      </c>
      <c r="DW314" s="2" t="s">
        <v>31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55992259</v>
      </c>
      <c r="EF314" s="2">
        <v>130</v>
      </c>
      <c r="EG314" s="2" t="s">
        <v>32</v>
      </c>
      <c r="EH314" s="2">
        <v>0</v>
      </c>
      <c r="EI314" s="2" t="s">
        <v>3</v>
      </c>
      <c r="EJ314" s="2">
        <v>3</v>
      </c>
      <c r="EK314" s="2">
        <v>746</v>
      </c>
      <c r="EL314" s="2" t="s">
        <v>33</v>
      </c>
      <c r="EM314" s="2" t="s">
        <v>34</v>
      </c>
      <c r="EN314" s="2"/>
      <c r="EO314" s="2" t="s">
        <v>3</v>
      </c>
      <c r="EP314" s="2"/>
      <c r="EQ314" s="2">
        <v>0</v>
      </c>
      <c r="ER314" s="2">
        <v>0</v>
      </c>
      <c r="ES314" s="2">
        <v>1511.95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f t="shared" si="274"/>
        <v>65013.85</v>
      </c>
      <c r="FS314" s="2">
        <v>0</v>
      </c>
      <c r="FT314" s="2"/>
      <c r="FU314" s="2"/>
      <c r="FV314" s="2"/>
      <c r="FW314" s="2"/>
      <c r="FX314" s="2">
        <v>0</v>
      </c>
      <c r="FY314" s="2">
        <v>0</v>
      </c>
      <c r="FZ314" s="2"/>
      <c r="GA314" s="2" t="s">
        <v>348</v>
      </c>
      <c r="GB314" s="2"/>
      <c r="GC314" s="2"/>
      <c r="GD314" s="2">
        <v>1</v>
      </c>
      <c r="GE314" s="2"/>
      <c r="GF314" s="2">
        <v>-935091031</v>
      </c>
      <c r="GG314" s="2">
        <v>2</v>
      </c>
      <c r="GH314" s="2">
        <v>4</v>
      </c>
      <c r="GI314" s="2">
        <v>-2</v>
      </c>
      <c r="GJ314" s="2">
        <v>0</v>
      </c>
      <c r="GK314" s="2">
        <v>0</v>
      </c>
      <c r="GL314" s="2">
        <f t="shared" si="239"/>
        <v>0</v>
      </c>
      <c r="GM314" s="2">
        <f t="shared" si="240"/>
        <v>65013.85</v>
      </c>
      <c r="GN314" s="2">
        <f t="shared" si="241"/>
        <v>0</v>
      </c>
      <c r="GO314" s="2">
        <f t="shared" si="242"/>
        <v>0</v>
      </c>
      <c r="GP314" s="2">
        <f t="shared" si="243"/>
        <v>0</v>
      </c>
      <c r="GQ314" s="2"/>
      <c r="GR314" s="2">
        <v>0</v>
      </c>
      <c r="GS314" s="2">
        <v>2</v>
      </c>
      <c r="GT314" s="2">
        <v>0</v>
      </c>
      <c r="GU314" s="2" t="s">
        <v>3</v>
      </c>
      <c r="GV314" s="2">
        <f t="shared" si="244"/>
        <v>0</v>
      </c>
      <c r="GW314" s="2">
        <v>1</v>
      </c>
      <c r="GX314" s="2">
        <f t="shared" si="245"/>
        <v>0</v>
      </c>
      <c r="GY314" s="2"/>
      <c r="GZ314" s="2"/>
      <c r="HA314" s="2">
        <v>0</v>
      </c>
      <c r="HB314" s="2">
        <v>0</v>
      </c>
      <c r="HC314" s="2">
        <f t="shared" si="246"/>
        <v>0</v>
      </c>
      <c r="HD314" s="2"/>
      <c r="HE314" s="2" t="s">
        <v>36</v>
      </c>
      <c r="HF314" s="2" t="s">
        <v>37</v>
      </c>
      <c r="HG314" s="2"/>
      <c r="HH314" s="2"/>
      <c r="HI314" s="2"/>
      <c r="HJ314" s="2"/>
      <c r="HK314" s="2"/>
      <c r="HL314" s="2"/>
      <c r="HM314" s="2" t="s">
        <v>3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">
      <c r="A315">
        <v>17</v>
      </c>
      <c r="B315">
        <v>1</v>
      </c>
      <c r="E315" t="s">
        <v>345</v>
      </c>
      <c r="F315" t="s">
        <v>346</v>
      </c>
      <c r="G315" t="s">
        <v>347</v>
      </c>
      <c r="H315" t="s">
        <v>31</v>
      </c>
      <c r="I315">
        <v>43</v>
      </c>
      <c r="J315">
        <v>0</v>
      </c>
      <c r="K315">
        <v>43</v>
      </c>
      <c r="O315">
        <f t="shared" si="217"/>
        <v>498006.09</v>
      </c>
      <c r="P315">
        <f t="shared" si="272"/>
        <v>498006.09</v>
      </c>
      <c r="Q315">
        <f t="shared" si="265"/>
        <v>0</v>
      </c>
      <c r="R315">
        <f t="shared" si="218"/>
        <v>0</v>
      </c>
      <c r="S315">
        <f t="shared" si="219"/>
        <v>0</v>
      </c>
      <c r="T315">
        <f t="shared" si="220"/>
        <v>0</v>
      </c>
      <c r="U315">
        <f t="shared" si="221"/>
        <v>0</v>
      </c>
      <c r="V315">
        <f t="shared" si="222"/>
        <v>0</v>
      </c>
      <c r="W315">
        <f t="shared" si="223"/>
        <v>0</v>
      </c>
      <c r="X315">
        <f t="shared" si="224"/>
        <v>0</v>
      </c>
      <c r="Y315">
        <f t="shared" si="225"/>
        <v>0</v>
      </c>
      <c r="AA315">
        <v>56959431</v>
      </c>
      <c r="AB315">
        <f t="shared" si="226"/>
        <v>1511.95</v>
      </c>
      <c r="AC315">
        <f t="shared" si="227"/>
        <v>1511.95</v>
      </c>
      <c r="AD315">
        <f t="shared" si="266"/>
        <v>0</v>
      </c>
      <c r="AE315">
        <f t="shared" si="267"/>
        <v>0</v>
      </c>
      <c r="AF315">
        <f t="shared" si="268"/>
        <v>0</v>
      </c>
      <c r="AG315">
        <f t="shared" si="228"/>
        <v>0</v>
      </c>
      <c r="AH315">
        <f t="shared" si="269"/>
        <v>0</v>
      </c>
      <c r="AI315">
        <f t="shared" si="270"/>
        <v>0</v>
      </c>
      <c r="AJ315">
        <f t="shared" si="229"/>
        <v>0</v>
      </c>
      <c r="AK315">
        <v>1511.95</v>
      </c>
      <c r="AL315">
        <v>1511.95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1</v>
      </c>
      <c r="AZ315">
        <v>1</v>
      </c>
      <c r="BA315">
        <v>1</v>
      </c>
      <c r="BB315">
        <v>1</v>
      </c>
      <c r="BC315">
        <v>7.66</v>
      </c>
      <c r="BD315" t="s">
        <v>3</v>
      </c>
      <c r="BE315" t="s">
        <v>3</v>
      </c>
      <c r="BF315" t="s">
        <v>3</v>
      </c>
      <c r="BG315" t="s">
        <v>3</v>
      </c>
      <c r="BH315">
        <v>3</v>
      </c>
      <c r="BI315">
        <v>3</v>
      </c>
      <c r="BJ315" t="s">
        <v>3</v>
      </c>
      <c r="BM315">
        <v>746</v>
      </c>
      <c r="BN315">
        <v>0</v>
      </c>
      <c r="BO315" t="s">
        <v>3</v>
      </c>
      <c r="BP315">
        <v>0</v>
      </c>
      <c r="BQ315">
        <v>130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 t="s">
        <v>3</v>
      </c>
      <c r="BZ315">
        <v>0</v>
      </c>
      <c r="CA315">
        <v>0</v>
      </c>
      <c r="CB315" t="s">
        <v>3</v>
      </c>
      <c r="CE315">
        <v>30</v>
      </c>
      <c r="CF315">
        <v>0</v>
      </c>
      <c r="CG315">
        <v>0</v>
      </c>
      <c r="CM315">
        <v>0</v>
      </c>
      <c r="CN315" t="s">
        <v>3</v>
      </c>
      <c r="CO315">
        <v>0</v>
      </c>
      <c r="CP315">
        <f t="shared" si="230"/>
        <v>498006.09</v>
      </c>
      <c r="CQ315">
        <f t="shared" si="273"/>
        <v>11581.54</v>
      </c>
      <c r="CR315">
        <f t="shared" si="271"/>
        <v>0</v>
      </c>
      <c r="CS315">
        <f t="shared" si="231"/>
        <v>0</v>
      </c>
      <c r="CT315">
        <f t="shared" si="232"/>
        <v>0</v>
      </c>
      <c r="CU315">
        <f t="shared" si="233"/>
        <v>0</v>
      </c>
      <c r="CV315">
        <f t="shared" si="234"/>
        <v>0</v>
      </c>
      <c r="CW315">
        <f t="shared" si="235"/>
        <v>0</v>
      </c>
      <c r="CX315">
        <f t="shared" si="236"/>
        <v>0</v>
      </c>
      <c r="CY315">
        <f t="shared" si="237"/>
        <v>0</v>
      </c>
      <c r="CZ315">
        <f t="shared" si="238"/>
        <v>0</v>
      </c>
      <c r="DC315" t="s">
        <v>3</v>
      </c>
      <c r="DD315" t="s">
        <v>3</v>
      </c>
      <c r="DE315" t="s">
        <v>3</v>
      </c>
      <c r="DF315" t="s">
        <v>3</v>
      </c>
      <c r="DG315" t="s">
        <v>3</v>
      </c>
      <c r="DH315" t="s">
        <v>3</v>
      </c>
      <c r="DI315" t="s">
        <v>3</v>
      </c>
      <c r="DJ315" t="s">
        <v>3</v>
      </c>
      <c r="DK315" t="s">
        <v>3</v>
      </c>
      <c r="DL315" t="s">
        <v>3</v>
      </c>
      <c r="DM315" t="s">
        <v>3</v>
      </c>
      <c r="DN315">
        <v>0</v>
      </c>
      <c r="DO315">
        <v>0</v>
      </c>
      <c r="DP315">
        <v>1</v>
      </c>
      <c r="DQ315">
        <v>1</v>
      </c>
      <c r="DU315">
        <v>1010</v>
      </c>
      <c r="DV315" t="s">
        <v>31</v>
      </c>
      <c r="DW315" t="s">
        <v>31</v>
      </c>
      <c r="DX315">
        <v>1</v>
      </c>
      <c r="DZ315" t="s">
        <v>3</v>
      </c>
      <c r="EA315" t="s">
        <v>3</v>
      </c>
      <c r="EB315" t="s">
        <v>3</v>
      </c>
      <c r="EC315" t="s">
        <v>3</v>
      </c>
      <c r="EE315">
        <v>55992259</v>
      </c>
      <c r="EF315">
        <v>130</v>
      </c>
      <c r="EG315" t="s">
        <v>32</v>
      </c>
      <c r="EH315">
        <v>0</v>
      </c>
      <c r="EI315" t="s">
        <v>3</v>
      </c>
      <c r="EJ315">
        <v>3</v>
      </c>
      <c r="EK315">
        <v>746</v>
      </c>
      <c r="EL315" t="s">
        <v>33</v>
      </c>
      <c r="EM315" t="s">
        <v>34</v>
      </c>
      <c r="EO315" t="s">
        <v>3</v>
      </c>
      <c r="EQ315">
        <v>0</v>
      </c>
      <c r="ER315">
        <v>1511.95</v>
      </c>
      <c r="ES315">
        <v>1511.95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5</v>
      </c>
      <c r="FC315">
        <v>1</v>
      </c>
      <c r="FD315">
        <v>18</v>
      </c>
      <c r="FF315">
        <v>13333</v>
      </c>
      <c r="FQ315">
        <v>0</v>
      </c>
      <c r="FR315">
        <f t="shared" si="274"/>
        <v>498006.09</v>
      </c>
      <c r="FS315">
        <v>0</v>
      </c>
      <c r="FX315">
        <v>0</v>
      </c>
      <c r="FY315">
        <v>0</v>
      </c>
      <c r="GA315" t="s">
        <v>348</v>
      </c>
      <c r="GD315">
        <v>1</v>
      </c>
      <c r="GF315">
        <v>-935091031</v>
      </c>
      <c r="GG315">
        <v>2</v>
      </c>
      <c r="GH315">
        <v>3</v>
      </c>
      <c r="GI315">
        <v>5</v>
      </c>
      <c r="GJ315">
        <v>0</v>
      </c>
      <c r="GK315">
        <v>0</v>
      </c>
      <c r="GL315">
        <f t="shared" si="239"/>
        <v>0</v>
      </c>
      <c r="GM315">
        <f t="shared" si="240"/>
        <v>498006.09</v>
      </c>
      <c r="GN315">
        <f t="shared" si="241"/>
        <v>0</v>
      </c>
      <c r="GO315">
        <f t="shared" si="242"/>
        <v>0</v>
      </c>
      <c r="GP315">
        <f t="shared" si="243"/>
        <v>0</v>
      </c>
      <c r="GR315">
        <v>1</v>
      </c>
      <c r="GS315">
        <v>1</v>
      </c>
      <c r="GT315">
        <v>0</v>
      </c>
      <c r="GU315" t="s">
        <v>3</v>
      </c>
      <c r="GV315">
        <f t="shared" si="244"/>
        <v>0</v>
      </c>
      <c r="GW315">
        <v>1</v>
      </c>
      <c r="GX315">
        <f t="shared" si="245"/>
        <v>0</v>
      </c>
      <c r="HA315">
        <v>0</v>
      </c>
      <c r="HB315">
        <v>0</v>
      </c>
      <c r="HC315">
        <f t="shared" si="246"/>
        <v>0</v>
      </c>
      <c r="HE315" t="s">
        <v>36</v>
      </c>
      <c r="HF315" t="s">
        <v>37</v>
      </c>
      <c r="HM315" t="s">
        <v>3</v>
      </c>
      <c r="HN315" t="s">
        <v>3</v>
      </c>
      <c r="HO315" t="s">
        <v>3</v>
      </c>
      <c r="HP315" t="s">
        <v>3</v>
      </c>
      <c r="HQ315" t="s">
        <v>3</v>
      </c>
      <c r="HS315">
        <v>0</v>
      </c>
      <c r="IK315">
        <v>0</v>
      </c>
    </row>
    <row r="316" spans="1:255" x14ac:dyDescent="0.2">
      <c r="A316" s="2">
        <v>17</v>
      </c>
      <c r="B316" s="2">
        <v>1</v>
      </c>
      <c r="C316" s="2"/>
      <c r="D316" s="2"/>
      <c r="E316" s="2" t="s">
        <v>349</v>
      </c>
      <c r="F316" s="2" t="s">
        <v>350</v>
      </c>
      <c r="G316" s="2" t="s">
        <v>351</v>
      </c>
      <c r="H316" s="2" t="s">
        <v>31</v>
      </c>
      <c r="I316" s="2">
        <v>9</v>
      </c>
      <c r="J316" s="2">
        <v>0</v>
      </c>
      <c r="K316" s="2">
        <v>9</v>
      </c>
      <c r="L316" s="2"/>
      <c r="M316" s="2"/>
      <c r="N316" s="2"/>
      <c r="O316" s="2">
        <f t="shared" si="217"/>
        <v>14288.22</v>
      </c>
      <c r="P316" s="2">
        <f t="shared" si="272"/>
        <v>14288.22</v>
      </c>
      <c r="Q316" s="2">
        <f t="shared" si="265"/>
        <v>0</v>
      </c>
      <c r="R316" s="2">
        <f t="shared" si="218"/>
        <v>0</v>
      </c>
      <c r="S316" s="2">
        <f t="shared" si="219"/>
        <v>0</v>
      </c>
      <c r="T316" s="2">
        <f t="shared" si="220"/>
        <v>0</v>
      </c>
      <c r="U316" s="2">
        <f t="shared" si="221"/>
        <v>0</v>
      </c>
      <c r="V316" s="2">
        <f t="shared" si="222"/>
        <v>0</v>
      </c>
      <c r="W316" s="2">
        <f t="shared" si="223"/>
        <v>0</v>
      </c>
      <c r="X316" s="2">
        <f t="shared" si="224"/>
        <v>0</v>
      </c>
      <c r="Y316" s="2">
        <f t="shared" si="225"/>
        <v>0</v>
      </c>
      <c r="Z316" s="2"/>
      <c r="AA316" s="2">
        <v>56959434</v>
      </c>
      <c r="AB316" s="2">
        <f t="shared" si="226"/>
        <v>1587.58</v>
      </c>
      <c r="AC316" s="2">
        <f t="shared" si="227"/>
        <v>1587.58</v>
      </c>
      <c r="AD316" s="2">
        <f t="shared" si="266"/>
        <v>0</v>
      </c>
      <c r="AE316" s="2">
        <f t="shared" si="267"/>
        <v>0</v>
      </c>
      <c r="AF316" s="2">
        <f t="shared" si="268"/>
        <v>0</v>
      </c>
      <c r="AG316" s="2">
        <f t="shared" si="228"/>
        <v>0</v>
      </c>
      <c r="AH316" s="2">
        <f t="shared" si="269"/>
        <v>0</v>
      </c>
      <c r="AI316" s="2">
        <f t="shared" si="270"/>
        <v>0</v>
      </c>
      <c r="AJ316" s="2">
        <f t="shared" si="229"/>
        <v>0</v>
      </c>
      <c r="AK316" s="2">
        <v>1587.58</v>
      </c>
      <c r="AL316" s="2">
        <v>1587.58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1</v>
      </c>
      <c r="AW316" s="2">
        <v>1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3</v>
      </c>
      <c r="BJ316" s="2" t="s">
        <v>3</v>
      </c>
      <c r="BK316" s="2"/>
      <c r="BL316" s="2"/>
      <c r="BM316" s="2">
        <v>746</v>
      </c>
      <c r="BN316" s="2">
        <v>0</v>
      </c>
      <c r="BO316" s="2" t="s">
        <v>3</v>
      </c>
      <c r="BP316" s="2">
        <v>0</v>
      </c>
      <c r="BQ316" s="2">
        <v>130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0</v>
      </c>
      <c r="CA316" s="2">
        <v>0</v>
      </c>
      <c r="CB316" s="2" t="s">
        <v>3</v>
      </c>
      <c r="CC316" s="2"/>
      <c r="CD316" s="2"/>
      <c r="CE316" s="2">
        <v>30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3</v>
      </c>
      <c r="CO316" s="2">
        <v>0</v>
      </c>
      <c r="CP316" s="2">
        <f t="shared" si="230"/>
        <v>14288.22</v>
      </c>
      <c r="CQ316" s="2">
        <f t="shared" si="273"/>
        <v>1587.58</v>
      </c>
      <c r="CR316" s="2">
        <f t="shared" si="271"/>
        <v>0</v>
      </c>
      <c r="CS316" s="2">
        <f t="shared" si="231"/>
        <v>0</v>
      </c>
      <c r="CT316" s="2">
        <f t="shared" si="232"/>
        <v>0</v>
      </c>
      <c r="CU316" s="2">
        <f t="shared" si="233"/>
        <v>0</v>
      </c>
      <c r="CV316" s="2">
        <f t="shared" si="234"/>
        <v>0</v>
      </c>
      <c r="CW316" s="2">
        <f t="shared" si="235"/>
        <v>0</v>
      </c>
      <c r="CX316" s="2">
        <f t="shared" si="236"/>
        <v>0</v>
      </c>
      <c r="CY316" s="2">
        <f t="shared" si="237"/>
        <v>0</v>
      </c>
      <c r="CZ316" s="2">
        <f t="shared" si="238"/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1010</v>
      </c>
      <c r="DV316" s="2" t="s">
        <v>31</v>
      </c>
      <c r="DW316" s="2" t="s">
        <v>31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55992259</v>
      </c>
      <c r="EF316" s="2">
        <v>130</v>
      </c>
      <c r="EG316" s="2" t="s">
        <v>32</v>
      </c>
      <c r="EH316" s="2">
        <v>0</v>
      </c>
      <c r="EI316" s="2" t="s">
        <v>3</v>
      </c>
      <c r="EJ316" s="2">
        <v>3</v>
      </c>
      <c r="EK316" s="2">
        <v>746</v>
      </c>
      <c r="EL316" s="2" t="s">
        <v>33</v>
      </c>
      <c r="EM316" s="2" t="s">
        <v>34</v>
      </c>
      <c r="EN316" s="2"/>
      <c r="EO316" s="2" t="s">
        <v>3</v>
      </c>
      <c r="EP316" s="2"/>
      <c r="EQ316" s="2">
        <v>0</v>
      </c>
      <c r="ER316" s="2">
        <v>0</v>
      </c>
      <c r="ES316" s="2">
        <v>1587.58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f t="shared" si="274"/>
        <v>14288.22</v>
      </c>
      <c r="FS316" s="2">
        <v>0</v>
      </c>
      <c r="FT316" s="2"/>
      <c r="FU316" s="2"/>
      <c r="FV316" s="2"/>
      <c r="FW316" s="2"/>
      <c r="FX316" s="2">
        <v>0</v>
      </c>
      <c r="FY316" s="2">
        <v>0</v>
      </c>
      <c r="FZ316" s="2"/>
      <c r="GA316" s="2" t="s">
        <v>352</v>
      </c>
      <c r="GB316" s="2"/>
      <c r="GC316" s="2"/>
      <c r="GD316" s="2">
        <v>1</v>
      </c>
      <c r="GE316" s="2"/>
      <c r="GF316" s="2">
        <v>-863637253</v>
      </c>
      <c r="GG316" s="2">
        <v>2</v>
      </c>
      <c r="GH316" s="2">
        <v>4</v>
      </c>
      <c r="GI316" s="2">
        <v>-2</v>
      </c>
      <c r="GJ316" s="2">
        <v>0</v>
      </c>
      <c r="GK316" s="2">
        <v>0</v>
      </c>
      <c r="GL316" s="2">
        <f t="shared" si="239"/>
        <v>0</v>
      </c>
      <c r="GM316" s="2">
        <f t="shared" si="240"/>
        <v>14288.22</v>
      </c>
      <c r="GN316" s="2">
        <f t="shared" si="241"/>
        <v>0</v>
      </c>
      <c r="GO316" s="2">
        <f t="shared" si="242"/>
        <v>0</v>
      </c>
      <c r="GP316" s="2">
        <f t="shared" si="243"/>
        <v>0</v>
      </c>
      <c r="GQ316" s="2"/>
      <c r="GR316" s="2">
        <v>0</v>
      </c>
      <c r="GS316" s="2">
        <v>2</v>
      </c>
      <c r="GT316" s="2">
        <v>0</v>
      </c>
      <c r="GU316" s="2" t="s">
        <v>3</v>
      </c>
      <c r="GV316" s="2">
        <f t="shared" si="244"/>
        <v>0</v>
      </c>
      <c r="GW316" s="2">
        <v>1</v>
      </c>
      <c r="GX316" s="2">
        <f t="shared" si="245"/>
        <v>0</v>
      </c>
      <c r="GY316" s="2"/>
      <c r="GZ316" s="2"/>
      <c r="HA316" s="2">
        <v>0</v>
      </c>
      <c r="HB316" s="2">
        <v>0</v>
      </c>
      <c r="HC316" s="2">
        <f t="shared" si="246"/>
        <v>0</v>
      </c>
      <c r="HD316" s="2"/>
      <c r="HE316" s="2" t="s">
        <v>36</v>
      </c>
      <c r="HF316" s="2" t="s">
        <v>37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">
      <c r="A317">
        <v>17</v>
      </c>
      <c r="B317">
        <v>1</v>
      </c>
      <c r="E317" t="s">
        <v>349</v>
      </c>
      <c r="F317" t="s">
        <v>350</v>
      </c>
      <c r="G317" t="s">
        <v>351</v>
      </c>
      <c r="H317" t="s">
        <v>31</v>
      </c>
      <c r="I317">
        <v>9</v>
      </c>
      <c r="J317">
        <v>0</v>
      </c>
      <c r="K317">
        <v>9</v>
      </c>
      <c r="O317">
        <f t="shared" si="217"/>
        <v>109447.77</v>
      </c>
      <c r="P317">
        <f t="shared" si="272"/>
        <v>109447.77</v>
      </c>
      <c r="Q317">
        <f t="shared" si="265"/>
        <v>0</v>
      </c>
      <c r="R317">
        <f t="shared" si="218"/>
        <v>0</v>
      </c>
      <c r="S317">
        <f t="shared" si="219"/>
        <v>0</v>
      </c>
      <c r="T317">
        <f t="shared" si="220"/>
        <v>0</v>
      </c>
      <c r="U317">
        <f t="shared" si="221"/>
        <v>0</v>
      </c>
      <c r="V317">
        <f t="shared" si="222"/>
        <v>0</v>
      </c>
      <c r="W317">
        <f t="shared" si="223"/>
        <v>0</v>
      </c>
      <c r="X317">
        <f t="shared" si="224"/>
        <v>0</v>
      </c>
      <c r="Y317">
        <f t="shared" si="225"/>
        <v>0</v>
      </c>
      <c r="AA317">
        <v>56959431</v>
      </c>
      <c r="AB317">
        <f t="shared" si="226"/>
        <v>1587.58</v>
      </c>
      <c r="AC317">
        <f t="shared" si="227"/>
        <v>1587.58</v>
      </c>
      <c r="AD317">
        <f t="shared" si="266"/>
        <v>0</v>
      </c>
      <c r="AE317">
        <f t="shared" si="267"/>
        <v>0</v>
      </c>
      <c r="AF317">
        <f t="shared" si="268"/>
        <v>0</v>
      </c>
      <c r="AG317">
        <f t="shared" si="228"/>
        <v>0</v>
      </c>
      <c r="AH317">
        <f t="shared" si="269"/>
        <v>0</v>
      </c>
      <c r="AI317">
        <f t="shared" si="270"/>
        <v>0</v>
      </c>
      <c r="AJ317">
        <f t="shared" si="229"/>
        <v>0</v>
      </c>
      <c r="AK317">
        <v>1587.58</v>
      </c>
      <c r="AL317">
        <v>1587.58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1</v>
      </c>
      <c r="AZ317">
        <v>1</v>
      </c>
      <c r="BA317">
        <v>1</v>
      </c>
      <c r="BB317">
        <v>1</v>
      </c>
      <c r="BC317">
        <v>7.66</v>
      </c>
      <c r="BD317" t="s">
        <v>3</v>
      </c>
      <c r="BE317" t="s">
        <v>3</v>
      </c>
      <c r="BF317" t="s">
        <v>3</v>
      </c>
      <c r="BG317" t="s">
        <v>3</v>
      </c>
      <c r="BH317">
        <v>3</v>
      </c>
      <c r="BI317">
        <v>3</v>
      </c>
      <c r="BJ317" t="s">
        <v>3</v>
      </c>
      <c r="BM317">
        <v>746</v>
      </c>
      <c r="BN317">
        <v>0</v>
      </c>
      <c r="BO317" t="s">
        <v>3</v>
      </c>
      <c r="BP317">
        <v>0</v>
      </c>
      <c r="BQ317">
        <v>130</v>
      </c>
      <c r="BR317">
        <v>0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 t="s">
        <v>3</v>
      </c>
      <c r="BZ317">
        <v>0</v>
      </c>
      <c r="CA317">
        <v>0</v>
      </c>
      <c r="CB317" t="s">
        <v>3</v>
      </c>
      <c r="CE317">
        <v>30</v>
      </c>
      <c r="CF317">
        <v>0</v>
      </c>
      <c r="CG317">
        <v>0</v>
      </c>
      <c r="CM317">
        <v>0</v>
      </c>
      <c r="CN317" t="s">
        <v>3</v>
      </c>
      <c r="CO317">
        <v>0</v>
      </c>
      <c r="CP317">
        <f t="shared" si="230"/>
        <v>109447.77</v>
      </c>
      <c r="CQ317">
        <f t="shared" si="273"/>
        <v>12160.86</v>
      </c>
      <c r="CR317">
        <f t="shared" si="271"/>
        <v>0</v>
      </c>
      <c r="CS317">
        <f t="shared" si="231"/>
        <v>0</v>
      </c>
      <c r="CT317">
        <f t="shared" si="232"/>
        <v>0</v>
      </c>
      <c r="CU317">
        <f t="shared" si="233"/>
        <v>0</v>
      </c>
      <c r="CV317">
        <f t="shared" si="234"/>
        <v>0</v>
      </c>
      <c r="CW317">
        <f t="shared" si="235"/>
        <v>0</v>
      </c>
      <c r="CX317">
        <f t="shared" si="236"/>
        <v>0</v>
      </c>
      <c r="CY317">
        <f t="shared" si="237"/>
        <v>0</v>
      </c>
      <c r="CZ317">
        <f t="shared" si="238"/>
        <v>0</v>
      </c>
      <c r="DC317" t="s">
        <v>3</v>
      </c>
      <c r="DD317" t="s">
        <v>3</v>
      </c>
      <c r="DE317" t="s">
        <v>3</v>
      </c>
      <c r="DF317" t="s">
        <v>3</v>
      </c>
      <c r="DG317" t="s">
        <v>3</v>
      </c>
      <c r="DH317" t="s">
        <v>3</v>
      </c>
      <c r="DI317" t="s">
        <v>3</v>
      </c>
      <c r="DJ317" t="s">
        <v>3</v>
      </c>
      <c r="DK317" t="s">
        <v>3</v>
      </c>
      <c r="DL317" t="s">
        <v>3</v>
      </c>
      <c r="DM317" t="s">
        <v>3</v>
      </c>
      <c r="DN317">
        <v>0</v>
      </c>
      <c r="DO317">
        <v>0</v>
      </c>
      <c r="DP317">
        <v>1</v>
      </c>
      <c r="DQ317">
        <v>1</v>
      </c>
      <c r="DU317">
        <v>1010</v>
      </c>
      <c r="DV317" t="s">
        <v>31</v>
      </c>
      <c r="DW317" t="s">
        <v>31</v>
      </c>
      <c r="DX317">
        <v>1</v>
      </c>
      <c r="DZ317" t="s">
        <v>3</v>
      </c>
      <c r="EA317" t="s">
        <v>3</v>
      </c>
      <c r="EB317" t="s">
        <v>3</v>
      </c>
      <c r="EC317" t="s">
        <v>3</v>
      </c>
      <c r="EE317">
        <v>55992259</v>
      </c>
      <c r="EF317">
        <v>130</v>
      </c>
      <c r="EG317" t="s">
        <v>32</v>
      </c>
      <c r="EH317">
        <v>0</v>
      </c>
      <c r="EI317" t="s">
        <v>3</v>
      </c>
      <c r="EJ317">
        <v>3</v>
      </c>
      <c r="EK317">
        <v>746</v>
      </c>
      <c r="EL317" t="s">
        <v>33</v>
      </c>
      <c r="EM317" t="s">
        <v>34</v>
      </c>
      <c r="EO317" t="s">
        <v>3</v>
      </c>
      <c r="EQ317">
        <v>0</v>
      </c>
      <c r="ER317">
        <v>1587.58</v>
      </c>
      <c r="ES317">
        <v>1587.58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5</v>
      </c>
      <c r="FC317">
        <v>1</v>
      </c>
      <c r="FD317">
        <v>18</v>
      </c>
      <c r="FF317">
        <v>14000</v>
      </c>
      <c r="FQ317">
        <v>0</v>
      </c>
      <c r="FR317">
        <f t="shared" si="274"/>
        <v>109447.77</v>
      </c>
      <c r="FS317">
        <v>0</v>
      </c>
      <c r="FX317">
        <v>0</v>
      </c>
      <c r="FY317">
        <v>0</v>
      </c>
      <c r="GA317" t="s">
        <v>352</v>
      </c>
      <c r="GD317">
        <v>1</v>
      </c>
      <c r="GF317">
        <v>-863637253</v>
      </c>
      <c r="GG317">
        <v>2</v>
      </c>
      <c r="GH317">
        <v>3</v>
      </c>
      <c r="GI317">
        <v>5</v>
      </c>
      <c r="GJ317">
        <v>0</v>
      </c>
      <c r="GK317">
        <v>0</v>
      </c>
      <c r="GL317">
        <f t="shared" si="239"/>
        <v>0</v>
      </c>
      <c r="GM317">
        <f t="shared" si="240"/>
        <v>109447.77</v>
      </c>
      <c r="GN317">
        <f t="shared" si="241"/>
        <v>0</v>
      </c>
      <c r="GO317">
        <f t="shared" si="242"/>
        <v>0</v>
      </c>
      <c r="GP317">
        <f t="shared" si="243"/>
        <v>0</v>
      </c>
      <c r="GR317">
        <v>1</v>
      </c>
      <c r="GS317">
        <v>1</v>
      </c>
      <c r="GT317">
        <v>0</v>
      </c>
      <c r="GU317" t="s">
        <v>3</v>
      </c>
      <c r="GV317">
        <f t="shared" si="244"/>
        <v>0</v>
      </c>
      <c r="GW317">
        <v>1</v>
      </c>
      <c r="GX317">
        <f t="shared" si="245"/>
        <v>0</v>
      </c>
      <c r="HA317">
        <v>0</v>
      </c>
      <c r="HB317">
        <v>0</v>
      </c>
      <c r="HC317">
        <f t="shared" si="246"/>
        <v>0</v>
      </c>
      <c r="HE317" t="s">
        <v>36</v>
      </c>
      <c r="HF317" t="s">
        <v>37</v>
      </c>
      <c r="HM317" t="s">
        <v>3</v>
      </c>
      <c r="HN317" t="s">
        <v>3</v>
      </c>
      <c r="HO317" t="s">
        <v>3</v>
      </c>
      <c r="HP317" t="s">
        <v>3</v>
      </c>
      <c r="HQ317" t="s">
        <v>3</v>
      </c>
      <c r="HS317">
        <v>0</v>
      </c>
      <c r="IK317">
        <v>0</v>
      </c>
    </row>
    <row r="318" spans="1:255" x14ac:dyDescent="0.2">
      <c r="A318" s="2">
        <v>17</v>
      </c>
      <c r="B318" s="2">
        <v>1</v>
      </c>
      <c r="C318" s="2"/>
      <c r="D318" s="2"/>
      <c r="E318" s="2" t="s">
        <v>353</v>
      </c>
      <c r="F318" s="2" t="s">
        <v>354</v>
      </c>
      <c r="G318" s="2" t="s">
        <v>355</v>
      </c>
      <c r="H318" s="2" t="s">
        <v>31</v>
      </c>
      <c r="I318" s="2">
        <v>2</v>
      </c>
      <c r="J318" s="2">
        <v>0</v>
      </c>
      <c r="K318" s="2">
        <v>2</v>
      </c>
      <c r="L318" s="2"/>
      <c r="M318" s="2"/>
      <c r="N318" s="2"/>
      <c r="O318" s="2">
        <f t="shared" si="217"/>
        <v>4052.18</v>
      </c>
      <c r="P318" s="2">
        <f t="shared" si="272"/>
        <v>4052.18</v>
      </c>
      <c r="Q318" s="2">
        <f t="shared" si="265"/>
        <v>0</v>
      </c>
      <c r="R318" s="2">
        <f t="shared" si="218"/>
        <v>0</v>
      </c>
      <c r="S318" s="2">
        <f t="shared" si="219"/>
        <v>0</v>
      </c>
      <c r="T318" s="2">
        <f t="shared" si="220"/>
        <v>0</v>
      </c>
      <c r="U318" s="2">
        <f t="shared" si="221"/>
        <v>0</v>
      </c>
      <c r="V318" s="2">
        <f t="shared" si="222"/>
        <v>0</v>
      </c>
      <c r="W318" s="2">
        <f t="shared" si="223"/>
        <v>0</v>
      </c>
      <c r="X318" s="2">
        <f t="shared" si="224"/>
        <v>0</v>
      </c>
      <c r="Y318" s="2">
        <f t="shared" si="225"/>
        <v>0</v>
      </c>
      <c r="Z318" s="2"/>
      <c r="AA318" s="2">
        <v>56959434</v>
      </c>
      <c r="AB318" s="2">
        <f t="shared" si="226"/>
        <v>2026.09</v>
      </c>
      <c r="AC318" s="2">
        <f t="shared" si="227"/>
        <v>2026.09</v>
      </c>
      <c r="AD318" s="2">
        <f t="shared" si="266"/>
        <v>0</v>
      </c>
      <c r="AE318" s="2">
        <f t="shared" si="267"/>
        <v>0</v>
      </c>
      <c r="AF318" s="2">
        <f t="shared" si="268"/>
        <v>0</v>
      </c>
      <c r="AG318" s="2">
        <f t="shared" si="228"/>
        <v>0</v>
      </c>
      <c r="AH318" s="2">
        <f t="shared" si="269"/>
        <v>0</v>
      </c>
      <c r="AI318" s="2">
        <f t="shared" si="270"/>
        <v>0</v>
      </c>
      <c r="AJ318" s="2">
        <f t="shared" si="229"/>
        <v>0</v>
      </c>
      <c r="AK318" s="2">
        <v>2026.09</v>
      </c>
      <c r="AL318" s="2">
        <v>2026.09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1</v>
      </c>
      <c r="AW318" s="2">
        <v>1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3</v>
      </c>
      <c r="BJ318" s="2" t="s">
        <v>3</v>
      </c>
      <c r="BK318" s="2"/>
      <c r="BL318" s="2"/>
      <c r="BM318" s="2">
        <v>746</v>
      </c>
      <c r="BN318" s="2">
        <v>0</v>
      </c>
      <c r="BO318" s="2" t="s">
        <v>3</v>
      </c>
      <c r="BP318" s="2">
        <v>0</v>
      </c>
      <c r="BQ318" s="2">
        <v>130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0</v>
      </c>
      <c r="CA318" s="2">
        <v>0</v>
      </c>
      <c r="CB318" s="2" t="s">
        <v>3</v>
      </c>
      <c r="CC318" s="2"/>
      <c r="CD318" s="2"/>
      <c r="CE318" s="2">
        <v>30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3</v>
      </c>
      <c r="CO318" s="2">
        <v>0</v>
      </c>
      <c r="CP318" s="2">
        <f t="shared" si="230"/>
        <v>4052.18</v>
      </c>
      <c r="CQ318" s="2">
        <f t="shared" si="273"/>
        <v>2026.09</v>
      </c>
      <c r="CR318" s="2">
        <f t="shared" si="271"/>
        <v>0</v>
      </c>
      <c r="CS318" s="2">
        <f t="shared" si="231"/>
        <v>0</v>
      </c>
      <c r="CT318" s="2">
        <f t="shared" si="232"/>
        <v>0</v>
      </c>
      <c r="CU318" s="2">
        <f t="shared" si="233"/>
        <v>0</v>
      </c>
      <c r="CV318" s="2">
        <f t="shared" si="234"/>
        <v>0</v>
      </c>
      <c r="CW318" s="2">
        <f t="shared" si="235"/>
        <v>0</v>
      </c>
      <c r="CX318" s="2">
        <f t="shared" si="236"/>
        <v>0</v>
      </c>
      <c r="CY318" s="2">
        <f t="shared" si="237"/>
        <v>0</v>
      </c>
      <c r="CZ318" s="2">
        <f t="shared" si="238"/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1010</v>
      </c>
      <c r="DV318" s="2" t="s">
        <v>31</v>
      </c>
      <c r="DW318" s="2" t="s">
        <v>31</v>
      </c>
      <c r="DX318" s="2">
        <v>1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55992259</v>
      </c>
      <c r="EF318" s="2">
        <v>130</v>
      </c>
      <c r="EG318" s="2" t="s">
        <v>32</v>
      </c>
      <c r="EH318" s="2">
        <v>0</v>
      </c>
      <c r="EI318" s="2" t="s">
        <v>3</v>
      </c>
      <c r="EJ318" s="2">
        <v>3</v>
      </c>
      <c r="EK318" s="2">
        <v>746</v>
      </c>
      <c r="EL318" s="2" t="s">
        <v>33</v>
      </c>
      <c r="EM318" s="2" t="s">
        <v>34</v>
      </c>
      <c r="EN318" s="2"/>
      <c r="EO318" s="2" t="s">
        <v>3</v>
      </c>
      <c r="EP318" s="2"/>
      <c r="EQ318" s="2">
        <v>0</v>
      </c>
      <c r="ER318" s="2">
        <v>0</v>
      </c>
      <c r="ES318" s="2">
        <v>2026.09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f t="shared" si="274"/>
        <v>4052.18</v>
      </c>
      <c r="FS318" s="2">
        <v>0</v>
      </c>
      <c r="FT318" s="2"/>
      <c r="FU318" s="2"/>
      <c r="FV318" s="2"/>
      <c r="FW318" s="2"/>
      <c r="FX318" s="2">
        <v>0</v>
      </c>
      <c r="FY318" s="2">
        <v>0</v>
      </c>
      <c r="FZ318" s="2"/>
      <c r="GA318" s="2" t="s">
        <v>356</v>
      </c>
      <c r="GB318" s="2"/>
      <c r="GC318" s="2"/>
      <c r="GD318" s="2">
        <v>1</v>
      </c>
      <c r="GE318" s="2"/>
      <c r="GF318" s="2">
        <v>1991659529</v>
      </c>
      <c r="GG318" s="2">
        <v>2</v>
      </c>
      <c r="GH318" s="2">
        <v>4</v>
      </c>
      <c r="GI318" s="2">
        <v>-2</v>
      </c>
      <c r="GJ318" s="2">
        <v>0</v>
      </c>
      <c r="GK318" s="2">
        <v>0</v>
      </c>
      <c r="GL318" s="2">
        <f t="shared" si="239"/>
        <v>0</v>
      </c>
      <c r="GM318" s="2">
        <f t="shared" si="240"/>
        <v>4052.18</v>
      </c>
      <c r="GN318" s="2">
        <f t="shared" si="241"/>
        <v>0</v>
      </c>
      <c r="GO318" s="2">
        <f t="shared" si="242"/>
        <v>0</v>
      </c>
      <c r="GP318" s="2">
        <f t="shared" si="243"/>
        <v>0</v>
      </c>
      <c r="GQ318" s="2"/>
      <c r="GR318" s="2">
        <v>0</v>
      </c>
      <c r="GS318" s="2">
        <v>2</v>
      </c>
      <c r="GT318" s="2">
        <v>0</v>
      </c>
      <c r="GU318" s="2" t="s">
        <v>3</v>
      </c>
      <c r="GV318" s="2">
        <f t="shared" si="244"/>
        <v>0</v>
      </c>
      <c r="GW318" s="2">
        <v>1</v>
      </c>
      <c r="GX318" s="2">
        <f t="shared" si="245"/>
        <v>0</v>
      </c>
      <c r="GY318" s="2"/>
      <c r="GZ318" s="2"/>
      <c r="HA318" s="2">
        <v>0</v>
      </c>
      <c r="HB318" s="2">
        <v>0</v>
      </c>
      <c r="HC318" s="2">
        <f t="shared" si="246"/>
        <v>0</v>
      </c>
      <c r="HD318" s="2"/>
      <c r="HE318" s="2" t="s">
        <v>36</v>
      </c>
      <c r="HF318" s="2" t="s">
        <v>37</v>
      </c>
      <c r="HG318" s="2"/>
      <c r="HH318" s="2"/>
      <c r="HI318" s="2"/>
      <c r="HJ318" s="2"/>
      <c r="HK318" s="2"/>
      <c r="HL318" s="2"/>
      <c r="HM318" s="2" t="s">
        <v>3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2">
      <c r="A319">
        <v>17</v>
      </c>
      <c r="B319">
        <v>1</v>
      </c>
      <c r="E319" t="s">
        <v>353</v>
      </c>
      <c r="F319" t="s">
        <v>354</v>
      </c>
      <c r="G319" t="s">
        <v>355</v>
      </c>
      <c r="H319" t="s">
        <v>31</v>
      </c>
      <c r="I319">
        <v>2</v>
      </c>
      <c r="J319">
        <v>0</v>
      </c>
      <c r="K319">
        <v>2</v>
      </c>
      <c r="O319">
        <f t="shared" si="217"/>
        <v>31039.7</v>
      </c>
      <c r="P319">
        <f t="shared" si="272"/>
        <v>31039.7</v>
      </c>
      <c r="Q319">
        <f t="shared" si="265"/>
        <v>0</v>
      </c>
      <c r="R319">
        <f t="shared" si="218"/>
        <v>0</v>
      </c>
      <c r="S319">
        <f t="shared" si="219"/>
        <v>0</v>
      </c>
      <c r="T319">
        <f t="shared" si="220"/>
        <v>0</v>
      </c>
      <c r="U319">
        <f t="shared" si="221"/>
        <v>0</v>
      </c>
      <c r="V319">
        <f t="shared" si="222"/>
        <v>0</v>
      </c>
      <c r="W319">
        <f t="shared" si="223"/>
        <v>0</v>
      </c>
      <c r="X319">
        <f t="shared" si="224"/>
        <v>0</v>
      </c>
      <c r="Y319">
        <f t="shared" si="225"/>
        <v>0</v>
      </c>
      <c r="AA319">
        <v>56959431</v>
      </c>
      <c r="AB319">
        <f t="shared" si="226"/>
        <v>2026.09</v>
      </c>
      <c r="AC319">
        <f t="shared" si="227"/>
        <v>2026.09</v>
      </c>
      <c r="AD319">
        <f t="shared" si="266"/>
        <v>0</v>
      </c>
      <c r="AE319">
        <f t="shared" si="267"/>
        <v>0</v>
      </c>
      <c r="AF319">
        <f t="shared" si="268"/>
        <v>0</v>
      </c>
      <c r="AG319">
        <f t="shared" si="228"/>
        <v>0</v>
      </c>
      <c r="AH319">
        <f t="shared" si="269"/>
        <v>0</v>
      </c>
      <c r="AI319">
        <f t="shared" si="270"/>
        <v>0</v>
      </c>
      <c r="AJ319">
        <f t="shared" si="229"/>
        <v>0</v>
      </c>
      <c r="AK319">
        <v>2026.09</v>
      </c>
      <c r="AL319">
        <v>2026.09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1</v>
      </c>
      <c r="AZ319">
        <v>1</v>
      </c>
      <c r="BA319">
        <v>1</v>
      </c>
      <c r="BB319">
        <v>1</v>
      </c>
      <c r="BC319">
        <v>7.66</v>
      </c>
      <c r="BD319" t="s">
        <v>3</v>
      </c>
      <c r="BE319" t="s">
        <v>3</v>
      </c>
      <c r="BF319" t="s">
        <v>3</v>
      </c>
      <c r="BG319" t="s">
        <v>3</v>
      </c>
      <c r="BH319">
        <v>3</v>
      </c>
      <c r="BI319">
        <v>3</v>
      </c>
      <c r="BJ319" t="s">
        <v>3</v>
      </c>
      <c r="BM319">
        <v>746</v>
      </c>
      <c r="BN319">
        <v>0</v>
      </c>
      <c r="BO319" t="s">
        <v>3</v>
      </c>
      <c r="BP319">
        <v>0</v>
      </c>
      <c r="BQ319">
        <v>130</v>
      </c>
      <c r="BR319">
        <v>0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 t="s">
        <v>3</v>
      </c>
      <c r="BZ319">
        <v>0</v>
      </c>
      <c r="CA319">
        <v>0</v>
      </c>
      <c r="CB319" t="s">
        <v>3</v>
      </c>
      <c r="CE319">
        <v>30</v>
      </c>
      <c r="CF319">
        <v>0</v>
      </c>
      <c r="CG319">
        <v>0</v>
      </c>
      <c r="CM319">
        <v>0</v>
      </c>
      <c r="CN319" t="s">
        <v>3</v>
      </c>
      <c r="CO319">
        <v>0</v>
      </c>
      <c r="CP319">
        <f t="shared" si="230"/>
        <v>31039.7</v>
      </c>
      <c r="CQ319">
        <f t="shared" si="273"/>
        <v>15519.85</v>
      </c>
      <c r="CR319">
        <f t="shared" si="271"/>
        <v>0</v>
      </c>
      <c r="CS319">
        <f t="shared" si="231"/>
        <v>0</v>
      </c>
      <c r="CT319">
        <f t="shared" si="232"/>
        <v>0</v>
      </c>
      <c r="CU319">
        <f t="shared" si="233"/>
        <v>0</v>
      </c>
      <c r="CV319">
        <f t="shared" si="234"/>
        <v>0</v>
      </c>
      <c r="CW319">
        <f t="shared" si="235"/>
        <v>0</v>
      </c>
      <c r="CX319">
        <f t="shared" si="236"/>
        <v>0</v>
      </c>
      <c r="CY319">
        <f t="shared" si="237"/>
        <v>0</v>
      </c>
      <c r="CZ319">
        <f t="shared" si="238"/>
        <v>0</v>
      </c>
      <c r="DC319" t="s">
        <v>3</v>
      </c>
      <c r="DD319" t="s">
        <v>3</v>
      </c>
      <c r="DE319" t="s">
        <v>3</v>
      </c>
      <c r="DF319" t="s">
        <v>3</v>
      </c>
      <c r="DG319" t="s">
        <v>3</v>
      </c>
      <c r="DH319" t="s">
        <v>3</v>
      </c>
      <c r="DI319" t="s">
        <v>3</v>
      </c>
      <c r="DJ319" t="s">
        <v>3</v>
      </c>
      <c r="DK319" t="s">
        <v>3</v>
      </c>
      <c r="DL319" t="s">
        <v>3</v>
      </c>
      <c r="DM319" t="s">
        <v>3</v>
      </c>
      <c r="DN319">
        <v>0</v>
      </c>
      <c r="DO319">
        <v>0</v>
      </c>
      <c r="DP319">
        <v>1</v>
      </c>
      <c r="DQ319">
        <v>1</v>
      </c>
      <c r="DU319">
        <v>1010</v>
      </c>
      <c r="DV319" t="s">
        <v>31</v>
      </c>
      <c r="DW319" t="s">
        <v>31</v>
      </c>
      <c r="DX319">
        <v>1</v>
      </c>
      <c r="DZ319" t="s">
        <v>3</v>
      </c>
      <c r="EA319" t="s">
        <v>3</v>
      </c>
      <c r="EB319" t="s">
        <v>3</v>
      </c>
      <c r="EC319" t="s">
        <v>3</v>
      </c>
      <c r="EE319">
        <v>55992259</v>
      </c>
      <c r="EF319">
        <v>130</v>
      </c>
      <c r="EG319" t="s">
        <v>32</v>
      </c>
      <c r="EH319">
        <v>0</v>
      </c>
      <c r="EI319" t="s">
        <v>3</v>
      </c>
      <c r="EJ319">
        <v>3</v>
      </c>
      <c r="EK319">
        <v>746</v>
      </c>
      <c r="EL319" t="s">
        <v>33</v>
      </c>
      <c r="EM319" t="s">
        <v>34</v>
      </c>
      <c r="EO319" t="s">
        <v>3</v>
      </c>
      <c r="EQ319">
        <v>0</v>
      </c>
      <c r="ER319">
        <v>2026.09</v>
      </c>
      <c r="ES319">
        <v>2026.09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5</v>
      </c>
      <c r="FC319">
        <v>1</v>
      </c>
      <c r="FD319">
        <v>18</v>
      </c>
      <c r="FF319">
        <v>17867</v>
      </c>
      <c r="FQ319">
        <v>0</v>
      </c>
      <c r="FR319">
        <f t="shared" si="274"/>
        <v>31039.7</v>
      </c>
      <c r="FS319">
        <v>0</v>
      </c>
      <c r="FX319">
        <v>0</v>
      </c>
      <c r="FY319">
        <v>0</v>
      </c>
      <c r="GA319" t="s">
        <v>356</v>
      </c>
      <c r="GD319">
        <v>1</v>
      </c>
      <c r="GF319">
        <v>1991659529</v>
      </c>
      <c r="GG319">
        <v>2</v>
      </c>
      <c r="GH319">
        <v>3</v>
      </c>
      <c r="GI319">
        <v>5</v>
      </c>
      <c r="GJ319">
        <v>0</v>
      </c>
      <c r="GK319">
        <v>0</v>
      </c>
      <c r="GL319">
        <f t="shared" si="239"/>
        <v>0</v>
      </c>
      <c r="GM319">
        <f t="shared" si="240"/>
        <v>31039.7</v>
      </c>
      <c r="GN319">
        <f t="shared" si="241"/>
        <v>0</v>
      </c>
      <c r="GO319">
        <f t="shared" si="242"/>
        <v>0</v>
      </c>
      <c r="GP319">
        <f t="shared" si="243"/>
        <v>0</v>
      </c>
      <c r="GR319">
        <v>1</v>
      </c>
      <c r="GS319">
        <v>1</v>
      </c>
      <c r="GT319">
        <v>0</v>
      </c>
      <c r="GU319" t="s">
        <v>3</v>
      </c>
      <c r="GV319">
        <f t="shared" si="244"/>
        <v>0</v>
      </c>
      <c r="GW319">
        <v>1</v>
      </c>
      <c r="GX319">
        <f t="shared" si="245"/>
        <v>0</v>
      </c>
      <c r="HA319">
        <v>0</v>
      </c>
      <c r="HB319">
        <v>0</v>
      </c>
      <c r="HC319">
        <f t="shared" si="246"/>
        <v>0</v>
      </c>
      <c r="HE319" t="s">
        <v>36</v>
      </c>
      <c r="HF319" t="s">
        <v>37</v>
      </c>
      <c r="HM319" t="s">
        <v>3</v>
      </c>
      <c r="HN319" t="s">
        <v>3</v>
      </c>
      <c r="HO319" t="s">
        <v>3</v>
      </c>
      <c r="HP319" t="s">
        <v>3</v>
      </c>
      <c r="HQ319" t="s">
        <v>3</v>
      </c>
      <c r="HS319">
        <v>0</v>
      </c>
      <c r="IK319">
        <v>0</v>
      </c>
    </row>
    <row r="320" spans="1:255" x14ac:dyDescent="0.2">
      <c r="A320" s="2">
        <v>17</v>
      </c>
      <c r="B320" s="2">
        <v>1</v>
      </c>
      <c r="C320" s="2"/>
      <c r="D320" s="2"/>
      <c r="E320" s="2" t="s">
        <v>357</v>
      </c>
      <c r="F320" s="2" t="s">
        <v>358</v>
      </c>
      <c r="G320" s="2" t="s">
        <v>359</v>
      </c>
      <c r="H320" s="2" t="s">
        <v>31</v>
      </c>
      <c r="I320" s="2">
        <v>6</v>
      </c>
      <c r="J320" s="2">
        <v>0</v>
      </c>
      <c r="K320" s="2">
        <v>6</v>
      </c>
      <c r="L320" s="2"/>
      <c r="M320" s="2"/>
      <c r="N320" s="2"/>
      <c r="O320" s="2">
        <f t="shared" si="217"/>
        <v>6077.88</v>
      </c>
      <c r="P320" s="2">
        <f t="shared" si="272"/>
        <v>6077.88</v>
      </c>
      <c r="Q320" s="2">
        <f t="shared" si="265"/>
        <v>0</v>
      </c>
      <c r="R320" s="2">
        <f t="shared" si="218"/>
        <v>0</v>
      </c>
      <c r="S320" s="2">
        <f t="shared" si="219"/>
        <v>0</v>
      </c>
      <c r="T320" s="2">
        <f t="shared" si="220"/>
        <v>0</v>
      </c>
      <c r="U320" s="2">
        <f t="shared" si="221"/>
        <v>0</v>
      </c>
      <c r="V320" s="2">
        <f t="shared" si="222"/>
        <v>0</v>
      </c>
      <c r="W320" s="2">
        <f t="shared" si="223"/>
        <v>0</v>
      </c>
      <c r="X320" s="2">
        <f t="shared" si="224"/>
        <v>0</v>
      </c>
      <c r="Y320" s="2">
        <f t="shared" si="225"/>
        <v>0</v>
      </c>
      <c r="Z320" s="2"/>
      <c r="AA320" s="2">
        <v>56959434</v>
      </c>
      <c r="AB320" s="2">
        <f t="shared" si="226"/>
        <v>1012.98</v>
      </c>
      <c r="AC320" s="2">
        <f t="shared" si="227"/>
        <v>1012.98</v>
      </c>
      <c r="AD320" s="2">
        <f t="shared" si="266"/>
        <v>0</v>
      </c>
      <c r="AE320" s="2">
        <f t="shared" si="267"/>
        <v>0</v>
      </c>
      <c r="AF320" s="2">
        <f t="shared" si="268"/>
        <v>0</v>
      </c>
      <c r="AG320" s="2">
        <f t="shared" si="228"/>
        <v>0</v>
      </c>
      <c r="AH320" s="2">
        <f t="shared" si="269"/>
        <v>0</v>
      </c>
      <c r="AI320" s="2">
        <f t="shared" si="270"/>
        <v>0</v>
      </c>
      <c r="AJ320" s="2">
        <f t="shared" si="229"/>
        <v>0</v>
      </c>
      <c r="AK320" s="2">
        <v>1012.98</v>
      </c>
      <c r="AL320" s="2">
        <v>1012.98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1</v>
      </c>
      <c r="AW320" s="2">
        <v>1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3</v>
      </c>
      <c r="BI320" s="2">
        <v>3</v>
      </c>
      <c r="BJ320" s="2" t="s">
        <v>3</v>
      </c>
      <c r="BK320" s="2"/>
      <c r="BL320" s="2"/>
      <c r="BM320" s="2">
        <v>746</v>
      </c>
      <c r="BN320" s="2">
        <v>0</v>
      </c>
      <c r="BO320" s="2" t="s">
        <v>3</v>
      </c>
      <c r="BP320" s="2">
        <v>0</v>
      </c>
      <c r="BQ320" s="2">
        <v>130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0</v>
      </c>
      <c r="CA320" s="2">
        <v>0</v>
      </c>
      <c r="CB320" s="2" t="s">
        <v>3</v>
      </c>
      <c r="CC320" s="2"/>
      <c r="CD320" s="2"/>
      <c r="CE320" s="2">
        <v>30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3</v>
      </c>
      <c r="CO320" s="2">
        <v>0</v>
      </c>
      <c r="CP320" s="2">
        <f t="shared" si="230"/>
        <v>6077.88</v>
      </c>
      <c r="CQ320" s="2">
        <f t="shared" si="273"/>
        <v>1012.98</v>
      </c>
      <c r="CR320" s="2">
        <f t="shared" si="271"/>
        <v>0</v>
      </c>
      <c r="CS320" s="2">
        <f t="shared" si="231"/>
        <v>0</v>
      </c>
      <c r="CT320" s="2">
        <f t="shared" si="232"/>
        <v>0</v>
      </c>
      <c r="CU320" s="2">
        <f t="shared" si="233"/>
        <v>0</v>
      </c>
      <c r="CV320" s="2">
        <f t="shared" si="234"/>
        <v>0</v>
      </c>
      <c r="CW320" s="2">
        <f t="shared" si="235"/>
        <v>0</v>
      </c>
      <c r="CX320" s="2">
        <f t="shared" si="236"/>
        <v>0</v>
      </c>
      <c r="CY320" s="2">
        <f t="shared" si="237"/>
        <v>0</v>
      </c>
      <c r="CZ320" s="2">
        <f t="shared" si="238"/>
        <v>0</v>
      </c>
      <c r="DA320" s="2"/>
      <c r="DB320" s="2"/>
      <c r="DC320" s="2" t="s">
        <v>3</v>
      </c>
      <c r="DD320" s="2" t="s">
        <v>3</v>
      </c>
      <c r="DE320" s="2" t="s">
        <v>3</v>
      </c>
      <c r="DF320" s="2" t="s">
        <v>3</v>
      </c>
      <c r="DG320" s="2" t="s">
        <v>3</v>
      </c>
      <c r="DH320" s="2" t="s">
        <v>3</v>
      </c>
      <c r="DI320" s="2" t="s">
        <v>3</v>
      </c>
      <c r="DJ320" s="2" t="s">
        <v>3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1010</v>
      </c>
      <c r="DV320" s="2" t="s">
        <v>31</v>
      </c>
      <c r="DW320" s="2" t="s">
        <v>31</v>
      </c>
      <c r="DX320" s="2">
        <v>1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55992259</v>
      </c>
      <c r="EF320" s="2">
        <v>130</v>
      </c>
      <c r="EG320" s="2" t="s">
        <v>32</v>
      </c>
      <c r="EH320" s="2">
        <v>0</v>
      </c>
      <c r="EI320" s="2" t="s">
        <v>3</v>
      </c>
      <c r="EJ320" s="2">
        <v>3</v>
      </c>
      <c r="EK320" s="2">
        <v>746</v>
      </c>
      <c r="EL320" s="2" t="s">
        <v>33</v>
      </c>
      <c r="EM320" s="2" t="s">
        <v>34</v>
      </c>
      <c r="EN320" s="2"/>
      <c r="EO320" s="2" t="s">
        <v>3</v>
      </c>
      <c r="EP320" s="2"/>
      <c r="EQ320" s="2">
        <v>0</v>
      </c>
      <c r="ER320" s="2">
        <v>0</v>
      </c>
      <c r="ES320" s="2">
        <v>1012.98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f t="shared" si="274"/>
        <v>6077.88</v>
      </c>
      <c r="FS320" s="2">
        <v>0</v>
      </c>
      <c r="FT320" s="2"/>
      <c r="FU320" s="2"/>
      <c r="FV320" s="2"/>
      <c r="FW320" s="2"/>
      <c r="FX320" s="2">
        <v>0</v>
      </c>
      <c r="FY320" s="2">
        <v>0</v>
      </c>
      <c r="FZ320" s="2"/>
      <c r="GA320" s="2" t="s">
        <v>360</v>
      </c>
      <c r="GB320" s="2"/>
      <c r="GC320" s="2"/>
      <c r="GD320" s="2">
        <v>1</v>
      </c>
      <c r="GE320" s="2"/>
      <c r="GF320" s="2">
        <v>-551755998</v>
      </c>
      <c r="GG320" s="2">
        <v>2</v>
      </c>
      <c r="GH320" s="2">
        <v>4</v>
      </c>
      <c r="GI320" s="2">
        <v>-2</v>
      </c>
      <c r="GJ320" s="2">
        <v>0</v>
      </c>
      <c r="GK320" s="2">
        <v>0</v>
      </c>
      <c r="GL320" s="2">
        <f t="shared" si="239"/>
        <v>0</v>
      </c>
      <c r="GM320" s="2">
        <f t="shared" si="240"/>
        <v>6077.88</v>
      </c>
      <c r="GN320" s="2">
        <f t="shared" si="241"/>
        <v>0</v>
      </c>
      <c r="GO320" s="2">
        <f t="shared" si="242"/>
        <v>0</v>
      </c>
      <c r="GP320" s="2">
        <f t="shared" si="243"/>
        <v>0</v>
      </c>
      <c r="GQ320" s="2"/>
      <c r="GR320" s="2">
        <v>0</v>
      </c>
      <c r="GS320" s="2">
        <v>2</v>
      </c>
      <c r="GT320" s="2">
        <v>0</v>
      </c>
      <c r="GU320" s="2" t="s">
        <v>3</v>
      </c>
      <c r="GV320" s="2">
        <f t="shared" si="244"/>
        <v>0</v>
      </c>
      <c r="GW320" s="2">
        <v>1</v>
      </c>
      <c r="GX320" s="2">
        <f t="shared" si="245"/>
        <v>0</v>
      </c>
      <c r="GY320" s="2"/>
      <c r="GZ320" s="2"/>
      <c r="HA320" s="2">
        <v>0</v>
      </c>
      <c r="HB320" s="2">
        <v>0</v>
      </c>
      <c r="HC320" s="2">
        <f t="shared" si="246"/>
        <v>0</v>
      </c>
      <c r="HD320" s="2"/>
      <c r="HE320" s="2" t="s">
        <v>36</v>
      </c>
      <c r="HF320" s="2" t="s">
        <v>37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45" x14ac:dyDescent="0.2">
      <c r="A321">
        <v>17</v>
      </c>
      <c r="B321">
        <v>1</v>
      </c>
      <c r="E321" t="s">
        <v>357</v>
      </c>
      <c r="F321" t="s">
        <v>358</v>
      </c>
      <c r="G321" t="s">
        <v>359</v>
      </c>
      <c r="H321" t="s">
        <v>31</v>
      </c>
      <c r="I321">
        <v>6</v>
      </c>
      <c r="J321">
        <v>0</v>
      </c>
      <c r="K321">
        <v>6</v>
      </c>
      <c r="O321">
        <f t="shared" si="217"/>
        <v>46556.56</v>
      </c>
      <c r="P321">
        <f t="shared" si="272"/>
        <v>46556.56</v>
      </c>
      <c r="Q321">
        <f t="shared" si="265"/>
        <v>0</v>
      </c>
      <c r="R321">
        <f t="shared" si="218"/>
        <v>0</v>
      </c>
      <c r="S321">
        <f t="shared" si="219"/>
        <v>0</v>
      </c>
      <c r="T321">
        <f t="shared" si="220"/>
        <v>0</v>
      </c>
      <c r="U321">
        <f t="shared" si="221"/>
        <v>0</v>
      </c>
      <c r="V321">
        <f t="shared" si="222"/>
        <v>0</v>
      </c>
      <c r="W321">
        <f t="shared" si="223"/>
        <v>0</v>
      </c>
      <c r="X321">
        <f t="shared" si="224"/>
        <v>0</v>
      </c>
      <c r="Y321">
        <f t="shared" si="225"/>
        <v>0</v>
      </c>
      <c r="AA321">
        <v>56959431</v>
      </c>
      <c r="AB321">
        <f t="shared" si="226"/>
        <v>1012.98</v>
      </c>
      <c r="AC321">
        <f t="shared" si="227"/>
        <v>1012.98</v>
      </c>
      <c r="AD321">
        <f t="shared" si="266"/>
        <v>0</v>
      </c>
      <c r="AE321">
        <f t="shared" si="267"/>
        <v>0</v>
      </c>
      <c r="AF321">
        <f t="shared" si="268"/>
        <v>0</v>
      </c>
      <c r="AG321">
        <f t="shared" si="228"/>
        <v>0</v>
      </c>
      <c r="AH321">
        <f t="shared" si="269"/>
        <v>0</v>
      </c>
      <c r="AI321">
        <f t="shared" si="270"/>
        <v>0</v>
      </c>
      <c r="AJ321">
        <f t="shared" si="229"/>
        <v>0</v>
      </c>
      <c r="AK321">
        <v>1012.98</v>
      </c>
      <c r="AL321">
        <v>1012.98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1</v>
      </c>
      <c r="AZ321">
        <v>1</v>
      </c>
      <c r="BA321">
        <v>1</v>
      </c>
      <c r="BB321">
        <v>1</v>
      </c>
      <c r="BC321">
        <v>7.66</v>
      </c>
      <c r="BD321" t="s">
        <v>3</v>
      </c>
      <c r="BE321" t="s">
        <v>3</v>
      </c>
      <c r="BF321" t="s">
        <v>3</v>
      </c>
      <c r="BG321" t="s">
        <v>3</v>
      </c>
      <c r="BH321">
        <v>3</v>
      </c>
      <c r="BI321">
        <v>3</v>
      </c>
      <c r="BJ321" t="s">
        <v>3</v>
      </c>
      <c r="BM321">
        <v>746</v>
      </c>
      <c r="BN321">
        <v>0</v>
      </c>
      <c r="BO321" t="s">
        <v>3</v>
      </c>
      <c r="BP321">
        <v>0</v>
      </c>
      <c r="BQ321">
        <v>130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 t="s">
        <v>3</v>
      </c>
      <c r="BZ321">
        <v>0</v>
      </c>
      <c r="CA321">
        <v>0</v>
      </c>
      <c r="CB321" t="s">
        <v>3</v>
      </c>
      <c r="CE321">
        <v>30</v>
      </c>
      <c r="CF321">
        <v>0</v>
      </c>
      <c r="CG321">
        <v>0</v>
      </c>
      <c r="CM321">
        <v>0</v>
      </c>
      <c r="CN321" t="s">
        <v>3</v>
      </c>
      <c r="CO321">
        <v>0</v>
      </c>
      <c r="CP321">
        <f t="shared" si="230"/>
        <v>46556.56</v>
      </c>
      <c r="CQ321">
        <f t="shared" si="273"/>
        <v>7759.43</v>
      </c>
      <c r="CR321">
        <f t="shared" si="271"/>
        <v>0</v>
      </c>
      <c r="CS321">
        <f t="shared" si="231"/>
        <v>0</v>
      </c>
      <c r="CT321">
        <f t="shared" si="232"/>
        <v>0</v>
      </c>
      <c r="CU321">
        <f t="shared" si="233"/>
        <v>0</v>
      </c>
      <c r="CV321">
        <f t="shared" si="234"/>
        <v>0</v>
      </c>
      <c r="CW321">
        <f t="shared" si="235"/>
        <v>0</v>
      </c>
      <c r="CX321">
        <f t="shared" si="236"/>
        <v>0</v>
      </c>
      <c r="CY321">
        <f t="shared" si="237"/>
        <v>0</v>
      </c>
      <c r="CZ321">
        <f t="shared" si="238"/>
        <v>0</v>
      </c>
      <c r="DC321" t="s">
        <v>3</v>
      </c>
      <c r="DD321" t="s">
        <v>3</v>
      </c>
      <c r="DE321" t="s">
        <v>3</v>
      </c>
      <c r="DF321" t="s">
        <v>3</v>
      </c>
      <c r="DG321" t="s">
        <v>3</v>
      </c>
      <c r="DH321" t="s">
        <v>3</v>
      </c>
      <c r="DI321" t="s">
        <v>3</v>
      </c>
      <c r="DJ321" t="s">
        <v>3</v>
      </c>
      <c r="DK321" t="s">
        <v>3</v>
      </c>
      <c r="DL321" t="s">
        <v>3</v>
      </c>
      <c r="DM321" t="s">
        <v>3</v>
      </c>
      <c r="DN321">
        <v>0</v>
      </c>
      <c r="DO321">
        <v>0</v>
      </c>
      <c r="DP321">
        <v>1</v>
      </c>
      <c r="DQ321">
        <v>1</v>
      </c>
      <c r="DU321">
        <v>1010</v>
      </c>
      <c r="DV321" t="s">
        <v>31</v>
      </c>
      <c r="DW321" t="s">
        <v>31</v>
      </c>
      <c r="DX321">
        <v>1</v>
      </c>
      <c r="DZ321" t="s">
        <v>3</v>
      </c>
      <c r="EA321" t="s">
        <v>3</v>
      </c>
      <c r="EB321" t="s">
        <v>3</v>
      </c>
      <c r="EC321" t="s">
        <v>3</v>
      </c>
      <c r="EE321">
        <v>55992259</v>
      </c>
      <c r="EF321">
        <v>130</v>
      </c>
      <c r="EG321" t="s">
        <v>32</v>
      </c>
      <c r="EH321">
        <v>0</v>
      </c>
      <c r="EI321" t="s">
        <v>3</v>
      </c>
      <c r="EJ321">
        <v>3</v>
      </c>
      <c r="EK321">
        <v>746</v>
      </c>
      <c r="EL321" t="s">
        <v>33</v>
      </c>
      <c r="EM321" t="s">
        <v>34</v>
      </c>
      <c r="EO321" t="s">
        <v>3</v>
      </c>
      <c r="EQ321">
        <v>0</v>
      </c>
      <c r="ER321">
        <v>1012.98</v>
      </c>
      <c r="ES321">
        <v>1012.98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5</v>
      </c>
      <c r="FC321">
        <v>1</v>
      </c>
      <c r="FD321">
        <v>18</v>
      </c>
      <c r="FF321">
        <v>8933</v>
      </c>
      <c r="FQ321">
        <v>0</v>
      </c>
      <c r="FR321">
        <f t="shared" si="274"/>
        <v>46556.56</v>
      </c>
      <c r="FS321">
        <v>0</v>
      </c>
      <c r="FX321">
        <v>0</v>
      </c>
      <c r="FY321">
        <v>0</v>
      </c>
      <c r="GA321" t="s">
        <v>360</v>
      </c>
      <c r="GD321">
        <v>1</v>
      </c>
      <c r="GF321">
        <v>-551755998</v>
      </c>
      <c r="GG321">
        <v>2</v>
      </c>
      <c r="GH321">
        <v>3</v>
      </c>
      <c r="GI321">
        <v>5</v>
      </c>
      <c r="GJ321">
        <v>0</v>
      </c>
      <c r="GK321">
        <v>0</v>
      </c>
      <c r="GL321">
        <f t="shared" si="239"/>
        <v>0</v>
      </c>
      <c r="GM321">
        <f t="shared" si="240"/>
        <v>46556.56</v>
      </c>
      <c r="GN321">
        <f t="shared" si="241"/>
        <v>0</v>
      </c>
      <c r="GO321">
        <f t="shared" si="242"/>
        <v>0</v>
      </c>
      <c r="GP321">
        <f t="shared" si="243"/>
        <v>0</v>
      </c>
      <c r="GR321">
        <v>1</v>
      </c>
      <c r="GS321">
        <v>1</v>
      </c>
      <c r="GT321">
        <v>0</v>
      </c>
      <c r="GU321" t="s">
        <v>3</v>
      </c>
      <c r="GV321">
        <f t="shared" si="244"/>
        <v>0</v>
      </c>
      <c r="GW321">
        <v>1</v>
      </c>
      <c r="GX321">
        <f t="shared" si="245"/>
        <v>0</v>
      </c>
      <c r="HA321">
        <v>0</v>
      </c>
      <c r="HB321">
        <v>0</v>
      </c>
      <c r="HC321">
        <f t="shared" si="246"/>
        <v>0</v>
      </c>
      <c r="HE321" t="s">
        <v>36</v>
      </c>
      <c r="HF321" t="s">
        <v>37</v>
      </c>
      <c r="HM321" t="s">
        <v>3</v>
      </c>
      <c r="HN321" t="s">
        <v>3</v>
      </c>
      <c r="HO321" t="s">
        <v>3</v>
      </c>
      <c r="HP321" t="s">
        <v>3</v>
      </c>
      <c r="HQ321" t="s">
        <v>3</v>
      </c>
      <c r="HS321">
        <v>0</v>
      </c>
      <c r="IK321">
        <v>0</v>
      </c>
    </row>
    <row r="323" spans="1:245" x14ac:dyDescent="0.2">
      <c r="A323" s="3">
        <v>51</v>
      </c>
      <c r="B323" s="3">
        <f>B278</f>
        <v>1</v>
      </c>
      <c r="C323" s="3">
        <f>A278</f>
        <v>4</v>
      </c>
      <c r="D323" s="3">
        <f>ROW(A278)</f>
        <v>278</v>
      </c>
      <c r="E323" s="3"/>
      <c r="F323" s="3" t="str">
        <f>IF(F278&lt;&gt;"",F278,"")</f>
        <v>Новый раздел</v>
      </c>
      <c r="G323" s="3" t="str">
        <f>IF(G278&lt;&gt;"",G278,"")</f>
        <v>Автоматизация систем общеобменной вентиляции</v>
      </c>
      <c r="H323" s="3">
        <v>0</v>
      </c>
      <c r="I323" s="3"/>
      <c r="J323" s="3"/>
      <c r="K323" s="3"/>
      <c r="L323" s="3"/>
      <c r="M323" s="3"/>
      <c r="N323" s="3"/>
      <c r="O323" s="3">
        <f t="shared" ref="O323:T323" si="275">ROUND(AB323,2)</f>
        <v>156658.85</v>
      </c>
      <c r="P323" s="3">
        <f t="shared" si="275"/>
        <v>153307.92000000001</v>
      </c>
      <c r="Q323" s="3">
        <f t="shared" si="275"/>
        <v>2240.1799999999998</v>
      </c>
      <c r="R323" s="3">
        <f t="shared" si="275"/>
        <v>251.12</v>
      </c>
      <c r="S323" s="3">
        <f t="shared" si="275"/>
        <v>1110.75</v>
      </c>
      <c r="T323" s="3">
        <f t="shared" si="275"/>
        <v>0</v>
      </c>
      <c r="U323" s="3">
        <f>AH323</f>
        <v>91.260707999999994</v>
      </c>
      <c r="V323" s="3">
        <f>AI323</f>
        <v>0</v>
      </c>
      <c r="W323" s="3">
        <f>ROUND(AJ323,2)</f>
        <v>0</v>
      </c>
      <c r="X323" s="3">
        <f>ROUND(AK323,2)</f>
        <v>1225.68</v>
      </c>
      <c r="Y323" s="3">
        <f>ROUND(AL323,2)</f>
        <v>626.46</v>
      </c>
      <c r="Z323" s="3"/>
      <c r="AA323" s="3"/>
      <c r="AB323" s="3">
        <f>ROUND(SUMIF(AA282:AA321,"=56959434",O282:O321),2)</f>
        <v>156658.85</v>
      </c>
      <c r="AC323" s="3">
        <f>ROUND(SUMIF(AA282:AA321,"=56959434",P282:P321),2)</f>
        <v>153307.92000000001</v>
      </c>
      <c r="AD323" s="3">
        <f>ROUND(SUMIF(AA282:AA321,"=56959434",Q282:Q321),2)</f>
        <v>2240.1799999999998</v>
      </c>
      <c r="AE323" s="3">
        <f>ROUND(SUMIF(AA282:AA321,"=56959434",R282:R321),2)</f>
        <v>251.12</v>
      </c>
      <c r="AF323" s="3">
        <f>ROUND(SUMIF(AA282:AA321,"=56959434",S282:S321),2)</f>
        <v>1110.75</v>
      </c>
      <c r="AG323" s="3">
        <f>ROUND(SUMIF(AA282:AA321,"=56959434",T282:T321),2)</f>
        <v>0</v>
      </c>
      <c r="AH323" s="3">
        <f>SUMIF(AA282:AA321,"=56959434",U282:U321)</f>
        <v>91.260707999999994</v>
      </c>
      <c r="AI323" s="3">
        <f>SUMIF(AA282:AA321,"=56959434",V282:V321)</f>
        <v>0</v>
      </c>
      <c r="AJ323" s="3">
        <f>ROUND(SUMIF(AA282:AA321,"=56959434",W282:W321),2)</f>
        <v>0</v>
      </c>
      <c r="AK323" s="3">
        <f>ROUND(SUMIF(AA282:AA321,"=56959434",X282:X321),2)</f>
        <v>1225.68</v>
      </c>
      <c r="AL323" s="3">
        <f>ROUND(SUMIF(AA282:AA321,"=56959434",Y282:Y321),2)</f>
        <v>626.46</v>
      </c>
      <c r="AM323" s="3"/>
      <c r="AN323" s="3"/>
      <c r="AO323" s="3">
        <f t="shared" ref="AO323:BD323" si="276">ROUND(BX323,2)</f>
        <v>0</v>
      </c>
      <c r="AP323" s="3">
        <f t="shared" si="276"/>
        <v>153197.21</v>
      </c>
      <c r="AQ323" s="3">
        <f t="shared" si="276"/>
        <v>0</v>
      </c>
      <c r="AR323" s="3">
        <f t="shared" si="276"/>
        <v>158510.99</v>
      </c>
      <c r="AS323" s="3">
        <f t="shared" si="276"/>
        <v>0</v>
      </c>
      <c r="AT323" s="3">
        <f t="shared" si="276"/>
        <v>5313.78</v>
      </c>
      <c r="AU323" s="3">
        <f t="shared" si="276"/>
        <v>0</v>
      </c>
      <c r="AV323" s="3">
        <f t="shared" si="276"/>
        <v>153307.92000000001</v>
      </c>
      <c r="AW323" s="3">
        <f t="shared" si="276"/>
        <v>110.71</v>
      </c>
      <c r="AX323" s="3">
        <f t="shared" si="276"/>
        <v>0</v>
      </c>
      <c r="AY323" s="3">
        <f t="shared" si="276"/>
        <v>110.71</v>
      </c>
      <c r="AZ323" s="3">
        <f t="shared" si="276"/>
        <v>153197.21</v>
      </c>
      <c r="BA323" s="3">
        <f t="shared" si="276"/>
        <v>0</v>
      </c>
      <c r="BB323" s="3">
        <f t="shared" si="276"/>
        <v>0</v>
      </c>
      <c r="BC323" s="3">
        <f t="shared" si="276"/>
        <v>0</v>
      </c>
      <c r="BD323" s="3">
        <f t="shared" si="276"/>
        <v>0</v>
      </c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>
        <f>ROUND(SUMIF(AA282:AA321,"=56959434",FQ282:FQ321),2)</f>
        <v>0</v>
      </c>
      <c r="BY323" s="3">
        <f>ROUND(SUMIF(AA282:AA321,"=56959434",FR282:FR321),2)</f>
        <v>153197.21</v>
      </c>
      <c r="BZ323" s="3">
        <f>ROUND(SUMIF(AA282:AA321,"=56959434",GL282:GL321),2)</f>
        <v>0</v>
      </c>
      <c r="CA323" s="3">
        <f>ROUND(SUMIF(AA282:AA321,"=56959434",GM282:GM321),2)</f>
        <v>158510.99</v>
      </c>
      <c r="CB323" s="3">
        <f>ROUND(SUMIF(AA282:AA321,"=56959434",GN282:GN321),2)</f>
        <v>0</v>
      </c>
      <c r="CC323" s="3">
        <f>ROUND(SUMIF(AA282:AA321,"=56959434",GO282:GO321),2)</f>
        <v>5313.78</v>
      </c>
      <c r="CD323" s="3">
        <f>ROUND(SUMIF(AA282:AA321,"=56959434",GP282:GP321),2)</f>
        <v>0</v>
      </c>
      <c r="CE323" s="3">
        <f>AC323-BX323</f>
        <v>153307.92000000001</v>
      </c>
      <c r="CF323" s="3">
        <f>AC323-BY323</f>
        <v>110.71000000002095</v>
      </c>
      <c r="CG323" s="3">
        <f>BX323-BZ323</f>
        <v>0</v>
      </c>
      <c r="CH323" s="3">
        <f>AC323-BX323-BY323+BZ323</f>
        <v>110.71000000002095</v>
      </c>
      <c r="CI323" s="3">
        <f>BY323-BZ323</f>
        <v>153197.21</v>
      </c>
      <c r="CJ323" s="3">
        <f>ROUND(SUMIF(AA282:AA321,"=56959434",GX282:GX321),2)</f>
        <v>0</v>
      </c>
      <c r="CK323" s="3">
        <f>ROUND(SUMIF(AA282:AA321,"=56959434",GY282:GY321),2)</f>
        <v>0</v>
      </c>
      <c r="CL323" s="3">
        <f>ROUND(SUMIF(AA282:AA321,"=56959434",GZ282:GZ321),2)</f>
        <v>0</v>
      </c>
      <c r="CM323" s="3">
        <f>ROUND(SUMIF(AA282:AA321,"=56959434",HD282:HD321),2)</f>
        <v>0</v>
      </c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4">
        <f t="shared" ref="DG323:DL323" si="277">ROUND(DT323,2)</f>
        <v>1268611.47</v>
      </c>
      <c r="DH323" s="4">
        <f t="shared" si="277"/>
        <v>1174421.47</v>
      </c>
      <c r="DI323" s="4">
        <f t="shared" si="277"/>
        <v>33109.86</v>
      </c>
      <c r="DJ323" s="4">
        <f t="shared" si="277"/>
        <v>13809.09</v>
      </c>
      <c r="DK323" s="4">
        <f t="shared" si="277"/>
        <v>61080.14</v>
      </c>
      <c r="DL323" s="4">
        <f t="shared" si="277"/>
        <v>0</v>
      </c>
      <c r="DM323" s="4">
        <f>DZ323</f>
        <v>91.260707999999994</v>
      </c>
      <c r="DN323" s="4">
        <f>EA323</f>
        <v>0</v>
      </c>
      <c r="DO323" s="4">
        <f>ROUND(EB323,2)</f>
        <v>0</v>
      </c>
      <c r="DP323" s="4">
        <f>ROUND(EC323,2)</f>
        <v>67400.31</v>
      </c>
      <c r="DQ323" s="4">
        <f>ROUND(ED323,2)</f>
        <v>34449.040000000001</v>
      </c>
      <c r="DR323" s="4"/>
      <c r="DS323" s="4"/>
      <c r="DT323" s="4">
        <f>ROUND(SUMIF(AA282:AA321,"=56959431",O282:O321),2)</f>
        <v>1268611.47</v>
      </c>
      <c r="DU323" s="4">
        <f>ROUND(SUMIF(AA282:AA321,"=56959431",P282:P321),2)</f>
        <v>1174421.47</v>
      </c>
      <c r="DV323" s="4">
        <f>ROUND(SUMIF(AA282:AA321,"=56959431",Q282:Q321),2)</f>
        <v>33109.86</v>
      </c>
      <c r="DW323" s="4">
        <f>ROUND(SUMIF(AA282:AA321,"=56959431",R282:R321),2)</f>
        <v>13809.09</v>
      </c>
      <c r="DX323" s="4">
        <f>ROUND(SUMIF(AA282:AA321,"=56959431",S282:S321),2)</f>
        <v>61080.14</v>
      </c>
      <c r="DY323" s="4">
        <f>ROUND(SUMIF(AA282:AA321,"=56959431",T282:T321),2)</f>
        <v>0</v>
      </c>
      <c r="DZ323" s="4">
        <f>SUMIF(AA282:AA321,"=56959431",U282:U321)</f>
        <v>91.260707999999994</v>
      </c>
      <c r="EA323" s="4">
        <f>SUMIF(AA282:AA321,"=56959431",V282:V321)</f>
        <v>0</v>
      </c>
      <c r="EB323" s="4">
        <f>ROUND(SUMIF(AA282:AA321,"=56959431",W282:W321),2)</f>
        <v>0</v>
      </c>
      <c r="EC323" s="4">
        <f>ROUND(SUMIF(AA282:AA321,"=56959431",X282:X321),2)</f>
        <v>67400.31</v>
      </c>
      <c r="ED323" s="4">
        <f>ROUND(SUMIF(AA282:AA321,"=56959431",Y282:Y321),2)</f>
        <v>34449.040000000001</v>
      </c>
      <c r="EE323" s="4"/>
      <c r="EF323" s="4"/>
      <c r="EG323" s="4">
        <f t="shared" ref="EG323:EV323" si="278">ROUND(FP323,2)</f>
        <v>0</v>
      </c>
      <c r="EH323" s="4">
        <f t="shared" si="278"/>
        <v>1173490.6399999999</v>
      </c>
      <c r="EI323" s="4">
        <f t="shared" si="278"/>
        <v>0</v>
      </c>
      <c r="EJ323" s="4">
        <f t="shared" si="278"/>
        <v>1370460.82</v>
      </c>
      <c r="EK323" s="4">
        <f t="shared" si="278"/>
        <v>0</v>
      </c>
      <c r="EL323" s="4">
        <f t="shared" si="278"/>
        <v>196970.18</v>
      </c>
      <c r="EM323" s="4">
        <f t="shared" si="278"/>
        <v>0</v>
      </c>
      <c r="EN323" s="4">
        <f t="shared" si="278"/>
        <v>1174421.47</v>
      </c>
      <c r="EO323" s="4">
        <f t="shared" si="278"/>
        <v>930.83</v>
      </c>
      <c r="EP323" s="4">
        <f t="shared" si="278"/>
        <v>0</v>
      </c>
      <c r="EQ323" s="4">
        <f t="shared" si="278"/>
        <v>930.83</v>
      </c>
      <c r="ER323" s="4">
        <f t="shared" si="278"/>
        <v>1173490.6399999999</v>
      </c>
      <c r="ES323" s="4">
        <f t="shared" si="278"/>
        <v>0</v>
      </c>
      <c r="ET323" s="4">
        <f t="shared" si="278"/>
        <v>0</v>
      </c>
      <c r="EU323" s="4">
        <f t="shared" si="278"/>
        <v>0</v>
      </c>
      <c r="EV323" s="4">
        <f t="shared" si="278"/>
        <v>0</v>
      </c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>
        <f>ROUND(SUMIF(AA282:AA321,"=56959431",FQ282:FQ321),2)</f>
        <v>0</v>
      </c>
      <c r="FQ323" s="4">
        <f>ROUND(SUMIF(AA282:AA321,"=56959431",FR282:FR321),2)</f>
        <v>1173490.6399999999</v>
      </c>
      <c r="FR323" s="4">
        <f>ROUND(SUMIF(AA282:AA321,"=56959431",GL282:GL321),2)</f>
        <v>0</v>
      </c>
      <c r="FS323" s="4">
        <f>ROUND(SUMIF(AA282:AA321,"=56959431",GM282:GM321),2)</f>
        <v>1370460.82</v>
      </c>
      <c r="FT323" s="4">
        <f>ROUND(SUMIF(AA282:AA321,"=56959431",GN282:GN321),2)</f>
        <v>0</v>
      </c>
      <c r="FU323" s="4">
        <f>ROUND(SUMIF(AA282:AA321,"=56959431",GO282:GO321),2)</f>
        <v>196970.18</v>
      </c>
      <c r="FV323" s="4">
        <f>ROUND(SUMIF(AA282:AA321,"=56959431",GP282:GP321),2)</f>
        <v>0</v>
      </c>
      <c r="FW323" s="4">
        <f>DU323-FP323</f>
        <v>1174421.47</v>
      </c>
      <c r="FX323" s="4">
        <f>DU323-FQ323</f>
        <v>930.83000000007451</v>
      </c>
      <c r="FY323" s="4">
        <f>FP323-FR323</f>
        <v>0</v>
      </c>
      <c r="FZ323" s="4">
        <f>DU323-FP323-FQ323+FR323</f>
        <v>930.83000000007451</v>
      </c>
      <c r="GA323" s="4">
        <f>FQ323-FR323</f>
        <v>1173490.6399999999</v>
      </c>
      <c r="GB323" s="4">
        <f>ROUND(SUMIF(AA282:AA321,"=56959431",GX282:GX321),2)</f>
        <v>0</v>
      </c>
      <c r="GC323" s="4">
        <f>ROUND(SUMIF(AA282:AA321,"=56959431",GY282:GY321),2)</f>
        <v>0</v>
      </c>
      <c r="GD323" s="4">
        <f>ROUND(SUMIF(AA282:AA321,"=56959431",GZ282:GZ321),2)</f>
        <v>0</v>
      </c>
      <c r="GE323" s="4">
        <f>ROUND(SUMIF(AA282:AA321,"=56959431",HD282:HD321),2)</f>
        <v>0</v>
      </c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>
        <v>0</v>
      </c>
    </row>
    <row r="325" spans="1:245" x14ac:dyDescent="0.2">
      <c r="A325" s="5">
        <v>50</v>
      </c>
      <c r="B325" s="5">
        <v>0</v>
      </c>
      <c r="C325" s="5">
        <v>0</v>
      </c>
      <c r="D325" s="5">
        <v>1</v>
      </c>
      <c r="E325" s="5">
        <v>201</v>
      </c>
      <c r="F325" s="5">
        <f>ROUND(Source!O323,O325)</f>
        <v>156658.85</v>
      </c>
      <c r="G325" s="5" t="s">
        <v>118</v>
      </c>
      <c r="H325" s="5" t="s">
        <v>119</v>
      </c>
      <c r="I325" s="5"/>
      <c r="J325" s="5"/>
      <c r="K325" s="5">
        <v>201</v>
      </c>
      <c r="L325" s="5">
        <v>1</v>
      </c>
      <c r="M325" s="5">
        <v>3</v>
      </c>
      <c r="N325" s="5" t="s">
        <v>3</v>
      </c>
      <c r="O325" s="5">
        <v>2</v>
      </c>
      <c r="P325" s="5">
        <f>ROUND(Source!DG323,O325)</f>
        <v>1268611.47</v>
      </c>
      <c r="Q325" s="5"/>
      <c r="R325" s="5"/>
      <c r="S325" s="5"/>
      <c r="T325" s="5"/>
      <c r="U325" s="5"/>
      <c r="V325" s="5"/>
      <c r="W325" s="5">
        <v>156658.85</v>
      </c>
      <c r="X325" s="5">
        <v>1</v>
      </c>
      <c r="Y325" s="5">
        <v>156658.85</v>
      </c>
      <c r="Z325" s="5">
        <v>1268611.47</v>
      </c>
      <c r="AA325" s="5">
        <v>1</v>
      </c>
      <c r="AB325" s="5">
        <v>1268611.47</v>
      </c>
    </row>
    <row r="326" spans="1:245" x14ac:dyDescent="0.2">
      <c r="A326" s="5">
        <v>50</v>
      </c>
      <c r="B326" s="5">
        <v>0</v>
      </c>
      <c r="C326" s="5">
        <v>0</v>
      </c>
      <c r="D326" s="5">
        <v>1</v>
      </c>
      <c r="E326" s="5">
        <v>202</v>
      </c>
      <c r="F326" s="5">
        <f>ROUND(Source!P323,O326)</f>
        <v>153307.92000000001</v>
      </c>
      <c r="G326" s="5" t="s">
        <v>120</v>
      </c>
      <c r="H326" s="5" t="s">
        <v>121</v>
      </c>
      <c r="I326" s="5"/>
      <c r="J326" s="5"/>
      <c r="K326" s="5">
        <v>202</v>
      </c>
      <c r="L326" s="5">
        <v>2</v>
      </c>
      <c r="M326" s="5">
        <v>3</v>
      </c>
      <c r="N326" s="5" t="s">
        <v>3</v>
      </c>
      <c r="O326" s="5">
        <v>2</v>
      </c>
      <c r="P326" s="5">
        <f>ROUND(Source!DH323,O326)</f>
        <v>1174421.47</v>
      </c>
      <c r="Q326" s="5"/>
      <c r="R326" s="5"/>
      <c r="S326" s="5"/>
      <c r="T326" s="5"/>
      <c r="U326" s="5"/>
      <c r="V326" s="5"/>
      <c r="W326" s="5">
        <v>153307.92000000001</v>
      </c>
      <c r="X326" s="5">
        <v>1</v>
      </c>
      <c r="Y326" s="5">
        <v>153307.92000000001</v>
      </c>
      <c r="Z326" s="5">
        <v>1174421.47</v>
      </c>
      <c r="AA326" s="5">
        <v>1</v>
      </c>
      <c r="AB326" s="5">
        <v>1174421.47</v>
      </c>
    </row>
    <row r="327" spans="1:245" x14ac:dyDescent="0.2">
      <c r="A327" s="5">
        <v>50</v>
      </c>
      <c r="B327" s="5">
        <v>0</v>
      </c>
      <c r="C327" s="5">
        <v>0</v>
      </c>
      <c r="D327" s="5">
        <v>1</v>
      </c>
      <c r="E327" s="5">
        <v>222</v>
      </c>
      <c r="F327" s="5">
        <f>ROUND(Source!AO323,O327)</f>
        <v>0</v>
      </c>
      <c r="G327" s="5" t="s">
        <v>122</v>
      </c>
      <c r="H327" s="5" t="s">
        <v>123</v>
      </c>
      <c r="I327" s="5"/>
      <c r="J327" s="5"/>
      <c r="K327" s="5">
        <v>222</v>
      </c>
      <c r="L327" s="5">
        <v>3</v>
      </c>
      <c r="M327" s="5">
        <v>3</v>
      </c>
      <c r="N327" s="5" t="s">
        <v>3</v>
      </c>
      <c r="O327" s="5">
        <v>2</v>
      </c>
      <c r="P327" s="5">
        <f>ROUND(Source!EG323,O327)</f>
        <v>0</v>
      </c>
      <c r="Q327" s="5"/>
      <c r="R327" s="5"/>
      <c r="S327" s="5"/>
      <c r="T327" s="5"/>
      <c r="U327" s="5"/>
      <c r="V327" s="5"/>
      <c r="W327" s="5">
        <v>0</v>
      </c>
      <c r="X327" s="5">
        <v>1</v>
      </c>
      <c r="Y327" s="5">
        <v>0</v>
      </c>
      <c r="Z327" s="5">
        <v>0</v>
      </c>
      <c r="AA327" s="5">
        <v>1</v>
      </c>
      <c r="AB327" s="5">
        <v>0</v>
      </c>
    </row>
    <row r="328" spans="1:245" x14ac:dyDescent="0.2">
      <c r="A328" s="5">
        <v>50</v>
      </c>
      <c r="B328" s="5">
        <v>0</v>
      </c>
      <c r="C328" s="5">
        <v>0</v>
      </c>
      <c r="D328" s="5">
        <v>1</v>
      </c>
      <c r="E328" s="5">
        <v>225</v>
      </c>
      <c r="F328" s="5">
        <f>ROUND(Source!AV323,O328)</f>
        <v>153307.92000000001</v>
      </c>
      <c r="G328" s="5" t="s">
        <v>124</v>
      </c>
      <c r="H328" s="5" t="s">
        <v>125</v>
      </c>
      <c r="I328" s="5"/>
      <c r="J328" s="5"/>
      <c r="K328" s="5">
        <v>225</v>
      </c>
      <c r="L328" s="5">
        <v>4</v>
      </c>
      <c r="M328" s="5">
        <v>3</v>
      </c>
      <c r="N328" s="5" t="s">
        <v>3</v>
      </c>
      <c r="O328" s="5">
        <v>2</v>
      </c>
      <c r="P328" s="5">
        <f>ROUND(Source!EN323,O328)</f>
        <v>1174421.47</v>
      </c>
      <c r="Q328" s="5"/>
      <c r="R328" s="5"/>
      <c r="S328" s="5"/>
      <c r="T328" s="5"/>
      <c r="U328" s="5"/>
      <c r="V328" s="5"/>
      <c r="W328" s="5">
        <v>153307.92000000001</v>
      </c>
      <c r="X328" s="5">
        <v>1</v>
      </c>
      <c r="Y328" s="5">
        <v>153307.92000000001</v>
      </c>
      <c r="Z328" s="5">
        <v>1174421.47</v>
      </c>
      <c r="AA328" s="5">
        <v>1</v>
      </c>
      <c r="AB328" s="5">
        <v>1174421.47</v>
      </c>
    </row>
    <row r="329" spans="1:245" x14ac:dyDescent="0.2">
      <c r="A329" s="5">
        <v>50</v>
      </c>
      <c r="B329" s="5">
        <v>0</v>
      </c>
      <c r="C329" s="5">
        <v>0</v>
      </c>
      <c r="D329" s="5">
        <v>1</v>
      </c>
      <c r="E329" s="5">
        <v>226</v>
      </c>
      <c r="F329" s="5">
        <f>ROUND(Source!AW323,O329)</f>
        <v>110.71</v>
      </c>
      <c r="G329" s="5" t="s">
        <v>126</v>
      </c>
      <c r="H329" s="5" t="s">
        <v>127</v>
      </c>
      <c r="I329" s="5"/>
      <c r="J329" s="5"/>
      <c r="K329" s="5">
        <v>226</v>
      </c>
      <c r="L329" s="5">
        <v>5</v>
      </c>
      <c r="M329" s="5">
        <v>3</v>
      </c>
      <c r="N329" s="5" t="s">
        <v>3</v>
      </c>
      <c r="O329" s="5">
        <v>2</v>
      </c>
      <c r="P329" s="5">
        <f>ROUND(Source!EO323,O329)</f>
        <v>930.83</v>
      </c>
      <c r="Q329" s="5"/>
      <c r="R329" s="5"/>
      <c r="S329" s="5"/>
      <c r="T329" s="5"/>
      <c r="U329" s="5"/>
      <c r="V329" s="5"/>
      <c r="W329" s="5">
        <v>110.71</v>
      </c>
      <c r="X329" s="5">
        <v>1</v>
      </c>
      <c r="Y329" s="5">
        <v>110.71</v>
      </c>
      <c r="Z329" s="5">
        <v>930.83</v>
      </c>
      <c r="AA329" s="5">
        <v>1</v>
      </c>
      <c r="AB329" s="5">
        <v>930.83</v>
      </c>
    </row>
    <row r="330" spans="1:245" x14ac:dyDescent="0.2">
      <c r="A330" s="5">
        <v>50</v>
      </c>
      <c r="B330" s="5">
        <v>0</v>
      </c>
      <c r="C330" s="5">
        <v>0</v>
      </c>
      <c r="D330" s="5">
        <v>1</v>
      </c>
      <c r="E330" s="5">
        <v>227</v>
      </c>
      <c r="F330" s="5">
        <f>ROUND(Source!AX323,O330)</f>
        <v>0</v>
      </c>
      <c r="G330" s="5" t="s">
        <v>128</v>
      </c>
      <c r="H330" s="5" t="s">
        <v>129</v>
      </c>
      <c r="I330" s="5"/>
      <c r="J330" s="5"/>
      <c r="K330" s="5">
        <v>227</v>
      </c>
      <c r="L330" s="5">
        <v>6</v>
      </c>
      <c r="M330" s="5">
        <v>3</v>
      </c>
      <c r="N330" s="5" t="s">
        <v>3</v>
      </c>
      <c r="O330" s="5">
        <v>2</v>
      </c>
      <c r="P330" s="5">
        <f>ROUND(Source!EP323,O330)</f>
        <v>0</v>
      </c>
      <c r="Q330" s="5"/>
      <c r="R330" s="5"/>
      <c r="S330" s="5"/>
      <c r="T330" s="5"/>
      <c r="U330" s="5"/>
      <c r="V330" s="5"/>
      <c r="W330" s="5">
        <v>0</v>
      </c>
      <c r="X330" s="5">
        <v>1</v>
      </c>
      <c r="Y330" s="5">
        <v>0</v>
      </c>
      <c r="Z330" s="5">
        <v>0</v>
      </c>
      <c r="AA330" s="5">
        <v>1</v>
      </c>
      <c r="AB330" s="5">
        <v>0</v>
      </c>
    </row>
    <row r="331" spans="1:245" x14ac:dyDescent="0.2">
      <c r="A331" s="5">
        <v>50</v>
      </c>
      <c r="B331" s="5">
        <v>0</v>
      </c>
      <c r="C331" s="5">
        <v>0</v>
      </c>
      <c r="D331" s="5">
        <v>1</v>
      </c>
      <c r="E331" s="5">
        <v>228</v>
      </c>
      <c r="F331" s="5">
        <f>ROUND(Source!AY323,O331)</f>
        <v>110.71</v>
      </c>
      <c r="G331" s="5" t="s">
        <v>130</v>
      </c>
      <c r="H331" s="5" t="s">
        <v>131</v>
      </c>
      <c r="I331" s="5"/>
      <c r="J331" s="5"/>
      <c r="K331" s="5">
        <v>228</v>
      </c>
      <c r="L331" s="5">
        <v>7</v>
      </c>
      <c r="M331" s="5">
        <v>3</v>
      </c>
      <c r="N331" s="5" t="s">
        <v>3</v>
      </c>
      <c r="O331" s="5">
        <v>2</v>
      </c>
      <c r="P331" s="5">
        <f>ROUND(Source!EQ323,O331)</f>
        <v>930.83</v>
      </c>
      <c r="Q331" s="5"/>
      <c r="R331" s="5"/>
      <c r="S331" s="5"/>
      <c r="T331" s="5"/>
      <c r="U331" s="5"/>
      <c r="V331" s="5"/>
      <c r="W331" s="5">
        <v>110.71</v>
      </c>
      <c r="X331" s="5">
        <v>1</v>
      </c>
      <c r="Y331" s="5">
        <v>110.71</v>
      </c>
      <c r="Z331" s="5">
        <v>930.83</v>
      </c>
      <c r="AA331" s="5">
        <v>1</v>
      </c>
      <c r="AB331" s="5">
        <v>930.83</v>
      </c>
    </row>
    <row r="332" spans="1:245" x14ac:dyDescent="0.2">
      <c r="A332" s="5">
        <v>50</v>
      </c>
      <c r="B332" s="5">
        <v>0</v>
      </c>
      <c r="C332" s="5">
        <v>0</v>
      </c>
      <c r="D332" s="5">
        <v>1</v>
      </c>
      <c r="E332" s="5">
        <v>216</v>
      </c>
      <c r="F332" s="5">
        <f>ROUND(Source!AP323,O332)</f>
        <v>153197.21</v>
      </c>
      <c r="G332" s="5" t="s">
        <v>132</v>
      </c>
      <c r="H332" s="5" t="s">
        <v>133</v>
      </c>
      <c r="I332" s="5"/>
      <c r="J332" s="5"/>
      <c r="K332" s="5">
        <v>216</v>
      </c>
      <c r="L332" s="5">
        <v>8</v>
      </c>
      <c r="M332" s="5">
        <v>3</v>
      </c>
      <c r="N332" s="5" t="s">
        <v>3</v>
      </c>
      <c r="O332" s="5">
        <v>2</v>
      </c>
      <c r="P332" s="5">
        <f>ROUND(Source!EH323,O332)</f>
        <v>1173490.6399999999</v>
      </c>
      <c r="Q332" s="5"/>
      <c r="R332" s="5"/>
      <c r="S332" s="5"/>
      <c r="T332" s="5"/>
      <c r="U332" s="5"/>
      <c r="V332" s="5"/>
      <c r="W332" s="5">
        <v>153197.21</v>
      </c>
      <c r="X332" s="5">
        <v>1</v>
      </c>
      <c r="Y332" s="5">
        <v>153197.21</v>
      </c>
      <c r="Z332" s="5">
        <v>1173490.6399999999</v>
      </c>
      <c r="AA332" s="5">
        <v>1</v>
      </c>
      <c r="AB332" s="5">
        <v>1173490.6399999999</v>
      </c>
    </row>
    <row r="333" spans="1:245" x14ac:dyDescent="0.2">
      <c r="A333" s="5">
        <v>50</v>
      </c>
      <c r="B333" s="5">
        <v>0</v>
      </c>
      <c r="C333" s="5">
        <v>0</v>
      </c>
      <c r="D333" s="5">
        <v>1</v>
      </c>
      <c r="E333" s="5">
        <v>223</v>
      </c>
      <c r="F333" s="5">
        <f>ROUND(Source!AQ323,O333)</f>
        <v>0</v>
      </c>
      <c r="G333" s="5" t="s">
        <v>134</v>
      </c>
      <c r="H333" s="5" t="s">
        <v>135</v>
      </c>
      <c r="I333" s="5"/>
      <c r="J333" s="5"/>
      <c r="K333" s="5">
        <v>223</v>
      </c>
      <c r="L333" s="5">
        <v>9</v>
      </c>
      <c r="M333" s="5">
        <v>3</v>
      </c>
      <c r="N333" s="5" t="s">
        <v>3</v>
      </c>
      <c r="O333" s="5">
        <v>2</v>
      </c>
      <c r="P333" s="5">
        <f>ROUND(Source!EI323,O333)</f>
        <v>0</v>
      </c>
      <c r="Q333" s="5"/>
      <c r="R333" s="5"/>
      <c r="S333" s="5"/>
      <c r="T333" s="5"/>
      <c r="U333" s="5"/>
      <c r="V333" s="5"/>
      <c r="W333" s="5">
        <v>0</v>
      </c>
      <c r="X333" s="5">
        <v>1</v>
      </c>
      <c r="Y333" s="5">
        <v>0</v>
      </c>
      <c r="Z333" s="5">
        <v>0</v>
      </c>
      <c r="AA333" s="5">
        <v>1</v>
      </c>
      <c r="AB333" s="5">
        <v>0</v>
      </c>
    </row>
    <row r="334" spans="1:245" x14ac:dyDescent="0.2">
      <c r="A334" s="5">
        <v>50</v>
      </c>
      <c r="B334" s="5">
        <v>0</v>
      </c>
      <c r="C334" s="5">
        <v>0</v>
      </c>
      <c r="D334" s="5">
        <v>1</v>
      </c>
      <c r="E334" s="5">
        <v>229</v>
      </c>
      <c r="F334" s="5">
        <f>ROUND(Source!AZ323,O334)</f>
        <v>153197.21</v>
      </c>
      <c r="G334" s="5" t="s">
        <v>136</v>
      </c>
      <c r="H334" s="5" t="s">
        <v>137</v>
      </c>
      <c r="I334" s="5"/>
      <c r="J334" s="5"/>
      <c r="K334" s="5">
        <v>229</v>
      </c>
      <c r="L334" s="5">
        <v>10</v>
      </c>
      <c r="M334" s="5">
        <v>3</v>
      </c>
      <c r="N334" s="5" t="s">
        <v>3</v>
      </c>
      <c r="O334" s="5">
        <v>2</v>
      </c>
      <c r="P334" s="5">
        <f>ROUND(Source!ER323,O334)</f>
        <v>1173490.6399999999</v>
      </c>
      <c r="Q334" s="5"/>
      <c r="R334" s="5"/>
      <c r="S334" s="5"/>
      <c r="T334" s="5"/>
      <c r="U334" s="5"/>
      <c r="V334" s="5"/>
      <c r="W334" s="5">
        <v>153197.21</v>
      </c>
      <c r="X334" s="5">
        <v>1</v>
      </c>
      <c r="Y334" s="5">
        <v>153197.21</v>
      </c>
      <c r="Z334" s="5">
        <v>1173490.6399999999</v>
      </c>
      <c r="AA334" s="5">
        <v>1</v>
      </c>
      <c r="AB334" s="5">
        <v>1173490.6399999999</v>
      </c>
    </row>
    <row r="335" spans="1:245" x14ac:dyDescent="0.2">
      <c r="A335" s="5">
        <v>50</v>
      </c>
      <c r="B335" s="5">
        <v>0</v>
      </c>
      <c r="C335" s="5">
        <v>0</v>
      </c>
      <c r="D335" s="5">
        <v>1</v>
      </c>
      <c r="E335" s="5">
        <v>203</v>
      </c>
      <c r="F335" s="5">
        <f>ROUND(Source!Q323,O335)</f>
        <v>2240.1799999999998</v>
      </c>
      <c r="G335" s="5" t="s">
        <v>138</v>
      </c>
      <c r="H335" s="5" t="s">
        <v>139</v>
      </c>
      <c r="I335" s="5"/>
      <c r="J335" s="5"/>
      <c r="K335" s="5">
        <v>203</v>
      </c>
      <c r="L335" s="5">
        <v>11</v>
      </c>
      <c r="M335" s="5">
        <v>3</v>
      </c>
      <c r="N335" s="5" t="s">
        <v>3</v>
      </c>
      <c r="O335" s="5">
        <v>2</v>
      </c>
      <c r="P335" s="5">
        <f>ROUND(Source!DI323,O335)</f>
        <v>33109.86</v>
      </c>
      <c r="Q335" s="5"/>
      <c r="R335" s="5"/>
      <c r="S335" s="5"/>
      <c r="T335" s="5"/>
      <c r="U335" s="5"/>
      <c r="V335" s="5"/>
      <c r="W335" s="5">
        <v>2240.1799999999998</v>
      </c>
      <c r="X335" s="5">
        <v>1</v>
      </c>
      <c r="Y335" s="5">
        <v>2240.1799999999998</v>
      </c>
      <c r="Z335" s="5">
        <v>33109.86</v>
      </c>
      <c r="AA335" s="5">
        <v>1</v>
      </c>
      <c r="AB335" s="5">
        <v>33109.86</v>
      </c>
    </row>
    <row r="336" spans="1:245" x14ac:dyDescent="0.2">
      <c r="A336" s="5">
        <v>50</v>
      </c>
      <c r="B336" s="5">
        <v>0</v>
      </c>
      <c r="C336" s="5">
        <v>0</v>
      </c>
      <c r="D336" s="5">
        <v>1</v>
      </c>
      <c r="E336" s="5">
        <v>231</v>
      </c>
      <c r="F336" s="5">
        <f>ROUND(Source!BB323,O336)</f>
        <v>0</v>
      </c>
      <c r="G336" s="5" t="s">
        <v>140</v>
      </c>
      <c r="H336" s="5" t="s">
        <v>141</v>
      </c>
      <c r="I336" s="5"/>
      <c r="J336" s="5"/>
      <c r="K336" s="5">
        <v>231</v>
      </c>
      <c r="L336" s="5">
        <v>12</v>
      </c>
      <c r="M336" s="5">
        <v>3</v>
      </c>
      <c r="N336" s="5" t="s">
        <v>3</v>
      </c>
      <c r="O336" s="5">
        <v>2</v>
      </c>
      <c r="P336" s="5">
        <f>ROUND(Source!ET323,O336)</f>
        <v>0</v>
      </c>
      <c r="Q336" s="5"/>
      <c r="R336" s="5"/>
      <c r="S336" s="5"/>
      <c r="T336" s="5"/>
      <c r="U336" s="5"/>
      <c r="V336" s="5"/>
      <c r="W336" s="5">
        <v>0</v>
      </c>
      <c r="X336" s="5">
        <v>1</v>
      </c>
      <c r="Y336" s="5">
        <v>0</v>
      </c>
      <c r="Z336" s="5">
        <v>0</v>
      </c>
      <c r="AA336" s="5">
        <v>1</v>
      </c>
      <c r="AB336" s="5">
        <v>0</v>
      </c>
    </row>
    <row r="337" spans="1:28" x14ac:dyDescent="0.2">
      <c r="A337" s="5">
        <v>50</v>
      </c>
      <c r="B337" s="5">
        <v>0</v>
      </c>
      <c r="C337" s="5">
        <v>0</v>
      </c>
      <c r="D337" s="5">
        <v>1</v>
      </c>
      <c r="E337" s="5">
        <v>204</v>
      </c>
      <c r="F337" s="5">
        <f>ROUND(Source!R323,O337)</f>
        <v>251.12</v>
      </c>
      <c r="G337" s="5" t="s">
        <v>142</v>
      </c>
      <c r="H337" s="5" t="s">
        <v>143</v>
      </c>
      <c r="I337" s="5"/>
      <c r="J337" s="5"/>
      <c r="K337" s="5">
        <v>204</v>
      </c>
      <c r="L337" s="5">
        <v>13</v>
      </c>
      <c r="M337" s="5">
        <v>3</v>
      </c>
      <c r="N337" s="5" t="s">
        <v>3</v>
      </c>
      <c r="O337" s="5">
        <v>2</v>
      </c>
      <c r="P337" s="5">
        <f>ROUND(Source!DJ323,O337)</f>
        <v>13809.09</v>
      </c>
      <c r="Q337" s="5"/>
      <c r="R337" s="5"/>
      <c r="S337" s="5"/>
      <c r="T337" s="5"/>
      <c r="U337" s="5"/>
      <c r="V337" s="5"/>
      <c r="W337" s="5">
        <v>251.12</v>
      </c>
      <c r="X337" s="5">
        <v>1</v>
      </c>
      <c r="Y337" s="5">
        <v>251.12</v>
      </c>
      <c r="Z337" s="5">
        <v>13809.09</v>
      </c>
      <c r="AA337" s="5">
        <v>1</v>
      </c>
      <c r="AB337" s="5">
        <v>13809.09</v>
      </c>
    </row>
    <row r="338" spans="1:28" x14ac:dyDescent="0.2">
      <c r="A338" s="5">
        <v>50</v>
      </c>
      <c r="B338" s="5">
        <v>0</v>
      </c>
      <c r="C338" s="5">
        <v>0</v>
      </c>
      <c r="D338" s="5">
        <v>1</v>
      </c>
      <c r="E338" s="5">
        <v>205</v>
      </c>
      <c r="F338" s="5">
        <f>ROUND(Source!S323,O338)</f>
        <v>1110.75</v>
      </c>
      <c r="G338" s="5" t="s">
        <v>144</v>
      </c>
      <c r="H338" s="5" t="s">
        <v>145</v>
      </c>
      <c r="I338" s="5"/>
      <c r="J338" s="5"/>
      <c r="K338" s="5">
        <v>205</v>
      </c>
      <c r="L338" s="5">
        <v>14</v>
      </c>
      <c r="M338" s="5">
        <v>3</v>
      </c>
      <c r="N338" s="5" t="s">
        <v>3</v>
      </c>
      <c r="O338" s="5">
        <v>2</v>
      </c>
      <c r="P338" s="5">
        <f>ROUND(Source!DK323,O338)</f>
        <v>61080.14</v>
      </c>
      <c r="Q338" s="5"/>
      <c r="R338" s="5"/>
      <c r="S338" s="5"/>
      <c r="T338" s="5"/>
      <c r="U338" s="5"/>
      <c r="V338" s="5"/>
      <c r="W338" s="5">
        <v>1110.75</v>
      </c>
      <c r="X338" s="5">
        <v>1</v>
      </c>
      <c r="Y338" s="5">
        <v>1110.75</v>
      </c>
      <c r="Z338" s="5">
        <v>61080.14</v>
      </c>
      <c r="AA338" s="5">
        <v>1</v>
      </c>
      <c r="AB338" s="5">
        <v>61080.14</v>
      </c>
    </row>
    <row r="339" spans="1:28" x14ac:dyDescent="0.2">
      <c r="A339" s="5">
        <v>50</v>
      </c>
      <c r="B339" s="5">
        <v>0</v>
      </c>
      <c r="C339" s="5">
        <v>0</v>
      </c>
      <c r="D339" s="5">
        <v>1</v>
      </c>
      <c r="E339" s="5">
        <v>232</v>
      </c>
      <c r="F339" s="5">
        <f>ROUND(Source!BC323,O339)</f>
        <v>0</v>
      </c>
      <c r="G339" s="5" t="s">
        <v>146</v>
      </c>
      <c r="H339" s="5" t="s">
        <v>147</v>
      </c>
      <c r="I339" s="5"/>
      <c r="J339" s="5"/>
      <c r="K339" s="5">
        <v>232</v>
      </c>
      <c r="L339" s="5">
        <v>15</v>
      </c>
      <c r="M339" s="5">
        <v>3</v>
      </c>
      <c r="N339" s="5" t="s">
        <v>3</v>
      </c>
      <c r="O339" s="5">
        <v>2</v>
      </c>
      <c r="P339" s="5">
        <f>ROUND(Source!EU323,O339)</f>
        <v>0</v>
      </c>
      <c r="Q339" s="5"/>
      <c r="R339" s="5"/>
      <c r="S339" s="5"/>
      <c r="T339" s="5"/>
      <c r="U339" s="5"/>
      <c r="V339" s="5"/>
      <c r="W339" s="5">
        <v>0</v>
      </c>
      <c r="X339" s="5">
        <v>1</v>
      </c>
      <c r="Y339" s="5">
        <v>0</v>
      </c>
      <c r="Z339" s="5">
        <v>0</v>
      </c>
      <c r="AA339" s="5">
        <v>1</v>
      </c>
      <c r="AB339" s="5">
        <v>0</v>
      </c>
    </row>
    <row r="340" spans="1:28" x14ac:dyDescent="0.2">
      <c r="A340" s="5">
        <v>50</v>
      </c>
      <c r="B340" s="5">
        <v>0</v>
      </c>
      <c r="C340" s="5">
        <v>0</v>
      </c>
      <c r="D340" s="5">
        <v>1</v>
      </c>
      <c r="E340" s="5">
        <v>214</v>
      </c>
      <c r="F340" s="5">
        <f>ROUND(Source!AS323,O340)</f>
        <v>0</v>
      </c>
      <c r="G340" s="5" t="s">
        <v>148</v>
      </c>
      <c r="H340" s="5" t="s">
        <v>149</v>
      </c>
      <c r="I340" s="5"/>
      <c r="J340" s="5"/>
      <c r="K340" s="5">
        <v>214</v>
      </c>
      <c r="L340" s="5">
        <v>16</v>
      </c>
      <c r="M340" s="5">
        <v>3</v>
      </c>
      <c r="N340" s="5" t="s">
        <v>3</v>
      </c>
      <c r="O340" s="5">
        <v>2</v>
      </c>
      <c r="P340" s="5">
        <f>ROUND(Source!EK323,O340)</f>
        <v>0</v>
      </c>
      <c r="Q340" s="5"/>
      <c r="R340" s="5"/>
      <c r="S340" s="5"/>
      <c r="T340" s="5"/>
      <c r="U340" s="5"/>
      <c r="V340" s="5"/>
      <c r="W340" s="5">
        <v>0</v>
      </c>
      <c r="X340" s="5">
        <v>1</v>
      </c>
      <c r="Y340" s="5">
        <v>0</v>
      </c>
      <c r="Z340" s="5">
        <v>0</v>
      </c>
      <c r="AA340" s="5">
        <v>1</v>
      </c>
      <c r="AB340" s="5">
        <v>0</v>
      </c>
    </row>
    <row r="341" spans="1:28" x14ac:dyDescent="0.2">
      <c r="A341" s="5">
        <v>50</v>
      </c>
      <c r="B341" s="5">
        <v>0</v>
      </c>
      <c r="C341" s="5">
        <v>0</v>
      </c>
      <c r="D341" s="5">
        <v>1</v>
      </c>
      <c r="E341" s="5">
        <v>215</v>
      </c>
      <c r="F341" s="5">
        <f>ROUND(Source!AT323,O341)</f>
        <v>5313.78</v>
      </c>
      <c r="G341" s="5" t="s">
        <v>150</v>
      </c>
      <c r="H341" s="5" t="s">
        <v>151</v>
      </c>
      <c r="I341" s="5"/>
      <c r="J341" s="5"/>
      <c r="K341" s="5">
        <v>215</v>
      </c>
      <c r="L341" s="5">
        <v>17</v>
      </c>
      <c r="M341" s="5">
        <v>3</v>
      </c>
      <c r="N341" s="5" t="s">
        <v>3</v>
      </c>
      <c r="O341" s="5">
        <v>2</v>
      </c>
      <c r="P341" s="5">
        <f>ROUND(Source!EL323,O341)</f>
        <v>196970.18</v>
      </c>
      <c r="Q341" s="5"/>
      <c r="R341" s="5"/>
      <c r="S341" s="5"/>
      <c r="T341" s="5"/>
      <c r="U341" s="5"/>
      <c r="V341" s="5"/>
      <c r="W341" s="5">
        <v>5313.78</v>
      </c>
      <c r="X341" s="5">
        <v>1</v>
      </c>
      <c r="Y341" s="5">
        <v>5313.78</v>
      </c>
      <c r="Z341" s="5">
        <v>196970.18</v>
      </c>
      <c r="AA341" s="5">
        <v>1</v>
      </c>
      <c r="AB341" s="5">
        <v>196970.18</v>
      </c>
    </row>
    <row r="342" spans="1:28" x14ac:dyDescent="0.2">
      <c r="A342" s="5">
        <v>50</v>
      </c>
      <c r="B342" s="5">
        <v>0</v>
      </c>
      <c r="C342" s="5">
        <v>0</v>
      </c>
      <c r="D342" s="5">
        <v>1</v>
      </c>
      <c r="E342" s="5">
        <v>217</v>
      </c>
      <c r="F342" s="5">
        <f>ROUND(Source!AU323,O342)</f>
        <v>0</v>
      </c>
      <c r="G342" s="5" t="s">
        <v>152</v>
      </c>
      <c r="H342" s="5" t="s">
        <v>153</v>
      </c>
      <c r="I342" s="5"/>
      <c r="J342" s="5"/>
      <c r="K342" s="5">
        <v>217</v>
      </c>
      <c r="L342" s="5">
        <v>18</v>
      </c>
      <c r="M342" s="5">
        <v>3</v>
      </c>
      <c r="N342" s="5" t="s">
        <v>3</v>
      </c>
      <c r="O342" s="5">
        <v>2</v>
      </c>
      <c r="P342" s="5">
        <f>ROUND(Source!EM323,O342)</f>
        <v>0</v>
      </c>
      <c r="Q342" s="5"/>
      <c r="R342" s="5"/>
      <c r="S342" s="5"/>
      <c r="T342" s="5"/>
      <c r="U342" s="5"/>
      <c r="V342" s="5"/>
      <c r="W342" s="5">
        <v>0</v>
      </c>
      <c r="X342" s="5">
        <v>1</v>
      </c>
      <c r="Y342" s="5">
        <v>0</v>
      </c>
      <c r="Z342" s="5">
        <v>0</v>
      </c>
      <c r="AA342" s="5">
        <v>1</v>
      </c>
      <c r="AB342" s="5">
        <v>0</v>
      </c>
    </row>
    <row r="343" spans="1:28" x14ac:dyDescent="0.2">
      <c r="A343" s="5">
        <v>50</v>
      </c>
      <c r="B343" s="5">
        <v>0</v>
      </c>
      <c r="C343" s="5">
        <v>0</v>
      </c>
      <c r="D343" s="5">
        <v>1</v>
      </c>
      <c r="E343" s="5">
        <v>230</v>
      </c>
      <c r="F343" s="5">
        <f>ROUND(Source!BA323,O343)</f>
        <v>0</v>
      </c>
      <c r="G343" s="5" t="s">
        <v>154</v>
      </c>
      <c r="H343" s="5" t="s">
        <v>155</v>
      </c>
      <c r="I343" s="5"/>
      <c r="J343" s="5"/>
      <c r="K343" s="5">
        <v>230</v>
      </c>
      <c r="L343" s="5">
        <v>19</v>
      </c>
      <c r="M343" s="5">
        <v>3</v>
      </c>
      <c r="N343" s="5" t="s">
        <v>3</v>
      </c>
      <c r="O343" s="5">
        <v>2</v>
      </c>
      <c r="P343" s="5">
        <f>ROUND(Source!ES323,O343)</f>
        <v>0</v>
      </c>
      <c r="Q343" s="5"/>
      <c r="R343" s="5"/>
      <c r="S343" s="5"/>
      <c r="T343" s="5"/>
      <c r="U343" s="5"/>
      <c r="V343" s="5"/>
      <c r="W343" s="5">
        <v>0</v>
      </c>
      <c r="X343" s="5">
        <v>1</v>
      </c>
      <c r="Y343" s="5">
        <v>0</v>
      </c>
      <c r="Z343" s="5">
        <v>0</v>
      </c>
      <c r="AA343" s="5">
        <v>1</v>
      </c>
      <c r="AB343" s="5">
        <v>0</v>
      </c>
    </row>
    <row r="344" spans="1:28" x14ac:dyDescent="0.2">
      <c r="A344" s="5">
        <v>50</v>
      </c>
      <c r="B344" s="5">
        <v>0</v>
      </c>
      <c r="C344" s="5">
        <v>0</v>
      </c>
      <c r="D344" s="5">
        <v>1</v>
      </c>
      <c r="E344" s="5">
        <v>206</v>
      </c>
      <c r="F344" s="5">
        <f>ROUND(Source!T323,O344)</f>
        <v>0</v>
      </c>
      <c r="G344" s="5" t="s">
        <v>156</v>
      </c>
      <c r="H344" s="5" t="s">
        <v>157</v>
      </c>
      <c r="I344" s="5"/>
      <c r="J344" s="5"/>
      <c r="K344" s="5">
        <v>206</v>
      </c>
      <c r="L344" s="5">
        <v>20</v>
      </c>
      <c r="M344" s="5">
        <v>3</v>
      </c>
      <c r="N344" s="5" t="s">
        <v>3</v>
      </c>
      <c r="O344" s="5">
        <v>2</v>
      </c>
      <c r="P344" s="5">
        <f>ROUND(Source!DL323,O344)</f>
        <v>0</v>
      </c>
      <c r="Q344" s="5"/>
      <c r="R344" s="5"/>
      <c r="S344" s="5"/>
      <c r="T344" s="5"/>
      <c r="U344" s="5"/>
      <c r="V344" s="5"/>
      <c r="W344" s="5">
        <v>0</v>
      </c>
      <c r="X344" s="5">
        <v>1</v>
      </c>
      <c r="Y344" s="5">
        <v>0</v>
      </c>
      <c r="Z344" s="5">
        <v>0</v>
      </c>
      <c r="AA344" s="5">
        <v>1</v>
      </c>
      <c r="AB344" s="5">
        <v>0</v>
      </c>
    </row>
    <row r="345" spans="1:28" x14ac:dyDescent="0.2">
      <c r="A345" s="5">
        <v>50</v>
      </c>
      <c r="B345" s="5">
        <v>0</v>
      </c>
      <c r="C345" s="5">
        <v>0</v>
      </c>
      <c r="D345" s="5">
        <v>1</v>
      </c>
      <c r="E345" s="5">
        <v>207</v>
      </c>
      <c r="F345" s="5">
        <f>Source!U323</f>
        <v>91.260707999999994</v>
      </c>
      <c r="G345" s="5" t="s">
        <v>158</v>
      </c>
      <c r="H345" s="5" t="s">
        <v>159</v>
      </c>
      <c r="I345" s="5"/>
      <c r="J345" s="5"/>
      <c r="K345" s="5">
        <v>207</v>
      </c>
      <c r="L345" s="5">
        <v>21</v>
      </c>
      <c r="M345" s="5">
        <v>3</v>
      </c>
      <c r="N345" s="5" t="s">
        <v>3</v>
      </c>
      <c r="O345" s="5">
        <v>-1</v>
      </c>
      <c r="P345" s="5">
        <f>Source!DM323</f>
        <v>91.260707999999994</v>
      </c>
      <c r="Q345" s="5"/>
      <c r="R345" s="5"/>
      <c r="S345" s="5"/>
      <c r="T345" s="5"/>
      <c r="U345" s="5"/>
      <c r="V345" s="5"/>
      <c r="W345" s="5">
        <v>91.260707999999994</v>
      </c>
      <c r="X345" s="5">
        <v>1</v>
      </c>
      <c r="Y345" s="5">
        <v>91.260707999999994</v>
      </c>
      <c r="Z345" s="5">
        <v>91.260707999999994</v>
      </c>
      <c r="AA345" s="5">
        <v>1</v>
      </c>
      <c r="AB345" s="5">
        <v>91.260707999999994</v>
      </c>
    </row>
    <row r="346" spans="1:28" x14ac:dyDescent="0.2">
      <c r="A346" s="5">
        <v>50</v>
      </c>
      <c r="B346" s="5">
        <v>0</v>
      </c>
      <c r="C346" s="5">
        <v>0</v>
      </c>
      <c r="D346" s="5">
        <v>1</v>
      </c>
      <c r="E346" s="5">
        <v>208</v>
      </c>
      <c r="F346" s="5">
        <f>Source!V323</f>
        <v>0</v>
      </c>
      <c r="G346" s="5" t="s">
        <v>160</v>
      </c>
      <c r="H346" s="5" t="s">
        <v>161</v>
      </c>
      <c r="I346" s="5"/>
      <c r="J346" s="5"/>
      <c r="K346" s="5">
        <v>208</v>
      </c>
      <c r="L346" s="5">
        <v>22</v>
      </c>
      <c r="M346" s="5">
        <v>3</v>
      </c>
      <c r="N346" s="5" t="s">
        <v>3</v>
      </c>
      <c r="O346" s="5">
        <v>-1</v>
      </c>
      <c r="P346" s="5">
        <f>Source!DN323</f>
        <v>0</v>
      </c>
      <c r="Q346" s="5"/>
      <c r="R346" s="5"/>
      <c r="S346" s="5"/>
      <c r="T346" s="5"/>
      <c r="U346" s="5"/>
      <c r="V346" s="5"/>
      <c r="W346" s="5">
        <v>0</v>
      </c>
      <c r="X346" s="5">
        <v>1</v>
      </c>
      <c r="Y346" s="5">
        <v>0</v>
      </c>
      <c r="Z346" s="5">
        <v>0</v>
      </c>
      <c r="AA346" s="5">
        <v>1</v>
      </c>
      <c r="AB346" s="5">
        <v>0</v>
      </c>
    </row>
    <row r="347" spans="1:28" x14ac:dyDescent="0.2">
      <c r="A347" s="5">
        <v>50</v>
      </c>
      <c r="B347" s="5">
        <v>0</v>
      </c>
      <c r="C347" s="5">
        <v>0</v>
      </c>
      <c r="D347" s="5">
        <v>1</v>
      </c>
      <c r="E347" s="5">
        <v>209</v>
      </c>
      <c r="F347" s="5">
        <f>ROUND(Source!W323,O347)</f>
        <v>0</v>
      </c>
      <c r="G347" s="5" t="s">
        <v>162</v>
      </c>
      <c r="H347" s="5" t="s">
        <v>163</v>
      </c>
      <c r="I347" s="5"/>
      <c r="J347" s="5"/>
      <c r="K347" s="5">
        <v>209</v>
      </c>
      <c r="L347" s="5">
        <v>23</v>
      </c>
      <c r="M347" s="5">
        <v>3</v>
      </c>
      <c r="N347" s="5" t="s">
        <v>3</v>
      </c>
      <c r="O347" s="5">
        <v>2</v>
      </c>
      <c r="P347" s="5">
        <f>ROUND(Source!DO323,O347)</f>
        <v>0</v>
      </c>
      <c r="Q347" s="5"/>
      <c r="R347" s="5"/>
      <c r="S347" s="5"/>
      <c r="T347" s="5"/>
      <c r="U347" s="5"/>
      <c r="V347" s="5"/>
      <c r="W347" s="5">
        <v>0</v>
      </c>
      <c r="X347" s="5">
        <v>1</v>
      </c>
      <c r="Y347" s="5">
        <v>0</v>
      </c>
      <c r="Z347" s="5">
        <v>0</v>
      </c>
      <c r="AA347" s="5">
        <v>1</v>
      </c>
      <c r="AB347" s="5">
        <v>0</v>
      </c>
    </row>
    <row r="348" spans="1:28" x14ac:dyDescent="0.2">
      <c r="A348" s="5">
        <v>50</v>
      </c>
      <c r="B348" s="5">
        <v>0</v>
      </c>
      <c r="C348" s="5">
        <v>0</v>
      </c>
      <c r="D348" s="5">
        <v>1</v>
      </c>
      <c r="E348" s="5">
        <v>233</v>
      </c>
      <c r="F348" s="5">
        <f>ROUND(Source!BD323,O348)</f>
        <v>0</v>
      </c>
      <c r="G348" s="5" t="s">
        <v>164</v>
      </c>
      <c r="H348" s="5" t="s">
        <v>165</v>
      </c>
      <c r="I348" s="5"/>
      <c r="J348" s="5"/>
      <c r="K348" s="5">
        <v>233</v>
      </c>
      <c r="L348" s="5">
        <v>24</v>
      </c>
      <c r="M348" s="5">
        <v>3</v>
      </c>
      <c r="N348" s="5" t="s">
        <v>3</v>
      </c>
      <c r="O348" s="5">
        <v>2</v>
      </c>
      <c r="P348" s="5">
        <f>ROUND(Source!EV323,O348)</f>
        <v>0</v>
      </c>
      <c r="Q348" s="5"/>
      <c r="R348" s="5"/>
      <c r="S348" s="5"/>
      <c r="T348" s="5"/>
      <c r="U348" s="5"/>
      <c r="V348" s="5"/>
      <c r="W348" s="5">
        <v>0</v>
      </c>
      <c r="X348" s="5">
        <v>1</v>
      </c>
      <c r="Y348" s="5">
        <v>0</v>
      </c>
      <c r="Z348" s="5">
        <v>0</v>
      </c>
      <c r="AA348" s="5">
        <v>1</v>
      </c>
      <c r="AB348" s="5">
        <v>0</v>
      </c>
    </row>
    <row r="349" spans="1:28" x14ac:dyDescent="0.2">
      <c r="A349" s="5">
        <v>50</v>
      </c>
      <c r="B349" s="5">
        <v>0</v>
      </c>
      <c r="C349" s="5">
        <v>0</v>
      </c>
      <c r="D349" s="5">
        <v>1</v>
      </c>
      <c r="E349" s="5">
        <v>210</v>
      </c>
      <c r="F349" s="5">
        <f>ROUND(Source!X323,O349)</f>
        <v>1225.68</v>
      </c>
      <c r="G349" s="5" t="s">
        <v>166</v>
      </c>
      <c r="H349" s="5" t="s">
        <v>167</v>
      </c>
      <c r="I349" s="5"/>
      <c r="J349" s="5"/>
      <c r="K349" s="5">
        <v>210</v>
      </c>
      <c r="L349" s="5">
        <v>25</v>
      </c>
      <c r="M349" s="5">
        <v>3</v>
      </c>
      <c r="N349" s="5" t="s">
        <v>3</v>
      </c>
      <c r="O349" s="5">
        <v>2</v>
      </c>
      <c r="P349" s="5">
        <f>ROUND(Source!DP323,O349)</f>
        <v>67400.31</v>
      </c>
      <c r="Q349" s="5"/>
      <c r="R349" s="5"/>
      <c r="S349" s="5"/>
      <c r="T349" s="5"/>
      <c r="U349" s="5"/>
      <c r="V349" s="5"/>
      <c r="W349" s="5">
        <v>1225.68</v>
      </c>
      <c r="X349" s="5">
        <v>1</v>
      </c>
      <c r="Y349" s="5">
        <v>1225.68</v>
      </c>
      <c r="Z349" s="5">
        <v>67400.31</v>
      </c>
      <c r="AA349" s="5">
        <v>1</v>
      </c>
      <c r="AB349" s="5">
        <v>67400.31</v>
      </c>
    </row>
    <row r="350" spans="1:28" x14ac:dyDescent="0.2">
      <c r="A350" s="5">
        <v>50</v>
      </c>
      <c r="B350" s="5">
        <v>0</v>
      </c>
      <c r="C350" s="5">
        <v>0</v>
      </c>
      <c r="D350" s="5">
        <v>1</v>
      </c>
      <c r="E350" s="5">
        <v>211</v>
      </c>
      <c r="F350" s="5">
        <f>ROUND(Source!Y323,O350)</f>
        <v>626.46</v>
      </c>
      <c r="G350" s="5" t="s">
        <v>168</v>
      </c>
      <c r="H350" s="5" t="s">
        <v>169</v>
      </c>
      <c r="I350" s="5"/>
      <c r="J350" s="5"/>
      <c r="K350" s="5">
        <v>211</v>
      </c>
      <c r="L350" s="5">
        <v>26</v>
      </c>
      <c r="M350" s="5">
        <v>3</v>
      </c>
      <c r="N350" s="5" t="s">
        <v>3</v>
      </c>
      <c r="O350" s="5">
        <v>2</v>
      </c>
      <c r="P350" s="5">
        <f>ROUND(Source!DQ323,O350)</f>
        <v>34449.040000000001</v>
      </c>
      <c r="Q350" s="5"/>
      <c r="R350" s="5"/>
      <c r="S350" s="5"/>
      <c r="T350" s="5"/>
      <c r="U350" s="5"/>
      <c r="V350" s="5"/>
      <c r="W350" s="5">
        <v>626.46</v>
      </c>
      <c r="X350" s="5">
        <v>1</v>
      </c>
      <c r="Y350" s="5">
        <v>626.46</v>
      </c>
      <c r="Z350" s="5">
        <v>34449.040000000001</v>
      </c>
      <c r="AA350" s="5">
        <v>1</v>
      </c>
      <c r="AB350" s="5">
        <v>34449.040000000001</v>
      </c>
    </row>
    <row r="351" spans="1:28" x14ac:dyDescent="0.2">
      <c r="A351" s="5">
        <v>50</v>
      </c>
      <c r="B351" s="5">
        <v>0</v>
      </c>
      <c r="C351" s="5">
        <v>0</v>
      </c>
      <c r="D351" s="5">
        <v>1</v>
      </c>
      <c r="E351" s="5">
        <v>224</v>
      </c>
      <c r="F351" s="5">
        <f>ROUND(Source!AR323,O351)</f>
        <v>158510.99</v>
      </c>
      <c r="G351" s="5" t="s">
        <v>170</v>
      </c>
      <c r="H351" s="5" t="s">
        <v>171</v>
      </c>
      <c r="I351" s="5"/>
      <c r="J351" s="5"/>
      <c r="K351" s="5">
        <v>224</v>
      </c>
      <c r="L351" s="5">
        <v>27</v>
      </c>
      <c r="M351" s="5">
        <v>3</v>
      </c>
      <c r="N351" s="5" t="s">
        <v>3</v>
      </c>
      <c r="O351" s="5">
        <v>2</v>
      </c>
      <c r="P351" s="5">
        <f>ROUND(Source!EJ323,O351)</f>
        <v>1370460.82</v>
      </c>
      <c r="Q351" s="5"/>
      <c r="R351" s="5"/>
      <c r="S351" s="5"/>
      <c r="T351" s="5"/>
      <c r="U351" s="5"/>
      <c r="V351" s="5"/>
      <c r="W351" s="5">
        <v>158510.99</v>
      </c>
      <c r="X351" s="5">
        <v>1</v>
      </c>
      <c r="Y351" s="5">
        <v>158510.99</v>
      </c>
      <c r="Z351" s="5">
        <v>1370460.82</v>
      </c>
      <c r="AA351" s="5">
        <v>1</v>
      </c>
      <c r="AB351" s="5">
        <v>1370460.82</v>
      </c>
    </row>
    <row r="353" spans="1:255" x14ac:dyDescent="0.2">
      <c r="A353" s="1">
        <v>4</v>
      </c>
      <c r="B353" s="1">
        <v>1</v>
      </c>
      <c r="C353" s="1"/>
      <c r="D353" s="1">
        <f>ROW(A404)</f>
        <v>404</v>
      </c>
      <c r="E353" s="1"/>
      <c r="F353" s="1" t="s">
        <v>16</v>
      </c>
      <c r="G353" s="1" t="s">
        <v>361</v>
      </c>
      <c r="H353" s="1" t="s">
        <v>3</v>
      </c>
      <c r="I353" s="1">
        <v>0</v>
      </c>
      <c r="J353" s="1"/>
      <c r="K353" s="1">
        <v>0</v>
      </c>
      <c r="L353" s="1"/>
      <c r="M353" s="1" t="s">
        <v>3</v>
      </c>
      <c r="N353" s="1"/>
      <c r="O353" s="1"/>
      <c r="P353" s="1"/>
      <c r="Q353" s="1"/>
      <c r="R353" s="1"/>
      <c r="S353" s="1">
        <v>0</v>
      </c>
      <c r="T353" s="1">
        <v>0</v>
      </c>
      <c r="U353" s="1" t="s">
        <v>3</v>
      </c>
      <c r="V353" s="1">
        <v>2</v>
      </c>
      <c r="W353" s="1"/>
      <c r="X353" s="1"/>
      <c r="Y353" s="1"/>
      <c r="Z353" s="1"/>
      <c r="AA353" s="1"/>
      <c r="AB353" s="1" t="s">
        <v>3</v>
      </c>
      <c r="AC353" s="1" t="s">
        <v>3</v>
      </c>
      <c r="AD353" s="1" t="s">
        <v>3</v>
      </c>
      <c r="AE353" s="1" t="s">
        <v>3</v>
      </c>
      <c r="AF353" s="1" t="s">
        <v>3</v>
      </c>
      <c r="AG353" s="1" t="s">
        <v>3</v>
      </c>
      <c r="AH353" s="1"/>
      <c r="AI353" s="1"/>
      <c r="AJ353" s="1"/>
      <c r="AK353" s="1"/>
      <c r="AL353" s="1"/>
      <c r="AM353" s="1"/>
      <c r="AN353" s="1"/>
      <c r="AO353" s="1"/>
      <c r="AP353" s="1" t="s">
        <v>3</v>
      </c>
      <c r="AQ353" s="1" t="s">
        <v>3</v>
      </c>
      <c r="AR353" s="1" t="s">
        <v>3</v>
      </c>
      <c r="AS353" s="1"/>
      <c r="AT353" s="1"/>
      <c r="AU353" s="1"/>
      <c r="AV353" s="1"/>
      <c r="AW353" s="1"/>
      <c r="AX353" s="1"/>
      <c r="AY353" s="1"/>
      <c r="AZ353" s="1" t="s">
        <v>3</v>
      </c>
      <c r="BA353" s="1"/>
      <c r="BB353" s="1" t="s">
        <v>3</v>
      </c>
      <c r="BC353" s="1" t="s">
        <v>3</v>
      </c>
      <c r="BD353" s="1" t="s">
        <v>3</v>
      </c>
      <c r="BE353" s="1" t="s">
        <v>3</v>
      </c>
      <c r="BF353" s="1" t="s">
        <v>3</v>
      </c>
      <c r="BG353" s="1" t="s">
        <v>3</v>
      </c>
      <c r="BH353" s="1" t="s">
        <v>3</v>
      </c>
      <c r="BI353" s="1" t="s">
        <v>3</v>
      </c>
      <c r="BJ353" s="1" t="s">
        <v>3</v>
      </c>
      <c r="BK353" s="1" t="s">
        <v>3</v>
      </c>
      <c r="BL353" s="1" t="s">
        <v>3</v>
      </c>
      <c r="BM353" s="1" t="s">
        <v>3</v>
      </c>
      <c r="BN353" s="1" t="s">
        <v>3</v>
      </c>
      <c r="BO353" s="1" t="s">
        <v>3</v>
      </c>
      <c r="BP353" s="1" t="s">
        <v>3</v>
      </c>
      <c r="BQ353" s="1"/>
      <c r="BR353" s="1"/>
      <c r="BS353" s="1"/>
      <c r="BT353" s="1"/>
      <c r="BU353" s="1"/>
      <c r="BV353" s="1"/>
      <c r="BW353" s="1"/>
      <c r="BX353" s="1">
        <v>0</v>
      </c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>
        <v>0</v>
      </c>
    </row>
    <row r="355" spans="1:255" x14ac:dyDescent="0.2">
      <c r="A355" s="3">
        <v>52</v>
      </c>
      <c r="B355" s="3">
        <f t="shared" ref="B355:G355" si="279">B404</f>
        <v>1</v>
      </c>
      <c r="C355" s="3">
        <f t="shared" si="279"/>
        <v>4</v>
      </c>
      <c r="D355" s="3">
        <f t="shared" si="279"/>
        <v>353</v>
      </c>
      <c r="E355" s="3">
        <f t="shared" si="279"/>
        <v>0</v>
      </c>
      <c r="F355" s="3" t="str">
        <f t="shared" si="279"/>
        <v>Новый раздел</v>
      </c>
      <c r="G355" s="3" t="str">
        <f t="shared" si="279"/>
        <v>Аппаратура в щитах автоматизации</v>
      </c>
      <c r="H355" s="3"/>
      <c r="I355" s="3"/>
      <c r="J355" s="3"/>
      <c r="K355" s="3"/>
      <c r="L355" s="3"/>
      <c r="M355" s="3"/>
      <c r="N355" s="3"/>
      <c r="O355" s="3">
        <f t="shared" ref="O355:AT355" si="280">O404</f>
        <v>1273286.44</v>
      </c>
      <c r="P355" s="3">
        <f t="shared" si="280"/>
        <v>1257898.1200000001</v>
      </c>
      <c r="Q355" s="3">
        <f t="shared" si="280"/>
        <v>1597.35</v>
      </c>
      <c r="R355" s="3">
        <f t="shared" si="280"/>
        <v>245.6</v>
      </c>
      <c r="S355" s="3">
        <f t="shared" si="280"/>
        <v>13790.97</v>
      </c>
      <c r="T355" s="3">
        <f t="shared" si="280"/>
        <v>0</v>
      </c>
      <c r="U355" s="3">
        <f t="shared" si="280"/>
        <v>1117.2699284999999</v>
      </c>
      <c r="V355" s="3">
        <f t="shared" si="280"/>
        <v>0</v>
      </c>
      <c r="W355" s="3">
        <f t="shared" si="280"/>
        <v>0</v>
      </c>
      <c r="X355" s="3">
        <f t="shared" si="280"/>
        <v>13276.67</v>
      </c>
      <c r="Y355" s="3">
        <f t="shared" si="280"/>
        <v>6916.66</v>
      </c>
      <c r="Z355" s="3">
        <f t="shared" si="280"/>
        <v>0</v>
      </c>
      <c r="AA355" s="3">
        <f t="shared" si="280"/>
        <v>0</v>
      </c>
      <c r="AB355" s="3">
        <f t="shared" si="280"/>
        <v>1273286.44</v>
      </c>
      <c r="AC355" s="3">
        <f t="shared" si="280"/>
        <v>1257898.1200000001</v>
      </c>
      <c r="AD355" s="3">
        <f t="shared" si="280"/>
        <v>1597.35</v>
      </c>
      <c r="AE355" s="3">
        <f t="shared" si="280"/>
        <v>245.6</v>
      </c>
      <c r="AF355" s="3">
        <f t="shared" si="280"/>
        <v>13790.97</v>
      </c>
      <c r="AG355" s="3">
        <f t="shared" si="280"/>
        <v>0</v>
      </c>
      <c r="AH355" s="3">
        <f t="shared" si="280"/>
        <v>1117.2699284999999</v>
      </c>
      <c r="AI355" s="3">
        <f t="shared" si="280"/>
        <v>0</v>
      </c>
      <c r="AJ355" s="3">
        <f t="shared" si="280"/>
        <v>0</v>
      </c>
      <c r="AK355" s="3">
        <f t="shared" si="280"/>
        <v>13276.67</v>
      </c>
      <c r="AL355" s="3">
        <f t="shared" si="280"/>
        <v>6916.66</v>
      </c>
      <c r="AM355" s="3">
        <f t="shared" si="280"/>
        <v>0</v>
      </c>
      <c r="AN355" s="3">
        <f t="shared" si="280"/>
        <v>0</v>
      </c>
      <c r="AO355" s="3">
        <f t="shared" si="280"/>
        <v>0</v>
      </c>
      <c r="AP355" s="3">
        <f t="shared" si="280"/>
        <v>1213063.32</v>
      </c>
      <c r="AQ355" s="3">
        <f t="shared" si="280"/>
        <v>0</v>
      </c>
      <c r="AR355" s="3">
        <f t="shared" si="280"/>
        <v>1293479.77</v>
      </c>
      <c r="AS355" s="3">
        <f t="shared" si="280"/>
        <v>0</v>
      </c>
      <c r="AT355" s="3">
        <f t="shared" si="280"/>
        <v>80416.45</v>
      </c>
      <c r="AU355" s="3">
        <f t="shared" ref="AU355:BZ355" si="281">AU404</f>
        <v>0</v>
      </c>
      <c r="AV355" s="3">
        <f t="shared" si="281"/>
        <v>1257898.1200000001</v>
      </c>
      <c r="AW355" s="3">
        <f t="shared" si="281"/>
        <v>44834.8</v>
      </c>
      <c r="AX355" s="3">
        <f t="shared" si="281"/>
        <v>0</v>
      </c>
      <c r="AY355" s="3">
        <f t="shared" si="281"/>
        <v>44834.8</v>
      </c>
      <c r="AZ355" s="3">
        <f t="shared" si="281"/>
        <v>1213063.32</v>
      </c>
      <c r="BA355" s="3">
        <f t="shared" si="281"/>
        <v>0</v>
      </c>
      <c r="BB355" s="3">
        <f t="shared" si="281"/>
        <v>0</v>
      </c>
      <c r="BC355" s="3">
        <f t="shared" si="281"/>
        <v>0</v>
      </c>
      <c r="BD355" s="3">
        <f t="shared" si="281"/>
        <v>0</v>
      </c>
      <c r="BE355" s="3">
        <f t="shared" si="281"/>
        <v>0</v>
      </c>
      <c r="BF355" s="3">
        <f t="shared" si="281"/>
        <v>0</v>
      </c>
      <c r="BG355" s="3">
        <f t="shared" si="281"/>
        <v>0</v>
      </c>
      <c r="BH355" s="3">
        <f t="shared" si="281"/>
        <v>0</v>
      </c>
      <c r="BI355" s="3">
        <f t="shared" si="281"/>
        <v>0</v>
      </c>
      <c r="BJ355" s="3">
        <f t="shared" si="281"/>
        <v>0</v>
      </c>
      <c r="BK355" s="3">
        <f t="shared" si="281"/>
        <v>0</v>
      </c>
      <c r="BL355" s="3">
        <f t="shared" si="281"/>
        <v>0</v>
      </c>
      <c r="BM355" s="3">
        <f t="shared" si="281"/>
        <v>0</v>
      </c>
      <c r="BN355" s="3">
        <f t="shared" si="281"/>
        <v>0</v>
      </c>
      <c r="BO355" s="3">
        <f t="shared" si="281"/>
        <v>0</v>
      </c>
      <c r="BP355" s="3">
        <f t="shared" si="281"/>
        <v>0</v>
      </c>
      <c r="BQ355" s="3">
        <f t="shared" si="281"/>
        <v>0</v>
      </c>
      <c r="BR355" s="3">
        <f t="shared" si="281"/>
        <v>0</v>
      </c>
      <c r="BS355" s="3">
        <f t="shared" si="281"/>
        <v>0</v>
      </c>
      <c r="BT355" s="3">
        <f t="shared" si="281"/>
        <v>0</v>
      </c>
      <c r="BU355" s="3">
        <f t="shared" si="281"/>
        <v>0</v>
      </c>
      <c r="BV355" s="3">
        <f t="shared" si="281"/>
        <v>0</v>
      </c>
      <c r="BW355" s="3">
        <f t="shared" si="281"/>
        <v>0</v>
      </c>
      <c r="BX355" s="3">
        <f t="shared" si="281"/>
        <v>0</v>
      </c>
      <c r="BY355" s="3">
        <f t="shared" si="281"/>
        <v>1213063.32</v>
      </c>
      <c r="BZ355" s="3">
        <f t="shared" si="281"/>
        <v>0</v>
      </c>
      <c r="CA355" s="3">
        <f t="shared" ref="CA355:DF355" si="282">CA404</f>
        <v>1293479.77</v>
      </c>
      <c r="CB355" s="3">
        <f t="shared" si="282"/>
        <v>0</v>
      </c>
      <c r="CC355" s="3">
        <f t="shared" si="282"/>
        <v>80416.45</v>
      </c>
      <c r="CD355" s="3">
        <f t="shared" si="282"/>
        <v>0</v>
      </c>
      <c r="CE355" s="3">
        <f t="shared" si="282"/>
        <v>1257898.1200000001</v>
      </c>
      <c r="CF355" s="3">
        <f t="shared" si="282"/>
        <v>44834.800000000047</v>
      </c>
      <c r="CG355" s="3">
        <f t="shared" si="282"/>
        <v>0</v>
      </c>
      <c r="CH355" s="3">
        <f t="shared" si="282"/>
        <v>44834.800000000047</v>
      </c>
      <c r="CI355" s="3">
        <f t="shared" si="282"/>
        <v>1213063.32</v>
      </c>
      <c r="CJ355" s="3">
        <f t="shared" si="282"/>
        <v>0</v>
      </c>
      <c r="CK355" s="3">
        <f t="shared" si="282"/>
        <v>0</v>
      </c>
      <c r="CL355" s="3">
        <f t="shared" si="282"/>
        <v>0</v>
      </c>
      <c r="CM355" s="3">
        <f t="shared" si="282"/>
        <v>0</v>
      </c>
      <c r="CN355" s="3">
        <f t="shared" si="282"/>
        <v>0</v>
      </c>
      <c r="CO355" s="3">
        <f t="shared" si="282"/>
        <v>0</v>
      </c>
      <c r="CP355" s="3">
        <f t="shared" si="282"/>
        <v>0</v>
      </c>
      <c r="CQ355" s="3">
        <f t="shared" si="282"/>
        <v>0</v>
      </c>
      <c r="CR355" s="3">
        <f t="shared" si="282"/>
        <v>0</v>
      </c>
      <c r="CS355" s="3">
        <f t="shared" si="282"/>
        <v>0</v>
      </c>
      <c r="CT355" s="3">
        <f t="shared" si="282"/>
        <v>0</v>
      </c>
      <c r="CU355" s="3">
        <f t="shared" si="282"/>
        <v>0</v>
      </c>
      <c r="CV355" s="3">
        <f t="shared" si="282"/>
        <v>0</v>
      </c>
      <c r="CW355" s="3">
        <f t="shared" si="282"/>
        <v>0</v>
      </c>
      <c r="CX355" s="3">
        <f t="shared" si="282"/>
        <v>0</v>
      </c>
      <c r="CY355" s="3">
        <f t="shared" si="282"/>
        <v>0</v>
      </c>
      <c r="CZ355" s="3">
        <f t="shared" si="282"/>
        <v>0</v>
      </c>
      <c r="DA355" s="3">
        <f t="shared" si="282"/>
        <v>0</v>
      </c>
      <c r="DB355" s="3">
        <f t="shared" si="282"/>
        <v>0</v>
      </c>
      <c r="DC355" s="3">
        <f t="shared" si="282"/>
        <v>0</v>
      </c>
      <c r="DD355" s="3">
        <f t="shared" si="282"/>
        <v>0</v>
      </c>
      <c r="DE355" s="3">
        <f t="shared" si="282"/>
        <v>0</v>
      </c>
      <c r="DF355" s="3">
        <f t="shared" si="282"/>
        <v>0</v>
      </c>
      <c r="DG355" s="4">
        <f t="shared" ref="DG355:EL355" si="283">DG404</f>
        <v>10415920</v>
      </c>
      <c r="DH355" s="4">
        <f t="shared" si="283"/>
        <v>9630518.5500000007</v>
      </c>
      <c r="DI355" s="4">
        <f t="shared" si="283"/>
        <v>27036.01</v>
      </c>
      <c r="DJ355" s="4">
        <f t="shared" si="283"/>
        <v>13505.54</v>
      </c>
      <c r="DK355" s="4">
        <f t="shared" si="283"/>
        <v>758365.44</v>
      </c>
      <c r="DL355" s="4">
        <f t="shared" si="283"/>
        <v>0</v>
      </c>
      <c r="DM355" s="4">
        <f t="shared" si="283"/>
        <v>1117.2699284999999</v>
      </c>
      <c r="DN355" s="4">
        <f t="shared" si="283"/>
        <v>0</v>
      </c>
      <c r="DO355" s="4">
        <f t="shared" si="283"/>
        <v>0</v>
      </c>
      <c r="DP355" s="4">
        <f t="shared" si="283"/>
        <v>730084.36</v>
      </c>
      <c r="DQ355" s="4">
        <f t="shared" si="283"/>
        <v>380346.7</v>
      </c>
      <c r="DR355" s="4">
        <f t="shared" si="283"/>
        <v>0</v>
      </c>
      <c r="DS355" s="4">
        <f t="shared" si="283"/>
        <v>0</v>
      </c>
      <c r="DT355" s="4">
        <f t="shared" si="283"/>
        <v>10415920</v>
      </c>
      <c r="DU355" s="4">
        <f t="shared" si="283"/>
        <v>9630518.5500000007</v>
      </c>
      <c r="DV355" s="4">
        <f t="shared" si="283"/>
        <v>27036.01</v>
      </c>
      <c r="DW355" s="4">
        <f t="shared" si="283"/>
        <v>13505.54</v>
      </c>
      <c r="DX355" s="4">
        <f t="shared" si="283"/>
        <v>758365.44</v>
      </c>
      <c r="DY355" s="4">
        <f t="shared" si="283"/>
        <v>0</v>
      </c>
      <c r="DZ355" s="4">
        <f t="shared" si="283"/>
        <v>1117.2699284999999</v>
      </c>
      <c r="EA355" s="4">
        <f t="shared" si="283"/>
        <v>0</v>
      </c>
      <c r="EB355" s="4">
        <f t="shared" si="283"/>
        <v>0</v>
      </c>
      <c r="EC355" s="4">
        <f t="shared" si="283"/>
        <v>730084.36</v>
      </c>
      <c r="ED355" s="4">
        <f t="shared" si="283"/>
        <v>380346.7</v>
      </c>
      <c r="EE355" s="4">
        <f t="shared" si="283"/>
        <v>0</v>
      </c>
      <c r="EF355" s="4">
        <f t="shared" si="283"/>
        <v>0</v>
      </c>
      <c r="EG355" s="4">
        <f t="shared" si="283"/>
        <v>0</v>
      </c>
      <c r="EH355" s="4">
        <f t="shared" si="283"/>
        <v>9292065.0199999996</v>
      </c>
      <c r="EI355" s="4">
        <f t="shared" si="283"/>
        <v>0</v>
      </c>
      <c r="EJ355" s="4">
        <f t="shared" si="283"/>
        <v>11526351.060000001</v>
      </c>
      <c r="EK355" s="4">
        <f t="shared" si="283"/>
        <v>0</v>
      </c>
      <c r="EL355" s="4">
        <f t="shared" si="283"/>
        <v>2234286.04</v>
      </c>
      <c r="EM355" s="4">
        <f t="shared" ref="EM355:FR355" si="284">EM404</f>
        <v>0</v>
      </c>
      <c r="EN355" s="4">
        <f t="shared" si="284"/>
        <v>9630518.5500000007</v>
      </c>
      <c r="EO355" s="4">
        <f t="shared" si="284"/>
        <v>338453.53</v>
      </c>
      <c r="EP355" s="4">
        <f t="shared" si="284"/>
        <v>0</v>
      </c>
      <c r="EQ355" s="4">
        <f t="shared" si="284"/>
        <v>338453.53</v>
      </c>
      <c r="ER355" s="4">
        <f t="shared" si="284"/>
        <v>9292065.0199999996</v>
      </c>
      <c r="ES355" s="4">
        <f t="shared" si="284"/>
        <v>0</v>
      </c>
      <c r="ET355" s="4">
        <f t="shared" si="284"/>
        <v>0</v>
      </c>
      <c r="EU355" s="4">
        <f t="shared" si="284"/>
        <v>0</v>
      </c>
      <c r="EV355" s="4">
        <f t="shared" si="284"/>
        <v>0</v>
      </c>
      <c r="EW355" s="4">
        <f t="shared" si="284"/>
        <v>0</v>
      </c>
      <c r="EX355" s="4">
        <f t="shared" si="284"/>
        <v>0</v>
      </c>
      <c r="EY355" s="4">
        <f t="shared" si="284"/>
        <v>0</v>
      </c>
      <c r="EZ355" s="4">
        <f t="shared" si="284"/>
        <v>0</v>
      </c>
      <c r="FA355" s="4">
        <f t="shared" si="284"/>
        <v>0</v>
      </c>
      <c r="FB355" s="4">
        <f t="shared" si="284"/>
        <v>0</v>
      </c>
      <c r="FC355" s="4">
        <f t="shared" si="284"/>
        <v>0</v>
      </c>
      <c r="FD355" s="4">
        <f t="shared" si="284"/>
        <v>0</v>
      </c>
      <c r="FE355" s="4">
        <f t="shared" si="284"/>
        <v>0</v>
      </c>
      <c r="FF355" s="4">
        <f t="shared" si="284"/>
        <v>0</v>
      </c>
      <c r="FG355" s="4">
        <f t="shared" si="284"/>
        <v>0</v>
      </c>
      <c r="FH355" s="4">
        <f t="shared" si="284"/>
        <v>0</v>
      </c>
      <c r="FI355" s="4">
        <f t="shared" si="284"/>
        <v>0</v>
      </c>
      <c r="FJ355" s="4">
        <f t="shared" si="284"/>
        <v>0</v>
      </c>
      <c r="FK355" s="4">
        <f t="shared" si="284"/>
        <v>0</v>
      </c>
      <c r="FL355" s="4">
        <f t="shared" si="284"/>
        <v>0</v>
      </c>
      <c r="FM355" s="4">
        <f t="shared" si="284"/>
        <v>0</v>
      </c>
      <c r="FN355" s="4">
        <f t="shared" si="284"/>
        <v>0</v>
      </c>
      <c r="FO355" s="4">
        <f t="shared" si="284"/>
        <v>0</v>
      </c>
      <c r="FP355" s="4">
        <f t="shared" si="284"/>
        <v>0</v>
      </c>
      <c r="FQ355" s="4">
        <f t="shared" si="284"/>
        <v>9292065.0199999996</v>
      </c>
      <c r="FR355" s="4">
        <f t="shared" si="284"/>
        <v>0</v>
      </c>
      <c r="FS355" s="4">
        <f t="shared" ref="FS355:GX355" si="285">FS404</f>
        <v>11526351.060000001</v>
      </c>
      <c r="FT355" s="4">
        <f t="shared" si="285"/>
        <v>0</v>
      </c>
      <c r="FU355" s="4">
        <f t="shared" si="285"/>
        <v>2234286.04</v>
      </c>
      <c r="FV355" s="4">
        <f t="shared" si="285"/>
        <v>0</v>
      </c>
      <c r="FW355" s="4">
        <f t="shared" si="285"/>
        <v>9630518.5500000007</v>
      </c>
      <c r="FX355" s="4">
        <f t="shared" si="285"/>
        <v>338453.53000000119</v>
      </c>
      <c r="FY355" s="4">
        <f t="shared" si="285"/>
        <v>0</v>
      </c>
      <c r="FZ355" s="4">
        <f t="shared" si="285"/>
        <v>338453.53000000119</v>
      </c>
      <c r="GA355" s="4">
        <f t="shared" si="285"/>
        <v>9292065.0199999996</v>
      </c>
      <c r="GB355" s="4">
        <f t="shared" si="285"/>
        <v>0</v>
      </c>
      <c r="GC355" s="4">
        <f t="shared" si="285"/>
        <v>0</v>
      </c>
      <c r="GD355" s="4">
        <f t="shared" si="285"/>
        <v>0</v>
      </c>
      <c r="GE355" s="4">
        <f t="shared" si="285"/>
        <v>0</v>
      </c>
      <c r="GF355" s="4">
        <f t="shared" si="285"/>
        <v>0</v>
      </c>
      <c r="GG355" s="4">
        <f t="shared" si="285"/>
        <v>0</v>
      </c>
      <c r="GH355" s="4">
        <f t="shared" si="285"/>
        <v>0</v>
      </c>
      <c r="GI355" s="4">
        <f t="shared" si="285"/>
        <v>0</v>
      </c>
      <c r="GJ355" s="4">
        <f t="shared" si="285"/>
        <v>0</v>
      </c>
      <c r="GK355" s="4">
        <f t="shared" si="285"/>
        <v>0</v>
      </c>
      <c r="GL355" s="4">
        <f t="shared" si="285"/>
        <v>0</v>
      </c>
      <c r="GM355" s="4">
        <f t="shared" si="285"/>
        <v>0</v>
      </c>
      <c r="GN355" s="4">
        <f t="shared" si="285"/>
        <v>0</v>
      </c>
      <c r="GO355" s="4">
        <f t="shared" si="285"/>
        <v>0</v>
      </c>
      <c r="GP355" s="4">
        <f t="shared" si="285"/>
        <v>0</v>
      </c>
      <c r="GQ355" s="4">
        <f t="shared" si="285"/>
        <v>0</v>
      </c>
      <c r="GR355" s="4">
        <f t="shared" si="285"/>
        <v>0</v>
      </c>
      <c r="GS355" s="4">
        <f t="shared" si="285"/>
        <v>0</v>
      </c>
      <c r="GT355" s="4">
        <f t="shared" si="285"/>
        <v>0</v>
      </c>
      <c r="GU355" s="4">
        <f t="shared" si="285"/>
        <v>0</v>
      </c>
      <c r="GV355" s="4">
        <f t="shared" si="285"/>
        <v>0</v>
      </c>
      <c r="GW355" s="4">
        <f t="shared" si="285"/>
        <v>0</v>
      </c>
      <c r="GX355" s="4">
        <f t="shared" si="285"/>
        <v>0</v>
      </c>
    </row>
    <row r="357" spans="1:255" x14ac:dyDescent="0.2">
      <c r="A357" s="2">
        <v>17</v>
      </c>
      <c r="B357" s="2">
        <v>1</v>
      </c>
      <c r="C357" s="2">
        <f>ROW(SmtRes!A253)</f>
        <v>253</v>
      </c>
      <c r="D357" s="2">
        <f>ROW(EtalonRes!A302)</f>
        <v>302</v>
      </c>
      <c r="E357" s="2" t="s">
        <v>362</v>
      </c>
      <c r="F357" s="2" t="s">
        <v>363</v>
      </c>
      <c r="G357" s="2" t="s">
        <v>364</v>
      </c>
      <c r="H357" s="2" t="s">
        <v>21</v>
      </c>
      <c r="I357" s="2">
        <f>ROUND(3+12+35+1+2+2+8,9)</f>
        <v>63</v>
      </c>
      <c r="J357" s="2">
        <v>0</v>
      </c>
      <c r="K357" s="2">
        <f>ROUND(3+12+35+1+2+2+8,9)</f>
        <v>63</v>
      </c>
      <c r="L357" s="2"/>
      <c r="M357" s="2"/>
      <c r="N357" s="2"/>
      <c r="O357" s="2">
        <f t="shared" ref="O357:O402" si="286">ROUND(CP357,2)</f>
        <v>10277.69</v>
      </c>
      <c r="P357" s="2">
        <f>ROUND((ROUND((AC357*AW357*I357),2)*BC357),2)</f>
        <v>5629.68</v>
      </c>
      <c r="Q357" s="2">
        <f>(ROUND((ROUND((((ET357*1.1))*AV357*I357),2)*BB357),2)+ROUND((ROUND(((AE357-((EU357*1.1)))*AV357*I357),2)*BS357),2))</f>
        <v>309.82</v>
      </c>
      <c r="R357" s="2">
        <f t="shared" ref="R357:R402" si="287">ROUND((ROUND((AE357*AV357*I357),2)*BS357),2)</f>
        <v>27.57</v>
      </c>
      <c r="S357" s="2">
        <f t="shared" ref="S357:S402" si="288">ROUND((ROUND((AF357*AV357*I357),2)*BA357),2)</f>
        <v>4338.1899999999996</v>
      </c>
      <c r="T357" s="2">
        <f t="shared" ref="T357:T402" si="289">ROUND(CU357*I357,2)</f>
        <v>0</v>
      </c>
      <c r="U357" s="2">
        <f t="shared" ref="U357:U402" si="290">CV357*I357</f>
        <v>373.66906499999999</v>
      </c>
      <c r="V357" s="2">
        <f t="shared" ref="V357:V402" si="291">CW357*I357</f>
        <v>0</v>
      </c>
      <c r="W357" s="2">
        <f t="shared" ref="W357:W402" si="292">ROUND(CX357*I357,2)</f>
        <v>0</v>
      </c>
      <c r="X357" s="2">
        <f t="shared" ref="X357:X402" si="293">ROUND(CY357,2)</f>
        <v>3929.18</v>
      </c>
      <c r="Y357" s="2">
        <f t="shared" ref="Y357:Y402" si="294">ROUND(CZ357,2)</f>
        <v>2008.25</v>
      </c>
      <c r="Z357" s="2"/>
      <c r="AA357" s="2">
        <v>56959434</v>
      </c>
      <c r="AB357" s="2">
        <f t="shared" ref="AB357:AB402" si="295">ROUND((AC357+AD357+AF357),6)</f>
        <v>159.82599999999999</v>
      </c>
      <c r="AC357" s="2">
        <f t="shared" ref="AC357:AC402" si="296">ROUND((ES357),6)</f>
        <v>89.36</v>
      </c>
      <c r="AD357" s="2">
        <f>ROUND(((((ET357*1.1))-((EU357*1.1)))+AE357),6)</f>
        <v>4.6970000000000001</v>
      </c>
      <c r="AE357" s="2">
        <f>ROUND(((EU357*1.1)),6)</f>
        <v>0.41799999999999998</v>
      </c>
      <c r="AF357" s="2">
        <f>ROUND(((EV357*1.1)),6)</f>
        <v>65.769000000000005</v>
      </c>
      <c r="AG357" s="2">
        <f t="shared" ref="AG357:AG402" si="297">ROUND((AP357),6)</f>
        <v>0</v>
      </c>
      <c r="AH357" s="2">
        <f>((EW357*1.1))</f>
        <v>5.6650000000000009</v>
      </c>
      <c r="AI357" s="2">
        <f>((EX357*1.1))</f>
        <v>0</v>
      </c>
      <c r="AJ357" s="2">
        <f t="shared" ref="AJ357:AJ402" si="298">(AS357)</f>
        <v>0</v>
      </c>
      <c r="AK357" s="2">
        <v>153.41999999999999</v>
      </c>
      <c r="AL357" s="2">
        <v>89.36</v>
      </c>
      <c r="AM357" s="2">
        <v>4.2699999999999996</v>
      </c>
      <c r="AN357" s="2">
        <v>0.38</v>
      </c>
      <c r="AO357" s="2">
        <v>59.79</v>
      </c>
      <c r="AP357" s="2">
        <v>0</v>
      </c>
      <c r="AQ357" s="2">
        <v>5.15</v>
      </c>
      <c r="AR357" s="2">
        <v>0</v>
      </c>
      <c r="AS357" s="2">
        <v>0</v>
      </c>
      <c r="AT357" s="2">
        <v>90</v>
      </c>
      <c r="AU357" s="2">
        <v>46</v>
      </c>
      <c r="AV357" s="2">
        <v>1.0469999999999999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0</v>
      </c>
      <c r="BI357" s="2">
        <v>2</v>
      </c>
      <c r="BJ357" s="2" t="s">
        <v>365</v>
      </c>
      <c r="BK357" s="2"/>
      <c r="BL357" s="2"/>
      <c r="BM357" s="2">
        <v>72</v>
      </c>
      <c r="BN357" s="2">
        <v>55992028</v>
      </c>
      <c r="BO357" s="2" t="s">
        <v>363</v>
      </c>
      <c r="BP357" s="2">
        <v>1</v>
      </c>
      <c r="BQ357" s="2">
        <v>40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90</v>
      </c>
      <c r="CA357" s="2">
        <v>46</v>
      </c>
      <c r="CB357" s="2" t="s">
        <v>3</v>
      </c>
      <c r="CC357" s="2"/>
      <c r="CD357" s="2"/>
      <c r="CE357" s="2">
        <v>30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673</v>
      </c>
      <c r="CO357" s="2">
        <v>0</v>
      </c>
      <c r="CP357" s="2">
        <f t="shared" ref="CP357:CP402" si="299">(P357+Q357+S357)</f>
        <v>10277.689999999999</v>
      </c>
      <c r="CQ357" s="2">
        <f>ROUND((ROUND((AC357*AW357*1),2)*BC357),2)</f>
        <v>89.36</v>
      </c>
      <c r="CR357" s="2">
        <f>(ROUND((ROUND((((ET357*1.1))*AV357*1),2)*BB357),2)+ROUND((ROUND(((AE357-((EU357*1.1)))*AV357*1),2)*BS357),2))</f>
        <v>4.92</v>
      </c>
      <c r="CS357" s="2">
        <f t="shared" ref="CS357:CS402" si="300">ROUND((ROUND((AE357*AV357*1),2)*BS357),2)</f>
        <v>0.44</v>
      </c>
      <c r="CT357" s="2">
        <f t="shared" ref="CT357:CT402" si="301">ROUND((ROUND((AF357*AV357*1),2)*BA357),2)</f>
        <v>68.86</v>
      </c>
      <c r="CU357" s="2">
        <f t="shared" ref="CU357:CU402" si="302">AG357</f>
        <v>0</v>
      </c>
      <c r="CV357" s="2">
        <f t="shared" ref="CV357:CV402" si="303">(AH357*AV357)</f>
        <v>5.9312550000000002</v>
      </c>
      <c r="CW357" s="2">
        <f t="shared" ref="CW357:CW402" si="304">AI357</f>
        <v>0</v>
      </c>
      <c r="CX357" s="2">
        <f t="shared" ref="CX357:CX402" si="305">AJ357</f>
        <v>0</v>
      </c>
      <c r="CY357" s="2">
        <f t="shared" ref="CY357:CY402" si="306">(((S357+R357)*AT357)/100)</f>
        <v>3929.1839999999997</v>
      </c>
      <c r="CZ357" s="2">
        <f t="shared" ref="CZ357:CZ402" si="307">(((S357+R357)*AU357)/100)</f>
        <v>2008.2495999999996</v>
      </c>
      <c r="DA357" s="2"/>
      <c r="DB357" s="2"/>
      <c r="DC357" s="2" t="s">
        <v>3</v>
      </c>
      <c r="DD357" s="2" t="s">
        <v>3</v>
      </c>
      <c r="DE357" s="2" t="s">
        <v>23</v>
      </c>
      <c r="DF357" s="2" t="s">
        <v>23</v>
      </c>
      <c r="DG357" s="2" t="s">
        <v>23</v>
      </c>
      <c r="DH357" s="2" t="s">
        <v>3</v>
      </c>
      <c r="DI357" s="2" t="s">
        <v>23</v>
      </c>
      <c r="DJ357" s="2" t="s">
        <v>23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1013</v>
      </c>
      <c r="DV357" s="2" t="s">
        <v>21</v>
      </c>
      <c r="DW357" s="2" t="s">
        <v>21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55992157</v>
      </c>
      <c r="EF357" s="2">
        <v>40</v>
      </c>
      <c r="EG357" s="2" t="s">
        <v>24</v>
      </c>
      <c r="EH357" s="2">
        <v>0</v>
      </c>
      <c r="EI357" s="2" t="s">
        <v>3</v>
      </c>
      <c r="EJ357" s="2">
        <v>2</v>
      </c>
      <c r="EK357" s="2">
        <v>72</v>
      </c>
      <c r="EL357" s="2" t="s">
        <v>25</v>
      </c>
      <c r="EM357" s="2" t="s">
        <v>26</v>
      </c>
      <c r="EN357" s="2"/>
      <c r="EO357" s="2" t="s">
        <v>27</v>
      </c>
      <c r="EP357" s="2"/>
      <c r="EQ357" s="2">
        <v>0</v>
      </c>
      <c r="ER357" s="2">
        <v>153.41999999999999</v>
      </c>
      <c r="ES357" s="2">
        <v>89.36</v>
      </c>
      <c r="ET357" s="2">
        <v>4.2699999999999996</v>
      </c>
      <c r="EU357" s="2">
        <v>0.38</v>
      </c>
      <c r="EV357" s="2">
        <v>59.79</v>
      </c>
      <c r="EW357" s="2">
        <v>5.15</v>
      </c>
      <c r="EX357" s="2">
        <v>0</v>
      </c>
      <c r="EY357" s="2">
        <v>0</v>
      </c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90</v>
      </c>
      <c r="FY357" s="2">
        <v>46</v>
      </c>
      <c r="FZ357" s="2"/>
      <c r="GA357" s="2" t="s">
        <v>3</v>
      </c>
      <c r="GB357" s="2"/>
      <c r="GC357" s="2"/>
      <c r="GD357" s="2">
        <v>1</v>
      </c>
      <c r="GE357" s="2"/>
      <c r="GF357" s="2">
        <v>1767555919</v>
      </c>
      <c r="GG357" s="2">
        <v>2</v>
      </c>
      <c r="GH357" s="2">
        <v>1</v>
      </c>
      <c r="GI357" s="2">
        <v>2</v>
      </c>
      <c r="GJ357" s="2">
        <v>0</v>
      </c>
      <c r="GK357" s="2">
        <v>0</v>
      </c>
      <c r="GL357" s="2">
        <f t="shared" ref="GL357:GL402" si="308">ROUND(IF(AND(BH357=3,BI357=3,FS357&lt;&gt;0),P357,0),2)</f>
        <v>0</v>
      </c>
      <c r="GM357" s="2">
        <f t="shared" ref="GM357:GM402" si="309">ROUND(O357+X357+Y357,2)+GX357</f>
        <v>16215.12</v>
      </c>
      <c r="GN357" s="2">
        <f t="shared" ref="GN357:GN402" si="310">IF(OR(BI357=0,BI357=1),GM357-GX357,0)</f>
        <v>0</v>
      </c>
      <c r="GO357" s="2">
        <f t="shared" ref="GO357:GO402" si="311">IF(BI357=2,GM357-GX357,0)</f>
        <v>16215.12</v>
      </c>
      <c r="GP357" s="2">
        <f t="shared" ref="GP357:GP402" si="312">IF(BI357=4,GM357-GX357,0)</f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ref="GV357:GV402" si="313">ROUND((GT357),6)</f>
        <v>0</v>
      </c>
      <c r="GW357" s="2">
        <v>1</v>
      </c>
      <c r="GX357" s="2">
        <f t="shared" ref="GX357:GX402" si="314">ROUND(HC357*I357,2)</f>
        <v>0</v>
      </c>
      <c r="GY357" s="2"/>
      <c r="GZ357" s="2"/>
      <c r="HA357" s="2">
        <v>0</v>
      </c>
      <c r="HB357" s="2">
        <v>0</v>
      </c>
      <c r="HC357" s="2">
        <f t="shared" ref="HC357:HC402" si="315">GV357*GW357</f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>
        <v>17</v>
      </c>
      <c r="B358">
        <v>1</v>
      </c>
      <c r="C358">
        <f>ROW(SmtRes!A264)</f>
        <v>264</v>
      </c>
      <c r="D358">
        <f>ROW(EtalonRes!A314)</f>
        <v>314</v>
      </c>
      <c r="E358" t="s">
        <v>362</v>
      </c>
      <c r="F358" t="s">
        <v>363</v>
      </c>
      <c r="G358" t="s">
        <v>364</v>
      </c>
      <c r="H358" t="s">
        <v>21</v>
      </c>
      <c r="I358">
        <f>ROUND(3+12+35+1+2+2+8,9)</f>
        <v>63</v>
      </c>
      <c r="J358">
        <v>0</v>
      </c>
      <c r="K358">
        <f>ROUND(3+12+35+1+2+2+8,9)</f>
        <v>63</v>
      </c>
      <c r="O358">
        <f t="shared" si="286"/>
        <v>271521.2</v>
      </c>
      <c r="P358">
        <f>ROUND((ROUND((AC358*AW358*I358),2)*BC358),2)</f>
        <v>28598.77</v>
      </c>
      <c r="Q358">
        <f>(ROUND((ROUND((((ET358*1.1))*AV358*I358),2)*BB358),2)+ROUND((ROUND(((AE358-((EU358*1.1)))*AV358*I358),2)*BS358),2))</f>
        <v>4365.3599999999997</v>
      </c>
      <c r="R358">
        <f t="shared" si="287"/>
        <v>1516.07</v>
      </c>
      <c r="S358">
        <f t="shared" si="288"/>
        <v>238557.07</v>
      </c>
      <c r="T358">
        <f t="shared" si="289"/>
        <v>0</v>
      </c>
      <c r="U358">
        <f t="shared" si="290"/>
        <v>373.66906499999999</v>
      </c>
      <c r="V358">
        <f t="shared" si="291"/>
        <v>0</v>
      </c>
      <c r="W358">
        <f t="shared" si="292"/>
        <v>0</v>
      </c>
      <c r="X358">
        <f t="shared" si="293"/>
        <v>216065.83</v>
      </c>
      <c r="Y358">
        <f t="shared" si="294"/>
        <v>110433.64</v>
      </c>
      <c r="AA358">
        <v>56959431</v>
      </c>
      <c r="AB358">
        <f t="shared" si="295"/>
        <v>159.82599999999999</v>
      </c>
      <c r="AC358">
        <f t="shared" si="296"/>
        <v>89.36</v>
      </c>
      <c r="AD358">
        <f>ROUND(((((ET358*1.1))-((EU358*1.1)))+AE358),6)</f>
        <v>4.6970000000000001</v>
      </c>
      <c r="AE358">
        <f>ROUND(((EU358*1.1)),6)</f>
        <v>0.41799999999999998</v>
      </c>
      <c r="AF358">
        <f>ROUND(((EV358*1.1)),6)</f>
        <v>65.769000000000005</v>
      </c>
      <c r="AG358">
        <f t="shared" si="297"/>
        <v>0</v>
      </c>
      <c r="AH358">
        <f>((EW358*1.1))</f>
        <v>5.6650000000000009</v>
      </c>
      <c r="AI358">
        <f>((EX358*1.1))</f>
        <v>0</v>
      </c>
      <c r="AJ358">
        <f t="shared" si="298"/>
        <v>0</v>
      </c>
      <c r="AK358">
        <v>153.41999999999999</v>
      </c>
      <c r="AL358">
        <v>89.36</v>
      </c>
      <c r="AM358">
        <v>4.2699999999999996</v>
      </c>
      <c r="AN358">
        <v>0.38</v>
      </c>
      <c r="AO358">
        <v>59.79</v>
      </c>
      <c r="AP358">
        <v>0</v>
      </c>
      <c r="AQ358">
        <v>5.15</v>
      </c>
      <c r="AR358">
        <v>0</v>
      </c>
      <c r="AS358">
        <v>0</v>
      </c>
      <c r="AT358">
        <v>90</v>
      </c>
      <c r="AU358">
        <v>46</v>
      </c>
      <c r="AV358">
        <v>1.0469999999999999</v>
      </c>
      <c r="AW358">
        <v>1</v>
      </c>
      <c r="AZ358">
        <v>1</v>
      </c>
      <c r="BA358">
        <v>54.99</v>
      </c>
      <c r="BB358">
        <v>14.09</v>
      </c>
      <c r="BC358">
        <v>5.08</v>
      </c>
      <c r="BD358" t="s">
        <v>3</v>
      </c>
      <c r="BE358" t="s">
        <v>3</v>
      </c>
      <c r="BF358" t="s">
        <v>3</v>
      </c>
      <c r="BG358" t="s">
        <v>3</v>
      </c>
      <c r="BH358">
        <v>0</v>
      </c>
      <c r="BI358">
        <v>2</v>
      </c>
      <c r="BJ358" t="s">
        <v>365</v>
      </c>
      <c r="BM358">
        <v>72</v>
      </c>
      <c r="BN358">
        <v>55992028</v>
      </c>
      <c r="BO358" t="s">
        <v>363</v>
      </c>
      <c r="BP358">
        <v>1</v>
      </c>
      <c r="BQ358">
        <v>40</v>
      </c>
      <c r="BR358">
        <v>0</v>
      </c>
      <c r="BS358">
        <v>54.99</v>
      </c>
      <c r="BT358">
        <v>1</v>
      </c>
      <c r="BU358">
        <v>1</v>
      </c>
      <c r="BV358">
        <v>1</v>
      </c>
      <c r="BW358">
        <v>1</v>
      </c>
      <c r="BX358">
        <v>1</v>
      </c>
      <c r="BY358" t="s">
        <v>3</v>
      </c>
      <c r="BZ358">
        <v>90</v>
      </c>
      <c r="CA358">
        <v>46</v>
      </c>
      <c r="CB358" t="s">
        <v>3</v>
      </c>
      <c r="CE358">
        <v>30</v>
      </c>
      <c r="CF358">
        <v>0</v>
      </c>
      <c r="CG358">
        <v>0</v>
      </c>
      <c r="CM358">
        <v>0</v>
      </c>
      <c r="CN358" t="s">
        <v>673</v>
      </c>
      <c r="CO358">
        <v>0</v>
      </c>
      <c r="CP358">
        <f t="shared" si="299"/>
        <v>271521.2</v>
      </c>
      <c r="CQ358">
        <f>ROUND((ROUND((AC358*AW358*1),2)*BC358),2)</f>
        <v>453.95</v>
      </c>
      <c r="CR358">
        <f>(ROUND((ROUND((((ET358*1.1))*AV358*1),2)*BB358),2)+ROUND((ROUND(((AE358-((EU358*1.1)))*AV358*1),2)*BS358),2))</f>
        <v>69.319999999999993</v>
      </c>
      <c r="CS358">
        <f t="shared" si="300"/>
        <v>24.2</v>
      </c>
      <c r="CT358">
        <f t="shared" si="301"/>
        <v>3786.61</v>
      </c>
      <c r="CU358">
        <f t="shared" si="302"/>
        <v>0</v>
      </c>
      <c r="CV358">
        <f t="shared" si="303"/>
        <v>5.9312550000000002</v>
      </c>
      <c r="CW358">
        <f t="shared" si="304"/>
        <v>0</v>
      </c>
      <c r="CX358">
        <f t="shared" si="305"/>
        <v>0</v>
      </c>
      <c r="CY358">
        <f t="shared" si="306"/>
        <v>216065.826</v>
      </c>
      <c r="CZ358">
        <f t="shared" si="307"/>
        <v>110433.64440000002</v>
      </c>
      <c r="DC358" t="s">
        <v>3</v>
      </c>
      <c r="DD358" t="s">
        <v>3</v>
      </c>
      <c r="DE358" t="s">
        <v>23</v>
      </c>
      <c r="DF358" t="s">
        <v>23</v>
      </c>
      <c r="DG358" t="s">
        <v>23</v>
      </c>
      <c r="DH358" t="s">
        <v>3</v>
      </c>
      <c r="DI358" t="s">
        <v>23</v>
      </c>
      <c r="DJ358" t="s">
        <v>23</v>
      </c>
      <c r="DK358" t="s">
        <v>3</v>
      </c>
      <c r="DL358" t="s">
        <v>3</v>
      </c>
      <c r="DM358" t="s">
        <v>3</v>
      </c>
      <c r="DN358">
        <v>0</v>
      </c>
      <c r="DO358">
        <v>0</v>
      </c>
      <c r="DP358">
        <v>1</v>
      </c>
      <c r="DQ358">
        <v>1</v>
      </c>
      <c r="DU358">
        <v>1013</v>
      </c>
      <c r="DV358" t="s">
        <v>21</v>
      </c>
      <c r="DW358" t="s">
        <v>21</v>
      </c>
      <c r="DX358">
        <v>1</v>
      </c>
      <c r="DZ358" t="s">
        <v>3</v>
      </c>
      <c r="EA358" t="s">
        <v>3</v>
      </c>
      <c r="EB358" t="s">
        <v>3</v>
      </c>
      <c r="EC358" t="s">
        <v>3</v>
      </c>
      <c r="EE358">
        <v>55992157</v>
      </c>
      <c r="EF358">
        <v>40</v>
      </c>
      <c r="EG358" t="s">
        <v>24</v>
      </c>
      <c r="EH358">
        <v>0</v>
      </c>
      <c r="EI358" t="s">
        <v>3</v>
      </c>
      <c r="EJ358">
        <v>2</v>
      </c>
      <c r="EK358">
        <v>72</v>
      </c>
      <c r="EL358" t="s">
        <v>25</v>
      </c>
      <c r="EM358" t="s">
        <v>26</v>
      </c>
      <c r="EO358" t="s">
        <v>27</v>
      </c>
      <c r="EQ358">
        <v>0</v>
      </c>
      <c r="ER358">
        <v>153.41999999999999</v>
      </c>
      <c r="ES358">
        <v>89.36</v>
      </c>
      <c r="ET358">
        <v>4.2699999999999996</v>
      </c>
      <c r="EU358">
        <v>0.38</v>
      </c>
      <c r="EV358">
        <v>59.79</v>
      </c>
      <c r="EW358">
        <v>5.15</v>
      </c>
      <c r="EX358">
        <v>0</v>
      </c>
      <c r="EY358">
        <v>0</v>
      </c>
      <c r="FQ358">
        <v>0</v>
      </c>
      <c r="FR358">
        <v>0</v>
      </c>
      <c r="FS358">
        <v>0</v>
      </c>
      <c r="FX358">
        <v>90</v>
      </c>
      <c r="FY358">
        <v>46</v>
      </c>
      <c r="GA358" t="s">
        <v>3</v>
      </c>
      <c r="GD358">
        <v>1</v>
      </c>
      <c r="GF358">
        <v>1767555919</v>
      </c>
      <c r="GG358">
        <v>2</v>
      </c>
      <c r="GH358">
        <v>1</v>
      </c>
      <c r="GI358">
        <v>2</v>
      </c>
      <c r="GJ358">
        <v>0</v>
      </c>
      <c r="GK358">
        <v>0</v>
      </c>
      <c r="GL358">
        <f t="shared" si="308"/>
        <v>0</v>
      </c>
      <c r="GM358">
        <f t="shared" si="309"/>
        <v>598020.67000000004</v>
      </c>
      <c r="GN358">
        <f t="shared" si="310"/>
        <v>0</v>
      </c>
      <c r="GO358">
        <f t="shared" si="311"/>
        <v>598020.67000000004</v>
      </c>
      <c r="GP358">
        <f t="shared" si="312"/>
        <v>0</v>
      </c>
      <c r="GR358">
        <v>0</v>
      </c>
      <c r="GS358">
        <v>3</v>
      </c>
      <c r="GT358">
        <v>0</v>
      </c>
      <c r="GU358" t="s">
        <v>3</v>
      </c>
      <c r="GV358">
        <f t="shared" si="313"/>
        <v>0</v>
      </c>
      <c r="GW358">
        <v>1</v>
      </c>
      <c r="GX358">
        <f t="shared" si="314"/>
        <v>0</v>
      </c>
      <c r="HA358">
        <v>0</v>
      </c>
      <c r="HB358">
        <v>0</v>
      </c>
      <c r="HC358">
        <f t="shared" si="315"/>
        <v>0</v>
      </c>
      <c r="HE358" t="s">
        <v>3</v>
      </c>
      <c r="HF358" t="s">
        <v>3</v>
      </c>
      <c r="HM358" t="s">
        <v>3</v>
      </c>
      <c r="HN358" t="s">
        <v>3</v>
      </c>
      <c r="HO358" t="s">
        <v>3</v>
      </c>
      <c r="HP358" t="s">
        <v>3</v>
      </c>
      <c r="HQ358" t="s">
        <v>3</v>
      </c>
      <c r="HS358">
        <v>0</v>
      </c>
      <c r="IK358">
        <v>0</v>
      </c>
    </row>
    <row r="359" spans="1:255" x14ac:dyDescent="0.2">
      <c r="A359" s="2">
        <v>17</v>
      </c>
      <c r="B359" s="2">
        <v>1</v>
      </c>
      <c r="C359" s="2">
        <f>ROW(SmtRes!A268)</f>
        <v>268</v>
      </c>
      <c r="D359" s="2">
        <f>ROW(EtalonRes!A319)</f>
        <v>319</v>
      </c>
      <c r="E359" s="2" t="s">
        <v>3</v>
      </c>
      <c r="F359" s="2" t="s">
        <v>366</v>
      </c>
      <c r="G359" s="2" t="s">
        <v>367</v>
      </c>
      <c r="H359" s="2" t="s">
        <v>21</v>
      </c>
      <c r="I359" s="2">
        <f>ROUND((3+12+35+1+2+2+8)*0,9)</f>
        <v>0</v>
      </c>
      <c r="J359" s="2">
        <v>0</v>
      </c>
      <c r="K359" s="2">
        <f>ROUND((3+12+35+1+2+2+8)*0,9)</f>
        <v>0</v>
      </c>
      <c r="L359" s="2"/>
      <c r="M359" s="2"/>
      <c r="N359" s="2"/>
      <c r="O359" s="2">
        <f t="shared" si="286"/>
        <v>0</v>
      </c>
      <c r="P359" s="2">
        <f>ROUND((ROUND((AC359*AW359*I359),2)*BC359),2)</f>
        <v>0</v>
      </c>
      <c r="Q359" s="2">
        <f t="shared" ref="Q359:Q374" si="316">(ROUND((ROUND(((ET359)*AV359*I359),2)*BB359),2)+ROUND((ROUND(((AE359-(EU359))*AV359*I359),2)*BS359),2))</f>
        <v>0</v>
      </c>
      <c r="R359" s="2">
        <f t="shared" si="287"/>
        <v>0</v>
      </c>
      <c r="S359" s="2">
        <f t="shared" si="288"/>
        <v>0</v>
      </c>
      <c r="T359" s="2">
        <f t="shared" si="289"/>
        <v>0</v>
      </c>
      <c r="U359" s="2">
        <f t="shared" si="290"/>
        <v>0</v>
      </c>
      <c r="V359" s="2">
        <f t="shared" si="291"/>
        <v>0</v>
      </c>
      <c r="W359" s="2">
        <f t="shared" si="292"/>
        <v>0</v>
      </c>
      <c r="X359" s="2">
        <f t="shared" si="293"/>
        <v>0</v>
      </c>
      <c r="Y359" s="2">
        <f t="shared" si="294"/>
        <v>0</v>
      </c>
      <c r="Z359" s="2"/>
      <c r="AA359" s="2">
        <v>-1</v>
      </c>
      <c r="AB359" s="2">
        <f t="shared" si="295"/>
        <v>35.81</v>
      </c>
      <c r="AC359" s="2">
        <f t="shared" si="296"/>
        <v>2.34</v>
      </c>
      <c r="AD359" s="2">
        <f t="shared" ref="AD359:AD374" si="317">ROUND((((ET359)-(EU359))+AE359),6)</f>
        <v>0</v>
      </c>
      <c r="AE359" s="2">
        <f t="shared" ref="AE359:AE374" si="318">ROUND((EU359),6)</f>
        <v>0</v>
      </c>
      <c r="AF359" s="2">
        <f t="shared" ref="AF359:AF374" si="319">ROUND((EV359),6)</f>
        <v>33.47</v>
      </c>
      <c r="AG359" s="2">
        <f t="shared" si="297"/>
        <v>0</v>
      </c>
      <c r="AH359" s="2">
        <f t="shared" ref="AH359:AH374" si="320">(EW359)</f>
        <v>2.65</v>
      </c>
      <c r="AI359" s="2">
        <f t="shared" ref="AI359:AI374" si="321">(EX359)</f>
        <v>0</v>
      </c>
      <c r="AJ359" s="2">
        <f t="shared" si="298"/>
        <v>0</v>
      </c>
      <c r="AK359" s="2">
        <v>35.81</v>
      </c>
      <c r="AL359" s="2">
        <v>2.34</v>
      </c>
      <c r="AM359" s="2">
        <v>0</v>
      </c>
      <c r="AN359" s="2">
        <v>0</v>
      </c>
      <c r="AO359" s="2">
        <v>33.47</v>
      </c>
      <c r="AP359" s="2">
        <v>0</v>
      </c>
      <c r="AQ359" s="2">
        <v>2.65</v>
      </c>
      <c r="AR359" s="2">
        <v>0</v>
      </c>
      <c r="AS359" s="2">
        <v>0</v>
      </c>
      <c r="AT359" s="2">
        <v>90</v>
      </c>
      <c r="AU359" s="2">
        <v>46</v>
      </c>
      <c r="AV359" s="2">
        <v>1.0469999999999999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0</v>
      </c>
      <c r="BI359" s="2">
        <v>2</v>
      </c>
      <c r="BJ359" s="2" t="s">
        <v>368</v>
      </c>
      <c r="BK359" s="2"/>
      <c r="BL359" s="2"/>
      <c r="BM359" s="2">
        <v>68</v>
      </c>
      <c r="BN359" s="2">
        <v>55992028</v>
      </c>
      <c r="BO359" s="2" t="s">
        <v>366</v>
      </c>
      <c r="BP359" s="2">
        <v>1</v>
      </c>
      <c r="BQ359" s="2">
        <v>40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90</v>
      </c>
      <c r="CA359" s="2">
        <v>46</v>
      </c>
      <c r="CB359" s="2" t="s">
        <v>3</v>
      </c>
      <c r="CC359" s="2"/>
      <c r="CD359" s="2"/>
      <c r="CE359" s="2">
        <v>30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3</v>
      </c>
      <c r="CO359" s="2">
        <v>0</v>
      </c>
      <c r="CP359" s="2">
        <f t="shared" si="299"/>
        <v>0</v>
      </c>
      <c r="CQ359" s="2">
        <f>ROUND((ROUND((AC359*AW359*1),2)*BC359),2)</f>
        <v>2.34</v>
      </c>
      <c r="CR359" s="2">
        <f t="shared" ref="CR359:CR374" si="322">(ROUND((ROUND(((ET359)*AV359*1),2)*BB359),2)+ROUND((ROUND(((AE359-(EU359))*AV359*1),2)*BS359),2))</f>
        <v>0</v>
      </c>
      <c r="CS359" s="2">
        <f t="shared" si="300"/>
        <v>0</v>
      </c>
      <c r="CT359" s="2">
        <f t="shared" si="301"/>
        <v>35.04</v>
      </c>
      <c r="CU359" s="2">
        <f t="shared" si="302"/>
        <v>0</v>
      </c>
      <c r="CV359" s="2">
        <f t="shared" si="303"/>
        <v>2.7745499999999996</v>
      </c>
      <c r="CW359" s="2">
        <f t="shared" si="304"/>
        <v>0</v>
      </c>
      <c r="CX359" s="2">
        <f t="shared" si="305"/>
        <v>0</v>
      </c>
      <c r="CY359" s="2">
        <f t="shared" si="306"/>
        <v>0</v>
      </c>
      <c r="CZ359" s="2">
        <f t="shared" si="307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1013</v>
      </c>
      <c r="DV359" s="2" t="s">
        <v>21</v>
      </c>
      <c r="DW359" s="2" t="s">
        <v>21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55992152</v>
      </c>
      <c r="EF359" s="2">
        <v>40</v>
      </c>
      <c r="EG359" s="2" t="s">
        <v>24</v>
      </c>
      <c r="EH359" s="2">
        <v>0</v>
      </c>
      <c r="EI359" s="2" t="s">
        <v>3</v>
      </c>
      <c r="EJ359" s="2">
        <v>2</v>
      </c>
      <c r="EK359" s="2">
        <v>68</v>
      </c>
      <c r="EL359" s="2" t="s">
        <v>41</v>
      </c>
      <c r="EM359" s="2" t="s">
        <v>42</v>
      </c>
      <c r="EN359" s="2"/>
      <c r="EO359" s="2" t="s">
        <v>3</v>
      </c>
      <c r="EP359" s="2"/>
      <c r="EQ359" s="2">
        <v>1024</v>
      </c>
      <c r="ER359" s="2">
        <v>35.81</v>
      </c>
      <c r="ES359" s="2">
        <v>2.34</v>
      </c>
      <c r="ET359" s="2">
        <v>0</v>
      </c>
      <c r="EU359" s="2">
        <v>0</v>
      </c>
      <c r="EV359" s="2">
        <v>33.47</v>
      </c>
      <c r="EW359" s="2">
        <v>2.65</v>
      </c>
      <c r="EX359" s="2">
        <v>0</v>
      </c>
      <c r="EY359" s="2">
        <v>0</v>
      </c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90</v>
      </c>
      <c r="FY359" s="2">
        <v>46</v>
      </c>
      <c r="FZ359" s="2"/>
      <c r="GA359" s="2" t="s">
        <v>3</v>
      </c>
      <c r="GB359" s="2"/>
      <c r="GC359" s="2"/>
      <c r="GD359" s="2">
        <v>1</v>
      </c>
      <c r="GE359" s="2"/>
      <c r="GF359" s="2">
        <v>-1323780471</v>
      </c>
      <c r="GG359" s="2">
        <v>2</v>
      </c>
      <c r="GH359" s="2">
        <v>1</v>
      </c>
      <c r="GI359" s="2">
        <v>2</v>
      </c>
      <c r="GJ359" s="2">
        <v>0</v>
      </c>
      <c r="GK359" s="2">
        <v>0</v>
      </c>
      <c r="GL359" s="2">
        <f t="shared" si="308"/>
        <v>0</v>
      </c>
      <c r="GM359" s="2">
        <f t="shared" si="309"/>
        <v>0</v>
      </c>
      <c r="GN359" s="2">
        <f t="shared" si="310"/>
        <v>0</v>
      </c>
      <c r="GO359" s="2">
        <f t="shared" si="311"/>
        <v>0</v>
      </c>
      <c r="GP359" s="2">
        <f t="shared" si="312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313"/>
        <v>0</v>
      </c>
      <c r="GW359" s="2">
        <v>1</v>
      </c>
      <c r="GX359" s="2">
        <f t="shared" si="314"/>
        <v>0</v>
      </c>
      <c r="GY359" s="2"/>
      <c r="GZ359" s="2"/>
      <c r="HA359" s="2">
        <v>0</v>
      </c>
      <c r="HB359" s="2">
        <v>0</v>
      </c>
      <c r="HC359" s="2">
        <f t="shared" si="315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>
        <v>17</v>
      </c>
      <c r="B360">
        <v>1</v>
      </c>
      <c r="C360">
        <f>ROW(SmtRes!A272)</f>
        <v>272</v>
      </c>
      <c r="D360">
        <f>ROW(EtalonRes!A324)</f>
        <v>324</v>
      </c>
      <c r="E360" t="s">
        <v>3</v>
      </c>
      <c r="F360" t="s">
        <v>366</v>
      </c>
      <c r="G360" t="s">
        <v>367</v>
      </c>
      <c r="H360" t="s">
        <v>21</v>
      </c>
      <c r="I360">
        <f>ROUND((3+12+35+1+2+2+8)*0,9)</f>
        <v>0</v>
      </c>
      <c r="J360">
        <v>0</v>
      </c>
      <c r="K360">
        <f>ROUND((3+12+35+1+2+2+8)*0,9)</f>
        <v>0</v>
      </c>
      <c r="O360">
        <f t="shared" si="286"/>
        <v>0</v>
      </c>
      <c r="P360">
        <f>ROUND((ROUND((AC360*AW360*I360),2)*BC360),2)</f>
        <v>0</v>
      </c>
      <c r="Q360">
        <f t="shared" si="316"/>
        <v>0</v>
      </c>
      <c r="R360">
        <f t="shared" si="287"/>
        <v>0</v>
      </c>
      <c r="S360">
        <f t="shared" si="288"/>
        <v>0</v>
      </c>
      <c r="T360">
        <f t="shared" si="289"/>
        <v>0</v>
      </c>
      <c r="U360">
        <f t="shared" si="290"/>
        <v>0</v>
      </c>
      <c r="V360">
        <f t="shared" si="291"/>
        <v>0</v>
      </c>
      <c r="W360">
        <f t="shared" si="292"/>
        <v>0</v>
      </c>
      <c r="X360">
        <f t="shared" si="293"/>
        <v>0</v>
      </c>
      <c r="Y360">
        <f t="shared" si="294"/>
        <v>0</v>
      </c>
      <c r="AA360">
        <v>-1</v>
      </c>
      <c r="AB360">
        <f t="shared" si="295"/>
        <v>35.81</v>
      </c>
      <c r="AC360">
        <f t="shared" si="296"/>
        <v>2.34</v>
      </c>
      <c r="AD360">
        <f t="shared" si="317"/>
        <v>0</v>
      </c>
      <c r="AE360">
        <f t="shared" si="318"/>
        <v>0</v>
      </c>
      <c r="AF360">
        <f t="shared" si="319"/>
        <v>33.47</v>
      </c>
      <c r="AG360">
        <f t="shared" si="297"/>
        <v>0</v>
      </c>
      <c r="AH360">
        <f t="shared" si="320"/>
        <v>2.65</v>
      </c>
      <c r="AI360">
        <f t="shared" si="321"/>
        <v>0</v>
      </c>
      <c r="AJ360">
        <f t="shared" si="298"/>
        <v>0</v>
      </c>
      <c r="AK360">
        <v>35.81</v>
      </c>
      <c r="AL360">
        <v>2.34</v>
      </c>
      <c r="AM360">
        <v>0</v>
      </c>
      <c r="AN360">
        <v>0</v>
      </c>
      <c r="AO360">
        <v>33.47</v>
      </c>
      <c r="AP360">
        <v>0</v>
      </c>
      <c r="AQ360">
        <v>2.65</v>
      </c>
      <c r="AR360">
        <v>0</v>
      </c>
      <c r="AS360">
        <v>0</v>
      </c>
      <c r="AT360">
        <v>90</v>
      </c>
      <c r="AU360">
        <v>46</v>
      </c>
      <c r="AV360">
        <v>1.0469999999999999</v>
      </c>
      <c r="AW360">
        <v>1</v>
      </c>
      <c r="AZ360">
        <v>1</v>
      </c>
      <c r="BA360">
        <v>54.99</v>
      </c>
      <c r="BB360">
        <v>1</v>
      </c>
      <c r="BC360">
        <v>10.26</v>
      </c>
      <c r="BD360" t="s">
        <v>3</v>
      </c>
      <c r="BE360" t="s">
        <v>3</v>
      </c>
      <c r="BF360" t="s">
        <v>3</v>
      </c>
      <c r="BG360" t="s">
        <v>3</v>
      </c>
      <c r="BH360">
        <v>0</v>
      </c>
      <c r="BI360">
        <v>2</v>
      </c>
      <c r="BJ360" t="s">
        <v>368</v>
      </c>
      <c r="BM360">
        <v>68</v>
      </c>
      <c r="BN360">
        <v>55992028</v>
      </c>
      <c r="BO360" t="s">
        <v>366</v>
      </c>
      <c r="BP360">
        <v>1</v>
      </c>
      <c r="BQ360">
        <v>40</v>
      </c>
      <c r="BR360">
        <v>0</v>
      </c>
      <c r="BS360">
        <v>54.99</v>
      </c>
      <c r="BT360">
        <v>1</v>
      </c>
      <c r="BU360">
        <v>1</v>
      </c>
      <c r="BV360">
        <v>1</v>
      </c>
      <c r="BW360">
        <v>1</v>
      </c>
      <c r="BX360">
        <v>1</v>
      </c>
      <c r="BY360" t="s">
        <v>3</v>
      </c>
      <c r="BZ360">
        <v>90</v>
      </c>
      <c r="CA360">
        <v>46</v>
      </c>
      <c r="CB360" t="s">
        <v>3</v>
      </c>
      <c r="CE360">
        <v>30</v>
      </c>
      <c r="CF360">
        <v>0</v>
      </c>
      <c r="CG360">
        <v>0</v>
      </c>
      <c r="CM360">
        <v>0</v>
      </c>
      <c r="CN360" t="s">
        <v>3</v>
      </c>
      <c r="CO360">
        <v>0</v>
      </c>
      <c r="CP360">
        <f t="shared" si="299"/>
        <v>0</v>
      </c>
      <c r="CQ360">
        <f>ROUND((ROUND((AC360*AW360*1),2)*BC360),2)</f>
        <v>24.01</v>
      </c>
      <c r="CR360">
        <f t="shared" si="322"/>
        <v>0</v>
      </c>
      <c r="CS360">
        <f t="shared" si="300"/>
        <v>0</v>
      </c>
      <c r="CT360">
        <f t="shared" si="301"/>
        <v>1926.85</v>
      </c>
      <c r="CU360">
        <f t="shared" si="302"/>
        <v>0</v>
      </c>
      <c r="CV360">
        <f t="shared" si="303"/>
        <v>2.7745499999999996</v>
      </c>
      <c r="CW360">
        <f t="shared" si="304"/>
        <v>0</v>
      </c>
      <c r="CX360">
        <f t="shared" si="305"/>
        <v>0</v>
      </c>
      <c r="CY360">
        <f t="shared" si="306"/>
        <v>0</v>
      </c>
      <c r="CZ360">
        <f t="shared" si="307"/>
        <v>0</v>
      </c>
      <c r="DC360" t="s">
        <v>3</v>
      </c>
      <c r="DD360" t="s">
        <v>3</v>
      </c>
      <c r="DE360" t="s">
        <v>3</v>
      </c>
      <c r="DF360" t="s">
        <v>3</v>
      </c>
      <c r="DG360" t="s">
        <v>3</v>
      </c>
      <c r="DH360" t="s">
        <v>3</v>
      </c>
      <c r="DI360" t="s">
        <v>3</v>
      </c>
      <c r="DJ360" t="s">
        <v>3</v>
      </c>
      <c r="DK360" t="s">
        <v>3</v>
      </c>
      <c r="DL360" t="s">
        <v>3</v>
      </c>
      <c r="DM360" t="s">
        <v>3</v>
      </c>
      <c r="DN360">
        <v>0</v>
      </c>
      <c r="DO360">
        <v>0</v>
      </c>
      <c r="DP360">
        <v>1</v>
      </c>
      <c r="DQ360">
        <v>1</v>
      </c>
      <c r="DU360">
        <v>1013</v>
      </c>
      <c r="DV360" t="s">
        <v>21</v>
      </c>
      <c r="DW360" t="s">
        <v>21</v>
      </c>
      <c r="DX360">
        <v>1</v>
      </c>
      <c r="DZ360" t="s">
        <v>3</v>
      </c>
      <c r="EA360" t="s">
        <v>3</v>
      </c>
      <c r="EB360" t="s">
        <v>3</v>
      </c>
      <c r="EC360" t="s">
        <v>3</v>
      </c>
      <c r="EE360">
        <v>55992152</v>
      </c>
      <c r="EF360">
        <v>40</v>
      </c>
      <c r="EG360" t="s">
        <v>24</v>
      </c>
      <c r="EH360">
        <v>0</v>
      </c>
      <c r="EI360" t="s">
        <v>3</v>
      </c>
      <c r="EJ360">
        <v>2</v>
      </c>
      <c r="EK360">
        <v>68</v>
      </c>
      <c r="EL360" t="s">
        <v>41</v>
      </c>
      <c r="EM360" t="s">
        <v>42</v>
      </c>
      <c r="EO360" t="s">
        <v>3</v>
      </c>
      <c r="EQ360">
        <v>1024</v>
      </c>
      <c r="ER360">
        <v>35.81</v>
      </c>
      <c r="ES360">
        <v>2.34</v>
      </c>
      <c r="ET360">
        <v>0</v>
      </c>
      <c r="EU360">
        <v>0</v>
      </c>
      <c r="EV360">
        <v>33.47</v>
      </c>
      <c r="EW360">
        <v>2.65</v>
      </c>
      <c r="EX360">
        <v>0</v>
      </c>
      <c r="EY360">
        <v>0</v>
      </c>
      <c r="FQ360">
        <v>0</v>
      </c>
      <c r="FR360">
        <v>0</v>
      </c>
      <c r="FS360">
        <v>0</v>
      </c>
      <c r="FX360">
        <v>90</v>
      </c>
      <c r="FY360">
        <v>46</v>
      </c>
      <c r="GA360" t="s">
        <v>3</v>
      </c>
      <c r="GD360">
        <v>1</v>
      </c>
      <c r="GF360">
        <v>-1323780471</v>
      </c>
      <c r="GG360">
        <v>2</v>
      </c>
      <c r="GH360">
        <v>1</v>
      </c>
      <c r="GI360">
        <v>2</v>
      </c>
      <c r="GJ360">
        <v>0</v>
      </c>
      <c r="GK360">
        <v>0</v>
      </c>
      <c r="GL360">
        <f t="shared" si="308"/>
        <v>0</v>
      </c>
      <c r="GM360">
        <f t="shared" si="309"/>
        <v>0</v>
      </c>
      <c r="GN360">
        <f t="shared" si="310"/>
        <v>0</v>
      </c>
      <c r="GO360">
        <f t="shared" si="311"/>
        <v>0</v>
      </c>
      <c r="GP360">
        <f t="shared" si="312"/>
        <v>0</v>
      </c>
      <c r="GR360">
        <v>0</v>
      </c>
      <c r="GS360">
        <v>3</v>
      </c>
      <c r="GT360">
        <v>0</v>
      </c>
      <c r="GU360" t="s">
        <v>3</v>
      </c>
      <c r="GV360">
        <f t="shared" si="313"/>
        <v>0</v>
      </c>
      <c r="GW360">
        <v>1</v>
      </c>
      <c r="GX360">
        <f t="shared" si="314"/>
        <v>0</v>
      </c>
      <c r="HA360">
        <v>0</v>
      </c>
      <c r="HB360">
        <v>0</v>
      </c>
      <c r="HC360">
        <f t="shared" si="315"/>
        <v>0</v>
      </c>
      <c r="HE360" t="s">
        <v>3</v>
      </c>
      <c r="HF360" t="s">
        <v>3</v>
      </c>
      <c r="HM360" t="s">
        <v>3</v>
      </c>
      <c r="HN360" t="s">
        <v>3</v>
      </c>
      <c r="HO360" t="s">
        <v>3</v>
      </c>
      <c r="HP360" t="s">
        <v>3</v>
      </c>
      <c r="HQ360" t="s">
        <v>3</v>
      </c>
      <c r="HS360">
        <v>0</v>
      </c>
      <c r="IK360">
        <v>0</v>
      </c>
    </row>
    <row r="361" spans="1:255" x14ac:dyDescent="0.2">
      <c r="A361" s="2">
        <v>17</v>
      </c>
      <c r="B361" s="2">
        <v>1</v>
      </c>
      <c r="C361" s="2"/>
      <c r="D361" s="2"/>
      <c r="E361" s="2" t="s">
        <v>369</v>
      </c>
      <c r="F361" s="2" t="s">
        <v>370</v>
      </c>
      <c r="G361" s="2" t="s">
        <v>371</v>
      </c>
      <c r="H361" s="2" t="s">
        <v>31</v>
      </c>
      <c r="I361" s="2">
        <v>3</v>
      </c>
      <c r="J361" s="2">
        <v>0</v>
      </c>
      <c r="K361" s="2">
        <v>3</v>
      </c>
      <c r="L361" s="2"/>
      <c r="M361" s="2"/>
      <c r="N361" s="2"/>
      <c r="O361" s="2">
        <f t="shared" si="286"/>
        <v>52156.2</v>
      </c>
      <c r="P361" s="2">
        <f t="shared" ref="P361:P374" si="323">ROUND((ROUND((AC361*I361),2)*BC361),2)</f>
        <v>52156.2</v>
      </c>
      <c r="Q361" s="2">
        <f t="shared" si="316"/>
        <v>0</v>
      </c>
      <c r="R361" s="2">
        <f t="shared" si="287"/>
        <v>0</v>
      </c>
      <c r="S361" s="2">
        <f t="shared" si="288"/>
        <v>0</v>
      </c>
      <c r="T361" s="2">
        <f t="shared" si="289"/>
        <v>0</v>
      </c>
      <c r="U361" s="2">
        <f t="shared" si="290"/>
        <v>0</v>
      </c>
      <c r="V361" s="2">
        <f t="shared" si="291"/>
        <v>0</v>
      </c>
      <c r="W361" s="2">
        <f t="shared" si="292"/>
        <v>0</v>
      </c>
      <c r="X361" s="2">
        <f t="shared" si="293"/>
        <v>0</v>
      </c>
      <c r="Y361" s="2">
        <f t="shared" si="294"/>
        <v>0</v>
      </c>
      <c r="Z361" s="2"/>
      <c r="AA361" s="2">
        <v>56959434</v>
      </c>
      <c r="AB361" s="2">
        <f t="shared" si="295"/>
        <v>17385.400000000001</v>
      </c>
      <c r="AC361" s="2">
        <f t="shared" si="296"/>
        <v>17385.400000000001</v>
      </c>
      <c r="AD361" s="2">
        <f t="shared" si="317"/>
        <v>0</v>
      </c>
      <c r="AE361" s="2">
        <f t="shared" si="318"/>
        <v>0</v>
      </c>
      <c r="AF361" s="2">
        <f t="shared" si="319"/>
        <v>0</v>
      </c>
      <c r="AG361" s="2">
        <f t="shared" si="297"/>
        <v>0</v>
      </c>
      <c r="AH361" s="2">
        <f t="shared" si="320"/>
        <v>0</v>
      </c>
      <c r="AI361" s="2">
        <f t="shared" si="321"/>
        <v>0</v>
      </c>
      <c r="AJ361" s="2">
        <f t="shared" si="298"/>
        <v>0</v>
      </c>
      <c r="AK361" s="2">
        <v>17385.400000000001</v>
      </c>
      <c r="AL361" s="2">
        <v>17385.400000000001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1</v>
      </c>
      <c r="AW361" s="2">
        <v>1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3</v>
      </c>
      <c r="BI361" s="2">
        <v>3</v>
      </c>
      <c r="BJ361" s="2" t="s">
        <v>3</v>
      </c>
      <c r="BK361" s="2"/>
      <c r="BL361" s="2"/>
      <c r="BM361" s="2">
        <v>746</v>
      </c>
      <c r="BN361" s="2">
        <v>0</v>
      </c>
      <c r="BO361" s="2" t="s">
        <v>3</v>
      </c>
      <c r="BP361" s="2">
        <v>0</v>
      </c>
      <c r="BQ361" s="2">
        <v>130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0</v>
      </c>
      <c r="CA361" s="2">
        <v>0</v>
      </c>
      <c r="CB361" s="2" t="s">
        <v>3</v>
      </c>
      <c r="CC361" s="2"/>
      <c r="CD361" s="2"/>
      <c r="CE361" s="2">
        <v>30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3</v>
      </c>
      <c r="CO361" s="2">
        <v>0</v>
      </c>
      <c r="CP361" s="2">
        <f t="shared" si="299"/>
        <v>52156.2</v>
      </c>
      <c r="CQ361" s="2">
        <f t="shared" ref="CQ361:CQ374" si="324">ROUND((ROUND((AC361*1),2)*BC361),2)</f>
        <v>17385.400000000001</v>
      </c>
      <c r="CR361" s="2">
        <f t="shared" si="322"/>
        <v>0</v>
      </c>
      <c r="CS361" s="2">
        <f t="shared" si="300"/>
        <v>0</v>
      </c>
      <c r="CT361" s="2">
        <f t="shared" si="301"/>
        <v>0</v>
      </c>
      <c r="CU361" s="2">
        <f t="shared" si="302"/>
        <v>0</v>
      </c>
      <c r="CV361" s="2">
        <f t="shared" si="303"/>
        <v>0</v>
      </c>
      <c r="CW361" s="2">
        <f t="shared" si="304"/>
        <v>0</v>
      </c>
      <c r="CX361" s="2">
        <f t="shared" si="305"/>
        <v>0</v>
      </c>
      <c r="CY361" s="2">
        <f t="shared" si="306"/>
        <v>0</v>
      </c>
      <c r="CZ361" s="2">
        <f t="shared" si="307"/>
        <v>0</v>
      </c>
      <c r="DA361" s="2"/>
      <c r="DB361" s="2"/>
      <c r="DC361" s="2" t="s">
        <v>3</v>
      </c>
      <c r="DD361" s="2" t="s">
        <v>3</v>
      </c>
      <c r="DE361" s="2" t="s">
        <v>3</v>
      </c>
      <c r="DF361" s="2" t="s">
        <v>3</v>
      </c>
      <c r="DG361" s="2" t="s">
        <v>3</v>
      </c>
      <c r="DH361" s="2" t="s">
        <v>3</v>
      </c>
      <c r="DI361" s="2" t="s">
        <v>3</v>
      </c>
      <c r="DJ361" s="2" t="s">
        <v>3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1010</v>
      </c>
      <c r="DV361" s="2" t="s">
        <v>31</v>
      </c>
      <c r="DW361" s="2" t="s">
        <v>31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55992259</v>
      </c>
      <c r="EF361" s="2">
        <v>130</v>
      </c>
      <c r="EG361" s="2" t="s">
        <v>32</v>
      </c>
      <c r="EH361" s="2">
        <v>0</v>
      </c>
      <c r="EI361" s="2" t="s">
        <v>3</v>
      </c>
      <c r="EJ361" s="2">
        <v>3</v>
      </c>
      <c r="EK361" s="2">
        <v>746</v>
      </c>
      <c r="EL361" s="2" t="s">
        <v>33</v>
      </c>
      <c r="EM361" s="2" t="s">
        <v>34</v>
      </c>
      <c r="EN361" s="2"/>
      <c r="EO361" s="2" t="s">
        <v>3</v>
      </c>
      <c r="EP361" s="2"/>
      <c r="EQ361" s="2">
        <v>1310720</v>
      </c>
      <c r="ER361" s="2">
        <v>0</v>
      </c>
      <c r="ES361" s="2">
        <v>17385.400000000001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f t="shared" ref="FR361:FR374" si="325">P361</f>
        <v>52156.2</v>
      </c>
      <c r="FS361" s="2">
        <v>0</v>
      </c>
      <c r="FT361" s="2"/>
      <c r="FU361" s="2"/>
      <c r="FV361" s="2"/>
      <c r="FW361" s="2"/>
      <c r="FX361" s="2">
        <v>0</v>
      </c>
      <c r="FY361" s="2">
        <v>0</v>
      </c>
      <c r="FZ361" s="2"/>
      <c r="GA361" s="2" t="s">
        <v>372</v>
      </c>
      <c r="GB361" s="2"/>
      <c r="GC361" s="2"/>
      <c r="GD361" s="2">
        <v>1</v>
      </c>
      <c r="GE361" s="2"/>
      <c r="GF361" s="2">
        <v>84519155</v>
      </c>
      <c r="GG361" s="2">
        <v>2</v>
      </c>
      <c r="GH361" s="2">
        <v>4</v>
      </c>
      <c r="GI361" s="2">
        <v>-2</v>
      </c>
      <c r="GJ361" s="2">
        <v>0</v>
      </c>
      <c r="GK361" s="2">
        <v>0</v>
      </c>
      <c r="GL361" s="2">
        <f t="shared" si="308"/>
        <v>0</v>
      </c>
      <c r="GM361" s="2">
        <f t="shared" si="309"/>
        <v>52156.2</v>
      </c>
      <c r="GN361" s="2">
        <f t="shared" si="310"/>
        <v>0</v>
      </c>
      <c r="GO361" s="2">
        <f t="shared" si="311"/>
        <v>0</v>
      </c>
      <c r="GP361" s="2">
        <f t="shared" si="312"/>
        <v>0</v>
      </c>
      <c r="GQ361" s="2"/>
      <c r="GR361" s="2">
        <v>0</v>
      </c>
      <c r="GS361" s="2">
        <v>2</v>
      </c>
      <c r="GT361" s="2">
        <v>0</v>
      </c>
      <c r="GU361" s="2" t="s">
        <v>3</v>
      </c>
      <c r="GV361" s="2">
        <f t="shared" si="313"/>
        <v>0</v>
      </c>
      <c r="GW361" s="2">
        <v>1</v>
      </c>
      <c r="GX361" s="2">
        <f t="shared" si="314"/>
        <v>0</v>
      </c>
      <c r="GY361" s="2"/>
      <c r="GZ361" s="2"/>
      <c r="HA361" s="2">
        <v>0</v>
      </c>
      <c r="HB361" s="2">
        <v>0</v>
      </c>
      <c r="HC361" s="2">
        <f t="shared" si="315"/>
        <v>0</v>
      </c>
      <c r="HD361" s="2"/>
      <c r="HE361" s="2" t="s">
        <v>36</v>
      </c>
      <c r="HF361" s="2" t="s">
        <v>37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>
        <v>17</v>
      </c>
      <c r="B362">
        <v>1</v>
      </c>
      <c r="E362" t="s">
        <v>369</v>
      </c>
      <c r="F362" t="s">
        <v>370</v>
      </c>
      <c r="G362" t="s">
        <v>371</v>
      </c>
      <c r="H362" t="s">
        <v>31</v>
      </c>
      <c r="I362">
        <v>3</v>
      </c>
      <c r="J362">
        <v>0</v>
      </c>
      <c r="K362">
        <v>3</v>
      </c>
      <c r="O362">
        <f t="shared" si="286"/>
        <v>399516.49</v>
      </c>
      <c r="P362">
        <f t="shared" si="323"/>
        <v>399516.49</v>
      </c>
      <c r="Q362">
        <f t="shared" si="316"/>
        <v>0</v>
      </c>
      <c r="R362">
        <f t="shared" si="287"/>
        <v>0</v>
      </c>
      <c r="S362">
        <f t="shared" si="288"/>
        <v>0</v>
      </c>
      <c r="T362">
        <f t="shared" si="289"/>
        <v>0</v>
      </c>
      <c r="U362">
        <f t="shared" si="290"/>
        <v>0</v>
      </c>
      <c r="V362">
        <f t="shared" si="291"/>
        <v>0</v>
      </c>
      <c r="W362">
        <f t="shared" si="292"/>
        <v>0</v>
      </c>
      <c r="X362">
        <f t="shared" si="293"/>
        <v>0</v>
      </c>
      <c r="Y362">
        <f t="shared" si="294"/>
        <v>0</v>
      </c>
      <c r="AA362">
        <v>56959431</v>
      </c>
      <c r="AB362">
        <f t="shared" si="295"/>
        <v>17385.400000000001</v>
      </c>
      <c r="AC362">
        <f t="shared" si="296"/>
        <v>17385.400000000001</v>
      </c>
      <c r="AD362">
        <f t="shared" si="317"/>
        <v>0</v>
      </c>
      <c r="AE362">
        <f t="shared" si="318"/>
        <v>0</v>
      </c>
      <c r="AF362">
        <f t="shared" si="319"/>
        <v>0</v>
      </c>
      <c r="AG362">
        <f t="shared" si="297"/>
        <v>0</v>
      </c>
      <c r="AH362">
        <f t="shared" si="320"/>
        <v>0</v>
      </c>
      <c r="AI362">
        <f t="shared" si="321"/>
        <v>0</v>
      </c>
      <c r="AJ362">
        <f t="shared" si="298"/>
        <v>0</v>
      </c>
      <c r="AK362">
        <v>17385.400000000001</v>
      </c>
      <c r="AL362">
        <v>17385.400000000001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1</v>
      </c>
      <c r="AZ362">
        <v>1</v>
      </c>
      <c r="BA362">
        <v>1</v>
      </c>
      <c r="BB362">
        <v>1</v>
      </c>
      <c r="BC362">
        <v>7.66</v>
      </c>
      <c r="BD362" t="s">
        <v>3</v>
      </c>
      <c r="BE362" t="s">
        <v>3</v>
      </c>
      <c r="BF362" t="s">
        <v>3</v>
      </c>
      <c r="BG362" t="s">
        <v>3</v>
      </c>
      <c r="BH362">
        <v>3</v>
      </c>
      <c r="BI362">
        <v>3</v>
      </c>
      <c r="BJ362" t="s">
        <v>3</v>
      </c>
      <c r="BM362">
        <v>746</v>
      </c>
      <c r="BN362">
        <v>0</v>
      </c>
      <c r="BO362" t="s">
        <v>3</v>
      </c>
      <c r="BP362">
        <v>0</v>
      </c>
      <c r="BQ362">
        <v>130</v>
      </c>
      <c r="BR362">
        <v>0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 t="s">
        <v>3</v>
      </c>
      <c r="BZ362">
        <v>0</v>
      </c>
      <c r="CA362">
        <v>0</v>
      </c>
      <c r="CB362" t="s">
        <v>3</v>
      </c>
      <c r="CE362">
        <v>30</v>
      </c>
      <c r="CF362">
        <v>0</v>
      </c>
      <c r="CG362">
        <v>0</v>
      </c>
      <c r="CM362">
        <v>0</v>
      </c>
      <c r="CN362" t="s">
        <v>3</v>
      </c>
      <c r="CO362">
        <v>0</v>
      </c>
      <c r="CP362">
        <f t="shared" si="299"/>
        <v>399516.49</v>
      </c>
      <c r="CQ362">
        <f t="shared" si="324"/>
        <v>133172.16</v>
      </c>
      <c r="CR362">
        <f t="shared" si="322"/>
        <v>0</v>
      </c>
      <c r="CS362">
        <f t="shared" si="300"/>
        <v>0</v>
      </c>
      <c r="CT362">
        <f t="shared" si="301"/>
        <v>0</v>
      </c>
      <c r="CU362">
        <f t="shared" si="302"/>
        <v>0</v>
      </c>
      <c r="CV362">
        <f t="shared" si="303"/>
        <v>0</v>
      </c>
      <c r="CW362">
        <f t="shared" si="304"/>
        <v>0</v>
      </c>
      <c r="CX362">
        <f t="shared" si="305"/>
        <v>0</v>
      </c>
      <c r="CY362">
        <f t="shared" si="306"/>
        <v>0</v>
      </c>
      <c r="CZ362">
        <f t="shared" si="307"/>
        <v>0</v>
      </c>
      <c r="DC362" t="s">
        <v>3</v>
      </c>
      <c r="DD362" t="s">
        <v>3</v>
      </c>
      <c r="DE362" t="s">
        <v>3</v>
      </c>
      <c r="DF362" t="s">
        <v>3</v>
      </c>
      <c r="DG362" t="s">
        <v>3</v>
      </c>
      <c r="DH362" t="s">
        <v>3</v>
      </c>
      <c r="DI362" t="s">
        <v>3</v>
      </c>
      <c r="DJ362" t="s">
        <v>3</v>
      </c>
      <c r="DK362" t="s">
        <v>3</v>
      </c>
      <c r="DL362" t="s">
        <v>3</v>
      </c>
      <c r="DM362" t="s">
        <v>3</v>
      </c>
      <c r="DN362">
        <v>0</v>
      </c>
      <c r="DO362">
        <v>0</v>
      </c>
      <c r="DP362">
        <v>1</v>
      </c>
      <c r="DQ362">
        <v>1</v>
      </c>
      <c r="DU362">
        <v>1010</v>
      </c>
      <c r="DV362" t="s">
        <v>31</v>
      </c>
      <c r="DW362" t="s">
        <v>31</v>
      </c>
      <c r="DX362">
        <v>1</v>
      </c>
      <c r="DZ362" t="s">
        <v>3</v>
      </c>
      <c r="EA362" t="s">
        <v>3</v>
      </c>
      <c r="EB362" t="s">
        <v>3</v>
      </c>
      <c r="EC362" t="s">
        <v>3</v>
      </c>
      <c r="EE362">
        <v>55992259</v>
      </c>
      <c r="EF362">
        <v>130</v>
      </c>
      <c r="EG362" t="s">
        <v>32</v>
      </c>
      <c r="EH362">
        <v>0</v>
      </c>
      <c r="EI362" t="s">
        <v>3</v>
      </c>
      <c r="EJ362">
        <v>3</v>
      </c>
      <c r="EK362">
        <v>746</v>
      </c>
      <c r="EL362" t="s">
        <v>33</v>
      </c>
      <c r="EM362" t="s">
        <v>34</v>
      </c>
      <c r="EO362" t="s">
        <v>3</v>
      </c>
      <c r="EQ362">
        <v>1310720</v>
      </c>
      <c r="ER362">
        <v>17385.400000000001</v>
      </c>
      <c r="ES362">
        <v>17385.400000000001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5</v>
      </c>
      <c r="FC362">
        <v>1</v>
      </c>
      <c r="FD362">
        <v>18</v>
      </c>
      <c r="FF362">
        <v>153312.25</v>
      </c>
      <c r="FQ362">
        <v>0</v>
      </c>
      <c r="FR362">
        <f t="shared" si="325"/>
        <v>399516.49</v>
      </c>
      <c r="FS362">
        <v>0</v>
      </c>
      <c r="FX362">
        <v>0</v>
      </c>
      <c r="FY362">
        <v>0</v>
      </c>
      <c r="GA362" t="s">
        <v>372</v>
      </c>
      <c r="GD362">
        <v>1</v>
      </c>
      <c r="GF362">
        <v>84519155</v>
      </c>
      <c r="GG362">
        <v>2</v>
      </c>
      <c r="GH362">
        <v>3</v>
      </c>
      <c r="GI362">
        <v>5</v>
      </c>
      <c r="GJ362">
        <v>0</v>
      </c>
      <c r="GK362">
        <v>0</v>
      </c>
      <c r="GL362">
        <f t="shared" si="308"/>
        <v>0</v>
      </c>
      <c r="GM362">
        <f t="shared" si="309"/>
        <v>399516.49</v>
      </c>
      <c r="GN362">
        <f t="shared" si="310"/>
        <v>0</v>
      </c>
      <c r="GO362">
        <f t="shared" si="311"/>
        <v>0</v>
      </c>
      <c r="GP362">
        <f t="shared" si="312"/>
        <v>0</v>
      </c>
      <c r="GR362">
        <v>1</v>
      </c>
      <c r="GS362">
        <v>1</v>
      </c>
      <c r="GT362">
        <v>0</v>
      </c>
      <c r="GU362" t="s">
        <v>3</v>
      </c>
      <c r="GV362">
        <f t="shared" si="313"/>
        <v>0</v>
      </c>
      <c r="GW362">
        <v>1</v>
      </c>
      <c r="GX362">
        <f t="shared" si="314"/>
        <v>0</v>
      </c>
      <c r="HA362">
        <v>0</v>
      </c>
      <c r="HB362">
        <v>0</v>
      </c>
      <c r="HC362">
        <f t="shared" si="315"/>
        <v>0</v>
      </c>
      <c r="HE362" t="s">
        <v>36</v>
      </c>
      <c r="HF362" t="s">
        <v>37</v>
      </c>
      <c r="HM362" t="s">
        <v>3</v>
      </c>
      <c r="HN362" t="s">
        <v>3</v>
      </c>
      <c r="HO362" t="s">
        <v>3</v>
      </c>
      <c r="HP362" t="s">
        <v>3</v>
      </c>
      <c r="HQ362" t="s">
        <v>3</v>
      </c>
      <c r="HS362">
        <v>0</v>
      </c>
      <c r="IK362">
        <v>0</v>
      </c>
    </row>
    <row r="363" spans="1:255" x14ac:dyDescent="0.2">
      <c r="A363" s="2">
        <v>17</v>
      </c>
      <c r="B363" s="2">
        <v>1</v>
      </c>
      <c r="C363" s="2"/>
      <c r="D363" s="2"/>
      <c r="E363" s="2" t="s">
        <v>373</v>
      </c>
      <c r="F363" s="2" t="s">
        <v>374</v>
      </c>
      <c r="G363" s="2" t="s">
        <v>375</v>
      </c>
      <c r="H363" s="2" t="s">
        <v>31</v>
      </c>
      <c r="I363" s="2">
        <v>12</v>
      </c>
      <c r="J363" s="2">
        <v>0</v>
      </c>
      <c r="K363" s="2">
        <v>12</v>
      </c>
      <c r="L363" s="2"/>
      <c r="M363" s="2"/>
      <c r="N363" s="2"/>
      <c r="O363" s="2">
        <f t="shared" si="286"/>
        <v>221898.36</v>
      </c>
      <c r="P363" s="2">
        <f t="shared" si="323"/>
        <v>221898.36</v>
      </c>
      <c r="Q363" s="2">
        <f t="shared" si="316"/>
        <v>0</v>
      </c>
      <c r="R363" s="2">
        <f t="shared" si="287"/>
        <v>0</v>
      </c>
      <c r="S363" s="2">
        <f t="shared" si="288"/>
        <v>0</v>
      </c>
      <c r="T363" s="2">
        <f t="shared" si="289"/>
        <v>0</v>
      </c>
      <c r="U363" s="2">
        <f t="shared" si="290"/>
        <v>0</v>
      </c>
      <c r="V363" s="2">
        <f t="shared" si="291"/>
        <v>0</v>
      </c>
      <c r="W363" s="2">
        <f t="shared" si="292"/>
        <v>0</v>
      </c>
      <c r="X363" s="2">
        <f t="shared" si="293"/>
        <v>0</v>
      </c>
      <c r="Y363" s="2">
        <f t="shared" si="294"/>
        <v>0</v>
      </c>
      <c r="Z363" s="2"/>
      <c r="AA363" s="2">
        <v>56959434</v>
      </c>
      <c r="AB363" s="2">
        <f t="shared" si="295"/>
        <v>18491.53</v>
      </c>
      <c r="AC363" s="2">
        <f t="shared" si="296"/>
        <v>18491.53</v>
      </c>
      <c r="AD363" s="2">
        <f t="shared" si="317"/>
        <v>0</v>
      </c>
      <c r="AE363" s="2">
        <f t="shared" si="318"/>
        <v>0</v>
      </c>
      <c r="AF363" s="2">
        <f t="shared" si="319"/>
        <v>0</v>
      </c>
      <c r="AG363" s="2">
        <f t="shared" si="297"/>
        <v>0</v>
      </c>
      <c r="AH363" s="2">
        <f t="shared" si="320"/>
        <v>0</v>
      </c>
      <c r="AI363" s="2">
        <f t="shared" si="321"/>
        <v>0</v>
      </c>
      <c r="AJ363" s="2">
        <f t="shared" si="298"/>
        <v>0</v>
      </c>
      <c r="AK363" s="2">
        <v>18491.530000000002</v>
      </c>
      <c r="AL363" s="2">
        <v>18491.530000000002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1</v>
      </c>
      <c r="AW363" s="2">
        <v>1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3</v>
      </c>
      <c r="BJ363" s="2" t="s">
        <v>3</v>
      </c>
      <c r="BK363" s="2"/>
      <c r="BL363" s="2"/>
      <c r="BM363" s="2">
        <v>746</v>
      </c>
      <c r="BN363" s="2">
        <v>0</v>
      </c>
      <c r="BO363" s="2" t="s">
        <v>3</v>
      </c>
      <c r="BP363" s="2">
        <v>0</v>
      </c>
      <c r="BQ363" s="2">
        <v>130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0</v>
      </c>
      <c r="CA363" s="2">
        <v>0</v>
      </c>
      <c r="CB363" s="2" t="s">
        <v>3</v>
      </c>
      <c r="CC363" s="2"/>
      <c r="CD363" s="2"/>
      <c r="CE363" s="2">
        <v>30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3</v>
      </c>
      <c r="CO363" s="2">
        <v>0</v>
      </c>
      <c r="CP363" s="2">
        <f t="shared" si="299"/>
        <v>221898.36</v>
      </c>
      <c r="CQ363" s="2">
        <f t="shared" si="324"/>
        <v>18491.53</v>
      </c>
      <c r="CR363" s="2">
        <f t="shared" si="322"/>
        <v>0</v>
      </c>
      <c r="CS363" s="2">
        <f t="shared" si="300"/>
        <v>0</v>
      </c>
      <c r="CT363" s="2">
        <f t="shared" si="301"/>
        <v>0</v>
      </c>
      <c r="CU363" s="2">
        <f t="shared" si="302"/>
        <v>0</v>
      </c>
      <c r="CV363" s="2">
        <f t="shared" si="303"/>
        <v>0</v>
      </c>
      <c r="CW363" s="2">
        <f t="shared" si="304"/>
        <v>0</v>
      </c>
      <c r="CX363" s="2">
        <f t="shared" si="305"/>
        <v>0</v>
      </c>
      <c r="CY363" s="2">
        <f t="shared" si="306"/>
        <v>0</v>
      </c>
      <c r="CZ363" s="2">
        <f t="shared" si="307"/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1010</v>
      </c>
      <c r="DV363" s="2" t="s">
        <v>31</v>
      </c>
      <c r="DW363" s="2" t="s">
        <v>31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55992259</v>
      </c>
      <c r="EF363" s="2">
        <v>130</v>
      </c>
      <c r="EG363" s="2" t="s">
        <v>32</v>
      </c>
      <c r="EH363" s="2">
        <v>0</v>
      </c>
      <c r="EI363" s="2" t="s">
        <v>3</v>
      </c>
      <c r="EJ363" s="2">
        <v>3</v>
      </c>
      <c r="EK363" s="2">
        <v>746</v>
      </c>
      <c r="EL363" s="2" t="s">
        <v>33</v>
      </c>
      <c r="EM363" s="2" t="s">
        <v>34</v>
      </c>
      <c r="EN363" s="2"/>
      <c r="EO363" s="2" t="s">
        <v>3</v>
      </c>
      <c r="EP363" s="2"/>
      <c r="EQ363" s="2">
        <v>1310720</v>
      </c>
      <c r="ER363" s="2">
        <v>0</v>
      </c>
      <c r="ES363" s="2">
        <v>18491.530000000002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f t="shared" si="325"/>
        <v>221898.36</v>
      </c>
      <c r="FS363" s="2">
        <v>0</v>
      </c>
      <c r="FT363" s="2"/>
      <c r="FU363" s="2"/>
      <c r="FV363" s="2"/>
      <c r="FW363" s="2"/>
      <c r="FX363" s="2">
        <v>0</v>
      </c>
      <c r="FY363" s="2">
        <v>0</v>
      </c>
      <c r="FZ363" s="2"/>
      <c r="GA363" s="2" t="s">
        <v>376</v>
      </c>
      <c r="GB363" s="2"/>
      <c r="GC363" s="2"/>
      <c r="GD363" s="2">
        <v>1</v>
      </c>
      <c r="GE363" s="2"/>
      <c r="GF363" s="2">
        <v>1345019243</v>
      </c>
      <c r="GG363" s="2">
        <v>2</v>
      </c>
      <c r="GH363" s="2">
        <v>4</v>
      </c>
      <c r="GI363" s="2">
        <v>-2</v>
      </c>
      <c r="GJ363" s="2">
        <v>0</v>
      </c>
      <c r="GK363" s="2">
        <v>0</v>
      </c>
      <c r="GL363" s="2">
        <f t="shared" si="308"/>
        <v>0</v>
      </c>
      <c r="GM363" s="2">
        <f t="shared" si="309"/>
        <v>221898.36</v>
      </c>
      <c r="GN363" s="2">
        <f t="shared" si="310"/>
        <v>0</v>
      </c>
      <c r="GO363" s="2">
        <f t="shared" si="311"/>
        <v>0</v>
      </c>
      <c r="GP363" s="2">
        <f t="shared" si="312"/>
        <v>0</v>
      </c>
      <c r="GQ363" s="2"/>
      <c r="GR363" s="2">
        <v>0</v>
      </c>
      <c r="GS363" s="2">
        <v>2</v>
      </c>
      <c r="GT363" s="2">
        <v>0</v>
      </c>
      <c r="GU363" s="2" t="s">
        <v>3</v>
      </c>
      <c r="GV363" s="2">
        <f t="shared" si="313"/>
        <v>0</v>
      </c>
      <c r="GW363" s="2">
        <v>1</v>
      </c>
      <c r="GX363" s="2">
        <f t="shared" si="314"/>
        <v>0</v>
      </c>
      <c r="GY363" s="2"/>
      <c r="GZ363" s="2"/>
      <c r="HA363" s="2">
        <v>0</v>
      </c>
      <c r="HB363" s="2">
        <v>0</v>
      </c>
      <c r="HC363" s="2">
        <f t="shared" si="315"/>
        <v>0</v>
      </c>
      <c r="HD363" s="2"/>
      <c r="HE363" s="2" t="s">
        <v>36</v>
      </c>
      <c r="HF363" s="2" t="s">
        <v>37</v>
      </c>
      <c r="HG363" s="2"/>
      <c r="HH363" s="2"/>
      <c r="HI363" s="2"/>
      <c r="HJ363" s="2"/>
      <c r="HK363" s="2"/>
      <c r="HL363" s="2"/>
      <c r="HM363" s="2" t="s">
        <v>3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>
        <v>17</v>
      </c>
      <c r="B364">
        <v>1</v>
      </c>
      <c r="E364" t="s">
        <v>373</v>
      </c>
      <c r="F364" t="s">
        <v>374</v>
      </c>
      <c r="G364" t="s">
        <v>375</v>
      </c>
      <c r="H364" t="s">
        <v>31</v>
      </c>
      <c r="I364">
        <v>12</v>
      </c>
      <c r="J364">
        <v>0</v>
      </c>
      <c r="K364">
        <v>12</v>
      </c>
      <c r="O364">
        <f t="shared" si="286"/>
        <v>1699741.44</v>
      </c>
      <c r="P364">
        <f t="shared" si="323"/>
        <v>1699741.44</v>
      </c>
      <c r="Q364">
        <f t="shared" si="316"/>
        <v>0</v>
      </c>
      <c r="R364">
        <f t="shared" si="287"/>
        <v>0</v>
      </c>
      <c r="S364">
        <f t="shared" si="288"/>
        <v>0</v>
      </c>
      <c r="T364">
        <f t="shared" si="289"/>
        <v>0</v>
      </c>
      <c r="U364">
        <f t="shared" si="290"/>
        <v>0</v>
      </c>
      <c r="V364">
        <f t="shared" si="291"/>
        <v>0</v>
      </c>
      <c r="W364">
        <f t="shared" si="292"/>
        <v>0</v>
      </c>
      <c r="X364">
        <f t="shared" si="293"/>
        <v>0</v>
      </c>
      <c r="Y364">
        <f t="shared" si="294"/>
        <v>0</v>
      </c>
      <c r="AA364">
        <v>56959431</v>
      </c>
      <c r="AB364">
        <f t="shared" si="295"/>
        <v>18491.53</v>
      </c>
      <c r="AC364">
        <f t="shared" si="296"/>
        <v>18491.53</v>
      </c>
      <c r="AD364">
        <f t="shared" si="317"/>
        <v>0</v>
      </c>
      <c r="AE364">
        <f t="shared" si="318"/>
        <v>0</v>
      </c>
      <c r="AF364">
        <f t="shared" si="319"/>
        <v>0</v>
      </c>
      <c r="AG364">
        <f t="shared" si="297"/>
        <v>0</v>
      </c>
      <c r="AH364">
        <f t="shared" si="320"/>
        <v>0</v>
      </c>
      <c r="AI364">
        <f t="shared" si="321"/>
        <v>0</v>
      </c>
      <c r="AJ364">
        <f t="shared" si="298"/>
        <v>0</v>
      </c>
      <c r="AK364">
        <v>18491.530000000002</v>
      </c>
      <c r="AL364">
        <v>18491.530000000002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1</v>
      </c>
      <c r="AZ364">
        <v>1</v>
      </c>
      <c r="BA364">
        <v>1</v>
      </c>
      <c r="BB364">
        <v>1</v>
      </c>
      <c r="BC364">
        <v>7.66</v>
      </c>
      <c r="BD364" t="s">
        <v>3</v>
      </c>
      <c r="BE364" t="s">
        <v>3</v>
      </c>
      <c r="BF364" t="s">
        <v>3</v>
      </c>
      <c r="BG364" t="s">
        <v>3</v>
      </c>
      <c r="BH364">
        <v>3</v>
      </c>
      <c r="BI364">
        <v>3</v>
      </c>
      <c r="BJ364" t="s">
        <v>3</v>
      </c>
      <c r="BM364">
        <v>746</v>
      </c>
      <c r="BN364">
        <v>0</v>
      </c>
      <c r="BO364" t="s">
        <v>3</v>
      </c>
      <c r="BP364">
        <v>0</v>
      </c>
      <c r="BQ364">
        <v>130</v>
      </c>
      <c r="BR364">
        <v>0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 t="s">
        <v>3</v>
      </c>
      <c r="BZ364">
        <v>0</v>
      </c>
      <c r="CA364">
        <v>0</v>
      </c>
      <c r="CB364" t="s">
        <v>3</v>
      </c>
      <c r="CE364">
        <v>30</v>
      </c>
      <c r="CF364">
        <v>0</v>
      </c>
      <c r="CG364">
        <v>0</v>
      </c>
      <c r="CM364">
        <v>0</v>
      </c>
      <c r="CN364" t="s">
        <v>3</v>
      </c>
      <c r="CO364">
        <v>0</v>
      </c>
      <c r="CP364">
        <f t="shared" si="299"/>
        <v>1699741.44</v>
      </c>
      <c r="CQ364">
        <f t="shared" si="324"/>
        <v>141645.12</v>
      </c>
      <c r="CR364">
        <f t="shared" si="322"/>
        <v>0</v>
      </c>
      <c r="CS364">
        <f t="shared" si="300"/>
        <v>0</v>
      </c>
      <c r="CT364">
        <f t="shared" si="301"/>
        <v>0</v>
      </c>
      <c r="CU364">
        <f t="shared" si="302"/>
        <v>0</v>
      </c>
      <c r="CV364">
        <f t="shared" si="303"/>
        <v>0</v>
      </c>
      <c r="CW364">
        <f t="shared" si="304"/>
        <v>0</v>
      </c>
      <c r="CX364">
        <f t="shared" si="305"/>
        <v>0</v>
      </c>
      <c r="CY364">
        <f t="shared" si="306"/>
        <v>0</v>
      </c>
      <c r="CZ364">
        <f t="shared" si="307"/>
        <v>0</v>
      </c>
      <c r="DC364" t="s">
        <v>3</v>
      </c>
      <c r="DD364" t="s">
        <v>3</v>
      </c>
      <c r="DE364" t="s">
        <v>3</v>
      </c>
      <c r="DF364" t="s">
        <v>3</v>
      </c>
      <c r="DG364" t="s">
        <v>3</v>
      </c>
      <c r="DH364" t="s">
        <v>3</v>
      </c>
      <c r="DI364" t="s">
        <v>3</v>
      </c>
      <c r="DJ364" t="s">
        <v>3</v>
      </c>
      <c r="DK364" t="s">
        <v>3</v>
      </c>
      <c r="DL364" t="s">
        <v>3</v>
      </c>
      <c r="DM364" t="s">
        <v>3</v>
      </c>
      <c r="DN364">
        <v>0</v>
      </c>
      <c r="DO364">
        <v>0</v>
      </c>
      <c r="DP364">
        <v>1</v>
      </c>
      <c r="DQ364">
        <v>1</v>
      </c>
      <c r="DU364">
        <v>1010</v>
      </c>
      <c r="DV364" t="s">
        <v>31</v>
      </c>
      <c r="DW364" t="s">
        <v>31</v>
      </c>
      <c r="DX364">
        <v>1</v>
      </c>
      <c r="DZ364" t="s">
        <v>3</v>
      </c>
      <c r="EA364" t="s">
        <v>3</v>
      </c>
      <c r="EB364" t="s">
        <v>3</v>
      </c>
      <c r="EC364" t="s">
        <v>3</v>
      </c>
      <c r="EE364">
        <v>55992259</v>
      </c>
      <c r="EF364">
        <v>130</v>
      </c>
      <c r="EG364" t="s">
        <v>32</v>
      </c>
      <c r="EH364">
        <v>0</v>
      </c>
      <c r="EI364" t="s">
        <v>3</v>
      </c>
      <c r="EJ364">
        <v>3</v>
      </c>
      <c r="EK364">
        <v>746</v>
      </c>
      <c r="EL364" t="s">
        <v>33</v>
      </c>
      <c r="EM364" t="s">
        <v>34</v>
      </c>
      <c r="EO364" t="s">
        <v>3</v>
      </c>
      <c r="EQ364">
        <v>1310720</v>
      </c>
      <c r="ER364">
        <v>18491.530000000002</v>
      </c>
      <c r="ES364">
        <v>18491.530000000002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5</v>
      </c>
      <c r="FC364">
        <v>1</v>
      </c>
      <c r="FD364">
        <v>18</v>
      </c>
      <c r="FF364">
        <v>163066.63</v>
      </c>
      <c r="FQ364">
        <v>0</v>
      </c>
      <c r="FR364">
        <f t="shared" si="325"/>
        <v>1699741.44</v>
      </c>
      <c r="FS364">
        <v>0</v>
      </c>
      <c r="FX364">
        <v>0</v>
      </c>
      <c r="FY364">
        <v>0</v>
      </c>
      <c r="GA364" t="s">
        <v>376</v>
      </c>
      <c r="GD364">
        <v>1</v>
      </c>
      <c r="GF364">
        <v>1345019243</v>
      </c>
      <c r="GG364">
        <v>2</v>
      </c>
      <c r="GH364">
        <v>3</v>
      </c>
      <c r="GI364">
        <v>5</v>
      </c>
      <c r="GJ364">
        <v>0</v>
      </c>
      <c r="GK364">
        <v>0</v>
      </c>
      <c r="GL364">
        <f t="shared" si="308"/>
        <v>0</v>
      </c>
      <c r="GM364">
        <f t="shared" si="309"/>
        <v>1699741.44</v>
      </c>
      <c r="GN364">
        <f t="shared" si="310"/>
        <v>0</v>
      </c>
      <c r="GO364">
        <f t="shared" si="311"/>
        <v>0</v>
      </c>
      <c r="GP364">
        <f t="shared" si="312"/>
        <v>0</v>
      </c>
      <c r="GR364">
        <v>1</v>
      </c>
      <c r="GS364">
        <v>1</v>
      </c>
      <c r="GT364">
        <v>0</v>
      </c>
      <c r="GU364" t="s">
        <v>3</v>
      </c>
      <c r="GV364">
        <f t="shared" si="313"/>
        <v>0</v>
      </c>
      <c r="GW364">
        <v>1</v>
      </c>
      <c r="GX364">
        <f t="shared" si="314"/>
        <v>0</v>
      </c>
      <c r="HA364">
        <v>0</v>
      </c>
      <c r="HB364">
        <v>0</v>
      </c>
      <c r="HC364">
        <f t="shared" si="315"/>
        <v>0</v>
      </c>
      <c r="HE364" t="s">
        <v>36</v>
      </c>
      <c r="HF364" t="s">
        <v>37</v>
      </c>
      <c r="HM364" t="s">
        <v>3</v>
      </c>
      <c r="HN364" t="s">
        <v>3</v>
      </c>
      <c r="HO364" t="s">
        <v>3</v>
      </c>
      <c r="HP364" t="s">
        <v>3</v>
      </c>
      <c r="HQ364" t="s">
        <v>3</v>
      </c>
      <c r="HS364">
        <v>0</v>
      </c>
      <c r="IK364">
        <v>0</v>
      </c>
    </row>
    <row r="365" spans="1:255" x14ac:dyDescent="0.2">
      <c r="A365" s="2">
        <v>17</v>
      </c>
      <c r="B365" s="2">
        <v>1</v>
      </c>
      <c r="C365" s="2"/>
      <c r="D365" s="2"/>
      <c r="E365" s="2" t="s">
        <v>377</v>
      </c>
      <c r="F365" s="2" t="s">
        <v>378</v>
      </c>
      <c r="G365" s="2" t="s">
        <v>379</v>
      </c>
      <c r="H365" s="2" t="s">
        <v>31</v>
      </c>
      <c r="I365" s="2">
        <v>35</v>
      </c>
      <c r="J365" s="2">
        <v>0</v>
      </c>
      <c r="K365" s="2">
        <v>35</v>
      </c>
      <c r="L365" s="2"/>
      <c r="M365" s="2"/>
      <c r="N365" s="2"/>
      <c r="O365" s="2">
        <f t="shared" si="286"/>
        <v>647203.55000000005</v>
      </c>
      <c r="P365" s="2">
        <f t="shared" si="323"/>
        <v>647203.55000000005</v>
      </c>
      <c r="Q365" s="2">
        <f t="shared" si="316"/>
        <v>0</v>
      </c>
      <c r="R365" s="2">
        <f t="shared" si="287"/>
        <v>0</v>
      </c>
      <c r="S365" s="2">
        <f t="shared" si="288"/>
        <v>0</v>
      </c>
      <c r="T365" s="2">
        <f t="shared" si="289"/>
        <v>0</v>
      </c>
      <c r="U365" s="2">
        <f t="shared" si="290"/>
        <v>0</v>
      </c>
      <c r="V365" s="2">
        <f t="shared" si="291"/>
        <v>0</v>
      </c>
      <c r="W365" s="2">
        <f t="shared" si="292"/>
        <v>0</v>
      </c>
      <c r="X365" s="2">
        <f t="shared" si="293"/>
        <v>0</v>
      </c>
      <c r="Y365" s="2">
        <f t="shared" si="294"/>
        <v>0</v>
      </c>
      <c r="Z365" s="2"/>
      <c r="AA365" s="2">
        <v>56959434</v>
      </c>
      <c r="AB365" s="2">
        <f t="shared" si="295"/>
        <v>18491.53</v>
      </c>
      <c r="AC365" s="2">
        <f t="shared" si="296"/>
        <v>18491.53</v>
      </c>
      <c r="AD365" s="2">
        <f t="shared" si="317"/>
        <v>0</v>
      </c>
      <c r="AE365" s="2">
        <f t="shared" si="318"/>
        <v>0</v>
      </c>
      <c r="AF365" s="2">
        <f t="shared" si="319"/>
        <v>0</v>
      </c>
      <c r="AG365" s="2">
        <f t="shared" si="297"/>
        <v>0</v>
      </c>
      <c r="AH365" s="2">
        <f t="shared" si="320"/>
        <v>0</v>
      </c>
      <c r="AI365" s="2">
        <f t="shared" si="321"/>
        <v>0</v>
      </c>
      <c r="AJ365" s="2">
        <f t="shared" si="298"/>
        <v>0</v>
      </c>
      <c r="AK365" s="2">
        <v>18491.530000000002</v>
      </c>
      <c r="AL365" s="2">
        <v>18491.530000000002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1</v>
      </c>
      <c r="AW365" s="2">
        <v>1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3</v>
      </c>
      <c r="BJ365" s="2" t="s">
        <v>3</v>
      </c>
      <c r="BK365" s="2"/>
      <c r="BL365" s="2"/>
      <c r="BM365" s="2">
        <v>746</v>
      </c>
      <c r="BN365" s="2">
        <v>0</v>
      </c>
      <c r="BO365" s="2" t="s">
        <v>3</v>
      </c>
      <c r="BP365" s="2">
        <v>0</v>
      </c>
      <c r="BQ365" s="2">
        <v>130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0</v>
      </c>
      <c r="CA365" s="2">
        <v>0</v>
      </c>
      <c r="CB365" s="2" t="s">
        <v>3</v>
      </c>
      <c r="CC365" s="2"/>
      <c r="CD365" s="2"/>
      <c r="CE365" s="2">
        <v>30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3</v>
      </c>
      <c r="CO365" s="2">
        <v>0</v>
      </c>
      <c r="CP365" s="2">
        <f t="shared" si="299"/>
        <v>647203.55000000005</v>
      </c>
      <c r="CQ365" s="2">
        <f t="shared" si="324"/>
        <v>18491.53</v>
      </c>
      <c r="CR365" s="2">
        <f t="shared" si="322"/>
        <v>0</v>
      </c>
      <c r="CS365" s="2">
        <f t="shared" si="300"/>
        <v>0</v>
      </c>
      <c r="CT365" s="2">
        <f t="shared" si="301"/>
        <v>0</v>
      </c>
      <c r="CU365" s="2">
        <f t="shared" si="302"/>
        <v>0</v>
      </c>
      <c r="CV365" s="2">
        <f t="shared" si="303"/>
        <v>0</v>
      </c>
      <c r="CW365" s="2">
        <f t="shared" si="304"/>
        <v>0</v>
      </c>
      <c r="CX365" s="2">
        <f t="shared" si="305"/>
        <v>0</v>
      </c>
      <c r="CY365" s="2">
        <f t="shared" si="306"/>
        <v>0</v>
      </c>
      <c r="CZ365" s="2">
        <f t="shared" si="307"/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1010</v>
      </c>
      <c r="DV365" s="2" t="s">
        <v>31</v>
      </c>
      <c r="DW365" s="2" t="s">
        <v>31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55992259</v>
      </c>
      <c r="EF365" s="2">
        <v>130</v>
      </c>
      <c r="EG365" s="2" t="s">
        <v>32</v>
      </c>
      <c r="EH365" s="2">
        <v>0</v>
      </c>
      <c r="EI365" s="2" t="s">
        <v>3</v>
      </c>
      <c r="EJ365" s="2">
        <v>3</v>
      </c>
      <c r="EK365" s="2">
        <v>746</v>
      </c>
      <c r="EL365" s="2" t="s">
        <v>33</v>
      </c>
      <c r="EM365" s="2" t="s">
        <v>34</v>
      </c>
      <c r="EN365" s="2"/>
      <c r="EO365" s="2" t="s">
        <v>3</v>
      </c>
      <c r="EP365" s="2"/>
      <c r="EQ365" s="2">
        <v>1310720</v>
      </c>
      <c r="ER365" s="2">
        <v>0</v>
      </c>
      <c r="ES365" s="2">
        <v>18491.530000000002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f t="shared" si="325"/>
        <v>647203.55000000005</v>
      </c>
      <c r="FS365" s="2">
        <v>0</v>
      </c>
      <c r="FT365" s="2"/>
      <c r="FU365" s="2"/>
      <c r="FV365" s="2"/>
      <c r="FW365" s="2"/>
      <c r="FX365" s="2">
        <v>0</v>
      </c>
      <c r="FY365" s="2">
        <v>0</v>
      </c>
      <c r="FZ365" s="2"/>
      <c r="GA365" s="2" t="s">
        <v>376</v>
      </c>
      <c r="GB365" s="2"/>
      <c r="GC365" s="2"/>
      <c r="GD365" s="2">
        <v>1</v>
      </c>
      <c r="GE365" s="2"/>
      <c r="GF365" s="2">
        <v>-125231378</v>
      </c>
      <c r="GG365" s="2">
        <v>2</v>
      </c>
      <c r="GH365" s="2">
        <v>4</v>
      </c>
      <c r="GI365" s="2">
        <v>-2</v>
      </c>
      <c r="GJ365" s="2">
        <v>0</v>
      </c>
      <c r="GK365" s="2">
        <v>0</v>
      </c>
      <c r="GL365" s="2">
        <f t="shared" si="308"/>
        <v>0</v>
      </c>
      <c r="GM365" s="2">
        <f t="shared" si="309"/>
        <v>647203.55000000005</v>
      </c>
      <c r="GN365" s="2">
        <f t="shared" si="310"/>
        <v>0</v>
      </c>
      <c r="GO365" s="2">
        <f t="shared" si="311"/>
        <v>0</v>
      </c>
      <c r="GP365" s="2">
        <f t="shared" si="312"/>
        <v>0</v>
      </c>
      <c r="GQ365" s="2"/>
      <c r="GR365" s="2">
        <v>0</v>
      </c>
      <c r="GS365" s="2">
        <v>2</v>
      </c>
      <c r="GT365" s="2">
        <v>0</v>
      </c>
      <c r="GU365" s="2" t="s">
        <v>3</v>
      </c>
      <c r="GV365" s="2">
        <f t="shared" si="313"/>
        <v>0</v>
      </c>
      <c r="GW365" s="2">
        <v>1</v>
      </c>
      <c r="GX365" s="2">
        <f t="shared" si="314"/>
        <v>0</v>
      </c>
      <c r="GY365" s="2"/>
      <c r="GZ365" s="2"/>
      <c r="HA365" s="2">
        <v>0</v>
      </c>
      <c r="HB365" s="2">
        <v>0</v>
      </c>
      <c r="HC365" s="2">
        <f t="shared" si="315"/>
        <v>0</v>
      </c>
      <c r="HD365" s="2"/>
      <c r="HE365" s="2" t="s">
        <v>36</v>
      </c>
      <c r="HF365" s="2" t="s">
        <v>37</v>
      </c>
      <c r="HG365" s="2"/>
      <c r="HH365" s="2"/>
      <c r="HI365" s="2"/>
      <c r="HJ365" s="2"/>
      <c r="HK365" s="2"/>
      <c r="HL365" s="2"/>
      <c r="HM365" s="2" t="s">
        <v>3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>
        <v>17</v>
      </c>
      <c r="B366">
        <v>1</v>
      </c>
      <c r="E366" t="s">
        <v>377</v>
      </c>
      <c r="F366" t="s">
        <v>378</v>
      </c>
      <c r="G366" t="s">
        <v>379</v>
      </c>
      <c r="H366" t="s">
        <v>31</v>
      </c>
      <c r="I366">
        <v>35</v>
      </c>
      <c r="J366">
        <v>0</v>
      </c>
      <c r="K366">
        <v>35</v>
      </c>
      <c r="O366">
        <f t="shared" si="286"/>
        <v>4957579.1900000004</v>
      </c>
      <c r="P366">
        <f t="shared" si="323"/>
        <v>4957579.1900000004</v>
      </c>
      <c r="Q366">
        <f t="shared" si="316"/>
        <v>0</v>
      </c>
      <c r="R366">
        <f t="shared" si="287"/>
        <v>0</v>
      </c>
      <c r="S366">
        <f t="shared" si="288"/>
        <v>0</v>
      </c>
      <c r="T366">
        <f t="shared" si="289"/>
        <v>0</v>
      </c>
      <c r="U366">
        <f t="shared" si="290"/>
        <v>0</v>
      </c>
      <c r="V366">
        <f t="shared" si="291"/>
        <v>0</v>
      </c>
      <c r="W366">
        <f t="shared" si="292"/>
        <v>0</v>
      </c>
      <c r="X366">
        <f t="shared" si="293"/>
        <v>0</v>
      </c>
      <c r="Y366">
        <f t="shared" si="294"/>
        <v>0</v>
      </c>
      <c r="AA366">
        <v>56959431</v>
      </c>
      <c r="AB366">
        <f t="shared" si="295"/>
        <v>18491.53</v>
      </c>
      <c r="AC366">
        <f t="shared" si="296"/>
        <v>18491.53</v>
      </c>
      <c r="AD366">
        <f t="shared" si="317"/>
        <v>0</v>
      </c>
      <c r="AE366">
        <f t="shared" si="318"/>
        <v>0</v>
      </c>
      <c r="AF366">
        <f t="shared" si="319"/>
        <v>0</v>
      </c>
      <c r="AG366">
        <f t="shared" si="297"/>
        <v>0</v>
      </c>
      <c r="AH366">
        <f t="shared" si="320"/>
        <v>0</v>
      </c>
      <c r="AI366">
        <f t="shared" si="321"/>
        <v>0</v>
      </c>
      <c r="AJ366">
        <f t="shared" si="298"/>
        <v>0</v>
      </c>
      <c r="AK366">
        <v>18491.530000000002</v>
      </c>
      <c r="AL366">
        <v>18491.530000000002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1</v>
      </c>
      <c r="AZ366">
        <v>1</v>
      </c>
      <c r="BA366">
        <v>1</v>
      </c>
      <c r="BB366">
        <v>1</v>
      </c>
      <c r="BC366">
        <v>7.66</v>
      </c>
      <c r="BD366" t="s">
        <v>3</v>
      </c>
      <c r="BE366" t="s">
        <v>3</v>
      </c>
      <c r="BF366" t="s">
        <v>3</v>
      </c>
      <c r="BG366" t="s">
        <v>3</v>
      </c>
      <c r="BH366">
        <v>3</v>
      </c>
      <c r="BI366">
        <v>3</v>
      </c>
      <c r="BJ366" t="s">
        <v>3</v>
      </c>
      <c r="BM366">
        <v>746</v>
      </c>
      <c r="BN366">
        <v>0</v>
      </c>
      <c r="BO366" t="s">
        <v>3</v>
      </c>
      <c r="BP366">
        <v>0</v>
      </c>
      <c r="BQ366">
        <v>130</v>
      </c>
      <c r="BR366">
        <v>0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 t="s">
        <v>3</v>
      </c>
      <c r="BZ366">
        <v>0</v>
      </c>
      <c r="CA366">
        <v>0</v>
      </c>
      <c r="CB366" t="s">
        <v>3</v>
      </c>
      <c r="CE366">
        <v>30</v>
      </c>
      <c r="CF366">
        <v>0</v>
      </c>
      <c r="CG366">
        <v>0</v>
      </c>
      <c r="CM366">
        <v>0</v>
      </c>
      <c r="CN366" t="s">
        <v>3</v>
      </c>
      <c r="CO366">
        <v>0</v>
      </c>
      <c r="CP366">
        <f t="shared" si="299"/>
        <v>4957579.1900000004</v>
      </c>
      <c r="CQ366">
        <f t="shared" si="324"/>
        <v>141645.12</v>
      </c>
      <c r="CR366">
        <f t="shared" si="322"/>
        <v>0</v>
      </c>
      <c r="CS366">
        <f t="shared" si="300"/>
        <v>0</v>
      </c>
      <c r="CT366">
        <f t="shared" si="301"/>
        <v>0</v>
      </c>
      <c r="CU366">
        <f t="shared" si="302"/>
        <v>0</v>
      </c>
      <c r="CV366">
        <f t="shared" si="303"/>
        <v>0</v>
      </c>
      <c r="CW366">
        <f t="shared" si="304"/>
        <v>0</v>
      </c>
      <c r="CX366">
        <f t="shared" si="305"/>
        <v>0</v>
      </c>
      <c r="CY366">
        <f t="shared" si="306"/>
        <v>0</v>
      </c>
      <c r="CZ366">
        <f t="shared" si="307"/>
        <v>0</v>
      </c>
      <c r="DC366" t="s">
        <v>3</v>
      </c>
      <c r="DD366" t="s">
        <v>3</v>
      </c>
      <c r="DE366" t="s">
        <v>3</v>
      </c>
      <c r="DF366" t="s">
        <v>3</v>
      </c>
      <c r="DG366" t="s">
        <v>3</v>
      </c>
      <c r="DH366" t="s">
        <v>3</v>
      </c>
      <c r="DI366" t="s">
        <v>3</v>
      </c>
      <c r="DJ366" t="s">
        <v>3</v>
      </c>
      <c r="DK366" t="s">
        <v>3</v>
      </c>
      <c r="DL366" t="s">
        <v>3</v>
      </c>
      <c r="DM366" t="s">
        <v>3</v>
      </c>
      <c r="DN366">
        <v>0</v>
      </c>
      <c r="DO366">
        <v>0</v>
      </c>
      <c r="DP366">
        <v>1</v>
      </c>
      <c r="DQ366">
        <v>1</v>
      </c>
      <c r="DU366">
        <v>1010</v>
      </c>
      <c r="DV366" t="s">
        <v>31</v>
      </c>
      <c r="DW366" t="s">
        <v>31</v>
      </c>
      <c r="DX366">
        <v>1</v>
      </c>
      <c r="DZ366" t="s">
        <v>3</v>
      </c>
      <c r="EA366" t="s">
        <v>3</v>
      </c>
      <c r="EB366" t="s">
        <v>3</v>
      </c>
      <c r="EC366" t="s">
        <v>3</v>
      </c>
      <c r="EE366">
        <v>55992259</v>
      </c>
      <c r="EF366">
        <v>130</v>
      </c>
      <c r="EG366" t="s">
        <v>32</v>
      </c>
      <c r="EH366">
        <v>0</v>
      </c>
      <c r="EI366" t="s">
        <v>3</v>
      </c>
      <c r="EJ366">
        <v>3</v>
      </c>
      <c r="EK366">
        <v>746</v>
      </c>
      <c r="EL366" t="s">
        <v>33</v>
      </c>
      <c r="EM366" t="s">
        <v>34</v>
      </c>
      <c r="EO366" t="s">
        <v>3</v>
      </c>
      <c r="EQ366">
        <v>1310720</v>
      </c>
      <c r="ER366">
        <v>18491.530000000002</v>
      </c>
      <c r="ES366">
        <v>18491.530000000002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5</v>
      </c>
      <c r="FC366">
        <v>1</v>
      </c>
      <c r="FD366">
        <v>18</v>
      </c>
      <c r="FF366">
        <v>163066.63</v>
      </c>
      <c r="FQ366">
        <v>0</v>
      </c>
      <c r="FR366">
        <f t="shared" si="325"/>
        <v>4957579.1900000004</v>
      </c>
      <c r="FS366">
        <v>0</v>
      </c>
      <c r="FX366">
        <v>0</v>
      </c>
      <c r="FY366">
        <v>0</v>
      </c>
      <c r="GA366" t="s">
        <v>376</v>
      </c>
      <c r="GD366">
        <v>1</v>
      </c>
      <c r="GF366">
        <v>-125231378</v>
      </c>
      <c r="GG366">
        <v>2</v>
      </c>
      <c r="GH366">
        <v>3</v>
      </c>
      <c r="GI366">
        <v>5</v>
      </c>
      <c r="GJ366">
        <v>0</v>
      </c>
      <c r="GK366">
        <v>0</v>
      </c>
      <c r="GL366">
        <f t="shared" si="308"/>
        <v>0</v>
      </c>
      <c r="GM366">
        <f t="shared" si="309"/>
        <v>4957579.1900000004</v>
      </c>
      <c r="GN366">
        <f t="shared" si="310"/>
        <v>0</v>
      </c>
      <c r="GO366">
        <f t="shared" si="311"/>
        <v>0</v>
      </c>
      <c r="GP366">
        <f t="shared" si="312"/>
        <v>0</v>
      </c>
      <c r="GR366">
        <v>1</v>
      </c>
      <c r="GS366">
        <v>1</v>
      </c>
      <c r="GT366">
        <v>0</v>
      </c>
      <c r="GU366" t="s">
        <v>3</v>
      </c>
      <c r="GV366">
        <f t="shared" si="313"/>
        <v>0</v>
      </c>
      <c r="GW366">
        <v>1</v>
      </c>
      <c r="GX366">
        <f t="shared" si="314"/>
        <v>0</v>
      </c>
      <c r="HA366">
        <v>0</v>
      </c>
      <c r="HB366">
        <v>0</v>
      </c>
      <c r="HC366">
        <f t="shared" si="315"/>
        <v>0</v>
      </c>
      <c r="HE366" t="s">
        <v>36</v>
      </c>
      <c r="HF366" t="s">
        <v>37</v>
      </c>
      <c r="HM366" t="s">
        <v>3</v>
      </c>
      <c r="HN366" t="s">
        <v>3</v>
      </c>
      <c r="HO366" t="s">
        <v>3</v>
      </c>
      <c r="HP366" t="s">
        <v>3</v>
      </c>
      <c r="HQ366" t="s">
        <v>3</v>
      </c>
      <c r="HS366">
        <v>0</v>
      </c>
      <c r="IK366">
        <v>0</v>
      </c>
    </row>
    <row r="367" spans="1:255" x14ac:dyDescent="0.2">
      <c r="A367" s="2">
        <v>17</v>
      </c>
      <c r="B367" s="2">
        <v>1</v>
      </c>
      <c r="C367" s="2"/>
      <c r="D367" s="2"/>
      <c r="E367" s="2" t="s">
        <v>380</v>
      </c>
      <c r="F367" s="2" t="s">
        <v>381</v>
      </c>
      <c r="G367" s="2" t="s">
        <v>382</v>
      </c>
      <c r="H367" s="2" t="s">
        <v>31</v>
      </c>
      <c r="I367" s="2">
        <v>1</v>
      </c>
      <c r="J367" s="2">
        <v>0</v>
      </c>
      <c r="K367" s="2">
        <v>1</v>
      </c>
      <c r="L367" s="2"/>
      <c r="M367" s="2"/>
      <c r="N367" s="2"/>
      <c r="O367" s="2">
        <f t="shared" si="286"/>
        <v>19615.830000000002</v>
      </c>
      <c r="P367" s="2">
        <f t="shared" si="323"/>
        <v>19615.830000000002</v>
      </c>
      <c r="Q367" s="2">
        <f t="shared" si="316"/>
        <v>0</v>
      </c>
      <c r="R367" s="2">
        <f t="shared" si="287"/>
        <v>0</v>
      </c>
      <c r="S367" s="2">
        <f t="shared" si="288"/>
        <v>0</v>
      </c>
      <c r="T367" s="2">
        <f t="shared" si="289"/>
        <v>0</v>
      </c>
      <c r="U367" s="2">
        <f t="shared" si="290"/>
        <v>0</v>
      </c>
      <c r="V367" s="2">
        <f t="shared" si="291"/>
        <v>0</v>
      </c>
      <c r="W367" s="2">
        <f t="shared" si="292"/>
        <v>0</v>
      </c>
      <c r="X367" s="2">
        <f t="shared" si="293"/>
        <v>0</v>
      </c>
      <c r="Y367" s="2">
        <f t="shared" si="294"/>
        <v>0</v>
      </c>
      <c r="Z367" s="2"/>
      <c r="AA367" s="2">
        <v>56959434</v>
      </c>
      <c r="AB367" s="2">
        <f t="shared" si="295"/>
        <v>19615.830000000002</v>
      </c>
      <c r="AC367" s="2">
        <f t="shared" si="296"/>
        <v>19615.830000000002</v>
      </c>
      <c r="AD367" s="2">
        <f t="shared" si="317"/>
        <v>0</v>
      </c>
      <c r="AE367" s="2">
        <f t="shared" si="318"/>
        <v>0</v>
      </c>
      <c r="AF367" s="2">
        <f t="shared" si="319"/>
        <v>0</v>
      </c>
      <c r="AG367" s="2">
        <f t="shared" si="297"/>
        <v>0</v>
      </c>
      <c r="AH367" s="2">
        <f t="shared" si="320"/>
        <v>0</v>
      </c>
      <c r="AI367" s="2">
        <f t="shared" si="321"/>
        <v>0</v>
      </c>
      <c r="AJ367" s="2">
        <f t="shared" si="298"/>
        <v>0</v>
      </c>
      <c r="AK367" s="2">
        <v>19615.829999999998</v>
      </c>
      <c r="AL367" s="2">
        <v>19615.829999999998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1</v>
      </c>
      <c r="AW367" s="2">
        <v>1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3</v>
      </c>
      <c r="BI367" s="2">
        <v>3</v>
      </c>
      <c r="BJ367" s="2" t="s">
        <v>3</v>
      </c>
      <c r="BK367" s="2"/>
      <c r="BL367" s="2"/>
      <c r="BM367" s="2">
        <v>746</v>
      </c>
      <c r="BN367" s="2">
        <v>0</v>
      </c>
      <c r="BO367" s="2" t="s">
        <v>3</v>
      </c>
      <c r="BP367" s="2">
        <v>0</v>
      </c>
      <c r="BQ367" s="2">
        <v>130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0</v>
      </c>
      <c r="CA367" s="2">
        <v>0</v>
      </c>
      <c r="CB367" s="2" t="s">
        <v>3</v>
      </c>
      <c r="CC367" s="2"/>
      <c r="CD367" s="2"/>
      <c r="CE367" s="2">
        <v>30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3</v>
      </c>
      <c r="CO367" s="2">
        <v>0</v>
      </c>
      <c r="CP367" s="2">
        <f t="shared" si="299"/>
        <v>19615.830000000002</v>
      </c>
      <c r="CQ367" s="2">
        <f t="shared" si="324"/>
        <v>19615.830000000002</v>
      </c>
      <c r="CR367" s="2">
        <f t="shared" si="322"/>
        <v>0</v>
      </c>
      <c r="CS367" s="2">
        <f t="shared" si="300"/>
        <v>0</v>
      </c>
      <c r="CT367" s="2">
        <f t="shared" si="301"/>
        <v>0</v>
      </c>
      <c r="CU367" s="2">
        <f t="shared" si="302"/>
        <v>0</v>
      </c>
      <c r="CV367" s="2">
        <f t="shared" si="303"/>
        <v>0</v>
      </c>
      <c r="CW367" s="2">
        <f t="shared" si="304"/>
        <v>0</v>
      </c>
      <c r="CX367" s="2">
        <f t="shared" si="305"/>
        <v>0</v>
      </c>
      <c r="CY367" s="2">
        <f t="shared" si="306"/>
        <v>0</v>
      </c>
      <c r="CZ367" s="2">
        <f t="shared" si="307"/>
        <v>0</v>
      </c>
      <c r="DA367" s="2"/>
      <c r="DB367" s="2"/>
      <c r="DC367" s="2" t="s">
        <v>3</v>
      </c>
      <c r="DD367" s="2" t="s">
        <v>3</v>
      </c>
      <c r="DE367" s="2" t="s">
        <v>3</v>
      </c>
      <c r="DF367" s="2" t="s">
        <v>3</v>
      </c>
      <c r="DG367" s="2" t="s">
        <v>3</v>
      </c>
      <c r="DH367" s="2" t="s">
        <v>3</v>
      </c>
      <c r="DI367" s="2" t="s">
        <v>3</v>
      </c>
      <c r="DJ367" s="2" t="s">
        <v>3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1010</v>
      </c>
      <c r="DV367" s="2" t="s">
        <v>31</v>
      </c>
      <c r="DW367" s="2" t="s">
        <v>31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55992259</v>
      </c>
      <c r="EF367" s="2">
        <v>130</v>
      </c>
      <c r="EG367" s="2" t="s">
        <v>32</v>
      </c>
      <c r="EH367" s="2">
        <v>0</v>
      </c>
      <c r="EI367" s="2" t="s">
        <v>3</v>
      </c>
      <c r="EJ367" s="2">
        <v>3</v>
      </c>
      <c r="EK367" s="2">
        <v>746</v>
      </c>
      <c r="EL367" s="2" t="s">
        <v>33</v>
      </c>
      <c r="EM367" s="2" t="s">
        <v>34</v>
      </c>
      <c r="EN367" s="2"/>
      <c r="EO367" s="2" t="s">
        <v>3</v>
      </c>
      <c r="EP367" s="2"/>
      <c r="EQ367" s="2">
        <v>1310720</v>
      </c>
      <c r="ER367" s="2">
        <v>0</v>
      </c>
      <c r="ES367" s="2">
        <v>19615.829999999998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f t="shared" si="325"/>
        <v>19615.830000000002</v>
      </c>
      <c r="FS367" s="2">
        <v>0</v>
      </c>
      <c r="FT367" s="2"/>
      <c r="FU367" s="2"/>
      <c r="FV367" s="2"/>
      <c r="FW367" s="2"/>
      <c r="FX367" s="2">
        <v>0</v>
      </c>
      <c r="FY367" s="2">
        <v>0</v>
      </c>
      <c r="FZ367" s="2"/>
      <c r="GA367" s="2" t="s">
        <v>383</v>
      </c>
      <c r="GB367" s="2"/>
      <c r="GC367" s="2"/>
      <c r="GD367" s="2">
        <v>1</v>
      </c>
      <c r="GE367" s="2"/>
      <c r="GF367" s="2">
        <v>-424391450</v>
      </c>
      <c r="GG367" s="2">
        <v>2</v>
      </c>
      <c r="GH367" s="2">
        <v>4</v>
      </c>
      <c r="GI367" s="2">
        <v>-2</v>
      </c>
      <c r="GJ367" s="2">
        <v>0</v>
      </c>
      <c r="GK367" s="2">
        <v>0</v>
      </c>
      <c r="GL367" s="2">
        <f t="shared" si="308"/>
        <v>0</v>
      </c>
      <c r="GM367" s="2">
        <f t="shared" si="309"/>
        <v>19615.830000000002</v>
      </c>
      <c r="GN367" s="2">
        <f t="shared" si="310"/>
        <v>0</v>
      </c>
      <c r="GO367" s="2">
        <f t="shared" si="311"/>
        <v>0</v>
      </c>
      <c r="GP367" s="2">
        <f t="shared" si="312"/>
        <v>0</v>
      </c>
      <c r="GQ367" s="2"/>
      <c r="GR367" s="2">
        <v>0</v>
      </c>
      <c r="GS367" s="2">
        <v>2</v>
      </c>
      <c r="GT367" s="2">
        <v>0</v>
      </c>
      <c r="GU367" s="2" t="s">
        <v>3</v>
      </c>
      <c r="GV367" s="2">
        <f t="shared" si="313"/>
        <v>0</v>
      </c>
      <c r="GW367" s="2">
        <v>1</v>
      </c>
      <c r="GX367" s="2">
        <f t="shared" si="314"/>
        <v>0</v>
      </c>
      <c r="GY367" s="2"/>
      <c r="GZ367" s="2"/>
      <c r="HA367" s="2">
        <v>0</v>
      </c>
      <c r="HB367" s="2">
        <v>0</v>
      </c>
      <c r="HC367" s="2">
        <f t="shared" si="315"/>
        <v>0</v>
      </c>
      <c r="HD367" s="2"/>
      <c r="HE367" s="2" t="s">
        <v>36</v>
      </c>
      <c r="HF367" s="2" t="s">
        <v>37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>
        <v>17</v>
      </c>
      <c r="B368">
        <v>1</v>
      </c>
      <c r="E368" t="s">
        <v>380</v>
      </c>
      <c r="F368" t="s">
        <v>381</v>
      </c>
      <c r="G368" t="s">
        <v>382</v>
      </c>
      <c r="H368" t="s">
        <v>31</v>
      </c>
      <c r="I368">
        <v>1</v>
      </c>
      <c r="J368">
        <v>0</v>
      </c>
      <c r="K368">
        <v>1</v>
      </c>
      <c r="O368">
        <f t="shared" si="286"/>
        <v>150257.26</v>
      </c>
      <c r="P368">
        <f t="shared" si="323"/>
        <v>150257.26</v>
      </c>
      <c r="Q368">
        <f t="shared" si="316"/>
        <v>0</v>
      </c>
      <c r="R368">
        <f t="shared" si="287"/>
        <v>0</v>
      </c>
      <c r="S368">
        <f t="shared" si="288"/>
        <v>0</v>
      </c>
      <c r="T368">
        <f t="shared" si="289"/>
        <v>0</v>
      </c>
      <c r="U368">
        <f t="shared" si="290"/>
        <v>0</v>
      </c>
      <c r="V368">
        <f t="shared" si="291"/>
        <v>0</v>
      </c>
      <c r="W368">
        <f t="shared" si="292"/>
        <v>0</v>
      </c>
      <c r="X368">
        <f t="shared" si="293"/>
        <v>0</v>
      </c>
      <c r="Y368">
        <f t="shared" si="294"/>
        <v>0</v>
      </c>
      <c r="AA368">
        <v>56959431</v>
      </c>
      <c r="AB368">
        <f t="shared" si="295"/>
        <v>19615.830000000002</v>
      </c>
      <c r="AC368">
        <f t="shared" si="296"/>
        <v>19615.830000000002</v>
      </c>
      <c r="AD368">
        <f t="shared" si="317"/>
        <v>0</v>
      </c>
      <c r="AE368">
        <f t="shared" si="318"/>
        <v>0</v>
      </c>
      <c r="AF368">
        <f t="shared" si="319"/>
        <v>0</v>
      </c>
      <c r="AG368">
        <f t="shared" si="297"/>
        <v>0</v>
      </c>
      <c r="AH368">
        <f t="shared" si="320"/>
        <v>0</v>
      </c>
      <c r="AI368">
        <f t="shared" si="321"/>
        <v>0</v>
      </c>
      <c r="AJ368">
        <f t="shared" si="298"/>
        <v>0</v>
      </c>
      <c r="AK368">
        <v>19615.829999999998</v>
      </c>
      <c r="AL368">
        <v>19615.829999999998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1</v>
      </c>
      <c r="AZ368">
        <v>1</v>
      </c>
      <c r="BA368">
        <v>1</v>
      </c>
      <c r="BB368">
        <v>1</v>
      </c>
      <c r="BC368">
        <v>7.66</v>
      </c>
      <c r="BD368" t="s">
        <v>3</v>
      </c>
      <c r="BE368" t="s">
        <v>3</v>
      </c>
      <c r="BF368" t="s">
        <v>3</v>
      </c>
      <c r="BG368" t="s">
        <v>3</v>
      </c>
      <c r="BH368">
        <v>3</v>
      </c>
      <c r="BI368">
        <v>3</v>
      </c>
      <c r="BJ368" t="s">
        <v>3</v>
      </c>
      <c r="BM368">
        <v>746</v>
      </c>
      <c r="BN368">
        <v>0</v>
      </c>
      <c r="BO368" t="s">
        <v>3</v>
      </c>
      <c r="BP368">
        <v>0</v>
      </c>
      <c r="BQ368">
        <v>130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 t="s">
        <v>3</v>
      </c>
      <c r="BZ368">
        <v>0</v>
      </c>
      <c r="CA368">
        <v>0</v>
      </c>
      <c r="CB368" t="s">
        <v>3</v>
      </c>
      <c r="CE368">
        <v>30</v>
      </c>
      <c r="CF368">
        <v>0</v>
      </c>
      <c r="CG368">
        <v>0</v>
      </c>
      <c r="CM368">
        <v>0</v>
      </c>
      <c r="CN368" t="s">
        <v>3</v>
      </c>
      <c r="CO368">
        <v>0</v>
      </c>
      <c r="CP368">
        <f t="shared" si="299"/>
        <v>150257.26</v>
      </c>
      <c r="CQ368">
        <f t="shared" si="324"/>
        <v>150257.26</v>
      </c>
      <c r="CR368">
        <f t="shared" si="322"/>
        <v>0</v>
      </c>
      <c r="CS368">
        <f t="shared" si="300"/>
        <v>0</v>
      </c>
      <c r="CT368">
        <f t="shared" si="301"/>
        <v>0</v>
      </c>
      <c r="CU368">
        <f t="shared" si="302"/>
        <v>0</v>
      </c>
      <c r="CV368">
        <f t="shared" si="303"/>
        <v>0</v>
      </c>
      <c r="CW368">
        <f t="shared" si="304"/>
        <v>0</v>
      </c>
      <c r="CX368">
        <f t="shared" si="305"/>
        <v>0</v>
      </c>
      <c r="CY368">
        <f t="shared" si="306"/>
        <v>0</v>
      </c>
      <c r="CZ368">
        <f t="shared" si="307"/>
        <v>0</v>
      </c>
      <c r="DC368" t="s">
        <v>3</v>
      </c>
      <c r="DD368" t="s">
        <v>3</v>
      </c>
      <c r="DE368" t="s">
        <v>3</v>
      </c>
      <c r="DF368" t="s">
        <v>3</v>
      </c>
      <c r="DG368" t="s">
        <v>3</v>
      </c>
      <c r="DH368" t="s">
        <v>3</v>
      </c>
      <c r="DI368" t="s">
        <v>3</v>
      </c>
      <c r="DJ368" t="s">
        <v>3</v>
      </c>
      <c r="DK368" t="s">
        <v>3</v>
      </c>
      <c r="DL368" t="s">
        <v>3</v>
      </c>
      <c r="DM368" t="s">
        <v>3</v>
      </c>
      <c r="DN368">
        <v>0</v>
      </c>
      <c r="DO368">
        <v>0</v>
      </c>
      <c r="DP368">
        <v>1</v>
      </c>
      <c r="DQ368">
        <v>1</v>
      </c>
      <c r="DU368">
        <v>1010</v>
      </c>
      <c r="DV368" t="s">
        <v>31</v>
      </c>
      <c r="DW368" t="s">
        <v>31</v>
      </c>
      <c r="DX368">
        <v>1</v>
      </c>
      <c r="DZ368" t="s">
        <v>3</v>
      </c>
      <c r="EA368" t="s">
        <v>3</v>
      </c>
      <c r="EB368" t="s">
        <v>3</v>
      </c>
      <c r="EC368" t="s">
        <v>3</v>
      </c>
      <c r="EE368">
        <v>55992259</v>
      </c>
      <c r="EF368">
        <v>130</v>
      </c>
      <c r="EG368" t="s">
        <v>32</v>
      </c>
      <c r="EH368">
        <v>0</v>
      </c>
      <c r="EI368" t="s">
        <v>3</v>
      </c>
      <c r="EJ368">
        <v>3</v>
      </c>
      <c r="EK368">
        <v>746</v>
      </c>
      <c r="EL368" t="s">
        <v>33</v>
      </c>
      <c r="EM368" t="s">
        <v>34</v>
      </c>
      <c r="EO368" t="s">
        <v>3</v>
      </c>
      <c r="EQ368">
        <v>1310720</v>
      </c>
      <c r="ER368">
        <v>19615.829999999998</v>
      </c>
      <c r="ES368">
        <v>19615.829999999998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5</v>
      </c>
      <c r="FC368">
        <v>1</v>
      </c>
      <c r="FD368">
        <v>18</v>
      </c>
      <c r="FF368">
        <v>172981.24</v>
      </c>
      <c r="FQ368">
        <v>0</v>
      </c>
      <c r="FR368">
        <f t="shared" si="325"/>
        <v>150257.26</v>
      </c>
      <c r="FS368">
        <v>0</v>
      </c>
      <c r="FX368">
        <v>0</v>
      </c>
      <c r="FY368">
        <v>0</v>
      </c>
      <c r="GA368" t="s">
        <v>383</v>
      </c>
      <c r="GD368">
        <v>1</v>
      </c>
      <c r="GF368">
        <v>-424391450</v>
      </c>
      <c r="GG368">
        <v>2</v>
      </c>
      <c r="GH368">
        <v>3</v>
      </c>
      <c r="GI368">
        <v>5</v>
      </c>
      <c r="GJ368">
        <v>0</v>
      </c>
      <c r="GK368">
        <v>0</v>
      </c>
      <c r="GL368">
        <f t="shared" si="308"/>
        <v>0</v>
      </c>
      <c r="GM368">
        <f t="shared" si="309"/>
        <v>150257.26</v>
      </c>
      <c r="GN368">
        <f t="shared" si="310"/>
        <v>0</v>
      </c>
      <c r="GO368">
        <f t="shared" si="311"/>
        <v>0</v>
      </c>
      <c r="GP368">
        <f t="shared" si="312"/>
        <v>0</v>
      </c>
      <c r="GR368">
        <v>1</v>
      </c>
      <c r="GS368">
        <v>1</v>
      </c>
      <c r="GT368">
        <v>0</v>
      </c>
      <c r="GU368" t="s">
        <v>3</v>
      </c>
      <c r="GV368">
        <f t="shared" si="313"/>
        <v>0</v>
      </c>
      <c r="GW368">
        <v>1</v>
      </c>
      <c r="GX368">
        <f t="shared" si="314"/>
        <v>0</v>
      </c>
      <c r="HA368">
        <v>0</v>
      </c>
      <c r="HB368">
        <v>0</v>
      </c>
      <c r="HC368">
        <f t="shared" si="315"/>
        <v>0</v>
      </c>
      <c r="HE368" t="s">
        <v>36</v>
      </c>
      <c r="HF368" t="s">
        <v>37</v>
      </c>
      <c r="HM368" t="s">
        <v>3</v>
      </c>
      <c r="HN368" t="s">
        <v>3</v>
      </c>
      <c r="HO368" t="s">
        <v>3</v>
      </c>
      <c r="HP368" t="s">
        <v>3</v>
      </c>
      <c r="HQ368" t="s">
        <v>3</v>
      </c>
      <c r="HS368">
        <v>0</v>
      </c>
      <c r="IK368">
        <v>0</v>
      </c>
    </row>
    <row r="369" spans="1:255" x14ac:dyDescent="0.2">
      <c r="A369" s="2">
        <v>17</v>
      </c>
      <c r="B369" s="2">
        <v>1</v>
      </c>
      <c r="C369" s="2"/>
      <c r="D369" s="2"/>
      <c r="E369" s="2" t="s">
        <v>384</v>
      </c>
      <c r="F369" s="2" t="s">
        <v>385</v>
      </c>
      <c r="G369" s="2" t="s">
        <v>386</v>
      </c>
      <c r="H369" s="2" t="s">
        <v>31</v>
      </c>
      <c r="I369" s="2">
        <v>2</v>
      </c>
      <c r="J369" s="2">
        <v>0</v>
      </c>
      <c r="K369" s="2">
        <v>2</v>
      </c>
      <c r="L369" s="2"/>
      <c r="M369" s="2"/>
      <c r="N369" s="2"/>
      <c r="O369" s="2">
        <f t="shared" si="286"/>
        <v>40635.120000000003</v>
      </c>
      <c r="P369" s="2">
        <f t="shared" si="323"/>
        <v>40635.120000000003</v>
      </c>
      <c r="Q369" s="2">
        <f t="shared" si="316"/>
        <v>0</v>
      </c>
      <c r="R369" s="2">
        <f t="shared" si="287"/>
        <v>0</v>
      </c>
      <c r="S369" s="2">
        <f t="shared" si="288"/>
        <v>0</v>
      </c>
      <c r="T369" s="2">
        <f t="shared" si="289"/>
        <v>0</v>
      </c>
      <c r="U369" s="2">
        <f t="shared" si="290"/>
        <v>0</v>
      </c>
      <c r="V369" s="2">
        <f t="shared" si="291"/>
        <v>0</v>
      </c>
      <c r="W369" s="2">
        <f t="shared" si="292"/>
        <v>0</v>
      </c>
      <c r="X369" s="2">
        <f t="shared" si="293"/>
        <v>0</v>
      </c>
      <c r="Y369" s="2">
        <f t="shared" si="294"/>
        <v>0</v>
      </c>
      <c r="Z369" s="2"/>
      <c r="AA369" s="2">
        <v>56959434</v>
      </c>
      <c r="AB369" s="2">
        <f t="shared" si="295"/>
        <v>20317.560000000001</v>
      </c>
      <c r="AC369" s="2">
        <f t="shared" si="296"/>
        <v>20317.560000000001</v>
      </c>
      <c r="AD369" s="2">
        <f t="shared" si="317"/>
        <v>0</v>
      </c>
      <c r="AE369" s="2">
        <f t="shared" si="318"/>
        <v>0</v>
      </c>
      <c r="AF369" s="2">
        <f t="shared" si="319"/>
        <v>0</v>
      </c>
      <c r="AG369" s="2">
        <f t="shared" si="297"/>
        <v>0</v>
      </c>
      <c r="AH369" s="2">
        <f t="shared" si="320"/>
        <v>0</v>
      </c>
      <c r="AI369" s="2">
        <f t="shared" si="321"/>
        <v>0</v>
      </c>
      <c r="AJ369" s="2">
        <f t="shared" si="298"/>
        <v>0</v>
      </c>
      <c r="AK369" s="2">
        <v>20317.559999999998</v>
      </c>
      <c r="AL369" s="2">
        <v>20317.559999999998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1</v>
      </c>
      <c r="AW369" s="2">
        <v>1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3</v>
      </c>
      <c r="BJ369" s="2" t="s">
        <v>3</v>
      </c>
      <c r="BK369" s="2"/>
      <c r="BL369" s="2"/>
      <c r="BM369" s="2">
        <v>746</v>
      </c>
      <c r="BN369" s="2">
        <v>0</v>
      </c>
      <c r="BO369" s="2" t="s">
        <v>3</v>
      </c>
      <c r="BP369" s="2">
        <v>0</v>
      </c>
      <c r="BQ369" s="2">
        <v>130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0</v>
      </c>
      <c r="CA369" s="2">
        <v>0</v>
      </c>
      <c r="CB369" s="2" t="s">
        <v>3</v>
      </c>
      <c r="CC369" s="2"/>
      <c r="CD369" s="2"/>
      <c r="CE369" s="2">
        <v>30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3</v>
      </c>
      <c r="CO369" s="2">
        <v>0</v>
      </c>
      <c r="CP369" s="2">
        <f t="shared" si="299"/>
        <v>40635.120000000003</v>
      </c>
      <c r="CQ369" s="2">
        <f t="shared" si="324"/>
        <v>20317.560000000001</v>
      </c>
      <c r="CR369" s="2">
        <f t="shared" si="322"/>
        <v>0</v>
      </c>
      <c r="CS369" s="2">
        <f t="shared" si="300"/>
        <v>0</v>
      </c>
      <c r="CT369" s="2">
        <f t="shared" si="301"/>
        <v>0</v>
      </c>
      <c r="CU369" s="2">
        <f t="shared" si="302"/>
        <v>0</v>
      </c>
      <c r="CV369" s="2">
        <f t="shared" si="303"/>
        <v>0</v>
      </c>
      <c r="CW369" s="2">
        <f t="shared" si="304"/>
        <v>0</v>
      </c>
      <c r="CX369" s="2">
        <f t="shared" si="305"/>
        <v>0</v>
      </c>
      <c r="CY369" s="2">
        <f t="shared" si="306"/>
        <v>0</v>
      </c>
      <c r="CZ369" s="2">
        <f t="shared" si="307"/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1010</v>
      </c>
      <c r="DV369" s="2" t="s">
        <v>31</v>
      </c>
      <c r="DW369" s="2" t="s">
        <v>31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55992259</v>
      </c>
      <c r="EF369" s="2">
        <v>130</v>
      </c>
      <c r="EG369" s="2" t="s">
        <v>32</v>
      </c>
      <c r="EH369" s="2">
        <v>0</v>
      </c>
      <c r="EI369" s="2" t="s">
        <v>3</v>
      </c>
      <c r="EJ369" s="2">
        <v>3</v>
      </c>
      <c r="EK369" s="2">
        <v>746</v>
      </c>
      <c r="EL369" s="2" t="s">
        <v>33</v>
      </c>
      <c r="EM369" s="2" t="s">
        <v>34</v>
      </c>
      <c r="EN369" s="2"/>
      <c r="EO369" s="2" t="s">
        <v>3</v>
      </c>
      <c r="EP369" s="2"/>
      <c r="EQ369" s="2">
        <v>0</v>
      </c>
      <c r="ER369" s="2">
        <v>0</v>
      </c>
      <c r="ES369" s="2">
        <v>20317.559999999998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f t="shared" si="325"/>
        <v>40635.120000000003</v>
      </c>
      <c r="FS369" s="2">
        <v>0</v>
      </c>
      <c r="FT369" s="2"/>
      <c r="FU369" s="2"/>
      <c r="FV369" s="2"/>
      <c r="FW369" s="2"/>
      <c r="FX369" s="2">
        <v>0</v>
      </c>
      <c r="FY369" s="2">
        <v>0</v>
      </c>
      <c r="FZ369" s="2"/>
      <c r="GA369" s="2" t="s">
        <v>387</v>
      </c>
      <c r="GB369" s="2"/>
      <c r="GC369" s="2"/>
      <c r="GD369" s="2">
        <v>1</v>
      </c>
      <c r="GE369" s="2"/>
      <c r="GF369" s="2">
        <v>1924311479</v>
      </c>
      <c r="GG369" s="2">
        <v>2</v>
      </c>
      <c r="GH369" s="2">
        <v>4</v>
      </c>
      <c r="GI369" s="2">
        <v>-2</v>
      </c>
      <c r="GJ369" s="2">
        <v>0</v>
      </c>
      <c r="GK369" s="2">
        <v>0</v>
      </c>
      <c r="GL369" s="2">
        <f t="shared" si="308"/>
        <v>0</v>
      </c>
      <c r="GM369" s="2">
        <f t="shared" si="309"/>
        <v>40635.120000000003</v>
      </c>
      <c r="GN369" s="2">
        <f t="shared" si="310"/>
        <v>0</v>
      </c>
      <c r="GO369" s="2">
        <f t="shared" si="311"/>
        <v>0</v>
      </c>
      <c r="GP369" s="2">
        <f t="shared" si="312"/>
        <v>0</v>
      </c>
      <c r="GQ369" s="2"/>
      <c r="GR369" s="2">
        <v>0</v>
      </c>
      <c r="GS369" s="2">
        <v>2</v>
      </c>
      <c r="GT369" s="2">
        <v>0</v>
      </c>
      <c r="GU369" s="2" t="s">
        <v>3</v>
      </c>
      <c r="GV369" s="2">
        <f t="shared" si="313"/>
        <v>0</v>
      </c>
      <c r="GW369" s="2">
        <v>1</v>
      </c>
      <c r="GX369" s="2">
        <f t="shared" si="314"/>
        <v>0</v>
      </c>
      <c r="GY369" s="2"/>
      <c r="GZ369" s="2"/>
      <c r="HA369" s="2">
        <v>0</v>
      </c>
      <c r="HB369" s="2">
        <v>0</v>
      </c>
      <c r="HC369" s="2">
        <f t="shared" si="315"/>
        <v>0</v>
      </c>
      <c r="HD369" s="2"/>
      <c r="HE369" s="2" t="s">
        <v>36</v>
      </c>
      <c r="HF369" s="2" t="s">
        <v>37</v>
      </c>
      <c r="HG369" s="2"/>
      <c r="HH369" s="2"/>
      <c r="HI369" s="2"/>
      <c r="HJ369" s="2"/>
      <c r="HK369" s="2"/>
      <c r="HL369" s="2"/>
      <c r="HM369" s="2" t="s">
        <v>3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>
        <v>17</v>
      </c>
      <c r="B370">
        <v>1</v>
      </c>
      <c r="E370" t="s">
        <v>384</v>
      </c>
      <c r="F370" t="s">
        <v>385</v>
      </c>
      <c r="G370" t="s">
        <v>386</v>
      </c>
      <c r="H370" t="s">
        <v>31</v>
      </c>
      <c r="I370">
        <v>2</v>
      </c>
      <c r="J370">
        <v>0</v>
      </c>
      <c r="K370">
        <v>2</v>
      </c>
      <c r="O370">
        <f t="shared" si="286"/>
        <v>311265.02</v>
      </c>
      <c r="P370">
        <f t="shared" si="323"/>
        <v>311265.02</v>
      </c>
      <c r="Q370">
        <f t="shared" si="316"/>
        <v>0</v>
      </c>
      <c r="R370">
        <f t="shared" si="287"/>
        <v>0</v>
      </c>
      <c r="S370">
        <f t="shared" si="288"/>
        <v>0</v>
      </c>
      <c r="T370">
        <f t="shared" si="289"/>
        <v>0</v>
      </c>
      <c r="U370">
        <f t="shared" si="290"/>
        <v>0</v>
      </c>
      <c r="V370">
        <f t="shared" si="291"/>
        <v>0</v>
      </c>
      <c r="W370">
        <f t="shared" si="292"/>
        <v>0</v>
      </c>
      <c r="X370">
        <f t="shared" si="293"/>
        <v>0</v>
      </c>
      <c r="Y370">
        <f t="shared" si="294"/>
        <v>0</v>
      </c>
      <c r="AA370">
        <v>56959431</v>
      </c>
      <c r="AB370">
        <f t="shared" si="295"/>
        <v>20317.560000000001</v>
      </c>
      <c r="AC370">
        <f t="shared" si="296"/>
        <v>20317.560000000001</v>
      </c>
      <c r="AD370">
        <f t="shared" si="317"/>
        <v>0</v>
      </c>
      <c r="AE370">
        <f t="shared" si="318"/>
        <v>0</v>
      </c>
      <c r="AF370">
        <f t="shared" si="319"/>
        <v>0</v>
      </c>
      <c r="AG370">
        <f t="shared" si="297"/>
        <v>0</v>
      </c>
      <c r="AH370">
        <f t="shared" si="320"/>
        <v>0</v>
      </c>
      <c r="AI370">
        <f t="shared" si="321"/>
        <v>0</v>
      </c>
      <c r="AJ370">
        <f t="shared" si="298"/>
        <v>0</v>
      </c>
      <c r="AK370">
        <v>20317.559999999998</v>
      </c>
      <c r="AL370">
        <v>20317.559999999998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1</v>
      </c>
      <c r="AZ370">
        <v>1</v>
      </c>
      <c r="BA370">
        <v>1</v>
      </c>
      <c r="BB370">
        <v>1</v>
      </c>
      <c r="BC370">
        <v>7.66</v>
      </c>
      <c r="BD370" t="s">
        <v>3</v>
      </c>
      <c r="BE370" t="s">
        <v>3</v>
      </c>
      <c r="BF370" t="s">
        <v>3</v>
      </c>
      <c r="BG370" t="s">
        <v>3</v>
      </c>
      <c r="BH370">
        <v>3</v>
      </c>
      <c r="BI370">
        <v>3</v>
      </c>
      <c r="BJ370" t="s">
        <v>3</v>
      </c>
      <c r="BM370">
        <v>746</v>
      </c>
      <c r="BN370">
        <v>0</v>
      </c>
      <c r="BO370" t="s">
        <v>3</v>
      </c>
      <c r="BP370">
        <v>0</v>
      </c>
      <c r="BQ370">
        <v>130</v>
      </c>
      <c r="BR370">
        <v>0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 t="s">
        <v>3</v>
      </c>
      <c r="BZ370">
        <v>0</v>
      </c>
      <c r="CA370">
        <v>0</v>
      </c>
      <c r="CB370" t="s">
        <v>3</v>
      </c>
      <c r="CE370">
        <v>30</v>
      </c>
      <c r="CF370">
        <v>0</v>
      </c>
      <c r="CG370">
        <v>0</v>
      </c>
      <c r="CM370">
        <v>0</v>
      </c>
      <c r="CN370" t="s">
        <v>3</v>
      </c>
      <c r="CO370">
        <v>0</v>
      </c>
      <c r="CP370">
        <f t="shared" si="299"/>
        <v>311265.02</v>
      </c>
      <c r="CQ370">
        <f t="shared" si="324"/>
        <v>155632.51</v>
      </c>
      <c r="CR370">
        <f t="shared" si="322"/>
        <v>0</v>
      </c>
      <c r="CS370">
        <f t="shared" si="300"/>
        <v>0</v>
      </c>
      <c r="CT370">
        <f t="shared" si="301"/>
        <v>0</v>
      </c>
      <c r="CU370">
        <f t="shared" si="302"/>
        <v>0</v>
      </c>
      <c r="CV370">
        <f t="shared" si="303"/>
        <v>0</v>
      </c>
      <c r="CW370">
        <f t="shared" si="304"/>
        <v>0</v>
      </c>
      <c r="CX370">
        <f t="shared" si="305"/>
        <v>0</v>
      </c>
      <c r="CY370">
        <f t="shared" si="306"/>
        <v>0</v>
      </c>
      <c r="CZ370">
        <f t="shared" si="307"/>
        <v>0</v>
      </c>
      <c r="DC370" t="s">
        <v>3</v>
      </c>
      <c r="DD370" t="s">
        <v>3</v>
      </c>
      <c r="DE370" t="s">
        <v>3</v>
      </c>
      <c r="DF370" t="s">
        <v>3</v>
      </c>
      <c r="DG370" t="s">
        <v>3</v>
      </c>
      <c r="DH370" t="s">
        <v>3</v>
      </c>
      <c r="DI370" t="s">
        <v>3</v>
      </c>
      <c r="DJ370" t="s">
        <v>3</v>
      </c>
      <c r="DK370" t="s">
        <v>3</v>
      </c>
      <c r="DL370" t="s">
        <v>3</v>
      </c>
      <c r="DM370" t="s">
        <v>3</v>
      </c>
      <c r="DN370">
        <v>0</v>
      </c>
      <c r="DO370">
        <v>0</v>
      </c>
      <c r="DP370">
        <v>1</v>
      </c>
      <c r="DQ370">
        <v>1</v>
      </c>
      <c r="DU370">
        <v>1010</v>
      </c>
      <c r="DV370" t="s">
        <v>31</v>
      </c>
      <c r="DW370" t="s">
        <v>31</v>
      </c>
      <c r="DX370">
        <v>1</v>
      </c>
      <c r="DZ370" t="s">
        <v>3</v>
      </c>
      <c r="EA370" t="s">
        <v>3</v>
      </c>
      <c r="EB370" t="s">
        <v>3</v>
      </c>
      <c r="EC370" t="s">
        <v>3</v>
      </c>
      <c r="EE370">
        <v>55992259</v>
      </c>
      <c r="EF370">
        <v>130</v>
      </c>
      <c r="EG370" t="s">
        <v>32</v>
      </c>
      <c r="EH370">
        <v>0</v>
      </c>
      <c r="EI370" t="s">
        <v>3</v>
      </c>
      <c r="EJ370">
        <v>3</v>
      </c>
      <c r="EK370">
        <v>746</v>
      </c>
      <c r="EL370" t="s">
        <v>33</v>
      </c>
      <c r="EM370" t="s">
        <v>34</v>
      </c>
      <c r="EO370" t="s">
        <v>3</v>
      </c>
      <c r="EQ370">
        <v>0</v>
      </c>
      <c r="ER370">
        <v>20317.559999999998</v>
      </c>
      <c r="ES370">
        <v>20317.559999999998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5</v>
      </c>
      <c r="FC370">
        <v>1</v>
      </c>
      <c r="FD370">
        <v>18</v>
      </c>
      <c r="FF370">
        <v>179169.38</v>
      </c>
      <c r="FQ370">
        <v>0</v>
      </c>
      <c r="FR370">
        <f t="shared" si="325"/>
        <v>311265.02</v>
      </c>
      <c r="FS370">
        <v>0</v>
      </c>
      <c r="FX370">
        <v>0</v>
      </c>
      <c r="FY370">
        <v>0</v>
      </c>
      <c r="GA370" t="s">
        <v>387</v>
      </c>
      <c r="GD370">
        <v>1</v>
      </c>
      <c r="GF370">
        <v>1924311479</v>
      </c>
      <c r="GG370">
        <v>2</v>
      </c>
      <c r="GH370">
        <v>3</v>
      </c>
      <c r="GI370">
        <v>5</v>
      </c>
      <c r="GJ370">
        <v>0</v>
      </c>
      <c r="GK370">
        <v>0</v>
      </c>
      <c r="GL370">
        <f t="shared" si="308"/>
        <v>0</v>
      </c>
      <c r="GM370">
        <f t="shared" si="309"/>
        <v>311265.02</v>
      </c>
      <c r="GN370">
        <f t="shared" si="310"/>
        <v>0</v>
      </c>
      <c r="GO370">
        <f t="shared" si="311"/>
        <v>0</v>
      </c>
      <c r="GP370">
        <f t="shared" si="312"/>
        <v>0</v>
      </c>
      <c r="GR370">
        <v>1</v>
      </c>
      <c r="GS370">
        <v>1</v>
      </c>
      <c r="GT370">
        <v>0</v>
      </c>
      <c r="GU370" t="s">
        <v>3</v>
      </c>
      <c r="GV370">
        <f t="shared" si="313"/>
        <v>0</v>
      </c>
      <c r="GW370">
        <v>1</v>
      </c>
      <c r="GX370">
        <f t="shared" si="314"/>
        <v>0</v>
      </c>
      <c r="HA370">
        <v>0</v>
      </c>
      <c r="HB370">
        <v>0</v>
      </c>
      <c r="HC370">
        <f t="shared" si="315"/>
        <v>0</v>
      </c>
      <c r="HE370" t="s">
        <v>36</v>
      </c>
      <c r="HF370" t="s">
        <v>37</v>
      </c>
      <c r="HM370" t="s">
        <v>3</v>
      </c>
      <c r="HN370" t="s">
        <v>3</v>
      </c>
      <c r="HO370" t="s">
        <v>3</v>
      </c>
      <c r="HP370" t="s">
        <v>3</v>
      </c>
      <c r="HQ370" t="s">
        <v>3</v>
      </c>
      <c r="HS370">
        <v>0</v>
      </c>
      <c r="IK370">
        <v>0</v>
      </c>
    </row>
    <row r="371" spans="1:255" x14ac:dyDescent="0.2">
      <c r="A371" s="2">
        <v>17</v>
      </c>
      <c r="B371" s="2">
        <v>1</v>
      </c>
      <c r="C371" s="2"/>
      <c r="D371" s="2"/>
      <c r="E371" s="2" t="s">
        <v>388</v>
      </c>
      <c r="F371" s="2" t="s">
        <v>389</v>
      </c>
      <c r="G371" s="2" t="s">
        <v>390</v>
      </c>
      <c r="H371" s="2" t="s">
        <v>31</v>
      </c>
      <c r="I371" s="2">
        <v>2</v>
      </c>
      <c r="J371" s="2">
        <v>0</v>
      </c>
      <c r="K371" s="2">
        <v>2</v>
      </c>
      <c r="L371" s="2"/>
      <c r="M371" s="2"/>
      <c r="N371" s="2"/>
      <c r="O371" s="2">
        <f t="shared" si="286"/>
        <v>38111.46</v>
      </c>
      <c r="P371" s="2">
        <f t="shared" si="323"/>
        <v>38111.46</v>
      </c>
      <c r="Q371" s="2">
        <f t="shared" si="316"/>
        <v>0</v>
      </c>
      <c r="R371" s="2">
        <f t="shared" si="287"/>
        <v>0</v>
      </c>
      <c r="S371" s="2">
        <f t="shared" si="288"/>
        <v>0</v>
      </c>
      <c r="T371" s="2">
        <f t="shared" si="289"/>
        <v>0</v>
      </c>
      <c r="U371" s="2">
        <f t="shared" si="290"/>
        <v>0</v>
      </c>
      <c r="V371" s="2">
        <f t="shared" si="291"/>
        <v>0</v>
      </c>
      <c r="W371" s="2">
        <f t="shared" si="292"/>
        <v>0</v>
      </c>
      <c r="X371" s="2">
        <f t="shared" si="293"/>
        <v>0</v>
      </c>
      <c r="Y371" s="2">
        <f t="shared" si="294"/>
        <v>0</v>
      </c>
      <c r="Z371" s="2"/>
      <c r="AA371" s="2">
        <v>56959434</v>
      </c>
      <c r="AB371" s="2">
        <f t="shared" si="295"/>
        <v>19055.73</v>
      </c>
      <c r="AC371" s="2">
        <f t="shared" si="296"/>
        <v>19055.73</v>
      </c>
      <c r="AD371" s="2">
        <f t="shared" si="317"/>
        <v>0</v>
      </c>
      <c r="AE371" s="2">
        <f t="shared" si="318"/>
        <v>0</v>
      </c>
      <c r="AF371" s="2">
        <f t="shared" si="319"/>
        <v>0</v>
      </c>
      <c r="AG371" s="2">
        <f t="shared" si="297"/>
        <v>0</v>
      </c>
      <c r="AH371" s="2">
        <f t="shared" si="320"/>
        <v>0</v>
      </c>
      <c r="AI371" s="2">
        <f t="shared" si="321"/>
        <v>0</v>
      </c>
      <c r="AJ371" s="2">
        <f t="shared" si="298"/>
        <v>0</v>
      </c>
      <c r="AK371" s="2">
        <v>19055.73</v>
      </c>
      <c r="AL371" s="2">
        <v>19055.73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1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3</v>
      </c>
      <c r="BJ371" s="2" t="s">
        <v>3</v>
      </c>
      <c r="BK371" s="2"/>
      <c r="BL371" s="2"/>
      <c r="BM371" s="2">
        <v>746</v>
      </c>
      <c r="BN371" s="2">
        <v>0</v>
      </c>
      <c r="BO371" s="2" t="s">
        <v>3</v>
      </c>
      <c r="BP371" s="2">
        <v>0</v>
      </c>
      <c r="BQ371" s="2">
        <v>130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0</v>
      </c>
      <c r="CA371" s="2">
        <v>0</v>
      </c>
      <c r="CB371" s="2" t="s">
        <v>3</v>
      </c>
      <c r="CC371" s="2"/>
      <c r="CD371" s="2"/>
      <c r="CE371" s="2">
        <v>30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3</v>
      </c>
      <c r="CO371" s="2">
        <v>0</v>
      </c>
      <c r="CP371" s="2">
        <f t="shared" si="299"/>
        <v>38111.46</v>
      </c>
      <c r="CQ371" s="2">
        <f t="shared" si="324"/>
        <v>19055.73</v>
      </c>
      <c r="CR371" s="2">
        <f t="shared" si="322"/>
        <v>0</v>
      </c>
      <c r="CS371" s="2">
        <f t="shared" si="300"/>
        <v>0</v>
      </c>
      <c r="CT371" s="2">
        <f t="shared" si="301"/>
        <v>0</v>
      </c>
      <c r="CU371" s="2">
        <f t="shared" si="302"/>
        <v>0</v>
      </c>
      <c r="CV371" s="2">
        <f t="shared" si="303"/>
        <v>0</v>
      </c>
      <c r="CW371" s="2">
        <f t="shared" si="304"/>
        <v>0</v>
      </c>
      <c r="CX371" s="2">
        <f t="shared" si="305"/>
        <v>0</v>
      </c>
      <c r="CY371" s="2">
        <f t="shared" si="306"/>
        <v>0</v>
      </c>
      <c r="CZ371" s="2">
        <f t="shared" si="307"/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1010</v>
      </c>
      <c r="DV371" s="2" t="s">
        <v>31</v>
      </c>
      <c r="DW371" s="2" t="s">
        <v>31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55992259</v>
      </c>
      <c r="EF371" s="2">
        <v>130</v>
      </c>
      <c r="EG371" s="2" t="s">
        <v>32</v>
      </c>
      <c r="EH371" s="2">
        <v>0</v>
      </c>
      <c r="EI371" s="2" t="s">
        <v>3</v>
      </c>
      <c r="EJ371" s="2">
        <v>3</v>
      </c>
      <c r="EK371" s="2">
        <v>746</v>
      </c>
      <c r="EL371" s="2" t="s">
        <v>33</v>
      </c>
      <c r="EM371" s="2" t="s">
        <v>34</v>
      </c>
      <c r="EN371" s="2"/>
      <c r="EO371" s="2" t="s">
        <v>3</v>
      </c>
      <c r="EP371" s="2"/>
      <c r="EQ371" s="2">
        <v>0</v>
      </c>
      <c r="ER371" s="2">
        <v>0</v>
      </c>
      <c r="ES371" s="2">
        <v>19055.73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f t="shared" si="325"/>
        <v>38111.46</v>
      </c>
      <c r="FS371" s="2">
        <v>0</v>
      </c>
      <c r="FT371" s="2"/>
      <c r="FU371" s="2"/>
      <c r="FV371" s="2"/>
      <c r="FW371" s="2"/>
      <c r="FX371" s="2">
        <v>0</v>
      </c>
      <c r="FY371" s="2">
        <v>0</v>
      </c>
      <c r="FZ371" s="2"/>
      <c r="GA371" s="2" t="s">
        <v>391</v>
      </c>
      <c r="GB371" s="2"/>
      <c r="GC371" s="2"/>
      <c r="GD371" s="2">
        <v>1</v>
      </c>
      <c r="GE371" s="2"/>
      <c r="GF371" s="2">
        <v>486997783</v>
      </c>
      <c r="GG371" s="2">
        <v>2</v>
      </c>
      <c r="GH371" s="2">
        <v>4</v>
      </c>
      <c r="GI371" s="2">
        <v>-2</v>
      </c>
      <c r="GJ371" s="2">
        <v>0</v>
      </c>
      <c r="GK371" s="2">
        <v>0</v>
      </c>
      <c r="GL371" s="2">
        <f t="shared" si="308"/>
        <v>0</v>
      </c>
      <c r="GM371" s="2">
        <f t="shared" si="309"/>
        <v>38111.46</v>
      </c>
      <c r="GN371" s="2">
        <f t="shared" si="310"/>
        <v>0</v>
      </c>
      <c r="GO371" s="2">
        <f t="shared" si="311"/>
        <v>0</v>
      </c>
      <c r="GP371" s="2">
        <f t="shared" si="312"/>
        <v>0</v>
      </c>
      <c r="GQ371" s="2"/>
      <c r="GR371" s="2">
        <v>0</v>
      </c>
      <c r="GS371" s="2">
        <v>2</v>
      </c>
      <c r="GT371" s="2">
        <v>0</v>
      </c>
      <c r="GU371" s="2" t="s">
        <v>3</v>
      </c>
      <c r="GV371" s="2">
        <f t="shared" si="313"/>
        <v>0</v>
      </c>
      <c r="GW371" s="2">
        <v>1</v>
      </c>
      <c r="GX371" s="2">
        <f t="shared" si="314"/>
        <v>0</v>
      </c>
      <c r="GY371" s="2"/>
      <c r="GZ371" s="2"/>
      <c r="HA371" s="2">
        <v>0</v>
      </c>
      <c r="HB371" s="2">
        <v>0</v>
      </c>
      <c r="HC371" s="2">
        <f t="shared" si="315"/>
        <v>0</v>
      </c>
      <c r="HD371" s="2"/>
      <c r="HE371" s="2" t="s">
        <v>36</v>
      </c>
      <c r="HF371" s="2" t="s">
        <v>37</v>
      </c>
      <c r="HG371" s="2"/>
      <c r="HH371" s="2"/>
      <c r="HI371" s="2"/>
      <c r="HJ371" s="2"/>
      <c r="HK371" s="2"/>
      <c r="HL371" s="2"/>
      <c r="HM371" s="2" t="s">
        <v>3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>
        <v>17</v>
      </c>
      <c r="B372">
        <v>1</v>
      </c>
      <c r="E372" t="s">
        <v>388</v>
      </c>
      <c r="F372" t="s">
        <v>389</v>
      </c>
      <c r="G372" t="s">
        <v>390</v>
      </c>
      <c r="H372" t="s">
        <v>31</v>
      </c>
      <c r="I372">
        <v>2</v>
      </c>
      <c r="J372">
        <v>0</v>
      </c>
      <c r="K372">
        <v>2</v>
      </c>
      <c r="O372">
        <f t="shared" si="286"/>
        <v>291933.78000000003</v>
      </c>
      <c r="P372">
        <f t="shared" si="323"/>
        <v>291933.78000000003</v>
      </c>
      <c r="Q372">
        <f t="shared" si="316"/>
        <v>0</v>
      </c>
      <c r="R372">
        <f t="shared" si="287"/>
        <v>0</v>
      </c>
      <c r="S372">
        <f t="shared" si="288"/>
        <v>0</v>
      </c>
      <c r="T372">
        <f t="shared" si="289"/>
        <v>0</v>
      </c>
      <c r="U372">
        <f t="shared" si="290"/>
        <v>0</v>
      </c>
      <c r="V372">
        <f t="shared" si="291"/>
        <v>0</v>
      </c>
      <c r="W372">
        <f t="shared" si="292"/>
        <v>0</v>
      </c>
      <c r="X372">
        <f t="shared" si="293"/>
        <v>0</v>
      </c>
      <c r="Y372">
        <f t="shared" si="294"/>
        <v>0</v>
      </c>
      <c r="AA372">
        <v>56959431</v>
      </c>
      <c r="AB372">
        <f t="shared" si="295"/>
        <v>19055.73</v>
      </c>
      <c r="AC372">
        <f t="shared" si="296"/>
        <v>19055.73</v>
      </c>
      <c r="AD372">
        <f t="shared" si="317"/>
        <v>0</v>
      </c>
      <c r="AE372">
        <f t="shared" si="318"/>
        <v>0</v>
      </c>
      <c r="AF372">
        <f t="shared" si="319"/>
        <v>0</v>
      </c>
      <c r="AG372">
        <f t="shared" si="297"/>
        <v>0</v>
      </c>
      <c r="AH372">
        <f t="shared" si="320"/>
        <v>0</v>
      </c>
      <c r="AI372">
        <f t="shared" si="321"/>
        <v>0</v>
      </c>
      <c r="AJ372">
        <f t="shared" si="298"/>
        <v>0</v>
      </c>
      <c r="AK372">
        <v>19055.73</v>
      </c>
      <c r="AL372">
        <v>19055.73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1</v>
      </c>
      <c r="AZ372">
        <v>1</v>
      </c>
      <c r="BA372">
        <v>1</v>
      </c>
      <c r="BB372">
        <v>1</v>
      </c>
      <c r="BC372">
        <v>7.66</v>
      </c>
      <c r="BD372" t="s">
        <v>3</v>
      </c>
      <c r="BE372" t="s">
        <v>3</v>
      </c>
      <c r="BF372" t="s">
        <v>3</v>
      </c>
      <c r="BG372" t="s">
        <v>3</v>
      </c>
      <c r="BH372">
        <v>3</v>
      </c>
      <c r="BI372">
        <v>3</v>
      </c>
      <c r="BJ372" t="s">
        <v>3</v>
      </c>
      <c r="BM372">
        <v>746</v>
      </c>
      <c r="BN372">
        <v>0</v>
      </c>
      <c r="BO372" t="s">
        <v>3</v>
      </c>
      <c r="BP372">
        <v>0</v>
      </c>
      <c r="BQ372">
        <v>130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 t="s">
        <v>3</v>
      </c>
      <c r="BZ372">
        <v>0</v>
      </c>
      <c r="CA372">
        <v>0</v>
      </c>
      <c r="CB372" t="s">
        <v>3</v>
      </c>
      <c r="CE372">
        <v>30</v>
      </c>
      <c r="CF372">
        <v>0</v>
      </c>
      <c r="CG372">
        <v>0</v>
      </c>
      <c r="CM372">
        <v>0</v>
      </c>
      <c r="CN372" t="s">
        <v>3</v>
      </c>
      <c r="CO372">
        <v>0</v>
      </c>
      <c r="CP372">
        <f t="shared" si="299"/>
        <v>291933.78000000003</v>
      </c>
      <c r="CQ372">
        <f t="shared" si="324"/>
        <v>145966.89000000001</v>
      </c>
      <c r="CR372">
        <f t="shared" si="322"/>
        <v>0</v>
      </c>
      <c r="CS372">
        <f t="shared" si="300"/>
        <v>0</v>
      </c>
      <c r="CT372">
        <f t="shared" si="301"/>
        <v>0</v>
      </c>
      <c r="CU372">
        <f t="shared" si="302"/>
        <v>0</v>
      </c>
      <c r="CV372">
        <f t="shared" si="303"/>
        <v>0</v>
      </c>
      <c r="CW372">
        <f t="shared" si="304"/>
        <v>0</v>
      </c>
      <c r="CX372">
        <f t="shared" si="305"/>
        <v>0</v>
      </c>
      <c r="CY372">
        <f t="shared" si="306"/>
        <v>0</v>
      </c>
      <c r="CZ372">
        <f t="shared" si="307"/>
        <v>0</v>
      </c>
      <c r="DC372" t="s">
        <v>3</v>
      </c>
      <c r="DD372" t="s">
        <v>3</v>
      </c>
      <c r="DE372" t="s">
        <v>3</v>
      </c>
      <c r="DF372" t="s">
        <v>3</v>
      </c>
      <c r="DG372" t="s">
        <v>3</v>
      </c>
      <c r="DH372" t="s">
        <v>3</v>
      </c>
      <c r="DI372" t="s">
        <v>3</v>
      </c>
      <c r="DJ372" t="s">
        <v>3</v>
      </c>
      <c r="DK372" t="s">
        <v>3</v>
      </c>
      <c r="DL372" t="s">
        <v>3</v>
      </c>
      <c r="DM372" t="s">
        <v>3</v>
      </c>
      <c r="DN372">
        <v>0</v>
      </c>
      <c r="DO372">
        <v>0</v>
      </c>
      <c r="DP372">
        <v>1</v>
      </c>
      <c r="DQ372">
        <v>1</v>
      </c>
      <c r="DU372">
        <v>1010</v>
      </c>
      <c r="DV372" t="s">
        <v>31</v>
      </c>
      <c r="DW372" t="s">
        <v>31</v>
      </c>
      <c r="DX372">
        <v>1</v>
      </c>
      <c r="DZ372" t="s">
        <v>3</v>
      </c>
      <c r="EA372" t="s">
        <v>3</v>
      </c>
      <c r="EB372" t="s">
        <v>3</v>
      </c>
      <c r="EC372" t="s">
        <v>3</v>
      </c>
      <c r="EE372">
        <v>55992259</v>
      </c>
      <c r="EF372">
        <v>130</v>
      </c>
      <c r="EG372" t="s">
        <v>32</v>
      </c>
      <c r="EH372">
        <v>0</v>
      </c>
      <c r="EI372" t="s">
        <v>3</v>
      </c>
      <c r="EJ372">
        <v>3</v>
      </c>
      <c r="EK372">
        <v>746</v>
      </c>
      <c r="EL372" t="s">
        <v>33</v>
      </c>
      <c r="EM372" t="s">
        <v>34</v>
      </c>
      <c r="EO372" t="s">
        <v>3</v>
      </c>
      <c r="EQ372">
        <v>0</v>
      </c>
      <c r="ER372">
        <v>19055.73</v>
      </c>
      <c r="ES372">
        <v>19055.73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5</v>
      </c>
      <c r="FC372">
        <v>1</v>
      </c>
      <c r="FD372">
        <v>18</v>
      </c>
      <c r="FF372">
        <v>168042</v>
      </c>
      <c r="FQ372">
        <v>0</v>
      </c>
      <c r="FR372">
        <f t="shared" si="325"/>
        <v>291933.78000000003</v>
      </c>
      <c r="FS372">
        <v>0</v>
      </c>
      <c r="FX372">
        <v>0</v>
      </c>
      <c r="FY372">
        <v>0</v>
      </c>
      <c r="GA372" t="s">
        <v>391</v>
      </c>
      <c r="GD372">
        <v>1</v>
      </c>
      <c r="GF372">
        <v>486997783</v>
      </c>
      <c r="GG372">
        <v>2</v>
      </c>
      <c r="GH372">
        <v>3</v>
      </c>
      <c r="GI372">
        <v>5</v>
      </c>
      <c r="GJ372">
        <v>0</v>
      </c>
      <c r="GK372">
        <v>0</v>
      </c>
      <c r="GL372">
        <f t="shared" si="308"/>
        <v>0</v>
      </c>
      <c r="GM372">
        <f t="shared" si="309"/>
        <v>291933.78000000003</v>
      </c>
      <c r="GN372">
        <f t="shared" si="310"/>
        <v>0</v>
      </c>
      <c r="GO372">
        <f t="shared" si="311"/>
        <v>0</v>
      </c>
      <c r="GP372">
        <f t="shared" si="312"/>
        <v>0</v>
      </c>
      <c r="GR372">
        <v>1</v>
      </c>
      <c r="GS372">
        <v>1</v>
      </c>
      <c r="GT372">
        <v>0</v>
      </c>
      <c r="GU372" t="s">
        <v>3</v>
      </c>
      <c r="GV372">
        <f t="shared" si="313"/>
        <v>0</v>
      </c>
      <c r="GW372">
        <v>1</v>
      </c>
      <c r="GX372">
        <f t="shared" si="314"/>
        <v>0</v>
      </c>
      <c r="HA372">
        <v>0</v>
      </c>
      <c r="HB372">
        <v>0</v>
      </c>
      <c r="HC372">
        <f t="shared" si="315"/>
        <v>0</v>
      </c>
      <c r="HE372" t="s">
        <v>36</v>
      </c>
      <c r="HF372" t="s">
        <v>37</v>
      </c>
      <c r="HM372" t="s">
        <v>3</v>
      </c>
      <c r="HN372" t="s">
        <v>3</v>
      </c>
      <c r="HO372" t="s">
        <v>3</v>
      </c>
      <c r="HP372" t="s">
        <v>3</v>
      </c>
      <c r="HQ372" t="s">
        <v>3</v>
      </c>
      <c r="HS372">
        <v>0</v>
      </c>
      <c r="IK372">
        <v>0</v>
      </c>
    </row>
    <row r="373" spans="1:255" x14ac:dyDescent="0.2">
      <c r="A373" s="2">
        <v>17</v>
      </c>
      <c r="B373" s="2">
        <v>1</v>
      </c>
      <c r="C373" s="2"/>
      <c r="D373" s="2"/>
      <c r="E373" s="2" t="s">
        <v>392</v>
      </c>
      <c r="F373" s="2" t="s">
        <v>393</v>
      </c>
      <c r="G373" s="2" t="s">
        <v>394</v>
      </c>
      <c r="H373" s="2" t="s">
        <v>31</v>
      </c>
      <c r="I373" s="2">
        <v>8</v>
      </c>
      <c r="J373" s="2">
        <v>0</v>
      </c>
      <c r="K373" s="2">
        <v>8</v>
      </c>
      <c r="L373" s="2"/>
      <c r="M373" s="2"/>
      <c r="N373" s="2"/>
      <c r="O373" s="2">
        <f t="shared" si="286"/>
        <v>142663.44</v>
      </c>
      <c r="P373" s="2">
        <f t="shared" si="323"/>
        <v>142663.44</v>
      </c>
      <c r="Q373" s="2">
        <f t="shared" si="316"/>
        <v>0</v>
      </c>
      <c r="R373" s="2">
        <f t="shared" si="287"/>
        <v>0</v>
      </c>
      <c r="S373" s="2">
        <f t="shared" si="288"/>
        <v>0</v>
      </c>
      <c r="T373" s="2">
        <f t="shared" si="289"/>
        <v>0</v>
      </c>
      <c r="U373" s="2">
        <f t="shared" si="290"/>
        <v>0</v>
      </c>
      <c r="V373" s="2">
        <f t="shared" si="291"/>
        <v>0</v>
      </c>
      <c r="W373" s="2">
        <f t="shared" si="292"/>
        <v>0</v>
      </c>
      <c r="X373" s="2">
        <f t="shared" si="293"/>
        <v>0</v>
      </c>
      <c r="Y373" s="2">
        <f t="shared" si="294"/>
        <v>0</v>
      </c>
      <c r="Z373" s="2"/>
      <c r="AA373" s="2">
        <v>56959434</v>
      </c>
      <c r="AB373" s="2">
        <f t="shared" si="295"/>
        <v>17832.93</v>
      </c>
      <c r="AC373" s="2">
        <f t="shared" si="296"/>
        <v>17832.93</v>
      </c>
      <c r="AD373" s="2">
        <f t="shared" si="317"/>
        <v>0</v>
      </c>
      <c r="AE373" s="2">
        <f t="shared" si="318"/>
        <v>0</v>
      </c>
      <c r="AF373" s="2">
        <f t="shared" si="319"/>
        <v>0</v>
      </c>
      <c r="AG373" s="2">
        <f t="shared" si="297"/>
        <v>0</v>
      </c>
      <c r="AH373" s="2">
        <f t="shared" si="320"/>
        <v>0</v>
      </c>
      <c r="AI373" s="2">
        <f t="shared" si="321"/>
        <v>0</v>
      </c>
      <c r="AJ373" s="2">
        <f t="shared" si="298"/>
        <v>0</v>
      </c>
      <c r="AK373" s="2">
        <v>17832.93</v>
      </c>
      <c r="AL373" s="2">
        <v>17832.93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1</v>
      </c>
      <c r="AW373" s="2">
        <v>1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3</v>
      </c>
      <c r="BI373" s="2">
        <v>3</v>
      </c>
      <c r="BJ373" s="2" t="s">
        <v>3</v>
      </c>
      <c r="BK373" s="2"/>
      <c r="BL373" s="2"/>
      <c r="BM373" s="2">
        <v>746</v>
      </c>
      <c r="BN373" s="2">
        <v>0</v>
      </c>
      <c r="BO373" s="2" t="s">
        <v>3</v>
      </c>
      <c r="BP373" s="2">
        <v>0</v>
      </c>
      <c r="BQ373" s="2">
        <v>130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0</v>
      </c>
      <c r="CA373" s="2">
        <v>0</v>
      </c>
      <c r="CB373" s="2" t="s">
        <v>3</v>
      </c>
      <c r="CC373" s="2"/>
      <c r="CD373" s="2"/>
      <c r="CE373" s="2">
        <v>30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3</v>
      </c>
      <c r="CO373" s="2">
        <v>0</v>
      </c>
      <c r="CP373" s="2">
        <f t="shared" si="299"/>
        <v>142663.44</v>
      </c>
      <c r="CQ373" s="2">
        <f t="shared" si="324"/>
        <v>17832.93</v>
      </c>
      <c r="CR373" s="2">
        <f t="shared" si="322"/>
        <v>0</v>
      </c>
      <c r="CS373" s="2">
        <f t="shared" si="300"/>
        <v>0</v>
      </c>
      <c r="CT373" s="2">
        <f t="shared" si="301"/>
        <v>0</v>
      </c>
      <c r="CU373" s="2">
        <f t="shared" si="302"/>
        <v>0</v>
      </c>
      <c r="CV373" s="2">
        <f t="shared" si="303"/>
        <v>0</v>
      </c>
      <c r="CW373" s="2">
        <f t="shared" si="304"/>
        <v>0</v>
      </c>
      <c r="CX373" s="2">
        <f t="shared" si="305"/>
        <v>0</v>
      </c>
      <c r="CY373" s="2">
        <f t="shared" si="306"/>
        <v>0</v>
      </c>
      <c r="CZ373" s="2">
        <f t="shared" si="307"/>
        <v>0</v>
      </c>
      <c r="DA373" s="2"/>
      <c r="DB373" s="2"/>
      <c r="DC373" s="2" t="s">
        <v>3</v>
      </c>
      <c r="DD373" s="2" t="s">
        <v>3</v>
      </c>
      <c r="DE373" s="2" t="s">
        <v>3</v>
      </c>
      <c r="DF373" s="2" t="s">
        <v>3</v>
      </c>
      <c r="DG373" s="2" t="s">
        <v>3</v>
      </c>
      <c r="DH373" s="2" t="s">
        <v>3</v>
      </c>
      <c r="DI373" s="2" t="s">
        <v>3</v>
      </c>
      <c r="DJ373" s="2" t="s">
        <v>3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1010</v>
      </c>
      <c r="DV373" s="2" t="s">
        <v>31</v>
      </c>
      <c r="DW373" s="2" t="s">
        <v>31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55992259</v>
      </c>
      <c r="EF373" s="2">
        <v>130</v>
      </c>
      <c r="EG373" s="2" t="s">
        <v>32</v>
      </c>
      <c r="EH373" s="2">
        <v>0</v>
      </c>
      <c r="EI373" s="2" t="s">
        <v>3</v>
      </c>
      <c r="EJ373" s="2">
        <v>3</v>
      </c>
      <c r="EK373" s="2">
        <v>746</v>
      </c>
      <c r="EL373" s="2" t="s">
        <v>33</v>
      </c>
      <c r="EM373" s="2" t="s">
        <v>34</v>
      </c>
      <c r="EN373" s="2"/>
      <c r="EO373" s="2" t="s">
        <v>3</v>
      </c>
      <c r="EP373" s="2"/>
      <c r="EQ373" s="2">
        <v>1835008</v>
      </c>
      <c r="ER373" s="2">
        <v>0</v>
      </c>
      <c r="ES373" s="2">
        <v>17832.93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f t="shared" si="325"/>
        <v>142663.44</v>
      </c>
      <c r="FS373" s="2">
        <v>0</v>
      </c>
      <c r="FT373" s="2"/>
      <c r="FU373" s="2"/>
      <c r="FV373" s="2"/>
      <c r="FW373" s="2"/>
      <c r="FX373" s="2">
        <v>0</v>
      </c>
      <c r="FY373" s="2">
        <v>0</v>
      </c>
      <c r="FZ373" s="2"/>
      <c r="GA373" s="2" t="s">
        <v>395</v>
      </c>
      <c r="GB373" s="2"/>
      <c r="GC373" s="2"/>
      <c r="GD373" s="2">
        <v>1</v>
      </c>
      <c r="GE373" s="2"/>
      <c r="GF373" s="2">
        <v>597814737</v>
      </c>
      <c r="GG373" s="2">
        <v>2</v>
      </c>
      <c r="GH373" s="2">
        <v>4</v>
      </c>
      <c r="GI373" s="2">
        <v>-2</v>
      </c>
      <c r="GJ373" s="2">
        <v>0</v>
      </c>
      <c r="GK373" s="2">
        <v>0</v>
      </c>
      <c r="GL373" s="2">
        <f t="shared" si="308"/>
        <v>0</v>
      </c>
      <c r="GM373" s="2">
        <f t="shared" si="309"/>
        <v>142663.44</v>
      </c>
      <c r="GN373" s="2">
        <f t="shared" si="310"/>
        <v>0</v>
      </c>
      <c r="GO373" s="2">
        <f t="shared" si="311"/>
        <v>0</v>
      </c>
      <c r="GP373" s="2">
        <f t="shared" si="312"/>
        <v>0</v>
      </c>
      <c r="GQ373" s="2"/>
      <c r="GR373" s="2">
        <v>0</v>
      </c>
      <c r="GS373" s="2">
        <v>2</v>
      </c>
      <c r="GT373" s="2">
        <v>0</v>
      </c>
      <c r="GU373" s="2" t="s">
        <v>3</v>
      </c>
      <c r="GV373" s="2">
        <f t="shared" si="313"/>
        <v>0</v>
      </c>
      <c r="GW373" s="2">
        <v>1</v>
      </c>
      <c r="GX373" s="2">
        <f t="shared" si="314"/>
        <v>0</v>
      </c>
      <c r="GY373" s="2"/>
      <c r="GZ373" s="2"/>
      <c r="HA373" s="2">
        <v>0</v>
      </c>
      <c r="HB373" s="2">
        <v>0</v>
      </c>
      <c r="HC373" s="2">
        <f t="shared" si="315"/>
        <v>0</v>
      </c>
      <c r="HD373" s="2"/>
      <c r="HE373" s="2" t="s">
        <v>36</v>
      </c>
      <c r="HF373" s="2" t="s">
        <v>37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>
        <v>17</v>
      </c>
      <c r="B374">
        <v>1</v>
      </c>
      <c r="E374" t="s">
        <v>392</v>
      </c>
      <c r="F374" t="s">
        <v>393</v>
      </c>
      <c r="G374" t="s">
        <v>394</v>
      </c>
      <c r="H374" t="s">
        <v>31</v>
      </c>
      <c r="I374">
        <v>8</v>
      </c>
      <c r="J374">
        <v>0</v>
      </c>
      <c r="K374">
        <v>8</v>
      </c>
      <c r="O374">
        <f t="shared" si="286"/>
        <v>1092801.95</v>
      </c>
      <c r="P374">
        <f t="shared" si="323"/>
        <v>1092801.95</v>
      </c>
      <c r="Q374">
        <f t="shared" si="316"/>
        <v>0</v>
      </c>
      <c r="R374">
        <f t="shared" si="287"/>
        <v>0</v>
      </c>
      <c r="S374">
        <f t="shared" si="288"/>
        <v>0</v>
      </c>
      <c r="T374">
        <f t="shared" si="289"/>
        <v>0</v>
      </c>
      <c r="U374">
        <f t="shared" si="290"/>
        <v>0</v>
      </c>
      <c r="V374">
        <f t="shared" si="291"/>
        <v>0</v>
      </c>
      <c r="W374">
        <f t="shared" si="292"/>
        <v>0</v>
      </c>
      <c r="X374">
        <f t="shared" si="293"/>
        <v>0</v>
      </c>
      <c r="Y374">
        <f t="shared" si="294"/>
        <v>0</v>
      </c>
      <c r="AA374">
        <v>56959431</v>
      </c>
      <c r="AB374">
        <f t="shared" si="295"/>
        <v>17832.93</v>
      </c>
      <c r="AC374">
        <f t="shared" si="296"/>
        <v>17832.93</v>
      </c>
      <c r="AD374">
        <f t="shared" si="317"/>
        <v>0</v>
      </c>
      <c r="AE374">
        <f t="shared" si="318"/>
        <v>0</v>
      </c>
      <c r="AF374">
        <f t="shared" si="319"/>
        <v>0</v>
      </c>
      <c r="AG374">
        <f t="shared" si="297"/>
        <v>0</v>
      </c>
      <c r="AH374">
        <f t="shared" si="320"/>
        <v>0</v>
      </c>
      <c r="AI374">
        <f t="shared" si="321"/>
        <v>0</v>
      </c>
      <c r="AJ374">
        <f t="shared" si="298"/>
        <v>0</v>
      </c>
      <c r="AK374">
        <v>17832.93</v>
      </c>
      <c r="AL374">
        <v>17832.93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1</v>
      </c>
      <c r="AZ374">
        <v>1</v>
      </c>
      <c r="BA374">
        <v>1</v>
      </c>
      <c r="BB374">
        <v>1</v>
      </c>
      <c r="BC374">
        <v>7.66</v>
      </c>
      <c r="BD374" t="s">
        <v>3</v>
      </c>
      <c r="BE374" t="s">
        <v>3</v>
      </c>
      <c r="BF374" t="s">
        <v>3</v>
      </c>
      <c r="BG374" t="s">
        <v>3</v>
      </c>
      <c r="BH374">
        <v>3</v>
      </c>
      <c r="BI374">
        <v>3</v>
      </c>
      <c r="BJ374" t="s">
        <v>3</v>
      </c>
      <c r="BM374">
        <v>746</v>
      </c>
      <c r="BN374">
        <v>0</v>
      </c>
      <c r="BO374" t="s">
        <v>3</v>
      </c>
      <c r="BP374">
        <v>0</v>
      </c>
      <c r="BQ374">
        <v>130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 t="s">
        <v>3</v>
      </c>
      <c r="BZ374">
        <v>0</v>
      </c>
      <c r="CA374">
        <v>0</v>
      </c>
      <c r="CB374" t="s">
        <v>3</v>
      </c>
      <c r="CE374">
        <v>30</v>
      </c>
      <c r="CF374">
        <v>0</v>
      </c>
      <c r="CG374">
        <v>0</v>
      </c>
      <c r="CM374">
        <v>0</v>
      </c>
      <c r="CN374" t="s">
        <v>3</v>
      </c>
      <c r="CO374">
        <v>0</v>
      </c>
      <c r="CP374">
        <f t="shared" si="299"/>
        <v>1092801.95</v>
      </c>
      <c r="CQ374">
        <f t="shared" si="324"/>
        <v>136600.24</v>
      </c>
      <c r="CR374">
        <f t="shared" si="322"/>
        <v>0</v>
      </c>
      <c r="CS374">
        <f t="shared" si="300"/>
        <v>0</v>
      </c>
      <c r="CT374">
        <f t="shared" si="301"/>
        <v>0</v>
      </c>
      <c r="CU374">
        <f t="shared" si="302"/>
        <v>0</v>
      </c>
      <c r="CV374">
        <f t="shared" si="303"/>
        <v>0</v>
      </c>
      <c r="CW374">
        <f t="shared" si="304"/>
        <v>0</v>
      </c>
      <c r="CX374">
        <f t="shared" si="305"/>
        <v>0</v>
      </c>
      <c r="CY374">
        <f t="shared" si="306"/>
        <v>0</v>
      </c>
      <c r="CZ374">
        <f t="shared" si="307"/>
        <v>0</v>
      </c>
      <c r="DC374" t="s">
        <v>3</v>
      </c>
      <c r="DD374" t="s">
        <v>3</v>
      </c>
      <c r="DE374" t="s">
        <v>3</v>
      </c>
      <c r="DF374" t="s">
        <v>3</v>
      </c>
      <c r="DG374" t="s">
        <v>3</v>
      </c>
      <c r="DH374" t="s">
        <v>3</v>
      </c>
      <c r="DI374" t="s">
        <v>3</v>
      </c>
      <c r="DJ374" t="s">
        <v>3</v>
      </c>
      <c r="DK374" t="s">
        <v>3</v>
      </c>
      <c r="DL374" t="s">
        <v>3</v>
      </c>
      <c r="DM374" t="s">
        <v>3</v>
      </c>
      <c r="DN374">
        <v>0</v>
      </c>
      <c r="DO374">
        <v>0</v>
      </c>
      <c r="DP374">
        <v>1</v>
      </c>
      <c r="DQ374">
        <v>1</v>
      </c>
      <c r="DU374">
        <v>1010</v>
      </c>
      <c r="DV374" t="s">
        <v>31</v>
      </c>
      <c r="DW374" t="s">
        <v>31</v>
      </c>
      <c r="DX374">
        <v>1</v>
      </c>
      <c r="DZ374" t="s">
        <v>3</v>
      </c>
      <c r="EA374" t="s">
        <v>3</v>
      </c>
      <c r="EB374" t="s">
        <v>3</v>
      </c>
      <c r="EC374" t="s">
        <v>3</v>
      </c>
      <c r="EE374">
        <v>55992259</v>
      </c>
      <c r="EF374">
        <v>130</v>
      </c>
      <c r="EG374" t="s">
        <v>32</v>
      </c>
      <c r="EH374">
        <v>0</v>
      </c>
      <c r="EI374" t="s">
        <v>3</v>
      </c>
      <c r="EJ374">
        <v>3</v>
      </c>
      <c r="EK374">
        <v>746</v>
      </c>
      <c r="EL374" t="s">
        <v>33</v>
      </c>
      <c r="EM374" t="s">
        <v>34</v>
      </c>
      <c r="EO374" t="s">
        <v>3</v>
      </c>
      <c r="EQ374">
        <v>1835008</v>
      </c>
      <c r="ER374">
        <v>17832.93</v>
      </c>
      <c r="ES374">
        <v>17832.93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5</v>
      </c>
      <c r="FC374">
        <v>1</v>
      </c>
      <c r="FD374">
        <v>18</v>
      </c>
      <c r="FF374">
        <v>157258.74</v>
      </c>
      <c r="FQ374">
        <v>0</v>
      </c>
      <c r="FR374">
        <f t="shared" si="325"/>
        <v>1092801.95</v>
      </c>
      <c r="FS374">
        <v>0</v>
      </c>
      <c r="FX374">
        <v>0</v>
      </c>
      <c r="FY374">
        <v>0</v>
      </c>
      <c r="GA374" t="s">
        <v>395</v>
      </c>
      <c r="GD374">
        <v>1</v>
      </c>
      <c r="GF374">
        <v>597814737</v>
      </c>
      <c r="GG374">
        <v>2</v>
      </c>
      <c r="GH374">
        <v>3</v>
      </c>
      <c r="GI374">
        <v>5</v>
      </c>
      <c r="GJ374">
        <v>0</v>
      </c>
      <c r="GK374">
        <v>0</v>
      </c>
      <c r="GL374">
        <f t="shared" si="308"/>
        <v>0</v>
      </c>
      <c r="GM374">
        <f t="shared" si="309"/>
        <v>1092801.95</v>
      </c>
      <c r="GN374">
        <f t="shared" si="310"/>
        <v>0</v>
      </c>
      <c r="GO374">
        <f t="shared" si="311"/>
        <v>0</v>
      </c>
      <c r="GP374">
        <f t="shared" si="312"/>
        <v>0</v>
      </c>
      <c r="GR374">
        <v>1</v>
      </c>
      <c r="GS374">
        <v>1</v>
      </c>
      <c r="GT374">
        <v>0</v>
      </c>
      <c r="GU374" t="s">
        <v>3</v>
      </c>
      <c r="GV374">
        <f t="shared" si="313"/>
        <v>0</v>
      </c>
      <c r="GW374">
        <v>1</v>
      </c>
      <c r="GX374">
        <f t="shared" si="314"/>
        <v>0</v>
      </c>
      <c r="HA374">
        <v>0</v>
      </c>
      <c r="HB374">
        <v>0</v>
      </c>
      <c r="HC374">
        <f t="shared" si="315"/>
        <v>0</v>
      </c>
      <c r="HE374" t="s">
        <v>36</v>
      </c>
      <c r="HF374" t="s">
        <v>37</v>
      </c>
      <c r="HM374" t="s">
        <v>3</v>
      </c>
      <c r="HN374" t="s">
        <v>3</v>
      </c>
      <c r="HO374" t="s">
        <v>3</v>
      </c>
      <c r="HP374" t="s">
        <v>3</v>
      </c>
      <c r="HQ374" t="s">
        <v>3</v>
      </c>
      <c r="HS374">
        <v>0</v>
      </c>
      <c r="IK374">
        <v>0</v>
      </c>
    </row>
    <row r="375" spans="1:255" x14ac:dyDescent="0.2">
      <c r="A375" s="2">
        <v>17</v>
      </c>
      <c r="B375" s="2">
        <v>1</v>
      </c>
      <c r="C375" s="2">
        <f>ROW(SmtRes!A274)</f>
        <v>274</v>
      </c>
      <c r="D375" s="2">
        <f>ROW(EtalonRes!A327)</f>
        <v>327</v>
      </c>
      <c r="E375" s="2" t="s">
        <v>396</v>
      </c>
      <c r="F375" s="2" t="s">
        <v>285</v>
      </c>
      <c r="G375" s="2" t="s">
        <v>397</v>
      </c>
      <c r="H375" s="2" t="s">
        <v>21</v>
      </c>
      <c r="I375" s="2">
        <f>ROUND(2+8+1+2+5,9)</f>
        <v>18</v>
      </c>
      <c r="J375" s="2">
        <v>0</v>
      </c>
      <c r="K375" s="2">
        <f>ROUND(2+8+1+2+5,9)</f>
        <v>18</v>
      </c>
      <c r="L375" s="2"/>
      <c r="M375" s="2"/>
      <c r="N375" s="2"/>
      <c r="O375" s="2">
        <f t="shared" si="286"/>
        <v>139.93</v>
      </c>
      <c r="P375" s="2">
        <f>ROUND((ROUND((AC375*AW375*I375),2)*BC375),2)</f>
        <v>0</v>
      </c>
      <c r="Q375" s="2">
        <f>(ROUND((ROUND((((ET375*1.1))*AV375*I375),2)*BB375),2)+ROUND((ROUND(((AE375-((EU375*1.1)))*AV375*I375),2)*BS375),2))</f>
        <v>0</v>
      </c>
      <c r="R375" s="2">
        <f t="shared" si="287"/>
        <v>0</v>
      </c>
      <c r="S375" s="2">
        <f t="shared" si="288"/>
        <v>139.93</v>
      </c>
      <c r="T375" s="2">
        <f t="shared" si="289"/>
        <v>0</v>
      </c>
      <c r="U375" s="2">
        <f t="shared" si="290"/>
        <v>10.779911999999999</v>
      </c>
      <c r="V375" s="2">
        <f t="shared" si="291"/>
        <v>0</v>
      </c>
      <c r="W375" s="2">
        <f t="shared" si="292"/>
        <v>0</v>
      </c>
      <c r="X375" s="2">
        <f t="shared" si="293"/>
        <v>125.94</v>
      </c>
      <c r="Y375" s="2">
        <f t="shared" si="294"/>
        <v>64.37</v>
      </c>
      <c r="Z375" s="2"/>
      <c r="AA375" s="2">
        <v>56959434</v>
      </c>
      <c r="AB375" s="2">
        <f t="shared" si="295"/>
        <v>7.4249999999999998</v>
      </c>
      <c r="AC375" s="2">
        <f t="shared" si="296"/>
        <v>0</v>
      </c>
      <c r="AD375" s="2">
        <f>ROUND(((((ET375*1.1))-((EU375*1.1)))+AE375),6)</f>
        <v>0</v>
      </c>
      <c r="AE375" s="2">
        <f>ROUND(((EU375*1.1)),6)</f>
        <v>0</v>
      </c>
      <c r="AF375" s="2">
        <f>ROUND(((EV375*1.1)),6)</f>
        <v>7.4249999999999998</v>
      </c>
      <c r="AG375" s="2">
        <f t="shared" si="297"/>
        <v>0</v>
      </c>
      <c r="AH375" s="2">
        <f>((EW375*1.1))</f>
        <v>0.57200000000000006</v>
      </c>
      <c r="AI375" s="2">
        <f>((EX375*1.1))</f>
        <v>0</v>
      </c>
      <c r="AJ375" s="2">
        <f t="shared" si="298"/>
        <v>0</v>
      </c>
      <c r="AK375" s="2">
        <v>6.75</v>
      </c>
      <c r="AL375" s="2">
        <v>0</v>
      </c>
      <c r="AM375" s="2">
        <v>0</v>
      </c>
      <c r="AN375" s="2">
        <v>0</v>
      </c>
      <c r="AO375" s="2">
        <v>6.75</v>
      </c>
      <c r="AP375" s="2">
        <v>0</v>
      </c>
      <c r="AQ375" s="2">
        <v>0.52</v>
      </c>
      <c r="AR375" s="2">
        <v>0</v>
      </c>
      <c r="AS375" s="2">
        <v>0</v>
      </c>
      <c r="AT375" s="2">
        <v>90</v>
      </c>
      <c r="AU375" s="2">
        <v>46</v>
      </c>
      <c r="AV375" s="2">
        <v>1.0469999999999999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0</v>
      </c>
      <c r="BI375" s="2">
        <v>2</v>
      </c>
      <c r="BJ375" s="2" t="s">
        <v>287</v>
      </c>
      <c r="BK375" s="2"/>
      <c r="BL375" s="2"/>
      <c r="BM375" s="2">
        <v>72</v>
      </c>
      <c r="BN375" s="2">
        <v>55992028</v>
      </c>
      <c r="BO375" s="2" t="s">
        <v>285</v>
      </c>
      <c r="BP375" s="2">
        <v>1</v>
      </c>
      <c r="BQ375" s="2">
        <v>40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90</v>
      </c>
      <c r="CA375" s="2">
        <v>46</v>
      </c>
      <c r="CB375" s="2" t="s">
        <v>3</v>
      </c>
      <c r="CC375" s="2"/>
      <c r="CD375" s="2"/>
      <c r="CE375" s="2">
        <v>30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673</v>
      </c>
      <c r="CO375" s="2">
        <v>0</v>
      </c>
      <c r="CP375" s="2">
        <f t="shared" si="299"/>
        <v>139.93</v>
      </c>
      <c r="CQ375" s="2">
        <f>ROUND((ROUND((AC375*AW375*1),2)*BC375),2)</f>
        <v>0</v>
      </c>
      <c r="CR375" s="2">
        <f>(ROUND((ROUND((((ET375*1.1))*AV375*1),2)*BB375),2)+ROUND((ROUND(((AE375-((EU375*1.1)))*AV375*1),2)*BS375),2))</f>
        <v>0</v>
      </c>
      <c r="CS375" s="2">
        <f t="shared" si="300"/>
        <v>0</v>
      </c>
      <c r="CT375" s="2">
        <f t="shared" si="301"/>
        <v>7.77</v>
      </c>
      <c r="CU375" s="2">
        <f t="shared" si="302"/>
        <v>0</v>
      </c>
      <c r="CV375" s="2">
        <f t="shared" si="303"/>
        <v>0.59888399999999997</v>
      </c>
      <c r="CW375" s="2">
        <f t="shared" si="304"/>
        <v>0</v>
      </c>
      <c r="CX375" s="2">
        <f t="shared" si="305"/>
        <v>0</v>
      </c>
      <c r="CY375" s="2">
        <f t="shared" si="306"/>
        <v>125.93700000000001</v>
      </c>
      <c r="CZ375" s="2">
        <f t="shared" si="307"/>
        <v>64.367800000000003</v>
      </c>
      <c r="DA375" s="2"/>
      <c r="DB375" s="2"/>
      <c r="DC375" s="2" t="s">
        <v>3</v>
      </c>
      <c r="DD375" s="2" t="s">
        <v>3</v>
      </c>
      <c r="DE375" s="2" t="s">
        <v>23</v>
      </c>
      <c r="DF375" s="2" t="s">
        <v>23</v>
      </c>
      <c r="DG375" s="2" t="s">
        <v>23</v>
      </c>
      <c r="DH375" s="2" t="s">
        <v>3</v>
      </c>
      <c r="DI375" s="2" t="s">
        <v>23</v>
      </c>
      <c r="DJ375" s="2" t="s">
        <v>23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1013</v>
      </c>
      <c r="DV375" s="2" t="s">
        <v>21</v>
      </c>
      <c r="DW375" s="2" t="s">
        <v>21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55992157</v>
      </c>
      <c r="EF375" s="2">
        <v>40</v>
      </c>
      <c r="EG375" s="2" t="s">
        <v>24</v>
      </c>
      <c r="EH375" s="2">
        <v>0</v>
      </c>
      <c r="EI375" s="2" t="s">
        <v>3</v>
      </c>
      <c r="EJ375" s="2">
        <v>2</v>
      </c>
      <c r="EK375" s="2">
        <v>72</v>
      </c>
      <c r="EL375" s="2" t="s">
        <v>25</v>
      </c>
      <c r="EM375" s="2" t="s">
        <v>26</v>
      </c>
      <c r="EN375" s="2"/>
      <c r="EO375" s="2" t="s">
        <v>27</v>
      </c>
      <c r="EP375" s="2"/>
      <c r="EQ375" s="2">
        <v>0</v>
      </c>
      <c r="ER375" s="2">
        <v>6.75</v>
      </c>
      <c r="ES375" s="2">
        <v>0</v>
      </c>
      <c r="ET375" s="2">
        <v>0</v>
      </c>
      <c r="EU375" s="2">
        <v>0</v>
      </c>
      <c r="EV375" s="2">
        <v>6.75</v>
      </c>
      <c r="EW375" s="2">
        <v>0.52</v>
      </c>
      <c r="EX375" s="2">
        <v>0</v>
      </c>
      <c r="EY375" s="2">
        <v>0</v>
      </c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90</v>
      </c>
      <c r="FY375" s="2">
        <v>46</v>
      </c>
      <c r="FZ375" s="2"/>
      <c r="GA375" s="2" t="s">
        <v>3</v>
      </c>
      <c r="GB375" s="2"/>
      <c r="GC375" s="2"/>
      <c r="GD375" s="2">
        <v>1</v>
      </c>
      <c r="GE375" s="2"/>
      <c r="GF375" s="2">
        <v>338415528</v>
      </c>
      <c r="GG375" s="2">
        <v>2</v>
      </c>
      <c r="GH375" s="2">
        <v>1</v>
      </c>
      <c r="GI375" s="2">
        <v>2</v>
      </c>
      <c r="GJ375" s="2">
        <v>0</v>
      </c>
      <c r="GK375" s="2">
        <v>0</v>
      </c>
      <c r="GL375" s="2">
        <f t="shared" si="308"/>
        <v>0</v>
      </c>
      <c r="GM375" s="2">
        <f t="shared" si="309"/>
        <v>330.24</v>
      </c>
      <c r="GN375" s="2">
        <f t="shared" si="310"/>
        <v>0</v>
      </c>
      <c r="GO375" s="2">
        <f t="shared" si="311"/>
        <v>330.24</v>
      </c>
      <c r="GP375" s="2">
        <f t="shared" si="312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313"/>
        <v>0</v>
      </c>
      <c r="GW375" s="2">
        <v>1</v>
      </c>
      <c r="GX375" s="2">
        <f t="shared" si="314"/>
        <v>0</v>
      </c>
      <c r="GY375" s="2"/>
      <c r="GZ375" s="2"/>
      <c r="HA375" s="2">
        <v>0</v>
      </c>
      <c r="HB375" s="2">
        <v>0</v>
      </c>
      <c r="HC375" s="2">
        <f t="shared" si="315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>
        <v>17</v>
      </c>
      <c r="B376">
        <v>1</v>
      </c>
      <c r="C376">
        <f>ROW(SmtRes!A276)</f>
        <v>276</v>
      </c>
      <c r="D376">
        <f>ROW(EtalonRes!A330)</f>
        <v>330</v>
      </c>
      <c r="E376" t="s">
        <v>396</v>
      </c>
      <c r="F376" t="s">
        <v>285</v>
      </c>
      <c r="G376" t="s">
        <v>397</v>
      </c>
      <c r="H376" t="s">
        <v>21</v>
      </c>
      <c r="I376">
        <f>ROUND(2+8+1+2+5,9)</f>
        <v>18</v>
      </c>
      <c r="J376">
        <v>0</v>
      </c>
      <c r="K376">
        <f>ROUND(2+8+1+2+5,9)</f>
        <v>18</v>
      </c>
      <c r="O376">
        <f t="shared" si="286"/>
        <v>7694.75</v>
      </c>
      <c r="P376">
        <f>ROUND((ROUND((AC376*AW376*I376),2)*BC376),2)</f>
        <v>0</v>
      </c>
      <c r="Q376">
        <f>(ROUND((ROUND((((ET376*1.1))*AV376*I376),2)*BB376),2)+ROUND((ROUND(((AE376-((EU376*1.1)))*AV376*I376),2)*BS376),2))</f>
        <v>0</v>
      </c>
      <c r="R376">
        <f t="shared" si="287"/>
        <v>0</v>
      </c>
      <c r="S376">
        <f t="shared" si="288"/>
        <v>7694.75</v>
      </c>
      <c r="T376">
        <f t="shared" si="289"/>
        <v>0</v>
      </c>
      <c r="U376">
        <f t="shared" si="290"/>
        <v>10.779911999999999</v>
      </c>
      <c r="V376">
        <f t="shared" si="291"/>
        <v>0</v>
      </c>
      <c r="W376">
        <f t="shared" si="292"/>
        <v>0</v>
      </c>
      <c r="X376">
        <f t="shared" si="293"/>
        <v>6925.28</v>
      </c>
      <c r="Y376">
        <f t="shared" si="294"/>
        <v>3539.59</v>
      </c>
      <c r="AA376">
        <v>56959431</v>
      </c>
      <c r="AB376">
        <f t="shared" si="295"/>
        <v>7.4249999999999998</v>
      </c>
      <c r="AC376">
        <f t="shared" si="296"/>
        <v>0</v>
      </c>
      <c r="AD376">
        <f>ROUND(((((ET376*1.1))-((EU376*1.1)))+AE376),6)</f>
        <v>0</v>
      </c>
      <c r="AE376">
        <f>ROUND(((EU376*1.1)),6)</f>
        <v>0</v>
      </c>
      <c r="AF376">
        <f>ROUND(((EV376*1.1)),6)</f>
        <v>7.4249999999999998</v>
      </c>
      <c r="AG376">
        <f t="shared" si="297"/>
        <v>0</v>
      </c>
      <c r="AH376">
        <f>((EW376*1.1))</f>
        <v>0.57200000000000006</v>
      </c>
      <c r="AI376">
        <f>((EX376*1.1))</f>
        <v>0</v>
      </c>
      <c r="AJ376">
        <f t="shared" si="298"/>
        <v>0</v>
      </c>
      <c r="AK376">
        <v>6.75</v>
      </c>
      <c r="AL376">
        <v>0</v>
      </c>
      <c r="AM376">
        <v>0</v>
      </c>
      <c r="AN376">
        <v>0</v>
      </c>
      <c r="AO376">
        <v>6.75</v>
      </c>
      <c r="AP376">
        <v>0</v>
      </c>
      <c r="AQ376">
        <v>0.52</v>
      </c>
      <c r="AR376">
        <v>0</v>
      </c>
      <c r="AS376">
        <v>0</v>
      </c>
      <c r="AT376">
        <v>90</v>
      </c>
      <c r="AU376">
        <v>46</v>
      </c>
      <c r="AV376">
        <v>1.0469999999999999</v>
      </c>
      <c r="AW376">
        <v>1</v>
      </c>
      <c r="AZ376">
        <v>1</v>
      </c>
      <c r="BA376">
        <v>54.99</v>
      </c>
      <c r="BB376">
        <v>1</v>
      </c>
      <c r="BC376">
        <v>1</v>
      </c>
      <c r="BD376" t="s">
        <v>3</v>
      </c>
      <c r="BE376" t="s">
        <v>3</v>
      </c>
      <c r="BF376" t="s">
        <v>3</v>
      </c>
      <c r="BG376" t="s">
        <v>3</v>
      </c>
      <c r="BH376">
        <v>0</v>
      </c>
      <c r="BI376">
        <v>2</v>
      </c>
      <c r="BJ376" t="s">
        <v>287</v>
      </c>
      <c r="BM376">
        <v>72</v>
      </c>
      <c r="BN376">
        <v>55992028</v>
      </c>
      <c r="BO376" t="s">
        <v>285</v>
      </c>
      <c r="BP376">
        <v>1</v>
      </c>
      <c r="BQ376">
        <v>40</v>
      </c>
      <c r="BR376">
        <v>0</v>
      </c>
      <c r="BS376">
        <v>54.99</v>
      </c>
      <c r="BT376">
        <v>1</v>
      </c>
      <c r="BU376">
        <v>1</v>
      </c>
      <c r="BV376">
        <v>1</v>
      </c>
      <c r="BW376">
        <v>1</v>
      </c>
      <c r="BX376">
        <v>1</v>
      </c>
      <c r="BY376" t="s">
        <v>3</v>
      </c>
      <c r="BZ376">
        <v>90</v>
      </c>
      <c r="CA376">
        <v>46</v>
      </c>
      <c r="CB376" t="s">
        <v>3</v>
      </c>
      <c r="CE376">
        <v>30</v>
      </c>
      <c r="CF376">
        <v>0</v>
      </c>
      <c r="CG376">
        <v>0</v>
      </c>
      <c r="CM376">
        <v>0</v>
      </c>
      <c r="CN376" t="s">
        <v>673</v>
      </c>
      <c r="CO376">
        <v>0</v>
      </c>
      <c r="CP376">
        <f t="shared" si="299"/>
        <v>7694.75</v>
      </c>
      <c r="CQ376">
        <f>ROUND((ROUND((AC376*AW376*1),2)*BC376),2)</f>
        <v>0</v>
      </c>
      <c r="CR376">
        <f>(ROUND((ROUND((((ET376*1.1))*AV376*1),2)*BB376),2)+ROUND((ROUND(((AE376-((EU376*1.1)))*AV376*1),2)*BS376),2))</f>
        <v>0</v>
      </c>
      <c r="CS376">
        <f t="shared" si="300"/>
        <v>0</v>
      </c>
      <c r="CT376">
        <f t="shared" si="301"/>
        <v>427.27</v>
      </c>
      <c r="CU376">
        <f t="shared" si="302"/>
        <v>0</v>
      </c>
      <c r="CV376">
        <f t="shared" si="303"/>
        <v>0.59888399999999997</v>
      </c>
      <c r="CW376">
        <f t="shared" si="304"/>
        <v>0</v>
      </c>
      <c r="CX376">
        <f t="shared" si="305"/>
        <v>0</v>
      </c>
      <c r="CY376">
        <f t="shared" si="306"/>
        <v>6925.2749999999996</v>
      </c>
      <c r="CZ376">
        <f t="shared" si="307"/>
        <v>3539.585</v>
      </c>
      <c r="DC376" t="s">
        <v>3</v>
      </c>
      <c r="DD376" t="s">
        <v>3</v>
      </c>
      <c r="DE376" t="s">
        <v>23</v>
      </c>
      <c r="DF376" t="s">
        <v>23</v>
      </c>
      <c r="DG376" t="s">
        <v>23</v>
      </c>
      <c r="DH376" t="s">
        <v>3</v>
      </c>
      <c r="DI376" t="s">
        <v>23</v>
      </c>
      <c r="DJ376" t="s">
        <v>23</v>
      </c>
      <c r="DK376" t="s">
        <v>3</v>
      </c>
      <c r="DL376" t="s">
        <v>3</v>
      </c>
      <c r="DM376" t="s">
        <v>3</v>
      </c>
      <c r="DN376">
        <v>0</v>
      </c>
      <c r="DO376">
        <v>0</v>
      </c>
      <c r="DP376">
        <v>1</v>
      </c>
      <c r="DQ376">
        <v>1</v>
      </c>
      <c r="DU376">
        <v>1013</v>
      </c>
      <c r="DV376" t="s">
        <v>21</v>
      </c>
      <c r="DW376" t="s">
        <v>21</v>
      </c>
      <c r="DX376">
        <v>1</v>
      </c>
      <c r="DZ376" t="s">
        <v>3</v>
      </c>
      <c r="EA376" t="s">
        <v>3</v>
      </c>
      <c r="EB376" t="s">
        <v>3</v>
      </c>
      <c r="EC376" t="s">
        <v>3</v>
      </c>
      <c r="EE376">
        <v>55992157</v>
      </c>
      <c r="EF376">
        <v>40</v>
      </c>
      <c r="EG376" t="s">
        <v>24</v>
      </c>
      <c r="EH376">
        <v>0</v>
      </c>
      <c r="EI376" t="s">
        <v>3</v>
      </c>
      <c r="EJ376">
        <v>2</v>
      </c>
      <c r="EK376">
        <v>72</v>
      </c>
      <c r="EL376" t="s">
        <v>25</v>
      </c>
      <c r="EM376" t="s">
        <v>26</v>
      </c>
      <c r="EO376" t="s">
        <v>27</v>
      </c>
      <c r="EQ376">
        <v>0</v>
      </c>
      <c r="ER376">
        <v>6.75</v>
      </c>
      <c r="ES376">
        <v>0</v>
      </c>
      <c r="ET376">
        <v>0</v>
      </c>
      <c r="EU376">
        <v>0</v>
      </c>
      <c r="EV376">
        <v>6.75</v>
      </c>
      <c r="EW376">
        <v>0.52</v>
      </c>
      <c r="EX376">
        <v>0</v>
      </c>
      <c r="EY376">
        <v>0</v>
      </c>
      <c r="FQ376">
        <v>0</v>
      </c>
      <c r="FR376">
        <v>0</v>
      </c>
      <c r="FS376">
        <v>0</v>
      </c>
      <c r="FX376">
        <v>90</v>
      </c>
      <c r="FY376">
        <v>46</v>
      </c>
      <c r="GA376" t="s">
        <v>3</v>
      </c>
      <c r="GD376">
        <v>1</v>
      </c>
      <c r="GF376">
        <v>338415528</v>
      </c>
      <c r="GG376">
        <v>2</v>
      </c>
      <c r="GH376">
        <v>1</v>
      </c>
      <c r="GI376">
        <v>2</v>
      </c>
      <c r="GJ376">
        <v>0</v>
      </c>
      <c r="GK376">
        <v>0</v>
      </c>
      <c r="GL376">
        <f t="shared" si="308"/>
        <v>0</v>
      </c>
      <c r="GM376">
        <f t="shared" si="309"/>
        <v>18159.62</v>
      </c>
      <c r="GN376">
        <f t="shared" si="310"/>
        <v>0</v>
      </c>
      <c r="GO376">
        <f t="shared" si="311"/>
        <v>18159.62</v>
      </c>
      <c r="GP376">
        <f t="shared" si="312"/>
        <v>0</v>
      </c>
      <c r="GR376">
        <v>0</v>
      </c>
      <c r="GS376">
        <v>3</v>
      </c>
      <c r="GT376">
        <v>0</v>
      </c>
      <c r="GU376" t="s">
        <v>3</v>
      </c>
      <c r="GV376">
        <f t="shared" si="313"/>
        <v>0</v>
      </c>
      <c r="GW376">
        <v>1</v>
      </c>
      <c r="GX376">
        <f t="shared" si="314"/>
        <v>0</v>
      </c>
      <c r="HA376">
        <v>0</v>
      </c>
      <c r="HB376">
        <v>0</v>
      </c>
      <c r="HC376">
        <f t="shared" si="315"/>
        <v>0</v>
      </c>
      <c r="HE376" t="s">
        <v>3</v>
      </c>
      <c r="HF376" t="s">
        <v>3</v>
      </c>
      <c r="HM376" t="s">
        <v>3</v>
      </c>
      <c r="HN376" t="s">
        <v>3</v>
      </c>
      <c r="HO376" t="s">
        <v>3</v>
      </c>
      <c r="HP376" t="s">
        <v>3</v>
      </c>
      <c r="HQ376" t="s">
        <v>3</v>
      </c>
      <c r="HS376">
        <v>0</v>
      </c>
      <c r="IK376">
        <v>0</v>
      </c>
    </row>
    <row r="377" spans="1:255" x14ac:dyDescent="0.2">
      <c r="A377" s="2">
        <v>18</v>
      </c>
      <c r="B377" s="2">
        <v>1</v>
      </c>
      <c r="C377" s="2">
        <v>274</v>
      </c>
      <c r="D377" s="2"/>
      <c r="E377" s="2" t="s">
        <v>398</v>
      </c>
      <c r="F377" s="2" t="s">
        <v>247</v>
      </c>
      <c r="G377" s="2" t="s">
        <v>248</v>
      </c>
      <c r="H377" s="2" t="s">
        <v>249</v>
      </c>
      <c r="I377" s="2">
        <f>I375*J377</f>
        <v>0.63000000000000012</v>
      </c>
      <c r="J377" s="2">
        <v>3.5000000000000003E-2</v>
      </c>
      <c r="K377" s="2">
        <v>3.5000000000000003E-2</v>
      </c>
      <c r="L377" s="2"/>
      <c r="M377" s="2"/>
      <c r="N377" s="2"/>
      <c r="O377" s="2">
        <f t="shared" si="286"/>
        <v>19.579999999999998</v>
      </c>
      <c r="P377" s="2">
        <f>ROUND((ROUND((AC377*AW377*I377),2)*BC377),2)</f>
        <v>19.579999999999998</v>
      </c>
      <c r="Q377" s="2">
        <f t="shared" ref="Q377:Q388" si="326">(ROUND((ROUND(((ET377)*AV377*I377),2)*BB377),2)+ROUND((ROUND(((AE377-(EU377))*AV377*I377),2)*BS377),2))</f>
        <v>0</v>
      </c>
      <c r="R377" s="2">
        <f t="shared" si="287"/>
        <v>0</v>
      </c>
      <c r="S377" s="2">
        <f t="shared" si="288"/>
        <v>0</v>
      </c>
      <c r="T377" s="2">
        <f t="shared" si="289"/>
        <v>0</v>
      </c>
      <c r="U377" s="2">
        <f t="shared" si="290"/>
        <v>0</v>
      </c>
      <c r="V377" s="2">
        <f t="shared" si="291"/>
        <v>0</v>
      </c>
      <c r="W377" s="2">
        <f t="shared" si="292"/>
        <v>0</v>
      </c>
      <c r="X377" s="2">
        <f t="shared" si="293"/>
        <v>0</v>
      </c>
      <c r="Y377" s="2">
        <f t="shared" si="294"/>
        <v>0</v>
      </c>
      <c r="Z377" s="2"/>
      <c r="AA377" s="2">
        <v>56959434</v>
      </c>
      <c r="AB377" s="2">
        <f t="shared" si="295"/>
        <v>31.08</v>
      </c>
      <c r="AC377" s="2">
        <f t="shared" si="296"/>
        <v>31.08</v>
      </c>
      <c r="AD377" s="2">
        <f t="shared" ref="AD377:AD388" si="327">ROUND((((ET377)-(EU377))+AE377),6)</f>
        <v>0</v>
      </c>
      <c r="AE377" s="2">
        <f t="shared" ref="AE377:AE388" si="328">ROUND((EU377),6)</f>
        <v>0</v>
      </c>
      <c r="AF377" s="2">
        <f t="shared" ref="AF377:AF388" si="329">ROUND((EV377),6)</f>
        <v>0</v>
      </c>
      <c r="AG377" s="2">
        <f t="shared" si="297"/>
        <v>0</v>
      </c>
      <c r="AH377" s="2">
        <f t="shared" ref="AH377:AH388" si="330">(EW377)</f>
        <v>0</v>
      </c>
      <c r="AI377" s="2">
        <f t="shared" ref="AI377:AI388" si="331">(EX377)</f>
        <v>0</v>
      </c>
      <c r="AJ377" s="2">
        <f t="shared" si="298"/>
        <v>0</v>
      </c>
      <c r="AK377" s="2">
        <v>31.08</v>
      </c>
      <c r="AL377" s="2">
        <v>31.08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90</v>
      </c>
      <c r="AU377" s="2">
        <v>46</v>
      </c>
      <c r="AV377" s="2">
        <v>1</v>
      </c>
      <c r="AW377" s="2">
        <v>1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2</v>
      </c>
      <c r="BJ377" s="2" t="s">
        <v>250</v>
      </c>
      <c r="BK377" s="2"/>
      <c r="BL377" s="2"/>
      <c r="BM377" s="2">
        <v>72</v>
      </c>
      <c r="BN377" s="2">
        <v>55992028</v>
      </c>
      <c r="BO377" s="2" t="s">
        <v>3</v>
      </c>
      <c r="BP377" s="2">
        <v>0</v>
      </c>
      <c r="BQ377" s="2">
        <v>40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90</v>
      </c>
      <c r="CA377" s="2">
        <v>46</v>
      </c>
      <c r="CB377" s="2" t="s">
        <v>3</v>
      </c>
      <c r="CC377" s="2"/>
      <c r="CD377" s="2"/>
      <c r="CE377" s="2">
        <v>30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3</v>
      </c>
      <c r="CO377" s="2">
        <v>0</v>
      </c>
      <c r="CP377" s="2">
        <f t="shared" si="299"/>
        <v>19.579999999999998</v>
      </c>
      <c r="CQ377" s="2">
        <f>ROUND((ROUND((AC377*AW377*1),2)*BC377),2)</f>
        <v>31.08</v>
      </c>
      <c r="CR377" s="2">
        <f t="shared" ref="CR377:CR388" si="332">(ROUND((ROUND(((ET377)*AV377*1),2)*BB377),2)+ROUND((ROUND(((AE377-(EU377))*AV377*1),2)*BS377),2))</f>
        <v>0</v>
      </c>
      <c r="CS377" s="2">
        <f t="shared" si="300"/>
        <v>0</v>
      </c>
      <c r="CT377" s="2">
        <f t="shared" si="301"/>
        <v>0</v>
      </c>
      <c r="CU377" s="2">
        <f t="shared" si="302"/>
        <v>0</v>
      </c>
      <c r="CV377" s="2">
        <f t="shared" si="303"/>
        <v>0</v>
      </c>
      <c r="CW377" s="2">
        <f t="shared" si="304"/>
        <v>0</v>
      </c>
      <c r="CX377" s="2">
        <f t="shared" si="305"/>
        <v>0</v>
      </c>
      <c r="CY377" s="2">
        <f t="shared" si="306"/>
        <v>0</v>
      </c>
      <c r="CZ377" s="2">
        <f t="shared" si="307"/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1009</v>
      </c>
      <c r="DV377" s="2" t="s">
        <v>249</v>
      </c>
      <c r="DW377" s="2" t="s">
        <v>249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55992157</v>
      </c>
      <c r="EF377" s="2">
        <v>40</v>
      </c>
      <c r="EG377" s="2" t="s">
        <v>24</v>
      </c>
      <c r="EH377" s="2">
        <v>0</v>
      </c>
      <c r="EI377" s="2" t="s">
        <v>3</v>
      </c>
      <c r="EJ377" s="2">
        <v>2</v>
      </c>
      <c r="EK377" s="2">
        <v>72</v>
      </c>
      <c r="EL377" s="2" t="s">
        <v>25</v>
      </c>
      <c r="EM377" s="2" t="s">
        <v>26</v>
      </c>
      <c r="EN377" s="2"/>
      <c r="EO377" s="2" t="s">
        <v>3</v>
      </c>
      <c r="EP377" s="2"/>
      <c r="EQ377" s="2">
        <v>0</v>
      </c>
      <c r="ER377" s="2">
        <v>31.08</v>
      </c>
      <c r="ES377" s="2">
        <v>31.08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90</v>
      </c>
      <c r="FY377" s="2">
        <v>46</v>
      </c>
      <c r="FZ377" s="2"/>
      <c r="GA377" s="2" t="s">
        <v>3</v>
      </c>
      <c r="GB377" s="2"/>
      <c r="GC377" s="2"/>
      <c r="GD377" s="2">
        <v>1</v>
      </c>
      <c r="GE377" s="2"/>
      <c r="GF377" s="2">
        <v>1143487818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308"/>
        <v>0</v>
      </c>
      <c r="GM377" s="2">
        <f t="shared" si="309"/>
        <v>19.579999999999998</v>
      </c>
      <c r="GN377" s="2">
        <f t="shared" si="310"/>
        <v>0</v>
      </c>
      <c r="GO377" s="2">
        <f t="shared" si="311"/>
        <v>19.579999999999998</v>
      </c>
      <c r="GP377" s="2">
        <f t="shared" si="312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313"/>
        <v>0</v>
      </c>
      <c r="GW377" s="2">
        <v>1</v>
      </c>
      <c r="GX377" s="2">
        <f t="shared" si="314"/>
        <v>0</v>
      </c>
      <c r="GY377" s="2"/>
      <c r="GZ377" s="2"/>
      <c r="HA377" s="2">
        <v>0</v>
      </c>
      <c r="HB377" s="2">
        <v>0</v>
      </c>
      <c r="HC377" s="2">
        <f t="shared" si="315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">
      <c r="A378">
        <v>18</v>
      </c>
      <c r="B378">
        <v>1</v>
      </c>
      <c r="C378">
        <v>276</v>
      </c>
      <c r="E378" t="s">
        <v>398</v>
      </c>
      <c r="F378" t="s">
        <v>247</v>
      </c>
      <c r="G378" t="s">
        <v>248</v>
      </c>
      <c r="H378" t="s">
        <v>249</v>
      </c>
      <c r="I378">
        <f>I376*J378</f>
        <v>0.63000000000000012</v>
      </c>
      <c r="J378">
        <v>3.5000000000000003E-2</v>
      </c>
      <c r="K378">
        <v>3.5000000000000003E-2</v>
      </c>
      <c r="O378">
        <f t="shared" si="286"/>
        <v>100.25</v>
      </c>
      <c r="P378">
        <f>ROUND((ROUND((AC378*AW378*I378),2)*BC378),2)</f>
        <v>100.25</v>
      </c>
      <c r="Q378">
        <f t="shared" si="326"/>
        <v>0</v>
      </c>
      <c r="R378">
        <f t="shared" si="287"/>
        <v>0</v>
      </c>
      <c r="S378">
        <f t="shared" si="288"/>
        <v>0</v>
      </c>
      <c r="T378">
        <f t="shared" si="289"/>
        <v>0</v>
      </c>
      <c r="U378">
        <f t="shared" si="290"/>
        <v>0</v>
      </c>
      <c r="V378">
        <f t="shared" si="291"/>
        <v>0</v>
      </c>
      <c r="W378">
        <f t="shared" si="292"/>
        <v>0</v>
      </c>
      <c r="X378">
        <f t="shared" si="293"/>
        <v>0</v>
      </c>
      <c r="Y378">
        <f t="shared" si="294"/>
        <v>0</v>
      </c>
      <c r="AA378">
        <v>56959431</v>
      </c>
      <c r="AB378">
        <f t="shared" si="295"/>
        <v>31.08</v>
      </c>
      <c r="AC378">
        <f t="shared" si="296"/>
        <v>31.08</v>
      </c>
      <c r="AD378">
        <f t="shared" si="327"/>
        <v>0</v>
      </c>
      <c r="AE378">
        <f t="shared" si="328"/>
        <v>0</v>
      </c>
      <c r="AF378">
        <f t="shared" si="329"/>
        <v>0</v>
      </c>
      <c r="AG378">
        <f t="shared" si="297"/>
        <v>0</v>
      </c>
      <c r="AH378">
        <f t="shared" si="330"/>
        <v>0</v>
      </c>
      <c r="AI378">
        <f t="shared" si="331"/>
        <v>0</v>
      </c>
      <c r="AJ378">
        <f t="shared" si="298"/>
        <v>0</v>
      </c>
      <c r="AK378">
        <v>31.08</v>
      </c>
      <c r="AL378">
        <v>31.08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90</v>
      </c>
      <c r="AU378">
        <v>46</v>
      </c>
      <c r="AV378">
        <v>1</v>
      </c>
      <c r="AW378">
        <v>1</v>
      </c>
      <c r="AZ378">
        <v>1</v>
      </c>
      <c r="BA378">
        <v>1</v>
      </c>
      <c r="BB378">
        <v>1</v>
      </c>
      <c r="BC378">
        <v>5.12</v>
      </c>
      <c r="BD378" t="s">
        <v>3</v>
      </c>
      <c r="BE378" t="s">
        <v>3</v>
      </c>
      <c r="BF378" t="s">
        <v>3</v>
      </c>
      <c r="BG378" t="s">
        <v>3</v>
      </c>
      <c r="BH378">
        <v>3</v>
      </c>
      <c r="BI378">
        <v>2</v>
      </c>
      <c r="BJ378" t="s">
        <v>250</v>
      </c>
      <c r="BM378">
        <v>72</v>
      </c>
      <c r="BN378">
        <v>55992028</v>
      </c>
      <c r="BO378" t="s">
        <v>247</v>
      </c>
      <c r="BP378">
        <v>1</v>
      </c>
      <c r="BQ378">
        <v>40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 t="s">
        <v>3</v>
      </c>
      <c r="BZ378">
        <v>90</v>
      </c>
      <c r="CA378">
        <v>46</v>
      </c>
      <c r="CB378" t="s">
        <v>3</v>
      </c>
      <c r="CE378">
        <v>30</v>
      </c>
      <c r="CF378">
        <v>0</v>
      </c>
      <c r="CG378">
        <v>0</v>
      </c>
      <c r="CM378">
        <v>0</v>
      </c>
      <c r="CN378" t="s">
        <v>3</v>
      </c>
      <c r="CO378">
        <v>0</v>
      </c>
      <c r="CP378">
        <f t="shared" si="299"/>
        <v>100.25</v>
      </c>
      <c r="CQ378">
        <f>ROUND((ROUND((AC378*AW378*1),2)*BC378),2)</f>
        <v>159.13</v>
      </c>
      <c r="CR378">
        <f t="shared" si="332"/>
        <v>0</v>
      </c>
      <c r="CS378">
        <f t="shared" si="300"/>
        <v>0</v>
      </c>
      <c r="CT378">
        <f t="shared" si="301"/>
        <v>0</v>
      </c>
      <c r="CU378">
        <f t="shared" si="302"/>
        <v>0</v>
      </c>
      <c r="CV378">
        <f t="shared" si="303"/>
        <v>0</v>
      </c>
      <c r="CW378">
        <f t="shared" si="304"/>
        <v>0</v>
      </c>
      <c r="CX378">
        <f t="shared" si="305"/>
        <v>0</v>
      </c>
      <c r="CY378">
        <f t="shared" si="306"/>
        <v>0</v>
      </c>
      <c r="CZ378">
        <f t="shared" si="307"/>
        <v>0</v>
      </c>
      <c r="DC378" t="s">
        <v>3</v>
      </c>
      <c r="DD378" t="s">
        <v>3</v>
      </c>
      <c r="DE378" t="s">
        <v>3</v>
      </c>
      <c r="DF378" t="s">
        <v>3</v>
      </c>
      <c r="DG378" t="s">
        <v>3</v>
      </c>
      <c r="DH378" t="s">
        <v>3</v>
      </c>
      <c r="DI378" t="s">
        <v>3</v>
      </c>
      <c r="DJ378" t="s">
        <v>3</v>
      </c>
      <c r="DK378" t="s">
        <v>3</v>
      </c>
      <c r="DL378" t="s">
        <v>3</v>
      </c>
      <c r="DM378" t="s">
        <v>3</v>
      </c>
      <c r="DN378">
        <v>0</v>
      </c>
      <c r="DO378">
        <v>0</v>
      </c>
      <c r="DP378">
        <v>1</v>
      </c>
      <c r="DQ378">
        <v>1</v>
      </c>
      <c r="DU378">
        <v>1009</v>
      </c>
      <c r="DV378" t="s">
        <v>249</v>
      </c>
      <c r="DW378" t="s">
        <v>249</v>
      </c>
      <c r="DX378">
        <v>1</v>
      </c>
      <c r="DZ378" t="s">
        <v>3</v>
      </c>
      <c r="EA378" t="s">
        <v>3</v>
      </c>
      <c r="EB378" t="s">
        <v>3</v>
      </c>
      <c r="EC378" t="s">
        <v>3</v>
      </c>
      <c r="EE378">
        <v>55992157</v>
      </c>
      <c r="EF378">
        <v>40</v>
      </c>
      <c r="EG378" t="s">
        <v>24</v>
      </c>
      <c r="EH378">
        <v>0</v>
      </c>
      <c r="EI378" t="s">
        <v>3</v>
      </c>
      <c r="EJ378">
        <v>2</v>
      </c>
      <c r="EK378">
        <v>72</v>
      </c>
      <c r="EL378" t="s">
        <v>25</v>
      </c>
      <c r="EM378" t="s">
        <v>26</v>
      </c>
      <c r="EO378" t="s">
        <v>3</v>
      </c>
      <c r="EQ378">
        <v>0</v>
      </c>
      <c r="ER378">
        <v>31.08</v>
      </c>
      <c r="ES378">
        <v>31.08</v>
      </c>
      <c r="ET378">
        <v>0</v>
      </c>
      <c r="EU378">
        <v>0</v>
      </c>
      <c r="EV378">
        <v>0</v>
      </c>
      <c r="EW378">
        <v>0</v>
      </c>
      <c r="EX378">
        <v>0</v>
      </c>
      <c r="FQ378">
        <v>0</v>
      </c>
      <c r="FR378">
        <v>0</v>
      </c>
      <c r="FS378">
        <v>0</v>
      </c>
      <c r="FX378">
        <v>90</v>
      </c>
      <c r="FY378">
        <v>46</v>
      </c>
      <c r="GA378" t="s">
        <v>3</v>
      </c>
      <c r="GD378">
        <v>1</v>
      </c>
      <c r="GF378">
        <v>1143487818</v>
      </c>
      <c r="GG378">
        <v>2</v>
      </c>
      <c r="GH378">
        <v>1</v>
      </c>
      <c r="GI378">
        <v>2</v>
      </c>
      <c r="GJ378">
        <v>0</v>
      </c>
      <c r="GK378">
        <v>0</v>
      </c>
      <c r="GL378">
        <f t="shared" si="308"/>
        <v>0</v>
      </c>
      <c r="GM378">
        <f t="shared" si="309"/>
        <v>100.25</v>
      </c>
      <c r="GN378">
        <f t="shared" si="310"/>
        <v>0</v>
      </c>
      <c r="GO378">
        <f t="shared" si="311"/>
        <v>100.25</v>
      </c>
      <c r="GP378">
        <f t="shared" si="312"/>
        <v>0</v>
      </c>
      <c r="GR378">
        <v>0</v>
      </c>
      <c r="GS378">
        <v>3</v>
      </c>
      <c r="GT378">
        <v>0</v>
      </c>
      <c r="GU378" t="s">
        <v>3</v>
      </c>
      <c r="GV378">
        <f t="shared" si="313"/>
        <v>0</v>
      </c>
      <c r="GW378">
        <v>1</v>
      </c>
      <c r="GX378">
        <f t="shared" si="314"/>
        <v>0</v>
      </c>
      <c r="HA378">
        <v>0</v>
      </c>
      <c r="HB378">
        <v>0</v>
      </c>
      <c r="HC378">
        <f t="shared" si="315"/>
        <v>0</v>
      </c>
      <c r="HE378" t="s">
        <v>3</v>
      </c>
      <c r="HF378" t="s">
        <v>3</v>
      </c>
      <c r="HM378" t="s">
        <v>3</v>
      </c>
      <c r="HN378" t="s">
        <v>3</v>
      </c>
      <c r="HO378" t="s">
        <v>3</v>
      </c>
      <c r="HP378" t="s">
        <v>3</v>
      </c>
      <c r="HQ378" t="s">
        <v>3</v>
      </c>
      <c r="HS378">
        <v>0</v>
      </c>
      <c r="IK378">
        <v>0</v>
      </c>
    </row>
    <row r="379" spans="1:255" x14ac:dyDescent="0.2">
      <c r="A379" s="2">
        <v>17</v>
      </c>
      <c r="B379" s="2">
        <v>1</v>
      </c>
      <c r="C379" s="2"/>
      <c r="D379" s="2"/>
      <c r="E379" s="2" t="s">
        <v>399</v>
      </c>
      <c r="F379" s="2" t="s">
        <v>400</v>
      </c>
      <c r="G379" s="2" t="s">
        <v>401</v>
      </c>
      <c r="H379" s="2" t="s">
        <v>31</v>
      </c>
      <c r="I379" s="2">
        <v>2</v>
      </c>
      <c r="J379" s="2">
        <v>0</v>
      </c>
      <c r="K379" s="2">
        <v>2</v>
      </c>
      <c r="L379" s="2"/>
      <c r="M379" s="2"/>
      <c r="N379" s="2"/>
      <c r="O379" s="2">
        <f t="shared" si="286"/>
        <v>7606.78</v>
      </c>
      <c r="P379" s="2">
        <f t="shared" ref="P379:P388" si="333">ROUND((ROUND((AC379*I379),2)*BC379),2)</f>
        <v>7606.78</v>
      </c>
      <c r="Q379" s="2">
        <f t="shared" si="326"/>
        <v>0</v>
      </c>
      <c r="R379" s="2">
        <f t="shared" si="287"/>
        <v>0</v>
      </c>
      <c r="S379" s="2">
        <f t="shared" si="288"/>
        <v>0</v>
      </c>
      <c r="T379" s="2">
        <f t="shared" si="289"/>
        <v>0</v>
      </c>
      <c r="U379" s="2">
        <f t="shared" si="290"/>
        <v>0</v>
      </c>
      <c r="V379" s="2">
        <f t="shared" si="291"/>
        <v>0</v>
      </c>
      <c r="W379" s="2">
        <f t="shared" si="292"/>
        <v>0</v>
      </c>
      <c r="X379" s="2">
        <f t="shared" si="293"/>
        <v>0</v>
      </c>
      <c r="Y379" s="2">
        <f t="shared" si="294"/>
        <v>0</v>
      </c>
      <c r="Z379" s="2"/>
      <c r="AA379" s="2">
        <v>56959434</v>
      </c>
      <c r="AB379" s="2">
        <f t="shared" si="295"/>
        <v>3803.39</v>
      </c>
      <c r="AC379" s="2">
        <f t="shared" si="296"/>
        <v>3803.39</v>
      </c>
      <c r="AD379" s="2">
        <f t="shared" si="327"/>
        <v>0</v>
      </c>
      <c r="AE379" s="2">
        <f t="shared" si="328"/>
        <v>0</v>
      </c>
      <c r="AF379" s="2">
        <f t="shared" si="329"/>
        <v>0</v>
      </c>
      <c r="AG379" s="2">
        <f t="shared" si="297"/>
        <v>0</v>
      </c>
      <c r="AH379" s="2">
        <f t="shared" si="330"/>
        <v>0</v>
      </c>
      <c r="AI379" s="2">
        <f t="shared" si="331"/>
        <v>0</v>
      </c>
      <c r="AJ379" s="2">
        <f t="shared" si="298"/>
        <v>0</v>
      </c>
      <c r="AK379" s="2">
        <v>3803.39</v>
      </c>
      <c r="AL379" s="2">
        <v>3803.39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1</v>
      </c>
      <c r="AW379" s="2">
        <v>1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3</v>
      </c>
      <c r="BI379" s="2">
        <v>3</v>
      </c>
      <c r="BJ379" s="2" t="s">
        <v>3</v>
      </c>
      <c r="BK379" s="2"/>
      <c r="BL379" s="2"/>
      <c r="BM379" s="2">
        <v>746</v>
      </c>
      <c r="BN379" s="2">
        <v>0</v>
      </c>
      <c r="BO379" s="2" t="s">
        <v>3</v>
      </c>
      <c r="BP379" s="2">
        <v>0</v>
      </c>
      <c r="BQ379" s="2">
        <v>130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0</v>
      </c>
      <c r="CA379" s="2">
        <v>0</v>
      </c>
      <c r="CB379" s="2" t="s">
        <v>3</v>
      </c>
      <c r="CC379" s="2"/>
      <c r="CD379" s="2"/>
      <c r="CE379" s="2">
        <v>30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3</v>
      </c>
      <c r="CO379" s="2">
        <v>0</v>
      </c>
      <c r="CP379" s="2">
        <f t="shared" si="299"/>
        <v>7606.78</v>
      </c>
      <c r="CQ379" s="2">
        <f t="shared" ref="CQ379:CQ388" si="334">ROUND((ROUND((AC379*1),2)*BC379),2)</f>
        <v>3803.39</v>
      </c>
      <c r="CR379" s="2">
        <f t="shared" si="332"/>
        <v>0</v>
      </c>
      <c r="CS379" s="2">
        <f t="shared" si="300"/>
        <v>0</v>
      </c>
      <c r="CT379" s="2">
        <f t="shared" si="301"/>
        <v>0</v>
      </c>
      <c r="CU379" s="2">
        <f t="shared" si="302"/>
        <v>0</v>
      </c>
      <c r="CV379" s="2">
        <f t="shared" si="303"/>
        <v>0</v>
      </c>
      <c r="CW379" s="2">
        <f t="shared" si="304"/>
        <v>0</v>
      </c>
      <c r="CX379" s="2">
        <f t="shared" si="305"/>
        <v>0</v>
      </c>
      <c r="CY379" s="2">
        <f t="shared" si="306"/>
        <v>0</v>
      </c>
      <c r="CZ379" s="2">
        <f t="shared" si="307"/>
        <v>0</v>
      </c>
      <c r="DA379" s="2"/>
      <c r="DB379" s="2"/>
      <c r="DC379" s="2" t="s">
        <v>3</v>
      </c>
      <c r="DD379" s="2" t="s">
        <v>3</v>
      </c>
      <c r="DE379" s="2" t="s">
        <v>3</v>
      </c>
      <c r="DF379" s="2" t="s">
        <v>3</v>
      </c>
      <c r="DG379" s="2" t="s">
        <v>3</v>
      </c>
      <c r="DH379" s="2" t="s">
        <v>3</v>
      </c>
      <c r="DI379" s="2" t="s">
        <v>3</v>
      </c>
      <c r="DJ379" s="2" t="s">
        <v>3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1010</v>
      </c>
      <c r="DV379" s="2" t="s">
        <v>31</v>
      </c>
      <c r="DW379" s="2" t="s">
        <v>31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55992259</v>
      </c>
      <c r="EF379" s="2">
        <v>130</v>
      </c>
      <c r="EG379" s="2" t="s">
        <v>32</v>
      </c>
      <c r="EH379" s="2">
        <v>0</v>
      </c>
      <c r="EI379" s="2" t="s">
        <v>3</v>
      </c>
      <c r="EJ379" s="2">
        <v>3</v>
      </c>
      <c r="EK379" s="2">
        <v>746</v>
      </c>
      <c r="EL379" s="2" t="s">
        <v>33</v>
      </c>
      <c r="EM379" s="2" t="s">
        <v>34</v>
      </c>
      <c r="EN379" s="2"/>
      <c r="EO379" s="2" t="s">
        <v>3</v>
      </c>
      <c r="EP379" s="2"/>
      <c r="EQ379" s="2">
        <v>0</v>
      </c>
      <c r="ER379" s="2">
        <v>0</v>
      </c>
      <c r="ES379" s="2">
        <v>3803.39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f t="shared" ref="FR379:FR388" si="335">P379</f>
        <v>7606.78</v>
      </c>
      <c r="FS379" s="2">
        <v>0</v>
      </c>
      <c r="FT379" s="2"/>
      <c r="FU379" s="2"/>
      <c r="FV379" s="2"/>
      <c r="FW379" s="2"/>
      <c r="FX379" s="2">
        <v>0</v>
      </c>
      <c r="FY379" s="2">
        <v>0</v>
      </c>
      <c r="FZ379" s="2"/>
      <c r="GA379" s="2" t="s">
        <v>402</v>
      </c>
      <c r="GB379" s="2"/>
      <c r="GC379" s="2"/>
      <c r="GD379" s="2">
        <v>1</v>
      </c>
      <c r="GE379" s="2"/>
      <c r="GF379" s="2">
        <v>-916993024</v>
      </c>
      <c r="GG379" s="2">
        <v>2</v>
      </c>
      <c r="GH379" s="2">
        <v>4</v>
      </c>
      <c r="GI379" s="2">
        <v>-2</v>
      </c>
      <c r="GJ379" s="2">
        <v>0</v>
      </c>
      <c r="GK379" s="2">
        <v>0</v>
      </c>
      <c r="GL379" s="2">
        <f t="shared" si="308"/>
        <v>0</v>
      </c>
      <c r="GM379" s="2">
        <f t="shared" si="309"/>
        <v>7606.78</v>
      </c>
      <c r="GN379" s="2">
        <f t="shared" si="310"/>
        <v>0</v>
      </c>
      <c r="GO379" s="2">
        <f t="shared" si="311"/>
        <v>0</v>
      </c>
      <c r="GP379" s="2">
        <f t="shared" si="312"/>
        <v>0</v>
      </c>
      <c r="GQ379" s="2"/>
      <c r="GR379" s="2">
        <v>0</v>
      </c>
      <c r="GS379" s="2">
        <v>2</v>
      </c>
      <c r="GT379" s="2">
        <v>0</v>
      </c>
      <c r="GU379" s="2" t="s">
        <v>3</v>
      </c>
      <c r="GV379" s="2">
        <f t="shared" si="313"/>
        <v>0</v>
      </c>
      <c r="GW379" s="2">
        <v>1</v>
      </c>
      <c r="GX379" s="2">
        <f t="shared" si="314"/>
        <v>0</v>
      </c>
      <c r="GY379" s="2"/>
      <c r="GZ379" s="2"/>
      <c r="HA379" s="2">
        <v>0</v>
      </c>
      <c r="HB379" s="2">
        <v>0</v>
      </c>
      <c r="HC379" s="2">
        <f t="shared" si="315"/>
        <v>0</v>
      </c>
      <c r="HD379" s="2"/>
      <c r="HE379" s="2" t="s">
        <v>36</v>
      </c>
      <c r="HF379" s="2" t="s">
        <v>37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">
      <c r="A380">
        <v>17</v>
      </c>
      <c r="B380">
        <v>1</v>
      </c>
      <c r="E380" t="s">
        <v>399</v>
      </c>
      <c r="F380" t="s">
        <v>400</v>
      </c>
      <c r="G380" t="s">
        <v>401</v>
      </c>
      <c r="H380" t="s">
        <v>31</v>
      </c>
      <c r="I380">
        <v>2</v>
      </c>
      <c r="J380">
        <v>0</v>
      </c>
      <c r="K380">
        <v>2</v>
      </c>
      <c r="O380">
        <f t="shared" si="286"/>
        <v>58267.93</v>
      </c>
      <c r="P380">
        <f t="shared" si="333"/>
        <v>58267.93</v>
      </c>
      <c r="Q380">
        <f t="shared" si="326"/>
        <v>0</v>
      </c>
      <c r="R380">
        <f t="shared" si="287"/>
        <v>0</v>
      </c>
      <c r="S380">
        <f t="shared" si="288"/>
        <v>0</v>
      </c>
      <c r="T380">
        <f t="shared" si="289"/>
        <v>0</v>
      </c>
      <c r="U380">
        <f t="shared" si="290"/>
        <v>0</v>
      </c>
      <c r="V380">
        <f t="shared" si="291"/>
        <v>0</v>
      </c>
      <c r="W380">
        <f t="shared" si="292"/>
        <v>0</v>
      </c>
      <c r="X380">
        <f t="shared" si="293"/>
        <v>0</v>
      </c>
      <c r="Y380">
        <f t="shared" si="294"/>
        <v>0</v>
      </c>
      <c r="AA380">
        <v>56959431</v>
      </c>
      <c r="AB380">
        <f t="shared" si="295"/>
        <v>3803.39</v>
      </c>
      <c r="AC380">
        <f t="shared" si="296"/>
        <v>3803.39</v>
      </c>
      <c r="AD380">
        <f t="shared" si="327"/>
        <v>0</v>
      </c>
      <c r="AE380">
        <f t="shared" si="328"/>
        <v>0</v>
      </c>
      <c r="AF380">
        <f t="shared" si="329"/>
        <v>0</v>
      </c>
      <c r="AG380">
        <f t="shared" si="297"/>
        <v>0</v>
      </c>
      <c r="AH380">
        <f t="shared" si="330"/>
        <v>0</v>
      </c>
      <c r="AI380">
        <f t="shared" si="331"/>
        <v>0</v>
      </c>
      <c r="AJ380">
        <f t="shared" si="298"/>
        <v>0</v>
      </c>
      <c r="AK380">
        <v>3803.39</v>
      </c>
      <c r="AL380">
        <v>3803.39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1</v>
      </c>
      <c r="AZ380">
        <v>1</v>
      </c>
      <c r="BA380">
        <v>1</v>
      </c>
      <c r="BB380">
        <v>1</v>
      </c>
      <c r="BC380">
        <v>7.66</v>
      </c>
      <c r="BD380" t="s">
        <v>3</v>
      </c>
      <c r="BE380" t="s">
        <v>3</v>
      </c>
      <c r="BF380" t="s">
        <v>3</v>
      </c>
      <c r="BG380" t="s">
        <v>3</v>
      </c>
      <c r="BH380">
        <v>3</v>
      </c>
      <c r="BI380">
        <v>3</v>
      </c>
      <c r="BJ380" t="s">
        <v>3</v>
      </c>
      <c r="BM380">
        <v>746</v>
      </c>
      <c r="BN380">
        <v>0</v>
      </c>
      <c r="BO380" t="s">
        <v>3</v>
      </c>
      <c r="BP380">
        <v>0</v>
      </c>
      <c r="BQ380">
        <v>130</v>
      </c>
      <c r="BR380">
        <v>0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 t="s">
        <v>3</v>
      </c>
      <c r="BZ380">
        <v>0</v>
      </c>
      <c r="CA380">
        <v>0</v>
      </c>
      <c r="CB380" t="s">
        <v>3</v>
      </c>
      <c r="CE380">
        <v>30</v>
      </c>
      <c r="CF380">
        <v>0</v>
      </c>
      <c r="CG380">
        <v>0</v>
      </c>
      <c r="CM380">
        <v>0</v>
      </c>
      <c r="CN380" t="s">
        <v>3</v>
      </c>
      <c r="CO380">
        <v>0</v>
      </c>
      <c r="CP380">
        <f t="shared" si="299"/>
        <v>58267.93</v>
      </c>
      <c r="CQ380">
        <f t="shared" si="334"/>
        <v>29133.97</v>
      </c>
      <c r="CR380">
        <f t="shared" si="332"/>
        <v>0</v>
      </c>
      <c r="CS380">
        <f t="shared" si="300"/>
        <v>0</v>
      </c>
      <c r="CT380">
        <f t="shared" si="301"/>
        <v>0</v>
      </c>
      <c r="CU380">
        <f t="shared" si="302"/>
        <v>0</v>
      </c>
      <c r="CV380">
        <f t="shared" si="303"/>
        <v>0</v>
      </c>
      <c r="CW380">
        <f t="shared" si="304"/>
        <v>0</v>
      </c>
      <c r="CX380">
        <f t="shared" si="305"/>
        <v>0</v>
      </c>
      <c r="CY380">
        <f t="shared" si="306"/>
        <v>0</v>
      </c>
      <c r="CZ380">
        <f t="shared" si="307"/>
        <v>0</v>
      </c>
      <c r="DC380" t="s">
        <v>3</v>
      </c>
      <c r="DD380" t="s">
        <v>3</v>
      </c>
      <c r="DE380" t="s">
        <v>3</v>
      </c>
      <c r="DF380" t="s">
        <v>3</v>
      </c>
      <c r="DG380" t="s">
        <v>3</v>
      </c>
      <c r="DH380" t="s">
        <v>3</v>
      </c>
      <c r="DI380" t="s">
        <v>3</v>
      </c>
      <c r="DJ380" t="s">
        <v>3</v>
      </c>
      <c r="DK380" t="s">
        <v>3</v>
      </c>
      <c r="DL380" t="s">
        <v>3</v>
      </c>
      <c r="DM380" t="s">
        <v>3</v>
      </c>
      <c r="DN380">
        <v>0</v>
      </c>
      <c r="DO380">
        <v>0</v>
      </c>
      <c r="DP380">
        <v>1</v>
      </c>
      <c r="DQ380">
        <v>1</v>
      </c>
      <c r="DU380">
        <v>1010</v>
      </c>
      <c r="DV380" t="s">
        <v>31</v>
      </c>
      <c r="DW380" t="s">
        <v>31</v>
      </c>
      <c r="DX380">
        <v>1</v>
      </c>
      <c r="DZ380" t="s">
        <v>3</v>
      </c>
      <c r="EA380" t="s">
        <v>3</v>
      </c>
      <c r="EB380" t="s">
        <v>3</v>
      </c>
      <c r="EC380" t="s">
        <v>3</v>
      </c>
      <c r="EE380">
        <v>55992259</v>
      </c>
      <c r="EF380">
        <v>130</v>
      </c>
      <c r="EG380" t="s">
        <v>32</v>
      </c>
      <c r="EH380">
        <v>0</v>
      </c>
      <c r="EI380" t="s">
        <v>3</v>
      </c>
      <c r="EJ380">
        <v>3</v>
      </c>
      <c r="EK380">
        <v>746</v>
      </c>
      <c r="EL380" t="s">
        <v>33</v>
      </c>
      <c r="EM380" t="s">
        <v>34</v>
      </c>
      <c r="EO380" t="s">
        <v>3</v>
      </c>
      <c r="EQ380">
        <v>0</v>
      </c>
      <c r="ER380">
        <v>3803.39</v>
      </c>
      <c r="ES380">
        <v>3803.39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5</v>
      </c>
      <c r="FC380">
        <v>1</v>
      </c>
      <c r="FD380">
        <v>18</v>
      </c>
      <c r="FF380">
        <v>33540</v>
      </c>
      <c r="FQ380">
        <v>0</v>
      </c>
      <c r="FR380">
        <f t="shared" si="335"/>
        <v>58267.93</v>
      </c>
      <c r="FS380">
        <v>0</v>
      </c>
      <c r="FX380">
        <v>0</v>
      </c>
      <c r="FY380">
        <v>0</v>
      </c>
      <c r="GA380" t="s">
        <v>402</v>
      </c>
      <c r="GD380">
        <v>1</v>
      </c>
      <c r="GF380">
        <v>-916993024</v>
      </c>
      <c r="GG380">
        <v>2</v>
      </c>
      <c r="GH380">
        <v>3</v>
      </c>
      <c r="GI380">
        <v>5</v>
      </c>
      <c r="GJ380">
        <v>0</v>
      </c>
      <c r="GK380">
        <v>0</v>
      </c>
      <c r="GL380">
        <f t="shared" si="308"/>
        <v>0</v>
      </c>
      <c r="GM380">
        <f t="shared" si="309"/>
        <v>58267.93</v>
      </c>
      <c r="GN380">
        <f t="shared" si="310"/>
        <v>0</v>
      </c>
      <c r="GO380">
        <f t="shared" si="311"/>
        <v>0</v>
      </c>
      <c r="GP380">
        <f t="shared" si="312"/>
        <v>0</v>
      </c>
      <c r="GR380">
        <v>1</v>
      </c>
      <c r="GS380">
        <v>1</v>
      </c>
      <c r="GT380">
        <v>0</v>
      </c>
      <c r="GU380" t="s">
        <v>3</v>
      </c>
      <c r="GV380">
        <f t="shared" si="313"/>
        <v>0</v>
      </c>
      <c r="GW380">
        <v>1</v>
      </c>
      <c r="GX380">
        <f t="shared" si="314"/>
        <v>0</v>
      </c>
      <c r="HA380">
        <v>0</v>
      </c>
      <c r="HB380">
        <v>0</v>
      </c>
      <c r="HC380">
        <f t="shared" si="315"/>
        <v>0</v>
      </c>
      <c r="HE380" t="s">
        <v>36</v>
      </c>
      <c r="HF380" t="s">
        <v>37</v>
      </c>
      <c r="HM380" t="s">
        <v>3</v>
      </c>
      <c r="HN380" t="s">
        <v>3</v>
      </c>
      <c r="HO380" t="s">
        <v>3</v>
      </c>
      <c r="HP380" t="s">
        <v>3</v>
      </c>
      <c r="HQ380" t="s">
        <v>3</v>
      </c>
      <c r="HS380">
        <v>0</v>
      </c>
      <c r="IK380">
        <v>0</v>
      </c>
    </row>
    <row r="381" spans="1:255" x14ac:dyDescent="0.2">
      <c r="A381" s="2">
        <v>17</v>
      </c>
      <c r="B381" s="2">
        <v>1</v>
      </c>
      <c r="C381" s="2"/>
      <c r="D381" s="2"/>
      <c r="E381" s="2" t="s">
        <v>403</v>
      </c>
      <c r="F381" s="2" t="s">
        <v>404</v>
      </c>
      <c r="G381" s="2" t="s">
        <v>405</v>
      </c>
      <c r="H381" s="2" t="s">
        <v>31</v>
      </c>
      <c r="I381" s="2">
        <v>8</v>
      </c>
      <c r="J381" s="2">
        <v>0</v>
      </c>
      <c r="K381" s="2">
        <v>8</v>
      </c>
      <c r="L381" s="2"/>
      <c r="M381" s="2"/>
      <c r="N381" s="2"/>
      <c r="O381" s="2">
        <f t="shared" si="286"/>
        <v>13250.4</v>
      </c>
      <c r="P381" s="2">
        <f t="shared" si="333"/>
        <v>13250.4</v>
      </c>
      <c r="Q381" s="2">
        <f t="shared" si="326"/>
        <v>0</v>
      </c>
      <c r="R381" s="2">
        <f t="shared" si="287"/>
        <v>0</v>
      </c>
      <c r="S381" s="2">
        <f t="shared" si="288"/>
        <v>0</v>
      </c>
      <c r="T381" s="2">
        <f t="shared" si="289"/>
        <v>0</v>
      </c>
      <c r="U381" s="2">
        <f t="shared" si="290"/>
        <v>0</v>
      </c>
      <c r="V381" s="2">
        <f t="shared" si="291"/>
        <v>0</v>
      </c>
      <c r="W381" s="2">
        <f t="shared" si="292"/>
        <v>0</v>
      </c>
      <c r="X381" s="2">
        <f t="shared" si="293"/>
        <v>0</v>
      </c>
      <c r="Y381" s="2">
        <f t="shared" si="294"/>
        <v>0</v>
      </c>
      <c r="Z381" s="2"/>
      <c r="AA381" s="2">
        <v>56959434</v>
      </c>
      <c r="AB381" s="2">
        <f t="shared" si="295"/>
        <v>1656.3</v>
      </c>
      <c r="AC381" s="2">
        <f t="shared" si="296"/>
        <v>1656.3</v>
      </c>
      <c r="AD381" s="2">
        <f t="shared" si="327"/>
        <v>0</v>
      </c>
      <c r="AE381" s="2">
        <f t="shared" si="328"/>
        <v>0</v>
      </c>
      <c r="AF381" s="2">
        <f t="shared" si="329"/>
        <v>0</v>
      </c>
      <c r="AG381" s="2">
        <f t="shared" si="297"/>
        <v>0</v>
      </c>
      <c r="AH381" s="2">
        <f t="shared" si="330"/>
        <v>0</v>
      </c>
      <c r="AI381" s="2">
        <f t="shared" si="331"/>
        <v>0</v>
      </c>
      <c r="AJ381" s="2">
        <f t="shared" si="298"/>
        <v>0</v>
      </c>
      <c r="AK381" s="2">
        <v>1656.3000000000002</v>
      </c>
      <c r="AL381" s="2">
        <v>1656.3000000000002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3</v>
      </c>
      <c r="BJ381" s="2" t="s">
        <v>3</v>
      </c>
      <c r="BK381" s="2"/>
      <c r="BL381" s="2"/>
      <c r="BM381" s="2">
        <v>746</v>
      </c>
      <c r="BN381" s="2">
        <v>0</v>
      </c>
      <c r="BO381" s="2" t="s">
        <v>3</v>
      </c>
      <c r="BP381" s="2">
        <v>0</v>
      </c>
      <c r="BQ381" s="2">
        <v>130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0</v>
      </c>
      <c r="CA381" s="2">
        <v>0</v>
      </c>
      <c r="CB381" s="2" t="s">
        <v>3</v>
      </c>
      <c r="CC381" s="2"/>
      <c r="CD381" s="2"/>
      <c r="CE381" s="2">
        <v>30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3</v>
      </c>
      <c r="CO381" s="2">
        <v>0</v>
      </c>
      <c r="CP381" s="2">
        <f t="shared" si="299"/>
        <v>13250.4</v>
      </c>
      <c r="CQ381" s="2">
        <f t="shared" si="334"/>
        <v>1656.3</v>
      </c>
      <c r="CR381" s="2">
        <f t="shared" si="332"/>
        <v>0</v>
      </c>
      <c r="CS381" s="2">
        <f t="shared" si="300"/>
        <v>0</v>
      </c>
      <c r="CT381" s="2">
        <f t="shared" si="301"/>
        <v>0</v>
      </c>
      <c r="CU381" s="2">
        <f t="shared" si="302"/>
        <v>0</v>
      </c>
      <c r="CV381" s="2">
        <f t="shared" si="303"/>
        <v>0</v>
      </c>
      <c r="CW381" s="2">
        <f t="shared" si="304"/>
        <v>0</v>
      </c>
      <c r="CX381" s="2">
        <f t="shared" si="305"/>
        <v>0</v>
      </c>
      <c r="CY381" s="2">
        <f t="shared" si="306"/>
        <v>0</v>
      </c>
      <c r="CZ381" s="2">
        <f t="shared" si="307"/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1010</v>
      </c>
      <c r="DV381" s="2" t="s">
        <v>31</v>
      </c>
      <c r="DW381" s="2" t="s">
        <v>31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55992259</v>
      </c>
      <c r="EF381" s="2">
        <v>130</v>
      </c>
      <c r="EG381" s="2" t="s">
        <v>32</v>
      </c>
      <c r="EH381" s="2">
        <v>0</v>
      </c>
      <c r="EI381" s="2" t="s">
        <v>3</v>
      </c>
      <c r="EJ381" s="2">
        <v>3</v>
      </c>
      <c r="EK381" s="2">
        <v>746</v>
      </c>
      <c r="EL381" s="2" t="s">
        <v>33</v>
      </c>
      <c r="EM381" s="2" t="s">
        <v>34</v>
      </c>
      <c r="EN381" s="2"/>
      <c r="EO381" s="2" t="s">
        <v>3</v>
      </c>
      <c r="EP381" s="2"/>
      <c r="EQ381" s="2">
        <v>0</v>
      </c>
      <c r="ER381" s="2">
        <v>0</v>
      </c>
      <c r="ES381" s="2">
        <v>1656.3000000000002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f t="shared" si="335"/>
        <v>13250.4</v>
      </c>
      <c r="FS381" s="2">
        <v>0</v>
      </c>
      <c r="FT381" s="2"/>
      <c r="FU381" s="2"/>
      <c r="FV381" s="2"/>
      <c r="FW381" s="2"/>
      <c r="FX381" s="2">
        <v>0</v>
      </c>
      <c r="FY381" s="2">
        <v>0</v>
      </c>
      <c r="FZ381" s="2"/>
      <c r="GA381" s="2" t="s">
        <v>406</v>
      </c>
      <c r="GB381" s="2"/>
      <c r="GC381" s="2"/>
      <c r="GD381" s="2">
        <v>1</v>
      </c>
      <c r="GE381" s="2"/>
      <c r="GF381" s="2">
        <v>505677480</v>
      </c>
      <c r="GG381" s="2">
        <v>2</v>
      </c>
      <c r="GH381" s="2">
        <v>4</v>
      </c>
      <c r="GI381" s="2">
        <v>-2</v>
      </c>
      <c r="GJ381" s="2">
        <v>0</v>
      </c>
      <c r="GK381" s="2">
        <v>0</v>
      </c>
      <c r="GL381" s="2">
        <f t="shared" si="308"/>
        <v>0</v>
      </c>
      <c r="GM381" s="2">
        <f t="shared" si="309"/>
        <v>13250.4</v>
      </c>
      <c r="GN381" s="2">
        <f t="shared" si="310"/>
        <v>0</v>
      </c>
      <c r="GO381" s="2">
        <f t="shared" si="311"/>
        <v>0</v>
      </c>
      <c r="GP381" s="2">
        <f t="shared" si="312"/>
        <v>0</v>
      </c>
      <c r="GQ381" s="2"/>
      <c r="GR381" s="2">
        <v>0</v>
      </c>
      <c r="GS381" s="2">
        <v>2</v>
      </c>
      <c r="GT381" s="2">
        <v>0</v>
      </c>
      <c r="GU381" s="2" t="s">
        <v>3</v>
      </c>
      <c r="GV381" s="2">
        <f t="shared" si="313"/>
        <v>0</v>
      </c>
      <c r="GW381" s="2">
        <v>1</v>
      </c>
      <c r="GX381" s="2">
        <f t="shared" si="314"/>
        <v>0</v>
      </c>
      <c r="GY381" s="2"/>
      <c r="GZ381" s="2"/>
      <c r="HA381" s="2">
        <v>0</v>
      </c>
      <c r="HB381" s="2">
        <v>0</v>
      </c>
      <c r="HC381" s="2">
        <f t="shared" si="315"/>
        <v>0</v>
      </c>
      <c r="HD381" s="2"/>
      <c r="HE381" s="2" t="s">
        <v>36</v>
      </c>
      <c r="HF381" s="2" t="s">
        <v>37</v>
      </c>
      <c r="HG381" s="2"/>
      <c r="HH381" s="2"/>
      <c r="HI381" s="2"/>
      <c r="HJ381" s="2"/>
      <c r="HK381" s="2"/>
      <c r="HL381" s="2"/>
      <c r="HM381" s="2" t="s">
        <v>3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">
      <c r="A382">
        <v>17</v>
      </c>
      <c r="B382">
        <v>1</v>
      </c>
      <c r="E382" t="s">
        <v>403</v>
      </c>
      <c r="F382" t="s">
        <v>404</v>
      </c>
      <c r="G382" t="s">
        <v>405</v>
      </c>
      <c r="H382" t="s">
        <v>31</v>
      </c>
      <c r="I382">
        <v>8</v>
      </c>
      <c r="J382">
        <v>0</v>
      </c>
      <c r="K382">
        <v>8</v>
      </c>
      <c r="O382">
        <f t="shared" si="286"/>
        <v>101498.06</v>
      </c>
      <c r="P382">
        <f t="shared" si="333"/>
        <v>101498.06</v>
      </c>
      <c r="Q382">
        <f t="shared" si="326"/>
        <v>0</v>
      </c>
      <c r="R382">
        <f t="shared" si="287"/>
        <v>0</v>
      </c>
      <c r="S382">
        <f t="shared" si="288"/>
        <v>0</v>
      </c>
      <c r="T382">
        <f t="shared" si="289"/>
        <v>0</v>
      </c>
      <c r="U382">
        <f t="shared" si="290"/>
        <v>0</v>
      </c>
      <c r="V382">
        <f t="shared" si="291"/>
        <v>0</v>
      </c>
      <c r="W382">
        <f t="shared" si="292"/>
        <v>0</v>
      </c>
      <c r="X382">
        <f t="shared" si="293"/>
        <v>0</v>
      </c>
      <c r="Y382">
        <f t="shared" si="294"/>
        <v>0</v>
      </c>
      <c r="AA382">
        <v>56959431</v>
      </c>
      <c r="AB382">
        <f t="shared" si="295"/>
        <v>1656.3</v>
      </c>
      <c r="AC382">
        <f t="shared" si="296"/>
        <v>1656.3</v>
      </c>
      <c r="AD382">
        <f t="shared" si="327"/>
        <v>0</v>
      </c>
      <c r="AE382">
        <f t="shared" si="328"/>
        <v>0</v>
      </c>
      <c r="AF382">
        <f t="shared" si="329"/>
        <v>0</v>
      </c>
      <c r="AG382">
        <f t="shared" si="297"/>
        <v>0</v>
      </c>
      <c r="AH382">
        <f t="shared" si="330"/>
        <v>0</v>
      </c>
      <c r="AI382">
        <f t="shared" si="331"/>
        <v>0</v>
      </c>
      <c r="AJ382">
        <f t="shared" si="298"/>
        <v>0</v>
      </c>
      <c r="AK382">
        <v>1656.3000000000002</v>
      </c>
      <c r="AL382">
        <v>1656.3000000000002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1</v>
      </c>
      <c r="AZ382">
        <v>1</v>
      </c>
      <c r="BA382">
        <v>1</v>
      </c>
      <c r="BB382">
        <v>1</v>
      </c>
      <c r="BC382">
        <v>7.66</v>
      </c>
      <c r="BD382" t="s">
        <v>3</v>
      </c>
      <c r="BE382" t="s">
        <v>3</v>
      </c>
      <c r="BF382" t="s">
        <v>3</v>
      </c>
      <c r="BG382" t="s">
        <v>3</v>
      </c>
      <c r="BH382">
        <v>3</v>
      </c>
      <c r="BI382">
        <v>3</v>
      </c>
      <c r="BJ382" t="s">
        <v>3</v>
      </c>
      <c r="BM382">
        <v>746</v>
      </c>
      <c r="BN382">
        <v>0</v>
      </c>
      <c r="BO382" t="s">
        <v>3</v>
      </c>
      <c r="BP382">
        <v>0</v>
      </c>
      <c r="BQ382">
        <v>130</v>
      </c>
      <c r="BR382">
        <v>0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 t="s">
        <v>3</v>
      </c>
      <c r="BZ382">
        <v>0</v>
      </c>
      <c r="CA382">
        <v>0</v>
      </c>
      <c r="CB382" t="s">
        <v>3</v>
      </c>
      <c r="CE382">
        <v>30</v>
      </c>
      <c r="CF382">
        <v>0</v>
      </c>
      <c r="CG382">
        <v>0</v>
      </c>
      <c r="CM382">
        <v>0</v>
      </c>
      <c r="CN382" t="s">
        <v>3</v>
      </c>
      <c r="CO382">
        <v>0</v>
      </c>
      <c r="CP382">
        <f t="shared" si="299"/>
        <v>101498.06</v>
      </c>
      <c r="CQ382">
        <f t="shared" si="334"/>
        <v>12687.26</v>
      </c>
      <c r="CR382">
        <f t="shared" si="332"/>
        <v>0</v>
      </c>
      <c r="CS382">
        <f t="shared" si="300"/>
        <v>0</v>
      </c>
      <c r="CT382">
        <f t="shared" si="301"/>
        <v>0</v>
      </c>
      <c r="CU382">
        <f t="shared" si="302"/>
        <v>0</v>
      </c>
      <c r="CV382">
        <f t="shared" si="303"/>
        <v>0</v>
      </c>
      <c r="CW382">
        <f t="shared" si="304"/>
        <v>0</v>
      </c>
      <c r="CX382">
        <f t="shared" si="305"/>
        <v>0</v>
      </c>
      <c r="CY382">
        <f t="shared" si="306"/>
        <v>0</v>
      </c>
      <c r="CZ382">
        <f t="shared" si="307"/>
        <v>0</v>
      </c>
      <c r="DC382" t="s">
        <v>3</v>
      </c>
      <c r="DD382" t="s">
        <v>3</v>
      </c>
      <c r="DE382" t="s">
        <v>3</v>
      </c>
      <c r="DF382" t="s">
        <v>3</v>
      </c>
      <c r="DG382" t="s">
        <v>3</v>
      </c>
      <c r="DH382" t="s">
        <v>3</v>
      </c>
      <c r="DI382" t="s">
        <v>3</v>
      </c>
      <c r="DJ382" t="s">
        <v>3</v>
      </c>
      <c r="DK382" t="s">
        <v>3</v>
      </c>
      <c r="DL382" t="s">
        <v>3</v>
      </c>
      <c r="DM382" t="s">
        <v>3</v>
      </c>
      <c r="DN382">
        <v>0</v>
      </c>
      <c r="DO382">
        <v>0</v>
      </c>
      <c r="DP382">
        <v>1</v>
      </c>
      <c r="DQ382">
        <v>1</v>
      </c>
      <c r="DU382">
        <v>1010</v>
      </c>
      <c r="DV382" t="s">
        <v>31</v>
      </c>
      <c r="DW382" t="s">
        <v>31</v>
      </c>
      <c r="DX382">
        <v>1</v>
      </c>
      <c r="DZ382" t="s">
        <v>3</v>
      </c>
      <c r="EA382" t="s">
        <v>3</v>
      </c>
      <c r="EB382" t="s">
        <v>3</v>
      </c>
      <c r="EC382" t="s">
        <v>3</v>
      </c>
      <c r="EE382">
        <v>55992259</v>
      </c>
      <c r="EF382">
        <v>130</v>
      </c>
      <c r="EG382" t="s">
        <v>32</v>
      </c>
      <c r="EH382">
        <v>0</v>
      </c>
      <c r="EI382" t="s">
        <v>3</v>
      </c>
      <c r="EJ382">
        <v>3</v>
      </c>
      <c r="EK382">
        <v>746</v>
      </c>
      <c r="EL382" t="s">
        <v>33</v>
      </c>
      <c r="EM382" t="s">
        <v>34</v>
      </c>
      <c r="EO382" t="s">
        <v>3</v>
      </c>
      <c r="EQ382">
        <v>0</v>
      </c>
      <c r="ER382">
        <v>1656.3000000000002</v>
      </c>
      <c r="ES382">
        <v>1656.3000000000002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5</v>
      </c>
      <c r="FC382">
        <v>1</v>
      </c>
      <c r="FD382">
        <v>18</v>
      </c>
      <c r="FF382">
        <v>14606</v>
      </c>
      <c r="FQ382">
        <v>0</v>
      </c>
      <c r="FR382">
        <f t="shared" si="335"/>
        <v>101498.06</v>
      </c>
      <c r="FS382">
        <v>0</v>
      </c>
      <c r="FX382">
        <v>0</v>
      </c>
      <c r="FY382">
        <v>0</v>
      </c>
      <c r="GA382" t="s">
        <v>406</v>
      </c>
      <c r="GD382">
        <v>1</v>
      </c>
      <c r="GF382">
        <v>505677480</v>
      </c>
      <c r="GG382">
        <v>2</v>
      </c>
      <c r="GH382">
        <v>3</v>
      </c>
      <c r="GI382">
        <v>5</v>
      </c>
      <c r="GJ382">
        <v>0</v>
      </c>
      <c r="GK382">
        <v>0</v>
      </c>
      <c r="GL382">
        <f t="shared" si="308"/>
        <v>0</v>
      </c>
      <c r="GM382">
        <f t="shared" si="309"/>
        <v>101498.06</v>
      </c>
      <c r="GN382">
        <f t="shared" si="310"/>
        <v>0</v>
      </c>
      <c r="GO382">
        <f t="shared" si="311"/>
        <v>0</v>
      </c>
      <c r="GP382">
        <f t="shared" si="312"/>
        <v>0</v>
      </c>
      <c r="GR382">
        <v>1</v>
      </c>
      <c r="GS382">
        <v>1</v>
      </c>
      <c r="GT382">
        <v>0</v>
      </c>
      <c r="GU382" t="s">
        <v>3</v>
      </c>
      <c r="GV382">
        <f t="shared" si="313"/>
        <v>0</v>
      </c>
      <c r="GW382">
        <v>1</v>
      </c>
      <c r="GX382">
        <f t="shared" si="314"/>
        <v>0</v>
      </c>
      <c r="HA382">
        <v>0</v>
      </c>
      <c r="HB382">
        <v>0</v>
      </c>
      <c r="HC382">
        <f t="shared" si="315"/>
        <v>0</v>
      </c>
      <c r="HE382" t="s">
        <v>36</v>
      </c>
      <c r="HF382" t="s">
        <v>37</v>
      </c>
      <c r="HM382" t="s">
        <v>3</v>
      </c>
      <c r="HN382" t="s">
        <v>3</v>
      </c>
      <c r="HO382" t="s">
        <v>3</v>
      </c>
      <c r="HP382" t="s">
        <v>3</v>
      </c>
      <c r="HQ382" t="s">
        <v>3</v>
      </c>
      <c r="HS382">
        <v>0</v>
      </c>
      <c r="IK382">
        <v>0</v>
      </c>
    </row>
    <row r="383" spans="1:255" x14ac:dyDescent="0.2">
      <c r="A383" s="2">
        <v>17</v>
      </c>
      <c r="B383" s="2">
        <v>1</v>
      </c>
      <c r="C383" s="2"/>
      <c r="D383" s="2"/>
      <c r="E383" s="2" t="s">
        <v>407</v>
      </c>
      <c r="F383" s="2" t="s">
        <v>408</v>
      </c>
      <c r="G383" s="2" t="s">
        <v>409</v>
      </c>
      <c r="H383" s="2" t="s">
        <v>31</v>
      </c>
      <c r="I383" s="2">
        <v>1</v>
      </c>
      <c r="J383" s="2">
        <v>0</v>
      </c>
      <c r="K383" s="2">
        <v>1</v>
      </c>
      <c r="L383" s="2"/>
      <c r="M383" s="2"/>
      <c r="N383" s="2"/>
      <c r="O383" s="2">
        <f t="shared" si="286"/>
        <v>5531.24</v>
      </c>
      <c r="P383" s="2">
        <f t="shared" si="333"/>
        <v>5531.24</v>
      </c>
      <c r="Q383" s="2">
        <f t="shared" si="326"/>
        <v>0</v>
      </c>
      <c r="R383" s="2">
        <f t="shared" si="287"/>
        <v>0</v>
      </c>
      <c r="S383" s="2">
        <f t="shared" si="288"/>
        <v>0</v>
      </c>
      <c r="T383" s="2">
        <f t="shared" si="289"/>
        <v>0</v>
      </c>
      <c r="U383" s="2">
        <f t="shared" si="290"/>
        <v>0</v>
      </c>
      <c r="V383" s="2">
        <f t="shared" si="291"/>
        <v>0</v>
      </c>
      <c r="W383" s="2">
        <f t="shared" si="292"/>
        <v>0</v>
      </c>
      <c r="X383" s="2">
        <f t="shared" si="293"/>
        <v>0</v>
      </c>
      <c r="Y383" s="2">
        <f t="shared" si="294"/>
        <v>0</v>
      </c>
      <c r="Z383" s="2"/>
      <c r="AA383" s="2">
        <v>56959434</v>
      </c>
      <c r="AB383" s="2">
        <f t="shared" si="295"/>
        <v>5531.24</v>
      </c>
      <c r="AC383" s="2">
        <f t="shared" si="296"/>
        <v>5531.24</v>
      </c>
      <c r="AD383" s="2">
        <f t="shared" si="327"/>
        <v>0</v>
      </c>
      <c r="AE383" s="2">
        <f t="shared" si="328"/>
        <v>0</v>
      </c>
      <c r="AF383" s="2">
        <f t="shared" si="329"/>
        <v>0</v>
      </c>
      <c r="AG383" s="2">
        <f t="shared" si="297"/>
        <v>0</v>
      </c>
      <c r="AH383" s="2">
        <f t="shared" si="330"/>
        <v>0</v>
      </c>
      <c r="AI383" s="2">
        <f t="shared" si="331"/>
        <v>0</v>
      </c>
      <c r="AJ383" s="2">
        <f t="shared" si="298"/>
        <v>0</v>
      </c>
      <c r="AK383" s="2">
        <v>5531.24</v>
      </c>
      <c r="AL383" s="2">
        <v>5531.24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3</v>
      </c>
      <c r="BI383" s="2">
        <v>3</v>
      </c>
      <c r="BJ383" s="2" t="s">
        <v>3</v>
      </c>
      <c r="BK383" s="2"/>
      <c r="BL383" s="2"/>
      <c r="BM383" s="2">
        <v>746</v>
      </c>
      <c r="BN383" s="2">
        <v>0</v>
      </c>
      <c r="BO383" s="2" t="s">
        <v>3</v>
      </c>
      <c r="BP383" s="2">
        <v>0</v>
      </c>
      <c r="BQ383" s="2">
        <v>130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0</v>
      </c>
      <c r="CA383" s="2">
        <v>0</v>
      </c>
      <c r="CB383" s="2" t="s">
        <v>3</v>
      </c>
      <c r="CC383" s="2"/>
      <c r="CD383" s="2"/>
      <c r="CE383" s="2">
        <v>30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3</v>
      </c>
      <c r="CO383" s="2">
        <v>0</v>
      </c>
      <c r="CP383" s="2">
        <f t="shared" si="299"/>
        <v>5531.24</v>
      </c>
      <c r="CQ383" s="2">
        <f t="shared" si="334"/>
        <v>5531.24</v>
      </c>
      <c r="CR383" s="2">
        <f t="shared" si="332"/>
        <v>0</v>
      </c>
      <c r="CS383" s="2">
        <f t="shared" si="300"/>
        <v>0</v>
      </c>
      <c r="CT383" s="2">
        <f t="shared" si="301"/>
        <v>0</v>
      </c>
      <c r="CU383" s="2">
        <f t="shared" si="302"/>
        <v>0</v>
      </c>
      <c r="CV383" s="2">
        <f t="shared" si="303"/>
        <v>0</v>
      </c>
      <c r="CW383" s="2">
        <f t="shared" si="304"/>
        <v>0</v>
      </c>
      <c r="CX383" s="2">
        <f t="shared" si="305"/>
        <v>0</v>
      </c>
      <c r="CY383" s="2">
        <f t="shared" si="306"/>
        <v>0</v>
      </c>
      <c r="CZ383" s="2">
        <f t="shared" si="307"/>
        <v>0</v>
      </c>
      <c r="DA383" s="2"/>
      <c r="DB383" s="2"/>
      <c r="DC383" s="2" t="s">
        <v>3</v>
      </c>
      <c r="DD383" s="2" t="s">
        <v>3</v>
      </c>
      <c r="DE383" s="2" t="s">
        <v>3</v>
      </c>
      <c r="DF383" s="2" t="s">
        <v>3</v>
      </c>
      <c r="DG383" s="2" t="s">
        <v>3</v>
      </c>
      <c r="DH383" s="2" t="s">
        <v>3</v>
      </c>
      <c r="DI383" s="2" t="s">
        <v>3</v>
      </c>
      <c r="DJ383" s="2" t="s">
        <v>3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1010</v>
      </c>
      <c r="DV383" s="2" t="s">
        <v>31</v>
      </c>
      <c r="DW383" s="2" t="s">
        <v>31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55992259</v>
      </c>
      <c r="EF383" s="2">
        <v>130</v>
      </c>
      <c r="EG383" s="2" t="s">
        <v>32</v>
      </c>
      <c r="EH383" s="2">
        <v>0</v>
      </c>
      <c r="EI383" s="2" t="s">
        <v>3</v>
      </c>
      <c r="EJ383" s="2">
        <v>3</v>
      </c>
      <c r="EK383" s="2">
        <v>746</v>
      </c>
      <c r="EL383" s="2" t="s">
        <v>33</v>
      </c>
      <c r="EM383" s="2" t="s">
        <v>34</v>
      </c>
      <c r="EN383" s="2"/>
      <c r="EO383" s="2" t="s">
        <v>3</v>
      </c>
      <c r="EP383" s="2"/>
      <c r="EQ383" s="2">
        <v>0</v>
      </c>
      <c r="ER383" s="2">
        <v>0</v>
      </c>
      <c r="ES383" s="2">
        <v>5531.24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f t="shared" si="335"/>
        <v>5531.24</v>
      </c>
      <c r="FS383" s="2">
        <v>0</v>
      </c>
      <c r="FT383" s="2"/>
      <c r="FU383" s="2"/>
      <c r="FV383" s="2"/>
      <c r="FW383" s="2"/>
      <c r="FX383" s="2">
        <v>0</v>
      </c>
      <c r="FY383" s="2">
        <v>0</v>
      </c>
      <c r="FZ383" s="2"/>
      <c r="GA383" s="2" t="s">
        <v>410</v>
      </c>
      <c r="GB383" s="2"/>
      <c r="GC383" s="2"/>
      <c r="GD383" s="2">
        <v>1</v>
      </c>
      <c r="GE383" s="2"/>
      <c r="GF383" s="2">
        <v>87251757</v>
      </c>
      <c r="GG383" s="2">
        <v>2</v>
      </c>
      <c r="GH383" s="2">
        <v>4</v>
      </c>
      <c r="GI383" s="2">
        <v>-2</v>
      </c>
      <c r="GJ383" s="2">
        <v>0</v>
      </c>
      <c r="GK383" s="2">
        <v>0</v>
      </c>
      <c r="GL383" s="2">
        <f t="shared" si="308"/>
        <v>0</v>
      </c>
      <c r="GM383" s="2">
        <f t="shared" si="309"/>
        <v>5531.24</v>
      </c>
      <c r="GN383" s="2">
        <f t="shared" si="310"/>
        <v>0</v>
      </c>
      <c r="GO383" s="2">
        <f t="shared" si="311"/>
        <v>0</v>
      </c>
      <c r="GP383" s="2">
        <f t="shared" si="312"/>
        <v>0</v>
      </c>
      <c r="GQ383" s="2"/>
      <c r="GR383" s="2">
        <v>0</v>
      </c>
      <c r="GS383" s="2">
        <v>2</v>
      </c>
      <c r="GT383" s="2">
        <v>0</v>
      </c>
      <c r="GU383" s="2" t="s">
        <v>3</v>
      </c>
      <c r="GV383" s="2">
        <f t="shared" si="313"/>
        <v>0</v>
      </c>
      <c r="GW383" s="2">
        <v>1</v>
      </c>
      <c r="GX383" s="2">
        <f t="shared" si="314"/>
        <v>0</v>
      </c>
      <c r="GY383" s="2"/>
      <c r="GZ383" s="2"/>
      <c r="HA383" s="2">
        <v>0</v>
      </c>
      <c r="HB383" s="2">
        <v>0</v>
      </c>
      <c r="HC383" s="2">
        <f t="shared" si="315"/>
        <v>0</v>
      </c>
      <c r="HD383" s="2"/>
      <c r="HE383" s="2" t="s">
        <v>36</v>
      </c>
      <c r="HF383" s="2" t="s">
        <v>37</v>
      </c>
      <c r="HG383" s="2"/>
      <c r="HH383" s="2"/>
      <c r="HI383" s="2"/>
      <c r="HJ383" s="2"/>
      <c r="HK383" s="2"/>
      <c r="HL383" s="2"/>
      <c r="HM383" s="2" t="s">
        <v>3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">
      <c r="A384">
        <v>17</v>
      </c>
      <c r="B384">
        <v>1</v>
      </c>
      <c r="E384" t="s">
        <v>407</v>
      </c>
      <c r="F384" t="s">
        <v>408</v>
      </c>
      <c r="G384" t="s">
        <v>409</v>
      </c>
      <c r="H384" t="s">
        <v>31</v>
      </c>
      <c r="I384">
        <v>1</v>
      </c>
      <c r="J384">
        <v>0</v>
      </c>
      <c r="K384">
        <v>1</v>
      </c>
      <c r="O384">
        <f t="shared" si="286"/>
        <v>42369.3</v>
      </c>
      <c r="P384">
        <f t="shared" si="333"/>
        <v>42369.3</v>
      </c>
      <c r="Q384">
        <f t="shared" si="326"/>
        <v>0</v>
      </c>
      <c r="R384">
        <f t="shared" si="287"/>
        <v>0</v>
      </c>
      <c r="S384">
        <f t="shared" si="288"/>
        <v>0</v>
      </c>
      <c r="T384">
        <f t="shared" si="289"/>
        <v>0</v>
      </c>
      <c r="U384">
        <f t="shared" si="290"/>
        <v>0</v>
      </c>
      <c r="V384">
        <f t="shared" si="291"/>
        <v>0</v>
      </c>
      <c r="W384">
        <f t="shared" si="292"/>
        <v>0</v>
      </c>
      <c r="X384">
        <f t="shared" si="293"/>
        <v>0</v>
      </c>
      <c r="Y384">
        <f t="shared" si="294"/>
        <v>0</v>
      </c>
      <c r="AA384">
        <v>56959431</v>
      </c>
      <c r="AB384">
        <f t="shared" si="295"/>
        <v>5531.24</v>
      </c>
      <c r="AC384">
        <f t="shared" si="296"/>
        <v>5531.24</v>
      </c>
      <c r="AD384">
        <f t="shared" si="327"/>
        <v>0</v>
      </c>
      <c r="AE384">
        <f t="shared" si="328"/>
        <v>0</v>
      </c>
      <c r="AF384">
        <f t="shared" si="329"/>
        <v>0</v>
      </c>
      <c r="AG384">
        <f t="shared" si="297"/>
        <v>0</v>
      </c>
      <c r="AH384">
        <f t="shared" si="330"/>
        <v>0</v>
      </c>
      <c r="AI384">
        <f t="shared" si="331"/>
        <v>0</v>
      </c>
      <c r="AJ384">
        <f t="shared" si="298"/>
        <v>0</v>
      </c>
      <c r="AK384">
        <v>5531.24</v>
      </c>
      <c r="AL384">
        <v>5531.24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1</v>
      </c>
      <c r="AZ384">
        <v>1</v>
      </c>
      <c r="BA384">
        <v>1</v>
      </c>
      <c r="BB384">
        <v>1</v>
      </c>
      <c r="BC384">
        <v>7.66</v>
      </c>
      <c r="BD384" t="s">
        <v>3</v>
      </c>
      <c r="BE384" t="s">
        <v>3</v>
      </c>
      <c r="BF384" t="s">
        <v>3</v>
      </c>
      <c r="BG384" t="s">
        <v>3</v>
      </c>
      <c r="BH384">
        <v>3</v>
      </c>
      <c r="BI384">
        <v>3</v>
      </c>
      <c r="BJ384" t="s">
        <v>3</v>
      </c>
      <c r="BM384">
        <v>746</v>
      </c>
      <c r="BN384">
        <v>0</v>
      </c>
      <c r="BO384" t="s">
        <v>3</v>
      </c>
      <c r="BP384">
        <v>0</v>
      </c>
      <c r="BQ384">
        <v>130</v>
      </c>
      <c r="BR384">
        <v>0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 t="s">
        <v>3</v>
      </c>
      <c r="BZ384">
        <v>0</v>
      </c>
      <c r="CA384">
        <v>0</v>
      </c>
      <c r="CB384" t="s">
        <v>3</v>
      </c>
      <c r="CE384">
        <v>30</v>
      </c>
      <c r="CF384">
        <v>0</v>
      </c>
      <c r="CG384">
        <v>0</v>
      </c>
      <c r="CM384">
        <v>0</v>
      </c>
      <c r="CN384" t="s">
        <v>3</v>
      </c>
      <c r="CO384">
        <v>0</v>
      </c>
      <c r="CP384">
        <f t="shared" si="299"/>
        <v>42369.3</v>
      </c>
      <c r="CQ384">
        <f t="shared" si="334"/>
        <v>42369.3</v>
      </c>
      <c r="CR384">
        <f t="shared" si="332"/>
        <v>0</v>
      </c>
      <c r="CS384">
        <f t="shared" si="300"/>
        <v>0</v>
      </c>
      <c r="CT384">
        <f t="shared" si="301"/>
        <v>0</v>
      </c>
      <c r="CU384">
        <f t="shared" si="302"/>
        <v>0</v>
      </c>
      <c r="CV384">
        <f t="shared" si="303"/>
        <v>0</v>
      </c>
      <c r="CW384">
        <f t="shared" si="304"/>
        <v>0</v>
      </c>
      <c r="CX384">
        <f t="shared" si="305"/>
        <v>0</v>
      </c>
      <c r="CY384">
        <f t="shared" si="306"/>
        <v>0</v>
      </c>
      <c r="CZ384">
        <f t="shared" si="307"/>
        <v>0</v>
      </c>
      <c r="DC384" t="s">
        <v>3</v>
      </c>
      <c r="DD384" t="s">
        <v>3</v>
      </c>
      <c r="DE384" t="s">
        <v>3</v>
      </c>
      <c r="DF384" t="s">
        <v>3</v>
      </c>
      <c r="DG384" t="s">
        <v>3</v>
      </c>
      <c r="DH384" t="s">
        <v>3</v>
      </c>
      <c r="DI384" t="s">
        <v>3</v>
      </c>
      <c r="DJ384" t="s">
        <v>3</v>
      </c>
      <c r="DK384" t="s">
        <v>3</v>
      </c>
      <c r="DL384" t="s">
        <v>3</v>
      </c>
      <c r="DM384" t="s">
        <v>3</v>
      </c>
      <c r="DN384">
        <v>0</v>
      </c>
      <c r="DO384">
        <v>0</v>
      </c>
      <c r="DP384">
        <v>1</v>
      </c>
      <c r="DQ384">
        <v>1</v>
      </c>
      <c r="DU384">
        <v>1010</v>
      </c>
      <c r="DV384" t="s">
        <v>31</v>
      </c>
      <c r="DW384" t="s">
        <v>31</v>
      </c>
      <c r="DX384">
        <v>1</v>
      </c>
      <c r="DZ384" t="s">
        <v>3</v>
      </c>
      <c r="EA384" t="s">
        <v>3</v>
      </c>
      <c r="EB384" t="s">
        <v>3</v>
      </c>
      <c r="EC384" t="s">
        <v>3</v>
      </c>
      <c r="EE384">
        <v>55992259</v>
      </c>
      <c r="EF384">
        <v>130</v>
      </c>
      <c r="EG384" t="s">
        <v>32</v>
      </c>
      <c r="EH384">
        <v>0</v>
      </c>
      <c r="EI384" t="s">
        <v>3</v>
      </c>
      <c r="EJ384">
        <v>3</v>
      </c>
      <c r="EK384">
        <v>746</v>
      </c>
      <c r="EL384" t="s">
        <v>33</v>
      </c>
      <c r="EM384" t="s">
        <v>34</v>
      </c>
      <c r="EO384" t="s">
        <v>3</v>
      </c>
      <c r="EQ384">
        <v>0</v>
      </c>
      <c r="ER384">
        <v>5531.24</v>
      </c>
      <c r="ES384">
        <v>5531.24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5</v>
      </c>
      <c r="FC384">
        <v>1</v>
      </c>
      <c r="FD384">
        <v>18</v>
      </c>
      <c r="FF384">
        <v>48777</v>
      </c>
      <c r="FQ384">
        <v>0</v>
      </c>
      <c r="FR384">
        <f t="shared" si="335"/>
        <v>42369.3</v>
      </c>
      <c r="FS384">
        <v>0</v>
      </c>
      <c r="FX384">
        <v>0</v>
      </c>
      <c r="FY384">
        <v>0</v>
      </c>
      <c r="GA384" t="s">
        <v>410</v>
      </c>
      <c r="GD384">
        <v>1</v>
      </c>
      <c r="GF384">
        <v>87251757</v>
      </c>
      <c r="GG384">
        <v>2</v>
      </c>
      <c r="GH384">
        <v>3</v>
      </c>
      <c r="GI384">
        <v>5</v>
      </c>
      <c r="GJ384">
        <v>0</v>
      </c>
      <c r="GK384">
        <v>0</v>
      </c>
      <c r="GL384">
        <f t="shared" si="308"/>
        <v>0</v>
      </c>
      <c r="GM384">
        <f t="shared" si="309"/>
        <v>42369.3</v>
      </c>
      <c r="GN384">
        <f t="shared" si="310"/>
        <v>0</v>
      </c>
      <c r="GO384">
        <f t="shared" si="311"/>
        <v>0</v>
      </c>
      <c r="GP384">
        <f t="shared" si="312"/>
        <v>0</v>
      </c>
      <c r="GR384">
        <v>1</v>
      </c>
      <c r="GS384">
        <v>1</v>
      </c>
      <c r="GT384">
        <v>0</v>
      </c>
      <c r="GU384" t="s">
        <v>3</v>
      </c>
      <c r="GV384">
        <f t="shared" si="313"/>
        <v>0</v>
      </c>
      <c r="GW384">
        <v>1</v>
      </c>
      <c r="GX384">
        <f t="shared" si="314"/>
        <v>0</v>
      </c>
      <c r="HA384">
        <v>0</v>
      </c>
      <c r="HB384">
        <v>0</v>
      </c>
      <c r="HC384">
        <f t="shared" si="315"/>
        <v>0</v>
      </c>
      <c r="HE384" t="s">
        <v>36</v>
      </c>
      <c r="HF384" t="s">
        <v>37</v>
      </c>
      <c r="HM384" t="s">
        <v>3</v>
      </c>
      <c r="HN384" t="s">
        <v>3</v>
      </c>
      <c r="HO384" t="s">
        <v>3</v>
      </c>
      <c r="HP384" t="s">
        <v>3</v>
      </c>
      <c r="HQ384" t="s">
        <v>3</v>
      </c>
      <c r="HS384">
        <v>0</v>
      </c>
      <c r="IK384">
        <v>0</v>
      </c>
    </row>
    <row r="385" spans="1:255" x14ac:dyDescent="0.2">
      <c r="A385" s="2">
        <v>17</v>
      </c>
      <c r="B385" s="2">
        <v>1</v>
      </c>
      <c r="C385" s="2"/>
      <c r="D385" s="2"/>
      <c r="E385" s="2" t="s">
        <v>411</v>
      </c>
      <c r="F385" s="2" t="s">
        <v>412</v>
      </c>
      <c r="G385" s="2" t="s">
        <v>413</v>
      </c>
      <c r="H385" s="2" t="s">
        <v>31</v>
      </c>
      <c r="I385" s="2">
        <v>2</v>
      </c>
      <c r="J385" s="2">
        <v>0</v>
      </c>
      <c r="K385" s="2">
        <v>2</v>
      </c>
      <c r="L385" s="2"/>
      <c r="M385" s="2"/>
      <c r="N385" s="2"/>
      <c r="O385" s="2">
        <f t="shared" si="286"/>
        <v>5275.76</v>
      </c>
      <c r="P385" s="2">
        <f t="shared" si="333"/>
        <v>5275.76</v>
      </c>
      <c r="Q385" s="2">
        <f t="shared" si="326"/>
        <v>0</v>
      </c>
      <c r="R385" s="2">
        <f t="shared" si="287"/>
        <v>0</v>
      </c>
      <c r="S385" s="2">
        <f t="shared" si="288"/>
        <v>0</v>
      </c>
      <c r="T385" s="2">
        <f t="shared" si="289"/>
        <v>0</v>
      </c>
      <c r="U385" s="2">
        <f t="shared" si="290"/>
        <v>0</v>
      </c>
      <c r="V385" s="2">
        <f t="shared" si="291"/>
        <v>0</v>
      </c>
      <c r="W385" s="2">
        <f t="shared" si="292"/>
        <v>0</v>
      </c>
      <c r="X385" s="2">
        <f t="shared" si="293"/>
        <v>0</v>
      </c>
      <c r="Y385" s="2">
        <f t="shared" si="294"/>
        <v>0</v>
      </c>
      <c r="Z385" s="2"/>
      <c r="AA385" s="2">
        <v>56959434</v>
      </c>
      <c r="AB385" s="2">
        <f t="shared" si="295"/>
        <v>2637.88</v>
      </c>
      <c r="AC385" s="2">
        <f t="shared" si="296"/>
        <v>2637.88</v>
      </c>
      <c r="AD385" s="2">
        <f t="shared" si="327"/>
        <v>0</v>
      </c>
      <c r="AE385" s="2">
        <f t="shared" si="328"/>
        <v>0</v>
      </c>
      <c r="AF385" s="2">
        <f t="shared" si="329"/>
        <v>0</v>
      </c>
      <c r="AG385" s="2">
        <f t="shared" si="297"/>
        <v>0</v>
      </c>
      <c r="AH385" s="2">
        <f t="shared" si="330"/>
        <v>0</v>
      </c>
      <c r="AI385" s="2">
        <f t="shared" si="331"/>
        <v>0</v>
      </c>
      <c r="AJ385" s="2">
        <f t="shared" si="298"/>
        <v>0</v>
      </c>
      <c r="AK385" s="2">
        <v>2637.88</v>
      </c>
      <c r="AL385" s="2">
        <v>2637.88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1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3</v>
      </c>
      <c r="BI385" s="2">
        <v>3</v>
      </c>
      <c r="BJ385" s="2" t="s">
        <v>3</v>
      </c>
      <c r="BK385" s="2"/>
      <c r="BL385" s="2"/>
      <c r="BM385" s="2">
        <v>746</v>
      </c>
      <c r="BN385" s="2">
        <v>0</v>
      </c>
      <c r="BO385" s="2" t="s">
        <v>3</v>
      </c>
      <c r="BP385" s="2">
        <v>0</v>
      </c>
      <c r="BQ385" s="2">
        <v>130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0</v>
      </c>
      <c r="CA385" s="2">
        <v>0</v>
      </c>
      <c r="CB385" s="2" t="s">
        <v>3</v>
      </c>
      <c r="CC385" s="2"/>
      <c r="CD385" s="2"/>
      <c r="CE385" s="2">
        <v>30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3</v>
      </c>
      <c r="CO385" s="2">
        <v>0</v>
      </c>
      <c r="CP385" s="2">
        <f t="shared" si="299"/>
        <v>5275.76</v>
      </c>
      <c r="CQ385" s="2">
        <f t="shared" si="334"/>
        <v>2637.88</v>
      </c>
      <c r="CR385" s="2">
        <f t="shared" si="332"/>
        <v>0</v>
      </c>
      <c r="CS385" s="2">
        <f t="shared" si="300"/>
        <v>0</v>
      </c>
      <c r="CT385" s="2">
        <f t="shared" si="301"/>
        <v>0</v>
      </c>
      <c r="CU385" s="2">
        <f t="shared" si="302"/>
        <v>0</v>
      </c>
      <c r="CV385" s="2">
        <f t="shared" si="303"/>
        <v>0</v>
      </c>
      <c r="CW385" s="2">
        <f t="shared" si="304"/>
        <v>0</v>
      </c>
      <c r="CX385" s="2">
        <f t="shared" si="305"/>
        <v>0</v>
      </c>
      <c r="CY385" s="2">
        <f t="shared" si="306"/>
        <v>0</v>
      </c>
      <c r="CZ385" s="2">
        <f t="shared" si="307"/>
        <v>0</v>
      </c>
      <c r="DA385" s="2"/>
      <c r="DB385" s="2"/>
      <c r="DC385" s="2" t="s">
        <v>3</v>
      </c>
      <c r="DD385" s="2" t="s">
        <v>3</v>
      </c>
      <c r="DE385" s="2" t="s">
        <v>3</v>
      </c>
      <c r="DF385" s="2" t="s">
        <v>3</v>
      </c>
      <c r="DG385" s="2" t="s">
        <v>3</v>
      </c>
      <c r="DH385" s="2" t="s">
        <v>3</v>
      </c>
      <c r="DI385" s="2" t="s">
        <v>3</v>
      </c>
      <c r="DJ385" s="2" t="s">
        <v>3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1010</v>
      </c>
      <c r="DV385" s="2" t="s">
        <v>31</v>
      </c>
      <c r="DW385" s="2" t="s">
        <v>31</v>
      </c>
      <c r="DX385" s="2">
        <v>1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55992259</v>
      </c>
      <c r="EF385" s="2">
        <v>130</v>
      </c>
      <c r="EG385" s="2" t="s">
        <v>32</v>
      </c>
      <c r="EH385" s="2">
        <v>0</v>
      </c>
      <c r="EI385" s="2" t="s">
        <v>3</v>
      </c>
      <c r="EJ385" s="2">
        <v>3</v>
      </c>
      <c r="EK385" s="2">
        <v>746</v>
      </c>
      <c r="EL385" s="2" t="s">
        <v>33</v>
      </c>
      <c r="EM385" s="2" t="s">
        <v>34</v>
      </c>
      <c r="EN385" s="2"/>
      <c r="EO385" s="2" t="s">
        <v>3</v>
      </c>
      <c r="EP385" s="2"/>
      <c r="EQ385" s="2">
        <v>0</v>
      </c>
      <c r="ER385" s="2">
        <v>0</v>
      </c>
      <c r="ES385" s="2">
        <v>2637.88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f t="shared" si="335"/>
        <v>5275.76</v>
      </c>
      <c r="FS385" s="2">
        <v>0</v>
      </c>
      <c r="FT385" s="2"/>
      <c r="FU385" s="2"/>
      <c r="FV385" s="2"/>
      <c r="FW385" s="2"/>
      <c r="FX385" s="2">
        <v>0</v>
      </c>
      <c r="FY385" s="2">
        <v>0</v>
      </c>
      <c r="FZ385" s="2"/>
      <c r="GA385" s="2" t="s">
        <v>414</v>
      </c>
      <c r="GB385" s="2"/>
      <c r="GC385" s="2"/>
      <c r="GD385" s="2">
        <v>1</v>
      </c>
      <c r="GE385" s="2"/>
      <c r="GF385" s="2">
        <v>-1542410947</v>
      </c>
      <c r="GG385" s="2">
        <v>2</v>
      </c>
      <c r="GH385" s="2">
        <v>4</v>
      </c>
      <c r="GI385" s="2">
        <v>-2</v>
      </c>
      <c r="GJ385" s="2">
        <v>0</v>
      </c>
      <c r="GK385" s="2">
        <v>0</v>
      </c>
      <c r="GL385" s="2">
        <f t="shared" si="308"/>
        <v>0</v>
      </c>
      <c r="GM385" s="2">
        <f t="shared" si="309"/>
        <v>5275.76</v>
      </c>
      <c r="GN385" s="2">
        <f t="shared" si="310"/>
        <v>0</v>
      </c>
      <c r="GO385" s="2">
        <f t="shared" si="311"/>
        <v>0</v>
      </c>
      <c r="GP385" s="2">
        <f t="shared" si="312"/>
        <v>0</v>
      </c>
      <c r="GQ385" s="2"/>
      <c r="GR385" s="2">
        <v>0</v>
      </c>
      <c r="GS385" s="2">
        <v>2</v>
      </c>
      <c r="GT385" s="2">
        <v>0</v>
      </c>
      <c r="GU385" s="2" t="s">
        <v>3</v>
      </c>
      <c r="GV385" s="2">
        <f t="shared" si="313"/>
        <v>0</v>
      </c>
      <c r="GW385" s="2">
        <v>1</v>
      </c>
      <c r="GX385" s="2">
        <f t="shared" si="314"/>
        <v>0</v>
      </c>
      <c r="GY385" s="2"/>
      <c r="GZ385" s="2"/>
      <c r="HA385" s="2">
        <v>0</v>
      </c>
      <c r="HB385" s="2">
        <v>0</v>
      </c>
      <c r="HC385" s="2">
        <f t="shared" si="315"/>
        <v>0</v>
      </c>
      <c r="HD385" s="2"/>
      <c r="HE385" s="2" t="s">
        <v>36</v>
      </c>
      <c r="HF385" s="2" t="s">
        <v>37</v>
      </c>
      <c r="HG385" s="2"/>
      <c r="HH385" s="2"/>
      <c r="HI385" s="2"/>
      <c r="HJ385" s="2"/>
      <c r="HK385" s="2"/>
      <c r="HL385" s="2"/>
      <c r="HM385" s="2" t="s">
        <v>3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">
      <c r="A386">
        <v>17</v>
      </c>
      <c r="B386">
        <v>1</v>
      </c>
      <c r="E386" t="s">
        <v>411</v>
      </c>
      <c r="F386" t="s">
        <v>412</v>
      </c>
      <c r="G386" t="s">
        <v>413</v>
      </c>
      <c r="H386" t="s">
        <v>31</v>
      </c>
      <c r="I386">
        <v>2</v>
      </c>
      <c r="J386">
        <v>0</v>
      </c>
      <c r="K386">
        <v>2</v>
      </c>
      <c r="O386">
        <f t="shared" si="286"/>
        <v>40412.32</v>
      </c>
      <c r="P386">
        <f t="shared" si="333"/>
        <v>40412.32</v>
      </c>
      <c r="Q386">
        <f t="shared" si="326"/>
        <v>0</v>
      </c>
      <c r="R386">
        <f t="shared" si="287"/>
        <v>0</v>
      </c>
      <c r="S386">
        <f t="shared" si="288"/>
        <v>0</v>
      </c>
      <c r="T386">
        <f t="shared" si="289"/>
        <v>0</v>
      </c>
      <c r="U386">
        <f t="shared" si="290"/>
        <v>0</v>
      </c>
      <c r="V386">
        <f t="shared" si="291"/>
        <v>0</v>
      </c>
      <c r="W386">
        <f t="shared" si="292"/>
        <v>0</v>
      </c>
      <c r="X386">
        <f t="shared" si="293"/>
        <v>0</v>
      </c>
      <c r="Y386">
        <f t="shared" si="294"/>
        <v>0</v>
      </c>
      <c r="AA386">
        <v>56959431</v>
      </c>
      <c r="AB386">
        <f t="shared" si="295"/>
        <v>2637.88</v>
      </c>
      <c r="AC386">
        <f t="shared" si="296"/>
        <v>2637.88</v>
      </c>
      <c r="AD386">
        <f t="shared" si="327"/>
        <v>0</v>
      </c>
      <c r="AE386">
        <f t="shared" si="328"/>
        <v>0</v>
      </c>
      <c r="AF386">
        <f t="shared" si="329"/>
        <v>0</v>
      </c>
      <c r="AG386">
        <f t="shared" si="297"/>
        <v>0</v>
      </c>
      <c r="AH386">
        <f t="shared" si="330"/>
        <v>0</v>
      </c>
      <c r="AI386">
        <f t="shared" si="331"/>
        <v>0</v>
      </c>
      <c r="AJ386">
        <f t="shared" si="298"/>
        <v>0</v>
      </c>
      <c r="AK386">
        <v>2637.88</v>
      </c>
      <c r="AL386">
        <v>2637.88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1</v>
      </c>
      <c r="AZ386">
        <v>1</v>
      </c>
      <c r="BA386">
        <v>1</v>
      </c>
      <c r="BB386">
        <v>1</v>
      </c>
      <c r="BC386">
        <v>7.66</v>
      </c>
      <c r="BD386" t="s">
        <v>3</v>
      </c>
      <c r="BE386" t="s">
        <v>3</v>
      </c>
      <c r="BF386" t="s">
        <v>3</v>
      </c>
      <c r="BG386" t="s">
        <v>3</v>
      </c>
      <c r="BH386">
        <v>3</v>
      </c>
      <c r="BI386">
        <v>3</v>
      </c>
      <c r="BJ386" t="s">
        <v>3</v>
      </c>
      <c r="BM386">
        <v>746</v>
      </c>
      <c r="BN386">
        <v>0</v>
      </c>
      <c r="BO386" t="s">
        <v>3</v>
      </c>
      <c r="BP386">
        <v>0</v>
      </c>
      <c r="BQ386">
        <v>130</v>
      </c>
      <c r="BR386">
        <v>0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 t="s">
        <v>3</v>
      </c>
      <c r="BZ386">
        <v>0</v>
      </c>
      <c r="CA386">
        <v>0</v>
      </c>
      <c r="CB386" t="s">
        <v>3</v>
      </c>
      <c r="CE386">
        <v>30</v>
      </c>
      <c r="CF386">
        <v>0</v>
      </c>
      <c r="CG386">
        <v>0</v>
      </c>
      <c r="CM386">
        <v>0</v>
      </c>
      <c r="CN386" t="s">
        <v>3</v>
      </c>
      <c r="CO386">
        <v>0</v>
      </c>
      <c r="CP386">
        <f t="shared" si="299"/>
        <v>40412.32</v>
      </c>
      <c r="CQ386">
        <f t="shared" si="334"/>
        <v>20206.16</v>
      </c>
      <c r="CR386">
        <f t="shared" si="332"/>
        <v>0</v>
      </c>
      <c r="CS386">
        <f t="shared" si="300"/>
        <v>0</v>
      </c>
      <c r="CT386">
        <f t="shared" si="301"/>
        <v>0</v>
      </c>
      <c r="CU386">
        <f t="shared" si="302"/>
        <v>0</v>
      </c>
      <c r="CV386">
        <f t="shared" si="303"/>
        <v>0</v>
      </c>
      <c r="CW386">
        <f t="shared" si="304"/>
        <v>0</v>
      </c>
      <c r="CX386">
        <f t="shared" si="305"/>
        <v>0</v>
      </c>
      <c r="CY386">
        <f t="shared" si="306"/>
        <v>0</v>
      </c>
      <c r="CZ386">
        <f t="shared" si="307"/>
        <v>0</v>
      </c>
      <c r="DC386" t="s">
        <v>3</v>
      </c>
      <c r="DD386" t="s">
        <v>3</v>
      </c>
      <c r="DE386" t="s">
        <v>3</v>
      </c>
      <c r="DF386" t="s">
        <v>3</v>
      </c>
      <c r="DG386" t="s">
        <v>3</v>
      </c>
      <c r="DH386" t="s">
        <v>3</v>
      </c>
      <c r="DI386" t="s">
        <v>3</v>
      </c>
      <c r="DJ386" t="s">
        <v>3</v>
      </c>
      <c r="DK386" t="s">
        <v>3</v>
      </c>
      <c r="DL386" t="s">
        <v>3</v>
      </c>
      <c r="DM386" t="s">
        <v>3</v>
      </c>
      <c r="DN386">
        <v>0</v>
      </c>
      <c r="DO386">
        <v>0</v>
      </c>
      <c r="DP386">
        <v>1</v>
      </c>
      <c r="DQ386">
        <v>1</v>
      </c>
      <c r="DU386">
        <v>1010</v>
      </c>
      <c r="DV386" t="s">
        <v>31</v>
      </c>
      <c r="DW386" t="s">
        <v>31</v>
      </c>
      <c r="DX386">
        <v>1</v>
      </c>
      <c r="DZ386" t="s">
        <v>3</v>
      </c>
      <c r="EA386" t="s">
        <v>3</v>
      </c>
      <c r="EB386" t="s">
        <v>3</v>
      </c>
      <c r="EC386" t="s">
        <v>3</v>
      </c>
      <c r="EE386">
        <v>55992259</v>
      </c>
      <c r="EF386">
        <v>130</v>
      </c>
      <c r="EG386" t="s">
        <v>32</v>
      </c>
      <c r="EH386">
        <v>0</v>
      </c>
      <c r="EI386" t="s">
        <v>3</v>
      </c>
      <c r="EJ386">
        <v>3</v>
      </c>
      <c r="EK386">
        <v>746</v>
      </c>
      <c r="EL386" t="s">
        <v>33</v>
      </c>
      <c r="EM386" t="s">
        <v>34</v>
      </c>
      <c r="EO386" t="s">
        <v>3</v>
      </c>
      <c r="EQ386">
        <v>0</v>
      </c>
      <c r="ER386">
        <v>2637.88</v>
      </c>
      <c r="ES386">
        <v>2637.88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5</v>
      </c>
      <c r="FC386">
        <v>1</v>
      </c>
      <c r="FD386">
        <v>18</v>
      </c>
      <c r="FF386">
        <v>23262</v>
      </c>
      <c r="FQ386">
        <v>0</v>
      </c>
      <c r="FR386">
        <f t="shared" si="335"/>
        <v>40412.32</v>
      </c>
      <c r="FS386">
        <v>0</v>
      </c>
      <c r="FX386">
        <v>0</v>
      </c>
      <c r="FY386">
        <v>0</v>
      </c>
      <c r="GA386" t="s">
        <v>414</v>
      </c>
      <c r="GD386">
        <v>1</v>
      </c>
      <c r="GF386">
        <v>-1542410947</v>
      </c>
      <c r="GG386">
        <v>2</v>
      </c>
      <c r="GH386">
        <v>3</v>
      </c>
      <c r="GI386">
        <v>5</v>
      </c>
      <c r="GJ386">
        <v>0</v>
      </c>
      <c r="GK386">
        <v>0</v>
      </c>
      <c r="GL386">
        <f t="shared" si="308"/>
        <v>0</v>
      </c>
      <c r="GM386">
        <f t="shared" si="309"/>
        <v>40412.32</v>
      </c>
      <c r="GN386">
        <f t="shared" si="310"/>
        <v>0</v>
      </c>
      <c r="GO386">
        <f t="shared" si="311"/>
        <v>0</v>
      </c>
      <c r="GP386">
        <f t="shared" si="312"/>
        <v>0</v>
      </c>
      <c r="GR386">
        <v>1</v>
      </c>
      <c r="GS386">
        <v>1</v>
      </c>
      <c r="GT386">
        <v>0</v>
      </c>
      <c r="GU386" t="s">
        <v>3</v>
      </c>
      <c r="GV386">
        <f t="shared" si="313"/>
        <v>0</v>
      </c>
      <c r="GW386">
        <v>1</v>
      </c>
      <c r="GX386">
        <f t="shared" si="314"/>
        <v>0</v>
      </c>
      <c r="HA386">
        <v>0</v>
      </c>
      <c r="HB386">
        <v>0</v>
      </c>
      <c r="HC386">
        <f t="shared" si="315"/>
        <v>0</v>
      </c>
      <c r="HE386" t="s">
        <v>36</v>
      </c>
      <c r="HF386" t="s">
        <v>37</v>
      </c>
      <c r="HM386" t="s">
        <v>3</v>
      </c>
      <c r="HN386" t="s">
        <v>3</v>
      </c>
      <c r="HO386" t="s">
        <v>3</v>
      </c>
      <c r="HP386" t="s">
        <v>3</v>
      </c>
      <c r="HQ386" t="s">
        <v>3</v>
      </c>
      <c r="HS386">
        <v>0</v>
      </c>
      <c r="IK386">
        <v>0</v>
      </c>
    </row>
    <row r="387" spans="1:255" x14ac:dyDescent="0.2">
      <c r="A387" s="2">
        <v>17</v>
      </c>
      <c r="B387" s="2">
        <v>1</v>
      </c>
      <c r="C387" s="2"/>
      <c r="D387" s="2"/>
      <c r="E387" s="2" t="s">
        <v>415</v>
      </c>
      <c r="F387" s="2" t="s">
        <v>416</v>
      </c>
      <c r="G387" s="2" t="s">
        <v>417</v>
      </c>
      <c r="H387" s="2" t="s">
        <v>31</v>
      </c>
      <c r="I387" s="2">
        <v>5</v>
      </c>
      <c r="J387" s="2">
        <v>0</v>
      </c>
      <c r="K387" s="2">
        <v>5</v>
      </c>
      <c r="L387" s="2"/>
      <c r="M387" s="2"/>
      <c r="N387" s="2"/>
      <c r="O387" s="2">
        <f t="shared" si="286"/>
        <v>7412.3</v>
      </c>
      <c r="P387" s="2">
        <f t="shared" si="333"/>
        <v>7412.3</v>
      </c>
      <c r="Q387" s="2">
        <f t="shared" si="326"/>
        <v>0</v>
      </c>
      <c r="R387" s="2">
        <f t="shared" si="287"/>
        <v>0</v>
      </c>
      <c r="S387" s="2">
        <f t="shared" si="288"/>
        <v>0</v>
      </c>
      <c r="T387" s="2">
        <f t="shared" si="289"/>
        <v>0</v>
      </c>
      <c r="U387" s="2">
        <f t="shared" si="290"/>
        <v>0</v>
      </c>
      <c r="V387" s="2">
        <f t="shared" si="291"/>
        <v>0</v>
      </c>
      <c r="W387" s="2">
        <f t="shared" si="292"/>
        <v>0</v>
      </c>
      <c r="X387" s="2">
        <f t="shared" si="293"/>
        <v>0</v>
      </c>
      <c r="Y387" s="2">
        <f t="shared" si="294"/>
        <v>0</v>
      </c>
      <c r="Z387" s="2"/>
      <c r="AA387" s="2">
        <v>56959434</v>
      </c>
      <c r="AB387" s="2">
        <f t="shared" si="295"/>
        <v>1482.46</v>
      </c>
      <c r="AC387" s="2">
        <f t="shared" si="296"/>
        <v>1482.46</v>
      </c>
      <c r="AD387" s="2">
        <f t="shared" si="327"/>
        <v>0</v>
      </c>
      <c r="AE387" s="2">
        <f t="shared" si="328"/>
        <v>0</v>
      </c>
      <c r="AF387" s="2">
        <f t="shared" si="329"/>
        <v>0</v>
      </c>
      <c r="AG387" s="2">
        <f t="shared" si="297"/>
        <v>0</v>
      </c>
      <c r="AH387" s="2">
        <f t="shared" si="330"/>
        <v>0</v>
      </c>
      <c r="AI387" s="2">
        <f t="shared" si="331"/>
        <v>0</v>
      </c>
      <c r="AJ387" s="2">
        <f t="shared" si="298"/>
        <v>0</v>
      </c>
      <c r="AK387" s="2">
        <v>1482.46</v>
      </c>
      <c r="AL387" s="2">
        <v>1482.46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1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3</v>
      </c>
      <c r="BI387" s="2">
        <v>3</v>
      </c>
      <c r="BJ387" s="2" t="s">
        <v>3</v>
      </c>
      <c r="BK387" s="2"/>
      <c r="BL387" s="2"/>
      <c r="BM387" s="2">
        <v>746</v>
      </c>
      <c r="BN387" s="2">
        <v>0</v>
      </c>
      <c r="BO387" s="2" t="s">
        <v>3</v>
      </c>
      <c r="BP387" s="2">
        <v>0</v>
      </c>
      <c r="BQ387" s="2">
        <v>130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0</v>
      </c>
      <c r="CA387" s="2">
        <v>0</v>
      </c>
      <c r="CB387" s="2" t="s">
        <v>3</v>
      </c>
      <c r="CC387" s="2"/>
      <c r="CD387" s="2"/>
      <c r="CE387" s="2">
        <v>30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3</v>
      </c>
      <c r="CO387" s="2">
        <v>0</v>
      </c>
      <c r="CP387" s="2">
        <f t="shared" si="299"/>
        <v>7412.3</v>
      </c>
      <c r="CQ387" s="2">
        <f t="shared" si="334"/>
        <v>1482.46</v>
      </c>
      <c r="CR387" s="2">
        <f t="shared" si="332"/>
        <v>0</v>
      </c>
      <c r="CS387" s="2">
        <f t="shared" si="300"/>
        <v>0</v>
      </c>
      <c r="CT387" s="2">
        <f t="shared" si="301"/>
        <v>0</v>
      </c>
      <c r="CU387" s="2">
        <f t="shared" si="302"/>
        <v>0</v>
      </c>
      <c r="CV387" s="2">
        <f t="shared" si="303"/>
        <v>0</v>
      </c>
      <c r="CW387" s="2">
        <f t="shared" si="304"/>
        <v>0</v>
      </c>
      <c r="CX387" s="2">
        <f t="shared" si="305"/>
        <v>0</v>
      </c>
      <c r="CY387" s="2">
        <f t="shared" si="306"/>
        <v>0</v>
      </c>
      <c r="CZ387" s="2">
        <f t="shared" si="307"/>
        <v>0</v>
      </c>
      <c r="DA387" s="2"/>
      <c r="DB387" s="2"/>
      <c r="DC387" s="2" t="s">
        <v>3</v>
      </c>
      <c r="DD387" s="2" t="s">
        <v>3</v>
      </c>
      <c r="DE387" s="2" t="s">
        <v>3</v>
      </c>
      <c r="DF387" s="2" t="s">
        <v>3</v>
      </c>
      <c r="DG387" s="2" t="s">
        <v>3</v>
      </c>
      <c r="DH387" s="2" t="s">
        <v>3</v>
      </c>
      <c r="DI387" s="2" t="s">
        <v>3</v>
      </c>
      <c r="DJ387" s="2" t="s">
        <v>3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1010</v>
      </c>
      <c r="DV387" s="2" t="s">
        <v>31</v>
      </c>
      <c r="DW387" s="2" t="s">
        <v>31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55992259</v>
      </c>
      <c r="EF387" s="2">
        <v>130</v>
      </c>
      <c r="EG387" s="2" t="s">
        <v>32</v>
      </c>
      <c r="EH387" s="2">
        <v>0</v>
      </c>
      <c r="EI387" s="2" t="s">
        <v>3</v>
      </c>
      <c r="EJ387" s="2">
        <v>3</v>
      </c>
      <c r="EK387" s="2">
        <v>746</v>
      </c>
      <c r="EL387" s="2" t="s">
        <v>33</v>
      </c>
      <c r="EM387" s="2" t="s">
        <v>34</v>
      </c>
      <c r="EN387" s="2"/>
      <c r="EO387" s="2" t="s">
        <v>3</v>
      </c>
      <c r="EP387" s="2"/>
      <c r="EQ387" s="2">
        <v>0</v>
      </c>
      <c r="ER387" s="2">
        <v>0</v>
      </c>
      <c r="ES387" s="2">
        <v>1482.46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f t="shared" si="335"/>
        <v>7412.3</v>
      </c>
      <c r="FS387" s="2">
        <v>0</v>
      </c>
      <c r="FT387" s="2"/>
      <c r="FU387" s="2"/>
      <c r="FV387" s="2"/>
      <c r="FW387" s="2"/>
      <c r="FX387" s="2">
        <v>0</v>
      </c>
      <c r="FY387" s="2">
        <v>0</v>
      </c>
      <c r="FZ387" s="2"/>
      <c r="GA387" s="2" t="s">
        <v>418</v>
      </c>
      <c r="GB387" s="2"/>
      <c r="GC387" s="2"/>
      <c r="GD387" s="2">
        <v>1</v>
      </c>
      <c r="GE387" s="2"/>
      <c r="GF387" s="2">
        <v>-2137396454</v>
      </c>
      <c r="GG387" s="2">
        <v>2</v>
      </c>
      <c r="GH387" s="2">
        <v>4</v>
      </c>
      <c r="GI387" s="2">
        <v>-2</v>
      </c>
      <c r="GJ387" s="2">
        <v>0</v>
      </c>
      <c r="GK387" s="2">
        <v>0</v>
      </c>
      <c r="GL387" s="2">
        <f t="shared" si="308"/>
        <v>0</v>
      </c>
      <c r="GM387" s="2">
        <f t="shared" si="309"/>
        <v>7412.3</v>
      </c>
      <c r="GN387" s="2">
        <f t="shared" si="310"/>
        <v>0</v>
      </c>
      <c r="GO387" s="2">
        <f t="shared" si="311"/>
        <v>0</v>
      </c>
      <c r="GP387" s="2">
        <f t="shared" si="312"/>
        <v>0</v>
      </c>
      <c r="GQ387" s="2"/>
      <c r="GR387" s="2">
        <v>0</v>
      </c>
      <c r="GS387" s="2">
        <v>2</v>
      </c>
      <c r="GT387" s="2">
        <v>0</v>
      </c>
      <c r="GU387" s="2" t="s">
        <v>3</v>
      </c>
      <c r="GV387" s="2">
        <f t="shared" si="313"/>
        <v>0</v>
      </c>
      <c r="GW387" s="2">
        <v>1</v>
      </c>
      <c r="GX387" s="2">
        <f t="shared" si="314"/>
        <v>0</v>
      </c>
      <c r="GY387" s="2"/>
      <c r="GZ387" s="2"/>
      <c r="HA387" s="2">
        <v>0</v>
      </c>
      <c r="HB387" s="2">
        <v>0</v>
      </c>
      <c r="HC387" s="2">
        <f t="shared" si="315"/>
        <v>0</v>
      </c>
      <c r="HD387" s="2"/>
      <c r="HE387" s="2" t="s">
        <v>36</v>
      </c>
      <c r="HF387" s="2" t="s">
        <v>37</v>
      </c>
      <c r="HG387" s="2"/>
      <c r="HH387" s="2"/>
      <c r="HI387" s="2"/>
      <c r="HJ387" s="2"/>
      <c r="HK387" s="2"/>
      <c r="HL387" s="2"/>
      <c r="HM387" s="2" t="s">
        <v>3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">
      <c r="A388">
        <v>17</v>
      </c>
      <c r="B388">
        <v>1</v>
      </c>
      <c r="E388" t="s">
        <v>415</v>
      </c>
      <c r="F388" t="s">
        <v>416</v>
      </c>
      <c r="G388" t="s">
        <v>417</v>
      </c>
      <c r="H388" t="s">
        <v>31</v>
      </c>
      <c r="I388">
        <v>5</v>
      </c>
      <c r="J388">
        <v>0</v>
      </c>
      <c r="K388">
        <v>5</v>
      </c>
      <c r="O388">
        <f t="shared" si="286"/>
        <v>56778.22</v>
      </c>
      <c r="P388">
        <f t="shared" si="333"/>
        <v>56778.22</v>
      </c>
      <c r="Q388">
        <f t="shared" si="326"/>
        <v>0</v>
      </c>
      <c r="R388">
        <f t="shared" si="287"/>
        <v>0</v>
      </c>
      <c r="S388">
        <f t="shared" si="288"/>
        <v>0</v>
      </c>
      <c r="T388">
        <f t="shared" si="289"/>
        <v>0</v>
      </c>
      <c r="U388">
        <f t="shared" si="290"/>
        <v>0</v>
      </c>
      <c r="V388">
        <f t="shared" si="291"/>
        <v>0</v>
      </c>
      <c r="W388">
        <f t="shared" si="292"/>
        <v>0</v>
      </c>
      <c r="X388">
        <f t="shared" si="293"/>
        <v>0</v>
      </c>
      <c r="Y388">
        <f t="shared" si="294"/>
        <v>0</v>
      </c>
      <c r="AA388">
        <v>56959431</v>
      </c>
      <c r="AB388">
        <f t="shared" si="295"/>
        <v>1482.46</v>
      </c>
      <c r="AC388">
        <f t="shared" si="296"/>
        <v>1482.46</v>
      </c>
      <c r="AD388">
        <f t="shared" si="327"/>
        <v>0</v>
      </c>
      <c r="AE388">
        <f t="shared" si="328"/>
        <v>0</v>
      </c>
      <c r="AF388">
        <f t="shared" si="329"/>
        <v>0</v>
      </c>
      <c r="AG388">
        <f t="shared" si="297"/>
        <v>0</v>
      </c>
      <c r="AH388">
        <f t="shared" si="330"/>
        <v>0</v>
      </c>
      <c r="AI388">
        <f t="shared" si="331"/>
        <v>0</v>
      </c>
      <c r="AJ388">
        <f t="shared" si="298"/>
        <v>0</v>
      </c>
      <c r="AK388">
        <v>1482.46</v>
      </c>
      <c r="AL388">
        <v>1482.46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1</v>
      </c>
      <c r="AZ388">
        <v>1</v>
      </c>
      <c r="BA388">
        <v>1</v>
      </c>
      <c r="BB388">
        <v>1</v>
      </c>
      <c r="BC388">
        <v>7.66</v>
      </c>
      <c r="BD388" t="s">
        <v>3</v>
      </c>
      <c r="BE388" t="s">
        <v>3</v>
      </c>
      <c r="BF388" t="s">
        <v>3</v>
      </c>
      <c r="BG388" t="s">
        <v>3</v>
      </c>
      <c r="BH388">
        <v>3</v>
      </c>
      <c r="BI388">
        <v>3</v>
      </c>
      <c r="BJ388" t="s">
        <v>3</v>
      </c>
      <c r="BM388">
        <v>746</v>
      </c>
      <c r="BN388">
        <v>0</v>
      </c>
      <c r="BO388" t="s">
        <v>3</v>
      </c>
      <c r="BP388">
        <v>0</v>
      </c>
      <c r="BQ388">
        <v>130</v>
      </c>
      <c r="BR388">
        <v>0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 t="s">
        <v>3</v>
      </c>
      <c r="BZ388">
        <v>0</v>
      </c>
      <c r="CA388">
        <v>0</v>
      </c>
      <c r="CB388" t="s">
        <v>3</v>
      </c>
      <c r="CE388">
        <v>30</v>
      </c>
      <c r="CF388">
        <v>0</v>
      </c>
      <c r="CG388">
        <v>0</v>
      </c>
      <c r="CM388">
        <v>0</v>
      </c>
      <c r="CN388" t="s">
        <v>3</v>
      </c>
      <c r="CO388">
        <v>0</v>
      </c>
      <c r="CP388">
        <f t="shared" si="299"/>
        <v>56778.22</v>
      </c>
      <c r="CQ388">
        <f t="shared" si="334"/>
        <v>11355.64</v>
      </c>
      <c r="CR388">
        <f t="shared" si="332"/>
        <v>0</v>
      </c>
      <c r="CS388">
        <f t="shared" si="300"/>
        <v>0</v>
      </c>
      <c r="CT388">
        <f t="shared" si="301"/>
        <v>0</v>
      </c>
      <c r="CU388">
        <f t="shared" si="302"/>
        <v>0</v>
      </c>
      <c r="CV388">
        <f t="shared" si="303"/>
        <v>0</v>
      </c>
      <c r="CW388">
        <f t="shared" si="304"/>
        <v>0</v>
      </c>
      <c r="CX388">
        <f t="shared" si="305"/>
        <v>0</v>
      </c>
      <c r="CY388">
        <f t="shared" si="306"/>
        <v>0</v>
      </c>
      <c r="CZ388">
        <f t="shared" si="307"/>
        <v>0</v>
      </c>
      <c r="DC388" t="s">
        <v>3</v>
      </c>
      <c r="DD388" t="s">
        <v>3</v>
      </c>
      <c r="DE388" t="s">
        <v>3</v>
      </c>
      <c r="DF388" t="s">
        <v>3</v>
      </c>
      <c r="DG388" t="s">
        <v>3</v>
      </c>
      <c r="DH388" t="s">
        <v>3</v>
      </c>
      <c r="DI388" t="s">
        <v>3</v>
      </c>
      <c r="DJ388" t="s">
        <v>3</v>
      </c>
      <c r="DK388" t="s">
        <v>3</v>
      </c>
      <c r="DL388" t="s">
        <v>3</v>
      </c>
      <c r="DM388" t="s">
        <v>3</v>
      </c>
      <c r="DN388">
        <v>0</v>
      </c>
      <c r="DO388">
        <v>0</v>
      </c>
      <c r="DP388">
        <v>1</v>
      </c>
      <c r="DQ388">
        <v>1</v>
      </c>
      <c r="DU388">
        <v>1010</v>
      </c>
      <c r="DV388" t="s">
        <v>31</v>
      </c>
      <c r="DW388" t="s">
        <v>31</v>
      </c>
      <c r="DX388">
        <v>1</v>
      </c>
      <c r="DZ388" t="s">
        <v>3</v>
      </c>
      <c r="EA388" t="s">
        <v>3</v>
      </c>
      <c r="EB388" t="s">
        <v>3</v>
      </c>
      <c r="EC388" t="s">
        <v>3</v>
      </c>
      <c r="EE388">
        <v>55992259</v>
      </c>
      <c r="EF388">
        <v>130</v>
      </c>
      <c r="EG388" t="s">
        <v>32</v>
      </c>
      <c r="EH388">
        <v>0</v>
      </c>
      <c r="EI388" t="s">
        <v>3</v>
      </c>
      <c r="EJ388">
        <v>3</v>
      </c>
      <c r="EK388">
        <v>746</v>
      </c>
      <c r="EL388" t="s">
        <v>33</v>
      </c>
      <c r="EM388" t="s">
        <v>34</v>
      </c>
      <c r="EO388" t="s">
        <v>3</v>
      </c>
      <c r="EQ388">
        <v>0</v>
      </c>
      <c r="ER388">
        <v>1482.46</v>
      </c>
      <c r="ES388">
        <v>1482.46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5</v>
      </c>
      <c r="FC388">
        <v>1</v>
      </c>
      <c r="FD388">
        <v>18</v>
      </c>
      <c r="FF388">
        <v>13073</v>
      </c>
      <c r="FQ388">
        <v>0</v>
      </c>
      <c r="FR388">
        <f t="shared" si="335"/>
        <v>56778.22</v>
      </c>
      <c r="FS388">
        <v>0</v>
      </c>
      <c r="FX388">
        <v>0</v>
      </c>
      <c r="FY388">
        <v>0</v>
      </c>
      <c r="GA388" t="s">
        <v>418</v>
      </c>
      <c r="GD388">
        <v>1</v>
      </c>
      <c r="GF388">
        <v>-2137396454</v>
      </c>
      <c r="GG388">
        <v>2</v>
      </c>
      <c r="GH388">
        <v>3</v>
      </c>
      <c r="GI388">
        <v>5</v>
      </c>
      <c r="GJ388">
        <v>0</v>
      </c>
      <c r="GK388">
        <v>0</v>
      </c>
      <c r="GL388">
        <f t="shared" si="308"/>
        <v>0</v>
      </c>
      <c r="GM388">
        <f t="shared" si="309"/>
        <v>56778.22</v>
      </c>
      <c r="GN388">
        <f t="shared" si="310"/>
        <v>0</v>
      </c>
      <c r="GO388">
        <f t="shared" si="311"/>
        <v>0</v>
      </c>
      <c r="GP388">
        <f t="shared" si="312"/>
        <v>0</v>
      </c>
      <c r="GR388">
        <v>1</v>
      </c>
      <c r="GS388">
        <v>1</v>
      </c>
      <c r="GT388">
        <v>0</v>
      </c>
      <c r="GU388" t="s">
        <v>3</v>
      </c>
      <c r="GV388">
        <f t="shared" si="313"/>
        <v>0</v>
      </c>
      <c r="GW388">
        <v>1</v>
      </c>
      <c r="GX388">
        <f t="shared" si="314"/>
        <v>0</v>
      </c>
      <c r="HA388">
        <v>0</v>
      </c>
      <c r="HB388">
        <v>0</v>
      </c>
      <c r="HC388">
        <f t="shared" si="315"/>
        <v>0</v>
      </c>
      <c r="HE388" t="s">
        <v>36</v>
      </c>
      <c r="HF388" t="s">
        <v>37</v>
      </c>
      <c r="HM388" t="s">
        <v>3</v>
      </c>
      <c r="HN388" t="s">
        <v>3</v>
      </c>
      <c r="HO388" t="s">
        <v>3</v>
      </c>
      <c r="HP388" t="s">
        <v>3</v>
      </c>
      <c r="HQ388" t="s">
        <v>3</v>
      </c>
      <c r="HS388">
        <v>0</v>
      </c>
      <c r="IK388">
        <v>0</v>
      </c>
    </row>
    <row r="389" spans="1:255" x14ac:dyDescent="0.2">
      <c r="A389" s="2">
        <v>17</v>
      </c>
      <c r="B389" s="2">
        <v>1</v>
      </c>
      <c r="C389" s="2">
        <f>ROW(SmtRes!A278)</f>
        <v>278</v>
      </c>
      <c r="D389" s="2">
        <f>ROW(EtalonRes!A333)</f>
        <v>333</v>
      </c>
      <c r="E389" s="2" t="s">
        <v>419</v>
      </c>
      <c r="F389" s="2" t="s">
        <v>285</v>
      </c>
      <c r="G389" s="2" t="s">
        <v>397</v>
      </c>
      <c r="H389" s="2" t="s">
        <v>21</v>
      </c>
      <c r="I389" s="2">
        <v>43</v>
      </c>
      <c r="J389" s="2">
        <v>0</v>
      </c>
      <c r="K389" s="2">
        <v>43</v>
      </c>
      <c r="L389" s="2"/>
      <c r="M389" s="2"/>
      <c r="N389" s="2"/>
      <c r="O389" s="2">
        <f t="shared" si="286"/>
        <v>334.28</v>
      </c>
      <c r="P389" s="2">
        <f>ROUND((ROUND((AC389*AW389*I389),2)*BC389),2)</f>
        <v>0</v>
      </c>
      <c r="Q389" s="2">
        <f>(ROUND((ROUND((((ET389*1.1))*AV389*I389),2)*BB389),2)+ROUND((ROUND(((AE389-((EU389*1.1)))*AV389*I389),2)*BS389),2))</f>
        <v>0</v>
      </c>
      <c r="R389" s="2">
        <f t="shared" si="287"/>
        <v>0</v>
      </c>
      <c r="S389" s="2">
        <f t="shared" si="288"/>
        <v>334.28</v>
      </c>
      <c r="T389" s="2">
        <f t="shared" si="289"/>
        <v>0</v>
      </c>
      <c r="U389" s="2">
        <f t="shared" si="290"/>
        <v>25.752012000000001</v>
      </c>
      <c r="V389" s="2">
        <f t="shared" si="291"/>
        <v>0</v>
      </c>
      <c r="W389" s="2">
        <f t="shared" si="292"/>
        <v>0</v>
      </c>
      <c r="X389" s="2">
        <f t="shared" si="293"/>
        <v>300.85000000000002</v>
      </c>
      <c r="Y389" s="2">
        <f t="shared" si="294"/>
        <v>153.77000000000001</v>
      </c>
      <c r="Z389" s="2"/>
      <c r="AA389" s="2">
        <v>56959434</v>
      </c>
      <c r="AB389" s="2">
        <f t="shared" si="295"/>
        <v>7.4249999999999998</v>
      </c>
      <c r="AC389" s="2">
        <f t="shared" si="296"/>
        <v>0</v>
      </c>
      <c r="AD389" s="2">
        <f>ROUND(((((ET389*1.1))-((EU389*1.1)))+AE389),6)</f>
        <v>0</v>
      </c>
      <c r="AE389" s="2">
        <f>ROUND(((EU389*1.1)),6)</f>
        <v>0</v>
      </c>
      <c r="AF389" s="2">
        <f>ROUND(((EV389*1.1)),6)</f>
        <v>7.4249999999999998</v>
      </c>
      <c r="AG389" s="2">
        <f t="shared" si="297"/>
        <v>0</v>
      </c>
      <c r="AH389" s="2">
        <f>((EW389*1.1))</f>
        <v>0.57200000000000006</v>
      </c>
      <c r="AI389" s="2">
        <f>((EX389*1.1))</f>
        <v>0</v>
      </c>
      <c r="AJ389" s="2">
        <f t="shared" si="298"/>
        <v>0</v>
      </c>
      <c r="AK389" s="2">
        <v>6.75</v>
      </c>
      <c r="AL389" s="2">
        <v>0</v>
      </c>
      <c r="AM389" s="2">
        <v>0</v>
      </c>
      <c r="AN389" s="2">
        <v>0</v>
      </c>
      <c r="AO389" s="2">
        <v>6.75</v>
      </c>
      <c r="AP389" s="2">
        <v>0</v>
      </c>
      <c r="AQ389" s="2">
        <v>0.52</v>
      </c>
      <c r="AR389" s="2">
        <v>0</v>
      </c>
      <c r="AS389" s="2">
        <v>0</v>
      </c>
      <c r="AT389" s="2">
        <v>90</v>
      </c>
      <c r="AU389" s="2">
        <v>46</v>
      </c>
      <c r="AV389" s="2">
        <v>1.0469999999999999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0</v>
      </c>
      <c r="BI389" s="2">
        <v>2</v>
      </c>
      <c r="BJ389" s="2" t="s">
        <v>287</v>
      </c>
      <c r="BK389" s="2"/>
      <c r="BL389" s="2"/>
      <c r="BM389" s="2">
        <v>72</v>
      </c>
      <c r="BN389" s="2">
        <v>55992028</v>
      </c>
      <c r="BO389" s="2" t="s">
        <v>285</v>
      </c>
      <c r="BP389" s="2">
        <v>1</v>
      </c>
      <c r="BQ389" s="2">
        <v>40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90</v>
      </c>
      <c r="CA389" s="2">
        <v>46</v>
      </c>
      <c r="CB389" s="2" t="s">
        <v>3</v>
      </c>
      <c r="CC389" s="2"/>
      <c r="CD389" s="2"/>
      <c r="CE389" s="2">
        <v>30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673</v>
      </c>
      <c r="CO389" s="2">
        <v>0</v>
      </c>
      <c r="CP389" s="2">
        <f t="shared" si="299"/>
        <v>334.28</v>
      </c>
      <c r="CQ389" s="2">
        <f>ROUND((ROUND((AC389*AW389*1),2)*BC389),2)</f>
        <v>0</v>
      </c>
      <c r="CR389" s="2">
        <f>(ROUND((ROUND((((ET389*1.1))*AV389*1),2)*BB389),2)+ROUND((ROUND(((AE389-((EU389*1.1)))*AV389*1),2)*BS389),2))</f>
        <v>0</v>
      </c>
      <c r="CS389" s="2">
        <f t="shared" si="300"/>
        <v>0</v>
      </c>
      <c r="CT389" s="2">
        <f t="shared" si="301"/>
        <v>7.77</v>
      </c>
      <c r="CU389" s="2">
        <f t="shared" si="302"/>
        <v>0</v>
      </c>
      <c r="CV389" s="2">
        <f t="shared" si="303"/>
        <v>0.59888399999999997</v>
      </c>
      <c r="CW389" s="2">
        <f t="shared" si="304"/>
        <v>0</v>
      </c>
      <c r="CX389" s="2">
        <f t="shared" si="305"/>
        <v>0</v>
      </c>
      <c r="CY389" s="2">
        <f t="shared" si="306"/>
        <v>300.85199999999998</v>
      </c>
      <c r="CZ389" s="2">
        <f t="shared" si="307"/>
        <v>153.7688</v>
      </c>
      <c r="DA389" s="2"/>
      <c r="DB389" s="2"/>
      <c r="DC389" s="2" t="s">
        <v>3</v>
      </c>
      <c r="DD389" s="2" t="s">
        <v>3</v>
      </c>
      <c r="DE389" s="2" t="s">
        <v>23</v>
      </c>
      <c r="DF389" s="2" t="s">
        <v>23</v>
      </c>
      <c r="DG389" s="2" t="s">
        <v>23</v>
      </c>
      <c r="DH389" s="2" t="s">
        <v>3</v>
      </c>
      <c r="DI389" s="2" t="s">
        <v>23</v>
      </c>
      <c r="DJ389" s="2" t="s">
        <v>23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1013</v>
      </c>
      <c r="DV389" s="2" t="s">
        <v>21</v>
      </c>
      <c r="DW389" s="2" t="s">
        <v>21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55992157</v>
      </c>
      <c r="EF389" s="2">
        <v>40</v>
      </c>
      <c r="EG389" s="2" t="s">
        <v>24</v>
      </c>
      <c r="EH389" s="2">
        <v>0</v>
      </c>
      <c r="EI389" s="2" t="s">
        <v>3</v>
      </c>
      <c r="EJ389" s="2">
        <v>2</v>
      </c>
      <c r="EK389" s="2">
        <v>72</v>
      </c>
      <c r="EL389" s="2" t="s">
        <v>25</v>
      </c>
      <c r="EM389" s="2" t="s">
        <v>26</v>
      </c>
      <c r="EN389" s="2"/>
      <c r="EO389" s="2" t="s">
        <v>27</v>
      </c>
      <c r="EP389" s="2"/>
      <c r="EQ389" s="2">
        <v>0</v>
      </c>
      <c r="ER389" s="2">
        <v>6.75</v>
      </c>
      <c r="ES389" s="2">
        <v>0</v>
      </c>
      <c r="ET389" s="2">
        <v>0</v>
      </c>
      <c r="EU389" s="2">
        <v>0</v>
      </c>
      <c r="EV389" s="2">
        <v>6.75</v>
      </c>
      <c r="EW389" s="2">
        <v>0.52</v>
      </c>
      <c r="EX389" s="2">
        <v>0</v>
      </c>
      <c r="EY389" s="2">
        <v>0</v>
      </c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90</v>
      </c>
      <c r="FY389" s="2">
        <v>46</v>
      </c>
      <c r="FZ389" s="2"/>
      <c r="GA389" s="2" t="s">
        <v>3</v>
      </c>
      <c r="GB389" s="2"/>
      <c r="GC389" s="2"/>
      <c r="GD389" s="2">
        <v>1</v>
      </c>
      <c r="GE389" s="2"/>
      <c r="GF389" s="2">
        <v>338415528</v>
      </c>
      <c r="GG389" s="2">
        <v>2</v>
      </c>
      <c r="GH389" s="2">
        <v>1</v>
      </c>
      <c r="GI389" s="2">
        <v>2</v>
      </c>
      <c r="GJ389" s="2">
        <v>0</v>
      </c>
      <c r="GK389" s="2">
        <v>0</v>
      </c>
      <c r="GL389" s="2">
        <f t="shared" si="308"/>
        <v>0</v>
      </c>
      <c r="GM389" s="2">
        <f t="shared" si="309"/>
        <v>788.9</v>
      </c>
      <c r="GN389" s="2">
        <f t="shared" si="310"/>
        <v>0</v>
      </c>
      <c r="GO389" s="2">
        <f t="shared" si="311"/>
        <v>788.9</v>
      </c>
      <c r="GP389" s="2">
        <f t="shared" si="312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313"/>
        <v>0</v>
      </c>
      <c r="GW389" s="2">
        <v>1</v>
      </c>
      <c r="GX389" s="2">
        <f t="shared" si="314"/>
        <v>0</v>
      </c>
      <c r="GY389" s="2"/>
      <c r="GZ389" s="2"/>
      <c r="HA389" s="2">
        <v>0</v>
      </c>
      <c r="HB389" s="2">
        <v>0</v>
      </c>
      <c r="HC389" s="2">
        <f t="shared" si="315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">
      <c r="A390">
        <v>17</v>
      </c>
      <c r="B390">
        <v>1</v>
      </c>
      <c r="C390">
        <f>ROW(SmtRes!A280)</f>
        <v>280</v>
      </c>
      <c r="D390">
        <f>ROW(EtalonRes!A336)</f>
        <v>336</v>
      </c>
      <c r="E390" t="s">
        <v>419</v>
      </c>
      <c r="F390" t="s">
        <v>285</v>
      </c>
      <c r="G390" t="s">
        <v>397</v>
      </c>
      <c r="H390" t="s">
        <v>21</v>
      </c>
      <c r="I390">
        <v>43</v>
      </c>
      <c r="J390">
        <v>0</v>
      </c>
      <c r="K390">
        <v>43</v>
      </c>
      <c r="O390">
        <f t="shared" si="286"/>
        <v>18382.060000000001</v>
      </c>
      <c r="P390">
        <f>ROUND((ROUND((AC390*AW390*I390),2)*BC390),2)</f>
        <v>0</v>
      </c>
      <c r="Q390">
        <f>(ROUND((ROUND((((ET390*1.1))*AV390*I390),2)*BB390),2)+ROUND((ROUND(((AE390-((EU390*1.1)))*AV390*I390),2)*BS390),2))</f>
        <v>0</v>
      </c>
      <c r="R390">
        <f t="shared" si="287"/>
        <v>0</v>
      </c>
      <c r="S390">
        <f t="shared" si="288"/>
        <v>18382.060000000001</v>
      </c>
      <c r="T390">
        <f t="shared" si="289"/>
        <v>0</v>
      </c>
      <c r="U390">
        <f t="shared" si="290"/>
        <v>25.752012000000001</v>
      </c>
      <c r="V390">
        <f t="shared" si="291"/>
        <v>0</v>
      </c>
      <c r="W390">
        <f t="shared" si="292"/>
        <v>0</v>
      </c>
      <c r="X390">
        <f t="shared" si="293"/>
        <v>16543.849999999999</v>
      </c>
      <c r="Y390">
        <f t="shared" si="294"/>
        <v>8455.75</v>
      </c>
      <c r="AA390">
        <v>56959431</v>
      </c>
      <c r="AB390">
        <f t="shared" si="295"/>
        <v>7.4249999999999998</v>
      </c>
      <c r="AC390">
        <f t="shared" si="296"/>
        <v>0</v>
      </c>
      <c r="AD390">
        <f>ROUND(((((ET390*1.1))-((EU390*1.1)))+AE390),6)</f>
        <v>0</v>
      </c>
      <c r="AE390">
        <f>ROUND(((EU390*1.1)),6)</f>
        <v>0</v>
      </c>
      <c r="AF390">
        <f>ROUND(((EV390*1.1)),6)</f>
        <v>7.4249999999999998</v>
      </c>
      <c r="AG390">
        <f t="shared" si="297"/>
        <v>0</v>
      </c>
      <c r="AH390">
        <f>((EW390*1.1))</f>
        <v>0.57200000000000006</v>
      </c>
      <c r="AI390">
        <f>((EX390*1.1))</f>
        <v>0</v>
      </c>
      <c r="AJ390">
        <f t="shared" si="298"/>
        <v>0</v>
      </c>
      <c r="AK390">
        <v>6.75</v>
      </c>
      <c r="AL390">
        <v>0</v>
      </c>
      <c r="AM390">
        <v>0</v>
      </c>
      <c r="AN390">
        <v>0</v>
      </c>
      <c r="AO390">
        <v>6.75</v>
      </c>
      <c r="AP390">
        <v>0</v>
      </c>
      <c r="AQ390">
        <v>0.52</v>
      </c>
      <c r="AR390">
        <v>0</v>
      </c>
      <c r="AS390">
        <v>0</v>
      </c>
      <c r="AT390">
        <v>90</v>
      </c>
      <c r="AU390">
        <v>46</v>
      </c>
      <c r="AV390">
        <v>1.0469999999999999</v>
      </c>
      <c r="AW390">
        <v>1</v>
      </c>
      <c r="AZ390">
        <v>1</v>
      </c>
      <c r="BA390">
        <v>54.99</v>
      </c>
      <c r="BB390">
        <v>1</v>
      </c>
      <c r="BC390">
        <v>1</v>
      </c>
      <c r="BD390" t="s">
        <v>3</v>
      </c>
      <c r="BE390" t="s">
        <v>3</v>
      </c>
      <c r="BF390" t="s">
        <v>3</v>
      </c>
      <c r="BG390" t="s">
        <v>3</v>
      </c>
      <c r="BH390">
        <v>0</v>
      </c>
      <c r="BI390">
        <v>2</v>
      </c>
      <c r="BJ390" t="s">
        <v>287</v>
      </c>
      <c r="BM390">
        <v>72</v>
      </c>
      <c r="BN390">
        <v>55992028</v>
      </c>
      <c r="BO390" t="s">
        <v>285</v>
      </c>
      <c r="BP390">
        <v>1</v>
      </c>
      <c r="BQ390">
        <v>40</v>
      </c>
      <c r="BR390">
        <v>0</v>
      </c>
      <c r="BS390">
        <v>54.99</v>
      </c>
      <c r="BT390">
        <v>1</v>
      </c>
      <c r="BU390">
        <v>1</v>
      </c>
      <c r="BV390">
        <v>1</v>
      </c>
      <c r="BW390">
        <v>1</v>
      </c>
      <c r="BX390">
        <v>1</v>
      </c>
      <c r="BY390" t="s">
        <v>3</v>
      </c>
      <c r="BZ390">
        <v>90</v>
      </c>
      <c r="CA390">
        <v>46</v>
      </c>
      <c r="CB390" t="s">
        <v>3</v>
      </c>
      <c r="CE390">
        <v>30</v>
      </c>
      <c r="CF390">
        <v>0</v>
      </c>
      <c r="CG390">
        <v>0</v>
      </c>
      <c r="CM390">
        <v>0</v>
      </c>
      <c r="CN390" t="s">
        <v>673</v>
      </c>
      <c r="CO390">
        <v>0</v>
      </c>
      <c r="CP390">
        <f t="shared" si="299"/>
        <v>18382.060000000001</v>
      </c>
      <c r="CQ390">
        <f>ROUND((ROUND((AC390*AW390*1),2)*BC390),2)</f>
        <v>0</v>
      </c>
      <c r="CR390">
        <f>(ROUND((ROUND((((ET390*1.1))*AV390*1),2)*BB390),2)+ROUND((ROUND(((AE390-((EU390*1.1)))*AV390*1),2)*BS390),2))</f>
        <v>0</v>
      </c>
      <c r="CS390">
        <f t="shared" si="300"/>
        <v>0</v>
      </c>
      <c r="CT390">
        <f t="shared" si="301"/>
        <v>427.27</v>
      </c>
      <c r="CU390">
        <f t="shared" si="302"/>
        <v>0</v>
      </c>
      <c r="CV390">
        <f t="shared" si="303"/>
        <v>0.59888399999999997</v>
      </c>
      <c r="CW390">
        <f t="shared" si="304"/>
        <v>0</v>
      </c>
      <c r="CX390">
        <f t="shared" si="305"/>
        <v>0</v>
      </c>
      <c r="CY390">
        <f t="shared" si="306"/>
        <v>16543.854000000003</v>
      </c>
      <c r="CZ390">
        <f t="shared" si="307"/>
        <v>8455.7476000000006</v>
      </c>
      <c r="DC390" t="s">
        <v>3</v>
      </c>
      <c r="DD390" t="s">
        <v>3</v>
      </c>
      <c r="DE390" t="s">
        <v>23</v>
      </c>
      <c r="DF390" t="s">
        <v>23</v>
      </c>
      <c r="DG390" t="s">
        <v>23</v>
      </c>
      <c r="DH390" t="s">
        <v>3</v>
      </c>
      <c r="DI390" t="s">
        <v>23</v>
      </c>
      <c r="DJ390" t="s">
        <v>23</v>
      </c>
      <c r="DK390" t="s">
        <v>3</v>
      </c>
      <c r="DL390" t="s">
        <v>3</v>
      </c>
      <c r="DM390" t="s">
        <v>3</v>
      </c>
      <c r="DN390">
        <v>0</v>
      </c>
      <c r="DO390">
        <v>0</v>
      </c>
      <c r="DP390">
        <v>1</v>
      </c>
      <c r="DQ390">
        <v>1</v>
      </c>
      <c r="DU390">
        <v>1013</v>
      </c>
      <c r="DV390" t="s">
        <v>21</v>
      </c>
      <c r="DW390" t="s">
        <v>21</v>
      </c>
      <c r="DX390">
        <v>1</v>
      </c>
      <c r="DZ390" t="s">
        <v>3</v>
      </c>
      <c r="EA390" t="s">
        <v>3</v>
      </c>
      <c r="EB390" t="s">
        <v>3</v>
      </c>
      <c r="EC390" t="s">
        <v>3</v>
      </c>
      <c r="EE390">
        <v>55992157</v>
      </c>
      <c r="EF390">
        <v>40</v>
      </c>
      <c r="EG390" t="s">
        <v>24</v>
      </c>
      <c r="EH390">
        <v>0</v>
      </c>
      <c r="EI390" t="s">
        <v>3</v>
      </c>
      <c r="EJ390">
        <v>2</v>
      </c>
      <c r="EK390">
        <v>72</v>
      </c>
      <c r="EL390" t="s">
        <v>25</v>
      </c>
      <c r="EM390" t="s">
        <v>26</v>
      </c>
      <c r="EO390" t="s">
        <v>27</v>
      </c>
      <c r="EQ390">
        <v>0</v>
      </c>
      <c r="ER390">
        <v>6.75</v>
      </c>
      <c r="ES390">
        <v>0</v>
      </c>
      <c r="ET390">
        <v>0</v>
      </c>
      <c r="EU390">
        <v>0</v>
      </c>
      <c r="EV390">
        <v>6.75</v>
      </c>
      <c r="EW390">
        <v>0.52</v>
      </c>
      <c r="EX390">
        <v>0</v>
      </c>
      <c r="EY390">
        <v>0</v>
      </c>
      <c r="FQ390">
        <v>0</v>
      </c>
      <c r="FR390">
        <v>0</v>
      </c>
      <c r="FS390">
        <v>0</v>
      </c>
      <c r="FX390">
        <v>90</v>
      </c>
      <c r="FY390">
        <v>46</v>
      </c>
      <c r="GA390" t="s">
        <v>3</v>
      </c>
      <c r="GD390">
        <v>1</v>
      </c>
      <c r="GF390">
        <v>338415528</v>
      </c>
      <c r="GG390">
        <v>2</v>
      </c>
      <c r="GH390">
        <v>1</v>
      </c>
      <c r="GI390">
        <v>2</v>
      </c>
      <c r="GJ390">
        <v>0</v>
      </c>
      <c r="GK390">
        <v>0</v>
      </c>
      <c r="GL390">
        <f t="shared" si="308"/>
        <v>0</v>
      </c>
      <c r="GM390">
        <f t="shared" si="309"/>
        <v>43381.66</v>
      </c>
      <c r="GN390">
        <f t="shared" si="310"/>
        <v>0</v>
      </c>
      <c r="GO390">
        <f t="shared" si="311"/>
        <v>43381.66</v>
      </c>
      <c r="GP390">
        <f t="shared" si="312"/>
        <v>0</v>
      </c>
      <c r="GR390">
        <v>0</v>
      </c>
      <c r="GS390">
        <v>3</v>
      </c>
      <c r="GT390">
        <v>0</v>
      </c>
      <c r="GU390" t="s">
        <v>3</v>
      </c>
      <c r="GV390">
        <f t="shared" si="313"/>
        <v>0</v>
      </c>
      <c r="GW390">
        <v>1</v>
      </c>
      <c r="GX390">
        <f t="shared" si="314"/>
        <v>0</v>
      </c>
      <c r="HA390">
        <v>0</v>
      </c>
      <c r="HB390">
        <v>0</v>
      </c>
      <c r="HC390">
        <f t="shared" si="315"/>
        <v>0</v>
      </c>
      <c r="HE390" t="s">
        <v>3</v>
      </c>
      <c r="HF390" t="s">
        <v>3</v>
      </c>
      <c r="HM390" t="s">
        <v>3</v>
      </c>
      <c r="HN390" t="s">
        <v>3</v>
      </c>
      <c r="HO390" t="s">
        <v>3</v>
      </c>
      <c r="HP390" t="s">
        <v>3</v>
      </c>
      <c r="HQ390" t="s">
        <v>3</v>
      </c>
      <c r="HS390">
        <v>0</v>
      </c>
      <c r="IK390">
        <v>0</v>
      </c>
    </row>
    <row r="391" spans="1:255" x14ac:dyDescent="0.2">
      <c r="A391" s="2">
        <v>18</v>
      </c>
      <c r="B391" s="2">
        <v>1</v>
      </c>
      <c r="C391" s="2">
        <v>278</v>
      </c>
      <c r="D391" s="2"/>
      <c r="E391" s="2" t="s">
        <v>420</v>
      </c>
      <c r="F391" s="2" t="s">
        <v>247</v>
      </c>
      <c r="G391" s="2" t="s">
        <v>248</v>
      </c>
      <c r="H391" s="2" t="s">
        <v>249</v>
      </c>
      <c r="I391" s="2">
        <f>I389*J391</f>
        <v>1.5049999999999999</v>
      </c>
      <c r="J391" s="2">
        <v>3.4999999999999996E-2</v>
      </c>
      <c r="K391" s="2">
        <v>3.5000000000000003E-2</v>
      </c>
      <c r="L391" s="2"/>
      <c r="M391" s="2"/>
      <c r="N391" s="2"/>
      <c r="O391" s="2">
        <f t="shared" si="286"/>
        <v>46.78</v>
      </c>
      <c r="P391" s="2">
        <f>ROUND((ROUND((AC391*AW391*I391),2)*BC391),2)</f>
        <v>46.78</v>
      </c>
      <c r="Q391" s="2">
        <f>(ROUND((ROUND(((ET391)*AV391*I391),2)*BB391),2)+ROUND((ROUND(((AE391-(EU391))*AV391*I391),2)*BS391),2))</f>
        <v>0</v>
      </c>
      <c r="R391" s="2">
        <f t="shared" si="287"/>
        <v>0</v>
      </c>
      <c r="S391" s="2">
        <f t="shared" si="288"/>
        <v>0</v>
      </c>
      <c r="T391" s="2">
        <f t="shared" si="289"/>
        <v>0</v>
      </c>
      <c r="U391" s="2">
        <f t="shared" si="290"/>
        <v>0</v>
      </c>
      <c r="V391" s="2">
        <f t="shared" si="291"/>
        <v>0</v>
      </c>
      <c r="W391" s="2">
        <f t="shared" si="292"/>
        <v>0</v>
      </c>
      <c r="X391" s="2">
        <f t="shared" si="293"/>
        <v>0</v>
      </c>
      <c r="Y391" s="2">
        <f t="shared" si="294"/>
        <v>0</v>
      </c>
      <c r="Z391" s="2"/>
      <c r="AA391" s="2">
        <v>56959434</v>
      </c>
      <c r="AB391" s="2">
        <f t="shared" si="295"/>
        <v>31.08</v>
      </c>
      <c r="AC391" s="2">
        <f t="shared" si="296"/>
        <v>31.08</v>
      </c>
      <c r="AD391" s="2">
        <f>ROUND((((ET391)-(EU391))+AE391),6)</f>
        <v>0</v>
      </c>
      <c r="AE391" s="2">
        <f t="shared" ref="AE391:AF394" si="336">ROUND((EU391),6)</f>
        <v>0</v>
      </c>
      <c r="AF391" s="2">
        <f t="shared" si="336"/>
        <v>0</v>
      </c>
      <c r="AG391" s="2">
        <f t="shared" si="297"/>
        <v>0</v>
      </c>
      <c r="AH391" s="2">
        <f t="shared" ref="AH391:AI394" si="337">(EW391)</f>
        <v>0</v>
      </c>
      <c r="AI391" s="2">
        <f t="shared" si="337"/>
        <v>0</v>
      </c>
      <c r="AJ391" s="2">
        <f t="shared" si="298"/>
        <v>0</v>
      </c>
      <c r="AK391" s="2">
        <v>31.08</v>
      </c>
      <c r="AL391" s="2">
        <v>31.08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90</v>
      </c>
      <c r="AU391" s="2">
        <v>46</v>
      </c>
      <c r="AV391" s="2">
        <v>1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3</v>
      </c>
      <c r="BI391" s="2">
        <v>2</v>
      </c>
      <c r="BJ391" s="2" t="s">
        <v>250</v>
      </c>
      <c r="BK391" s="2"/>
      <c r="BL391" s="2"/>
      <c r="BM391" s="2">
        <v>72</v>
      </c>
      <c r="BN391" s="2">
        <v>55992028</v>
      </c>
      <c r="BO391" s="2" t="s">
        <v>3</v>
      </c>
      <c r="BP391" s="2">
        <v>0</v>
      </c>
      <c r="BQ391" s="2">
        <v>40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90</v>
      </c>
      <c r="CA391" s="2">
        <v>46</v>
      </c>
      <c r="CB391" s="2" t="s">
        <v>3</v>
      </c>
      <c r="CC391" s="2"/>
      <c r="CD391" s="2"/>
      <c r="CE391" s="2">
        <v>30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3</v>
      </c>
      <c r="CO391" s="2">
        <v>0</v>
      </c>
      <c r="CP391" s="2">
        <f t="shared" si="299"/>
        <v>46.78</v>
      </c>
      <c r="CQ391" s="2">
        <f>ROUND((ROUND((AC391*AW391*1),2)*BC391),2)</f>
        <v>31.08</v>
      </c>
      <c r="CR391" s="2">
        <f>(ROUND((ROUND(((ET391)*AV391*1),2)*BB391),2)+ROUND((ROUND(((AE391-(EU391))*AV391*1),2)*BS391),2))</f>
        <v>0</v>
      </c>
      <c r="CS391" s="2">
        <f t="shared" si="300"/>
        <v>0</v>
      </c>
      <c r="CT391" s="2">
        <f t="shared" si="301"/>
        <v>0</v>
      </c>
      <c r="CU391" s="2">
        <f t="shared" si="302"/>
        <v>0</v>
      </c>
      <c r="CV391" s="2">
        <f t="shared" si="303"/>
        <v>0</v>
      </c>
      <c r="CW391" s="2">
        <f t="shared" si="304"/>
        <v>0</v>
      </c>
      <c r="CX391" s="2">
        <f t="shared" si="305"/>
        <v>0</v>
      </c>
      <c r="CY391" s="2">
        <f t="shared" si="306"/>
        <v>0</v>
      </c>
      <c r="CZ391" s="2">
        <f t="shared" si="307"/>
        <v>0</v>
      </c>
      <c r="DA391" s="2"/>
      <c r="DB391" s="2"/>
      <c r="DC391" s="2" t="s">
        <v>3</v>
      </c>
      <c r="DD391" s="2" t="s">
        <v>3</v>
      </c>
      <c r="DE391" s="2" t="s">
        <v>3</v>
      </c>
      <c r="DF391" s="2" t="s">
        <v>3</v>
      </c>
      <c r="DG391" s="2" t="s">
        <v>3</v>
      </c>
      <c r="DH391" s="2" t="s">
        <v>3</v>
      </c>
      <c r="DI391" s="2" t="s">
        <v>3</v>
      </c>
      <c r="DJ391" s="2" t="s">
        <v>3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1009</v>
      </c>
      <c r="DV391" s="2" t="s">
        <v>249</v>
      </c>
      <c r="DW391" s="2" t="s">
        <v>249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55992157</v>
      </c>
      <c r="EF391" s="2">
        <v>40</v>
      </c>
      <c r="EG391" s="2" t="s">
        <v>24</v>
      </c>
      <c r="EH391" s="2">
        <v>0</v>
      </c>
      <c r="EI391" s="2" t="s">
        <v>3</v>
      </c>
      <c r="EJ391" s="2">
        <v>2</v>
      </c>
      <c r="EK391" s="2">
        <v>72</v>
      </c>
      <c r="EL391" s="2" t="s">
        <v>25</v>
      </c>
      <c r="EM391" s="2" t="s">
        <v>26</v>
      </c>
      <c r="EN391" s="2"/>
      <c r="EO391" s="2" t="s">
        <v>3</v>
      </c>
      <c r="EP391" s="2"/>
      <c r="EQ391" s="2">
        <v>0</v>
      </c>
      <c r="ER391" s="2">
        <v>31.08</v>
      </c>
      <c r="ES391" s="2">
        <v>31.08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90</v>
      </c>
      <c r="FY391" s="2">
        <v>46</v>
      </c>
      <c r="FZ391" s="2"/>
      <c r="GA391" s="2" t="s">
        <v>3</v>
      </c>
      <c r="GB391" s="2"/>
      <c r="GC391" s="2"/>
      <c r="GD391" s="2">
        <v>1</v>
      </c>
      <c r="GE391" s="2"/>
      <c r="GF391" s="2">
        <v>1143487818</v>
      </c>
      <c r="GG391" s="2">
        <v>2</v>
      </c>
      <c r="GH391" s="2">
        <v>1</v>
      </c>
      <c r="GI391" s="2">
        <v>-2</v>
      </c>
      <c r="GJ391" s="2">
        <v>0</v>
      </c>
      <c r="GK391" s="2">
        <v>0</v>
      </c>
      <c r="GL391" s="2">
        <f t="shared" si="308"/>
        <v>0</v>
      </c>
      <c r="GM391" s="2">
        <f t="shared" si="309"/>
        <v>46.78</v>
      </c>
      <c r="GN391" s="2">
        <f t="shared" si="310"/>
        <v>0</v>
      </c>
      <c r="GO391" s="2">
        <f t="shared" si="311"/>
        <v>46.78</v>
      </c>
      <c r="GP391" s="2">
        <f t="shared" si="312"/>
        <v>0</v>
      </c>
      <c r="GQ391" s="2"/>
      <c r="GR391" s="2">
        <v>0</v>
      </c>
      <c r="GS391" s="2">
        <v>3</v>
      </c>
      <c r="GT391" s="2">
        <v>0</v>
      </c>
      <c r="GU391" s="2" t="s">
        <v>3</v>
      </c>
      <c r="GV391" s="2">
        <f t="shared" si="313"/>
        <v>0</v>
      </c>
      <c r="GW391" s="2">
        <v>1</v>
      </c>
      <c r="GX391" s="2">
        <f t="shared" si="314"/>
        <v>0</v>
      </c>
      <c r="GY391" s="2"/>
      <c r="GZ391" s="2"/>
      <c r="HA391" s="2">
        <v>0</v>
      </c>
      <c r="HB391" s="2">
        <v>0</v>
      </c>
      <c r="HC391" s="2">
        <f t="shared" si="315"/>
        <v>0</v>
      </c>
      <c r="HD391" s="2"/>
      <c r="HE391" s="2" t="s">
        <v>3</v>
      </c>
      <c r="HF391" s="2" t="s">
        <v>3</v>
      </c>
      <c r="HG391" s="2"/>
      <c r="HH391" s="2"/>
      <c r="HI391" s="2"/>
      <c r="HJ391" s="2"/>
      <c r="HK391" s="2"/>
      <c r="HL391" s="2"/>
      <c r="HM391" s="2" t="s">
        <v>3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">
      <c r="A392">
        <v>18</v>
      </c>
      <c r="B392">
        <v>1</v>
      </c>
      <c r="C392">
        <v>280</v>
      </c>
      <c r="E392" t="s">
        <v>420</v>
      </c>
      <c r="F392" t="s">
        <v>247</v>
      </c>
      <c r="G392" t="s">
        <v>248</v>
      </c>
      <c r="H392" t="s">
        <v>249</v>
      </c>
      <c r="I392">
        <f>I390*J392</f>
        <v>1.5049999999999999</v>
      </c>
      <c r="J392">
        <v>3.4999999999999996E-2</v>
      </c>
      <c r="K392">
        <v>3.5000000000000003E-2</v>
      </c>
      <c r="O392">
        <f t="shared" si="286"/>
        <v>239.51</v>
      </c>
      <c r="P392">
        <f>ROUND((ROUND((AC392*AW392*I392),2)*BC392),2)</f>
        <v>239.51</v>
      </c>
      <c r="Q392">
        <f>(ROUND((ROUND(((ET392)*AV392*I392),2)*BB392),2)+ROUND((ROUND(((AE392-(EU392))*AV392*I392),2)*BS392),2))</f>
        <v>0</v>
      </c>
      <c r="R392">
        <f t="shared" si="287"/>
        <v>0</v>
      </c>
      <c r="S392">
        <f t="shared" si="288"/>
        <v>0</v>
      </c>
      <c r="T392">
        <f t="shared" si="289"/>
        <v>0</v>
      </c>
      <c r="U392">
        <f t="shared" si="290"/>
        <v>0</v>
      </c>
      <c r="V392">
        <f t="shared" si="291"/>
        <v>0</v>
      </c>
      <c r="W392">
        <f t="shared" si="292"/>
        <v>0</v>
      </c>
      <c r="X392">
        <f t="shared" si="293"/>
        <v>0</v>
      </c>
      <c r="Y392">
        <f t="shared" si="294"/>
        <v>0</v>
      </c>
      <c r="AA392">
        <v>56959431</v>
      </c>
      <c r="AB392">
        <f t="shared" si="295"/>
        <v>31.08</v>
      </c>
      <c r="AC392">
        <f t="shared" si="296"/>
        <v>31.08</v>
      </c>
      <c r="AD392">
        <f>ROUND((((ET392)-(EU392))+AE392),6)</f>
        <v>0</v>
      </c>
      <c r="AE392">
        <f t="shared" si="336"/>
        <v>0</v>
      </c>
      <c r="AF392">
        <f t="shared" si="336"/>
        <v>0</v>
      </c>
      <c r="AG392">
        <f t="shared" si="297"/>
        <v>0</v>
      </c>
      <c r="AH392">
        <f t="shared" si="337"/>
        <v>0</v>
      </c>
      <c r="AI392">
        <f t="shared" si="337"/>
        <v>0</v>
      </c>
      <c r="AJ392">
        <f t="shared" si="298"/>
        <v>0</v>
      </c>
      <c r="AK392">
        <v>31.08</v>
      </c>
      <c r="AL392">
        <v>31.08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90</v>
      </c>
      <c r="AU392">
        <v>46</v>
      </c>
      <c r="AV392">
        <v>1</v>
      </c>
      <c r="AW392">
        <v>1</v>
      </c>
      <c r="AZ392">
        <v>1</v>
      </c>
      <c r="BA392">
        <v>1</v>
      </c>
      <c r="BB392">
        <v>1</v>
      </c>
      <c r="BC392">
        <v>5.12</v>
      </c>
      <c r="BD392" t="s">
        <v>3</v>
      </c>
      <c r="BE392" t="s">
        <v>3</v>
      </c>
      <c r="BF392" t="s">
        <v>3</v>
      </c>
      <c r="BG392" t="s">
        <v>3</v>
      </c>
      <c r="BH392">
        <v>3</v>
      </c>
      <c r="BI392">
        <v>2</v>
      </c>
      <c r="BJ392" t="s">
        <v>250</v>
      </c>
      <c r="BM392">
        <v>72</v>
      </c>
      <c r="BN392">
        <v>55992028</v>
      </c>
      <c r="BO392" t="s">
        <v>247</v>
      </c>
      <c r="BP392">
        <v>1</v>
      </c>
      <c r="BQ392">
        <v>40</v>
      </c>
      <c r="BR392">
        <v>0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 t="s">
        <v>3</v>
      </c>
      <c r="BZ392">
        <v>90</v>
      </c>
      <c r="CA392">
        <v>46</v>
      </c>
      <c r="CB392" t="s">
        <v>3</v>
      </c>
      <c r="CE392">
        <v>30</v>
      </c>
      <c r="CF392">
        <v>0</v>
      </c>
      <c r="CG392">
        <v>0</v>
      </c>
      <c r="CM392">
        <v>0</v>
      </c>
      <c r="CN392" t="s">
        <v>3</v>
      </c>
      <c r="CO392">
        <v>0</v>
      </c>
      <c r="CP392">
        <f t="shared" si="299"/>
        <v>239.51</v>
      </c>
      <c r="CQ392">
        <f>ROUND((ROUND((AC392*AW392*1),2)*BC392),2)</f>
        <v>159.13</v>
      </c>
      <c r="CR392">
        <f>(ROUND((ROUND(((ET392)*AV392*1),2)*BB392),2)+ROUND((ROUND(((AE392-(EU392))*AV392*1),2)*BS392),2))</f>
        <v>0</v>
      </c>
      <c r="CS392">
        <f t="shared" si="300"/>
        <v>0</v>
      </c>
      <c r="CT392">
        <f t="shared" si="301"/>
        <v>0</v>
      </c>
      <c r="CU392">
        <f t="shared" si="302"/>
        <v>0</v>
      </c>
      <c r="CV392">
        <f t="shared" si="303"/>
        <v>0</v>
      </c>
      <c r="CW392">
        <f t="shared" si="304"/>
        <v>0</v>
      </c>
      <c r="CX392">
        <f t="shared" si="305"/>
        <v>0</v>
      </c>
      <c r="CY392">
        <f t="shared" si="306"/>
        <v>0</v>
      </c>
      <c r="CZ392">
        <f t="shared" si="307"/>
        <v>0</v>
      </c>
      <c r="DC392" t="s">
        <v>3</v>
      </c>
      <c r="DD392" t="s">
        <v>3</v>
      </c>
      <c r="DE392" t="s">
        <v>3</v>
      </c>
      <c r="DF392" t="s">
        <v>3</v>
      </c>
      <c r="DG392" t="s">
        <v>3</v>
      </c>
      <c r="DH392" t="s">
        <v>3</v>
      </c>
      <c r="DI392" t="s">
        <v>3</v>
      </c>
      <c r="DJ392" t="s">
        <v>3</v>
      </c>
      <c r="DK392" t="s">
        <v>3</v>
      </c>
      <c r="DL392" t="s">
        <v>3</v>
      </c>
      <c r="DM392" t="s">
        <v>3</v>
      </c>
      <c r="DN392">
        <v>0</v>
      </c>
      <c r="DO392">
        <v>0</v>
      </c>
      <c r="DP392">
        <v>1</v>
      </c>
      <c r="DQ392">
        <v>1</v>
      </c>
      <c r="DU392">
        <v>1009</v>
      </c>
      <c r="DV392" t="s">
        <v>249</v>
      </c>
      <c r="DW392" t="s">
        <v>249</v>
      </c>
      <c r="DX392">
        <v>1</v>
      </c>
      <c r="DZ392" t="s">
        <v>3</v>
      </c>
      <c r="EA392" t="s">
        <v>3</v>
      </c>
      <c r="EB392" t="s">
        <v>3</v>
      </c>
      <c r="EC392" t="s">
        <v>3</v>
      </c>
      <c r="EE392">
        <v>55992157</v>
      </c>
      <c r="EF392">
        <v>40</v>
      </c>
      <c r="EG392" t="s">
        <v>24</v>
      </c>
      <c r="EH392">
        <v>0</v>
      </c>
      <c r="EI392" t="s">
        <v>3</v>
      </c>
      <c r="EJ392">
        <v>2</v>
      </c>
      <c r="EK392">
        <v>72</v>
      </c>
      <c r="EL392" t="s">
        <v>25</v>
      </c>
      <c r="EM392" t="s">
        <v>26</v>
      </c>
      <c r="EO392" t="s">
        <v>3</v>
      </c>
      <c r="EQ392">
        <v>0</v>
      </c>
      <c r="ER392">
        <v>31.08</v>
      </c>
      <c r="ES392">
        <v>31.08</v>
      </c>
      <c r="ET392">
        <v>0</v>
      </c>
      <c r="EU392">
        <v>0</v>
      </c>
      <c r="EV392">
        <v>0</v>
      </c>
      <c r="EW392">
        <v>0</v>
      </c>
      <c r="EX392">
        <v>0</v>
      </c>
      <c r="FQ392">
        <v>0</v>
      </c>
      <c r="FR392">
        <v>0</v>
      </c>
      <c r="FS392">
        <v>0</v>
      </c>
      <c r="FX392">
        <v>90</v>
      </c>
      <c r="FY392">
        <v>46</v>
      </c>
      <c r="GA392" t="s">
        <v>3</v>
      </c>
      <c r="GD392">
        <v>1</v>
      </c>
      <c r="GF392">
        <v>1143487818</v>
      </c>
      <c r="GG392">
        <v>2</v>
      </c>
      <c r="GH392">
        <v>1</v>
      </c>
      <c r="GI392">
        <v>2</v>
      </c>
      <c r="GJ392">
        <v>0</v>
      </c>
      <c r="GK392">
        <v>0</v>
      </c>
      <c r="GL392">
        <f t="shared" si="308"/>
        <v>0</v>
      </c>
      <c r="GM392">
        <f t="shared" si="309"/>
        <v>239.51</v>
      </c>
      <c r="GN392">
        <f t="shared" si="310"/>
        <v>0</v>
      </c>
      <c r="GO392">
        <f t="shared" si="311"/>
        <v>239.51</v>
      </c>
      <c r="GP392">
        <f t="shared" si="312"/>
        <v>0</v>
      </c>
      <c r="GR392">
        <v>0</v>
      </c>
      <c r="GS392">
        <v>3</v>
      </c>
      <c r="GT392">
        <v>0</v>
      </c>
      <c r="GU392" t="s">
        <v>3</v>
      </c>
      <c r="GV392">
        <f t="shared" si="313"/>
        <v>0</v>
      </c>
      <c r="GW392">
        <v>1</v>
      </c>
      <c r="GX392">
        <f t="shared" si="314"/>
        <v>0</v>
      </c>
      <c r="HA392">
        <v>0</v>
      </c>
      <c r="HB392">
        <v>0</v>
      </c>
      <c r="HC392">
        <f t="shared" si="315"/>
        <v>0</v>
      </c>
      <c r="HE392" t="s">
        <v>3</v>
      </c>
      <c r="HF392" t="s">
        <v>3</v>
      </c>
      <c r="HM392" t="s">
        <v>3</v>
      </c>
      <c r="HN392" t="s">
        <v>3</v>
      </c>
      <c r="HO392" t="s">
        <v>3</v>
      </c>
      <c r="HP392" t="s">
        <v>3</v>
      </c>
      <c r="HQ392" t="s">
        <v>3</v>
      </c>
      <c r="HS392">
        <v>0</v>
      </c>
      <c r="IK392">
        <v>0</v>
      </c>
    </row>
    <row r="393" spans="1:255" x14ac:dyDescent="0.2">
      <c r="A393" s="2">
        <v>17</v>
      </c>
      <c r="B393" s="2">
        <v>1</v>
      </c>
      <c r="C393" s="2"/>
      <c r="D393" s="2"/>
      <c r="E393" s="2" t="s">
        <v>421</v>
      </c>
      <c r="F393" s="2" t="s">
        <v>422</v>
      </c>
      <c r="G393" s="2" t="s">
        <v>423</v>
      </c>
      <c r="H393" s="2" t="s">
        <v>31</v>
      </c>
      <c r="I393" s="2">
        <v>43</v>
      </c>
      <c r="J393" s="2">
        <v>0</v>
      </c>
      <c r="K393" s="2">
        <v>43</v>
      </c>
      <c r="L393" s="2"/>
      <c r="M393" s="2"/>
      <c r="N393" s="2"/>
      <c r="O393" s="2">
        <f t="shared" si="286"/>
        <v>11702.88</v>
      </c>
      <c r="P393" s="2">
        <f>ROUND((ROUND((AC393*I393),2)*BC393),2)</f>
        <v>11702.88</v>
      </c>
      <c r="Q393" s="2">
        <f>(ROUND((ROUND(((ET393)*AV393*I393),2)*BB393),2)+ROUND((ROUND(((AE393-(EU393))*AV393*I393),2)*BS393),2))</f>
        <v>0</v>
      </c>
      <c r="R393" s="2">
        <f t="shared" si="287"/>
        <v>0</v>
      </c>
      <c r="S393" s="2">
        <f t="shared" si="288"/>
        <v>0</v>
      </c>
      <c r="T393" s="2">
        <f t="shared" si="289"/>
        <v>0</v>
      </c>
      <c r="U393" s="2">
        <f t="shared" si="290"/>
        <v>0</v>
      </c>
      <c r="V393" s="2">
        <f t="shared" si="291"/>
        <v>0</v>
      </c>
      <c r="W393" s="2">
        <f t="shared" si="292"/>
        <v>0</v>
      </c>
      <c r="X393" s="2">
        <f t="shared" si="293"/>
        <v>0</v>
      </c>
      <c r="Y393" s="2">
        <f t="shared" si="294"/>
        <v>0</v>
      </c>
      <c r="Z393" s="2"/>
      <c r="AA393" s="2">
        <v>56959434</v>
      </c>
      <c r="AB393" s="2">
        <f t="shared" si="295"/>
        <v>272.16000000000003</v>
      </c>
      <c r="AC393" s="2">
        <f t="shared" si="296"/>
        <v>272.16000000000003</v>
      </c>
      <c r="AD393" s="2">
        <f>ROUND((((ET393)-(EU393))+AE393),6)</f>
        <v>0</v>
      </c>
      <c r="AE393" s="2">
        <f t="shared" si="336"/>
        <v>0</v>
      </c>
      <c r="AF393" s="2">
        <f t="shared" si="336"/>
        <v>0</v>
      </c>
      <c r="AG393" s="2">
        <f t="shared" si="297"/>
        <v>0</v>
      </c>
      <c r="AH393" s="2">
        <f t="shared" si="337"/>
        <v>0</v>
      </c>
      <c r="AI393" s="2">
        <f t="shared" si="337"/>
        <v>0</v>
      </c>
      <c r="AJ393" s="2">
        <f t="shared" si="298"/>
        <v>0</v>
      </c>
      <c r="AK393" s="2">
        <v>272.16000000000003</v>
      </c>
      <c r="AL393" s="2">
        <v>272.16000000000003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1</v>
      </c>
      <c r="AW393" s="2">
        <v>1</v>
      </c>
      <c r="AX393" s="2"/>
      <c r="AY393" s="2"/>
      <c r="AZ393" s="2">
        <v>1</v>
      </c>
      <c r="BA393" s="2">
        <v>1</v>
      </c>
      <c r="BB393" s="2">
        <v>1</v>
      </c>
      <c r="BC393" s="2">
        <v>1</v>
      </c>
      <c r="BD393" s="2" t="s">
        <v>3</v>
      </c>
      <c r="BE393" s="2" t="s">
        <v>3</v>
      </c>
      <c r="BF393" s="2" t="s">
        <v>3</v>
      </c>
      <c r="BG393" s="2" t="s">
        <v>3</v>
      </c>
      <c r="BH393" s="2">
        <v>3</v>
      </c>
      <c r="BI393" s="2">
        <v>3</v>
      </c>
      <c r="BJ393" s="2" t="s">
        <v>3</v>
      </c>
      <c r="BK393" s="2"/>
      <c r="BL393" s="2"/>
      <c r="BM393" s="2">
        <v>746</v>
      </c>
      <c r="BN393" s="2">
        <v>0</v>
      </c>
      <c r="BO393" s="2" t="s">
        <v>3</v>
      </c>
      <c r="BP393" s="2">
        <v>0</v>
      </c>
      <c r="BQ393" s="2">
        <v>130</v>
      </c>
      <c r="BR393" s="2">
        <v>0</v>
      </c>
      <c r="BS393" s="2">
        <v>1</v>
      </c>
      <c r="BT393" s="2">
        <v>1</v>
      </c>
      <c r="BU393" s="2">
        <v>1</v>
      </c>
      <c r="BV393" s="2">
        <v>1</v>
      </c>
      <c r="BW393" s="2">
        <v>1</v>
      </c>
      <c r="BX393" s="2">
        <v>1</v>
      </c>
      <c r="BY393" s="2" t="s">
        <v>3</v>
      </c>
      <c r="BZ393" s="2">
        <v>0</v>
      </c>
      <c r="CA393" s="2">
        <v>0</v>
      </c>
      <c r="CB393" s="2" t="s">
        <v>3</v>
      </c>
      <c r="CC393" s="2"/>
      <c r="CD393" s="2"/>
      <c r="CE393" s="2">
        <v>30</v>
      </c>
      <c r="CF393" s="2">
        <v>0</v>
      </c>
      <c r="CG393" s="2">
        <v>0</v>
      </c>
      <c r="CH393" s="2"/>
      <c r="CI393" s="2"/>
      <c r="CJ393" s="2"/>
      <c r="CK393" s="2"/>
      <c r="CL393" s="2"/>
      <c r="CM393" s="2">
        <v>0</v>
      </c>
      <c r="CN393" s="2" t="s">
        <v>3</v>
      </c>
      <c r="CO393" s="2">
        <v>0</v>
      </c>
      <c r="CP393" s="2">
        <f t="shared" si="299"/>
        <v>11702.88</v>
      </c>
      <c r="CQ393" s="2">
        <f>ROUND((ROUND((AC393*1),2)*BC393),2)</f>
        <v>272.16000000000003</v>
      </c>
      <c r="CR393" s="2">
        <f>(ROUND((ROUND(((ET393)*AV393*1),2)*BB393),2)+ROUND((ROUND(((AE393-(EU393))*AV393*1),2)*BS393),2))</f>
        <v>0</v>
      </c>
      <c r="CS393" s="2">
        <f t="shared" si="300"/>
        <v>0</v>
      </c>
      <c r="CT393" s="2">
        <f t="shared" si="301"/>
        <v>0</v>
      </c>
      <c r="CU393" s="2">
        <f t="shared" si="302"/>
        <v>0</v>
      </c>
      <c r="CV393" s="2">
        <f t="shared" si="303"/>
        <v>0</v>
      </c>
      <c r="CW393" s="2">
        <f t="shared" si="304"/>
        <v>0</v>
      </c>
      <c r="CX393" s="2">
        <f t="shared" si="305"/>
        <v>0</v>
      </c>
      <c r="CY393" s="2">
        <f t="shared" si="306"/>
        <v>0</v>
      </c>
      <c r="CZ393" s="2">
        <f t="shared" si="307"/>
        <v>0</v>
      </c>
      <c r="DA393" s="2"/>
      <c r="DB393" s="2"/>
      <c r="DC393" s="2" t="s">
        <v>3</v>
      </c>
      <c r="DD393" s="2" t="s">
        <v>3</v>
      </c>
      <c r="DE393" s="2" t="s">
        <v>3</v>
      </c>
      <c r="DF393" s="2" t="s">
        <v>3</v>
      </c>
      <c r="DG393" s="2" t="s">
        <v>3</v>
      </c>
      <c r="DH393" s="2" t="s">
        <v>3</v>
      </c>
      <c r="DI393" s="2" t="s">
        <v>3</v>
      </c>
      <c r="DJ393" s="2" t="s">
        <v>3</v>
      </c>
      <c r="DK393" s="2" t="s">
        <v>3</v>
      </c>
      <c r="DL393" s="2" t="s">
        <v>3</v>
      </c>
      <c r="DM393" s="2" t="s">
        <v>3</v>
      </c>
      <c r="DN393" s="2">
        <v>0</v>
      </c>
      <c r="DO393" s="2">
        <v>0</v>
      </c>
      <c r="DP393" s="2">
        <v>1</v>
      </c>
      <c r="DQ393" s="2">
        <v>1</v>
      </c>
      <c r="DR393" s="2"/>
      <c r="DS393" s="2"/>
      <c r="DT393" s="2"/>
      <c r="DU393" s="2">
        <v>1010</v>
      </c>
      <c r="DV393" s="2" t="s">
        <v>31</v>
      </c>
      <c r="DW393" s="2" t="s">
        <v>31</v>
      </c>
      <c r="DX393" s="2">
        <v>1</v>
      </c>
      <c r="DY393" s="2"/>
      <c r="DZ393" s="2" t="s">
        <v>3</v>
      </c>
      <c r="EA393" s="2" t="s">
        <v>3</v>
      </c>
      <c r="EB393" s="2" t="s">
        <v>3</v>
      </c>
      <c r="EC393" s="2" t="s">
        <v>3</v>
      </c>
      <c r="ED393" s="2"/>
      <c r="EE393" s="2">
        <v>55992259</v>
      </c>
      <c r="EF393" s="2">
        <v>130</v>
      </c>
      <c r="EG393" s="2" t="s">
        <v>32</v>
      </c>
      <c r="EH393" s="2">
        <v>0</v>
      </c>
      <c r="EI393" s="2" t="s">
        <v>3</v>
      </c>
      <c r="EJ393" s="2">
        <v>3</v>
      </c>
      <c r="EK393" s="2">
        <v>746</v>
      </c>
      <c r="EL393" s="2" t="s">
        <v>33</v>
      </c>
      <c r="EM393" s="2" t="s">
        <v>34</v>
      </c>
      <c r="EN393" s="2"/>
      <c r="EO393" s="2" t="s">
        <v>3</v>
      </c>
      <c r="EP393" s="2"/>
      <c r="EQ393" s="2">
        <v>0</v>
      </c>
      <c r="ER393" s="2">
        <v>0</v>
      </c>
      <c r="ES393" s="2">
        <v>272.16000000000003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>
        <v>0</v>
      </c>
      <c r="FR393" s="2">
        <f>P393</f>
        <v>11702.88</v>
      </c>
      <c r="FS393" s="2">
        <v>0</v>
      </c>
      <c r="FT393" s="2"/>
      <c r="FU393" s="2"/>
      <c r="FV393" s="2"/>
      <c r="FW393" s="2"/>
      <c r="FX393" s="2">
        <v>0</v>
      </c>
      <c r="FY393" s="2">
        <v>0</v>
      </c>
      <c r="FZ393" s="2"/>
      <c r="GA393" s="2" t="s">
        <v>424</v>
      </c>
      <c r="GB393" s="2"/>
      <c r="GC393" s="2"/>
      <c r="GD393" s="2">
        <v>1</v>
      </c>
      <c r="GE393" s="2"/>
      <c r="GF393" s="2">
        <v>-91551665</v>
      </c>
      <c r="GG393" s="2">
        <v>2</v>
      </c>
      <c r="GH393" s="2">
        <v>4</v>
      </c>
      <c r="GI393" s="2">
        <v>-2</v>
      </c>
      <c r="GJ393" s="2">
        <v>0</v>
      </c>
      <c r="GK393" s="2">
        <v>0</v>
      </c>
      <c r="GL393" s="2">
        <f t="shared" si="308"/>
        <v>0</v>
      </c>
      <c r="GM393" s="2">
        <f t="shared" si="309"/>
        <v>11702.88</v>
      </c>
      <c r="GN393" s="2">
        <f t="shared" si="310"/>
        <v>0</v>
      </c>
      <c r="GO393" s="2">
        <f t="shared" si="311"/>
        <v>0</v>
      </c>
      <c r="GP393" s="2">
        <f t="shared" si="312"/>
        <v>0</v>
      </c>
      <c r="GQ393" s="2"/>
      <c r="GR393" s="2">
        <v>0</v>
      </c>
      <c r="GS393" s="2">
        <v>2</v>
      </c>
      <c r="GT393" s="2">
        <v>0</v>
      </c>
      <c r="GU393" s="2" t="s">
        <v>3</v>
      </c>
      <c r="GV393" s="2">
        <f t="shared" si="313"/>
        <v>0</v>
      </c>
      <c r="GW393" s="2">
        <v>1</v>
      </c>
      <c r="GX393" s="2">
        <f t="shared" si="314"/>
        <v>0</v>
      </c>
      <c r="GY393" s="2"/>
      <c r="GZ393" s="2"/>
      <c r="HA393" s="2">
        <v>0</v>
      </c>
      <c r="HB393" s="2">
        <v>0</v>
      </c>
      <c r="HC393" s="2">
        <f t="shared" si="315"/>
        <v>0</v>
      </c>
      <c r="HD393" s="2"/>
      <c r="HE393" s="2" t="s">
        <v>36</v>
      </c>
      <c r="HF393" s="2" t="s">
        <v>37</v>
      </c>
      <c r="HG393" s="2"/>
      <c r="HH393" s="2"/>
      <c r="HI393" s="2"/>
      <c r="HJ393" s="2"/>
      <c r="HK393" s="2"/>
      <c r="HL393" s="2"/>
      <c r="HM393" s="2" t="s">
        <v>3</v>
      </c>
      <c r="HN393" s="2" t="s">
        <v>3</v>
      </c>
      <c r="HO393" s="2" t="s">
        <v>3</v>
      </c>
      <c r="HP393" s="2" t="s">
        <v>3</v>
      </c>
      <c r="HQ393" s="2" t="s">
        <v>3</v>
      </c>
      <c r="HR393" s="2"/>
      <c r="HS393" s="2">
        <v>0</v>
      </c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>
        <v>0</v>
      </c>
      <c r="IL393" s="2"/>
      <c r="IM393" s="2"/>
      <c r="IN393" s="2"/>
      <c r="IO393" s="2"/>
      <c r="IP393" s="2"/>
      <c r="IQ393" s="2"/>
      <c r="IR393" s="2"/>
      <c r="IS393" s="2"/>
      <c r="IT393" s="2"/>
      <c r="IU393" s="2"/>
    </row>
    <row r="394" spans="1:255" x14ac:dyDescent="0.2">
      <c r="A394">
        <v>17</v>
      </c>
      <c r="B394">
        <v>1</v>
      </c>
      <c r="E394" t="s">
        <v>421</v>
      </c>
      <c r="F394" t="s">
        <v>422</v>
      </c>
      <c r="G394" t="s">
        <v>423</v>
      </c>
      <c r="H394" t="s">
        <v>31</v>
      </c>
      <c r="I394">
        <v>43</v>
      </c>
      <c r="J394">
        <v>0</v>
      </c>
      <c r="K394">
        <v>43</v>
      </c>
      <c r="O394">
        <f t="shared" si="286"/>
        <v>89644.06</v>
      </c>
      <c r="P394">
        <f>ROUND((ROUND((AC394*I394),2)*BC394),2)</f>
        <v>89644.06</v>
      </c>
      <c r="Q394">
        <f>(ROUND((ROUND(((ET394)*AV394*I394),2)*BB394),2)+ROUND((ROUND(((AE394-(EU394))*AV394*I394),2)*BS394),2))</f>
        <v>0</v>
      </c>
      <c r="R394">
        <f t="shared" si="287"/>
        <v>0</v>
      </c>
      <c r="S394">
        <f t="shared" si="288"/>
        <v>0</v>
      </c>
      <c r="T394">
        <f t="shared" si="289"/>
        <v>0</v>
      </c>
      <c r="U394">
        <f t="shared" si="290"/>
        <v>0</v>
      </c>
      <c r="V394">
        <f t="shared" si="291"/>
        <v>0</v>
      </c>
      <c r="W394">
        <f t="shared" si="292"/>
        <v>0</v>
      </c>
      <c r="X394">
        <f t="shared" si="293"/>
        <v>0</v>
      </c>
      <c r="Y394">
        <f t="shared" si="294"/>
        <v>0</v>
      </c>
      <c r="AA394">
        <v>56959431</v>
      </c>
      <c r="AB394">
        <f t="shared" si="295"/>
        <v>272.16000000000003</v>
      </c>
      <c r="AC394">
        <f t="shared" si="296"/>
        <v>272.16000000000003</v>
      </c>
      <c r="AD394">
        <f>ROUND((((ET394)-(EU394))+AE394),6)</f>
        <v>0</v>
      </c>
      <c r="AE394">
        <f t="shared" si="336"/>
        <v>0</v>
      </c>
      <c r="AF394">
        <f t="shared" si="336"/>
        <v>0</v>
      </c>
      <c r="AG394">
        <f t="shared" si="297"/>
        <v>0</v>
      </c>
      <c r="AH394">
        <f t="shared" si="337"/>
        <v>0</v>
      </c>
      <c r="AI394">
        <f t="shared" si="337"/>
        <v>0</v>
      </c>
      <c r="AJ394">
        <f t="shared" si="298"/>
        <v>0</v>
      </c>
      <c r="AK394">
        <v>272.16000000000003</v>
      </c>
      <c r="AL394">
        <v>272.16000000000003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</v>
      </c>
      <c r="AZ394">
        <v>1</v>
      </c>
      <c r="BA394">
        <v>1</v>
      </c>
      <c r="BB394">
        <v>1</v>
      </c>
      <c r="BC394">
        <v>7.66</v>
      </c>
      <c r="BD394" t="s">
        <v>3</v>
      </c>
      <c r="BE394" t="s">
        <v>3</v>
      </c>
      <c r="BF394" t="s">
        <v>3</v>
      </c>
      <c r="BG394" t="s">
        <v>3</v>
      </c>
      <c r="BH394">
        <v>3</v>
      </c>
      <c r="BI394">
        <v>3</v>
      </c>
      <c r="BJ394" t="s">
        <v>3</v>
      </c>
      <c r="BM394">
        <v>746</v>
      </c>
      <c r="BN394">
        <v>0</v>
      </c>
      <c r="BO394" t="s">
        <v>3</v>
      </c>
      <c r="BP394">
        <v>0</v>
      </c>
      <c r="BQ394">
        <v>130</v>
      </c>
      <c r="BR394">
        <v>0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 t="s">
        <v>3</v>
      </c>
      <c r="BZ394">
        <v>0</v>
      </c>
      <c r="CA394">
        <v>0</v>
      </c>
      <c r="CB394" t="s">
        <v>3</v>
      </c>
      <c r="CE394">
        <v>30</v>
      </c>
      <c r="CF394">
        <v>0</v>
      </c>
      <c r="CG394">
        <v>0</v>
      </c>
      <c r="CM394">
        <v>0</v>
      </c>
      <c r="CN394" t="s">
        <v>3</v>
      </c>
      <c r="CO394">
        <v>0</v>
      </c>
      <c r="CP394">
        <f t="shared" si="299"/>
        <v>89644.06</v>
      </c>
      <c r="CQ394">
        <f>ROUND((ROUND((AC394*1),2)*BC394),2)</f>
        <v>2084.75</v>
      </c>
      <c r="CR394">
        <f>(ROUND((ROUND(((ET394)*AV394*1),2)*BB394),2)+ROUND((ROUND(((AE394-(EU394))*AV394*1),2)*BS394),2))</f>
        <v>0</v>
      </c>
      <c r="CS394">
        <f t="shared" si="300"/>
        <v>0</v>
      </c>
      <c r="CT394">
        <f t="shared" si="301"/>
        <v>0</v>
      </c>
      <c r="CU394">
        <f t="shared" si="302"/>
        <v>0</v>
      </c>
      <c r="CV394">
        <f t="shared" si="303"/>
        <v>0</v>
      </c>
      <c r="CW394">
        <f t="shared" si="304"/>
        <v>0</v>
      </c>
      <c r="CX394">
        <f t="shared" si="305"/>
        <v>0</v>
      </c>
      <c r="CY394">
        <f t="shared" si="306"/>
        <v>0</v>
      </c>
      <c r="CZ394">
        <f t="shared" si="307"/>
        <v>0</v>
      </c>
      <c r="DC394" t="s">
        <v>3</v>
      </c>
      <c r="DD394" t="s">
        <v>3</v>
      </c>
      <c r="DE394" t="s">
        <v>3</v>
      </c>
      <c r="DF394" t="s">
        <v>3</v>
      </c>
      <c r="DG394" t="s">
        <v>3</v>
      </c>
      <c r="DH394" t="s">
        <v>3</v>
      </c>
      <c r="DI394" t="s">
        <v>3</v>
      </c>
      <c r="DJ394" t="s">
        <v>3</v>
      </c>
      <c r="DK394" t="s">
        <v>3</v>
      </c>
      <c r="DL394" t="s">
        <v>3</v>
      </c>
      <c r="DM394" t="s">
        <v>3</v>
      </c>
      <c r="DN394">
        <v>0</v>
      </c>
      <c r="DO394">
        <v>0</v>
      </c>
      <c r="DP394">
        <v>1</v>
      </c>
      <c r="DQ394">
        <v>1</v>
      </c>
      <c r="DU394">
        <v>1010</v>
      </c>
      <c r="DV394" t="s">
        <v>31</v>
      </c>
      <c r="DW394" t="s">
        <v>31</v>
      </c>
      <c r="DX394">
        <v>1</v>
      </c>
      <c r="DZ394" t="s">
        <v>3</v>
      </c>
      <c r="EA394" t="s">
        <v>3</v>
      </c>
      <c r="EB394" t="s">
        <v>3</v>
      </c>
      <c r="EC394" t="s">
        <v>3</v>
      </c>
      <c r="EE394">
        <v>55992259</v>
      </c>
      <c r="EF394">
        <v>130</v>
      </c>
      <c r="EG394" t="s">
        <v>32</v>
      </c>
      <c r="EH394">
        <v>0</v>
      </c>
      <c r="EI394" t="s">
        <v>3</v>
      </c>
      <c r="EJ394">
        <v>3</v>
      </c>
      <c r="EK394">
        <v>746</v>
      </c>
      <c r="EL394" t="s">
        <v>33</v>
      </c>
      <c r="EM394" t="s">
        <v>34</v>
      </c>
      <c r="EO394" t="s">
        <v>3</v>
      </c>
      <c r="EQ394">
        <v>0</v>
      </c>
      <c r="ER394">
        <v>272.16000000000003</v>
      </c>
      <c r="ES394">
        <v>272.16000000000003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5</v>
      </c>
      <c r="FC394">
        <v>1</v>
      </c>
      <c r="FD394">
        <v>18</v>
      </c>
      <c r="FF394">
        <v>2400</v>
      </c>
      <c r="FQ394">
        <v>0</v>
      </c>
      <c r="FR394">
        <f>P394</f>
        <v>89644.06</v>
      </c>
      <c r="FS394">
        <v>0</v>
      </c>
      <c r="FX394">
        <v>0</v>
      </c>
      <c r="FY394">
        <v>0</v>
      </c>
      <c r="GA394" t="s">
        <v>424</v>
      </c>
      <c r="GD394">
        <v>1</v>
      </c>
      <c r="GF394">
        <v>-91551665</v>
      </c>
      <c r="GG394">
        <v>2</v>
      </c>
      <c r="GH394">
        <v>3</v>
      </c>
      <c r="GI394">
        <v>5</v>
      </c>
      <c r="GJ394">
        <v>0</v>
      </c>
      <c r="GK394">
        <v>0</v>
      </c>
      <c r="GL394">
        <f t="shared" si="308"/>
        <v>0</v>
      </c>
      <c r="GM394">
        <f t="shared" si="309"/>
        <v>89644.06</v>
      </c>
      <c r="GN394">
        <f t="shared" si="310"/>
        <v>0</v>
      </c>
      <c r="GO394">
        <f t="shared" si="311"/>
        <v>0</v>
      </c>
      <c r="GP394">
        <f t="shared" si="312"/>
        <v>0</v>
      </c>
      <c r="GR394">
        <v>1</v>
      </c>
      <c r="GS394">
        <v>1</v>
      </c>
      <c r="GT394">
        <v>0</v>
      </c>
      <c r="GU394" t="s">
        <v>3</v>
      </c>
      <c r="GV394">
        <f t="shared" si="313"/>
        <v>0</v>
      </c>
      <c r="GW394">
        <v>1</v>
      </c>
      <c r="GX394">
        <f t="shared" si="314"/>
        <v>0</v>
      </c>
      <c r="HA394">
        <v>0</v>
      </c>
      <c r="HB394">
        <v>0</v>
      </c>
      <c r="HC394">
        <f t="shared" si="315"/>
        <v>0</v>
      </c>
      <c r="HE394" t="s">
        <v>36</v>
      </c>
      <c r="HF394" t="s">
        <v>37</v>
      </c>
      <c r="HM394" t="s">
        <v>3</v>
      </c>
      <c r="HN394" t="s">
        <v>3</v>
      </c>
      <c r="HO394" t="s">
        <v>3</v>
      </c>
      <c r="HP394" t="s">
        <v>3</v>
      </c>
      <c r="HQ394" t="s">
        <v>3</v>
      </c>
      <c r="HS394">
        <v>0</v>
      </c>
      <c r="IK394">
        <v>0</v>
      </c>
    </row>
    <row r="395" spans="1:255" x14ac:dyDescent="0.2">
      <c r="A395" s="2">
        <v>17</v>
      </c>
      <c r="B395" s="2">
        <v>1</v>
      </c>
      <c r="C395" s="2">
        <f>ROW(SmtRes!A282)</f>
        <v>282</v>
      </c>
      <c r="D395" s="2">
        <f>ROW(EtalonRes!A340)</f>
        <v>340</v>
      </c>
      <c r="E395" s="2" t="s">
        <v>425</v>
      </c>
      <c r="F395" s="2" t="s">
        <v>75</v>
      </c>
      <c r="G395" s="2" t="s">
        <v>76</v>
      </c>
      <c r="H395" s="2" t="s">
        <v>77</v>
      </c>
      <c r="I395" s="2">
        <f>ROUND(3150/100,9)</f>
        <v>31.5</v>
      </c>
      <c r="J395" s="2">
        <v>0</v>
      </c>
      <c r="K395" s="2">
        <f>ROUND(3150/100,9)</f>
        <v>31.5</v>
      </c>
      <c r="L395" s="2"/>
      <c r="M395" s="2"/>
      <c r="N395" s="2"/>
      <c r="O395" s="2">
        <f t="shared" si="286"/>
        <v>18067.53</v>
      </c>
      <c r="P395" s="2">
        <f t="shared" ref="P395:P402" si="338">ROUND((ROUND((AC395*AW395*I395),2)*BC395),2)</f>
        <v>9900.14</v>
      </c>
      <c r="Q395" s="2">
        <f>(ROUND((ROUND((((ET395*1.1))*AV395*I395),2)*BB395),2)+ROUND((ROUND(((AE395-((EU395*1.1)))*AV395*I395),2)*BS395),2))</f>
        <v>1192.48</v>
      </c>
      <c r="R395" s="2">
        <f t="shared" si="287"/>
        <v>207.15</v>
      </c>
      <c r="S395" s="2">
        <f t="shared" si="288"/>
        <v>6974.91</v>
      </c>
      <c r="T395" s="2">
        <f t="shared" si="289"/>
        <v>0</v>
      </c>
      <c r="U395" s="2">
        <f t="shared" si="290"/>
        <v>544.17824999999993</v>
      </c>
      <c r="V395" s="2">
        <f t="shared" si="291"/>
        <v>0</v>
      </c>
      <c r="W395" s="2">
        <f t="shared" si="292"/>
        <v>0</v>
      </c>
      <c r="X395" s="2">
        <f t="shared" si="293"/>
        <v>6966.6</v>
      </c>
      <c r="Y395" s="2">
        <f t="shared" si="294"/>
        <v>3662.85</v>
      </c>
      <c r="Z395" s="2"/>
      <c r="AA395" s="2">
        <v>56959434</v>
      </c>
      <c r="AB395" s="2">
        <f t="shared" si="295"/>
        <v>561.93299999999999</v>
      </c>
      <c r="AC395" s="2">
        <f t="shared" si="296"/>
        <v>314.29000000000002</v>
      </c>
      <c r="AD395" s="2">
        <f>ROUND(((((ET395*1.1))-((EU395*1.1)))+AE395),6)</f>
        <v>36.156999999999996</v>
      </c>
      <c r="AE395" s="2">
        <f>ROUND(((EU395*1.1)),6)</f>
        <v>6.2809999999999997</v>
      </c>
      <c r="AF395" s="2">
        <f>ROUND(((EV395*1.1)),6)</f>
        <v>211.48599999999999</v>
      </c>
      <c r="AG395" s="2">
        <f t="shared" si="297"/>
        <v>0</v>
      </c>
      <c r="AH395" s="2">
        <f>((EW395*1.1))</f>
        <v>16.5</v>
      </c>
      <c r="AI395" s="2">
        <f>((EX395*1.1))</f>
        <v>0</v>
      </c>
      <c r="AJ395" s="2">
        <f t="shared" si="298"/>
        <v>0</v>
      </c>
      <c r="AK395" s="2">
        <v>539.41999999999996</v>
      </c>
      <c r="AL395" s="2">
        <v>314.29000000000002</v>
      </c>
      <c r="AM395" s="2">
        <v>32.869999999999997</v>
      </c>
      <c r="AN395" s="2">
        <v>5.71</v>
      </c>
      <c r="AO395" s="2">
        <v>192.26</v>
      </c>
      <c r="AP395" s="2">
        <v>0</v>
      </c>
      <c r="AQ395" s="2">
        <v>15</v>
      </c>
      <c r="AR395" s="2">
        <v>0</v>
      </c>
      <c r="AS395" s="2">
        <v>0</v>
      </c>
      <c r="AT395" s="2">
        <v>97</v>
      </c>
      <c r="AU395" s="2">
        <v>51</v>
      </c>
      <c r="AV395" s="2">
        <v>1.0469999999999999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0</v>
      </c>
      <c r="BI395" s="2">
        <v>2</v>
      </c>
      <c r="BJ395" s="2" t="s">
        <v>78</v>
      </c>
      <c r="BK395" s="2"/>
      <c r="BL395" s="2"/>
      <c r="BM395" s="2">
        <v>67</v>
      </c>
      <c r="BN395" s="2">
        <v>55992028</v>
      </c>
      <c r="BO395" s="2" t="s">
        <v>75</v>
      </c>
      <c r="BP395" s="2">
        <v>1</v>
      </c>
      <c r="BQ395" s="2">
        <v>40</v>
      </c>
      <c r="BR395" s="2">
        <v>0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97</v>
      </c>
      <c r="CA395" s="2">
        <v>51</v>
      </c>
      <c r="CB395" s="2" t="s">
        <v>3</v>
      </c>
      <c r="CC395" s="2"/>
      <c r="CD395" s="2"/>
      <c r="CE395" s="2">
        <v>30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673</v>
      </c>
      <c r="CO395" s="2">
        <v>0</v>
      </c>
      <c r="CP395" s="2">
        <f t="shared" si="299"/>
        <v>18067.53</v>
      </c>
      <c r="CQ395" s="2">
        <f t="shared" ref="CQ395:CQ402" si="339">ROUND((ROUND((AC395*AW395*1),2)*BC395),2)</f>
        <v>314.29000000000002</v>
      </c>
      <c r="CR395" s="2">
        <f>(ROUND((ROUND((((ET395*1.1))*AV395*1),2)*BB395),2)+ROUND((ROUND(((AE395-((EU395*1.1)))*AV395*1),2)*BS395),2))</f>
        <v>37.86</v>
      </c>
      <c r="CS395" s="2">
        <f t="shared" si="300"/>
        <v>6.58</v>
      </c>
      <c r="CT395" s="2">
        <f t="shared" si="301"/>
        <v>221.43</v>
      </c>
      <c r="CU395" s="2">
        <f t="shared" si="302"/>
        <v>0</v>
      </c>
      <c r="CV395" s="2">
        <f t="shared" si="303"/>
        <v>17.275499999999997</v>
      </c>
      <c r="CW395" s="2">
        <f t="shared" si="304"/>
        <v>0</v>
      </c>
      <c r="CX395" s="2">
        <f t="shared" si="305"/>
        <v>0</v>
      </c>
      <c r="CY395" s="2">
        <f t="shared" si="306"/>
        <v>6966.5981999999995</v>
      </c>
      <c r="CZ395" s="2">
        <f t="shared" si="307"/>
        <v>3662.8505999999998</v>
      </c>
      <c r="DA395" s="2"/>
      <c r="DB395" s="2"/>
      <c r="DC395" s="2" t="s">
        <v>3</v>
      </c>
      <c r="DD395" s="2" t="s">
        <v>3</v>
      </c>
      <c r="DE395" s="2" t="s">
        <v>23</v>
      </c>
      <c r="DF395" s="2" t="s">
        <v>23</v>
      </c>
      <c r="DG395" s="2" t="s">
        <v>23</v>
      </c>
      <c r="DH395" s="2" t="s">
        <v>3</v>
      </c>
      <c r="DI395" s="2" t="s">
        <v>23</v>
      </c>
      <c r="DJ395" s="2" t="s">
        <v>23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1003</v>
      </c>
      <c r="DV395" s="2" t="s">
        <v>77</v>
      </c>
      <c r="DW395" s="2" t="s">
        <v>77</v>
      </c>
      <c r="DX395" s="2">
        <v>100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55992151</v>
      </c>
      <c r="EF395" s="2">
        <v>40</v>
      </c>
      <c r="EG395" s="2" t="s">
        <v>24</v>
      </c>
      <c r="EH395" s="2">
        <v>0</v>
      </c>
      <c r="EI395" s="2" t="s">
        <v>3</v>
      </c>
      <c r="EJ395" s="2">
        <v>2</v>
      </c>
      <c r="EK395" s="2">
        <v>67</v>
      </c>
      <c r="EL395" s="2" t="s">
        <v>79</v>
      </c>
      <c r="EM395" s="2" t="s">
        <v>80</v>
      </c>
      <c r="EN395" s="2"/>
      <c r="EO395" s="2" t="s">
        <v>27</v>
      </c>
      <c r="EP395" s="2"/>
      <c r="EQ395" s="2">
        <v>0</v>
      </c>
      <c r="ER395" s="2">
        <v>539.41999999999996</v>
      </c>
      <c r="ES395" s="2">
        <v>314.29000000000002</v>
      </c>
      <c r="ET395" s="2">
        <v>32.869999999999997</v>
      </c>
      <c r="EU395" s="2">
        <v>5.71</v>
      </c>
      <c r="EV395" s="2">
        <v>192.26</v>
      </c>
      <c r="EW395" s="2">
        <v>15</v>
      </c>
      <c r="EX395" s="2">
        <v>0</v>
      </c>
      <c r="EY395" s="2">
        <v>0</v>
      </c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97</v>
      </c>
      <c r="FY395" s="2">
        <v>51</v>
      </c>
      <c r="FZ395" s="2"/>
      <c r="GA395" s="2" t="s">
        <v>3</v>
      </c>
      <c r="GB395" s="2"/>
      <c r="GC395" s="2"/>
      <c r="GD395" s="2">
        <v>1</v>
      </c>
      <c r="GE395" s="2"/>
      <c r="GF395" s="2">
        <v>1705749599</v>
      </c>
      <c r="GG395" s="2">
        <v>2</v>
      </c>
      <c r="GH395" s="2">
        <v>1</v>
      </c>
      <c r="GI395" s="2">
        <v>2</v>
      </c>
      <c r="GJ395" s="2">
        <v>0</v>
      </c>
      <c r="GK395" s="2">
        <v>0</v>
      </c>
      <c r="GL395" s="2">
        <f t="shared" si="308"/>
        <v>0</v>
      </c>
      <c r="GM395" s="2">
        <f t="shared" si="309"/>
        <v>28696.98</v>
      </c>
      <c r="GN395" s="2">
        <f t="shared" si="310"/>
        <v>0</v>
      </c>
      <c r="GO395" s="2">
        <f t="shared" si="311"/>
        <v>28696.98</v>
      </c>
      <c r="GP395" s="2">
        <f t="shared" si="312"/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si="313"/>
        <v>0</v>
      </c>
      <c r="GW395" s="2">
        <v>1</v>
      </c>
      <c r="GX395" s="2">
        <f t="shared" si="314"/>
        <v>0</v>
      </c>
      <c r="GY395" s="2"/>
      <c r="GZ395" s="2"/>
      <c r="HA395" s="2">
        <v>0</v>
      </c>
      <c r="HB395" s="2">
        <v>0</v>
      </c>
      <c r="HC395" s="2">
        <f t="shared" si="315"/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3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">
      <c r="A396">
        <v>17</v>
      </c>
      <c r="B396">
        <v>1</v>
      </c>
      <c r="C396">
        <f>ROW(SmtRes!A284)</f>
        <v>284</v>
      </c>
      <c r="D396">
        <f>ROW(EtalonRes!A344)</f>
        <v>344</v>
      </c>
      <c r="E396" t="s">
        <v>425</v>
      </c>
      <c r="F396" t="s">
        <v>75</v>
      </c>
      <c r="G396" t="s">
        <v>76</v>
      </c>
      <c r="H396" t="s">
        <v>77</v>
      </c>
      <c r="I396">
        <f>ROUND(3150/100,9)</f>
        <v>31.5</v>
      </c>
      <c r="J396">
        <v>0</v>
      </c>
      <c r="K396">
        <f>ROUND(3150/100,9)</f>
        <v>31.5</v>
      </c>
      <c r="O396">
        <f t="shared" si="286"/>
        <v>502748.45</v>
      </c>
      <c r="P396">
        <f t="shared" si="338"/>
        <v>97912.38</v>
      </c>
      <c r="Q396">
        <f>(ROUND((ROUND((((ET396*1.1))*AV396*I396),2)*BB396),2)+ROUND((ROUND(((AE396-((EU396*1.1)))*AV396*I396),2)*BS396),2))</f>
        <v>21285.77</v>
      </c>
      <c r="R396">
        <f t="shared" si="287"/>
        <v>11391.18</v>
      </c>
      <c r="S396">
        <f t="shared" si="288"/>
        <v>383550.3</v>
      </c>
      <c r="T396">
        <f t="shared" si="289"/>
        <v>0</v>
      </c>
      <c r="U396">
        <f t="shared" si="290"/>
        <v>544.17824999999993</v>
      </c>
      <c r="V396">
        <f t="shared" si="291"/>
        <v>0</v>
      </c>
      <c r="W396">
        <f t="shared" si="292"/>
        <v>0</v>
      </c>
      <c r="X396">
        <f t="shared" si="293"/>
        <v>383093.24</v>
      </c>
      <c r="Y396">
        <f t="shared" si="294"/>
        <v>201420.15</v>
      </c>
      <c r="AA396">
        <v>56959431</v>
      </c>
      <c r="AB396">
        <f t="shared" si="295"/>
        <v>561.93299999999999</v>
      </c>
      <c r="AC396">
        <f t="shared" si="296"/>
        <v>314.29000000000002</v>
      </c>
      <c r="AD396">
        <f>ROUND(((((ET396*1.1))-((EU396*1.1)))+AE396),6)</f>
        <v>36.156999999999996</v>
      </c>
      <c r="AE396">
        <f>ROUND(((EU396*1.1)),6)</f>
        <v>6.2809999999999997</v>
      </c>
      <c r="AF396">
        <f>ROUND(((EV396*1.1)),6)</f>
        <v>211.48599999999999</v>
      </c>
      <c r="AG396">
        <f t="shared" si="297"/>
        <v>0</v>
      </c>
      <c r="AH396">
        <f>((EW396*1.1))</f>
        <v>16.5</v>
      </c>
      <c r="AI396">
        <f>((EX396*1.1))</f>
        <v>0</v>
      </c>
      <c r="AJ396">
        <f t="shared" si="298"/>
        <v>0</v>
      </c>
      <c r="AK396">
        <v>539.41999999999996</v>
      </c>
      <c r="AL396">
        <v>314.29000000000002</v>
      </c>
      <c r="AM396">
        <v>32.869999999999997</v>
      </c>
      <c r="AN396">
        <v>5.71</v>
      </c>
      <c r="AO396">
        <v>192.26</v>
      </c>
      <c r="AP396">
        <v>0</v>
      </c>
      <c r="AQ396">
        <v>15</v>
      </c>
      <c r="AR396">
        <v>0</v>
      </c>
      <c r="AS396">
        <v>0</v>
      </c>
      <c r="AT396">
        <v>97</v>
      </c>
      <c r="AU396">
        <v>51</v>
      </c>
      <c r="AV396">
        <v>1.0469999999999999</v>
      </c>
      <c r="AW396">
        <v>1</v>
      </c>
      <c r="AZ396">
        <v>1</v>
      </c>
      <c r="BA396">
        <v>54.99</v>
      </c>
      <c r="BB396">
        <v>17.850000000000001</v>
      </c>
      <c r="BC396">
        <v>9.89</v>
      </c>
      <c r="BD396" t="s">
        <v>3</v>
      </c>
      <c r="BE396" t="s">
        <v>3</v>
      </c>
      <c r="BF396" t="s">
        <v>3</v>
      </c>
      <c r="BG396" t="s">
        <v>3</v>
      </c>
      <c r="BH396">
        <v>0</v>
      </c>
      <c r="BI396">
        <v>2</v>
      </c>
      <c r="BJ396" t="s">
        <v>78</v>
      </c>
      <c r="BM396">
        <v>67</v>
      </c>
      <c r="BN396">
        <v>55992028</v>
      </c>
      <c r="BO396" t="s">
        <v>75</v>
      </c>
      <c r="BP396">
        <v>1</v>
      </c>
      <c r="BQ396">
        <v>40</v>
      </c>
      <c r="BR396">
        <v>0</v>
      </c>
      <c r="BS396">
        <v>54.99</v>
      </c>
      <c r="BT396">
        <v>1</v>
      </c>
      <c r="BU396">
        <v>1</v>
      </c>
      <c r="BV396">
        <v>1</v>
      </c>
      <c r="BW396">
        <v>1</v>
      </c>
      <c r="BX396">
        <v>1</v>
      </c>
      <c r="BY396" t="s">
        <v>3</v>
      </c>
      <c r="BZ396">
        <v>97</v>
      </c>
      <c r="CA396">
        <v>51</v>
      </c>
      <c r="CB396" t="s">
        <v>3</v>
      </c>
      <c r="CE396">
        <v>30</v>
      </c>
      <c r="CF396">
        <v>0</v>
      </c>
      <c r="CG396">
        <v>0</v>
      </c>
      <c r="CM396">
        <v>0</v>
      </c>
      <c r="CN396" t="s">
        <v>673</v>
      </c>
      <c r="CO396">
        <v>0</v>
      </c>
      <c r="CP396">
        <f t="shared" si="299"/>
        <v>502748.45</v>
      </c>
      <c r="CQ396">
        <f t="shared" si="339"/>
        <v>3108.33</v>
      </c>
      <c r="CR396">
        <f>(ROUND((ROUND((((ET396*1.1))*AV396*1),2)*BB396),2)+ROUND((ROUND(((AE396-((EU396*1.1)))*AV396*1),2)*BS396),2))</f>
        <v>675.8</v>
      </c>
      <c r="CS396">
        <f t="shared" si="300"/>
        <v>361.83</v>
      </c>
      <c r="CT396">
        <f t="shared" si="301"/>
        <v>12176.44</v>
      </c>
      <c r="CU396">
        <f t="shared" si="302"/>
        <v>0</v>
      </c>
      <c r="CV396">
        <f t="shared" si="303"/>
        <v>17.275499999999997</v>
      </c>
      <c r="CW396">
        <f t="shared" si="304"/>
        <v>0</v>
      </c>
      <c r="CX396">
        <f t="shared" si="305"/>
        <v>0</v>
      </c>
      <c r="CY396">
        <f t="shared" si="306"/>
        <v>383093.23559999996</v>
      </c>
      <c r="CZ396">
        <f t="shared" si="307"/>
        <v>201420.15480000002</v>
      </c>
      <c r="DC396" t="s">
        <v>3</v>
      </c>
      <c r="DD396" t="s">
        <v>3</v>
      </c>
      <c r="DE396" t="s">
        <v>23</v>
      </c>
      <c r="DF396" t="s">
        <v>23</v>
      </c>
      <c r="DG396" t="s">
        <v>23</v>
      </c>
      <c r="DH396" t="s">
        <v>3</v>
      </c>
      <c r="DI396" t="s">
        <v>23</v>
      </c>
      <c r="DJ396" t="s">
        <v>23</v>
      </c>
      <c r="DK396" t="s">
        <v>3</v>
      </c>
      <c r="DL396" t="s">
        <v>3</v>
      </c>
      <c r="DM396" t="s">
        <v>3</v>
      </c>
      <c r="DN396">
        <v>0</v>
      </c>
      <c r="DO396">
        <v>0</v>
      </c>
      <c r="DP396">
        <v>1</v>
      </c>
      <c r="DQ396">
        <v>1</v>
      </c>
      <c r="DU396">
        <v>1003</v>
      </c>
      <c r="DV396" t="s">
        <v>77</v>
      </c>
      <c r="DW396" t="s">
        <v>77</v>
      </c>
      <c r="DX396">
        <v>100</v>
      </c>
      <c r="DZ396" t="s">
        <v>3</v>
      </c>
      <c r="EA396" t="s">
        <v>3</v>
      </c>
      <c r="EB396" t="s">
        <v>3</v>
      </c>
      <c r="EC396" t="s">
        <v>3</v>
      </c>
      <c r="EE396">
        <v>55992151</v>
      </c>
      <c r="EF396">
        <v>40</v>
      </c>
      <c r="EG396" t="s">
        <v>24</v>
      </c>
      <c r="EH396">
        <v>0</v>
      </c>
      <c r="EI396" t="s">
        <v>3</v>
      </c>
      <c r="EJ396">
        <v>2</v>
      </c>
      <c r="EK396">
        <v>67</v>
      </c>
      <c r="EL396" t="s">
        <v>79</v>
      </c>
      <c r="EM396" t="s">
        <v>80</v>
      </c>
      <c r="EO396" t="s">
        <v>27</v>
      </c>
      <c r="EQ396">
        <v>0</v>
      </c>
      <c r="ER396">
        <v>539.41999999999996</v>
      </c>
      <c r="ES396">
        <v>314.29000000000002</v>
      </c>
      <c r="ET396">
        <v>32.869999999999997</v>
      </c>
      <c r="EU396">
        <v>5.71</v>
      </c>
      <c r="EV396">
        <v>192.26</v>
      </c>
      <c r="EW396">
        <v>15</v>
      </c>
      <c r="EX396">
        <v>0</v>
      </c>
      <c r="EY396">
        <v>0</v>
      </c>
      <c r="FQ396">
        <v>0</v>
      </c>
      <c r="FR396">
        <v>0</v>
      </c>
      <c r="FS396">
        <v>0</v>
      </c>
      <c r="FX396">
        <v>97</v>
      </c>
      <c r="FY396">
        <v>51</v>
      </c>
      <c r="GA396" t="s">
        <v>3</v>
      </c>
      <c r="GD396">
        <v>1</v>
      </c>
      <c r="GF396">
        <v>1705749599</v>
      </c>
      <c r="GG396">
        <v>2</v>
      </c>
      <c r="GH396">
        <v>1</v>
      </c>
      <c r="GI396">
        <v>2</v>
      </c>
      <c r="GJ396">
        <v>0</v>
      </c>
      <c r="GK396">
        <v>0</v>
      </c>
      <c r="GL396">
        <f t="shared" si="308"/>
        <v>0</v>
      </c>
      <c r="GM396">
        <f t="shared" si="309"/>
        <v>1087261.8400000001</v>
      </c>
      <c r="GN396">
        <f t="shared" si="310"/>
        <v>0</v>
      </c>
      <c r="GO396">
        <f t="shared" si="311"/>
        <v>1087261.8400000001</v>
      </c>
      <c r="GP396">
        <f t="shared" si="312"/>
        <v>0</v>
      </c>
      <c r="GR396">
        <v>0</v>
      </c>
      <c r="GS396">
        <v>3</v>
      </c>
      <c r="GT396">
        <v>0</v>
      </c>
      <c r="GU396" t="s">
        <v>3</v>
      </c>
      <c r="GV396">
        <f t="shared" si="313"/>
        <v>0</v>
      </c>
      <c r="GW396">
        <v>1</v>
      </c>
      <c r="GX396">
        <f t="shared" si="314"/>
        <v>0</v>
      </c>
      <c r="HA396">
        <v>0</v>
      </c>
      <c r="HB396">
        <v>0</v>
      </c>
      <c r="HC396">
        <f t="shared" si="315"/>
        <v>0</v>
      </c>
      <c r="HE396" t="s">
        <v>3</v>
      </c>
      <c r="HF396" t="s">
        <v>3</v>
      </c>
      <c r="HM396" t="s">
        <v>3</v>
      </c>
      <c r="HN396" t="s">
        <v>3</v>
      </c>
      <c r="HO396" t="s">
        <v>3</v>
      </c>
      <c r="HP396" t="s">
        <v>3</v>
      </c>
      <c r="HQ396" t="s">
        <v>3</v>
      </c>
      <c r="HS396">
        <v>0</v>
      </c>
      <c r="IK396">
        <v>0</v>
      </c>
    </row>
    <row r="397" spans="1:255" x14ac:dyDescent="0.2">
      <c r="A397" s="2">
        <v>18</v>
      </c>
      <c r="B397" s="2">
        <v>1</v>
      </c>
      <c r="C397" s="2">
        <v>282</v>
      </c>
      <c r="D397" s="2"/>
      <c r="E397" s="2" t="s">
        <v>426</v>
      </c>
      <c r="F397" s="2" t="s">
        <v>82</v>
      </c>
      <c r="G397" s="2" t="s">
        <v>83</v>
      </c>
      <c r="H397" s="2" t="s">
        <v>84</v>
      </c>
      <c r="I397" s="2">
        <f>I395*J397</f>
        <v>3213</v>
      </c>
      <c r="J397" s="2">
        <v>102</v>
      </c>
      <c r="K397" s="2">
        <v>102</v>
      </c>
      <c r="L397" s="2"/>
      <c r="M397" s="2"/>
      <c r="N397" s="2"/>
      <c r="O397" s="2">
        <f t="shared" si="286"/>
        <v>11084.85</v>
      </c>
      <c r="P397" s="2">
        <f t="shared" si="338"/>
        <v>11084.85</v>
      </c>
      <c r="Q397" s="2">
        <f>(ROUND((ROUND(((ET397)*AV397*I397),2)*BB397),2)+ROUND((ROUND(((AE397-(EU397))*AV397*I397),2)*BS397),2))</f>
        <v>0</v>
      </c>
      <c r="R397" s="2">
        <f t="shared" si="287"/>
        <v>0</v>
      </c>
      <c r="S397" s="2">
        <f t="shared" si="288"/>
        <v>0</v>
      </c>
      <c r="T397" s="2">
        <f t="shared" si="289"/>
        <v>0</v>
      </c>
      <c r="U397" s="2">
        <f t="shared" si="290"/>
        <v>0</v>
      </c>
      <c r="V397" s="2">
        <f t="shared" si="291"/>
        <v>0</v>
      </c>
      <c r="W397" s="2">
        <f t="shared" si="292"/>
        <v>0</v>
      </c>
      <c r="X397" s="2">
        <f t="shared" si="293"/>
        <v>0</v>
      </c>
      <c r="Y397" s="2">
        <f t="shared" si="294"/>
        <v>0</v>
      </c>
      <c r="Z397" s="2"/>
      <c r="AA397" s="2">
        <v>56959434</v>
      </c>
      <c r="AB397" s="2">
        <f t="shared" si="295"/>
        <v>3.45</v>
      </c>
      <c r="AC397" s="2">
        <f t="shared" si="296"/>
        <v>3.45</v>
      </c>
      <c r="AD397" s="2">
        <f>ROUND((((ET397)-(EU397))+AE397),6)</f>
        <v>0</v>
      </c>
      <c r="AE397" s="2">
        <f>ROUND((EU397),6)</f>
        <v>0</v>
      </c>
      <c r="AF397" s="2">
        <f>ROUND((EV397),6)</f>
        <v>0</v>
      </c>
      <c r="AG397" s="2">
        <f t="shared" si="297"/>
        <v>0</v>
      </c>
      <c r="AH397" s="2">
        <f>(EW397)</f>
        <v>0</v>
      </c>
      <c r="AI397" s="2">
        <f>(EX397)</f>
        <v>0</v>
      </c>
      <c r="AJ397" s="2">
        <f t="shared" si="298"/>
        <v>0</v>
      </c>
      <c r="AK397" s="2">
        <v>3.45</v>
      </c>
      <c r="AL397" s="2">
        <v>3.45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97</v>
      </c>
      <c r="AU397" s="2">
        <v>51</v>
      </c>
      <c r="AV397" s="2">
        <v>1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3</v>
      </c>
      <c r="BI397" s="2">
        <v>2</v>
      </c>
      <c r="BJ397" s="2" t="s">
        <v>85</v>
      </c>
      <c r="BK397" s="2"/>
      <c r="BL397" s="2"/>
      <c r="BM397" s="2">
        <v>67</v>
      </c>
      <c r="BN397" s="2">
        <v>55992028</v>
      </c>
      <c r="BO397" s="2" t="s">
        <v>3</v>
      </c>
      <c r="BP397" s="2">
        <v>0</v>
      </c>
      <c r="BQ397" s="2">
        <v>40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97</v>
      </c>
      <c r="CA397" s="2">
        <v>51</v>
      </c>
      <c r="CB397" s="2" t="s">
        <v>3</v>
      </c>
      <c r="CC397" s="2"/>
      <c r="CD397" s="2"/>
      <c r="CE397" s="2">
        <v>30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3</v>
      </c>
      <c r="CO397" s="2">
        <v>0</v>
      </c>
      <c r="CP397" s="2">
        <f t="shared" si="299"/>
        <v>11084.85</v>
      </c>
      <c r="CQ397" s="2">
        <f t="shared" si="339"/>
        <v>3.45</v>
      </c>
      <c r="CR397" s="2">
        <f>(ROUND((ROUND(((ET397)*AV397*1),2)*BB397),2)+ROUND((ROUND(((AE397-(EU397))*AV397*1),2)*BS397),2))</f>
        <v>0</v>
      </c>
      <c r="CS397" s="2">
        <f t="shared" si="300"/>
        <v>0</v>
      </c>
      <c r="CT397" s="2">
        <f t="shared" si="301"/>
        <v>0</v>
      </c>
      <c r="CU397" s="2">
        <f t="shared" si="302"/>
        <v>0</v>
      </c>
      <c r="CV397" s="2">
        <f t="shared" si="303"/>
        <v>0</v>
      </c>
      <c r="CW397" s="2">
        <f t="shared" si="304"/>
        <v>0</v>
      </c>
      <c r="CX397" s="2">
        <f t="shared" si="305"/>
        <v>0</v>
      </c>
      <c r="CY397" s="2">
        <f t="shared" si="306"/>
        <v>0</v>
      </c>
      <c r="CZ397" s="2">
        <f t="shared" si="307"/>
        <v>0</v>
      </c>
      <c r="DA397" s="2"/>
      <c r="DB397" s="2"/>
      <c r="DC397" s="2" t="s">
        <v>3</v>
      </c>
      <c r="DD397" s="2" t="s">
        <v>3</v>
      </c>
      <c r="DE397" s="2" t="s">
        <v>3</v>
      </c>
      <c r="DF397" s="2" t="s">
        <v>3</v>
      </c>
      <c r="DG397" s="2" t="s">
        <v>3</v>
      </c>
      <c r="DH397" s="2" t="s">
        <v>3</v>
      </c>
      <c r="DI397" s="2" t="s">
        <v>3</v>
      </c>
      <c r="DJ397" s="2" t="s">
        <v>3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1003</v>
      </c>
      <c r="DV397" s="2" t="s">
        <v>84</v>
      </c>
      <c r="DW397" s="2" t="s">
        <v>84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55992151</v>
      </c>
      <c r="EF397" s="2">
        <v>40</v>
      </c>
      <c r="EG397" s="2" t="s">
        <v>24</v>
      </c>
      <c r="EH397" s="2">
        <v>0</v>
      </c>
      <c r="EI397" s="2" t="s">
        <v>3</v>
      </c>
      <c r="EJ397" s="2">
        <v>2</v>
      </c>
      <c r="EK397" s="2">
        <v>67</v>
      </c>
      <c r="EL397" s="2" t="s">
        <v>79</v>
      </c>
      <c r="EM397" s="2" t="s">
        <v>80</v>
      </c>
      <c r="EN397" s="2"/>
      <c r="EO397" s="2" t="s">
        <v>3</v>
      </c>
      <c r="EP397" s="2"/>
      <c r="EQ397" s="2">
        <v>0</v>
      </c>
      <c r="ER397" s="2">
        <v>3.45</v>
      </c>
      <c r="ES397" s="2">
        <v>3.45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97</v>
      </c>
      <c r="FY397" s="2">
        <v>51</v>
      </c>
      <c r="FZ397" s="2"/>
      <c r="GA397" s="2" t="s">
        <v>3</v>
      </c>
      <c r="GB397" s="2"/>
      <c r="GC397" s="2"/>
      <c r="GD397" s="2">
        <v>1</v>
      </c>
      <c r="GE397" s="2"/>
      <c r="GF397" s="2">
        <v>-1305428159</v>
      </c>
      <c r="GG397" s="2">
        <v>2</v>
      </c>
      <c r="GH397" s="2">
        <v>1</v>
      </c>
      <c r="GI397" s="2">
        <v>-2</v>
      </c>
      <c r="GJ397" s="2">
        <v>0</v>
      </c>
      <c r="GK397" s="2">
        <v>0</v>
      </c>
      <c r="GL397" s="2">
        <f t="shared" si="308"/>
        <v>0</v>
      </c>
      <c r="GM397" s="2">
        <f t="shared" si="309"/>
        <v>11084.85</v>
      </c>
      <c r="GN397" s="2">
        <f t="shared" si="310"/>
        <v>0</v>
      </c>
      <c r="GO397" s="2">
        <f t="shared" si="311"/>
        <v>11084.85</v>
      </c>
      <c r="GP397" s="2">
        <f t="shared" si="312"/>
        <v>0</v>
      </c>
      <c r="GQ397" s="2"/>
      <c r="GR397" s="2">
        <v>0</v>
      </c>
      <c r="GS397" s="2">
        <v>3</v>
      </c>
      <c r="GT397" s="2">
        <v>0</v>
      </c>
      <c r="GU397" s="2" t="s">
        <v>3</v>
      </c>
      <c r="GV397" s="2">
        <f t="shared" si="313"/>
        <v>0</v>
      </c>
      <c r="GW397" s="2">
        <v>1</v>
      </c>
      <c r="GX397" s="2">
        <f t="shared" si="314"/>
        <v>0</v>
      </c>
      <c r="GY397" s="2"/>
      <c r="GZ397" s="2"/>
      <c r="HA397" s="2">
        <v>0</v>
      </c>
      <c r="HB397" s="2">
        <v>0</v>
      </c>
      <c r="HC397" s="2">
        <f t="shared" si="315"/>
        <v>0</v>
      </c>
      <c r="HD397" s="2"/>
      <c r="HE397" s="2" t="s">
        <v>3</v>
      </c>
      <c r="HF397" s="2" t="s">
        <v>3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">
      <c r="A398">
        <v>18</v>
      </c>
      <c r="B398">
        <v>1</v>
      </c>
      <c r="C398">
        <v>284</v>
      </c>
      <c r="E398" t="s">
        <v>426</v>
      </c>
      <c r="F398" t="s">
        <v>82</v>
      </c>
      <c r="G398" t="s">
        <v>83</v>
      </c>
      <c r="H398" t="s">
        <v>84</v>
      </c>
      <c r="I398">
        <f>I396*J398</f>
        <v>3213</v>
      </c>
      <c r="J398">
        <v>102</v>
      </c>
      <c r="K398">
        <v>102</v>
      </c>
      <c r="O398">
        <f t="shared" si="286"/>
        <v>43563.46</v>
      </c>
      <c r="P398">
        <f t="shared" si="338"/>
        <v>43563.46</v>
      </c>
      <c r="Q398">
        <f>(ROUND((ROUND(((ET398)*AV398*I398),2)*BB398),2)+ROUND((ROUND(((AE398-(EU398))*AV398*I398),2)*BS398),2))</f>
        <v>0</v>
      </c>
      <c r="R398">
        <f t="shared" si="287"/>
        <v>0</v>
      </c>
      <c r="S398">
        <f t="shared" si="288"/>
        <v>0</v>
      </c>
      <c r="T398">
        <f t="shared" si="289"/>
        <v>0</v>
      </c>
      <c r="U398">
        <f t="shared" si="290"/>
        <v>0</v>
      </c>
      <c r="V398">
        <f t="shared" si="291"/>
        <v>0</v>
      </c>
      <c r="W398">
        <f t="shared" si="292"/>
        <v>0</v>
      </c>
      <c r="X398">
        <f t="shared" si="293"/>
        <v>0</v>
      </c>
      <c r="Y398">
        <f t="shared" si="294"/>
        <v>0</v>
      </c>
      <c r="AA398">
        <v>56959431</v>
      </c>
      <c r="AB398">
        <f t="shared" si="295"/>
        <v>3.45</v>
      </c>
      <c r="AC398">
        <f t="shared" si="296"/>
        <v>3.45</v>
      </c>
      <c r="AD398">
        <f>ROUND((((ET398)-(EU398))+AE398),6)</f>
        <v>0</v>
      </c>
      <c r="AE398">
        <f>ROUND((EU398),6)</f>
        <v>0</v>
      </c>
      <c r="AF398">
        <f>ROUND((EV398),6)</f>
        <v>0</v>
      </c>
      <c r="AG398">
        <f t="shared" si="297"/>
        <v>0</v>
      </c>
      <c r="AH398">
        <f>(EW398)</f>
        <v>0</v>
      </c>
      <c r="AI398">
        <f>(EX398)</f>
        <v>0</v>
      </c>
      <c r="AJ398">
        <f t="shared" si="298"/>
        <v>0</v>
      </c>
      <c r="AK398">
        <v>3.45</v>
      </c>
      <c r="AL398">
        <v>3.45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97</v>
      </c>
      <c r="AU398">
        <v>51</v>
      </c>
      <c r="AV398">
        <v>1</v>
      </c>
      <c r="AW398">
        <v>1</v>
      </c>
      <c r="AZ398">
        <v>1</v>
      </c>
      <c r="BA398">
        <v>1</v>
      </c>
      <c r="BB398">
        <v>1</v>
      </c>
      <c r="BC398">
        <v>3.93</v>
      </c>
      <c r="BD398" t="s">
        <v>3</v>
      </c>
      <c r="BE398" t="s">
        <v>3</v>
      </c>
      <c r="BF398" t="s">
        <v>3</v>
      </c>
      <c r="BG398" t="s">
        <v>3</v>
      </c>
      <c r="BH398">
        <v>3</v>
      </c>
      <c r="BI398">
        <v>2</v>
      </c>
      <c r="BJ398" t="s">
        <v>85</v>
      </c>
      <c r="BM398">
        <v>67</v>
      </c>
      <c r="BN398">
        <v>55992028</v>
      </c>
      <c r="BO398" t="s">
        <v>82</v>
      </c>
      <c r="BP398">
        <v>1</v>
      </c>
      <c r="BQ398">
        <v>40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 t="s">
        <v>3</v>
      </c>
      <c r="BZ398">
        <v>97</v>
      </c>
      <c r="CA398">
        <v>51</v>
      </c>
      <c r="CB398" t="s">
        <v>3</v>
      </c>
      <c r="CE398">
        <v>30</v>
      </c>
      <c r="CF398">
        <v>0</v>
      </c>
      <c r="CG398">
        <v>0</v>
      </c>
      <c r="CM398">
        <v>0</v>
      </c>
      <c r="CN398" t="s">
        <v>3</v>
      </c>
      <c r="CO398">
        <v>0</v>
      </c>
      <c r="CP398">
        <f t="shared" si="299"/>
        <v>43563.46</v>
      </c>
      <c r="CQ398">
        <f t="shared" si="339"/>
        <v>13.56</v>
      </c>
      <c r="CR398">
        <f>(ROUND((ROUND(((ET398)*AV398*1),2)*BB398),2)+ROUND((ROUND(((AE398-(EU398))*AV398*1),2)*BS398),2))</f>
        <v>0</v>
      </c>
      <c r="CS398">
        <f t="shared" si="300"/>
        <v>0</v>
      </c>
      <c r="CT398">
        <f t="shared" si="301"/>
        <v>0</v>
      </c>
      <c r="CU398">
        <f t="shared" si="302"/>
        <v>0</v>
      </c>
      <c r="CV398">
        <f t="shared" si="303"/>
        <v>0</v>
      </c>
      <c r="CW398">
        <f t="shared" si="304"/>
        <v>0</v>
      </c>
      <c r="CX398">
        <f t="shared" si="305"/>
        <v>0</v>
      </c>
      <c r="CY398">
        <f t="shared" si="306"/>
        <v>0</v>
      </c>
      <c r="CZ398">
        <f t="shared" si="307"/>
        <v>0</v>
      </c>
      <c r="DC398" t="s">
        <v>3</v>
      </c>
      <c r="DD398" t="s">
        <v>3</v>
      </c>
      <c r="DE398" t="s">
        <v>3</v>
      </c>
      <c r="DF398" t="s">
        <v>3</v>
      </c>
      <c r="DG398" t="s">
        <v>3</v>
      </c>
      <c r="DH398" t="s">
        <v>3</v>
      </c>
      <c r="DI398" t="s">
        <v>3</v>
      </c>
      <c r="DJ398" t="s">
        <v>3</v>
      </c>
      <c r="DK398" t="s">
        <v>3</v>
      </c>
      <c r="DL398" t="s">
        <v>3</v>
      </c>
      <c r="DM398" t="s">
        <v>3</v>
      </c>
      <c r="DN398">
        <v>0</v>
      </c>
      <c r="DO398">
        <v>0</v>
      </c>
      <c r="DP398">
        <v>1</v>
      </c>
      <c r="DQ398">
        <v>1</v>
      </c>
      <c r="DU398">
        <v>1003</v>
      </c>
      <c r="DV398" t="s">
        <v>84</v>
      </c>
      <c r="DW398" t="s">
        <v>84</v>
      </c>
      <c r="DX398">
        <v>1</v>
      </c>
      <c r="DZ398" t="s">
        <v>3</v>
      </c>
      <c r="EA398" t="s">
        <v>3</v>
      </c>
      <c r="EB398" t="s">
        <v>3</v>
      </c>
      <c r="EC398" t="s">
        <v>3</v>
      </c>
      <c r="EE398">
        <v>55992151</v>
      </c>
      <c r="EF398">
        <v>40</v>
      </c>
      <c r="EG398" t="s">
        <v>24</v>
      </c>
      <c r="EH398">
        <v>0</v>
      </c>
      <c r="EI398" t="s">
        <v>3</v>
      </c>
      <c r="EJ398">
        <v>2</v>
      </c>
      <c r="EK398">
        <v>67</v>
      </c>
      <c r="EL398" t="s">
        <v>79</v>
      </c>
      <c r="EM398" t="s">
        <v>80</v>
      </c>
      <c r="EO398" t="s">
        <v>3</v>
      </c>
      <c r="EQ398">
        <v>0</v>
      </c>
      <c r="ER398">
        <v>3.45</v>
      </c>
      <c r="ES398">
        <v>3.45</v>
      </c>
      <c r="ET398">
        <v>0</v>
      </c>
      <c r="EU398">
        <v>0</v>
      </c>
      <c r="EV398">
        <v>0</v>
      </c>
      <c r="EW398">
        <v>0</v>
      </c>
      <c r="EX398">
        <v>0</v>
      </c>
      <c r="FQ398">
        <v>0</v>
      </c>
      <c r="FR398">
        <v>0</v>
      </c>
      <c r="FS398">
        <v>0</v>
      </c>
      <c r="FX398">
        <v>97</v>
      </c>
      <c r="FY398">
        <v>51</v>
      </c>
      <c r="GA398" t="s">
        <v>3</v>
      </c>
      <c r="GD398">
        <v>1</v>
      </c>
      <c r="GF398">
        <v>-1305428159</v>
      </c>
      <c r="GG398">
        <v>2</v>
      </c>
      <c r="GH398">
        <v>1</v>
      </c>
      <c r="GI398">
        <v>2</v>
      </c>
      <c r="GJ398">
        <v>0</v>
      </c>
      <c r="GK398">
        <v>0</v>
      </c>
      <c r="GL398">
        <f t="shared" si="308"/>
        <v>0</v>
      </c>
      <c r="GM398">
        <f t="shared" si="309"/>
        <v>43563.46</v>
      </c>
      <c r="GN398">
        <f t="shared" si="310"/>
        <v>0</v>
      </c>
      <c r="GO398">
        <f t="shared" si="311"/>
        <v>43563.46</v>
      </c>
      <c r="GP398">
        <f t="shared" si="312"/>
        <v>0</v>
      </c>
      <c r="GR398">
        <v>0</v>
      </c>
      <c r="GS398">
        <v>3</v>
      </c>
      <c r="GT398">
        <v>0</v>
      </c>
      <c r="GU398" t="s">
        <v>3</v>
      </c>
      <c r="GV398">
        <f t="shared" si="313"/>
        <v>0</v>
      </c>
      <c r="GW398">
        <v>1</v>
      </c>
      <c r="GX398">
        <f t="shared" si="314"/>
        <v>0</v>
      </c>
      <c r="HA398">
        <v>0</v>
      </c>
      <c r="HB398">
        <v>0</v>
      </c>
      <c r="HC398">
        <f t="shared" si="315"/>
        <v>0</v>
      </c>
      <c r="HE398" t="s">
        <v>3</v>
      </c>
      <c r="HF398" t="s">
        <v>3</v>
      </c>
      <c r="HM398" t="s">
        <v>3</v>
      </c>
      <c r="HN398" t="s">
        <v>3</v>
      </c>
      <c r="HO398" t="s">
        <v>3</v>
      </c>
      <c r="HP398" t="s">
        <v>3</v>
      </c>
      <c r="HQ398" t="s">
        <v>3</v>
      </c>
      <c r="HS398">
        <v>0</v>
      </c>
      <c r="IK398">
        <v>0</v>
      </c>
    </row>
    <row r="399" spans="1:255" x14ac:dyDescent="0.2">
      <c r="A399" s="2">
        <v>17</v>
      </c>
      <c r="B399" s="2">
        <v>1</v>
      </c>
      <c r="C399" s="2">
        <f>ROW(SmtRes!A294)</f>
        <v>294</v>
      </c>
      <c r="D399" s="2">
        <f>ROW(EtalonRes!A354)</f>
        <v>354</v>
      </c>
      <c r="E399" s="2" t="s">
        <v>427</v>
      </c>
      <c r="F399" s="2" t="s">
        <v>95</v>
      </c>
      <c r="G399" s="2" t="s">
        <v>96</v>
      </c>
      <c r="H399" s="2" t="s">
        <v>77</v>
      </c>
      <c r="I399" s="2">
        <f>ROUND(3150/100,9)</f>
        <v>31.5</v>
      </c>
      <c r="J399" s="2">
        <v>0</v>
      </c>
      <c r="K399" s="2">
        <f>ROUND(3150/100,9)</f>
        <v>31.5</v>
      </c>
      <c r="L399" s="2"/>
      <c r="M399" s="2"/>
      <c r="N399" s="2"/>
      <c r="O399" s="2">
        <f t="shared" si="286"/>
        <v>3930.44</v>
      </c>
      <c r="P399" s="2">
        <f t="shared" si="338"/>
        <v>1831.73</v>
      </c>
      <c r="Q399" s="2">
        <f>(ROUND((ROUND((((ET399*1.1))*AV399*I399),2)*BB399),2)+ROUND((ROUND(((AE399-((EU399*1.1)))*AV399*I399),2)*BS399),2))</f>
        <v>95.05</v>
      </c>
      <c r="R399" s="2">
        <f t="shared" si="287"/>
        <v>10.88</v>
      </c>
      <c r="S399" s="2">
        <f t="shared" si="288"/>
        <v>2003.66</v>
      </c>
      <c r="T399" s="2">
        <f t="shared" si="289"/>
        <v>0</v>
      </c>
      <c r="U399" s="2">
        <f t="shared" si="290"/>
        <v>162.89068950000004</v>
      </c>
      <c r="V399" s="2">
        <f t="shared" si="291"/>
        <v>0</v>
      </c>
      <c r="W399" s="2">
        <f t="shared" si="292"/>
        <v>0</v>
      </c>
      <c r="X399" s="2">
        <f t="shared" si="293"/>
        <v>1954.1</v>
      </c>
      <c r="Y399" s="2">
        <f t="shared" si="294"/>
        <v>1027.42</v>
      </c>
      <c r="Z399" s="2"/>
      <c r="AA399" s="2">
        <v>56959434</v>
      </c>
      <c r="AB399" s="2">
        <f t="shared" si="295"/>
        <v>121.785</v>
      </c>
      <c r="AC399" s="2">
        <f t="shared" si="296"/>
        <v>58.15</v>
      </c>
      <c r="AD399" s="2">
        <f>ROUND(((((ET399*1.1))-((EU399*1.1)))+AE399),6)</f>
        <v>2.8820000000000001</v>
      </c>
      <c r="AE399" s="2">
        <f>ROUND(((EU399*1.1)),6)</f>
        <v>0.33</v>
      </c>
      <c r="AF399" s="2">
        <f>ROUND(((EV399*1.1)),6)</f>
        <v>60.753</v>
      </c>
      <c r="AG399" s="2">
        <f t="shared" si="297"/>
        <v>0</v>
      </c>
      <c r="AH399" s="2">
        <f>((EW399*1.1))</f>
        <v>4.9390000000000009</v>
      </c>
      <c r="AI399" s="2">
        <f>((EX399*1.1))</f>
        <v>0</v>
      </c>
      <c r="AJ399" s="2">
        <f t="shared" si="298"/>
        <v>0</v>
      </c>
      <c r="AK399" s="2">
        <v>116</v>
      </c>
      <c r="AL399" s="2">
        <v>58.15</v>
      </c>
      <c r="AM399" s="2">
        <v>2.62</v>
      </c>
      <c r="AN399" s="2">
        <v>0.3</v>
      </c>
      <c r="AO399" s="2">
        <v>55.23</v>
      </c>
      <c r="AP399" s="2">
        <v>0</v>
      </c>
      <c r="AQ399" s="2">
        <v>4.49</v>
      </c>
      <c r="AR399" s="2">
        <v>0</v>
      </c>
      <c r="AS399" s="2">
        <v>0</v>
      </c>
      <c r="AT399" s="2">
        <v>97</v>
      </c>
      <c r="AU399" s="2">
        <v>51</v>
      </c>
      <c r="AV399" s="2">
        <v>1.0469999999999999</v>
      </c>
      <c r="AW399" s="2">
        <v>1</v>
      </c>
      <c r="AX399" s="2"/>
      <c r="AY399" s="2"/>
      <c r="AZ399" s="2">
        <v>1</v>
      </c>
      <c r="BA399" s="2">
        <v>1</v>
      </c>
      <c r="BB399" s="2">
        <v>1</v>
      </c>
      <c r="BC399" s="2">
        <v>1</v>
      </c>
      <c r="BD399" s="2" t="s">
        <v>3</v>
      </c>
      <c r="BE399" s="2" t="s">
        <v>3</v>
      </c>
      <c r="BF399" s="2" t="s">
        <v>3</v>
      </c>
      <c r="BG399" s="2" t="s">
        <v>3</v>
      </c>
      <c r="BH399" s="2">
        <v>0</v>
      </c>
      <c r="BI399" s="2">
        <v>2</v>
      </c>
      <c r="BJ399" s="2" t="s">
        <v>97</v>
      </c>
      <c r="BK399" s="2"/>
      <c r="BL399" s="2"/>
      <c r="BM399" s="2">
        <v>67</v>
      </c>
      <c r="BN399" s="2">
        <v>55992028</v>
      </c>
      <c r="BO399" s="2" t="s">
        <v>95</v>
      </c>
      <c r="BP399" s="2">
        <v>1</v>
      </c>
      <c r="BQ399" s="2">
        <v>40</v>
      </c>
      <c r="BR399" s="2">
        <v>0</v>
      </c>
      <c r="BS399" s="2">
        <v>1</v>
      </c>
      <c r="BT399" s="2">
        <v>1</v>
      </c>
      <c r="BU399" s="2">
        <v>1</v>
      </c>
      <c r="BV399" s="2">
        <v>1</v>
      </c>
      <c r="BW399" s="2">
        <v>1</v>
      </c>
      <c r="BX399" s="2">
        <v>1</v>
      </c>
      <c r="BY399" s="2" t="s">
        <v>3</v>
      </c>
      <c r="BZ399" s="2">
        <v>97</v>
      </c>
      <c r="CA399" s="2">
        <v>51</v>
      </c>
      <c r="CB399" s="2" t="s">
        <v>3</v>
      </c>
      <c r="CC399" s="2"/>
      <c r="CD399" s="2"/>
      <c r="CE399" s="2">
        <v>30</v>
      </c>
      <c r="CF399" s="2">
        <v>0</v>
      </c>
      <c r="CG399" s="2">
        <v>0</v>
      </c>
      <c r="CH399" s="2"/>
      <c r="CI399" s="2"/>
      <c r="CJ399" s="2"/>
      <c r="CK399" s="2"/>
      <c r="CL399" s="2"/>
      <c r="CM399" s="2">
        <v>0</v>
      </c>
      <c r="CN399" s="2" t="s">
        <v>673</v>
      </c>
      <c r="CO399" s="2">
        <v>0</v>
      </c>
      <c r="CP399" s="2">
        <f t="shared" si="299"/>
        <v>3930.44</v>
      </c>
      <c r="CQ399" s="2">
        <f t="shared" si="339"/>
        <v>58.15</v>
      </c>
      <c r="CR399" s="2">
        <f>(ROUND((ROUND((((ET399*1.1))*AV399*1),2)*BB399),2)+ROUND((ROUND(((AE399-((EU399*1.1)))*AV399*1),2)*BS399),2))</f>
        <v>3.02</v>
      </c>
      <c r="CS399" s="2">
        <f t="shared" si="300"/>
        <v>0.35</v>
      </c>
      <c r="CT399" s="2">
        <f t="shared" si="301"/>
        <v>63.61</v>
      </c>
      <c r="CU399" s="2">
        <f t="shared" si="302"/>
        <v>0</v>
      </c>
      <c r="CV399" s="2">
        <f t="shared" si="303"/>
        <v>5.1711330000000011</v>
      </c>
      <c r="CW399" s="2">
        <f t="shared" si="304"/>
        <v>0</v>
      </c>
      <c r="CX399" s="2">
        <f t="shared" si="305"/>
        <v>0</v>
      </c>
      <c r="CY399" s="2">
        <f t="shared" si="306"/>
        <v>1954.1038000000001</v>
      </c>
      <c r="CZ399" s="2">
        <f t="shared" si="307"/>
        <v>1027.4154000000001</v>
      </c>
      <c r="DA399" s="2"/>
      <c r="DB399" s="2"/>
      <c r="DC399" s="2" t="s">
        <v>3</v>
      </c>
      <c r="DD399" s="2" t="s">
        <v>3</v>
      </c>
      <c r="DE399" s="2" t="s">
        <v>23</v>
      </c>
      <c r="DF399" s="2" t="s">
        <v>23</v>
      </c>
      <c r="DG399" s="2" t="s">
        <v>23</v>
      </c>
      <c r="DH399" s="2" t="s">
        <v>3</v>
      </c>
      <c r="DI399" s="2" t="s">
        <v>23</v>
      </c>
      <c r="DJ399" s="2" t="s">
        <v>23</v>
      </c>
      <c r="DK399" s="2" t="s">
        <v>3</v>
      </c>
      <c r="DL399" s="2" t="s">
        <v>3</v>
      </c>
      <c r="DM399" s="2" t="s">
        <v>3</v>
      </c>
      <c r="DN399" s="2">
        <v>0</v>
      </c>
      <c r="DO399" s="2">
        <v>0</v>
      </c>
      <c r="DP399" s="2">
        <v>1</v>
      </c>
      <c r="DQ399" s="2">
        <v>1</v>
      </c>
      <c r="DR399" s="2"/>
      <c r="DS399" s="2"/>
      <c r="DT399" s="2"/>
      <c r="DU399" s="2">
        <v>1003</v>
      </c>
      <c r="DV399" s="2" t="s">
        <v>77</v>
      </c>
      <c r="DW399" s="2" t="s">
        <v>77</v>
      </c>
      <c r="DX399" s="2">
        <v>100</v>
      </c>
      <c r="DY399" s="2"/>
      <c r="DZ399" s="2" t="s">
        <v>3</v>
      </c>
      <c r="EA399" s="2" t="s">
        <v>3</v>
      </c>
      <c r="EB399" s="2" t="s">
        <v>3</v>
      </c>
      <c r="EC399" s="2" t="s">
        <v>3</v>
      </c>
      <c r="ED399" s="2"/>
      <c r="EE399" s="2">
        <v>55992151</v>
      </c>
      <c r="EF399" s="2">
        <v>40</v>
      </c>
      <c r="EG399" s="2" t="s">
        <v>24</v>
      </c>
      <c r="EH399" s="2">
        <v>0</v>
      </c>
      <c r="EI399" s="2" t="s">
        <v>3</v>
      </c>
      <c r="EJ399" s="2">
        <v>2</v>
      </c>
      <c r="EK399" s="2">
        <v>67</v>
      </c>
      <c r="EL399" s="2" t="s">
        <v>79</v>
      </c>
      <c r="EM399" s="2" t="s">
        <v>80</v>
      </c>
      <c r="EN399" s="2"/>
      <c r="EO399" s="2" t="s">
        <v>27</v>
      </c>
      <c r="EP399" s="2"/>
      <c r="EQ399" s="2">
        <v>0</v>
      </c>
      <c r="ER399" s="2">
        <v>116</v>
      </c>
      <c r="ES399" s="2">
        <v>58.15</v>
      </c>
      <c r="ET399" s="2">
        <v>2.62</v>
      </c>
      <c r="EU399" s="2">
        <v>0.3</v>
      </c>
      <c r="EV399" s="2">
        <v>55.23</v>
      </c>
      <c r="EW399" s="2">
        <v>4.49</v>
      </c>
      <c r="EX399" s="2">
        <v>0</v>
      </c>
      <c r="EY399" s="2">
        <v>0</v>
      </c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>
        <v>0</v>
      </c>
      <c r="FR399" s="2">
        <v>0</v>
      </c>
      <c r="FS399" s="2">
        <v>0</v>
      </c>
      <c r="FT399" s="2"/>
      <c r="FU399" s="2"/>
      <c r="FV399" s="2"/>
      <c r="FW399" s="2"/>
      <c r="FX399" s="2">
        <v>97</v>
      </c>
      <c r="FY399" s="2">
        <v>51</v>
      </c>
      <c r="FZ399" s="2"/>
      <c r="GA399" s="2" t="s">
        <v>3</v>
      </c>
      <c r="GB399" s="2"/>
      <c r="GC399" s="2"/>
      <c r="GD399" s="2">
        <v>1</v>
      </c>
      <c r="GE399" s="2"/>
      <c r="GF399" s="2">
        <v>770559996</v>
      </c>
      <c r="GG399" s="2">
        <v>2</v>
      </c>
      <c r="GH399" s="2">
        <v>1</v>
      </c>
      <c r="GI399" s="2">
        <v>2</v>
      </c>
      <c r="GJ399" s="2">
        <v>0</v>
      </c>
      <c r="GK399" s="2">
        <v>0</v>
      </c>
      <c r="GL399" s="2">
        <f t="shared" si="308"/>
        <v>0</v>
      </c>
      <c r="GM399" s="2">
        <f t="shared" si="309"/>
        <v>6911.96</v>
      </c>
      <c r="GN399" s="2">
        <f t="shared" si="310"/>
        <v>0</v>
      </c>
      <c r="GO399" s="2">
        <f t="shared" si="311"/>
        <v>6911.96</v>
      </c>
      <c r="GP399" s="2">
        <f t="shared" si="312"/>
        <v>0</v>
      </c>
      <c r="GQ399" s="2"/>
      <c r="GR399" s="2">
        <v>0</v>
      </c>
      <c r="GS399" s="2">
        <v>3</v>
      </c>
      <c r="GT399" s="2">
        <v>0</v>
      </c>
      <c r="GU399" s="2" t="s">
        <v>3</v>
      </c>
      <c r="GV399" s="2">
        <f t="shared" si="313"/>
        <v>0</v>
      </c>
      <c r="GW399" s="2">
        <v>1</v>
      </c>
      <c r="GX399" s="2">
        <f t="shared" si="314"/>
        <v>0</v>
      </c>
      <c r="GY399" s="2"/>
      <c r="GZ399" s="2"/>
      <c r="HA399" s="2">
        <v>0</v>
      </c>
      <c r="HB399" s="2">
        <v>0</v>
      </c>
      <c r="HC399" s="2">
        <f t="shared" si="315"/>
        <v>0</v>
      </c>
      <c r="HD399" s="2"/>
      <c r="HE399" s="2" t="s">
        <v>3</v>
      </c>
      <c r="HF399" s="2" t="s">
        <v>3</v>
      </c>
      <c r="HG399" s="2"/>
      <c r="HH399" s="2"/>
      <c r="HI399" s="2"/>
      <c r="HJ399" s="2"/>
      <c r="HK399" s="2"/>
      <c r="HL399" s="2"/>
      <c r="HM399" s="2" t="s">
        <v>3</v>
      </c>
      <c r="HN399" s="2" t="s">
        <v>3</v>
      </c>
      <c r="HO399" s="2" t="s">
        <v>3</v>
      </c>
      <c r="HP399" s="2" t="s">
        <v>3</v>
      </c>
      <c r="HQ399" s="2" t="s">
        <v>3</v>
      </c>
      <c r="HR399" s="2"/>
      <c r="HS399" s="2">
        <v>0</v>
      </c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>
        <v>0</v>
      </c>
      <c r="IL399" s="2"/>
      <c r="IM399" s="2"/>
      <c r="IN399" s="2"/>
      <c r="IO399" s="2"/>
      <c r="IP399" s="2"/>
      <c r="IQ399" s="2"/>
      <c r="IR399" s="2"/>
      <c r="IS399" s="2"/>
      <c r="IT399" s="2"/>
      <c r="IU399" s="2"/>
    </row>
    <row r="400" spans="1:255" x14ac:dyDescent="0.2">
      <c r="A400">
        <v>17</v>
      </c>
      <c r="B400">
        <v>1</v>
      </c>
      <c r="C400">
        <f>ROW(SmtRes!A304)</f>
        <v>304</v>
      </c>
      <c r="D400">
        <f>ROW(EtalonRes!A364)</f>
        <v>364</v>
      </c>
      <c r="E400" t="s">
        <v>427</v>
      </c>
      <c r="F400" t="s">
        <v>95</v>
      </c>
      <c r="G400" t="s">
        <v>96</v>
      </c>
      <c r="H400" t="s">
        <v>77</v>
      </c>
      <c r="I400">
        <f>ROUND(3150/100,9)</f>
        <v>31.5</v>
      </c>
      <c r="J400">
        <v>0</v>
      </c>
      <c r="K400">
        <f>ROUND(3150/100,9)</f>
        <v>31.5</v>
      </c>
      <c r="O400">
        <f t="shared" si="286"/>
        <v>118343.54</v>
      </c>
      <c r="P400">
        <f t="shared" si="338"/>
        <v>6777.4</v>
      </c>
      <c r="Q400">
        <f>(ROUND((ROUND((((ET400*1.1))*AV400*I400),2)*BB400),2)+ROUND((ROUND(((AE400-((EU400*1.1)))*AV400*I400),2)*BS400),2))</f>
        <v>1384.88</v>
      </c>
      <c r="R400">
        <f t="shared" si="287"/>
        <v>598.29</v>
      </c>
      <c r="S400">
        <f t="shared" si="288"/>
        <v>110181.26</v>
      </c>
      <c r="T400">
        <f t="shared" si="289"/>
        <v>0</v>
      </c>
      <c r="U400">
        <f t="shared" si="290"/>
        <v>162.89068950000004</v>
      </c>
      <c r="V400">
        <f t="shared" si="291"/>
        <v>0</v>
      </c>
      <c r="W400">
        <f t="shared" si="292"/>
        <v>0</v>
      </c>
      <c r="X400">
        <f t="shared" si="293"/>
        <v>107456.16</v>
      </c>
      <c r="Y400">
        <f t="shared" si="294"/>
        <v>56497.57</v>
      </c>
      <c r="AA400">
        <v>56959431</v>
      </c>
      <c r="AB400">
        <f t="shared" si="295"/>
        <v>121.785</v>
      </c>
      <c r="AC400">
        <f t="shared" si="296"/>
        <v>58.15</v>
      </c>
      <c r="AD400">
        <f>ROUND(((((ET400*1.1))-((EU400*1.1)))+AE400),6)</f>
        <v>2.8820000000000001</v>
      </c>
      <c r="AE400">
        <f>ROUND(((EU400*1.1)),6)</f>
        <v>0.33</v>
      </c>
      <c r="AF400">
        <f>ROUND(((EV400*1.1)),6)</f>
        <v>60.753</v>
      </c>
      <c r="AG400">
        <f t="shared" si="297"/>
        <v>0</v>
      </c>
      <c r="AH400">
        <f>((EW400*1.1))</f>
        <v>4.9390000000000009</v>
      </c>
      <c r="AI400">
        <f>((EX400*1.1))</f>
        <v>0</v>
      </c>
      <c r="AJ400">
        <f t="shared" si="298"/>
        <v>0</v>
      </c>
      <c r="AK400">
        <v>116</v>
      </c>
      <c r="AL400">
        <v>58.15</v>
      </c>
      <c r="AM400">
        <v>2.62</v>
      </c>
      <c r="AN400">
        <v>0.3</v>
      </c>
      <c r="AO400">
        <v>55.23</v>
      </c>
      <c r="AP400">
        <v>0</v>
      </c>
      <c r="AQ400">
        <v>4.49</v>
      </c>
      <c r="AR400">
        <v>0</v>
      </c>
      <c r="AS400">
        <v>0</v>
      </c>
      <c r="AT400">
        <v>97</v>
      </c>
      <c r="AU400">
        <v>51</v>
      </c>
      <c r="AV400">
        <v>1.0469999999999999</v>
      </c>
      <c r="AW400">
        <v>1</v>
      </c>
      <c r="AZ400">
        <v>1</v>
      </c>
      <c r="BA400">
        <v>54.99</v>
      </c>
      <c r="BB400">
        <v>14.57</v>
      </c>
      <c r="BC400">
        <v>3.7</v>
      </c>
      <c r="BD400" t="s">
        <v>3</v>
      </c>
      <c r="BE400" t="s">
        <v>3</v>
      </c>
      <c r="BF400" t="s">
        <v>3</v>
      </c>
      <c r="BG400" t="s">
        <v>3</v>
      </c>
      <c r="BH400">
        <v>0</v>
      </c>
      <c r="BI400">
        <v>2</v>
      </c>
      <c r="BJ400" t="s">
        <v>97</v>
      </c>
      <c r="BM400">
        <v>67</v>
      </c>
      <c r="BN400">
        <v>55992028</v>
      </c>
      <c r="BO400" t="s">
        <v>95</v>
      </c>
      <c r="BP400">
        <v>1</v>
      </c>
      <c r="BQ400">
        <v>40</v>
      </c>
      <c r="BR400">
        <v>0</v>
      </c>
      <c r="BS400">
        <v>54.99</v>
      </c>
      <c r="BT400">
        <v>1</v>
      </c>
      <c r="BU400">
        <v>1</v>
      </c>
      <c r="BV400">
        <v>1</v>
      </c>
      <c r="BW400">
        <v>1</v>
      </c>
      <c r="BX400">
        <v>1</v>
      </c>
      <c r="BY400" t="s">
        <v>3</v>
      </c>
      <c r="BZ400">
        <v>97</v>
      </c>
      <c r="CA400">
        <v>51</v>
      </c>
      <c r="CB400" t="s">
        <v>3</v>
      </c>
      <c r="CE400">
        <v>30</v>
      </c>
      <c r="CF400">
        <v>0</v>
      </c>
      <c r="CG400">
        <v>0</v>
      </c>
      <c r="CM400">
        <v>0</v>
      </c>
      <c r="CN400" t="s">
        <v>673</v>
      </c>
      <c r="CO400">
        <v>0</v>
      </c>
      <c r="CP400">
        <f t="shared" si="299"/>
        <v>118343.54</v>
      </c>
      <c r="CQ400">
        <f t="shared" si="339"/>
        <v>215.16</v>
      </c>
      <c r="CR400">
        <f>(ROUND((ROUND((((ET400*1.1))*AV400*1),2)*BB400),2)+ROUND((ROUND(((AE400-((EU400*1.1)))*AV400*1),2)*BS400),2))</f>
        <v>44</v>
      </c>
      <c r="CS400">
        <f t="shared" si="300"/>
        <v>19.25</v>
      </c>
      <c r="CT400">
        <f t="shared" si="301"/>
        <v>3497.91</v>
      </c>
      <c r="CU400">
        <f t="shared" si="302"/>
        <v>0</v>
      </c>
      <c r="CV400">
        <f t="shared" si="303"/>
        <v>5.1711330000000011</v>
      </c>
      <c r="CW400">
        <f t="shared" si="304"/>
        <v>0</v>
      </c>
      <c r="CX400">
        <f t="shared" si="305"/>
        <v>0</v>
      </c>
      <c r="CY400">
        <f t="shared" si="306"/>
        <v>107456.1635</v>
      </c>
      <c r="CZ400">
        <f t="shared" si="307"/>
        <v>56497.570500000002</v>
      </c>
      <c r="DC400" t="s">
        <v>3</v>
      </c>
      <c r="DD400" t="s">
        <v>3</v>
      </c>
      <c r="DE400" t="s">
        <v>23</v>
      </c>
      <c r="DF400" t="s">
        <v>23</v>
      </c>
      <c r="DG400" t="s">
        <v>23</v>
      </c>
      <c r="DH400" t="s">
        <v>3</v>
      </c>
      <c r="DI400" t="s">
        <v>23</v>
      </c>
      <c r="DJ400" t="s">
        <v>23</v>
      </c>
      <c r="DK400" t="s">
        <v>3</v>
      </c>
      <c r="DL400" t="s">
        <v>3</v>
      </c>
      <c r="DM400" t="s">
        <v>3</v>
      </c>
      <c r="DN400">
        <v>0</v>
      </c>
      <c r="DO400">
        <v>0</v>
      </c>
      <c r="DP400">
        <v>1</v>
      </c>
      <c r="DQ400">
        <v>1</v>
      </c>
      <c r="DU400">
        <v>1003</v>
      </c>
      <c r="DV400" t="s">
        <v>77</v>
      </c>
      <c r="DW400" t="s">
        <v>77</v>
      </c>
      <c r="DX400">
        <v>100</v>
      </c>
      <c r="DZ400" t="s">
        <v>3</v>
      </c>
      <c r="EA400" t="s">
        <v>3</v>
      </c>
      <c r="EB400" t="s">
        <v>3</v>
      </c>
      <c r="EC400" t="s">
        <v>3</v>
      </c>
      <c r="EE400">
        <v>55992151</v>
      </c>
      <c r="EF400">
        <v>40</v>
      </c>
      <c r="EG400" t="s">
        <v>24</v>
      </c>
      <c r="EH400">
        <v>0</v>
      </c>
      <c r="EI400" t="s">
        <v>3</v>
      </c>
      <c r="EJ400">
        <v>2</v>
      </c>
      <c r="EK400">
        <v>67</v>
      </c>
      <c r="EL400" t="s">
        <v>79</v>
      </c>
      <c r="EM400" t="s">
        <v>80</v>
      </c>
      <c r="EO400" t="s">
        <v>27</v>
      </c>
      <c r="EQ400">
        <v>0</v>
      </c>
      <c r="ER400">
        <v>116</v>
      </c>
      <c r="ES400">
        <v>58.15</v>
      </c>
      <c r="ET400">
        <v>2.62</v>
      </c>
      <c r="EU400">
        <v>0.3</v>
      </c>
      <c r="EV400">
        <v>55.23</v>
      </c>
      <c r="EW400">
        <v>4.49</v>
      </c>
      <c r="EX400">
        <v>0</v>
      </c>
      <c r="EY400">
        <v>0</v>
      </c>
      <c r="FQ400">
        <v>0</v>
      </c>
      <c r="FR400">
        <v>0</v>
      </c>
      <c r="FS400">
        <v>0</v>
      </c>
      <c r="FX400">
        <v>97</v>
      </c>
      <c r="FY400">
        <v>51</v>
      </c>
      <c r="GA400" t="s">
        <v>3</v>
      </c>
      <c r="GD400">
        <v>1</v>
      </c>
      <c r="GF400">
        <v>770559996</v>
      </c>
      <c r="GG400">
        <v>2</v>
      </c>
      <c r="GH400">
        <v>1</v>
      </c>
      <c r="GI400">
        <v>2</v>
      </c>
      <c r="GJ400">
        <v>0</v>
      </c>
      <c r="GK400">
        <v>0</v>
      </c>
      <c r="GL400">
        <f t="shared" si="308"/>
        <v>0</v>
      </c>
      <c r="GM400">
        <f t="shared" si="309"/>
        <v>282297.27</v>
      </c>
      <c r="GN400">
        <f t="shared" si="310"/>
        <v>0</v>
      </c>
      <c r="GO400">
        <f t="shared" si="311"/>
        <v>282297.27</v>
      </c>
      <c r="GP400">
        <f t="shared" si="312"/>
        <v>0</v>
      </c>
      <c r="GR400">
        <v>0</v>
      </c>
      <c r="GS400">
        <v>3</v>
      </c>
      <c r="GT400">
        <v>0</v>
      </c>
      <c r="GU400" t="s">
        <v>3</v>
      </c>
      <c r="GV400">
        <f t="shared" si="313"/>
        <v>0</v>
      </c>
      <c r="GW400">
        <v>1</v>
      </c>
      <c r="GX400">
        <f t="shared" si="314"/>
        <v>0</v>
      </c>
      <c r="HA400">
        <v>0</v>
      </c>
      <c r="HB400">
        <v>0</v>
      </c>
      <c r="HC400">
        <f t="shared" si="315"/>
        <v>0</v>
      </c>
      <c r="HE400" t="s">
        <v>3</v>
      </c>
      <c r="HF400" t="s">
        <v>3</v>
      </c>
      <c r="HM400" t="s">
        <v>3</v>
      </c>
      <c r="HN400" t="s">
        <v>3</v>
      </c>
      <c r="HO400" t="s">
        <v>3</v>
      </c>
      <c r="HP400" t="s">
        <v>3</v>
      </c>
      <c r="HQ400" t="s">
        <v>3</v>
      </c>
      <c r="HS400">
        <v>0</v>
      </c>
      <c r="IK400">
        <v>0</v>
      </c>
    </row>
    <row r="401" spans="1:255" x14ac:dyDescent="0.2">
      <c r="A401" s="2">
        <v>18</v>
      </c>
      <c r="B401" s="2">
        <v>1</v>
      </c>
      <c r="C401" s="2">
        <v>294</v>
      </c>
      <c r="D401" s="2"/>
      <c r="E401" s="2" t="s">
        <v>428</v>
      </c>
      <c r="F401" s="2" t="s">
        <v>99</v>
      </c>
      <c r="G401" s="2" t="s">
        <v>100</v>
      </c>
      <c r="H401" s="2" t="s">
        <v>101</v>
      </c>
      <c r="I401" s="2">
        <f>I399*J401</f>
        <v>3213</v>
      </c>
      <c r="J401" s="2">
        <v>102</v>
      </c>
      <c r="K401" s="2">
        <v>102</v>
      </c>
      <c r="L401" s="2"/>
      <c r="M401" s="2"/>
      <c r="N401" s="2"/>
      <c r="O401" s="2">
        <f t="shared" si="286"/>
        <v>16322.04</v>
      </c>
      <c r="P401" s="2">
        <f t="shared" si="338"/>
        <v>16322.04</v>
      </c>
      <c r="Q401" s="2">
        <f>(ROUND((ROUND(((ET401)*AV401*I401),2)*BB401),2)+ROUND((ROUND(((AE401-(EU401))*AV401*I401),2)*BS401),2))</f>
        <v>0</v>
      </c>
      <c r="R401" s="2">
        <f t="shared" si="287"/>
        <v>0</v>
      </c>
      <c r="S401" s="2">
        <f t="shared" si="288"/>
        <v>0</v>
      </c>
      <c r="T401" s="2">
        <f t="shared" si="289"/>
        <v>0</v>
      </c>
      <c r="U401" s="2">
        <f t="shared" si="290"/>
        <v>0</v>
      </c>
      <c r="V401" s="2">
        <f t="shared" si="291"/>
        <v>0</v>
      </c>
      <c r="W401" s="2">
        <f t="shared" si="292"/>
        <v>0</v>
      </c>
      <c r="X401" s="2">
        <f t="shared" si="293"/>
        <v>0</v>
      </c>
      <c r="Y401" s="2">
        <f t="shared" si="294"/>
        <v>0</v>
      </c>
      <c r="Z401" s="2"/>
      <c r="AA401" s="2">
        <v>56959434</v>
      </c>
      <c r="AB401" s="2">
        <f t="shared" si="295"/>
        <v>5.08</v>
      </c>
      <c r="AC401" s="2">
        <f t="shared" si="296"/>
        <v>5.08</v>
      </c>
      <c r="AD401" s="2">
        <f>ROUND((((ET401)-(EU401))+AE401),6)</f>
        <v>0</v>
      </c>
      <c r="AE401" s="2">
        <f>ROUND((EU401),6)</f>
        <v>0</v>
      </c>
      <c r="AF401" s="2">
        <f>ROUND((EV401),6)</f>
        <v>0</v>
      </c>
      <c r="AG401" s="2">
        <f t="shared" si="297"/>
        <v>0</v>
      </c>
      <c r="AH401" s="2">
        <f>(EW401)</f>
        <v>0</v>
      </c>
      <c r="AI401" s="2">
        <f>(EX401)</f>
        <v>0</v>
      </c>
      <c r="AJ401" s="2">
        <f t="shared" si="298"/>
        <v>0</v>
      </c>
      <c r="AK401" s="2">
        <v>5.08</v>
      </c>
      <c r="AL401" s="2">
        <v>5.08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97</v>
      </c>
      <c r="AU401" s="2">
        <v>51</v>
      </c>
      <c r="AV401" s="2">
        <v>1</v>
      </c>
      <c r="AW401" s="2">
        <v>1</v>
      </c>
      <c r="AX401" s="2"/>
      <c r="AY401" s="2"/>
      <c r="AZ401" s="2">
        <v>1</v>
      </c>
      <c r="BA401" s="2">
        <v>1</v>
      </c>
      <c r="BB401" s="2">
        <v>1</v>
      </c>
      <c r="BC401" s="2">
        <v>1</v>
      </c>
      <c r="BD401" s="2" t="s">
        <v>3</v>
      </c>
      <c r="BE401" s="2" t="s">
        <v>3</v>
      </c>
      <c r="BF401" s="2" t="s">
        <v>3</v>
      </c>
      <c r="BG401" s="2" t="s">
        <v>3</v>
      </c>
      <c r="BH401" s="2">
        <v>3</v>
      </c>
      <c r="BI401" s="2">
        <v>2</v>
      </c>
      <c r="BJ401" s="2" t="s">
        <v>3</v>
      </c>
      <c r="BK401" s="2"/>
      <c r="BL401" s="2"/>
      <c r="BM401" s="2">
        <v>67</v>
      </c>
      <c r="BN401" s="2">
        <v>0</v>
      </c>
      <c r="BO401" s="2" t="s">
        <v>3</v>
      </c>
      <c r="BP401" s="2">
        <v>0</v>
      </c>
      <c r="BQ401" s="2">
        <v>40</v>
      </c>
      <c r="BR401" s="2">
        <v>0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 t="s">
        <v>3</v>
      </c>
      <c r="BZ401" s="2">
        <v>97</v>
      </c>
      <c r="CA401" s="2">
        <v>51</v>
      </c>
      <c r="CB401" s="2" t="s">
        <v>3</v>
      </c>
      <c r="CC401" s="2"/>
      <c r="CD401" s="2"/>
      <c r="CE401" s="2">
        <v>30</v>
      </c>
      <c r="CF401" s="2">
        <v>0</v>
      </c>
      <c r="CG401" s="2">
        <v>0</v>
      </c>
      <c r="CH401" s="2"/>
      <c r="CI401" s="2"/>
      <c r="CJ401" s="2"/>
      <c r="CK401" s="2"/>
      <c r="CL401" s="2"/>
      <c r="CM401" s="2">
        <v>0</v>
      </c>
      <c r="CN401" s="2" t="s">
        <v>3</v>
      </c>
      <c r="CO401" s="2">
        <v>0</v>
      </c>
      <c r="CP401" s="2">
        <f t="shared" si="299"/>
        <v>16322.04</v>
      </c>
      <c r="CQ401" s="2">
        <f t="shared" si="339"/>
        <v>5.08</v>
      </c>
      <c r="CR401" s="2">
        <f>(ROUND((ROUND(((ET401)*AV401*1),2)*BB401),2)+ROUND((ROUND(((AE401-(EU401))*AV401*1),2)*BS401),2))</f>
        <v>0</v>
      </c>
      <c r="CS401" s="2">
        <f t="shared" si="300"/>
        <v>0</v>
      </c>
      <c r="CT401" s="2">
        <f t="shared" si="301"/>
        <v>0</v>
      </c>
      <c r="CU401" s="2">
        <f t="shared" si="302"/>
        <v>0</v>
      </c>
      <c r="CV401" s="2">
        <f t="shared" si="303"/>
        <v>0</v>
      </c>
      <c r="CW401" s="2">
        <f t="shared" si="304"/>
        <v>0</v>
      </c>
      <c r="CX401" s="2">
        <f t="shared" si="305"/>
        <v>0</v>
      </c>
      <c r="CY401" s="2">
        <f t="shared" si="306"/>
        <v>0</v>
      </c>
      <c r="CZ401" s="2">
        <f t="shared" si="307"/>
        <v>0</v>
      </c>
      <c r="DA401" s="2"/>
      <c r="DB401" s="2"/>
      <c r="DC401" s="2" t="s">
        <v>3</v>
      </c>
      <c r="DD401" s="2" t="s">
        <v>3</v>
      </c>
      <c r="DE401" s="2" t="s">
        <v>3</v>
      </c>
      <c r="DF401" s="2" t="s">
        <v>3</v>
      </c>
      <c r="DG401" s="2" t="s">
        <v>3</v>
      </c>
      <c r="DH401" s="2" t="s">
        <v>3</v>
      </c>
      <c r="DI401" s="2" t="s">
        <v>3</v>
      </c>
      <c r="DJ401" s="2" t="s">
        <v>3</v>
      </c>
      <c r="DK401" s="2" t="s">
        <v>3</v>
      </c>
      <c r="DL401" s="2" t="s">
        <v>3</v>
      </c>
      <c r="DM401" s="2" t="s">
        <v>3</v>
      </c>
      <c r="DN401" s="2">
        <v>0</v>
      </c>
      <c r="DO401" s="2">
        <v>0</v>
      </c>
      <c r="DP401" s="2">
        <v>1</v>
      </c>
      <c r="DQ401" s="2">
        <v>1</v>
      </c>
      <c r="DR401" s="2"/>
      <c r="DS401" s="2"/>
      <c r="DT401" s="2"/>
      <c r="DU401" s="2">
        <v>1013</v>
      </c>
      <c r="DV401" s="2" t="s">
        <v>101</v>
      </c>
      <c r="DW401" s="2" t="s">
        <v>101</v>
      </c>
      <c r="DX401" s="2">
        <v>1</v>
      </c>
      <c r="DY401" s="2"/>
      <c r="DZ401" s="2" t="s">
        <v>3</v>
      </c>
      <c r="EA401" s="2" t="s">
        <v>3</v>
      </c>
      <c r="EB401" s="2" t="s">
        <v>3</v>
      </c>
      <c r="EC401" s="2" t="s">
        <v>3</v>
      </c>
      <c r="ED401" s="2"/>
      <c r="EE401" s="2">
        <v>55992151</v>
      </c>
      <c r="EF401" s="2">
        <v>40</v>
      </c>
      <c r="EG401" s="2" t="s">
        <v>24</v>
      </c>
      <c r="EH401" s="2">
        <v>0</v>
      </c>
      <c r="EI401" s="2" t="s">
        <v>3</v>
      </c>
      <c r="EJ401" s="2">
        <v>2</v>
      </c>
      <c r="EK401" s="2">
        <v>67</v>
      </c>
      <c r="EL401" s="2" t="s">
        <v>79</v>
      </c>
      <c r="EM401" s="2" t="s">
        <v>80</v>
      </c>
      <c r="EN401" s="2"/>
      <c r="EO401" s="2" t="s">
        <v>3</v>
      </c>
      <c r="EP401" s="2"/>
      <c r="EQ401" s="2">
        <v>0</v>
      </c>
      <c r="ER401" s="2">
        <v>0</v>
      </c>
      <c r="ES401" s="2">
        <v>5.08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>
        <v>0</v>
      </c>
      <c r="FR401" s="2">
        <v>0</v>
      </c>
      <c r="FS401" s="2">
        <v>0</v>
      </c>
      <c r="FT401" s="2"/>
      <c r="FU401" s="2"/>
      <c r="FV401" s="2"/>
      <c r="FW401" s="2"/>
      <c r="FX401" s="2">
        <v>97</v>
      </c>
      <c r="FY401" s="2">
        <v>51</v>
      </c>
      <c r="FZ401" s="2"/>
      <c r="GA401" s="2" t="s">
        <v>102</v>
      </c>
      <c r="GB401" s="2"/>
      <c r="GC401" s="2"/>
      <c r="GD401" s="2">
        <v>1</v>
      </c>
      <c r="GE401" s="2"/>
      <c r="GF401" s="2">
        <v>1285757954</v>
      </c>
      <c r="GG401" s="2">
        <v>2</v>
      </c>
      <c r="GH401" s="2">
        <v>4</v>
      </c>
      <c r="GI401" s="2">
        <v>-2</v>
      </c>
      <c r="GJ401" s="2">
        <v>0</v>
      </c>
      <c r="GK401" s="2">
        <v>0</v>
      </c>
      <c r="GL401" s="2">
        <f t="shared" si="308"/>
        <v>0</v>
      </c>
      <c r="GM401" s="2">
        <f t="shared" si="309"/>
        <v>16322.04</v>
      </c>
      <c r="GN401" s="2">
        <f t="shared" si="310"/>
        <v>0</v>
      </c>
      <c r="GO401" s="2">
        <f t="shared" si="311"/>
        <v>16322.04</v>
      </c>
      <c r="GP401" s="2">
        <f t="shared" si="312"/>
        <v>0</v>
      </c>
      <c r="GQ401" s="2"/>
      <c r="GR401" s="2">
        <v>0</v>
      </c>
      <c r="GS401" s="2">
        <v>2</v>
      </c>
      <c r="GT401" s="2">
        <v>0</v>
      </c>
      <c r="GU401" s="2" t="s">
        <v>3</v>
      </c>
      <c r="GV401" s="2">
        <f t="shared" si="313"/>
        <v>0</v>
      </c>
      <c r="GW401" s="2">
        <v>1</v>
      </c>
      <c r="GX401" s="2">
        <f t="shared" si="314"/>
        <v>0</v>
      </c>
      <c r="GY401" s="2"/>
      <c r="GZ401" s="2"/>
      <c r="HA401" s="2">
        <v>0</v>
      </c>
      <c r="HB401" s="2">
        <v>0</v>
      </c>
      <c r="HC401" s="2">
        <f t="shared" si="315"/>
        <v>0</v>
      </c>
      <c r="HD401" s="2"/>
      <c r="HE401" s="2" t="s">
        <v>103</v>
      </c>
      <c r="HF401" s="2" t="s">
        <v>28</v>
      </c>
      <c r="HG401" s="2"/>
      <c r="HH401" s="2"/>
      <c r="HI401" s="2"/>
      <c r="HJ401" s="2"/>
      <c r="HK401" s="2"/>
      <c r="HL401" s="2"/>
      <c r="HM401" s="2" t="s">
        <v>3</v>
      </c>
      <c r="HN401" s="2" t="s">
        <v>3</v>
      </c>
      <c r="HO401" s="2" t="s">
        <v>3</v>
      </c>
      <c r="HP401" s="2" t="s">
        <v>3</v>
      </c>
      <c r="HQ401" s="2" t="s">
        <v>3</v>
      </c>
      <c r="HR401" s="2"/>
      <c r="HS401" s="2">
        <v>0</v>
      </c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>
        <v>0</v>
      </c>
      <c r="IL401" s="2"/>
      <c r="IM401" s="2"/>
      <c r="IN401" s="2"/>
      <c r="IO401" s="2"/>
      <c r="IP401" s="2"/>
      <c r="IQ401" s="2"/>
      <c r="IR401" s="2"/>
      <c r="IS401" s="2"/>
      <c r="IT401" s="2"/>
      <c r="IU401" s="2"/>
    </row>
    <row r="402" spans="1:255" x14ac:dyDescent="0.2">
      <c r="A402">
        <v>18</v>
      </c>
      <c r="B402">
        <v>1</v>
      </c>
      <c r="C402">
        <v>304</v>
      </c>
      <c r="E402" t="s">
        <v>428</v>
      </c>
      <c r="F402" t="s">
        <v>99</v>
      </c>
      <c r="G402" t="s">
        <v>100</v>
      </c>
      <c r="H402" t="s">
        <v>101</v>
      </c>
      <c r="I402">
        <f>I400*J402</f>
        <v>3213</v>
      </c>
      <c r="J402">
        <v>102</v>
      </c>
      <c r="K402">
        <v>102</v>
      </c>
      <c r="O402">
        <f t="shared" si="286"/>
        <v>161261.76000000001</v>
      </c>
      <c r="P402">
        <f t="shared" si="338"/>
        <v>161261.76000000001</v>
      </c>
      <c r="Q402">
        <f>(ROUND((ROUND(((ET402)*AV402*I402),2)*BB402),2)+ROUND((ROUND(((AE402-(EU402))*AV402*I402),2)*BS402),2))</f>
        <v>0</v>
      </c>
      <c r="R402">
        <f t="shared" si="287"/>
        <v>0</v>
      </c>
      <c r="S402">
        <f t="shared" si="288"/>
        <v>0</v>
      </c>
      <c r="T402">
        <f t="shared" si="289"/>
        <v>0</v>
      </c>
      <c r="U402">
        <f t="shared" si="290"/>
        <v>0</v>
      </c>
      <c r="V402">
        <f t="shared" si="291"/>
        <v>0</v>
      </c>
      <c r="W402">
        <f t="shared" si="292"/>
        <v>0</v>
      </c>
      <c r="X402">
        <f t="shared" si="293"/>
        <v>0</v>
      </c>
      <c r="Y402">
        <f t="shared" si="294"/>
        <v>0</v>
      </c>
      <c r="AA402">
        <v>56959431</v>
      </c>
      <c r="AB402">
        <f t="shared" si="295"/>
        <v>5.08</v>
      </c>
      <c r="AC402">
        <f t="shared" si="296"/>
        <v>5.08</v>
      </c>
      <c r="AD402">
        <f>ROUND((((ET402)-(EU402))+AE402),6)</f>
        <v>0</v>
      </c>
      <c r="AE402">
        <f>ROUND((EU402),6)</f>
        <v>0</v>
      </c>
      <c r="AF402">
        <f>ROUND((EV402),6)</f>
        <v>0</v>
      </c>
      <c r="AG402">
        <f t="shared" si="297"/>
        <v>0</v>
      </c>
      <c r="AH402">
        <f>(EW402)</f>
        <v>0</v>
      </c>
      <c r="AI402">
        <f>(EX402)</f>
        <v>0</v>
      </c>
      <c r="AJ402">
        <f t="shared" si="298"/>
        <v>0</v>
      </c>
      <c r="AK402">
        <v>5.08</v>
      </c>
      <c r="AL402">
        <v>5.08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97</v>
      </c>
      <c r="AU402">
        <v>51</v>
      </c>
      <c r="AV402">
        <v>1</v>
      </c>
      <c r="AW402">
        <v>1</v>
      </c>
      <c r="AZ402">
        <v>1</v>
      </c>
      <c r="BA402">
        <v>1</v>
      </c>
      <c r="BB402">
        <v>1</v>
      </c>
      <c r="BC402">
        <v>9.8800000000000008</v>
      </c>
      <c r="BD402" t="s">
        <v>3</v>
      </c>
      <c r="BE402" t="s">
        <v>3</v>
      </c>
      <c r="BF402" t="s">
        <v>3</v>
      </c>
      <c r="BG402" t="s">
        <v>3</v>
      </c>
      <c r="BH402">
        <v>3</v>
      </c>
      <c r="BI402">
        <v>2</v>
      </c>
      <c r="BJ402" t="s">
        <v>3</v>
      </c>
      <c r="BM402">
        <v>67</v>
      </c>
      <c r="BN402">
        <v>0</v>
      </c>
      <c r="BO402" t="s">
        <v>3</v>
      </c>
      <c r="BP402">
        <v>0</v>
      </c>
      <c r="BQ402">
        <v>40</v>
      </c>
      <c r="BR402">
        <v>0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 t="s">
        <v>3</v>
      </c>
      <c r="BZ402">
        <v>97</v>
      </c>
      <c r="CA402">
        <v>51</v>
      </c>
      <c r="CB402" t="s">
        <v>3</v>
      </c>
      <c r="CE402">
        <v>30</v>
      </c>
      <c r="CF402">
        <v>0</v>
      </c>
      <c r="CG402">
        <v>0</v>
      </c>
      <c r="CM402">
        <v>0</v>
      </c>
      <c r="CN402" t="s">
        <v>3</v>
      </c>
      <c r="CO402">
        <v>0</v>
      </c>
      <c r="CP402">
        <f t="shared" si="299"/>
        <v>161261.76000000001</v>
      </c>
      <c r="CQ402">
        <f t="shared" si="339"/>
        <v>50.19</v>
      </c>
      <c r="CR402">
        <f>(ROUND((ROUND(((ET402)*AV402*1),2)*BB402),2)+ROUND((ROUND(((AE402-(EU402))*AV402*1),2)*BS402),2))</f>
        <v>0</v>
      </c>
      <c r="CS402">
        <f t="shared" si="300"/>
        <v>0</v>
      </c>
      <c r="CT402">
        <f t="shared" si="301"/>
        <v>0</v>
      </c>
      <c r="CU402">
        <f t="shared" si="302"/>
        <v>0</v>
      </c>
      <c r="CV402">
        <f t="shared" si="303"/>
        <v>0</v>
      </c>
      <c r="CW402">
        <f t="shared" si="304"/>
        <v>0</v>
      </c>
      <c r="CX402">
        <f t="shared" si="305"/>
        <v>0</v>
      </c>
      <c r="CY402">
        <f t="shared" si="306"/>
        <v>0</v>
      </c>
      <c r="CZ402">
        <f t="shared" si="307"/>
        <v>0</v>
      </c>
      <c r="DC402" t="s">
        <v>3</v>
      </c>
      <c r="DD402" t="s">
        <v>3</v>
      </c>
      <c r="DE402" t="s">
        <v>3</v>
      </c>
      <c r="DF402" t="s">
        <v>3</v>
      </c>
      <c r="DG402" t="s">
        <v>3</v>
      </c>
      <c r="DH402" t="s">
        <v>3</v>
      </c>
      <c r="DI402" t="s">
        <v>3</v>
      </c>
      <c r="DJ402" t="s">
        <v>3</v>
      </c>
      <c r="DK402" t="s">
        <v>3</v>
      </c>
      <c r="DL402" t="s">
        <v>3</v>
      </c>
      <c r="DM402" t="s">
        <v>3</v>
      </c>
      <c r="DN402">
        <v>0</v>
      </c>
      <c r="DO402">
        <v>0</v>
      </c>
      <c r="DP402">
        <v>1</v>
      </c>
      <c r="DQ402">
        <v>1</v>
      </c>
      <c r="DU402">
        <v>1013</v>
      </c>
      <c r="DV402" t="s">
        <v>101</v>
      </c>
      <c r="DW402" t="s">
        <v>101</v>
      </c>
      <c r="DX402">
        <v>1</v>
      </c>
      <c r="DZ402" t="s">
        <v>3</v>
      </c>
      <c r="EA402" t="s">
        <v>3</v>
      </c>
      <c r="EB402" t="s">
        <v>3</v>
      </c>
      <c r="EC402" t="s">
        <v>3</v>
      </c>
      <c r="EE402">
        <v>55992151</v>
      </c>
      <c r="EF402">
        <v>40</v>
      </c>
      <c r="EG402" t="s">
        <v>24</v>
      </c>
      <c r="EH402">
        <v>0</v>
      </c>
      <c r="EI402" t="s">
        <v>3</v>
      </c>
      <c r="EJ402">
        <v>2</v>
      </c>
      <c r="EK402">
        <v>67</v>
      </c>
      <c r="EL402" t="s">
        <v>79</v>
      </c>
      <c r="EM402" t="s">
        <v>80</v>
      </c>
      <c r="EO402" t="s">
        <v>3</v>
      </c>
      <c r="EQ402">
        <v>0</v>
      </c>
      <c r="ER402">
        <v>5.08</v>
      </c>
      <c r="ES402">
        <v>5.08</v>
      </c>
      <c r="ET402">
        <v>0</v>
      </c>
      <c r="EU402">
        <v>0</v>
      </c>
      <c r="EV402">
        <v>0</v>
      </c>
      <c r="EW402">
        <v>0</v>
      </c>
      <c r="EX402">
        <v>0</v>
      </c>
      <c r="EZ402">
        <v>5</v>
      </c>
      <c r="FC402">
        <v>1</v>
      </c>
      <c r="FD402">
        <v>18</v>
      </c>
      <c r="FF402">
        <v>59</v>
      </c>
      <c r="FQ402">
        <v>0</v>
      </c>
      <c r="FR402">
        <v>0</v>
      </c>
      <c r="FS402">
        <v>0</v>
      </c>
      <c r="FX402">
        <v>97</v>
      </c>
      <c r="FY402">
        <v>51</v>
      </c>
      <c r="GA402" t="s">
        <v>102</v>
      </c>
      <c r="GD402">
        <v>1</v>
      </c>
      <c r="GF402">
        <v>1285757954</v>
      </c>
      <c r="GG402">
        <v>2</v>
      </c>
      <c r="GH402">
        <v>3</v>
      </c>
      <c r="GI402">
        <v>5</v>
      </c>
      <c r="GJ402">
        <v>0</v>
      </c>
      <c r="GK402">
        <v>0</v>
      </c>
      <c r="GL402">
        <f t="shared" si="308"/>
        <v>0</v>
      </c>
      <c r="GM402">
        <f t="shared" si="309"/>
        <v>161261.76000000001</v>
      </c>
      <c r="GN402">
        <f t="shared" si="310"/>
        <v>0</v>
      </c>
      <c r="GO402">
        <f t="shared" si="311"/>
        <v>161261.76000000001</v>
      </c>
      <c r="GP402">
        <f t="shared" si="312"/>
        <v>0</v>
      </c>
      <c r="GR402">
        <v>1</v>
      </c>
      <c r="GS402">
        <v>1</v>
      </c>
      <c r="GT402">
        <v>0</v>
      </c>
      <c r="GU402" t="s">
        <v>3</v>
      </c>
      <c r="GV402">
        <f t="shared" si="313"/>
        <v>0</v>
      </c>
      <c r="GW402">
        <v>1</v>
      </c>
      <c r="GX402">
        <f t="shared" si="314"/>
        <v>0</v>
      </c>
      <c r="HA402">
        <v>0</v>
      </c>
      <c r="HB402">
        <v>0</v>
      </c>
      <c r="HC402">
        <f t="shared" si="315"/>
        <v>0</v>
      </c>
      <c r="HE402" t="s">
        <v>103</v>
      </c>
      <c r="HF402" t="s">
        <v>28</v>
      </c>
      <c r="HM402" t="s">
        <v>3</v>
      </c>
      <c r="HN402" t="s">
        <v>3</v>
      </c>
      <c r="HO402" t="s">
        <v>3</v>
      </c>
      <c r="HP402" t="s">
        <v>3</v>
      </c>
      <c r="HQ402" t="s">
        <v>3</v>
      </c>
      <c r="HS402">
        <v>0</v>
      </c>
      <c r="IK402">
        <v>0</v>
      </c>
    </row>
    <row r="404" spans="1:255" x14ac:dyDescent="0.2">
      <c r="A404" s="3">
        <v>51</v>
      </c>
      <c r="B404" s="3">
        <f>B353</f>
        <v>1</v>
      </c>
      <c r="C404" s="3">
        <f>A353</f>
        <v>4</v>
      </c>
      <c r="D404" s="3">
        <f>ROW(A353)</f>
        <v>353</v>
      </c>
      <c r="E404" s="3"/>
      <c r="F404" s="3" t="str">
        <f>IF(F353&lt;&gt;"",F353,"")</f>
        <v>Новый раздел</v>
      </c>
      <c r="G404" s="3" t="str">
        <f>IF(G353&lt;&gt;"",G353,"")</f>
        <v>Аппаратура в щитах автоматизации</v>
      </c>
      <c r="H404" s="3">
        <v>0</v>
      </c>
      <c r="I404" s="3"/>
      <c r="J404" s="3"/>
      <c r="K404" s="3"/>
      <c r="L404" s="3"/>
      <c r="M404" s="3"/>
      <c r="N404" s="3"/>
      <c r="O404" s="3">
        <f t="shared" ref="O404:T404" si="340">ROUND(AB404,2)</f>
        <v>1273286.44</v>
      </c>
      <c r="P404" s="3">
        <f t="shared" si="340"/>
        <v>1257898.1200000001</v>
      </c>
      <c r="Q404" s="3">
        <f t="shared" si="340"/>
        <v>1597.35</v>
      </c>
      <c r="R404" s="3">
        <f t="shared" si="340"/>
        <v>245.6</v>
      </c>
      <c r="S404" s="3">
        <f t="shared" si="340"/>
        <v>13790.97</v>
      </c>
      <c r="T404" s="3">
        <f t="shared" si="340"/>
        <v>0</v>
      </c>
      <c r="U404" s="3">
        <f>AH404</f>
        <v>1117.2699284999999</v>
      </c>
      <c r="V404" s="3">
        <f>AI404</f>
        <v>0</v>
      </c>
      <c r="W404" s="3">
        <f>ROUND(AJ404,2)</f>
        <v>0</v>
      </c>
      <c r="X404" s="3">
        <f>ROUND(AK404,2)</f>
        <v>13276.67</v>
      </c>
      <c r="Y404" s="3">
        <f>ROUND(AL404,2)</f>
        <v>6916.66</v>
      </c>
      <c r="Z404" s="3"/>
      <c r="AA404" s="3"/>
      <c r="AB404" s="3">
        <f>ROUND(SUMIF(AA357:AA402,"=56959434",O357:O402),2)</f>
        <v>1273286.44</v>
      </c>
      <c r="AC404" s="3">
        <f>ROUND(SUMIF(AA357:AA402,"=56959434",P357:P402),2)</f>
        <v>1257898.1200000001</v>
      </c>
      <c r="AD404" s="3">
        <f>ROUND(SUMIF(AA357:AA402,"=56959434",Q357:Q402),2)</f>
        <v>1597.35</v>
      </c>
      <c r="AE404" s="3">
        <f>ROUND(SUMIF(AA357:AA402,"=56959434",R357:R402),2)</f>
        <v>245.6</v>
      </c>
      <c r="AF404" s="3">
        <f>ROUND(SUMIF(AA357:AA402,"=56959434",S357:S402),2)</f>
        <v>13790.97</v>
      </c>
      <c r="AG404" s="3">
        <f>ROUND(SUMIF(AA357:AA402,"=56959434",T357:T402),2)</f>
        <v>0</v>
      </c>
      <c r="AH404" s="3">
        <f>SUMIF(AA357:AA402,"=56959434",U357:U402)</f>
        <v>1117.2699284999999</v>
      </c>
      <c r="AI404" s="3">
        <f>SUMIF(AA357:AA402,"=56959434",V357:V402)</f>
        <v>0</v>
      </c>
      <c r="AJ404" s="3">
        <f>ROUND(SUMIF(AA357:AA402,"=56959434",W357:W402),2)</f>
        <v>0</v>
      </c>
      <c r="AK404" s="3">
        <f>ROUND(SUMIF(AA357:AA402,"=56959434",X357:X402),2)</f>
        <v>13276.67</v>
      </c>
      <c r="AL404" s="3">
        <f>ROUND(SUMIF(AA357:AA402,"=56959434",Y357:Y402),2)</f>
        <v>6916.66</v>
      </c>
      <c r="AM404" s="3"/>
      <c r="AN404" s="3"/>
      <c r="AO404" s="3">
        <f t="shared" ref="AO404:BD404" si="341">ROUND(BX404,2)</f>
        <v>0</v>
      </c>
      <c r="AP404" s="3">
        <f t="shared" si="341"/>
        <v>1213063.32</v>
      </c>
      <c r="AQ404" s="3">
        <f t="shared" si="341"/>
        <v>0</v>
      </c>
      <c r="AR404" s="3">
        <f t="shared" si="341"/>
        <v>1293479.77</v>
      </c>
      <c r="AS404" s="3">
        <f t="shared" si="341"/>
        <v>0</v>
      </c>
      <c r="AT404" s="3">
        <f t="shared" si="341"/>
        <v>80416.45</v>
      </c>
      <c r="AU404" s="3">
        <f t="shared" si="341"/>
        <v>0</v>
      </c>
      <c r="AV404" s="3">
        <f t="shared" si="341"/>
        <v>1257898.1200000001</v>
      </c>
      <c r="AW404" s="3">
        <f t="shared" si="341"/>
        <v>44834.8</v>
      </c>
      <c r="AX404" s="3">
        <f t="shared" si="341"/>
        <v>0</v>
      </c>
      <c r="AY404" s="3">
        <f t="shared" si="341"/>
        <v>44834.8</v>
      </c>
      <c r="AZ404" s="3">
        <f t="shared" si="341"/>
        <v>1213063.32</v>
      </c>
      <c r="BA404" s="3">
        <f t="shared" si="341"/>
        <v>0</v>
      </c>
      <c r="BB404" s="3">
        <f t="shared" si="341"/>
        <v>0</v>
      </c>
      <c r="BC404" s="3">
        <f t="shared" si="341"/>
        <v>0</v>
      </c>
      <c r="BD404" s="3">
        <f t="shared" si="341"/>
        <v>0</v>
      </c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>
        <f>ROUND(SUMIF(AA357:AA402,"=56959434",FQ357:FQ402),2)</f>
        <v>0</v>
      </c>
      <c r="BY404" s="3">
        <f>ROUND(SUMIF(AA357:AA402,"=56959434",FR357:FR402),2)</f>
        <v>1213063.32</v>
      </c>
      <c r="BZ404" s="3">
        <f>ROUND(SUMIF(AA357:AA402,"=56959434",GL357:GL402),2)</f>
        <v>0</v>
      </c>
      <c r="CA404" s="3">
        <f>ROUND(SUMIF(AA357:AA402,"=56959434",GM357:GM402),2)</f>
        <v>1293479.77</v>
      </c>
      <c r="CB404" s="3">
        <f>ROUND(SUMIF(AA357:AA402,"=56959434",GN357:GN402),2)</f>
        <v>0</v>
      </c>
      <c r="CC404" s="3">
        <f>ROUND(SUMIF(AA357:AA402,"=56959434",GO357:GO402),2)</f>
        <v>80416.45</v>
      </c>
      <c r="CD404" s="3">
        <f>ROUND(SUMIF(AA357:AA402,"=56959434",GP357:GP402),2)</f>
        <v>0</v>
      </c>
      <c r="CE404" s="3">
        <f>AC404-BX404</f>
        <v>1257898.1200000001</v>
      </c>
      <c r="CF404" s="3">
        <f>AC404-BY404</f>
        <v>44834.800000000047</v>
      </c>
      <c r="CG404" s="3">
        <f>BX404-BZ404</f>
        <v>0</v>
      </c>
      <c r="CH404" s="3">
        <f>AC404-BX404-BY404+BZ404</f>
        <v>44834.800000000047</v>
      </c>
      <c r="CI404" s="3">
        <f>BY404-BZ404</f>
        <v>1213063.32</v>
      </c>
      <c r="CJ404" s="3">
        <f>ROUND(SUMIF(AA357:AA402,"=56959434",GX357:GX402),2)</f>
        <v>0</v>
      </c>
      <c r="CK404" s="3">
        <f>ROUND(SUMIF(AA357:AA402,"=56959434",GY357:GY402),2)</f>
        <v>0</v>
      </c>
      <c r="CL404" s="3">
        <f>ROUND(SUMIF(AA357:AA402,"=56959434",GZ357:GZ402),2)</f>
        <v>0</v>
      </c>
      <c r="CM404" s="3">
        <f>ROUND(SUMIF(AA357:AA402,"=56959434",HD357:HD402),2)</f>
        <v>0</v>
      </c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4">
        <f t="shared" ref="DG404:DL404" si="342">ROUND(DT404,2)</f>
        <v>10415920</v>
      </c>
      <c r="DH404" s="4">
        <f t="shared" si="342"/>
        <v>9630518.5500000007</v>
      </c>
      <c r="DI404" s="4">
        <f t="shared" si="342"/>
        <v>27036.01</v>
      </c>
      <c r="DJ404" s="4">
        <f t="shared" si="342"/>
        <v>13505.54</v>
      </c>
      <c r="DK404" s="4">
        <f t="shared" si="342"/>
        <v>758365.44</v>
      </c>
      <c r="DL404" s="4">
        <f t="shared" si="342"/>
        <v>0</v>
      </c>
      <c r="DM404" s="4">
        <f>DZ404</f>
        <v>1117.2699284999999</v>
      </c>
      <c r="DN404" s="4">
        <f>EA404</f>
        <v>0</v>
      </c>
      <c r="DO404" s="4">
        <f>ROUND(EB404,2)</f>
        <v>0</v>
      </c>
      <c r="DP404" s="4">
        <f>ROUND(EC404,2)</f>
        <v>730084.36</v>
      </c>
      <c r="DQ404" s="4">
        <f>ROUND(ED404,2)</f>
        <v>380346.7</v>
      </c>
      <c r="DR404" s="4"/>
      <c r="DS404" s="4"/>
      <c r="DT404" s="4">
        <f>ROUND(SUMIF(AA357:AA402,"=56959431",O357:O402),2)</f>
        <v>10415920</v>
      </c>
      <c r="DU404" s="4">
        <f>ROUND(SUMIF(AA357:AA402,"=56959431",P357:P402),2)</f>
        <v>9630518.5500000007</v>
      </c>
      <c r="DV404" s="4">
        <f>ROUND(SUMIF(AA357:AA402,"=56959431",Q357:Q402),2)</f>
        <v>27036.01</v>
      </c>
      <c r="DW404" s="4">
        <f>ROUND(SUMIF(AA357:AA402,"=56959431",R357:R402),2)</f>
        <v>13505.54</v>
      </c>
      <c r="DX404" s="4">
        <f>ROUND(SUMIF(AA357:AA402,"=56959431",S357:S402),2)</f>
        <v>758365.44</v>
      </c>
      <c r="DY404" s="4">
        <f>ROUND(SUMIF(AA357:AA402,"=56959431",T357:T402),2)</f>
        <v>0</v>
      </c>
      <c r="DZ404" s="4">
        <f>SUMIF(AA357:AA402,"=56959431",U357:U402)</f>
        <v>1117.2699284999999</v>
      </c>
      <c r="EA404" s="4">
        <f>SUMIF(AA357:AA402,"=56959431",V357:V402)</f>
        <v>0</v>
      </c>
      <c r="EB404" s="4">
        <f>ROUND(SUMIF(AA357:AA402,"=56959431",W357:W402),2)</f>
        <v>0</v>
      </c>
      <c r="EC404" s="4">
        <f>ROUND(SUMIF(AA357:AA402,"=56959431",X357:X402),2)</f>
        <v>730084.36</v>
      </c>
      <c r="ED404" s="4">
        <f>ROUND(SUMIF(AA357:AA402,"=56959431",Y357:Y402),2)</f>
        <v>380346.7</v>
      </c>
      <c r="EE404" s="4"/>
      <c r="EF404" s="4"/>
      <c r="EG404" s="4">
        <f t="shared" ref="EG404:EV404" si="343">ROUND(FP404,2)</f>
        <v>0</v>
      </c>
      <c r="EH404" s="4">
        <f t="shared" si="343"/>
        <v>9292065.0199999996</v>
      </c>
      <c r="EI404" s="4">
        <f t="shared" si="343"/>
        <v>0</v>
      </c>
      <c r="EJ404" s="4">
        <f t="shared" si="343"/>
        <v>11526351.060000001</v>
      </c>
      <c r="EK404" s="4">
        <f t="shared" si="343"/>
        <v>0</v>
      </c>
      <c r="EL404" s="4">
        <f t="shared" si="343"/>
        <v>2234286.04</v>
      </c>
      <c r="EM404" s="4">
        <f t="shared" si="343"/>
        <v>0</v>
      </c>
      <c r="EN404" s="4">
        <f t="shared" si="343"/>
        <v>9630518.5500000007</v>
      </c>
      <c r="EO404" s="4">
        <f t="shared" si="343"/>
        <v>338453.53</v>
      </c>
      <c r="EP404" s="4">
        <f t="shared" si="343"/>
        <v>0</v>
      </c>
      <c r="EQ404" s="4">
        <f t="shared" si="343"/>
        <v>338453.53</v>
      </c>
      <c r="ER404" s="4">
        <f t="shared" si="343"/>
        <v>9292065.0199999996</v>
      </c>
      <c r="ES404" s="4">
        <f t="shared" si="343"/>
        <v>0</v>
      </c>
      <c r="ET404" s="4">
        <f t="shared" si="343"/>
        <v>0</v>
      </c>
      <c r="EU404" s="4">
        <f t="shared" si="343"/>
        <v>0</v>
      </c>
      <c r="EV404" s="4">
        <f t="shared" si="343"/>
        <v>0</v>
      </c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>
        <f>ROUND(SUMIF(AA357:AA402,"=56959431",FQ357:FQ402),2)</f>
        <v>0</v>
      </c>
      <c r="FQ404" s="4">
        <f>ROUND(SUMIF(AA357:AA402,"=56959431",FR357:FR402),2)</f>
        <v>9292065.0199999996</v>
      </c>
      <c r="FR404" s="4">
        <f>ROUND(SUMIF(AA357:AA402,"=56959431",GL357:GL402),2)</f>
        <v>0</v>
      </c>
      <c r="FS404" s="4">
        <f>ROUND(SUMIF(AA357:AA402,"=56959431",GM357:GM402),2)</f>
        <v>11526351.060000001</v>
      </c>
      <c r="FT404" s="4">
        <f>ROUND(SUMIF(AA357:AA402,"=56959431",GN357:GN402),2)</f>
        <v>0</v>
      </c>
      <c r="FU404" s="4">
        <f>ROUND(SUMIF(AA357:AA402,"=56959431",GO357:GO402),2)</f>
        <v>2234286.04</v>
      </c>
      <c r="FV404" s="4">
        <f>ROUND(SUMIF(AA357:AA402,"=56959431",GP357:GP402),2)</f>
        <v>0</v>
      </c>
      <c r="FW404" s="4">
        <f>DU404-FP404</f>
        <v>9630518.5500000007</v>
      </c>
      <c r="FX404" s="4">
        <f>DU404-FQ404</f>
        <v>338453.53000000119</v>
      </c>
      <c r="FY404" s="4">
        <f>FP404-FR404</f>
        <v>0</v>
      </c>
      <c r="FZ404" s="4">
        <f>DU404-FP404-FQ404+FR404</f>
        <v>338453.53000000119</v>
      </c>
      <c r="GA404" s="4">
        <f>FQ404-FR404</f>
        <v>9292065.0199999996</v>
      </c>
      <c r="GB404" s="4">
        <f>ROUND(SUMIF(AA357:AA402,"=56959431",GX357:GX402),2)</f>
        <v>0</v>
      </c>
      <c r="GC404" s="4">
        <f>ROUND(SUMIF(AA357:AA402,"=56959431",GY357:GY402),2)</f>
        <v>0</v>
      </c>
      <c r="GD404" s="4">
        <f>ROUND(SUMIF(AA357:AA402,"=56959431",GZ357:GZ402),2)</f>
        <v>0</v>
      </c>
      <c r="GE404" s="4">
        <f>ROUND(SUMIF(AA357:AA402,"=56959431",HD357:HD402),2)</f>
        <v>0</v>
      </c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>
        <v>0</v>
      </c>
    </row>
    <row r="406" spans="1:255" x14ac:dyDescent="0.2">
      <c r="A406" s="5">
        <v>50</v>
      </c>
      <c r="B406" s="5">
        <v>0</v>
      </c>
      <c r="C406" s="5">
        <v>0</v>
      </c>
      <c r="D406" s="5">
        <v>1</v>
      </c>
      <c r="E406" s="5">
        <v>201</v>
      </c>
      <c r="F406" s="5">
        <f>ROUND(Source!O404,O406)</f>
        <v>1273286.44</v>
      </c>
      <c r="G406" s="5" t="s">
        <v>118</v>
      </c>
      <c r="H406" s="5" t="s">
        <v>119</v>
      </c>
      <c r="I406" s="5"/>
      <c r="J406" s="5"/>
      <c r="K406" s="5">
        <v>201</v>
      </c>
      <c r="L406" s="5">
        <v>1</v>
      </c>
      <c r="M406" s="5">
        <v>3</v>
      </c>
      <c r="N406" s="5" t="s">
        <v>3</v>
      </c>
      <c r="O406" s="5">
        <v>2</v>
      </c>
      <c r="P406" s="5">
        <f>ROUND(Source!DG404,O406)</f>
        <v>10415920</v>
      </c>
      <c r="Q406" s="5"/>
      <c r="R406" s="5"/>
      <c r="S406" s="5"/>
      <c r="T406" s="5"/>
      <c r="U406" s="5"/>
      <c r="V406" s="5"/>
      <c r="W406" s="5">
        <v>1273286.44</v>
      </c>
      <c r="X406" s="5">
        <v>1</v>
      </c>
      <c r="Y406" s="5">
        <v>1273286.44</v>
      </c>
      <c r="Z406" s="5">
        <v>10415920</v>
      </c>
      <c r="AA406" s="5">
        <v>1</v>
      </c>
      <c r="AB406" s="5">
        <v>10415920</v>
      </c>
    </row>
    <row r="407" spans="1:255" x14ac:dyDescent="0.2">
      <c r="A407" s="5">
        <v>50</v>
      </c>
      <c r="B407" s="5">
        <v>0</v>
      </c>
      <c r="C407" s="5">
        <v>0</v>
      </c>
      <c r="D407" s="5">
        <v>1</v>
      </c>
      <c r="E407" s="5">
        <v>202</v>
      </c>
      <c r="F407" s="5">
        <f>ROUND(Source!P404,O407)</f>
        <v>1257898.1200000001</v>
      </c>
      <c r="G407" s="5" t="s">
        <v>120</v>
      </c>
      <c r="H407" s="5" t="s">
        <v>121</v>
      </c>
      <c r="I407" s="5"/>
      <c r="J407" s="5"/>
      <c r="K407" s="5">
        <v>202</v>
      </c>
      <c r="L407" s="5">
        <v>2</v>
      </c>
      <c r="M407" s="5">
        <v>3</v>
      </c>
      <c r="N407" s="5" t="s">
        <v>3</v>
      </c>
      <c r="O407" s="5">
        <v>2</v>
      </c>
      <c r="P407" s="5">
        <f>ROUND(Source!DH404,O407)</f>
        <v>9630518.5500000007</v>
      </c>
      <c r="Q407" s="5"/>
      <c r="R407" s="5"/>
      <c r="S407" s="5"/>
      <c r="T407" s="5"/>
      <c r="U407" s="5"/>
      <c r="V407" s="5"/>
      <c r="W407" s="5">
        <v>1257898.1200000001</v>
      </c>
      <c r="X407" s="5">
        <v>1</v>
      </c>
      <c r="Y407" s="5">
        <v>1257898.1200000001</v>
      </c>
      <c r="Z407" s="5">
        <v>9630518.5500000007</v>
      </c>
      <c r="AA407" s="5">
        <v>1</v>
      </c>
      <c r="AB407" s="5">
        <v>9630518.5500000007</v>
      </c>
    </row>
    <row r="408" spans="1:255" x14ac:dyDescent="0.2">
      <c r="A408" s="5">
        <v>50</v>
      </c>
      <c r="B408" s="5">
        <v>0</v>
      </c>
      <c r="C408" s="5">
        <v>0</v>
      </c>
      <c r="D408" s="5">
        <v>1</v>
      </c>
      <c r="E408" s="5">
        <v>222</v>
      </c>
      <c r="F408" s="5">
        <f>ROUND(Source!AO404,O408)</f>
        <v>0</v>
      </c>
      <c r="G408" s="5" t="s">
        <v>122</v>
      </c>
      <c r="H408" s="5" t="s">
        <v>123</v>
      </c>
      <c r="I408" s="5"/>
      <c r="J408" s="5"/>
      <c r="K408" s="5">
        <v>222</v>
      </c>
      <c r="L408" s="5">
        <v>3</v>
      </c>
      <c r="M408" s="5">
        <v>3</v>
      </c>
      <c r="N408" s="5" t="s">
        <v>3</v>
      </c>
      <c r="O408" s="5">
        <v>2</v>
      </c>
      <c r="P408" s="5">
        <f>ROUND(Source!EG404,O408)</f>
        <v>0</v>
      </c>
      <c r="Q408" s="5"/>
      <c r="R408" s="5"/>
      <c r="S408" s="5"/>
      <c r="T408" s="5"/>
      <c r="U408" s="5"/>
      <c r="V408" s="5"/>
      <c r="W408" s="5">
        <v>0</v>
      </c>
      <c r="X408" s="5">
        <v>1</v>
      </c>
      <c r="Y408" s="5">
        <v>0</v>
      </c>
      <c r="Z408" s="5">
        <v>0</v>
      </c>
      <c r="AA408" s="5">
        <v>1</v>
      </c>
      <c r="AB408" s="5">
        <v>0</v>
      </c>
    </row>
    <row r="409" spans="1:255" x14ac:dyDescent="0.2">
      <c r="A409" s="5">
        <v>50</v>
      </c>
      <c r="B409" s="5">
        <v>0</v>
      </c>
      <c r="C409" s="5">
        <v>0</v>
      </c>
      <c r="D409" s="5">
        <v>1</v>
      </c>
      <c r="E409" s="5">
        <v>225</v>
      </c>
      <c r="F409" s="5">
        <f>ROUND(Source!AV404,O409)</f>
        <v>1257898.1200000001</v>
      </c>
      <c r="G409" s="5" t="s">
        <v>124</v>
      </c>
      <c r="H409" s="5" t="s">
        <v>125</v>
      </c>
      <c r="I409" s="5"/>
      <c r="J409" s="5"/>
      <c r="K409" s="5">
        <v>225</v>
      </c>
      <c r="L409" s="5">
        <v>4</v>
      </c>
      <c r="M409" s="5">
        <v>3</v>
      </c>
      <c r="N409" s="5" t="s">
        <v>3</v>
      </c>
      <c r="O409" s="5">
        <v>2</v>
      </c>
      <c r="P409" s="5">
        <f>ROUND(Source!EN404,O409)</f>
        <v>9630518.5500000007</v>
      </c>
      <c r="Q409" s="5"/>
      <c r="R409" s="5"/>
      <c r="S409" s="5"/>
      <c r="T409" s="5"/>
      <c r="U409" s="5"/>
      <c r="V409" s="5"/>
      <c r="W409" s="5">
        <v>1257898.1200000001</v>
      </c>
      <c r="X409" s="5">
        <v>1</v>
      </c>
      <c r="Y409" s="5">
        <v>1257898.1200000001</v>
      </c>
      <c r="Z409" s="5">
        <v>9630518.5500000007</v>
      </c>
      <c r="AA409" s="5">
        <v>1</v>
      </c>
      <c r="AB409" s="5">
        <v>9630518.5500000007</v>
      </c>
    </row>
    <row r="410" spans="1:255" x14ac:dyDescent="0.2">
      <c r="A410" s="5">
        <v>50</v>
      </c>
      <c r="B410" s="5">
        <v>0</v>
      </c>
      <c r="C410" s="5">
        <v>0</v>
      </c>
      <c r="D410" s="5">
        <v>1</v>
      </c>
      <c r="E410" s="5">
        <v>226</v>
      </c>
      <c r="F410" s="5">
        <f>ROUND(Source!AW404,O410)</f>
        <v>44834.8</v>
      </c>
      <c r="G410" s="5" t="s">
        <v>126</v>
      </c>
      <c r="H410" s="5" t="s">
        <v>127</v>
      </c>
      <c r="I410" s="5"/>
      <c r="J410" s="5"/>
      <c r="K410" s="5">
        <v>226</v>
      </c>
      <c r="L410" s="5">
        <v>5</v>
      </c>
      <c r="M410" s="5">
        <v>3</v>
      </c>
      <c r="N410" s="5" t="s">
        <v>3</v>
      </c>
      <c r="O410" s="5">
        <v>2</v>
      </c>
      <c r="P410" s="5">
        <f>ROUND(Source!EO404,O410)</f>
        <v>338453.53</v>
      </c>
      <c r="Q410" s="5"/>
      <c r="R410" s="5"/>
      <c r="S410" s="5"/>
      <c r="T410" s="5"/>
      <c r="U410" s="5"/>
      <c r="V410" s="5"/>
      <c r="W410" s="5">
        <v>44834.8</v>
      </c>
      <c r="X410" s="5">
        <v>1</v>
      </c>
      <c r="Y410" s="5">
        <v>44834.8</v>
      </c>
      <c r="Z410" s="5">
        <v>338453.53</v>
      </c>
      <c r="AA410" s="5">
        <v>1</v>
      </c>
      <c r="AB410" s="5">
        <v>338453.53</v>
      </c>
    </row>
    <row r="411" spans="1:255" x14ac:dyDescent="0.2">
      <c r="A411" s="5">
        <v>50</v>
      </c>
      <c r="B411" s="5">
        <v>0</v>
      </c>
      <c r="C411" s="5">
        <v>0</v>
      </c>
      <c r="D411" s="5">
        <v>1</v>
      </c>
      <c r="E411" s="5">
        <v>227</v>
      </c>
      <c r="F411" s="5">
        <f>ROUND(Source!AX404,O411)</f>
        <v>0</v>
      </c>
      <c r="G411" s="5" t="s">
        <v>128</v>
      </c>
      <c r="H411" s="5" t="s">
        <v>129</v>
      </c>
      <c r="I411" s="5"/>
      <c r="J411" s="5"/>
      <c r="K411" s="5">
        <v>227</v>
      </c>
      <c r="L411" s="5">
        <v>6</v>
      </c>
      <c r="M411" s="5">
        <v>3</v>
      </c>
      <c r="N411" s="5" t="s">
        <v>3</v>
      </c>
      <c r="O411" s="5">
        <v>2</v>
      </c>
      <c r="P411" s="5">
        <f>ROUND(Source!EP404,O411)</f>
        <v>0</v>
      </c>
      <c r="Q411" s="5"/>
      <c r="R411" s="5"/>
      <c r="S411" s="5"/>
      <c r="T411" s="5"/>
      <c r="U411" s="5"/>
      <c r="V411" s="5"/>
      <c r="W411" s="5">
        <v>0</v>
      </c>
      <c r="X411" s="5">
        <v>1</v>
      </c>
      <c r="Y411" s="5">
        <v>0</v>
      </c>
      <c r="Z411" s="5">
        <v>0</v>
      </c>
      <c r="AA411" s="5">
        <v>1</v>
      </c>
      <c r="AB411" s="5">
        <v>0</v>
      </c>
    </row>
    <row r="412" spans="1:255" x14ac:dyDescent="0.2">
      <c r="A412" s="5">
        <v>50</v>
      </c>
      <c r="B412" s="5">
        <v>0</v>
      </c>
      <c r="C412" s="5">
        <v>0</v>
      </c>
      <c r="D412" s="5">
        <v>1</v>
      </c>
      <c r="E412" s="5">
        <v>228</v>
      </c>
      <c r="F412" s="5">
        <f>ROUND(Source!AY404,O412)</f>
        <v>44834.8</v>
      </c>
      <c r="G412" s="5" t="s">
        <v>130</v>
      </c>
      <c r="H412" s="5" t="s">
        <v>131</v>
      </c>
      <c r="I412" s="5"/>
      <c r="J412" s="5"/>
      <c r="K412" s="5">
        <v>228</v>
      </c>
      <c r="L412" s="5">
        <v>7</v>
      </c>
      <c r="M412" s="5">
        <v>3</v>
      </c>
      <c r="N412" s="5" t="s">
        <v>3</v>
      </c>
      <c r="O412" s="5">
        <v>2</v>
      </c>
      <c r="P412" s="5">
        <f>ROUND(Source!EQ404,O412)</f>
        <v>338453.53</v>
      </c>
      <c r="Q412" s="5"/>
      <c r="R412" s="5"/>
      <c r="S412" s="5"/>
      <c r="T412" s="5"/>
      <c r="U412" s="5"/>
      <c r="V412" s="5"/>
      <c r="W412" s="5">
        <v>44834.8</v>
      </c>
      <c r="X412" s="5">
        <v>1</v>
      </c>
      <c r="Y412" s="5">
        <v>44834.8</v>
      </c>
      <c r="Z412" s="5">
        <v>338453.53</v>
      </c>
      <c r="AA412" s="5">
        <v>1</v>
      </c>
      <c r="AB412" s="5">
        <v>338453.53</v>
      </c>
    </row>
    <row r="413" spans="1:255" x14ac:dyDescent="0.2">
      <c r="A413" s="5">
        <v>50</v>
      </c>
      <c r="B413" s="5">
        <v>0</v>
      </c>
      <c r="C413" s="5">
        <v>0</v>
      </c>
      <c r="D413" s="5">
        <v>1</v>
      </c>
      <c r="E413" s="5">
        <v>216</v>
      </c>
      <c r="F413" s="5">
        <f>ROUND(Source!AP404,O413)</f>
        <v>1213063.32</v>
      </c>
      <c r="G413" s="5" t="s">
        <v>132</v>
      </c>
      <c r="H413" s="5" t="s">
        <v>133</v>
      </c>
      <c r="I413" s="5"/>
      <c r="J413" s="5"/>
      <c r="K413" s="5">
        <v>216</v>
      </c>
      <c r="L413" s="5">
        <v>8</v>
      </c>
      <c r="M413" s="5">
        <v>3</v>
      </c>
      <c r="N413" s="5" t="s">
        <v>3</v>
      </c>
      <c r="O413" s="5">
        <v>2</v>
      </c>
      <c r="P413" s="5">
        <f>ROUND(Source!EH404,O413)</f>
        <v>9292065.0199999996</v>
      </c>
      <c r="Q413" s="5"/>
      <c r="R413" s="5"/>
      <c r="S413" s="5"/>
      <c r="T413" s="5"/>
      <c r="U413" s="5"/>
      <c r="V413" s="5"/>
      <c r="W413" s="5">
        <v>1213063.32</v>
      </c>
      <c r="X413" s="5">
        <v>1</v>
      </c>
      <c r="Y413" s="5">
        <v>1213063.32</v>
      </c>
      <c r="Z413" s="5">
        <v>9292065.0199999996</v>
      </c>
      <c r="AA413" s="5">
        <v>1</v>
      </c>
      <c r="AB413" s="5">
        <v>9292065.0199999996</v>
      </c>
    </row>
    <row r="414" spans="1:255" x14ac:dyDescent="0.2">
      <c r="A414" s="5">
        <v>50</v>
      </c>
      <c r="B414" s="5">
        <v>0</v>
      </c>
      <c r="C414" s="5">
        <v>0</v>
      </c>
      <c r="D414" s="5">
        <v>1</v>
      </c>
      <c r="E414" s="5">
        <v>223</v>
      </c>
      <c r="F414" s="5">
        <f>ROUND(Source!AQ404,O414)</f>
        <v>0</v>
      </c>
      <c r="G414" s="5" t="s">
        <v>134</v>
      </c>
      <c r="H414" s="5" t="s">
        <v>135</v>
      </c>
      <c r="I414" s="5"/>
      <c r="J414" s="5"/>
      <c r="K414" s="5">
        <v>223</v>
      </c>
      <c r="L414" s="5">
        <v>9</v>
      </c>
      <c r="M414" s="5">
        <v>3</v>
      </c>
      <c r="N414" s="5" t="s">
        <v>3</v>
      </c>
      <c r="O414" s="5">
        <v>2</v>
      </c>
      <c r="P414" s="5">
        <f>ROUND(Source!EI404,O414)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55" x14ac:dyDescent="0.2">
      <c r="A415" s="5">
        <v>50</v>
      </c>
      <c r="B415" s="5">
        <v>0</v>
      </c>
      <c r="C415" s="5">
        <v>0</v>
      </c>
      <c r="D415" s="5">
        <v>1</v>
      </c>
      <c r="E415" s="5">
        <v>229</v>
      </c>
      <c r="F415" s="5">
        <f>ROUND(Source!AZ404,O415)</f>
        <v>1213063.32</v>
      </c>
      <c r="G415" s="5" t="s">
        <v>136</v>
      </c>
      <c r="H415" s="5" t="s">
        <v>137</v>
      </c>
      <c r="I415" s="5"/>
      <c r="J415" s="5"/>
      <c r="K415" s="5">
        <v>229</v>
      </c>
      <c r="L415" s="5">
        <v>10</v>
      </c>
      <c r="M415" s="5">
        <v>3</v>
      </c>
      <c r="N415" s="5" t="s">
        <v>3</v>
      </c>
      <c r="O415" s="5">
        <v>2</v>
      </c>
      <c r="P415" s="5">
        <f>ROUND(Source!ER404,O415)</f>
        <v>9292065.0199999996</v>
      </c>
      <c r="Q415" s="5"/>
      <c r="R415" s="5"/>
      <c r="S415" s="5"/>
      <c r="T415" s="5"/>
      <c r="U415" s="5"/>
      <c r="V415" s="5"/>
      <c r="W415" s="5">
        <v>1213063.32</v>
      </c>
      <c r="X415" s="5">
        <v>1</v>
      </c>
      <c r="Y415" s="5">
        <v>1213063.32</v>
      </c>
      <c r="Z415" s="5">
        <v>9292065.0199999996</v>
      </c>
      <c r="AA415" s="5">
        <v>1</v>
      </c>
      <c r="AB415" s="5">
        <v>9292065.0199999996</v>
      </c>
    </row>
    <row r="416" spans="1:255" x14ac:dyDescent="0.2">
      <c r="A416" s="5">
        <v>50</v>
      </c>
      <c r="B416" s="5">
        <v>0</v>
      </c>
      <c r="C416" s="5">
        <v>0</v>
      </c>
      <c r="D416" s="5">
        <v>1</v>
      </c>
      <c r="E416" s="5">
        <v>203</v>
      </c>
      <c r="F416" s="5">
        <f>ROUND(Source!Q404,O416)</f>
        <v>1597.35</v>
      </c>
      <c r="G416" s="5" t="s">
        <v>138</v>
      </c>
      <c r="H416" s="5" t="s">
        <v>139</v>
      </c>
      <c r="I416" s="5"/>
      <c r="J416" s="5"/>
      <c r="K416" s="5">
        <v>203</v>
      </c>
      <c r="L416" s="5">
        <v>11</v>
      </c>
      <c r="M416" s="5">
        <v>3</v>
      </c>
      <c r="N416" s="5" t="s">
        <v>3</v>
      </c>
      <c r="O416" s="5">
        <v>2</v>
      </c>
      <c r="P416" s="5">
        <f>ROUND(Source!DI404,O416)</f>
        <v>27036.01</v>
      </c>
      <c r="Q416" s="5"/>
      <c r="R416" s="5"/>
      <c r="S416" s="5"/>
      <c r="T416" s="5"/>
      <c r="U416" s="5"/>
      <c r="V416" s="5"/>
      <c r="W416" s="5">
        <v>1597.35</v>
      </c>
      <c r="X416" s="5">
        <v>1</v>
      </c>
      <c r="Y416" s="5">
        <v>1597.35</v>
      </c>
      <c r="Z416" s="5">
        <v>27036.01</v>
      </c>
      <c r="AA416" s="5">
        <v>1</v>
      </c>
      <c r="AB416" s="5">
        <v>27036.01</v>
      </c>
    </row>
    <row r="417" spans="1:28" x14ac:dyDescent="0.2">
      <c r="A417" s="5">
        <v>50</v>
      </c>
      <c r="B417" s="5">
        <v>0</v>
      </c>
      <c r="C417" s="5">
        <v>0</v>
      </c>
      <c r="D417" s="5">
        <v>1</v>
      </c>
      <c r="E417" s="5">
        <v>231</v>
      </c>
      <c r="F417" s="5">
        <f>ROUND(Source!BB404,O417)</f>
        <v>0</v>
      </c>
      <c r="G417" s="5" t="s">
        <v>140</v>
      </c>
      <c r="H417" s="5" t="s">
        <v>141</v>
      </c>
      <c r="I417" s="5"/>
      <c r="J417" s="5"/>
      <c r="K417" s="5">
        <v>231</v>
      </c>
      <c r="L417" s="5">
        <v>12</v>
      </c>
      <c r="M417" s="5">
        <v>3</v>
      </c>
      <c r="N417" s="5" t="s">
        <v>3</v>
      </c>
      <c r="O417" s="5">
        <v>2</v>
      </c>
      <c r="P417" s="5">
        <f>ROUND(Source!ET404,O417)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8" x14ac:dyDescent="0.2">
      <c r="A418" s="5">
        <v>50</v>
      </c>
      <c r="B418" s="5">
        <v>0</v>
      </c>
      <c r="C418" s="5">
        <v>0</v>
      </c>
      <c r="D418" s="5">
        <v>1</v>
      </c>
      <c r="E418" s="5">
        <v>204</v>
      </c>
      <c r="F418" s="5">
        <f>ROUND(Source!R404,O418)</f>
        <v>245.6</v>
      </c>
      <c r="G418" s="5" t="s">
        <v>142</v>
      </c>
      <c r="H418" s="5" t="s">
        <v>143</v>
      </c>
      <c r="I418" s="5"/>
      <c r="J418" s="5"/>
      <c r="K418" s="5">
        <v>204</v>
      </c>
      <c r="L418" s="5">
        <v>13</v>
      </c>
      <c r="M418" s="5">
        <v>3</v>
      </c>
      <c r="N418" s="5" t="s">
        <v>3</v>
      </c>
      <c r="O418" s="5">
        <v>2</v>
      </c>
      <c r="P418" s="5">
        <f>ROUND(Source!DJ404,O418)</f>
        <v>13505.54</v>
      </c>
      <c r="Q418" s="5"/>
      <c r="R418" s="5"/>
      <c r="S418" s="5"/>
      <c r="T418" s="5"/>
      <c r="U418" s="5"/>
      <c r="V418" s="5"/>
      <c r="W418" s="5">
        <v>245.6</v>
      </c>
      <c r="X418" s="5">
        <v>1</v>
      </c>
      <c r="Y418" s="5">
        <v>245.6</v>
      </c>
      <c r="Z418" s="5">
        <v>13505.54</v>
      </c>
      <c r="AA418" s="5">
        <v>1</v>
      </c>
      <c r="AB418" s="5">
        <v>13505.54</v>
      </c>
    </row>
    <row r="419" spans="1:28" x14ac:dyDescent="0.2">
      <c r="A419" s="5">
        <v>50</v>
      </c>
      <c r="B419" s="5">
        <v>0</v>
      </c>
      <c r="C419" s="5">
        <v>0</v>
      </c>
      <c r="D419" s="5">
        <v>1</v>
      </c>
      <c r="E419" s="5">
        <v>205</v>
      </c>
      <c r="F419" s="5">
        <f>ROUND(Source!S404,O419)</f>
        <v>13790.97</v>
      </c>
      <c r="G419" s="5" t="s">
        <v>144</v>
      </c>
      <c r="H419" s="5" t="s">
        <v>145</v>
      </c>
      <c r="I419" s="5"/>
      <c r="J419" s="5"/>
      <c r="K419" s="5">
        <v>205</v>
      </c>
      <c r="L419" s="5">
        <v>14</v>
      </c>
      <c r="M419" s="5">
        <v>3</v>
      </c>
      <c r="N419" s="5" t="s">
        <v>3</v>
      </c>
      <c r="O419" s="5">
        <v>2</v>
      </c>
      <c r="P419" s="5">
        <f>ROUND(Source!DK404,O419)</f>
        <v>758365.44</v>
      </c>
      <c r="Q419" s="5"/>
      <c r="R419" s="5"/>
      <c r="S419" s="5"/>
      <c r="T419" s="5"/>
      <c r="U419" s="5"/>
      <c r="V419" s="5"/>
      <c r="W419" s="5">
        <v>13790.97</v>
      </c>
      <c r="X419" s="5">
        <v>1</v>
      </c>
      <c r="Y419" s="5">
        <v>13790.97</v>
      </c>
      <c r="Z419" s="5">
        <v>758365.44</v>
      </c>
      <c r="AA419" s="5">
        <v>1</v>
      </c>
      <c r="AB419" s="5">
        <v>758365.44</v>
      </c>
    </row>
    <row r="420" spans="1:28" x14ac:dyDescent="0.2">
      <c r="A420" s="5">
        <v>50</v>
      </c>
      <c r="B420" s="5">
        <v>0</v>
      </c>
      <c r="C420" s="5">
        <v>0</v>
      </c>
      <c r="D420" s="5">
        <v>1</v>
      </c>
      <c r="E420" s="5">
        <v>232</v>
      </c>
      <c r="F420" s="5">
        <f>ROUND(Source!BC404,O420)</f>
        <v>0</v>
      </c>
      <c r="G420" s="5" t="s">
        <v>146</v>
      </c>
      <c r="H420" s="5" t="s">
        <v>147</v>
      </c>
      <c r="I420" s="5"/>
      <c r="J420" s="5"/>
      <c r="K420" s="5">
        <v>232</v>
      </c>
      <c r="L420" s="5">
        <v>15</v>
      </c>
      <c r="M420" s="5">
        <v>3</v>
      </c>
      <c r="N420" s="5" t="s">
        <v>3</v>
      </c>
      <c r="O420" s="5">
        <v>2</v>
      </c>
      <c r="P420" s="5">
        <f>ROUND(Source!EU404,O420)</f>
        <v>0</v>
      </c>
      <c r="Q420" s="5"/>
      <c r="R420" s="5"/>
      <c r="S420" s="5"/>
      <c r="T420" s="5"/>
      <c r="U420" s="5"/>
      <c r="V420" s="5"/>
      <c r="W420" s="5">
        <v>0</v>
      </c>
      <c r="X420" s="5">
        <v>1</v>
      </c>
      <c r="Y420" s="5">
        <v>0</v>
      </c>
      <c r="Z420" s="5">
        <v>0</v>
      </c>
      <c r="AA420" s="5">
        <v>1</v>
      </c>
      <c r="AB420" s="5">
        <v>0</v>
      </c>
    </row>
    <row r="421" spans="1:28" x14ac:dyDescent="0.2">
      <c r="A421" s="5">
        <v>50</v>
      </c>
      <c r="B421" s="5">
        <v>0</v>
      </c>
      <c r="C421" s="5">
        <v>0</v>
      </c>
      <c r="D421" s="5">
        <v>1</v>
      </c>
      <c r="E421" s="5">
        <v>214</v>
      </c>
      <c r="F421" s="5">
        <f>ROUND(Source!AS404,O421)</f>
        <v>0</v>
      </c>
      <c r="G421" s="5" t="s">
        <v>148</v>
      </c>
      <c r="H421" s="5" t="s">
        <v>149</v>
      </c>
      <c r="I421" s="5"/>
      <c r="J421" s="5"/>
      <c r="K421" s="5">
        <v>214</v>
      </c>
      <c r="L421" s="5">
        <v>16</v>
      </c>
      <c r="M421" s="5">
        <v>3</v>
      </c>
      <c r="N421" s="5" t="s">
        <v>3</v>
      </c>
      <c r="O421" s="5">
        <v>2</v>
      </c>
      <c r="P421" s="5">
        <f>ROUND(Source!EK404,O421)</f>
        <v>0</v>
      </c>
      <c r="Q421" s="5"/>
      <c r="R421" s="5"/>
      <c r="S421" s="5"/>
      <c r="T421" s="5"/>
      <c r="U421" s="5"/>
      <c r="V421" s="5"/>
      <c r="W421" s="5">
        <v>0</v>
      </c>
      <c r="X421" s="5">
        <v>1</v>
      </c>
      <c r="Y421" s="5">
        <v>0</v>
      </c>
      <c r="Z421" s="5">
        <v>0</v>
      </c>
      <c r="AA421" s="5">
        <v>1</v>
      </c>
      <c r="AB421" s="5">
        <v>0</v>
      </c>
    </row>
    <row r="422" spans="1:28" x14ac:dyDescent="0.2">
      <c r="A422" s="5">
        <v>50</v>
      </c>
      <c r="B422" s="5">
        <v>0</v>
      </c>
      <c r="C422" s="5">
        <v>0</v>
      </c>
      <c r="D422" s="5">
        <v>1</v>
      </c>
      <c r="E422" s="5">
        <v>215</v>
      </c>
      <c r="F422" s="5">
        <f>ROUND(Source!AT404,O422)</f>
        <v>80416.45</v>
      </c>
      <c r="G422" s="5" t="s">
        <v>150</v>
      </c>
      <c r="H422" s="5" t="s">
        <v>151</v>
      </c>
      <c r="I422" s="5"/>
      <c r="J422" s="5"/>
      <c r="K422" s="5">
        <v>215</v>
      </c>
      <c r="L422" s="5">
        <v>17</v>
      </c>
      <c r="M422" s="5">
        <v>3</v>
      </c>
      <c r="N422" s="5" t="s">
        <v>3</v>
      </c>
      <c r="O422" s="5">
        <v>2</v>
      </c>
      <c r="P422" s="5">
        <f>ROUND(Source!EL404,O422)</f>
        <v>2234286.04</v>
      </c>
      <c r="Q422" s="5"/>
      <c r="R422" s="5"/>
      <c r="S422" s="5"/>
      <c r="T422" s="5"/>
      <c r="U422" s="5"/>
      <c r="V422" s="5"/>
      <c r="W422" s="5">
        <v>80416.45</v>
      </c>
      <c r="X422" s="5">
        <v>1</v>
      </c>
      <c r="Y422" s="5">
        <v>80416.45</v>
      </c>
      <c r="Z422" s="5">
        <v>2234286.04</v>
      </c>
      <c r="AA422" s="5">
        <v>1</v>
      </c>
      <c r="AB422" s="5">
        <v>2234286.04</v>
      </c>
    </row>
    <row r="423" spans="1:28" x14ac:dyDescent="0.2">
      <c r="A423" s="5">
        <v>50</v>
      </c>
      <c r="B423" s="5">
        <v>0</v>
      </c>
      <c r="C423" s="5">
        <v>0</v>
      </c>
      <c r="D423" s="5">
        <v>1</v>
      </c>
      <c r="E423" s="5">
        <v>217</v>
      </c>
      <c r="F423" s="5">
        <f>ROUND(Source!AU404,O423)</f>
        <v>0</v>
      </c>
      <c r="G423" s="5" t="s">
        <v>152</v>
      </c>
      <c r="H423" s="5" t="s">
        <v>153</v>
      </c>
      <c r="I423" s="5"/>
      <c r="J423" s="5"/>
      <c r="K423" s="5">
        <v>217</v>
      </c>
      <c r="L423" s="5">
        <v>18</v>
      </c>
      <c r="M423" s="5">
        <v>3</v>
      </c>
      <c r="N423" s="5" t="s">
        <v>3</v>
      </c>
      <c r="O423" s="5">
        <v>2</v>
      </c>
      <c r="P423" s="5">
        <f>ROUND(Source!EM404,O423)</f>
        <v>0</v>
      </c>
      <c r="Q423" s="5"/>
      <c r="R423" s="5"/>
      <c r="S423" s="5"/>
      <c r="T423" s="5"/>
      <c r="U423" s="5"/>
      <c r="V423" s="5"/>
      <c r="W423" s="5">
        <v>0</v>
      </c>
      <c r="X423" s="5">
        <v>1</v>
      </c>
      <c r="Y423" s="5">
        <v>0</v>
      </c>
      <c r="Z423" s="5">
        <v>0</v>
      </c>
      <c r="AA423" s="5">
        <v>1</v>
      </c>
      <c r="AB423" s="5">
        <v>0</v>
      </c>
    </row>
    <row r="424" spans="1:28" x14ac:dyDescent="0.2">
      <c r="A424" s="5">
        <v>50</v>
      </c>
      <c r="B424" s="5">
        <v>0</v>
      </c>
      <c r="C424" s="5">
        <v>0</v>
      </c>
      <c r="D424" s="5">
        <v>1</v>
      </c>
      <c r="E424" s="5">
        <v>230</v>
      </c>
      <c r="F424" s="5">
        <f>ROUND(Source!BA404,O424)</f>
        <v>0</v>
      </c>
      <c r="G424" s="5" t="s">
        <v>154</v>
      </c>
      <c r="H424" s="5" t="s">
        <v>155</v>
      </c>
      <c r="I424" s="5"/>
      <c r="J424" s="5"/>
      <c r="K424" s="5">
        <v>230</v>
      </c>
      <c r="L424" s="5">
        <v>19</v>
      </c>
      <c r="M424" s="5">
        <v>3</v>
      </c>
      <c r="N424" s="5" t="s">
        <v>3</v>
      </c>
      <c r="O424" s="5">
        <v>2</v>
      </c>
      <c r="P424" s="5">
        <f>ROUND(Source!ES404,O424)</f>
        <v>0</v>
      </c>
      <c r="Q424" s="5"/>
      <c r="R424" s="5"/>
      <c r="S424" s="5"/>
      <c r="T424" s="5"/>
      <c r="U424" s="5"/>
      <c r="V424" s="5"/>
      <c r="W424" s="5">
        <v>0</v>
      </c>
      <c r="X424" s="5">
        <v>1</v>
      </c>
      <c r="Y424" s="5">
        <v>0</v>
      </c>
      <c r="Z424" s="5">
        <v>0</v>
      </c>
      <c r="AA424" s="5">
        <v>1</v>
      </c>
      <c r="AB424" s="5">
        <v>0</v>
      </c>
    </row>
    <row r="425" spans="1:28" x14ac:dyDescent="0.2">
      <c r="A425" s="5">
        <v>50</v>
      </c>
      <c r="B425" s="5">
        <v>0</v>
      </c>
      <c r="C425" s="5">
        <v>0</v>
      </c>
      <c r="D425" s="5">
        <v>1</v>
      </c>
      <c r="E425" s="5">
        <v>206</v>
      </c>
      <c r="F425" s="5">
        <f>ROUND(Source!T404,O425)</f>
        <v>0</v>
      </c>
      <c r="G425" s="5" t="s">
        <v>156</v>
      </c>
      <c r="H425" s="5" t="s">
        <v>157</v>
      </c>
      <c r="I425" s="5"/>
      <c r="J425" s="5"/>
      <c r="K425" s="5">
        <v>206</v>
      </c>
      <c r="L425" s="5">
        <v>20</v>
      </c>
      <c r="M425" s="5">
        <v>3</v>
      </c>
      <c r="N425" s="5" t="s">
        <v>3</v>
      </c>
      <c r="O425" s="5">
        <v>2</v>
      </c>
      <c r="P425" s="5">
        <f>ROUND(Source!DL404,O425)</f>
        <v>0</v>
      </c>
      <c r="Q425" s="5"/>
      <c r="R425" s="5"/>
      <c r="S425" s="5"/>
      <c r="T425" s="5"/>
      <c r="U425" s="5"/>
      <c r="V425" s="5"/>
      <c r="W425" s="5">
        <v>0</v>
      </c>
      <c r="X425" s="5">
        <v>1</v>
      </c>
      <c r="Y425" s="5">
        <v>0</v>
      </c>
      <c r="Z425" s="5">
        <v>0</v>
      </c>
      <c r="AA425" s="5">
        <v>1</v>
      </c>
      <c r="AB425" s="5">
        <v>0</v>
      </c>
    </row>
    <row r="426" spans="1:28" x14ac:dyDescent="0.2">
      <c r="A426" s="5">
        <v>50</v>
      </c>
      <c r="B426" s="5">
        <v>0</v>
      </c>
      <c r="C426" s="5">
        <v>0</v>
      </c>
      <c r="D426" s="5">
        <v>1</v>
      </c>
      <c r="E426" s="5">
        <v>207</v>
      </c>
      <c r="F426" s="5">
        <f>Source!U404</f>
        <v>1117.2699284999999</v>
      </c>
      <c r="G426" s="5" t="s">
        <v>158</v>
      </c>
      <c r="H426" s="5" t="s">
        <v>159</v>
      </c>
      <c r="I426" s="5"/>
      <c r="J426" s="5"/>
      <c r="K426" s="5">
        <v>207</v>
      </c>
      <c r="L426" s="5">
        <v>21</v>
      </c>
      <c r="M426" s="5">
        <v>3</v>
      </c>
      <c r="N426" s="5" t="s">
        <v>3</v>
      </c>
      <c r="O426" s="5">
        <v>-1</v>
      </c>
      <c r="P426" s="5">
        <f>Source!DM404</f>
        <v>1117.2699284999999</v>
      </c>
      <c r="Q426" s="5"/>
      <c r="R426" s="5"/>
      <c r="S426" s="5"/>
      <c r="T426" s="5"/>
      <c r="U426" s="5"/>
      <c r="V426" s="5"/>
      <c r="W426" s="5">
        <v>1117.2699284999999</v>
      </c>
      <c r="X426" s="5">
        <v>1</v>
      </c>
      <c r="Y426" s="5">
        <v>1117.2699284999999</v>
      </c>
      <c r="Z426" s="5">
        <v>1117.2699284999999</v>
      </c>
      <c r="AA426" s="5">
        <v>1</v>
      </c>
      <c r="AB426" s="5">
        <v>1117.2699284999999</v>
      </c>
    </row>
    <row r="427" spans="1:28" x14ac:dyDescent="0.2">
      <c r="A427" s="5">
        <v>50</v>
      </c>
      <c r="B427" s="5">
        <v>0</v>
      </c>
      <c r="C427" s="5">
        <v>0</v>
      </c>
      <c r="D427" s="5">
        <v>1</v>
      </c>
      <c r="E427" s="5">
        <v>208</v>
      </c>
      <c r="F427" s="5">
        <f>Source!V404</f>
        <v>0</v>
      </c>
      <c r="G427" s="5" t="s">
        <v>160</v>
      </c>
      <c r="H427" s="5" t="s">
        <v>161</v>
      </c>
      <c r="I427" s="5"/>
      <c r="J427" s="5"/>
      <c r="K427" s="5">
        <v>208</v>
      </c>
      <c r="L427" s="5">
        <v>22</v>
      </c>
      <c r="M427" s="5">
        <v>3</v>
      </c>
      <c r="N427" s="5" t="s">
        <v>3</v>
      </c>
      <c r="O427" s="5">
        <v>-1</v>
      </c>
      <c r="P427" s="5">
        <f>Source!DN404</f>
        <v>0</v>
      </c>
      <c r="Q427" s="5"/>
      <c r="R427" s="5"/>
      <c r="S427" s="5"/>
      <c r="T427" s="5"/>
      <c r="U427" s="5"/>
      <c r="V427" s="5"/>
      <c r="W427" s="5">
        <v>0</v>
      </c>
      <c r="X427" s="5">
        <v>1</v>
      </c>
      <c r="Y427" s="5">
        <v>0</v>
      </c>
      <c r="Z427" s="5">
        <v>0</v>
      </c>
      <c r="AA427" s="5">
        <v>1</v>
      </c>
      <c r="AB427" s="5">
        <v>0</v>
      </c>
    </row>
    <row r="428" spans="1:28" x14ac:dyDescent="0.2">
      <c r="A428" s="5">
        <v>50</v>
      </c>
      <c r="B428" s="5">
        <v>0</v>
      </c>
      <c r="C428" s="5">
        <v>0</v>
      </c>
      <c r="D428" s="5">
        <v>1</v>
      </c>
      <c r="E428" s="5">
        <v>209</v>
      </c>
      <c r="F428" s="5">
        <f>ROUND(Source!W404,O428)</f>
        <v>0</v>
      </c>
      <c r="G428" s="5" t="s">
        <v>162</v>
      </c>
      <c r="H428" s="5" t="s">
        <v>163</v>
      </c>
      <c r="I428" s="5"/>
      <c r="J428" s="5"/>
      <c r="K428" s="5">
        <v>209</v>
      </c>
      <c r="L428" s="5">
        <v>23</v>
      </c>
      <c r="M428" s="5">
        <v>3</v>
      </c>
      <c r="N428" s="5" t="s">
        <v>3</v>
      </c>
      <c r="O428" s="5">
        <v>2</v>
      </c>
      <c r="P428" s="5">
        <f>ROUND(Source!DO404,O428)</f>
        <v>0</v>
      </c>
      <c r="Q428" s="5"/>
      <c r="R428" s="5"/>
      <c r="S428" s="5"/>
      <c r="T428" s="5"/>
      <c r="U428" s="5"/>
      <c r="V428" s="5"/>
      <c r="W428" s="5">
        <v>0</v>
      </c>
      <c r="X428" s="5">
        <v>1</v>
      </c>
      <c r="Y428" s="5">
        <v>0</v>
      </c>
      <c r="Z428" s="5">
        <v>0</v>
      </c>
      <c r="AA428" s="5">
        <v>1</v>
      </c>
      <c r="AB428" s="5">
        <v>0</v>
      </c>
    </row>
    <row r="429" spans="1:28" x14ac:dyDescent="0.2">
      <c r="A429" s="5">
        <v>50</v>
      </c>
      <c r="B429" s="5">
        <v>0</v>
      </c>
      <c r="C429" s="5">
        <v>0</v>
      </c>
      <c r="D429" s="5">
        <v>1</v>
      </c>
      <c r="E429" s="5">
        <v>233</v>
      </c>
      <c r="F429" s="5">
        <f>ROUND(Source!BD404,O429)</f>
        <v>0</v>
      </c>
      <c r="G429" s="5" t="s">
        <v>164</v>
      </c>
      <c r="H429" s="5" t="s">
        <v>165</v>
      </c>
      <c r="I429" s="5"/>
      <c r="J429" s="5"/>
      <c r="K429" s="5">
        <v>233</v>
      </c>
      <c r="L429" s="5">
        <v>24</v>
      </c>
      <c r="M429" s="5">
        <v>3</v>
      </c>
      <c r="N429" s="5" t="s">
        <v>3</v>
      </c>
      <c r="O429" s="5">
        <v>2</v>
      </c>
      <c r="P429" s="5">
        <f>ROUND(Source!EV404,O429)</f>
        <v>0</v>
      </c>
      <c r="Q429" s="5"/>
      <c r="R429" s="5"/>
      <c r="S429" s="5"/>
      <c r="T429" s="5"/>
      <c r="U429" s="5"/>
      <c r="V429" s="5"/>
      <c r="W429" s="5">
        <v>0</v>
      </c>
      <c r="X429" s="5">
        <v>1</v>
      </c>
      <c r="Y429" s="5">
        <v>0</v>
      </c>
      <c r="Z429" s="5">
        <v>0</v>
      </c>
      <c r="AA429" s="5">
        <v>1</v>
      </c>
      <c r="AB429" s="5">
        <v>0</v>
      </c>
    </row>
    <row r="430" spans="1:28" x14ac:dyDescent="0.2">
      <c r="A430" s="5">
        <v>50</v>
      </c>
      <c r="B430" s="5">
        <v>0</v>
      </c>
      <c r="C430" s="5">
        <v>0</v>
      </c>
      <c r="D430" s="5">
        <v>1</v>
      </c>
      <c r="E430" s="5">
        <v>210</v>
      </c>
      <c r="F430" s="5">
        <f>ROUND(Source!X404,O430)</f>
        <v>13276.67</v>
      </c>
      <c r="G430" s="5" t="s">
        <v>166</v>
      </c>
      <c r="H430" s="5" t="s">
        <v>167</v>
      </c>
      <c r="I430" s="5"/>
      <c r="J430" s="5"/>
      <c r="K430" s="5">
        <v>210</v>
      </c>
      <c r="L430" s="5">
        <v>25</v>
      </c>
      <c r="M430" s="5">
        <v>3</v>
      </c>
      <c r="N430" s="5" t="s">
        <v>3</v>
      </c>
      <c r="O430" s="5">
        <v>2</v>
      </c>
      <c r="P430" s="5">
        <f>ROUND(Source!DP404,O430)</f>
        <v>730084.36</v>
      </c>
      <c r="Q430" s="5"/>
      <c r="R430" s="5"/>
      <c r="S430" s="5"/>
      <c r="T430" s="5"/>
      <c r="U430" s="5"/>
      <c r="V430" s="5"/>
      <c r="W430" s="5">
        <v>13276.67</v>
      </c>
      <c r="X430" s="5">
        <v>1</v>
      </c>
      <c r="Y430" s="5">
        <v>13276.67</v>
      </c>
      <c r="Z430" s="5">
        <v>730084.36</v>
      </c>
      <c r="AA430" s="5">
        <v>1</v>
      </c>
      <c r="AB430" s="5">
        <v>730084.36</v>
      </c>
    </row>
    <row r="431" spans="1:28" x14ac:dyDescent="0.2">
      <c r="A431" s="5">
        <v>50</v>
      </c>
      <c r="B431" s="5">
        <v>0</v>
      </c>
      <c r="C431" s="5">
        <v>0</v>
      </c>
      <c r="D431" s="5">
        <v>1</v>
      </c>
      <c r="E431" s="5">
        <v>211</v>
      </c>
      <c r="F431" s="5">
        <f>ROUND(Source!Y404,O431)</f>
        <v>6916.66</v>
      </c>
      <c r="G431" s="5" t="s">
        <v>168</v>
      </c>
      <c r="H431" s="5" t="s">
        <v>169</v>
      </c>
      <c r="I431" s="5"/>
      <c r="J431" s="5"/>
      <c r="K431" s="5">
        <v>211</v>
      </c>
      <c r="L431" s="5">
        <v>26</v>
      </c>
      <c r="M431" s="5">
        <v>3</v>
      </c>
      <c r="N431" s="5" t="s">
        <v>3</v>
      </c>
      <c r="O431" s="5">
        <v>2</v>
      </c>
      <c r="P431" s="5">
        <f>ROUND(Source!DQ404,O431)</f>
        <v>380346.7</v>
      </c>
      <c r="Q431" s="5"/>
      <c r="R431" s="5"/>
      <c r="S431" s="5"/>
      <c r="T431" s="5"/>
      <c r="U431" s="5"/>
      <c r="V431" s="5"/>
      <c r="W431" s="5">
        <v>6916.66</v>
      </c>
      <c r="X431" s="5">
        <v>1</v>
      </c>
      <c r="Y431" s="5">
        <v>6916.66</v>
      </c>
      <c r="Z431" s="5">
        <v>380346.7</v>
      </c>
      <c r="AA431" s="5">
        <v>1</v>
      </c>
      <c r="AB431" s="5">
        <v>380346.7</v>
      </c>
    </row>
    <row r="432" spans="1:28" x14ac:dyDescent="0.2">
      <c r="A432" s="5">
        <v>50</v>
      </c>
      <c r="B432" s="5">
        <v>0</v>
      </c>
      <c r="C432" s="5">
        <v>0</v>
      </c>
      <c r="D432" s="5">
        <v>1</v>
      </c>
      <c r="E432" s="5">
        <v>224</v>
      </c>
      <c r="F432" s="5">
        <f>ROUND(Source!AR404,O432)</f>
        <v>1293479.77</v>
      </c>
      <c r="G432" s="5" t="s">
        <v>170</v>
      </c>
      <c r="H432" s="5" t="s">
        <v>171</v>
      </c>
      <c r="I432" s="5"/>
      <c r="J432" s="5"/>
      <c r="K432" s="5">
        <v>224</v>
      </c>
      <c r="L432" s="5">
        <v>27</v>
      </c>
      <c r="M432" s="5">
        <v>3</v>
      </c>
      <c r="N432" s="5" t="s">
        <v>3</v>
      </c>
      <c r="O432" s="5">
        <v>2</v>
      </c>
      <c r="P432" s="5">
        <f>ROUND(Source!EJ404,O432)</f>
        <v>11526351.060000001</v>
      </c>
      <c r="Q432" s="5"/>
      <c r="R432" s="5"/>
      <c r="S432" s="5"/>
      <c r="T432" s="5"/>
      <c r="U432" s="5"/>
      <c r="V432" s="5"/>
      <c r="W432" s="5">
        <v>1293479.77</v>
      </c>
      <c r="X432" s="5">
        <v>1</v>
      </c>
      <c r="Y432" s="5">
        <v>1293479.77</v>
      </c>
      <c r="Z432" s="5">
        <v>11526351.060000001</v>
      </c>
      <c r="AA432" s="5">
        <v>1</v>
      </c>
      <c r="AB432" s="5">
        <v>11526351.060000001</v>
      </c>
    </row>
    <row r="434" spans="1:255" x14ac:dyDescent="0.2">
      <c r="A434" s="1">
        <v>4</v>
      </c>
      <c r="B434" s="1">
        <v>1</v>
      </c>
      <c r="C434" s="1"/>
      <c r="D434" s="1">
        <f>ROW(A459)</f>
        <v>459</v>
      </c>
      <c r="E434" s="1"/>
      <c r="F434" s="1" t="s">
        <v>16</v>
      </c>
      <c r="G434" s="1" t="s">
        <v>429</v>
      </c>
      <c r="H434" s="1" t="s">
        <v>3</v>
      </c>
      <c r="I434" s="1">
        <v>0</v>
      </c>
      <c r="J434" s="1"/>
      <c r="K434" s="1">
        <v>0</v>
      </c>
      <c r="L434" s="1"/>
      <c r="M434" s="1" t="s">
        <v>3</v>
      </c>
      <c r="N434" s="1"/>
      <c r="O434" s="1"/>
      <c r="P434" s="1"/>
      <c r="Q434" s="1"/>
      <c r="R434" s="1"/>
      <c r="S434" s="1">
        <v>0</v>
      </c>
      <c r="T434" s="1">
        <v>0</v>
      </c>
      <c r="U434" s="1" t="s">
        <v>3</v>
      </c>
      <c r="V434" s="1">
        <v>2</v>
      </c>
      <c r="W434" s="1"/>
      <c r="X434" s="1"/>
      <c r="Y434" s="1"/>
      <c r="Z434" s="1"/>
      <c r="AA434" s="1"/>
      <c r="AB434" s="1" t="s">
        <v>3</v>
      </c>
      <c r="AC434" s="1" t="s">
        <v>3</v>
      </c>
      <c r="AD434" s="1" t="s">
        <v>3</v>
      </c>
      <c r="AE434" s="1" t="s">
        <v>3</v>
      </c>
      <c r="AF434" s="1" t="s">
        <v>3</v>
      </c>
      <c r="AG434" s="1" t="s">
        <v>3</v>
      </c>
      <c r="AH434" s="1"/>
      <c r="AI434" s="1"/>
      <c r="AJ434" s="1"/>
      <c r="AK434" s="1"/>
      <c r="AL434" s="1"/>
      <c r="AM434" s="1"/>
      <c r="AN434" s="1"/>
      <c r="AO434" s="1"/>
      <c r="AP434" s="1" t="s">
        <v>3</v>
      </c>
      <c r="AQ434" s="1" t="s">
        <v>3</v>
      </c>
      <c r="AR434" s="1" t="s">
        <v>3</v>
      </c>
      <c r="AS434" s="1"/>
      <c r="AT434" s="1"/>
      <c r="AU434" s="1"/>
      <c r="AV434" s="1"/>
      <c r="AW434" s="1"/>
      <c r="AX434" s="1"/>
      <c r="AY434" s="1"/>
      <c r="AZ434" s="1" t="s">
        <v>3</v>
      </c>
      <c r="BA434" s="1"/>
      <c r="BB434" s="1" t="s">
        <v>3</v>
      </c>
      <c r="BC434" s="1" t="s">
        <v>3</v>
      </c>
      <c r="BD434" s="1" t="s">
        <v>3</v>
      </c>
      <c r="BE434" s="1" t="s">
        <v>3</v>
      </c>
      <c r="BF434" s="1" t="s">
        <v>3</v>
      </c>
      <c r="BG434" s="1" t="s">
        <v>3</v>
      </c>
      <c r="BH434" s="1" t="s">
        <v>3</v>
      </c>
      <c r="BI434" s="1" t="s">
        <v>3</v>
      </c>
      <c r="BJ434" s="1" t="s">
        <v>3</v>
      </c>
      <c r="BK434" s="1" t="s">
        <v>3</v>
      </c>
      <c r="BL434" s="1" t="s">
        <v>3</v>
      </c>
      <c r="BM434" s="1" t="s">
        <v>3</v>
      </c>
      <c r="BN434" s="1" t="s">
        <v>3</v>
      </c>
      <c r="BO434" s="1" t="s">
        <v>3</v>
      </c>
      <c r="BP434" s="1" t="s">
        <v>3</v>
      </c>
      <c r="BQ434" s="1"/>
      <c r="BR434" s="1"/>
      <c r="BS434" s="1"/>
      <c r="BT434" s="1"/>
      <c r="BU434" s="1"/>
      <c r="BV434" s="1"/>
      <c r="BW434" s="1"/>
      <c r="BX434" s="1">
        <v>0</v>
      </c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>
        <v>0</v>
      </c>
    </row>
    <row r="436" spans="1:255" x14ac:dyDescent="0.2">
      <c r="A436" s="3">
        <v>52</v>
      </c>
      <c r="B436" s="3">
        <f t="shared" ref="B436:G436" si="344">B459</f>
        <v>1</v>
      </c>
      <c r="C436" s="3">
        <f t="shared" si="344"/>
        <v>4</v>
      </c>
      <c r="D436" s="3">
        <f t="shared" si="344"/>
        <v>434</v>
      </c>
      <c r="E436" s="3">
        <f t="shared" si="344"/>
        <v>0</v>
      </c>
      <c r="F436" s="3" t="str">
        <f t="shared" si="344"/>
        <v>Новый раздел</v>
      </c>
      <c r="G436" s="3" t="str">
        <f t="shared" si="344"/>
        <v>Автоматизация систем кондиционирования</v>
      </c>
      <c r="H436" s="3"/>
      <c r="I436" s="3"/>
      <c r="J436" s="3"/>
      <c r="K436" s="3"/>
      <c r="L436" s="3"/>
      <c r="M436" s="3"/>
      <c r="N436" s="3"/>
      <c r="O436" s="3">
        <f t="shared" ref="O436:AT436" si="345">O459</f>
        <v>36187.279999999999</v>
      </c>
      <c r="P436" s="3">
        <f t="shared" si="345"/>
        <v>32924</v>
      </c>
      <c r="Q436" s="3">
        <f t="shared" si="345"/>
        <v>1236</v>
      </c>
      <c r="R436" s="3">
        <f t="shared" si="345"/>
        <v>150.07</v>
      </c>
      <c r="S436" s="3">
        <f t="shared" si="345"/>
        <v>2027.28</v>
      </c>
      <c r="T436" s="3">
        <f t="shared" si="345"/>
        <v>0</v>
      </c>
      <c r="U436" s="3">
        <f t="shared" si="345"/>
        <v>163.59898499999997</v>
      </c>
      <c r="V436" s="3">
        <f t="shared" si="345"/>
        <v>0</v>
      </c>
      <c r="W436" s="3">
        <f t="shared" si="345"/>
        <v>0</v>
      </c>
      <c r="X436" s="3">
        <f t="shared" si="345"/>
        <v>2070.9699999999998</v>
      </c>
      <c r="Y436" s="3">
        <f t="shared" si="345"/>
        <v>1081.1300000000001</v>
      </c>
      <c r="Z436" s="3">
        <f t="shared" si="345"/>
        <v>0</v>
      </c>
      <c r="AA436" s="3">
        <f t="shared" si="345"/>
        <v>0</v>
      </c>
      <c r="AB436" s="3">
        <f t="shared" si="345"/>
        <v>36187.279999999999</v>
      </c>
      <c r="AC436" s="3">
        <f t="shared" si="345"/>
        <v>32924</v>
      </c>
      <c r="AD436" s="3">
        <f t="shared" si="345"/>
        <v>1236</v>
      </c>
      <c r="AE436" s="3">
        <f t="shared" si="345"/>
        <v>150.07</v>
      </c>
      <c r="AF436" s="3">
        <f t="shared" si="345"/>
        <v>2027.28</v>
      </c>
      <c r="AG436" s="3">
        <f t="shared" si="345"/>
        <v>0</v>
      </c>
      <c r="AH436" s="3">
        <f t="shared" si="345"/>
        <v>163.59898499999997</v>
      </c>
      <c r="AI436" s="3">
        <f t="shared" si="345"/>
        <v>0</v>
      </c>
      <c r="AJ436" s="3">
        <f t="shared" si="345"/>
        <v>0</v>
      </c>
      <c r="AK436" s="3">
        <f t="shared" si="345"/>
        <v>2070.9699999999998</v>
      </c>
      <c r="AL436" s="3">
        <f t="shared" si="345"/>
        <v>1081.1300000000001</v>
      </c>
      <c r="AM436" s="3">
        <f t="shared" si="345"/>
        <v>0</v>
      </c>
      <c r="AN436" s="3">
        <f t="shared" si="345"/>
        <v>0</v>
      </c>
      <c r="AO436" s="3">
        <f t="shared" si="345"/>
        <v>0</v>
      </c>
      <c r="AP436" s="3">
        <f t="shared" si="345"/>
        <v>17943.099999999999</v>
      </c>
      <c r="AQ436" s="3">
        <f t="shared" si="345"/>
        <v>0</v>
      </c>
      <c r="AR436" s="3">
        <f t="shared" si="345"/>
        <v>39339.379999999997</v>
      </c>
      <c r="AS436" s="3">
        <f t="shared" si="345"/>
        <v>0</v>
      </c>
      <c r="AT436" s="3">
        <f t="shared" si="345"/>
        <v>21396.28</v>
      </c>
      <c r="AU436" s="3">
        <f t="shared" ref="AU436:BZ436" si="346">AU459</f>
        <v>0</v>
      </c>
      <c r="AV436" s="3">
        <f t="shared" si="346"/>
        <v>32924</v>
      </c>
      <c r="AW436" s="3">
        <f t="shared" si="346"/>
        <v>14980.9</v>
      </c>
      <c r="AX436" s="3">
        <f t="shared" si="346"/>
        <v>0</v>
      </c>
      <c r="AY436" s="3">
        <f t="shared" si="346"/>
        <v>14980.9</v>
      </c>
      <c r="AZ436" s="3">
        <f t="shared" si="346"/>
        <v>17943.099999999999</v>
      </c>
      <c r="BA436" s="3">
        <f t="shared" si="346"/>
        <v>0</v>
      </c>
      <c r="BB436" s="3">
        <f t="shared" si="346"/>
        <v>0</v>
      </c>
      <c r="BC436" s="3">
        <f t="shared" si="346"/>
        <v>0</v>
      </c>
      <c r="BD436" s="3">
        <f t="shared" si="346"/>
        <v>0</v>
      </c>
      <c r="BE436" s="3">
        <f t="shared" si="346"/>
        <v>0</v>
      </c>
      <c r="BF436" s="3">
        <f t="shared" si="346"/>
        <v>0</v>
      </c>
      <c r="BG436" s="3">
        <f t="shared" si="346"/>
        <v>0</v>
      </c>
      <c r="BH436" s="3">
        <f t="shared" si="346"/>
        <v>0</v>
      </c>
      <c r="BI436" s="3">
        <f t="shared" si="346"/>
        <v>0</v>
      </c>
      <c r="BJ436" s="3">
        <f t="shared" si="346"/>
        <v>0</v>
      </c>
      <c r="BK436" s="3">
        <f t="shared" si="346"/>
        <v>0</v>
      </c>
      <c r="BL436" s="3">
        <f t="shared" si="346"/>
        <v>0</v>
      </c>
      <c r="BM436" s="3">
        <f t="shared" si="346"/>
        <v>0</v>
      </c>
      <c r="BN436" s="3">
        <f t="shared" si="346"/>
        <v>0</v>
      </c>
      <c r="BO436" s="3">
        <f t="shared" si="346"/>
        <v>0</v>
      </c>
      <c r="BP436" s="3">
        <f t="shared" si="346"/>
        <v>0</v>
      </c>
      <c r="BQ436" s="3">
        <f t="shared" si="346"/>
        <v>0</v>
      </c>
      <c r="BR436" s="3">
        <f t="shared" si="346"/>
        <v>0</v>
      </c>
      <c r="BS436" s="3">
        <f t="shared" si="346"/>
        <v>0</v>
      </c>
      <c r="BT436" s="3">
        <f t="shared" si="346"/>
        <v>0</v>
      </c>
      <c r="BU436" s="3">
        <f t="shared" si="346"/>
        <v>0</v>
      </c>
      <c r="BV436" s="3">
        <f t="shared" si="346"/>
        <v>0</v>
      </c>
      <c r="BW436" s="3">
        <f t="shared" si="346"/>
        <v>0</v>
      </c>
      <c r="BX436" s="3">
        <f t="shared" si="346"/>
        <v>0</v>
      </c>
      <c r="BY436" s="3">
        <f t="shared" si="346"/>
        <v>17943.099999999999</v>
      </c>
      <c r="BZ436" s="3">
        <f t="shared" si="346"/>
        <v>0</v>
      </c>
      <c r="CA436" s="3">
        <f t="shared" ref="CA436:DF436" si="347">CA459</f>
        <v>39339.379999999997</v>
      </c>
      <c r="CB436" s="3">
        <f t="shared" si="347"/>
        <v>0</v>
      </c>
      <c r="CC436" s="3">
        <f t="shared" si="347"/>
        <v>21396.28</v>
      </c>
      <c r="CD436" s="3">
        <f t="shared" si="347"/>
        <v>0</v>
      </c>
      <c r="CE436" s="3">
        <f t="shared" si="347"/>
        <v>32924</v>
      </c>
      <c r="CF436" s="3">
        <f t="shared" si="347"/>
        <v>14980.900000000001</v>
      </c>
      <c r="CG436" s="3">
        <f t="shared" si="347"/>
        <v>0</v>
      </c>
      <c r="CH436" s="3">
        <f t="shared" si="347"/>
        <v>14980.900000000001</v>
      </c>
      <c r="CI436" s="3">
        <f t="shared" si="347"/>
        <v>17943.099999999999</v>
      </c>
      <c r="CJ436" s="3">
        <f t="shared" si="347"/>
        <v>0</v>
      </c>
      <c r="CK436" s="3">
        <f t="shared" si="347"/>
        <v>0</v>
      </c>
      <c r="CL436" s="3">
        <f t="shared" si="347"/>
        <v>0</v>
      </c>
      <c r="CM436" s="3">
        <f t="shared" si="347"/>
        <v>0</v>
      </c>
      <c r="CN436" s="3">
        <f t="shared" si="347"/>
        <v>0</v>
      </c>
      <c r="CO436" s="3">
        <f t="shared" si="347"/>
        <v>0</v>
      </c>
      <c r="CP436" s="3">
        <f t="shared" si="347"/>
        <v>0</v>
      </c>
      <c r="CQ436" s="3">
        <f t="shared" si="347"/>
        <v>0</v>
      </c>
      <c r="CR436" s="3">
        <f t="shared" si="347"/>
        <v>0</v>
      </c>
      <c r="CS436" s="3">
        <f t="shared" si="347"/>
        <v>0</v>
      </c>
      <c r="CT436" s="3">
        <f t="shared" si="347"/>
        <v>0</v>
      </c>
      <c r="CU436" s="3">
        <f t="shared" si="347"/>
        <v>0</v>
      </c>
      <c r="CV436" s="3">
        <f t="shared" si="347"/>
        <v>0</v>
      </c>
      <c r="CW436" s="3">
        <f t="shared" si="347"/>
        <v>0</v>
      </c>
      <c r="CX436" s="3">
        <f t="shared" si="347"/>
        <v>0</v>
      </c>
      <c r="CY436" s="3">
        <f t="shared" si="347"/>
        <v>0</v>
      </c>
      <c r="CZ436" s="3">
        <f t="shared" si="347"/>
        <v>0</v>
      </c>
      <c r="DA436" s="3">
        <f t="shared" si="347"/>
        <v>0</v>
      </c>
      <c r="DB436" s="3">
        <f t="shared" si="347"/>
        <v>0</v>
      </c>
      <c r="DC436" s="3">
        <f t="shared" si="347"/>
        <v>0</v>
      </c>
      <c r="DD436" s="3">
        <f t="shared" si="347"/>
        <v>0</v>
      </c>
      <c r="DE436" s="3">
        <f t="shared" si="347"/>
        <v>0</v>
      </c>
      <c r="DF436" s="3">
        <f t="shared" si="347"/>
        <v>0</v>
      </c>
      <c r="DG436" s="4">
        <f t="shared" ref="DG436:EL436" si="348">DG459</f>
        <v>277670.37</v>
      </c>
      <c r="DH436" s="4">
        <f t="shared" si="348"/>
        <v>147373.15</v>
      </c>
      <c r="DI436" s="4">
        <f t="shared" si="348"/>
        <v>18817.099999999999</v>
      </c>
      <c r="DJ436" s="4">
        <f t="shared" si="348"/>
        <v>8252.35</v>
      </c>
      <c r="DK436" s="4">
        <f t="shared" si="348"/>
        <v>111480.12</v>
      </c>
      <c r="DL436" s="4">
        <f t="shared" si="348"/>
        <v>0</v>
      </c>
      <c r="DM436" s="4">
        <f t="shared" si="348"/>
        <v>163.59898499999997</v>
      </c>
      <c r="DN436" s="4">
        <f t="shared" si="348"/>
        <v>0</v>
      </c>
      <c r="DO436" s="4">
        <f t="shared" si="348"/>
        <v>0</v>
      </c>
      <c r="DP436" s="4">
        <f t="shared" si="348"/>
        <v>113882.23</v>
      </c>
      <c r="DQ436" s="4">
        <f t="shared" si="348"/>
        <v>59450.51</v>
      </c>
      <c r="DR436" s="4">
        <f t="shared" si="348"/>
        <v>0</v>
      </c>
      <c r="DS436" s="4">
        <f t="shared" si="348"/>
        <v>0</v>
      </c>
      <c r="DT436" s="4">
        <f t="shared" si="348"/>
        <v>277670.37</v>
      </c>
      <c r="DU436" s="4">
        <f t="shared" si="348"/>
        <v>147373.15</v>
      </c>
      <c r="DV436" s="4">
        <f t="shared" si="348"/>
        <v>18817.099999999999</v>
      </c>
      <c r="DW436" s="4">
        <f t="shared" si="348"/>
        <v>8252.35</v>
      </c>
      <c r="DX436" s="4">
        <f t="shared" si="348"/>
        <v>111480.12</v>
      </c>
      <c r="DY436" s="4">
        <f t="shared" si="348"/>
        <v>0</v>
      </c>
      <c r="DZ436" s="4">
        <f t="shared" si="348"/>
        <v>163.59898499999997</v>
      </c>
      <c r="EA436" s="4">
        <f t="shared" si="348"/>
        <v>0</v>
      </c>
      <c r="EB436" s="4">
        <f t="shared" si="348"/>
        <v>0</v>
      </c>
      <c r="EC436" s="4">
        <f t="shared" si="348"/>
        <v>113882.23</v>
      </c>
      <c r="ED436" s="4">
        <f t="shared" si="348"/>
        <v>59450.51</v>
      </c>
      <c r="EE436" s="4">
        <f t="shared" si="348"/>
        <v>0</v>
      </c>
      <c r="EF436" s="4">
        <f t="shared" si="348"/>
        <v>0</v>
      </c>
      <c r="EG436" s="4">
        <f t="shared" si="348"/>
        <v>0</v>
      </c>
      <c r="EH436" s="4">
        <f t="shared" si="348"/>
        <v>72933.98</v>
      </c>
      <c r="EI436" s="4">
        <f t="shared" si="348"/>
        <v>0</v>
      </c>
      <c r="EJ436" s="4">
        <f t="shared" si="348"/>
        <v>451003.11</v>
      </c>
      <c r="EK436" s="4">
        <f t="shared" si="348"/>
        <v>0</v>
      </c>
      <c r="EL436" s="4">
        <f t="shared" si="348"/>
        <v>378069.13</v>
      </c>
      <c r="EM436" s="4">
        <f t="shared" ref="EM436:FR436" si="349">EM459</f>
        <v>0</v>
      </c>
      <c r="EN436" s="4">
        <f t="shared" si="349"/>
        <v>147373.15</v>
      </c>
      <c r="EO436" s="4">
        <f t="shared" si="349"/>
        <v>74439.17</v>
      </c>
      <c r="EP436" s="4">
        <f t="shared" si="349"/>
        <v>0</v>
      </c>
      <c r="EQ436" s="4">
        <f t="shared" si="349"/>
        <v>74439.17</v>
      </c>
      <c r="ER436" s="4">
        <f t="shared" si="349"/>
        <v>72933.98</v>
      </c>
      <c r="ES436" s="4">
        <f t="shared" si="349"/>
        <v>0</v>
      </c>
      <c r="ET436" s="4">
        <f t="shared" si="349"/>
        <v>0</v>
      </c>
      <c r="EU436" s="4">
        <f t="shared" si="349"/>
        <v>0</v>
      </c>
      <c r="EV436" s="4">
        <f t="shared" si="349"/>
        <v>0</v>
      </c>
      <c r="EW436" s="4">
        <f t="shared" si="349"/>
        <v>0</v>
      </c>
      <c r="EX436" s="4">
        <f t="shared" si="349"/>
        <v>0</v>
      </c>
      <c r="EY436" s="4">
        <f t="shared" si="349"/>
        <v>0</v>
      </c>
      <c r="EZ436" s="4">
        <f t="shared" si="349"/>
        <v>0</v>
      </c>
      <c r="FA436" s="4">
        <f t="shared" si="349"/>
        <v>0</v>
      </c>
      <c r="FB436" s="4">
        <f t="shared" si="349"/>
        <v>0</v>
      </c>
      <c r="FC436" s="4">
        <f t="shared" si="349"/>
        <v>0</v>
      </c>
      <c r="FD436" s="4">
        <f t="shared" si="349"/>
        <v>0</v>
      </c>
      <c r="FE436" s="4">
        <f t="shared" si="349"/>
        <v>0</v>
      </c>
      <c r="FF436" s="4">
        <f t="shared" si="349"/>
        <v>0</v>
      </c>
      <c r="FG436" s="4">
        <f t="shared" si="349"/>
        <v>0</v>
      </c>
      <c r="FH436" s="4">
        <f t="shared" si="349"/>
        <v>0</v>
      </c>
      <c r="FI436" s="4">
        <f t="shared" si="349"/>
        <v>0</v>
      </c>
      <c r="FJ436" s="4">
        <f t="shared" si="349"/>
        <v>0</v>
      </c>
      <c r="FK436" s="4">
        <f t="shared" si="349"/>
        <v>0</v>
      </c>
      <c r="FL436" s="4">
        <f t="shared" si="349"/>
        <v>0</v>
      </c>
      <c r="FM436" s="4">
        <f t="shared" si="349"/>
        <v>0</v>
      </c>
      <c r="FN436" s="4">
        <f t="shared" si="349"/>
        <v>0</v>
      </c>
      <c r="FO436" s="4">
        <f t="shared" si="349"/>
        <v>0</v>
      </c>
      <c r="FP436" s="4">
        <f t="shared" si="349"/>
        <v>0</v>
      </c>
      <c r="FQ436" s="4">
        <f t="shared" si="349"/>
        <v>72933.98</v>
      </c>
      <c r="FR436" s="4">
        <f t="shared" si="349"/>
        <v>0</v>
      </c>
      <c r="FS436" s="4">
        <f t="shared" ref="FS436:GX436" si="350">FS459</f>
        <v>451003.11</v>
      </c>
      <c r="FT436" s="4">
        <f t="shared" si="350"/>
        <v>0</v>
      </c>
      <c r="FU436" s="4">
        <f t="shared" si="350"/>
        <v>378069.13</v>
      </c>
      <c r="FV436" s="4">
        <f t="shared" si="350"/>
        <v>0</v>
      </c>
      <c r="FW436" s="4">
        <f t="shared" si="350"/>
        <v>147373.15</v>
      </c>
      <c r="FX436" s="4">
        <f t="shared" si="350"/>
        <v>74439.17</v>
      </c>
      <c r="FY436" s="4">
        <f t="shared" si="350"/>
        <v>0</v>
      </c>
      <c r="FZ436" s="4">
        <f t="shared" si="350"/>
        <v>74439.17</v>
      </c>
      <c r="GA436" s="4">
        <f t="shared" si="350"/>
        <v>72933.98</v>
      </c>
      <c r="GB436" s="4">
        <f t="shared" si="350"/>
        <v>0</v>
      </c>
      <c r="GC436" s="4">
        <f t="shared" si="350"/>
        <v>0</v>
      </c>
      <c r="GD436" s="4">
        <f t="shared" si="350"/>
        <v>0</v>
      </c>
      <c r="GE436" s="4">
        <f t="shared" si="350"/>
        <v>0</v>
      </c>
      <c r="GF436" s="4">
        <f t="shared" si="350"/>
        <v>0</v>
      </c>
      <c r="GG436" s="4">
        <f t="shared" si="350"/>
        <v>0</v>
      </c>
      <c r="GH436" s="4">
        <f t="shared" si="350"/>
        <v>0</v>
      </c>
      <c r="GI436" s="4">
        <f t="shared" si="350"/>
        <v>0</v>
      </c>
      <c r="GJ436" s="4">
        <f t="shared" si="350"/>
        <v>0</v>
      </c>
      <c r="GK436" s="4">
        <f t="shared" si="350"/>
        <v>0</v>
      </c>
      <c r="GL436" s="4">
        <f t="shared" si="350"/>
        <v>0</v>
      </c>
      <c r="GM436" s="4">
        <f t="shared" si="350"/>
        <v>0</v>
      </c>
      <c r="GN436" s="4">
        <f t="shared" si="350"/>
        <v>0</v>
      </c>
      <c r="GO436" s="4">
        <f t="shared" si="350"/>
        <v>0</v>
      </c>
      <c r="GP436" s="4">
        <f t="shared" si="350"/>
        <v>0</v>
      </c>
      <c r="GQ436" s="4">
        <f t="shared" si="350"/>
        <v>0</v>
      </c>
      <c r="GR436" s="4">
        <f t="shared" si="350"/>
        <v>0</v>
      </c>
      <c r="GS436" s="4">
        <f t="shared" si="350"/>
        <v>0</v>
      </c>
      <c r="GT436" s="4">
        <f t="shared" si="350"/>
        <v>0</v>
      </c>
      <c r="GU436" s="4">
        <f t="shared" si="350"/>
        <v>0</v>
      </c>
      <c r="GV436" s="4">
        <f t="shared" si="350"/>
        <v>0</v>
      </c>
      <c r="GW436" s="4">
        <f t="shared" si="350"/>
        <v>0</v>
      </c>
      <c r="GX436" s="4">
        <f t="shared" si="350"/>
        <v>0</v>
      </c>
    </row>
    <row r="438" spans="1:255" x14ac:dyDescent="0.2">
      <c r="A438" s="2">
        <v>17</v>
      </c>
      <c r="B438" s="2">
        <v>1</v>
      </c>
      <c r="C438" s="2">
        <f>ROW(SmtRes!A307)</f>
        <v>307</v>
      </c>
      <c r="D438" s="2">
        <f>ROW(EtalonRes!A369)</f>
        <v>369</v>
      </c>
      <c r="E438" s="2" t="s">
        <v>430</v>
      </c>
      <c r="F438" s="2" t="s">
        <v>337</v>
      </c>
      <c r="G438" s="2" t="s">
        <v>431</v>
      </c>
      <c r="H438" s="2" t="s">
        <v>21</v>
      </c>
      <c r="I438" s="2">
        <v>10</v>
      </c>
      <c r="J438" s="2">
        <v>0</v>
      </c>
      <c r="K438" s="2">
        <v>10</v>
      </c>
      <c r="L438" s="2"/>
      <c r="M438" s="2"/>
      <c r="N438" s="2"/>
      <c r="O438" s="2">
        <f t="shared" ref="O438:O457" si="351">ROUND(CP438,2)</f>
        <v>391.57</v>
      </c>
      <c r="P438" s="2">
        <f>ROUND((ROUND((AC438*AW438*I438),2)*BC438),2)</f>
        <v>0</v>
      </c>
      <c r="Q438" s="2">
        <f>(ROUND((ROUND((((ET438*1.1))*AV438*I438),2)*BB438),2)+ROUND((ROUND(((AE438-((EU438*1.1)))*AV438*I438),2)*BS438),2))</f>
        <v>324.66000000000003</v>
      </c>
      <c r="R438" s="2">
        <f t="shared" ref="R438:R457" si="352">ROUND((ROUND((AE438*AV438*I438),2)*BS438),2)</f>
        <v>36.39</v>
      </c>
      <c r="S438" s="2">
        <f t="shared" ref="S438:S457" si="353">ROUND((ROUND((AF438*AV438*I438),2)*BA438),2)</f>
        <v>66.91</v>
      </c>
      <c r="T438" s="2">
        <f t="shared" ref="T438:T457" si="354">ROUND(CU438*I438,2)</f>
        <v>0</v>
      </c>
      <c r="U438" s="2">
        <f t="shared" ref="U438:U457" si="355">CV438*I438</f>
        <v>5.9888399999999997</v>
      </c>
      <c r="V438" s="2">
        <f t="shared" ref="V438:V457" si="356">CW438*I438</f>
        <v>0</v>
      </c>
      <c r="W438" s="2">
        <f t="shared" ref="W438:W457" si="357">ROUND(CX438*I438,2)</f>
        <v>0</v>
      </c>
      <c r="X438" s="2">
        <f t="shared" ref="X438:X457" si="358">ROUND(CY438,2)</f>
        <v>92.97</v>
      </c>
      <c r="Y438" s="2">
        <f t="shared" ref="Y438:Y457" si="359">ROUND(CZ438,2)</f>
        <v>47.52</v>
      </c>
      <c r="Z438" s="2"/>
      <c r="AA438" s="2">
        <v>56959434</v>
      </c>
      <c r="AB438" s="2">
        <f t="shared" ref="AB438:AB457" si="360">ROUND((AC438+AD438+AF438),6)</f>
        <v>37.4</v>
      </c>
      <c r="AC438" s="2">
        <f t="shared" ref="AC438:AC457" si="361">ROUND((ES438),6)</f>
        <v>0</v>
      </c>
      <c r="AD438" s="2">
        <f>ROUND(((((ET438*1.1))-((EU438*1.1)))+AE438),6)</f>
        <v>31.009</v>
      </c>
      <c r="AE438" s="2">
        <f>ROUND(((EU438*1.1)),6)</f>
        <v>3.476</v>
      </c>
      <c r="AF438" s="2">
        <f>ROUND(((EV438*1.1)),6)</f>
        <v>6.391</v>
      </c>
      <c r="AG438" s="2">
        <f t="shared" ref="AG438:AG457" si="362">ROUND((AP438),6)</f>
        <v>0</v>
      </c>
      <c r="AH438" s="2">
        <f>((EW438*1.1))</f>
        <v>0.57200000000000006</v>
      </c>
      <c r="AI438" s="2">
        <f>((EX438*1.1))</f>
        <v>0</v>
      </c>
      <c r="AJ438" s="2">
        <f t="shared" ref="AJ438:AJ457" si="363">(AS438)</f>
        <v>0</v>
      </c>
      <c r="AK438" s="2">
        <v>34</v>
      </c>
      <c r="AL438" s="2">
        <v>0</v>
      </c>
      <c r="AM438" s="2">
        <v>28.19</v>
      </c>
      <c r="AN438" s="2">
        <v>3.16</v>
      </c>
      <c r="AO438" s="2">
        <v>5.81</v>
      </c>
      <c r="AP438" s="2">
        <v>0</v>
      </c>
      <c r="AQ438" s="2">
        <v>0.52</v>
      </c>
      <c r="AR438" s="2">
        <v>0</v>
      </c>
      <c r="AS438" s="2">
        <v>0</v>
      </c>
      <c r="AT438" s="2">
        <v>90</v>
      </c>
      <c r="AU438" s="2">
        <v>46</v>
      </c>
      <c r="AV438" s="2">
        <v>1.0469999999999999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0</v>
      </c>
      <c r="BI438" s="2">
        <v>2</v>
      </c>
      <c r="BJ438" s="2" t="s">
        <v>339</v>
      </c>
      <c r="BK438" s="2"/>
      <c r="BL438" s="2"/>
      <c r="BM438" s="2">
        <v>72</v>
      </c>
      <c r="BN438" s="2">
        <v>55992028</v>
      </c>
      <c r="BO438" s="2" t="s">
        <v>337</v>
      </c>
      <c r="BP438" s="2">
        <v>1</v>
      </c>
      <c r="BQ438" s="2">
        <v>40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90</v>
      </c>
      <c r="CA438" s="2">
        <v>46</v>
      </c>
      <c r="CB438" s="2" t="s">
        <v>3</v>
      </c>
      <c r="CC438" s="2"/>
      <c r="CD438" s="2"/>
      <c r="CE438" s="2">
        <v>30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673</v>
      </c>
      <c r="CO438" s="2">
        <v>0</v>
      </c>
      <c r="CP438" s="2">
        <f t="shared" ref="CP438:CP457" si="364">(P438+Q438+S438)</f>
        <v>391.57000000000005</v>
      </c>
      <c r="CQ438" s="2">
        <f>ROUND((ROUND((AC438*AW438*1),2)*BC438),2)</f>
        <v>0</v>
      </c>
      <c r="CR438" s="2">
        <f>(ROUND((ROUND((((ET438*1.1))*AV438*1),2)*BB438),2)+ROUND((ROUND(((AE438-((EU438*1.1)))*AV438*1),2)*BS438),2))</f>
        <v>32.47</v>
      </c>
      <c r="CS438" s="2">
        <f t="shared" ref="CS438:CS457" si="365">ROUND((ROUND((AE438*AV438*1),2)*BS438),2)</f>
        <v>3.64</v>
      </c>
      <c r="CT438" s="2">
        <f t="shared" ref="CT438:CT457" si="366">ROUND((ROUND((AF438*AV438*1),2)*BA438),2)</f>
        <v>6.69</v>
      </c>
      <c r="CU438" s="2">
        <f t="shared" ref="CU438:CU457" si="367">AG438</f>
        <v>0</v>
      </c>
      <c r="CV438" s="2">
        <f t="shared" ref="CV438:CV457" si="368">(AH438*AV438)</f>
        <v>0.59888399999999997</v>
      </c>
      <c r="CW438" s="2">
        <f t="shared" ref="CW438:CW457" si="369">AI438</f>
        <v>0</v>
      </c>
      <c r="CX438" s="2">
        <f t="shared" ref="CX438:CX457" si="370">AJ438</f>
        <v>0</v>
      </c>
      <c r="CY438" s="2">
        <f t="shared" ref="CY438:CY457" si="371">(((S438+R438)*AT438)/100)</f>
        <v>92.97</v>
      </c>
      <c r="CZ438" s="2">
        <f t="shared" ref="CZ438:CZ457" si="372">(((S438+R438)*AU438)/100)</f>
        <v>47.518000000000001</v>
      </c>
      <c r="DA438" s="2"/>
      <c r="DB438" s="2"/>
      <c r="DC438" s="2" t="s">
        <v>3</v>
      </c>
      <c r="DD438" s="2" t="s">
        <v>3</v>
      </c>
      <c r="DE438" s="2" t="s">
        <v>23</v>
      </c>
      <c r="DF438" s="2" t="s">
        <v>23</v>
      </c>
      <c r="DG438" s="2" t="s">
        <v>23</v>
      </c>
      <c r="DH438" s="2" t="s">
        <v>3</v>
      </c>
      <c r="DI438" s="2" t="s">
        <v>23</v>
      </c>
      <c r="DJ438" s="2" t="s">
        <v>23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21</v>
      </c>
      <c r="DW438" s="2" t="s">
        <v>21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55992157</v>
      </c>
      <c r="EF438" s="2">
        <v>40</v>
      </c>
      <c r="EG438" s="2" t="s">
        <v>24</v>
      </c>
      <c r="EH438" s="2">
        <v>0</v>
      </c>
      <c r="EI438" s="2" t="s">
        <v>3</v>
      </c>
      <c r="EJ438" s="2">
        <v>2</v>
      </c>
      <c r="EK438" s="2">
        <v>72</v>
      </c>
      <c r="EL438" s="2" t="s">
        <v>25</v>
      </c>
      <c r="EM438" s="2" t="s">
        <v>26</v>
      </c>
      <c r="EN438" s="2"/>
      <c r="EO438" s="2" t="s">
        <v>27</v>
      </c>
      <c r="EP438" s="2"/>
      <c r="EQ438" s="2">
        <v>0</v>
      </c>
      <c r="ER438" s="2">
        <v>34</v>
      </c>
      <c r="ES438" s="2">
        <v>0</v>
      </c>
      <c r="ET438" s="2">
        <v>28.19</v>
      </c>
      <c r="EU438" s="2">
        <v>3.16</v>
      </c>
      <c r="EV438" s="2">
        <v>5.81</v>
      </c>
      <c r="EW438" s="2">
        <v>0.52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90</v>
      </c>
      <c r="FY438" s="2">
        <v>46</v>
      </c>
      <c r="FZ438" s="2"/>
      <c r="GA438" s="2" t="s">
        <v>3</v>
      </c>
      <c r="GB438" s="2"/>
      <c r="GC438" s="2"/>
      <c r="GD438" s="2">
        <v>1</v>
      </c>
      <c r="GE438" s="2"/>
      <c r="GF438" s="2">
        <v>-792869215</v>
      </c>
      <c r="GG438" s="2">
        <v>2</v>
      </c>
      <c r="GH438" s="2">
        <v>1</v>
      </c>
      <c r="GI438" s="2">
        <v>2</v>
      </c>
      <c r="GJ438" s="2">
        <v>0</v>
      </c>
      <c r="GK438" s="2">
        <v>0</v>
      </c>
      <c r="GL438" s="2">
        <f t="shared" ref="GL438:GL457" si="373">ROUND(IF(AND(BH438=3,BI438=3,FS438&lt;&gt;0),P438,0),2)</f>
        <v>0</v>
      </c>
      <c r="GM438" s="2">
        <f t="shared" ref="GM438:GM457" si="374">ROUND(O438+X438+Y438,2)+GX438</f>
        <v>532.05999999999995</v>
      </c>
      <c r="GN438" s="2">
        <f t="shared" ref="GN438:GN457" si="375">IF(OR(BI438=0,BI438=1),GM438-GX438,0)</f>
        <v>0</v>
      </c>
      <c r="GO438" s="2">
        <f t="shared" ref="GO438:GO457" si="376">IF(BI438=2,GM438-GX438,0)</f>
        <v>532.05999999999995</v>
      </c>
      <c r="GP438" s="2">
        <f t="shared" ref="GP438:GP457" si="377">IF(BI438=4,GM438-GX438,0)</f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ref="GV438:GV457" si="378">ROUND((GT438),6)</f>
        <v>0</v>
      </c>
      <c r="GW438" s="2">
        <v>1</v>
      </c>
      <c r="GX438" s="2">
        <f t="shared" ref="GX438:GX457" si="379">ROUND(HC438*I438,2)</f>
        <v>0</v>
      </c>
      <c r="GY438" s="2"/>
      <c r="GZ438" s="2"/>
      <c r="HA438" s="2">
        <v>0</v>
      </c>
      <c r="HB438" s="2">
        <v>0</v>
      </c>
      <c r="HC438" s="2">
        <f t="shared" ref="HC438:HC457" si="380">GV438*GW438</f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">
      <c r="A439">
        <v>17</v>
      </c>
      <c r="B439">
        <v>1</v>
      </c>
      <c r="C439">
        <f>ROW(SmtRes!A310)</f>
        <v>310</v>
      </c>
      <c r="D439">
        <f>ROW(EtalonRes!A374)</f>
        <v>374</v>
      </c>
      <c r="E439" t="s">
        <v>430</v>
      </c>
      <c r="F439" t="s">
        <v>337</v>
      </c>
      <c r="G439" t="s">
        <v>431</v>
      </c>
      <c r="H439" t="s">
        <v>21</v>
      </c>
      <c r="I439">
        <v>10</v>
      </c>
      <c r="J439">
        <v>0</v>
      </c>
      <c r="K439">
        <v>10</v>
      </c>
      <c r="O439">
        <f t="shared" si="351"/>
        <v>8477.85</v>
      </c>
      <c r="P439">
        <f>ROUND((ROUND((AC439*AW439*I439),2)*BC439),2)</f>
        <v>0</v>
      </c>
      <c r="Q439">
        <f>(ROUND((ROUND((((ET439*1.1))*AV439*I439),2)*BB439),2)+ROUND((ROUND(((AE439-((EU439*1.1)))*AV439*I439),2)*BS439),2))</f>
        <v>4798.47</v>
      </c>
      <c r="R439">
        <f t="shared" si="352"/>
        <v>2001.09</v>
      </c>
      <c r="S439">
        <f t="shared" si="353"/>
        <v>3679.38</v>
      </c>
      <c r="T439">
        <f t="shared" si="354"/>
        <v>0</v>
      </c>
      <c r="U439">
        <f t="shared" si="355"/>
        <v>5.9888399999999997</v>
      </c>
      <c r="V439">
        <f t="shared" si="356"/>
        <v>0</v>
      </c>
      <c r="W439">
        <f t="shared" si="357"/>
        <v>0</v>
      </c>
      <c r="X439">
        <f t="shared" si="358"/>
        <v>5112.42</v>
      </c>
      <c r="Y439">
        <f t="shared" si="359"/>
        <v>2613.02</v>
      </c>
      <c r="AA439">
        <v>56959431</v>
      </c>
      <c r="AB439">
        <f t="shared" si="360"/>
        <v>37.4</v>
      </c>
      <c r="AC439">
        <f t="shared" si="361"/>
        <v>0</v>
      </c>
      <c r="AD439">
        <f>ROUND(((((ET439*1.1))-((EU439*1.1)))+AE439),6)</f>
        <v>31.009</v>
      </c>
      <c r="AE439">
        <f>ROUND(((EU439*1.1)),6)</f>
        <v>3.476</v>
      </c>
      <c r="AF439">
        <f>ROUND(((EV439*1.1)),6)</f>
        <v>6.391</v>
      </c>
      <c r="AG439">
        <f t="shared" si="362"/>
        <v>0</v>
      </c>
      <c r="AH439">
        <f>((EW439*1.1))</f>
        <v>0.57200000000000006</v>
      </c>
      <c r="AI439">
        <f>((EX439*1.1))</f>
        <v>0</v>
      </c>
      <c r="AJ439">
        <f t="shared" si="363"/>
        <v>0</v>
      </c>
      <c r="AK439">
        <v>34</v>
      </c>
      <c r="AL439">
        <v>0</v>
      </c>
      <c r="AM439">
        <v>28.19</v>
      </c>
      <c r="AN439">
        <v>3.16</v>
      </c>
      <c r="AO439">
        <v>5.81</v>
      </c>
      <c r="AP439">
        <v>0</v>
      </c>
      <c r="AQ439">
        <v>0.52</v>
      </c>
      <c r="AR439">
        <v>0</v>
      </c>
      <c r="AS439">
        <v>0</v>
      </c>
      <c r="AT439">
        <v>90</v>
      </c>
      <c r="AU439">
        <v>46</v>
      </c>
      <c r="AV439">
        <v>1.0469999999999999</v>
      </c>
      <c r="AW439">
        <v>1</v>
      </c>
      <c r="AZ439">
        <v>1</v>
      </c>
      <c r="BA439">
        <v>54.99</v>
      </c>
      <c r="BB439">
        <v>14.78</v>
      </c>
      <c r="BC439">
        <v>1</v>
      </c>
      <c r="BD439" t="s">
        <v>3</v>
      </c>
      <c r="BE439" t="s">
        <v>3</v>
      </c>
      <c r="BF439" t="s">
        <v>3</v>
      </c>
      <c r="BG439" t="s">
        <v>3</v>
      </c>
      <c r="BH439">
        <v>0</v>
      </c>
      <c r="BI439">
        <v>2</v>
      </c>
      <c r="BJ439" t="s">
        <v>339</v>
      </c>
      <c r="BM439">
        <v>72</v>
      </c>
      <c r="BN439">
        <v>55992028</v>
      </c>
      <c r="BO439" t="s">
        <v>337</v>
      </c>
      <c r="BP439">
        <v>1</v>
      </c>
      <c r="BQ439">
        <v>40</v>
      </c>
      <c r="BR439">
        <v>0</v>
      </c>
      <c r="BS439">
        <v>54.99</v>
      </c>
      <c r="BT439">
        <v>1</v>
      </c>
      <c r="BU439">
        <v>1</v>
      </c>
      <c r="BV439">
        <v>1</v>
      </c>
      <c r="BW439">
        <v>1</v>
      </c>
      <c r="BX439">
        <v>1</v>
      </c>
      <c r="BY439" t="s">
        <v>3</v>
      </c>
      <c r="BZ439">
        <v>90</v>
      </c>
      <c r="CA439">
        <v>46</v>
      </c>
      <c r="CB439" t="s">
        <v>3</v>
      </c>
      <c r="CE439">
        <v>30</v>
      </c>
      <c r="CF439">
        <v>0</v>
      </c>
      <c r="CG439">
        <v>0</v>
      </c>
      <c r="CM439">
        <v>0</v>
      </c>
      <c r="CN439" t="s">
        <v>673</v>
      </c>
      <c r="CO439">
        <v>0</v>
      </c>
      <c r="CP439">
        <f t="shared" si="364"/>
        <v>8477.85</v>
      </c>
      <c r="CQ439">
        <f>ROUND((ROUND((AC439*AW439*1),2)*BC439),2)</f>
        <v>0</v>
      </c>
      <c r="CR439">
        <f>(ROUND((ROUND((((ET439*1.1))*AV439*1),2)*BB439),2)+ROUND((ROUND(((AE439-((EU439*1.1)))*AV439*1),2)*BS439),2))</f>
        <v>479.91</v>
      </c>
      <c r="CS439">
        <f t="shared" si="365"/>
        <v>200.16</v>
      </c>
      <c r="CT439">
        <f t="shared" si="366"/>
        <v>367.88</v>
      </c>
      <c r="CU439">
        <f t="shared" si="367"/>
        <v>0</v>
      </c>
      <c r="CV439">
        <f t="shared" si="368"/>
        <v>0.59888399999999997</v>
      </c>
      <c r="CW439">
        <f t="shared" si="369"/>
        <v>0</v>
      </c>
      <c r="CX439">
        <f t="shared" si="370"/>
        <v>0</v>
      </c>
      <c r="CY439">
        <f t="shared" si="371"/>
        <v>5112.4230000000007</v>
      </c>
      <c r="CZ439">
        <f t="shared" si="372"/>
        <v>2613.0162</v>
      </c>
      <c r="DC439" t="s">
        <v>3</v>
      </c>
      <c r="DD439" t="s">
        <v>3</v>
      </c>
      <c r="DE439" t="s">
        <v>23</v>
      </c>
      <c r="DF439" t="s">
        <v>23</v>
      </c>
      <c r="DG439" t="s">
        <v>23</v>
      </c>
      <c r="DH439" t="s">
        <v>3</v>
      </c>
      <c r="DI439" t="s">
        <v>23</v>
      </c>
      <c r="DJ439" t="s">
        <v>23</v>
      </c>
      <c r="DK439" t="s">
        <v>3</v>
      </c>
      <c r="DL439" t="s">
        <v>3</v>
      </c>
      <c r="DM439" t="s">
        <v>3</v>
      </c>
      <c r="DN439">
        <v>0</v>
      </c>
      <c r="DO439">
        <v>0</v>
      </c>
      <c r="DP439">
        <v>1</v>
      </c>
      <c r="DQ439">
        <v>1</v>
      </c>
      <c r="DU439">
        <v>1013</v>
      </c>
      <c r="DV439" t="s">
        <v>21</v>
      </c>
      <c r="DW439" t="s">
        <v>21</v>
      </c>
      <c r="DX439">
        <v>1</v>
      </c>
      <c r="DZ439" t="s">
        <v>3</v>
      </c>
      <c r="EA439" t="s">
        <v>3</v>
      </c>
      <c r="EB439" t="s">
        <v>3</v>
      </c>
      <c r="EC439" t="s">
        <v>3</v>
      </c>
      <c r="EE439">
        <v>55992157</v>
      </c>
      <c r="EF439">
        <v>40</v>
      </c>
      <c r="EG439" t="s">
        <v>24</v>
      </c>
      <c r="EH439">
        <v>0</v>
      </c>
      <c r="EI439" t="s">
        <v>3</v>
      </c>
      <c r="EJ439">
        <v>2</v>
      </c>
      <c r="EK439">
        <v>72</v>
      </c>
      <c r="EL439" t="s">
        <v>25</v>
      </c>
      <c r="EM439" t="s">
        <v>26</v>
      </c>
      <c r="EO439" t="s">
        <v>27</v>
      </c>
      <c r="EQ439">
        <v>0</v>
      </c>
      <c r="ER439">
        <v>34</v>
      </c>
      <c r="ES439">
        <v>0</v>
      </c>
      <c r="ET439">
        <v>28.19</v>
      </c>
      <c r="EU439">
        <v>3.16</v>
      </c>
      <c r="EV439">
        <v>5.81</v>
      </c>
      <c r="EW439">
        <v>0.52</v>
      </c>
      <c r="EX439">
        <v>0</v>
      </c>
      <c r="EY439">
        <v>0</v>
      </c>
      <c r="FQ439">
        <v>0</v>
      </c>
      <c r="FR439">
        <v>0</v>
      </c>
      <c r="FS439">
        <v>0</v>
      </c>
      <c r="FX439">
        <v>90</v>
      </c>
      <c r="FY439">
        <v>46</v>
      </c>
      <c r="GA439" t="s">
        <v>3</v>
      </c>
      <c r="GD439">
        <v>1</v>
      </c>
      <c r="GF439">
        <v>-792869215</v>
      </c>
      <c r="GG439">
        <v>2</v>
      </c>
      <c r="GH439">
        <v>1</v>
      </c>
      <c r="GI439">
        <v>2</v>
      </c>
      <c r="GJ439">
        <v>0</v>
      </c>
      <c r="GK439">
        <v>0</v>
      </c>
      <c r="GL439">
        <f t="shared" si="373"/>
        <v>0</v>
      </c>
      <c r="GM439">
        <f t="shared" si="374"/>
        <v>16203.29</v>
      </c>
      <c r="GN439">
        <f t="shared" si="375"/>
        <v>0</v>
      </c>
      <c r="GO439">
        <f t="shared" si="376"/>
        <v>16203.29</v>
      </c>
      <c r="GP439">
        <f t="shared" si="377"/>
        <v>0</v>
      </c>
      <c r="GR439">
        <v>0</v>
      </c>
      <c r="GS439">
        <v>3</v>
      </c>
      <c r="GT439">
        <v>0</v>
      </c>
      <c r="GU439" t="s">
        <v>3</v>
      </c>
      <c r="GV439">
        <f t="shared" si="378"/>
        <v>0</v>
      </c>
      <c r="GW439">
        <v>1</v>
      </c>
      <c r="GX439">
        <f t="shared" si="379"/>
        <v>0</v>
      </c>
      <c r="HA439">
        <v>0</v>
      </c>
      <c r="HB439">
        <v>0</v>
      </c>
      <c r="HC439">
        <f t="shared" si="380"/>
        <v>0</v>
      </c>
      <c r="HE439" t="s">
        <v>3</v>
      </c>
      <c r="HF439" t="s">
        <v>3</v>
      </c>
      <c r="HM439" t="s">
        <v>3</v>
      </c>
      <c r="HN439" t="s">
        <v>3</v>
      </c>
      <c r="HO439" t="s">
        <v>3</v>
      </c>
      <c r="HP439" t="s">
        <v>3</v>
      </c>
      <c r="HQ439" t="s">
        <v>3</v>
      </c>
      <c r="HS439">
        <v>0</v>
      </c>
      <c r="IK439">
        <v>0</v>
      </c>
    </row>
    <row r="440" spans="1:255" x14ac:dyDescent="0.2">
      <c r="A440" s="2">
        <v>17</v>
      </c>
      <c r="B440" s="2">
        <v>1</v>
      </c>
      <c r="C440" s="2"/>
      <c r="D440" s="2"/>
      <c r="E440" s="2" t="s">
        <v>432</v>
      </c>
      <c r="F440" s="2" t="s">
        <v>433</v>
      </c>
      <c r="G440" s="2" t="s">
        <v>674</v>
      </c>
      <c r="H440" s="2" t="s">
        <v>31</v>
      </c>
      <c r="I440" s="2">
        <v>10</v>
      </c>
      <c r="J440" s="2">
        <v>0</v>
      </c>
      <c r="K440" s="2">
        <v>10</v>
      </c>
      <c r="L440" s="2"/>
      <c r="M440" s="2"/>
      <c r="N440" s="2"/>
      <c r="O440" s="2">
        <f t="shared" si="351"/>
        <v>10388.1</v>
      </c>
      <c r="P440" s="2">
        <f>ROUND((ROUND((AC440*I440),2)*BC440),2)</f>
        <v>10388.1</v>
      </c>
      <c r="Q440" s="2">
        <f>(ROUND((ROUND(((ET440)*AV440*I440),2)*BB440),2)+ROUND((ROUND(((AE440-(EU440))*AV440*I440),2)*BS440),2))</f>
        <v>0</v>
      </c>
      <c r="R440" s="2">
        <f t="shared" si="352"/>
        <v>0</v>
      </c>
      <c r="S440" s="2">
        <f t="shared" si="353"/>
        <v>0</v>
      </c>
      <c r="T440" s="2">
        <f t="shared" si="354"/>
        <v>0</v>
      </c>
      <c r="U440" s="2">
        <f t="shared" si="355"/>
        <v>0</v>
      </c>
      <c r="V440" s="2">
        <f t="shared" si="356"/>
        <v>0</v>
      </c>
      <c r="W440" s="2">
        <f t="shared" si="357"/>
        <v>0</v>
      </c>
      <c r="X440" s="2">
        <f t="shared" si="358"/>
        <v>0</v>
      </c>
      <c r="Y440" s="2">
        <f t="shared" si="359"/>
        <v>0</v>
      </c>
      <c r="Z440" s="2"/>
      <c r="AA440" s="2">
        <v>56959434</v>
      </c>
      <c r="AB440" s="2">
        <f t="shared" si="360"/>
        <v>1038.81</v>
      </c>
      <c r="AC440" s="2">
        <f t="shared" si="361"/>
        <v>1038.81</v>
      </c>
      <c r="AD440" s="2">
        <f>ROUND((((ET440)-(EU440))+AE440),6)</f>
        <v>0</v>
      </c>
      <c r="AE440" s="2">
        <f>ROUND((EU440),6)</f>
        <v>0</v>
      </c>
      <c r="AF440" s="2">
        <f>ROUND((EV440),6)</f>
        <v>0</v>
      </c>
      <c r="AG440" s="2">
        <f t="shared" si="362"/>
        <v>0</v>
      </c>
      <c r="AH440" s="2">
        <f>(EW440)</f>
        <v>0</v>
      </c>
      <c r="AI440" s="2">
        <f>(EX440)</f>
        <v>0</v>
      </c>
      <c r="AJ440" s="2">
        <f t="shared" si="363"/>
        <v>0</v>
      </c>
      <c r="AK440" s="2">
        <v>1038.81</v>
      </c>
      <c r="AL440" s="2">
        <v>1038.81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3</v>
      </c>
      <c r="BJ440" s="2" t="s">
        <v>3</v>
      </c>
      <c r="BK440" s="2"/>
      <c r="BL440" s="2"/>
      <c r="BM440" s="2">
        <v>746</v>
      </c>
      <c r="BN440" s="2">
        <v>55992028</v>
      </c>
      <c r="BO440" s="2" t="s">
        <v>3</v>
      </c>
      <c r="BP440" s="2">
        <v>0</v>
      </c>
      <c r="BQ440" s="2">
        <v>130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0</v>
      </c>
      <c r="CA440" s="2">
        <v>0</v>
      </c>
      <c r="CB440" s="2" t="s">
        <v>3</v>
      </c>
      <c r="CC440" s="2"/>
      <c r="CD440" s="2"/>
      <c r="CE440" s="2">
        <v>30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3</v>
      </c>
      <c r="CO440" s="2">
        <v>0</v>
      </c>
      <c r="CP440" s="2">
        <f t="shared" si="364"/>
        <v>10388.1</v>
      </c>
      <c r="CQ440" s="2">
        <f>ROUND((ROUND((AC440*1),2)*BC440),2)</f>
        <v>1038.81</v>
      </c>
      <c r="CR440" s="2">
        <f>(ROUND((ROUND(((ET440)*AV440*1),2)*BB440),2)+ROUND((ROUND(((AE440-(EU440))*AV440*1),2)*BS440),2))</f>
        <v>0</v>
      </c>
      <c r="CS440" s="2">
        <f t="shared" si="365"/>
        <v>0</v>
      </c>
      <c r="CT440" s="2">
        <f t="shared" si="366"/>
        <v>0</v>
      </c>
      <c r="CU440" s="2">
        <f t="shared" si="367"/>
        <v>0</v>
      </c>
      <c r="CV440" s="2">
        <f t="shared" si="368"/>
        <v>0</v>
      </c>
      <c r="CW440" s="2">
        <f t="shared" si="369"/>
        <v>0</v>
      </c>
      <c r="CX440" s="2">
        <f t="shared" si="370"/>
        <v>0</v>
      </c>
      <c r="CY440" s="2">
        <f t="shared" si="371"/>
        <v>0</v>
      </c>
      <c r="CZ440" s="2">
        <f t="shared" si="372"/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31</v>
      </c>
      <c r="DW440" s="2" t="s">
        <v>31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55992259</v>
      </c>
      <c r="EF440" s="2">
        <v>130</v>
      </c>
      <c r="EG440" s="2" t="s">
        <v>32</v>
      </c>
      <c r="EH440" s="2">
        <v>0</v>
      </c>
      <c r="EI440" s="2" t="s">
        <v>3</v>
      </c>
      <c r="EJ440" s="2">
        <v>3</v>
      </c>
      <c r="EK440" s="2">
        <v>746</v>
      </c>
      <c r="EL440" s="2" t="s">
        <v>33</v>
      </c>
      <c r="EM440" s="2" t="s">
        <v>34</v>
      </c>
      <c r="EN440" s="2"/>
      <c r="EO440" s="2" t="s">
        <v>3</v>
      </c>
      <c r="EP440" s="2"/>
      <c r="EQ440" s="2">
        <v>0</v>
      </c>
      <c r="ER440" s="2">
        <v>1038.81</v>
      </c>
      <c r="ES440" s="2">
        <v>1038.81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f>P440</f>
        <v>10388.1</v>
      </c>
      <c r="FS440" s="2">
        <v>0</v>
      </c>
      <c r="FT440" s="2"/>
      <c r="FU440" s="2"/>
      <c r="FV440" s="2"/>
      <c r="FW440" s="2"/>
      <c r="FX440" s="2">
        <v>0</v>
      </c>
      <c r="FY440" s="2">
        <v>0</v>
      </c>
      <c r="FZ440" s="2"/>
      <c r="GA440" s="2" t="s">
        <v>3</v>
      </c>
      <c r="GB440" s="2"/>
      <c r="GC440" s="2"/>
      <c r="GD440" s="2">
        <v>1</v>
      </c>
      <c r="GE440" s="2"/>
      <c r="GF440" s="2">
        <v>1735758481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373"/>
        <v>0</v>
      </c>
      <c r="GM440" s="2">
        <f t="shared" si="374"/>
        <v>10388.1</v>
      </c>
      <c r="GN440" s="2">
        <f t="shared" si="375"/>
        <v>0</v>
      </c>
      <c r="GO440" s="2">
        <f t="shared" si="376"/>
        <v>0</v>
      </c>
      <c r="GP440" s="2">
        <f t="shared" si="377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378"/>
        <v>0</v>
      </c>
      <c r="GW440" s="2">
        <v>1</v>
      </c>
      <c r="GX440" s="2">
        <f t="shared" si="379"/>
        <v>0</v>
      </c>
      <c r="GY440" s="2"/>
      <c r="GZ440" s="2"/>
      <c r="HA440" s="2">
        <v>0</v>
      </c>
      <c r="HB440" s="2">
        <v>0</v>
      </c>
      <c r="HC440" s="2">
        <f t="shared" si="380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3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">
      <c r="A441">
        <v>17</v>
      </c>
      <c r="B441">
        <v>1</v>
      </c>
      <c r="E441" t="s">
        <v>432</v>
      </c>
      <c r="F441" t="s">
        <v>433</v>
      </c>
      <c r="G441" t="s">
        <v>674</v>
      </c>
      <c r="H441" t="s">
        <v>31</v>
      </c>
      <c r="I441">
        <v>10</v>
      </c>
      <c r="J441">
        <v>0</v>
      </c>
      <c r="K441">
        <v>10</v>
      </c>
      <c r="O441">
        <f t="shared" si="351"/>
        <v>41656.28</v>
      </c>
      <c r="P441">
        <f>ROUND((ROUND((AC441*I441),2)*BC441),2)</f>
        <v>41656.28</v>
      </c>
      <c r="Q441">
        <f>(ROUND((ROUND(((ET441)*AV441*I441),2)*BB441),2)+ROUND((ROUND(((AE441-(EU441))*AV441*I441),2)*BS441),2))</f>
        <v>0</v>
      </c>
      <c r="R441">
        <f t="shared" si="352"/>
        <v>0</v>
      </c>
      <c r="S441">
        <f t="shared" si="353"/>
        <v>0</v>
      </c>
      <c r="T441">
        <f t="shared" si="354"/>
        <v>0</v>
      </c>
      <c r="U441">
        <f t="shared" si="355"/>
        <v>0</v>
      </c>
      <c r="V441">
        <f t="shared" si="356"/>
        <v>0</v>
      </c>
      <c r="W441">
        <f t="shared" si="357"/>
        <v>0</v>
      </c>
      <c r="X441">
        <f t="shared" si="358"/>
        <v>0</v>
      </c>
      <c r="Y441">
        <f t="shared" si="359"/>
        <v>0</v>
      </c>
      <c r="AA441">
        <v>56959431</v>
      </c>
      <c r="AB441">
        <f t="shared" si="360"/>
        <v>1038.81</v>
      </c>
      <c r="AC441">
        <f t="shared" si="361"/>
        <v>1038.81</v>
      </c>
      <c r="AD441">
        <f>ROUND((((ET441)-(EU441))+AE441),6)</f>
        <v>0</v>
      </c>
      <c r="AE441">
        <f>ROUND((EU441),6)</f>
        <v>0</v>
      </c>
      <c r="AF441">
        <f>ROUND((EV441),6)</f>
        <v>0</v>
      </c>
      <c r="AG441">
        <f t="shared" si="362"/>
        <v>0</v>
      </c>
      <c r="AH441">
        <f>(EW441)</f>
        <v>0</v>
      </c>
      <c r="AI441">
        <f>(EX441)</f>
        <v>0</v>
      </c>
      <c r="AJ441">
        <f t="shared" si="363"/>
        <v>0</v>
      </c>
      <c r="AK441">
        <v>1038.81</v>
      </c>
      <c r="AL441">
        <v>1038.81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1</v>
      </c>
      <c r="AZ441">
        <v>1</v>
      </c>
      <c r="BA441">
        <v>1</v>
      </c>
      <c r="BB441">
        <v>1</v>
      </c>
      <c r="BC441">
        <v>4.01</v>
      </c>
      <c r="BD441" t="s">
        <v>3</v>
      </c>
      <c r="BE441" t="s">
        <v>3</v>
      </c>
      <c r="BF441" t="s">
        <v>3</v>
      </c>
      <c r="BG441" t="s">
        <v>3</v>
      </c>
      <c r="BH441">
        <v>3</v>
      </c>
      <c r="BI441">
        <v>3</v>
      </c>
      <c r="BJ441" t="s">
        <v>3</v>
      </c>
      <c r="BM441">
        <v>746</v>
      </c>
      <c r="BN441">
        <v>55992028</v>
      </c>
      <c r="BO441" t="s">
        <v>3</v>
      </c>
      <c r="BP441">
        <v>0</v>
      </c>
      <c r="BQ441">
        <v>130</v>
      </c>
      <c r="BR441">
        <v>0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 t="s">
        <v>3</v>
      </c>
      <c r="BZ441">
        <v>0</v>
      </c>
      <c r="CA441">
        <v>0</v>
      </c>
      <c r="CB441" t="s">
        <v>3</v>
      </c>
      <c r="CE441">
        <v>30</v>
      </c>
      <c r="CF441">
        <v>0</v>
      </c>
      <c r="CG441">
        <v>0</v>
      </c>
      <c r="CM441">
        <v>0</v>
      </c>
      <c r="CN441" t="s">
        <v>3</v>
      </c>
      <c r="CO441">
        <v>0</v>
      </c>
      <c r="CP441">
        <f t="shared" si="364"/>
        <v>41656.28</v>
      </c>
      <c r="CQ441">
        <f>ROUND((ROUND((AC441*1),2)*BC441),2)</f>
        <v>4165.63</v>
      </c>
      <c r="CR441">
        <f>(ROUND((ROUND(((ET441)*AV441*1),2)*BB441),2)+ROUND((ROUND(((AE441-(EU441))*AV441*1),2)*BS441),2))</f>
        <v>0</v>
      </c>
      <c r="CS441">
        <f t="shared" si="365"/>
        <v>0</v>
      </c>
      <c r="CT441">
        <f t="shared" si="366"/>
        <v>0</v>
      </c>
      <c r="CU441">
        <f t="shared" si="367"/>
        <v>0</v>
      </c>
      <c r="CV441">
        <f t="shared" si="368"/>
        <v>0</v>
      </c>
      <c r="CW441">
        <f t="shared" si="369"/>
        <v>0</v>
      </c>
      <c r="CX441">
        <f t="shared" si="370"/>
        <v>0</v>
      </c>
      <c r="CY441">
        <f t="shared" si="371"/>
        <v>0</v>
      </c>
      <c r="CZ441">
        <f t="shared" si="372"/>
        <v>0</v>
      </c>
      <c r="DC441" t="s">
        <v>3</v>
      </c>
      <c r="DD441" t="s">
        <v>3</v>
      </c>
      <c r="DE441" t="s">
        <v>3</v>
      </c>
      <c r="DF441" t="s">
        <v>3</v>
      </c>
      <c r="DG441" t="s">
        <v>3</v>
      </c>
      <c r="DH441" t="s">
        <v>3</v>
      </c>
      <c r="DI441" t="s">
        <v>3</v>
      </c>
      <c r="DJ441" t="s">
        <v>3</v>
      </c>
      <c r="DK441" t="s">
        <v>3</v>
      </c>
      <c r="DL441" t="s">
        <v>3</v>
      </c>
      <c r="DM441" t="s">
        <v>3</v>
      </c>
      <c r="DN441">
        <v>0</v>
      </c>
      <c r="DO441">
        <v>0</v>
      </c>
      <c r="DP441">
        <v>1</v>
      </c>
      <c r="DQ441">
        <v>1</v>
      </c>
      <c r="DU441">
        <v>1010</v>
      </c>
      <c r="DV441" t="s">
        <v>31</v>
      </c>
      <c r="DW441" t="s">
        <v>31</v>
      </c>
      <c r="DX441">
        <v>1</v>
      </c>
      <c r="DZ441" t="s">
        <v>3</v>
      </c>
      <c r="EA441" t="s">
        <v>3</v>
      </c>
      <c r="EB441" t="s">
        <v>3</v>
      </c>
      <c r="EC441" t="s">
        <v>3</v>
      </c>
      <c r="EE441">
        <v>55992259</v>
      </c>
      <c r="EF441">
        <v>130</v>
      </c>
      <c r="EG441" t="s">
        <v>32</v>
      </c>
      <c r="EH441">
        <v>0</v>
      </c>
      <c r="EI441" t="s">
        <v>3</v>
      </c>
      <c r="EJ441">
        <v>3</v>
      </c>
      <c r="EK441">
        <v>746</v>
      </c>
      <c r="EL441" t="s">
        <v>33</v>
      </c>
      <c r="EM441" t="s">
        <v>34</v>
      </c>
      <c r="EO441" t="s">
        <v>3</v>
      </c>
      <c r="EQ441">
        <v>0</v>
      </c>
      <c r="ER441">
        <v>1038.81</v>
      </c>
      <c r="ES441">
        <v>1038.81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FQ441">
        <v>0</v>
      </c>
      <c r="FR441">
        <f>P441</f>
        <v>41656.28</v>
      </c>
      <c r="FS441">
        <v>0</v>
      </c>
      <c r="FX441">
        <v>0</v>
      </c>
      <c r="FY441">
        <v>0</v>
      </c>
      <c r="GA441" t="s">
        <v>3</v>
      </c>
      <c r="GD441">
        <v>1</v>
      </c>
      <c r="GF441">
        <v>1735758481</v>
      </c>
      <c r="GG441">
        <v>2</v>
      </c>
      <c r="GH441">
        <v>1</v>
      </c>
      <c r="GI441">
        <v>2</v>
      </c>
      <c r="GJ441">
        <v>0</v>
      </c>
      <c r="GK441">
        <v>0</v>
      </c>
      <c r="GL441">
        <f t="shared" si="373"/>
        <v>0</v>
      </c>
      <c r="GM441">
        <f t="shared" si="374"/>
        <v>41656.28</v>
      </c>
      <c r="GN441">
        <f t="shared" si="375"/>
        <v>0</v>
      </c>
      <c r="GO441">
        <f t="shared" si="376"/>
        <v>0</v>
      </c>
      <c r="GP441">
        <f t="shared" si="377"/>
        <v>0</v>
      </c>
      <c r="GR441">
        <v>0</v>
      </c>
      <c r="GS441">
        <v>3</v>
      </c>
      <c r="GT441">
        <v>0</v>
      </c>
      <c r="GU441" t="s">
        <v>3</v>
      </c>
      <c r="GV441">
        <f t="shared" si="378"/>
        <v>0</v>
      </c>
      <c r="GW441">
        <v>1</v>
      </c>
      <c r="GX441">
        <f t="shared" si="379"/>
        <v>0</v>
      </c>
      <c r="HA441">
        <v>0</v>
      </c>
      <c r="HB441">
        <v>0</v>
      </c>
      <c r="HC441">
        <f t="shared" si="380"/>
        <v>0</v>
      </c>
      <c r="HE441" t="s">
        <v>3</v>
      </c>
      <c r="HF441" t="s">
        <v>3</v>
      </c>
      <c r="HM441" t="s">
        <v>3</v>
      </c>
      <c r="HN441" t="s">
        <v>3</v>
      </c>
      <c r="HO441" t="s">
        <v>3</v>
      </c>
      <c r="HP441" t="s">
        <v>3</v>
      </c>
      <c r="HQ441" t="s">
        <v>3</v>
      </c>
      <c r="HS441">
        <v>0</v>
      </c>
      <c r="IK441">
        <v>0</v>
      </c>
    </row>
    <row r="442" spans="1:255" x14ac:dyDescent="0.2">
      <c r="A442" s="2">
        <v>17</v>
      </c>
      <c r="B442" s="2">
        <v>1</v>
      </c>
      <c r="C442" s="2">
        <f>ROW(SmtRes!A313)</f>
        <v>313</v>
      </c>
      <c r="D442" s="2">
        <f>ROW(EtalonRes!A379)</f>
        <v>379</v>
      </c>
      <c r="E442" s="2" t="s">
        <v>434</v>
      </c>
      <c r="F442" s="2" t="s">
        <v>337</v>
      </c>
      <c r="G442" s="2" t="s">
        <v>431</v>
      </c>
      <c r="H442" s="2" t="s">
        <v>21</v>
      </c>
      <c r="I442" s="2">
        <v>20</v>
      </c>
      <c r="J442" s="2">
        <v>0</v>
      </c>
      <c r="K442" s="2">
        <v>20</v>
      </c>
      <c r="L442" s="2"/>
      <c r="M442" s="2"/>
      <c r="N442" s="2"/>
      <c r="O442" s="2">
        <f t="shared" si="351"/>
        <v>783.16</v>
      </c>
      <c r="P442" s="2">
        <f>ROUND((ROUND((AC442*AW442*I442),2)*BC442),2)</f>
        <v>0</v>
      </c>
      <c r="Q442" s="2">
        <f>(ROUND((ROUND((((ET442*1.1))*AV442*I442),2)*BB442),2)+ROUND((ROUND(((AE442-((EU442*1.1)))*AV442*I442),2)*BS442),2))</f>
        <v>649.33000000000004</v>
      </c>
      <c r="R442" s="2">
        <f t="shared" si="352"/>
        <v>72.790000000000006</v>
      </c>
      <c r="S442" s="2">
        <f t="shared" si="353"/>
        <v>133.83000000000001</v>
      </c>
      <c r="T442" s="2">
        <f t="shared" si="354"/>
        <v>0</v>
      </c>
      <c r="U442" s="2">
        <f t="shared" si="355"/>
        <v>11.977679999999999</v>
      </c>
      <c r="V442" s="2">
        <f t="shared" si="356"/>
        <v>0</v>
      </c>
      <c r="W442" s="2">
        <f t="shared" si="357"/>
        <v>0</v>
      </c>
      <c r="X442" s="2">
        <f t="shared" si="358"/>
        <v>185.96</v>
      </c>
      <c r="Y442" s="2">
        <f t="shared" si="359"/>
        <v>95.05</v>
      </c>
      <c r="Z442" s="2"/>
      <c r="AA442" s="2">
        <v>56959434</v>
      </c>
      <c r="AB442" s="2">
        <f t="shared" si="360"/>
        <v>37.4</v>
      </c>
      <c r="AC442" s="2">
        <f t="shared" si="361"/>
        <v>0</v>
      </c>
      <c r="AD442" s="2">
        <f>ROUND(((((ET442*1.1))-((EU442*1.1)))+AE442),6)</f>
        <v>31.009</v>
      </c>
      <c r="AE442" s="2">
        <f>ROUND(((EU442*1.1)),6)</f>
        <v>3.476</v>
      </c>
      <c r="AF442" s="2">
        <f>ROUND(((EV442*1.1)),6)</f>
        <v>6.391</v>
      </c>
      <c r="AG442" s="2">
        <f t="shared" si="362"/>
        <v>0</v>
      </c>
      <c r="AH442" s="2">
        <f>((EW442*1.1))</f>
        <v>0.57200000000000006</v>
      </c>
      <c r="AI442" s="2">
        <f>((EX442*1.1))</f>
        <v>0</v>
      </c>
      <c r="AJ442" s="2">
        <f t="shared" si="363"/>
        <v>0</v>
      </c>
      <c r="AK442" s="2">
        <v>34</v>
      </c>
      <c r="AL442" s="2">
        <v>0</v>
      </c>
      <c r="AM442" s="2">
        <v>28.19</v>
      </c>
      <c r="AN442" s="2">
        <v>3.16</v>
      </c>
      <c r="AO442" s="2">
        <v>5.81</v>
      </c>
      <c r="AP442" s="2">
        <v>0</v>
      </c>
      <c r="AQ442" s="2">
        <v>0.52</v>
      </c>
      <c r="AR442" s="2">
        <v>0</v>
      </c>
      <c r="AS442" s="2">
        <v>0</v>
      </c>
      <c r="AT442" s="2">
        <v>90</v>
      </c>
      <c r="AU442" s="2">
        <v>46</v>
      </c>
      <c r="AV442" s="2">
        <v>1.0469999999999999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0</v>
      </c>
      <c r="BI442" s="2">
        <v>2</v>
      </c>
      <c r="BJ442" s="2" t="s">
        <v>339</v>
      </c>
      <c r="BK442" s="2"/>
      <c r="BL442" s="2"/>
      <c r="BM442" s="2">
        <v>72</v>
      </c>
      <c r="BN442" s="2">
        <v>55992028</v>
      </c>
      <c r="BO442" s="2" t="s">
        <v>337</v>
      </c>
      <c r="BP442" s="2">
        <v>1</v>
      </c>
      <c r="BQ442" s="2">
        <v>40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90</v>
      </c>
      <c r="CA442" s="2">
        <v>46</v>
      </c>
      <c r="CB442" s="2" t="s">
        <v>3</v>
      </c>
      <c r="CC442" s="2"/>
      <c r="CD442" s="2"/>
      <c r="CE442" s="2">
        <v>30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673</v>
      </c>
      <c r="CO442" s="2">
        <v>0</v>
      </c>
      <c r="CP442" s="2">
        <f t="shared" si="364"/>
        <v>783.16000000000008</v>
      </c>
      <c r="CQ442" s="2">
        <f>ROUND((ROUND((AC442*AW442*1),2)*BC442),2)</f>
        <v>0</v>
      </c>
      <c r="CR442" s="2">
        <f>(ROUND((ROUND((((ET442*1.1))*AV442*1),2)*BB442),2)+ROUND((ROUND(((AE442-((EU442*1.1)))*AV442*1),2)*BS442),2))</f>
        <v>32.47</v>
      </c>
      <c r="CS442" s="2">
        <f t="shared" si="365"/>
        <v>3.64</v>
      </c>
      <c r="CT442" s="2">
        <f t="shared" si="366"/>
        <v>6.69</v>
      </c>
      <c r="CU442" s="2">
        <f t="shared" si="367"/>
        <v>0</v>
      </c>
      <c r="CV442" s="2">
        <f t="shared" si="368"/>
        <v>0.59888399999999997</v>
      </c>
      <c r="CW442" s="2">
        <f t="shared" si="369"/>
        <v>0</v>
      </c>
      <c r="CX442" s="2">
        <f t="shared" si="370"/>
        <v>0</v>
      </c>
      <c r="CY442" s="2">
        <f t="shared" si="371"/>
        <v>185.958</v>
      </c>
      <c r="CZ442" s="2">
        <f t="shared" si="372"/>
        <v>95.045200000000008</v>
      </c>
      <c r="DA442" s="2"/>
      <c r="DB442" s="2"/>
      <c r="DC442" s="2" t="s">
        <v>3</v>
      </c>
      <c r="DD442" s="2" t="s">
        <v>3</v>
      </c>
      <c r="DE442" s="2" t="s">
        <v>23</v>
      </c>
      <c r="DF442" s="2" t="s">
        <v>23</v>
      </c>
      <c r="DG442" s="2" t="s">
        <v>23</v>
      </c>
      <c r="DH442" s="2" t="s">
        <v>3</v>
      </c>
      <c r="DI442" s="2" t="s">
        <v>23</v>
      </c>
      <c r="DJ442" s="2" t="s">
        <v>23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1013</v>
      </c>
      <c r="DV442" s="2" t="s">
        <v>21</v>
      </c>
      <c r="DW442" s="2" t="s">
        <v>21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55992157</v>
      </c>
      <c r="EF442" s="2">
        <v>40</v>
      </c>
      <c r="EG442" s="2" t="s">
        <v>24</v>
      </c>
      <c r="EH442" s="2">
        <v>0</v>
      </c>
      <c r="EI442" s="2" t="s">
        <v>3</v>
      </c>
      <c r="EJ442" s="2">
        <v>2</v>
      </c>
      <c r="EK442" s="2">
        <v>72</v>
      </c>
      <c r="EL442" s="2" t="s">
        <v>25</v>
      </c>
      <c r="EM442" s="2" t="s">
        <v>26</v>
      </c>
      <c r="EN442" s="2"/>
      <c r="EO442" s="2" t="s">
        <v>27</v>
      </c>
      <c r="EP442" s="2"/>
      <c r="EQ442" s="2">
        <v>0</v>
      </c>
      <c r="ER442" s="2">
        <v>34</v>
      </c>
      <c r="ES442" s="2">
        <v>0</v>
      </c>
      <c r="ET442" s="2">
        <v>28.19</v>
      </c>
      <c r="EU442" s="2">
        <v>3.16</v>
      </c>
      <c r="EV442" s="2">
        <v>5.81</v>
      </c>
      <c r="EW442" s="2">
        <v>0.52</v>
      </c>
      <c r="EX442" s="2">
        <v>0</v>
      </c>
      <c r="EY442" s="2">
        <v>0</v>
      </c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90</v>
      </c>
      <c r="FY442" s="2">
        <v>46</v>
      </c>
      <c r="FZ442" s="2"/>
      <c r="GA442" s="2" t="s">
        <v>3</v>
      </c>
      <c r="GB442" s="2"/>
      <c r="GC442" s="2"/>
      <c r="GD442" s="2">
        <v>1</v>
      </c>
      <c r="GE442" s="2"/>
      <c r="GF442" s="2">
        <v>-792869215</v>
      </c>
      <c r="GG442" s="2">
        <v>2</v>
      </c>
      <c r="GH442" s="2">
        <v>1</v>
      </c>
      <c r="GI442" s="2">
        <v>2</v>
      </c>
      <c r="GJ442" s="2">
        <v>0</v>
      </c>
      <c r="GK442" s="2">
        <v>0</v>
      </c>
      <c r="GL442" s="2">
        <f t="shared" si="373"/>
        <v>0</v>
      </c>
      <c r="GM442" s="2">
        <f t="shared" si="374"/>
        <v>1064.17</v>
      </c>
      <c r="GN442" s="2">
        <f t="shared" si="375"/>
        <v>0</v>
      </c>
      <c r="GO442" s="2">
        <f t="shared" si="376"/>
        <v>1064.17</v>
      </c>
      <c r="GP442" s="2">
        <f t="shared" si="377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378"/>
        <v>0</v>
      </c>
      <c r="GW442" s="2">
        <v>1</v>
      </c>
      <c r="GX442" s="2">
        <f t="shared" si="379"/>
        <v>0</v>
      </c>
      <c r="GY442" s="2"/>
      <c r="GZ442" s="2"/>
      <c r="HA442" s="2">
        <v>0</v>
      </c>
      <c r="HB442" s="2">
        <v>0</v>
      </c>
      <c r="HC442" s="2">
        <f t="shared" si="380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3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">
      <c r="A443">
        <v>17</v>
      </c>
      <c r="B443">
        <v>1</v>
      </c>
      <c r="C443">
        <f>ROW(SmtRes!A316)</f>
        <v>316</v>
      </c>
      <c r="D443">
        <f>ROW(EtalonRes!A384)</f>
        <v>384</v>
      </c>
      <c r="E443" t="s">
        <v>434</v>
      </c>
      <c r="F443" t="s">
        <v>337</v>
      </c>
      <c r="G443" t="s">
        <v>431</v>
      </c>
      <c r="H443" t="s">
        <v>21</v>
      </c>
      <c r="I443">
        <v>20</v>
      </c>
      <c r="J443">
        <v>0</v>
      </c>
      <c r="K443">
        <v>20</v>
      </c>
      <c r="O443">
        <f t="shared" si="351"/>
        <v>16956.41</v>
      </c>
      <c r="P443">
        <f>ROUND((ROUND((AC443*AW443*I443),2)*BC443),2)</f>
        <v>0</v>
      </c>
      <c r="Q443">
        <f>(ROUND((ROUND((((ET443*1.1))*AV443*I443),2)*BB443),2)+ROUND((ROUND(((AE443-((EU443*1.1)))*AV443*I443),2)*BS443),2))</f>
        <v>9597.1</v>
      </c>
      <c r="R443">
        <f t="shared" si="352"/>
        <v>4002.72</v>
      </c>
      <c r="S443">
        <f t="shared" si="353"/>
        <v>7359.31</v>
      </c>
      <c r="T443">
        <f t="shared" si="354"/>
        <v>0</v>
      </c>
      <c r="U443">
        <f t="shared" si="355"/>
        <v>11.977679999999999</v>
      </c>
      <c r="V443">
        <f t="shared" si="356"/>
        <v>0</v>
      </c>
      <c r="W443">
        <f t="shared" si="357"/>
        <v>0</v>
      </c>
      <c r="X443">
        <f t="shared" si="358"/>
        <v>10225.83</v>
      </c>
      <c r="Y443">
        <f t="shared" si="359"/>
        <v>5226.53</v>
      </c>
      <c r="AA443">
        <v>56959431</v>
      </c>
      <c r="AB443">
        <f t="shared" si="360"/>
        <v>37.4</v>
      </c>
      <c r="AC443">
        <f t="shared" si="361"/>
        <v>0</v>
      </c>
      <c r="AD443">
        <f>ROUND(((((ET443*1.1))-((EU443*1.1)))+AE443),6)</f>
        <v>31.009</v>
      </c>
      <c r="AE443">
        <f>ROUND(((EU443*1.1)),6)</f>
        <v>3.476</v>
      </c>
      <c r="AF443">
        <f>ROUND(((EV443*1.1)),6)</f>
        <v>6.391</v>
      </c>
      <c r="AG443">
        <f t="shared" si="362"/>
        <v>0</v>
      </c>
      <c r="AH443">
        <f>((EW443*1.1))</f>
        <v>0.57200000000000006</v>
      </c>
      <c r="AI443">
        <f>((EX443*1.1))</f>
        <v>0</v>
      </c>
      <c r="AJ443">
        <f t="shared" si="363"/>
        <v>0</v>
      </c>
      <c r="AK443">
        <v>34</v>
      </c>
      <c r="AL443">
        <v>0</v>
      </c>
      <c r="AM443">
        <v>28.19</v>
      </c>
      <c r="AN443">
        <v>3.16</v>
      </c>
      <c r="AO443">
        <v>5.81</v>
      </c>
      <c r="AP443">
        <v>0</v>
      </c>
      <c r="AQ443">
        <v>0.52</v>
      </c>
      <c r="AR443">
        <v>0</v>
      </c>
      <c r="AS443">
        <v>0</v>
      </c>
      <c r="AT443">
        <v>90</v>
      </c>
      <c r="AU443">
        <v>46</v>
      </c>
      <c r="AV443">
        <v>1.0469999999999999</v>
      </c>
      <c r="AW443">
        <v>1</v>
      </c>
      <c r="AZ443">
        <v>1</v>
      </c>
      <c r="BA443">
        <v>54.99</v>
      </c>
      <c r="BB443">
        <v>14.78</v>
      </c>
      <c r="BC443">
        <v>1</v>
      </c>
      <c r="BD443" t="s">
        <v>3</v>
      </c>
      <c r="BE443" t="s">
        <v>3</v>
      </c>
      <c r="BF443" t="s">
        <v>3</v>
      </c>
      <c r="BG443" t="s">
        <v>3</v>
      </c>
      <c r="BH443">
        <v>0</v>
      </c>
      <c r="BI443">
        <v>2</v>
      </c>
      <c r="BJ443" t="s">
        <v>339</v>
      </c>
      <c r="BM443">
        <v>72</v>
      </c>
      <c r="BN443">
        <v>55992028</v>
      </c>
      <c r="BO443" t="s">
        <v>337</v>
      </c>
      <c r="BP443">
        <v>1</v>
      </c>
      <c r="BQ443">
        <v>40</v>
      </c>
      <c r="BR443">
        <v>0</v>
      </c>
      <c r="BS443">
        <v>54.99</v>
      </c>
      <c r="BT443">
        <v>1</v>
      </c>
      <c r="BU443">
        <v>1</v>
      </c>
      <c r="BV443">
        <v>1</v>
      </c>
      <c r="BW443">
        <v>1</v>
      </c>
      <c r="BX443">
        <v>1</v>
      </c>
      <c r="BY443" t="s">
        <v>3</v>
      </c>
      <c r="BZ443">
        <v>90</v>
      </c>
      <c r="CA443">
        <v>46</v>
      </c>
      <c r="CB443" t="s">
        <v>3</v>
      </c>
      <c r="CE443">
        <v>30</v>
      </c>
      <c r="CF443">
        <v>0</v>
      </c>
      <c r="CG443">
        <v>0</v>
      </c>
      <c r="CM443">
        <v>0</v>
      </c>
      <c r="CN443" t="s">
        <v>673</v>
      </c>
      <c r="CO443">
        <v>0</v>
      </c>
      <c r="CP443">
        <f t="shared" si="364"/>
        <v>16956.41</v>
      </c>
      <c r="CQ443">
        <f>ROUND((ROUND((AC443*AW443*1),2)*BC443),2)</f>
        <v>0</v>
      </c>
      <c r="CR443">
        <f>(ROUND((ROUND((((ET443*1.1))*AV443*1),2)*BB443),2)+ROUND((ROUND(((AE443-((EU443*1.1)))*AV443*1),2)*BS443),2))</f>
        <v>479.91</v>
      </c>
      <c r="CS443">
        <f t="shared" si="365"/>
        <v>200.16</v>
      </c>
      <c r="CT443">
        <f t="shared" si="366"/>
        <v>367.88</v>
      </c>
      <c r="CU443">
        <f t="shared" si="367"/>
        <v>0</v>
      </c>
      <c r="CV443">
        <f t="shared" si="368"/>
        <v>0.59888399999999997</v>
      </c>
      <c r="CW443">
        <f t="shared" si="369"/>
        <v>0</v>
      </c>
      <c r="CX443">
        <f t="shared" si="370"/>
        <v>0</v>
      </c>
      <c r="CY443">
        <f t="shared" si="371"/>
        <v>10225.827000000001</v>
      </c>
      <c r="CZ443">
        <f t="shared" si="372"/>
        <v>5226.5338000000002</v>
      </c>
      <c r="DC443" t="s">
        <v>3</v>
      </c>
      <c r="DD443" t="s">
        <v>3</v>
      </c>
      <c r="DE443" t="s">
        <v>23</v>
      </c>
      <c r="DF443" t="s">
        <v>23</v>
      </c>
      <c r="DG443" t="s">
        <v>23</v>
      </c>
      <c r="DH443" t="s">
        <v>3</v>
      </c>
      <c r="DI443" t="s">
        <v>23</v>
      </c>
      <c r="DJ443" t="s">
        <v>23</v>
      </c>
      <c r="DK443" t="s">
        <v>3</v>
      </c>
      <c r="DL443" t="s">
        <v>3</v>
      </c>
      <c r="DM443" t="s">
        <v>3</v>
      </c>
      <c r="DN443">
        <v>0</v>
      </c>
      <c r="DO443">
        <v>0</v>
      </c>
      <c r="DP443">
        <v>1</v>
      </c>
      <c r="DQ443">
        <v>1</v>
      </c>
      <c r="DU443">
        <v>1013</v>
      </c>
      <c r="DV443" t="s">
        <v>21</v>
      </c>
      <c r="DW443" t="s">
        <v>21</v>
      </c>
      <c r="DX443">
        <v>1</v>
      </c>
      <c r="DZ443" t="s">
        <v>3</v>
      </c>
      <c r="EA443" t="s">
        <v>3</v>
      </c>
      <c r="EB443" t="s">
        <v>3</v>
      </c>
      <c r="EC443" t="s">
        <v>3</v>
      </c>
      <c r="EE443">
        <v>55992157</v>
      </c>
      <c r="EF443">
        <v>40</v>
      </c>
      <c r="EG443" t="s">
        <v>24</v>
      </c>
      <c r="EH443">
        <v>0</v>
      </c>
      <c r="EI443" t="s">
        <v>3</v>
      </c>
      <c r="EJ443">
        <v>2</v>
      </c>
      <c r="EK443">
        <v>72</v>
      </c>
      <c r="EL443" t="s">
        <v>25</v>
      </c>
      <c r="EM443" t="s">
        <v>26</v>
      </c>
      <c r="EO443" t="s">
        <v>27</v>
      </c>
      <c r="EQ443">
        <v>0</v>
      </c>
      <c r="ER443">
        <v>34</v>
      </c>
      <c r="ES443">
        <v>0</v>
      </c>
      <c r="ET443">
        <v>28.19</v>
      </c>
      <c r="EU443">
        <v>3.16</v>
      </c>
      <c r="EV443">
        <v>5.81</v>
      </c>
      <c r="EW443">
        <v>0.52</v>
      </c>
      <c r="EX443">
        <v>0</v>
      </c>
      <c r="EY443">
        <v>0</v>
      </c>
      <c r="FQ443">
        <v>0</v>
      </c>
      <c r="FR443">
        <v>0</v>
      </c>
      <c r="FS443">
        <v>0</v>
      </c>
      <c r="FX443">
        <v>90</v>
      </c>
      <c r="FY443">
        <v>46</v>
      </c>
      <c r="GA443" t="s">
        <v>3</v>
      </c>
      <c r="GD443">
        <v>1</v>
      </c>
      <c r="GF443">
        <v>-792869215</v>
      </c>
      <c r="GG443">
        <v>2</v>
      </c>
      <c r="GH443">
        <v>1</v>
      </c>
      <c r="GI443">
        <v>2</v>
      </c>
      <c r="GJ443">
        <v>0</v>
      </c>
      <c r="GK443">
        <v>0</v>
      </c>
      <c r="GL443">
        <f t="shared" si="373"/>
        <v>0</v>
      </c>
      <c r="GM443">
        <f t="shared" si="374"/>
        <v>32408.77</v>
      </c>
      <c r="GN443">
        <f t="shared" si="375"/>
        <v>0</v>
      </c>
      <c r="GO443">
        <f t="shared" si="376"/>
        <v>32408.77</v>
      </c>
      <c r="GP443">
        <f t="shared" si="377"/>
        <v>0</v>
      </c>
      <c r="GR443">
        <v>0</v>
      </c>
      <c r="GS443">
        <v>3</v>
      </c>
      <c r="GT443">
        <v>0</v>
      </c>
      <c r="GU443" t="s">
        <v>3</v>
      </c>
      <c r="GV443">
        <f t="shared" si="378"/>
        <v>0</v>
      </c>
      <c r="GW443">
        <v>1</v>
      </c>
      <c r="GX443">
        <f t="shared" si="379"/>
        <v>0</v>
      </c>
      <c r="HA443">
        <v>0</v>
      </c>
      <c r="HB443">
        <v>0</v>
      </c>
      <c r="HC443">
        <f t="shared" si="380"/>
        <v>0</v>
      </c>
      <c r="HE443" t="s">
        <v>3</v>
      </c>
      <c r="HF443" t="s">
        <v>3</v>
      </c>
      <c r="HM443" t="s">
        <v>3</v>
      </c>
      <c r="HN443" t="s">
        <v>3</v>
      </c>
      <c r="HO443" t="s">
        <v>3</v>
      </c>
      <c r="HP443" t="s">
        <v>3</v>
      </c>
      <c r="HQ443" t="s">
        <v>3</v>
      </c>
      <c r="HS443">
        <v>0</v>
      </c>
      <c r="IK443">
        <v>0</v>
      </c>
    </row>
    <row r="444" spans="1:255" x14ac:dyDescent="0.2">
      <c r="A444" s="2">
        <v>17</v>
      </c>
      <c r="B444" s="2">
        <v>1</v>
      </c>
      <c r="C444" s="2"/>
      <c r="D444" s="2"/>
      <c r="E444" s="2" t="s">
        <v>435</v>
      </c>
      <c r="F444" s="2" t="s">
        <v>436</v>
      </c>
      <c r="G444" s="2" t="s">
        <v>675</v>
      </c>
      <c r="H444" s="2" t="s">
        <v>31</v>
      </c>
      <c r="I444" s="2">
        <v>20</v>
      </c>
      <c r="J444" s="2">
        <v>0</v>
      </c>
      <c r="K444" s="2">
        <v>20</v>
      </c>
      <c r="L444" s="2"/>
      <c r="M444" s="2"/>
      <c r="N444" s="2"/>
      <c r="O444" s="2">
        <f t="shared" si="351"/>
        <v>7555</v>
      </c>
      <c r="P444" s="2">
        <f>ROUND((ROUND((AC444*I444),2)*BC444),2)</f>
        <v>7555</v>
      </c>
      <c r="Q444" s="2">
        <f>(ROUND((ROUND(((ET444)*AV444*I444),2)*BB444),2)+ROUND((ROUND(((AE444-(EU444))*AV444*I444),2)*BS444),2))</f>
        <v>0</v>
      </c>
      <c r="R444" s="2">
        <f t="shared" si="352"/>
        <v>0</v>
      </c>
      <c r="S444" s="2">
        <f t="shared" si="353"/>
        <v>0</v>
      </c>
      <c r="T444" s="2">
        <f t="shared" si="354"/>
        <v>0</v>
      </c>
      <c r="U444" s="2">
        <f t="shared" si="355"/>
        <v>0</v>
      </c>
      <c r="V444" s="2">
        <f t="shared" si="356"/>
        <v>0</v>
      </c>
      <c r="W444" s="2">
        <f t="shared" si="357"/>
        <v>0</v>
      </c>
      <c r="X444" s="2">
        <f t="shared" si="358"/>
        <v>0</v>
      </c>
      <c r="Y444" s="2">
        <f t="shared" si="359"/>
        <v>0</v>
      </c>
      <c r="Z444" s="2"/>
      <c r="AA444" s="2">
        <v>56959434</v>
      </c>
      <c r="AB444" s="2">
        <f t="shared" si="360"/>
        <v>377.75</v>
      </c>
      <c r="AC444" s="2">
        <f t="shared" si="361"/>
        <v>377.75</v>
      </c>
      <c r="AD444" s="2">
        <f>ROUND((((ET444)-(EU444))+AE444),6)</f>
        <v>0</v>
      </c>
      <c r="AE444" s="2">
        <f>ROUND((EU444),6)</f>
        <v>0</v>
      </c>
      <c r="AF444" s="2">
        <f>ROUND((EV444),6)</f>
        <v>0</v>
      </c>
      <c r="AG444" s="2">
        <f t="shared" si="362"/>
        <v>0</v>
      </c>
      <c r="AH444" s="2">
        <f>(EW444)</f>
        <v>0</v>
      </c>
      <c r="AI444" s="2">
        <f>(EX444)</f>
        <v>0</v>
      </c>
      <c r="AJ444" s="2">
        <f t="shared" si="363"/>
        <v>0</v>
      </c>
      <c r="AK444" s="2">
        <v>377.75</v>
      </c>
      <c r="AL444" s="2">
        <v>377.75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1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3</v>
      </c>
      <c r="BI444" s="2">
        <v>3</v>
      </c>
      <c r="BJ444" s="2" t="s">
        <v>3</v>
      </c>
      <c r="BK444" s="2"/>
      <c r="BL444" s="2"/>
      <c r="BM444" s="2">
        <v>746</v>
      </c>
      <c r="BN444" s="2">
        <v>55992028</v>
      </c>
      <c r="BO444" s="2" t="s">
        <v>3</v>
      </c>
      <c r="BP444" s="2">
        <v>0</v>
      </c>
      <c r="BQ444" s="2">
        <v>130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0</v>
      </c>
      <c r="CA444" s="2">
        <v>0</v>
      </c>
      <c r="CB444" s="2" t="s">
        <v>3</v>
      </c>
      <c r="CC444" s="2"/>
      <c r="CD444" s="2"/>
      <c r="CE444" s="2">
        <v>30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3</v>
      </c>
      <c r="CO444" s="2">
        <v>0</v>
      </c>
      <c r="CP444" s="2">
        <f t="shared" si="364"/>
        <v>7555</v>
      </c>
      <c r="CQ444" s="2">
        <f>ROUND((ROUND((AC444*1),2)*BC444),2)</f>
        <v>377.75</v>
      </c>
      <c r="CR444" s="2">
        <f>(ROUND((ROUND(((ET444)*AV444*1),2)*BB444),2)+ROUND((ROUND(((AE444-(EU444))*AV444*1),2)*BS444),2))</f>
        <v>0</v>
      </c>
      <c r="CS444" s="2">
        <f t="shared" si="365"/>
        <v>0</v>
      </c>
      <c r="CT444" s="2">
        <f t="shared" si="366"/>
        <v>0</v>
      </c>
      <c r="CU444" s="2">
        <f t="shared" si="367"/>
        <v>0</v>
      </c>
      <c r="CV444" s="2">
        <f t="shared" si="368"/>
        <v>0</v>
      </c>
      <c r="CW444" s="2">
        <f t="shared" si="369"/>
        <v>0</v>
      </c>
      <c r="CX444" s="2">
        <f t="shared" si="370"/>
        <v>0</v>
      </c>
      <c r="CY444" s="2">
        <f t="shared" si="371"/>
        <v>0</v>
      </c>
      <c r="CZ444" s="2">
        <f t="shared" si="372"/>
        <v>0</v>
      </c>
      <c r="DA444" s="2"/>
      <c r="DB444" s="2"/>
      <c r="DC444" s="2" t="s">
        <v>3</v>
      </c>
      <c r="DD444" s="2" t="s">
        <v>3</v>
      </c>
      <c r="DE444" s="2" t="s">
        <v>3</v>
      </c>
      <c r="DF444" s="2" t="s">
        <v>3</v>
      </c>
      <c r="DG444" s="2" t="s">
        <v>3</v>
      </c>
      <c r="DH444" s="2" t="s">
        <v>3</v>
      </c>
      <c r="DI444" s="2" t="s">
        <v>3</v>
      </c>
      <c r="DJ444" s="2" t="s">
        <v>3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1010</v>
      </c>
      <c r="DV444" s="2" t="s">
        <v>31</v>
      </c>
      <c r="DW444" s="2" t="s">
        <v>31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55992259</v>
      </c>
      <c r="EF444" s="2">
        <v>130</v>
      </c>
      <c r="EG444" s="2" t="s">
        <v>32</v>
      </c>
      <c r="EH444" s="2">
        <v>0</v>
      </c>
      <c r="EI444" s="2" t="s">
        <v>3</v>
      </c>
      <c r="EJ444" s="2">
        <v>3</v>
      </c>
      <c r="EK444" s="2">
        <v>746</v>
      </c>
      <c r="EL444" s="2" t="s">
        <v>33</v>
      </c>
      <c r="EM444" s="2" t="s">
        <v>34</v>
      </c>
      <c r="EN444" s="2"/>
      <c r="EO444" s="2" t="s">
        <v>3</v>
      </c>
      <c r="EP444" s="2"/>
      <c r="EQ444" s="2">
        <v>0</v>
      </c>
      <c r="ER444" s="2">
        <v>377.75</v>
      </c>
      <c r="ES444" s="2">
        <v>377.75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f>P444</f>
        <v>7555</v>
      </c>
      <c r="FS444" s="2">
        <v>0</v>
      </c>
      <c r="FT444" s="2"/>
      <c r="FU444" s="2"/>
      <c r="FV444" s="2"/>
      <c r="FW444" s="2"/>
      <c r="FX444" s="2">
        <v>0</v>
      </c>
      <c r="FY444" s="2">
        <v>0</v>
      </c>
      <c r="FZ444" s="2"/>
      <c r="GA444" s="2" t="s">
        <v>3</v>
      </c>
      <c r="GB444" s="2"/>
      <c r="GC444" s="2"/>
      <c r="GD444" s="2">
        <v>1</v>
      </c>
      <c r="GE444" s="2"/>
      <c r="GF444" s="2">
        <v>-1130773378</v>
      </c>
      <c r="GG444" s="2">
        <v>2</v>
      </c>
      <c r="GH444" s="2">
        <v>1</v>
      </c>
      <c r="GI444" s="2">
        <v>-2</v>
      </c>
      <c r="GJ444" s="2">
        <v>0</v>
      </c>
      <c r="GK444" s="2">
        <v>0</v>
      </c>
      <c r="GL444" s="2">
        <f t="shared" si="373"/>
        <v>0</v>
      </c>
      <c r="GM444" s="2">
        <f t="shared" si="374"/>
        <v>7555</v>
      </c>
      <c r="GN444" s="2">
        <f t="shared" si="375"/>
        <v>0</v>
      </c>
      <c r="GO444" s="2">
        <f t="shared" si="376"/>
        <v>0</v>
      </c>
      <c r="GP444" s="2">
        <f t="shared" si="377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378"/>
        <v>0</v>
      </c>
      <c r="GW444" s="2">
        <v>1</v>
      </c>
      <c r="GX444" s="2">
        <f t="shared" si="379"/>
        <v>0</v>
      </c>
      <c r="GY444" s="2"/>
      <c r="GZ444" s="2"/>
      <c r="HA444" s="2">
        <v>0</v>
      </c>
      <c r="HB444" s="2">
        <v>0</v>
      </c>
      <c r="HC444" s="2">
        <f t="shared" si="380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3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">
      <c r="A445">
        <v>17</v>
      </c>
      <c r="B445">
        <v>1</v>
      </c>
      <c r="E445" t="s">
        <v>435</v>
      </c>
      <c r="F445" t="s">
        <v>436</v>
      </c>
      <c r="G445" t="s">
        <v>675</v>
      </c>
      <c r="H445" t="s">
        <v>31</v>
      </c>
      <c r="I445">
        <v>20</v>
      </c>
      <c r="J445">
        <v>0</v>
      </c>
      <c r="K445">
        <v>20</v>
      </c>
      <c r="O445">
        <f t="shared" si="351"/>
        <v>31277.7</v>
      </c>
      <c r="P445">
        <f>ROUND((ROUND((AC445*I445),2)*BC445),2)</f>
        <v>31277.7</v>
      </c>
      <c r="Q445">
        <f>(ROUND((ROUND(((ET445)*AV445*I445),2)*BB445),2)+ROUND((ROUND(((AE445-(EU445))*AV445*I445),2)*BS445),2))</f>
        <v>0</v>
      </c>
      <c r="R445">
        <f t="shared" si="352"/>
        <v>0</v>
      </c>
      <c r="S445">
        <f t="shared" si="353"/>
        <v>0</v>
      </c>
      <c r="T445">
        <f t="shared" si="354"/>
        <v>0</v>
      </c>
      <c r="U445">
        <f t="shared" si="355"/>
        <v>0</v>
      </c>
      <c r="V445">
        <f t="shared" si="356"/>
        <v>0</v>
      </c>
      <c r="W445">
        <f t="shared" si="357"/>
        <v>0</v>
      </c>
      <c r="X445">
        <f t="shared" si="358"/>
        <v>0</v>
      </c>
      <c r="Y445">
        <f t="shared" si="359"/>
        <v>0</v>
      </c>
      <c r="AA445">
        <v>56959431</v>
      </c>
      <c r="AB445">
        <f t="shared" si="360"/>
        <v>377.75</v>
      </c>
      <c r="AC445">
        <f t="shared" si="361"/>
        <v>377.75</v>
      </c>
      <c r="AD445">
        <f>ROUND((((ET445)-(EU445))+AE445),6)</f>
        <v>0</v>
      </c>
      <c r="AE445">
        <f>ROUND((EU445),6)</f>
        <v>0</v>
      </c>
      <c r="AF445">
        <f>ROUND((EV445),6)</f>
        <v>0</v>
      </c>
      <c r="AG445">
        <f t="shared" si="362"/>
        <v>0</v>
      </c>
      <c r="AH445">
        <f>(EW445)</f>
        <v>0</v>
      </c>
      <c r="AI445">
        <f>(EX445)</f>
        <v>0</v>
      </c>
      <c r="AJ445">
        <f t="shared" si="363"/>
        <v>0</v>
      </c>
      <c r="AK445">
        <v>377.75</v>
      </c>
      <c r="AL445">
        <v>377.75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1</v>
      </c>
      <c r="AZ445">
        <v>1</v>
      </c>
      <c r="BA445">
        <v>1</v>
      </c>
      <c r="BB445">
        <v>1</v>
      </c>
      <c r="BC445">
        <v>4.1399999999999997</v>
      </c>
      <c r="BD445" t="s">
        <v>3</v>
      </c>
      <c r="BE445" t="s">
        <v>3</v>
      </c>
      <c r="BF445" t="s">
        <v>3</v>
      </c>
      <c r="BG445" t="s">
        <v>3</v>
      </c>
      <c r="BH445">
        <v>3</v>
      </c>
      <c r="BI445">
        <v>3</v>
      </c>
      <c r="BJ445" t="s">
        <v>3</v>
      </c>
      <c r="BM445">
        <v>746</v>
      </c>
      <c r="BN445">
        <v>55992028</v>
      </c>
      <c r="BO445" t="s">
        <v>3</v>
      </c>
      <c r="BP445">
        <v>0</v>
      </c>
      <c r="BQ445">
        <v>130</v>
      </c>
      <c r="BR445">
        <v>0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 t="s">
        <v>3</v>
      </c>
      <c r="BZ445">
        <v>0</v>
      </c>
      <c r="CA445">
        <v>0</v>
      </c>
      <c r="CB445" t="s">
        <v>3</v>
      </c>
      <c r="CE445">
        <v>30</v>
      </c>
      <c r="CF445">
        <v>0</v>
      </c>
      <c r="CG445">
        <v>0</v>
      </c>
      <c r="CM445">
        <v>0</v>
      </c>
      <c r="CN445" t="s">
        <v>3</v>
      </c>
      <c r="CO445">
        <v>0</v>
      </c>
      <c r="CP445">
        <f t="shared" si="364"/>
        <v>31277.7</v>
      </c>
      <c r="CQ445">
        <f>ROUND((ROUND((AC445*1),2)*BC445),2)</f>
        <v>1563.89</v>
      </c>
      <c r="CR445">
        <f>(ROUND((ROUND(((ET445)*AV445*1),2)*BB445),2)+ROUND((ROUND(((AE445-(EU445))*AV445*1),2)*BS445),2))</f>
        <v>0</v>
      </c>
      <c r="CS445">
        <f t="shared" si="365"/>
        <v>0</v>
      </c>
      <c r="CT445">
        <f t="shared" si="366"/>
        <v>0</v>
      </c>
      <c r="CU445">
        <f t="shared" si="367"/>
        <v>0</v>
      </c>
      <c r="CV445">
        <f t="shared" si="368"/>
        <v>0</v>
      </c>
      <c r="CW445">
        <f t="shared" si="369"/>
        <v>0</v>
      </c>
      <c r="CX445">
        <f t="shared" si="370"/>
        <v>0</v>
      </c>
      <c r="CY445">
        <f t="shared" si="371"/>
        <v>0</v>
      </c>
      <c r="CZ445">
        <f t="shared" si="372"/>
        <v>0</v>
      </c>
      <c r="DC445" t="s">
        <v>3</v>
      </c>
      <c r="DD445" t="s">
        <v>3</v>
      </c>
      <c r="DE445" t="s">
        <v>3</v>
      </c>
      <c r="DF445" t="s">
        <v>3</v>
      </c>
      <c r="DG445" t="s">
        <v>3</v>
      </c>
      <c r="DH445" t="s">
        <v>3</v>
      </c>
      <c r="DI445" t="s">
        <v>3</v>
      </c>
      <c r="DJ445" t="s">
        <v>3</v>
      </c>
      <c r="DK445" t="s">
        <v>3</v>
      </c>
      <c r="DL445" t="s">
        <v>3</v>
      </c>
      <c r="DM445" t="s">
        <v>3</v>
      </c>
      <c r="DN445">
        <v>0</v>
      </c>
      <c r="DO445">
        <v>0</v>
      </c>
      <c r="DP445">
        <v>1</v>
      </c>
      <c r="DQ445">
        <v>1</v>
      </c>
      <c r="DU445">
        <v>1010</v>
      </c>
      <c r="DV445" t="s">
        <v>31</v>
      </c>
      <c r="DW445" t="s">
        <v>31</v>
      </c>
      <c r="DX445">
        <v>1</v>
      </c>
      <c r="DZ445" t="s">
        <v>3</v>
      </c>
      <c r="EA445" t="s">
        <v>3</v>
      </c>
      <c r="EB445" t="s">
        <v>3</v>
      </c>
      <c r="EC445" t="s">
        <v>3</v>
      </c>
      <c r="EE445">
        <v>55992259</v>
      </c>
      <c r="EF445">
        <v>130</v>
      </c>
      <c r="EG445" t="s">
        <v>32</v>
      </c>
      <c r="EH445">
        <v>0</v>
      </c>
      <c r="EI445" t="s">
        <v>3</v>
      </c>
      <c r="EJ445">
        <v>3</v>
      </c>
      <c r="EK445">
        <v>746</v>
      </c>
      <c r="EL445" t="s">
        <v>33</v>
      </c>
      <c r="EM445" t="s">
        <v>34</v>
      </c>
      <c r="EO445" t="s">
        <v>3</v>
      </c>
      <c r="EQ445">
        <v>0</v>
      </c>
      <c r="ER445">
        <v>377.75</v>
      </c>
      <c r="ES445">
        <v>377.75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FQ445">
        <v>0</v>
      </c>
      <c r="FR445">
        <f>P445</f>
        <v>31277.7</v>
      </c>
      <c r="FS445">
        <v>0</v>
      </c>
      <c r="FX445">
        <v>0</v>
      </c>
      <c r="FY445">
        <v>0</v>
      </c>
      <c r="GA445" t="s">
        <v>3</v>
      </c>
      <c r="GD445">
        <v>1</v>
      </c>
      <c r="GF445">
        <v>-1130773378</v>
      </c>
      <c r="GG445">
        <v>2</v>
      </c>
      <c r="GH445">
        <v>1</v>
      </c>
      <c r="GI445">
        <v>2</v>
      </c>
      <c r="GJ445">
        <v>0</v>
      </c>
      <c r="GK445">
        <v>0</v>
      </c>
      <c r="GL445">
        <f t="shared" si="373"/>
        <v>0</v>
      </c>
      <c r="GM445">
        <f t="shared" si="374"/>
        <v>31277.7</v>
      </c>
      <c r="GN445">
        <f t="shared" si="375"/>
        <v>0</v>
      </c>
      <c r="GO445">
        <f t="shared" si="376"/>
        <v>0</v>
      </c>
      <c r="GP445">
        <f t="shared" si="377"/>
        <v>0</v>
      </c>
      <c r="GR445">
        <v>0</v>
      </c>
      <c r="GS445">
        <v>3</v>
      </c>
      <c r="GT445">
        <v>0</v>
      </c>
      <c r="GU445" t="s">
        <v>3</v>
      </c>
      <c r="GV445">
        <f t="shared" si="378"/>
        <v>0</v>
      </c>
      <c r="GW445">
        <v>1</v>
      </c>
      <c r="GX445">
        <f t="shared" si="379"/>
        <v>0</v>
      </c>
      <c r="HA445">
        <v>0</v>
      </c>
      <c r="HB445">
        <v>0</v>
      </c>
      <c r="HC445">
        <f t="shared" si="380"/>
        <v>0</v>
      </c>
      <c r="HE445" t="s">
        <v>3</v>
      </c>
      <c r="HF445" t="s">
        <v>3</v>
      </c>
      <c r="HM445" t="s">
        <v>3</v>
      </c>
      <c r="HN445" t="s">
        <v>3</v>
      </c>
      <c r="HO445" t="s">
        <v>3</v>
      </c>
      <c r="HP445" t="s">
        <v>3</v>
      </c>
      <c r="HQ445" t="s">
        <v>3</v>
      </c>
      <c r="HS445">
        <v>0</v>
      </c>
      <c r="IK445">
        <v>0</v>
      </c>
    </row>
    <row r="446" spans="1:255" x14ac:dyDescent="0.2">
      <c r="A446" s="2">
        <v>17</v>
      </c>
      <c r="B446" s="2">
        <v>1</v>
      </c>
      <c r="C446" s="2">
        <f>ROW(SmtRes!A322)</f>
        <v>322</v>
      </c>
      <c r="D446" s="2">
        <f>ROW(EtalonRes!A391)</f>
        <v>391</v>
      </c>
      <c r="E446" s="2" t="s">
        <v>437</v>
      </c>
      <c r="F446" s="2" t="s">
        <v>38</v>
      </c>
      <c r="G446" s="2" t="s">
        <v>39</v>
      </c>
      <c r="H446" s="2" t="s">
        <v>21</v>
      </c>
      <c r="I446" s="2">
        <v>10</v>
      </c>
      <c r="J446" s="2">
        <v>0</v>
      </c>
      <c r="K446" s="2">
        <v>10</v>
      </c>
      <c r="L446" s="2"/>
      <c r="M446" s="2"/>
      <c r="N446" s="2"/>
      <c r="O446" s="2">
        <f t="shared" si="351"/>
        <v>1391.38</v>
      </c>
      <c r="P446" s="2">
        <f t="shared" ref="P446:P457" si="381">ROUND((ROUND((AC446*AW446*I446),2)*BC446),2)</f>
        <v>1090.0999999999999</v>
      </c>
      <c r="Q446" s="2">
        <f>(ROUND((ROUND((((ET446*1.1))*AV446*I446),2)*BB446),2)+ROUND((ROUND(((AE446-((EU446*1.1)))*AV446*I446),2)*BS446),2))</f>
        <v>27.41</v>
      </c>
      <c r="R446" s="2">
        <f t="shared" si="352"/>
        <v>2.88</v>
      </c>
      <c r="S446" s="2">
        <f t="shared" si="353"/>
        <v>273.87</v>
      </c>
      <c r="T446" s="2">
        <f t="shared" si="354"/>
        <v>0</v>
      </c>
      <c r="U446" s="2">
        <f t="shared" si="355"/>
        <v>23.033999999999999</v>
      </c>
      <c r="V446" s="2">
        <f t="shared" si="356"/>
        <v>0</v>
      </c>
      <c r="W446" s="2">
        <f t="shared" si="357"/>
        <v>0</v>
      </c>
      <c r="X446" s="2">
        <f t="shared" si="358"/>
        <v>249.08</v>
      </c>
      <c r="Y446" s="2">
        <f t="shared" si="359"/>
        <v>127.31</v>
      </c>
      <c r="Z446" s="2"/>
      <c r="AA446" s="2">
        <v>56959434</v>
      </c>
      <c r="AB446" s="2">
        <f t="shared" si="360"/>
        <v>137.786</v>
      </c>
      <c r="AC446" s="2">
        <f t="shared" si="361"/>
        <v>109.01</v>
      </c>
      <c r="AD446" s="2">
        <f>ROUND(((((ET446*1.1))-((EU446*1.1)))+AE446),6)</f>
        <v>2.6179999999999999</v>
      </c>
      <c r="AE446" s="2">
        <f>ROUND(((EU446*1.1)),6)</f>
        <v>0.27500000000000002</v>
      </c>
      <c r="AF446" s="2">
        <f>ROUND(((EV446*1.1)),6)</f>
        <v>26.158000000000001</v>
      </c>
      <c r="AG446" s="2">
        <f t="shared" si="362"/>
        <v>0</v>
      </c>
      <c r="AH446" s="2">
        <f>((EW446*1.1))</f>
        <v>2.2000000000000002</v>
      </c>
      <c r="AI446" s="2">
        <f>((EX446*1.1))</f>
        <v>0</v>
      </c>
      <c r="AJ446" s="2">
        <f t="shared" si="363"/>
        <v>0</v>
      </c>
      <c r="AK446" s="2">
        <v>135.16999999999999</v>
      </c>
      <c r="AL446" s="2">
        <v>109.01</v>
      </c>
      <c r="AM446" s="2">
        <v>2.38</v>
      </c>
      <c r="AN446" s="2">
        <v>0.25</v>
      </c>
      <c r="AO446" s="2">
        <v>23.78</v>
      </c>
      <c r="AP446" s="2">
        <v>0</v>
      </c>
      <c r="AQ446" s="2">
        <v>2</v>
      </c>
      <c r="AR446" s="2">
        <v>0</v>
      </c>
      <c r="AS446" s="2">
        <v>0</v>
      </c>
      <c r="AT446" s="2">
        <v>90</v>
      </c>
      <c r="AU446" s="2">
        <v>46</v>
      </c>
      <c r="AV446" s="2">
        <v>1.0469999999999999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0</v>
      </c>
      <c r="BI446" s="2">
        <v>2</v>
      </c>
      <c r="BJ446" s="2" t="s">
        <v>40</v>
      </c>
      <c r="BK446" s="2"/>
      <c r="BL446" s="2"/>
      <c r="BM446" s="2">
        <v>68</v>
      </c>
      <c r="BN446" s="2">
        <v>55992028</v>
      </c>
      <c r="BO446" s="2" t="s">
        <v>38</v>
      </c>
      <c r="BP446" s="2">
        <v>1</v>
      </c>
      <c r="BQ446" s="2">
        <v>40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90</v>
      </c>
      <c r="CA446" s="2">
        <v>46</v>
      </c>
      <c r="CB446" s="2" t="s">
        <v>3</v>
      </c>
      <c r="CC446" s="2"/>
      <c r="CD446" s="2"/>
      <c r="CE446" s="2">
        <v>30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673</v>
      </c>
      <c r="CO446" s="2">
        <v>0</v>
      </c>
      <c r="CP446" s="2">
        <f t="shared" si="364"/>
        <v>1391.38</v>
      </c>
      <c r="CQ446" s="2">
        <f t="shared" ref="CQ446:CQ457" si="382">ROUND((ROUND((AC446*AW446*1),2)*BC446),2)</f>
        <v>109.01</v>
      </c>
      <c r="CR446" s="2">
        <f>(ROUND((ROUND((((ET446*1.1))*AV446*1),2)*BB446),2)+ROUND((ROUND(((AE446-((EU446*1.1)))*AV446*1),2)*BS446),2))</f>
        <v>2.74</v>
      </c>
      <c r="CS446" s="2">
        <f t="shared" si="365"/>
        <v>0.28999999999999998</v>
      </c>
      <c r="CT446" s="2">
        <f t="shared" si="366"/>
        <v>27.39</v>
      </c>
      <c r="CU446" s="2">
        <f t="shared" si="367"/>
        <v>0</v>
      </c>
      <c r="CV446" s="2">
        <f t="shared" si="368"/>
        <v>2.3033999999999999</v>
      </c>
      <c r="CW446" s="2">
        <f t="shared" si="369"/>
        <v>0</v>
      </c>
      <c r="CX446" s="2">
        <f t="shared" si="370"/>
        <v>0</v>
      </c>
      <c r="CY446" s="2">
        <f t="shared" si="371"/>
        <v>249.07499999999999</v>
      </c>
      <c r="CZ446" s="2">
        <f t="shared" si="372"/>
        <v>127.30500000000001</v>
      </c>
      <c r="DA446" s="2"/>
      <c r="DB446" s="2"/>
      <c r="DC446" s="2" t="s">
        <v>3</v>
      </c>
      <c r="DD446" s="2" t="s">
        <v>3</v>
      </c>
      <c r="DE446" s="2" t="s">
        <v>23</v>
      </c>
      <c r="DF446" s="2" t="s">
        <v>23</v>
      </c>
      <c r="DG446" s="2" t="s">
        <v>23</v>
      </c>
      <c r="DH446" s="2" t="s">
        <v>3</v>
      </c>
      <c r="DI446" s="2" t="s">
        <v>23</v>
      </c>
      <c r="DJ446" s="2" t="s">
        <v>23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1013</v>
      </c>
      <c r="DV446" s="2" t="s">
        <v>21</v>
      </c>
      <c r="DW446" s="2" t="s">
        <v>21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55992152</v>
      </c>
      <c r="EF446" s="2">
        <v>40</v>
      </c>
      <c r="EG446" s="2" t="s">
        <v>24</v>
      </c>
      <c r="EH446" s="2">
        <v>0</v>
      </c>
      <c r="EI446" s="2" t="s">
        <v>3</v>
      </c>
      <c r="EJ446" s="2">
        <v>2</v>
      </c>
      <c r="EK446" s="2">
        <v>68</v>
      </c>
      <c r="EL446" s="2" t="s">
        <v>41</v>
      </c>
      <c r="EM446" s="2" t="s">
        <v>42</v>
      </c>
      <c r="EN446" s="2"/>
      <c r="EO446" s="2" t="s">
        <v>27</v>
      </c>
      <c r="EP446" s="2"/>
      <c r="EQ446" s="2">
        <v>0</v>
      </c>
      <c r="ER446" s="2">
        <v>135.16999999999999</v>
      </c>
      <c r="ES446" s="2">
        <v>109.01</v>
      </c>
      <c r="ET446" s="2">
        <v>2.38</v>
      </c>
      <c r="EU446" s="2">
        <v>0.25</v>
      </c>
      <c r="EV446" s="2">
        <v>23.78</v>
      </c>
      <c r="EW446" s="2">
        <v>2</v>
      </c>
      <c r="EX446" s="2">
        <v>0</v>
      </c>
      <c r="EY446" s="2">
        <v>0</v>
      </c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90</v>
      </c>
      <c r="FY446" s="2">
        <v>46</v>
      </c>
      <c r="FZ446" s="2"/>
      <c r="GA446" s="2" t="s">
        <v>3</v>
      </c>
      <c r="GB446" s="2"/>
      <c r="GC446" s="2"/>
      <c r="GD446" s="2">
        <v>1</v>
      </c>
      <c r="GE446" s="2"/>
      <c r="GF446" s="2">
        <v>438712902</v>
      </c>
      <c r="GG446" s="2">
        <v>2</v>
      </c>
      <c r="GH446" s="2">
        <v>1</v>
      </c>
      <c r="GI446" s="2">
        <v>2</v>
      </c>
      <c r="GJ446" s="2">
        <v>0</v>
      </c>
      <c r="GK446" s="2">
        <v>0</v>
      </c>
      <c r="GL446" s="2">
        <f t="shared" si="373"/>
        <v>0</v>
      </c>
      <c r="GM446" s="2">
        <f t="shared" si="374"/>
        <v>1767.77</v>
      </c>
      <c r="GN446" s="2">
        <f t="shared" si="375"/>
        <v>0</v>
      </c>
      <c r="GO446" s="2">
        <f t="shared" si="376"/>
        <v>1767.77</v>
      </c>
      <c r="GP446" s="2">
        <f t="shared" si="377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378"/>
        <v>0</v>
      </c>
      <c r="GW446" s="2">
        <v>1</v>
      </c>
      <c r="GX446" s="2">
        <f t="shared" si="379"/>
        <v>0</v>
      </c>
      <c r="GY446" s="2"/>
      <c r="GZ446" s="2"/>
      <c r="HA446" s="2">
        <v>0</v>
      </c>
      <c r="HB446" s="2">
        <v>0</v>
      </c>
      <c r="HC446" s="2">
        <f t="shared" si="380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">
      <c r="A447">
        <v>17</v>
      </c>
      <c r="B447">
        <v>1</v>
      </c>
      <c r="C447">
        <f>ROW(SmtRes!A328)</f>
        <v>328</v>
      </c>
      <c r="D447">
        <f>ROW(EtalonRes!A398)</f>
        <v>398</v>
      </c>
      <c r="E447" t="s">
        <v>437</v>
      </c>
      <c r="F447" t="s">
        <v>38</v>
      </c>
      <c r="G447" t="s">
        <v>39</v>
      </c>
      <c r="H447" t="s">
        <v>21</v>
      </c>
      <c r="I447">
        <v>10</v>
      </c>
      <c r="J447">
        <v>0</v>
      </c>
      <c r="K447">
        <v>10</v>
      </c>
      <c r="O447">
        <f t="shared" si="351"/>
        <v>18997.310000000001</v>
      </c>
      <c r="P447">
        <f t="shared" si="381"/>
        <v>3553.73</v>
      </c>
      <c r="Q447">
        <f>(ROUND((ROUND((((ET447*1.1))*AV447*I447),2)*BB447),2)+ROUND((ROUND(((AE447-((EU447*1.1)))*AV447*I447),2)*BS447),2))</f>
        <v>383.47</v>
      </c>
      <c r="R447">
        <f t="shared" si="352"/>
        <v>158.37</v>
      </c>
      <c r="S447">
        <f t="shared" si="353"/>
        <v>15060.11</v>
      </c>
      <c r="T447">
        <f t="shared" si="354"/>
        <v>0</v>
      </c>
      <c r="U447">
        <f t="shared" si="355"/>
        <v>23.033999999999999</v>
      </c>
      <c r="V447">
        <f t="shared" si="356"/>
        <v>0</v>
      </c>
      <c r="W447">
        <f t="shared" si="357"/>
        <v>0</v>
      </c>
      <c r="X447">
        <f t="shared" si="358"/>
        <v>13696.63</v>
      </c>
      <c r="Y447">
        <f t="shared" si="359"/>
        <v>7000.5</v>
      </c>
      <c r="AA447">
        <v>56959431</v>
      </c>
      <c r="AB447">
        <f t="shared" si="360"/>
        <v>137.786</v>
      </c>
      <c r="AC447">
        <f t="shared" si="361"/>
        <v>109.01</v>
      </c>
      <c r="AD447">
        <f>ROUND(((((ET447*1.1))-((EU447*1.1)))+AE447),6)</f>
        <v>2.6179999999999999</v>
      </c>
      <c r="AE447">
        <f>ROUND(((EU447*1.1)),6)</f>
        <v>0.27500000000000002</v>
      </c>
      <c r="AF447">
        <f>ROUND(((EV447*1.1)),6)</f>
        <v>26.158000000000001</v>
      </c>
      <c r="AG447">
        <f t="shared" si="362"/>
        <v>0</v>
      </c>
      <c r="AH447">
        <f>((EW447*1.1))</f>
        <v>2.2000000000000002</v>
      </c>
      <c r="AI447">
        <f>((EX447*1.1))</f>
        <v>0</v>
      </c>
      <c r="AJ447">
        <f t="shared" si="363"/>
        <v>0</v>
      </c>
      <c r="AK447">
        <v>135.16999999999999</v>
      </c>
      <c r="AL447">
        <v>109.01</v>
      </c>
      <c r="AM447">
        <v>2.38</v>
      </c>
      <c r="AN447">
        <v>0.25</v>
      </c>
      <c r="AO447">
        <v>23.78</v>
      </c>
      <c r="AP447">
        <v>0</v>
      </c>
      <c r="AQ447">
        <v>2</v>
      </c>
      <c r="AR447">
        <v>0</v>
      </c>
      <c r="AS447">
        <v>0</v>
      </c>
      <c r="AT447">
        <v>90</v>
      </c>
      <c r="AU447">
        <v>46</v>
      </c>
      <c r="AV447">
        <v>1.0469999999999999</v>
      </c>
      <c r="AW447">
        <v>1</v>
      </c>
      <c r="AZ447">
        <v>1</v>
      </c>
      <c r="BA447">
        <v>54.99</v>
      </c>
      <c r="BB447">
        <v>13.99</v>
      </c>
      <c r="BC447">
        <v>3.26</v>
      </c>
      <c r="BD447" t="s">
        <v>3</v>
      </c>
      <c r="BE447" t="s">
        <v>3</v>
      </c>
      <c r="BF447" t="s">
        <v>3</v>
      </c>
      <c r="BG447" t="s">
        <v>3</v>
      </c>
      <c r="BH447">
        <v>0</v>
      </c>
      <c r="BI447">
        <v>2</v>
      </c>
      <c r="BJ447" t="s">
        <v>40</v>
      </c>
      <c r="BM447">
        <v>68</v>
      </c>
      <c r="BN447">
        <v>55992028</v>
      </c>
      <c r="BO447" t="s">
        <v>38</v>
      </c>
      <c r="BP447">
        <v>1</v>
      </c>
      <c r="BQ447">
        <v>40</v>
      </c>
      <c r="BR447">
        <v>0</v>
      </c>
      <c r="BS447">
        <v>54.99</v>
      </c>
      <c r="BT447">
        <v>1</v>
      </c>
      <c r="BU447">
        <v>1</v>
      </c>
      <c r="BV447">
        <v>1</v>
      </c>
      <c r="BW447">
        <v>1</v>
      </c>
      <c r="BX447">
        <v>1</v>
      </c>
      <c r="BY447" t="s">
        <v>3</v>
      </c>
      <c r="BZ447">
        <v>90</v>
      </c>
      <c r="CA447">
        <v>46</v>
      </c>
      <c r="CB447" t="s">
        <v>3</v>
      </c>
      <c r="CE447">
        <v>30</v>
      </c>
      <c r="CF447">
        <v>0</v>
      </c>
      <c r="CG447">
        <v>0</v>
      </c>
      <c r="CM447">
        <v>0</v>
      </c>
      <c r="CN447" t="s">
        <v>673</v>
      </c>
      <c r="CO447">
        <v>0</v>
      </c>
      <c r="CP447">
        <f t="shared" si="364"/>
        <v>18997.310000000001</v>
      </c>
      <c r="CQ447">
        <f t="shared" si="382"/>
        <v>355.37</v>
      </c>
      <c r="CR447">
        <f>(ROUND((ROUND((((ET447*1.1))*AV447*1),2)*BB447),2)+ROUND((ROUND(((AE447-((EU447*1.1)))*AV447*1),2)*BS447),2))</f>
        <v>38.33</v>
      </c>
      <c r="CS447">
        <f t="shared" si="365"/>
        <v>15.95</v>
      </c>
      <c r="CT447">
        <f t="shared" si="366"/>
        <v>1506.18</v>
      </c>
      <c r="CU447">
        <f t="shared" si="367"/>
        <v>0</v>
      </c>
      <c r="CV447">
        <f t="shared" si="368"/>
        <v>2.3033999999999999</v>
      </c>
      <c r="CW447">
        <f t="shared" si="369"/>
        <v>0</v>
      </c>
      <c r="CX447">
        <f t="shared" si="370"/>
        <v>0</v>
      </c>
      <c r="CY447">
        <f t="shared" si="371"/>
        <v>13696.632000000001</v>
      </c>
      <c r="CZ447">
        <f t="shared" si="372"/>
        <v>7000.5008000000007</v>
      </c>
      <c r="DC447" t="s">
        <v>3</v>
      </c>
      <c r="DD447" t="s">
        <v>3</v>
      </c>
      <c r="DE447" t="s">
        <v>23</v>
      </c>
      <c r="DF447" t="s">
        <v>23</v>
      </c>
      <c r="DG447" t="s">
        <v>23</v>
      </c>
      <c r="DH447" t="s">
        <v>3</v>
      </c>
      <c r="DI447" t="s">
        <v>23</v>
      </c>
      <c r="DJ447" t="s">
        <v>23</v>
      </c>
      <c r="DK447" t="s">
        <v>3</v>
      </c>
      <c r="DL447" t="s">
        <v>3</v>
      </c>
      <c r="DM447" t="s">
        <v>3</v>
      </c>
      <c r="DN447">
        <v>0</v>
      </c>
      <c r="DO447">
        <v>0</v>
      </c>
      <c r="DP447">
        <v>1</v>
      </c>
      <c r="DQ447">
        <v>1</v>
      </c>
      <c r="DU447">
        <v>1013</v>
      </c>
      <c r="DV447" t="s">
        <v>21</v>
      </c>
      <c r="DW447" t="s">
        <v>21</v>
      </c>
      <c r="DX447">
        <v>1</v>
      </c>
      <c r="DZ447" t="s">
        <v>3</v>
      </c>
      <c r="EA447" t="s">
        <v>3</v>
      </c>
      <c r="EB447" t="s">
        <v>3</v>
      </c>
      <c r="EC447" t="s">
        <v>3</v>
      </c>
      <c r="EE447">
        <v>55992152</v>
      </c>
      <c r="EF447">
        <v>40</v>
      </c>
      <c r="EG447" t="s">
        <v>24</v>
      </c>
      <c r="EH447">
        <v>0</v>
      </c>
      <c r="EI447" t="s">
        <v>3</v>
      </c>
      <c r="EJ447">
        <v>2</v>
      </c>
      <c r="EK447">
        <v>68</v>
      </c>
      <c r="EL447" t="s">
        <v>41</v>
      </c>
      <c r="EM447" t="s">
        <v>42</v>
      </c>
      <c r="EO447" t="s">
        <v>27</v>
      </c>
      <c r="EQ447">
        <v>0</v>
      </c>
      <c r="ER447">
        <v>135.16999999999999</v>
      </c>
      <c r="ES447">
        <v>109.01</v>
      </c>
      <c r="ET447">
        <v>2.38</v>
      </c>
      <c r="EU447">
        <v>0.25</v>
      </c>
      <c r="EV447">
        <v>23.78</v>
      </c>
      <c r="EW447">
        <v>2</v>
      </c>
      <c r="EX447">
        <v>0</v>
      </c>
      <c r="EY447">
        <v>0</v>
      </c>
      <c r="FQ447">
        <v>0</v>
      </c>
      <c r="FR447">
        <v>0</v>
      </c>
      <c r="FS447">
        <v>0</v>
      </c>
      <c r="FX447">
        <v>90</v>
      </c>
      <c r="FY447">
        <v>46</v>
      </c>
      <c r="GA447" t="s">
        <v>3</v>
      </c>
      <c r="GD447">
        <v>1</v>
      </c>
      <c r="GF447">
        <v>438712902</v>
      </c>
      <c r="GG447">
        <v>2</v>
      </c>
      <c r="GH447">
        <v>1</v>
      </c>
      <c r="GI447">
        <v>2</v>
      </c>
      <c r="GJ447">
        <v>0</v>
      </c>
      <c r="GK447">
        <v>0</v>
      </c>
      <c r="GL447">
        <f t="shared" si="373"/>
        <v>0</v>
      </c>
      <c r="GM447">
        <f t="shared" si="374"/>
        <v>39694.44</v>
      </c>
      <c r="GN447">
        <f t="shared" si="375"/>
        <v>0</v>
      </c>
      <c r="GO447">
        <f t="shared" si="376"/>
        <v>39694.44</v>
      </c>
      <c r="GP447">
        <f t="shared" si="377"/>
        <v>0</v>
      </c>
      <c r="GR447">
        <v>0</v>
      </c>
      <c r="GS447">
        <v>3</v>
      </c>
      <c r="GT447">
        <v>0</v>
      </c>
      <c r="GU447" t="s">
        <v>3</v>
      </c>
      <c r="GV447">
        <f t="shared" si="378"/>
        <v>0</v>
      </c>
      <c r="GW447">
        <v>1</v>
      </c>
      <c r="GX447">
        <f t="shared" si="379"/>
        <v>0</v>
      </c>
      <c r="HA447">
        <v>0</v>
      </c>
      <c r="HB447">
        <v>0</v>
      </c>
      <c r="HC447">
        <f t="shared" si="380"/>
        <v>0</v>
      </c>
      <c r="HE447" t="s">
        <v>3</v>
      </c>
      <c r="HF447" t="s">
        <v>3</v>
      </c>
      <c r="HM447" t="s">
        <v>3</v>
      </c>
      <c r="HN447" t="s">
        <v>3</v>
      </c>
      <c r="HO447" t="s">
        <v>3</v>
      </c>
      <c r="HP447" t="s">
        <v>3</v>
      </c>
      <c r="HQ447" t="s">
        <v>3</v>
      </c>
      <c r="HS447">
        <v>0</v>
      </c>
      <c r="IK447">
        <v>0</v>
      </c>
    </row>
    <row r="448" spans="1:255" x14ac:dyDescent="0.2">
      <c r="A448" s="2">
        <v>17</v>
      </c>
      <c r="B448" s="2">
        <v>1</v>
      </c>
      <c r="C448" s="2"/>
      <c r="D448" s="2"/>
      <c r="E448" s="2" t="s">
        <v>438</v>
      </c>
      <c r="F448" s="2" t="s">
        <v>439</v>
      </c>
      <c r="G448" s="2" t="s">
        <v>440</v>
      </c>
      <c r="H448" s="2" t="s">
        <v>31</v>
      </c>
      <c r="I448" s="2">
        <v>10</v>
      </c>
      <c r="J448" s="2">
        <v>0</v>
      </c>
      <c r="K448" s="2">
        <v>10</v>
      </c>
      <c r="L448" s="2"/>
      <c r="M448" s="2"/>
      <c r="N448" s="2"/>
      <c r="O448" s="2">
        <f t="shared" si="351"/>
        <v>156.5</v>
      </c>
      <c r="P448" s="2">
        <f t="shared" si="381"/>
        <v>156.5</v>
      </c>
      <c r="Q448" s="2">
        <f>(ROUND((ROUND(((ET448)*AV448*I448),2)*BB448),2)+ROUND((ROUND(((AE448-(EU448))*AV448*I448),2)*BS448),2))</f>
        <v>0</v>
      </c>
      <c r="R448" s="2">
        <f t="shared" si="352"/>
        <v>0</v>
      </c>
      <c r="S448" s="2">
        <f t="shared" si="353"/>
        <v>0</v>
      </c>
      <c r="T448" s="2">
        <f t="shared" si="354"/>
        <v>0</v>
      </c>
      <c r="U448" s="2">
        <f t="shared" si="355"/>
        <v>0</v>
      </c>
      <c r="V448" s="2">
        <f t="shared" si="356"/>
        <v>0</v>
      </c>
      <c r="W448" s="2">
        <f t="shared" si="357"/>
        <v>0</v>
      </c>
      <c r="X448" s="2">
        <f t="shared" si="358"/>
        <v>0</v>
      </c>
      <c r="Y448" s="2">
        <f t="shared" si="359"/>
        <v>0</v>
      </c>
      <c r="Z448" s="2"/>
      <c r="AA448" s="2">
        <v>56959434</v>
      </c>
      <c r="AB448" s="2">
        <f t="shared" si="360"/>
        <v>15.65</v>
      </c>
      <c r="AC448" s="2">
        <f t="shared" si="361"/>
        <v>15.65</v>
      </c>
      <c r="AD448" s="2">
        <f>ROUND((((ET448)-(EU448))+AE448),6)</f>
        <v>0</v>
      </c>
      <c r="AE448" s="2">
        <f>ROUND((EU448),6)</f>
        <v>0</v>
      </c>
      <c r="AF448" s="2">
        <f>ROUND((EV448),6)</f>
        <v>0</v>
      </c>
      <c r="AG448" s="2">
        <f t="shared" si="362"/>
        <v>0</v>
      </c>
      <c r="AH448" s="2">
        <f>(EW448)</f>
        <v>0</v>
      </c>
      <c r="AI448" s="2">
        <f>(EX448)</f>
        <v>0</v>
      </c>
      <c r="AJ448" s="2">
        <f t="shared" si="363"/>
        <v>0</v>
      </c>
      <c r="AK448" s="2">
        <v>15.65</v>
      </c>
      <c r="AL448" s="2">
        <v>15.65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1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3</v>
      </c>
      <c r="BI448" s="2">
        <v>2</v>
      </c>
      <c r="BJ448" s="2" t="s">
        <v>3</v>
      </c>
      <c r="BK448" s="2"/>
      <c r="BL448" s="2"/>
      <c r="BM448" s="2">
        <v>400002</v>
      </c>
      <c r="BN448" s="2">
        <v>0</v>
      </c>
      <c r="BO448" s="2" t="s">
        <v>3</v>
      </c>
      <c r="BP448" s="2">
        <v>0</v>
      </c>
      <c r="BQ448" s="2">
        <v>202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0</v>
      </c>
      <c r="CA448" s="2">
        <v>0</v>
      </c>
      <c r="CB448" s="2" t="s">
        <v>3</v>
      </c>
      <c r="CC448" s="2"/>
      <c r="CD448" s="2"/>
      <c r="CE448" s="2">
        <v>30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3</v>
      </c>
      <c r="CO448" s="2">
        <v>0</v>
      </c>
      <c r="CP448" s="2">
        <f t="shared" si="364"/>
        <v>156.5</v>
      </c>
      <c r="CQ448" s="2">
        <f t="shared" si="382"/>
        <v>15.65</v>
      </c>
      <c r="CR448" s="2">
        <f>(ROUND((ROUND(((ET448)*AV448*1),2)*BB448),2)+ROUND((ROUND(((AE448-(EU448))*AV448*1),2)*BS448),2))</f>
        <v>0</v>
      </c>
      <c r="CS448" s="2">
        <f t="shared" si="365"/>
        <v>0</v>
      </c>
      <c r="CT448" s="2">
        <f t="shared" si="366"/>
        <v>0</v>
      </c>
      <c r="CU448" s="2">
        <f t="shared" si="367"/>
        <v>0</v>
      </c>
      <c r="CV448" s="2">
        <f t="shared" si="368"/>
        <v>0</v>
      </c>
      <c r="CW448" s="2">
        <f t="shared" si="369"/>
        <v>0</v>
      </c>
      <c r="CX448" s="2">
        <f t="shared" si="370"/>
        <v>0</v>
      </c>
      <c r="CY448" s="2">
        <f t="shared" si="371"/>
        <v>0</v>
      </c>
      <c r="CZ448" s="2">
        <f t="shared" si="372"/>
        <v>0</v>
      </c>
      <c r="DA448" s="2"/>
      <c r="DB448" s="2"/>
      <c r="DC448" s="2" t="s">
        <v>3</v>
      </c>
      <c r="DD448" s="2" t="s">
        <v>3</v>
      </c>
      <c r="DE448" s="2" t="s">
        <v>3</v>
      </c>
      <c r="DF448" s="2" t="s">
        <v>3</v>
      </c>
      <c r="DG448" s="2" t="s">
        <v>3</v>
      </c>
      <c r="DH448" s="2" t="s">
        <v>3</v>
      </c>
      <c r="DI448" s="2" t="s">
        <v>3</v>
      </c>
      <c r="DJ448" s="2" t="s">
        <v>3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1010</v>
      </c>
      <c r="DV448" s="2" t="s">
        <v>31</v>
      </c>
      <c r="DW448" s="2" t="s">
        <v>31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55992265</v>
      </c>
      <c r="EF448" s="2">
        <v>202</v>
      </c>
      <c r="EG448" s="2" t="s">
        <v>441</v>
      </c>
      <c r="EH448" s="2">
        <v>0</v>
      </c>
      <c r="EI448" s="2" t="s">
        <v>3</v>
      </c>
      <c r="EJ448" s="2">
        <v>1</v>
      </c>
      <c r="EK448" s="2">
        <v>400002</v>
      </c>
      <c r="EL448" s="2" t="s">
        <v>442</v>
      </c>
      <c r="EM448" s="2" t="s">
        <v>441</v>
      </c>
      <c r="EN448" s="2"/>
      <c r="EO448" s="2" t="s">
        <v>3</v>
      </c>
      <c r="EP448" s="2"/>
      <c r="EQ448" s="2">
        <v>0</v>
      </c>
      <c r="ER448" s="2">
        <v>0</v>
      </c>
      <c r="ES448" s="2">
        <v>15.65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0</v>
      </c>
      <c r="FY448" s="2">
        <v>0</v>
      </c>
      <c r="FZ448" s="2"/>
      <c r="GA448" s="2" t="s">
        <v>443</v>
      </c>
      <c r="GB448" s="2"/>
      <c r="GC448" s="2"/>
      <c r="GD448" s="2">
        <v>1</v>
      </c>
      <c r="GE448" s="2"/>
      <c r="GF448" s="2">
        <v>2337577</v>
      </c>
      <c r="GG448" s="2">
        <v>2</v>
      </c>
      <c r="GH448" s="2">
        <v>4</v>
      </c>
      <c r="GI448" s="2">
        <v>-2</v>
      </c>
      <c r="GJ448" s="2">
        <v>0</v>
      </c>
      <c r="GK448" s="2">
        <v>0</v>
      </c>
      <c r="GL448" s="2">
        <f t="shared" si="373"/>
        <v>0</v>
      </c>
      <c r="GM448" s="2">
        <f t="shared" si="374"/>
        <v>156.5</v>
      </c>
      <c r="GN448" s="2">
        <f t="shared" si="375"/>
        <v>0</v>
      </c>
      <c r="GO448" s="2">
        <f t="shared" si="376"/>
        <v>156.5</v>
      </c>
      <c r="GP448" s="2">
        <f t="shared" si="377"/>
        <v>0</v>
      </c>
      <c r="GQ448" s="2"/>
      <c r="GR448" s="2">
        <v>0</v>
      </c>
      <c r="GS448" s="2">
        <v>2</v>
      </c>
      <c r="GT448" s="2">
        <v>0</v>
      </c>
      <c r="GU448" s="2" t="s">
        <v>3</v>
      </c>
      <c r="GV448" s="2">
        <f t="shared" si="378"/>
        <v>0</v>
      </c>
      <c r="GW448" s="2">
        <v>1</v>
      </c>
      <c r="GX448" s="2">
        <f t="shared" si="379"/>
        <v>0</v>
      </c>
      <c r="GY448" s="2"/>
      <c r="GZ448" s="2"/>
      <c r="HA448" s="2">
        <v>0</v>
      </c>
      <c r="HB448" s="2">
        <v>0</v>
      </c>
      <c r="HC448" s="2">
        <f t="shared" si="380"/>
        <v>0</v>
      </c>
      <c r="HD448" s="2"/>
      <c r="HE448" s="2" t="s">
        <v>103</v>
      </c>
      <c r="HF448" s="2" t="s">
        <v>28</v>
      </c>
      <c r="HG448" s="2"/>
      <c r="HH448" s="2"/>
      <c r="HI448" s="2"/>
      <c r="HJ448" s="2"/>
      <c r="HK448" s="2"/>
      <c r="HL448" s="2"/>
      <c r="HM448" s="2" t="s">
        <v>3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">
      <c r="A449">
        <v>17</v>
      </c>
      <c r="B449">
        <v>1</v>
      </c>
      <c r="E449" t="s">
        <v>438</v>
      </c>
      <c r="F449" t="s">
        <v>439</v>
      </c>
      <c r="G449" t="s">
        <v>440</v>
      </c>
      <c r="H449" t="s">
        <v>31</v>
      </c>
      <c r="I449">
        <v>10</v>
      </c>
      <c r="J449">
        <v>0</v>
      </c>
      <c r="K449">
        <v>10</v>
      </c>
      <c r="O449">
        <f t="shared" si="351"/>
        <v>1546.22</v>
      </c>
      <c r="P449">
        <f t="shared" si="381"/>
        <v>1546.22</v>
      </c>
      <c r="Q449">
        <f>(ROUND((ROUND(((ET449)*AV449*I449),2)*BB449),2)+ROUND((ROUND(((AE449-(EU449))*AV449*I449),2)*BS449),2))</f>
        <v>0</v>
      </c>
      <c r="R449">
        <f t="shared" si="352"/>
        <v>0</v>
      </c>
      <c r="S449">
        <f t="shared" si="353"/>
        <v>0</v>
      </c>
      <c r="T449">
        <f t="shared" si="354"/>
        <v>0</v>
      </c>
      <c r="U449">
        <f t="shared" si="355"/>
        <v>0</v>
      </c>
      <c r="V449">
        <f t="shared" si="356"/>
        <v>0</v>
      </c>
      <c r="W449">
        <f t="shared" si="357"/>
        <v>0</v>
      </c>
      <c r="X449">
        <f t="shared" si="358"/>
        <v>0</v>
      </c>
      <c r="Y449">
        <f t="shared" si="359"/>
        <v>0</v>
      </c>
      <c r="AA449">
        <v>56959431</v>
      </c>
      <c r="AB449">
        <f t="shared" si="360"/>
        <v>15.65</v>
      </c>
      <c r="AC449">
        <f t="shared" si="361"/>
        <v>15.65</v>
      </c>
      <c r="AD449">
        <f>ROUND((((ET449)-(EU449))+AE449),6)</f>
        <v>0</v>
      </c>
      <c r="AE449">
        <f>ROUND((EU449),6)</f>
        <v>0</v>
      </c>
      <c r="AF449">
        <f>ROUND((EV449),6)</f>
        <v>0</v>
      </c>
      <c r="AG449">
        <f t="shared" si="362"/>
        <v>0</v>
      </c>
      <c r="AH449">
        <f>(EW449)</f>
        <v>0</v>
      </c>
      <c r="AI449">
        <f>(EX449)</f>
        <v>0</v>
      </c>
      <c r="AJ449">
        <f t="shared" si="363"/>
        <v>0</v>
      </c>
      <c r="AK449">
        <v>15.65</v>
      </c>
      <c r="AL449">
        <v>15.65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1</v>
      </c>
      <c r="AZ449">
        <v>1</v>
      </c>
      <c r="BA449">
        <v>1</v>
      </c>
      <c r="BB449">
        <v>1</v>
      </c>
      <c r="BC449">
        <v>9.8800000000000008</v>
      </c>
      <c r="BD449" t="s">
        <v>3</v>
      </c>
      <c r="BE449" t="s">
        <v>3</v>
      </c>
      <c r="BF449" t="s">
        <v>3</v>
      </c>
      <c r="BG449" t="s">
        <v>3</v>
      </c>
      <c r="BH449">
        <v>3</v>
      </c>
      <c r="BI449">
        <v>2</v>
      </c>
      <c r="BJ449" t="s">
        <v>3</v>
      </c>
      <c r="BM449">
        <v>400002</v>
      </c>
      <c r="BN449">
        <v>0</v>
      </c>
      <c r="BO449" t="s">
        <v>3</v>
      </c>
      <c r="BP449">
        <v>0</v>
      </c>
      <c r="BQ449">
        <v>202</v>
      </c>
      <c r="BR449">
        <v>0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 t="s">
        <v>3</v>
      </c>
      <c r="BZ449">
        <v>0</v>
      </c>
      <c r="CA449">
        <v>0</v>
      </c>
      <c r="CB449" t="s">
        <v>3</v>
      </c>
      <c r="CE449">
        <v>30</v>
      </c>
      <c r="CF449">
        <v>0</v>
      </c>
      <c r="CG449">
        <v>0</v>
      </c>
      <c r="CM449">
        <v>0</v>
      </c>
      <c r="CN449" t="s">
        <v>3</v>
      </c>
      <c r="CO449">
        <v>0</v>
      </c>
      <c r="CP449">
        <f t="shared" si="364"/>
        <v>1546.22</v>
      </c>
      <c r="CQ449">
        <f t="shared" si="382"/>
        <v>154.62</v>
      </c>
      <c r="CR449">
        <f>(ROUND((ROUND(((ET449)*AV449*1),2)*BB449),2)+ROUND((ROUND(((AE449-(EU449))*AV449*1),2)*BS449),2))</f>
        <v>0</v>
      </c>
      <c r="CS449">
        <f t="shared" si="365"/>
        <v>0</v>
      </c>
      <c r="CT449">
        <f t="shared" si="366"/>
        <v>0</v>
      </c>
      <c r="CU449">
        <f t="shared" si="367"/>
        <v>0</v>
      </c>
      <c r="CV449">
        <f t="shared" si="368"/>
        <v>0</v>
      </c>
      <c r="CW449">
        <f t="shared" si="369"/>
        <v>0</v>
      </c>
      <c r="CX449">
        <f t="shared" si="370"/>
        <v>0</v>
      </c>
      <c r="CY449">
        <f t="shared" si="371"/>
        <v>0</v>
      </c>
      <c r="CZ449">
        <f t="shared" si="372"/>
        <v>0</v>
      </c>
      <c r="DC449" t="s">
        <v>3</v>
      </c>
      <c r="DD449" t="s">
        <v>3</v>
      </c>
      <c r="DE449" t="s">
        <v>3</v>
      </c>
      <c r="DF449" t="s">
        <v>3</v>
      </c>
      <c r="DG449" t="s">
        <v>3</v>
      </c>
      <c r="DH449" t="s">
        <v>3</v>
      </c>
      <c r="DI449" t="s">
        <v>3</v>
      </c>
      <c r="DJ449" t="s">
        <v>3</v>
      </c>
      <c r="DK449" t="s">
        <v>3</v>
      </c>
      <c r="DL449" t="s">
        <v>3</v>
      </c>
      <c r="DM449" t="s">
        <v>3</v>
      </c>
      <c r="DN449">
        <v>0</v>
      </c>
      <c r="DO449">
        <v>0</v>
      </c>
      <c r="DP449">
        <v>1</v>
      </c>
      <c r="DQ449">
        <v>1</v>
      </c>
      <c r="DU449">
        <v>1010</v>
      </c>
      <c r="DV449" t="s">
        <v>31</v>
      </c>
      <c r="DW449" t="s">
        <v>31</v>
      </c>
      <c r="DX449">
        <v>1</v>
      </c>
      <c r="DZ449" t="s">
        <v>3</v>
      </c>
      <c r="EA449" t="s">
        <v>3</v>
      </c>
      <c r="EB449" t="s">
        <v>3</v>
      </c>
      <c r="EC449" t="s">
        <v>3</v>
      </c>
      <c r="EE449">
        <v>55992265</v>
      </c>
      <c r="EF449">
        <v>202</v>
      </c>
      <c r="EG449" t="s">
        <v>441</v>
      </c>
      <c r="EH449">
        <v>0</v>
      </c>
      <c r="EI449" t="s">
        <v>3</v>
      </c>
      <c r="EJ449">
        <v>1</v>
      </c>
      <c r="EK449">
        <v>400002</v>
      </c>
      <c r="EL449" t="s">
        <v>442</v>
      </c>
      <c r="EM449" t="s">
        <v>441</v>
      </c>
      <c r="EO449" t="s">
        <v>3</v>
      </c>
      <c r="EQ449">
        <v>0</v>
      </c>
      <c r="ER449">
        <v>15.65</v>
      </c>
      <c r="ES449">
        <v>15.65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5</v>
      </c>
      <c r="FC449">
        <v>1</v>
      </c>
      <c r="FD449">
        <v>18</v>
      </c>
      <c r="FF449">
        <v>181.91</v>
      </c>
      <c r="FQ449">
        <v>0</v>
      </c>
      <c r="FR449">
        <v>0</v>
      </c>
      <c r="FS449">
        <v>0</v>
      </c>
      <c r="FX449">
        <v>0</v>
      </c>
      <c r="FY449">
        <v>0</v>
      </c>
      <c r="GA449" t="s">
        <v>443</v>
      </c>
      <c r="GD449">
        <v>1</v>
      </c>
      <c r="GF449">
        <v>2337577</v>
      </c>
      <c r="GG449">
        <v>2</v>
      </c>
      <c r="GH449">
        <v>3</v>
      </c>
      <c r="GI449">
        <v>5</v>
      </c>
      <c r="GJ449">
        <v>0</v>
      </c>
      <c r="GK449">
        <v>0</v>
      </c>
      <c r="GL449">
        <f t="shared" si="373"/>
        <v>0</v>
      </c>
      <c r="GM449">
        <f t="shared" si="374"/>
        <v>1546.22</v>
      </c>
      <c r="GN449">
        <f t="shared" si="375"/>
        <v>0</v>
      </c>
      <c r="GO449">
        <f t="shared" si="376"/>
        <v>1546.22</v>
      </c>
      <c r="GP449">
        <f t="shared" si="377"/>
        <v>0</v>
      </c>
      <c r="GR449">
        <v>1</v>
      </c>
      <c r="GS449">
        <v>1</v>
      </c>
      <c r="GT449">
        <v>0</v>
      </c>
      <c r="GU449" t="s">
        <v>3</v>
      </c>
      <c r="GV449">
        <f t="shared" si="378"/>
        <v>0</v>
      </c>
      <c r="GW449">
        <v>1</v>
      </c>
      <c r="GX449">
        <f t="shared" si="379"/>
        <v>0</v>
      </c>
      <c r="HA449">
        <v>0</v>
      </c>
      <c r="HB449">
        <v>0</v>
      </c>
      <c r="HC449">
        <f t="shared" si="380"/>
        <v>0</v>
      </c>
      <c r="HE449" t="s">
        <v>103</v>
      </c>
      <c r="HF449" t="s">
        <v>28</v>
      </c>
      <c r="HM449" t="s">
        <v>3</v>
      </c>
      <c r="HN449" t="s">
        <v>3</v>
      </c>
      <c r="HO449" t="s">
        <v>3</v>
      </c>
      <c r="HP449" t="s">
        <v>3</v>
      </c>
      <c r="HQ449" t="s">
        <v>3</v>
      </c>
      <c r="HS449">
        <v>0</v>
      </c>
      <c r="IK449">
        <v>0</v>
      </c>
    </row>
    <row r="450" spans="1:255" x14ac:dyDescent="0.2">
      <c r="A450" s="2">
        <v>17</v>
      </c>
      <c r="B450" s="2">
        <v>1</v>
      </c>
      <c r="C450" s="2">
        <f>ROW(SmtRes!A330)</f>
        <v>330</v>
      </c>
      <c r="D450" s="2">
        <f>ROW(EtalonRes!A402)</f>
        <v>402</v>
      </c>
      <c r="E450" s="2" t="s">
        <v>444</v>
      </c>
      <c r="F450" s="2" t="s">
        <v>75</v>
      </c>
      <c r="G450" s="2" t="s">
        <v>76</v>
      </c>
      <c r="H450" s="2" t="s">
        <v>77</v>
      </c>
      <c r="I450" s="2">
        <f>ROUND(500/100,9)</f>
        <v>5</v>
      </c>
      <c r="J450" s="2">
        <v>0</v>
      </c>
      <c r="K450" s="2">
        <f>ROUND(500/100,9)</f>
        <v>5</v>
      </c>
      <c r="L450" s="2"/>
      <c r="M450" s="2"/>
      <c r="N450" s="2"/>
      <c r="O450" s="2">
        <f t="shared" si="351"/>
        <v>2867.86</v>
      </c>
      <c r="P450" s="2">
        <f t="shared" si="381"/>
        <v>1571.45</v>
      </c>
      <c r="Q450" s="2">
        <f>(ROUND((ROUND((((ET450*1.1))*AV450*I450),2)*BB450),2)+ROUND((ROUND(((AE450-((EU450*1.1)))*AV450*I450),2)*BS450),2))</f>
        <v>189.28</v>
      </c>
      <c r="R450" s="2">
        <f t="shared" si="352"/>
        <v>32.880000000000003</v>
      </c>
      <c r="S450" s="2">
        <f t="shared" si="353"/>
        <v>1107.1300000000001</v>
      </c>
      <c r="T450" s="2">
        <f t="shared" si="354"/>
        <v>0</v>
      </c>
      <c r="U450" s="2">
        <f t="shared" si="355"/>
        <v>86.377499999999984</v>
      </c>
      <c r="V450" s="2">
        <f t="shared" si="356"/>
        <v>0</v>
      </c>
      <c r="W450" s="2">
        <f t="shared" si="357"/>
        <v>0</v>
      </c>
      <c r="X450" s="2">
        <f t="shared" si="358"/>
        <v>1105.81</v>
      </c>
      <c r="Y450" s="2">
        <f t="shared" si="359"/>
        <v>581.41</v>
      </c>
      <c r="Z450" s="2"/>
      <c r="AA450" s="2">
        <v>56959434</v>
      </c>
      <c r="AB450" s="2">
        <f t="shared" si="360"/>
        <v>561.93299999999999</v>
      </c>
      <c r="AC450" s="2">
        <f t="shared" si="361"/>
        <v>314.29000000000002</v>
      </c>
      <c r="AD450" s="2">
        <f>ROUND(((((ET450*1.1))-((EU450*1.1)))+AE450),6)</f>
        <v>36.156999999999996</v>
      </c>
      <c r="AE450" s="2">
        <f>ROUND(((EU450*1.1)),6)</f>
        <v>6.2809999999999997</v>
      </c>
      <c r="AF450" s="2">
        <f>ROUND(((EV450*1.1)),6)</f>
        <v>211.48599999999999</v>
      </c>
      <c r="AG450" s="2">
        <f t="shared" si="362"/>
        <v>0</v>
      </c>
      <c r="AH450" s="2">
        <f>((EW450*1.1))</f>
        <v>16.5</v>
      </c>
      <c r="AI450" s="2">
        <f>((EX450*1.1))</f>
        <v>0</v>
      </c>
      <c r="AJ450" s="2">
        <f t="shared" si="363"/>
        <v>0</v>
      </c>
      <c r="AK450" s="2">
        <v>539.41999999999996</v>
      </c>
      <c r="AL450" s="2">
        <v>314.29000000000002</v>
      </c>
      <c r="AM450" s="2">
        <v>32.869999999999997</v>
      </c>
      <c r="AN450" s="2">
        <v>5.71</v>
      </c>
      <c r="AO450" s="2">
        <v>192.26</v>
      </c>
      <c r="AP450" s="2">
        <v>0</v>
      </c>
      <c r="AQ450" s="2">
        <v>15</v>
      </c>
      <c r="AR450" s="2">
        <v>0</v>
      </c>
      <c r="AS450" s="2">
        <v>0</v>
      </c>
      <c r="AT450" s="2">
        <v>97</v>
      </c>
      <c r="AU450" s="2">
        <v>51</v>
      </c>
      <c r="AV450" s="2">
        <v>1.0469999999999999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0</v>
      </c>
      <c r="BI450" s="2">
        <v>2</v>
      </c>
      <c r="BJ450" s="2" t="s">
        <v>78</v>
      </c>
      <c r="BK450" s="2"/>
      <c r="BL450" s="2"/>
      <c r="BM450" s="2">
        <v>67</v>
      </c>
      <c r="BN450" s="2">
        <v>55992028</v>
      </c>
      <c r="BO450" s="2" t="s">
        <v>75</v>
      </c>
      <c r="BP450" s="2">
        <v>1</v>
      </c>
      <c r="BQ450" s="2">
        <v>40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97</v>
      </c>
      <c r="CA450" s="2">
        <v>51</v>
      </c>
      <c r="CB450" s="2" t="s">
        <v>3</v>
      </c>
      <c r="CC450" s="2"/>
      <c r="CD450" s="2"/>
      <c r="CE450" s="2">
        <v>30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673</v>
      </c>
      <c r="CO450" s="2">
        <v>0</v>
      </c>
      <c r="CP450" s="2">
        <f t="shared" si="364"/>
        <v>2867.86</v>
      </c>
      <c r="CQ450" s="2">
        <f t="shared" si="382"/>
        <v>314.29000000000002</v>
      </c>
      <c r="CR450" s="2">
        <f>(ROUND((ROUND((((ET450*1.1))*AV450*1),2)*BB450),2)+ROUND((ROUND(((AE450-((EU450*1.1)))*AV450*1),2)*BS450),2))</f>
        <v>37.86</v>
      </c>
      <c r="CS450" s="2">
        <f t="shared" si="365"/>
        <v>6.58</v>
      </c>
      <c r="CT450" s="2">
        <f t="shared" si="366"/>
        <v>221.43</v>
      </c>
      <c r="CU450" s="2">
        <f t="shared" si="367"/>
        <v>0</v>
      </c>
      <c r="CV450" s="2">
        <f t="shared" si="368"/>
        <v>17.275499999999997</v>
      </c>
      <c r="CW450" s="2">
        <f t="shared" si="369"/>
        <v>0</v>
      </c>
      <c r="CX450" s="2">
        <f t="shared" si="370"/>
        <v>0</v>
      </c>
      <c r="CY450" s="2">
        <f t="shared" si="371"/>
        <v>1105.8097000000002</v>
      </c>
      <c r="CZ450" s="2">
        <f t="shared" si="372"/>
        <v>581.40510000000006</v>
      </c>
      <c r="DA450" s="2"/>
      <c r="DB450" s="2"/>
      <c r="DC450" s="2" t="s">
        <v>3</v>
      </c>
      <c r="DD450" s="2" t="s">
        <v>3</v>
      </c>
      <c r="DE450" s="2" t="s">
        <v>23</v>
      </c>
      <c r="DF450" s="2" t="s">
        <v>23</v>
      </c>
      <c r="DG450" s="2" t="s">
        <v>23</v>
      </c>
      <c r="DH450" s="2" t="s">
        <v>3</v>
      </c>
      <c r="DI450" s="2" t="s">
        <v>23</v>
      </c>
      <c r="DJ450" s="2" t="s">
        <v>23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1003</v>
      </c>
      <c r="DV450" s="2" t="s">
        <v>77</v>
      </c>
      <c r="DW450" s="2" t="s">
        <v>77</v>
      </c>
      <c r="DX450" s="2">
        <v>100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55992151</v>
      </c>
      <c r="EF450" s="2">
        <v>40</v>
      </c>
      <c r="EG450" s="2" t="s">
        <v>24</v>
      </c>
      <c r="EH450" s="2">
        <v>0</v>
      </c>
      <c r="EI450" s="2" t="s">
        <v>3</v>
      </c>
      <c r="EJ450" s="2">
        <v>2</v>
      </c>
      <c r="EK450" s="2">
        <v>67</v>
      </c>
      <c r="EL450" s="2" t="s">
        <v>79</v>
      </c>
      <c r="EM450" s="2" t="s">
        <v>80</v>
      </c>
      <c r="EN450" s="2"/>
      <c r="EO450" s="2" t="s">
        <v>27</v>
      </c>
      <c r="EP450" s="2"/>
      <c r="EQ450" s="2">
        <v>0</v>
      </c>
      <c r="ER450" s="2">
        <v>539.41999999999996</v>
      </c>
      <c r="ES450" s="2">
        <v>314.29000000000002</v>
      </c>
      <c r="ET450" s="2">
        <v>32.869999999999997</v>
      </c>
      <c r="EU450" s="2">
        <v>5.71</v>
      </c>
      <c r="EV450" s="2">
        <v>192.26</v>
      </c>
      <c r="EW450" s="2">
        <v>15</v>
      </c>
      <c r="EX450" s="2">
        <v>0</v>
      </c>
      <c r="EY450" s="2">
        <v>0</v>
      </c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97</v>
      </c>
      <c r="FY450" s="2">
        <v>51</v>
      </c>
      <c r="FZ450" s="2"/>
      <c r="GA450" s="2" t="s">
        <v>3</v>
      </c>
      <c r="GB450" s="2"/>
      <c r="GC450" s="2"/>
      <c r="GD450" s="2">
        <v>1</v>
      </c>
      <c r="GE450" s="2"/>
      <c r="GF450" s="2">
        <v>1705749599</v>
      </c>
      <c r="GG450" s="2">
        <v>2</v>
      </c>
      <c r="GH450" s="2">
        <v>1</v>
      </c>
      <c r="GI450" s="2">
        <v>2</v>
      </c>
      <c r="GJ450" s="2">
        <v>0</v>
      </c>
      <c r="GK450" s="2">
        <v>0</v>
      </c>
      <c r="GL450" s="2">
        <f t="shared" si="373"/>
        <v>0</v>
      </c>
      <c r="GM450" s="2">
        <f t="shared" si="374"/>
        <v>4555.08</v>
      </c>
      <c r="GN450" s="2">
        <f t="shared" si="375"/>
        <v>0</v>
      </c>
      <c r="GO450" s="2">
        <f t="shared" si="376"/>
        <v>4555.08</v>
      </c>
      <c r="GP450" s="2">
        <f t="shared" si="377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378"/>
        <v>0</v>
      </c>
      <c r="GW450" s="2">
        <v>1</v>
      </c>
      <c r="GX450" s="2">
        <f t="shared" si="379"/>
        <v>0</v>
      </c>
      <c r="GY450" s="2"/>
      <c r="GZ450" s="2"/>
      <c r="HA450" s="2">
        <v>0</v>
      </c>
      <c r="HB450" s="2">
        <v>0</v>
      </c>
      <c r="HC450" s="2">
        <f t="shared" si="380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3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">
      <c r="A451">
        <v>17</v>
      </c>
      <c r="B451">
        <v>1</v>
      </c>
      <c r="C451">
        <f>ROW(SmtRes!A332)</f>
        <v>332</v>
      </c>
      <c r="D451">
        <f>ROW(EtalonRes!A406)</f>
        <v>406</v>
      </c>
      <c r="E451" t="s">
        <v>444</v>
      </c>
      <c r="F451" t="s">
        <v>75</v>
      </c>
      <c r="G451" t="s">
        <v>76</v>
      </c>
      <c r="H451" t="s">
        <v>77</v>
      </c>
      <c r="I451">
        <f>ROUND(500/100,9)</f>
        <v>5</v>
      </c>
      <c r="J451">
        <v>0</v>
      </c>
      <c r="K451">
        <f>ROUND(500/100,9)</f>
        <v>5</v>
      </c>
      <c r="O451">
        <f t="shared" si="351"/>
        <v>79801.37</v>
      </c>
      <c r="P451">
        <f t="shared" si="381"/>
        <v>15541.64</v>
      </c>
      <c r="Q451">
        <f>(ROUND((ROUND((((ET451*1.1))*AV451*I451),2)*BB451),2)+ROUND((ROUND(((AE451-((EU451*1.1)))*AV451*I451),2)*BS451),2))</f>
        <v>3378.65</v>
      </c>
      <c r="R451">
        <f t="shared" si="352"/>
        <v>1808.07</v>
      </c>
      <c r="S451">
        <f t="shared" si="353"/>
        <v>60881.08</v>
      </c>
      <c r="T451">
        <f t="shared" si="354"/>
        <v>0</v>
      </c>
      <c r="U451">
        <f t="shared" si="355"/>
        <v>86.377499999999984</v>
      </c>
      <c r="V451">
        <f t="shared" si="356"/>
        <v>0</v>
      </c>
      <c r="W451">
        <f t="shared" si="357"/>
        <v>0</v>
      </c>
      <c r="X451">
        <f t="shared" si="358"/>
        <v>60808.480000000003</v>
      </c>
      <c r="Y451">
        <f t="shared" si="359"/>
        <v>31971.47</v>
      </c>
      <c r="AA451">
        <v>56959431</v>
      </c>
      <c r="AB451">
        <f t="shared" si="360"/>
        <v>561.93299999999999</v>
      </c>
      <c r="AC451">
        <f t="shared" si="361"/>
        <v>314.29000000000002</v>
      </c>
      <c r="AD451">
        <f>ROUND(((((ET451*1.1))-((EU451*1.1)))+AE451),6)</f>
        <v>36.156999999999996</v>
      </c>
      <c r="AE451">
        <f>ROUND(((EU451*1.1)),6)</f>
        <v>6.2809999999999997</v>
      </c>
      <c r="AF451">
        <f>ROUND(((EV451*1.1)),6)</f>
        <v>211.48599999999999</v>
      </c>
      <c r="AG451">
        <f t="shared" si="362"/>
        <v>0</v>
      </c>
      <c r="AH451">
        <f>((EW451*1.1))</f>
        <v>16.5</v>
      </c>
      <c r="AI451">
        <f>((EX451*1.1))</f>
        <v>0</v>
      </c>
      <c r="AJ451">
        <f t="shared" si="363"/>
        <v>0</v>
      </c>
      <c r="AK451">
        <v>539.41999999999996</v>
      </c>
      <c r="AL451">
        <v>314.29000000000002</v>
      </c>
      <c r="AM451">
        <v>32.869999999999997</v>
      </c>
      <c r="AN451">
        <v>5.71</v>
      </c>
      <c r="AO451">
        <v>192.26</v>
      </c>
      <c r="AP451">
        <v>0</v>
      </c>
      <c r="AQ451">
        <v>15</v>
      </c>
      <c r="AR451">
        <v>0</v>
      </c>
      <c r="AS451">
        <v>0</v>
      </c>
      <c r="AT451">
        <v>97</v>
      </c>
      <c r="AU451">
        <v>51</v>
      </c>
      <c r="AV451">
        <v>1.0469999999999999</v>
      </c>
      <c r="AW451">
        <v>1</v>
      </c>
      <c r="AZ451">
        <v>1</v>
      </c>
      <c r="BA451">
        <v>54.99</v>
      </c>
      <c r="BB451">
        <v>17.850000000000001</v>
      </c>
      <c r="BC451">
        <v>9.89</v>
      </c>
      <c r="BD451" t="s">
        <v>3</v>
      </c>
      <c r="BE451" t="s">
        <v>3</v>
      </c>
      <c r="BF451" t="s">
        <v>3</v>
      </c>
      <c r="BG451" t="s">
        <v>3</v>
      </c>
      <c r="BH451">
        <v>0</v>
      </c>
      <c r="BI451">
        <v>2</v>
      </c>
      <c r="BJ451" t="s">
        <v>78</v>
      </c>
      <c r="BM451">
        <v>67</v>
      </c>
      <c r="BN451">
        <v>55992028</v>
      </c>
      <c r="BO451" t="s">
        <v>75</v>
      </c>
      <c r="BP451">
        <v>1</v>
      </c>
      <c r="BQ451">
        <v>40</v>
      </c>
      <c r="BR451">
        <v>0</v>
      </c>
      <c r="BS451">
        <v>54.99</v>
      </c>
      <c r="BT451">
        <v>1</v>
      </c>
      <c r="BU451">
        <v>1</v>
      </c>
      <c r="BV451">
        <v>1</v>
      </c>
      <c r="BW451">
        <v>1</v>
      </c>
      <c r="BX451">
        <v>1</v>
      </c>
      <c r="BY451" t="s">
        <v>3</v>
      </c>
      <c r="BZ451">
        <v>97</v>
      </c>
      <c r="CA451">
        <v>51</v>
      </c>
      <c r="CB451" t="s">
        <v>3</v>
      </c>
      <c r="CE451">
        <v>30</v>
      </c>
      <c r="CF451">
        <v>0</v>
      </c>
      <c r="CG451">
        <v>0</v>
      </c>
      <c r="CM451">
        <v>0</v>
      </c>
      <c r="CN451" t="s">
        <v>673</v>
      </c>
      <c r="CO451">
        <v>0</v>
      </c>
      <c r="CP451">
        <f t="shared" si="364"/>
        <v>79801.37</v>
      </c>
      <c r="CQ451">
        <f t="shared" si="382"/>
        <v>3108.33</v>
      </c>
      <c r="CR451">
        <f>(ROUND((ROUND((((ET451*1.1))*AV451*1),2)*BB451),2)+ROUND((ROUND(((AE451-((EU451*1.1)))*AV451*1),2)*BS451),2))</f>
        <v>675.8</v>
      </c>
      <c r="CS451">
        <f t="shared" si="365"/>
        <v>361.83</v>
      </c>
      <c r="CT451">
        <f t="shared" si="366"/>
        <v>12176.44</v>
      </c>
      <c r="CU451">
        <f t="shared" si="367"/>
        <v>0</v>
      </c>
      <c r="CV451">
        <f t="shared" si="368"/>
        <v>17.275499999999997</v>
      </c>
      <c r="CW451">
        <f t="shared" si="369"/>
        <v>0</v>
      </c>
      <c r="CX451">
        <f t="shared" si="370"/>
        <v>0</v>
      </c>
      <c r="CY451">
        <f t="shared" si="371"/>
        <v>60808.4755</v>
      </c>
      <c r="CZ451">
        <f t="shared" si="372"/>
        <v>31971.466499999999</v>
      </c>
      <c r="DC451" t="s">
        <v>3</v>
      </c>
      <c r="DD451" t="s">
        <v>3</v>
      </c>
      <c r="DE451" t="s">
        <v>23</v>
      </c>
      <c r="DF451" t="s">
        <v>23</v>
      </c>
      <c r="DG451" t="s">
        <v>23</v>
      </c>
      <c r="DH451" t="s">
        <v>3</v>
      </c>
      <c r="DI451" t="s">
        <v>23</v>
      </c>
      <c r="DJ451" t="s">
        <v>23</v>
      </c>
      <c r="DK451" t="s">
        <v>3</v>
      </c>
      <c r="DL451" t="s">
        <v>3</v>
      </c>
      <c r="DM451" t="s">
        <v>3</v>
      </c>
      <c r="DN451">
        <v>0</v>
      </c>
      <c r="DO451">
        <v>0</v>
      </c>
      <c r="DP451">
        <v>1</v>
      </c>
      <c r="DQ451">
        <v>1</v>
      </c>
      <c r="DU451">
        <v>1003</v>
      </c>
      <c r="DV451" t="s">
        <v>77</v>
      </c>
      <c r="DW451" t="s">
        <v>77</v>
      </c>
      <c r="DX451">
        <v>100</v>
      </c>
      <c r="DZ451" t="s">
        <v>3</v>
      </c>
      <c r="EA451" t="s">
        <v>3</v>
      </c>
      <c r="EB451" t="s">
        <v>3</v>
      </c>
      <c r="EC451" t="s">
        <v>3</v>
      </c>
      <c r="EE451">
        <v>55992151</v>
      </c>
      <c r="EF451">
        <v>40</v>
      </c>
      <c r="EG451" t="s">
        <v>24</v>
      </c>
      <c r="EH451">
        <v>0</v>
      </c>
      <c r="EI451" t="s">
        <v>3</v>
      </c>
      <c r="EJ451">
        <v>2</v>
      </c>
      <c r="EK451">
        <v>67</v>
      </c>
      <c r="EL451" t="s">
        <v>79</v>
      </c>
      <c r="EM451" t="s">
        <v>80</v>
      </c>
      <c r="EO451" t="s">
        <v>27</v>
      </c>
      <c r="EQ451">
        <v>0</v>
      </c>
      <c r="ER451">
        <v>539.41999999999996</v>
      </c>
      <c r="ES451">
        <v>314.29000000000002</v>
      </c>
      <c r="ET451">
        <v>32.869999999999997</v>
      </c>
      <c r="EU451">
        <v>5.71</v>
      </c>
      <c r="EV451">
        <v>192.26</v>
      </c>
      <c r="EW451">
        <v>15</v>
      </c>
      <c r="EX451">
        <v>0</v>
      </c>
      <c r="EY451">
        <v>0</v>
      </c>
      <c r="FQ451">
        <v>0</v>
      </c>
      <c r="FR451">
        <v>0</v>
      </c>
      <c r="FS451">
        <v>0</v>
      </c>
      <c r="FX451">
        <v>97</v>
      </c>
      <c r="FY451">
        <v>51</v>
      </c>
      <c r="GA451" t="s">
        <v>3</v>
      </c>
      <c r="GD451">
        <v>1</v>
      </c>
      <c r="GF451">
        <v>1705749599</v>
      </c>
      <c r="GG451">
        <v>2</v>
      </c>
      <c r="GH451">
        <v>1</v>
      </c>
      <c r="GI451">
        <v>2</v>
      </c>
      <c r="GJ451">
        <v>0</v>
      </c>
      <c r="GK451">
        <v>0</v>
      </c>
      <c r="GL451">
        <f t="shared" si="373"/>
        <v>0</v>
      </c>
      <c r="GM451">
        <f t="shared" si="374"/>
        <v>172581.32</v>
      </c>
      <c r="GN451">
        <f t="shared" si="375"/>
        <v>0</v>
      </c>
      <c r="GO451">
        <f t="shared" si="376"/>
        <v>172581.32</v>
      </c>
      <c r="GP451">
        <f t="shared" si="377"/>
        <v>0</v>
      </c>
      <c r="GR451">
        <v>0</v>
      </c>
      <c r="GS451">
        <v>3</v>
      </c>
      <c r="GT451">
        <v>0</v>
      </c>
      <c r="GU451" t="s">
        <v>3</v>
      </c>
      <c r="GV451">
        <f t="shared" si="378"/>
        <v>0</v>
      </c>
      <c r="GW451">
        <v>1</v>
      </c>
      <c r="GX451">
        <f t="shared" si="379"/>
        <v>0</v>
      </c>
      <c r="HA451">
        <v>0</v>
      </c>
      <c r="HB451">
        <v>0</v>
      </c>
      <c r="HC451">
        <f t="shared" si="380"/>
        <v>0</v>
      </c>
      <c r="HE451" t="s">
        <v>3</v>
      </c>
      <c r="HF451" t="s">
        <v>3</v>
      </c>
      <c r="HM451" t="s">
        <v>3</v>
      </c>
      <c r="HN451" t="s">
        <v>3</v>
      </c>
      <c r="HO451" t="s">
        <v>3</v>
      </c>
      <c r="HP451" t="s">
        <v>3</v>
      </c>
      <c r="HQ451" t="s">
        <v>3</v>
      </c>
      <c r="HS451">
        <v>0</v>
      </c>
      <c r="IK451">
        <v>0</v>
      </c>
    </row>
    <row r="452" spans="1:255" x14ac:dyDescent="0.2">
      <c r="A452" s="2">
        <v>18</v>
      </c>
      <c r="B452" s="2">
        <v>1</v>
      </c>
      <c r="C452" s="2">
        <v>330</v>
      </c>
      <c r="D452" s="2"/>
      <c r="E452" s="2" t="s">
        <v>445</v>
      </c>
      <c r="F452" s="2" t="s">
        <v>82</v>
      </c>
      <c r="G452" s="2" t="s">
        <v>83</v>
      </c>
      <c r="H452" s="2" t="s">
        <v>84</v>
      </c>
      <c r="I452" s="2">
        <f>I450*J452</f>
        <v>510</v>
      </c>
      <c r="J452" s="2">
        <v>102</v>
      </c>
      <c r="K452" s="2">
        <v>102</v>
      </c>
      <c r="L452" s="2"/>
      <c r="M452" s="2"/>
      <c r="N452" s="2"/>
      <c r="O452" s="2">
        <f t="shared" si="351"/>
        <v>1759.5</v>
      </c>
      <c r="P452" s="2">
        <f t="shared" si="381"/>
        <v>1759.5</v>
      </c>
      <c r="Q452" s="2">
        <f>(ROUND((ROUND(((ET452)*AV452*I452),2)*BB452),2)+ROUND((ROUND(((AE452-(EU452))*AV452*I452),2)*BS452),2))</f>
        <v>0</v>
      </c>
      <c r="R452" s="2">
        <f t="shared" si="352"/>
        <v>0</v>
      </c>
      <c r="S452" s="2">
        <f t="shared" si="353"/>
        <v>0</v>
      </c>
      <c r="T452" s="2">
        <f t="shared" si="354"/>
        <v>0</v>
      </c>
      <c r="U452" s="2">
        <f t="shared" si="355"/>
        <v>0</v>
      </c>
      <c r="V452" s="2">
        <f t="shared" si="356"/>
        <v>0</v>
      </c>
      <c r="W452" s="2">
        <f t="shared" si="357"/>
        <v>0</v>
      </c>
      <c r="X452" s="2">
        <f t="shared" si="358"/>
        <v>0</v>
      </c>
      <c r="Y452" s="2">
        <f t="shared" si="359"/>
        <v>0</v>
      </c>
      <c r="Z452" s="2"/>
      <c r="AA452" s="2">
        <v>56959434</v>
      </c>
      <c r="AB452" s="2">
        <f t="shared" si="360"/>
        <v>3.45</v>
      </c>
      <c r="AC452" s="2">
        <f t="shared" si="361"/>
        <v>3.45</v>
      </c>
      <c r="AD452" s="2">
        <f>ROUND((((ET452)-(EU452))+AE452),6)</f>
        <v>0</v>
      </c>
      <c r="AE452" s="2">
        <f>ROUND((EU452),6)</f>
        <v>0</v>
      </c>
      <c r="AF452" s="2">
        <f>ROUND((EV452),6)</f>
        <v>0</v>
      </c>
      <c r="AG452" s="2">
        <f t="shared" si="362"/>
        <v>0</v>
      </c>
      <c r="AH452" s="2">
        <f>(EW452)</f>
        <v>0</v>
      </c>
      <c r="AI452" s="2">
        <f>(EX452)</f>
        <v>0</v>
      </c>
      <c r="AJ452" s="2">
        <f t="shared" si="363"/>
        <v>0</v>
      </c>
      <c r="AK452" s="2">
        <v>3.45</v>
      </c>
      <c r="AL452" s="2">
        <v>3.45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97</v>
      </c>
      <c r="AU452" s="2">
        <v>51</v>
      </c>
      <c r="AV452" s="2">
        <v>1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3</v>
      </c>
      <c r="BI452" s="2">
        <v>2</v>
      </c>
      <c r="BJ452" s="2" t="s">
        <v>85</v>
      </c>
      <c r="BK452" s="2"/>
      <c r="BL452" s="2"/>
      <c r="BM452" s="2">
        <v>67</v>
      </c>
      <c r="BN452" s="2">
        <v>55992028</v>
      </c>
      <c r="BO452" s="2" t="s">
        <v>3</v>
      </c>
      <c r="BP452" s="2">
        <v>0</v>
      </c>
      <c r="BQ452" s="2">
        <v>40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97</v>
      </c>
      <c r="CA452" s="2">
        <v>51</v>
      </c>
      <c r="CB452" s="2" t="s">
        <v>3</v>
      </c>
      <c r="CC452" s="2"/>
      <c r="CD452" s="2"/>
      <c r="CE452" s="2">
        <v>30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3</v>
      </c>
      <c r="CO452" s="2">
        <v>0</v>
      </c>
      <c r="CP452" s="2">
        <f t="shared" si="364"/>
        <v>1759.5</v>
      </c>
      <c r="CQ452" s="2">
        <f t="shared" si="382"/>
        <v>3.45</v>
      </c>
      <c r="CR452" s="2">
        <f>(ROUND((ROUND(((ET452)*AV452*1),2)*BB452),2)+ROUND((ROUND(((AE452-(EU452))*AV452*1),2)*BS452),2))</f>
        <v>0</v>
      </c>
      <c r="CS452" s="2">
        <f t="shared" si="365"/>
        <v>0</v>
      </c>
      <c r="CT452" s="2">
        <f t="shared" si="366"/>
        <v>0</v>
      </c>
      <c r="CU452" s="2">
        <f t="shared" si="367"/>
        <v>0</v>
      </c>
      <c r="CV452" s="2">
        <f t="shared" si="368"/>
        <v>0</v>
      </c>
      <c r="CW452" s="2">
        <f t="shared" si="369"/>
        <v>0</v>
      </c>
      <c r="CX452" s="2">
        <f t="shared" si="370"/>
        <v>0</v>
      </c>
      <c r="CY452" s="2">
        <f t="shared" si="371"/>
        <v>0</v>
      </c>
      <c r="CZ452" s="2">
        <f t="shared" si="372"/>
        <v>0</v>
      </c>
      <c r="DA452" s="2"/>
      <c r="DB452" s="2"/>
      <c r="DC452" s="2" t="s">
        <v>3</v>
      </c>
      <c r="DD452" s="2" t="s">
        <v>3</v>
      </c>
      <c r="DE452" s="2" t="s">
        <v>3</v>
      </c>
      <c r="DF452" s="2" t="s">
        <v>3</v>
      </c>
      <c r="DG452" s="2" t="s">
        <v>3</v>
      </c>
      <c r="DH452" s="2" t="s">
        <v>3</v>
      </c>
      <c r="DI452" s="2" t="s">
        <v>3</v>
      </c>
      <c r="DJ452" s="2" t="s">
        <v>3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1003</v>
      </c>
      <c r="DV452" s="2" t="s">
        <v>84</v>
      </c>
      <c r="DW452" s="2" t="s">
        <v>84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55992151</v>
      </c>
      <c r="EF452" s="2">
        <v>40</v>
      </c>
      <c r="EG452" s="2" t="s">
        <v>24</v>
      </c>
      <c r="EH452" s="2">
        <v>0</v>
      </c>
      <c r="EI452" s="2" t="s">
        <v>3</v>
      </c>
      <c r="EJ452" s="2">
        <v>2</v>
      </c>
      <c r="EK452" s="2">
        <v>67</v>
      </c>
      <c r="EL452" s="2" t="s">
        <v>79</v>
      </c>
      <c r="EM452" s="2" t="s">
        <v>80</v>
      </c>
      <c r="EN452" s="2"/>
      <c r="EO452" s="2" t="s">
        <v>3</v>
      </c>
      <c r="EP452" s="2"/>
      <c r="EQ452" s="2">
        <v>0</v>
      </c>
      <c r="ER452" s="2">
        <v>3.45</v>
      </c>
      <c r="ES452" s="2">
        <v>3.45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97</v>
      </c>
      <c r="FY452" s="2">
        <v>51</v>
      </c>
      <c r="FZ452" s="2"/>
      <c r="GA452" s="2" t="s">
        <v>3</v>
      </c>
      <c r="GB452" s="2"/>
      <c r="GC452" s="2"/>
      <c r="GD452" s="2">
        <v>1</v>
      </c>
      <c r="GE452" s="2"/>
      <c r="GF452" s="2">
        <v>-1305428159</v>
      </c>
      <c r="GG452" s="2">
        <v>2</v>
      </c>
      <c r="GH452" s="2">
        <v>1</v>
      </c>
      <c r="GI452" s="2">
        <v>-2</v>
      </c>
      <c r="GJ452" s="2">
        <v>0</v>
      </c>
      <c r="GK452" s="2">
        <v>0</v>
      </c>
      <c r="GL452" s="2">
        <f t="shared" si="373"/>
        <v>0</v>
      </c>
      <c r="GM452" s="2">
        <f t="shared" si="374"/>
        <v>1759.5</v>
      </c>
      <c r="GN452" s="2">
        <f t="shared" si="375"/>
        <v>0</v>
      </c>
      <c r="GO452" s="2">
        <f t="shared" si="376"/>
        <v>1759.5</v>
      </c>
      <c r="GP452" s="2">
        <f t="shared" si="377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378"/>
        <v>0</v>
      </c>
      <c r="GW452" s="2">
        <v>1</v>
      </c>
      <c r="GX452" s="2">
        <f t="shared" si="379"/>
        <v>0</v>
      </c>
      <c r="GY452" s="2"/>
      <c r="GZ452" s="2"/>
      <c r="HA452" s="2">
        <v>0</v>
      </c>
      <c r="HB452" s="2">
        <v>0</v>
      </c>
      <c r="HC452" s="2">
        <f t="shared" si="380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3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">
      <c r="A453">
        <v>18</v>
      </c>
      <c r="B453">
        <v>1</v>
      </c>
      <c r="C453">
        <v>332</v>
      </c>
      <c r="E453" t="s">
        <v>445</v>
      </c>
      <c r="F453" t="s">
        <v>82</v>
      </c>
      <c r="G453" t="s">
        <v>83</v>
      </c>
      <c r="H453" t="s">
        <v>84</v>
      </c>
      <c r="I453">
        <f>I451*J453</f>
        <v>510</v>
      </c>
      <c r="J453">
        <v>102</v>
      </c>
      <c r="K453">
        <v>102</v>
      </c>
      <c r="O453">
        <f t="shared" si="351"/>
        <v>6914.84</v>
      </c>
      <c r="P453">
        <f t="shared" si="381"/>
        <v>6914.84</v>
      </c>
      <c r="Q453">
        <f>(ROUND((ROUND(((ET453)*AV453*I453),2)*BB453),2)+ROUND((ROUND(((AE453-(EU453))*AV453*I453),2)*BS453),2))</f>
        <v>0</v>
      </c>
      <c r="R453">
        <f t="shared" si="352"/>
        <v>0</v>
      </c>
      <c r="S453">
        <f t="shared" si="353"/>
        <v>0</v>
      </c>
      <c r="T453">
        <f t="shared" si="354"/>
        <v>0</v>
      </c>
      <c r="U453">
        <f t="shared" si="355"/>
        <v>0</v>
      </c>
      <c r="V453">
        <f t="shared" si="356"/>
        <v>0</v>
      </c>
      <c r="W453">
        <f t="shared" si="357"/>
        <v>0</v>
      </c>
      <c r="X453">
        <f t="shared" si="358"/>
        <v>0</v>
      </c>
      <c r="Y453">
        <f t="shared" si="359"/>
        <v>0</v>
      </c>
      <c r="AA453">
        <v>56959431</v>
      </c>
      <c r="AB453">
        <f t="shared" si="360"/>
        <v>3.45</v>
      </c>
      <c r="AC453">
        <f t="shared" si="361"/>
        <v>3.45</v>
      </c>
      <c r="AD453">
        <f>ROUND((((ET453)-(EU453))+AE453),6)</f>
        <v>0</v>
      </c>
      <c r="AE453">
        <f>ROUND((EU453),6)</f>
        <v>0</v>
      </c>
      <c r="AF453">
        <f>ROUND((EV453),6)</f>
        <v>0</v>
      </c>
      <c r="AG453">
        <f t="shared" si="362"/>
        <v>0</v>
      </c>
      <c r="AH453">
        <f>(EW453)</f>
        <v>0</v>
      </c>
      <c r="AI453">
        <f>(EX453)</f>
        <v>0</v>
      </c>
      <c r="AJ453">
        <f t="shared" si="363"/>
        <v>0</v>
      </c>
      <c r="AK453">
        <v>3.45</v>
      </c>
      <c r="AL453">
        <v>3.45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97</v>
      </c>
      <c r="AU453">
        <v>51</v>
      </c>
      <c r="AV453">
        <v>1</v>
      </c>
      <c r="AW453">
        <v>1</v>
      </c>
      <c r="AZ453">
        <v>1</v>
      </c>
      <c r="BA453">
        <v>1</v>
      </c>
      <c r="BB453">
        <v>1</v>
      </c>
      <c r="BC453">
        <v>3.93</v>
      </c>
      <c r="BD453" t="s">
        <v>3</v>
      </c>
      <c r="BE453" t="s">
        <v>3</v>
      </c>
      <c r="BF453" t="s">
        <v>3</v>
      </c>
      <c r="BG453" t="s">
        <v>3</v>
      </c>
      <c r="BH453">
        <v>3</v>
      </c>
      <c r="BI453">
        <v>2</v>
      </c>
      <c r="BJ453" t="s">
        <v>85</v>
      </c>
      <c r="BM453">
        <v>67</v>
      </c>
      <c r="BN453">
        <v>55992028</v>
      </c>
      <c r="BO453" t="s">
        <v>82</v>
      </c>
      <c r="BP453">
        <v>1</v>
      </c>
      <c r="BQ453">
        <v>40</v>
      </c>
      <c r="BR453">
        <v>0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 t="s">
        <v>3</v>
      </c>
      <c r="BZ453">
        <v>97</v>
      </c>
      <c r="CA453">
        <v>51</v>
      </c>
      <c r="CB453" t="s">
        <v>3</v>
      </c>
      <c r="CE453">
        <v>30</v>
      </c>
      <c r="CF453">
        <v>0</v>
      </c>
      <c r="CG453">
        <v>0</v>
      </c>
      <c r="CM453">
        <v>0</v>
      </c>
      <c r="CN453" t="s">
        <v>3</v>
      </c>
      <c r="CO453">
        <v>0</v>
      </c>
      <c r="CP453">
        <f t="shared" si="364"/>
        <v>6914.84</v>
      </c>
      <c r="CQ453">
        <f t="shared" si="382"/>
        <v>13.56</v>
      </c>
      <c r="CR453">
        <f>(ROUND((ROUND(((ET453)*AV453*1),2)*BB453),2)+ROUND((ROUND(((AE453-(EU453))*AV453*1),2)*BS453),2))</f>
        <v>0</v>
      </c>
      <c r="CS453">
        <f t="shared" si="365"/>
        <v>0</v>
      </c>
      <c r="CT453">
        <f t="shared" si="366"/>
        <v>0</v>
      </c>
      <c r="CU453">
        <f t="shared" si="367"/>
        <v>0</v>
      </c>
      <c r="CV453">
        <f t="shared" si="368"/>
        <v>0</v>
      </c>
      <c r="CW453">
        <f t="shared" si="369"/>
        <v>0</v>
      </c>
      <c r="CX453">
        <f t="shared" si="370"/>
        <v>0</v>
      </c>
      <c r="CY453">
        <f t="shared" si="371"/>
        <v>0</v>
      </c>
      <c r="CZ453">
        <f t="shared" si="372"/>
        <v>0</v>
      </c>
      <c r="DC453" t="s">
        <v>3</v>
      </c>
      <c r="DD453" t="s">
        <v>3</v>
      </c>
      <c r="DE453" t="s">
        <v>3</v>
      </c>
      <c r="DF453" t="s">
        <v>3</v>
      </c>
      <c r="DG453" t="s">
        <v>3</v>
      </c>
      <c r="DH453" t="s">
        <v>3</v>
      </c>
      <c r="DI453" t="s">
        <v>3</v>
      </c>
      <c r="DJ453" t="s">
        <v>3</v>
      </c>
      <c r="DK453" t="s">
        <v>3</v>
      </c>
      <c r="DL453" t="s">
        <v>3</v>
      </c>
      <c r="DM453" t="s">
        <v>3</v>
      </c>
      <c r="DN453">
        <v>0</v>
      </c>
      <c r="DO453">
        <v>0</v>
      </c>
      <c r="DP453">
        <v>1</v>
      </c>
      <c r="DQ453">
        <v>1</v>
      </c>
      <c r="DU453">
        <v>1003</v>
      </c>
      <c r="DV453" t="s">
        <v>84</v>
      </c>
      <c r="DW453" t="s">
        <v>84</v>
      </c>
      <c r="DX453">
        <v>1</v>
      </c>
      <c r="DZ453" t="s">
        <v>3</v>
      </c>
      <c r="EA453" t="s">
        <v>3</v>
      </c>
      <c r="EB453" t="s">
        <v>3</v>
      </c>
      <c r="EC453" t="s">
        <v>3</v>
      </c>
      <c r="EE453">
        <v>55992151</v>
      </c>
      <c r="EF453">
        <v>40</v>
      </c>
      <c r="EG453" t="s">
        <v>24</v>
      </c>
      <c r="EH453">
        <v>0</v>
      </c>
      <c r="EI453" t="s">
        <v>3</v>
      </c>
      <c r="EJ453">
        <v>2</v>
      </c>
      <c r="EK453">
        <v>67</v>
      </c>
      <c r="EL453" t="s">
        <v>79</v>
      </c>
      <c r="EM453" t="s">
        <v>80</v>
      </c>
      <c r="EO453" t="s">
        <v>3</v>
      </c>
      <c r="EQ453">
        <v>0</v>
      </c>
      <c r="ER453">
        <v>3.45</v>
      </c>
      <c r="ES453">
        <v>3.45</v>
      </c>
      <c r="ET453">
        <v>0</v>
      </c>
      <c r="EU453">
        <v>0</v>
      </c>
      <c r="EV453">
        <v>0</v>
      </c>
      <c r="EW453">
        <v>0</v>
      </c>
      <c r="EX453">
        <v>0</v>
      </c>
      <c r="FQ453">
        <v>0</v>
      </c>
      <c r="FR453">
        <v>0</v>
      </c>
      <c r="FS453">
        <v>0</v>
      </c>
      <c r="FX453">
        <v>97</v>
      </c>
      <c r="FY453">
        <v>51</v>
      </c>
      <c r="GA453" t="s">
        <v>3</v>
      </c>
      <c r="GD453">
        <v>1</v>
      </c>
      <c r="GF453">
        <v>-1305428159</v>
      </c>
      <c r="GG453">
        <v>2</v>
      </c>
      <c r="GH453">
        <v>1</v>
      </c>
      <c r="GI453">
        <v>2</v>
      </c>
      <c r="GJ453">
        <v>0</v>
      </c>
      <c r="GK453">
        <v>0</v>
      </c>
      <c r="GL453">
        <f t="shared" si="373"/>
        <v>0</v>
      </c>
      <c r="GM453">
        <f t="shared" si="374"/>
        <v>6914.84</v>
      </c>
      <c r="GN453">
        <f t="shared" si="375"/>
        <v>0</v>
      </c>
      <c r="GO453">
        <f t="shared" si="376"/>
        <v>6914.84</v>
      </c>
      <c r="GP453">
        <f t="shared" si="377"/>
        <v>0</v>
      </c>
      <c r="GR453">
        <v>0</v>
      </c>
      <c r="GS453">
        <v>3</v>
      </c>
      <c r="GT453">
        <v>0</v>
      </c>
      <c r="GU453" t="s">
        <v>3</v>
      </c>
      <c r="GV453">
        <f t="shared" si="378"/>
        <v>0</v>
      </c>
      <c r="GW453">
        <v>1</v>
      </c>
      <c r="GX453">
        <f t="shared" si="379"/>
        <v>0</v>
      </c>
      <c r="HA453">
        <v>0</v>
      </c>
      <c r="HB453">
        <v>0</v>
      </c>
      <c r="HC453">
        <f t="shared" si="380"/>
        <v>0</v>
      </c>
      <c r="HE453" t="s">
        <v>3</v>
      </c>
      <c r="HF453" t="s">
        <v>3</v>
      </c>
      <c r="HM453" t="s">
        <v>3</v>
      </c>
      <c r="HN453" t="s">
        <v>3</v>
      </c>
      <c r="HO453" t="s">
        <v>3</v>
      </c>
      <c r="HP453" t="s">
        <v>3</v>
      </c>
      <c r="HQ453" t="s">
        <v>3</v>
      </c>
      <c r="HS453">
        <v>0</v>
      </c>
      <c r="IK453">
        <v>0</v>
      </c>
    </row>
    <row r="454" spans="1:255" x14ac:dyDescent="0.2">
      <c r="A454" s="2">
        <v>17</v>
      </c>
      <c r="B454" s="2">
        <v>1</v>
      </c>
      <c r="C454" s="2">
        <f>ROW(SmtRes!A341)</f>
        <v>341</v>
      </c>
      <c r="D454" s="2">
        <f>ROW(EtalonRes!A415)</f>
        <v>415</v>
      </c>
      <c r="E454" s="2" t="s">
        <v>446</v>
      </c>
      <c r="F454" s="2" t="s">
        <v>447</v>
      </c>
      <c r="G454" s="2" t="s">
        <v>448</v>
      </c>
      <c r="H454" s="2" t="s">
        <v>77</v>
      </c>
      <c r="I454" s="2">
        <f>ROUND(500/100,9)</f>
        <v>5</v>
      </c>
      <c r="J454" s="2">
        <v>0</v>
      </c>
      <c r="K454" s="2">
        <f>ROUND(500/100,9)</f>
        <v>5</v>
      </c>
      <c r="L454" s="2"/>
      <c r="M454" s="2"/>
      <c r="N454" s="2"/>
      <c r="O454" s="2">
        <f t="shared" si="351"/>
        <v>943.76</v>
      </c>
      <c r="P454" s="2">
        <f t="shared" si="381"/>
        <v>452.9</v>
      </c>
      <c r="Q454" s="2">
        <f>(ROUND((ROUND((((ET454*1.1))*AV454*I454),2)*BB454),2)+ROUND((ROUND(((AE454-((EU454*1.1)))*AV454*I454),2)*BS454),2))</f>
        <v>45.32</v>
      </c>
      <c r="R454" s="2">
        <f t="shared" si="352"/>
        <v>5.13</v>
      </c>
      <c r="S454" s="2">
        <f t="shared" si="353"/>
        <v>445.54</v>
      </c>
      <c r="T454" s="2">
        <f t="shared" si="354"/>
        <v>0</v>
      </c>
      <c r="U454" s="2">
        <f t="shared" si="355"/>
        <v>36.220965</v>
      </c>
      <c r="V454" s="2">
        <f t="shared" si="356"/>
        <v>0</v>
      </c>
      <c r="W454" s="2">
        <f t="shared" si="357"/>
        <v>0</v>
      </c>
      <c r="X454" s="2">
        <f t="shared" si="358"/>
        <v>437.15</v>
      </c>
      <c r="Y454" s="2">
        <f t="shared" si="359"/>
        <v>229.84</v>
      </c>
      <c r="Z454" s="2"/>
      <c r="AA454" s="2">
        <v>56959434</v>
      </c>
      <c r="AB454" s="2">
        <f t="shared" si="360"/>
        <v>184.34399999999999</v>
      </c>
      <c r="AC454" s="2">
        <f t="shared" si="361"/>
        <v>90.58</v>
      </c>
      <c r="AD454" s="2">
        <f>ROUND(((((ET454*1.1))-((EU454*1.1)))+AE454),6)</f>
        <v>8.657</v>
      </c>
      <c r="AE454" s="2">
        <f>ROUND(((EU454*1.1)),6)</f>
        <v>0.97899999999999998</v>
      </c>
      <c r="AF454" s="2">
        <f>ROUND(((EV454*1.1)),6)</f>
        <v>85.106999999999999</v>
      </c>
      <c r="AG454" s="2">
        <f t="shared" si="362"/>
        <v>0</v>
      </c>
      <c r="AH454" s="2">
        <f>((EW454*1.1))</f>
        <v>6.9190000000000005</v>
      </c>
      <c r="AI454" s="2">
        <f>((EX454*1.1))</f>
        <v>0</v>
      </c>
      <c r="AJ454" s="2">
        <f t="shared" si="363"/>
        <v>0</v>
      </c>
      <c r="AK454" s="2">
        <v>175.82</v>
      </c>
      <c r="AL454" s="2">
        <v>90.58</v>
      </c>
      <c r="AM454" s="2">
        <v>7.87</v>
      </c>
      <c r="AN454" s="2">
        <v>0.89</v>
      </c>
      <c r="AO454" s="2">
        <v>77.37</v>
      </c>
      <c r="AP454" s="2">
        <v>0</v>
      </c>
      <c r="AQ454" s="2">
        <v>6.29</v>
      </c>
      <c r="AR454" s="2">
        <v>0</v>
      </c>
      <c r="AS454" s="2">
        <v>0</v>
      </c>
      <c r="AT454" s="2">
        <v>97</v>
      </c>
      <c r="AU454" s="2">
        <v>51</v>
      </c>
      <c r="AV454" s="2">
        <v>1.0469999999999999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0</v>
      </c>
      <c r="BI454" s="2">
        <v>2</v>
      </c>
      <c r="BJ454" s="2" t="s">
        <v>449</v>
      </c>
      <c r="BK454" s="2"/>
      <c r="BL454" s="2"/>
      <c r="BM454" s="2">
        <v>67</v>
      </c>
      <c r="BN454" s="2">
        <v>55992028</v>
      </c>
      <c r="BO454" s="2" t="s">
        <v>447</v>
      </c>
      <c r="BP454" s="2">
        <v>1</v>
      </c>
      <c r="BQ454" s="2">
        <v>40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97</v>
      </c>
      <c r="CA454" s="2">
        <v>51</v>
      </c>
      <c r="CB454" s="2" t="s">
        <v>3</v>
      </c>
      <c r="CC454" s="2"/>
      <c r="CD454" s="2"/>
      <c r="CE454" s="2">
        <v>30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673</v>
      </c>
      <c r="CO454" s="2">
        <v>0</v>
      </c>
      <c r="CP454" s="2">
        <f t="shared" si="364"/>
        <v>943.76</v>
      </c>
      <c r="CQ454" s="2">
        <f t="shared" si="382"/>
        <v>90.58</v>
      </c>
      <c r="CR454" s="2">
        <f>(ROUND((ROUND((((ET454*1.1))*AV454*1),2)*BB454),2)+ROUND((ROUND(((AE454-((EU454*1.1)))*AV454*1),2)*BS454),2))</f>
        <v>9.06</v>
      </c>
      <c r="CS454" s="2">
        <f t="shared" si="365"/>
        <v>1.03</v>
      </c>
      <c r="CT454" s="2">
        <f t="shared" si="366"/>
        <v>89.11</v>
      </c>
      <c r="CU454" s="2">
        <f t="shared" si="367"/>
        <v>0</v>
      </c>
      <c r="CV454" s="2">
        <f t="shared" si="368"/>
        <v>7.2441930000000001</v>
      </c>
      <c r="CW454" s="2">
        <f t="shared" si="369"/>
        <v>0</v>
      </c>
      <c r="CX454" s="2">
        <f t="shared" si="370"/>
        <v>0</v>
      </c>
      <c r="CY454" s="2">
        <f t="shared" si="371"/>
        <v>437.1499</v>
      </c>
      <c r="CZ454" s="2">
        <f t="shared" si="372"/>
        <v>229.84170000000003</v>
      </c>
      <c r="DA454" s="2"/>
      <c r="DB454" s="2"/>
      <c r="DC454" s="2" t="s">
        <v>3</v>
      </c>
      <c r="DD454" s="2" t="s">
        <v>3</v>
      </c>
      <c r="DE454" s="2" t="s">
        <v>23</v>
      </c>
      <c r="DF454" s="2" t="s">
        <v>23</v>
      </c>
      <c r="DG454" s="2" t="s">
        <v>23</v>
      </c>
      <c r="DH454" s="2" t="s">
        <v>3</v>
      </c>
      <c r="DI454" s="2" t="s">
        <v>23</v>
      </c>
      <c r="DJ454" s="2" t="s">
        <v>23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1003</v>
      </c>
      <c r="DV454" s="2" t="s">
        <v>77</v>
      </c>
      <c r="DW454" s="2" t="s">
        <v>77</v>
      </c>
      <c r="DX454" s="2">
        <v>100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55992151</v>
      </c>
      <c r="EF454" s="2">
        <v>40</v>
      </c>
      <c r="EG454" s="2" t="s">
        <v>24</v>
      </c>
      <c r="EH454" s="2">
        <v>0</v>
      </c>
      <c r="EI454" s="2" t="s">
        <v>3</v>
      </c>
      <c r="EJ454" s="2">
        <v>2</v>
      </c>
      <c r="EK454" s="2">
        <v>67</v>
      </c>
      <c r="EL454" s="2" t="s">
        <v>79</v>
      </c>
      <c r="EM454" s="2" t="s">
        <v>80</v>
      </c>
      <c r="EN454" s="2"/>
      <c r="EO454" s="2" t="s">
        <v>27</v>
      </c>
      <c r="EP454" s="2"/>
      <c r="EQ454" s="2">
        <v>0</v>
      </c>
      <c r="ER454" s="2">
        <v>175.82</v>
      </c>
      <c r="ES454" s="2">
        <v>90.58</v>
      </c>
      <c r="ET454" s="2">
        <v>7.87</v>
      </c>
      <c r="EU454" s="2">
        <v>0.89</v>
      </c>
      <c r="EV454" s="2">
        <v>77.37</v>
      </c>
      <c r="EW454" s="2">
        <v>6.29</v>
      </c>
      <c r="EX454" s="2">
        <v>0</v>
      </c>
      <c r="EY454" s="2">
        <v>0</v>
      </c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97</v>
      </c>
      <c r="FY454" s="2">
        <v>51</v>
      </c>
      <c r="FZ454" s="2"/>
      <c r="GA454" s="2" t="s">
        <v>3</v>
      </c>
      <c r="GB454" s="2"/>
      <c r="GC454" s="2"/>
      <c r="GD454" s="2">
        <v>1</v>
      </c>
      <c r="GE454" s="2"/>
      <c r="GF454" s="2">
        <v>2113736099</v>
      </c>
      <c r="GG454" s="2">
        <v>2</v>
      </c>
      <c r="GH454" s="2">
        <v>1</v>
      </c>
      <c r="GI454" s="2">
        <v>2</v>
      </c>
      <c r="GJ454" s="2">
        <v>0</v>
      </c>
      <c r="GK454" s="2">
        <v>0</v>
      </c>
      <c r="GL454" s="2">
        <f t="shared" si="373"/>
        <v>0</v>
      </c>
      <c r="GM454" s="2">
        <f t="shared" si="374"/>
        <v>1610.75</v>
      </c>
      <c r="GN454" s="2">
        <f t="shared" si="375"/>
        <v>0</v>
      </c>
      <c r="GO454" s="2">
        <f t="shared" si="376"/>
        <v>1610.75</v>
      </c>
      <c r="GP454" s="2">
        <f t="shared" si="377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378"/>
        <v>0</v>
      </c>
      <c r="GW454" s="2">
        <v>1</v>
      </c>
      <c r="GX454" s="2">
        <f t="shared" si="379"/>
        <v>0</v>
      </c>
      <c r="GY454" s="2"/>
      <c r="GZ454" s="2"/>
      <c r="HA454" s="2">
        <v>0</v>
      </c>
      <c r="HB454" s="2">
        <v>0</v>
      </c>
      <c r="HC454" s="2">
        <f t="shared" si="380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">
      <c r="A455">
        <v>17</v>
      </c>
      <c r="B455">
        <v>1</v>
      </c>
      <c r="C455">
        <f>ROW(SmtRes!A350)</f>
        <v>350</v>
      </c>
      <c r="D455">
        <f>ROW(EtalonRes!A424)</f>
        <v>424</v>
      </c>
      <c r="E455" t="s">
        <v>446</v>
      </c>
      <c r="F455" t="s">
        <v>447</v>
      </c>
      <c r="G455" t="s">
        <v>448</v>
      </c>
      <c r="H455" t="s">
        <v>77</v>
      </c>
      <c r="I455">
        <f>ROUND(500/100,9)</f>
        <v>5</v>
      </c>
      <c r="J455">
        <v>0</v>
      </c>
      <c r="K455">
        <f>ROUND(500/100,9)</f>
        <v>5</v>
      </c>
      <c r="O455">
        <f t="shared" si="351"/>
        <v>27066.36</v>
      </c>
      <c r="P455">
        <f t="shared" si="381"/>
        <v>1906.71</v>
      </c>
      <c r="Q455">
        <f>(ROUND((ROUND((((ET455*1.1))*AV455*I455),2)*BB455),2)+ROUND((ROUND(((AE455-((EU455*1.1)))*AV455*I455),2)*BS455),2))</f>
        <v>659.41</v>
      </c>
      <c r="R455">
        <f t="shared" si="352"/>
        <v>282.10000000000002</v>
      </c>
      <c r="S455">
        <f t="shared" si="353"/>
        <v>24500.240000000002</v>
      </c>
      <c r="T455">
        <f t="shared" si="354"/>
        <v>0</v>
      </c>
      <c r="U455">
        <f t="shared" si="355"/>
        <v>36.220965</v>
      </c>
      <c r="V455">
        <f t="shared" si="356"/>
        <v>0</v>
      </c>
      <c r="W455">
        <f t="shared" si="357"/>
        <v>0</v>
      </c>
      <c r="X455">
        <f t="shared" si="358"/>
        <v>24038.87</v>
      </c>
      <c r="Y455">
        <f t="shared" si="359"/>
        <v>12638.99</v>
      </c>
      <c r="AA455">
        <v>56959431</v>
      </c>
      <c r="AB455">
        <f t="shared" si="360"/>
        <v>184.34399999999999</v>
      </c>
      <c r="AC455">
        <f t="shared" si="361"/>
        <v>90.58</v>
      </c>
      <c r="AD455">
        <f>ROUND(((((ET455*1.1))-((EU455*1.1)))+AE455),6)</f>
        <v>8.657</v>
      </c>
      <c r="AE455">
        <f>ROUND(((EU455*1.1)),6)</f>
        <v>0.97899999999999998</v>
      </c>
      <c r="AF455">
        <f>ROUND(((EV455*1.1)),6)</f>
        <v>85.106999999999999</v>
      </c>
      <c r="AG455">
        <f t="shared" si="362"/>
        <v>0</v>
      </c>
      <c r="AH455">
        <f>((EW455*1.1))</f>
        <v>6.9190000000000005</v>
      </c>
      <c r="AI455">
        <f>((EX455*1.1))</f>
        <v>0</v>
      </c>
      <c r="AJ455">
        <f t="shared" si="363"/>
        <v>0</v>
      </c>
      <c r="AK455">
        <v>175.82</v>
      </c>
      <c r="AL455">
        <v>90.58</v>
      </c>
      <c r="AM455">
        <v>7.87</v>
      </c>
      <c r="AN455">
        <v>0.89</v>
      </c>
      <c r="AO455">
        <v>77.37</v>
      </c>
      <c r="AP455">
        <v>0</v>
      </c>
      <c r="AQ455">
        <v>6.29</v>
      </c>
      <c r="AR455">
        <v>0</v>
      </c>
      <c r="AS455">
        <v>0</v>
      </c>
      <c r="AT455">
        <v>97</v>
      </c>
      <c r="AU455">
        <v>51</v>
      </c>
      <c r="AV455">
        <v>1.0469999999999999</v>
      </c>
      <c r="AW455">
        <v>1</v>
      </c>
      <c r="AZ455">
        <v>1</v>
      </c>
      <c r="BA455">
        <v>54.99</v>
      </c>
      <c r="BB455">
        <v>14.55</v>
      </c>
      <c r="BC455">
        <v>4.21</v>
      </c>
      <c r="BD455" t="s">
        <v>3</v>
      </c>
      <c r="BE455" t="s">
        <v>3</v>
      </c>
      <c r="BF455" t="s">
        <v>3</v>
      </c>
      <c r="BG455" t="s">
        <v>3</v>
      </c>
      <c r="BH455">
        <v>0</v>
      </c>
      <c r="BI455">
        <v>2</v>
      </c>
      <c r="BJ455" t="s">
        <v>449</v>
      </c>
      <c r="BM455">
        <v>67</v>
      </c>
      <c r="BN455">
        <v>55992028</v>
      </c>
      <c r="BO455" t="s">
        <v>447</v>
      </c>
      <c r="BP455">
        <v>1</v>
      </c>
      <c r="BQ455">
        <v>40</v>
      </c>
      <c r="BR455">
        <v>0</v>
      </c>
      <c r="BS455">
        <v>54.99</v>
      </c>
      <c r="BT455">
        <v>1</v>
      </c>
      <c r="BU455">
        <v>1</v>
      </c>
      <c r="BV455">
        <v>1</v>
      </c>
      <c r="BW455">
        <v>1</v>
      </c>
      <c r="BX455">
        <v>1</v>
      </c>
      <c r="BY455" t="s">
        <v>3</v>
      </c>
      <c r="BZ455">
        <v>97</v>
      </c>
      <c r="CA455">
        <v>51</v>
      </c>
      <c r="CB455" t="s">
        <v>3</v>
      </c>
      <c r="CE455">
        <v>30</v>
      </c>
      <c r="CF455">
        <v>0</v>
      </c>
      <c r="CG455">
        <v>0</v>
      </c>
      <c r="CM455">
        <v>0</v>
      </c>
      <c r="CN455" t="s">
        <v>673</v>
      </c>
      <c r="CO455">
        <v>0</v>
      </c>
      <c r="CP455">
        <f t="shared" si="364"/>
        <v>27066.36</v>
      </c>
      <c r="CQ455">
        <f t="shared" si="382"/>
        <v>381.34</v>
      </c>
      <c r="CR455">
        <f>(ROUND((ROUND((((ET455*1.1))*AV455*1),2)*BB455),2)+ROUND((ROUND(((AE455-((EU455*1.1)))*AV455*1),2)*BS455),2))</f>
        <v>131.82</v>
      </c>
      <c r="CS455">
        <f t="shared" si="365"/>
        <v>56.64</v>
      </c>
      <c r="CT455">
        <f t="shared" si="366"/>
        <v>4900.16</v>
      </c>
      <c r="CU455">
        <f t="shared" si="367"/>
        <v>0</v>
      </c>
      <c r="CV455">
        <f t="shared" si="368"/>
        <v>7.2441930000000001</v>
      </c>
      <c r="CW455">
        <f t="shared" si="369"/>
        <v>0</v>
      </c>
      <c r="CX455">
        <f t="shared" si="370"/>
        <v>0</v>
      </c>
      <c r="CY455">
        <f t="shared" si="371"/>
        <v>24038.8698</v>
      </c>
      <c r="CZ455">
        <f t="shared" si="372"/>
        <v>12638.993400000001</v>
      </c>
      <c r="DC455" t="s">
        <v>3</v>
      </c>
      <c r="DD455" t="s">
        <v>3</v>
      </c>
      <c r="DE455" t="s">
        <v>23</v>
      </c>
      <c r="DF455" t="s">
        <v>23</v>
      </c>
      <c r="DG455" t="s">
        <v>23</v>
      </c>
      <c r="DH455" t="s">
        <v>3</v>
      </c>
      <c r="DI455" t="s">
        <v>23</v>
      </c>
      <c r="DJ455" t="s">
        <v>23</v>
      </c>
      <c r="DK455" t="s">
        <v>3</v>
      </c>
      <c r="DL455" t="s">
        <v>3</v>
      </c>
      <c r="DM455" t="s">
        <v>3</v>
      </c>
      <c r="DN455">
        <v>0</v>
      </c>
      <c r="DO455">
        <v>0</v>
      </c>
      <c r="DP455">
        <v>1</v>
      </c>
      <c r="DQ455">
        <v>1</v>
      </c>
      <c r="DU455">
        <v>1003</v>
      </c>
      <c r="DV455" t="s">
        <v>77</v>
      </c>
      <c r="DW455" t="s">
        <v>77</v>
      </c>
      <c r="DX455">
        <v>100</v>
      </c>
      <c r="DZ455" t="s">
        <v>3</v>
      </c>
      <c r="EA455" t="s">
        <v>3</v>
      </c>
      <c r="EB455" t="s">
        <v>3</v>
      </c>
      <c r="EC455" t="s">
        <v>3</v>
      </c>
      <c r="EE455">
        <v>55992151</v>
      </c>
      <c r="EF455">
        <v>40</v>
      </c>
      <c r="EG455" t="s">
        <v>24</v>
      </c>
      <c r="EH455">
        <v>0</v>
      </c>
      <c r="EI455" t="s">
        <v>3</v>
      </c>
      <c r="EJ455">
        <v>2</v>
      </c>
      <c r="EK455">
        <v>67</v>
      </c>
      <c r="EL455" t="s">
        <v>79</v>
      </c>
      <c r="EM455" t="s">
        <v>80</v>
      </c>
      <c r="EO455" t="s">
        <v>27</v>
      </c>
      <c r="EQ455">
        <v>0</v>
      </c>
      <c r="ER455">
        <v>175.82</v>
      </c>
      <c r="ES455">
        <v>90.58</v>
      </c>
      <c r="ET455">
        <v>7.87</v>
      </c>
      <c r="EU455">
        <v>0.89</v>
      </c>
      <c r="EV455">
        <v>77.37</v>
      </c>
      <c r="EW455">
        <v>6.29</v>
      </c>
      <c r="EX455">
        <v>0</v>
      </c>
      <c r="EY455">
        <v>0</v>
      </c>
      <c r="FQ455">
        <v>0</v>
      </c>
      <c r="FR455">
        <v>0</v>
      </c>
      <c r="FS455">
        <v>0</v>
      </c>
      <c r="FX455">
        <v>97</v>
      </c>
      <c r="FY455">
        <v>51</v>
      </c>
      <c r="GA455" t="s">
        <v>3</v>
      </c>
      <c r="GD455">
        <v>1</v>
      </c>
      <c r="GF455">
        <v>2113736099</v>
      </c>
      <c r="GG455">
        <v>2</v>
      </c>
      <c r="GH455">
        <v>1</v>
      </c>
      <c r="GI455">
        <v>2</v>
      </c>
      <c r="GJ455">
        <v>0</v>
      </c>
      <c r="GK455">
        <v>0</v>
      </c>
      <c r="GL455">
        <f t="shared" si="373"/>
        <v>0</v>
      </c>
      <c r="GM455">
        <f t="shared" si="374"/>
        <v>63744.22</v>
      </c>
      <c r="GN455">
        <f t="shared" si="375"/>
        <v>0</v>
      </c>
      <c r="GO455">
        <f t="shared" si="376"/>
        <v>63744.22</v>
      </c>
      <c r="GP455">
        <f t="shared" si="377"/>
        <v>0</v>
      </c>
      <c r="GR455">
        <v>0</v>
      </c>
      <c r="GS455">
        <v>3</v>
      </c>
      <c r="GT455">
        <v>0</v>
      </c>
      <c r="GU455" t="s">
        <v>3</v>
      </c>
      <c r="GV455">
        <f t="shared" si="378"/>
        <v>0</v>
      </c>
      <c r="GW455">
        <v>1</v>
      </c>
      <c r="GX455">
        <f t="shared" si="379"/>
        <v>0</v>
      </c>
      <c r="HA455">
        <v>0</v>
      </c>
      <c r="HB455">
        <v>0</v>
      </c>
      <c r="HC455">
        <f t="shared" si="380"/>
        <v>0</v>
      </c>
      <c r="HE455" t="s">
        <v>3</v>
      </c>
      <c r="HF455" t="s">
        <v>3</v>
      </c>
      <c r="HM455" t="s">
        <v>3</v>
      </c>
      <c r="HN455" t="s">
        <v>3</v>
      </c>
      <c r="HO455" t="s">
        <v>3</v>
      </c>
      <c r="HP455" t="s">
        <v>3</v>
      </c>
      <c r="HQ455" t="s">
        <v>3</v>
      </c>
      <c r="HS455">
        <v>0</v>
      </c>
      <c r="IK455">
        <v>0</v>
      </c>
    </row>
    <row r="456" spans="1:255" x14ac:dyDescent="0.2">
      <c r="A456" s="2">
        <v>18</v>
      </c>
      <c r="B456" s="2">
        <v>1</v>
      </c>
      <c r="C456" s="2">
        <v>341</v>
      </c>
      <c r="D456" s="2"/>
      <c r="E456" s="2" t="s">
        <v>450</v>
      </c>
      <c r="F456" s="2" t="s">
        <v>451</v>
      </c>
      <c r="G456" s="2" t="s">
        <v>676</v>
      </c>
      <c r="H456" s="2" t="s">
        <v>108</v>
      </c>
      <c r="I456" s="2">
        <f>I454*J456</f>
        <v>0.51</v>
      </c>
      <c r="J456" s="2">
        <v>0.10200000000000001</v>
      </c>
      <c r="K456" s="2">
        <v>0.10199999999999999</v>
      </c>
      <c r="L456" s="2"/>
      <c r="M456" s="2"/>
      <c r="N456" s="2"/>
      <c r="O456" s="2">
        <f t="shared" si="351"/>
        <v>9950.4500000000007</v>
      </c>
      <c r="P456" s="2">
        <f t="shared" si="381"/>
        <v>9950.4500000000007</v>
      </c>
      <c r="Q456" s="2">
        <f>(ROUND((ROUND(((ET456)*AV456*I456),2)*BB456),2)+ROUND((ROUND(((AE456-(EU456))*AV456*I456),2)*BS456),2))</f>
        <v>0</v>
      </c>
      <c r="R456" s="2">
        <f t="shared" si="352"/>
        <v>0</v>
      </c>
      <c r="S456" s="2">
        <f t="shared" si="353"/>
        <v>0</v>
      </c>
      <c r="T456" s="2">
        <f t="shared" si="354"/>
        <v>0</v>
      </c>
      <c r="U456" s="2">
        <f t="shared" si="355"/>
        <v>0</v>
      </c>
      <c r="V456" s="2">
        <f t="shared" si="356"/>
        <v>0</v>
      </c>
      <c r="W456" s="2">
        <f t="shared" si="357"/>
        <v>0</v>
      </c>
      <c r="X456" s="2">
        <f t="shared" si="358"/>
        <v>0</v>
      </c>
      <c r="Y456" s="2">
        <f t="shared" si="359"/>
        <v>0</v>
      </c>
      <c r="Z456" s="2"/>
      <c r="AA456" s="2">
        <v>56959434</v>
      </c>
      <c r="AB456" s="2">
        <f t="shared" si="360"/>
        <v>19510.68</v>
      </c>
      <c r="AC456" s="2">
        <f t="shared" si="361"/>
        <v>19510.68</v>
      </c>
      <c r="AD456" s="2">
        <f>ROUND((((ET456)-(EU456))+AE456),6)</f>
        <v>0</v>
      </c>
      <c r="AE456" s="2">
        <f>ROUND((EU456),6)</f>
        <v>0</v>
      </c>
      <c r="AF456" s="2">
        <f>ROUND((EV456),6)</f>
        <v>0</v>
      </c>
      <c r="AG456" s="2">
        <f t="shared" si="362"/>
        <v>0</v>
      </c>
      <c r="AH456" s="2">
        <f>(EW456)</f>
        <v>0</v>
      </c>
      <c r="AI456" s="2">
        <f>(EX456)</f>
        <v>0</v>
      </c>
      <c r="AJ456" s="2">
        <f t="shared" si="363"/>
        <v>0</v>
      </c>
      <c r="AK456" s="2">
        <v>19510.68</v>
      </c>
      <c r="AL456" s="2">
        <v>19510.68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97</v>
      </c>
      <c r="AU456" s="2">
        <v>51</v>
      </c>
      <c r="AV456" s="2">
        <v>1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3</v>
      </c>
      <c r="BI456" s="2">
        <v>2</v>
      </c>
      <c r="BJ456" s="2" t="s">
        <v>452</v>
      </c>
      <c r="BK456" s="2"/>
      <c r="BL456" s="2"/>
      <c r="BM456" s="2">
        <v>67</v>
      </c>
      <c r="BN456" s="2">
        <v>55992028</v>
      </c>
      <c r="BO456" s="2" t="s">
        <v>3</v>
      </c>
      <c r="BP456" s="2">
        <v>0</v>
      </c>
      <c r="BQ456" s="2">
        <v>40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97</v>
      </c>
      <c r="CA456" s="2">
        <v>51</v>
      </c>
      <c r="CB456" s="2" t="s">
        <v>3</v>
      </c>
      <c r="CC456" s="2"/>
      <c r="CD456" s="2"/>
      <c r="CE456" s="2">
        <v>30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3</v>
      </c>
      <c r="CO456" s="2">
        <v>0</v>
      </c>
      <c r="CP456" s="2">
        <f t="shared" si="364"/>
        <v>9950.4500000000007</v>
      </c>
      <c r="CQ456" s="2">
        <f t="shared" si="382"/>
        <v>19510.68</v>
      </c>
      <c r="CR456" s="2">
        <f>(ROUND((ROUND(((ET456)*AV456*1),2)*BB456),2)+ROUND((ROUND(((AE456-(EU456))*AV456*1),2)*BS456),2))</f>
        <v>0</v>
      </c>
      <c r="CS456" s="2">
        <f t="shared" si="365"/>
        <v>0</v>
      </c>
      <c r="CT456" s="2">
        <f t="shared" si="366"/>
        <v>0</v>
      </c>
      <c r="CU456" s="2">
        <f t="shared" si="367"/>
        <v>0</v>
      </c>
      <c r="CV456" s="2">
        <f t="shared" si="368"/>
        <v>0</v>
      </c>
      <c r="CW456" s="2">
        <f t="shared" si="369"/>
        <v>0</v>
      </c>
      <c r="CX456" s="2">
        <f t="shared" si="370"/>
        <v>0</v>
      </c>
      <c r="CY456" s="2">
        <f t="shared" si="371"/>
        <v>0</v>
      </c>
      <c r="CZ456" s="2">
        <f t="shared" si="372"/>
        <v>0</v>
      </c>
      <c r="DA456" s="2"/>
      <c r="DB456" s="2"/>
      <c r="DC456" s="2" t="s">
        <v>3</v>
      </c>
      <c r="DD456" s="2" t="s">
        <v>3</v>
      </c>
      <c r="DE456" s="2" t="s">
        <v>3</v>
      </c>
      <c r="DF456" s="2" t="s">
        <v>3</v>
      </c>
      <c r="DG456" s="2" t="s">
        <v>3</v>
      </c>
      <c r="DH456" s="2" t="s">
        <v>3</v>
      </c>
      <c r="DI456" s="2" t="s">
        <v>3</v>
      </c>
      <c r="DJ456" s="2" t="s">
        <v>3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1003</v>
      </c>
      <c r="DV456" s="2" t="s">
        <v>108</v>
      </c>
      <c r="DW456" s="2" t="s">
        <v>108</v>
      </c>
      <c r="DX456" s="2">
        <v>1000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55992151</v>
      </c>
      <c r="EF456" s="2">
        <v>40</v>
      </c>
      <c r="EG456" s="2" t="s">
        <v>24</v>
      </c>
      <c r="EH456" s="2">
        <v>0</v>
      </c>
      <c r="EI456" s="2" t="s">
        <v>3</v>
      </c>
      <c r="EJ456" s="2">
        <v>2</v>
      </c>
      <c r="EK456" s="2">
        <v>67</v>
      </c>
      <c r="EL456" s="2" t="s">
        <v>79</v>
      </c>
      <c r="EM456" s="2" t="s">
        <v>80</v>
      </c>
      <c r="EN456" s="2"/>
      <c r="EO456" s="2" t="s">
        <v>3</v>
      </c>
      <c r="EP456" s="2"/>
      <c r="EQ456" s="2">
        <v>0</v>
      </c>
      <c r="ER456" s="2">
        <v>19510.68</v>
      </c>
      <c r="ES456" s="2">
        <v>19510.68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v>0</v>
      </c>
      <c r="FS456" s="2">
        <v>0</v>
      </c>
      <c r="FT456" s="2"/>
      <c r="FU456" s="2"/>
      <c r="FV456" s="2"/>
      <c r="FW456" s="2"/>
      <c r="FX456" s="2">
        <v>97</v>
      </c>
      <c r="FY456" s="2">
        <v>51</v>
      </c>
      <c r="FZ456" s="2"/>
      <c r="GA456" s="2" t="s">
        <v>3</v>
      </c>
      <c r="GB456" s="2"/>
      <c r="GC456" s="2"/>
      <c r="GD456" s="2">
        <v>1</v>
      </c>
      <c r="GE456" s="2"/>
      <c r="GF456" s="2">
        <v>-1201834950</v>
      </c>
      <c r="GG456" s="2">
        <v>2</v>
      </c>
      <c r="GH456" s="2">
        <v>1</v>
      </c>
      <c r="GI456" s="2">
        <v>-2</v>
      </c>
      <c r="GJ456" s="2">
        <v>0</v>
      </c>
      <c r="GK456" s="2">
        <v>0</v>
      </c>
      <c r="GL456" s="2">
        <f t="shared" si="373"/>
        <v>0</v>
      </c>
      <c r="GM456" s="2">
        <f t="shared" si="374"/>
        <v>9950.4500000000007</v>
      </c>
      <c r="GN456" s="2">
        <f t="shared" si="375"/>
        <v>0</v>
      </c>
      <c r="GO456" s="2">
        <f t="shared" si="376"/>
        <v>9950.4500000000007</v>
      </c>
      <c r="GP456" s="2">
        <f t="shared" si="377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378"/>
        <v>0</v>
      </c>
      <c r="GW456" s="2">
        <v>1</v>
      </c>
      <c r="GX456" s="2">
        <f t="shared" si="379"/>
        <v>0</v>
      </c>
      <c r="GY456" s="2"/>
      <c r="GZ456" s="2"/>
      <c r="HA456" s="2">
        <v>0</v>
      </c>
      <c r="HB456" s="2">
        <v>0</v>
      </c>
      <c r="HC456" s="2">
        <f t="shared" si="380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3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">
      <c r="A457">
        <v>18</v>
      </c>
      <c r="B457">
        <v>1</v>
      </c>
      <c r="C457">
        <v>350</v>
      </c>
      <c r="E457" t="s">
        <v>450</v>
      </c>
      <c r="F457" t="s">
        <v>451</v>
      </c>
      <c r="G457" t="s">
        <v>676</v>
      </c>
      <c r="H457" t="s">
        <v>108</v>
      </c>
      <c r="I457">
        <f>I455*J457</f>
        <v>0.51</v>
      </c>
      <c r="J457">
        <v>0.10200000000000001</v>
      </c>
      <c r="K457">
        <v>0.10199999999999999</v>
      </c>
      <c r="O457">
        <f t="shared" si="351"/>
        <v>44976.03</v>
      </c>
      <c r="P457">
        <f t="shared" si="381"/>
        <v>44976.03</v>
      </c>
      <c r="Q457">
        <f>(ROUND((ROUND(((ET457)*AV457*I457),2)*BB457),2)+ROUND((ROUND(((AE457-(EU457))*AV457*I457),2)*BS457),2))</f>
        <v>0</v>
      </c>
      <c r="R457">
        <f t="shared" si="352"/>
        <v>0</v>
      </c>
      <c r="S457">
        <f t="shared" si="353"/>
        <v>0</v>
      </c>
      <c r="T457">
        <f t="shared" si="354"/>
        <v>0</v>
      </c>
      <c r="U457">
        <f t="shared" si="355"/>
        <v>0</v>
      </c>
      <c r="V457">
        <f t="shared" si="356"/>
        <v>0</v>
      </c>
      <c r="W457">
        <f t="shared" si="357"/>
        <v>0</v>
      </c>
      <c r="X457">
        <f t="shared" si="358"/>
        <v>0</v>
      </c>
      <c r="Y457">
        <f t="shared" si="359"/>
        <v>0</v>
      </c>
      <c r="AA457">
        <v>56959431</v>
      </c>
      <c r="AB457">
        <f t="shared" si="360"/>
        <v>19510.68</v>
      </c>
      <c r="AC457">
        <f t="shared" si="361"/>
        <v>19510.68</v>
      </c>
      <c r="AD457">
        <f>ROUND((((ET457)-(EU457))+AE457),6)</f>
        <v>0</v>
      </c>
      <c r="AE457">
        <f>ROUND((EU457),6)</f>
        <v>0</v>
      </c>
      <c r="AF457">
        <f>ROUND((EV457),6)</f>
        <v>0</v>
      </c>
      <c r="AG457">
        <f t="shared" si="362"/>
        <v>0</v>
      </c>
      <c r="AH457">
        <f>(EW457)</f>
        <v>0</v>
      </c>
      <c r="AI457">
        <f>(EX457)</f>
        <v>0</v>
      </c>
      <c r="AJ457">
        <f t="shared" si="363"/>
        <v>0</v>
      </c>
      <c r="AK457">
        <v>19510.68</v>
      </c>
      <c r="AL457">
        <v>19510.68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97</v>
      </c>
      <c r="AU457">
        <v>51</v>
      </c>
      <c r="AV457">
        <v>1</v>
      </c>
      <c r="AW457">
        <v>1</v>
      </c>
      <c r="AZ457">
        <v>1</v>
      </c>
      <c r="BA457">
        <v>1</v>
      </c>
      <c r="BB457">
        <v>1</v>
      </c>
      <c r="BC457">
        <v>4.5199999999999996</v>
      </c>
      <c r="BD457" t="s">
        <v>3</v>
      </c>
      <c r="BE457" t="s">
        <v>3</v>
      </c>
      <c r="BF457" t="s">
        <v>3</v>
      </c>
      <c r="BG457" t="s">
        <v>3</v>
      </c>
      <c r="BH457">
        <v>3</v>
      </c>
      <c r="BI457">
        <v>2</v>
      </c>
      <c r="BJ457" t="s">
        <v>452</v>
      </c>
      <c r="BM457">
        <v>67</v>
      </c>
      <c r="BN457">
        <v>55992028</v>
      </c>
      <c r="BO457" t="s">
        <v>451</v>
      </c>
      <c r="BP457">
        <v>1</v>
      </c>
      <c r="BQ457">
        <v>40</v>
      </c>
      <c r="BR457">
        <v>0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 t="s">
        <v>3</v>
      </c>
      <c r="BZ457">
        <v>97</v>
      </c>
      <c r="CA457">
        <v>51</v>
      </c>
      <c r="CB457" t="s">
        <v>3</v>
      </c>
      <c r="CE457">
        <v>30</v>
      </c>
      <c r="CF457">
        <v>0</v>
      </c>
      <c r="CG457">
        <v>0</v>
      </c>
      <c r="CM457">
        <v>0</v>
      </c>
      <c r="CN457" t="s">
        <v>3</v>
      </c>
      <c r="CO457">
        <v>0</v>
      </c>
      <c r="CP457">
        <f t="shared" si="364"/>
        <v>44976.03</v>
      </c>
      <c r="CQ457">
        <f t="shared" si="382"/>
        <v>88188.27</v>
      </c>
      <c r="CR457">
        <f>(ROUND((ROUND(((ET457)*AV457*1),2)*BB457),2)+ROUND((ROUND(((AE457-(EU457))*AV457*1),2)*BS457),2))</f>
        <v>0</v>
      </c>
      <c r="CS457">
        <f t="shared" si="365"/>
        <v>0</v>
      </c>
      <c r="CT457">
        <f t="shared" si="366"/>
        <v>0</v>
      </c>
      <c r="CU457">
        <f t="shared" si="367"/>
        <v>0</v>
      </c>
      <c r="CV457">
        <f t="shared" si="368"/>
        <v>0</v>
      </c>
      <c r="CW457">
        <f t="shared" si="369"/>
        <v>0</v>
      </c>
      <c r="CX457">
        <f t="shared" si="370"/>
        <v>0</v>
      </c>
      <c r="CY457">
        <f t="shared" si="371"/>
        <v>0</v>
      </c>
      <c r="CZ457">
        <f t="shared" si="372"/>
        <v>0</v>
      </c>
      <c r="DC457" t="s">
        <v>3</v>
      </c>
      <c r="DD457" t="s">
        <v>3</v>
      </c>
      <c r="DE457" t="s">
        <v>3</v>
      </c>
      <c r="DF457" t="s">
        <v>3</v>
      </c>
      <c r="DG457" t="s">
        <v>3</v>
      </c>
      <c r="DH457" t="s">
        <v>3</v>
      </c>
      <c r="DI457" t="s">
        <v>3</v>
      </c>
      <c r="DJ457" t="s">
        <v>3</v>
      </c>
      <c r="DK457" t="s">
        <v>3</v>
      </c>
      <c r="DL457" t="s">
        <v>3</v>
      </c>
      <c r="DM457" t="s">
        <v>3</v>
      </c>
      <c r="DN457">
        <v>0</v>
      </c>
      <c r="DO457">
        <v>0</v>
      </c>
      <c r="DP457">
        <v>1</v>
      </c>
      <c r="DQ457">
        <v>1</v>
      </c>
      <c r="DU457">
        <v>1003</v>
      </c>
      <c r="DV457" t="s">
        <v>108</v>
      </c>
      <c r="DW457" t="s">
        <v>108</v>
      </c>
      <c r="DX457">
        <v>1000</v>
      </c>
      <c r="DZ457" t="s">
        <v>3</v>
      </c>
      <c r="EA457" t="s">
        <v>3</v>
      </c>
      <c r="EB457" t="s">
        <v>3</v>
      </c>
      <c r="EC457" t="s">
        <v>3</v>
      </c>
      <c r="EE457">
        <v>55992151</v>
      </c>
      <c r="EF457">
        <v>40</v>
      </c>
      <c r="EG457" t="s">
        <v>24</v>
      </c>
      <c r="EH457">
        <v>0</v>
      </c>
      <c r="EI457" t="s">
        <v>3</v>
      </c>
      <c r="EJ457">
        <v>2</v>
      </c>
      <c r="EK457">
        <v>67</v>
      </c>
      <c r="EL457" t="s">
        <v>79</v>
      </c>
      <c r="EM457" t="s">
        <v>80</v>
      </c>
      <c r="EO457" t="s">
        <v>3</v>
      </c>
      <c r="EQ457">
        <v>0</v>
      </c>
      <c r="ER457">
        <v>19510.68</v>
      </c>
      <c r="ES457">
        <v>19510.68</v>
      </c>
      <c r="ET457">
        <v>0</v>
      </c>
      <c r="EU457">
        <v>0</v>
      </c>
      <c r="EV457">
        <v>0</v>
      </c>
      <c r="EW457">
        <v>0</v>
      </c>
      <c r="EX457">
        <v>0</v>
      </c>
      <c r="FQ457">
        <v>0</v>
      </c>
      <c r="FR457">
        <v>0</v>
      </c>
      <c r="FS457">
        <v>0</v>
      </c>
      <c r="FX457">
        <v>97</v>
      </c>
      <c r="FY457">
        <v>51</v>
      </c>
      <c r="GA457" t="s">
        <v>3</v>
      </c>
      <c r="GD457">
        <v>1</v>
      </c>
      <c r="GF457">
        <v>-1201834950</v>
      </c>
      <c r="GG457">
        <v>2</v>
      </c>
      <c r="GH457">
        <v>1</v>
      </c>
      <c r="GI457">
        <v>2</v>
      </c>
      <c r="GJ457">
        <v>0</v>
      </c>
      <c r="GK457">
        <v>0</v>
      </c>
      <c r="GL457">
        <f t="shared" si="373"/>
        <v>0</v>
      </c>
      <c r="GM457">
        <f t="shared" si="374"/>
        <v>44976.03</v>
      </c>
      <c r="GN457">
        <f t="shared" si="375"/>
        <v>0</v>
      </c>
      <c r="GO457">
        <f t="shared" si="376"/>
        <v>44976.03</v>
      </c>
      <c r="GP457">
        <f t="shared" si="377"/>
        <v>0</v>
      </c>
      <c r="GR457">
        <v>0</v>
      </c>
      <c r="GS457">
        <v>3</v>
      </c>
      <c r="GT457">
        <v>0</v>
      </c>
      <c r="GU457" t="s">
        <v>3</v>
      </c>
      <c r="GV457">
        <f t="shared" si="378"/>
        <v>0</v>
      </c>
      <c r="GW457">
        <v>1</v>
      </c>
      <c r="GX457">
        <f t="shared" si="379"/>
        <v>0</v>
      </c>
      <c r="HA457">
        <v>0</v>
      </c>
      <c r="HB457">
        <v>0</v>
      </c>
      <c r="HC457">
        <f t="shared" si="380"/>
        <v>0</v>
      </c>
      <c r="HE457" t="s">
        <v>3</v>
      </c>
      <c r="HF457" t="s">
        <v>3</v>
      </c>
      <c r="HM457" t="s">
        <v>3</v>
      </c>
      <c r="HN457" t="s">
        <v>3</v>
      </c>
      <c r="HO457" t="s">
        <v>3</v>
      </c>
      <c r="HP457" t="s">
        <v>3</v>
      </c>
      <c r="HQ457" t="s">
        <v>3</v>
      </c>
      <c r="HS457">
        <v>0</v>
      </c>
      <c r="IK457">
        <v>0</v>
      </c>
    </row>
    <row r="459" spans="1:255" x14ac:dyDescent="0.2">
      <c r="A459" s="3">
        <v>51</v>
      </c>
      <c r="B459" s="3">
        <f>B434</f>
        <v>1</v>
      </c>
      <c r="C459" s="3">
        <f>A434</f>
        <v>4</v>
      </c>
      <c r="D459" s="3">
        <f>ROW(A434)</f>
        <v>434</v>
      </c>
      <c r="E459" s="3"/>
      <c r="F459" s="3" t="str">
        <f>IF(F434&lt;&gt;"",F434,"")</f>
        <v>Новый раздел</v>
      </c>
      <c r="G459" s="3" t="str">
        <f>IF(G434&lt;&gt;"",G434,"")</f>
        <v>Автоматизация систем кондиционирования</v>
      </c>
      <c r="H459" s="3">
        <v>0</v>
      </c>
      <c r="I459" s="3"/>
      <c r="J459" s="3"/>
      <c r="K459" s="3"/>
      <c r="L459" s="3"/>
      <c r="M459" s="3"/>
      <c r="N459" s="3"/>
      <c r="O459" s="3">
        <f t="shared" ref="O459:T459" si="383">ROUND(AB459,2)</f>
        <v>36187.279999999999</v>
      </c>
      <c r="P459" s="3">
        <f t="shared" si="383"/>
        <v>32924</v>
      </c>
      <c r="Q459" s="3">
        <f t="shared" si="383"/>
        <v>1236</v>
      </c>
      <c r="R459" s="3">
        <f t="shared" si="383"/>
        <v>150.07</v>
      </c>
      <c r="S459" s="3">
        <f t="shared" si="383"/>
        <v>2027.28</v>
      </c>
      <c r="T459" s="3">
        <f t="shared" si="383"/>
        <v>0</v>
      </c>
      <c r="U459" s="3">
        <f>AH459</f>
        <v>163.59898499999997</v>
      </c>
      <c r="V459" s="3">
        <f>AI459</f>
        <v>0</v>
      </c>
      <c r="W459" s="3">
        <f>ROUND(AJ459,2)</f>
        <v>0</v>
      </c>
      <c r="X459" s="3">
        <f>ROUND(AK459,2)</f>
        <v>2070.9699999999998</v>
      </c>
      <c r="Y459" s="3">
        <f>ROUND(AL459,2)</f>
        <v>1081.1300000000001</v>
      </c>
      <c r="Z459" s="3"/>
      <c r="AA459" s="3"/>
      <c r="AB459" s="3">
        <f>ROUND(SUMIF(AA438:AA457,"=56959434",O438:O457),2)</f>
        <v>36187.279999999999</v>
      </c>
      <c r="AC459" s="3">
        <f>ROUND(SUMIF(AA438:AA457,"=56959434",P438:P457),2)</f>
        <v>32924</v>
      </c>
      <c r="AD459" s="3">
        <f>ROUND(SUMIF(AA438:AA457,"=56959434",Q438:Q457),2)</f>
        <v>1236</v>
      </c>
      <c r="AE459" s="3">
        <f>ROUND(SUMIF(AA438:AA457,"=56959434",R438:R457),2)</f>
        <v>150.07</v>
      </c>
      <c r="AF459" s="3">
        <f>ROUND(SUMIF(AA438:AA457,"=56959434",S438:S457),2)</f>
        <v>2027.28</v>
      </c>
      <c r="AG459" s="3">
        <f>ROUND(SUMIF(AA438:AA457,"=56959434",T438:T457),2)</f>
        <v>0</v>
      </c>
      <c r="AH459" s="3">
        <f>SUMIF(AA438:AA457,"=56959434",U438:U457)</f>
        <v>163.59898499999997</v>
      </c>
      <c r="AI459" s="3">
        <f>SUMIF(AA438:AA457,"=56959434",V438:V457)</f>
        <v>0</v>
      </c>
      <c r="AJ459" s="3">
        <f>ROUND(SUMIF(AA438:AA457,"=56959434",W438:W457),2)</f>
        <v>0</v>
      </c>
      <c r="AK459" s="3">
        <f>ROUND(SUMIF(AA438:AA457,"=56959434",X438:X457),2)</f>
        <v>2070.9699999999998</v>
      </c>
      <c r="AL459" s="3">
        <f>ROUND(SUMIF(AA438:AA457,"=56959434",Y438:Y457),2)</f>
        <v>1081.1300000000001</v>
      </c>
      <c r="AM459" s="3"/>
      <c r="AN459" s="3"/>
      <c r="AO459" s="3">
        <f t="shared" ref="AO459:BD459" si="384">ROUND(BX459,2)</f>
        <v>0</v>
      </c>
      <c r="AP459" s="3">
        <f t="shared" si="384"/>
        <v>17943.099999999999</v>
      </c>
      <c r="AQ459" s="3">
        <f t="shared" si="384"/>
        <v>0</v>
      </c>
      <c r="AR459" s="3">
        <f t="shared" si="384"/>
        <v>39339.379999999997</v>
      </c>
      <c r="AS459" s="3">
        <f t="shared" si="384"/>
        <v>0</v>
      </c>
      <c r="AT459" s="3">
        <f t="shared" si="384"/>
        <v>21396.28</v>
      </c>
      <c r="AU459" s="3">
        <f t="shared" si="384"/>
        <v>0</v>
      </c>
      <c r="AV459" s="3">
        <f t="shared" si="384"/>
        <v>32924</v>
      </c>
      <c r="AW459" s="3">
        <f t="shared" si="384"/>
        <v>14980.9</v>
      </c>
      <c r="AX459" s="3">
        <f t="shared" si="384"/>
        <v>0</v>
      </c>
      <c r="AY459" s="3">
        <f t="shared" si="384"/>
        <v>14980.9</v>
      </c>
      <c r="AZ459" s="3">
        <f t="shared" si="384"/>
        <v>17943.099999999999</v>
      </c>
      <c r="BA459" s="3">
        <f t="shared" si="384"/>
        <v>0</v>
      </c>
      <c r="BB459" s="3">
        <f t="shared" si="384"/>
        <v>0</v>
      </c>
      <c r="BC459" s="3">
        <f t="shared" si="384"/>
        <v>0</v>
      </c>
      <c r="BD459" s="3">
        <f t="shared" si="384"/>
        <v>0</v>
      </c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>
        <f>ROUND(SUMIF(AA438:AA457,"=56959434",FQ438:FQ457),2)</f>
        <v>0</v>
      </c>
      <c r="BY459" s="3">
        <f>ROUND(SUMIF(AA438:AA457,"=56959434",FR438:FR457),2)</f>
        <v>17943.099999999999</v>
      </c>
      <c r="BZ459" s="3">
        <f>ROUND(SUMIF(AA438:AA457,"=56959434",GL438:GL457),2)</f>
        <v>0</v>
      </c>
      <c r="CA459" s="3">
        <f>ROUND(SUMIF(AA438:AA457,"=56959434",GM438:GM457),2)</f>
        <v>39339.379999999997</v>
      </c>
      <c r="CB459" s="3">
        <f>ROUND(SUMIF(AA438:AA457,"=56959434",GN438:GN457),2)</f>
        <v>0</v>
      </c>
      <c r="CC459" s="3">
        <f>ROUND(SUMIF(AA438:AA457,"=56959434",GO438:GO457),2)</f>
        <v>21396.28</v>
      </c>
      <c r="CD459" s="3">
        <f>ROUND(SUMIF(AA438:AA457,"=56959434",GP438:GP457),2)</f>
        <v>0</v>
      </c>
      <c r="CE459" s="3">
        <f>AC459-BX459</f>
        <v>32924</v>
      </c>
      <c r="CF459" s="3">
        <f>AC459-BY459</f>
        <v>14980.900000000001</v>
      </c>
      <c r="CG459" s="3">
        <f>BX459-BZ459</f>
        <v>0</v>
      </c>
      <c r="CH459" s="3">
        <f>AC459-BX459-BY459+BZ459</f>
        <v>14980.900000000001</v>
      </c>
      <c r="CI459" s="3">
        <f>BY459-BZ459</f>
        <v>17943.099999999999</v>
      </c>
      <c r="CJ459" s="3">
        <f>ROUND(SUMIF(AA438:AA457,"=56959434",GX438:GX457),2)</f>
        <v>0</v>
      </c>
      <c r="CK459" s="3">
        <f>ROUND(SUMIF(AA438:AA457,"=56959434",GY438:GY457),2)</f>
        <v>0</v>
      </c>
      <c r="CL459" s="3">
        <f>ROUND(SUMIF(AA438:AA457,"=56959434",GZ438:GZ457),2)</f>
        <v>0</v>
      </c>
      <c r="CM459" s="3">
        <f>ROUND(SUMIF(AA438:AA457,"=56959434",HD438:HD457),2)</f>
        <v>0</v>
      </c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4">
        <f t="shared" ref="DG459:DL459" si="385">ROUND(DT459,2)</f>
        <v>277670.37</v>
      </c>
      <c r="DH459" s="4">
        <f t="shared" si="385"/>
        <v>147373.15</v>
      </c>
      <c r="DI459" s="4">
        <f t="shared" si="385"/>
        <v>18817.099999999999</v>
      </c>
      <c r="DJ459" s="4">
        <f t="shared" si="385"/>
        <v>8252.35</v>
      </c>
      <c r="DK459" s="4">
        <f t="shared" si="385"/>
        <v>111480.12</v>
      </c>
      <c r="DL459" s="4">
        <f t="shared" si="385"/>
        <v>0</v>
      </c>
      <c r="DM459" s="4">
        <f>DZ459</f>
        <v>163.59898499999997</v>
      </c>
      <c r="DN459" s="4">
        <f>EA459</f>
        <v>0</v>
      </c>
      <c r="DO459" s="4">
        <f>ROUND(EB459,2)</f>
        <v>0</v>
      </c>
      <c r="DP459" s="4">
        <f>ROUND(EC459,2)</f>
        <v>113882.23</v>
      </c>
      <c r="DQ459" s="4">
        <f>ROUND(ED459,2)</f>
        <v>59450.51</v>
      </c>
      <c r="DR459" s="4"/>
      <c r="DS459" s="4"/>
      <c r="DT459" s="4">
        <f>ROUND(SUMIF(AA438:AA457,"=56959431",O438:O457),2)</f>
        <v>277670.37</v>
      </c>
      <c r="DU459" s="4">
        <f>ROUND(SUMIF(AA438:AA457,"=56959431",P438:P457),2)</f>
        <v>147373.15</v>
      </c>
      <c r="DV459" s="4">
        <f>ROUND(SUMIF(AA438:AA457,"=56959431",Q438:Q457),2)</f>
        <v>18817.099999999999</v>
      </c>
      <c r="DW459" s="4">
        <f>ROUND(SUMIF(AA438:AA457,"=56959431",R438:R457),2)</f>
        <v>8252.35</v>
      </c>
      <c r="DX459" s="4">
        <f>ROUND(SUMIF(AA438:AA457,"=56959431",S438:S457),2)</f>
        <v>111480.12</v>
      </c>
      <c r="DY459" s="4">
        <f>ROUND(SUMIF(AA438:AA457,"=56959431",T438:T457),2)</f>
        <v>0</v>
      </c>
      <c r="DZ459" s="4">
        <f>SUMIF(AA438:AA457,"=56959431",U438:U457)</f>
        <v>163.59898499999997</v>
      </c>
      <c r="EA459" s="4">
        <f>SUMIF(AA438:AA457,"=56959431",V438:V457)</f>
        <v>0</v>
      </c>
      <c r="EB459" s="4">
        <f>ROUND(SUMIF(AA438:AA457,"=56959431",W438:W457),2)</f>
        <v>0</v>
      </c>
      <c r="EC459" s="4">
        <f>ROUND(SUMIF(AA438:AA457,"=56959431",X438:X457),2)</f>
        <v>113882.23</v>
      </c>
      <c r="ED459" s="4">
        <f>ROUND(SUMIF(AA438:AA457,"=56959431",Y438:Y457),2)</f>
        <v>59450.51</v>
      </c>
      <c r="EE459" s="4"/>
      <c r="EF459" s="4"/>
      <c r="EG459" s="4">
        <f t="shared" ref="EG459:EV459" si="386">ROUND(FP459,2)</f>
        <v>0</v>
      </c>
      <c r="EH459" s="4">
        <f t="shared" si="386"/>
        <v>72933.98</v>
      </c>
      <c r="EI459" s="4">
        <f t="shared" si="386"/>
        <v>0</v>
      </c>
      <c r="EJ459" s="4">
        <f t="shared" si="386"/>
        <v>451003.11</v>
      </c>
      <c r="EK459" s="4">
        <f t="shared" si="386"/>
        <v>0</v>
      </c>
      <c r="EL459" s="4">
        <f t="shared" si="386"/>
        <v>378069.13</v>
      </c>
      <c r="EM459" s="4">
        <f t="shared" si="386"/>
        <v>0</v>
      </c>
      <c r="EN459" s="4">
        <f t="shared" si="386"/>
        <v>147373.15</v>
      </c>
      <c r="EO459" s="4">
        <f t="shared" si="386"/>
        <v>74439.17</v>
      </c>
      <c r="EP459" s="4">
        <f t="shared" si="386"/>
        <v>0</v>
      </c>
      <c r="EQ459" s="4">
        <f t="shared" si="386"/>
        <v>74439.17</v>
      </c>
      <c r="ER459" s="4">
        <f t="shared" si="386"/>
        <v>72933.98</v>
      </c>
      <c r="ES459" s="4">
        <f t="shared" si="386"/>
        <v>0</v>
      </c>
      <c r="ET459" s="4">
        <f t="shared" si="386"/>
        <v>0</v>
      </c>
      <c r="EU459" s="4">
        <f t="shared" si="386"/>
        <v>0</v>
      </c>
      <c r="EV459" s="4">
        <f t="shared" si="386"/>
        <v>0</v>
      </c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>
        <f>ROUND(SUMIF(AA438:AA457,"=56959431",FQ438:FQ457),2)</f>
        <v>0</v>
      </c>
      <c r="FQ459" s="4">
        <f>ROUND(SUMIF(AA438:AA457,"=56959431",FR438:FR457),2)</f>
        <v>72933.98</v>
      </c>
      <c r="FR459" s="4">
        <f>ROUND(SUMIF(AA438:AA457,"=56959431",GL438:GL457),2)</f>
        <v>0</v>
      </c>
      <c r="FS459" s="4">
        <f>ROUND(SUMIF(AA438:AA457,"=56959431",GM438:GM457),2)</f>
        <v>451003.11</v>
      </c>
      <c r="FT459" s="4">
        <f>ROUND(SUMIF(AA438:AA457,"=56959431",GN438:GN457),2)</f>
        <v>0</v>
      </c>
      <c r="FU459" s="4">
        <f>ROUND(SUMIF(AA438:AA457,"=56959431",GO438:GO457),2)</f>
        <v>378069.13</v>
      </c>
      <c r="FV459" s="4">
        <f>ROUND(SUMIF(AA438:AA457,"=56959431",GP438:GP457),2)</f>
        <v>0</v>
      </c>
      <c r="FW459" s="4">
        <f>DU459-FP459</f>
        <v>147373.15</v>
      </c>
      <c r="FX459" s="4">
        <f>DU459-FQ459</f>
        <v>74439.17</v>
      </c>
      <c r="FY459" s="4">
        <f>FP459-FR459</f>
        <v>0</v>
      </c>
      <c r="FZ459" s="4">
        <f>DU459-FP459-FQ459+FR459</f>
        <v>74439.17</v>
      </c>
      <c r="GA459" s="4">
        <f>FQ459-FR459</f>
        <v>72933.98</v>
      </c>
      <c r="GB459" s="4">
        <f>ROUND(SUMIF(AA438:AA457,"=56959431",GX438:GX457),2)</f>
        <v>0</v>
      </c>
      <c r="GC459" s="4">
        <f>ROUND(SUMIF(AA438:AA457,"=56959431",GY438:GY457),2)</f>
        <v>0</v>
      </c>
      <c r="GD459" s="4">
        <f>ROUND(SUMIF(AA438:AA457,"=56959431",GZ438:GZ457),2)</f>
        <v>0</v>
      </c>
      <c r="GE459" s="4">
        <f>ROUND(SUMIF(AA438:AA457,"=56959431",HD438:HD457),2)</f>
        <v>0</v>
      </c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>
        <v>0</v>
      </c>
    </row>
    <row r="461" spans="1:255" x14ac:dyDescent="0.2">
      <c r="A461" s="5">
        <v>50</v>
      </c>
      <c r="B461" s="5">
        <v>0</v>
      </c>
      <c r="C461" s="5">
        <v>0</v>
      </c>
      <c r="D461" s="5">
        <v>1</v>
      </c>
      <c r="E461" s="5">
        <v>201</v>
      </c>
      <c r="F461" s="5">
        <f>ROUND(Source!O459,O461)</f>
        <v>36187.279999999999</v>
      </c>
      <c r="G461" s="5" t="s">
        <v>118</v>
      </c>
      <c r="H461" s="5" t="s">
        <v>119</v>
      </c>
      <c r="I461" s="5"/>
      <c r="J461" s="5"/>
      <c r="K461" s="5">
        <v>201</v>
      </c>
      <c r="L461" s="5">
        <v>1</v>
      </c>
      <c r="M461" s="5">
        <v>3</v>
      </c>
      <c r="N461" s="5" t="s">
        <v>3</v>
      </c>
      <c r="O461" s="5">
        <v>2</v>
      </c>
      <c r="P461" s="5">
        <f>ROUND(Source!DG459,O461)</f>
        <v>277670.37</v>
      </c>
      <c r="Q461" s="5"/>
      <c r="R461" s="5"/>
      <c r="S461" s="5"/>
      <c r="T461" s="5"/>
      <c r="U461" s="5"/>
      <c r="V461" s="5"/>
      <c r="W461" s="5">
        <v>36187.279999999999</v>
      </c>
      <c r="X461" s="5">
        <v>1</v>
      </c>
      <c r="Y461" s="5">
        <v>36187.279999999999</v>
      </c>
      <c r="Z461" s="5">
        <v>277670.37</v>
      </c>
      <c r="AA461" s="5">
        <v>1</v>
      </c>
      <c r="AB461" s="5">
        <v>277670.37</v>
      </c>
    </row>
    <row r="462" spans="1:255" x14ac:dyDescent="0.2">
      <c r="A462" s="5">
        <v>50</v>
      </c>
      <c r="B462" s="5">
        <v>0</v>
      </c>
      <c r="C462" s="5">
        <v>0</v>
      </c>
      <c r="D462" s="5">
        <v>1</v>
      </c>
      <c r="E462" s="5">
        <v>202</v>
      </c>
      <c r="F462" s="5">
        <f>ROUND(Source!P459,O462)</f>
        <v>32924</v>
      </c>
      <c r="G462" s="5" t="s">
        <v>120</v>
      </c>
      <c r="H462" s="5" t="s">
        <v>121</v>
      </c>
      <c r="I462" s="5"/>
      <c r="J462" s="5"/>
      <c r="K462" s="5">
        <v>202</v>
      </c>
      <c r="L462" s="5">
        <v>2</v>
      </c>
      <c r="M462" s="5">
        <v>3</v>
      </c>
      <c r="N462" s="5" t="s">
        <v>3</v>
      </c>
      <c r="O462" s="5">
        <v>2</v>
      </c>
      <c r="P462" s="5">
        <f>ROUND(Source!DH459,O462)</f>
        <v>147373.15</v>
      </c>
      <c r="Q462" s="5"/>
      <c r="R462" s="5"/>
      <c r="S462" s="5"/>
      <c r="T462" s="5"/>
      <c r="U462" s="5"/>
      <c r="V462" s="5"/>
      <c r="W462" s="5">
        <v>32924</v>
      </c>
      <c r="X462" s="5">
        <v>1</v>
      </c>
      <c r="Y462" s="5">
        <v>32924</v>
      </c>
      <c r="Z462" s="5">
        <v>147373.15</v>
      </c>
      <c r="AA462" s="5">
        <v>1</v>
      </c>
      <c r="AB462" s="5">
        <v>147373.15</v>
      </c>
    </row>
    <row r="463" spans="1:255" x14ac:dyDescent="0.2">
      <c r="A463" s="5">
        <v>50</v>
      </c>
      <c r="B463" s="5">
        <v>0</v>
      </c>
      <c r="C463" s="5">
        <v>0</v>
      </c>
      <c r="D463" s="5">
        <v>1</v>
      </c>
      <c r="E463" s="5">
        <v>222</v>
      </c>
      <c r="F463" s="5">
        <f>ROUND(Source!AO459,O463)</f>
        <v>0</v>
      </c>
      <c r="G463" s="5" t="s">
        <v>122</v>
      </c>
      <c r="H463" s="5" t="s">
        <v>123</v>
      </c>
      <c r="I463" s="5"/>
      <c r="J463" s="5"/>
      <c r="K463" s="5">
        <v>222</v>
      </c>
      <c r="L463" s="5">
        <v>3</v>
      </c>
      <c r="M463" s="5">
        <v>3</v>
      </c>
      <c r="N463" s="5" t="s">
        <v>3</v>
      </c>
      <c r="O463" s="5">
        <v>2</v>
      </c>
      <c r="P463" s="5">
        <f>ROUND(Source!EG459,O463)</f>
        <v>0</v>
      </c>
      <c r="Q463" s="5"/>
      <c r="R463" s="5"/>
      <c r="S463" s="5"/>
      <c r="T463" s="5"/>
      <c r="U463" s="5"/>
      <c r="V463" s="5"/>
      <c r="W463" s="5">
        <v>0</v>
      </c>
      <c r="X463" s="5">
        <v>1</v>
      </c>
      <c r="Y463" s="5">
        <v>0</v>
      </c>
      <c r="Z463" s="5">
        <v>0</v>
      </c>
      <c r="AA463" s="5">
        <v>1</v>
      </c>
      <c r="AB463" s="5">
        <v>0</v>
      </c>
    </row>
    <row r="464" spans="1:255" x14ac:dyDescent="0.2">
      <c r="A464" s="5">
        <v>50</v>
      </c>
      <c r="B464" s="5">
        <v>0</v>
      </c>
      <c r="C464" s="5">
        <v>0</v>
      </c>
      <c r="D464" s="5">
        <v>1</v>
      </c>
      <c r="E464" s="5">
        <v>225</v>
      </c>
      <c r="F464" s="5">
        <f>ROUND(Source!AV459,O464)</f>
        <v>32924</v>
      </c>
      <c r="G464" s="5" t="s">
        <v>124</v>
      </c>
      <c r="H464" s="5" t="s">
        <v>125</v>
      </c>
      <c r="I464" s="5"/>
      <c r="J464" s="5"/>
      <c r="K464" s="5">
        <v>225</v>
      </c>
      <c r="L464" s="5">
        <v>4</v>
      </c>
      <c r="M464" s="5">
        <v>3</v>
      </c>
      <c r="N464" s="5" t="s">
        <v>3</v>
      </c>
      <c r="O464" s="5">
        <v>2</v>
      </c>
      <c r="P464" s="5">
        <f>ROUND(Source!EN459,O464)</f>
        <v>147373.15</v>
      </c>
      <c r="Q464" s="5"/>
      <c r="R464" s="5"/>
      <c r="S464" s="5"/>
      <c r="T464" s="5"/>
      <c r="U464" s="5"/>
      <c r="V464" s="5"/>
      <c r="W464" s="5">
        <v>32924</v>
      </c>
      <c r="X464" s="5">
        <v>1</v>
      </c>
      <c r="Y464" s="5">
        <v>32924</v>
      </c>
      <c r="Z464" s="5">
        <v>147373.15</v>
      </c>
      <c r="AA464" s="5">
        <v>1</v>
      </c>
      <c r="AB464" s="5">
        <v>147373.15</v>
      </c>
    </row>
    <row r="465" spans="1:28" x14ac:dyDescent="0.2">
      <c r="A465" s="5">
        <v>50</v>
      </c>
      <c r="B465" s="5">
        <v>0</v>
      </c>
      <c r="C465" s="5">
        <v>0</v>
      </c>
      <c r="D465" s="5">
        <v>1</v>
      </c>
      <c r="E465" s="5">
        <v>226</v>
      </c>
      <c r="F465" s="5">
        <f>ROUND(Source!AW459,O465)</f>
        <v>14980.9</v>
      </c>
      <c r="G465" s="5" t="s">
        <v>126</v>
      </c>
      <c r="H465" s="5" t="s">
        <v>127</v>
      </c>
      <c r="I465" s="5"/>
      <c r="J465" s="5"/>
      <c r="K465" s="5">
        <v>226</v>
      </c>
      <c r="L465" s="5">
        <v>5</v>
      </c>
      <c r="M465" s="5">
        <v>3</v>
      </c>
      <c r="N465" s="5" t="s">
        <v>3</v>
      </c>
      <c r="O465" s="5">
        <v>2</v>
      </c>
      <c r="P465" s="5">
        <f>ROUND(Source!EO459,O465)</f>
        <v>74439.17</v>
      </c>
      <c r="Q465" s="5"/>
      <c r="R465" s="5"/>
      <c r="S465" s="5"/>
      <c r="T465" s="5"/>
      <c r="U465" s="5"/>
      <c r="V465" s="5"/>
      <c r="W465" s="5">
        <v>14980.9</v>
      </c>
      <c r="X465" s="5">
        <v>1</v>
      </c>
      <c r="Y465" s="5">
        <v>14980.9</v>
      </c>
      <c r="Z465" s="5">
        <v>74439.17</v>
      </c>
      <c r="AA465" s="5">
        <v>1</v>
      </c>
      <c r="AB465" s="5">
        <v>74439.17</v>
      </c>
    </row>
    <row r="466" spans="1:28" x14ac:dyDescent="0.2">
      <c r="A466" s="5">
        <v>50</v>
      </c>
      <c r="B466" s="5">
        <v>0</v>
      </c>
      <c r="C466" s="5">
        <v>0</v>
      </c>
      <c r="D466" s="5">
        <v>1</v>
      </c>
      <c r="E466" s="5">
        <v>227</v>
      </c>
      <c r="F466" s="5">
        <f>ROUND(Source!AX459,O466)</f>
        <v>0</v>
      </c>
      <c r="G466" s="5" t="s">
        <v>128</v>
      </c>
      <c r="H466" s="5" t="s">
        <v>129</v>
      </c>
      <c r="I466" s="5"/>
      <c r="J466" s="5"/>
      <c r="K466" s="5">
        <v>227</v>
      </c>
      <c r="L466" s="5">
        <v>6</v>
      </c>
      <c r="M466" s="5">
        <v>3</v>
      </c>
      <c r="N466" s="5" t="s">
        <v>3</v>
      </c>
      <c r="O466" s="5">
        <v>2</v>
      </c>
      <c r="P466" s="5">
        <f>ROUND(Source!EP459,O466)</f>
        <v>0</v>
      </c>
      <c r="Q466" s="5"/>
      <c r="R466" s="5"/>
      <c r="S466" s="5"/>
      <c r="T466" s="5"/>
      <c r="U466" s="5"/>
      <c r="V466" s="5"/>
      <c r="W466" s="5">
        <v>0</v>
      </c>
      <c r="X466" s="5">
        <v>1</v>
      </c>
      <c r="Y466" s="5">
        <v>0</v>
      </c>
      <c r="Z466" s="5">
        <v>0</v>
      </c>
      <c r="AA466" s="5">
        <v>1</v>
      </c>
      <c r="AB466" s="5">
        <v>0</v>
      </c>
    </row>
    <row r="467" spans="1:28" x14ac:dyDescent="0.2">
      <c r="A467" s="5">
        <v>50</v>
      </c>
      <c r="B467" s="5">
        <v>0</v>
      </c>
      <c r="C467" s="5">
        <v>0</v>
      </c>
      <c r="D467" s="5">
        <v>1</v>
      </c>
      <c r="E467" s="5">
        <v>228</v>
      </c>
      <c r="F467" s="5">
        <f>ROUND(Source!AY459,O467)</f>
        <v>14980.9</v>
      </c>
      <c r="G467" s="5" t="s">
        <v>130</v>
      </c>
      <c r="H467" s="5" t="s">
        <v>131</v>
      </c>
      <c r="I467" s="5"/>
      <c r="J467" s="5"/>
      <c r="K467" s="5">
        <v>228</v>
      </c>
      <c r="L467" s="5">
        <v>7</v>
      </c>
      <c r="M467" s="5">
        <v>3</v>
      </c>
      <c r="N467" s="5" t="s">
        <v>3</v>
      </c>
      <c r="O467" s="5">
        <v>2</v>
      </c>
      <c r="P467" s="5">
        <f>ROUND(Source!EQ459,O467)</f>
        <v>74439.17</v>
      </c>
      <c r="Q467" s="5"/>
      <c r="R467" s="5"/>
      <c r="S467" s="5"/>
      <c r="T467" s="5"/>
      <c r="U467" s="5"/>
      <c r="V467" s="5"/>
      <c r="W467" s="5">
        <v>14980.9</v>
      </c>
      <c r="X467" s="5">
        <v>1</v>
      </c>
      <c r="Y467" s="5">
        <v>14980.9</v>
      </c>
      <c r="Z467" s="5">
        <v>74439.17</v>
      </c>
      <c r="AA467" s="5">
        <v>1</v>
      </c>
      <c r="AB467" s="5">
        <v>74439.17</v>
      </c>
    </row>
    <row r="468" spans="1:28" x14ac:dyDescent="0.2">
      <c r="A468" s="5">
        <v>50</v>
      </c>
      <c r="B468" s="5">
        <v>0</v>
      </c>
      <c r="C468" s="5">
        <v>0</v>
      </c>
      <c r="D468" s="5">
        <v>1</v>
      </c>
      <c r="E468" s="5">
        <v>216</v>
      </c>
      <c r="F468" s="5">
        <f>ROUND(Source!AP459,O468)</f>
        <v>17943.099999999999</v>
      </c>
      <c r="G468" s="5" t="s">
        <v>132</v>
      </c>
      <c r="H468" s="5" t="s">
        <v>133</v>
      </c>
      <c r="I468" s="5"/>
      <c r="J468" s="5"/>
      <c r="K468" s="5">
        <v>216</v>
      </c>
      <c r="L468" s="5">
        <v>8</v>
      </c>
      <c r="M468" s="5">
        <v>3</v>
      </c>
      <c r="N468" s="5" t="s">
        <v>3</v>
      </c>
      <c r="O468" s="5">
        <v>2</v>
      </c>
      <c r="P468" s="5">
        <f>ROUND(Source!EH459,O468)</f>
        <v>72933.98</v>
      </c>
      <c r="Q468" s="5"/>
      <c r="R468" s="5"/>
      <c r="S468" s="5"/>
      <c r="T468" s="5"/>
      <c r="U468" s="5"/>
      <c r="V468" s="5"/>
      <c r="W468" s="5">
        <v>17943.099999999999</v>
      </c>
      <c r="X468" s="5">
        <v>1</v>
      </c>
      <c r="Y468" s="5">
        <v>17943.099999999999</v>
      </c>
      <c r="Z468" s="5">
        <v>72933.98</v>
      </c>
      <c r="AA468" s="5">
        <v>1</v>
      </c>
      <c r="AB468" s="5">
        <v>72933.98</v>
      </c>
    </row>
    <row r="469" spans="1:28" x14ac:dyDescent="0.2">
      <c r="A469" s="5">
        <v>50</v>
      </c>
      <c r="B469" s="5">
        <v>0</v>
      </c>
      <c r="C469" s="5">
        <v>0</v>
      </c>
      <c r="D469" s="5">
        <v>1</v>
      </c>
      <c r="E469" s="5">
        <v>223</v>
      </c>
      <c r="F469" s="5">
        <f>ROUND(Source!AQ459,O469)</f>
        <v>0</v>
      </c>
      <c r="G469" s="5" t="s">
        <v>134</v>
      </c>
      <c r="H469" s="5" t="s">
        <v>135</v>
      </c>
      <c r="I469" s="5"/>
      <c r="J469" s="5"/>
      <c r="K469" s="5">
        <v>223</v>
      </c>
      <c r="L469" s="5">
        <v>9</v>
      </c>
      <c r="M469" s="5">
        <v>3</v>
      </c>
      <c r="N469" s="5" t="s">
        <v>3</v>
      </c>
      <c r="O469" s="5">
        <v>2</v>
      </c>
      <c r="P469" s="5">
        <f>ROUND(Source!EI459,O469)</f>
        <v>0</v>
      </c>
      <c r="Q469" s="5"/>
      <c r="R469" s="5"/>
      <c r="S469" s="5"/>
      <c r="T469" s="5"/>
      <c r="U469" s="5"/>
      <c r="V469" s="5"/>
      <c r="W469" s="5">
        <v>0</v>
      </c>
      <c r="X469" s="5">
        <v>1</v>
      </c>
      <c r="Y469" s="5">
        <v>0</v>
      </c>
      <c r="Z469" s="5">
        <v>0</v>
      </c>
      <c r="AA469" s="5">
        <v>1</v>
      </c>
      <c r="AB469" s="5">
        <v>0</v>
      </c>
    </row>
    <row r="470" spans="1:28" x14ac:dyDescent="0.2">
      <c r="A470" s="5">
        <v>50</v>
      </c>
      <c r="B470" s="5">
        <v>0</v>
      </c>
      <c r="C470" s="5">
        <v>0</v>
      </c>
      <c r="D470" s="5">
        <v>1</v>
      </c>
      <c r="E470" s="5">
        <v>229</v>
      </c>
      <c r="F470" s="5">
        <f>ROUND(Source!AZ459,O470)</f>
        <v>17943.099999999999</v>
      </c>
      <c r="G470" s="5" t="s">
        <v>136</v>
      </c>
      <c r="H470" s="5" t="s">
        <v>137</v>
      </c>
      <c r="I470" s="5"/>
      <c r="J470" s="5"/>
      <c r="K470" s="5">
        <v>229</v>
      </c>
      <c r="L470" s="5">
        <v>10</v>
      </c>
      <c r="M470" s="5">
        <v>3</v>
      </c>
      <c r="N470" s="5" t="s">
        <v>3</v>
      </c>
      <c r="O470" s="5">
        <v>2</v>
      </c>
      <c r="P470" s="5">
        <f>ROUND(Source!ER459,O470)</f>
        <v>72933.98</v>
      </c>
      <c r="Q470" s="5"/>
      <c r="R470" s="5"/>
      <c r="S470" s="5"/>
      <c r="T470" s="5"/>
      <c r="U470" s="5"/>
      <c r="V470" s="5"/>
      <c r="W470" s="5">
        <v>17943.099999999999</v>
      </c>
      <c r="X470" s="5">
        <v>1</v>
      </c>
      <c r="Y470" s="5">
        <v>17943.099999999999</v>
      </c>
      <c r="Z470" s="5">
        <v>72933.98</v>
      </c>
      <c r="AA470" s="5">
        <v>1</v>
      </c>
      <c r="AB470" s="5">
        <v>72933.98</v>
      </c>
    </row>
    <row r="471" spans="1:28" x14ac:dyDescent="0.2">
      <c r="A471" s="5">
        <v>50</v>
      </c>
      <c r="B471" s="5">
        <v>0</v>
      </c>
      <c r="C471" s="5">
        <v>0</v>
      </c>
      <c r="D471" s="5">
        <v>1</v>
      </c>
      <c r="E471" s="5">
        <v>203</v>
      </c>
      <c r="F471" s="5">
        <f>ROUND(Source!Q459,O471)</f>
        <v>1236</v>
      </c>
      <c r="G471" s="5" t="s">
        <v>138</v>
      </c>
      <c r="H471" s="5" t="s">
        <v>139</v>
      </c>
      <c r="I471" s="5"/>
      <c r="J471" s="5"/>
      <c r="K471" s="5">
        <v>203</v>
      </c>
      <c r="L471" s="5">
        <v>11</v>
      </c>
      <c r="M471" s="5">
        <v>3</v>
      </c>
      <c r="N471" s="5" t="s">
        <v>3</v>
      </c>
      <c r="O471" s="5">
        <v>2</v>
      </c>
      <c r="P471" s="5">
        <f>ROUND(Source!DI459,O471)</f>
        <v>18817.099999999999</v>
      </c>
      <c r="Q471" s="5"/>
      <c r="R471" s="5"/>
      <c r="S471" s="5"/>
      <c r="T471" s="5"/>
      <c r="U471" s="5"/>
      <c r="V471" s="5"/>
      <c r="W471" s="5">
        <v>1236</v>
      </c>
      <c r="X471" s="5">
        <v>1</v>
      </c>
      <c r="Y471" s="5">
        <v>1236</v>
      </c>
      <c r="Z471" s="5">
        <v>18817.099999999999</v>
      </c>
      <c r="AA471" s="5">
        <v>1</v>
      </c>
      <c r="AB471" s="5">
        <v>18817.099999999999</v>
      </c>
    </row>
    <row r="472" spans="1:28" x14ac:dyDescent="0.2">
      <c r="A472" s="5">
        <v>50</v>
      </c>
      <c r="B472" s="5">
        <v>0</v>
      </c>
      <c r="C472" s="5">
        <v>0</v>
      </c>
      <c r="D472" s="5">
        <v>1</v>
      </c>
      <c r="E472" s="5">
        <v>231</v>
      </c>
      <c r="F472" s="5">
        <f>ROUND(Source!BB459,O472)</f>
        <v>0</v>
      </c>
      <c r="G472" s="5" t="s">
        <v>140</v>
      </c>
      <c r="H472" s="5" t="s">
        <v>141</v>
      </c>
      <c r="I472" s="5"/>
      <c r="J472" s="5"/>
      <c r="K472" s="5">
        <v>231</v>
      </c>
      <c r="L472" s="5">
        <v>12</v>
      </c>
      <c r="M472" s="5">
        <v>3</v>
      </c>
      <c r="N472" s="5" t="s">
        <v>3</v>
      </c>
      <c r="O472" s="5">
        <v>2</v>
      </c>
      <c r="P472" s="5">
        <f>ROUND(Source!ET459,O472)</f>
        <v>0</v>
      </c>
      <c r="Q472" s="5"/>
      <c r="R472" s="5"/>
      <c r="S472" s="5"/>
      <c r="T472" s="5"/>
      <c r="U472" s="5"/>
      <c r="V472" s="5"/>
      <c r="W472" s="5">
        <v>0</v>
      </c>
      <c r="X472" s="5">
        <v>1</v>
      </c>
      <c r="Y472" s="5">
        <v>0</v>
      </c>
      <c r="Z472" s="5">
        <v>0</v>
      </c>
      <c r="AA472" s="5">
        <v>1</v>
      </c>
      <c r="AB472" s="5">
        <v>0</v>
      </c>
    </row>
    <row r="473" spans="1:28" x14ac:dyDescent="0.2">
      <c r="A473" s="5">
        <v>50</v>
      </c>
      <c r="B473" s="5">
        <v>0</v>
      </c>
      <c r="C473" s="5">
        <v>0</v>
      </c>
      <c r="D473" s="5">
        <v>1</v>
      </c>
      <c r="E473" s="5">
        <v>204</v>
      </c>
      <c r="F473" s="5">
        <f>ROUND(Source!R459,O473)</f>
        <v>150.07</v>
      </c>
      <c r="G473" s="5" t="s">
        <v>142</v>
      </c>
      <c r="H473" s="5" t="s">
        <v>143</v>
      </c>
      <c r="I473" s="5"/>
      <c r="J473" s="5"/>
      <c r="K473" s="5">
        <v>204</v>
      </c>
      <c r="L473" s="5">
        <v>13</v>
      </c>
      <c r="M473" s="5">
        <v>3</v>
      </c>
      <c r="N473" s="5" t="s">
        <v>3</v>
      </c>
      <c r="O473" s="5">
        <v>2</v>
      </c>
      <c r="P473" s="5">
        <f>ROUND(Source!DJ459,O473)</f>
        <v>8252.35</v>
      </c>
      <c r="Q473" s="5"/>
      <c r="R473" s="5"/>
      <c r="S473" s="5"/>
      <c r="T473" s="5"/>
      <c r="U473" s="5"/>
      <c r="V473" s="5"/>
      <c r="W473" s="5">
        <v>150.07</v>
      </c>
      <c r="X473" s="5">
        <v>1</v>
      </c>
      <c r="Y473" s="5">
        <v>150.07</v>
      </c>
      <c r="Z473" s="5">
        <v>8252.35</v>
      </c>
      <c r="AA473" s="5">
        <v>1</v>
      </c>
      <c r="AB473" s="5">
        <v>8252.35</v>
      </c>
    </row>
    <row r="474" spans="1:28" x14ac:dyDescent="0.2">
      <c r="A474" s="5">
        <v>50</v>
      </c>
      <c r="B474" s="5">
        <v>0</v>
      </c>
      <c r="C474" s="5">
        <v>0</v>
      </c>
      <c r="D474" s="5">
        <v>1</v>
      </c>
      <c r="E474" s="5">
        <v>205</v>
      </c>
      <c r="F474" s="5">
        <f>ROUND(Source!S459,O474)</f>
        <v>2027.28</v>
      </c>
      <c r="G474" s="5" t="s">
        <v>144</v>
      </c>
      <c r="H474" s="5" t="s">
        <v>145</v>
      </c>
      <c r="I474" s="5"/>
      <c r="J474" s="5"/>
      <c r="K474" s="5">
        <v>205</v>
      </c>
      <c r="L474" s="5">
        <v>14</v>
      </c>
      <c r="M474" s="5">
        <v>3</v>
      </c>
      <c r="N474" s="5" t="s">
        <v>3</v>
      </c>
      <c r="O474" s="5">
        <v>2</v>
      </c>
      <c r="P474" s="5">
        <f>ROUND(Source!DK459,O474)</f>
        <v>111480.12</v>
      </c>
      <c r="Q474" s="5"/>
      <c r="R474" s="5"/>
      <c r="S474" s="5"/>
      <c r="T474" s="5"/>
      <c r="U474" s="5"/>
      <c r="V474" s="5"/>
      <c r="W474" s="5">
        <v>2027.28</v>
      </c>
      <c r="X474" s="5">
        <v>1</v>
      </c>
      <c r="Y474" s="5">
        <v>2027.28</v>
      </c>
      <c r="Z474" s="5">
        <v>111480.12</v>
      </c>
      <c r="AA474" s="5">
        <v>1</v>
      </c>
      <c r="AB474" s="5">
        <v>111480.12</v>
      </c>
    </row>
    <row r="475" spans="1:28" x14ac:dyDescent="0.2">
      <c r="A475" s="5">
        <v>50</v>
      </c>
      <c r="B475" s="5">
        <v>0</v>
      </c>
      <c r="C475" s="5">
        <v>0</v>
      </c>
      <c r="D475" s="5">
        <v>1</v>
      </c>
      <c r="E475" s="5">
        <v>232</v>
      </c>
      <c r="F475" s="5">
        <f>ROUND(Source!BC459,O475)</f>
        <v>0</v>
      </c>
      <c r="G475" s="5" t="s">
        <v>146</v>
      </c>
      <c r="H475" s="5" t="s">
        <v>147</v>
      </c>
      <c r="I475" s="5"/>
      <c r="J475" s="5"/>
      <c r="K475" s="5">
        <v>232</v>
      </c>
      <c r="L475" s="5">
        <v>15</v>
      </c>
      <c r="M475" s="5">
        <v>3</v>
      </c>
      <c r="N475" s="5" t="s">
        <v>3</v>
      </c>
      <c r="O475" s="5">
        <v>2</v>
      </c>
      <c r="P475" s="5">
        <f>ROUND(Source!EU459,O475)</f>
        <v>0</v>
      </c>
      <c r="Q475" s="5"/>
      <c r="R475" s="5"/>
      <c r="S475" s="5"/>
      <c r="T475" s="5"/>
      <c r="U475" s="5"/>
      <c r="V475" s="5"/>
      <c r="W475" s="5">
        <v>0</v>
      </c>
      <c r="X475" s="5">
        <v>1</v>
      </c>
      <c r="Y475" s="5">
        <v>0</v>
      </c>
      <c r="Z475" s="5">
        <v>0</v>
      </c>
      <c r="AA475" s="5">
        <v>1</v>
      </c>
      <c r="AB475" s="5">
        <v>0</v>
      </c>
    </row>
    <row r="476" spans="1:28" x14ac:dyDescent="0.2">
      <c r="A476" s="5">
        <v>50</v>
      </c>
      <c r="B476" s="5">
        <v>0</v>
      </c>
      <c r="C476" s="5">
        <v>0</v>
      </c>
      <c r="D476" s="5">
        <v>1</v>
      </c>
      <c r="E476" s="5">
        <v>214</v>
      </c>
      <c r="F476" s="5">
        <f>ROUND(Source!AS459,O476)</f>
        <v>0</v>
      </c>
      <c r="G476" s="5" t="s">
        <v>148</v>
      </c>
      <c r="H476" s="5" t="s">
        <v>149</v>
      </c>
      <c r="I476" s="5"/>
      <c r="J476" s="5"/>
      <c r="K476" s="5">
        <v>214</v>
      </c>
      <c r="L476" s="5">
        <v>16</v>
      </c>
      <c r="M476" s="5">
        <v>3</v>
      </c>
      <c r="N476" s="5" t="s">
        <v>3</v>
      </c>
      <c r="O476" s="5">
        <v>2</v>
      </c>
      <c r="P476" s="5">
        <f>ROUND(Source!EK459,O476)</f>
        <v>0</v>
      </c>
      <c r="Q476" s="5"/>
      <c r="R476" s="5"/>
      <c r="S476" s="5"/>
      <c r="T476" s="5"/>
      <c r="U476" s="5"/>
      <c r="V476" s="5"/>
      <c r="W476" s="5">
        <v>0</v>
      </c>
      <c r="X476" s="5">
        <v>1</v>
      </c>
      <c r="Y476" s="5">
        <v>0</v>
      </c>
      <c r="Z476" s="5">
        <v>0</v>
      </c>
      <c r="AA476" s="5">
        <v>1</v>
      </c>
      <c r="AB476" s="5">
        <v>0</v>
      </c>
    </row>
    <row r="477" spans="1:28" x14ac:dyDescent="0.2">
      <c r="A477" s="5">
        <v>50</v>
      </c>
      <c r="B477" s="5">
        <v>0</v>
      </c>
      <c r="C477" s="5">
        <v>0</v>
      </c>
      <c r="D477" s="5">
        <v>1</v>
      </c>
      <c r="E477" s="5">
        <v>215</v>
      </c>
      <c r="F477" s="5">
        <f>ROUND(Source!AT459,O477)</f>
        <v>21396.28</v>
      </c>
      <c r="G477" s="5" t="s">
        <v>150</v>
      </c>
      <c r="H477" s="5" t="s">
        <v>151</v>
      </c>
      <c r="I477" s="5"/>
      <c r="J477" s="5"/>
      <c r="K477" s="5">
        <v>215</v>
      </c>
      <c r="L477" s="5">
        <v>17</v>
      </c>
      <c r="M477" s="5">
        <v>3</v>
      </c>
      <c r="N477" s="5" t="s">
        <v>3</v>
      </c>
      <c r="O477" s="5">
        <v>2</v>
      </c>
      <c r="P477" s="5">
        <f>ROUND(Source!EL459,O477)</f>
        <v>378069.13</v>
      </c>
      <c r="Q477" s="5"/>
      <c r="R477" s="5"/>
      <c r="S477" s="5"/>
      <c r="T477" s="5"/>
      <c r="U477" s="5"/>
      <c r="V477" s="5"/>
      <c r="W477" s="5">
        <v>21396.28</v>
      </c>
      <c r="X477" s="5">
        <v>1</v>
      </c>
      <c r="Y477" s="5">
        <v>21396.28</v>
      </c>
      <c r="Z477" s="5">
        <v>378069.13</v>
      </c>
      <c r="AA477" s="5">
        <v>1</v>
      </c>
      <c r="AB477" s="5">
        <v>378069.13</v>
      </c>
    </row>
    <row r="478" spans="1:28" x14ac:dyDescent="0.2">
      <c r="A478" s="5">
        <v>50</v>
      </c>
      <c r="B478" s="5">
        <v>0</v>
      </c>
      <c r="C478" s="5">
        <v>0</v>
      </c>
      <c r="D478" s="5">
        <v>1</v>
      </c>
      <c r="E478" s="5">
        <v>217</v>
      </c>
      <c r="F478" s="5">
        <f>ROUND(Source!AU459,O478)</f>
        <v>0</v>
      </c>
      <c r="G478" s="5" t="s">
        <v>152</v>
      </c>
      <c r="H478" s="5" t="s">
        <v>153</v>
      </c>
      <c r="I478" s="5"/>
      <c r="J478" s="5"/>
      <c r="K478" s="5">
        <v>217</v>
      </c>
      <c r="L478" s="5">
        <v>18</v>
      </c>
      <c r="M478" s="5">
        <v>3</v>
      </c>
      <c r="N478" s="5" t="s">
        <v>3</v>
      </c>
      <c r="O478" s="5">
        <v>2</v>
      </c>
      <c r="P478" s="5">
        <f>ROUND(Source!EM459,O478)</f>
        <v>0</v>
      </c>
      <c r="Q478" s="5"/>
      <c r="R478" s="5"/>
      <c r="S478" s="5"/>
      <c r="T478" s="5"/>
      <c r="U478" s="5"/>
      <c r="V478" s="5"/>
      <c r="W478" s="5">
        <v>0</v>
      </c>
      <c r="X478" s="5">
        <v>1</v>
      </c>
      <c r="Y478" s="5">
        <v>0</v>
      </c>
      <c r="Z478" s="5">
        <v>0</v>
      </c>
      <c r="AA478" s="5">
        <v>1</v>
      </c>
      <c r="AB478" s="5">
        <v>0</v>
      </c>
    </row>
    <row r="479" spans="1:28" x14ac:dyDescent="0.2">
      <c r="A479" s="5">
        <v>50</v>
      </c>
      <c r="B479" s="5">
        <v>0</v>
      </c>
      <c r="C479" s="5">
        <v>0</v>
      </c>
      <c r="D479" s="5">
        <v>1</v>
      </c>
      <c r="E479" s="5">
        <v>230</v>
      </c>
      <c r="F479" s="5">
        <f>ROUND(Source!BA459,O479)</f>
        <v>0</v>
      </c>
      <c r="G479" s="5" t="s">
        <v>154</v>
      </c>
      <c r="H479" s="5" t="s">
        <v>155</v>
      </c>
      <c r="I479" s="5"/>
      <c r="J479" s="5"/>
      <c r="K479" s="5">
        <v>230</v>
      </c>
      <c r="L479" s="5">
        <v>19</v>
      </c>
      <c r="M479" s="5">
        <v>3</v>
      </c>
      <c r="N479" s="5" t="s">
        <v>3</v>
      </c>
      <c r="O479" s="5">
        <v>2</v>
      </c>
      <c r="P479" s="5">
        <f>ROUND(Source!ES459,O479)</f>
        <v>0</v>
      </c>
      <c r="Q479" s="5"/>
      <c r="R479" s="5"/>
      <c r="S479" s="5"/>
      <c r="T479" s="5"/>
      <c r="U479" s="5"/>
      <c r="V479" s="5"/>
      <c r="W479" s="5">
        <v>0</v>
      </c>
      <c r="X479" s="5">
        <v>1</v>
      </c>
      <c r="Y479" s="5">
        <v>0</v>
      </c>
      <c r="Z479" s="5">
        <v>0</v>
      </c>
      <c r="AA479" s="5">
        <v>1</v>
      </c>
      <c r="AB479" s="5">
        <v>0</v>
      </c>
    </row>
    <row r="480" spans="1:28" x14ac:dyDescent="0.2">
      <c r="A480" s="5">
        <v>50</v>
      </c>
      <c r="B480" s="5">
        <v>0</v>
      </c>
      <c r="C480" s="5">
        <v>0</v>
      </c>
      <c r="D480" s="5">
        <v>1</v>
      </c>
      <c r="E480" s="5">
        <v>206</v>
      </c>
      <c r="F480" s="5">
        <f>ROUND(Source!T459,O480)</f>
        <v>0</v>
      </c>
      <c r="G480" s="5" t="s">
        <v>156</v>
      </c>
      <c r="H480" s="5" t="s">
        <v>157</v>
      </c>
      <c r="I480" s="5"/>
      <c r="J480" s="5"/>
      <c r="K480" s="5">
        <v>206</v>
      </c>
      <c r="L480" s="5">
        <v>20</v>
      </c>
      <c r="M480" s="5">
        <v>3</v>
      </c>
      <c r="N480" s="5" t="s">
        <v>3</v>
      </c>
      <c r="O480" s="5">
        <v>2</v>
      </c>
      <c r="P480" s="5">
        <f>ROUND(Source!DL459,O480)</f>
        <v>0</v>
      </c>
      <c r="Q480" s="5"/>
      <c r="R480" s="5"/>
      <c r="S480" s="5"/>
      <c r="T480" s="5"/>
      <c r="U480" s="5"/>
      <c r="V480" s="5"/>
      <c r="W480" s="5">
        <v>0</v>
      </c>
      <c r="X480" s="5">
        <v>1</v>
      </c>
      <c r="Y480" s="5">
        <v>0</v>
      </c>
      <c r="Z480" s="5">
        <v>0</v>
      </c>
      <c r="AA480" s="5">
        <v>1</v>
      </c>
      <c r="AB480" s="5">
        <v>0</v>
      </c>
    </row>
    <row r="481" spans="1:255" x14ac:dyDescent="0.2">
      <c r="A481" s="5">
        <v>50</v>
      </c>
      <c r="B481" s="5">
        <v>0</v>
      </c>
      <c r="C481" s="5">
        <v>0</v>
      </c>
      <c r="D481" s="5">
        <v>1</v>
      </c>
      <c r="E481" s="5">
        <v>207</v>
      </c>
      <c r="F481" s="5">
        <f>Source!U459</f>
        <v>163.59898499999997</v>
      </c>
      <c r="G481" s="5" t="s">
        <v>158</v>
      </c>
      <c r="H481" s="5" t="s">
        <v>159</v>
      </c>
      <c r="I481" s="5"/>
      <c r="J481" s="5"/>
      <c r="K481" s="5">
        <v>207</v>
      </c>
      <c r="L481" s="5">
        <v>21</v>
      </c>
      <c r="M481" s="5">
        <v>3</v>
      </c>
      <c r="N481" s="5" t="s">
        <v>3</v>
      </c>
      <c r="O481" s="5">
        <v>-1</v>
      </c>
      <c r="P481" s="5">
        <f>Source!DM459</f>
        <v>163.59898499999997</v>
      </c>
      <c r="Q481" s="5"/>
      <c r="R481" s="5"/>
      <c r="S481" s="5"/>
      <c r="T481" s="5"/>
      <c r="U481" s="5"/>
      <c r="V481" s="5"/>
      <c r="W481" s="5">
        <v>163.59898499999997</v>
      </c>
      <c r="X481" s="5">
        <v>1</v>
      </c>
      <c r="Y481" s="5">
        <v>163.59898499999997</v>
      </c>
      <c r="Z481" s="5">
        <v>163.59898499999997</v>
      </c>
      <c r="AA481" s="5">
        <v>1</v>
      </c>
      <c r="AB481" s="5">
        <v>163.59898499999997</v>
      </c>
    </row>
    <row r="482" spans="1:255" x14ac:dyDescent="0.2">
      <c r="A482" s="5">
        <v>50</v>
      </c>
      <c r="B482" s="5">
        <v>0</v>
      </c>
      <c r="C482" s="5">
        <v>0</v>
      </c>
      <c r="D482" s="5">
        <v>1</v>
      </c>
      <c r="E482" s="5">
        <v>208</v>
      </c>
      <c r="F482" s="5">
        <f>Source!V459</f>
        <v>0</v>
      </c>
      <c r="G482" s="5" t="s">
        <v>160</v>
      </c>
      <c r="H482" s="5" t="s">
        <v>161</v>
      </c>
      <c r="I482" s="5"/>
      <c r="J482" s="5"/>
      <c r="K482" s="5">
        <v>208</v>
      </c>
      <c r="L482" s="5">
        <v>22</v>
      </c>
      <c r="M482" s="5">
        <v>3</v>
      </c>
      <c r="N482" s="5" t="s">
        <v>3</v>
      </c>
      <c r="O482" s="5">
        <v>-1</v>
      </c>
      <c r="P482" s="5">
        <f>Source!DN459</f>
        <v>0</v>
      </c>
      <c r="Q482" s="5"/>
      <c r="R482" s="5"/>
      <c r="S482" s="5"/>
      <c r="T482" s="5"/>
      <c r="U482" s="5"/>
      <c r="V482" s="5"/>
      <c r="W482" s="5">
        <v>0</v>
      </c>
      <c r="X482" s="5">
        <v>1</v>
      </c>
      <c r="Y482" s="5">
        <v>0</v>
      </c>
      <c r="Z482" s="5">
        <v>0</v>
      </c>
      <c r="AA482" s="5">
        <v>1</v>
      </c>
      <c r="AB482" s="5">
        <v>0</v>
      </c>
    </row>
    <row r="483" spans="1:255" x14ac:dyDescent="0.2">
      <c r="A483" s="5">
        <v>50</v>
      </c>
      <c r="B483" s="5">
        <v>0</v>
      </c>
      <c r="C483" s="5">
        <v>0</v>
      </c>
      <c r="D483" s="5">
        <v>1</v>
      </c>
      <c r="E483" s="5">
        <v>209</v>
      </c>
      <c r="F483" s="5">
        <f>ROUND(Source!W459,O483)</f>
        <v>0</v>
      </c>
      <c r="G483" s="5" t="s">
        <v>162</v>
      </c>
      <c r="H483" s="5" t="s">
        <v>163</v>
      </c>
      <c r="I483" s="5"/>
      <c r="J483" s="5"/>
      <c r="K483" s="5">
        <v>209</v>
      </c>
      <c r="L483" s="5">
        <v>23</v>
      </c>
      <c r="M483" s="5">
        <v>3</v>
      </c>
      <c r="N483" s="5" t="s">
        <v>3</v>
      </c>
      <c r="O483" s="5">
        <v>2</v>
      </c>
      <c r="P483" s="5">
        <f>ROUND(Source!DO459,O483)</f>
        <v>0</v>
      </c>
      <c r="Q483" s="5"/>
      <c r="R483" s="5"/>
      <c r="S483" s="5"/>
      <c r="T483" s="5"/>
      <c r="U483" s="5"/>
      <c r="V483" s="5"/>
      <c r="W483" s="5">
        <v>0</v>
      </c>
      <c r="X483" s="5">
        <v>1</v>
      </c>
      <c r="Y483" s="5">
        <v>0</v>
      </c>
      <c r="Z483" s="5">
        <v>0</v>
      </c>
      <c r="AA483" s="5">
        <v>1</v>
      </c>
      <c r="AB483" s="5">
        <v>0</v>
      </c>
    </row>
    <row r="484" spans="1:255" x14ac:dyDescent="0.2">
      <c r="A484" s="5">
        <v>50</v>
      </c>
      <c r="B484" s="5">
        <v>0</v>
      </c>
      <c r="C484" s="5">
        <v>0</v>
      </c>
      <c r="D484" s="5">
        <v>1</v>
      </c>
      <c r="E484" s="5">
        <v>233</v>
      </c>
      <c r="F484" s="5">
        <f>ROUND(Source!BD459,O484)</f>
        <v>0</v>
      </c>
      <c r="G484" s="5" t="s">
        <v>164</v>
      </c>
      <c r="H484" s="5" t="s">
        <v>165</v>
      </c>
      <c r="I484" s="5"/>
      <c r="J484" s="5"/>
      <c r="K484" s="5">
        <v>233</v>
      </c>
      <c r="L484" s="5">
        <v>24</v>
      </c>
      <c r="M484" s="5">
        <v>3</v>
      </c>
      <c r="N484" s="5" t="s">
        <v>3</v>
      </c>
      <c r="O484" s="5">
        <v>2</v>
      </c>
      <c r="P484" s="5">
        <f>ROUND(Source!EV459,O484)</f>
        <v>0</v>
      </c>
      <c r="Q484" s="5"/>
      <c r="R484" s="5"/>
      <c r="S484" s="5"/>
      <c r="T484" s="5"/>
      <c r="U484" s="5"/>
      <c r="V484" s="5"/>
      <c r="W484" s="5">
        <v>0</v>
      </c>
      <c r="X484" s="5">
        <v>1</v>
      </c>
      <c r="Y484" s="5">
        <v>0</v>
      </c>
      <c r="Z484" s="5">
        <v>0</v>
      </c>
      <c r="AA484" s="5">
        <v>1</v>
      </c>
      <c r="AB484" s="5">
        <v>0</v>
      </c>
    </row>
    <row r="485" spans="1:255" x14ac:dyDescent="0.2">
      <c r="A485" s="5">
        <v>50</v>
      </c>
      <c r="B485" s="5">
        <v>0</v>
      </c>
      <c r="C485" s="5">
        <v>0</v>
      </c>
      <c r="D485" s="5">
        <v>1</v>
      </c>
      <c r="E485" s="5">
        <v>210</v>
      </c>
      <c r="F485" s="5">
        <f>ROUND(Source!X459,O485)</f>
        <v>2070.9699999999998</v>
      </c>
      <c r="G485" s="5" t="s">
        <v>166</v>
      </c>
      <c r="H485" s="5" t="s">
        <v>167</v>
      </c>
      <c r="I485" s="5"/>
      <c r="J485" s="5"/>
      <c r="K485" s="5">
        <v>210</v>
      </c>
      <c r="L485" s="5">
        <v>25</v>
      </c>
      <c r="M485" s="5">
        <v>3</v>
      </c>
      <c r="N485" s="5" t="s">
        <v>3</v>
      </c>
      <c r="O485" s="5">
        <v>2</v>
      </c>
      <c r="P485" s="5">
        <f>ROUND(Source!DP459,O485)</f>
        <v>113882.23</v>
      </c>
      <c r="Q485" s="5"/>
      <c r="R485" s="5"/>
      <c r="S485" s="5"/>
      <c r="T485" s="5"/>
      <c r="U485" s="5"/>
      <c r="V485" s="5"/>
      <c r="W485" s="5">
        <v>2070.9699999999998</v>
      </c>
      <c r="X485" s="5">
        <v>1</v>
      </c>
      <c r="Y485" s="5">
        <v>2070.9699999999998</v>
      </c>
      <c r="Z485" s="5">
        <v>113882.23</v>
      </c>
      <c r="AA485" s="5">
        <v>1</v>
      </c>
      <c r="AB485" s="5">
        <v>113882.23</v>
      </c>
    </row>
    <row r="486" spans="1:255" x14ac:dyDescent="0.2">
      <c r="A486" s="5">
        <v>50</v>
      </c>
      <c r="B486" s="5">
        <v>0</v>
      </c>
      <c r="C486" s="5">
        <v>0</v>
      </c>
      <c r="D486" s="5">
        <v>1</v>
      </c>
      <c r="E486" s="5">
        <v>211</v>
      </c>
      <c r="F486" s="5">
        <f>ROUND(Source!Y459,O486)</f>
        <v>1081.1300000000001</v>
      </c>
      <c r="G486" s="5" t="s">
        <v>168</v>
      </c>
      <c r="H486" s="5" t="s">
        <v>169</v>
      </c>
      <c r="I486" s="5"/>
      <c r="J486" s="5"/>
      <c r="K486" s="5">
        <v>211</v>
      </c>
      <c r="L486" s="5">
        <v>26</v>
      </c>
      <c r="M486" s="5">
        <v>3</v>
      </c>
      <c r="N486" s="5" t="s">
        <v>3</v>
      </c>
      <c r="O486" s="5">
        <v>2</v>
      </c>
      <c r="P486" s="5">
        <f>ROUND(Source!DQ459,O486)</f>
        <v>59450.51</v>
      </c>
      <c r="Q486" s="5"/>
      <c r="R486" s="5"/>
      <c r="S486" s="5"/>
      <c r="T486" s="5"/>
      <c r="U486" s="5"/>
      <c r="V486" s="5"/>
      <c r="W486" s="5">
        <v>1081.1300000000001</v>
      </c>
      <c r="X486" s="5">
        <v>1</v>
      </c>
      <c r="Y486" s="5">
        <v>1081.1300000000001</v>
      </c>
      <c r="Z486" s="5">
        <v>59450.51</v>
      </c>
      <c r="AA486" s="5">
        <v>1</v>
      </c>
      <c r="AB486" s="5">
        <v>59450.51</v>
      </c>
    </row>
    <row r="487" spans="1:255" x14ac:dyDescent="0.2">
      <c r="A487" s="5">
        <v>50</v>
      </c>
      <c r="B487" s="5">
        <v>0</v>
      </c>
      <c r="C487" s="5">
        <v>0</v>
      </c>
      <c r="D487" s="5">
        <v>1</v>
      </c>
      <c r="E487" s="5">
        <v>224</v>
      </c>
      <c r="F487" s="5">
        <f>ROUND(Source!AR459,O487)</f>
        <v>39339.379999999997</v>
      </c>
      <c r="G487" s="5" t="s">
        <v>170</v>
      </c>
      <c r="H487" s="5" t="s">
        <v>171</v>
      </c>
      <c r="I487" s="5"/>
      <c r="J487" s="5"/>
      <c r="K487" s="5">
        <v>224</v>
      </c>
      <c r="L487" s="5">
        <v>27</v>
      </c>
      <c r="M487" s="5">
        <v>3</v>
      </c>
      <c r="N487" s="5" t="s">
        <v>3</v>
      </c>
      <c r="O487" s="5">
        <v>2</v>
      </c>
      <c r="P487" s="5">
        <f>ROUND(Source!EJ459,O487)</f>
        <v>451003.11</v>
      </c>
      <c r="Q487" s="5"/>
      <c r="R487" s="5"/>
      <c r="S487" s="5"/>
      <c r="T487" s="5"/>
      <c r="U487" s="5"/>
      <c r="V487" s="5"/>
      <c r="W487" s="5">
        <v>39339.379999999997</v>
      </c>
      <c r="X487" s="5">
        <v>1</v>
      </c>
      <c r="Y487" s="5">
        <v>39339.379999999997</v>
      </c>
      <c r="Z487" s="5">
        <v>451003.11</v>
      </c>
      <c r="AA487" s="5">
        <v>1</v>
      </c>
      <c r="AB487" s="5">
        <v>451003.11</v>
      </c>
    </row>
    <row r="489" spans="1:255" x14ac:dyDescent="0.2">
      <c r="A489" s="1">
        <v>4</v>
      </c>
      <c r="B489" s="1">
        <v>1</v>
      </c>
      <c r="C489" s="1"/>
      <c r="D489" s="1">
        <f>ROW(A510)</f>
        <v>510</v>
      </c>
      <c r="E489" s="1"/>
      <c r="F489" s="1" t="s">
        <v>16</v>
      </c>
      <c r="G489" s="1" t="s">
        <v>453</v>
      </c>
      <c r="H489" s="1" t="s">
        <v>3</v>
      </c>
      <c r="I489" s="1">
        <v>0</v>
      </c>
      <c r="J489" s="1"/>
      <c r="K489" s="1">
        <v>0</v>
      </c>
      <c r="L489" s="1"/>
      <c r="M489" s="1" t="s">
        <v>3</v>
      </c>
      <c r="N489" s="1"/>
      <c r="O489" s="1"/>
      <c r="P489" s="1"/>
      <c r="Q489" s="1"/>
      <c r="R489" s="1"/>
      <c r="S489" s="1">
        <v>0</v>
      </c>
      <c r="T489" s="1">
        <v>0</v>
      </c>
      <c r="U489" s="1" t="s">
        <v>3</v>
      </c>
      <c r="V489" s="1">
        <v>2</v>
      </c>
      <c r="W489" s="1"/>
      <c r="X489" s="1"/>
      <c r="Y489" s="1"/>
      <c r="Z489" s="1"/>
      <c r="AA489" s="1"/>
      <c r="AB489" s="1" t="s">
        <v>3</v>
      </c>
      <c r="AC489" s="1" t="s">
        <v>3</v>
      </c>
      <c r="AD489" s="1" t="s">
        <v>3</v>
      </c>
      <c r="AE489" s="1" t="s">
        <v>3</v>
      </c>
      <c r="AF489" s="1" t="s">
        <v>3</v>
      </c>
      <c r="AG489" s="1" t="s">
        <v>3</v>
      </c>
      <c r="AH489" s="1"/>
      <c r="AI489" s="1"/>
      <c r="AJ489" s="1"/>
      <c r="AK489" s="1"/>
      <c r="AL489" s="1"/>
      <c r="AM489" s="1"/>
      <c r="AN489" s="1"/>
      <c r="AO489" s="1"/>
      <c r="AP489" s="1" t="s">
        <v>3</v>
      </c>
      <c r="AQ489" s="1" t="s">
        <v>3</v>
      </c>
      <c r="AR489" s="1" t="s">
        <v>3</v>
      </c>
      <c r="AS489" s="1"/>
      <c r="AT489" s="1"/>
      <c r="AU489" s="1"/>
      <c r="AV489" s="1"/>
      <c r="AW489" s="1"/>
      <c r="AX489" s="1"/>
      <c r="AY489" s="1"/>
      <c r="AZ489" s="1" t="s">
        <v>3</v>
      </c>
      <c r="BA489" s="1"/>
      <c r="BB489" s="1" t="s">
        <v>3</v>
      </c>
      <c r="BC489" s="1" t="s">
        <v>3</v>
      </c>
      <c r="BD489" s="1" t="s">
        <v>3</v>
      </c>
      <c r="BE489" s="1" t="s">
        <v>3</v>
      </c>
      <c r="BF489" s="1" t="s">
        <v>3</v>
      </c>
      <c r="BG489" s="1" t="s">
        <v>3</v>
      </c>
      <c r="BH489" s="1" t="s">
        <v>3</v>
      </c>
      <c r="BI489" s="1" t="s">
        <v>3</v>
      </c>
      <c r="BJ489" s="1" t="s">
        <v>3</v>
      </c>
      <c r="BK489" s="1" t="s">
        <v>3</v>
      </c>
      <c r="BL489" s="1" t="s">
        <v>3</v>
      </c>
      <c r="BM489" s="1" t="s">
        <v>3</v>
      </c>
      <c r="BN489" s="1" t="s">
        <v>3</v>
      </c>
      <c r="BO489" s="1" t="s">
        <v>3</v>
      </c>
      <c r="BP489" s="1" t="s">
        <v>3</v>
      </c>
      <c r="BQ489" s="1"/>
      <c r="BR489" s="1"/>
      <c r="BS489" s="1"/>
      <c r="BT489" s="1"/>
      <c r="BU489" s="1"/>
      <c r="BV489" s="1"/>
      <c r="BW489" s="1"/>
      <c r="BX489" s="1">
        <v>0</v>
      </c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>
        <v>0</v>
      </c>
    </row>
    <row r="491" spans="1:255" x14ac:dyDescent="0.2">
      <c r="A491" s="3">
        <v>52</v>
      </c>
      <c r="B491" s="3">
        <f t="shared" ref="B491:G491" si="387">B510</f>
        <v>1</v>
      </c>
      <c r="C491" s="3">
        <f t="shared" si="387"/>
        <v>4</v>
      </c>
      <c r="D491" s="3">
        <f t="shared" si="387"/>
        <v>489</v>
      </c>
      <c r="E491" s="3">
        <f t="shared" si="387"/>
        <v>0</v>
      </c>
      <c r="F491" s="3" t="str">
        <f t="shared" si="387"/>
        <v>Новый раздел</v>
      </c>
      <c r="G491" s="3" t="str">
        <f t="shared" si="387"/>
        <v>Система управления освещением</v>
      </c>
      <c r="H491" s="3"/>
      <c r="I491" s="3"/>
      <c r="J491" s="3"/>
      <c r="K491" s="3"/>
      <c r="L491" s="3"/>
      <c r="M491" s="3"/>
      <c r="N491" s="3"/>
      <c r="O491" s="3">
        <f t="shared" ref="O491:AT491" si="388">O510</f>
        <v>15909.92</v>
      </c>
      <c r="P491" s="3">
        <f t="shared" si="388"/>
        <v>14141.52</v>
      </c>
      <c r="Q491" s="3">
        <f t="shared" si="388"/>
        <v>207.36</v>
      </c>
      <c r="R491" s="3">
        <f t="shared" si="388"/>
        <v>34.93</v>
      </c>
      <c r="S491" s="3">
        <f t="shared" si="388"/>
        <v>1561.04</v>
      </c>
      <c r="T491" s="3">
        <f t="shared" si="388"/>
        <v>0</v>
      </c>
      <c r="U491" s="3">
        <f t="shared" si="388"/>
        <v>121.43755139999999</v>
      </c>
      <c r="V491" s="3">
        <f t="shared" si="388"/>
        <v>0</v>
      </c>
      <c r="W491" s="3">
        <f t="shared" si="388"/>
        <v>0</v>
      </c>
      <c r="X491" s="3">
        <f t="shared" si="388"/>
        <v>1538.56</v>
      </c>
      <c r="Y491" s="3">
        <f t="shared" si="388"/>
        <v>807.13</v>
      </c>
      <c r="Z491" s="3">
        <f t="shared" si="388"/>
        <v>0</v>
      </c>
      <c r="AA491" s="3">
        <f t="shared" si="388"/>
        <v>0</v>
      </c>
      <c r="AB491" s="3">
        <f t="shared" si="388"/>
        <v>15909.92</v>
      </c>
      <c r="AC491" s="3">
        <f t="shared" si="388"/>
        <v>14141.52</v>
      </c>
      <c r="AD491" s="3">
        <f t="shared" si="388"/>
        <v>207.36</v>
      </c>
      <c r="AE491" s="3">
        <f t="shared" si="388"/>
        <v>34.93</v>
      </c>
      <c r="AF491" s="3">
        <f t="shared" si="388"/>
        <v>1561.04</v>
      </c>
      <c r="AG491" s="3">
        <f t="shared" si="388"/>
        <v>0</v>
      </c>
      <c r="AH491" s="3">
        <f t="shared" si="388"/>
        <v>121.43755139999999</v>
      </c>
      <c r="AI491" s="3">
        <f t="shared" si="388"/>
        <v>0</v>
      </c>
      <c r="AJ491" s="3">
        <f t="shared" si="388"/>
        <v>0</v>
      </c>
      <c r="AK491" s="3">
        <f t="shared" si="388"/>
        <v>1538.56</v>
      </c>
      <c r="AL491" s="3">
        <f t="shared" si="388"/>
        <v>807.13</v>
      </c>
      <c r="AM491" s="3">
        <f t="shared" si="388"/>
        <v>0</v>
      </c>
      <c r="AN491" s="3">
        <f t="shared" si="388"/>
        <v>0</v>
      </c>
      <c r="AO491" s="3">
        <f t="shared" si="388"/>
        <v>0</v>
      </c>
      <c r="AP491" s="3">
        <f t="shared" si="388"/>
        <v>5844.56</v>
      </c>
      <c r="AQ491" s="3">
        <f t="shared" si="388"/>
        <v>0</v>
      </c>
      <c r="AR491" s="3">
        <f t="shared" si="388"/>
        <v>18255.61</v>
      </c>
      <c r="AS491" s="3">
        <f t="shared" si="388"/>
        <v>0</v>
      </c>
      <c r="AT491" s="3">
        <f t="shared" si="388"/>
        <v>12411.05</v>
      </c>
      <c r="AU491" s="3">
        <f t="shared" ref="AU491:BZ491" si="389">AU510</f>
        <v>0</v>
      </c>
      <c r="AV491" s="3">
        <f t="shared" si="389"/>
        <v>14141.52</v>
      </c>
      <c r="AW491" s="3">
        <f t="shared" si="389"/>
        <v>8296.9599999999991</v>
      </c>
      <c r="AX491" s="3">
        <f t="shared" si="389"/>
        <v>0</v>
      </c>
      <c r="AY491" s="3">
        <f t="shared" si="389"/>
        <v>8296.9599999999991</v>
      </c>
      <c r="AZ491" s="3">
        <f t="shared" si="389"/>
        <v>5844.56</v>
      </c>
      <c r="BA491" s="3">
        <f t="shared" si="389"/>
        <v>0</v>
      </c>
      <c r="BB491" s="3">
        <f t="shared" si="389"/>
        <v>0</v>
      </c>
      <c r="BC491" s="3">
        <f t="shared" si="389"/>
        <v>0</v>
      </c>
      <c r="BD491" s="3">
        <f t="shared" si="389"/>
        <v>0</v>
      </c>
      <c r="BE491" s="3">
        <f t="shared" si="389"/>
        <v>0</v>
      </c>
      <c r="BF491" s="3">
        <f t="shared" si="389"/>
        <v>0</v>
      </c>
      <c r="BG491" s="3">
        <f t="shared" si="389"/>
        <v>0</v>
      </c>
      <c r="BH491" s="3">
        <f t="shared" si="389"/>
        <v>0</v>
      </c>
      <c r="BI491" s="3">
        <f t="shared" si="389"/>
        <v>0</v>
      </c>
      <c r="BJ491" s="3">
        <f t="shared" si="389"/>
        <v>0</v>
      </c>
      <c r="BK491" s="3">
        <f t="shared" si="389"/>
        <v>0</v>
      </c>
      <c r="BL491" s="3">
        <f t="shared" si="389"/>
        <v>0</v>
      </c>
      <c r="BM491" s="3">
        <f t="shared" si="389"/>
        <v>0</v>
      </c>
      <c r="BN491" s="3">
        <f t="shared" si="389"/>
        <v>0</v>
      </c>
      <c r="BO491" s="3">
        <f t="shared" si="389"/>
        <v>0</v>
      </c>
      <c r="BP491" s="3">
        <f t="shared" si="389"/>
        <v>0</v>
      </c>
      <c r="BQ491" s="3">
        <f t="shared" si="389"/>
        <v>0</v>
      </c>
      <c r="BR491" s="3">
        <f t="shared" si="389"/>
        <v>0</v>
      </c>
      <c r="BS491" s="3">
        <f t="shared" si="389"/>
        <v>0</v>
      </c>
      <c r="BT491" s="3">
        <f t="shared" si="389"/>
        <v>0</v>
      </c>
      <c r="BU491" s="3">
        <f t="shared" si="389"/>
        <v>0</v>
      </c>
      <c r="BV491" s="3">
        <f t="shared" si="389"/>
        <v>0</v>
      </c>
      <c r="BW491" s="3">
        <f t="shared" si="389"/>
        <v>0</v>
      </c>
      <c r="BX491" s="3">
        <f t="shared" si="389"/>
        <v>0</v>
      </c>
      <c r="BY491" s="3">
        <f t="shared" si="389"/>
        <v>5844.56</v>
      </c>
      <c r="BZ491" s="3">
        <f t="shared" si="389"/>
        <v>0</v>
      </c>
      <c r="CA491" s="3">
        <f t="shared" ref="CA491:DF491" si="390">CA510</f>
        <v>18255.61</v>
      </c>
      <c r="CB491" s="3">
        <f t="shared" si="390"/>
        <v>0</v>
      </c>
      <c r="CC491" s="3">
        <f t="shared" si="390"/>
        <v>12411.05</v>
      </c>
      <c r="CD491" s="3">
        <f t="shared" si="390"/>
        <v>0</v>
      </c>
      <c r="CE491" s="3">
        <f t="shared" si="390"/>
        <v>14141.52</v>
      </c>
      <c r="CF491" s="3">
        <f t="shared" si="390"/>
        <v>8296.9599999999991</v>
      </c>
      <c r="CG491" s="3">
        <f t="shared" si="390"/>
        <v>0</v>
      </c>
      <c r="CH491" s="3">
        <f t="shared" si="390"/>
        <v>8296.9599999999991</v>
      </c>
      <c r="CI491" s="3">
        <f t="shared" si="390"/>
        <v>5844.56</v>
      </c>
      <c r="CJ491" s="3">
        <f t="shared" si="390"/>
        <v>0</v>
      </c>
      <c r="CK491" s="3">
        <f t="shared" si="390"/>
        <v>0</v>
      </c>
      <c r="CL491" s="3">
        <f t="shared" si="390"/>
        <v>0</v>
      </c>
      <c r="CM491" s="3">
        <f t="shared" si="390"/>
        <v>0</v>
      </c>
      <c r="CN491" s="3">
        <f t="shared" si="390"/>
        <v>0</v>
      </c>
      <c r="CO491" s="3">
        <f t="shared" si="390"/>
        <v>0</v>
      </c>
      <c r="CP491" s="3">
        <f t="shared" si="390"/>
        <v>0</v>
      </c>
      <c r="CQ491" s="3">
        <f t="shared" si="390"/>
        <v>0</v>
      </c>
      <c r="CR491" s="3">
        <f t="shared" si="390"/>
        <v>0</v>
      </c>
      <c r="CS491" s="3">
        <f t="shared" si="390"/>
        <v>0</v>
      </c>
      <c r="CT491" s="3">
        <f t="shared" si="390"/>
        <v>0</v>
      </c>
      <c r="CU491" s="3">
        <f t="shared" si="390"/>
        <v>0</v>
      </c>
      <c r="CV491" s="3">
        <f t="shared" si="390"/>
        <v>0</v>
      </c>
      <c r="CW491" s="3">
        <f t="shared" si="390"/>
        <v>0</v>
      </c>
      <c r="CX491" s="3">
        <f t="shared" si="390"/>
        <v>0</v>
      </c>
      <c r="CY491" s="3">
        <f t="shared" si="390"/>
        <v>0</v>
      </c>
      <c r="CZ491" s="3">
        <f t="shared" si="390"/>
        <v>0</v>
      </c>
      <c r="DA491" s="3">
        <f t="shared" si="390"/>
        <v>0</v>
      </c>
      <c r="DB491" s="3">
        <f t="shared" si="390"/>
        <v>0</v>
      </c>
      <c r="DC491" s="3">
        <f t="shared" si="390"/>
        <v>0</v>
      </c>
      <c r="DD491" s="3">
        <f t="shared" si="390"/>
        <v>0</v>
      </c>
      <c r="DE491" s="3">
        <f t="shared" si="390"/>
        <v>0</v>
      </c>
      <c r="DF491" s="3">
        <f t="shared" si="390"/>
        <v>0</v>
      </c>
      <c r="DG491" s="4">
        <f t="shared" ref="DG491:EL491" si="391">DG510</f>
        <v>197287.81</v>
      </c>
      <c r="DH491" s="4">
        <f t="shared" si="391"/>
        <v>107805.75</v>
      </c>
      <c r="DI491" s="4">
        <f t="shared" si="391"/>
        <v>3640.46</v>
      </c>
      <c r="DJ491" s="4">
        <f t="shared" si="391"/>
        <v>1920.8</v>
      </c>
      <c r="DK491" s="4">
        <f t="shared" si="391"/>
        <v>85841.600000000006</v>
      </c>
      <c r="DL491" s="4">
        <f t="shared" si="391"/>
        <v>0</v>
      </c>
      <c r="DM491" s="4">
        <f t="shared" si="391"/>
        <v>121.43755139999999</v>
      </c>
      <c r="DN491" s="4">
        <f t="shared" si="391"/>
        <v>0</v>
      </c>
      <c r="DO491" s="4">
        <f t="shared" si="391"/>
        <v>0</v>
      </c>
      <c r="DP491" s="4">
        <f t="shared" si="391"/>
        <v>84605.3</v>
      </c>
      <c r="DQ491" s="4">
        <f t="shared" si="391"/>
        <v>44384.38</v>
      </c>
      <c r="DR491" s="4">
        <f t="shared" si="391"/>
        <v>0</v>
      </c>
      <c r="DS491" s="4">
        <f t="shared" si="391"/>
        <v>0</v>
      </c>
      <c r="DT491" s="4">
        <f t="shared" si="391"/>
        <v>197287.81</v>
      </c>
      <c r="DU491" s="4">
        <f t="shared" si="391"/>
        <v>107805.75</v>
      </c>
      <c r="DV491" s="4">
        <f t="shared" si="391"/>
        <v>3640.46</v>
      </c>
      <c r="DW491" s="4">
        <f t="shared" si="391"/>
        <v>1920.8</v>
      </c>
      <c r="DX491" s="4">
        <f t="shared" si="391"/>
        <v>85841.600000000006</v>
      </c>
      <c r="DY491" s="4">
        <f t="shared" si="391"/>
        <v>0</v>
      </c>
      <c r="DZ491" s="4">
        <f t="shared" si="391"/>
        <v>121.43755139999999</v>
      </c>
      <c r="EA491" s="4">
        <f t="shared" si="391"/>
        <v>0</v>
      </c>
      <c r="EB491" s="4">
        <f t="shared" si="391"/>
        <v>0</v>
      </c>
      <c r="EC491" s="4">
        <f t="shared" si="391"/>
        <v>84605.3</v>
      </c>
      <c r="ED491" s="4">
        <f t="shared" si="391"/>
        <v>44384.38</v>
      </c>
      <c r="EE491" s="4">
        <f t="shared" si="391"/>
        <v>0</v>
      </c>
      <c r="EF491" s="4">
        <f t="shared" si="391"/>
        <v>0</v>
      </c>
      <c r="EG491" s="4">
        <f t="shared" si="391"/>
        <v>0</v>
      </c>
      <c r="EH491" s="4">
        <f t="shared" si="391"/>
        <v>44769.33</v>
      </c>
      <c r="EI491" s="4">
        <f t="shared" si="391"/>
        <v>0</v>
      </c>
      <c r="EJ491" s="4">
        <f t="shared" si="391"/>
        <v>326277.49</v>
      </c>
      <c r="EK491" s="4">
        <f t="shared" si="391"/>
        <v>0</v>
      </c>
      <c r="EL491" s="4">
        <f t="shared" si="391"/>
        <v>281508.15999999997</v>
      </c>
      <c r="EM491" s="4">
        <f t="shared" ref="EM491:FR491" si="392">EM510</f>
        <v>0</v>
      </c>
      <c r="EN491" s="4">
        <f t="shared" si="392"/>
        <v>107805.75</v>
      </c>
      <c r="EO491" s="4">
        <f t="shared" si="392"/>
        <v>63036.42</v>
      </c>
      <c r="EP491" s="4">
        <f t="shared" si="392"/>
        <v>0</v>
      </c>
      <c r="EQ491" s="4">
        <f t="shared" si="392"/>
        <v>63036.42</v>
      </c>
      <c r="ER491" s="4">
        <f t="shared" si="392"/>
        <v>44769.33</v>
      </c>
      <c r="ES491" s="4">
        <f t="shared" si="392"/>
        <v>0</v>
      </c>
      <c r="ET491" s="4">
        <f t="shared" si="392"/>
        <v>0</v>
      </c>
      <c r="EU491" s="4">
        <f t="shared" si="392"/>
        <v>0</v>
      </c>
      <c r="EV491" s="4">
        <f t="shared" si="392"/>
        <v>0</v>
      </c>
      <c r="EW491" s="4">
        <f t="shared" si="392"/>
        <v>0</v>
      </c>
      <c r="EX491" s="4">
        <f t="shared" si="392"/>
        <v>0</v>
      </c>
      <c r="EY491" s="4">
        <f t="shared" si="392"/>
        <v>0</v>
      </c>
      <c r="EZ491" s="4">
        <f t="shared" si="392"/>
        <v>0</v>
      </c>
      <c r="FA491" s="4">
        <f t="shared" si="392"/>
        <v>0</v>
      </c>
      <c r="FB491" s="4">
        <f t="shared" si="392"/>
        <v>0</v>
      </c>
      <c r="FC491" s="4">
        <f t="shared" si="392"/>
        <v>0</v>
      </c>
      <c r="FD491" s="4">
        <f t="shared" si="392"/>
        <v>0</v>
      </c>
      <c r="FE491" s="4">
        <f t="shared" si="392"/>
        <v>0</v>
      </c>
      <c r="FF491" s="4">
        <f t="shared" si="392"/>
        <v>0</v>
      </c>
      <c r="FG491" s="4">
        <f t="shared" si="392"/>
        <v>0</v>
      </c>
      <c r="FH491" s="4">
        <f t="shared" si="392"/>
        <v>0</v>
      </c>
      <c r="FI491" s="4">
        <f t="shared" si="392"/>
        <v>0</v>
      </c>
      <c r="FJ491" s="4">
        <f t="shared" si="392"/>
        <v>0</v>
      </c>
      <c r="FK491" s="4">
        <f t="shared" si="392"/>
        <v>0</v>
      </c>
      <c r="FL491" s="4">
        <f t="shared" si="392"/>
        <v>0</v>
      </c>
      <c r="FM491" s="4">
        <f t="shared" si="392"/>
        <v>0</v>
      </c>
      <c r="FN491" s="4">
        <f t="shared" si="392"/>
        <v>0</v>
      </c>
      <c r="FO491" s="4">
        <f t="shared" si="392"/>
        <v>0</v>
      </c>
      <c r="FP491" s="4">
        <f t="shared" si="392"/>
        <v>0</v>
      </c>
      <c r="FQ491" s="4">
        <f t="shared" si="392"/>
        <v>44769.33</v>
      </c>
      <c r="FR491" s="4">
        <f t="shared" si="392"/>
        <v>0</v>
      </c>
      <c r="FS491" s="4">
        <f t="shared" ref="FS491:GX491" si="393">FS510</f>
        <v>326277.49</v>
      </c>
      <c r="FT491" s="4">
        <f t="shared" si="393"/>
        <v>0</v>
      </c>
      <c r="FU491" s="4">
        <f t="shared" si="393"/>
        <v>281508.15999999997</v>
      </c>
      <c r="FV491" s="4">
        <f t="shared" si="393"/>
        <v>0</v>
      </c>
      <c r="FW491" s="4">
        <f t="shared" si="393"/>
        <v>107805.75</v>
      </c>
      <c r="FX491" s="4">
        <f t="shared" si="393"/>
        <v>63036.42</v>
      </c>
      <c r="FY491" s="4">
        <f t="shared" si="393"/>
        <v>0</v>
      </c>
      <c r="FZ491" s="4">
        <f t="shared" si="393"/>
        <v>63036.42</v>
      </c>
      <c r="GA491" s="4">
        <f t="shared" si="393"/>
        <v>44769.33</v>
      </c>
      <c r="GB491" s="4">
        <f t="shared" si="393"/>
        <v>0</v>
      </c>
      <c r="GC491" s="4">
        <f t="shared" si="393"/>
        <v>0</v>
      </c>
      <c r="GD491" s="4">
        <f t="shared" si="393"/>
        <v>0</v>
      </c>
      <c r="GE491" s="4">
        <f t="shared" si="393"/>
        <v>0</v>
      </c>
      <c r="GF491" s="4">
        <f t="shared" si="393"/>
        <v>0</v>
      </c>
      <c r="GG491" s="4">
        <f t="shared" si="393"/>
        <v>0</v>
      </c>
      <c r="GH491" s="4">
        <f t="shared" si="393"/>
        <v>0</v>
      </c>
      <c r="GI491" s="4">
        <f t="shared" si="393"/>
        <v>0</v>
      </c>
      <c r="GJ491" s="4">
        <f t="shared" si="393"/>
        <v>0</v>
      </c>
      <c r="GK491" s="4">
        <f t="shared" si="393"/>
        <v>0</v>
      </c>
      <c r="GL491" s="4">
        <f t="shared" si="393"/>
        <v>0</v>
      </c>
      <c r="GM491" s="4">
        <f t="shared" si="393"/>
        <v>0</v>
      </c>
      <c r="GN491" s="4">
        <f t="shared" si="393"/>
        <v>0</v>
      </c>
      <c r="GO491" s="4">
        <f t="shared" si="393"/>
        <v>0</v>
      </c>
      <c r="GP491" s="4">
        <f t="shared" si="393"/>
        <v>0</v>
      </c>
      <c r="GQ491" s="4">
        <f t="shared" si="393"/>
        <v>0</v>
      </c>
      <c r="GR491" s="4">
        <f t="shared" si="393"/>
        <v>0</v>
      </c>
      <c r="GS491" s="4">
        <f t="shared" si="393"/>
        <v>0</v>
      </c>
      <c r="GT491" s="4">
        <f t="shared" si="393"/>
        <v>0</v>
      </c>
      <c r="GU491" s="4">
        <f t="shared" si="393"/>
        <v>0</v>
      </c>
      <c r="GV491" s="4">
        <f t="shared" si="393"/>
        <v>0</v>
      </c>
      <c r="GW491" s="4">
        <f t="shared" si="393"/>
        <v>0</v>
      </c>
      <c r="GX491" s="4">
        <f t="shared" si="393"/>
        <v>0</v>
      </c>
    </row>
    <row r="493" spans="1:255" x14ac:dyDescent="0.2">
      <c r="A493" s="2">
        <v>17</v>
      </c>
      <c r="B493" s="2">
        <v>1</v>
      </c>
      <c r="C493" s="2">
        <f>ROW(SmtRes!A357)</f>
        <v>357</v>
      </c>
      <c r="D493" s="2">
        <f>ROW(EtalonRes!A431)</f>
        <v>431</v>
      </c>
      <c r="E493" s="2" t="s">
        <v>454</v>
      </c>
      <c r="F493" s="2" t="s">
        <v>38</v>
      </c>
      <c r="G493" s="2" t="s">
        <v>39</v>
      </c>
      <c r="H493" s="2" t="s">
        <v>21</v>
      </c>
      <c r="I493" s="2">
        <v>1</v>
      </c>
      <c r="J493" s="2">
        <v>0</v>
      </c>
      <c r="K493" s="2">
        <v>1</v>
      </c>
      <c r="L493" s="2"/>
      <c r="M493" s="2"/>
      <c r="N493" s="2"/>
      <c r="O493" s="2">
        <f t="shared" ref="O493:O508" si="394">ROUND(CP493,2)</f>
        <v>139.13999999999999</v>
      </c>
      <c r="P493" s="2">
        <f t="shared" ref="P493:P498" si="395">ROUND((ROUND((AC493*AW493*I493),2)*BC493),2)</f>
        <v>109.01</v>
      </c>
      <c r="Q493" s="2">
        <f>(ROUND((ROUND((((ET493*1.1))*AV493*I493),2)*BB493),2)+ROUND((ROUND(((AE493-((EU493*1.1)))*AV493*I493),2)*BS493),2))</f>
        <v>2.74</v>
      </c>
      <c r="R493" s="2">
        <f t="shared" ref="R493:R508" si="396">ROUND((ROUND((AE493*AV493*I493),2)*BS493),2)</f>
        <v>0.28999999999999998</v>
      </c>
      <c r="S493" s="2">
        <f t="shared" ref="S493:S508" si="397">ROUND((ROUND((AF493*AV493*I493),2)*BA493),2)</f>
        <v>27.39</v>
      </c>
      <c r="T493" s="2">
        <f t="shared" ref="T493:T508" si="398">ROUND(CU493*I493,2)</f>
        <v>0</v>
      </c>
      <c r="U493" s="2">
        <f t="shared" ref="U493:U508" si="399">CV493*I493</f>
        <v>2.3033999999999999</v>
      </c>
      <c r="V493" s="2">
        <f t="shared" ref="V493:V508" si="400">CW493*I493</f>
        <v>0</v>
      </c>
      <c r="W493" s="2">
        <f t="shared" ref="W493:W508" si="401">ROUND(CX493*I493,2)</f>
        <v>0</v>
      </c>
      <c r="X493" s="2">
        <f t="shared" ref="X493:X508" si="402">ROUND(CY493,2)</f>
        <v>24.91</v>
      </c>
      <c r="Y493" s="2">
        <f t="shared" ref="Y493:Y508" si="403">ROUND(CZ493,2)</f>
        <v>12.73</v>
      </c>
      <c r="Z493" s="2"/>
      <c r="AA493" s="2">
        <v>56959434</v>
      </c>
      <c r="AB493" s="2">
        <f t="shared" ref="AB493:AB508" si="404">ROUND((AC493+AD493+AF493),6)</f>
        <v>137.786</v>
      </c>
      <c r="AC493" s="2">
        <f t="shared" ref="AC493:AC508" si="405">ROUND((ES493),6)</f>
        <v>109.01</v>
      </c>
      <c r="AD493" s="2">
        <f>ROUND(((((ET493*1.1))-((EU493*1.1)))+AE493),6)</f>
        <v>2.6179999999999999</v>
      </c>
      <c r="AE493" s="2">
        <f>ROUND(((EU493*1.1)),6)</f>
        <v>0.27500000000000002</v>
      </c>
      <c r="AF493" s="2">
        <f>ROUND(((EV493*1.1)),6)</f>
        <v>26.158000000000001</v>
      </c>
      <c r="AG493" s="2">
        <f t="shared" ref="AG493:AG508" si="406">ROUND((AP493),6)</f>
        <v>0</v>
      </c>
      <c r="AH493" s="2">
        <f>((EW493*1.1))</f>
        <v>2.2000000000000002</v>
      </c>
      <c r="AI493" s="2">
        <f>((EX493*1.1))</f>
        <v>0</v>
      </c>
      <c r="AJ493" s="2">
        <f t="shared" ref="AJ493:AJ508" si="407">(AS493)</f>
        <v>0</v>
      </c>
      <c r="AK493" s="2">
        <v>135.16999999999999</v>
      </c>
      <c r="AL493" s="2">
        <v>109.01</v>
      </c>
      <c r="AM493" s="2">
        <v>2.38</v>
      </c>
      <c r="AN493" s="2">
        <v>0.25</v>
      </c>
      <c r="AO493" s="2">
        <v>23.78</v>
      </c>
      <c r="AP493" s="2">
        <v>0</v>
      </c>
      <c r="AQ493" s="2">
        <v>2</v>
      </c>
      <c r="AR493" s="2">
        <v>0</v>
      </c>
      <c r="AS493" s="2">
        <v>0</v>
      </c>
      <c r="AT493" s="2">
        <v>90</v>
      </c>
      <c r="AU493" s="2">
        <v>46</v>
      </c>
      <c r="AV493" s="2">
        <v>1.0469999999999999</v>
      </c>
      <c r="AW493" s="2">
        <v>1</v>
      </c>
      <c r="AX493" s="2"/>
      <c r="AY493" s="2"/>
      <c r="AZ493" s="2">
        <v>1</v>
      </c>
      <c r="BA493" s="2">
        <v>1</v>
      </c>
      <c r="BB493" s="2">
        <v>1</v>
      </c>
      <c r="BC493" s="2">
        <v>1</v>
      </c>
      <c r="BD493" s="2" t="s">
        <v>3</v>
      </c>
      <c r="BE493" s="2" t="s">
        <v>3</v>
      </c>
      <c r="BF493" s="2" t="s">
        <v>3</v>
      </c>
      <c r="BG493" s="2" t="s">
        <v>3</v>
      </c>
      <c r="BH493" s="2">
        <v>0</v>
      </c>
      <c r="BI493" s="2">
        <v>2</v>
      </c>
      <c r="BJ493" s="2" t="s">
        <v>40</v>
      </c>
      <c r="BK493" s="2"/>
      <c r="BL493" s="2"/>
      <c r="BM493" s="2">
        <v>68</v>
      </c>
      <c r="BN493" s="2">
        <v>55992028</v>
      </c>
      <c r="BO493" s="2" t="s">
        <v>38</v>
      </c>
      <c r="BP493" s="2">
        <v>1</v>
      </c>
      <c r="BQ493" s="2">
        <v>40</v>
      </c>
      <c r="BR493" s="2">
        <v>0</v>
      </c>
      <c r="BS493" s="2">
        <v>1</v>
      </c>
      <c r="BT493" s="2">
        <v>1</v>
      </c>
      <c r="BU493" s="2">
        <v>1</v>
      </c>
      <c r="BV493" s="2">
        <v>1</v>
      </c>
      <c r="BW493" s="2">
        <v>1</v>
      </c>
      <c r="BX493" s="2">
        <v>1</v>
      </c>
      <c r="BY493" s="2" t="s">
        <v>3</v>
      </c>
      <c r="BZ493" s="2">
        <v>90</v>
      </c>
      <c r="CA493" s="2">
        <v>46</v>
      </c>
      <c r="CB493" s="2" t="s">
        <v>3</v>
      </c>
      <c r="CC493" s="2"/>
      <c r="CD493" s="2"/>
      <c r="CE493" s="2">
        <v>30</v>
      </c>
      <c r="CF493" s="2">
        <v>0</v>
      </c>
      <c r="CG493" s="2">
        <v>0</v>
      </c>
      <c r="CH493" s="2"/>
      <c r="CI493" s="2"/>
      <c r="CJ493" s="2"/>
      <c r="CK493" s="2"/>
      <c r="CL493" s="2"/>
      <c r="CM493" s="2">
        <v>0</v>
      </c>
      <c r="CN493" s="2" t="s">
        <v>673</v>
      </c>
      <c r="CO493" s="2">
        <v>0</v>
      </c>
      <c r="CP493" s="2">
        <f t="shared" ref="CP493:CP508" si="408">(P493+Q493+S493)</f>
        <v>139.13999999999999</v>
      </c>
      <c r="CQ493" s="2">
        <f t="shared" ref="CQ493:CQ498" si="409">ROUND((ROUND((AC493*AW493*1),2)*BC493),2)</f>
        <v>109.01</v>
      </c>
      <c r="CR493" s="2">
        <f>(ROUND((ROUND((((ET493*1.1))*AV493*1),2)*BB493),2)+ROUND((ROUND(((AE493-((EU493*1.1)))*AV493*1),2)*BS493),2))</f>
        <v>2.74</v>
      </c>
      <c r="CS493" s="2">
        <f t="shared" ref="CS493:CS508" si="410">ROUND((ROUND((AE493*AV493*1),2)*BS493),2)</f>
        <v>0.28999999999999998</v>
      </c>
      <c r="CT493" s="2">
        <f t="shared" ref="CT493:CT508" si="411">ROUND((ROUND((AF493*AV493*1),2)*BA493),2)</f>
        <v>27.39</v>
      </c>
      <c r="CU493" s="2">
        <f t="shared" ref="CU493:CU508" si="412">AG493</f>
        <v>0</v>
      </c>
      <c r="CV493" s="2">
        <f t="shared" ref="CV493:CV508" si="413">(AH493*AV493)</f>
        <v>2.3033999999999999</v>
      </c>
      <c r="CW493" s="2">
        <f t="shared" ref="CW493:CW508" si="414">AI493</f>
        <v>0</v>
      </c>
      <c r="CX493" s="2">
        <f t="shared" ref="CX493:CX508" si="415">AJ493</f>
        <v>0</v>
      </c>
      <c r="CY493" s="2">
        <f t="shared" ref="CY493:CY508" si="416">(((S493+R493)*AT493)/100)</f>
        <v>24.911999999999999</v>
      </c>
      <c r="CZ493" s="2">
        <f t="shared" ref="CZ493:CZ508" si="417">(((S493+R493)*AU493)/100)</f>
        <v>12.732799999999999</v>
      </c>
      <c r="DA493" s="2"/>
      <c r="DB493" s="2"/>
      <c r="DC493" s="2" t="s">
        <v>3</v>
      </c>
      <c r="DD493" s="2" t="s">
        <v>3</v>
      </c>
      <c r="DE493" s="2" t="s">
        <v>23</v>
      </c>
      <c r="DF493" s="2" t="s">
        <v>23</v>
      </c>
      <c r="DG493" s="2" t="s">
        <v>23</v>
      </c>
      <c r="DH493" s="2" t="s">
        <v>3</v>
      </c>
      <c r="DI493" s="2" t="s">
        <v>23</v>
      </c>
      <c r="DJ493" s="2" t="s">
        <v>23</v>
      </c>
      <c r="DK493" s="2" t="s">
        <v>3</v>
      </c>
      <c r="DL493" s="2" t="s">
        <v>3</v>
      </c>
      <c r="DM493" s="2" t="s">
        <v>3</v>
      </c>
      <c r="DN493" s="2">
        <v>0</v>
      </c>
      <c r="DO493" s="2">
        <v>0</v>
      </c>
      <c r="DP493" s="2">
        <v>1</v>
      </c>
      <c r="DQ493" s="2">
        <v>1</v>
      </c>
      <c r="DR493" s="2"/>
      <c r="DS493" s="2"/>
      <c r="DT493" s="2"/>
      <c r="DU493" s="2">
        <v>1013</v>
      </c>
      <c r="DV493" s="2" t="s">
        <v>21</v>
      </c>
      <c r="DW493" s="2" t="s">
        <v>21</v>
      </c>
      <c r="DX493" s="2">
        <v>1</v>
      </c>
      <c r="DY493" s="2"/>
      <c r="DZ493" s="2" t="s">
        <v>3</v>
      </c>
      <c r="EA493" s="2" t="s">
        <v>3</v>
      </c>
      <c r="EB493" s="2" t="s">
        <v>3</v>
      </c>
      <c r="EC493" s="2" t="s">
        <v>3</v>
      </c>
      <c r="ED493" s="2"/>
      <c r="EE493" s="2">
        <v>55992152</v>
      </c>
      <c r="EF493" s="2">
        <v>40</v>
      </c>
      <c r="EG493" s="2" t="s">
        <v>24</v>
      </c>
      <c r="EH493" s="2">
        <v>0</v>
      </c>
      <c r="EI493" s="2" t="s">
        <v>3</v>
      </c>
      <c r="EJ493" s="2">
        <v>2</v>
      </c>
      <c r="EK493" s="2">
        <v>68</v>
      </c>
      <c r="EL493" s="2" t="s">
        <v>41</v>
      </c>
      <c r="EM493" s="2" t="s">
        <v>42</v>
      </c>
      <c r="EN493" s="2"/>
      <c r="EO493" s="2" t="s">
        <v>27</v>
      </c>
      <c r="EP493" s="2"/>
      <c r="EQ493" s="2">
        <v>0</v>
      </c>
      <c r="ER493" s="2">
        <v>135.16999999999999</v>
      </c>
      <c r="ES493" s="2">
        <v>109.01</v>
      </c>
      <c r="ET493" s="2">
        <v>2.38</v>
      </c>
      <c r="EU493" s="2">
        <v>0.25</v>
      </c>
      <c r="EV493" s="2">
        <v>23.78</v>
      </c>
      <c r="EW493" s="2">
        <v>2</v>
      </c>
      <c r="EX493" s="2">
        <v>0</v>
      </c>
      <c r="EY493" s="2">
        <v>0</v>
      </c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>
        <v>0</v>
      </c>
      <c r="FR493" s="2">
        <v>0</v>
      </c>
      <c r="FS493" s="2">
        <v>0</v>
      </c>
      <c r="FT493" s="2"/>
      <c r="FU493" s="2"/>
      <c r="FV493" s="2"/>
      <c r="FW493" s="2"/>
      <c r="FX493" s="2">
        <v>90</v>
      </c>
      <c r="FY493" s="2">
        <v>46</v>
      </c>
      <c r="FZ493" s="2"/>
      <c r="GA493" s="2" t="s">
        <v>3</v>
      </c>
      <c r="GB493" s="2"/>
      <c r="GC493" s="2"/>
      <c r="GD493" s="2">
        <v>1</v>
      </c>
      <c r="GE493" s="2"/>
      <c r="GF493" s="2">
        <v>438712902</v>
      </c>
      <c r="GG493" s="2">
        <v>2</v>
      </c>
      <c r="GH493" s="2">
        <v>1</v>
      </c>
      <c r="GI493" s="2">
        <v>2</v>
      </c>
      <c r="GJ493" s="2">
        <v>0</v>
      </c>
      <c r="GK493" s="2">
        <v>0</v>
      </c>
      <c r="GL493" s="2">
        <f t="shared" ref="GL493:GL508" si="418">ROUND(IF(AND(BH493=3,BI493=3,FS493&lt;&gt;0),P493,0),2)</f>
        <v>0</v>
      </c>
      <c r="GM493" s="2">
        <f t="shared" ref="GM493:GM508" si="419">ROUND(O493+X493+Y493,2)+GX493</f>
        <v>176.78</v>
      </c>
      <c r="GN493" s="2">
        <f t="shared" ref="GN493:GN508" si="420">IF(OR(BI493=0,BI493=1),GM493-GX493,0)</f>
        <v>0</v>
      </c>
      <c r="GO493" s="2">
        <f t="shared" ref="GO493:GO508" si="421">IF(BI493=2,GM493-GX493,0)</f>
        <v>176.78</v>
      </c>
      <c r="GP493" s="2">
        <f t="shared" ref="GP493:GP508" si="422">IF(BI493=4,GM493-GX493,0)</f>
        <v>0</v>
      </c>
      <c r="GQ493" s="2"/>
      <c r="GR493" s="2">
        <v>0</v>
      </c>
      <c r="GS493" s="2">
        <v>3</v>
      </c>
      <c r="GT493" s="2">
        <v>0</v>
      </c>
      <c r="GU493" s="2" t="s">
        <v>3</v>
      </c>
      <c r="GV493" s="2">
        <f t="shared" ref="GV493:GV508" si="423">ROUND((GT493),6)</f>
        <v>0</v>
      </c>
      <c r="GW493" s="2">
        <v>1</v>
      </c>
      <c r="GX493" s="2">
        <f t="shared" ref="GX493:GX508" si="424">ROUND(HC493*I493,2)</f>
        <v>0</v>
      </c>
      <c r="GY493" s="2"/>
      <c r="GZ493" s="2"/>
      <c r="HA493" s="2">
        <v>0</v>
      </c>
      <c r="HB493" s="2">
        <v>0</v>
      </c>
      <c r="HC493" s="2">
        <f t="shared" ref="HC493:HC508" si="425">GV493*GW493</f>
        <v>0</v>
      </c>
      <c r="HD493" s="2"/>
      <c r="HE493" s="2" t="s">
        <v>3</v>
      </c>
      <c r="HF493" s="2" t="s">
        <v>3</v>
      </c>
      <c r="HG493" s="2"/>
      <c r="HH493" s="2"/>
      <c r="HI493" s="2"/>
      <c r="HJ493" s="2"/>
      <c r="HK493" s="2"/>
      <c r="HL493" s="2"/>
      <c r="HM493" s="2" t="s">
        <v>3</v>
      </c>
      <c r="HN493" s="2" t="s">
        <v>3</v>
      </c>
      <c r="HO493" s="2" t="s">
        <v>3</v>
      </c>
      <c r="HP493" s="2" t="s">
        <v>3</v>
      </c>
      <c r="HQ493" s="2" t="s">
        <v>3</v>
      </c>
      <c r="HR493" s="2"/>
      <c r="HS493" s="2">
        <v>0</v>
      </c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>
        <v>0</v>
      </c>
      <c r="IL493" s="2"/>
      <c r="IM493" s="2"/>
      <c r="IN493" s="2"/>
      <c r="IO493" s="2"/>
      <c r="IP493" s="2"/>
      <c r="IQ493" s="2"/>
      <c r="IR493" s="2"/>
      <c r="IS493" s="2"/>
      <c r="IT493" s="2"/>
      <c r="IU493" s="2"/>
    </row>
    <row r="494" spans="1:255" x14ac:dyDescent="0.2">
      <c r="A494">
        <v>17</v>
      </c>
      <c r="B494">
        <v>1</v>
      </c>
      <c r="C494">
        <f>ROW(SmtRes!A364)</f>
        <v>364</v>
      </c>
      <c r="D494">
        <f>ROW(EtalonRes!A438)</f>
        <v>438</v>
      </c>
      <c r="E494" t="s">
        <v>454</v>
      </c>
      <c r="F494" t="s">
        <v>38</v>
      </c>
      <c r="G494" t="s">
        <v>39</v>
      </c>
      <c r="H494" t="s">
        <v>21</v>
      </c>
      <c r="I494">
        <v>1</v>
      </c>
      <c r="J494">
        <v>0</v>
      </c>
      <c r="K494">
        <v>1</v>
      </c>
      <c r="O494">
        <f t="shared" si="394"/>
        <v>1899.88</v>
      </c>
      <c r="P494">
        <f t="shared" si="395"/>
        <v>355.37</v>
      </c>
      <c r="Q494">
        <f>(ROUND((ROUND((((ET494*1.1))*AV494*I494),2)*BB494),2)+ROUND((ROUND(((AE494-((EU494*1.1)))*AV494*I494),2)*BS494),2))</f>
        <v>38.33</v>
      </c>
      <c r="R494">
        <f t="shared" si="396"/>
        <v>15.95</v>
      </c>
      <c r="S494">
        <f t="shared" si="397"/>
        <v>1506.18</v>
      </c>
      <c r="T494">
        <f t="shared" si="398"/>
        <v>0</v>
      </c>
      <c r="U494">
        <f t="shared" si="399"/>
        <v>2.3033999999999999</v>
      </c>
      <c r="V494">
        <f t="shared" si="400"/>
        <v>0</v>
      </c>
      <c r="W494">
        <f t="shared" si="401"/>
        <v>0</v>
      </c>
      <c r="X494">
        <f t="shared" si="402"/>
        <v>1369.92</v>
      </c>
      <c r="Y494">
        <f t="shared" si="403"/>
        <v>700.18</v>
      </c>
      <c r="AA494">
        <v>56959431</v>
      </c>
      <c r="AB494">
        <f t="shared" si="404"/>
        <v>137.786</v>
      </c>
      <c r="AC494">
        <f t="shared" si="405"/>
        <v>109.01</v>
      </c>
      <c r="AD494">
        <f>ROUND(((((ET494*1.1))-((EU494*1.1)))+AE494),6)</f>
        <v>2.6179999999999999</v>
      </c>
      <c r="AE494">
        <f>ROUND(((EU494*1.1)),6)</f>
        <v>0.27500000000000002</v>
      </c>
      <c r="AF494">
        <f>ROUND(((EV494*1.1)),6)</f>
        <v>26.158000000000001</v>
      </c>
      <c r="AG494">
        <f t="shared" si="406"/>
        <v>0</v>
      </c>
      <c r="AH494">
        <f>((EW494*1.1))</f>
        <v>2.2000000000000002</v>
      </c>
      <c r="AI494">
        <f>((EX494*1.1))</f>
        <v>0</v>
      </c>
      <c r="AJ494">
        <f t="shared" si="407"/>
        <v>0</v>
      </c>
      <c r="AK494">
        <v>135.16999999999999</v>
      </c>
      <c r="AL494">
        <v>109.01</v>
      </c>
      <c r="AM494">
        <v>2.38</v>
      </c>
      <c r="AN494">
        <v>0.25</v>
      </c>
      <c r="AO494">
        <v>23.78</v>
      </c>
      <c r="AP494">
        <v>0</v>
      </c>
      <c r="AQ494">
        <v>2</v>
      </c>
      <c r="AR494">
        <v>0</v>
      </c>
      <c r="AS494">
        <v>0</v>
      </c>
      <c r="AT494">
        <v>90</v>
      </c>
      <c r="AU494">
        <v>46</v>
      </c>
      <c r="AV494">
        <v>1.0469999999999999</v>
      </c>
      <c r="AW494">
        <v>1</v>
      </c>
      <c r="AZ494">
        <v>1</v>
      </c>
      <c r="BA494">
        <v>54.99</v>
      </c>
      <c r="BB494">
        <v>13.99</v>
      </c>
      <c r="BC494">
        <v>3.26</v>
      </c>
      <c r="BD494" t="s">
        <v>3</v>
      </c>
      <c r="BE494" t="s">
        <v>3</v>
      </c>
      <c r="BF494" t="s">
        <v>3</v>
      </c>
      <c r="BG494" t="s">
        <v>3</v>
      </c>
      <c r="BH494">
        <v>0</v>
      </c>
      <c r="BI494">
        <v>2</v>
      </c>
      <c r="BJ494" t="s">
        <v>40</v>
      </c>
      <c r="BM494">
        <v>68</v>
      </c>
      <c r="BN494">
        <v>55992028</v>
      </c>
      <c r="BO494" t="s">
        <v>38</v>
      </c>
      <c r="BP494">
        <v>1</v>
      </c>
      <c r="BQ494">
        <v>40</v>
      </c>
      <c r="BR494">
        <v>0</v>
      </c>
      <c r="BS494">
        <v>54.99</v>
      </c>
      <c r="BT494">
        <v>1</v>
      </c>
      <c r="BU494">
        <v>1</v>
      </c>
      <c r="BV494">
        <v>1</v>
      </c>
      <c r="BW494">
        <v>1</v>
      </c>
      <c r="BX494">
        <v>1</v>
      </c>
      <c r="BY494" t="s">
        <v>3</v>
      </c>
      <c r="BZ494">
        <v>90</v>
      </c>
      <c r="CA494">
        <v>46</v>
      </c>
      <c r="CB494" t="s">
        <v>3</v>
      </c>
      <c r="CE494">
        <v>30</v>
      </c>
      <c r="CF494">
        <v>0</v>
      </c>
      <c r="CG494">
        <v>0</v>
      </c>
      <c r="CM494">
        <v>0</v>
      </c>
      <c r="CN494" t="s">
        <v>673</v>
      </c>
      <c r="CO494">
        <v>0</v>
      </c>
      <c r="CP494">
        <f t="shared" si="408"/>
        <v>1899.88</v>
      </c>
      <c r="CQ494">
        <f t="shared" si="409"/>
        <v>355.37</v>
      </c>
      <c r="CR494">
        <f>(ROUND((ROUND((((ET494*1.1))*AV494*1),2)*BB494),2)+ROUND((ROUND(((AE494-((EU494*1.1)))*AV494*1),2)*BS494),2))</f>
        <v>38.33</v>
      </c>
      <c r="CS494">
        <f t="shared" si="410"/>
        <v>15.95</v>
      </c>
      <c r="CT494">
        <f t="shared" si="411"/>
        <v>1506.18</v>
      </c>
      <c r="CU494">
        <f t="shared" si="412"/>
        <v>0</v>
      </c>
      <c r="CV494">
        <f t="shared" si="413"/>
        <v>2.3033999999999999</v>
      </c>
      <c r="CW494">
        <f t="shared" si="414"/>
        <v>0</v>
      </c>
      <c r="CX494">
        <f t="shared" si="415"/>
        <v>0</v>
      </c>
      <c r="CY494">
        <f t="shared" si="416"/>
        <v>1369.9170000000001</v>
      </c>
      <c r="CZ494">
        <f t="shared" si="417"/>
        <v>700.17980000000011</v>
      </c>
      <c r="DC494" t="s">
        <v>3</v>
      </c>
      <c r="DD494" t="s">
        <v>3</v>
      </c>
      <c r="DE494" t="s">
        <v>23</v>
      </c>
      <c r="DF494" t="s">
        <v>23</v>
      </c>
      <c r="DG494" t="s">
        <v>23</v>
      </c>
      <c r="DH494" t="s">
        <v>3</v>
      </c>
      <c r="DI494" t="s">
        <v>23</v>
      </c>
      <c r="DJ494" t="s">
        <v>23</v>
      </c>
      <c r="DK494" t="s">
        <v>3</v>
      </c>
      <c r="DL494" t="s">
        <v>3</v>
      </c>
      <c r="DM494" t="s">
        <v>3</v>
      </c>
      <c r="DN494">
        <v>0</v>
      </c>
      <c r="DO494">
        <v>0</v>
      </c>
      <c r="DP494">
        <v>1</v>
      </c>
      <c r="DQ494">
        <v>1</v>
      </c>
      <c r="DU494">
        <v>1013</v>
      </c>
      <c r="DV494" t="s">
        <v>21</v>
      </c>
      <c r="DW494" t="s">
        <v>21</v>
      </c>
      <c r="DX494">
        <v>1</v>
      </c>
      <c r="DZ494" t="s">
        <v>3</v>
      </c>
      <c r="EA494" t="s">
        <v>3</v>
      </c>
      <c r="EB494" t="s">
        <v>3</v>
      </c>
      <c r="EC494" t="s">
        <v>3</v>
      </c>
      <c r="EE494">
        <v>55992152</v>
      </c>
      <c r="EF494">
        <v>40</v>
      </c>
      <c r="EG494" t="s">
        <v>24</v>
      </c>
      <c r="EH494">
        <v>0</v>
      </c>
      <c r="EI494" t="s">
        <v>3</v>
      </c>
      <c r="EJ494">
        <v>2</v>
      </c>
      <c r="EK494">
        <v>68</v>
      </c>
      <c r="EL494" t="s">
        <v>41</v>
      </c>
      <c r="EM494" t="s">
        <v>42</v>
      </c>
      <c r="EO494" t="s">
        <v>27</v>
      </c>
      <c r="EQ494">
        <v>0</v>
      </c>
      <c r="ER494">
        <v>135.16999999999999</v>
      </c>
      <c r="ES494">
        <v>109.01</v>
      </c>
      <c r="ET494">
        <v>2.38</v>
      </c>
      <c r="EU494">
        <v>0.25</v>
      </c>
      <c r="EV494">
        <v>23.78</v>
      </c>
      <c r="EW494">
        <v>2</v>
      </c>
      <c r="EX494">
        <v>0</v>
      </c>
      <c r="EY494">
        <v>0</v>
      </c>
      <c r="FQ494">
        <v>0</v>
      </c>
      <c r="FR494">
        <v>0</v>
      </c>
      <c r="FS494">
        <v>0</v>
      </c>
      <c r="FX494">
        <v>90</v>
      </c>
      <c r="FY494">
        <v>46</v>
      </c>
      <c r="GA494" t="s">
        <v>3</v>
      </c>
      <c r="GD494">
        <v>1</v>
      </c>
      <c r="GF494">
        <v>438712902</v>
      </c>
      <c r="GG494">
        <v>2</v>
      </c>
      <c r="GH494">
        <v>1</v>
      </c>
      <c r="GI494">
        <v>2</v>
      </c>
      <c r="GJ494">
        <v>0</v>
      </c>
      <c r="GK494">
        <v>0</v>
      </c>
      <c r="GL494">
        <f t="shared" si="418"/>
        <v>0</v>
      </c>
      <c r="GM494">
        <f t="shared" si="419"/>
        <v>3969.98</v>
      </c>
      <c r="GN494">
        <f t="shared" si="420"/>
        <v>0</v>
      </c>
      <c r="GO494">
        <f t="shared" si="421"/>
        <v>3969.98</v>
      </c>
      <c r="GP494">
        <f t="shared" si="422"/>
        <v>0</v>
      </c>
      <c r="GR494">
        <v>0</v>
      </c>
      <c r="GS494">
        <v>3</v>
      </c>
      <c r="GT494">
        <v>0</v>
      </c>
      <c r="GU494" t="s">
        <v>3</v>
      </c>
      <c r="GV494">
        <f t="shared" si="423"/>
        <v>0</v>
      </c>
      <c r="GW494">
        <v>1</v>
      </c>
      <c r="GX494">
        <f t="shared" si="424"/>
        <v>0</v>
      </c>
      <c r="HA494">
        <v>0</v>
      </c>
      <c r="HB494">
        <v>0</v>
      </c>
      <c r="HC494">
        <f t="shared" si="425"/>
        <v>0</v>
      </c>
      <c r="HE494" t="s">
        <v>3</v>
      </c>
      <c r="HF494" t="s">
        <v>3</v>
      </c>
      <c r="HM494" t="s">
        <v>3</v>
      </c>
      <c r="HN494" t="s">
        <v>3</v>
      </c>
      <c r="HO494" t="s">
        <v>3</v>
      </c>
      <c r="HP494" t="s">
        <v>3</v>
      </c>
      <c r="HQ494" t="s">
        <v>3</v>
      </c>
      <c r="HS494">
        <v>0</v>
      </c>
      <c r="IK494">
        <v>0</v>
      </c>
    </row>
    <row r="495" spans="1:255" x14ac:dyDescent="0.2">
      <c r="A495" s="2">
        <v>18</v>
      </c>
      <c r="B495" s="2">
        <v>1</v>
      </c>
      <c r="C495" s="2">
        <v>356</v>
      </c>
      <c r="D495" s="2"/>
      <c r="E495" s="2" t="s">
        <v>455</v>
      </c>
      <c r="F495" s="2" t="s">
        <v>44</v>
      </c>
      <c r="G495" s="2" t="s">
        <v>45</v>
      </c>
      <c r="H495" s="2" t="s">
        <v>31</v>
      </c>
      <c r="I495" s="2">
        <f>I493*J495</f>
        <v>1</v>
      </c>
      <c r="J495" s="2">
        <v>1</v>
      </c>
      <c r="K495" s="2">
        <v>1</v>
      </c>
      <c r="L495" s="2"/>
      <c r="M495" s="2"/>
      <c r="N495" s="2"/>
      <c r="O495" s="2">
        <f t="shared" si="394"/>
        <v>1975.19</v>
      </c>
      <c r="P495" s="2">
        <f t="shared" si="395"/>
        <v>1975.19</v>
      </c>
      <c r="Q495" s="2">
        <f>(ROUND((ROUND(((ET495)*AV495*I495),2)*BB495),2)+ROUND((ROUND(((AE495-(EU495))*AV495*I495),2)*BS495),2))</f>
        <v>0</v>
      </c>
      <c r="R495" s="2">
        <f t="shared" si="396"/>
        <v>0</v>
      </c>
      <c r="S495" s="2">
        <f t="shared" si="397"/>
        <v>0</v>
      </c>
      <c r="T495" s="2">
        <f t="shared" si="398"/>
        <v>0</v>
      </c>
      <c r="U495" s="2">
        <f t="shared" si="399"/>
        <v>0</v>
      </c>
      <c r="V495" s="2">
        <f t="shared" si="400"/>
        <v>0</v>
      </c>
      <c r="W495" s="2">
        <f t="shared" si="401"/>
        <v>0</v>
      </c>
      <c r="X495" s="2">
        <f t="shared" si="402"/>
        <v>0</v>
      </c>
      <c r="Y495" s="2">
        <f t="shared" si="403"/>
        <v>0</v>
      </c>
      <c r="Z495" s="2"/>
      <c r="AA495" s="2">
        <v>56959434</v>
      </c>
      <c r="AB495" s="2">
        <f t="shared" si="404"/>
        <v>1975.19</v>
      </c>
      <c r="AC495" s="2">
        <f t="shared" si="405"/>
        <v>1975.19</v>
      </c>
      <c r="AD495" s="2">
        <f>ROUND((((ET495)-(EU495))+AE495),6)</f>
        <v>0</v>
      </c>
      <c r="AE495" s="2">
        <f>ROUND((EU495),6)</f>
        <v>0</v>
      </c>
      <c r="AF495" s="2">
        <f>ROUND((EV495),6)</f>
        <v>0</v>
      </c>
      <c r="AG495" s="2">
        <f t="shared" si="406"/>
        <v>0</v>
      </c>
      <c r="AH495" s="2">
        <f>(EW495)</f>
        <v>0</v>
      </c>
      <c r="AI495" s="2">
        <f>(EX495)</f>
        <v>0</v>
      </c>
      <c r="AJ495" s="2">
        <f t="shared" si="407"/>
        <v>0</v>
      </c>
      <c r="AK495" s="2">
        <v>1975.19</v>
      </c>
      <c r="AL495" s="2">
        <v>1975.19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90</v>
      </c>
      <c r="AU495" s="2">
        <v>46</v>
      </c>
      <c r="AV495" s="2">
        <v>1</v>
      </c>
      <c r="AW495" s="2">
        <v>1</v>
      </c>
      <c r="AX495" s="2"/>
      <c r="AY495" s="2"/>
      <c r="AZ495" s="2">
        <v>1</v>
      </c>
      <c r="BA495" s="2">
        <v>1</v>
      </c>
      <c r="BB495" s="2">
        <v>1</v>
      </c>
      <c r="BC495" s="2">
        <v>1</v>
      </c>
      <c r="BD495" s="2" t="s">
        <v>3</v>
      </c>
      <c r="BE495" s="2" t="s">
        <v>3</v>
      </c>
      <c r="BF495" s="2" t="s">
        <v>3</v>
      </c>
      <c r="BG495" s="2" t="s">
        <v>3</v>
      </c>
      <c r="BH495" s="2">
        <v>3</v>
      </c>
      <c r="BI495" s="2">
        <v>2</v>
      </c>
      <c r="BJ495" s="2" t="s">
        <v>46</v>
      </c>
      <c r="BK495" s="2"/>
      <c r="BL495" s="2"/>
      <c r="BM495" s="2">
        <v>68</v>
      </c>
      <c r="BN495" s="2">
        <v>55992028</v>
      </c>
      <c r="BO495" s="2" t="s">
        <v>3</v>
      </c>
      <c r="BP495" s="2">
        <v>0</v>
      </c>
      <c r="BQ495" s="2">
        <v>40</v>
      </c>
      <c r="BR495" s="2">
        <v>0</v>
      </c>
      <c r="BS495" s="2">
        <v>1</v>
      </c>
      <c r="BT495" s="2">
        <v>1</v>
      </c>
      <c r="BU495" s="2">
        <v>1</v>
      </c>
      <c r="BV495" s="2">
        <v>1</v>
      </c>
      <c r="BW495" s="2">
        <v>1</v>
      </c>
      <c r="BX495" s="2">
        <v>1</v>
      </c>
      <c r="BY495" s="2" t="s">
        <v>3</v>
      </c>
      <c r="BZ495" s="2">
        <v>90</v>
      </c>
      <c r="CA495" s="2">
        <v>46</v>
      </c>
      <c r="CB495" s="2" t="s">
        <v>3</v>
      </c>
      <c r="CC495" s="2"/>
      <c r="CD495" s="2"/>
      <c r="CE495" s="2">
        <v>30</v>
      </c>
      <c r="CF495" s="2">
        <v>0</v>
      </c>
      <c r="CG495" s="2">
        <v>0</v>
      </c>
      <c r="CH495" s="2"/>
      <c r="CI495" s="2"/>
      <c r="CJ495" s="2"/>
      <c r="CK495" s="2"/>
      <c r="CL495" s="2"/>
      <c r="CM495" s="2">
        <v>0</v>
      </c>
      <c r="CN495" s="2" t="s">
        <v>3</v>
      </c>
      <c r="CO495" s="2">
        <v>0</v>
      </c>
      <c r="CP495" s="2">
        <f t="shared" si="408"/>
        <v>1975.19</v>
      </c>
      <c r="CQ495" s="2">
        <f t="shared" si="409"/>
        <v>1975.19</v>
      </c>
      <c r="CR495" s="2">
        <f>(ROUND((ROUND(((ET495)*AV495*1),2)*BB495),2)+ROUND((ROUND(((AE495-(EU495))*AV495*1),2)*BS495),2))</f>
        <v>0</v>
      </c>
      <c r="CS495" s="2">
        <f t="shared" si="410"/>
        <v>0</v>
      </c>
      <c r="CT495" s="2">
        <f t="shared" si="411"/>
        <v>0</v>
      </c>
      <c r="CU495" s="2">
        <f t="shared" si="412"/>
        <v>0</v>
      </c>
      <c r="CV495" s="2">
        <f t="shared" si="413"/>
        <v>0</v>
      </c>
      <c r="CW495" s="2">
        <f t="shared" si="414"/>
        <v>0</v>
      </c>
      <c r="CX495" s="2">
        <f t="shared" si="415"/>
        <v>0</v>
      </c>
      <c r="CY495" s="2">
        <f t="shared" si="416"/>
        <v>0</v>
      </c>
      <c r="CZ495" s="2">
        <f t="shared" si="417"/>
        <v>0</v>
      </c>
      <c r="DA495" s="2"/>
      <c r="DB495" s="2"/>
      <c r="DC495" s="2" t="s">
        <v>3</v>
      </c>
      <c r="DD495" s="2" t="s">
        <v>3</v>
      </c>
      <c r="DE495" s="2" t="s">
        <v>3</v>
      </c>
      <c r="DF495" s="2" t="s">
        <v>3</v>
      </c>
      <c r="DG495" s="2" t="s">
        <v>3</v>
      </c>
      <c r="DH495" s="2" t="s">
        <v>3</v>
      </c>
      <c r="DI495" s="2" t="s">
        <v>3</v>
      </c>
      <c r="DJ495" s="2" t="s">
        <v>3</v>
      </c>
      <c r="DK495" s="2" t="s">
        <v>3</v>
      </c>
      <c r="DL495" s="2" t="s">
        <v>3</v>
      </c>
      <c r="DM495" s="2" t="s">
        <v>3</v>
      </c>
      <c r="DN495" s="2">
        <v>0</v>
      </c>
      <c r="DO495" s="2">
        <v>0</v>
      </c>
      <c r="DP495" s="2">
        <v>1</v>
      </c>
      <c r="DQ495" s="2">
        <v>1</v>
      </c>
      <c r="DR495" s="2"/>
      <c r="DS495" s="2"/>
      <c r="DT495" s="2"/>
      <c r="DU495" s="2">
        <v>1010</v>
      </c>
      <c r="DV495" s="2" t="s">
        <v>31</v>
      </c>
      <c r="DW495" s="2" t="s">
        <v>31</v>
      </c>
      <c r="DX495" s="2">
        <v>1</v>
      </c>
      <c r="DY495" s="2"/>
      <c r="DZ495" s="2" t="s">
        <v>3</v>
      </c>
      <c r="EA495" s="2" t="s">
        <v>3</v>
      </c>
      <c r="EB495" s="2" t="s">
        <v>3</v>
      </c>
      <c r="EC495" s="2" t="s">
        <v>3</v>
      </c>
      <c r="ED495" s="2"/>
      <c r="EE495" s="2">
        <v>55992152</v>
      </c>
      <c r="EF495" s="2">
        <v>40</v>
      </c>
      <c r="EG495" s="2" t="s">
        <v>24</v>
      </c>
      <c r="EH495" s="2">
        <v>0</v>
      </c>
      <c r="EI495" s="2" t="s">
        <v>3</v>
      </c>
      <c r="EJ495" s="2">
        <v>2</v>
      </c>
      <c r="EK495" s="2">
        <v>68</v>
      </c>
      <c r="EL495" s="2" t="s">
        <v>41</v>
      </c>
      <c r="EM495" s="2" t="s">
        <v>42</v>
      </c>
      <c r="EN495" s="2"/>
      <c r="EO495" s="2" t="s">
        <v>3</v>
      </c>
      <c r="EP495" s="2"/>
      <c r="EQ495" s="2">
        <v>0</v>
      </c>
      <c r="ER495" s="2">
        <v>1975.19</v>
      </c>
      <c r="ES495" s="2">
        <v>1975.19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>
        <v>0</v>
      </c>
      <c r="FR495" s="2">
        <v>0</v>
      </c>
      <c r="FS495" s="2">
        <v>0</v>
      </c>
      <c r="FT495" s="2"/>
      <c r="FU495" s="2"/>
      <c r="FV495" s="2"/>
      <c r="FW495" s="2"/>
      <c r="FX495" s="2">
        <v>90</v>
      </c>
      <c r="FY495" s="2">
        <v>46</v>
      </c>
      <c r="FZ495" s="2"/>
      <c r="GA495" s="2" t="s">
        <v>3</v>
      </c>
      <c r="GB495" s="2"/>
      <c r="GC495" s="2"/>
      <c r="GD495" s="2">
        <v>1</v>
      </c>
      <c r="GE495" s="2"/>
      <c r="GF495" s="2">
        <v>672353504</v>
      </c>
      <c r="GG495" s="2">
        <v>2</v>
      </c>
      <c r="GH495" s="2">
        <v>1</v>
      </c>
      <c r="GI495" s="2">
        <v>-2</v>
      </c>
      <c r="GJ495" s="2">
        <v>0</v>
      </c>
      <c r="GK495" s="2">
        <v>0</v>
      </c>
      <c r="GL495" s="2">
        <f t="shared" si="418"/>
        <v>0</v>
      </c>
      <c r="GM495" s="2">
        <f t="shared" si="419"/>
        <v>1975.19</v>
      </c>
      <c r="GN495" s="2">
        <f t="shared" si="420"/>
        <v>0</v>
      </c>
      <c r="GO495" s="2">
        <f t="shared" si="421"/>
        <v>1975.19</v>
      </c>
      <c r="GP495" s="2">
        <f t="shared" si="422"/>
        <v>0</v>
      </c>
      <c r="GQ495" s="2"/>
      <c r="GR495" s="2">
        <v>0</v>
      </c>
      <c r="GS495" s="2">
        <v>3</v>
      </c>
      <c r="GT495" s="2">
        <v>0</v>
      </c>
      <c r="GU495" s="2" t="s">
        <v>3</v>
      </c>
      <c r="GV495" s="2">
        <f t="shared" si="423"/>
        <v>0</v>
      </c>
      <c r="GW495" s="2">
        <v>1</v>
      </c>
      <c r="GX495" s="2">
        <f t="shared" si="424"/>
        <v>0</v>
      </c>
      <c r="GY495" s="2"/>
      <c r="GZ495" s="2"/>
      <c r="HA495" s="2">
        <v>0</v>
      </c>
      <c r="HB495" s="2">
        <v>0</v>
      </c>
      <c r="HC495" s="2">
        <f t="shared" si="425"/>
        <v>0</v>
      </c>
      <c r="HD495" s="2"/>
      <c r="HE495" s="2" t="s">
        <v>3</v>
      </c>
      <c r="HF495" s="2" t="s">
        <v>3</v>
      </c>
      <c r="HG495" s="2"/>
      <c r="HH495" s="2"/>
      <c r="HI495" s="2"/>
      <c r="HJ495" s="2"/>
      <c r="HK495" s="2"/>
      <c r="HL495" s="2"/>
      <c r="HM495" s="2" t="s">
        <v>3</v>
      </c>
      <c r="HN495" s="2" t="s">
        <v>3</v>
      </c>
      <c r="HO495" s="2" t="s">
        <v>3</v>
      </c>
      <c r="HP495" s="2" t="s">
        <v>3</v>
      </c>
      <c r="HQ495" s="2" t="s">
        <v>3</v>
      </c>
      <c r="HR495" s="2"/>
      <c r="HS495" s="2">
        <v>0</v>
      </c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>
        <v>0</v>
      </c>
      <c r="IL495" s="2"/>
      <c r="IM495" s="2"/>
      <c r="IN495" s="2"/>
      <c r="IO495" s="2"/>
      <c r="IP495" s="2"/>
      <c r="IQ495" s="2"/>
      <c r="IR495" s="2"/>
      <c r="IS495" s="2"/>
      <c r="IT495" s="2"/>
      <c r="IU495" s="2"/>
    </row>
    <row r="496" spans="1:255" x14ac:dyDescent="0.2">
      <c r="A496">
        <v>18</v>
      </c>
      <c r="B496">
        <v>1</v>
      </c>
      <c r="C496">
        <v>363</v>
      </c>
      <c r="E496" t="s">
        <v>455</v>
      </c>
      <c r="F496" t="s">
        <v>44</v>
      </c>
      <c r="G496" t="s">
        <v>45</v>
      </c>
      <c r="H496" t="s">
        <v>31</v>
      </c>
      <c r="I496">
        <f>I494*J496</f>
        <v>1</v>
      </c>
      <c r="J496">
        <v>1</v>
      </c>
      <c r="K496">
        <v>1</v>
      </c>
      <c r="O496">
        <f t="shared" si="394"/>
        <v>13549.8</v>
      </c>
      <c r="P496">
        <f t="shared" si="395"/>
        <v>13549.8</v>
      </c>
      <c r="Q496">
        <f>(ROUND((ROUND(((ET496)*AV496*I496),2)*BB496),2)+ROUND((ROUND(((AE496-(EU496))*AV496*I496),2)*BS496),2))</f>
        <v>0</v>
      </c>
      <c r="R496">
        <f t="shared" si="396"/>
        <v>0</v>
      </c>
      <c r="S496">
        <f t="shared" si="397"/>
        <v>0</v>
      </c>
      <c r="T496">
        <f t="shared" si="398"/>
        <v>0</v>
      </c>
      <c r="U496">
        <f t="shared" si="399"/>
        <v>0</v>
      </c>
      <c r="V496">
        <f t="shared" si="400"/>
        <v>0</v>
      </c>
      <c r="W496">
        <f t="shared" si="401"/>
        <v>0</v>
      </c>
      <c r="X496">
        <f t="shared" si="402"/>
        <v>0</v>
      </c>
      <c r="Y496">
        <f t="shared" si="403"/>
        <v>0</v>
      </c>
      <c r="AA496">
        <v>56959431</v>
      </c>
      <c r="AB496">
        <f t="shared" si="404"/>
        <v>1975.19</v>
      </c>
      <c r="AC496">
        <f t="shared" si="405"/>
        <v>1975.19</v>
      </c>
      <c r="AD496">
        <f>ROUND((((ET496)-(EU496))+AE496),6)</f>
        <v>0</v>
      </c>
      <c r="AE496">
        <f>ROUND((EU496),6)</f>
        <v>0</v>
      </c>
      <c r="AF496">
        <f>ROUND((EV496),6)</f>
        <v>0</v>
      </c>
      <c r="AG496">
        <f t="shared" si="406"/>
        <v>0</v>
      </c>
      <c r="AH496">
        <f>(EW496)</f>
        <v>0</v>
      </c>
      <c r="AI496">
        <f>(EX496)</f>
        <v>0</v>
      </c>
      <c r="AJ496">
        <f t="shared" si="407"/>
        <v>0</v>
      </c>
      <c r="AK496">
        <v>1975.19</v>
      </c>
      <c r="AL496">
        <v>1975.19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90</v>
      </c>
      <c r="AU496">
        <v>46</v>
      </c>
      <c r="AV496">
        <v>1</v>
      </c>
      <c r="AW496">
        <v>1</v>
      </c>
      <c r="AZ496">
        <v>1</v>
      </c>
      <c r="BA496">
        <v>1</v>
      </c>
      <c r="BB496">
        <v>1</v>
      </c>
      <c r="BC496">
        <v>6.86</v>
      </c>
      <c r="BD496" t="s">
        <v>3</v>
      </c>
      <c r="BE496" t="s">
        <v>3</v>
      </c>
      <c r="BF496" t="s">
        <v>3</v>
      </c>
      <c r="BG496" t="s">
        <v>3</v>
      </c>
      <c r="BH496">
        <v>3</v>
      </c>
      <c r="BI496">
        <v>2</v>
      </c>
      <c r="BJ496" t="s">
        <v>46</v>
      </c>
      <c r="BM496">
        <v>68</v>
      </c>
      <c r="BN496">
        <v>55992028</v>
      </c>
      <c r="BO496" t="s">
        <v>44</v>
      </c>
      <c r="BP496">
        <v>1</v>
      </c>
      <c r="BQ496">
        <v>40</v>
      </c>
      <c r="BR496">
        <v>0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 t="s">
        <v>3</v>
      </c>
      <c r="BZ496">
        <v>90</v>
      </c>
      <c r="CA496">
        <v>46</v>
      </c>
      <c r="CB496" t="s">
        <v>3</v>
      </c>
      <c r="CE496">
        <v>30</v>
      </c>
      <c r="CF496">
        <v>0</v>
      </c>
      <c r="CG496">
        <v>0</v>
      </c>
      <c r="CM496">
        <v>0</v>
      </c>
      <c r="CN496" t="s">
        <v>3</v>
      </c>
      <c r="CO496">
        <v>0</v>
      </c>
      <c r="CP496">
        <f t="shared" si="408"/>
        <v>13549.8</v>
      </c>
      <c r="CQ496">
        <f t="shared" si="409"/>
        <v>13549.8</v>
      </c>
      <c r="CR496">
        <f>(ROUND((ROUND(((ET496)*AV496*1),2)*BB496),2)+ROUND((ROUND(((AE496-(EU496))*AV496*1),2)*BS496),2))</f>
        <v>0</v>
      </c>
      <c r="CS496">
        <f t="shared" si="410"/>
        <v>0</v>
      </c>
      <c r="CT496">
        <f t="shared" si="411"/>
        <v>0</v>
      </c>
      <c r="CU496">
        <f t="shared" si="412"/>
        <v>0</v>
      </c>
      <c r="CV496">
        <f t="shared" si="413"/>
        <v>0</v>
      </c>
      <c r="CW496">
        <f t="shared" si="414"/>
        <v>0</v>
      </c>
      <c r="CX496">
        <f t="shared" si="415"/>
        <v>0</v>
      </c>
      <c r="CY496">
        <f t="shared" si="416"/>
        <v>0</v>
      </c>
      <c r="CZ496">
        <f t="shared" si="417"/>
        <v>0</v>
      </c>
      <c r="DC496" t="s">
        <v>3</v>
      </c>
      <c r="DD496" t="s">
        <v>3</v>
      </c>
      <c r="DE496" t="s">
        <v>3</v>
      </c>
      <c r="DF496" t="s">
        <v>3</v>
      </c>
      <c r="DG496" t="s">
        <v>3</v>
      </c>
      <c r="DH496" t="s">
        <v>3</v>
      </c>
      <c r="DI496" t="s">
        <v>3</v>
      </c>
      <c r="DJ496" t="s">
        <v>3</v>
      </c>
      <c r="DK496" t="s">
        <v>3</v>
      </c>
      <c r="DL496" t="s">
        <v>3</v>
      </c>
      <c r="DM496" t="s">
        <v>3</v>
      </c>
      <c r="DN496">
        <v>0</v>
      </c>
      <c r="DO496">
        <v>0</v>
      </c>
      <c r="DP496">
        <v>1</v>
      </c>
      <c r="DQ496">
        <v>1</v>
      </c>
      <c r="DU496">
        <v>1010</v>
      </c>
      <c r="DV496" t="s">
        <v>31</v>
      </c>
      <c r="DW496" t="s">
        <v>31</v>
      </c>
      <c r="DX496">
        <v>1</v>
      </c>
      <c r="DZ496" t="s">
        <v>3</v>
      </c>
      <c r="EA496" t="s">
        <v>3</v>
      </c>
      <c r="EB496" t="s">
        <v>3</v>
      </c>
      <c r="EC496" t="s">
        <v>3</v>
      </c>
      <c r="EE496">
        <v>55992152</v>
      </c>
      <c r="EF496">
        <v>40</v>
      </c>
      <c r="EG496" t="s">
        <v>24</v>
      </c>
      <c r="EH496">
        <v>0</v>
      </c>
      <c r="EI496" t="s">
        <v>3</v>
      </c>
      <c r="EJ496">
        <v>2</v>
      </c>
      <c r="EK496">
        <v>68</v>
      </c>
      <c r="EL496" t="s">
        <v>41</v>
      </c>
      <c r="EM496" t="s">
        <v>42</v>
      </c>
      <c r="EO496" t="s">
        <v>3</v>
      </c>
      <c r="EQ496">
        <v>0</v>
      </c>
      <c r="ER496">
        <v>1975.19</v>
      </c>
      <c r="ES496">
        <v>1975.19</v>
      </c>
      <c r="ET496">
        <v>0</v>
      </c>
      <c r="EU496">
        <v>0</v>
      </c>
      <c r="EV496">
        <v>0</v>
      </c>
      <c r="EW496">
        <v>0</v>
      </c>
      <c r="EX496">
        <v>0</v>
      </c>
      <c r="FQ496">
        <v>0</v>
      </c>
      <c r="FR496">
        <v>0</v>
      </c>
      <c r="FS496">
        <v>0</v>
      </c>
      <c r="FX496">
        <v>90</v>
      </c>
      <c r="FY496">
        <v>46</v>
      </c>
      <c r="GA496" t="s">
        <v>3</v>
      </c>
      <c r="GD496">
        <v>1</v>
      </c>
      <c r="GF496">
        <v>672353504</v>
      </c>
      <c r="GG496">
        <v>2</v>
      </c>
      <c r="GH496">
        <v>1</v>
      </c>
      <c r="GI496">
        <v>2</v>
      </c>
      <c r="GJ496">
        <v>0</v>
      </c>
      <c r="GK496">
        <v>0</v>
      </c>
      <c r="GL496">
        <f t="shared" si="418"/>
        <v>0</v>
      </c>
      <c r="GM496">
        <f t="shared" si="419"/>
        <v>13549.8</v>
      </c>
      <c r="GN496">
        <f t="shared" si="420"/>
        <v>0</v>
      </c>
      <c r="GO496">
        <f t="shared" si="421"/>
        <v>13549.8</v>
      </c>
      <c r="GP496">
        <f t="shared" si="422"/>
        <v>0</v>
      </c>
      <c r="GR496">
        <v>0</v>
      </c>
      <c r="GS496">
        <v>3</v>
      </c>
      <c r="GT496">
        <v>0</v>
      </c>
      <c r="GU496" t="s">
        <v>3</v>
      </c>
      <c r="GV496">
        <f t="shared" si="423"/>
        <v>0</v>
      </c>
      <c r="GW496">
        <v>1</v>
      </c>
      <c r="GX496">
        <f t="shared" si="424"/>
        <v>0</v>
      </c>
      <c r="HA496">
        <v>0</v>
      </c>
      <c r="HB496">
        <v>0</v>
      </c>
      <c r="HC496">
        <f t="shared" si="425"/>
        <v>0</v>
      </c>
      <c r="HE496" t="s">
        <v>3</v>
      </c>
      <c r="HF496" t="s">
        <v>3</v>
      </c>
      <c r="HM496" t="s">
        <v>3</v>
      </c>
      <c r="HN496" t="s">
        <v>3</v>
      </c>
      <c r="HO496" t="s">
        <v>3</v>
      </c>
      <c r="HP496" t="s">
        <v>3</v>
      </c>
      <c r="HQ496" t="s">
        <v>3</v>
      </c>
      <c r="HS496">
        <v>0</v>
      </c>
      <c r="IK496">
        <v>0</v>
      </c>
    </row>
    <row r="497" spans="1:255" x14ac:dyDescent="0.2">
      <c r="A497" s="2">
        <v>17</v>
      </c>
      <c r="B497" s="2">
        <v>1</v>
      </c>
      <c r="C497" s="2">
        <f>ROW(SmtRes!A368)</f>
        <v>368</v>
      </c>
      <c r="D497" s="2">
        <f>ROW(EtalonRes!A443)</f>
        <v>443</v>
      </c>
      <c r="E497" s="2" t="s">
        <v>456</v>
      </c>
      <c r="F497" s="2" t="s">
        <v>56</v>
      </c>
      <c r="G497" s="2" t="s">
        <v>57</v>
      </c>
      <c r="H497" s="2" t="s">
        <v>58</v>
      </c>
      <c r="I497" s="2">
        <f>ROUND(2/10,9)</f>
        <v>0.2</v>
      </c>
      <c r="J497" s="2">
        <v>0</v>
      </c>
      <c r="K497" s="2">
        <f>ROUND(2/10,9)</f>
        <v>0.2</v>
      </c>
      <c r="L497" s="2"/>
      <c r="M497" s="2"/>
      <c r="N497" s="2"/>
      <c r="O497" s="2">
        <f t="shared" si="394"/>
        <v>108.99</v>
      </c>
      <c r="P497" s="2">
        <f t="shared" si="395"/>
        <v>0.26</v>
      </c>
      <c r="Q497" s="2">
        <f>(ROUND((ROUND((((ET497*1.1))*AV497*I497),2)*BB497),2)+ROUND((ROUND(((AE497-((EU497*1.1)))*AV497*I497),2)*BS497),2))</f>
        <v>0.25</v>
      </c>
      <c r="R497" s="2">
        <f t="shared" si="396"/>
        <v>0.03</v>
      </c>
      <c r="S497" s="2">
        <f t="shared" si="397"/>
        <v>108.48</v>
      </c>
      <c r="T497" s="2">
        <f t="shared" si="398"/>
        <v>0</v>
      </c>
      <c r="U497" s="2">
        <f t="shared" si="399"/>
        <v>6.9009864000000007</v>
      </c>
      <c r="V497" s="2">
        <f t="shared" si="400"/>
        <v>0</v>
      </c>
      <c r="W497" s="2">
        <f t="shared" si="401"/>
        <v>0</v>
      </c>
      <c r="X497" s="2">
        <f t="shared" si="402"/>
        <v>97.66</v>
      </c>
      <c r="Y497" s="2">
        <f t="shared" si="403"/>
        <v>49.91</v>
      </c>
      <c r="Z497" s="2"/>
      <c r="AA497" s="2">
        <v>56959434</v>
      </c>
      <c r="AB497" s="2">
        <f t="shared" si="404"/>
        <v>520.53399999999999</v>
      </c>
      <c r="AC497" s="2">
        <f t="shared" si="405"/>
        <v>1.29</v>
      </c>
      <c r="AD497" s="2">
        <f>ROUND(((((ET497*1.1))-((EU497*1.1)))+AE497),6)</f>
        <v>1.21</v>
      </c>
      <c r="AE497" s="2">
        <f>ROUND(((EU497*1.1)),6)</f>
        <v>0.14299999999999999</v>
      </c>
      <c r="AF497" s="2">
        <f>ROUND(((EV497*1.1)),6)</f>
        <v>518.03399999999999</v>
      </c>
      <c r="AG497" s="2">
        <f t="shared" si="406"/>
        <v>0</v>
      </c>
      <c r="AH497" s="2">
        <f>((EW497*1.1))</f>
        <v>32.956000000000003</v>
      </c>
      <c r="AI497" s="2">
        <f>((EX497*1.1))</f>
        <v>0</v>
      </c>
      <c r="AJ497" s="2">
        <f t="shared" si="407"/>
        <v>0</v>
      </c>
      <c r="AK497" s="2">
        <v>473.33</v>
      </c>
      <c r="AL497" s="2">
        <v>1.29</v>
      </c>
      <c r="AM497" s="2">
        <v>1.1000000000000001</v>
      </c>
      <c r="AN497" s="2">
        <v>0.13</v>
      </c>
      <c r="AO497" s="2">
        <v>470.94</v>
      </c>
      <c r="AP497" s="2">
        <v>0</v>
      </c>
      <c r="AQ497" s="2">
        <v>29.96</v>
      </c>
      <c r="AR497" s="2">
        <v>0</v>
      </c>
      <c r="AS497" s="2">
        <v>0</v>
      </c>
      <c r="AT497" s="2">
        <v>90</v>
      </c>
      <c r="AU497" s="2">
        <v>46</v>
      </c>
      <c r="AV497" s="2">
        <v>1.0469999999999999</v>
      </c>
      <c r="AW497" s="2">
        <v>1</v>
      </c>
      <c r="AX497" s="2"/>
      <c r="AY497" s="2"/>
      <c r="AZ497" s="2">
        <v>1</v>
      </c>
      <c r="BA497" s="2">
        <v>1</v>
      </c>
      <c r="BB497" s="2">
        <v>1</v>
      </c>
      <c r="BC497" s="2">
        <v>1</v>
      </c>
      <c r="BD497" s="2" t="s">
        <v>3</v>
      </c>
      <c r="BE497" s="2" t="s">
        <v>3</v>
      </c>
      <c r="BF497" s="2" t="s">
        <v>3</v>
      </c>
      <c r="BG497" s="2" t="s">
        <v>3</v>
      </c>
      <c r="BH497" s="2">
        <v>0</v>
      </c>
      <c r="BI497" s="2">
        <v>2</v>
      </c>
      <c r="BJ497" s="2" t="s">
        <v>59</v>
      </c>
      <c r="BK497" s="2"/>
      <c r="BL497" s="2"/>
      <c r="BM497" s="2">
        <v>68</v>
      </c>
      <c r="BN497" s="2">
        <v>55992028</v>
      </c>
      <c r="BO497" s="2" t="s">
        <v>56</v>
      </c>
      <c r="BP497" s="2">
        <v>1</v>
      </c>
      <c r="BQ497" s="2">
        <v>40</v>
      </c>
      <c r="BR497" s="2">
        <v>0</v>
      </c>
      <c r="BS497" s="2">
        <v>1</v>
      </c>
      <c r="BT497" s="2">
        <v>1</v>
      </c>
      <c r="BU497" s="2">
        <v>1</v>
      </c>
      <c r="BV497" s="2">
        <v>1</v>
      </c>
      <c r="BW497" s="2">
        <v>1</v>
      </c>
      <c r="BX497" s="2">
        <v>1</v>
      </c>
      <c r="BY497" s="2" t="s">
        <v>3</v>
      </c>
      <c r="BZ497" s="2">
        <v>90</v>
      </c>
      <c r="CA497" s="2">
        <v>46</v>
      </c>
      <c r="CB497" s="2" t="s">
        <v>3</v>
      </c>
      <c r="CC497" s="2"/>
      <c r="CD497" s="2"/>
      <c r="CE497" s="2">
        <v>30</v>
      </c>
      <c r="CF497" s="2">
        <v>0</v>
      </c>
      <c r="CG497" s="2">
        <v>0</v>
      </c>
      <c r="CH497" s="2"/>
      <c r="CI497" s="2"/>
      <c r="CJ497" s="2"/>
      <c r="CK497" s="2"/>
      <c r="CL497" s="2"/>
      <c r="CM497" s="2">
        <v>0</v>
      </c>
      <c r="CN497" s="2" t="s">
        <v>673</v>
      </c>
      <c r="CO497" s="2">
        <v>0</v>
      </c>
      <c r="CP497" s="2">
        <f t="shared" si="408"/>
        <v>108.99000000000001</v>
      </c>
      <c r="CQ497" s="2">
        <f t="shared" si="409"/>
        <v>1.29</v>
      </c>
      <c r="CR497" s="2">
        <f>(ROUND((ROUND((((ET497*1.1))*AV497*1),2)*BB497),2)+ROUND((ROUND(((AE497-((EU497*1.1)))*AV497*1),2)*BS497),2))</f>
        <v>1.27</v>
      </c>
      <c r="CS497" s="2">
        <f t="shared" si="410"/>
        <v>0.15</v>
      </c>
      <c r="CT497" s="2">
        <f t="shared" si="411"/>
        <v>542.38</v>
      </c>
      <c r="CU497" s="2">
        <f t="shared" si="412"/>
        <v>0</v>
      </c>
      <c r="CV497" s="2">
        <f t="shared" si="413"/>
        <v>34.504932000000004</v>
      </c>
      <c r="CW497" s="2">
        <f t="shared" si="414"/>
        <v>0</v>
      </c>
      <c r="CX497" s="2">
        <f t="shared" si="415"/>
        <v>0</v>
      </c>
      <c r="CY497" s="2">
        <f t="shared" si="416"/>
        <v>97.658999999999992</v>
      </c>
      <c r="CZ497" s="2">
        <f t="shared" si="417"/>
        <v>49.9146</v>
      </c>
      <c r="DA497" s="2"/>
      <c r="DB497" s="2"/>
      <c r="DC497" s="2" t="s">
        <v>3</v>
      </c>
      <c r="DD497" s="2" t="s">
        <v>3</v>
      </c>
      <c r="DE497" s="2" t="s">
        <v>23</v>
      </c>
      <c r="DF497" s="2" t="s">
        <v>23</v>
      </c>
      <c r="DG497" s="2" t="s">
        <v>23</v>
      </c>
      <c r="DH497" s="2" t="s">
        <v>3</v>
      </c>
      <c r="DI497" s="2" t="s">
        <v>23</v>
      </c>
      <c r="DJ497" s="2" t="s">
        <v>23</v>
      </c>
      <c r="DK497" s="2" t="s">
        <v>3</v>
      </c>
      <c r="DL497" s="2" t="s">
        <v>3</v>
      </c>
      <c r="DM497" s="2" t="s">
        <v>3</v>
      </c>
      <c r="DN497" s="2">
        <v>0</v>
      </c>
      <c r="DO497" s="2">
        <v>0</v>
      </c>
      <c r="DP497" s="2">
        <v>1</v>
      </c>
      <c r="DQ497" s="2">
        <v>1</v>
      </c>
      <c r="DR497" s="2"/>
      <c r="DS497" s="2"/>
      <c r="DT497" s="2"/>
      <c r="DU497" s="2">
        <v>1010</v>
      </c>
      <c r="DV497" s="2" t="s">
        <v>58</v>
      </c>
      <c r="DW497" s="2" t="s">
        <v>58</v>
      </c>
      <c r="DX497" s="2">
        <v>10</v>
      </c>
      <c r="DY497" s="2"/>
      <c r="DZ497" s="2" t="s">
        <v>3</v>
      </c>
      <c r="EA497" s="2" t="s">
        <v>3</v>
      </c>
      <c r="EB497" s="2" t="s">
        <v>3</v>
      </c>
      <c r="EC497" s="2" t="s">
        <v>3</v>
      </c>
      <c r="ED497" s="2"/>
      <c r="EE497" s="2">
        <v>55992152</v>
      </c>
      <c r="EF497" s="2">
        <v>40</v>
      </c>
      <c r="EG497" s="2" t="s">
        <v>24</v>
      </c>
      <c r="EH497" s="2">
        <v>0</v>
      </c>
      <c r="EI497" s="2" t="s">
        <v>3</v>
      </c>
      <c r="EJ497" s="2">
        <v>2</v>
      </c>
      <c r="EK497" s="2">
        <v>68</v>
      </c>
      <c r="EL497" s="2" t="s">
        <v>41</v>
      </c>
      <c r="EM497" s="2" t="s">
        <v>42</v>
      </c>
      <c r="EN497" s="2"/>
      <c r="EO497" s="2" t="s">
        <v>27</v>
      </c>
      <c r="EP497" s="2"/>
      <c r="EQ497" s="2">
        <v>0</v>
      </c>
      <c r="ER497" s="2">
        <v>473.33</v>
      </c>
      <c r="ES497" s="2">
        <v>1.29</v>
      </c>
      <c r="ET497" s="2">
        <v>1.1000000000000001</v>
      </c>
      <c r="EU497" s="2">
        <v>0.13</v>
      </c>
      <c r="EV497" s="2">
        <v>470.94</v>
      </c>
      <c r="EW497" s="2">
        <v>29.96</v>
      </c>
      <c r="EX497" s="2">
        <v>0</v>
      </c>
      <c r="EY497" s="2">
        <v>0</v>
      </c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>
        <v>0</v>
      </c>
      <c r="FR497" s="2">
        <v>0</v>
      </c>
      <c r="FS497" s="2">
        <v>0</v>
      </c>
      <c r="FT497" s="2"/>
      <c r="FU497" s="2"/>
      <c r="FV497" s="2"/>
      <c r="FW497" s="2"/>
      <c r="FX497" s="2">
        <v>90</v>
      </c>
      <c r="FY497" s="2">
        <v>46</v>
      </c>
      <c r="FZ497" s="2"/>
      <c r="GA497" s="2" t="s">
        <v>3</v>
      </c>
      <c r="GB497" s="2"/>
      <c r="GC497" s="2"/>
      <c r="GD497" s="2">
        <v>1</v>
      </c>
      <c r="GE497" s="2"/>
      <c r="GF497" s="2">
        <v>-733186695</v>
      </c>
      <c r="GG497" s="2">
        <v>2</v>
      </c>
      <c r="GH497" s="2">
        <v>1</v>
      </c>
      <c r="GI497" s="2">
        <v>2</v>
      </c>
      <c r="GJ497" s="2">
        <v>0</v>
      </c>
      <c r="GK497" s="2">
        <v>0</v>
      </c>
      <c r="GL497" s="2">
        <f t="shared" si="418"/>
        <v>0</v>
      </c>
      <c r="GM497" s="2">
        <f t="shared" si="419"/>
        <v>256.56</v>
      </c>
      <c r="GN497" s="2">
        <f t="shared" si="420"/>
        <v>0</v>
      </c>
      <c r="GO497" s="2">
        <f t="shared" si="421"/>
        <v>256.56</v>
      </c>
      <c r="GP497" s="2">
        <f t="shared" si="422"/>
        <v>0</v>
      </c>
      <c r="GQ497" s="2"/>
      <c r="GR497" s="2">
        <v>0</v>
      </c>
      <c r="GS497" s="2">
        <v>3</v>
      </c>
      <c r="GT497" s="2">
        <v>0</v>
      </c>
      <c r="GU497" s="2" t="s">
        <v>3</v>
      </c>
      <c r="GV497" s="2">
        <f t="shared" si="423"/>
        <v>0</v>
      </c>
      <c r="GW497" s="2">
        <v>1</v>
      </c>
      <c r="GX497" s="2">
        <f t="shared" si="424"/>
        <v>0</v>
      </c>
      <c r="GY497" s="2"/>
      <c r="GZ497" s="2"/>
      <c r="HA497" s="2">
        <v>0</v>
      </c>
      <c r="HB497" s="2">
        <v>0</v>
      </c>
      <c r="HC497" s="2">
        <f t="shared" si="425"/>
        <v>0</v>
      </c>
      <c r="HD497" s="2"/>
      <c r="HE497" s="2" t="s">
        <v>3</v>
      </c>
      <c r="HF497" s="2" t="s">
        <v>3</v>
      </c>
      <c r="HG497" s="2"/>
      <c r="HH497" s="2"/>
      <c r="HI497" s="2"/>
      <c r="HJ497" s="2"/>
      <c r="HK497" s="2"/>
      <c r="HL497" s="2"/>
      <c r="HM497" s="2" t="s">
        <v>3</v>
      </c>
      <c r="HN497" s="2" t="s">
        <v>3</v>
      </c>
      <c r="HO497" s="2" t="s">
        <v>3</v>
      </c>
      <c r="HP497" s="2" t="s">
        <v>3</v>
      </c>
      <c r="HQ497" s="2" t="s">
        <v>3</v>
      </c>
      <c r="HR497" s="2"/>
      <c r="HS497" s="2">
        <v>0</v>
      </c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>
        <v>0</v>
      </c>
      <c r="IL497" s="2"/>
      <c r="IM497" s="2"/>
      <c r="IN497" s="2"/>
      <c r="IO497" s="2"/>
      <c r="IP497" s="2"/>
      <c r="IQ497" s="2"/>
      <c r="IR497" s="2"/>
      <c r="IS497" s="2"/>
      <c r="IT497" s="2"/>
      <c r="IU497" s="2"/>
    </row>
    <row r="498" spans="1:255" x14ac:dyDescent="0.2">
      <c r="A498">
        <v>17</v>
      </c>
      <c r="B498">
        <v>1</v>
      </c>
      <c r="C498">
        <f>ROW(SmtRes!A372)</f>
        <v>372</v>
      </c>
      <c r="D498">
        <f>ROW(EtalonRes!A448)</f>
        <v>448</v>
      </c>
      <c r="E498" t="s">
        <v>456</v>
      </c>
      <c r="F498" t="s">
        <v>56</v>
      </c>
      <c r="G498" t="s">
        <v>57</v>
      </c>
      <c r="H498" t="s">
        <v>58</v>
      </c>
      <c r="I498">
        <f>ROUND(2/10,9)</f>
        <v>0.2</v>
      </c>
      <c r="J498">
        <v>0</v>
      </c>
      <c r="K498">
        <f>ROUND(2/10,9)</f>
        <v>0.2</v>
      </c>
      <c r="O498">
        <f t="shared" si="394"/>
        <v>5970.83</v>
      </c>
      <c r="P498">
        <f t="shared" si="395"/>
        <v>1.89</v>
      </c>
      <c r="Q498">
        <f>(ROUND((ROUND((((ET498*1.1))*AV498*I498),2)*BB498),2)+ROUND((ROUND(((AE498-((EU498*1.1)))*AV498*I498),2)*BS498),2))</f>
        <v>3.62</v>
      </c>
      <c r="R498">
        <f t="shared" si="396"/>
        <v>1.65</v>
      </c>
      <c r="S498">
        <f t="shared" si="397"/>
        <v>5965.32</v>
      </c>
      <c r="T498">
        <f t="shared" si="398"/>
        <v>0</v>
      </c>
      <c r="U498">
        <f t="shared" si="399"/>
        <v>6.9009864000000007</v>
      </c>
      <c r="V498">
        <f t="shared" si="400"/>
        <v>0</v>
      </c>
      <c r="W498">
        <f t="shared" si="401"/>
        <v>0</v>
      </c>
      <c r="X498">
        <f t="shared" si="402"/>
        <v>5370.27</v>
      </c>
      <c r="Y498">
        <f t="shared" si="403"/>
        <v>2744.81</v>
      </c>
      <c r="AA498">
        <v>56959431</v>
      </c>
      <c r="AB498">
        <f t="shared" si="404"/>
        <v>520.53399999999999</v>
      </c>
      <c r="AC498">
        <f t="shared" si="405"/>
        <v>1.29</v>
      </c>
      <c r="AD498">
        <f>ROUND(((((ET498*1.1))-((EU498*1.1)))+AE498),6)</f>
        <v>1.21</v>
      </c>
      <c r="AE498">
        <f>ROUND(((EU498*1.1)),6)</f>
        <v>0.14299999999999999</v>
      </c>
      <c r="AF498">
        <f>ROUND(((EV498*1.1)),6)</f>
        <v>518.03399999999999</v>
      </c>
      <c r="AG498">
        <f t="shared" si="406"/>
        <v>0</v>
      </c>
      <c r="AH498">
        <f>((EW498*1.1))</f>
        <v>32.956000000000003</v>
      </c>
      <c r="AI498">
        <f>((EX498*1.1))</f>
        <v>0</v>
      </c>
      <c r="AJ498">
        <f t="shared" si="407"/>
        <v>0</v>
      </c>
      <c r="AK498">
        <v>473.33</v>
      </c>
      <c r="AL498">
        <v>1.29</v>
      </c>
      <c r="AM498">
        <v>1.1000000000000001</v>
      </c>
      <c r="AN498">
        <v>0.13</v>
      </c>
      <c r="AO498">
        <v>470.94</v>
      </c>
      <c r="AP498">
        <v>0</v>
      </c>
      <c r="AQ498">
        <v>29.96</v>
      </c>
      <c r="AR498">
        <v>0</v>
      </c>
      <c r="AS498">
        <v>0</v>
      </c>
      <c r="AT498">
        <v>90</v>
      </c>
      <c r="AU498">
        <v>46</v>
      </c>
      <c r="AV498">
        <v>1.0469999999999999</v>
      </c>
      <c r="AW498">
        <v>1</v>
      </c>
      <c r="AZ498">
        <v>1</v>
      </c>
      <c r="BA498">
        <v>54.99</v>
      </c>
      <c r="BB498">
        <v>14.48</v>
      </c>
      <c r="BC498">
        <v>7.25</v>
      </c>
      <c r="BD498" t="s">
        <v>3</v>
      </c>
      <c r="BE498" t="s">
        <v>3</v>
      </c>
      <c r="BF498" t="s">
        <v>3</v>
      </c>
      <c r="BG498" t="s">
        <v>3</v>
      </c>
      <c r="BH498">
        <v>0</v>
      </c>
      <c r="BI498">
        <v>2</v>
      </c>
      <c r="BJ498" t="s">
        <v>59</v>
      </c>
      <c r="BM498">
        <v>68</v>
      </c>
      <c r="BN498">
        <v>55992028</v>
      </c>
      <c r="BO498" t="s">
        <v>56</v>
      </c>
      <c r="BP498">
        <v>1</v>
      </c>
      <c r="BQ498">
        <v>40</v>
      </c>
      <c r="BR498">
        <v>0</v>
      </c>
      <c r="BS498">
        <v>54.99</v>
      </c>
      <c r="BT498">
        <v>1</v>
      </c>
      <c r="BU498">
        <v>1</v>
      </c>
      <c r="BV498">
        <v>1</v>
      </c>
      <c r="BW498">
        <v>1</v>
      </c>
      <c r="BX498">
        <v>1</v>
      </c>
      <c r="BY498" t="s">
        <v>3</v>
      </c>
      <c r="BZ498">
        <v>90</v>
      </c>
      <c r="CA498">
        <v>46</v>
      </c>
      <c r="CB498" t="s">
        <v>3</v>
      </c>
      <c r="CE498">
        <v>30</v>
      </c>
      <c r="CF498">
        <v>0</v>
      </c>
      <c r="CG498">
        <v>0</v>
      </c>
      <c r="CM498">
        <v>0</v>
      </c>
      <c r="CN498" t="s">
        <v>673</v>
      </c>
      <c r="CO498">
        <v>0</v>
      </c>
      <c r="CP498">
        <f t="shared" si="408"/>
        <v>5970.83</v>
      </c>
      <c r="CQ498">
        <f t="shared" si="409"/>
        <v>9.35</v>
      </c>
      <c r="CR498">
        <f>(ROUND((ROUND((((ET498*1.1))*AV498*1),2)*BB498),2)+ROUND((ROUND(((AE498-((EU498*1.1)))*AV498*1),2)*BS498),2))</f>
        <v>18.39</v>
      </c>
      <c r="CS498">
        <f t="shared" si="410"/>
        <v>8.25</v>
      </c>
      <c r="CT498">
        <f t="shared" si="411"/>
        <v>29825.48</v>
      </c>
      <c r="CU498">
        <f t="shared" si="412"/>
        <v>0</v>
      </c>
      <c r="CV498">
        <f t="shared" si="413"/>
        <v>34.504932000000004</v>
      </c>
      <c r="CW498">
        <f t="shared" si="414"/>
        <v>0</v>
      </c>
      <c r="CX498">
        <f t="shared" si="415"/>
        <v>0</v>
      </c>
      <c r="CY498">
        <f t="shared" si="416"/>
        <v>5370.2729999999992</v>
      </c>
      <c r="CZ498">
        <f t="shared" si="417"/>
        <v>2744.8062</v>
      </c>
      <c r="DC498" t="s">
        <v>3</v>
      </c>
      <c r="DD498" t="s">
        <v>3</v>
      </c>
      <c r="DE498" t="s">
        <v>23</v>
      </c>
      <c r="DF498" t="s">
        <v>23</v>
      </c>
      <c r="DG498" t="s">
        <v>23</v>
      </c>
      <c r="DH498" t="s">
        <v>3</v>
      </c>
      <c r="DI498" t="s">
        <v>23</v>
      </c>
      <c r="DJ498" t="s">
        <v>23</v>
      </c>
      <c r="DK498" t="s">
        <v>3</v>
      </c>
      <c r="DL498" t="s">
        <v>3</v>
      </c>
      <c r="DM498" t="s">
        <v>3</v>
      </c>
      <c r="DN498">
        <v>0</v>
      </c>
      <c r="DO498">
        <v>0</v>
      </c>
      <c r="DP498">
        <v>1</v>
      </c>
      <c r="DQ498">
        <v>1</v>
      </c>
      <c r="DU498">
        <v>1010</v>
      </c>
      <c r="DV498" t="s">
        <v>58</v>
      </c>
      <c r="DW498" t="s">
        <v>58</v>
      </c>
      <c r="DX498">
        <v>10</v>
      </c>
      <c r="DZ498" t="s">
        <v>3</v>
      </c>
      <c r="EA498" t="s">
        <v>3</v>
      </c>
      <c r="EB498" t="s">
        <v>3</v>
      </c>
      <c r="EC498" t="s">
        <v>3</v>
      </c>
      <c r="EE498">
        <v>55992152</v>
      </c>
      <c r="EF498">
        <v>40</v>
      </c>
      <c r="EG498" t="s">
        <v>24</v>
      </c>
      <c r="EH498">
        <v>0</v>
      </c>
      <c r="EI498" t="s">
        <v>3</v>
      </c>
      <c r="EJ498">
        <v>2</v>
      </c>
      <c r="EK498">
        <v>68</v>
      </c>
      <c r="EL498" t="s">
        <v>41</v>
      </c>
      <c r="EM498" t="s">
        <v>42</v>
      </c>
      <c r="EO498" t="s">
        <v>27</v>
      </c>
      <c r="EQ498">
        <v>0</v>
      </c>
      <c r="ER498">
        <v>473.33</v>
      </c>
      <c r="ES498">
        <v>1.29</v>
      </c>
      <c r="ET498">
        <v>1.1000000000000001</v>
      </c>
      <c r="EU498">
        <v>0.13</v>
      </c>
      <c r="EV498">
        <v>470.94</v>
      </c>
      <c r="EW498">
        <v>29.96</v>
      </c>
      <c r="EX498">
        <v>0</v>
      </c>
      <c r="EY498">
        <v>0</v>
      </c>
      <c r="FQ498">
        <v>0</v>
      </c>
      <c r="FR498">
        <v>0</v>
      </c>
      <c r="FS498">
        <v>0</v>
      </c>
      <c r="FX498">
        <v>90</v>
      </c>
      <c r="FY498">
        <v>46</v>
      </c>
      <c r="GA498" t="s">
        <v>3</v>
      </c>
      <c r="GD498">
        <v>1</v>
      </c>
      <c r="GF498">
        <v>-733186695</v>
      </c>
      <c r="GG498">
        <v>2</v>
      </c>
      <c r="GH498">
        <v>1</v>
      </c>
      <c r="GI498">
        <v>2</v>
      </c>
      <c r="GJ498">
        <v>0</v>
      </c>
      <c r="GK498">
        <v>0</v>
      </c>
      <c r="GL498">
        <f t="shared" si="418"/>
        <v>0</v>
      </c>
      <c r="GM498">
        <f t="shared" si="419"/>
        <v>14085.91</v>
      </c>
      <c r="GN498">
        <f t="shared" si="420"/>
        <v>0</v>
      </c>
      <c r="GO498">
        <f t="shared" si="421"/>
        <v>14085.91</v>
      </c>
      <c r="GP498">
        <f t="shared" si="422"/>
        <v>0</v>
      </c>
      <c r="GR498">
        <v>0</v>
      </c>
      <c r="GS498">
        <v>3</v>
      </c>
      <c r="GT498">
        <v>0</v>
      </c>
      <c r="GU498" t="s">
        <v>3</v>
      </c>
      <c r="GV498">
        <f t="shared" si="423"/>
        <v>0</v>
      </c>
      <c r="GW498">
        <v>1</v>
      </c>
      <c r="GX498">
        <f t="shared" si="424"/>
        <v>0</v>
      </c>
      <c r="HA498">
        <v>0</v>
      </c>
      <c r="HB498">
        <v>0</v>
      </c>
      <c r="HC498">
        <f t="shared" si="425"/>
        <v>0</v>
      </c>
      <c r="HE498" t="s">
        <v>3</v>
      </c>
      <c r="HF498" t="s">
        <v>3</v>
      </c>
      <c r="HM498" t="s">
        <v>3</v>
      </c>
      <c r="HN498" t="s">
        <v>3</v>
      </c>
      <c r="HO498" t="s">
        <v>3</v>
      </c>
      <c r="HP498" t="s">
        <v>3</v>
      </c>
      <c r="HQ498" t="s">
        <v>3</v>
      </c>
      <c r="HS498">
        <v>0</v>
      </c>
      <c r="IK498">
        <v>0</v>
      </c>
    </row>
    <row r="499" spans="1:255" x14ac:dyDescent="0.2">
      <c r="A499" s="2">
        <v>17</v>
      </c>
      <c r="B499" s="2">
        <v>1</v>
      </c>
      <c r="C499" s="2"/>
      <c r="D499" s="2"/>
      <c r="E499" s="2" t="s">
        <v>457</v>
      </c>
      <c r="F499" s="2" t="s">
        <v>458</v>
      </c>
      <c r="G499" s="2" t="s">
        <v>459</v>
      </c>
      <c r="H499" s="2" t="s">
        <v>31</v>
      </c>
      <c r="I499" s="2">
        <v>2</v>
      </c>
      <c r="J499" s="2">
        <v>0</v>
      </c>
      <c r="K499" s="2">
        <v>2</v>
      </c>
      <c r="L499" s="2"/>
      <c r="M499" s="2"/>
      <c r="N499" s="2"/>
      <c r="O499" s="2">
        <f t="shared" si="394"/>
        <v>5844.56</v>
      </c>
      <c r="P499" s="2">
        <f>ROUND((ROUND((AC499*I499),2)*BC499),2)</f>
        <v>5844.56</v>
      </c>
      <c r="Q499" s="2">
        <f>(ROUND((ROUND(((ET499)*AV499*I499),2)*BB499),2)+ROUND((ROUND(((AE499-(EU499))*AV499*I499),2)*BS499),2))</f>
        <v>0</v>
      </c>
      <c r="R499" s="2">
        <f t="shared" si="396"/>
        <v>0</v>
      </c>
      <c r="S499" s="2">
        <f t="shared" si="397"/>
        <v>0</v>
      </c>
      <c r="T499" s="2">
        <f t="shared" si="398"/>
        <v>0</v>
      </c>
      <c r="U499" s="2">
        <f t="shared" si="399"/>
        <v>0</v>
      </c>
      <c r="V499" s="2">
        <f t="shared" si="400"/>
        <v>0</v>
      </c>
      <c r="W499" s="2">
        <f t="shared" si="401"/>
        <v>0</v>
      </c>
      <c r="X499" s="2">
        <f t="shared" si="402"/>
        <v>0</v>
      </c>
      <c r="Y499" s="2">
        <f t="shared" si="403"/>
        <v>0</v>
      </c>
      <c r="Z499" s="2"/>
      <c r="AA499" s="2">
        <v>56959434</v>
      </c>
      <c r="AB499" s="2">
        <f t="shared" si="404"/>
        <v>2922.28</v>
      </c>
      <c r="AC499" s="2">
        <f t="shared" si="405"/>
        <v>2922.28</v>
      </c>
      <c r="AD499" s="2">
        <f>ROUND((((ET499)-(EU499))+AE499),6)</f>
        <v>0</v>
      </c>
      <c r="AE499" s="2">
        <f>ROUND((EU499),6)</f>
        <v>0</v>
      </c>
      <c r="AF499" s="2">
        <f>ROUND((EV499),6)</f>
        <v>0</v>
      </c>
      <c r="AG499" s="2">
        <f t="shared" si="406"/>
        <v>0</v>
      </c>
      <c r="AH499" s="2">
        <f>(EW499)</f>
        <v>0</v>
      </c>
      <c r="AI499" s="2">
        <f>(EX499)</f>
        <v>0</v>
      </c>
      <c r="AJ499" s="2">
        <f t="shared" si="407"/>
        <v>0</v>
      </c>
      <c r="AK499" s="2">
        <v>2922.28</v>
      </c>
      <c r="AL499" s="2">
        <v>2922.28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1</v>
      </c>
      <c r="AW499" s="2">
        <v>1</v>
      </c>
      <c r="AX499" s="2"/>
      <c r="AY499" s="2"/>
      <c r="AZ499" s="2">
        <v>1</v>
      </c>
      <c r="BA499" s="2">
        <v>1</v>
      </c>
      <c r="BB499" s="2">
        <v>1</v>
      </c>
      <c r="BC499" s="2">
        <v>1</v>
      </c>
      <c r="BD499" s="2" t="s">
        <v>3</v>
      </c>
      <c r="BE499" s="2" t="s">
        <v>3</v>
      </c>
      <c r="BF499" s="2" t="s">
        <v>3</v>
      </c>
      <c r="BG499" s="2" t="s">
        <v>3</v>
      </c>
      <c r="BH499" s="2">
        <v>3</v>
      </c>
      <c r="BI499" s="2">
        <v>3</v>
      </c>
      <c r="BJ499" s="2" t="s">
        <v>3</v>
      </c>
      <c r="BK499" s="2"/>
      <c r="BL499" s="2"/>
      <c r="BM499" s="2">
        <v>746</v>
      </c>
      <c r="BN499" s="2">
        <v>0</v>
      </c>
      <c r="BO499" s="2" t="s">
        <v>3</v>
      </c>
      <c r="BP499" s="2">
        <v>0</v>
      </c>
      <c r="BQ499" s="2">
        <v>130</v>
      </c>
      <c r="BR499" s="2">
        <v>0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1</v>
      </c>
      <c r="BY499" s="2" t="s">
        <v>3</v>
      </c>
      <c r="BZ499" s="2">
        <v>0</v>
      </c>
      <c r="CA499" s="2">
        <v>0</v>
      </c>
      <c r="CB499" s="2" t="s">
        <v>3</v>
      </c>
      <c r="CC499" s="2"/>
      <c r="CD499" s="2"/>
      <c r="CE499" s="2">
        <v>30</v>
      </c>
      <c r="CF499" s="2">
        <v>0</v>
      </c>
      <c r="CG499" s="2">
        <v>0</v>
      </c>
      <c r="CH499" s="2"/>
      <c r="CI499" s="2"/>
      <c r="CJ499" s="2"/>
      <c r="CK499" s="2"/>
      <c r="CL499" s="2"/>
      <c r="CM499" s="2">
        <v>0</v>
      </c>
      <c r="CN499" s="2" t="s">
        <v>3</v>
      </c>
      <c r="CO499" s="2">
        <v>0</v>
      </c>
      <c r="CP499" s="2">
        <f t="shared" si="408"/>
        <v>5844.56</v>
      </c>
      <c r="CQ499" s="2">
        <f>ROUND((ROUND((AC499*1),2)*BC499),2)</f>
        <v>2922.28</v>
      </c>
      <c r="CR499" s="2">
        <f>(ROUND((ROUND(((ET499)*AV499*1),2)*BB499),2)+ROUND((ROUND(((AE499-(EU499))*AV499*1),2)*BS499),2))</f>
        <v>0</v>
      </c>
      <c r="CS499" s="2">
        <f t="shared" si="410"/>
        <v>0</v>
      </c>
      <c r="CT499" s="2">
        <f t="shared" si="411"/>
        <v>0</v>
      </c>
      <c r="CU499" s="2">
        <f t="shared" si="412"/>
        <v>0</v>
      </c>
      <c r="CV499" s="2">
        <f t="shared" si="413"/>
        <v>0</v>
      </c>
      <c r="CW499" s="2">
        <f t="shared" si="414"/>
        <v>0</v>
      </c>
      <c r="CX499" s="2">
        <f t="shared" si="415"/>
        <v>0</v>
      </c>
      <c r="CY499" s="2">
        <f t="shared" si="416"/>
        <v>0</v>
      </c>
      <c r="CZ499" s="2">
        <f t="shared" si="417"/>
        <v>0</v>
      </c>
      <c r="DA499" s="2"/>
      <c r="DB499" s="2"/>
      <c r="DC499" s="2" t="s">
        <v>3</v>
      </c>
      <c r="DD499" s="2" t="s">
        <v>3</v>
      </c>
      <c r="DE499" s="2" t="s">
        <v>3</v>
      </c>
      <c r="DF499" s="2" t="s">
        <v>3</v>
      </c>
      <c r="DG499" s="2" t="s">
        <v>3</v>
      </c>
      <c r="DH499" s="2" t="s">
        <v>3</v>
      </c>
      <c r="DI499" s="2" t="s">
        <v>3</v>
      </c>
      <c r="DJ499" s="2" t="s">
        <v>3</v>
      </c>
      <c r="DK499" s="2" t="s">
        <v>3</v>
      </c>
      <c r="DL499" s="2" t="s">
        <v>3</v>
      </c>
      <c r="DM499" s="2" t="s">
        <v>3</v>
      </c>
      <c r="DN499" s="2">
        <v>0</v>
      </c>
      <c r="DO499" s="2">
        <v>0</v>
      </c>
      <c r="DP499" s="2">
        <v>1</v>
      </c>
      <c r="DQ499" s="2">
        <v>1</v>
      </c>
      <c r="DR499" s="2"/>
      <c r="DS499" s="2"/>
      <c r="DT499" s="2"/>
      <c r="DU499" s="2">
        <v>1010</v>
      </c>
      <c r="DV499" s="2" t="s">
        <v>31</v>
      </c>
      <c r="DW499" s="2" t="s">
        <v>31</v>
      </c>
      <c r="DX499" s="2">
        <v>1</v>
      </c>
      <c r="DY499" s="2"/>
      <c r="DZ499" s="2" t="s">
        <v>3</v>
      </c>
      <c r="EA499" s="2" t="s">
        <v>3</v>
      </c>
      <c r="EB499" s="2" t="s">
        <v>3</v>
      </c>
      <c r="EC499" s="2" t="s">
        <v>3</v>
      </c>
      <c r="ED499" s="2"/>
      <c r="EE499" s="2">
        <v>55992259</v>
      </c>
      <c r="EF499" s="2">
        <v>130</v>
      </c>
      <c r="EG499" s="2" t="s">
        <v>32</v>
      </c>
      <c r="EH499" s="2">
        <v>0</v>
      </c>
      <c r="EI499" s="2" t="s">
        <v>3</v>
      </c>
      <c r="EJ499" s="2">
        <v>3</v>
      </c>
      <c r="EK499" s="2">
        <v>746</v>
      </c>
      <c r="EL499" s="2" t="s">
        <v>33</v>
      </c>
      <c r="EM499" s="2" t="s">
        <v>34</v>
      </c>
      <c r="EN499" s="2"/>
      <c r="EO499" s="2" t="s">
        <v>3</v>
      </c>
      <c r="EP499" s="2"/>
      <c r="EQ499" s="2">
        <v>0</v>
      </c>
      <c r="ER499" s="2">
        <v>0</v>
      </c>
      <c r="ES499" s="2">
        <v>2922.28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>
        <v>0</v>
      </c>
      <c r="FR499" s="2">
        <f>P499</f>
        <v>5844.56</v>
      </c>
      <c r="FS499" s="2">
        <v>0</v>
      </c>
      <c r="FT499" s="2"/>
      <c r="FU499" s="2"/>
      <c r="FV499" s="2"/>
      <c r="FW499" s="2"/>
      <c r="FX499" s="2">
        <v>0</v>
      </c>
      <c r="FY499" s="2">
        <v>0</v>
      </c>
      <c r="FZ499" s="2"/>
      <c r="GA499" s="2" t="s">
        <v>460</v>
      </c>
      <c r="GB499" s="2"/>
      <c r="GC499" s="2"/>
      <c r="GD499" s="2">
        <v>1</v>
      </c>
      <c r="GE499" s="2"/>
      <c r="GF499" s="2">
        <v>46176004</v>
      </c>
      <c r="GG499" s="2">
        <v>2</v>
      </c>
      <c r="GH499" s="2">
        <v>4</v>
      </c>
      <c r="GI499" s="2">
        <v>-2</v>
      </c>
      <c r="GJ499" s="2">
        <v>0</v>
      </c>
      <c r="GK499" s="2">
        <v>0</v>
      </c>
      <c r="GL499" s="2">
        <f t="shared" si="418"/>
        <v>0</v>
      </c>
      <c r="GM499" s="2">
        <f t="shared" si="419"/>
        <v>5844.56</v>
      </c>
      <c r="GN499" s="2">
        <f t="shared" si="420"/>
        <v>0</v>
      </c>
      <c r="GO499" s="2">
        <f t="shared" si="421"/>
        <v>0</v>
      </c>
      <c r="GP499" s="2">
        <f t="shared" si="422"/>
        <v>0</v>
      </c>
      <c r="GQ499" s="2"/>
      <c r="GR499" s="2">
        <v>0</v>
      </c>
      <c r="GS499" s="2">
        <v>2</v>
      </c>
      <c r="GT499" s="2">
        <v>0</v>
      </c>
      <c r="GU499" s="2" t="s">
        <v>3</v>
      </c>
      <c r="GV499" s="2">
        <f t="shared" si="423"/>
        <v>0</v>
      </c>
      <c r="GW499" s="2">
        <v>1</v>
      </c>
      <c r="GX499" s="2">
        <f t="shared" si="424"/>
        <v>0</v>
      </c>
      <c r="GY499" s="2"/>
      <c r="GZ499" s="2"/>
      <c r="HA499" s="2">
        <v>0</v>
      </c>
      <c r="HB499" s="2">
        <v>0</v>
      </c>
      <c r="HC499" s="2">
        <f t="shared" si="425"/>
        <v>0</v>
      </c>
      <c r="HD499" s="2"/>
      <c r="HE499" s="2" t="s">
        <v>36</v>
      </c>
      <c r="HF499" s="2" t="s">
        <v>37</v>
      </c>
      <c r="HG499" s="2"/>
      <c r="HH499" s="2"/>
      <c r="HI499" s="2"/>
      <c r="HJ499" s="2"/>
      <c r="HK499" s="2"/>
      <c r="HL499" s="2"/>
      <c r="HM499" s="2" t="s">
        <v>3</v>
      </c>
      <c r="HN499" s="2" t="s">
        <v>3</v>
      </c>
      <c r="HO499" s="2" t="s">
        <v>3</v>
      </c>
      <c r="HP499" s="2" t="s">
        <v>3</v>
      </c>
      <c r="HQ499" s="2" t="s">
        <v>3</v>
      </c>
      <c r="HR499" s="2"/>
      <c r="HS499" s="2">
        <v>0</v>
      </c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>
        <v>0</v>
      </c>
      <c r="IL499" s="2"/>
      <c r="IM499" s="2"/>
      <c r="IN499" s="2"/>
      <c r="IO499" s="2"/>
      <c r="IP499" s="2"/>
      <c r="IQ499" s="2"/>
      <c r="IR499" s="2"/>
      <c r="IS499" s="2"/>
      <c r="IT499" s="2"/>
      <c r="IU499" s="2"/>
    </row>
    <row r="500" spans="1:255" x14ac:dyDescent="0.2">
      <c r="A500">
        <v>17</v>
      </c>
      <c r="B500">
        <v>1</v>
      </c>
      <c r="E500" t="s">
        <v>457</v>
      </c>
      <c r="F500" t="s">
        <v>458</v>
      </c>
      <c r="G500" t="s">
        <v>459</v>
      </c>
      <c r="H500" t="s">
        <v>31</v>
      </c>
      <c r="I500">
        <v>2</v>
      </c>
      <c r="J500">
        <v>0</v>
      </c>
      <c r="K500">
        <v>2</v>
      </c>
      <c r="O500">
        <f t="shared" si="394"/>
        <v>44769.33</v>
      </c>
      <c r="P500">
        <f>ROUND((ROUND((AC500*I500),2)*BC500),2)</f>
        <v>44769.33</v>
      </c>
      <c r="Q500">
        <f>(ROUND((ROUND(((ET500)*AV500*I500),2)*BB500),2)+ROUND((ROUND(((AE500-(EU500))*AV500*I500),2)*BS500),2))</f>
        <v>0</v>
      </c>
      <c r="R500">
        <f t="shared" si="396"/>
        <v>0</v>
      </c>
      <c r="S500">
        <f t="shared" si="397"/>
        <v>0</v>
      </c>
      <c r="T500">
        <f t="shared" si="398"/>
        <v>0</v>
      </c>
      <c r="U500">
        <f t="shared" si="399"/>
        <v>0</v>
      </c>
      <c r="V500">
        <f t="shared" si="400"/>
        <v>0</v>
      </c>
      <c r="W500">
        <f t="shared" si="401"/>
        <v>0</v>
      </c>
      <c r="X500">
        <f t="shared" si="402"/>
        <v>0</v>
      </c>
      <c r="Y500">
        <f t="shared" si="403"/>
        <v>0</v>
      </c>
      <c r="AA500">
        <v>56959431</v>
      </c>
      <c r="AB500">
        <f t="shared" si="404"/>
        <v>2922.28</v>
      </c>
      <c r="AC500">
        <f t="shared" si="405"/>
        <v>2922.28</v>
      </c>
      <c r="AD500">
        <f>ROUND((((ET500)-(EU500))+AE500),6)</f>
        <v>0</v>
      </c>
      <c r="AE500">
        <f>ROUND((EU500),6)</f>
        <v>0</v>
      </c>
      <c r="AF500">
        <f>ROUND((EV500),6)</f>
        <v>0</v>
      </c>
      <c r="AG500">
        <f t="shared" si="406"/>
        <v>0</v>
      </c>
      <c r="AH500">
        <f>(EW500)</f>
        <v>0</v>
      </c>
      <c r="AI500">
        <f>(EX500)</f>
        <v>0</v>
      </c>
      <c r="AJ500">
        <f t="shared" si="407"/>
        <v>0</v>
      </c>
      <c r="AK500">
        <v>2922.28</v>
      </c>
      <c r="AL500">
        <v>2922.28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1</v>
      </c>
      <c r="AZ500">
        <v>1</v>
      </c>
      <c r="BA500">
        <v>1</v>
      </c>
      <c r="BB500">
        <v>1</v>
      </c>
      <c r="BC500">
        <v>7.66</v>
      </c>
      <c r="BD500" t="s">
        <v>3</v>
      </c>
      <c r="BE500" t="s">
        <v>3</v>
      </c>
      <c r="BF500" t="s">
        <v>3</v>
      </c>
      <c r="BG500" t="s">
        <v>3</v>
      </c>
      <c r="BH500">
        <v>3</v>
      </c>
      <c r="BI500">
        <v>3</v>
      </c>
      <c r="BJ500" t="s">
        <v>3</v>
      </c>
      <c r="BM500">
        <v>746</v>
      </c>
      <c r="BN500">
        <v>0</v>
      </c>
      <c r="BO500" t="s">
        <v>3</v>
      </c>
      <c r="BP500">
        <v>0</v>
      </c>
      <c r="BQ500">
        <v>130</v>
      </c>
      <c r="BR500">
        <v>0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 t="s">
        <v>3</v>
      </c>
      <c r="BZ500">
        <v>0</v>
      </c>
      <c r="CA500">
        <v>0</v>
      </c>
      <c r="CB500" t="s">
        <v>3</v>
      </c>
      <c r="CE500">
        <v>30</v>
      </c>
      <c r="CF500">
        <v>0</v>
      </c>
      <c r="CG500">
        <v>0</v>
      </c>
      <c r="CM500">
        <v>0</v>
      </c>
      <c r="CN500" t="s">
        <v>3</v>
      </c>
      <c r="CO500">
        <v>0</v>
      </c>
      <c r="CP500">
        <f t="shared" si="408"/>
        <v>44769.33</v>
      </c>
      <c r="CQ500">
        <f>ROUND((ROUND((AC500*1),2)*BC500),2)</f>
        <v>22384.66</v>
      </c>
      <c r="CR500">
        <f>(ROUND((ROUND(((ET500)*AV500*1),2)*BB500),2)+ROUND((ROUND(((AE500-(EU500))*AV500*1),2)*BS500),2))</f>
        <v>0</v>
      </c>
      <c r="CS500">
        <f t="shared" si="410"/>
        <v>0</v>
      </c>
      <c r="CT500">
        <f t="shared" si="411"/>
        <v>0</v>
      </c>
      <c r="CU500">
        <f t="shared" si="412"/>
        <v>0</v>
      </c>
      <c r="CV500">
        <f t="shared" si="413"/>
        <v>0</v>
      </c>
      <c r="CW500">
        <f t="shared" si="414"/>
        <v>0</v>
      </c>
      <c r="CX500">
        <f t="shared" si="415"/>
        <v>0</v>
      </c>
      <c r="CY500">
        <f t="shared" si="416"/>
        <v>0</v>
      </c>
      <c r="CZ500">
        <f t="shared" si="417"/>
        <v>0</v>
      </c>
      <c r="DC500" t="s">
        <v>3</v>
      </c>
      <c r="DD500" t="s">
        <v>3</v>
      </c>
      <c r="DE500" t="s">
        <v>3</v>
      </c>
      <c r="DF500" t="s">
        <v>3</v>
      </c>
      <c r="DG500" t="s">
        <v>3</v>
      </c>
      <c r="DH500" t="s">
        <v>3</v>
      </c>
      <c r="DI500" t="s">
        <v>3</v>
      </c>
      <c r="DJ500" t="s">
        <v>3</v>
      </c>
      <c r="DK500" t="s">
        <v>3</v>
      </c>
      <c r="DL500" t="s">
        <v>3</v>
      </c>
      <c r="DM500" t="s">
        <v>3</v>
      </c>
      <c r="DN500">
        <v>0</v>
      </c>
      <c r="DO500">
        <v>0</v>
      </c>
      <c r="DP500">
        <v>1</v>
      </c>
      <c r="DQ500">
        <v>1</v>
      </c>
      <c r="DU500">
        <v>1010</v>
      </c>
      <c r="DV500" t="s">
        <v>31</v>
      </c>
      <c r="DW500" t="s">
        <v>31</v>
      </c>
      <c r="DX500">
        <v>1</v>
      </c>
      <c r="DZ500" t="s">
        <v>3</v>
      </c>
      <c r="EA500" t="s">
        <v>3</v>
      </c>
      <c r="EB500" t="s">
        <v>3</v>
      </c>
      <c r="EC500" t="s">
        <v>3</v>
      </c>
      <c r="EE500">
        <v>55992259</v>
      </c>
      <c r="EF500">
        <v>130</v>
      </c>
      <c r="EG500" t="s">
        <v>32</v>
      </c>
      <c r="EH500">
        <v>0</v>
      </c>
      <c r="EI500" t="s">
        <v>3</v>
      </c>
      <c r="EJ500">
        <v>3</v>
      </c>
      <c r="EK500">
        <v>746</v>
      </c>
      <c r="EL500" t="s">
        <v>33</v>
      </c>
      <c r="EM500" t="s">
        <v>34</v>
      </c>
      <c r="EO500" t="s">
        <v>3</v>
      </c>
      <c r="EQ500">
        <v>0</v>
      </c>
      <c r="ER500">
        <v>2922.28</v>
      </c>
      <c r="ES500">
        <v>2922.28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5</v>
      </c>
      <c r="FC500">
        <v>1</v>
      </c>
      <c r="FD500">
        <v>18</v>
      </c>
      <c r="FF500">
        <v>25770</v>
      </c>
      <c r="FQ500">
        <v>0</v>
      </c>
      <c r="FR500">
        <f>P500</f>
        <v>44769.33</v>
      </c>
      <c r="FS500">
        <v>0</v>
      </c>
      <c r="FX500">
        <v>0</v>
      </c>
      <c r="FY500">
        <v>0</v>
      </c>
      <c r="GA500" t="s">
        <v>460</v>
      </c>
      <c r="GD500">
        <v>1</v>
      </c>
      <c r="GF500">
        <v>46176004</v>
      </c>
      <c r="GG500">
        <v>2</v>
      </c>
      <c r="GH500">
        <v>3</v>
      </c>
      <c r="GI500">
        <v>5</v>
      </c>
      <c r="GJ500">
        <v>0</v>
      </c>
      <c r="GK500">
        <v>0</v>
      </c>
      <c r="GL500">
        <f t="shared" si="418"/>
        <v>0</v>
      </c>
      <c r="GM500">
        <f t="shared" si="419"/>
        <v>44769.33</v>
      </c>
      <c r="GN500">
        <f t="shared" si="420"/>
        <v>0</v>
      </c>
      <c r="GO500">
        <f t="shared" si="421"/>
        <v>0</v>
      </c>
      <c r="GP500">
        <f t="shared" si="422"/>
        <v>0</v>
      </c>
      <c r="GR500">
        <v>1</v>
      </c>
      <c r="GS500">
        <v>1</v>
      </c>
      <c r="GT500">
        <v>0</v>
      </c>
      <c r="GU500" t="s">
        <v>3</v>
      </c>
      <c r="GV500">
        <f t="shared" si="423"/>
        <v>0</v>
      </c>
      <c r="GW500">
        <v>1</v>
      </c>
      <c r="GX500">
        <f t="shared" si="424"/>
        <v>0</v>
      </c>
      <c r="HA500">
        <v>0</v>
      </c>
      <c r="HB500">
        <v>0</v>
      </c>
      <c r="HC500">
        <f t="shared" si="425"/>
        <v>0</v>
      </c>
      <c r="HE500" t="s">
        <v>36</v>
      </c>
      <c r="HF500" t="s">
        <v>37</v>
      </c>
      <c r="HM500" t="s">
        <v>3</v>
      </c>
      <c r="HN500" t="s">
        <v>3</v>
      </c>
      <c r="HO500" t="s">
        <v>3</v>
      </c>
      <c r="HP500" t="s">
        <v>3</v>
      </c>
      <c r="HQ500" t="s">
        <v>3</v>
      </c>
      <c r="HS500">
        <v>0</v>
      </c>
      <c r="IK500">
        <v>0</v>
      </c>
    </row>
    <row r="501" spans="1:255" x14ac:dyDescent="0.2">
      <c r="A501" s="2">
        <v>17</v>
      </c>
      <c r="B501" s="2">
        <v>1</v>
      </c>
      <c r="C501" s="2">
        <f>ROW(SmtRes!A374)</f>
        <v>374</v>
      </c>
      <c r="D501" s="2">
        <f>ROW(EtalonRes!A452)</f>
        <v>452</v>
      </c>
      <c r="E501" s="2" t="s">
        <v>461</v>
      </c>
      <c r="F501" s="2" t="s">
        <v>75</v>
      </c>
      <c r="G501" s="2" t="s">
        <v>76</v>
      </c>
      <c r="H501" s="2" t="s">
        <v>77</v>
      </c>
      <c r="I501" s="2">
        <f>ROUND(500/100,9)</f>
        <v>5</v>
      </c>
      <c r="J501" s="2">
        <v>0</v>
      </c>
      <c r="K501" s="2">
        <f>ROUND(500/100,9)</f>
        <v>5</v>
      </c>
      <c r="L501" s="2"/>
      <c r="M501" s="2"/>
      <c r="N501" s="2"/>
      <c r="O501" s="2">
        <f t="shared" si="394"/>
        <v>2867.86</v>
      </c>
      <c r="P501" s="2">
        <f t="shared" ref="P501:P508" si="426">ROUND((ROUND((AC501*AW501*I501),2)*BC501),2)</f>
        <v>1571.45</v>
      </c>
      <c r="Q501" s="2">
        <f>(ROUND((ROUND((((ET501*1.1))*AV501*I501),2)*BB501),2)+ROUND((ROUND(((AE501-((EU501*1.1)))*AV501*I501),2)*BS501),2))</f>
        <v>189.28</v>
      </c>
      <c r="R501" s="2">
        <f t="shared" si="396"/>
        <v>32.880000000000003</v>
      </c>
      <c r="S501" s="2">
        <f t="shared" si="397"/>
        <v>1107.1300000000001</v>
      </c>
      <c r="T501" s="2">
        <f t="shared" si="398"/>
        <v>0</v>
      </c>
      <c r="U501" s="2">
        <f t="shared" si="399"/>
        <v>86.377499999999984</v>
      </c>
      <c r="V501" s="2">
        <f t="shared" si="400"/>
        <v>0</v>
      </c>
      <c r="W501" s="2">
        <f t="shared" si="401"/>
        <v>0</v>
      </c>
      <c r="X501" s="2">
        <f t="shared" si="402"/>
        <v>1105.81</v>
      </c>
      <c r="Y501" s="2">
        <f t="shared" si="403"/>
        <v>581.41</v>
      </c>
      <c r="Z501" s="2"/>
      <c r="AA501" s="2">
        <v>56959434</v>
      </c>
      <c r="AB501" s="2">
        <f t="shared" si="404"/>
        <v>561.93299999999999</v>
      </c>
      <c r="AC501" s="2">
        <f t="shared" si="405"/>
        <v>314.29000000000002</v>
      </c>
      <c r="AD501" s="2">
        <f>ROUND(((((ET501*1.1))-((EU501*1.1)))+AE501),6)</f>
        <v>36.156999999999996</v>
      </c>
      <c r="AE501" s="2">
        <f>ROUND(((EU501*1.1)),6)</f>
        <v>6.2809999999999997</v>
      </c>
      <c r="AF501" s="2">
        <f>ROUND(((EV501*1.1)),6)</f>
        <v>211.48599999999999</v>
      </c>
      <c r="AG501" s="2">
        <f t="shared" si="406"/>
        <v>0</v>
      </c>
      <c r="AH501" s="2">
        <f>((EW501*1.1))</f>
        <v>16.5</v>
      </c>
      <c r="AI501" s="2">
        <f>((EX501*1.1))</f>
        <v>0</v>
      </c>
      <c r="AJ501" s="2">
        <f t="shared" si="407"/>
        <v>0</v>
      </c>
      <c r="AK501" s="2">
        <v>539.41999999999996</v>
      </c>
      <c r="AL501" s="2">
        <v>314.29000000000002</v>
      </c>
      <c r="AM501" s="2">
        <v>32.869999999999997</v>
      </c>
      <c r="AN501" s="2">
        <v>5.71</v>
      </c>
      <c r="AO501" s="2">
        <v>192.26</v>
      </c>
      <c r="AP501" s="2">
        <v>0</v>
      </c>
      <c r="AQ501" s="2">
        <v>15</v>
      </c>
      <c r="AR501" s="2">
        <v>0</v>
      </c>
      <c r="AS501" s="2">
        <v>0</v>
      </c>
      <c r="AT501" s="2">
        <v>97</v>
      </c>
      <c r="AU501" s="2">
        <v>51</v>
      </c>
      <c r="AV501" s="2">
        <v>1.0469999999999999</v>
      </c>
      <c r="AW501" s="2">
        <v>1</v>
      </c>
      <c r="AX501" s="2"/>
      <c r="AY501" s="2"/>
      <c r="AZ501" s="2">
        <v>1</v>
      </c>
      <c r="BA501" s="2">
        <v>1</v>
      </c>
      <c r="BB501" s="2">
        <v>1</v>
      </c>
      <c r="BC501" s="2">
        <v>1</v>
      </c>
      <c r="BD501" s="2" t="s">
        <v>3</v>
      </c>
      <c r="BE501" s="2" t="s">
        <v>3</v>
      </c>
      <c r="BF501" s="2" t="s">
        <v>3</v>
      </c>
      <c r="BG501" s="2" t="s">
        <v>3</v>
      </c>
      <c r="BH501" s="2">
        <v>0</v>
      </c>
      <c r="BI501" s="2">
        <v>2</v>
      </c>
      <c r="BJ501" s="2" t="s">
        <v>78</v>
      </c>
      <c r="BK501" s="2"/>
      <c r="BL501" s="2"/>
      <c r="BM501" s="2">
        <v>67</v>
      </c>
      <c r="BN501" s="2">
        <v>55992028</v>
      </c>
      <c r="BO501" s="2" t="s">
        <v>75</v>
      </c>
      <c r="BP501" s="2">
        <v>1</v>
      </c>
      <c r="BQ501" s="2">
        <v>40</v>
      </c>
      <c r="BR501" s="2">
        <v>0</v>
      </c>
      <c r="BS501" s="2">
        <v>1</v>
      </c>
      <c r="BT501" s="2">
        <v>1</v>
      </c>
      <c r="BU501" s="2">
        <v>1</v>
      </c>
      <c r="BV501" s="2">
        <v>1</v>
      </c>
      <c r="BW501" s="2">
        <v>1</v>
      </c>
      <c r="BX501" s="2">
        <v>1</v>
      </c>
      <c r="BY501" s="2" t="s">
        <v>3</v>
      </c>
      <c r="BZ501" s="2">
        <v>97</v>
      </c>
      <c r="CA501" s="2">
        <v>51</v>
      </c>
      <c r="CB501" s="2" t="s">
        <v>3</v>
      </c>
      <c r="CC501" s="2"/>
      <c r="CD501" s="2"/>
      <c r="CE501" s="2">
        <v>30</v>
      </c>
      <c r="CF501" s="2">
        <v>0</v>
      </c>
      <c r="CG501" s="2">
        <v>0</v>
      </c>
      <c r="CH501" s="2"/>
      <c r="CI501" s="2"/>
      <c r="CJ501" s="2"/>
      <c r="CK501" s="2"/>
      <c r="CL501" s="2"/>
      <c r="CM501" s="2">
        <v>0</v>
      </c>
      <c r="CN501" s="2" t="s">
        <v>673</v>
      </c>
      <c r="CO501" s="2">
        <v>0</v>
      </c>
      <c r="CP501" s="2">
        <f t="shared" si="408"/>
        <v>2867.86</v>
      </c>
      <c r="CQ501" s="2">
        <f t="shared" ref="CQ501:CQ508" si="427">ROUND((ROUND((AC501*AW501*1),2)*BC501),2)</f>
        <v>314.29000000000002</v>
      </c>
      <c r="CR501" s="2">
        <f>(ROUND((ROUND((((ET501*1.1))*AV501*1),2)*BB501),2)+ROUND((ROUND(((AE501-((EU501*1.1)))*AV501*1),2)*BS501),2))</f>
        <v>37.86</v>
      </c>
      <c r="CS501" s="2">
        <f t="shared" si="410"/>
        <v>6.58</v>
      </c>
      <c r="CT501" s="2">
        <f t="shared" si="411"/>
        <v>221.43</v>
      </c>
      <c r="CU501" s="2">
        <f t="shared" si="412"/>
        <v>0</v>
      </c>
      <c r="CV501" s="2">
        <f t="shared" si="413"/>
        <v>17.275499999999997</v>
      </c>
      <c r="CW501" s="2">
        <f t="shared" si="414"/>
        <v>0</v>
      </c>
      <c r="CX501" s="2">
        <f t="shared" si="415"/>
        <v>0</v>
      </c>
      <c r="CY501" s="2">
        <f t="shared" si="416"/>
        <v>1105.8097000000002</v>
      </c>
      <c r="CZ501" s="2">
        <f t="shared" si="417"/>
        <v>581.40510000000006</v>
      </c>
      <c r="DA501" s="2"/>
      <c r="DB501" s="2"/>
      <c r="DC501" s="2" t="s">
        <v>3</v>
      </c>
      <c r="DD501" s="2" t="s">
        <v>3</v>
      </c>
      <c r="DE501" s="2" t="s">
        <v>23</v>
      </c>
      <c r="DF501" s="2" t="s">
        <v>23</v>
      </c>
      <c r="DG501" s="2" t="s">
        <v>23</v>
      </c>
      <c r="DH501" s="2" t="s">
        <v>3</v>
      </c>
      <c r="DI501" s="2" t="s">
        <v>23</v>
      </c>
      <c r="DJ501" s="2" t="s">
        <v>23</v>
      </c>
      <c r="DK501" s="2" t="s">
        <v>3</v>
      </c>
      <c r="DL501" s="2" t="s">
        <v>3</v>
      </c>
      <c r="DM501" s="2" t="s">
        <v>3</v>
      </c>
      <c r="DN501" s="2">
        <v>0</v>
      </c>
      <c r="DO501" s="2">
        <v>0</v>
      </c>
      <c r="DP501" s="2">
        <v>1</v>
      </c>
      <c r="DQ501" s="2">
        <v>1</v>
      </c>
      <c r="DR501" s="2"/>
      <c r="DS501" s="2"/>
      <c r="DT501" s="2"/>
      <c r="DU501" s="2">
        <v>1003</v>
      </c>
      <c r="DV501" s="2" t="s">
        <v>77</v>
      </c>
      <c r="DW501" s="2" t="s">
        <v>77</v>
      </c>
      <c r="DX501" s="2">
        <v>100</v>
      </c>
      <c r="DY501" s="2"/>
      <c r="DZ501" s="2" t="s">
        <v>3</v>
      </c>
      <c r="EA501" s="2" t="s">
        <v>3</v>
      </c>
      <c r="EB501" s="2" t="s">
        <v>3</v>
      </c>
      <c r="EC501" s="2" t="s">
        <v>3</v>
      </c>
      <c r="ED501" s="2"/>
      <c r="EE501" s="2">
        <v>55992151</v>
      </c>
      <c r="EF501" s="2">
        <v>40</v>
      </c>
      <c r="EG501" s="2" t="s">
        <v>24</v>
      </c>
      <c r="EH501" s="2">
        <v>0</v>
      </c>
      <c r="EI501" s="2" t="s">
        <v>3</v>
      </c>
      <c r="EJ501" s="2">
        <v>2</v>
      </c>
      <c r="EK501" s="2">
        <v>67</v>
      </c>
      <c r="EL501" s="2" t="s">
        <v>79</v>
      </c>
      <c r="EM501" s="2" t="s">
        <v>80</v>
      </c>
      <c r="EN501" s="2"/>
      <c r="EO501" s="2" t="s">
        <v>27</v>
      </c>
      <c r="EP501" s="2"/>
      <c r="EQ501" s="2">
        <v>0</v>
      </c>
      <c r="ER501" s="2">
        <v>539.41999999999996</v>
      </c>
      <c r="ES501" s="2">
        <v>314.29000000000002</v>
      </c>
      <c r="ET501" s="2">
        <v>32.869999999999997</v>
      </c>
      <c r="EU501" s="2">
        <v>5.71</v>
      </c>
      <c r="EV501" s="2">
        <v>192.26</v>
      </c>
      <c r="EW501" s="2">
        <v>15</v>
      </c>
      <c r="EX501" s="2">
        <v>0</v>
      </c>
      <c r="EY501" s="2">
        <v>0</v>
      </c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>
        <v>0</v>
      </c>
      <c r="FR501" s="2">
        <v>0</v>
      </c>
      <c r="FS501" s="2">
        <v>0</v>
      </c>
      <c r="FT501" s="2"/>
      <c r="FU501" s="2"/>
      <c r="FV501" s="2"/>
      <c r="FW501" s="2"/>
      <c r="FX501" s="2">
        <v>97</v>
      </c>
      <c r="FY501" s="2">
        <v>51</v>
      </c>
      <c r="FZ501" s="2"/>
      <c r="GA501" s="2" t="s">
        <v>3</v>
      </c>
      <c r="GB501" s="2"/>
      <c r="GC501" s="2"/>
      <c r="GD501" s="2">
        <v>1</v>
      </c>
      <c r="GE501" s="2"/>
      <c r="GF501" s="2">
        <v>1705749599</v>
      </c>
      <c r="GG501" s="2">
        <v>2</v>
      </c>
      <c r="GH501" s="2">
        <v>1</v>
      </c>
      <c r="GI501" s="2">
        <v>2</v>
      </c>
      <c r="GJ501" s="2">
        <v>0</v>
      </c>
      <c r="GK501" s="2">
        <v>0</v>
      </c>
      <c r="GL501" s="2">
        <f t="shared" si="418"/>
        <v>0</v>
      </c>
      <c r="GM501" s="2">
        <f t="shared" si="419"/>
        <v>4555.08</v>
      </c>
      <c r="GN501" s="2">
        <f t="shared" si="420"/>
        <v>0</v>
      </c>
      <c r="GO501" s="2">
        <f t="shared" si="421"/>
        <v>4555.08</v>
      </c>
      <c r="GP501" s="2">
        <f t="shared" si="422"/>
        <v>0</v>
      </c>
      <c r="GQ501" s="2"/>
      <c r="GR501" s="2">
        <v>0</v>
      </c>
      <c r="GS501" s="2">
        <v>3</v>
      </c>
      <c r="GT501" s="2">
        <v>0</v>
      </c>
      <c r="GU501" s="2" t="s">
        <v>3</v>
      </c>
      <c r="GV501" s="2">
        <f t="shared" si="423"/>
        <v>0</v>
      </c>
      <c r="GW501" s="2">
        <v>1</v>
      </c>
      <c r="GX501" s="2">
        <f t="shared" si="424"/>
        <v>0</v>
      </c>
      <c r="GY501" s="2"/>
      <c r="GZ501" s="2"/>
      <c r="HA501" s="2">
        <v>0</v>
      </c>
      <c r="HB501" s="2">
        <v>0</v>
      </c>
      <c r="HC501" s="2">
        <f t="shared" si="425"/>
        <v>0</v>
      </c>
      <c r="HD501" s="2"/>
      <c r="HE501" s="2" t="s">
        <v>3</v>
      </c>
      <c r="HF501" s="2" t="s">
        <v>3</v>
      </c>
      <c r="HG501" s="2"/>
      <c r="HH501" s="2"/>
      <c r="HI501" s="2"/>
      <c r="HJ501" s="2"/>
      <c r="HK501" s="2"/>
      <c r="HL501" s="2"/>
      <c r="HM501" s="2" t="s">
        <v>3</v>
      </c>
      <c r="HN501" s="2" t="s">
        <v>3</v>
      </c>
      <c r="HO501" s="2" t="s">
        <v>3</v>
      </c>
      <c r="HP501" s="2" t="s">
        <v>3</v>
      </c>
      <c r="HQ501" s="2" t="s">
        <v>3</v>
      </c>
      <c r="HR501" s="2"/>
      <c r="HS501" s="2">
        <v>0</v>
      </c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>
        <v>0</v>
      </c>
      <c r="IL501" s="2"/>
      <c r="IM501" s="2"/>
      <c r="IN501" s="2"/>
      <c r="IO501" s="2"/>
      <c r="IP501" s="2"/>
      <c r="IQ501" s="2"/>
      <c r="IR501" s="2"/>
      <c r="IS501" s="2"/>
      <c r="IT501" s="2"/>
      <c r="IU501" s="2"/>
    </row>
    <row r="502" spans="1:255" x14ac:dyDescent="0.2">
      <c r="A502">
        <v>17</v>
      </c>
      <c r="B502">
        <v>1</v>
      </c>
      <c r="C502">
        <f>ROW(SmtRes!A376)</f>
        <v>376</v>
      </c>
      <c r="D502">
        <f>ROW(EtalonRes!A456)</f>
        <v>456</v>
      </c>
      <c r="E502" t="s">
        <v>461</v>
      </c>
      <c r="F502" t="s">
        <v>75</v>
      </c>
      <c r="G502" t="s">
        <v>76</v>
      </c>
      <c r="H502" t="s">
        <v>77</v>
      </c>
      <c r="I502">
        <f>ROUND(500/100,9)</f>
        <v>5</v>
      </c>
      <c r="J502">
        <v>0</v>
      </c>
      <c r="K502">
        <f>ROUND(500/100,9)</f>
        <v>5</v>
      </c>
      <c r="O502">
        <f t="shared" si="394"/>
        <v>79801.37</v>
      </c>
      <c r="P502">
        <f t="shared" si="426"/>
        <v>15541.64</v>
      </c>
      <c r="Q502">
        <f>(ROUND((ROUND((((ET502*1.1))*AV502*I502),2)*BB502),2)+ROUND((ROUND(((AE502-((EU502*1.1)))*AV502*I502),2)*BS502),2))</f>
        <v>3378.65</v>
      </c>
      <c r="R502">
        <f t="shared" si="396"/>
        <v>1808.07</v>
      </c>
      <c r="S502">
        <f t="shared" si="397"/>
        <v>60881.08</v>
      </c>
      <c r="T502">
        <f t="shared" si="398"/>
        <v>0</v>
      </c>
      <c r="U502">
        <f t="shared" si="399"/>
        <v>86.377499999999984</v>
      </c>
      <c r="V502">
        <f t="shared" si="400"/>
        <v>0</v>
      </c>
      <c r="W502">
        <f t="shared" si="401"/>
        <v>0</v>
      </c>
      <c r="X502">
        <f t="shared" si="402"/>
        <v>60808.480000000003</v>
      </c>
      <c r="Y502">
        <f t="shared" si="403"/>
        <v>31971.47</v>
      </c>
      <c r="AA502">
        <v>56959431</v>
      </c>
      <c r="AB502">
        <f t="shared" si="404"/>
        <v>561.93299999999999</v>
      </c>
      <c r="AC502">
        <f t="shared" si="405"/>
        <v>314.29000000000002</v>
      </c>
      <c r="AD502">
        <f>ROUND(((((ET502*1.1))-((EU502*1.1)))+AE502),6)</f>
        <v>36.156999999999996</v>
      </c>
      <c r="AE502">
        <f>ROUND(((EU502*1.1)),6)</f>
        <v>6.2809999999999997</v>
      </c>
      <c r="AF502">
        <f>ROUND(((EV502*1.1)),6)</f>
        <v>211.48599999999999</v>
      </c>
      <c r="AG502">
        <f t="shared" si="406"/>
        <v>0</v>
      </c>
      <c r="AH502">
        <f>((EW502*1.1))</f>
        <v>16.5</v>
      </c>
      <c r="AI502">
        <f>((EX502*1.1))</f>
        <v>0</v>
      </c>
      <c r="AJ502">
        <f t="shared" si="407"/>
        <v>0</v>
      </c>
      <c r="AK502">
        <v>539.41999999999996</v>
      </c>
      <c r="AL502">
        <v>314.29000000000002</v>
      </c>
      <c r="AM502">
        <v>32.869999999999997</v>
      </c>
      <c r="AN502">
        <v>5.71</v>
      </c>
      <c r="AO502">
        <v>192.26</v>
      </c>
      <c r="AP502">
        <v>0</v>
      </c>
      <c r="AQ502">
        <v>15</v>
      </c>
      <c r="AR502">
        <v>0</v>
      </c>
      <c r="AS502">
        <v>0</v>
      </c>
      <c r="AT502">
        <v>97</v>
      </c>
      <c r="AU502">
        <v>51</v>
      </c>
      <c r="AV502">
        <v>1.0469999999999999</v>
      </c>
      <c r="AW502">
        <v>1</v>
      </c>
      <c r="AZ502">
        <v>1</v>
      </c>
      <c r="BA502">
        <v>54.99</v>
      </c>
      <c r="BB502">
        <v>17.850000000000001</v>
      </c>
      <c r="BC502">
        <v>9.89</v>
      </c>
      <c r="BD502" t="s">
        <v>3</v>
      </c>
      <c r="BE502" t="s">
        <v>3</v>
      </c>
      <c r="BF502" t="s">
        <v>3</v>
      </c>
      <c r="BG502" t="s">
        <v>3</v>
      </c>
      <c r="BH502">
        <v>0</v>
      </c>
      <c r="BI502">
        <v>2</v>
      </c>
      <c r="BJ502" t="s">
        <v>78</v>
      </c>
      <c r="BM502">
        <v>67</v>
      </c>
      <c r="BN502">
        <v>55992028</v>
      </c>
      <c r="BO502" t="s">
        <v>75</v>
      </c>
      <c r="BP502">
        <v>1</v>
      </c>
      <c r="BQ502">
        <v>40</v>
      </c>
      <c r="BR502">
        <v>0</v>
      </c>
      <c r="BS502">
        <v>54.99</v>
      </c>
      <c r="BT502">
        <v>1</v>
      </c>
      <c r="BU502">
        <v>1</v>
      </c>
      <c r="BV502">
        <v>1</v>
      </c>
      <c r="BW502">
        <v>1</v>
      </c>
      <c r="BX502">
        <v>1</v>
      </c>
      <c r="BY502" t="s">
        <v>3</v>
      </c>
      <c r="BZ502">
        <v>97</v>
      </c>
      <c r="CA502">
        <v>51</v>
      </c>
      <c r="CB502" t="s">
        <v>3</v>
      </c>
      <c r="CE502">
        <v>30</v>
      </c>
      <c r="CF502">
        <v>0</v>
      </c>
      <c r="CG502">
        <v>0</v>
      </c>
      <c r="CM502">
        <v>0</v>
      </c>
      <c r="CN502" t="s">
        <v>673</v>
      </c>
      <c r="CO502">
        <v>0</v>
      </c>
      <c r="CP502">
        <f t="shared" si="408"/>
        <v>79801.37</v>
      </c>
      <c r="CQ502">
        <f t="shared" si="427"/>
        <v>3108.33</v>
      </c>
      <c r="CR502">
        <f>(ROUND((ROUND((((ET502*1.1))*AV502*1),2)*BB502),2)+ROUND((ROUND(((AE502-((EU502*1.1)))*AV502*1),2)*BS502),2))</f>
        <v>675.8</v>
      </c>
      <c r="CS502">
        <f t="shared" si="410"/>
        <v>361.83</v>
      </c>
      <c r="CT502">
        <f t="shared" si="411"/>
        <v>12176.44</v>
      </c>
      <c r="CU502">
        <f t="shared" si="412"/>
        <v>0</v>
      </c>
      <c r="CV502">
        <f t="shared" si="413"/>
        <v>17.275499999999997</v>
      </c>
      <c r="CW502">
        <f t="shared" si="414"/>
        <v>0</v>
      </c>
      <c r="CX502">
        <f t="shared" si="415"/>
        <v>0</v>
      </c>
      <c r="CY502">
        <f t="shared" si="416"/>
        <v>60808.4755</v>
      </c>
      <c r="CZ502">
        <f t="shared" si="417"/>
        <v>31971.466499999999</v>
      </c>
      <c r="DC502" t="s">
        <v>3</v>
      </c>
      <c r="DD502" t="s">
        <v>3</v>
      </c>
      <c r="DE502" t="s">
        <v>23</v>
      </c>
      <c r="DF502" t="s">
        <v>23</v>
      </c>
      <c r="DG502" t="s">
        <v>23</v>
      </c>
      <c r="DH502" t="s">
        <v>3</v>
      </c>
      <c r="DI502" t="s">
        <v>23</v>
      </c>
      <c r="DJ502" t="s">
        <v>23</v>
      </c>
      <c r="DK502" t="s">
        <v>3</v>
      </c>
      <c r="DL502" t="s">
        <v>3</v>
      </c>
      <c r="DM502" t="s">
        <v>3</v>
      </c>
      <c r="DN502">
        <v>0</v>
      </c>
      <c r="DO502">
        <v>0</v>
      </c>
      <c r="DP502">
        <v>1</v>
      </c>
      <c r="DQ502">
        <v>1</v>
      </c>
      <c r="DU502">
        <v>1003</v>
      </c>
      <c r="DV502" t="s">
        <v>77</v>
      </c>
      <c r="DW502" t="s">
        <v>77</v>
      </c>
      <c r="DX502">
        <v>100</v>
      </c>
      <c r="DZ502" t="s">
        <v>3</v>
      </c>
      <c r="EA502" t="s">
        <v>3</v>
      </c>
      <c r="EB502" t="s">
        <v>3</v>
      </c>
      <c r="EC502" t="s">
        <v>3</v>
      </c>
      <c r="EE502">
        <v>55992151</v>
      </c>
      <c r="EF502">
        <v>40</v>
      </c>
      <c r="EG502" t="s">
        <v>24</v>
      </c>
      <c r="EH502">
        <v>0</v>
      </c>
      <c r="EI502" t="s">
        <v>3</v>
      </c>
      <c r="EJ502">
        <v>2</v>
      </c>
      <c r="EK502">
        <v>67</v>
      </c>
      <c r="EL502" t="s">
        <v>79</v>
      </c>
      <c r="EM502" t="s">
        <v>80</v>
      </c>
      <c r="EO502" t="s">
        <v>27</v>
      </c>
      <c r="EQ502">
        <v>0</v>
      </c>
      <c r="ER502">
        <v>539.41999999999996</v>
      </c>
      <c r="ES502">
        <v>314.29000000000002</v>
      </c>
      <c r="ET502">
        <v>32.869999999999997</v>
      </c>
      <c r="EU502">
        <v>5.71</v>
      </c>
      <c r="EV502">
        <v>192.26</v>
      </c>
      <c r="EW502">
        <v>15</v>
      </c>
      <c r="EX502">
        <v>0</v>
      </c>
      <c r="EY502">
        <v>0</v>
      </c>
      <c r="FQ502">
        <v>0</v>
      </c>
      <c r="FR502">
        <v>0</v>
      </c>
      <c r="FS502">
        <v>0</v>
      </c>
      <c r="FX502">
        <v>97</v>
      </c>
      <c r="FY502">
        <v>51</v>
      </c>
      <c r="GA502" t="s">
        <v>3</v>
      </c>
      <c r="GD502">
        <v>1</v>
      </c>
      <c r="GF502">
        <v>1705749599</v>
      </c>
      <c r="GG502">
        <v>2</v>
      </c>
      <c r="GH502">
        <v>1</v>
      </c>
      <c r="GI502">
        <v>2</v>
      </c>
      <c r="GJ502">
        <v>0</v>
      </c>
      <c r="GK502">
        <v>0</v>
      </c>
      <c r="GL502">
        <f t="shared" si="418"/>
        <v>0</v>
      </c>
      <c r="GM502">
        <f t="shared" si="419"/>
        <v>172581.32</v>
      </c>
      <c r="GN502">
        <f t="shared" si="420"/>
        <v>0</v>
      </c>
      <c r="GO502">
        <f t="shared" si="421"/>
        <v>172581.32</v>
      </c>
      <c r="GP502">
        <f t="shared" si="422"/>
        <v>0</v>
      </c>
      <c r="GR502">
        <v>0</v>
      </c>
      <c r="GS502">
        <v>3</v>
      </c>
      <c r="GT502">
        <v>0</v>
      </c>
      <c r="GU502" t="s">
        <v>3</v>
      </c>
      <c r="GV502">
        <f t="shared" si="423"/>
        <v>0</v>
      </c>
      <c r="GW502">
        <v>1</v>
      </c>
      <c r="GX502">
        <f t="shared" si="424"/>
        <v>0</v>
      </c>
      <c r="HA502">
        <v>0</v>
      </c>
      <c r="HB502">
        <v>0</v>
      </c>
      <c r="HC502">
        <f t="shared" si="425"/>
        <v>0</v>
      </c>
      <c r="HE502" t="s">
        <v>3</v>
      </c>
      <c r="HF502" t="s">
        <v>3</v>
      </c>
      <c r="HM502" t="s">
        <v>3</v>
      </c>
      <c r="HN502" t="s">
        <v>3</v>
      </c>
      <c r="HO502" t="s">
        <v>3</v>
      </c>
      <c r="HP502" t="s">
        <v>3</v>
      </c>
      <c r="HQ502" t="s">
        <v>3</v>
      </c>
      <c r="HS502">
        <v>0</v>
      </c>
      <c r="IK502">
        <v>0</v>
      </c>
    </row>
    <row r="503" spans="1:255" x14ac:dyDescent="0.2">
      <c r="A503" s="2">
        <v>18</v>
      </c>
      <c r="B503" s="2">
        <v>1</v>
      </c>
      <c r="C503" s="2">
        <v>374</v>
      </c>
      <c r="D503" s="2"/>
      <c r="E503" s="2" t="s">
        <v>462</v>
      </c>
      <c r="F503" s="2" t="s">
        <v>82</v>
      </c>
      <c r="G503" s="2" t="s">
        <v>83</v>
      </c>
      <c r="H503" s="2" t="s">
        <v>84</v>
      </c>
      <c r="I503" s="2">
        <f>I501*J503</f>
        <v>510</v>
      </c>
      <c r="J503" s="2">
        <v>102</v>
      </c>
      <c r="K503" s="2">
        <v>102</v>
      </c>
      <c r="L503" s="2"/>
      <c r="M503" s="2"/>
      <c r="N503" s="2"/>
      <c r="O503" s="2">
        <f t="shared" si="394"/>
        <v>1759.5</v>
      </c>
      <c r="P503" s="2">
        <f t="shared" si="426"/>
        <v>1759.5</v>
      </c>
      <c r="Q503" s="2">
        <f>(ROUND((ROUND(((ET503)*AV503*I503),2)*BB503),2)+ROUND((ROUND(((AE503-(EU503))*AV503*I503),2)*BS503),2))</f>
        <v>0</v>
      </c>
      <c r="R503" s="2">
        <f t="shared" si="396"/>
        <v>0</v>
      </c>
      <c r="S503" s="2">
        <f t="shared" si="397"/>
        <v>0</v>
      </c>
      <c r="T503" s="2">
        <f t="shared" si="398"/>
        <v>0</v>
      </c>
      <c r="U503" s="2">
        <f t="shared" si="399"/>
        <v>0</v>
      </c>
      <c r="V503" s="2">
        <f t="shared" si="400"/>
        <v>0</v>
      </c>
      <c r="W503" s="2">
        <f t="shared" si="401"/>
        <v>0</v>
      </c>
      <c r="X503" s="2">
        <f t="shared" si="402"/>
        <v>0</v>
      </c>
      <c r="Y503" s="2">
        <f t="shared" si="403"/>
        <v>0</v>
      </c>
      <c r="Z503" s="2"/>
      <c r="AA503" s="2">
        <v>56959434</v>
      </c>
      <c r="AB503" s="2">
        <f t="shared" si="404"/>
        <v>3.45</v>
      </c>
      <c r="AC503" s="2">
        <f t="shared" si="405"/>
        <v>3.45</v>
      </c>
      <c r="AD503" s="2">
        <f>ROUND((((ET503)-(EU503))+AE503),6)</f>
        <v>0</v>
      </c>
      <c r="AE503" s="2">
        <f>ROUND((EU503),6)</f>
        <v>0</v>
      </c>
      <c r="AF503" s="2">
        <f>ROUND((EV503),6)</f>
        <v>0</v>
      </c>
      <c r="AG503" s="2">
        <f t="shared" si="406"/>
        <v>0</v>
      </c>
      <c r="AH503" s="2">
        <f>(EW503)</f>
        <v>0</v>
      </c>
      <c r="AI503" s="2">
        <f>(EX503)</f>
        <v>0</v>
      </c>
      <c r="AJ503" s="2">
        <f t="shared" si="407"/>
        <v>0</v>
      </c>
      <c r="AK503" s="2">
        <v>3.45</v>
      </c>
      <c r="AL503" s="2">
        <v>3.45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97</v>
      </c>
      <c r="AU503" s="2">
        <v>51</v>
      </c>
      <c r="AV503" s="2">
        <v>1</v>
      </c>
      <c r="AW503" s="2">
        <v>1</v>
      </c>
      <c r="AX503" s="2"/>
      <c r="AY503" s="2"/>
      <c r="AZ503" s="2">
        <v>1</v>
      </c>
      <c r="BA503" s="2">
        <v>1</v>
      </c>
      <c r="BB503" s="2">
        <v>1</v>
      </c>
      <c r="BC503" s="2">
        <v>1</v>
      </c>
      <c r="BD503" s="2" t="s">
        <v>3</v>
      </c>
      <c r="BE503" s="2" t="s">
        <v>3</v>
      </c>
      <c r="BF503" s="2" t="s">
        <v>3</v>
      </c>
      <c r="BG503" s="2" t="s">
        <v>3</v>
      </c>
      <c r="BH503" s="2">
        <v>3</v>
      </c>
      <c r="BI503" s="2">
        <v>2</v>
      </c>
      <c r="BJ503" s="2" t="s">
        <v>85</v>
      </c>
      <c r="BK503" s="2"/>
      <c r="BL503" s="2"/>
      <c r="BM503" s="2">
        <v>67</v>
      </c>
      <c r="BN503" s="2">
        <v>55992028</v>
      </c>
      <c r="BO503" s="2" t="s">
        <v>3</v>
      </c>
      <c r="BP503" s="2">
        <v>0</v>
      </c>
      <c r="BQ503" s="2">
        <v>40</v>
      </c>
      <c r="BR503" s="2">
        <v>0</v>
      </c>
      <c r="BS503" s="2">
        <v>1</v>
      </c>
      <c r="BT503" s="2">
        <v>1</v>
      </c>
      <c r="BU503" s="2">
        <v>1</v>
      </c>
      <c r="BV503" s="2">
        <v>1</v>
      </c>
      <c r="BW503" s="2">
        <v>1</v>
      </c>
      <c r="BX503" s="2">
        <v>1</v>
      </c>
      <c r="BY503" s="2" t="s">
        <v>3</v>
      </c>
      <c r="BZ503" s="2">
        <v>97</v>
      </c>
      <c r="CA503" s="2">
        <v>51</v>
      </c>
      <c r="CB503" s="2" t="s">
        <v>3</v>
      </c>
      <c r="CC503" s="2"/>
      <c r="CD503" s="2"/>
      <c r="CE503" s="2">
        <v>30</v>
      </c>
      <c r="CF503" s="2">
        <v>0</v>
      </c>
      <c r="CG503" s="2">
        <v>0</v>
      </c>
      <c r="CH503" s="2"/>
      <c r="CI503" s="2"/>
      <c r="CJ503" s="2"/>
      <c r="CK503" s="2"/>
      <c r="CL503" s="2"/>
      <c r="CM503" s="2">
        <v>0</v>
      </c>
      <c r="CN503" s="2" t="s">
        <v>3</v>
      </c>
      <c r="CO503" s="2">
        <v>0</v>
      </c>
      <c r="CP503" s="2">
        <f t="shared" si="408"/>
        <v>1759.5</v>
      </c>
      <c r="CQ503" s="2">
        <f t="shared" si="427"/>
        <v>3.45</v>
      </c>
      <c r="CR503" s="2">
        <f>(ROUND((ROUND(((ET503)*AV503*1),2)*BB503),2)+ROUND((ROUND(((AE503-(EU503))*AV503*1),2)*BS503),2))</f>
        <v>0</v>
      </c>
      <c r="CS503" s="2">
        <f t="shared" si="410"/>
        <v>0</v>
      </c>
      <c r="CT503" s="2">
        <f t="shared" si="411"/>
        <v>0</v>
      </c>
      <c r="CU503" s="2">
        <f t="shared" si="412"/>
        <v>0</v>
      </c>
      <c r="CV503" s="2">
        <f t="shared" si="413"/>
        <v>0</v>
      </c>
      <c r="CW503" s="2">
        <f t="shared" si="414"/>
        <v>0</v>
      </c>
      <c r="CX503" s="2">
        <f t="shared" si="415"/>
        <v>0</v>
      </c>
      <c r="CY503" s="2">
        <f t="shared" si="416"/>
        <v>0</v>
      </c>
      <c r="CZ503" s="2">
        <f t="shared" si="417"/>
        <v>0</v>
      </c>
      <c r="DA503" s="2"/>
      <c r="DB503" s="2"/>
      <c r="DC503" s="2" t="s">
        <v>3</v>
      </c>
      <c r="DD503" s="2" t="s">
        <v>3</v>
      </c>
      <c r="DE503" s="2" t="s">
        <v>3</v>
      </c>
      <c r="DF503" s="2" t="s">
        <v>3</v>
      </c>
      <c r="DG503" s="2" t="s">
        <v>3</v>
      </c>
      <c r="DH503" s="2" t="s">
        <v>3</v>
      </c>
      <c r="DI503" s="2" t="s">
        <v>3</v>
      </c>
      <c r="DJ503" s="2" t="s">
        <v>3</v>
      </c>
      <c r="DK503" s="2" t="s">
        <v>3</v>
      </c>
      <c r="DL503" s="2" t="s">
        <v>3</v>
      </c>
      <c r="DM503" s="2" t="s">
        <v>3</v>
      </c>
      <c r="DN503" s="2">
        <v>0</v>
      </c>
      <c r="DO503" s="2">
        <v>0</v>
      </c>
      <c r="DP503" s="2">
        <v>1</v>
      </c>
      <c r="DQ503" s="2">
        <v>1</v>
      </c>
      <c r="DR503" s="2"/>
      <c r="DS503" s="2"/>
      <c r="DT503" s="2"/>
      <c r="DU503" s="2">
        <v>1003</v>
      </c>
      <c r="DV503" s="2" t="s">
        <v>84</v>
      </c>
      <c r="DW503" s="2" t="s">
        <v>84</v>
      </c>
      <c r="DX503" s="2">
        <v>1</v>
      </c>
      <c r="DY503" s="2"/>
      <c r="DZ503" s="2" t="s">
        <v>3</v>
      </c>
      <c r="EA503" s="2" t="s">
        <v>3</v>
      </c>
      <c r="EB503" s="2" t="s">
        <v>3</v>
      </c>
      <c r="EC503" s="2" t="s">
        <v>3</v>
      </c>
      <c r="ED503" s="2"/>
      <c r="EE503" s="2">
        <v>55992151</v>
      </c>
      <c r="EF503" s="2">
        <v>40</v>
      </c>
      <c r="EG503" s="2" t="s">
        <v>24</v>
      </c>
      <c r="EH503" s="2">
        <v>0</v>
      </c>
      <c r="EI503" s="2" t="s">
        <v>3</v>
      </c>
      <c r="EJ503" s="2">
        <v>2</v>
      </c>
      <c r="EK503" s="2">
        <v>67</v>
      </c>
      <c r="EL503" s="2" t="s">
        <v>79</v>
      </c>
      <c r="EM503" s="2" t="s">
        <v>80</v>
      </c>
      <c r="EN503" s="2"/>
      <c r="EO503" s="2" t="s">
        <v>3</v>
      </c>
      <c r="EP503" s="2"/>
      <c r="EQ503" s="2">
        <v>0</v>
      </c>
      <c r="ER503" s="2">
        <v>3.45</v>
      </c>
      <c r="ES503" s="2">
        <v>3.45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>
        <v>0</v>
      </c>
      <c r="FR503" s="2">
        <v>0</v>
      </c>
      <c r="FS503" s="2">
        <v>0</v>
      </c>
      <c r="FT503" s="2"/>
      <c r="FU503" s="2"/>
      <c r="FV503" s="2"/>
      <c r="FW503" s="2"/>
      <c r="FX503" s="2">
        <v>97</v>
      </c>
      <c r="FY503" s="2">
        <v>51</v>
      </c>
      <c r="FZ503" s="2"/>
      <c r="GA503" s="2" t="s">
        <v>3</v>
      </c>
      <c r="GB503" s="2"/>
      <c r="GC503" s="2"/>
      <c r="GD503" s="2">
        <v>1</v>
      </c>
      <c r="GE503" s="2"/>
      <c r="GF503" s="2">
        <v>-1305428159</v>
      </c>
      <c r="GG503" s="2">
        <v>2</v>
      </c>
      <c r="GH503" s="2">
        <v>1</v>
      </c>
      <c r="GI503" s="2">
        <v>-2</v>
      </c>
      <c r="GJ503" s="2">
        <v>0</v>
      </c>
      <c r="GK503" s="2">
        <v>0</v>
      </c>
      <c r="GL503" s="2">
        <f t="shared" si="418"/>
        <v>0</v>
      </c>
      <c r="GM503" s="2">
        <f t="shared" si="419"/>
        <v>1759.5</v>
      </c>
      <c r="GN503" s="2">
        <f t="shared" si="420"/>
        <v>0</v>
      </c>
      <c r="GO503" s="2">
        <f t="shared" si="421"/>
        <v>1759.5</v>
      </c>
      <c r="GP503" s="2">
        <f t="shared" si="422"/>
        <v>0</v>
      </c>
      <c r="GQ503" s="2"/>
      <c r="GR503" s="2">
        <v>0</v>
      </c>
      <c r="GS503" s="2">
        <v>3</v>
      </c>
      <c r="GT503" s="2">
        <v>0</v>
      </c>
      <c r="GU503" s="2" t="s">
        <v>3</v>
      </c>
      <c r="GV503" s="2">
        <f t="shared" si="423"/>
        <v>0</v>
      </c>
      <c r="GW503" s="2">
        <v>1</v>
      </c>
      <c r="GX503" s="2">
        <f t="shared" si="424"/>
        <v>0</v>
      </c>
      <c r="GY503" s="2"/>
      <c r="GZ503" s="2"/>
      <c r="HA503" s="2">
        <v>0</v>
      </c>
      <c r="HB503" s="2">
        <v>0</v>
      </c>
      <c r="HC503" s="2">
        <f t="shared" si="425"/>
        <v>0</v>
      </c>
      <c r="HD503" s="2"/>
      <c r="HE503" s="2" t="s">
        <v>3</v>
      </c>
      <c r="HF503" s="2" t="s">
        <v>3</v>
      </c>
      <c r="HG503" s="2"/>
      <c r="HH503" s="2"/>
      <c r="HI503" s="2"/>
      <c r="HJ503" s="2"/>
      <c r="HK503" s="2"/>
      <c r="HL503" s="2"/>
      <c r="HM503" s="2" t="s">
        <v>3</v>
      </c>
      <c r="HN503" s="2" t="s">
        <v>3</v>
      </c>
      <c r="HO503" s="2" t="s">
        <v>3</v>
      </c>
      <c r="HP503" s="2" t="s">
        <v>3</v>
      </c>
      <c r="HQ503" s="2" t="s">
        <v>3</v>
      </c>
      <c r="HR503" s="2"/>
      <c r="HS503" s="2">
        <v>0</v>
      </c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>
        <v>0</v>
      </c>
      <c r="IL503" s="2"/>
      <c r="IM503" s="2"/>
      <c r="IN503" s="2"/>
      <c r="IO503" s="2"/>
      <c r="IP503" s="2"/>
      <c r="IQ503" s="2"/>
      <c r="IR503" s="2"/>
      <c r="IS503" s="2"/>
      <c r="IT503" s="2"/>
      <c r="IU503" s="2"/>
    </row>
    <row r="504" spans="1:255" x14ac:dyDescent="0.2">
      <c r="A504">
        <v>18</v>
      </c>
      <c r="B504">
        <v>1</v>
      </c>
      <c r="C504">
        <v>376</v>
      </c>
      <c r="E504" t="s">
        <v>462</v>
      </c>
      <c r="F504" t="s">
        <v>82</v>
      </c>
      <c r="G504" t="s">
        <v>83</v>
      </c>
      <c r="H504" t="s">
        <v>84</v>
      </c>
      <c r="I504">
        <f>I502*J504</f>
        <v>510</v>
      </c>
      <c r="J504">
        <v>102</v>
      </c>
      <c r="K504">
        <v>102</v>
      </c>
      <c r="O504">
        <f t="shared" si="394"/>
        <v>6914.84</v>
      </c>
      <c r="P504">
        <f t="shared" si="426"/>
        <v>6914.84</v>
      </c>
      <c r="Q504">
        <f>(ROUND((ROUND(((ET504)*AV504*I504),2)*BB504),2)+ROUND((ROUND(((AE504-(EU504))*AV504*I504),2)*BS504),2))</f>
        <v>0</v>
      </c>
      <c r="R504">
        <f t="shared" si="396"/>
        <v>0</v>
      </c>
      <c r="S504">
        <f t="shared" si="397"/>
        <v>0</v>
      </c>
      <c r="T504">
        <f t="shared" si="398"/>
        <v>0</v>
      </c>
      <c r="U504">
        <f t="shared" si="399"/>
        <v>0</v>
      </c>
      <c r="V504">
        <f t="shared" si="400"/>
        <v>0</v>
      </c>
      <c r="W504">
        <f t="shared" si="401"/>
        <v>0</v>
      </c>
      <c r="X504">
        <f t="shared" si="402"/>
        <v>0</v>
      </c>
      <c r="Y504">
        <f t="shared" si="403"/>
        <v>0</v>
      </c>
      <c r="AA504">
        <v>56959431</v>
      </c>
      <c r="AB504">
        <f t="shared" si="404"/>
        <v>3.45</v>
      </c>
      <c r="AC504">
        <f t="shared" si="405"/>
        <v>3.45</v>
      </c>
      <c r="AD504">
        <f>ROUND((((ET504)-(EU504))+AE504),6)</f>
        <v>0</v>
      </c>
      <c r="AE504">
        <f>ROUND((EU504),6)</f>
        <v>0</v>
      </c>
      <c r="AF504">
        <f>ROUND((EV504),6)</f>
        <v>0</v>
      </c>
      <c r="AG504">
        <f t="shared" si="406"/>
        <v>0</v>
      </c>
      <c r="AH504">
        <f>(EW504)</f>
        <v>0</v>
      </c>
      <c r="AI504">
        <f>(EX504)</f>
        <v>0</v>
      </c>
      <c r="AJ504">
        <f t="shared" si="407"/>
        <v>0</v>
      </c>
      <c r="AK504">
        <v>3.45</v>
      </c>
      <c r="AL504">
        <v>3.45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97</v>
      </c>
      <c r="AU504">
        <v>51</v>
      </c>
      <c r="AV504">
        <v>1</v>
      </c>
      <c r="AW504">
        <v>1</v>
      </c>
      <c r="AZ504">
        <v>1</v>
      </c>
      <c r="BA504">
        <v>1</v>
      </c>
      <c r="BB504">
        <v>1</v>
      </c>
      <c r="BC504">
        <v>3.93</v>
      </c>
      <c r="BD504" t="s">
        <v>3</v>
      </c>
      <c r="BE504" t="s">
        <v>3</v>
      </c>
      <c r="BF504" t="s">
        <v>3</v>
      </c>
      <c r="BG504" t="s">
        <v>3</v>
      </c>
      <c r="BH504">
        <v>3</v>
      </c>
      <c r="BI504">
        <v>2</v>
      </c>
      <c r="BJ504" t="s">
        <v>85</v>
      </c>
      <c r="BM504">
        <v>67</v>
      </c>
      <c r="BN504">
        <v>55992028</v>
      </c>
      <c r="BO504" t="s">
        <v>82</v>
      </c>
      <c r="BP504">
        <v>1</v>
      </c>
      <c r="BQ504">
        <v>40</v>
      </c>
      <c r="BR504">
        <v>0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 t="s">
        <v>3</v>
      </c>
      <c r="BZ504">
        <v>97</v>
      </c>
      <c r="CA504">
        <v>51</v>
      </c>
      <c r="CB504" t="s">
        <v>3</v>
      </c>
      <c r="CE504">
        <v>30</v>
      </c>
      <c r="CF504">
        <v>0</v>
      </c>
      <c r="CG504">
        <v>0</v>
      </c>
      <c r="CM504">
        <v>0</v>
      </c>
      <c r="CN504" t="s">
        <v>3</v>
      </c>
      <c r="CO504">
        <v>0</v>
      </c>
      <c r="CP504">
        <f t="shared" si="408"/>
        <v>6914.84</v>
      </c>
      <c r="CQ504">
        <f t="shared" si="427"/>
        <v>13.56</v>
      </c>
      <c r="CR504">
        <f>(ROUND((ROUND(((ET504)*AV504*1),2)*BB504),2)+ROUND((ROUND(((AE504-(EU504))*AV504*1),2)*BS504),2))</f>
        <v>0</v>
      </c>
      <c r="CS504">
        <f t="shared" si="410"/>
        <v>0</v>
      </c>
      <c r="CT504">
        <f t="shared" si="411"/>
        <v>0</v>
      </c>
      <c r="CU504">
        <f t="shared" si="412"/>
        <v>0</v>
      </c>
      <c r="CV504">
        <f t="shared" si="413"/>
        <v>0</v>
      </c>
      <c r="CW504">
        <f t="shared" si="414"/>
        <v>0</v>
      </c>
      <c r="CX504">
        <f t="shared" si="415"/>
        <v>0</v>
      </c>
      <c r="CY504">
        <f t="shared" si="416"/>
        <v>0</v>
      </c>
      <c r="CZ504">
        <f t="shared" si="417"/>
        <v>0</v>
      </c>
      <c r="DC504" t="s">
        <v>3</v>
      </c>
      <c r="DD504" t="s">
        <v>3</v>
      </c>
      <c r="DE504" t="s">
        <v>3</v>
      </c>
      <c r="DF504" t="s">
        <v>3</v>
      </c>
      <c r="DG504" t="s">
        <v>3</v>
      </c>
      <c r="DH504" t="s">
        <v>3</v>
      </c>
      <c r="DI504" t="s">
        <v>3</v>
      </c>
      <c r="DJ504" t="s">
        <v>3</v>
      </c>
      <c r="DK504" t="s">
        <v>3</v>
      </c>
      <c r="DL504" t="s">
        <v>3</v>
      </c>
      <c r="DM504" t="s">
        <v>3</v>
      </c>
      <c r="DN504">
        <v>0</v>
      </c>
      <c r="DO504">
        <v>0</v>
      </c>
      <c r="DP504">
        <v>1</v>
      </c>
      <c r="DQ504">
        <v>1</v>
      </c>
      <c r="DU504">
        <v>1003</v>
      </c>
      <c r="DV504" t="s">
        <v>84</v>
      </c>
      <c r="DW504" t="s">
        <v>84</v>
      </c>
      <c r="DX504">
        <v>1</v>
      </c>
      <c r="DZ504" t="s">
        <v>3</v>
      </c>
      <c r="EA504" t="s">
        <v>3</v>
      </c>
      <c r="EB504" t="s">
        <v>3</v>
      </c>
      <c r="EC504" t="s">
        <v>3</v>
      </c>
      <c r="EE504">
        <v>55992151</v>
      </c>
      <c r="EF504">
        <v>40</v>
      </c>
      <c r="EG504" t="s">
        <v>24</v>
      </c>
      <c r="EH504">
        <v>0</v>
      </c>
      <c r="EI504" t="s">
        <v>3</v>
      </c>
      <c r="EJ504">
        <v>2</v>
      </c>
      <c r="EK504">
        <v>67</v>
      </c>
      <c r="EL504" t="s">
        <v>79</v>
      </c>
      <c r="EM504" t="s">
        <v>80</v>
      </c>
      <c r="EO504" t="s">
        <v>3</v>
      </c>
      <c r="EQ504">
        <v>0</v>
      </c>
      <c r="ER504">
        <v>3.45</v>
      </c>
      <c r="ES504">
        <v>3.45</v>
      </c>
      <c r="ET504">
        <v>0</v>
      </c>
      <c r="EU504">
        <v>0</v>
      </c>
      <c r="EV504">
        <v>0</v>
      </c>
      <c r="EW504">
        <v>0</v>
      </c>
      <c r="EX504">
        <v>0</v>
      </c>
      <c r="FQ504">
        <v>0</v>
      </c>
      <c r="FR504">
        <v>0</v>
      </c>
      <c r="FS504">
        <v>0</v>
      </c>
      <c r="FX504">
        <v>97</v>
      </c>
      <c r="FY504">
        <v>51</v>
      </c>
      <c r="GA504" t="s">
        <v>3</v>
      </c>
      <c r="GD504">
        <v>1</v>
      </c>
      <c r="GF504">
        <v>-1305428159</v>
      </c>
      <c r="GG504">
        <v>2</v>
      </c>
      <c r="GH504">
        <v>1</v>
      </c>
      <c r="GI504">
        <v>2</v>
      </c>
      <c r="GJ504">
        <v>0</v>
      </c>
      <c r="GK504">
        <v>0</v>
      </c>
      <c r="GL504">
        <f t="shared" si="418"/>
        <v>0</v>
      </c>
      <c r="GM504">
        <f t="shared" si="419"/>
        <v>6914.84</v>
      </c>
      <c r="GN504">
        <f t="shared" si="420"/>
        <v>0</v>
      </c>
      <c r="GO504">
        <f t="shared" si="421"/>
        <v>6914.84</v>
      </c>
      <c r="GP504">
        <f t="shared" si="422"/>
        <v>0</v>
      </c>
      <c r="GR504">
        <v>0</v>
      </c>
      <c r="GS504">
        <v>3</v>
      </c>
      <c r="GT504">
        <v>0</v>
      </c>
      <c r="GU504" t="s">
        <v>3</v>
      </c>
      <c r="GV504">
        <f t="shared" si="423"/>
        <v>0</v>
      </c>
      <c r="GW504">
        <v>1</v>
      </c>
      <c r="GX504">
        <f t="shared" si="424"/>
        <v>0</v>
      </c>
      <c r="HA504">
        <v>0</v>
      </c>
      <c r="HB504">
        <v>0</v>
      </c>
      <c r="HC504">
        <f t="shared" si="425"/>
        <v>0</v>
      </c>
      <c r="HE504" t="s">
        <v>3</v>
      </c>
      <c r="HF504" t="s">
        <v>3</v>
      </c>
      <c r="HM504" t="s">
        <v>3</v>
      </c>
      <c r="HN504" t="s">
        <v>3</v>
      </c>
      <c r="HO504" t="s">
        <v>3</v>
      </c>
      <c r="HP504" t="s">
        <v>3</v>
      </c>
      <c r="HQ504" t="s">
        <v>3</v>
      </c>
      <c r="HS504">
        <v>0</v>
      </c>
      <c r="IK504">
        <v>0</v>
      </c>
    </row>
    <row r="505" spans="1:255" x14ac:dyDescent="0.2">
      <c r="A505" s="2">
        <v>17</v>
      </c>
      <c r="B505" s="2">
        <v>1</v>
      </c>
      <c r="C505" s="2">
        <f>ROW(SmtRes!A386)</f>
        <v>386</v>
      </c>
      <c r="D505" s="2">
        <f>ROW(EtalonRes!A466)</f>
        <v>466</v>
      </c>
      <c r="E505" s="2" t="s">
        <v>463</v>
      </c>
      <c r="F505" s="2" t="s">
        <v>95</v>
      </c>
      <c r="G505" s="2" t="s">
        <v>96</v>
      </c>
      <c r="H505" s="2" t="s">
        <v>77</v>
      </c>
      <c r="I505" s="2">
        <f>ROUND(500/100,9)</f>
        <v>5</v>
      </c>
      <c r="J505" s="2">
        <v>0</v>
      </c>
      <c r="K505" s="2">
        <f>ROUND(500/100,9)</f>
        <v>5</v>
      </c>
      <c r="L505" s="2"/>
      <c r="M505" s="2"/>
      <c r="N505" s="2"/>
      <c r="O505" s="2">
        <f t="shared" si="394"/>
        <v>623.88</v>
      </c>
      <c r="P505" s="2">
        <f t="shared" si="426"/>
        <v>290.75</v>
      </c>
      <c r="Q505" s="2">
        <f>(ROUND((ROUND((((ET505*1.1))*AV505*I505),2)*BB505),2)+ROUND((ROUND(((AE505-((EU505*1.1)))*AV505*I505),2)*BS505),2))</f>
        <v>15.09</v>
      </c>
      <c r="R505" s="2">
        <f t="shared" si="396"/>
        <v>1.73</v>
      </c>
      <c r="S505" s="2">
        <f t="shared" si="397"/>
        <v>318.04000000000002</v>
      </c>
      <c r="T505" s="2">
        <f t="shared" si="398"/>
        <v>0</v>
      </c>
      <c r="U505" s="2">
        <f t="shared" si="399"/>
        <v>25.855665000000005</v>
      </c>
      <c r="V505" s="2">
        <f t="shared" si="400"/>
        <v>0</v>
      </c>
      <c r="W505" s="2">
        <f t="shared" si="401"/>
        <v>0</v>
      </c>
      <c r="X505" s="2">
        <f t="shared" si="402"/>
        <v>310.18</v>
      </c>
      <c r="Y505" s="2">
        <f t="shared" si="403"/>
        <v>163.08000000000001</v>
      </c>
      <c r="Z505" s="2"/>
      <c r="AA505" s="2">
        <v>56959434</v>
      </c>
      <c r="AB505" s="2">
        <f t="shared" si="404"/>
        <v>121.785</v>
      </c>
      <c r="AC505" s="2">
        <f t="shared" si="405"/>
        <v>58.15</v>
      </c>
      <c r="AD505" s="2">
        <f>ROUND(((((ET505*1.1))-((EU505*1.1)))+AE505),6)</f>
        <v>2.8820000000000001</v>
      </c>
      <c r="AE505" s="2">
        <f>ROUND(((EU505*1.1)),6)</f>
        <v>0.33</v>
      </c>
      <c r="AF505" s="2">
        <f>ROUND(((EV505*1.1)),6)</f>
        <v>60.753</v>
      </c>
      <c r="AG505" s="2">
        <f t="shared" si="406"/>
        <v>0</v>
      </c>
      <c r="AH505" s="2">
        <f>((EW505*1.1))</f>
        <v>4.9390000000000009</v>
      </c>
      <c r="AI505" s="2">
        <f>((EX505*1.1))</f>
        <v>0</v>
      </c>
      <c r="AJ505" s="2">
        <f t="shared" si="407"/>
        <v>0</v>
      </c>
      <c r="AK505" s="2">
        <v>116</v>
      </c>
      <c r="AL505" s="2">
        <v>58.15</v>
      </c>
      <c r="AM505" s="2">
        <v>2.62</v>
      </c>
      <c r="AN505" s="2">
        <v>0.3</v>
      </c>
      <c r="AO505" s="2">
        <v>55.23</v>
      </c>
      <c r="AP505" s="2">
        <v>0</v>
      </c>
      <c r="AQ505" s="2">
        <v>4.49</v>
      </c>
      <c r="AR505" s="2">
        <v>0</v>
      </c>
      <c r="AS505" s="2">
        <v>0</v>
      </c>
      <c r="AT505" s="2">
        <v>97</v>
      </c>
      <c r="AU505" s="2">
        <v>51</v>
      </c>
      <c r="AV505" s="2">
        <v>1.0469999999999999</v>
      </c>
      <c r="AW505" s="2">
        <v>1</v>
      </c>
      <c r="AX505" s="2"/>
      <c r="AY505" s="2"/>
      <c r="AZ505" s="2">
        <v>1</v>
      </c>
      <c r="BA505" s="2">
        <v>1</v>
      </c>
      <c r="BB505" s="2">
        <v>1</v>
      </c>
      <c r="BC505" s="2">
        <v>1</v>
      </c>
      <c r="BD505" s="2" t="s">
        <v>3</v>
      </c>
      <c r="BE505" s="2" t="s">
        <v>3</v>
      </c>
      <c r="BF505" s="2" t="s">
        <v>3</v>
      </c>
      <c r="BG505" s="2" t="s">
        <v>3</v>
      </c>
      <c r="BH505" s="2">
        <v>0</v>
      </c>
      <c r="BI505" s="2">
        <v>2</v>
      </c>
      <c r="BJ505" s="2" t="s">
        <v>97</v>
      </c>
      <c r="BK505" s="2"/>
      <c r="BL505" s="2"/>
      <c r="BM505" s="2">
        <v>67</v>
      </c>
      <c r="BN505" s="2">
        <v>55992028</v>
      </c>
      <c r="BO505" s="2" t="s">
        <v>95</v>
      </c>
      <c r="BP505" s="2">
        <v>1</v>
      </c>
      <c r="BQ505" s="2">
        <v>40</v>
      </c>
      <c r="BR505" s="2">
        <v>0</v>
      </c>
      <c r="BS505" s="2">
        <v>1</v>
      </c>
      <c r="BT505" s="2">
        <v>1</v>
      </c>
      <c r="BU505" s="2">
        <v>1</v>
      </c>
      <c r="BV505" s="2">
        <v>1</v>
      </c>
      <c r="BW505" s="2">
        <v>1</v>
      </c>
      <c r="BX505" s="2">
        <v>1</v>
      </c>
      <c r="BY505" s="2" t="s">
        <v>3</v>
      </c>
      <c r="BZ505" s="2">
        <v>97</v>
      </c>
      <c r="CA505" s="2">
        <v>51</v>
      </c>
      <c r="CB505" s="2" t="s">
        <v>3</v>
      </c>
      <c r="CC505" s="2"/>
      <c r="CD505" s="2"/>
      <c r="CE505" s="2">
        <v>30</v>
      </c>
      <c r="CF505" s="2">
        <v>0</v>
      </c>
      <c r="CG505" s="2">
        <v>0</v>
      </c>
      <c r="CH505" s="2"/>
      <c r="CI505" s="2"/>
      <c r="CJ505" s="2"/>
      <c r="CK505" s="2"/>
      <c r="CL505" s="2"/>
      <c r="CM505" s="2">
        <v>0</v>
      </c>
      <c r="CN505" s="2" t="s">
        <v>673</v>
      </c>
      <c r="CO505" s="2">
        <v>0</v>
      </c>
      <c r="CP505" s="2">
        <f t="shared" si="408"/>
        <v>623.88</v>
      </c>
      <c r="CQ505" s="2">
        <f t="shared" si="427"/>
        <v>58.15</v>
      </c>
      <c r="CR505" s="2">
        <f>(ROUND((ROUND((((ET505*1.1))*AV505*1),2)*BB505),2)+ROUND((ROUND(((AE505-((EU505*1.1)))*AV505*1),2)*BS505),2))</f>
        <v>3.02</v>
      </c>
      <c r="CS505" s="2">
        <f t="shared" si="410"/>
        <v>0.35</v>
      </c>
      <c r="CT505" s="2">
        <f t="shared" si="411"/>
        <v>63.61</v>
      </c>
      <c r="CU505" s="2">
        <f t="shared" si="412"/>
        <v>0</v>
      </c>
      <c r="CV505" s="2">
        <f t="shared" si="413"/>
        <v>5.1711330000000011</v>
      </c>
      <c r="CW505" s="2">
        <f t="shared" si="414"/>
        <v>0</v>
      </c>
      <c r="CX505" s="2">
        <f t="shared" si="415"/>
        <v>0</v>
      </c>
      <c r="CY505" s="2">
        <f t="shared" si="416"/>
        <v>310.17690000000005</v>
      </c>
      <c r="CZ505" s="2">
        <f t="shared" si="417"/>
        <v>163.08270000000002</v>
      </c>
      <c r="DA505" s="2"/>
      <c r="DB505" s="2"/>
      <c r="DC505" s="2" t="s">
        <v>3</v>
      </c>
      <c r="DD505" s="2" t="s">
        <v>3</v>
      </c>
      <c r="DE505" s="2" t="s">
        <v>23</v>
      </c>
      <c r="DF505" s="2" t="s">
        <v>23</v>
      </c>
      <c r="DG505" s="2" t="s">
        <v>23</v>
      </c>
      <c r="DH505" s="2" t="s">
        <v>3</v>
      </c>
      <c r="DI505" s="2" t="s">
        <v>23</v>
      </c>
      <c r="DJ505" s="2" t="s">
        <v>23</v>
      </c>
      <c r="DK505" s="2" t="s">
        <v>3</v>
      </c>
      <c r="DL505" s="2" t="s">
        <v>3</v>
      </c>
      <c r="DM505" s="2" t="s">
        <v>3</v>
      </c>
      <c r="DN505" s="2">
        <v>0</v>
      </c>
      <c r="DO505" s="2">
        <v>0</v>
      </c>
      <c r="DP505" s="2">
        <v>1</v>
      </c>
      <c r="DQ505" s="2">
        <v>1</v>
      </c>
      <c r="DR505" s="2"/>
      <c r="DS505" s="2"/>
      <c r="DT505" s="2"/>
      <c r="DU505" s="2">
        <v>1003</v>
      </c>
      <c r="DV505" s="2" t="s">
        <v>77</v>
      </c>
      <c r="DW505" s="2" t="s">
        <v>77</v>
      </c>
      <c r="DX505" s="2">
        <v>100</v>
      </c>
      <c r="DY505" s="2"/>
      <c r="DZ505" s="2" t="s">
        <v>3</v>
      </c>
      <c r="EA505" s="2" t="s">
        <v>3</v>
      </c>
      <c r="EB505" s="2" t="s">
        <v>3</v>
      </c>
      <c r="EC505" s="2" t="s">
        <v>3</v>
      </c>
      <c r="ED505" s="2"/>
      <c r="EE505" s="2">
        <v>55992151</v>
      </c>
      <c r="EF505" s="2">
        <v>40</v>
      </c>
      <c r="EG505" s="2" t="s">
        <v>24</v>
      </c>
      <c r="EH505" s="2">
        <v>0</v>
      </c>
      <c r="EI505" s="2" t="s">
        <v>3</v>
      </c>
      <c r="EJ505" s="2">
        <v>2</v>
      </c>
      <c r="EK505" s="2">
        <v>67</v>
      </c>
      <c r="EL505" s="2" t="s">
        <v>79</v>
      </c>
      <c r="EM505" s="2" t="s">
        <v>80</v>
      </c>
      <c r="EN505" s="2"/>
      <c r="EO505" s="2" t="s">
        <v>27</v>
      </c>
      <c r="EP505" s="2"/>
      <c r="EQ505" s="2">
        <v>0</v>
      </c>
      <c r="ER505" s="2">
        <v>116</v>
      </c>
      <c r="ES505" s="2">
        <v>58.15</v>
      </c>
      <c r="ET505" s="2">
        <v>2.62</v>
      </c>
      <c r="EU505" s="2">
        <v>0.3</v>
      </c>
      <c r="EV505" s="2">
        <v>55.23</v>
      </c>
      <c r="EW505" s="2">
        <v>4.49</v>
      </c>
      <c r="EX505" s="2">
        <v>0</v>
      </c>
      <c r="EY505" s="2">
        <v>0</v>
      </c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>
        <v>0</v>
      </c>
      <c r="FR505" s="2">
        <v>0</v>
      </c>
      <c r="FS505" s="2">
        <v>0</v>
      </c>
      <c r="FT505" s="2"/>
      <c r="FU505" s="2"/>
      <c r="FV505" s="2"/>
      <c r="FW505" s="2"/>
      <c r="FX505" s="2">
        <v>97</v>
      </c>
      <c r="FY505" s="2">
        <v>51</v>
      </c>
      <c r="FZ505" s="2"/>
      <c r="GA505" s="2" t="s">
        <v>3</v>
      </c>
      <c r="GB505" s="2"/>
      <c r="GC505" s="2"/>
      <c r="GD505" s="2">
        <v>1</v>
      </c>
      <c r="GE505" s="2"/>
      <c r="GF505" s="2">
        <v>770559996</v>
      </c>
      <c r="GG505" s="2">
        <v>2</v>
      </c>
      <c r="GH505" s="2">
        <v>1</v>
      </c>
      <c r="GI505" s="2">
        <v>2</v>
      </c>
      <c r="GJ505" s="2">
        <v>0</v>
      </c>
      <c r="GK505" s="2">
        <v>0</v>
      </c>
      <c r="GL505" s="2">
        <f t="shared" si="418"/>
        <v>0</v>
      </c>
      <c r="GM505" s="2">
        <f t="shared" si="419"/>
        <v>1097.1400000000001</v>
      </c>
      <c r="GN505" s="2">
        <f t="shared" si="420"/>
        <v>0</v>
      </c>
      <c r="GO505" s="2">
        <f t="shared" si="421"/>
        <v>1097.1400000000001</v>
      </c>
      <c r="GP505" s="2">
        <f t="shared" si="422"/>
        <v>0</v>
      </c>
      <c r="GQ505" s="2"/>
      <c r="GR505" s="2">
        <v>0</v>
      </c>
      <c r="GS505" s="2">
        <v>3</v>
      </c>
      <c r="GT505" s="2">
        <v>0</v>
      </c>
      <c r="GU505" s="2" t="s">
        <v>3</v>
      </c>
      <c r="GV505" s="2">
        <f t="shared" si="423"/>
        <v>0</v>
      </c>
      <c r="GW505" s="2">
        <v>1</v>
      </c>
      <c r="GX505" s="2">
        <f t="shared" si="424"/>
        <v>0</v>
      </c>
      <c r="GY505" s="2"/>
      <c r="GZ505" s="2"/>
      <c r="HA505" s="2">
        <v>0</v>
      </c>
      <c r="HB505" s="2">
        <v>0</v>
      </c>
      <c r="HC505" s="2">
        <f t="shared" si="425"/>
        <v>0</v>
      </c>
      <c r="HD505" s="2"/>
      <c r="HE505" s="2" t="s">
        <v>3</v>
      </c>
      <c r="HF505" s="2" t="s">
        <v>3</v>
      </c>
      <c r="HG505" s="2"/>
      <c r="HH505" s="2"/>
      <c r="HI505" s="2"/>
      <c r="HJ505" s="2"/>
      <c r="HK505" s="2"/>
      <c r="HL505" s="2"/>
      <c r="HM505" s="2" t="s">
        <v>3</v>
      </c>
      <c r="HN505" s="2" t="s">
        <v>3</v>
      </c>
      <c r="HO505" s="2" t="s">
        <v>3</v>
      </c>
      <c r="HP505" s="2" t="s">
        <v>3</v>
      </c>
      <c r="HQ505" s="2" t="s">
        <v>3</v>
      </c>
      <c r="HR505" s="2"/>
      <c r="HS505" s="2">
        <v>0</v>
      </c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>
        <v>0</v>
      </c>
      <c r="IL505" s="2"/>
      <c r="IM505" s="2"/>
      <c r="IN505" s="2"/>
      <c r="IO505" s="2"/>
      <c r="IP505" s="2"/>
      <c r="IQ505" s="2"/>
      <c r="IR505" s="2"/>
      <c r="IS505" s="2"/>
      <c r="IT505" s="2"/>
      <c r="IU505" s="2"/>
    </row>
    <row r="506" spans="1:255" x14ac:dyDescent="0.2">
      <c r="A506">
        <v>17</v>
      </c>
      <c r="B506">
        <v>1</v>
      </c>
      <c r="C506">
        <f>ROW(SmtRes!A396)</f>
        <v>396</v>
      </c>
      <c r="D506">
        <f>ROW(EtalonRes!A476)</f>
        <v>476</v>
      </c>
      <c r="E506" t="s">
        <v>463</v>
      </c>
      <c r="F506" t="s">
        <v>95</v>
      </c>
      <c r="G506" t="s">
        <v>96</v>
      </c>
      <c r="H506" t="s">
        <v>77</v>
      </c>
      <c r="I506">
        <f>ROUND(500/100,9)</f>
        <v>5</v>
      </c>
      <c r="J506">
        <v>0</v>
      </c>
      <c r="K506">
        <f>ROUND(500/100,9)</f>
        <v>5</v>
      </c>
      <c r="O506">
        <f t="shared" si="394"/>
        <v>18784.66</v>
      </c>
      <c r="P506">
        <f t="shared" si="426"/>
        <v>1075.78</v>
      </c>
      <c r="Q506">
        <f>(ROUND((ROUND((((ET506*1.1))*AV506*I506),2)*BB506),2)+ROUND((ROUND(((AE506-((EU506*1.1)))*AV506*I506),2)*BS506),2))</f>
        <v>219.86</v>
      </c>
      <c r="R506">
        <f t="shared" si="396"/>
        <v>95.13</v>
      </c>
      <c r="S506">
        <f t="shared" si="397"/>
        <v>17489.02</v>
      </c>
      <c r="T506">
        <f t="shared" si="398"/>
        <v>0</v>
      </c>
      <c r="U506">
        <f t="shared" si="399"/>
        <v>25.855665000000005</v>
      </c>
      <c r="V506">
        <f t="shared" si="400"/>
        <v>0</v>
      </c>
      <c r="W506">
        <f t="shared" si="401"/>
        <v>0</v>
      </c>
      <c r="X506">
        <f t="shared" si="402"/>
        <v>17056.63</v>
      </c>
      <c r="Y506">
        <f t="shared" si="403"/>
        <v>8967.92</v>
      </c>
      <c r="AA506">
        <v>56959431</v>
      </c>
      <c r="AB506">
        <f t="shared" si="404"/>
        <v>121.785</v>
      </c>
      <c r="AC506">
        <f t="shared" si="405"/>
        <v>58.15</v>
      </c>
      <c r="AD506">
        <f>ROUND(((((ET506*1.1))-((EU506*1.1)))+AE506),6)</f>
        <v>2.8820000000000001</v>
      </c>
      <c r="AE506">
        <f>ROUND(((EU506*1.1)),6)</f>
        <v>0.33</v>
      </c>
      <c r="AF506">
        <f>ROUND(((EV506*1.1)),6)</f>
        <v>60.753</v>
      </c>
      <c r="AG506">
        <f t="shared" si="406"/>
        <v>0</v>
      </c>
      <c r="AH506">
        <f>((EW506*1.1))</f>
        <v>4.9390000000000009</v>
      </c>
      <c r="AI506">
        <f>((EX506*1.1))</f>
        <v>0</v>
      </c>
      <c r="AJ506">
        <f t="shared" si="407"/>
        <v>0</v>
      </c>
      <c r="AK506">
        <v>116</v>
      </c>
      <c r="AL506">
        <v>58.15</v>
      </c>
      <c r="AM506">
        <v>2.62</v>
      </c>
      <c r="AN506">
        <v>0.3</v>
      </c>
      <c r="AO506">
        <v>55.23</v>
      </c>
      <c r="AP506">
        <v>0</v>
      </c>
      <c r="AQ506">
        <v>4.49</v>
      </c>
      <c r="AR506">
        <v>0</v>
      </c>
      <c r="AS506">
        <v>0</v>
      </c>
      <c r="AT506">
        <v>97</v>
      </c>
      <c r="AU506">
        <v>51</v>
      </c>
      <c r="AV506">
        <v>1.0469999999999999</v>
      </c>
      <c r="AW506">
        <v>1</v>
      </c>
      <c r="AZ506">
        <v>1</v>
      </c>
      <c r="BA506">
        <v>54.99</v>
      </c>
      <c r="BB506">
        <v>14.57</v>
      </c>
      <c r="BC506">
        <v>3.7</v>
      </c>
      <c r="BD506" t="s">
        <v>3</v>
      </c>
      <c r="BE506" t="s">
        <v>3</v>
      </c>
      <c r="BF506" t="s">
        <v>3</v>
      </c>
      <c r="BG506" t="s">
        <v>3</v>
      </c>
      <c r="BH506">
        <v>0</v>
      </c>
      <c r="BI506">
        <v>2</v>
      </c>
      <c r="BJ506" t="s">
        <v>97</v>
      </c>
      <c r="BM506">
        <v>67</v>
      </c>
      <c r="BN506">
        <v>55992028</v>
      </c>
      <c r="BO506" t="s">
        <v>95</v>
      </c>
      <c r="BP506">
        <v>1</v>
      </c>
      <c r="BQ506">
        <v>40</v>
      </c>
      <c r="BR506">
        <v>0</v>
      </c>
      <c r="BS506">
        <v>54.99</v>
      </c>
      <c r="BT506">
        <v>1</v>
      </c>
      <c r="BU506">
        <v>1</v>
      </c>
      <c r="BV506">
        <v>1</v>
      </c>
      <c r="BW506">
        <v>1</v>
      </c>
      <c r="BX506">
        <v>1</v>
      </c>
      <c r="BY506" t="s">
        <v>3</v>
      </c>
      <c r="BZ506">
        <v>97</v>
      </c>
      <c r="CA506">
        <v>51</v>
      </c>
      <c r="CB506" t="s">
        <v>3</v>
      </c>
      <c r="CE506">
        <v>30</v>
      </c>
      <c r="CF506">
        <v>0</v>
      </c>
      <c r="CG506">
        <v>0</v>
      </c>
      <c r="CM506">
        <v>0</v>
      </c>
      <c r="CN506" t="s">
        <v>673</v>
      </c>
      <c r="CO506">
        <v>0</v>
      </c>
      <c r="CP506">
        <f t="shared" si="408"/>
        <v>18784.66</v>
      </c>
      <c r="CQ506">
        <f t="shared" si="427"/>
        <v>215.16</v>
      </c>
      <c r="CR506">
        <f>(ROUND((ROUND((((ET506*1.1))*AV506*1),2)*BB506),2)+ROUND((ROUND(((AE506-((EU506*1.1)))*AV506*1),2)*BS506),2))</f>
        <v>44</v>
      </c>
      <c r="CS506">
        <f t="shared" si="410"/>
        <v>19.25</v>
      </c>
      <c r="CT506">
        <f t="shared" si="411"/>
        <v>3497.91</v>
      </c>
      <c r="CU506">
        <f t="shared" si="412"/>
        <v>0</v>
      </c>
      <c r="CV506">
        <f t="shared" si="413"/>
        <v>5.1711330000000011</v>
      </c>
      <c r="CW506">
        <f t="shared" si="414"/>
        <v>0</v>
      </c>
      <c r="CX506">
        <f t="shared" si="415"/>
        <v>0</v>
      </c>
      <c r="CY506">
        <f t="shared" si="416"/>
        <v>17056.625500000002</v>
      </c>
      <c r="CZ506">
        <f t="shared" si="417"/>
        <v>8967.9164999999994</v>
      </c>
      <c r="DC506" t="s">
        <v>3</v>
      </c>
      <c r="DD506" t="s">
        <v>3</v>
      </c>
      <c r="DE506" t="s">
        <v>23</v>
      </c>
      <c r="DF506" t="s">
        <v>23</v>
      </c>
      <c r="DG506" t="s">
        <v>23</v>
      </c>
      <c r="DH506" t="s">
        <v>3</v>
      </c>
      <c r="DI506" t="s">
        <v>23</v>
      </c>
      <c r="DJ506" t="s">
        <v>23</v>
      </c>
      <c r="DK506" t="s">
        <v>3</v>
      </c>
      <c r="DL506" t="s">
        <v>3</v>
      </c>
      <c r="DM506" t="s">
        <v>3</v>
      </c>
      <c r="DN506">
        <v>0</v>
      </c>
      <c r="DO506">
        <v>0</v>
      </c>
      <c r="DP506">
        <v>1</v>
      </c>
      <c r="DQ506">
        <v>1</v>
      </c>
      <c r="DU506">
        <v>1003</v>
      </c>
      <c r="DV506" t="s">
        <v>77</v>
      </c>
      <c r="DW506" t="s">
        <v>77</v>
      </c>
      <c r="DX506">
        <v>100</v>
      </c>
      <c r="DZ506" t="s">
        <v>3</v>
      </c>
      <c r="EA506" t="s">
        <v>3</v>
      </c>
      <c r="EB506" t="s">
        <v>3</v>
      </c>
      <c r="EC506" t="s">
        <v>3</v>
      </c>
      <c r="EE506">
        <v>55992151</v>
      </c>
      <c r="EF506">
        <v>40</v>
      </c>
      <c r="EG506" t="s">
        <v>24</v>
      </c>
      <c r="EH506">
        <v>0</v>
      </c>
      <c r="EI506" t="s">
        <v>3</v>
      </c>
      <c r="EJ506">
        <v>2</v>
      </c>
      <c r="EK506">
        <v>67</v>
      </c>
      <c r="EL506" t="s">
        <v>79</v>
      </c>
      <c r="EM506" t="s">
        <v>80</v>
      </c>
      <c r="EO506" t="s">
        <v>27</v>
      </c>
      <c r="EQ506">
        <v>0</v>
      </c>
      <c r="ER506">
        <v>116</v>
      </c>
      <c r="ES506">
        <v>58.15</v>
      </c>
      <c r="ET506">
        <v>2.62</v>
      </c>
      <c r="EU506">
        <v>0.3</v>
      </c>
      <c r="EV506">
        <v>55.23</v>
      </c>
      <c r="EW506">
        <v>4.49</v>
      </c>
      <c r="EX506">
        <v>0</v>
      </c>
      <c r="EY506">
        <v>0</v>
      </c>
      <c r="FQ506">
        <v>0</v>
      </c>
      <c r="FR506">
        <v>0</v>
      </c>
      <c r="FS506">
        <v>0</v>
      </c>
      <c r="FX506">
        <v>97</v>
      </c>
      <c r="FY506">
        <v>51</v>
      </c>
      <c r="GA506" t="s">
        <v>3</v>
      </c>
      <c r="GD506">
        <v>1</v>
      </c>
      <c r="GF506">
        <v>770559996</v>
      </c>
      <c r="GG506">
        <v>2</v>
      </c>
      <c r="GH506">
        <v>1</v>
      </c>
      <c r="GI506">
        <v>2</v>
      </c>
      <c r="GJ506">
        <v>0</v>
      </c>
      <c r="GK506">
        <v>0</v>
      </c>
      <c r="GL506">
        <f t="shared" si="418"/>
        <v>0</v>
      </c>
      <c r="GM506">
        <f t="shared" si="419"/>
        <v>44809.21</v>
      </c>
      <c r="GN506">
        <f t="shared" si="420"/>
        <v>0</v>
      </c>
      <c r="GO506">
        <f t="shared" si="421"/>
        <v>44809.21</v>
      </c>
      <c r="GP506">
        <f t="shared" si="422"/>
        <v>0</v>
      </c>
      <c r="GR506">
        <v>0</v>
      </c>
      <c r="GS506">
        <v>3</v>
      </c>
      <c r="GT506">
        <v>0</v>
      </c>
      <c r="GU506" t="s">
        <v>3</v>
      </c>
      <c r="GV506">
        <f t="shared" si="423"/>
        <v>0</v>
      </c>
      <c r="GW506">
        <v>1</v>
      </c>
      <c r="GX506">
        <f t="shared" si="424"/>
        <v>0</v>
      </c>
      <c r="HA506">
        <v>0</v>
      </c>
      <c r="HB506">
        <v>0</v>
      </c>
      <c r="HC506">
        <f t="shared" si="425"/>
        <v>0</v>
      </c>
      <c r="HE506" t="s">
        <v>3</v>
      </c>
      <c r="HF506" t="s">
        <v>3</v>
      </c>
      <c r="HM506" t="s">
        <v>3</v>
      </c>
      <c r="HN506" t="s">
        <v>3</v>
      </c>
      <c r="HO506" t="s">
        <v>3</v>
      </c>
      <c r="HP506" t="s">
        <v>3</v>
      </c>
      <c r="HQ506" t="s">
        <v>3</v>
      </c>
      <c r="HS506">
        <v>0</v>
      </c>
      <c r="IK506">
        <v>0</v>
      </c>
    </row>
    <row r="507" spans="1:255" x14ac:dyDescent="0.2">
      <c r="A507" s="2">
        <v>18</v>
      </c>
      <c r="B507" s="2">
        <v>1</v>
      </c>
      <c r="C507" s="2">
        <v>386</v>
      </c>
      <c r="D507" s="2"/>
      <c r="E507" s="2" t="s">
        <v>464</v>
      </c>
      <c r="F507" s="2" t="s">
        <v>99</v>
      </c>
      <c r="G507" s="2" t="s">
        <v>100</v>
      </c>
      <c r="H507" s="2" t="s">
        <v>101</v>
      </c>
      <c r="I507" s="2">
        <f>I505*J507</f>
        <v>510</v>
      </c>
      <c r="J507" s="2">
        <v>102</v>
      </c>
      <c r="K507" s="2">
        <v>102</v>
      </c>
      <c r="L507" s="2"/>
      <c r="M507" s="2"/>
      <c r="N507" s="2"/>
      <c r="O507" s="2">
        <f t="shared" si="394"/>
        <v>2590.8000000000002</v>
      </c>
      <c r="P507" s="2">
        <f t="shared" si="426"/>
        <v>2590.8000000000002</v>
      </c>
      <c r="Q507" s="2">
        <f>(ROUND((ROUND(((ET507)*AV507*I507),2)*BB507),2)+ROUND((ROUND(((AE507-(EU507))*AV507*I507),2)*BS507),2))</f>
        <v>0</v>
      </c>
      <c r="R507" s="2">
        <f t="shared" si="396"/>
        <v>0</v>
      </c>
      <c r="S507" s="2">
        <f t="shared" si="397"/>
        <v>0</v>
      </c>
      <c r="T507" s="2">
        <f t="shared" si="398"/>
        <v>0</v>
      </c>
      <c r="U507" s="2">
        <f t="shared" si="399"/>
        <v>0</v>
      </c>
      <c r="V507" s="2">
        <f t="shared" si="400"/>
        <v>0</v>
      </c>
      <c r="W507" s="2">
        <f t="shared" si="401"/>
        <v>0</v>
      </c>
      <c r="X507" s="2">
        <f t="shared" si="402"/>
        <v>0</v>
      </c>
      <c r="Y507" s="2">
        <f t="shared" si="403"/>
        <v>0</v>
      </c>
      <c r="Z507" s="2"/>
      <c r="AA507" s="2">
        <v>56959434</v>
      </c>
      <c r="AB507" s="2">
        <f t="shared" si="404"/>
        <v>5.08</v>
      </c>
      <c r="AC507" s="2">
        <f t="shared" si="405"/>
        <v>5.08</v>
      </c>
      <c r="AD507" s="2">
        <f>ROUND((((ET507)-(EU507))+AE507),6)</f>
        <v>0</v>
      </c>
      <c r="AE507" s="2">
        <f>ROUND((EU507),6)</f>
        <v>0</v>
      </c>
      <c r="AF507" s="2">
        <f>ROUND((EV507),6)</f>
        <v>0</v>
      </c>
      <c r="AG507" s="2">
        <f t="shared" si="406"/>
        <v>0</v>
      </c>
      <c r="AH507" s="2">
        <f>(EW507)</f>
        <v>0</v>
      </c>
      <c r="AI507" s="2">
        <f>(EX507)</f>
        <v>0</v>
      </c>
      <c r="AJ507" s="2">
        <f t="shared" si="407"/>
        <v>0</v>
      </c>
      <c r="AK507" s="2">
        <v>5.08</v>
      </c>
      <c r="AL507" s="2">
        <v>5.08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97</v>
      </c>
      <c r="AU507" s="2">
        <v>51</v>
      </c>
      <c r="AV507" s="2">
        <v>1</v>
      </c>
      <c r="AW507" s="2">
        <v>1</v>
      </c>
      <c r="AX507" s="2"/>
      <c r="AY507" s="2"/>
      <c r="AZ507" s="2">
        <v>1</v>
      </c>
      <c r="BA507" s="2">
        <v>1</v>
      </c>
      <c r="BB507" s="2">
        <v>1</v>
      </c>
      <c r="BC507" s="2">
        <v>1</v>
      </c>
      <c r="BD507" s="2" t="s">
        <v>3</v>
      </c>
      <c r="BE507" s="2" t="s">
        <v>3</v>
      </c>
      <c r="BF507" s="2" t="s">
        <v>3</v>
      </c>
      <c r="BG507" s="2" t="s">
        <v>3</v>
      </c>
      <c r="BH507" s="2">
        <v>3</v>
      </c>
      <c r="BI507" s="2">
        <v>2</v>
      </c>
      <c r="BJ507" s="2" t="s">
        <v>3</v>
      </c>
      <c r="BK507" s="2"/>
      <c r="BL507" s="2"/>
      <c r="BM507" s="2">
        <v>67</v>
      </c>
      <c r="BN507" s="2">
        <v>0</v>
      </c>
      <c r="BO507" s="2" t="s">
        <v>3</v>
      </c>
      <c r="BP507" s="2">
        <v>0</v>
      </c>
      <c r="BQ507" s="2">
        <v>40</v>
      </c>
      <c r="BR507" s="2">
        <v>0</v>
      </c>
      <c r="BS507" s="2">
        <v>1</v>
      </c>
      <c r="BT507" s="2">
        <v>1</v>
      </c>
      <c r="BU507" s="2">
        <v>1</v>
      </c>
      <c r="BV507" s="2">
        <v>1</v>
      </c>
      <c r="BW507" s="2">
        <v>1</v>
      </c>
      <c r="BX507" s="2">
        <v>1</v>
      </c>
      <c r="BY507" s="2" t="s">
        <v>3</v>
      </c>
      <c r="BZ507" s="2">
        <v>97</v>
      </c>
      <c r="CA507" s="2">
        <v>51</v>
      </c>
      <c r="CB507" s="2" t="s">
        <v>3</v>
      </c>
      <c r="CC507" s="2"/>
      <c r="CD507" s="2"/>
      <c r="CE507" s="2">
        <v>30</v>
      </c>
      <c r="CF507" s="2">
        <v>0</v>
      </c>
      <c r="CG507" s="2">
        <v>0</v>
      </c>
      <c r="CH507" s="2"/>
      <c r="CI507" s="2"/>
      <c r="CJ507" s="2"/>
      <c r="CK507" s="2"/>
      <c r="CL507" s="2"/>
      <c r="CM507" s="2">
        <v>0</v>
      </c>
      <c r="CN507" s="2" t="s">
        <v>3</v>
      </c>
      <c r="CO507" s="2">
        <v>0</v>
      </c>
      <c r="CP507" s="2">
        <f t="shared" si="408"/>
        <v>2590.8000000000002</v>
      </c>
      <c r="CQ507" s="2">
        <f t="shared" si="427"/>
        <v>5.08</v>
      </c>
      <c r="CR507" s="2">
        <f>(ROUND((ROUND(((ET507)*AV507*1),2)*BB507),2)+ROUND((ROUND(((AE507-(EU507))*AV507*1),2)*BS507),2))</f>
        <v>0</v>
      </c>
      <c r="CS507" s="2">
        <f t="shared" si="410"/>
        <v>0</v>
      </c>
      <c r="CT507" s="2">
        <f t="shared" si="411"/>
        <v>0</v>
      </c>
      <c r="CU507" s="2">
        <f t="shared" si="412"/>
        <v>0</v>
      </c>
      <c r="CV507" s="2">
        <f t="shared" si="413"/>
        <v>0</v>
      </c>
      <c r="CW507" s="2">
        <f t="shared" si="414"/>
        <v>0</v>
      </c>
      <c r="CX507" s="2">
        <f t="shared" si="415"/>
        <v>0</v>
      </c>
      <c r="CY507" s="2">
        <f t="shared" si="416"/>
        <v>0</v>
      </c>
      <c r="CZ507" s="2">
        <f t="shared" si="417"/>
        <v>0</v>
      </c>
      <c r="DA507" s="2"/>
      <c r="DB507" s="2"/>
      <c r="DC507" s="2" t="s">
        <v>3</v>
      </c>
      <c r="DD507" s="2" t="s">
        <v>3</v>
      </c>
      <c r="DE507" s="2" t="s">
        <v>3</v>
      </c>
      <c r="DF507" s="2" t="s">
        <v>3</v>
      </c>
      <c r="DG507" s="2" t="s">
        <v>3</v>
      </c>
      <c r="DH507" s="2" t="s">
        <v>3</v>
      </c>
      <c r="DI507" s="2" t="s">
        <v>3</v>
      </c>
      <c r="DJ507" s="2" t="s">
        <v>3</v>
      </c>
      <c r="DK507" s="2" t="s">
        <v>3</v>
      </c>
      <c r="DL507" s="2" t="s">
        <v>3</v>
      </c>
      <c r="DM507" s="2" t="s">
        <v>3</v>
      </c>
      <c r="DN507" s="2">
        <v>0</v>
      </c>
      <c r="DO507" s="2">
        <v>0</v>
      </c>
      <c r="DP507" s="2">
        <v>1</v>
      </c>
      <c r="DQ507" s="2">
        <v>1</v>
      </c>
      <c r="DR507" s="2"/>
      <c r="DS507" s="2"/>
      <c r="DT507" s="2"/>
      <c r="DU507" s="2">
        <v>1013</v>
      </c>
      <c r="DV507" s="2" t="s">
        <v>101</v>
      </c>
      <c r="DW507" s="2" t="s">
        <v>101</v>
      </c>
      <c r="DX507" s="2">
        <v>1</v>
      </c>
      <c r="DY507" s="2"/>
      <c r="DZ507" s="2" t="s">
        <v>3</v>
      </c>
      <c r="EA507" s="2" t="s">
        <v>3</v>
      </c>
      <c r="EB507" s="2" t="s">
        <v>3</v>
      </c>
      <c r="EC507" s="2" t="s">
        <v>3</v>
      </c>
      <c r="ED507" s="2"/>
      <c r="EE507" s="2">
        <v>55992151</v>
      </c>
      <c r="EF507" s="2">
        <v>40</v>
      </c>
      <c r="EG507" s="2" t="s">
        <v>24</v>
      </c>
      <c r="EH507" s="2">
        <v>0</v>
      </c>
      <c r="EI507" s="2" t="s">
        <v>3</v>
      </c>
      <c r="EJ507" s="2">
        <v>2</v>
      </c>
      <c r="EK507" s="2">
        <v>67</v>
      </c>
      <c r="EL507" s="2" t="s">
        <v>79</v>
      </c>
      <c r="EM507" s="2" t="s">
        <v>80</v>
      </c>
      <c r="EN507" s="2"/>
      <c r="EO507" s="2" t="s">
        <v>3</v>
      </c>
      <c r="EP507" s="2"/>
      <c r="EQ507" s="2">
        <v>0</v>
      </c>
      <c r="ER507" s="2">
        <v>0</v>
      </c>
      <c r="ES507" s="2">
        <v>5.08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>
        <v>0</v>
      </c>
      <c r="FR507" s="2">
        <v>0</v>
      </c>
      <c r="FS507" s="2">
        <v>0</v>
      </c>
      <c r="FT507" s="2"/>
      <c r="FU507" s="2"/>
      <c r="FV507" s="2"/>
      <c r="FW507" s="2"/>
      <c r="FX507" s="2">
        <v>97</v>
      </c>
      <c r="FY507" s="2">
        <v>51</v>
      </c>
      <c r="FZ507" s="2"/>
      <c r="GA507" s="2" t="s">
        <v>102</v>
      </c>
      <c r="GB507" s="2"/>
      <c r="GC507" s="2"/>
      <c r="GD507" s="2">
        <v>1</v>
      </c>
      <c r="GE507" s="2"/>
      <c r="GF507" s="2">
        <v>1285757954</v>
      </c>
      <c r="GG507" s="2">
        <v>2</v>
      </c>
      <c r="GH507" s="2">
        <v>4</v>
      </c>
      <c r="GI507" s="2">
        <v>-2</v>
      </c>
      <c r="GJ507" s="2">
        <v>0</v>
      </c>
      <c r="GK507" s="2">
        <v>0</v>
      </c>
      <c r="GL507" s="2">
        <f t="shared" si="418"/>
        <v>0</v>
      </c>
      <c r="GM507" s="2">
        <f t="shared" si="419"/>
        <v>2590.8000000000002</v>
      </c>
      <c r="GN507" s="2">
        <f t="shared" si="420"/>
        <v>0</v>
      </c>
      <c r="GO507" s="2">
        <f t="shared" si="421"/>
        <v>2590.8000000000002</v>
      </c>
      <c r="GP507" s="2">
        <f t="shared" si="422"/>
        <v>0</v>
      </c>
      <c r="GQ507" s="2"/>
      <c r="GR507" s="2">
        <v>0</v>
      </c>
      <c r="GS507" s="2">
        <v>2</v>
      </c>
      <c r="GT507" s="2">
        <v>0</v>
      </c>
      <c r="GU507" s="2" t="s">
        <v>3</v>
      </c>
      <c r="GV507" s="2">
        <f t="shared" si="423"/>
        <v>0</v>
      </c>
      <c r="GW507" s="2">
        <v>1</v>
      </c>
      <c r="GX507" s="2">
        <f t="shared" si="424"/>
        <v>0</v>
      </c>
      <c r="GY507" s="2"/>
      <c r="GZ507" s="2"/>
      <c r="HA507" s="2">
        <v>0</v>
      </c>
      <c r="HB507" s="2">
        <v>0</v>
      </c>
      <c r="HC507" s="2">
        <f t="shared" si="425"/>
        <v>0</v>
      </c>
      <c r="HD507" s="2"/>
      <c r="HE507" s="2" t="s">
        <v>103</v>
      </c>
      <c r="HF507" s="2" t="s">
        <v>28</v>
      </c>
      <c r="HG507" s="2"/>
      <c r="HH507" s="2"/>
      <c r="HI507" s="2"/>
      <c r="HJ507" s="2"/>
      <c r="HK507" s="2"/>
      <c r="HL507" s="2"/>
      <c r="HM507" s="2" t="s">
        <v>3</v>
      </c>
      <c r="HN507" s="2" t="s">
        <v>3</v>
      </c>
      <c r="HO507" s="2" t="s">
        <v>3</v>
      </c>
      <c r="HP507" s="2" t="s">
        <v>3</v>
      </c>
      <c r="HQ507" s="2" t="s">
        <v>3</v>
      </c>
      <c r="HR507" s="2"/>
      <c r="HS507" s="2">
        <v>0</v>
      </c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>
        <v>0</v>
      </c>
      <c r="IL507" s="2"/>
      <c r="IM507" s="2"/>
      <c r="IN507" s="2"/>
      <c r="IO507" s="2"/>
      <c r="IP507" s="2"/>
      <c r="IQ507" s="2"/>
      <c r="IR507" s="2"/>
      <c r="IS507" s="2"/>
      <c r="IT507" s="2"/>
      <c r="IU507" s="2"/>
    </row>
    <row r="508" spans="1:255" x14ac:dyDescent="0.2">
      <c r="A508">
        <v>18</v>
      </c>
      <c r="B508">
        <v>1</v>
      </c>
      <c r="C508">
        <v>396</v>
      </c>
      <c r="E508" t="s">
        <v>464</v>
      </c>
      <c r="F508" t="s">
        <v>99</v>
      </c>
      <c r="G508" t="s">
        <v>100</v>
      </c>
      <c r="H508" t="s">
        <v>101</v>
      </c>
      <c r="I508">
        <f>I506*J508</f>
        <v>510</v>
      </c>
      <c r="J508">
        <v>102</v>
      </c>
      <c r="K508">
        <v>102</v>
      </c>
      <c r="O508">
        <f t="shared" si="394"/>
        <v>25597.1</v>
      </c>
      <c r="P508">
        <f t="shared" si="426"/>
        <v>25597.1</v>
      </c>
      <c r="Q508">
        <f>(ROUND((ROUND(((ET508)*AV508*I508),2)*BB508),2)+ROUND((ROUND(((AE508-(EU508))*AV508*I508),2)*BS508),2))</f>
        <v>0</v>
      </c>
      <c r="R508">
        <f t="shared" si="396"/>
        <v>0</v>
      </c>
      <c r="S508">
        <f t="shared" si="397"/>
        <v>0</v>
      </c>
      <c r="T508">
        <f t="shared" si="398"/>
        <v>0</v>
      </c>
      <c r="U508">
        <f t="shared" si="399"/>
        <v>0</v>
      </c>
      <c r="V508">
        <f t="shared" si="400"/>
        <v>0</v>
      </c>
      <c r="W508">
        <f t="shared" si="401"/>
        <v>0</v>
      </c>
      <c r="X508">
        <f t="shared" si="402"/>
        <v>0</v>
      </c>
      <c r="Y508">
        <f t="shared" si="403"/>
        <v>0</v>
      </c>
      <c r="AA508">
        <v>56959431</v>
      </c>
      <c r="AB508">
        <f t="shared" si="404"/>
        <v>5.08</v>
      </c>
      <c r="AC508">
        <f t="shared" si="405"/>
        <v>5.08</v>
      </c>
      <c r="AD508">
        <f>ROUND((((ET508)-(EU508))+AE508),6)</f>
        <v>0</v>
      </c>
      <c r="AE508">
        <f>ROUND((EU508),6)</f>
        <v>0</v>
      </c>
      <c r="AF508">
        <f>ROUND((EV508),6)</f>
        <v>0</v>
      </c>
      <c r="AG508">
        <f t="shared" si="406"/>
        <v>0</v>
      </c>
      <c r="AH508">
        <f>(EW508)</f>
        <v>0</v>
      </c>
      <c r="AI508">
        <f>(EX508)</f>
        <v>0</v>
      </c>
      <c r="AJ508">
        <f t="shared" si="407"/>
        <v>0</v>
      </c>
      <c r="AK508">
        <v>5.08</v>
      </c>
      <c r="AL508">
        <v>5.08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97</v>
      </c>
      <c r="AU508">
        <v>51</v>
      </c>
      <c r="AV508">
        <v>1</v>
      </c>
      <c r="AW508">
        <v>1</v>
      </c>
      <c r="AZ508">
        <v>1</v>
      </c>
      <c r="BA508">
        <v>1</v>
      </c>
      <c r="BB508">
        <v>1</v>
      </c>
      <c r="BC508">
        <v>9.8800000000000008</v>
      </c>
      <c r="BD508" t="s">
        <v>3</v>
      </c>
      <c r="BE508" t="s">
        <v>3</v>
      </c>
      <c r="BF508" t="s">
        <v>3</v>
      </c>
      <c r="BG508" t="s">
        <v>3</v>
      </c>
      <c r="BH508">
        <v>3</v>
      </c>
      <c r="BI508">
        <v>2</v>
      </c>
      <c r="BJ508" t="s">
        <v>3</v>
      </c>
      <c r="BM508">
        <v>67</v>
      </c>
      <c r="BN508">
        <v>0</v>
      </c>
      <c r="BO508" t="s">
        <v>3</v>
      </c>
      <c r="BP508">
        <v>0</v>
      </c>
      <c r="BQ508">
        <v>40</v>
      </c>
      <c r="BR508">
        <v>0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 t="s">
        <v>3</v>
      </c>
      <c r="BZ508">
        <v>97</v>
      </c>
      <c r="CA508">
        <v>51</v>
      </c>
      <c r="CB508" t="s">
        <v>3</v>
      </c>
      <c r="CE508">
        <v>30</v>
      </c>
      <c r="CF508">
        <v>0</v>
      </c>
      <c r="CG508">
        <v>0</v>
      </c>
      <c r="CM508">
        <v>0</v>
      </c>
      <c r="CN508" t="s">
        <v>3</v>
      </c>
      <c r="CO508">
        <v>0</v>
      </c>
      <c r="CP508">
        <f t="shared" si="408"/>
        <v>25597.1</v>
      </c>
      <c r="CQ508">
        <f t="shared" si="427"/>
        <v>50.19</v>
      </c>
      <c r="CR508">
        <f>(ROUND((ROUND(((ET508)*AV508*1),2)*BB508),2)+ROUND((ROUND(((AE508-(EU508))*AV508*1),2)*BS508),2))</f>
        <v>0</v>
      </c>
      <c r="CS508">
        <f t="shared" si="410"/>
        <v>0</v>
      </c>
      <c r="CT508">
        <f t="shared" si="411"/>
        <v>0</v>
      </c>
      <c r="CU508">
        <f t="shared" si="412"/>
        <v>0</v>
      </c>
      <c r="CV508">
        <f t="shared" si="413"/>
        <v>0</v>
      </c>
      <c r="CW508">
        <f t="shared" si="414"/>
        <v>0</v>
      </c>
      <c r="CX508">
        <f t="shared" si="415"/>
        <v>0</v>
      </c>
      <c r="CY508">
        <f t="shared" si="416"/>
        <v>0</v>
      </c>
      <c r="CZ508">
        <f t="shared" si="417"/>
        <v>0</v>
      </c>
      <c r="DC508" t="s">
        <v>3</v>
      </c>
      <c r="DD508" t="s">
        <v>3</v>
      </c>
      <c r="DE508" t="s">
        <v>3</v>
      </c>
      <c r="DF508" t="s">
        <v>3</v>
      </c>
      <c r="DG508" t="s">
        <v>3</v>
      </c>
      <c r="DH508" t="s">
        <v>3</v>
      </c>
      <c r="DI508" t="s">
        <v>3</v>
      </c>
      <c r="DJ508" t="s">
        <v>3</v>
      </c>
      <c r="DK508" t="s">
        <v>3</v>
      </c>
      <c r="DL508" t="s">
        <v>3</v>
      </c>
      <c r="DM508" t="s">
        <v>3</v>
      </c>
      <c r="DN508">
        <v>0</v>
      </c>
      <c r="DO508">
        <v>0</v>
      </c>
      <c r="DP508">
        <v>1</v>
      </c>
      <c r="DQ508">
        <v>1</v>
      </c>
      <c r="DU508">
        <v>1013</v>
      </c>
      <c r="DV508" t="s">
        <v>101</v>
      </c>
      <c r="DW508" t="s">
        <v>101</v>
      </c>
      <c r="DX508">
        <v>1</v>
      </c>
      <c r="DZ508" t="s">
        <v>3</v>
      </c>
      <c r="EA508" t="s">
        <v>3</v>
      </c>
      <c r="EB508" t="s">
        <v>3</v>
      </c>
      <c r="EC508" t="s">
        <v>3</v>
      </c>
      <c r="EE508">
        <v>55992151</v>
      </c>
      <c r="EF508">
        <v>40</v>
      </c>
      <c r="EG508" t="s">
        <v>24</v>
      </c>
      <c r="EH508">
        <v>0</v>
      </c>
      <c r="EI508" t="s">
        <v>3</v>
      </c>
      <c r="EJ508">
        <v>2</v>
      </c>
      <c r="EK508">
        <v>67</v>
      </c>
      <c r="EL508" t="s">
        <v>79</v>
      </c>
      <c r="EM508" t="s">
        <v>80</v>
      </c>
      <c r="EO508" t="s">
        <v>3</v>
      </c>
      <c r="EQ508">
        <v>0</v>
      </c>
      <c r="ER508">
        <v>5.08</v>
      </c>
      <c r="ES508">
        <v>5.08</v>
      </c>
      <c r="ET508">
        <v>0</v>
      </c>
      <c r="EU508">
        <v>0</v>
      </c>
      <c r="EV508">
        <v>0</v>
      </c>
      <c r="EW508">
        <v>0</v>
      </c>
      <c r="EX508">
        <v>0</v>
      </c>
      <c r="EZ508">
        <v>5</v>
      </c>
      <c r="FC508">
        <v>1</v>
      </c>
      <c r="FD508">
        <v>18</v>
      </c>
      <c r="FF508">
        <v>59</v>
      </c>
      <c r="FQ508">
        <v>0</v>
      </c>
      <c r="FR508">
        <v>0</v>
      </c>
      <c r="FS508">
        <v>0</v>
      </c>
      <c r="FX508">
        <v>97</v>
      </c>
      <c r="FY508">
        <v>51</v>
      </c>
      <c r="GA508" t="s">
        <v>102</v>
      </c>
      <c r="GD508">
        <v>1</v>
      </c>
      <c r="GF508">
        <v>1285757954</v>
      </c>
      <c r="GG508">
        <v>2</v>
      </c>
      <c r="GH508">
        <v>3</v>
      </c>
      <c r="GI508">
        <v>5</v>
      </c>
      <c r="GJ508">
        <v>0</v>
      </c>
      <c r="GK508">
        <v>0</v>
      </c>
      <c r="GL508">
        <f t="shared" si="418"/>
        <v>0</v>
      </c>
      <c r="GM508">
        <f t="shared" si="419"/>
        <v>25597.1</v>
      </c>
      <c r="GN508">
        <f t="shared" si="420"/>
        <v>0</v>
      </c>
      <c r="GO508">
        <f t="shared" si="421"/>
        <v>25597.1</v>
      </c>
      <c r="GP508">
        <f t="shared" si="422"/>
        <v>0</v>
      </c>
      <c r="GR508">
        <v>1</v>
      </c>
      <c r="GS508">
        <v>1</v>
      </c>
      <c r="GT508">
        <v>0</v>
      </c>
      <c r="GU508" t="s">
        <v>3</v>
      </c>
      <c r="GV508">
        <f t="shared" si="423"/>
        <v>0</v>
      </c>
      <c r="GW508">
        <v>1</v>
      </c>
      <c r="GX508">
        <f t="shared" si="424"/>
        <v>0</v>
      </c>
      <c r="HA508">
        <v>0</v>
      </c>
      <c r="HB508">
        <v>0</v>
      </c>
      <c r="HC508">
        <f t="shared" si="425"/>
        <v>0</v>
      </c>
      <c r="HE508" t="s">
        <v>103</v>
      </c>
      <c r="HF508" t="s">
        <v>28</v>
      </c>
      <c r="HM508" t="s">
        <v>3</v>
      </c>
      <c r="HN508" t="s">
        <v>3</v>
      </c>
      <c r="HO508" t="s">
        <v>3</v>
      </c>
      <c r="HP508" t="s">
        <v>3</v>
      </c>
      <c r="HQ508" t="s">
        <v>3</v>
      </c>
      <c r="HS508">
        <v>0</v>
      </c>
      <c r="IK508">
        <v>0</v>
      </c>
    </row>
    <row r="510" spans="1:255" x14ac:dyDescent="0.2">
      <c r="A510" s="3">
        <v>51</v>
      </c>
      <c r="B510" s="3">
        <f>B489</f>
        <v>1</v>
      </c>
      <c r="C510" s="3">
        <f>A489</f>
        <v>4</v>
      </c>
      <c r="D510" s="3">
        <f>ROW(A489)</f>
        <v>489</v>
      </c>
      <c r="E510" s="3"/>
      <c r="F510" s="3" t="str">
        <f>IF(F489&lt;&gt;"",F489,"")</f>
        <v>Новый раздел</v>
      </c>
      <c r="G510" s="3" t="str">
        <f>IF(G489&lt;&gt;"",G489,"")</f>
        <v>Система управления освещением</v>
      </c>
      <c r="H510" s="3">
        <v>0</v>
      </c>
      <c r="I510" s="3"/>
      <c r="J510" s="3"/>
      <c r="K510" s="3"/>
      <c r="L510" s="3"/>
      <c r="M510" s="3"/>
      <c r="N510" s="3"/>
      <c r="O510" s="3">
        <f t="shared" ref="O510:T510" si="428">ROUND(AB510,2)</f>
        <v>15909.92</v>
      </c>
      <c r="P510" s="3">
        <f t="shared" si="428"/>
        <v>14141.52</v>
      </c>
      <c r="Q510" s="3">
        <f t="shared" si="428"/>
        <v>207.36</v>
      </c>
      <c r="R510" s="3">
        <f t="shared" si="428"/>
        <v>34.93</v>
      </c>
      <c r="S510" s="3">
        <f t="shared" si="428"/>
        <v>1561.04</v>
      </c>
      <c r="T510" s="3">
        <f t="shared" si="428"/>
        <v>0</v>
      </c>
      <c r="U510" s="3">
        <f>AH510</f>
        <v>121.43755139999999</v>
      </c>
      <c r="V510" s="3">
        <f>AI510</f>
        <v>0</v>
      </c>
      <c r="W510" s="3">
        <f>ROUND(AJ510,2)</f>
        <v>0</v>
      </c>
      <c r="X510" s="3">
        <f>ROUND(AK510,2)</f>
        <v>1538.56</v>
      </c>
      <c r="Y510" s="3">
        <f>ROUND(AL510,2)</f>
        <v>807.13</v>
      </c>
      <c r="Z510" s="3"/>
      <c r="AA510" s="3"/>
      <c r="AB510" s="3">
        <f>ROUND(SUMIF(AA493:AA508,"=56959434",O493:O508),2)</f>
        <v>15909.92</v>
      </c>
      <c r="AC510" s="3">
        <f>ROUND(SUMIF(AA493:AA508,"=56959434",P493:P508),2)</f>
        <v>14141.52</v>
      </c>
      <c r="AD510" s="3">
        <f>ROUND(SUMIF(AA493:AA508,"=56959434",Q493:Q508),2)</f>
        <v>207.36</v>
      </c>
      <c r="AE510" s="3">
        <f>ROUND(SUMIF(AA493:AA508,"=56959434",R493:R508),2)</f>
        <v>34.93</v>
      </c>
      <c r="AF510" s="3">
        <f>ROUND(SUMIF(AA493:AA508,"=56959434",S493:S508),2)</f>
        <v>1561.04</v>
      </c>
      <c r="AG510" s="3">
        <f>ROUND(SUMIF(AA493:AA508,"=56959434",T493:T508),2)</f>
        <v>0</v>
      </c>
      <c r="AH510" s="3">
        <f>SUMIF(AA493:AA508,"=56959434",U493:U508)</f>
        <v>121.43755139999999</v>
      </c>
      <c r="AI510" s="3">
        <f>SUMIF(AA493:AA508,"=56959434",V493:V508)</f>
        <v>0</v>
      </c>
      <c r="AJ510" s="3">
        <f>ROUND(SUMIF(AA493:AA508,"=56959434",W493:W508),2)</f>
        <v>0</v>
      </c>
      <c r="AK510" s="3">
        <f>ROUND(SUMIF(AA493:AA508,"=56959434",X493:X508),2)</f>
        <v>1538.56</v>
      </c>
      <c r="AL510" s="3">
        <f>ROUND(SUMIF(AA493:AA508,"=56959434",Y493:Y508),2)</f>
        <v>807.13</v>
      </c>
      <c r="AM510" s="3"/>
      <c r="AN510" s="3"/>
      <c r="AO510" s="3">
        <f t="shared" ref="AO510:BD510" si="429">ROUND(BX510,2)</f>
        <v>0</v>
      </c>
      <c r="AP510" s="3">
        <f t="shared" si="429"/>
        <v>5844.56</v>
      </c>
      <c r="AQ510" s="3">
        <f t="shared" si="429"/>
        <v>0</v>
      </c>
      <c r="AR510" s="3">
        <f t="shared" si="429"/>
        <v>18255.61</v>
      </c>
      <c r="AS510" s="3">
        <f t="shared" si="429"/>
        <v>0</v>
      </c>
      <c r="AT510" s="3">
        <f t="shared" si="429"/>
        <v>12411.05</v>
      </c>
      <c r="AU510" s="3">
        <f t="shared" si="429"/>
        <v>0</v>
      </c>
      <c r="AV510" s="3">
        <f t="shared" si="429"/>
        <v>14141.52</v>
      </c>
      <c r="AW510" s="3">
        <f t="shared" si="429"/>
        <v>8296.9599999999991</v>
      </c>
      <c r="AX510" s="3">
        <f t="shared" si="429"/>
        <v>0</v>
      </c>
      <c r="AY510" s="3">
        <f t="shared" si="429"/>
        <v>8296.9599999999991</v>
      </c>
      <c r="AZ510" s="3">
        <f t="shared" si="429"/>
        <v>5844.56</v>
      </c>
      <c r="BA510" s="3">
        <f t="shared" si="429"/>
        <v>0</v>
      </c>
      <c r="BB510" s="3">
        <f t="shared" si="429"/>
        <v>0</v>
      </c>
      <c r="BC510" s="3">
        <f t="shared" si="429"/>
        <v>0</v>
      </c>
      <c r="BD510" s="3">
        <f t="shared" si="429"/>
        <v>0</v>
      </c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>
        <f>ROUND(SUMIF(AA493:AA508,"=56959434",FQ493:FQ508),2)</f>
        <v>0</v>
      </c>
      <c r="BY510" s="3">
        <f>ROUND(SUMIF(AA493:AA508,"=56959434",FR493:FR508),2)</f>
        <v>5844.56</v>
      </c>
      <c r="BZ510" s="3">
        <f>ROUND(SUMIF(AA493:AA508,"=56959434",GL493:GL508),2)</f>
        <v>0</v>
      </c>
      <c r="CA510" s="3">
        <f>ROUND(SUMIF(AA493:AA508,"=56959434",GM493:GM508),2)</f>
        <v>18255.61</v>
      </c>
      <c r="CB510" s="3">
        <f>ROUND(SUMIF(AA493:AA508,"=56959434",GN493:GN508),2)</f>
        <v>0</v>
      </c>
      <c r="CC510" s="3">
        <f>ROUND(SUMIF(AA493:AA508,"=56959434",GO493:GO508),2)</f>
        <v>12411.05</v>
      </c>
      <c r="CD510" s="3">
        <f>ROUND(SUMIF(AA493:AA508,"=56959434",GP493:GP508),2)</f>
        <v>0</v>
      </c>
      <c r="CE510" s="3">
        <f>AC510-BX510</f>
        <v>14141.52</v>
      </c>
      <c r="CF510" s="3">
        <f>AC510-BY510</f>
        <v>8296.9599999999991</v>
      </c>
      <c r="CG510" s="3">
        <f>BX510-BZ510</f>
        <v>0</v>
      </c>
      <c r="CH510" s="3">
        <f>AC510-BX510-BY510+BZ510</f>
        <v>8296.9599999999991</v>
      </c>
      <c r="CI510" s="3">
        <f>BY510-BZ510</f>
        <v>5844.56</v>
      </c>
      <c r="CJ510" s="3">
        <f>ROUND(SUMIF(AA493:AA508,"=56959434",GX493:GX508),2)</f>
        <v>0</v>
      </c>
      <c r="CK510" s="3">
        <f>ROUND(SUMIF(AA493:AA508,"=56959434",GY493:GY508),2)</f>
        <v>0</v>
      </c>
      <c r="CL510" s="3">
        <f>ROUND(SUMIF(AA493:AA508,"=56959434",GZ493:GZ508),2)</f>
        <v>0</v>
      </c>
      <c r="CM510" s="3">
        <f>ROUND(SUMIF(AA493:AA508,"=56959434",HD493:HD508),2)</f>
        <v>0</v>
      </c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4">
        <f t="shared" ref="DG510:DL510" si="430">ROUND(DT510,2)</f>
        <v>197287.81</v>
      </c>
      <c r="DH510" s="4">
        <f t="shared" si="430"/>
        <v>107805.75</v>
      </c>
      <c r="DI510" s="4">
        <f t="shared" si="430"/>
        <v>3640.46</v>
      </c>
      <c r="DJ510" s="4">
        <f t="shared" si="430"/>
        <v>1920.8</v>
      </c>
      <c r="DK510" s="4">
        <f t="shared" si="430"/>
        <v>85841.600000000006</v>
      </c>
      <c r="DL510" s="4">
        <f t="shared" si="430"/>
        <v>0</v>
      </c>
      <c r="DM510" s="4">
        <f>DZ510</f>
        <v>121.43755139999999</v>
      </c>
      <c r="DN510" s="4">
        <f>EA510</f>
        <v>0</v>
      </c>
      <c r="DO510" s="4">
        <f>ROUND(EB510,2)</f>
        <v>0</v>
      </c>
      <c r="DP510" s="4">
        <f>ROUND(EC510,2)</f>
        <v>84605.3</v>
      </c>
      <c r="DQ510" s="4">
        <f>ROUND(ED510,2)</f>
        <v>44384.38</v>
      </c>
      <c r="DR510" s="4"/>
      <c r="DS510" s="4"/>
      <c r="DT510" s="4">
        <f>ROUND(SUMIF(AA493:AA508,"=56959431",O493:O508),2)</f>
        <v>197287.81</v>
      </c>
      <c r="DU510" s="4">
        <f>ROUND(SUMIF(AA493:AA508,"=56959431",P493:P508),2)</f>
        <v>107805.75</v>
      </c>
      <c r="DV510" s="4">
        <f>ROUND(SUMIF(AA493:AA508,"=56959431",Q493:Q508),2)</f>
        <v>3640.46</v>
      </c>
      <c r="DW510" s="4">
        <f>ROUND(SUMIF(AA493:AA508,"=56959431",R493:R508),2)</f>
        <v>1920.8</v>
      </c>
      <c r="DX510" s="4">
        <f>ROUND(SUMIF(AA493:AA508,"=56959431",S493:S508),2)</f>
        <v>85841.600000000006</v>
      </c>
      <c r="DY510" s="4">
        <f>ROUND(SUMIF(AA493:AA508,"=56959431",T493:T508),2)</f>
        <v>0</v>
      </c>
      <c r="DZ510" s="4">
        <f>SUMIF(AA493:AA508,"=56959431",U493:U508)</f>
        <v>121.43755139999999</v>
      </c>
      <c r="EA510" s="4">
        <f>SUMIF(AA493:AA508,"=56959431",V493:V508)</f>
        <v>0</v>
      </c>
      <c r="EB510" s="4">
        <f>ROUND(SUMIF(AA493:AA508,"=56959431",W493:W508),2)</f>
        <v>0</v>
      </c>
      <c r="EC510" s="4">
        <f>ROUND(SUMIF(AA493:AA508,"=56959431",X493:X508),2)</f>
        <v>84605.3</v>
      </c>
      <c r="ED510" s="4">
        <f>ROUND(SUMIF(AA493:AA508,"=56959431",Y493:Y508),2)</f>
        <v>44384.38</v>
      </c>
      <c r="EE510" s="4"/>
      <c r="EF510" s="4"/>
      <c r="EG510" s="4">
        <f t="shared" ref="EG510:EV510" si="431">ROUND(FP510,2)</f>
        <v>0</v>
      </c>
      <c r="EH510" s="4">
        <f t="shared" si="431"/>
        <v>44769.33</v>
      </c>
      <c r="EI510" s="4">
        <f t="shared" si="431"/>
        <v>0</v>
      </c>
      <c r="EJ510" s="4">
        <f t="shared" si="431"/>
        <v>326277.49</v>
      </c>
      <c r="EK510" s="4">
        <f t="shared" si="431"/>
        <v>0</v>
      </c>
      <c r="EL510" s="4">
        <f t="shared" si="431"/>
        <v>281508.15999999997</v>
      </c>
      <c r="EM510" s="4">
        <f t="shared" si="431"/>
        <v>0</v>
      </c>
      <c r="EN510" s="4">
        <f t="shared" si="431"/>
        <v>107805.75</v>
      </c>
      <c r="EO510" s="4">
        <f t="shared" si="431"/>
        <v>63036.42</v>
      </c>
      <c r="EP510" s="4">
        <f t="shared" si="431"/>
        <v>0</v>
      </c>
      <c r="EQ510" s="4">
        <f t="shared" si="431"/>
        <v>63036.42</v>
      </c>
      <c r="ER510" s="4">
        <f t="shared" si="431"/>
        <v>44769.33</v>
      </c>
      <c r="ES510" s="4">
        <f t="shared" si="431"/>
        <v>0</v>
      </c>
      <c r="ET510" s="4">
        <f t="shared" si="431"/>
        <v>0</v>
      </c>
      <c r="EU510" s="4">
        <f t="shared" si="431"/>
        <v>0</v>
      </c>
      <c r="EV510" s="4">
        <f t="shared" si="431"/>
        <v>0</v>
      </c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>
        <f>ROUND(SUMIF(AA493:AA508,"=56959431",FQ493:FQ508),2)</f>
        <v>0</v>
      </c>
      <c r="FQ510" s="4">
        <f>ROUND(SUMIF(AA493:AA508,"=56959431",FR493:FR508),2)</f>
        <v>44769.33</v>
      </c>
      <c r="FR510" s="4">
        <f>ROUND(SUMIF(AA493:AA508,"=56959431",GL493:GL508),2)</f>
        <v>0</v>
      </c>
      <c r="FS510" s="4">
        <f>ROUND(SUMIF(AA493:AA508,"=56959431",GM493:GM508),2)</f>
        <v>326277.49</v>
      </c>
      <c r="FT510" s="4">
        <f>ROUND(SUMIF(AA493:AA508,"=56959431",GN493:GN508),2)</f>
        <v>0</v>
      </c>
      <c r="FU510" s="4">
        <f>ROUND(SUMIF(AA493:AA508,"=56959431",GO493:GO508),2)</f>
        <v>281508.15999999997</v>
      </c>
      <c r="FV510" s="4">
        <f>ROUND(SUMIF(AA493:AA508,"=56959431",GP493:GP508),2)</f>
        <v>0</v>
      </c>
      <c r="FW510" s="4">
        <f>DU510-FP510</f>
        <v>107805.75</v>
      </c>
      <c r="FX510" s="4">
        <f>DU510-FQ510</f>
        <v>63036.42</v>
      </c>
      <c r="FY510" s="4">
        <f>FP510-FR510</f>
        <v>0</v>
      </c>
      <c r="FZ510" s="4">
        <f>DU510-FP510-FQ510+FR510</f>
        <v>63036.42</v>
      </c>
      <c r="GA510" s="4">
        <f>FQ510-FR510</f>
        <v>44769.33</v>
      </c>
      <c r="GB510" s="4">
        <f>ROUND(SUMIF(AA493:AA508,"=56959431",GX493:GX508),2)</f>
        <v>0</v>
      </c>
      <c r="GC510" s="4">
        <f>ROUND(SUMIF(AA493:AA508,"=56959431",GY493:GY508),2)</f>
        <v>0</v>
      </c>
      <c r="GD510" s="4">
        <f>ROUND(SUMIF(AA493:AA508,"=56959431",GZ493:GZ508),2)</f>
        <v>0</v>
      </c>
      <c r="GE510" s="4">
        <f>ROUND(SUMIF(AA493:AA508,"=56959431",HD493:HD508),2)</f>
        <v>0</v>
      </c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>
        <v>0</v>
      </c>
    </row>
    <row r="512" spans="1:255" x14ac:dyDescent="0.2">
      <c r="A512" s="5">
        <v>50</v>
      </c>
      <c r="B512" s="5">
        <v>0</v>
      </c>
      <c r="C512" s="5">
        <v>0</v>
      </c>
      <c r="D512" s="5">
        <v>1</v>
      </c>
      <c r="E512" s="5">
        <v>201</v>
      </c>
      <c r="F512" s="5">
        <f>ROUND(Source!O510,O512)</f>
        <v>15909.92</v>
      </c>
      <c r="G512" s="5" t="s">
        <v>118</v>
      </c>
      <c r="H512" s="5" t="s">
        <v>119</v>
      </c>
      <c r="I512" s="5"/>
      <c r="J512" s="5"/>
      <c r="K512" s="5">
        <v>201</v>
      </c>
      <c r="L512" s="5">
        <v>1</v>
      </c>
      <c r="M512" s="5">
        <v>3</v>
      </c>
      <c r="N512" s="5" t="s">
        <v>3</v>
      </c>
      <c r="O512" s="5">
        <v>2</v>
      </c>
      <c r="P512" s="5">
        <f>ROUND(Source!DG510,O512)</f>
        <v>197287.81</v>
      </c>
      <c r="Q512" s="5"/>
      <c r="R512" s="5"/>
      <c r="S512" s="5"/>
      <c r="T512" s="5"/>
      <c r="U512" s="5"/>
      <c r="V512" s="5"/>
      <c r="W512" s="5">
        <v>15909.92</v>
      </c>
      <c r="X512" s="5">
        <v>1</v>
      </c>
      <c r="Y512" s="5">
        <v>15909.92</v>
      </c>
      <c r="Z512" s="5">
        <v>197287.81</v>
      </c>
      <c r="AA512" s="5">
        <v>1</v>
      </c>
      <c r="AB512" s="5">
        <v>197287.81</v>
      </c>
    </row>
    <row r="513" spans="1:28" x14ac:dyDescent="0.2">
      <c r="A513" s="5">
        <v>50</v>
      </c>
      <c r="B513" s="5">
        <v>0</v>
      </c>
      <c r="C513" s="5">
        <v>0</v>
      </c>
      <c r="D513" s="5">
        <v>1</v>
      </c>
      <c r="E513" s="5">
        <v>202</v>
      </c>
      <c r="F513" s="5">
        <f>ROUND(Source!P510,O513)</f>
        <v>14141.52</v>
      </c>
      <c r="G513" s="5" t="s">
        <v>120</v>
      </c>
      <c r="H513" s="5" t="s">
        <v>121</v>
      </c>
      <c r="I513" s="5"/>
      <c r="J513" s="5"/>
      <c r="K513" s="5">
        <v>202</v>
      </c>
      <c r="L513" s="5">
        <v>2</v>
      </c>
      <c r="M513" s="5">
        <v>3</v>
      </c>
      <c r="N513" s="5" t="s">
        <v>3</v>
      </c>
      <c r="O513" s="5">
        <v>2</v>
      </c>
      <c r="P513" s="5">
        <f>ROUND(Source!DH510,O513)</f>
        <v>107805.75</v>
      </c>
      <c r="Q513" s="5"/>
      <c r="R513" s="5"/>
      <c r="S513" s="5"/>
      <c r="T513" s="5"/>
      <c r="U513" s="5"/>
      <c r="V513" s="5"/>
      <c r="W513" s="5">
        <v>14141.52</v>
      </c>
      <c r="X513" s="5">
        <v>1</v>
      </c>
      <c r="Y513" s="5">
        <v>14141.52</v>
      </c>
      <c r="Z513" s="5">
        <v>107805.75</v>
      </c>
      <c r="AA513" s="5">
        <v>1</v>
      </c>
      <c r="AB513" s="5">
        <v>107805.75</v>
      </c>
    </row>
    <row r="514" spans="1:28" x14ac:dyDescent="0.2">
      <c r="A514" s="5">
        <v>50</v>
      </c>
      <c r="B514" s="5">
        <v>0</v>
      </c>
      <c r="C514" s="5">
        <v>0</v>
      </c>
      <c r="D514" s="5">
        <v>1</v>
      </c>
      <c r="E514" s="5">
        <v>222</v>
      </c>
      <c r="F514" s="5">
        <f>ROUND(Source!AO510,O514)</f>
        <v>0</v>
      </c>
      <c r="G514" s="5" t="s">
        <v>122</v>
      </c>
      <c r="H514" s="5" t="s">
        <v>123</v>
      </c>
      <c r="I514" s="5"/>
      <c r="J514" s="5"/>
      <c r="K514" s="5">
        <v>222</v>
      </c>
      <c r="L514" s="5">
        <v>3</v>
      </c>
      <c r="M514" s="5">
        <v>3</v>
      </c>
      <c r="N514" s="5" t="s">
        <v>3</v>
      </c>
      <c r="O514" s="5">
        <v>2</v>
      </c>
      <c r="P514" s="5">
        <f>ROUND(Source!EG510,O514)</f>
        <v>0</v>
      </c>
      <c r="Q514" s="5"/>
      <c r="R514" s="5"/>
      <c r="S514" s="5"/>
      <c r="T514" s="5"/>
      <c r="U514" s="5"/>
      <c r="V514" s="5"/>
      <c r="W514" s="5">
        <v>0</v>
      </c>
      <c r="X514" s="5">
        <v>1</v>
      </c>
      <c r="Y514" s="5">
        <v>0</v>
      </c>
      <c r="Z514" s="5">
        <v>0</v>
      </c>
      <c r="AA514" s="5">
        <v>1</v>
      </c>
      <c r="AB514" s="5">
        <v>0</v>
      </c>
    </row>
    <row r="515" spans="1:28" x14ac:dyDescent="0.2">
      <c r="A515" s="5">
        <v>50</v>
      </c>
      <c r="B515" s="5">
        <v>0</v>
      </c>
      <c r="C515" s="5">
        <v>0</v>
      </c>
      <c r="D515" s="5">
        <v>1</v>
      </c>
      <c r="E515" s="5">
        <v>225</v>
      </c>
      <c r="F515" s="5">
        <f>ROUND(Source!AV510,O515)</f>
        <v>14141.52</v>
      </c>
      <c r="G515" s="5" t="s">
        <v>124</v>
      </c>
      <c r="H515" s="5" t="s">
        <v>125</v>
      </c>
      <c r="I515" s="5"/>
      <c r="J515" s="5"/>
      <c r="K515" s="5">
        <v>225</v>
      </c>
      <c r="L515" s="5">
        <v>4</v>
      </c>
      <c r="M515" s="5">
        <v>3</v>
      </c>
      <c r="N515" s="5" t="s">
        <v>3</v>
      </c>
      <c r="O515" s="5">
        <v>2</v>
      </c>
      <c r="P515" s="5">
        <f>ROUND(Source!EN510,O515)</f>
        <v>107805.75</v>
      </c>
      <c r="Q515" s="5"/>
      <c r="R515" s="5"/>
      <c r="S515" s="5"/>
      <c r="T515" s="5"/>
      <c r="U515" s="5"/>
      <c r="V515" s="5"/>
      <c r="W515" s="5">
        <v>14141.52</v>
      </c>
      <c r="X515" s="5">
        <v>1</v>
      </c>
      <c r="Y515" s="5">
        <v>14141.52</v>
      </c>
      <c r="Z515" s="5">
        <v>107805.75</v>
      </c>
      <c r="AA515" s="5">
        <v>1</v>
      </c>
      <c r="AB515" s="5">
        <v>107805.75</v>
      </c>
    </row>
    <row r="516" spans="1:28" x14ac:dyDescent="0.2">
      <c r="A516" s="5">
        <v>50</v>
      </c>
      <c r="B516" s="5">
        <v>0</v>
      </c>
      <c r="C516" s="5">
        <v>0</v>
      </c>
      <c r="D516" s="5">
        <v>1</v>
      </c>
      <c r="E516" s="5">
        <v>226</v>
      </c>
      <c r="F516" s="5">
        <f>ROUND(Source!AW510,O516)</f>
        <v>8296.9599999999991</v>
      </c>
      <c r="G516" s="5" t="s">
        <v>126</v>
      </c>
      <c r="H516" s="5" t="s">
        <v>127</v>
      </c>
      <c r="I516" s="5"/>
      <c r="J516" s="5"/>
      <c r="K516" s="5">
        <v>226</v>
      </c>
      <c r="L516" s="5">
        <v>5</v>
      </c>
      <c r="M516" s="5">
        <v>3</v>
      </c>
      <c r="N516" s="5" t="s">
        <v>3</v>
      </c>
      <c r="O516" s="5">
        <v>2</v>
      </c>
      <c r="P516" s="5">
        <f>ROUND(Source!EO510,O516)</f>
        <v>63036.42</v>
      </c>
      <c r="Q516" s="5"/>
      <c r="R516" s="5"/>
      <c r="S516" s="5"/>
      <c r="T516" s="5"/>
      <c r="U516" s="5"/>
      <c r="V516" s="5"/>
      <c r="W516" s="5">
        <v>8296.9599999999991</v>
      </c>
      <c r="X516" s="5">
        <v>1</v>
      </c>
      <c r="Y516" s="5">
        <v>8296.9599999999991</v>
      </c>
      <c r="Z516" s="5">
        <v>63036.42</v>
      </c>
      <c r="AA516" s="5">
        <v>1</v>
      </c>
      <c r="AB516" s="5">
        <v>63036.42</v>
      </c>
    </row>
    <row r="517" spans="1:28" x14ac:dyDescent="0.2">
      <c r="A517" s="5">
        <v>50</v>
      </c>
      <c r="B517" s="5">
        <v>0</v>
      </c>
      <c r="C517" s="5">
        <v>0</v>
      </c>
      <c r="D517" s="5">
        <v>1</v>
      </c>
      <c r="E517" s="5">
        <v>227</v>
      </c>
      <c r="F517" s="5">
        <f>ROUND(Source!AX510,O517)</f>
        <v>0</v>
      </c>
      <c r="G517" s="5" t="s">
        <v>128</v>
      </c>
      <c r="H517" s="5" t="s">
        <v>129</v>
      </c>
      <c r="I517" s="5"/>
      <c r="J517" s="5"/>
      <c r="K517" s="5">
        <v>227</v>
      </c>
      <c r="L517" s="5">
        <v>6</v>
      </c>
      <c r="M517" s="5">
        <v>3</v>
      </c>
      <c r="N517" s="5" t="s">
        <v>3</v>
      </c>
      <c r="O517" s="5">
        <v>2</v>
      </c>
      <c r="P517" s="5">
        <f>ROUND(Source!EP510,O517)</f>
        <v>0</v>
      </c>
      <c r="Q517" s="5"/>
      <c r="R517" s="5"/>
      <c r="S517" s="5"/>
      <c r="T517" s="5"/>
      <c r="U517" s="5"/>
      <c r="V517" s="5"/>
      <c r="W517" s="5">
        <v>0</v>
      </c>
      <c r="X517" s="5">
        <v>1</v>
      </c>
      <c r="Y517" s="5">
        <v>0</v>
      </c>
      <c r="Z517" s="5">
        <v>0</v>
      </c>
      <c r="AA517" s="5">
        <v>1</v>
      </c>
      <c r="AB517" s="5">
        <v>0</v>
      </c>
    </row>
    <row r="518" spans="1:28" x14ac:dyDescent="0.2">
      <c r="A518" s="5">
        <v>50</v>
      </c>
      <c r="B518" s="5">
        <v>0</v>
      </c>
      <c r="C518" s="5">
        <v>0</v>
      </c>
      <c r="D518" s="5">
        <v>1</v>
      </c>
      <c r="E518" s="5">
        <v>228</v>
      </c>
      <c r="F518" s="5">
        <f>ROUND(Source!AY510,O518)</f>
        <v>8296.9599999999991</v>
      </c>
      <c r="G518" s="5" t="s">
        <v>130</v>
      </c>
      <c r="H518" s="5" t="s">
        <v>131</v>
      </c>
      <c r="I518" s="5"/>
      <c r="J518" s="5"/>
      <c r="K518" s="5">
        <v>228</v>
      </c>
      <c r="L518" s="5">
        <v>7</v>
      </c>
      <c r="M518" s="5">
        <v>3</v>
      </c>
      <c r="N518" s="5" t="s">
        <v>3</v>
      </c>
      <c r="O518" s="5">
        <v>2</v>
      </c>
      <c r="P518" s="5">
        <f>ROUND(Source!EQ510,O518)</f>
        <v>63036.42</v>
      </c>
      <c r="Q518" s="5"/>
      <c r="R518" s="5"/>
      <c r="S518" s="5"/>
      <c r="T518" s="5"/>
      <c r="U518" s="5"/>
      <c r="V518" s="5"/>
      <c r="W518" s="5">
        <v>8296.9599999999991</v>
      </c>
      <c r="X518" s="5">
        <v>1</v>
      </c>
      <c r="Y518" s="5">
        <v>8296.9599999999991</v>
      </c>
      <c r="Z518" s="5">
        <v>63036.42</v>
      </c>
      <c r="AA518" s="5">
        <v>1</v>
      </c>
      <c r="AB518" s="5">
        <v>63036.42</v>
      </c>
    </row>
    <row r="519" spans="1:28" x14ac:dyDescent="0.2">
      <c r="A519" s="5">
        <v>50</v>
      </c>
      <c r="B519" s="5">
        <v>0</v>
      </c>
      <c r="C519" s="5">
        <v>0</v>
      </c>
      <c r="D519" s="5">
        <v>1</v>
      </c>
      <c r="E519" s="5">
        <v>216</v>
      </c>
      <c r="F519" s="5">
        <f>ROUND(Source!AP510,O519)</f>
        <v>5844.56</v>
      </c>
      <c r="G519" s="5" t="s">
        <v>132</v>
      </c>
      <c r="H519" s="5" t="s">
        <v>133</v>
      </c>
      <c r="I519" s="5"/>
      <c r="J519" s="5"/>
      <c r="K519" s="5">
        <v>216</v>
      </c>
      <c r="L519" s="5">
        <v>8</v>
      </c>
      <c r="M519" s="5">
        <v>3</v>
      </c>
      <c r="N519" s="5" t="s">
        <v>3</v>
      </c>
      <c r="O519" s="5">
        <v>2</v>
      </c>
      <c r="P519" s="5">
        <f>ROUND(Source!EH510,O519)</f>
        <v>44769.33</v>
      </c>
      <c r="Q519" s="5"/>
      <c r="R519" s="5"/>
      <c r="S519" s="5"/>
      <c r="T519" s="5"/>
      <c r="U519" s="5"/>
      <c r="V519" s="5"/>
      <c r="W519" s="5">
        <v>5844.56</v>
      </c>
      <c r="X519" s="5">
        <v>1</v>
      </c>
      <c r="Y519" s="5">
        <v>5844.56</v>
      </c>
      <c r="Z519" s="5">
        <v>44769.33</v>
      </c>
      <c r="AA519" s="5">
        <v>1</v>
      </c>
      <c r="AB519" s="5">
        <v>44769.33</v>
      </c>
    </row>
    <row r="520" spans="1:28" x14ac:dyDescent="0.2">
      <c r="A520" s="5">
        <v>50</v>
      </c>
      <c r="B520" s="5">
        <v>0</v>
      </c>
      <c r="C520" s="5">
        <v>0</v>
      </c>
      <c r="D520" s="5">
        <v>1</v>
      </c>
      <c r="E520" s="5">
        <v>223</v>
      </c>
      <c r="F520" s="5">
        <f>ROUND(Source!AQ510,O520)</f>
        <v>0</v>
      </c>
      <c r="G520" s="5" t="s">
        <v>134</v>
      </c>
      <c r="H520" s="5" t="s">
        <v>135</v>
      </c>
      <c r="I520" s="5"/>
      <c r="J520" s="5"/>
      <c r="K520" s="5">
        <v>223</v>
      </c>
      <c r="L520" s="5">
        <v>9</v>
      </c>
      <c r="M520" s="5">
        <v>3</v>
      </c>
      <c r="N520" s="5" t="s">
        <v>3</v>
      </c>
      <c r="O520" s="5">
        <v>2</v>
      </c>
      <c r="P520" s="5">
        <f>ROUND(Source!EI510,O520)</f>
        <v>0</v>
      </c>
      <c r="Q520" s="5"/>
      <c r="R520" s="5"/>
      <c r="S520" s="5"/>
      <c r="T520" s="5"/>
      <c r="U520" s="5"/>
      <c r="V520" s="5"/>
      <c r="W520" s="5">
        <v>0</v>
      </c>
      <c r="X520" s="5">
        <v>1</v>
      </c>
      <c r="Y520" s="5">
        <v>0</v>
      </c>
      <c r="Z520" s="5">
        <v>0</v>
      </c>
      <c r="AA520" s="5">
        <v>1</v>
      </c>
      <c r="AB520" s="5">
        <v>0</v>
      </c>
    </row>
    <row r="521" spans="1:28" x14ac:dyDescent="0.2">
      <c r="A521" s="5">
        <v>50</v>
      </c>
      <c r="B521" s="5">
        <v>0</v>
      </c>
      <c r="C521" s="5">
        <v>0</v>
      </c>
      <c r="D521" s="5">
        <v>1</v>
      </c>
      <c r="E521" s="5">
        <v>229</v>
      </c>
      <c r="F521" s="5">
        <f>ROUND(Source!AZ510,O521)</f>
        <v>5844.56</v>
      </c>
      <c r="G521" s="5" t="s">
        <v>136</v>
      </c>
      <c r="H521" s="5" t="s">
        <v>137</v>
      </c>
      <c r="I521" s="5"/>
      <c r="J521" s="5"/>
      <c r="K521" s="5">
        <v>229</v>
      </c>
      <c r="L521" s="5">
        <v>10</v>
      </c>
      <c r="M521" s="5">
        <v>3</v>
      </c>
      <c r="N521" s="5" t="s">
        <v>3</v>
      </c>
      <c r="O521" s="5">
        <v>2</v>
      </c>
      <c r="P521" s="5">
        <f>ROUND(Source!ER510,O521)</f>
        <v>44769.33</v>
      </c>
      <c r="Q521" s="5"/>
      <c r="R521" s="5"/>
      <c r="S521" s="5"/>
      <c r="T521" s="5"/>
      <c r="U521" s="5"/>
      <c r="V521" s="5"/>
      <c r="W521" s="5">
        <v>5844.56</v>
      </c>
      <c r="X521" s="5">
        <v>1</v>
      </c>
      <c r="Y521" s="5">
        <v>5844.56</v>
      </c>
      <c r="Z521" s="5">
        <v>44769.33</v>
      </c>
      <c r="AA521" s="5">
        <v>1</v>
      </c>
      <c r="AB521" s="5">
        <v>44769.33</v>
      </c>
    </row>
    <row r="522" spans="1:28" x14ac:dyDescent="0.2">
      <c r="A522" s="5">
        <v>50</v>
      </c>
      <c r="B522" s="5">
        <v>0</v>
      </c>
      <c r="C522" s="5">
        <v>0</v>
      </c>
      <c r="D522" s="5">
        <v>1</v>
      </c>
      <c r="E522" s="5">
        <v>203</v>
      </c>
      <c r="F522" s="5">
        <f>ROUND(Source!Q510,O522)</f>
        <v>207.36</v>
      </c>
      <c r="G522" s="5" t="s">
        <v>138</v>
      </c>
      <c r="H522" s="5" t="s">
        <v>139</v>
      </c>
      <c r="I522" s="5"/>
      <c r="J522" s="5"/>
      <c r="K522" s="5">
        <v>203</v>
      </c>
      <c r="L522" s="5">
        <v>11</v>
      </c>
      <c r="M522" s="5">
        <v>3</v>
      </c>
      <c r="N522" s="5" t="s">
        <v>3</v>
      </c>
      <c r="O522" s="5">
        <v>2</v>
      </c>
      <c r="P522" s="5">
        <f>ROUND(Source!DI510,O522)</f>
        <v>3640.46</v>
      </c>
      <c r="Q522" s="5"/>
      <c r="R522" s="5"/>
      <c r="S522" s="5"/>
      <c r="T522" s="5"/>
      <c r="U522" s="5"/>
      <c r="V522" s="5"/>
      <c r="W522" s="5">
        <v>207.36</v>
      </c>
      <c r="X522" s="5">
        <v>1</v>
      </c>
      <c r="Y522" s="5">
        <v>207.36</v>
      </c>
      <c r="Z522" s="5">
        <v>3640.46</v>
      </c>
      <c r="AA522" s="5">
        <v>1</v>
      </c>
      <c r="AB522" s="5">
        <v>3640.46</v>
      </c>
    </row>
    <row r="523" spans="1:28" x14ac:dyDescent="0.2">
      <c r="A523" s="5">
        <v>50</v>
      </c>
      <c r="B523" s="5">
        <v>0</v>
      </c>
      <c r="C523" s="5">
        <v>0</v>
      </c>
      <c r="D523" s="5">
        <v>1</v>
      </c>
      <c r="E523" s="5">
        <v>231</v>
      </c>
      <c r="F523" s="5">
        <f>ROUND(Source!BB510,O523)</f>
        <v>0</v>
      </c>
      <c r="G523" s="5" t="s">
        <v>140</v>
      </c>
      <c r="H523" s="5" t="s">
        <v>141</v>
      </c>
      <c r="I523" s="5"/>
      <c r="J523" s="5"/>
      <c r="K523" s="5">
        <v>231</v>
      </c>
      <c r="L523" s="5">
        <v>12</v>
      </c>
      <c r="M523" s="5">
        <v>3</v>
      </c>
      <c r="N523" s="5" t="s">
        <v>3</v>
      </c>
      <c r="O523" s="5">
        <v>2</v>
      </c>
      <c r="P523" s="5">
        <f>ROUND(Source!ET510,O523)</f>
        <v>0</v>
      </c>
      <c r="Q523" s="5"/>
      <c r="R523" s="5"/>
      <c r="S523" s="5"/>
      <c r="T523" s="5"/>
      <c r="U523" s="5"/>
      <c r="V523" s="5"/>
      <c r="W523" s="5">
        <v>0</v>
      </c>
      <c r="X523" s="5">
        <v>1</v>
      </c>
      <c r="Y523" s="5">
        <v>0</v>
      </c>
      <c r="Z523" s="5">
        <v>0</v>
      </c>
      <c r="AA523" s="5">
        <v>1</v>
      </c>
      <c r="AB523" s="5">
        <v>0</v>
      </c>
    </row>
    <row r="524" spans="1:28" x14ac:dyDescent="0.2">
      <c r="A524" s="5">
        <v>50</v>
      </c>
      <c r="B524" s="5">
        <v>0</v>
      </c>
      <c r="C524" s="5">
        <v>0</v>
      </c>
      <c r="D524" s="5">
        <v>1</v>
      </c>
      <c r="E524" s="5">
        <v>204</v>
      </c>
      <c r="F524" s="5">
        <f>ROUND(Source!R510,O524)</f>
        <v>34.93</v>
      </c>
      <c r="G524" s="5" t="s">
        <v>142</v>
      </c>
      <c r="H524" s="5" t="s">
        <v>143</v>
      </c>
      <c r="I524" s="5"/>
      <c r="J524" s="5"/>
      <c r="K524" s="5">
        <v>204</v>
      </c>
      <c r="L524" s="5">
        <v>13</v>
      </c>
      <c r="M524" s="5">
        <v>3</v>
      </c>
      <c r="N524" s="5" t="s">
        <v>3</v>
      </c>
      <c r="O524" s="5">
        <v>2</v>
      </c>
      <c r="P524" s="5">
        <f>ROUND(Source!DJ510,O524)</f>
        <v>1920.8</v>
      </c>
      <c r="Q524" s="5"/>
      <c r="R524" s="5"/>
      <c r="S524" s="5"/>
      <c r="T524" s="5"/>
      <c r="U524" s="5"/>
      <c r="V524" s="5"/>
      <c r="W524" s="5">
        <v>34.93</v>
      </c>
      <c r="X524" s="5">
        <v>1</v>
      </c>
      <c r="Y524" s="5">
        <v>34.93</v>
      </c>
      <c r="Z524" s="5">
        <v>1920.8</v>
      </c>
      <c r="AA524" s="5">
        <v>1</v>
      </c>
      <c r="AB524" s="5">
        <v>1920.8</v>
      </c>
    </row>
    <row r="525" spans="1:28" x14ac:dyDescent="0.2">
      <c r="A525" s="5">
        <v>50</v>
      </c>
      <c r="B525" s="5">
        <v>0</v>
      </c>
      <c r="C525" s="5">
        <v>0</v>
      </c>
      <c r="D525" s="5">
        <v>1</v>
      </c>
      <c r="E525" s="5">
        <v>205</v>
      </c>
      <c r="F525" s="5">
        <f>ROUND(Source!S510,O525)</f>
        <v>1561.04</v>
      </c>
      <c r="G525" s="5" t="s">
        <v>144</v>
      </c>
      <c r="H525" s="5" t="s">
        <v>145</v>
      </c>
      <c r="I525" s="5"/>
      <c r="J525" s="5"/>
      <c r="K525" s="5">
        <v>205</v>
      </c>
      <c r="L525" s="5">
        <v>14</v>
      </c>
      <c r="M525" s="5">
        <v>3</v>
      </c>
      <c r="N525" s="5" t="s">
        <v>3</v>
      </c>
      <c r="O525" s="5">
        <v>2</v>
      </c>
      <c r="P525" s="5">
        <f>ROUND(Source!DK510,O525)</f>
        <v>85841.600000000006</v>
      </c>
      <c r="Q525" s="5"/>
      <c r="R525" s="5"/>
      <c r="S525" s="5"/>
      <c r="T525" s="5"/>
      <c r="U525" s="5"/>
      <c r="V525" s="5"/>
      <c r="W525" s="5">
        <v>1561.04</v>
      </c>
      <c r="X525" s="5">
        <v>1</v>
      </c>
      <c r="Y525" s="5">
        <v>1561.04</v>
      </c>
      <c r="Z525" s="5">
        <v>85841.600000000006</v>
      </c>
      <c r="AA525" s="5">
        <v>1</v>
      </c>
      <c r="AB525" s="5">
        <v>85841.600000000006</v>
      </c>
    </row>
    <row r="526" spans="1:28" x14ac:dyDescent="0.2">
      <c r="A526" s="5">
        <v>50</v>
      </c>
      <c r="B526" s="5">
        <v>0</v>
      </c>
      <c r="C526" s="5">
        <v>0</v>
      </c>
      <c r="D526" s="5">
        <v>1</v>
      </c>
      <c r="E526" s="5">
        <v>232</v>
      </c>
      <c r="F526" s="5">
        <f>ROUND(Source!BC510,O526)</f>
        <v>0</v>
      </c>
      <c r="G526" s="5" t="s">
        <v>146</v>
      </c>
      <c r="H526" s="5" t="s">
        <v>147</v>
      </c>
      <c r="I526" s="5"/>
      <c r="J526" s="5"/>
      <c r="K526" s="5">
        <v>232</v>
      </c>
      <c r="L526" s="5">
        <v>15</v>
      </c>
      <c r="M526" s="5">
        <v>3</v>
      </c>
      <c r="N526" s="5" t="s">
        <v>3</v>
      </c>
      <c r="O526" s="5">
        <v>2</v>
      </c>
      <c r="P526" s="5">
        <f>ROUND(Source!EU510,O526)</f>
        <v>0</v>
      </c>
      <c r="Q526" s="5"/>
      <c r="R526" s="5"/>
      <c r="S526" s="5"/>
      <c r="T526" s="5"/>
      <c r="U526" s="5"/>
      <c r="V526" s="5"/>
      <c r="W526" s="5">
        <v>0</v>
      </c>
      <c r="X526" s="5">
        <v>1</v>
      </c>
      <c r="Y526" s="5">
        <v>0</v>
      </c>
      <c r="Z526" s="5">
        <v>0</v>
      </c>
      <c r="AA526" s="5">
        <v>1</v>
      </c>
      <c r="AB526" s="5">
        <v>0</v>
      </c>
    </row>
    <row r="527" spans="1:28" x14ac:dyDescent="0.2">
      <c r="A527" s="5">
        <v>50</v>
      </c>
      <c r="B527" s="5">
        <v>0</v>
      </c>
      <c r="C527" s="5">
        <v>0</v>
      </c>
      <c r="D527" s="5">
        <v>1</v>
      </c>
      <c r="E527" s="5">
        <v>214</v>
      </c>
      <c r="F527" s="5">
        <f>ROUND(Source!AS510,O527)</f>
        <v>0</v>
      </c>
      <c r="G527" s="5" t="s">
        <v>148</v>
      </c>
      <c r="H527" s="5" t="s">
        <v>149</v>
      </c>
      <c r="I527" s="5"/>
      <c r="J527" s="5"/>
      <c r="K527" s="5">
        <v>214</v>
      </c>
      <c r="L527" s="5">
        <v>16</v>
      </c>
      <c r="M527" s="5">
        <v>3</v>
      </c>
      <c r="N527" s="5" t="s">
        <v>3</v>
      </c>
      <c r="O527" s="5">
        <v>2</v>
      </c>
      <c r="P527" s="5">
        <f>ROUND(Source!EK510,O527)</f>
        <v>0</v>
      </c>
      <c r="Q527" s="5"/>
      <c r="R527" s="5"/>
      <c r="S527" s="5"/>
      <c r="T527" s="5"/>
      <c r="U527" s="5"/>
      <c r="V527" s="5"/>
      <c r="W527" s="5">
        <v>0</v>
      </c>
      <c r="X527" s="5">
        <v>1</v>
      </c>
      <c r="Y527" s="5">
        <v>0</v>
      </c>
      <c r="Z527" s="5">
        <v>0</v>
      </c>
      <c r="AA527" s="5">
        <v>1</v>
      </c>
      <c r="AB527" s="5">
        <v>0</v>
      </c>
    </row>
    <row r="528" spans="1:28" x14ac:dyDescent="0.2">
      <c r="A528" s="5">
        <v>50</v>
      </c>
      <c r="B528" s="5">
        <v>0</v>
      </c>
      <c r="C528" s="5">
        <v>0</v>
      </c>
      <c r="D528" s="5">
        <v>1</v>
      </c>
      <c r="E528" s="5">
        <v>215</v>
      </c>
      <c r="F528" s="5">
        <f>ROUND(Source!AT510,O528)</f>
        <v>12411.05</v>
      </c>
      <c r="G528" s="5" t="s">
        <v>150</v>
      </c>
      <c r="H528" s="5" t="s">
        <v>151</v>
      </c>
      <c r="I528" s="5"/>
      <c r="J528" s="5"/>
      <c r="K528" s="5">
        <v>215</v>
      </c>
      <c r="L528" s="5">
        <v>17</v>
      </c>
      <c r="M528" s="5">
        <v>3</v>
      </c>
      <c r="N528" s="5" t="s">
        <v>3</v>
      </c>
      <c r="O528" s="5">
        <v>2</v>
      </c>
      <c r="P528" s="5">
        <f>ROUND(Source!EL510,O528)</f>
        <v>281508.15999999997</v>
      </c>
      <c r="Q528" s="5"/>
      <c r="R528" s="5"/>
      <c r="S528" s="5"/>
      <c r="T528" s="5"/>
      <c r="U528" s="5"/>
      <c r="V528" s="5"/>
      <c r="W528" s="5">
        <v>12411.05</v>
      </c>
      <c r="X528" s="5">
        <v>1</v>
      </c>
      <c r="Y528" s="5">
        <v>12411.05</v>
      </c>
      <c r="Z528" s="5">
        <v>281508.15999999997</v>
      </c>
      <c r="AA528" s="5">
        <v>1</v>
      </c>
      <c r="AB528" s="5">
        <v>281508.15999999997</v>
      </c>
    </row>
    <row r="529" spans="1:255" x14ac:dyDescent="0.2">
      <c r="A529" s="5">
        <v>50</v>
      </c>
      <c r="B529" s="5">
        <v>0</v>
      </c>
      <c r="C529" s="5">
        <v>0</v>
      </c>
      <c r="D529" s="5">
        <v>1</v>
      </c>
      <c r="E529" s="5">
        <v>217</v>
      </c>
      <c r="F529" s="5">
        <f>ROUND(Source!AU510,O529)</f>
        <v>0</v>
      </c>
      <c r="G529" s="5" t="s">
        <v>152</v>
      </c>
      <c r="H529" s="5" t="s">
        <v>153</v>
      </c>
      <c r="I529" s="5"/>
      <c r="J529" s="5"/>
      <c r="K529" s="5">
        <v>217</v>
      </c>
      <c r="L529" s="5">
        <v>18</v>
      </c>
      <c r="M529" s="5">
        <v>3</v>
      </c>
      <c r="N529" s="5" t="s">
        <v>3</v>
      </c>
      <c r="O529" s="5">
        <v>2</v>
      </c>
      <c r="P529" s="5">
        <f>ROUND(Source!EM510,O529)</f>
        <v>0</v>
      </c>
      <c r="Q529" s="5"/>
      <c r="R529" s="5"/>
      <c r="S529" s="5"/>
      <c r="T529" s="5"/>
      <c r="U529" s="5"/>
      <c r="V529" s="5"/>
      <c r="W529" s="5">
        <v>0</v>
      </c>
      <c r="X529" s="5">
        <v>1</v>
      </c>
      <c r="Y529" s="5">
        <v>0</v>
      </c>
      <c r="Z529" s="5">
        <v>0</v>
      </c>
      <c r="AA529" s="5">
        <v>1</v>
      </c>
      <c r="AB529" s="5">
        <v>0</v>
      </c>
    </row>
    <row r="530" spans="1:255" x14ac:dyDescent="0.2">
      <c r="A530" s="5">
        <v>50</v>
      </c>
      <c r="B530" s="5">
        <v>0</v>
      </c>
      <c r="C530" s="5">
        <v>0</v>
      </c>
      <c r="D530" s="5">
        <v>1</v>
      </c>
      <c r="E530" s="5">
        <v>230</v>
      </c>
      <c r="F530" s="5">
        <f>ROUND(Source!BA510,O530)</f>
        <v>0</v>
      </c>
      <c r="G530" s="5" t="s">
        <v>154</v>
      </c>
      <c r="H530" s="5" t="s">
        <v>155</v>
      </c>
      <c r="I530" s="5"/>
      <c r="J530" s="5"/>
      <c r="K530" s="5">
        <v>230</v>
      </c>
      <c r="L530" s="5">
        <v>19</v>
      </c>
      <c r="M530" s="5">
        <v>3</v>
      </c>
      <c r="N530" s="5" t="s">
        <v>3</v>
      </c>
      <c r="O530" s="5">
        <v>2</v>
      </c>
      <c r="P530" s="5">
        <f>ROUND(Source!ES510,O530)</f>
        <v>0</v>
      </c>
      <c r="Q530" s="5"/>
      <c r="R530" s="5"/>
      <c r="S530" s="5"/>
      <c r="T530" s="5"/>
      <c r="U530" s="5"/>
      <c r="V530" s="5"/>
      <c r="W530" s="5">
        <v>0</v>
      </c>
      <c r="X530" s="5">
        <v>1</v>
      </c>
      <c r="Y530" s="5">
        <v>0</v>
      </c>
      <c r="Z530" s="5">
        <v>0</v>
      </c>
      <c r="AA530" s="5">
        <v>1</v>
      </c>
      <c r="AB530" s="5">
        <v>0</v>
      </c>
    </row>
    <row r="531" spans="1:255" x14ac:dyDescent="0.2">
      <c r="A531" s="5">
        <v>50</v>
      </c>
      <c r="B531" s="5">
        <v>0</v>
      </c>
      <c r="C531" s="5">
        <v>0</v>
      </c>
      <c r="D531" s="5">
        <v>1</v>
      </c>
      <c r="E531" s="5">
        <v>206</v>
      </c>
      <c r="F531" s="5">
        <f>ROUND(Source!T510,O531)</f>
        <v>0</v>
      </c>
      <c r="G531" s="5" t="s">
        <v>156</v>
      </c>
      <c r="H531" s="5" t="s">
        <v>157</v>
      </c>
      <c r="I531" s="5"/>
      <c r="J531" s="5"/>
      <c r="K531" s="5">
        <v>206</v>
      </c>
      <c r="L531" s="5">
        <v>20</v>
      </c>
      <c r="M531" s="5">
        <v>3</v>
      </c>
      <c r="N531" s="5" t="s">
        <v>3</v>
      </c>
      <c r="O531" s="5">
        <v>2</v>
      </c>
      <c r="P531" s="5">
        <f>ROUND(Source!DL510,O531)</f>
        <v>0</v>
      </c>
      <c r="Q531" s="5"/>
      <c r="R531" s="5"/>
      <c r="S531" s="5"/>
      <c r="T531" s="5"/>
      <c r="U531" s="5"/>
      <c r="V531" s="5"/>
      <c r="W531" s="5">
        <v>0</v>
      </c>
      <c r="X531" s="5">
        <v>1</v>
      </c>
      <c r="Y531" s="5">
        <v>0</v>
      </c>
      <c r="Z531" s="5">
        <v>0</v>
      </c>
      <c r="AA531" s="5">
        <v>1</v>
      </c>
      <c r="AB531" s="5">
        <v>0</v>
      </c>
    </row>
    <row r="532" spans="1:255" x14ac:dyDescent="0.2">
      <c r="A532" s="5">
        <v>50</v>
      </c>
      <c r="B532" s="5">
        <v>0</v>
      </c>
      <c r="C532" s="5">
        <v>0</v>
      </c>
      <c r="D532" s="5">
        <v>1</v>
      </c>
      <c r="E532" s="5">
        <v>207</v>
      </c>
      <c r="F532" s="5">
        <f>Source!U510</f>
        <v>121.43755139999999</v>
      </c>
      <c r="G532" s="5" t="s">
        <v>158</v>
      </c>
      <c r="H532" s="5" t="s">
        <v>159</v>
      </c>
      <c r="I532" s="5"/>
      <c r="J532" s="5"/>
      <c r="K532" s="5">
        <v>207</v>
      </c>
      <c r="L532" s="5">
        <v>21</v>
      </c>
      <c r="M532" s="5">
        <v>3</v>
      </c>
      <c r="N532" s="5" t="s">
        <v>3</v>
      </c>
      <c r="O532" s="5">
        <v>-1</v>
      </c>
      <c r="P532" s="5">
        <f>Source!DM510</f>
        <v>121.43755139999999</v>
      </c>
      <c r="Q532" s="5"/>
      <c r="R532" s="5"/>
      <c r="S532" s="5"/>
      <c r="T532" s="5"/>
      <c r="U532" s="5"/>
      <c r="V532" s="5"/>
      <c r="W532" s="5">
        <v>121.43755139999999</v>
      </c>
      <c r="X532" s="5">
        <v>1</v>
      </c>
      <c r="Y532" s="5">
        <v>121.43755139999999</v>
      </c>
      <c r="Z532" s="5">
        <v>121.43755139999999</v>
      </c>
      <c r="AA532" s="5">
        <v>1</v>
      </c>
      <c r="AB532" s="5">
        <v>121.43755139999999</v>
      </c>
    </row>
    <row r="533" spans="1:255" x14ac:dyDescent="0.2">
      <c r="A533" s="5">
        <v>50</v>
      </c>
      <c r="B533" s="5">
        <v>0</v>
      </c>
      <c r="C533" s="5">
        <v>0</v>
      </c>
      <c r="D533" s="5">
        <v>1</v>
      </c>
      <c r="E533" s="5">
        <v>208</v>
      </c>
      <c r="F533" s="5">
        <f>Source!V510</f>
        <v>0</v>
      </c>
      <c r="G533" s="5" t="s">
        <v>160</v>
      </c>
      <c r="H533" s="5" t="s">
        <v>161</v>
      </c>
      <c r="I533" s="5"/>
      <c r="J533" s="5"/>
      <c r="K533" s="5">
        <v>208</v>
      </c>
      <c r="L533" s="5">
        <v>22</v>
      </c>
      <c r="M533" s="5">
        <v>3</v>
      </c>
      <c r="N533" s="5" t="s">
        <v>3</v>
      </c>
      <c r="O533" s="5">
        <v>-1</v>
      </c>
      <c r="P533" s="5">
        <f>Source!DN510</f>
        <v>0</v>
      </c>
      <c r="Q533" s="5"/>
      <c r="R533" s="5"/>
      <c r="S533" s="5"/>
      <c r="T533" s="5"/>
      <c r="U533" s="5"/>
      <c r="V533" s="5"/>
      <c r="W533" s="5">
        <v>0</v>
      </c>
      <c r="X533" s="5">
        <v>1</v>
      </c>
      <c r="Y533" s="5">
        <v>0</v>
      </c>
      <c r="Z533" s="5">
        <v>0</v>
      </c>
      <c r="AA533" s="5">
        <v>1</v>
      </c>
      <c r="AB533" s="5">
        <v>0</v>
      </c>
    </row>
    <row r="534" spans="1:255" x14ac:dyDescent="0.2">
      <c r="A534" s="5">
        <v>50</v>
      </c>
      <c r="B534" s="5">
        <v>0</v>
      </c>
      <c r="C534" s="5">
        <v>0</v>
      </c>
      <c r="D534" s="5">
        <v>1</v>
      </c>
      <c r="E534" s="5">
        <v>209</v>
      </c>
      <c r="F534" s="5">
        <f>ROUND(Source!W510,O534)</f>
        <v>0</v>
      </c>
      <c r="G534" s="5" t="s">
        <v>162</v>
      </c>
      <c r="H534" s="5" t="s">
        <v>163</v>
      </c>
      <c r="I534" s="5"/>
      <c r="J534" s="5"/>
      <c r="K534" s="5">
        <v>209</v>
      </c>
      <c r="L534" s="5">
        <v>23</v>
      </c>
      <c r="M534" s="5">
        <v>3</v>
      </c>
      <c r="N534" s="5" t="s">
        <v>3</v>
      </c>
      <c r="O534" s="5">
        <v>2</v>
      </c>
      <c r="P534" s="5">
        <f>ROUND(Source!DO510,O534)</f>
        <v>0</v>
      </c>
      <c r="Q534" s="5"/>
      <c r="R534" s="5"/>
      <c r="S534" s="5"/>
      <c r="T534" s="5"/>
      <c r="U534" s="5"/>
      <c r="V534" s="5"/>
      <c r="W534" s="5">
        <v>0</v>
      </c>
      <c r="X534" s="5">
        <v>1</v>
      </c>
      <c r="Y534" s="5">
        <v>0</v>
      </c>
      <c r="Z534" s="5">
        <v>0</v>
      </c>
      <c r="AA534" s="5">
        <v>1</v>
      </c>
      <c r="AB534" s="5">
        <v>0</v>
      </c>
    </row>
    <row r="535" spans="1:255" x14ac:dyDescent="0.2">
      <c r="A535" s="5">
        <v>50</v>
      </c>
      <c r="B535" s="5">
        <v>0</v>
      </c>
      <c r="C535" s="5">
        <v>0</v>
      </c>
      <c r="D535" s="5">
        <v>1</v>
      </c>
      <c r="E535" s="5">
        <v>233</v>
      </c>
      <c r="F535" s="5">
        <f>ROUND(Source!BD510,O535)</f>
        <v>0</v>
      </c>
      <c r="G535" s="5" t="s">
        <v>164</v>
      </c>
      <c r="H535" s="5" t="s">
        <v>165</v>
      </c>
      <c r="I535" s="5"/>
      <c r="J535" s="5"/>
      <c r="K535" s="5">
        <v>233</v>
      </c>
      <c r="L535" s="5">
        <v>24</v>
      </c>
      <c r="M535" s="5">
        <v>3</v>
      </c>
      <c r="N535" s="5" t="s">
        <v>3</v>
      </c>
      <c r="O535" s="5">
        <v>2</v>
      </c>
      <c r="P535" s="5">
        <f>ROUND(Source!EV510,O535)</f>
        <v>0</v>
      </c>
      <c r="Q535" s="5"/>
      <c r="R535" s="5"/>
      <c r="S535" s="5"/>
      <c r="T535" s="5"/>
      <c r="U535" s="5"/>
      <c r="V535" s="5"/>
      <c r="W535" s="5">
        <v>0</v>
      </c>
      <c r="X535" s="5">
        <v>1</v>
      </c>
      <c r="Y535" s="5">
        <v>0</v>
      </c>
      <c r="Z535" s="5">
        <v>0</v>
      </c>
      <c r="AA535" s="5">
        <v>1</v>
      </c>
      <c r="AB535" s="5">
        <v>0</v>
      </c>
    </row>
    <row r="536" spans="1:255" x14ac:dyDescent="0.2">
      <c r="A536" s="5">
        <v>50</v>
      </c>
      <c r="B536" s="5">
        <v>0</v>
      </c>
      <c r="C536" s="5">
        <v>0</v>
      </c>
      <c r="D536" s="5">
        <v>1</v>
      </c>
      <c r="E536" s="5">
        <v>210</v>
      </c>
      <c r="F536" s="5">
        <f>ROUND(Source!X510,O536)</f>
        <v>1538.56</v>
      </c>
      <c r="G536" s="5" t="s">
        <v>166</v>
      </c>
      <c r="H536" s="5" t="s">
        <v>167</v>
      </c>
      <c r="I536" s="5"/>
      <c r="J536" s="5"/>
      <c r="K536" s="5">
        <v>210</v>
      </c>
      <c r="L536" s="5">
        <v>25</v>
      </c>
      <c r="M536" s="5">
        <v>3</v>
      </c>
      <c r="N536" s="5" t="s">
        <v>3</v>
      </c>
      <c r="O536" s="5">
        <v>2</v>
      </c>
      <c r="P536" s="5">
        <f>ROUND(Source!DP510,O536)</f>
        <v>84605.3</v>
      </c>
      <c r="Q536" s="5"/>
      <c r="R536" s="5"/>
      <c r="S536" s="5"/>
      <c r="T536" s="5"/>
      <c r="U536" s="5"/>
      <c r="V536" s="5"/>
      <c r="W536" s="5">
        <v>1538.56</v>
      </c>
      <c r="X536" s="5">
        <v>1</v>
      </c>
      <c r="Y536" s="5">
        <v>1538.56</v>
      </c>
      <c r="Z536" s="5">
        <v>84605.3</v>
      </c>
      <c r="AA536" s="5">
        <v>1</v>
      </c>
      <c r="AB536" s="5">
        <v>84605.3</v>
      </c>
    </row>
    <row r="537" spans="1:255" x14ac:dyDescent="0.2">
      <c r="A537" s="5">
        <v>50</v>
      </c>
      <c r="B537" s="5">
        <v>0</v>
      </c>
      <c r="C537" s="5">
        <v>0</v>
      </c>
      <c r="D537" s="5">
        <v>1</v>
      </c>
      <c r="E537" s="5">
        <v>211</v>
      </c>
      <c r="F537" s="5">
        <f>ROUND(Source!Y510,O537)</f>
        <v>807.13</v>
      </c>
      <c r="G537" s="5" t="s">
        <v>168</v>
      </c>
      <c r="H537" s="5" t="s">
        <v>169</v>
      </c>
      <c r="I537" s="5"/>
      <c r="J537" s="5"/>
      <c r="K537" s="5">
        <v>211</v>
      </c>
      <c r="L537" s="5">
        <v>26</v>
      </c>
      <c r="M537" s="5">
        <v>3</v>
      </c>
      <c r="N537" s="5" t="s">
        <v>3</v>
      </c>
      <c r="O537" s="5">
        <v>2</v>
      </c>
      <c r="P537" s="5">
        <f>ROUND(Source!DQ510,O537)</f>
        <v>44384.38</v>
      </c>
      <c r="Q537" s="5"/>
      <c r="R537" s="5"/>
      <c r="S537" s="5"/>
      <c r="T537" s="5"/>
      <c r="U537" s="5"/>
      <c r="V537" s="5"/>
      <c r="W537" s="5">
        <v>807.13</v>
      </c>
      <c r="X537" s="5">
        <v>1</v>
      </c>
      <c r="Y537" s="5">
        <v>807.13</v>
      </c>
      <c r="Z537" s="5">
        <v>44384.38</v>
      </c>
      <c r="AA537" s="5">
        <v>1</v>
      </c>
      <c r="AB537" s="5">
        <v>44384.38</v>
      </c>
    </row>
    <row r="538" spans="1:255" x14ac:dyDescent="0.2">
      <c r="A538" s="5">
        <v>50</v>
      </c>
      <c r="B538" s="5">
        <v>0</v>
      </c>
      <c r="C538" s="5">
        <v>0</v>
      </c>
      <c r="D538" s="5">
        <v>1</v>
      </c>
      <c r="E538" s="5">
        <v>224</v>
      </c>
      <c r="F538" s="5">
        <f>ROUND(Source!AR510,O538)</f>
        <v>18255.61</v>
      </c>
      <c r="G538" s="5" t="s">
        <v>170</v>
      </c>
      <c r="H538" s="5" t="s">
        <v>171</v>
      </c>
      <c r="I538" s="5"/>
      <c r="J538" s="5"/>
      <c r="K538" s="5">
        <v>224</v>
      </c>
      <c r="L538" s="5">
        <v>27</v>
      </c>
      <c r="M538" s="5">
        <v>3</v>
      </c>
      <c r="N538" s="5" t="s">
        <v>3</v>
      </c>
      <c r="O538" s="5">
        <v>2</v>
      </c>
      <c r="P538" s="5">
        <f>ROUND(Source!EJ510,O538)</f>
        <v>326277.49</v>
      </c>
      <c r="Q538" s="5"/>
      <c r="R538" s="5"/>
      <c r="S538" s="5"/>
      <c r="T538" s="5"/>
      <c r="U538" s="5"/>
      <c r="V538" s="5"/>
      <c r="W538" s="5">
        <v>18255.61</v>
      </c>
      <c r="X538" s="5">
        <v>1</v>
      </c>
      <c r="Y538" s="5">
        <v>18255.61</v>
      </c>
      <c r="Z538" s="5">
        <v>326277.49</v>
      </c>
      <c r="AA538" s="5">
        <v>1</v>
      </c>
      <c r="AB538" s="5">
        <v>326277.49</v>
      </c>
    </row>
    <row r="540" spans="1:255" x14ac:dyDescent="0.2">
      <c r="A540" s="1">
        <v>4</v>
      </c>
      <c r="B540" s="1">
        <v>1</v>
      </c>
      <c r="C540" s="1"/>
      <c r="D540" s="1">
        <f>ROW(A565)</f>
        <v>565</v>
      </c>
      <c r="E540" s="1"/>
      <c r="F540" s="1" t="s">
        <v>16</v>
      </c>
      <c r="G540" s="1" t="s">
        <v>465</v>
      </c>
      <c r="H540" s="1" t="s">
        <v>3</v>
      </c>
      <c r="I540" s="1">
        <v>0</v>
      </c>
      <c r="J540" s="1"/>
      <c r="K540" s="1">
        <v>0</v>
      </c>
      <c r="L540" s="1"/>
      <c r="M540" s="1" t="s">
        <v>3</v>
      </c>
      <c r="N540" s="1"/>
      <c r="O540" s="1"/>
      <c r="P540" s="1"/>
      <c r="Q540" s="1"/>
      <c r="R540" s="1"/>
      <c r="S540" s="1">
        <v>0</v>
      </c>
      <c r="T540" s="1">
        <v>0</v>
      </c>
      <c r="U540" s="1" t="s">
        <v>3</v>
      </c>
      <c r="V540" s="1">
        <v>2</v>
      </c>
      <c r="W540" s="1"/>
      <c r="X540" s="1"/>
      <c r="Y540" s="1"/>
      <c r="Z540" s="1"/>
      <c r="AA540" s="1"/>
      <c r="AB540" s="1" t="s">
        <v>3</v>
      </c>
      <c r="AC540" s="1" t="s">
        <v>3</v>
      </c>
      <c r="AD540" s="1" t="s">
        <v>3</v>
      </c>
      <c r="AE540" s="1" t="s">
        <v>3</v>
      </c>
      <c r="AF540" s="1" t="s">
        <v>3</v>
      </c>
      <c r="AG540" s="1" t="s">
        <v>3</v>
      </c>
      <c r="AH540" s="1"/>
      <c r="AI540" s="1"/>
      <c r="AJ540" s="1"/>
      <c r="AK540" s="1"/>
      <c r="AL540" s="1"/>
      <c r="AM540" s="1"/>
      <c r="AN540" s="1"/>
      <c r="AO540" s="1"/>
      <c r="AP540" s="1" t="s">
        <v>3</v>
      </c>
      <c r="AQ540" s="1" t="s">
        <v>3</v>
      </c>
      <c r="AR540" s="1" t="s">
        <v>3</v>
      </c>
      <c r="AS540" s="1"/>
      <c r="AT540" s="1"/>
      <c r="AU540" s="1"/>
      <c r="AV540" s="1"/>
      <c r="AW540" s="1"/>
      <c r="AX540" s="1"/>
      <c r="AY540" s="1"/>
      <c r="AZ540" s="1" t="s">
        <v>3</v>
      </c>
      <c r="BA540" s="1"/>
      <c r="BB540" s="1" t="s">
        <v>3</v>
      </c>
      <c r="BC540" s="1" t="s">
        <v>3</v>
      </c>
      <c r="BD540" s="1" t="s">
        <v>3</v>
      </c>
      <c r="BE540" s="1" t="s">
        <v>3</v>
      </c>
      <c r="BF540" s="1" t="s">
        <v>3</v>
      </c>
      <c r="BG540" s="1" t="s">
        <v>3</v>
      </c>
      <c r="BH540" s="1" t="s">
        <v>3</v>
      </c>
      <c r="BI540" s="1" t="s">
        <v>3</v>
      </c>
      <c r="BJ540" s="1" t="s">
        <v>3</v>
      </c>
      <c r="BK540" s="1" t="s">
        <v>3</v>
      </c>
      <c r="BL540" s="1" t="s">
        <v>3</v>
      </c>
      <c r="BM540" s="1" t="s">
        <v>3</v>
      </c>
      <c r="BN540" s="1" t="s">
        <v>3</v>
      </c>
      <c r="BO540" s="1" t="s">
        <v>3</v>
      </c>
      <c r="BP540" s="1" t="s">
        <v>3</v>
      </c>
      <c r="BQ540" s="1"/>
      <c r="BR540" s="1"/>
      <c r="BS540" s="1"/>
      <c r="BT540" s="1"/>
      <c r="BU540" s="1"/>
      <c r="BV540" s="1"/>
      <c r="BW540" s="1"/>
      <c r="BX540" s="1">
        <v>0</v>
      </c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>
        <v>0</v>
      </c>
    </row>
    <row r="542" spans="1:255" x14ac:dyDescent="0.2">
      <c r="A542" s="3">
        <v>52</v>
      </c>
      <c r="B542" s="3">
        <f t="shared" ref="B542:G542" si="432">B565</f>
        <v>1</v>
      </c>
      <c r="C542" s="3">
        <f t="shared" si="432"/>
        <v>4</v>
      </c>
      <c r="D542" s="3">
        <f t="shared" si="432"/>
        <v>540</v>
      </c>
      <c r="E542" s="3">
        <f t="shared" si="432"/>
        <v>0</v>
      </c>
      <c r="F542" s="3" t="str">
        <f t="shared" si="432"/>
        <v>Новый раздел</v>
      </c>
      <c r="G542" s="3" t="str">
        <f t="shared" si="432"/>
        <v>Система управления фрамугами</v>
      </c>
      <c r="H542" s="3"/>
      <c r="I542" s="3"/>
      <c r="J542" s="3"/>
      <c r="K542" s="3"/>
      <c r="L542" s="3"/>
      <c r="M542" s="3"/>
      <c r="N542" s="3"/>
      <c r="O542" s="3">
        <f t="shared" ref="O542:AT542" si="433">O565</f>
        <v>15503.04</v>
      </c>
      <c r="P542" s="3">
        <f t="shared" si="433"/>
        <v>14196.45</v>
      </c>
      <c r="Q542" s="3">
        <f t="shared" si="433"/>
        <v>128.35</v>
      </c>
      <c r="R542" s="3">
        <f t="shared" si="433"/>
        <v>21.38</v>
      </c>
      <c r="S542" s="3">
        <f t="shared" si="433"/>
        <v>1178.24</v>
      </c>
      <c r="T542" s="3">
        <f t="shared" si="433"/>
        <v>0</v>
      </c>
      <c r="U542" s="3">
        <f t="shared" si="433"/>
        <v>91.516385400000004</v>
      </c>
      <c r="V542" s="3">
        <f t="shared" si="433"/>
        <v>0</v>
      </c>
      <c r="W542" s="3">
        <f t="shared" si="433"/>
        <v>0</v>
      </c>
      <c r="X542" s="3">
        <f t="shared" si="433"/>
        <v>1148.97</v>
      </c>
      <c r="Y542" s="3">
        <f t="shared" si="433"/>
        <v>606.80999999999995</v>
      </c>
      <c r="Z542" s="3">
        <f t="shared" si="433"/>
        <v>0</v>
      </c>
      <c r="AA542" s="3">
        <f t="shared" si="433"/>
        <v>0</v>
      </c>
      <c r="AB542" s="3">
        <f t="shared" si="433"/>
        <v>15503.04</v>
      </c>
      <c r="AC542" s="3">
        <f t="shared" si="433"/>
        <v>14196.45</v>
      </c>
      <c r="AD542" s="3">
        <f t="shared" si="433"/>
        <v>128.35</v>
      </c>
      <c r="AE542" s="3">
        <f t="shared" si="433"/>
        <v>21.38</v>
      </c>
      <c r="AF542" s="3">
        <f t="shared" si="433"/>
        <v>1178.24</v>
      </c>
      <c r="AG542" s="3">
        <f t="shared" si="433"/>
        <v>0</v>
      </c>
      <c r="AH542" s="3">
        <f t="shared" si="433"/>
        <v>91.516385400000004</v>
      </c>
      <c r="AI542" s="3">
        <f t="shared" si="433"/>
        <v>0</v>
      </c>
      <c r="AJ542" s="3">
        <f t="shared" si="433"/>
        <v>0</v>
      </c>
      <c r="AK542" s="3">
        <f t="shared" si="433"/>
        <v>1148.97</v>
      </c>
      <c r="AL542" s="3">
        <f t="shared" si="433"/>
        <v>606.80999999999995</v>
      </c>
      <c r="AM542" s="3">
        <f t="shared" si="433"/>
        <v>0</v>
      </c>
      <c r="AN542" s="3">
        <f t="shared" si="433"/>
        <v>0</v>
      </c>
      <c r="AO542" s="3">
        <f t="shared" si="433"/>
        <v>0</v>
      </c>
      <c r="AP542" s="3">
        <f t="shared" si="433"/>
        <v>6300.29</v>
      </c>
      <c r="AQ542" s="3">
        <f t="shared" si="433"/>
        <v>0</v>
      </c>
      <c r="AR542" s="3">
        <f t="shared" si="433"/>
        <v>17258.82</v>
      </c>
      <c r="AS542" s="3">
        <f t="shared" si="433"/>
        <v>0</v>
      </c>
      <c r="AT542" s="3">
        <f t="shared" si="433"/>
        <v>10958.53</v>
      </c>
      <c r="AU542" s="3">
        <f t="shared" ref="AU542:BZ542" si="434">AU565</f>
        <v>0</v>
      </c>
      <c r="AV542" s="3">
        <f t="shared" si="434"/>
        <v>14196.45</v>
      </c>
      <c r="AW542" s="3">
        <f t="shared" si="434"/>
        <v>7896.16</v>
      </c>
      <c r="AX542" s="3">
        <f t="shared" si="434"/>
        <v>0</v>
      </c>
      <c r="AY542" s="3">
        <f t="shared" si="434"/>
        <v>7896.16</v>
      </c>
      <c r="AZ542" s="3">
        <f t="shared" si="434"/>
        <v>6300.29</v>
      </c>
      <c r="BA542" s="3">
        <f t="shared" si="434"/>
        <v>0</v>
      </c>
      <c r="BB542" s="3">
        <f t="shared" si="434"/>
        <v>0</v>
      </c>
      <c r="BC542" s="3">
        <f t="shared" si="434"/>
        <v>0</v>
      </c>
      <c r="BD542" s="3">
        <f t="shared" si="434"/>
        <v>0</v>
      </c>
      <c r="BE542" s="3">
        <f t="shared" si="434"/>
        <v>0</v>
      </c>
      <c r="BF542" s="3">
        <f t="shared" si="434"/>
        <v>0</v>
      </c>
      <c r="BG542" s="3">
        <f t="shared" si="434"/>
        <v>0</v>
      </c>
      <c r="BH542" s="3">
        <f t="shared" si="434"/>
        <v>0</v>
      </c>
      <c r="BI542" s="3">
        <f t="shared" si="434"/>
        <v>0</v>
      </c>
      <c r="BJ542" s="3">
        <f t="shared" si="434"/>
        <v>0</v>
      </c>
      <c r="BK542" s="3">
        <f t="shared" si="434"/>
        <v>0</v>
      </c>
      <c r="BL542" s="3">
        <f t="shared" si="434"/>
        <v>0</v>
      </c>
      <c r="BM542" s="3">
        <f t="shared" si="434"/>
        <v>0</v>
      </c>
      <c r="BN542" s="3">
        <f t="shared" si="434"/>
        <v>0</v>
      </c>
      <c r="BO542" s="3">
        <f t="shared" si="434"/>
        <v>0</v>
      </c>
      <c r="BP542" s="3">
        <f t="shared" si="434"/>
        <v>0</v>
      </c>
      <c r="BQ542" s="3">
        <f t="shared" si="434"/>
        <v>0</v>
      </c>
      <c r="BR542" s="3">
        <f t="shared" si="434"/>
        <v>0</v>
      </c>
      <c r="BS542" s="3">
        <f t="shared" si="434"/>
        <v>0</v>
      </c>
      <c r="BT542" s="3">
        <f t="shared" si="434"/>
        <v>0</v>
      </c>
      <c r="BU542" s="3">
        <f t="shared" si="434"/>
        <v>0</v>
      </c>
      <c r="BV542" s="3">
        <f t="shared" si="434"/>
        <v>0</v>
      </c>
      <c r="BW542" s="3">
        <f t="shared" si="434"/>
        <v>0</v>
      </c>
      <c r="BX542" s="3">
        <f t="shared" si="434"/>
        <v>0</v>
      </c>
      <c r="BY542" s="3">
        <f t="shared" si="434"/>
        <v>6300.29</v>
      </c>
      <c r="BZ542" s="3">
        <f t="shared" si="434"/>
        <v>0</v>
      </c>
      <c r="CA542" s="3">
        <f t="shared" ref="CA542:DF542" si="435">CA565</f>
        <v>17258.82</v>
      </c>
      <c r="CB542" s="3">
        <f t="shared" si="435"/>
        <v>0</v>
      </c>
      <c r="CC542" s="3">
        <f t="shared" si="435"/>
        <v>10958.53</v>
      </c>
      <c r="CD542" s="3">
        <f t="shared" si="435"/>
        <v>0</v>
      </c>
      <c r="CE542" s="3">
        <f t="shared" si="435"/>
        <v>14196.45</v>
      </c>
      <c r="CF542" s="3">
        <f t="shared" si="435"/>
        <v>7896.1600000000008</v>
      </c>
      <c r="CG542" s="3">
        <f t="shared" si="435"/>
        <v>0</v>
      </c>
      <c r="CH542" s="3">
        <f t="shared" si="435"/>
        <v>7896.1600000000008</v>
      </c>
      <c r="CI542" s="3">
        <f t="shared" si="435"/>
        <v>6300.29</v>
      </c>
      <c r="CJ542" s="3">
        <f t="shared" si="435"/>
        <v>0</v>
      </c>
      <c r="CK542" s="3">
        <f t="shared" si="435"/>
        <v>0</v>
      </c>
      <c r="CL542" s="3">
        <f t="shared" si="435"/>
        <v>0</v>
      </c>
      <c r="CM542" s="3">
        <f t="shared" si="435"/>
        <v>0</v>
      </c>
      <c r="CN542" s="3">
        <f t="shared" si="435"/>
        <v>0</v>
      </c>
      <c r="CO542" s="3">
        <f t="shared" si="435"/>
        <v>0</v>
      </c>
      <c r="CP542" s="3">
        <f t="shared" si="435"/>
        <v>0</v>
      </c>
      <c r="CQ542" s="3">
        <f t="shared" si="435"/>
        <v>0</v>
      </c>
      <c r="CR542" s="3">
        <f t="shared" si="435"/>
        <v>0</v>
      </c>
      <c r="CS542" s="3">
        <f t="shared" si="435"/>
        <v>0</v>
      </c>
      <c r="CT542" s="3">
        <f t="shared" si="435"/>
        <v>0</v>
      </c>
      <c r="CU542" s="3">
        <f t="shared" si="435"/>
        <v>0</v>
      </c>
      <c r="CV542" s="3">
        <f t="shared" si="435"/>
        <v>0</v>
      </c>
      <c r="CW542" s="3">
        <f t="shared" si="435"/>
        <v>0</v>
      </c>
      <c r="CX542" s="3">
        <f t="shared" si="435"/>
        <v>0</v>
      </c>
      <c r="CY542" s="3">
        <f t="shared" si="435"/>
        <v>0</v>
      </c>
      <c r="CZ542" s="3">
        <f t="shared" si="435"/>
        <v>0</v>
      </c>
      <c r="DA542" s="3">
        <f t="shared" si="435"/>
        <v>0</v>
      </c>
      <c r="DB542" s="3">
        <f t="shared" si="435"/>
        <v>0</v>
      </c>
      <c r="DC542" s="3">
        <f t="shared" si="435"/>
        <v>0</v>
      </c>
      <c r="DD542" s="3">
        <f t="shared" si="435"/>
        <v>0</v>
      </c>
      <c r="DE542" s="3">
        <f t="shared" si="435"/>
        <v>0</v>
      </c>
      <c r="DF542" s="3">
        <f t="shared" si="435"/>
        <v>0</v>
      </c>
      <c r="DG542" s="4">
        <f t="shared" ref="DG542:EL542" si="436">DG565</f>
        <v>172580.87</v>
      </c>
      <c r="DH542" s="4">
        <f t="shared" si="436"/>
        <v>105550.08</v>
      </c>
      <c r="DI542" s="4">
        <f t="shared" si="436"/>
        <v>2239.37</v>
      </c>
      <c r="DJ542" s="4">
        <f t="shared" si="436"/>
        <v>1175.68</v>
      </c>
      <c r="DK542" s="4">
        <f t="shared" si="436"/>
        <v>64791.42</v>
      </c>
      <c r="DL542" s="4">
        <f t="shared" si="436"/>
        <v>0</v>
      </c>
      <c r="DM542" s="4">
        <f t="shared" si="436"/>
        <v>91.516385400000004</v>
      </c>
      <c r="DN542" s="4">
        <f t="shared" si="436"/>
        <v>0</v>
      </c>
      <c r="DO542" s="4">
        <f t="shared" si="436"/>
        <v>0</v>
      </c>
      <c r="DP542" s="4">
        <f t="shared" si="436"/>
        <v>63181.5</v>
      </c>
      <c r="DQ542" s="4">
        <f t="shared" si="436"/>
        <v>33368.519999999997</v>
      </c>
      <c r="DR542" s="4">
        <f t="shared" si="436"/>
        <v>0</v>
      </c>
      <c r="DS542" s="4">
        <f t="shared" si="436"/>
        <v>0</v>
      </c>
      <c r="DT542" s="4">
        <f t="shared" si="436"/>
        <v>172580.87</v>
      </c>
      <c r="DU542" s="4">
        <f t="shared" si="436"/>
        <v>105550.08</v>
      </c>
      <c r="DV542" s="4">
        <f t="shared" si="436"/>
        <v>2239.37</v>
      </c>
      <c r="DW542" s="4">
        <f t="shared" si="436"/>
        <v>1175.68</v>
      </c>
      <c r="DX542" s="4">
        <f t="shared" si="436"/>
        <v>64791.42</v>
      </c>
      <c r="DY542" s="4">
        <f t="shared" si="436"/>
        <v>0</v>
      </c>
      <c r="DZ542" s="4">
        <f t="shared" si="436"/>
        <v>91.516385400000004</v>
      </c>
      <c r="EA542" s="4">
        <f t="shared" si="436"/>
        <v>0</v>
      </c>
      <c r="EB542" s="4">
        <f t="shared" si="436"/>
        <v>0</v>
      </c>
      <c r="EC542" s="4">
        <f t="shared" si="436"/>
        <v>63181.5</v>
      </c>
      <c r="ED542" s="4">
        <f t="shared" si="436"/>
        <v>33368.519999999997</v>
      </c>
      <c r="EE542" s="4">
        <f t="shared" si="436"/>
        <v>0</v>
      </c>
      <c r="EF542" s="4">
        <f t="shared" si="436"/>
        <v>0</v>
      </c>
      <c r="EG542" s="4">
        <f t="shared" si="436"/>
        <v>0</v>
      </c>
      <c r="EH542" s="4">
        <f t="shared" si="436"/>
        <v>48260.22</v>
      </c>
      <c r="EI542" s="4">
        <f t="shared" si="436"/>
        <v>0</v>
      </c>
      <c r="EJ542" s="4">
        <f t="shared" si="436"/>
        <v>269130.89</v>
      </c>
      <c r="EK542" s="4">
        <f t="shared" si="436"/>
        <v>0</v>
      </c>
      <c r="EL542" s="4">
        <f t="shared" si="436"/>
        <v>220870.67</v>
      </c>
      <c r="EM542" s="4">
        <f t="shared" ref="EM542:FR542" si="437">EM565</f>
        <v>0</v>
      </c>
      <c r="EN542" s="4">
        <f t="shared" si="437"/>
        <v>105550.08</v>
      </c>
      <c r="EO542" s="4">
        <f t="shared" si="437"/>
        <v>57289.86</v>
      </c>
      <c r="EP542" s="4">
        <f t="shared" si="437"/>
        <v>0</v>
      </c>
      <c r="EQ542" s="4">
        <f t="shared" si="437"/>
        <v>57289.86</v>
      </c>
      <c r="ER542" s="4">
        <f t="shared" si="437"/>
        <v>48260.22</v>
      </c>
      <c r="ES542" s="4">
        <f t="shared" si="437"/>
        <v>0</v>
      </c>
      <c r="ET542" s="4">
        <f t="shared" si="437"/>
        <v>0</v>
      </c>
      <c r="EU542" s="4">
        <f t="shared" si="437"/>
        <v>0</v>
      </c>
      <c r="EV542" s="4">
        <f t="shared" si="437"/>
        <v>0</v>
      </c>
      <c r="EW542" s="4">
        <f t="shared" si="437"/>
        <v>0</v>
      </c>
      <c r="EX542" s="4">
        <f t="shared" si="437"/>
        <v>0</v>
      </c>
      <c r="EY542" s="4">
        <f t="shared" si="437"/>
        <v>0</v>
      </c>
      <c r="EZ542" s="4">
        <f t="shared" si="437"/>
        <v>0</v>
      </c>
      <c r="FA542" s="4">
        <f t="shared" si="437"/>
        <v>0</v>
      </c>
      <c r="FB542" s="4">
        <f t="shared" si="437"/>
        <v>0</v>
      </c>
      <c r="FC542" s="4">
        <f t="shared" si="437"/>
        <v>0</v>
      </c>
      <c r="FD542" s="4">
        <f t="shared" si="437"/>
        <v>0</v>
      </c>
      <c r="FE542" s="4">
        <f t="shared" si="437"/>
        <v>0</v>
      </c>
      <c r="FF542" s="4">
        <f t="shared" si="437"/>
        <v>0</v>
      </c>
      <c r="FG542" s="4">
        <f t="shared" si="437"/>
        <v>0</v>
      </c>
      <c r="FH542" s="4">
        <f t="shared" si="437"/>
        <v>0</v>
      </c>
      <c r="FI542" s="4">
        <f t="shared" si="437"/>
        <v>0</v>
      </c>
      <c r="FJ542" s="4">
        <f t="shared" si="437"/>
        <v>0</v>
      </c>
      <c r="FK542" s="4">
        <f t="shared" si="437"/>
        <v>0</v>
      </c>
      <c r="FL542" s="4">
        <f t="shared" si="437"/>
        <v>0</v>
      </c>
      <c r="FM542" s="4">
        <f t="shared" si="437"/>
        <v>0</v>
      </c>
      <c r="FN542" s="4">
        <f t="shared" si="437"/>
        <v>0</v>
      </c>
      <c r="FO542" s="4">
        <f t="shared" si="437"/>
        <v>0</v>
      </c>
      <c r="FP542" s="4">
        <f t="shared" si="437"/>
        <v>0</v>
      </c>
      <c r="FQ542" s="4">
        <f t="shared" si="437"/>
        <v>48260.22</v>
      </c>
      <c r="FR542" s="4">
        <f t="shared" si="437"/>
        <v>0</v>
      </c>
      <c r="FS542" s="4">
        <f t="shared" ref="FS542:GX542" si="438">FS565</f>
        <v>269130.89</v>
      </c>
      <c r="FT542" s="4">
        <f t="shared" si="438"/>
        <v>0</v>
      </c>
      <c r="FU542" s="4">
        <f t="shared" si="438"/>
        <v>220870.67</v>
      </c>
      <c r="FV542" s="4">
        <f t="shared" si="438"/>
        <v>0</v>
      </c>
      <c r="FW542" s="4">
        <f t="shared" si="438"/>
        <v>105550.08</v>
      </c>
      <c r="FX542" s="4">
        <f t="shared" si="438"/>
        <v>57289.86</v>
      </c>
      <c r="FY542" s="4">
        <f t="shared" si="438"/>
        <v>0</v>
      </c>
      <c r="FZ542" s="4">
        <f t="shared" si="438"/>
        <v>57289.86</v>
      </c>
      <c r="GA542" s="4">
        <f t="shared" si="438"/>
        <v>48260.22</v>
      </c>
      <c r="GB542" s="4">
        <f t="shared" si="438"/>
        <v>0</v>
      </c>
      <c r="GC542" s="4">
        <f t="shared" si="438"/>
        <v>0</v>
      </c>
      <c r="GD542" s="4">
        <f t="shared" si="438"/>
        <v>0</v>
      </c>
      <c r="GE542" s="4">
        <f t="shared" si="438"/>
        <v>0</v>
      </c>
      <c r="GF542" s="4">
        <f t="shared" si="438"/>
        <v>0</v>
      </c>
      <c r="GG542" s="4">
        <f t="shared" si="438"/>
        <v>0</v>
      </c>
      <c r="GH542" s="4">
        <f t="shared" si="438"/>
        <v>0</v>
      </c>
      <c r="GI542" s="4">
        <f t="shared" si="438"/>
        <v>0</v>
      </c>
      <c r="GJ542" s="4">
        <f t="shared" si="438"/>
        <v>0</v>
      </c>
      <c r="GK542" s="4">
        <f t="shared" si="438"/>
        <v>0</v>
      </c>
      <c r="GL542" s="4">
        <f t="shared" si="438"/>
        <v>0</v>
      </c>
      <c r="GM542" s="4">
        <f t="shared" si="438"/>
        <v>0</v>
      </c>
      <c r="GN542" s="4">
        <f t="shared" si="438"/>
        <v>0</v>
      </c>
      <c r="GO542" s="4">
        <f t="shared" si="438"/>
        <v>0</v>
      </c>
      <c r="GP542" s="4">
        <f t="shared" si="438"/>
        <v>0</v>
      </c>
      <c r="GQ542" s="4">
        <f t="shared" si="438"/>
        <v>0</v>
      </c>
      <c r="GR542" s="4">
        <f t="shared" si="438"/>
        <v>0</v>
      </c>
      <c r="GS542" s="4">
        <f t="shared" si="438"/>
        <v>0</v>
      </c>
      <c r="GT542" s="4">
        <f t="shared" si="438"/>
        <v>0</v>
      </c>
      <c r="GU542" s="4">
        <f t="shared" si="438"/>
        <v>0</v>
      </c>
      <c r="GV542" s="4">
        <f t="shared" si="438"/>
        <v>0</v>
      </c>
      <c r="GW542" s="4">
        <f t="shared" si="438"/>
        <v>0</v>
      </c>
      <c r="GX542" s="4">
        <f t="shared" si="438"/>
        <v>0</v>
      </c>
    </row>
    <row r="544" spans="1:255" x14ac:dyDescent="0.2">
      <c r="A544" s="2">
        <v>17</v>
      </c>
      <c r="B544" s="2">
        <v>1</v>
      </c>
      <c r="C544" s="2">
        <f>ROW(SmtRes!A403)</f>
        <v>403</v>
      </c>
      <c r="D544" s="2">
        <f>ROW(EtalonRes!A483)</f>
        <v>483</v>
      </c>
      <c r="E544" s="2" t="s">
        <v>466</v>
      </c>
      <c r="F544" s="2" t="s">
        <v>38</v>
      </c>
      <c r="G544" s="2" t="s">
        <v>39</v>
      </c>
      <c r="H544" s="2" t="s">
        <v>21</v>
      </c>
      <c r="I544" s="2">
        <v>2</v>
      </c>
      <c r="J544" s="2">
        <v>0</v>
      </c>
      <c r="K544" s="2">
        <v>2</v>
      </c>
      <c r="L544" s="2"/>
      <c r="M544" s="2"/>
      <c r="N544" s="2"/>
      <c r="O544" s="2">
        <f t="shared" ref="O544:O563" si="439">ROUND(CP544,2)</f>
        <v>278.27</v>
      </c>
      <c r="P544" s="2">
        <f t="shared" ref="P544:P549" si="440">ROUND((ROUND((AC544*AW544*I544),2)*BC544),2)</f>
        <v>218.02</v>
      </c>
      <c r="Q544" s="2">
        <f>(ROUND((ROUND((((ET544*1.1))*AV544*I544),2)*BB544),2)+ROUND((ROUND(((AE544-((EU544*1.1)))*AV544*I544),2)*BS544),2))</f>
        <v>5.48</v>
      </c>
      <c r="R544" s="2">
        <f t="shared" ref="R544:R563" si="441">ROUND((ROUND((AE544*AV544*I544),2)*BS544),2)</f>
        <v>0.57999999999999996</v>
      </c>
      <c r="S544" s="2">
        <f t="shared" ref="S544:S563" si="442">ROUND((ROUND((AF544*AV544*I544),2)*BA544),2)</f>
        <v>54.77</v>
      </c>
      <c r="T544" s="2">
        <f t="shared" ref="T544:T563" si="443">ROUND(CU544*I544,2)</f>
        <v>0</v>
      </c>
      <c r="U544" s="2">
        <f t="shared" ref="U544:U563" si="444">CV544*I544</f>
        <v>4.6067999999999998</v>
      </c>
      <c r="V544" s="2">
        <f t="shared" ref="V544:V563" si="445">CW544*I544</f>
        <v>0</v>
      </c>
      <c r="W544" s="2">
        <f t="shared" ref="W544:W563" si="446">ROUND(CX544*I544,2)</f>
        <v>0</v>
      </c>
      <c r="X544" s="2">
        <f t="shared" ref="X544:X563" si="447">ROUND(CY544,2)</f>
        <v>49.82</v>
      </c>
      <c r="Y544" s="2">
        <f t="shared" ref="Y544:Y563" si="448">ROUND(CZ544,2)</f>
        <v>25.46</v>
      </c>
      <c r="Z544" s="2"/>
      <c r="AA544" s="2">
        <v>56959434</v>
      </c>
      <c r="AB544" s="2">
        <f t="shared" ref="AB544:AB563" si="449">ROUND((AC544+AD544+AF544),6)</f>
        <v>137.786</v>
      </c>
      <c r="AC544" s="2">
        <f t="shared" ref="AC544:AC563" si="450">ROUND((ES544),6)</f>
        <v>109.01</v>
      </c>
      <c r="AD544" s="2">
        <f>ROUND(((((ET544*1.1))-((EU544*1.1)))+AE544),6)</f>
        <v>2.6179999999999999</v>
      </c>
      <c r="AE544" s="2">
        <f>ROUND(((EU544*1.1)),6)</f>
        <v>0.27500000000000002</v>
      </c>
      <c r="AF544" s="2">
        <f>ROUND(((EV544*1.1)),6)</f>
        <v>26.158000000000001</v>
      </c>
      <c r="AG544" s="2">
        <f t="shared" ref="AG544:AG563" si="451">ROUND((AP544),6)</f>
        <v>0</v>
      </c>
      <c r="AH544" s="2">
        <f>((EW544*1.1))</f>
        <v>2.2000000000000002</v>
      </c>
      <c r="AI544" s="2">
        <f>((EX544*1.1))</f>
        <v>0</v>
      </c>
      <c r="AJ544" s="2">
        <f t="shared" ref="AJ544:AJ563" si="452">(AS544)</f>
        <v>0</v>
      </c>
      <c r="AK544" s="2">
        <v>135.16999999999999</v>
      </c>
      <c r="AL544" s="2">
        <v>109.01</v>
      </c>
      <c r="AM544" s="2">
        <v>2.38</v>
      </c>
      <c r="AN544" s="2">
        <v>0.25</v>
      </c>
      <c r="AO544" s="2">
        <v>23.78</v>
      </c>
      <c r="AP544" s="2">
        <v>0</v>
      </c>
      <c r="AQ544" s="2">
        <v>2</v>
      </c>
      <c r="AR544" s="2">
        <v>0</v>
      </c>
      <c r="AS544" s="2">
        <v>0</v>
      </c>
      <c r="AT544" s="2">
        <v>90</v>
      </c>
      <c r="AU544" s="2">
        <v>46</v>
      </c>
      <c r="AV544" s="2">
        <v>1.0469999999999999</v>
      </c>
      <c r="AW544" s="2">
        <v>1</v>
      </c>
      <c r="AX544" s="2"/>
      <c r="AY544" s="2"/>
      <c r="AZ544" s="2">
        <v>1</v>
      </c>
      <c r="BA544" s="2">
        <v>1</v>
      </c>
      <c r="BB544" s="2">
        <v>1</v>
      </c>
      <c r="BC544" s="2">
        <v>1</v>
      </c>
      <c r="BD544" s="2" t="s">
        <v>3</v>
      </c>
      <c r="BE544" s="2" t="s">
        <v>3</v>
      </c>
      <c r="BF544" s="2" t="s">
        <v>3</v>
      </c>
      <c r="BG544" s="2" t="s">
        <v>3</v>
      </c>
      <c r="BH544" s="2">
        <v>0</v>
      </c>
      <c r="BI544" s="2">
        <v>2</v>
      </c>
      <c r="BJ544" s="2" t="s">
        <v>40</v>
      </c>
      <c r="BK544" s="2"/>
      <c r="BL544" s="2"/>
      <c r="BM544" s="2">
        <v>68</v>
      </c>
      <c r="BN544" s="2">
        <v>55992028</v>
      </c>
      <c r="BO544" s="2" t="s">
        <v>38</v>
      </c>
      <c r="BP544" s="2">
        <v>1</v>
      </c>
      <c r="BQ544" s="2">
        <v>40</v>
      </c>
      <c r="BR544" s="2">
        <v>0</v>
      </c>
      <c r="BS544" s="2">
        <v>1</v>
      </c>
      <c r="BT544" s="2">
        <v>1</v>
      </c>
      <c r="BU544" s="2">
        <v>1</v>
      </c>
      <c r="BV544" s="2">
        <v>1</v>
      </c>
      <c r="BW544" s="2">
        <v>1</v>
      </c>
      <c r="BX544" s="2">
        <v>1</v>
      </c>
      <c r="BY544" s="2" t="s">
        <v>3</v>
      </c>
      <c r="BZ544" s="2">
        <v>90</v>
      </c>
      <c r="CA544" s="2">
        <v>46</v>
      </c>
      <c r="CB544" s="2" t="s">
        <v>3</v>
      </c>
      <c r="CC544" s="2"/>
      <c r="CD544" s="2"/>
      <c r="CE544" s="2">
        <v>30</v>
      </c>
      <c r="CF544" s="2">
        <v>0</v>
      </c>
      <c r="CG544" s="2">
        <v>0</v>
      </c>
      <c r="CH544" s="2"/>
      <c r="CI544" s="2"/>
      <c r="CJ544" s="2"/>
      <c r="CK544" s="2"/>
      <c r="CL544" s="2"/>
      <c r="CM544" s="2">
        <v>0</v>
      </c>
      <c r="CN544" s="2" t="s">
        <v>673</v>
      </c>
      <c r="CO544" s="2">
        <v>0</v>
      </c>
      <c r="CP544" s="2">
        <f t="shared" ref="CP544:CP563" si="453">(P544+Q544+S544)</f>
        <v>278.27</v>
      </c>
      <c r="CQ544" s="2">
        <f t="shared" ref="CQ544:CQ549" si="454">ROUND((ROUND((AC544*AW544*1),2)*BC544),2)</f>
        <v>109.01</v>
      </c>
      <c r="CR544" s="2">
        <f>(ROUND((ROUND((((ET544*1.1))*AV544*1),2)*BB544),2)+ROUND((ROUND(((AE544-((EU544*1.1)))*AV544*1),2)*BS544),2))</f>
        <v>2.74</v>
      </c>
      <c r="CS544" s="2">
        <f t="shared" ref="CS544:CS563" si="455">ROUND((ROUND((AE544*AV544*1),2)*BS544),2)</f>
        <v>0.28999999999999998</v>
      </c>
      <c r="CT544" s="2">
        <f t="shared" ref="CT544:CT563" si="456">ROUND((ROUND((AF544*AV544*1),2)*BA544),2)</f>
        <v>27.39</v>
      </c>
      <c r="CU544" s="2">
        <f t="shared" ref="CU544:CU563" si="457">AG544</f>
        <v>0</v>
      </c>
      <c r="CV544" s="2">
        <f t="shared" ref="CV544:CV563" si="458">(AH544*AV544)</f>
        <v>2.3033999999999999</v>
      </c>
      <c r="CW544" s="2">
        <f t="shared" ref="CW544:CW563" si="459">AI544</f>
        <v>0</v>
      </c>
      <c r="CX544" s="2">
        <f t="shared" ref="CX544:CX563" si="460">AJ544</f>
        <v>0</v>
      </c>
      <c r="CY544" s="2">
        <f t="shared" ref="CY544:CY563" si="461">(((S544+R544)*AT544)/100)</f>
        <v>49.814999999999998</v>
      </c>
      <c r="CZ544" s="2">
        <f t="shared" ref="CZ544:CZ563" si="462">(((S544+R544)*AU544)/100)</f>
        <v>25.460999999999999</v>
      </c>
      <c r="DA544" s="2"/>
      <c r="DB544" s="2"/>
      <c r="DC544" s="2" t="s">
        <v>3</v>
      </c>
      <c r="DD544" s="2" t="s">
        <v>3</v>
      </c>
      <c r="DE544" s="2" t="s">
        <v>23</v>
      </c>
      <c r="DF544" s="2" t="s">
        <v>23</v>
      </c>
      <c r="DG544" s="2" t="s">
        <v>23</v>
      </c>
      <c r="DH544" s="2" t="s">
        <v>3</v>
      </c>
      <c r="DI544" s="2" t="s">
        <v>23</v>
      </c>
      <c r="DJ544" s="2" t="s">
        <v>23</v>
      </c>
      <c r="DK544" s="2" t="s">
        <v>3</v>
      </c>
      <c r="DL544" s="2" t="s">
        <v>3</v>
      </c>
      <c r="DM544" s="2" t="s">
        <v>3</v>
      </c>
      <c r="DN544" s="2">
        <v>0</v>
      </c>
      <c r="DO544" s="2">
        <v>0</v>
      </c>
      <c r="DP544" s="2">
        <v>1</v>
      </c>
      <c r="DQ544" s="2">
        <v>1</v>
      </c>
      <c r="DR544" s="2"/>
      <c r="DS544" s="2"/>
      <c r="DT544" s="2"/>
      <c r="DU544" s="2">
        <v>1013</v>
      </c>
      <c r="DV544" s="2" t="s">
        <v>21</v>
      </c>
      <c r="DW544" s="2" t="s">
        <v>21</v>
      </c>
      <c r="DX544" s="2">
        <v>1</v>
      </c>
      <c r="DY544" s="2"/>
      <c r="DZ544" s="2" t="s">
        <v>3</v>
      </c>
      <c r="EA544" s="2" t="s">
        <v>3</v>
      </c>
      <c r="EB544" s="2" t="s">
        <v>3</v>
      </c>
      <c r="EC544" s="2" t="s">
        <v>3</v>
      </c>
      <c r="ED544" s="2"/>
      <c r="EE544" s="2">
        <v>55992152</v>
      </c>
      <c r="EF544" s="2">
        <v>40</v>
      </c>
      <c r="EG544" s="2" t="s">
        <v>24</v>
      </c>
      <c r="EH544" s="2">
        <v>0</v>
      </c>
      <c r="EI544" s="2" t="s">
        <v>3</v>
      </c>
      <c r="EJ544" s="2">
        <v>2</v>
      </c>
      <c r="EK544" s="2">
        <v>68</v>
      </c>
      <c r="EL544" s="2" t="s">
        <v>41</v>
      </c>
      <c r="EM544" s="2" t="s">
        <v>42</v>
      </c>
      <c r="EN544" s="2"/>
      <c r="EO544" s="2" t="s">
        <v>27</v>
      </c>
      <c r="EP544" s="2"/>
      <c r="EQ544" s="2">
        <v>0</v>
      </c>
      <c r="ER544" s="2">
        <v>135.16999999999999</v>
      </c>
      <c r="ES544" s="2">
        <v>109.01</v>
      </c>
      <c r="ET544" s="2">
        <v>2.38</v>
      </c>
      <c r="EU544" s="2">
        <v>0.25</v>
      </c>
      <c r="EV544" s="2">
        <v>23.78</v>
      </c>
      <c r="EW544" s="2">
        <v>2</v>
      </c>
      <c r="EX544" s="2">
        <v>0</v>
      </c>
      <c r="EY544" s="2">
        <v>0</v>
      </c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>
        <v>0</v>
      </c>
      <c r="FR544" s="2">
        <v>0</v>
      </c>
      <c r="FS544" s="2">
        <v>0</v>
      </c>
      <c r="FT544" s="2"/>
      <c r="FU544" s="2"/>
      <c r="FV544" s="2"/>
      <c r="FW544" s="2"/>
      <c r="FX544" s="2">
        <v>90</v>
      </c>
      <c r="FY544" s="2">
        <v>46</v>
      </c>
      <c r="FZ544" s="2"/>
      <c r="GA544" s="2" t="s">
        <v>3</v>
      </c>
      <c r="GB544" s="2"/>
      <c r="GC544" s="2"/>
      <c r="GD544" s="2">
        <v>1</v>
      </c>
      <c r="GE544" s="2"/>
      <c r="GF544" s="2">
        <v>438712902</v>
      </c>
      <c r="GG544" s="2">
        <v>2</v>
      </c>
      <c r="GH544" s="2">
        <v>1</v>
      </c>
      <c r="GI544" s="2">
        <v>2</v>
      </c>
      <c r="GJ544" s="2">
        <v>0</v>
      </c>
      <c r="GK544" s="2">
        <v>0</v>
      </c>
      <c r="GL544" s="2">
        <f t="shared" ref="GL544:GL563" si="463">ROUND(IF(AND(BH544=3,BI544=3,FS544&lt;&gt;0),P544,0),2)</f>
        <v>0</v>
      </c>
      <c r="GM544" s="2">
        <f t="shared" ref="GM544:GM563" si="464">ROUND(O544+X544+Y544,2)+GX544</f>
        <v>353.55</v>
      </c>
      <c r="GN544" s="2">
        <f t="shared" ref="GN544:GN563" si="465">IF(OR(BI544=0,BI544=1),GM544-GX544,0)</f>
        <v>0</v>
      </c>
      <c r="GO544" s="2">
        <f t="shared" ref="GO544:GO563" si="466">IF(BI544=2,GM544-GX544,0)</f>
        <v>353.55</v>
      </c>
      <c r="GP544" s="2">
        <f t="shared" ref="GP544:GP563" si="467">IF(BI544=4,GM544-GX544,0)</f>
        <v>0</v>
      </c>
      <c r="GQ544" s="2"/>
      <c r="GR544" s="2">
        <v>0</v>
      </c>
      <c r="GS544" s="2">
        <v>3</v>
      </c>
      <c r="GT544" s="2">
        <v>0</v>
      </c>
      <c r="GU544" s="2" t="s">
        <v>3</v>
      </c>
      <c r="GV544" s="2">
        <f t="shared" ref="GV544:GV563" si="468">ROUND((GT544),6)</f>
        <v>0</v>
      </c>
      <c r="GW544" s="2">
        <v>1</v>
      </c>
      <c r="GX544" s="2">
        <f t="shared" ref="GX544:GX563" si="469">ROUND(HC544*I544,2)</f>
        <v>0</v>
      </c>
      <c r="GY544" s="2"/>
      <c r="GZ544" s="2"/>
      <c r="HA544" s="2">
        <v>0</v>
      </c>
      <c r="HB544" s="2">
        <v>0</v>
      </c>
      <c r="HC544" s="2">
        <f t="shared" ref="HC544:HC563" si="470">GV544*GW544</f>
        <v>0</v>
      </c>
      <c r="HD544" s="2"/>
      <c r="HE544" s="2" t="s">
        <v>3</v>
      </c>
      <c r="HF544" s="2" t="s">
        <v>3</v>
      </c>
      <c r="HG544" s="2"/>
      <c r="HH544" s="2"/>
      <c r="HI544" s="2"/>
      <c r="HJ544" s="2"/>
      <c r="HK544" s="2"/>
      <c r="HL544" s="2"/>
      <c r="HM544" s="2" t="s">
        <v>3</v>
      </c>
      <c r="HN544" s="2" t="s">
        <v>3</v>
      </c>
      <c r="HO544" s="2" t="s">
        <v>3</v>
      </c>
      <c r="HP544" s="2" t="s">
        <v>3</v>
      </c>
      <c r="HQ544" s="2" t="s">
        <v>3</v>
      </c>
      <c r="HR544" s="2"/>
      <c r="HS544" s="2">
        <v>0</v>
      </c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>
        <v>0</v>
      </c>
      <c r="IL544" s="2"/>
      <c r="IM544" s="2"/>
      <c r="IN544" s="2"/>
      <c r="IO544" s="2"/>
      <c r="IP544" s="2"/>
      <c r="IQ544" s="2"/>
      <c r="IR544" s="2"/>
      <c r="IS544" s="2"/>
      <c r="IT544" s="2"/>
      <c r="IU544" s="2"/>
    </row>
    <row r="545" spans="1:255" x14ac:dyDescent="0.2">
      <c r="A545">
        <v>17</v>
      </c>
      <c r="B545">
        <v>1</v>
      </c>
      <c r="C545">
        <f>ROW(SmtRes!A410)</f>
        <v>410</v>
      </c>
      <c r="D545">
        <f>ROW(EtalonRes!A490)</f>
        <v>490</v>
      </c>
      <c r="E545" t="s">
        <v>466</v>
      </c>
      <c r="F545" t="s">
        <v>38</v>
      </c>
      <c r="G545" t="s">
        <v>39</v>
      </c>
      <c r="H545" t="s">
        <v>21</v>
      </c>
      <c r="I545">
        <v>2</v>
      </c>
      <c r="J545">
        <v>0</v>
      </c>
      <c r="K545">
        <v>2</v>
      </c>
      <c r="O545">
        <f t="shared" si="439"/>
        <v>3799.22</v>
      </c>
      <c r="P545">
        <f t="shared" si="440"/>
        <v>710.75</v>
      </c>
      <c r="Q545">
        <f>(ROUND((ROUND((((ET545*1.1))*AV545*I545),2)*BB545),2)+ROUND((ROUND(((AE545-((EU545*1.1)))*AV545*I545),2)*BS545),2))</f>
        <v>76.67</v>
      </c>
      <c r="R545">
        <f t="shared" si="441"/>
        <v>31.89</v>
      </c>
      <c r="S545">
        <f t="shared" si="442"/>
        <v>3011.8</v>
      </c>
      <c r="T545">
        <f t="shared" si="443"/>
        <v>0</v>
      </c>
      <c r="U545">
        <f t="shared" si="444"/>
        <v>4.6067999999999998</v>
      </c>
      <c r="V545">
        <f t="shared" si="445"/>
        <v>0</v>
      </c>
      <c r="W545">
        <f t="shared" si="446"/>
        <v>0</v>
      </c>
      <c r="X545">
        <f t="shared" si="447"/>
        <v>2739.32</v>
      </c>
      <c r="Y545">
        <f t="shared" si="448"/>
        <v>1400.1</v>
      </c>
      <c r="AA545">
        <v>56959431</v>
      </c>
      <c r="AB545">
        <f t="shared" si="449"/>
        <v>137.786</v>
      </c>
      <c r="AC545">
        <f t="shared" si="450"/>
        <v>109.01</v>
      </c>
      <c r="AD545">
        <f>ROUND(((((ET545*1.1))-((EU545*1.1)))+AE545),6)</f>
        <v>2.6179999999999999</v>
      </c>
      <c r="AE545">
        <f>ROUND(((EU545*1.1)),6)</f>
        <v>0.27500000000000002</v>
      </c>
      <c r="AF545">
        <f>ROUND(((EV545*1.1)),6)</f>
        <v>26.158000000000001</v>
      </c>
      <c r="AG545">
        <f t="shared" si="451"/>
        <v>0</v>
      </c>
      <c r="AH545">
        <f>((EW545*1.1))</f>
        <v>2.2000000000000002</v>
      </c>
      <c r="AI545">
        <f>((EX545*1.1))</f>
        <v>0</v>
      </c>
      <c r="AJ545">
        <f t="shared" si="452"/>
        <v>0</v>
      </c>
      <c r="AK545">
        <v>135.16999999999999</v>
      </c>
      <c r="AL545">
        <v>109.01</v>
      </c>
      <c r="AM545">
        <v>2.38</v>
      </c>
      <c r="AN545">
        <v>0.25</v>
      </c>
      <c r="AO545">
        <v>23.78</v>
      </c>
      <c r="AP545">
        <v>0</v>
      </c>
      <c r="AQ545">
        <v>2</v>
      </c>
      <c r="AR545">
        <v>0</v>
      </c>
      <c r="AS545">
        <v>0</v>
      </c>
      <c r="AT545">
        <v>90</v>
      </c>
      <c r="AU545">
        <v>46</v>
      </c>
      <c r="AV545">
        <v>1.0469999999999999</v>
      </c>
      <c r="AW545">
        <v>1</v>
      </c>
      <c r="AZ545">
        <v>1</v>
      </c>
      <c r="BA545">
        <v>54.99</v>
      </c>
      <c r="BB545">
        <v>13.99</v>
      </c>
      <c r="BC545">
        <v>3.26</v>
      </c>
      <c r="BD545" t="s">
        <v>3</v>
      </c>
      <c r="BE545" t="s">
        <v>3</v>
      </c>
      <c r="BF545" t="s">
        <v>3</v>
      </c>
      <c r="BG545" t="s">
        <v>3</v>
      </c>
      <c r="BH545">
        <v>0</v>
      </c>
      <c r="BI545">
        <v>2</v>
      </c>
      <c r="BJ545" t="s">
        <v>40</v>
      </c>
      <c r="BM545">
        <v>68</v>
      </c>
      <c r="BN545">
        <v>55992028</v>
      </c>
      <c r="BO545" t="s">
        <v>38</v>
      </c>
      <c r="BP545">
        <v>1</v>
      </c>
      <c r="BQ545">
        <v>40</v>
      </c>
      <c r="BR545">
        <v>0</v>
      </c>
      <c r="BS545">
        <v>54.99</v>
      </c>
      <c r="BT545">
        <v>1</v>
      </c>
      <c r="BU545">
        <v>1</v>
      </c>
      <c r="BV545">
        <v>1</v>
      </c>
      <c r="BW545">
        <v>1</v>
      </c>
      <c r="BX545">
        <v>1</v>
      </c>
      <c r="BY545" t="s">
        <v>3</v>
      </c>
      <c r="BZ545">
        <v>90</v>
      </c>
      <c r="CA545">
        <v>46</v>
      </c>
      <c r="CB545" t="s">
        <v>3</v>
      </c>
      <c r="CE545">
        <v>30</v>
      </c>
      <c r="CF545">
        <v>0</v>
      </c>
      <c r="CG545">
        <v>0</v>
      </c>
      <c r="CM545">
        <v>0</v>
      </c>
      <c r="CN545" t="s">
        <v>673</v>
      </c>
      <c r="CO545">
        <v>0</v>
      </c>
      <c r="CP545">
        <f t="shared" si="453"/>
        <v>3799.2200000000003</v>
      </c>
      <c r="CQ545">
        <f t="shared" si="454"/>
        <v>355.37</v>
      </c>
      <c r="CR545">
        <f>(ROUND((ROUND((((ET545*1.1))*AV545*1),2)*BB545),2)+ROUND((ROUND(((AE545-((EU545*1.1)))*AV545*1),2)*BS545),2))</f>
        <v>38.33</v>
      </c>
      <c r="CS545">
        <f t="shared" si="455"/>
        <v>15.95</v>
      </c>
      <c r="CT545">
        <f t="shared" si="456"/>
        <v>1506.18</v>
      </c>
      <c r="CU545">
        <f t="shared" si="457"/>
        <v>0</v>
      </c>
      <c r="CV545">
        <f t="shared" si="458"/>
        <v>2.3033999999999999</v>
      </c>
      <c r="CW545">
        <f t="shared" si="459"/>
        <v>0</v>
      </c>
      <c r="CX545">
        <f t="shared" si="460"/>
        <v>0</v>
      </c>
      <c r="CY545">
        <f t="shared" si="461"/>
        <v>2739.3209999999999</v>
      </c>
      <c r="CZ545">
        <f t="shared" si="462"/>
        <v>1400.0973999999999</v>
      </c>
      <c r="DC545" t="s">
        <v>3</v>
      </c>
      <c r="DD545" t="s">
        <v>3</v>
      </c>
      <c r="DE545" t="s">
        <v>23</v>
      </c>
      <c r="DF545" t="s">
        <v>23</v>
      </c>
      <c r="DG545" t="s">
        <v>23</v>
      </c>
      <c r="DH545" t="s">
        <v>3</v>
      </c>
      <c r="DI545" t="s">
        <v>23</v>
      </c>
      <c r="DJ545" t="s">
        <v>23</v>
      </c>
      <c r="DK545" t="s">
        <v>3</v>
      </c>
      <c r="DL545" t="s">
        <v>3</v>
      </c>
      <c r="DM545" t="s">
        <v>3</v>
      </c>
      <c r="DN545">
        <v>0</v>
      </c>
      <c r="DO545">
        <v>0</v>
      </c>
      <c r="DP545">
        <v>1</v>
      </c>
      <c r="DQ545">
        <v>1</v>
      </c>
      <c r="DU545">
        <v>1013</v>
      </c>
      <c r="DV545" t="s">
        <v>21</v>
      </c>
      <c r="DW545" t="s">
        <v>21</v>
      </c>
      <c r="DX545">
        <v>1</v>
      </c>
      <c r="DZ545" t="s">
        <v>3</v>
      </c>
      <c r="EA545" t="s">
        <v>3</v>
      </c>
      <c r="EB545" t="s">
        <v>3</v>
      </c>
      <c r="EC545" t="s">
        <v>3</v>
      </c>
      <c r="EE545">
        <v>55992152</v>
      </c>
      <c r="EF545">
        <v>40</v>
      </c>
      <c r="EG545" t="s">
        <v>24</v>
      </c>
      <c r="EH545">
        <v>0</v>
      </c>
      <c r="EI545" t="s">
        <v>3</v>
      </c>
      <c r="EJ545">
        <v>2</v>
      </c>
      <c r="EK545">
        <v>68</v>
      </c>
      <c r="EL545" t="s">
        <v>41</v>
      </c>
      <c r="EM545" t="s">
        <v>42</v>
      </c>
      <c r="EO545" t="s">
        <v>27</v>
      </c>
      <c r="EQ545">
        <v>0</v>
      </c>
      <c r="ER545">
        <v>135.16999999999999</v>
      </c>
      <c r="ES545">
        <v>109.01</v>
      </c>
      <c r="ET545">
        <v>2.38</v>
      </c>
      <c r="EU545">
        <v>0.25</v>
      </c>
      <c r="EV545">
        <v>23.78</v>
      </c>
      <c r="EW545">
        <v>2</v>
      </c>
      <c r="EX545">
        <v>0</v>
      </c>
      <c r="EY545">
        <v>0</v>
      </c>
      <c r="FQ545">
        <v>0</v>
      </c>
      <c r="FR545">
        <v>0</v>
      </c>
      <c r="FS545">
        <v>0</v>
      </c>
      <c r="FX545">
        <v>90</v>
      </c>
      <c r="FY545">
        <v>46</v>
      </c>
      <c r="GA545" t="s">
        <v>3</v>
      </c>
      <c r="GD545">
        <v>1</v>
      </c>
      <c r="GF545">
        <v>438712902</v>
      </c>
      <c r="GG545">
        <v>2</v>
      </c>
      <c r="GH545">
        <v>1</v>
      </c>
      <c r="GI545">
        <v>2</v>
      </c>
      <c r="GJ545">
        <v>0</v>
      </c>
      <c r="GK545">
        <v>0</v>
      </c>
      <c r="GL545">
        <f t="shared" si="463"/>
        <v>0</v>
      </c>
      <c r="GM545">
        <f t="shared" si="464"/>
        <v>7938.64</v>
      </c>
      <c r="GN545">
        <f t="shared" si="465"/>
        <v>0</v>
      </c>
      <c r="GO545">
        <f t="shared" si="466"/>
        <v>7938.64</v>
      </c>
      <c r="GP545">
        <f t="shared" si="467"/>
        <v>0</v>
      </c>
      <c r="GR545">
        <v>0</v>
      </c>
      <c r="GS545">
        <v>3</v>
      </c>
      <c r="GT545">
        <v>0</v>
      </c>
      <c r="GU545" t="s">
        <v>3</v>
      </c>
      <c r="GV545">
        <f t="shared" si="468"/>
        <v>0</v>
      </c>
      <c r="GW545">
        <v>1</v>
      </c>
      <c r="GX545">
        <f t="shared" si="469"/>
        <v>0</v>
      </c>
      <c r="HA545">
        <v>0</v>
      </c>
      <c r="HB545">
        <v>0</v>
      </c>
      <c r="HC545">
        <f t="shared" si="470"/>
        <v>0</v>
      </c>
      <c r="HE545" t="s">
        <v>3</v>
      </c>
      <c r="HF545" t="s">
        <v>3</v>
      </c>
      <c r="HM545" t="s">
        <v>3</v>
      </c>
      <c r="HN545" t="s">
        <v>3</v>
      </c>
      <c r="HO545" t="s">
        <v>3</v>
      </c>
      <c r="HP545" t="s">
        <v>3</v>
      </c>
      <c r="HQ545" t="s">
        <v>3</v>
      </c>
      <c r="HS545">
        <v>0</v>
      </c>
      <c r="IK545">
        <v>0</v>
      </c>
    </row>
    <row r="546" spans="1:255" x14ac:dyDescent="0.2">
      <c r="A546" s="2">
        <v>18</v>
      </c>
      <c r="B546" s="2">
        <v>1</v>
      </c>
      <c r="C546" s="2">
        <v>402</v>
      </c>
      <c r="D546" s="2"/>
      <c r="E546" s="2" t="s">
        <v>467</v>
      </c>
      <c r="F546" s="2" t="s">
        <v>44</v>
      </c>
      <c r="G546" s="2" t="s">
        <v>45</v>
      </c>
      <c r="H546" s="2" t="s">
        <v>31</v>
      </c>
      <c r="I546" s="2">
        <f>I544*J546</f>
        <v>2</v>
      </c>
      <c r="J546" s="2">
        <v>1</v>
      </c>
      <c r="K546" s="2">
        <v>1</v>
      </c>
      <c r="L546" s="2"/>
      <c r="M546" s="2"/>
      <c r="N546" s="2"/>
      <c r="O546" s="2">
        <f t="shared" si="439"/>
        <v>3950.38</v>
      </c>
      <c r="P546" s="2">
        <f t="shared" si="440"/>
        <v>3950.38</v>
      </c>
      <c r="Q546" s="2">
        <f>(ROUND((ROUND(((ET546)*AV546*I546),2)*BB546),2)+ROUND((ROUND(((AE546-(EU546))*AV546*I546),2)*BS546),2))</f>
        <v>0</v>
      </c>
      <c r="R546" s="2">
        <f t="shared" si="441"/>
        <v>0</v>
      </c>
      <c r="S546" s="2">
        <f t="shared" si="442"/>
        <v>0</v>
      </c>
      <c r="T546" s="2">
        <f t="shared" si="443"/>
        <v>0</v>
      </c>
      <c r="U546" s="2">
        <f t="shared" si="444"/>
        <v>0</v>
      </c>
      <c r="V546" s="2">
        <f t="shared" si="445"/>
        <v>0</v>
      </c>
      <c r="W546" s="2">
        <f t="shared" si="446"/>
        <v>0</v>
      </c>
      <c r="X546" s="2">
        <f t="shared" si="447"/>
        <v>0</v>
      </c>
      <c r="Y546" s="2">
        <f t="shared" si="448"/>
        <v>0</v>
      </c>
      <c r="Z546" s="2"/>
      <c r="AA546" s="2">
        <v>56959434</v>
      </c>
      <c r="AB546" s="2">
        <f t="shared" si="449"/>
        <v>1975.19</v>
      </c>
      <c r="AC546" s="2">
        <f t="shared" si="450"/>
        <v>1975.19</v>
      </c>
      <c r="AD546" s="2">
        <f>ROUND((((ET546)-(EU546))+AE546),6)</f>
        <v>0</v>
      </c>
      <c r="AE546" s="2">
        <f>ROUND((EU546),6)</f>
        <v>0</v>
      </c>
      <c r="AF546" s="2">
        <f>ROUND((EV546),6)</f>
        <v>0</v>
      </c>
      <c r="AG546" s="2">
        <f t="shared" si="451"/>
        <v>0</v>
      </c>
      <c r="AH546" s="2">
        <f>(EW546)</f>
        <v>0</v>
      </c>
      <c r="AI546" s="2">
        <f>(EX546)</f>
        <v>0</v>
      </c>
      <c r="AJ546" s="2">
        <f t="shared" si="452"/>
        <v>0</v>
      </c>
      <c r="AK546" s="2">
        <v>1975.19</v>
      </c>
      <c r="AL546" s="2">
        <v>1975.19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90</v>
      </c>
      <c r="AU546" s="2">
        <v>46</v>
      </c>
      <c r="AV546" s="2">
        <v>1</v>
      </c>
      <c r="AW546" s="2">
        <v>1</v>
      </c>
      <c r="AX546" s="2"/>
      <c r="AY546" s="2"/>
      <c r="AZ546" s="2">
        <v>1</v>
      </c>
      <c r="BA546" s="2">
        <v>1</v>
      </c>
      <c r="BB546" s="2">
        <v>1</v>
      </c>
      <c r="BC546" s="2">
        <v>1</v>
      </c>
      <c r="BD546" s="2" t="s">
        <v>3</v>
      </c>
      <c r="BE546" s="2" t="s">
        <v>3</v>
      </c>
      <c r="BF546" s="2" t="s">
        <v>3</v>
      </c>
      <c r="BG546" s="2" t="s">
        <v>3</v>
      </c>
      <c r="BH546" s="2">
        <v>3</v>
      </c>
      <c r="BI546" s="2">
        <v>2</v>
      </c>
      <c r="BJ546" s="2" t="s">
        <v>46</v>
      </c>
      <c r="BK546" s="2"/>
      <c r="BL546" s="2"/>
      <c r="BM546" s="2">
        <v>68</v>
      </c>
      <c r="BN546" s="2">
        <v>55992028</v>
      </c>
      <c r="BO546" s="2" t="s">
        <v>3</v>
      </c>
      <c r="BP546" s="2">
        <v>0</v>
      </c>
      <c r="BQ546" s="2">
        <v>40</v>
      </c>
      <c r="BR546" s="2">
        <v>0</v>
      </c>
      <c r="BS546" s="2">
        <v>1</v>
      </c>
      <c r="BT546" s="2">
        <v>1</v>
      </c>
      <c r="BU546" s="2">
        <v>1</v>
      </c>
      <c r="BV546" s="2">
        <v>1</v>
      </c>
      <c r="BW546" s="2">
        <v>1</v>
      </c>
      <c r="BX546" s="2">
        <v>1</v>
      </c>
      <c r="BY546" s="2" t="s">
        <v>3</v>
      </c>
      <c r="BZ546" s="2">
        <v>90</v>
      </c>
      <c r="CA546" s="2">
        <v>46</v>
      </c>
      <c r="CB546" s="2" t="s">
        <v>3</v>
      </c>
      <c r="CC546" s="2"/>
      <c r="CD546" s="2"/>
      <c r="CE546" s="2">
        <v>30</v>
      </c>
      <c r="CF546" s="2">
        <v>0</v>
      </c>
      <c r="CG546" s="2">
        <v>0</v>
      </c>
      <c r="CH546" s="2"/>
      <c r="CI546" s="2"/>
      <c r="CJ546" s="2"/>
      <c r="CK546" s="2"/>
      <c r="CL546" s="2"/>
      <c r="CM546" s="2">
        <v>0</v>
      </c>
      <c r="CN546" s="2" t="s">
        <v>3</v>
      </c>
      <c r="CO546" s="2">
        <v>0</v>
      </c>
      <c r="CP546" s="2">
        <f t="shared" si="453"/>
        <v>3950.38</v>
      </c>
      <c r="CQ546" s="2">
        <f t="shared" si="454"/>
        <v>1975.19</v>
      </c>
      <c r="CR546" s="2">
        <f>(ROUND((ROUND(((ET546)*AV546*1),2)*BB546),2)+ROUND((ROUND(((AE546-(EU546))*AV546*1),2)*BS546),2))</f>
        <v>0</v>
      </c>
      <c r="CS546" s="2">
        <f t="shared" si="455"/>
        <v>0</v>
      </c>
      <c r="CT546" s="2">
        <f t="shared" si="456"/>
        <v>0</v>
      </c>
      <c r="CU546" s="2">
        <f t="shared" si="457"/>
        <v>0</v>
      </c>
      <c r="CV546" s="2">
        <f t="shared" si="458"/>
        <v>0</v>
      </c>
      <c r="CW546" s="2">
        <f t="shared" si="459"/>
        <v>0</v>
      </c>
      <c r="CX546" s="2">
        <f t="shared" si="460"/>
        <v>0</v>
      </c>
      <c r="CY546" s="2">
        <f t="shared" si="461"/>
        <v>0</v>
      </c>
      <c r="CZ546" s="2">
        <f t="shared" si="462"/>
        <v>0</v>
      </c>
      <c r="DA546" s="2"/>
      <c r="DB546" s="2"/>
      <c r="DC546" s="2" t="s">
        <v>3</v>
      </c>
      <c r="DD546" s="2" t="s">
        <v>3</v>
      </c>
      <c r="DE546" s="2" t="s">
        <v>3</v>
      </c>
      <c r="DF546" s="2" t="s">
        <v>3</v>
      </c>
      <c r="DG546" s="2" t="s">
        <v>3</v>
      </c>
      <c r="DH546" s="2" t="s">
        <v>3</v>
      </c>
      <c r="DI546" s="2" t="s">
        <v>3</v>
      </c>
      <c r="DJ546" s="2" t="s">
        <v>3</v>
      </c>
      <c r="DK546" s="2" t="s">
        <v>3</v>
      </c>
      <c r="DL546" s="2" t="s">
        <v>3</v>
      </c>
      <c r="DM546" s="2" t="s">
        <v>3</v>
      </c>
      <c r="DN546" s="2">
        <v>0</v>
      </c>
      <c r="DO546" s="2">
        <v>0</v>
      </c>
      <c r="DP546" s="2">
        <v>1</v>
      </c>
      <c r="DQ546" s="2">
        <v>1</v>
      </c>
      <c r="DR546" s="2"/>
      <c r="DS546" s="2"/>
      <c r="DT546" s="2"/>
      <c r="DU546" s="2">
        <v>1010</v>
      </c>
      <c r="DV546" s="2" t="s">
        <v>31</v>
      </c>
      <c r="DW546" s="2" t="s">
        <v>31</v>
      </c>
      <c r="DX546" s="2">
        <v>1</v>
      </c>
      <c r="DY546" s="2"/>
      <c r="DZ546" s="2" t="s">
        <v>3</v>
      </c>
      <c r="EA546" s="2" t="s">
        <v>3</v>
      </c>
      <c r="EB546" s="2" t="s">
        <v>3</v>
      </c>
      <c r="EC546" s="2" t="s">
        <v>3</v>
      </c>
      <c r="ED546" s="2"/>
      <c r="EE546" s="2">
        <v>55992152</v>
      </c>
      <c r="EF546" s="2">
        <v>40</v>
      </c>
      <c r="EG546" s="2" t="s">
        <v>24</v>
      </c>
      <c r="EH546" s="2">
        <v>0</v>
      </c>
      <c r="EI546" s="2" t="s">
        <v>3</v>
      </c>
      <c r="EJ546" s="2">
        <v>2</v>
      </c>
      <c r="EK546" s="2">
        <v>68</v>
      </c>
      <c r="EL546" s="2" t="s">
        <v>41</v>
      </c>
      <c r="EM546" s="2" t="s">
        <v>42</v>
      </c>
      <c r="EN546" s="2"/>
      <c r="EO546" s="2" t="s">
        <v>3</v>
      </c>
      <c r="EP546" s="2"/>
      <c r="EQ546" s="2">
        <v>0</v>
      </c>
      <c r="ER546" s="2">
        <v>1975.19</v>
      </c>
      <c r="ES546" s="2">
        <v>1975.19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>
        <v>0</v>
      </c>
      <c r="FR546" s="2">
        <v>0</v>
      </c>
      <c r="FS546" s="2">
        <v>0</v>
      </c>
      <c r="FT546" s="2"/>
      <c r="FU546" s="2"/>
      <c r="FV546" s="2"/>
      <c r="FW546" s="2"/>
      <c r="FX546" s="2">
        <v>90</v>
      </c>
      <c r="FY546" s="2">
        <v>46</v>
      </c>
      <c r="FZ546" s="2"/>
      <c r="GA546" s="2" t="s">
        <v>3</v>
      </c>
      <c r="GB546" s="2"/>
      <c r="GC546" s="2"/>
      <c r="GD546" s="2">
        <v>1</v>
      </c>
      <c r="GE546" s="2"/>
      <c r="GF546" s="2">
        <v>672353504</v>
      </c>
      <c r="GG546" s="2">
        <v>2</v>
      </c>
      <c r="GH546" s="2">
        <v>1</v>
      </c>
      <c r="GI546" s="2">
        <v>-2</v>
      </c>
      <c r="GJ546" s="2">
        <v>0</v>
      </c>
      <c r="GK546" s="2">
        <v>0</v>
      </c>
      <c r="GL546" s="2">
        <f t="shared" si="463"/>
        <v>0</v>
      </c>
      <c r="GM546" s="2">
        <f t="shared" si="464"/>
        <v>3950.38</v>
      </c>
      <c r="GN546" s="2">
        <f t="shared" si="465"/>
        <v>0</v>
      </c>
      <c r="GO546" s="2">
        <f t="shared" si="466"/>
        <v>3950.38</v>
      </c>
      <c r="GP546" s="2">
        <f t="shared" si="467"/>
        <v>0</v>
      </c>
      <c r="GQ546" s="2"/>
      <c r="GR546" s="2">
        <v>0</v>
      </c>
      <c r="GS546" s="2">
        <v>3</v>
      </c>
      <c r="GT546" s="2">
        <v>0</v>
      </c>
      <c r="GU546" s="2" t="s">
        <v>3</v>
      </c>
      <c r="GV546" s="2">
        <f t="shared" si="468"/>
        <v>0</v>
      </c>
      <c r="GW546" s="2">
        <v>1</v>
      </c>
      <c r="GX546" s="2">
        <f t="shared" si="469"/>
        <v>0</v>
      </c>
      <c r="GY546" s="2"/>
      <c r="GZ546" s="2"/>
      <c r="HA546" s="2">
        <v>0</v>
      </c>
      <c r="HB546" s="2">
        <v>0</v>
      </c>
      <c r="HC546" s="2">
        <f t="shared" si="470"/>
        <v>0</v>
      </c>
      <c r="HD546" s="2"/>
      <c r="HE546" s="2" t="s">
        <v>3</v>
      </c>
      <c r="HF546" s="2" t="s">
        <v>3</v>
      </c>
      <c r="HG546" s="2"/>
      <c r="HH546" s="2"/>
      <c r="HI546" s="2"/>
      <c r="HJ546" s="2"/>
      <c r="HK546" s="2"/>
      <c r="HL546" s="2"/>
      <c r="HM546" s="2" t="s">
        <v>3</v>
      </c>
      <c r="HN546" s="2" t="s">
        <v>3</v>
      </c>
      <c r="HO546" s="2" t="s">
        <v>3</v>
      </c>
      <c r="HP546" s="2" t="s">
        <v>3</v>
      </c>
      <c r="HQ546" s="2" t="s">
        <v>3</v>
      </c>
      <c r="HR546" s="2"/>
      <c r="HS546" s="2">
        <v>0</v>
      </c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>
        <v>0</v>
      </c>
      <c r="IL546" s="2"/>
      <c r="IM546" s="2"/>
      <c r="IN546" s="2"/>
      <c r="IO546" s="2"/>
      <c r="IP546" s="2"/>
      <c r="IQ546" s="2"/>
      <c r="IR546" s="2"/>
      <c r="IS546" s="2"/>
      <c r="IT546" s="2"/>
      <c r="IU546" s="2"/>
    </row>
    <row r="547" spans="1:255" x14ac:dyDescent="0.2">
      <c r="A547">
        <v>18</v>
      </c>
      <c r="B547">
        <v>1</v>
      </c>
      <c r="C547">
        <v>409</v>
      </c>
      <c r="E547" t="s">
        <v>467</v>
      </c>
      <c r="F547" t="s">
        <v>44</v>
      </c>
      <c r="G547" t="s">
        <v>45</v>
      </c>
      <c r="H547" t="s">
        <v>31</v>
      </c>
      <c r="I547">
        <f>I545*J547</f>
        <v>2</v>
      </c>
      <c r="J547">
        <v>1</v>
      </c>
      <c r="K547">
        <v>1</v>
      </c>
      <c r="O547">
        <f t="shared" si="439"/>
        <v>27099.61</v>
      </c>
      <c r="P547">
        <f t="shared" si="440"/>
        <v>27099.61</v>
      </c>
      <c r="Q547">
        <f>(ROUND((ROUND(((ET547)*AV547*I547),2)*BB547),2)+ROUND((ROUND(((AE547-(EU547))*AV547*I547),2)*BS547),2))</f>
        <v>0</v>
      </c>
      <c r="R547">
        <f t="shared" si="441"/>
        <v>0</v>
      </c>
      <c r="S547">
        <f t="shared" si="442"/>
        <v>0</v>
      </c>
      <c r="T547">
        <f t="shared" si="443"/>
        <v>0</v>
      </c>
      <c r="U547">
        <f t="shared" si="444"/>
        <v>0</v>
      </c>
      <c r="V547">
        <f t="shared" si="445"/>
        <v>0</v>
      </c>
      <c r="W547">
        <f t="shared" si="446"/>
        <v>0</v>
      </c>
      <c r="X547">
        <f t="shared" si="447"/>
        <v>0</v>
      </c>
      <c r="Y547">
        <f t="shared" si="448"/>
        <v>0</v>
      </c>
      <c r="AA547">
        <v>56959431</v>
      </c>
      <c r="AB547">
        <f t="shared" si="449"/>
        <v>1975.19</v>
      </c>
      <c r="AC547">
        <f t="shared" si="450"/>
        <v>1975.19</v>
      </c>
      <c r="AD547">
        <f>ROUND((((ET547)-(EU547))+AE547),6)</f>
        <v>0</v>
      </c>
      <c r="AE547">
        <f>ROUND((EU547),6)</f>
        <v>0</v>
      </c>
      <c r="AF547">
        <f>ROUND((EV547),6)</f>
        <v>0</v>
      </c>
      <c r="AG547">
        <f t="shared" si="451"/>
        <v>0</v>
      </c>
      <c r="AH547">
        <f>(EW547)</f>
        <v>0</v>
      </c>
      <c r="AI547">
        <f>(EX547)</f>
        <v>0</v>
      </c>
      <c r="AJ547">
        <f t="shared" si="452"/>
        <v>0</v>
      </c>
      <c r="AK547">
        <v>1975.19</v>
      </c>
      <c r="AL547">
        <v>1975.19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90</v>
      </c>
      <c r="AU547">
        <v>46</v>
      </c>
      <c r="AV547">
        <v>1</v>
      </c>
      <c r="AW547">
        <v>1</v>
      </c>
      <c r="AZ547">
        <v>1</v>
      </c>
      <c r="BA547">
        <v>1</v>
      </c>
      <c r="BB547">
        <v>1</v>
      </c>
      <c r="BC547">
        <v>6.86</v>
      </c>
      <c r="BD547" t="s">
        <v>3</v>
      </c>
      <c r="BE547" t="s">
        <v>3</v>
      </c>
      <c r="BF547" t="s">
        <v>3</v>
      </c>
      <c r="BG547" t="s">
        <v>3</v>
      </c>
      <c r="BH547">
        <v>3</v>
      </c>
      <c r="BI547">
        <v>2</v>
      </c>
      <c r="BJ547" t="s">
        <v>46</v>
      </c>
      <c r="BM547">
        <v>68</v>
      </c>
      <c r="BN547">
        <v>55992028</v>
      </c>
      <c r="BO547" t="s">
        <v>44</v>
      </c>
      <c r="BP547">
        <v>1</v>
      </c>
      <c r="BQ547">
        <v>40</v>
      </c>
      <c r="BR547">
        <v>0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 t="s">
        <v>3</v>
      </c>
      <c r="BZ547">
        <v>90</v>
      </c>
      <c r="CA547">
        <v>46</v>
      </c>
      <c r="CB547" t="s">
        <v>3</v>
      </c>
      <c r="CE547">
        <v>30</v>
      </c>
      <c r="CF547">
        <v>0</v>
      </c>
      <c r="CG547">
        <v>0</v>
      </c>
      <c r="CM547">
        <v>0</v>
      </c>
      <c r="CN547" t="s">
        <v>3</v>
      </c>
      <c r="CO547">
        <v>0</v>
      </c>
      <c r="CP547">
        <f t="shared" si="453"/>
        <v>27099.61</v>
      </c>
      <c r="CQ547">
        <f t="shared" si="454"/>
        <v>13549.8</v>
      </c>
      <c r="CR547">
        <f>(ROUND((ROUND(((ET547)*AV547*1),2)*BB547),2)+ROUND((ROUND(((AE547-(EU547))*AV547*1),2)*BS547),2))</f>
        <v>0</v>
      </c>
      <c r="CS547">
        <f t="shared" si="455"/>
        <v>0</v>
      </c>
      <c r="CT547">
        <f t="shared" si="456"/>
        <v>0</v>
      </c>
      <c r="CU547">
        <f t="shared" si="457"/>
        <v>0</v>
      </c>
      <c r="CV547">
        <f t="shared" si="458"/>
        <v>0</v>
      </c>
      <c r="CW547">
        <f t="shared" si="459"/>
        <v>0</v>
      </c>
      <c r="CX547">
        <f t="shared" si="460"/>
        <v>0</v>
      </c>
      <c r="CY547">
        <f t="shared" si="461"/>
        <v>0</v>
      </c>
      <c r="CZ547">
        <f t="shared" si="462"/>
        <v>0</v>
      </c>
      <c r="DC547" t="s">
        <v>3</v>
      </c>
      <c r="DD547" t="s">
        <v>3</v>
      </c>
      <c r="DE547" t="s">
        <v>3</v>
      </c>
      <c r="DF547" t="s">
        <v>3</v>
      </c>
      <c r="DG547" t="s">
        <v>3</v>
      </c>
      <c r="DH547" t="s">
        <v>3</v>
      </c>
      <c r="DI547" t="s">
        <v>3</v>
      </c>
      <c r="DJ547" t="s">
        <v>3</v>
      </c>
      <c r="DK547" t="s">
        <v>3</v>
      </c>
      <c r="DL547" t="s">
        <v>3</v>
      </c>
      <c r="DM547" t="s">
        <v>3</v>
      </c>
      <c r="DN547">
        <v>0</v>
      </c>
      <c r="DO547">
        <v>0</v>
      </c>
      <c r="DP547">
        <v>1</v>
      </c>
      <c r="DQ547">
        <v>1</v>
      </c>
      <c r="DU547">
        <v>1010</v>
      </c>
      <c r="DV547" t="s">
        <v>31</v>
      </c>
      <c r="DW547" t="s">
        <v>31</v>
      </c>
      <c r="DX547">
        <v>1</v>
      </c>
      <c r="DZ547" t="s">
        <v>3</v>
      </c>
      <c r="EA547" t="s">
        <v>3</v>
      </c>
      <c r="EB547" t="s">
        <v>3</v>
      </c>
      <c r="EC547" t="s">
        <v>3</v>
      </c>
      <c r="EE547">
        <v>55992152</v>
      </c>
      <c r="EF547">
        <v>40</v>
      </c>
      <c r="EG547" t="s">
        <v>24</v>
      </c>
      <c r="EH547">
        <v>0</v>
      </c>
      <c r="EI547" t="s">
        <v>3</v>
      </c>
      <c r="EJ547">
        <v>2</v>
      </c>
      <c r="EK547">
        <v>68</v>
      </c>
      <c r="EL547" t="s">
        <v>41</v>
      </c>
      <c r="EM547" t="s">
        <v>42</v>
      </c>
      <c r="EO547" t="s">
        <v>3</v>
      </c>
      <c r="EQ547">
        <v>0</v>
      </c>
      <c r="ER547">
        <v>1975.19</v>
      </c>
      <c r="ES547">
        <v>1975.19</v>
      </c>
      <c r="ET547">
        <v>0</v>
      </c>
      <c r="EU547">
        <v>0</v>
      </c>
      <c r="EV547">
        <v>0</v>
      </c>
      <c r="EW547">
        <v>0</v>
      </c>
      <c r="EX547">
        <v>0</v>
      </c>
      <c r="FQ547">
        <v>0</v>
      </c>
      <c r="FR547">
        <v>0</v>
      </c>
      <c r="FS547">
        <v>0</v>
      </c>
      <c r="FX547">
        <v>90</v>
      </c>
      <c r="FY547">
        <v>46</v>
      </c>
      <c r="GA547" t="s">
        <v>3</v>
      </c>
      <c r="GD547">
        <v>1</v>
      </c>
      <c r="GF547">
        <v>672353504</v>
      </c>
      <c r="GG547">
        <v>2</v>
      </c>
      <c r="GH547">
        <v>1</v>
      </c>
      <c r="GI547">
        <v>2</v>
      </c>
      <c r="GJ547">
        <v>0</v>
      </c>
      <c r="GK547">
        <v>0</v>
      </c>
      <c r="GL547">
        <f t="shared" si="463"/>
        <v>0</v>
      </c>
      <c r="GM547">
        <f t="shared" si="464"/>
        <v>27099.61</v>
      </c>
      <c r="GN547">
        <f t="shared" si="465"/>
        <v>0</v>
      </c>
      <c r="GO547">
        <f t="shared" si="466"/>
        <v>27099.61</v>
      </c>
      <c r="GP547">
        <f t="shared" si="467"/>
        <v>0</v>
      </c>
      <c r="GR547">
        <v>0</v>
      </c>
      <c r="GS547">
        <v>3</v>
      </c>
      <c r="GT547">
        <v>0</v>
      </c>
      <c r="GU547" t="s">
        <v>3</v>
      </c>
      <c r="GV547">
        <f t="shared" si="468"/>
        <v>0</v>
      </c>
      <c r="GW547">
        <v>1</v>
      </c>
      <c r="GX547">
        <f t="shared" si="469"/>
        <v>0</v>
      </c>
      <c r="HA547">
        <v>0</v>
      </c>
      <c r="HB547">
        <v>0</v>
      </c>
      <c r="HC547">
        <f t="shared" si="470"/>
        <v>0</v>
      </c>
      <c r="HE547" t="s">
        <v>3</v>
      </c>
      <c r="HF547" t="s">
        <v>3</v>
      </c>
      <c r="HM547" t="s">
        <v>3</v>
      </c>
      <c r="HN547" t="s">
        <v>3</v>
      </c>
      <c r="HO547" t="s">
        <v>3</v>
      </c>
      <c r="HP547" t="s">
        <v>3</v>
      </c>
      <c r="HQ547" t="s">
        <v>3</v>
      </c>
      <c r="HS547">
        <v>0</v>
      </c>
      <c r="IK547">
        <v>0</v>
      </c>
    </row>
    <row r="548" spans="1:255" x14ac:dyDescent="0.2">
      <c r="A548" s="2">
        <v>17</v>
      </c>
      <c r="B548" s="2">
        <v>1</v>
      </c>
      <c r="C548" s="2">
        <f>ROW(SmtRes!A414)</f>
        <v>414</v>
      </c>
      <c r="D548" s="2">
        <f>ROW(EtalonRes!A495)</f>
        <v>495</v>
      </c>
      <c r="E548" s="2" t="s">
        <v>468</v>
      </c>
      <c r="F548" s="2" t="s">
        <v>56</v>
      </c>
      <c r="G548" s="2" t="s">
        <v>57</v>
      </c>
      <c r="H548" s="2" t="s">
        <v>58</v>
      </c>
      <c r="I548" s="2">
        <f>ROUND(2/10,9)</f>
        <v>0.2</v>
      </c>
      <c r="J548" s="2">
        <v>0</v>
      </c>
      <c r="K548" s="2">
        <f>ROUND(2/10,9)</f>
        <v>0.2</v>
      </c>
      <c r="L548" s="2"/>
      <c r="M548" s="2"/>
      <c r="N548" s="2"/>
      <c r="O548" s="2">
        <f t="shared" si="439"/>
        <v>108.99</v>
      </c>
      <c r="P548" s="2">
        <f t="shared" si="440"/>
        <v>0.26</v>
      </c>
      <c r="Q548" s="2">
        <f>(ROUND((ROUND((((ET548*1.1))*AV548*I548),2)*BB548),2)+ROUND((ROUND(((AE548-((EU548*1.1)))*AV548*I548),2)*BS548),2))</f>
        <v>0.25</v>
      </c>
      <c r="R548" s="2">
        <f t="shared" si="441"/>
        <v>0.03</v>
      </c>
      <c r="S548" s="2">
        <f t="shared" si="442"/>
        <v>108.48</v>
      </c>
      <c r="T548" s="2">
        <f t="shared" si="443"/>
        <v>0</v>
      </c>
      <c r="U548" s="2">
        <f t="shared" si="444"/>
        <v>6.9009864000000007</v>
      </c>
      <c r="V548" s="2">
        <f t="shared" si="445"/>
        <v>0</v>
      </c>
      <c r="W548" s="2">
        <f t="shared" si="446"/>
        <v>0</v>
      </c>
      <c r="X548" s="2">
        <f t="shared" si="447"/>
        <v>97.66</v>
      </c>
      <c r="Y548" s="2">
        <f t="shared" si="448"/>
        <v>49.91</v>
      </c>
      <c r="Z548" s="2"/>
      <c r="AA548" s="2">
        <v>56959434</v>
      </c>
      <c r="AB548" s="2">
        <f t="shared" si="449"/>
        <v>520.53399999999999</v>
      </c>
      <c r="AC548" s="2">
        <f t="shared" si="450"/>
        <v>1.29</v>
      </c>
      <c r="AD548" s="2">
        <f>ROUND(((((ET548*1.1))-((EU548*1.1)))+AE548),6)</f>
        <v>1.21</v>
      </c>
      <c r="AE548" s="2">
        <f>ROUND(((EU548*1.1)),6)</f>
        <v>0.14299999999999999</v>
      </c>
      <c r="AF548" s="2">
        <f>ROUND(((EV548*1.1)),6)</f>
        <v>518.03399999999999</v>
      </c>
      <c r="AG548" s="2">
        <f t="shared" si="451"/>
        <v>0</v>
      </c>
      <c r="AH548" s="2">
        <f>((EW548*1.1))</f>
        <v>32.956000000000003</v>
      </c>
      <c r="AI548" s="2">
        <f>((EX548*1.1))</f>
        <v>0</v>
      </c>
      <c r="AJ548" s="2">
        <f t="shared" si="452"/>
        <v>0</v>
      </c>
      <c r="AK548" s="2">
        <v>473.33</v>
      </c>
      <c r="AL548" s="2">
        <v>1.29</v>
      </c>
      <c r="AM548" s="2">
        <v>1.1000000000000001</v>
      </c>
      <c r="AN548" s="2">
        <v>0.13</v>
      </c>
      <c r="AO548" s="2">
        <v>470.94</v>
      </c>
      <c r="AP548" s="2">
        <v>0</v>
      </c>
      <c r="AQ548" s="2">
        <v>29.96</v>
      </c>
      <c r="AR548" s="2">
        <v>0</v>
      </c>
      <c r="AS548" s="2">
        <v>0</v>
      </c>
      <c r="AT548" s="2">
        <v>90</v>
      </c>
      <c r="AU548" s="2">
        <v>46</v>
      </c>
      <c r="AV548" s="2">
        <v>1.0469999999999999</v>
      </c>
      <c r="AW548" s="2">
        <v>1</v>
      </c>
      <c r="AX548" s="2"/>
      <c r="AY548" s="2"/>
      <c r="AZ548" s="2">
        <v>1</v>
      </c>
      <c r="BA548" s="2">
        <v>1</v>
      </c>
      <c r="BB548" s="2">
        <v>1</v>
      </c>
      <c r="BC548" s="2">
        <v>1</v>
      </c>
      <c r="BD548" s="2" t="s">
        <v>3</v>
      </c>
      <c r="BE548" s="2" t="s">
        <v>3</v>
      </c>
      <c r="BF548" s="2" t="s">
        <v>3</v>
      </c>
      <c r="BG548" s="2" t="s">
        <v>3</v>
      </c>
      <c r="BH548" s="2">
        <v>0</v>
      </c>
      <c r="BI548" s="2">
        <v>2</v>
      </c>
      <c r="BJ548" s="2" t="s">
        <v>59</v>
      </c>
      <c r="BK548" s="2"/>
      <c r="BL548" s="2"/>
      <c r="BM548" s="2">
        <v>68</v>
      </c>
      <c r="BN548" s="2">
        <v>55992028</v>
      </c>
      <c r="BO548" s="2" t="s">
        <v>56</v>
      </c>
      <c r="BP548" s="2">
        <v>1</v>
      </c>
      <c r="BQ548" s="2">
        <v>40</v>
      </c>
      <c r="BR548" s="2">
        <v>0</v>
      </c>
      <c r="BS548" s="2">
        <v>1</v>
      </c>
      <c r="BT548" s="2">
        <v>1</v>
      </c>
      <c r="BU548" s="2">
        <v>1</v>
      </c>
      <c r="BV548" s="2">
        <v>1</v>
      </c>
      <c r="BW548" s="2">
        <v>1</v>
      </c>
      <c r="BX548" s="2">
        <v>1</v>
      </c>
      <c r="BY548" s="2" t="s">
        <v>3</v>
      </c>
      <c r="BZ548" s="2">
        <v>90</v>
      </c>
      <c r="CA548" s="2">
        <v>46</v>
      </c>
      <c r="CB548" s="2" t="s">
        <v>3</v>
      </c>
      <c r="CC548" s="2"/>
      <c r="CD548" s="2"/>
      <c r="CE548" s="2">
        <v>30</v>
      </c>
      <c r="CF548" s="2">
        <v>0</v>
      </c>
      <c r="CG548" s="2">
        <v>0</v>
      </c>
      <c r="CH548" s="2"/>
      <c r="CI548" s="2"/>
      <c r="CJ548" s="2"/>
      <c r="CK548" s="2"/>
      <c r="CL548" s="2"/>
      <c r="CM548" s="2">
        <v>0</v>
      </c>
      <c r="CN548" s="2" t="s">
        <v>673</v>
      </c>
      <c r="CO548" s="2">
        <v>0</v>
      </c>
      <c r="CP548" s="2">
        <f t="shared" si="453"/>
        <v>108.99000000000001</v>
      </c>
      <c r="CQ548" s="2">
        <f t="shared" si="454"/>
        <v>1.29</v>
      </c>
      <c r="CR548" s="2">
        <f>(ROUND((ROUND((((ET548*1.1))*AV548*1),2)*BB548),2)+ROUND((ROUND(((AE548-((EU548*1.1)))*AV548*1),2)*BS548),2))</f>
        <v>1.27</v>
      </c>
      <c r="CS548" s="2">
        <f t="shared" si="455"/>
        <v>0.15</v>
      </c>
      <c r="CT548" s="2">
        <f t="shared" si="456"/>
        <v>542.38</v>
      </c>
      <c r="CU548" s="2">
        <f t="shared" si="457"/>
        <v>0</v>
      </c>
      <c r="CV548" s="2">
        <f t="shared" si="458"/>
        <v>34.504932000000004</v>
      </c>
      <c r="CW548" s="2">
        <f t="shared" si="459"/>
        <v>0</v>
      </c>
      <c r="CX548" s="2">
        <f t="shared" si="460"/>
        <v>0</v>
      </c>
      <c r="CY548" s="2">
        <f t="shared" si="461"/>
        <v>97.658999999999992</v>
      </c>
      <c r="CZ548" s="2">
        <f t="shared" si="462"/>
        <v>49.9146</v>
      </c>
      <c r="DA548" s="2"/>
      <c r="DB548" s="2"/>
      <c r="DC548" s="2" t="s">
        <v>3</v>
      </c>
      <c r="DD548" s="2" t="s">
        <v>3</v>
      </c>
      <c r="DE548" s="2" t="s">
        <v>23</v>
      </c>
      <c r="DF548" s="2" t="s">
        <v>23</v>
      </c>
      <c r="DG548" s="2" t="s">
        <v>23</v>
      </c>
      <c r="DH548" s="2" t="s">
        <v>3</v>
      </c>
      <c r="DI548" s="2" t="s">
        <v>23</v>
      </c>
      <c r="DJ548" s="2" t="s">
        <v>23</v>
      </c>
      <c r="DK548" s="2" t="s">
        <v>3</v>
      </c>
      <c r="DL548" s="2" t="s">
        <v>3</v>
      </c>
      <c r="DM548" s="2" t="s">
        <v>3</v>
      </c>
      <c r="DN548" s="2">
        <v>0</v>
      </c>
      <c r="DO548" s="2">
        <v>0</v>
      </c>
      <c r="DP548" s="2">
        <v>1</v>
      </c>
      <c r="DQ548" s="2">
        <v>1</v>
      </c>
      <c r="DR548" s="2"/>
      <c r="DS548" s="2"/>
      <c r="DT548" s="2"/>
      <c r="DU548" s="2">
        <v>1010</v>
      </c>
      <c r="DV548" s="2" t="s">
        <v>58</v>
      </c>
      <c r="DW548" s="2" t="s">
        <v>58</v>
      </c>
      <c r="DX548" s="2">
        <v>10</v>
      </c>
      <c r="DY548" s="2"/>
      <c r="DZ548" s="2" t="s">
        <v>3</v>
      </c>
      <c r="EA548" s="2" t="s">
        <v>3</v>
      </c>
      <c r="EB548" s="2" t="s">
        <v>3</v>
      </c>
      <c r="EC548" s="2" t="s">
        <v>3</v>
      </c>
      <c r="ED548" s="2"/>
      <c r="EE548" s="2">
        <v>55992152</v>
      </c>
      <c r="EF548" s="2">
        <v>40</v>
      </c>
      <c r="EG548" s="2" t="s">
        <v>24</v>
      </c>
      <c r="EH548" s="2">
        <v>0</v>
      </c>
      <c r="EI548" s="2" t="s">
        <v>3</v>
      </c>
      <c r="EJ548" s="2">
        <v>2</v>
      </c>
      <c r="EK548" s="2">
        <v>68</v>
      </c>
      <c r="EL548" s="2" t="s">
        <v>41</v>
      </c>
      <c r="EM548" s="2" t="s">
        <v>42</v>
      </c>
      <c r="EN548" s="2"/>
      <c r="EO548" s="2" t="s">
        <v>27</v>
      </c>
      <c r="EP548" s="2"/>
      <c r="EQ548" s="2">
        <v>0</v>
      </c>
      <c r="ER548" s="2">
        <v>473.33</v>
      </c>
      <c r="ES548" s="2">
        <v>1.29</v>
      </c>
      <c r="ET548" s="2">
        <v>1.1000000000000001</v>
      </c>
      <c r="EU548" s="2">
        <v>0.13</v>
      </c>
      <c r="EV548" s="2">
        <v>470.94</v>
      </c>
      <c r="EW548" s="2">
        <v>29.96</v>
      </c>
      <c r="EX548" s="2">
        <v>0</v>
      </c>
      <c r="EY548" s="2">
        <v>0</v>
      </c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>
        <v>0</v>
      </c>
      <c r="FR548" s="2">
        <v>0</v>
      </c>
      <c r="FS548" s="2">
        <v>0</v>
      </c>
      <c r="FT548" s="2"/>
      <c r="FU548" s="2"/>
      <c r="FV548" s="2"/>
      <c r="FW548" s="2"/>
      <c r="FX548" s="2">
        <v>90</v>
      </c>
      <c r="FY548" s="2">
        <v>46</v>
      </c>
      <c r="FZ548" s="2"/>
      <c r="GA548" s="2" t="s">
        <v>3</v>
      </c>
      <c r="GB548" s="2"/>
      <c r="GC548" s="2"/>
      <c r="GD548" s="2">
        <v>1</v>
      </c>
      <c r="GE548" s="2"/>
      <c r="GF548" s="2">
        <v>-733186695</v>
      </c>
      <c r="GG548" s="2">
        <v>2</v>
      </c>
      <c r="GH548" s="2">
        <v>1</v>
      </c>
      <c r="GI548" s="2">
        <v>2</v>
      </c>
      <c r="GJ548" s="2">
        <v>0</v>
      </c>
      <c r="GK548" s="2">
        <v>0</v>
      </c>
      <c r="GL548" s="2">
        <f t="shared" si="463"/>
        <v>0</v>
      </c>
      <c r="GM548" s="2">
        <f t="shared" si="464"/>
        <v>256.56</v>
      </c>
      <c r="GN548" s="2">
        <f t="shared" si="465"/>
        <v>0</v>
      </c>
      <c r="GO548" s="2">
        <f t="shared" si="466"/>
        <v>256.56</v>
      </c>
      <c r="GP548" s="2">
        <f t="shared" si="467"/>
        <v>0</v>
      </c>
      <c r="GQ548" s="2"/>
      <c r="GR548" s="2">
        <v>0</v>
      </c>
      <c r="GS548" s="2">
        <v>3</v>
      </c>
      <c r="GT548" s="2">
        <v>0</v>
      </c>
      <c r="GU548" s="2" t="s">
        <v>3</v>
      </c>
      <c r="GV548" s="2">
        <f t="shared" si="468"/>
        <v>0</v>
      </c>
      <c r="GW548" s="2">
        <v>1</v>
      </c>
      <c r="GX548" s="2">
        <f t="shared" si="469"/>
        <v>0</v>
      </c>
      <c r="GY548" s="2"/>
      <c r="GZ548" s="2"/>
      <c r="HA548" s="2">
        <v>0</v>
      </c>
      <c r="HB548" s="2">
        <v>0</v>
      </c>
      <c r="HC548" s="2">
        <f t="shared" si="470"/>
        <v>0</v>
      </c>
      <c r="HD548" s="2"/>
      <c r="HE548" s="2" t="s">
        <v>3</v>
      </c>
      <c r="HF548" s="2" t="s">
        <v>3</v>
      </c>
      <c r="HG548" s="2"/>
      <c r="HH548" s="2"/>
      <c r="HI548" s="2"/>
      <c r="HJ548" s="2"/>
      <c r="HK548" s="2"/>
      <c r="HL548" s="2"/>
      <c r="HM548" s="2" t="s">
        <v>3</v>
      </c>
      <c r="HN548" s="2" t="s">
        <v>3</v>
      </c>
      <c r="HO548" s="2" t="s">
        <v>3</v>
      </c>
      <c r="HP548" s="2" t="s">
        <v>3</v>
      </c>
      <c r="HQ548" s="2" t="s">
        <v>3</v>
      </c>
      <c r="HR548" s="2"/>
      <c r="HS548" s="2">
        <v>0</v>
      </c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>
        <v>0</v>
      </c>
      <c r="IL548" s="2"/>
      <c r="IM548" s="2"/>
      <c r="IN548" s="2"/>
      <c r="IO548" s="2"/>
      <c r="IP548" s="2"/>
      <c r="IQ548" s="2"/>
      <c r="IR548" s="2"/>
      <c r="IS548" s="2"/>
      <c r="IT548" s="2"/>
      <c r="IU548" s="2"/>
    </row>
    <row r="549" spans="1:255" x14ac:dyDescent="0.2">
      <c r="A549">
        <v>17</v>
      </c>
      <c r="B549">
        <v>1</v>
      </c>
      <c r="C549">
        <f>ROW(SmtRes!A418)</f>
        <v>418</v>
      </c>
      <c r="D549">
        <f>ROW(EtalonRes!A500)</f>
        <v>500</v>
      </c>
      <c r="E549" t="s">
        <v>468</v>
      </c>
      <c r="F549" t="s">
        <v>56</v>
      </c>
      <c r="G549" t="s">
        <v>57</v>
      </c>
      <c r="H549" t="s">
        <v>58</v>
      </c>
      <c r="I549">
        <f>ROUND(2/10,9)</f>
        <v>0.2</v>
      </c>
      <c r="J549">
        <v>0</v>
      </c>
      <c r="K549">
        <f>ROUND(2/10,9)</f>
        <v>0.2</v>
      </c>
      <c r="O549">
        <f t="shared" si="439"/>
        <v>5970.83</v>
      </c>
      <c r="P549">
        <f t="shared" si="440"/>
        <v>1.89</v>
      </c>
      <c r="Q549">
        <f>(ROUND((ROUND((((ET549*1.1))*AV549*I549),2)*BB549),2)+ROUND((ROUND(((AE549-((EU549*1.1)))*AV549*I549),2)*BS549),2))</f>
        <v>3.62</v>
      </c>
      <c r="R549">
        <f t="shared" si="441"/>
        <v>1.65</v>
      </c>
      <c r="S549">
        <f t="shared" si="442"/>
        <v>5965.32</v>
      </c>
      <c r="T549">
        <f t="shared" si="443"/>
        <v>0</v>
      </c>
      <c r="U549">
        <f t="shared" si="444"/>
        <v>6.9009864000000007</v>
      </c>
      <c r="V549">
        <f t="shared" si="445"/>
        <v>0</v>
      </c>
      <c r="W549">
        <f t="shared" si="446"/>
        <v>0</v>
      </c>
      <c r="X549">
        <f t="shared" si="447"/>
        <v>5370.27</v>
      </c>
      <c r="Y549">
        <f t="shared" si="448"/>
        <v>2744.81</v>
      </c>
      <c r="AA549">
        <v>56959431</v>
      </c>
      <c r="AB549">
        <f t="shared" si="449"/>
        <v>520.53399999999999</v>
      </c>
      <c r="AC549">
        <f t="shared" si="450"/>
        <v>1.29</v>
      </c>
      <c r="AD549">
        <f>ROUND(((((ET549*1.1))-((EU549*1.1)))+AE549),6)</f>
        <v>1.21</v>
      </c>
      <c r="AE549">
        <f>ROUND(((EU549*1.1)),6)</f>
        <v>0.14299999999999999</v>
      </c>
      <c r="AF549">
        <f>ROUND(((EV549*1.1)),6)</f>
        <v>518.03399999999999</v>
      </c>
      <c r="AG549">
        <f t="shared" si="451"/>
        <v>0</v>
      </c>
      <c r="AH549">
        <f>((EW549*1.1))</f>
        <v>32.956000000000003</v>
      </c>
      <c r="AI549">
        <f>((EX549*1.1))</f>
        <v>0</v>
      </c>
      <c r="AJ549">
        <f t="shared" si="452"/>
        <v>0</v>
      </c>
      <c r="AK549">
        <v>473.33</v>
      </c>
      <c r="AL549">
        <v>1.29</v>
      </c>
      <c r="AM549">
        <v>1.1000000000000001</v>
      </c>
      <c r="AN549">
        <v>0.13</v>
      </c>
      <c r="AO549">
        <v>470.94</v>
      </c>
      <c r="AP549">
        <v>0</v>
      </c>
      <c r="AQ549">
        <v>29.96</v>
      </c>
      <c r="AR549">
        <v>0</v>
      </c>
      <c r="AS549">
        <v>0</v>
      </c>
      <c r="AT549">
        <v>90</v>
      </c>
      <c r="AU549">
        <v>46</v>
      </c>
      <c r="AV549">
        <v>1.0469999999999999</v>
      </c>
      <c r="AW549">
        <v>1</v>
      </c>
      <c r="AZ549">
        <v>1</v>
      </c>
      <c r="BA549">
        <v>54.99</v>
      </c>
      <c r="BB549">
        <v>14.48</v>
      </c>
      <c r="BC549">
        <v>7.25</v>
      </c>
      <c r="BD549" t="s">
        <v>3</v>
      </c>
      <c r="BE549" t="s">
        <v>3</v>
      </c>
      <c r="BF549" t="s">
        <v>3</v>
      </c>
      <c r="BG549" t="s">
        <v>3</v>
      </c>
      <c r="BH549">
        <v>0</v>
      </c>
      <c r="BI549">
        <v>2</v>
      </c>
      <c r="BJ549" t="s">
        <v>59</v>
      </c>
      <c r="BM549">
        <v>68</v>
      </c>
      <c r="BN549">
        <v>55992028</v>
      </c>
      <c r="BO549" t="s">
        <v>56</v>
      </c>
      <c r="BP549">
        <v>1</v>
      </c>
      <c r="BQ549">
        <v>40</v>
      </c>
      <c r="BR549">
        <v>0</v>
      </c>
      <c r="BS549">
        <v>54.99</v>
      </c>
      <c r="BT549">
        <v>1</v>
      </c>
      <c r="BU549">
        <v>1</v>
      </c>
      <c r="BV549">
        <v>1</v>
      </c>
      <c r="BW549">
        <v>1</v>
      </c>
      <c r="BX549">
        <v>1</v>
      </c>
      <c r="BY549" t="s">
        <v>3</v>
      </c>
      <c r="BZ549">
        <v>90</v>
      </c>
      <c r="CA549">
        <v>46</v>
      </c>
      <c r="CB549" t="s">
        <v>3</v>
      </c>
      <c r="CE549">
        <v>30</v>
      </c>
      <c r="CF549">
        <v>0</v>
      </c>
      <c r="CG549">
        <v>0</v>
      </c>
      <c r="CM549">
        <v>0</v>
      </c>
      <c r="CN549" t="s">
        <v>673</v>
      </c>
      <c r="CO549">
        <v>0</v>
      </c>
      <c r="CP549">
        <f t="shared" si="453"/>
        <v>5970.83</v>
      </c>
      <c r="CQ549">
        <f t="shared" si="454"/>
        <v>9.35</v>
      </c>
      <c r="CR549">
        <f>(ROUND((ROUND((((ET549*1.1))*AV549*1),2)*BB549),2)+ROUND((ROUND(((AE549-((EU549*1.1)))*AV549*1),2)*BS549),2))</f>
        <v>18.39</v>
      </c>
      <c r="CS549">
        <f t="shared" si="455"/>
        <v>8.25</v>
      </c>
      <c r="CT549">
        <f t="shared" si="456"/>
        <v>29825.48</v>
      </c>
      <c r="CU549">
        <f t="shared" si="457"/>
        <v>0</v>
      </c>
      <c r="CV549">
        <f t="shared" si="458"/>
        <v>34.504932000000004</v>
      </c>
      <c r="CW549">
        <f t="shared" si="459"/>
        <v>0</v>
      </c>
      <c r="CX549">
        <f t="shared" si="460"/>
        <v>0</v>
      </c>
      <c r="CY549">
        <f t="shared" si="461"/>
        <v>5370.2729999999992</v>
      </c>
      <c r="CZ549">
        <f t="shared" si="462"/>
        <v>2744.8062</v>
      </c>
      <c r="DC549" t="s">
        <v>3</v>
      </c>
      <c r="DD549" t="s">
        <v>3</v>
      </c>
      <c r="DE549" t="s">
        <v>23</v>
      </c>
      <c r="DF549" t="s">
        <v>23</v>
      </c>
      <c r="DG549" t="s">
        <v>23</v>
      </c>
      <c r="DH549" t="s">
        <v>3</v>
      </c>
      <c r="DI549" t="s">
        <v>23</v>
      </c>
      <c r="DJ549" t="s">
        <v>23</v>
      </c>
      <c r="DK549" t="s">
        <v>3</v>
      </c>
      <c r="DL549" t="s">
        <v>3</v>
      </c>
      <c r="DM549" t="s">
        <v>3</v>
      </c>
      <c r="DN549">
        <v>0</v>
      </c>
      <c r="DO549">
        <v>0</v>
      </c>
      <c r="DP549">
        <v>1</v>
      </c>
      <c r="DQ549">
        <v>1</v>
      </c>
      <c r="DU549">
        <v>1010</v>
      </c>
      <c r="DV549" t="s">
        <v>58</v>
      </c>
      <c r="DW549" t="s">
        <v>58</v>
      </c>
      <c r="DX549">
        <v>10</v>
      </c>
      <c r="DZ549" t="s">
        <v>3</v>
      </c>
      <c r="EA549" t="s">
        <v>3</v>
      </c>
      <c r="EB549" t="s">
        <v>3</v>
      </c>
      <c r="EC549" t="s">
        <v>3</v>
      </c>
      <c r="EE549">
        <v>55992152</v>
      </c>
      <c r="EF549">
        <v>40</v>
      </c>
      <c r="EG549" t="s">
        <v>24</v>
      </c>
      <c r="EH549">
        <v>0</v>
      </c>
      <c r="EI549" t="s">
        <v>3</v>
      </c>
      <c r="EJ549">
        <v>2</v>
      </c>
      <c r="EK549">
        <v>68</v>
      </c>
      <c r="EL549" t="s">
        <v>41</v>
      </c>
      <c r="EM549" t="s">
        <v>42</v>
      </c>
      <c r="EO549" t="s">
        <v>27</v>
      </c>
      <c r="EQ549">
        <v>0</v>
      </c>
      <c r="ER549">
        <v>473.33</v>
      </c>
      <c r="ES549">
        <v>1.29</v>
      </c>
      <c r="ET549">
        <v>1.1000000000000001</v>
      </c>
      <c r="EU549">
        <v>0.13</v>
      </c>
      <c r="EV549">
        <v>470.94</v>
      </c>
      <c r="EW549">
        <v>29.96</v>
      </c>
      <c r="EX549">
        <v>0</v>
      </c>
      <c r="EY549">
        <v>0</v>
      </c>
      <c r="FQ549">
        <v>0</v>
      </c>
      <c r="FR549">
        <v>0</v>
      </c>
      <c r="FS549">
        <v>0</v>
      </c>
      <c r="FX549">
        <v>90</v>
      </c>
      <c r="FY549">
        <v>46</v>
      </c>
      <c r="GA549" t="s">
        <v>3</v>
      </c>
      <c r="GD549">
        <v>1</v>
      </c>
      <c r="GF549">
        <v>-733186695</v>
      </c>
      <c r="GG549">
        <v>2</v>
      </c>
      <c r="GH549">
        <v>1</v>
      </c>
      <c r="GI549">
        <v>2</v>
      </c>
      <c r="GJ549">
        <v>0</v>
      </c>
      <c r="GK549">
        <v>0</v>
      </c>
      <c r="GL549">
        <f t="shared" si="463"/>
        <v>0</v>
      </c>
      <c r="GM549">
        <f t="shared" si="464"/>
        <v>14085.91</v>
      </c>
      <c r="GN549">
        <f t="shared" si="465"/>
        <v>0</v>
      </c>
      <c r="GO549">
        <f t="shared" si="466"/>
        <v>14085.91</v>
      </c>
      <c r="GP549">
        <f t="shared" si="467"/>
        <v>0</v>
      </c>
      <c r="GR549">
        <v>0</v>
      </c>
      <c r="GS549">
        <v>3</v>
      </c>
      <c r="GT549">
        <v>0</v>
      </c>
      <c r="GU549" t="s">
        <v>3</v>
      </c>
      <c r="GV549">
        <f t="shared" si="468"/>
        <v>0</v>
      </c>
      <c r="GW549">
        <v>1</v>
      </c>
      <c r="GX549">
        <f t="shared" si="469"/>
        <v>0</v>
      </c>
      <c r="HA549">
        <v>0</v>
      </c>
      <c r="HB549">
        <v>0</v>
      </c>
      <c r="HC549">
        <f t="shared" si="470"/>
        <v>0</v>
      </c>
      <c r="HE549" t="s">
        <v>3</v>
      </c>
      <c r="HF549" t="s">
        <v>3</v>
      </c>
      <c r="HM549" t="s">
        <v>3</v>
      </c>
      <c r="HN549" t="s">
        <v>3</v>
      </c>
      <c r="HO549" t="s">
        <v>3</v>
      </c>
      <c r="HP549" t="s">
        <v>3</v>
      </c>
      <c r="HQ549" t="s">
        <v>3</v>
      </c>
      <c r="HS549">
        <v>0</v>
      </c>
      <c r="IK549">
        <v>0</v>
      </c>
    </row>
    <row r="550" spans="1:255" x14ac:dyDescent="0.2">
      <c r="A550" s="2">
        <v>17</v>
      </c>
      <c r="B550" s="2">
        <v>1</v>
      </c>
      <c r="C550" s="2"/>
      <c r="D550" s="2"/>
      <c r="E550" s="2" t="s">
        <v>469</v>
      </c>
      <c r="F550" s="2" t="s">
        <v>458</v>
      </c>
      <c r="G550" s="2" t="s">
        <v>459</v>
      </c>
      <c r="H550" s="2" t="s">
        <v>31</v>
      </c>
      <c r="I550" s="2">
        <v>2</v>
      </c>
      <c r="J550" s="2">
        <v>0</v>
      </c>
      <c r="K550" s="2">
        <v>2</v>
      </c>
      <c r="L550" s="2"/>
      <c r="M550" s="2"/>
      <c r="N550" s="2"/>
      <c r="O550" s="2">
        <f t="shared" si="439"/>
        <v>5844.56</v>
      </c>
      <c r="P550" s="2">
        <f>ROUND((ROUND((AC550*I550),2)*BC550),2)</f>
        <v>5844.56</v>
      </c>
      <c r="Q550" s="2">
        <f>(ROUND((ROUND(((ET550)*AV550*I550),2)*BB550),2)+ROUND((ROUND(((AE550-(EU550))*AV550*I550),2)*BS550),2))</f>
        <v>0</v>
      </c>
      <c r="R550" s="2">
        <f t="shared" si="441"/>
        <v>0</v>
      </c>
      <c r="S550" s="2">
        <f t="shared" si="442"/>
        <v>0</v>
      </c>
      <c r="T550" s="2">
        <f t="shared" si="443"/>
        <v>0</v>
      </c>
      <c r="U550" s="2">
        <f t="shared" si="444"/>
        <v>0</v>
      </c>
      <c r="V550" s="2">
        <f t="shared" si="445"/>
        <v>0</v>
      </c>
      <c r="W550" s="2">
        <f t="shared" si="446"/>
        <v>0</v>
      </c>
      <c r="X550" s="2">
        <f t="shared" si="447"/>
        <v>0</v>
      </c>
      <c r="Y550" s="2">
        <f t="shared" si="448"/>
        <v>0</v>
      </c>
      <c r="Z550" s="2"/>
      <c r="AA550" s="2">
        <v>56959434</v>
      </c>
      <c r="AB550" s="2">
        <f t="shared" si="449"/>
        <v>2922.28</v>
      </c>
      <c r="AC550" s="2">
        <f t="shared" si="450"/>
        <v>2922.28</v>
      </c>
      <c r="AD550" s="2">
        <f>ROUND((((ET550)-(EU550))+AE550),6)</f>
        <v>0</v>
      </c>
      <c r="AE550" s="2">
        <f>ROUND((EU550),6)</f>
        <v>0</v>
      </c>
      <c r="AF550" s="2">
        <f>ROUND((EV550),6)</f>
        <v>0</v>
      </c>
      <c r="AG550" s="2">
        <f t="shared" si="451"/>
        <v>0</v>
      </c>
      <c r="AH550" s="2">
        <f>(EW550)</f>
        <v>0</v>
      </c>
      <c r="AI550" s="2">
        <f>(EX550)</f>
        <v>0</v>
      </c>
      <c r="AJ550" s="2">
        <f t="shared" si="452"/>
        <v>0</v>
      </c>
      <c r="AK550" s="2">
        <v>2922.28</v>
      </c>
      <c r="AL550" s="2">
        <v>2922.28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1</v>
      </c>
      <c r="AW550" s="2">
        <v>1</v>
      </c>
      <c r="AX550" s="2"/>
      <c r="AY550" s="2"/>
      <c r="AZ550" s="2">
        <v>1</v>
      </c>
      <c r="BA550" s="2">
        <v>1</v>
      </c>
      <c r="BB550" s="2">
        <v>1</v>
      </c>
      <c r="BC550" s="2">
        <v>1</v>
      </c>
      <c r="BD550" s="2" t="s">
        <v>3</v>
      </c>
      <c r="BE550" s="2" t="s">
        <v>3</v>
      </c>
      <c r="BF550" s="2" t="s">
        <v>3</v>
      </c>
      <c r="BG550" s="2" t="s">
        <v>3</v>
      </c>
      <c r="BH550" s="2">
        <v>3</v>
      </c>
      <c r="BI550" s="2">
        <v>3</v>
      </c>
      <c r="BJ550" s="2" t="s">
        <v>3</v>
      </c>
      <c r="BK550" s="2"/>
      <c r="BL550" s="2"/>
      <c r="BM550" s="2">
        <v>746</v>
      </c>
      <c r="BN550" s="2">
        <v>0</v>
      </c>
      <c r="BO550" s="2" t="s">
        <v>3</v>
      </c>
      <c r="BP550" s="2">
        <v>0</v>
      </c>
      <c r="BQ550" s="2">
        <v>130</v>
      </c>
      <c r="BR550" s="2">
        <v>0</v>
      </c>
      <c r="BS550" s="2">
        <v>1</v>
      </c>
      <c r="BT550" s="2">
        <v>1</v>
      </c>
      <c r="BU550" s="2">
        <v>1</v>
      </c>
      <c r="BV550" s="2">
        <v>1</v>
      </c>
      <c r="BW550" s="2">
        <v>1</v>
      </c>
      <c r="BX550" s="2">
        <v>1</v>
      </c>
      <c r="BY550" s="2" t="s">
        <v>3</v>
      </c>
      <c r="BZ550" s="2">
        <v>0</v>
      </c>
      <c r="CA550" s="2">
        <v>0</v>
      </c>
      <c r="CB550" s="2" t="s">
        <v>3</v>
      </c>
      <c r="CC550" s="2"/>
      <c r="CD550" s="2"/>
      <c r="CE550" s="2">
        <v>30</v>
      </c>
      <c r="CF550" s="2">
        <v>0</v>
      </c>
      <c r="CG550" s="2">
        <v>0</v>
      </c>
      <c r="CH550" s="2"/>
      <c r="CI550" s="2"/>
      <c r="CJ550" s="2"/>
      <c r="CK550" s="2"/>
      <c r="CL550" s="2"/>
      <c r="CM550" s="2">
        <v>0</v>
      </c>
      <c r="CN550" s="2" t="s">
        <v>3</v>
      </c>
      <c r="CO550" s="2">
        <v>0</v>
      </c>
      <c r="CP550" s="2">
        <f t="shared" si="453"/>
        <v>5844.56</v>
      </c>
      <c r="CQ550" s="2">
        <f>ROUND((ROUND((AC550*1),2)*BC550),2)</f>
        <v>2922.28</v>
      </c>
      <c r="CR550" s="2">
        <f>(ROUND((ROUND(((ET550)*AV550*1),2)*BB550),2)+ROUND((ROUND(((AE550-(EU550))*AV550*1),2)*BS550),2))</f>
        <v>0</v>
      </c>
      <c r="CS550" s="2">
        <f t="shared" si="455"/>
        <v>0</v>
      </c>
      <c r="CT550" s="2">
        <f t="shared" si="456"/>
        <v>0</v>
      </c>
      <c r="CU550" s="2">
        <f t="shared" si="457"/>
        <v>0</v>
      </c>
      <c r="CV550" s="2">
        <f t="shared" si="458"/>
        <v>0</v>
      </c>
      <c r="CW550" s="2">
        <f t="shared" si="459"/>
        <v>0</v>
      </c>
      <c r="CX550" s="2">
        <f t="shared" si="460"/>
        <v>0</v>
      </c>
      <c r="CY550" s="2">
        <f t="shared" si="461"/>
        <v>0</v>
      </c>
      <c r="CZ550" s="2">
        <f t="shared" si="462"/>
        <v>0</v>
      </c>
      <c r="DA550" s="2"/>
      <c r="DB550" s="2"/>
      <c r="DC550" s="2" t="s">
        <v>3</v>
      </c>
      <c r="DD550" s="2" t="s">
        <v>3</v>
      </c>
      <c r="DE550" s="2" t="s">
        <v>3</v>
      </c>
      <c r="DF550" s="2" t="s">
        <v>3</v>
      </c>
      <c r="DG550" s="2" t="s">
        <v>3</v>
      </c>
      <c r="DH550" s="2" t="s">
        <v>3</v>
      </c>
      <c r="DI550" s="2" t="s">
        <v>3</v>
      </c>
      <c r="DJ550" s="2" t="s">
        <v>3</v>
      </c>
      <c r="DK550" s="2" t="s">
        <v>3</v>
      </c>
      <c r="DL550" s="2" t="s">
        <v>3</v>
      </c>
      <c r="DM550" s="2" t="s">
        <v>3</v>
      </c>
      <c r="DN550" s="2">
        <v>0</v>
      </c>
      <c r="DO550" s="2">
        <v>0</v>
      </c>
      <c r="DP550" s="2">
        <v>1</v>
      </c>
      <c r="DQ550" s="2">
        <v>1</v>
      </c>
      <c r="DR550" s="2"/>
      <c r="DS550" s="2"/>
      <c r="DT550" s="2"/>
      <c r="DU550" s="2">
        <v>1010</v>
      </c>
      <c r="DV550" s="2" t="s">
        <v>31</v>
      </c>
      <c r="DW550" s="2" t="s">
        <v>31</v>
      </c>
      <c r="DX550" s="2">
        <v>1</v>
      </c>
      <c r="DY550" s="2"/>
      <c r="DZ550" s="2" t="s">
        <v>3</v>
      </c>
      <c r="EA550" s="2" t="s">
        <v>3</v>
      </c>
      <c r="EB550" s="2" t="s">
        <v>3</v>
      </c>
      <c r="EC550" s="2" t="s">
        <v>3</v>
      </c>
      <c r="ED550" s="2"/>
      <c r="EE550" s="2">
        <v>55992259</v>
      </c>
      <c r="EF550" s="2">
        <v>130</v>
      </c>
      <c r="EG550" s="2" t="s">
        <v>32</v>
      </c>
      <c r="EH550" s="2">
        <v>0</v>
      </c>
      <c r="EI550" s="2" t="s">
        <v>3</v>
      </c>
      <c r="EJ550" s="2">
        <v>3</v>
      </c>
      <c r="EK550" s="2">
        <v>746</v>
      </c>
      <c r="EL550" s="2" t="s">
        <v>33</v>
      </c>
      <c r="EM550" s="2" t="s">
        <v>34</v>
      </c>
      <c r="EN550" s="2"/>
      <c r="EO550" s="2" t="s">
        <v>3</v>
      </c>
      <c r="EP550" s="2"/>
      <c r="EQ550" s="2">
        <v>0</v>
      </c>
      <c r="ER550" s="2">
        <v>0</v>
      </c>
      <c r="ES550" s="2">
        <v>2922.28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>
        <v>0</v>
      </c>
      <c r="FR550" s="2">
        <f>P550</f>
        <v>5844.56</v>
      </c>
      <c r="FS550" s="2">
        <v>0</v>
      </c>
      <c r="FT550" s="2"/>
      <c r="FU550" s="2"/>
      <c r="FV550" s="2"/>
      <c r="FW550" s="2"/>
      <c r="FX550" s="2">
        <v>0</v>
      </c>
      <c r="FY550" s="2">
        <v>0</v>
      </c>
      <c r="FZ550" s="2"/>
      <c r="GA550" s="2" t="s">
        <v>460</v>
      </c>
      <c r="GB550" s="2"/>
      <c r="GC550" s="2"/>
      <c r="GD550" s="2">
        <v>1</v>
      </c>
      <c r="GE550" s="2"/>
      <c r="GF550" s="2">
        <v>46176004</v>
      </c>
      <c r="GG550" s="2">
        <v>2</v>
      </c>
      <c r="GH550" s="2">
        <v>4</v>
      </c>
      <c r="GI550" s="2">
        <v>-2</v>
      </c>
      <c r="GJ550" s="2">
        <v>0</v>
      </c>
      <c r="GK550" s="2">
        <v>0</v>
      </c>
      <c r="GL550" s="2">
        <f t="shared" si="463"/>
        <v>0</v>
      </c>
      <c r="GM550" s="2">
        <f t="shared" si="464"/>
        <v>5844.56</v>
      </c>
      <c r="GN550" s="2">
        <f t="shared" si="465"/>
        <v>0</v>
      </c>
      <c r="GO550" s="2">
        <f t="shared" si="466"/>
        <v>0</v>
      </c>
      <c r="GP550" s="2">
        <f t="shared" si="467"/>
        <v>0</v>
      </c>
      <c r="GQ550" s="2"/>
      <c r="GR550" s="2">
        <v>0</v>
      </c>
      <c r="GS550" s="2">
        <v>2</v>
      </c>
      <c r="GT550" s="2">
        <v>0</v>
      </c>
      <c r="GU550" s="2" t="s">
        <v>3</v>
      </c>
      <c r="GV550" s="2">
        <f t="shared" si="468"/>
        <v>0</v>
      </c>
      <c r="GW550" s="2">
        <v>1</v>
      </c>
      <c r="GX550" s="2">
        <f t="shared" si="469"/>
        <v>0</v>
      </c>
      <c r="GY550" s="2"/>
      <c r="GZ550" s="2"/>
      <c r="HA550" s="2">
        <v>0</v>
      </c>
      <c r="HB550" s="2">
        <v>0</v>
      </c>
      <c r="HC550" s="2">
        <f t="shared" si="470"/>
        <v>0</v>
      </c>
      <c r="HD550" s="2"/>
      <c r="HE550" s="2" t="s">
        <v>36</v>
      </c>
      <c r="HF550" s="2" t="s">
        <v>37</v>
      </c>
      <c r="HG550" s="2"/>
      <c r="HH550" s="2"/>
      <c r="HI550" s="2"/>
      <c r="HJ550" s="2"/>
      <c r="HK550" s="2"/>
      <c r="HL550" s="2"/>
      <c r="HM550" s="2" t="s">
        <v>3</v>
      </c>
      <c r="HN550" s="2" t="s">
        <v>3</v>
      </c>
      <c r="HO550" s="2" t="s">
        <v>3</v>
      </c>
      <c r="HP550" s="2" t="s">
        <v>3</v>
      </c>
      <c r="HQ550" s="2" t="s">
        <v>3</v>
      </c>
      <c r="HR550" s="2"/>
      <c r="HS550" s="2">
        <v>0</v>
      </c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>
        <v>0</v>
      </c>
      <c r="IL550" s="2"/>
      <c r="IM550" s="2"/>
      <c r="IN550" s="2"/>
      <c r="IO550" s="2"/>
      <c r="IP550" s="2"/>
      <c r="IQ550" s="2"/>
      <c r="IR550" s="2"/>
      <c r="IS550" s="2"/>
      <c r="IT550" s="2"/>
      <c r="IU550" s="2"/>
    </row>
    <row r="551" spans="1:255" x14ac:dyDescent="0.2">
      <c r="A551">
        <v>17</v>
      </c>
      <c r="B551">
        <v>1</v>
      </c>
      <c r="E551" t="s">
        <v>469</v>
      </c>
      <c r="F551" t="s">
        <v>458</v>
      </c>
      <c r="G551" t="s">
        <v>459</v>
      </c>
      <c r="H551" t="s">
        <v>31</v>
      </c>
      <c r="I551">
        <v>2</v>
      </c>
      <c r="J551">
        <v>0</v>
      </c>
      <c r="K551">
        <v>2</v>
      </c>
      <c r="O551">
        <f t="shared" si="439"/>
        <v>44769.33</v>
      </c>
      <c r="P551">
        <f>ROUND((ROUND((AC551*I551),2)*BC551),2)</f>
        <v>44769.33</v>
      </c>
      <c r="Q551">
        <f>(ROUND((ROUND(((ET551)*AV551*I551),2)*BB551),2)+ROUND((ROUND(((AE551-(EU551))*AV551*I551),2)*BS551),2))</f>
        <v>0</v>
      </c>
      <c r="R551">
        <f t="shared" si="441"/>
        <v>0</v>
      </c>
      <c r="S551">
        <f t="shared" si="442"/>
        <v>0</v>
      </c>
      <c r="T551">
        <f t="shared" si="443"/>
        <v>0</v>
      </c>
      <c r="U551">
        <f t="shared" si="444"/>
        <v>0</v>
      </c>
      <c r="V551">
        <f t="shared" si="445"/>
        <v>0</v>
      </c>
      <c r="W551">
        <f t="shared" si="446"/>
        <v>0</v>
      </c>
      <c r="X551">
        <f t="shared" si="447"/>
        <v>0</v>
      </c>
      <c r="Y551">
        <f t="shared" si="448"/>
        <v>0</v>
      </c>
      <c r="AA551">
        <v>56959431</v>
      </c>
      <c r="AB551">
        <f t="shared" si="449"/>
        <v>2922.28</v>
      </c>
      <c r="AC551">
        <f t="shared" si="450"/>
        <v>2922.28</v>
      </c>
      <c r="AD551">
        <f>ROUND((((ET551)-(EU551))+AE551),6)</f>
        <v>0</v>
      </c>
      <c r="AE551">
        <f>ROUND((EU551),6)</f>
        <v>0</v>
      </c>
      <c r="AF551">
        <f>ROUND((EV551),6)</f>
        <v>0</v>
      </c>
      <c r="AG551">
        <f t="shared" si="451"/>
        <v>0</v>
      </c>
      <c r="AH551">
        <f>(EW551)</f>
        <v>0</v>
      </c>
      <c r="AI551">
        <f>(EX551)</f>
        <v>0</v>
      </c>
      <c r="AJ551">
        <f t="shared" si="452"/>
        <v>0</v>
      </c>
      <c r="AK551">
        <v>2922.28</v>
      </c>
      <c r="AL551">
        <v>2922.28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1</v>
      </c>
      <c r="AZ551">
        <v>1</v>
      </c>
      <c r="BA551">
        <v>1</v>
      </c>
      <c r="BB551">
        <v>1</v>
      </c>
      <c r="BC551">
        <v>7.66</v>
      </c>
      <c r="BD551" t="s">
        <v>3</v>
      </c>
      <c r="BE551" t="s">
        <v>3</v>
      </c>
      <c r="BF551" t="s">
        <v>3</v>
      </c>
      <c r="BG551" t="s">
        <v>3</v>
      </c>
      <c r="BH551">
        <v>3</v>
      </c>
      <c r="BI551">
        <v>3</v>
      </c>
      <c r="BJ551" t="s">
        <v>3</v>
      </c>
      <c r="BM551">
        <v>746</v>
      </c>
      <c r="BN551">
        <v>0</v>
      </c>
      <c r="BO551" t="s">
        <v>3</v>
      </c>
      <c r="BP551">
        <v>0</v>
      </c>
      <c r="BQ551">
        <v>130</v>
      </c>
      <c r="BR551">
        <v>0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 t="s">
        <v>3</v>
      </c>
      <c r="BZ551">
        <v>0</v>
      </c>
      <c r="CA551">
        <v>0</v>
      </c>
      <c r="CB551" t="s">
        <v>3</v>
      </c>
      <c r="CE551">
        <v>30</v>
      </c>
      <c r="CF551">
        <v>0</v>
      </c>
      <c r="CG551">
        <v>0</v>
      </c>
      <c r="CM551">
        <v>0</v>
      </c>
      <c r="CN551" t="s">
        <v>3</v>
      </c>
      <c r="CO551">
        <v>0</v>
      </c>
      <c r="CP551">
        <f t="shared" si="453"/>
        <v>44769.33</v>
      </c>
      <c r="CQ551">
        <f>ROUND((ROUND((AC551*1),2)*BC551),2)</f>
        <v>22384.66</v>
      </c>
      <c r="CR551">
        <f>(ROUND((ROUND(((ET551)*AV551*1),2)*BB551),2)+ROUND((ROUND(((AE551-(EU551))*AV551*1),2)*BS551),2))</f>
        <v>0</v>
      </c>
      <c r="CS551">
        <f t="shared" si="455"/>
        <v>0</v>
      </c>
      <c r="CT551">
        <f t="shared" si="456"/>
        <v>0</v>
      </c>
      <c r="CU551">
        <f t="shared" si="457"/>
        <v>0</v>
      </c>
      <c r="CV551">
        <f t="shared" si="458"/>
        <v>0</v>
      </c>
      <c r="CW551">
        <f t="shared" si="459"/>
        <v>0</v>
      </c>
      <c r="CX551">
        <f t="shared" si="460"/>
        <v>0</v>
      </c>
      <c r="CY551">
        <f t="shared" si="461"/>
        <v>0</v>
      </c>
      <c r="CZ551">
        <f t="shared" si="462"/>
        <v>0</v>
      </c>
      <c r="DC551" t="s">
        <v>3</v>
      </c>
      <c r="DD551" t="s">
        <v>3</v>
      </c>
      <c r="DE551" t="s">
        <v>3</v>
      </c>
      <c r="DF551" t="s">
        <v>3</v>
      </c>
      <c r="DG551" t="s">
        <v>3</v>
      </c>
      <c r="DH551" t="s">
        <v>3</v>
      </c>
      <c r="DI551" t="s">
        <v>3</v>
      </c>
      <c r="DJ551" t="s">
        <v>3</v>
      </c>
      <c r="DK551" t="s">
        <v>3</v>
      </c>
      <c r="DL551" t="s">
        <v>3</v>
      </c>
      <c r="DM551" t="s">
        <v>3</v>
      </c>
      <c r="DN551">
        <v>0</v>
      </c>
      <c r="DO551">
        <v>0</v>
      </c>
      <c r="DP551">
        <v>1</v>
      </c>
      <c r="DQ551">
        <v>1</v>
      </c>
      <c r="DU551">
        <v>1010</v>
      </c>
      <c r="DV551" t="s">
        <v>31</v>
      </c>
      <c r="DW551" t="s">
        <v>31</v>
      </c>
      <c r="DX551">
        <v>1</v>
      </c>
      <c r="DZ551" t="s">
        <v>3</v>
      </c>
      <c r="EA551" t="s">
        <v>3</v>
      </c>
      <c r="EB551" t="s">
        <v>3</v>
      </c>
      <c r="EC551" t="s">
        <v>3</v>
      </c>
      <c r="EE551">
        <v>55992259</v>
      </c>
      <c r="EF551">
        <v>130</v>
      </c>
      <c r="EG551" t="s">
        <v>32</v>
      </c>
      <c r="EH551">
        <v>0</v>
      </c>
      <c r="EI551" t="s">
        <v>3</v>
      </c>
      <c r="EJ551">
        <v>3</v>
      </c>
      <c r="EK551">
        <v>746</v>
      </c>
      <c r="EL551" t="s">
        <v>33</v>
      </c>
      <c r="EM551" t="s">
        <v>34</v>
      </c>
      <c r="EO551" t="s">
        <v>3</v>
      </c>
      <c r="EQ551">
        <v>0</v>
      </c>
      <c r="ER551">
        <v>2922.28</v>
      </c>
      <c r="ES551">
        <v>2922.28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5</v>
      </c>
      <c r="FC551">
        <v>1</v>
      </c>
      <c r="FD551">
        <v>18</v>
      </c>
      <c r="FF551">
        <v>25770</v>
      </c>
      <c r="FQ551">
        <v>0</v>
      </c>
      <c r="FR551">
        <f>P551</f>
        <v>44769.33</v>
      </c>
      <c r="FS551">
        <v>0</v>
      </c>
      <c r="FX551">
        <v>0</v>
      </c>
      <c r="FY551">
        <v>0</v>
      </c>
      <c r="GA551" t="s">
        <v>460</v>
      </c>
      <c r="GD551">
        <v>1</v>
      </c>
      <c r="GF551">
        <v>46176004</v>
      </c>
      <c r="GG551">
        <v>2</v>
      </c>
      <c r="GH551">
        <v>3</v>
      </c>
      <c r="GI551">
        <v>5</v>
      </c>
      <c r="GJ551">
        <v>0</v>
      </c>
      <c r="GK551">
        <v>0</v>
      </c>
      <c r="GL551">
        <f t="shared" si="463"/>
        <v>0</v>
      </c>
      <c r="GM551">
        <f t="shared" si="464"/>
        <v>44769.33</v>
      </c>
      <c r="GN551">
        <f t="shared" si="465"/>
        <v>0</v>
      </c>
      <c r="GO551">
        <f t="shared" si="466"/>
        <v>0</v>
      </c>
      <c r="GP551">
        <f t="shared" si="467"/>
        <v>0</v>
      </c>
      <c r="GR551">
        <v>1</v>
      </c>
      <c r="GS551">
        <v>1</v>
      </c>
      <c r="GT551">
        <v>0</v>
      </c>
      <c r="GU551" t="s">
        <v>3</v>
      </c>
      <c r="GV551">
        <f t="shared" si="468"/>
        <v>0</v>
      </c>
      <c r="GW551">
        <v>1</v>
      </c>
      <c r="GX551">
        <f t="shared" si="469"/>
        <v>0</v>
      </c>
      <c r="HA551">
        <v>0</v>
      </c>
      <c r="HB551">
        <v>0</v>
      </c>
      <c r="HC551">
        <f t="shared" si="470"/>
        <v>0</v>
      </c>
      <c r="HE551" t="s">
        <v>36</v>
      </c>
      <c r="HF551" t="s">
        <v>37</v>
      </c>
      <c r="HM551" t="s">
        <v>3</v>
      </c>
      <c r="HN551" t="s">
        <v>3</v>
      </c>
      <c r="HO551" t="s">
        <v>3</v>
      </c>
      <c r="HP551" t="s">
        <v>3</v>
      </c>
      <c r="HQ551" t="s">
        <v>3</v>
      </c>
      <c r="HS551">
        <v>0</v>
      </c>
      <c r="IK551">
        <v>0</v>
      </c>
    </row>
    <row r="552" spans="1:255" x14ac:dyDescent="0.2">
      <c r="A552" s="2">
        <v>17</v>
      </c>
      <c r="B552" s="2">
        <v>1</v>
      </c>
      <c r="C552" s="2">
        <f>ROW(SmtRes!A420)</f>
        <v>420</v>
      </c>
      <c r="D552" s="2">
        <f>ROW(EtalonRes!A503)</f>
        <v>503</v>
      </c>
      <c r="E552" s="2" t="s">
        <v>470</v>
      </c>
      <c r="F552" s="2" t="s">
        <v>471</v>
      </c>
      <c r="G552" s="2" t="s">
        <v>472</v>
      </c>
      <c r="H552" s="2" t="s">
        <v>21</v>
      </c>
      <c r="I552" s="2">
        <v>11</v>
      </c>
      <c r="J552" s="2">
        <v>0</v>
      </c>
      <c r="K552" s="2">
        <v>11</v>
      </c>
      <c r="L552" s="2"/>
      <c r="M552" s="2"/>
      <c r="N552" s="2"/>
      <c r="O552" s="2">
        <f t="shared" si="439"/>
        <v>159.88</v>
      </c>
      <c r="P552" s="2">
        <f>ROUND((ROUND((AC552*AW552*I552),2)*BC552),2)</f>
        <v>0</v>
      </c>
      <c r="Q552" s="2">
        <f>(ROUND((ROUND((((ET552*1.1))*AV552*I552),2)*BB552),2)+ROUND((ROUND(((AE552-((EU552*1.1)))*AV552*I552),2)*BS552),2))</f>
        <v>0</v>
      </c>
      <c r="R552" s="2">
        <f t="shared" si="441"/>
        <v>0</v>
      </c>
      <c r="S552" s="2">
        <f t="shared" si="442"/>
        <v>159.88</v>
      </c>
      <c r="T552" s="2">
        <f t="shared" si="443"/>
        <v>0</v>
      </c>
      <c r="U552" s="2">
        <f t="shared" si="444"/>
        <v>12.668699999999999</v>
      </c>
      <c r="V552" s="2">
        <f t="shared" si="445"/>
        <v>0</v>
      </c>
      <c r="W552" s="2">
        <f t="shared" si="446"/>
        <v>0</v>
      </c>
      <c r="X552" s="2">
        <f t="shared" si="447"/>
        <v>151.88999999999999</v>
      </c>
      <c r="Y552" s="2">
        <f t="shared" si="448"/>
        <v>84.74</v>
      </c>
      <c r="Z552" s="2"/>
      <c r="AA552" s="2">
        <v>56959434</v>
      </c>
      <c r="AB552" s="2">
        <f t="shared" si="449"/>
        <v>13.882</v>
      </c>
      <c r="AC552" s="2">
        <f t="shared" si="450"/>
        <v>0</v>
      </c>
      <c r="AD552" s="2">
        <f>ROUND(((((ET552*1.1))-((EU552*1.1)))+AE552),6)</f>
        <v>0</v>
      </c>
      <c r="AE552" s="2">
        <f>ROUND(((EU552*1.1)),6)</f>
        <v>0</v>
      </c>
      <c r="AF552" s="2">
        <f>ROUND(((EV552*1.1)),6)</f>
        <v>13.882</v>
      </c>
      <c r="AG552" s="2">
        <f t="shared" si="451"/>
        <v>0</v>
      </c>
      <c r="AH552" s="2">
        <f>((EW552*1.1))</f>
        <v>1.1000000000000001</v>
      </c>
      <c r="AI552" s="2">
        <f>((EX552*1.1))</f>
        <v>0</v>
      </c>
      <c r="AJ552" s="2">
        <f t="shared" si="452"/>
        <v>0</v>
      </c>
      <c r="AK552" s="2">
        <v>12.62</v>
      </c>
      <c r="AL552" s="2">
        <v>0</v>
      </c>
      <c r="AM552" s="2">
        <v>0</v>
      </c>
      <c r="AN552" s="2">
        <v>0</v>
      </c>
      <c r="AO552" s="2">
        <v>12.62</v>
      </c>
      <c r="AP552" s="2">
        <v>0</v>
      </c>
      <c r="AQ552" s="2">
        <v>1</v>
      </c>
      <c r="AR552" s="2">
        <v>0</v>
      </c>
      <c r="AS552" s="2">
        <v>0</v>
      </c>
      <c r="AT552" s="2">
        <v>95</v>
      </c>
      <c r="AU552" s="2">
        <v>53</v>
      </c>
      <c r="AV552" s="2">
        <v>1.0469999999999999</v>
      </c>
      <c r="AW552" s="2">
        <v>1</v>
      </c>
      <c r="AX552" s="2"/>
      <c r="AY552" s="2"/>
      <c r="AZ552" s="2">
        <v>1</v>
      </c>
      <c r="BA552" s="2">
        <v>1</v>
      </c>
      <c r="BB552" s="2">
        <v>1</v>
      </c>
      <c r="BC552" s="2">
        <v>1</v>
      </c>
      <c r="BD552" s="2" t="s">
        <v>3</v>
      </c>
      <c r="BE552" s="2" t="s">
        <v>3</v>
      </c>
      <c r="BF552" s="2" t="s">
        <v>3</v>
      </c>
      <c r="BG552" s="2" t="s">
        <v>3</v>
      </c>
      <c r="BH552" s="2">
        <v>0</v>
      </c>
      <c r="BI552" s="2">
        <v>2</v>
      </c>
      <c r="BJ552" s="2" t="s">
        <v>473</v>
      </c>
      <c r="BK552" s="2"/>
      <c r="BL552" s="2"/>
      <c r="BM552" s="2">
        <v>69</v>
      </c>
      <c r="BN552" s="2">
        <v>55992028</v>
      </c>
      <c r="BO552" s="2" t="s">
        <v>471</v>
      </c>
      <c r="BP552" s="2">
        <v>1</v>
      </c>
      <c r="BQ552" s="2">
        <v>40</v>
      </c>
      <c r="BR552" s="2">
        <v>0</v>
      </c>
      <c r="BS552" s="2">
        <v>1</v>
      </c>
      <c r="BT552" s="2">
        <v>1</v>
      </c>
      <c r="BU552" s="2">
        <v>1</v>
      </c>
      <c r="BV552" s="2">
        <v>1</v>
      </c>
      <c r="BW552" s="2">
        <v>1</v>
      </c>
      <c r="BX552" s="2">
        <v>1</v>
      </c>
      <c r="BY552" s="2" t="s">
        <v>3</v>
      </c>
      <c r="BZ552" s="2">
        <v>95</v>
      </c>
      <c r="CA552" s="2">
        <v>53</v>
      </c>
      <c r="CB552" s="2" t="s">
        <v>3</v>
      </c>
      <c r="CC552" s="2"/>
      <c r="CD552" s="2"/>
      <c r="CE552" s="2">
        <v>30</v>
      </c>
      <c r="CF552" s="2">
        <v>0</v>
      </c>
      <c r="CG552" s="2">
        <v>0</v>
      </c>
      <c r="CH552" s="2"/>
      <c r="CI552" s="2"/>
      <c r="CJ552" s="2"/>
      <c r="CK552" s="2"/>
      <c r="CL552" s="2"/>
      <c r="CM552" s="2">
        <v>0</v>
      </c>
      <c r="CN552" s="2" t="s">
        <v>673</v>
      </c>
      <c r="CO552" s="2">
        <v>0</v>
      </c>
      <c r="CP552" s="2">
        <f t="shared" si="453"/>
        <v>159.88</v>
      </c>
      <c r="CQ552" s="2">
        <f>ROUND((ROUND((AC552*AW552*1),2)*BC552),2)</f>
        <v>0</v>
      </c>
      <c r="CR552" s="2">
        <f>(ROUND((ROUND((((ET552*1.1))*AV552*1),2)*BB552),2)+ROUND((ROUND(((AE552-((EU552*1.1)))*AV552*1),2)*BS552),2))</f>
        <v>0</v>
      </c>
      <c r="CS552" s="2">
        <f t="shared" si="455"/>
        <v>0</v>
      </c>
      <c r="CT552" s="2">
        <f t="shared" si="456"/>
        <v>14.53</v>
      </c>
      <c r="CU552" s="2">
        <f t="shared" si="457"/>
        <v>0</v>
      </c>
      <c r="CV552" s="2">
        <f t="shared" si="458"/>
        <v>1.1516999999999999</v>
      </c>
      <c r="CW552" s="2">
        <f t="shared" si="459"/>
        <v>0</v>
      </c>
      <c r="CX552" s="2">
        <f t="shared" si="460"/>
        <v>0</v>
      </c>
      <c r="CY552" s="2">
        <f t="shared" si="461"/>
        <v>151.886</v>
      </c>
      <c r="CZ552" s="2">
        <f t="shared" si="462"/>
        <v>84.736399999999989</v>
      </c>
      <c r="DA552" s="2"/>
      <c r="DB552" s="2"/>
      <c r="DC552" s="2" t="s">
        <v>3</v>
      </c>
      <c r="DD552" s="2" t="s">
        <v>3</v>
      </c>
      <c r="DE552" s="2" t="s">
        <v>23</v>
      </c>
      <c r="DF552" s="2" t="s">
        <v>23</v>
      </c>
      <c r="DG552" s="2" t="s">
        <v>23</v>
      </c>
      <c r="DH552" s="2" t="s">
        <v>3</v>
      </c>
      <c r="DI552" s="2" t="s">
        <v>23</v>
      </c>
      <c r="DJ552" s="2" t="s">
        <v>23</v>
      </c>
      <c r="DK552" s="2" t="s">
        <v>3</v>
      </c>
      <c r="DL552" s="2" t="s">
        <v>3</v>
      </c>
      <c r="DM552" s="2" t="s">
        <v>3</v>
      </c>
      <c r="DN552" s="2">
        <v>0</v>
      </c>
      <c r="DO552" s="2">
        <v>0</v>
      </c>
      <c r="DP552" s="2">
        <v>1</v>
      </c>
      <c r="DQ552" s="2">
        <v>1</v>
      </c>
      <c r="DR552" s="2"/>
      <c r="DS552" s="2"/>
      <c r="DT552" s="2"/>
      <c r="DU552" s="2">
        <v>1013</v>
      </c>
      <c r="DV552" s="2" t="s">
        <v>21</v>
      </c>
      <c r="DW552" s="2" t="s">
        <v>21</v>
      </c>
      <c r="DX552" s="2">
        <v>1</v>
      </c>
      <c r="DY552" s="2"/>
      <c r="DZ552" s="2" t="s">
        <v>3</v>
      </c>
      <c r="EA552" s="2" t="s">
        <v>3</v>
      </c>
      <c r="EB552" s="2" t="s">
        <v>3</v>
      </c>
      <c r="EC552" s="2" t="s">
        <v>3</v>
      </c>
      <c r="ED552" s="2"/>
      <c r="EE552" s="2">
        <v>55992153</v>
      </c>
      <c r="EF552" s="2">
        <v>40</v>
      </c>
      <c r="EG552" s="2" t="s">
        <v>24</v>
      </c>
      <c r="EH552" s="2">
        <v>0</v>
      </c>
      <c r="EI552" s="2" t="s">
        <v>3</v>
      </c>
      <c r="EJ552" s="2">
        <v>2</v>
      </c>
      <c r="EK552" s="2">
        <v>69</v>
      </c>
      <c r="EL552" s="2" t="s">
        <v>186</v>
      </c>
      <c r="EM552" s="2" t="s">
        <v>187</v>
      </c>
      <c r="EN552" s="2"/>
      <c r="EO552" s="2" t="s">
        <v>27</v>
      </c>
      <c r="EP552" s="2"/>
      <c r="EQ552" s="2">
        <v>0</v>
      </c>
      <c r="ER552" s="2">
        <v>12.62</v>
      </c>
      <c r="ES552" s="2">
        <v>0</v>
      </c>
      <c r="ET552" s="2">
        <v>0</v>
      </c>
      <c r="EU552" s="2">
        <v>0</v>
      </c>
      <c r="EV552" s="2">
        <v>12.62</v>
      </c>
      <c r="EW552" s="2">
        <v>1</v>
      </c>
      <c r="EX552" s="2">
        <v>0</v>
      </c>
      <c r="EY552" s="2">
        <v>0</v>
      </c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>
        <v>0</v>
      </c>
      <c r="FR552" s="2">
        <v>0</v>
      </c>
      <c r="FS552" s="2">
        <v>0</v>
      </c>
      <c r="FT552" s="2"/>
      <c r="FU552" s="2"/>
      <c r="FV552" s="2"/>
      <c r="FW552" s="2"/>
      <c r="FX552" s="2">
        <v>95</v>
      </c>
      <c r="FY552" s="2">
        <v>53</v>
      </c>
      <c r="FZ552" s="2"/>
      <c r="GA552" s="2" t="s">
        <v>3</v>
      </c>
      <c r="GB552" s="2"/>
      <c r="GC552" s="2"/>
      <c r="GD552" s="2">
        <v>1</v>
      </c>
      <c r="GE552" s="2"/>
      <c r="GF552" s="2">
        <v>-32509009</v>
      </c>
      <c r="GG552" s="2">
        <v>2</v>
      </c>
      <c r="GH552" s="2">
        <v>1</v>
      </c>
      <c r="GI552" s="2">
        <v>2</v>
      </c>
      <c r="GJ552" s="2">
        <v>0</v>
      </c>
      <c r="GK552" s="2">
        <v>0</v>
      </c>
      <c r="GL552" s="2">
        <f t="shared" si="463"/>
        <v>0</v>
      </c>
      <c r="GM552" s="2">
        <f t="shared" si="464"/>
        <v>396.51</v>
      </c>
      <c r="GN552" s="2">
        <f t="shared" si="465"/>
        <v>0</v>
      </c>
      <c r="GO552" s="2">
        <f t="shared" si="466"/>
        <v>396.51</v>
      </c>
      <c r="GP552" s="2">
        <f t="shared" si="467"/>
        <v>0</v>
      </c>
      <c r="GQ552" s="2"/>
      <c r="GR552" s="2">
        <v>0</v>
      </c>
      <c r="GS552" s="2">
        <v>3</v>
      </c>
      <c r="GT552" s="2">
        <v>0</v>
      </c>
      <c r="GU552" s="2" t="s">
        <v>3</v>
      </c>
      <c r="GV552" s="2">
        <f t="shared" si="468"/>
        <v>0</v>
      </c>
      <c r="GW552" s="2">
        <v>1</v>
      </c>
      <c r="GX552" s="2">
        <f t="shared" si="469"/>
        <v>0</v>
      </c>
      <c r="GY552" s="2"/>
      <c r="GZ552" s="2"/>
      <c r="HA552" s="2">
        <v>0</v>
      </c>
      <c r="HB552" s="2">
        <v>0</v>
      </c>
      <c r="HC552" s="2">
        <f t="shared" si="470"/>
        <v>0</v>
      </c>
      <c r="HD552" s="2"/>
      <c r="HE552" s="2" t="s">
        <v>3</v>
      </c>
      <c r="HF552" s="2" t="s">
        <v>3</v>
      </c>
      <c r="HG552" s="2"/>
      <c r="HH552" s="2"/>
      <c r="HI552" s="2"/>
      <c r="HJ552" s="2"/>
      <c r="HK552" s="2"/>
      <c r="HL552" s="2"/>
      <c r="HM552" s="2" t="s">
        <v>3</v>
      </c>
      <c r="HN552" s="2" t="s">
        <v>3</v>
      </c>
      <c r="HO552" s="2" t="s">
        <v>3</v>
      </c>
      <c r="HP552" s="2" t="s">
        <v>3</v>
      </c>
      <c r="HQ552" s="2" t="s">
        <v>3</v>
      </c>
      <c r="HR552" s="2"/>
      <c r="HS552" s="2">
        <v>0</v>
      </c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>
        <v>0</v>
      </c>
      <c r="IL552" s="2"/>
      <c r="IM552" s="2"/>
      <c r="IN552" s="2"/>
      <c r="IO552" s="2"/>
      <c r="IP552" s="2"/>
      <c r="IQ552" s="2"/>
      <c r="IR552" s="2"/>
      <c r="IS552" s="2"/>
      <c r="IT552" s="2"/>
      <c r="IU552" s="2"/>
    </row>
    <row r="553" spans="1:255" x14ac:dyDescent="0.2">
      <c r="A553">
        <v>17</v>
      </c>
      <c r="B553">
        <v>1</v>
      </c>
      <c r="C553">
        <f>ROW(SmtRes!A422)</f>
        <v>422</v>
      </c>
      <c r="D553">
        <f>ROW(EtalonRes!A506)</f>
        <v>506</v>
      </c>
      <c r="E553" t="s">
        <v>470</v>
      </c>
      <c r="F553" t="s">
        <v>471</v>
      </c>
      <c r="G553" t="s">
        <v>472</v>
      </c>
      <c r="H553" t="s">
        <v>21</v>
      </c>
      <c r="I553">
        <v>11</v>
      </c>
      <c r="J553">
        <v>0</v>
      </c>
      <c r="K553">
        <v>11</v>
      </c>
      <c r="O553">
        <f t="shared" si="439"/>
        <v>8791.7999999999993</v>
      </c>
      <c r="P553">
        <f>ROUND((ROUND((AC553*AW553*I553),2)*BC553),2)</f>
        <v>0</v>
      </c>
      <c r="Q553">
        <f>(ROUND((ROUND((((ET553*1.1))*AV553*I553),2)*BB553),2)+ROUND((ROUND(((AE553-((EU553*1.1)))*AV553*I553),2)*BS553),2))</f>
        <v>0</v>
      </c>
      <c r="R553">
        <f t="shared" si="441"/>
        <v>0</v>
      </c>
      <c r="S553">
        <f t="shared" si="442"/>
        <v>8791.7999999999993</v>
      </c>
      <c r="T553">
        <f t="shared" si="443"/>
        <v>0</v>
      </c>
      <c r="U553">
        <f t="shared" si="444"/>
        <v>12.668699999999999</v>
      </c>
      <c r="V553">
        <f t="shared" si="445"/>
        <v>0</v>
      </c>
      <c r="W553">
        <f t="shared" si="446"/>
        <v>0</v>
      </c>
      <c r="X553">
        <f t="shared" si="447"/>
        <v>8352.2099999999991</v>
      </c>
      <c r="Y553">
        <f t="shared" si="448"/>
        <v>4659.6499999999996</v>
      </c>
      <c r="AA553">
        <v>56959431</v>
      </c>
      <c r="AB553">
        <f t="shared" si="449"/>
        <v>13.882</v>
      </c>
      <c r="AC553">
        <f t="shared" si="450"/>
        <v>0</v>
      </c>
      <c r="AD553">
        <f>ROUND(((((ET553*1.1))-((EU553*1.1)))+AE553),6)</f>
        <v>0</v>
      </c>
      <c r="AE553">
        <f>ROUND(((EU553*1.1)),6)</f>
        <v>0</v>
      </c>
      <c r="AF553">
        <f>ROUND(((EV553*1.1)),6)</f>
        <v>13.882</v>
      </c>
      <c r="AG553">
        <f t="shared" si="451"/>
        <v>0</v>
      </c>
      <c r="AH553">
        <f>((EW553*1.1))</f>
        <v>1.1000000000000001</v>
      </c>
      <c r="AI553">
        <f>((EX553*1.1))</f>
        <v>0</v>
      </c>
      <c r="AJ553">
        <f t="shared" si="452"/>
        <v>0</v>
      </c>
      <c r="AK553">
        <v>12.62</v>
      </c>
      <c r="AL553">
        <v>0</v>
      </c>
      <c r="AM553">
        <v>0</v>
      </c>
      <c r="AN553">
        <v>0</v>
      </c>
      <c r="AO553">
        <v>12.62</v>
      </c>
      <c r="AP553">
        <v>0</v>
      </c>
      <c r="AQ553">
        <v>1</v>
      </c>
      <c r="AR553">
        <v>0</v>
      </c>
      <c r="AS553">
        <v>0</v>
      </c>
      <c r="AT553">
        <v>95</v>
      </c>
      <c r="AU553">
        <v>53</v>
      </c>
      <c r="AV553">
        <v>1.0469999999999999</v>
      </c>
      <c r="AW553">
        <v>1</v>
      </c>
      <c r="AZ553">
        <v>1</v>
      </c>
      <c r="BA553">
        <v>54.99</v>
      </c>
      <c r="BB553">
        <v>1</v>
      </c>
      <c r="BC553">
        <v>1</v>
      </c>
      <c r="BD553" t="s">
        <v>3</v>
      </c>
      <c r="BE553" t="s">
        <v>3</v>
      </c>
      <c r="BF553" t="s">
        <v>3</v>
      </c>
      <c r="BG553" t="s">
        <v>3</v>
      </c>
      <c r="BH553">
        <v>0</v>
      </c>
      <c r="BI553">
        <v>2</v>
      </c>
      <c r="BJ553" t="s">
        <v>473</v>
      </c>
      <c r="BM553">
        <v>69</v>
      </c>
      <c r="BN553">
        <v>55992028</v>
      </c>
      <c r="BO553" t="s">
        <v>471</v>
      </c>
      <c r="BP553">
        <v>1</v>
      </c>
      <c r="BQ553">
        <v>40</v>
      </c>
      <c r="BR553">
        <v>0</v>
      </c>
      <c r="BS553">
        <v>54.99</v>
      </c>
      <c r="BT553">
        <v>1</v>
      </c>
      <c r="BU553">
        <v>1</v>
      </c>
      <c r="BV553">
        <v>1</v>
      </c>
      <c r="BW553">
        <v>1</v>
      </c>
      <c r="BX553">
        <v>1</v>
      </c>
      <c r="BY553" t="s">
        <v>3</v>
      </c>
      <c r="BZ553">
        <v>95</v>
      </c>
      <c r="CA553">
        <v>53</v>
      </c>
      <c r="CB553" t="s">
        <v>3</v>
      </c>
      <c r="CE553">
        <v>30</v>
      </c>
      <c r="CF553">
        <v>0</v>
      </c>
      <c r="CG553">
        <v>0</v>
      </c>
      <c r="CM553">
        <v>0</v>
      </c>
      <c r="CN553" t="s">
        <v>673</v>
      </c>
      <c r="CO553">
        <v>0</v>
      </c>
      <c r="CP553">
        <f t="shared" si="453"/>
        <v>8791.7999999999993</v>
      </c>
      <c r="CQ553">
        <f>ROUND((ROUND((AC553*AW553*1),2)*BC553),2)</f>
        <v>0</v>
      </c>
      <c r="CR553">
        <f>(ROUND((ROUND((((ET553*1.1))*AV553*1),2)*BB553),2)+ROUND((ROUND(((AE553-((EU553*1.1)))*AV553*1),2)*BS553),2))</f>
        <v>0</v>
      </c>
      <c r="CS553">
        <f t="shared" si="455"/>
        <v>0</v>
      </c>
      <c r="CT553">
        <f t="shared" si="456"/>
        <v>799</v>
      </c>
      <c r="CU553">
        <f t="shared" si="457"/>
        <v>0</v>
      </c>
      <c r="CV553">
        <f t="shared" si="458"/>
        <v>1.1516999999999999</v>
      </c>
      <c r="CW553">
        <f t="shared" si="459"/>
        <v>0</v>
      </c>
      <c r="CX553">
        <f t="shared" si="460"/>
        <v>0</v>
      </c>
      <c r="CY553">
        <f t="shared" si="461"/>
        <v>8352.2099999999991</v>
      </c>
      <c r="CZ553">
        <f t="shared" si="462"/>
        <v>4659.6539999999995</v>
      </c>
      <c r="DC553" t="s">
        <v>3</v>
      </c>
      <c r="DD553" t="s">
        <v>3</v>
      </c>
      <c r="DE553" t="s">
        <v>23</v>
      </c>
      <c r="DF553" t="s">
        <v>23</v>
      </c>
      <c r="DG553" t="s">
        <v>23</v>
      </c>
      <c r="DH553" t="s">
        <v>3</v>
      </c>
      <c r="DI553" t="s">
        <v>23</v>
      </c>
      <c r="DJ553" t="s">
        <v>23</v>
      </c>
      <c r="DK553" t="s">
        <v>3</v>
      </c>
      <c r="DL553" t="s">
        <v>3</v>
      </c>
      <c r="DM553" t="s">
        <v>3</v>
      </c>
      <c r="DN553">
        <v>0</v>
      </c>
      <c r="DO553">
        <v>0</v>
      </c>
      <c r="DP553">
        <v>1</v>
      </c>
      <c r="DQ553">
        <v>1</v>
      </c>
      <c r="DU553">
        <v>1013</v>
      </c>
      <c r="DV553" t="s">
        <v>21</v>
      </c>
      <c r="DW553" t="s">
        <v>21</v>
      </c>
      <c r="DX553">
        <v>1</v>
      </c>
      <c r="DZ553" t="s">
        <v>3</v>
      </c>
      <c r="EA553" t="s">
        <v>3</v>
      </c>
      <c r="EB553" t="s">
        <v>3</v>
      </c>
      <c r="EC553" t="s">
        <v>3</v>
      </c>
      <c r="EE553">
        <v>55992153</v>
      </c>
      <c r="EF553">
        <v>40</v>
      </c>
      <c r="EG553" t="s">
        <v>24</v>
      </c>
      <c r="EH553">
        <v>0</v>
      </c>
      <c r="EI553" t="s">
        <v>3</v>
      </c>
      <c r="EJ553">
        <v>2</v>
      </c>
      <c r="EK553">
        <v>69</v>
      </c>
      <c r="EL553" t="s">
        <v>186</v>
      </c>
      <c r="EM553" t="s">
        <v>187</v>
      </c>
      <c r="EO553" t="s">
        <v>27</v>
      </c>
      <c r="EQ553">
        <v>0</v>
      </c>
      <c r="ER553">
        <v>12.62</v>
      </c>
      <c r="ES553">
        <v>0</v>
      </c>
      <c r="ET553">
        <v>0</v>
      </c>
      <c r="EU553">
        <v>0</v>
      </c>
      <c r="EV553">
        <v>12.62</v>
      </c>
      <c r="EW553">
        <v>1</v>
      </c>
      <c r="EX553">
        <v>0</v>
      </c>
      <c r="EY553">
        <v>0</v>
      </c>
      <c r="FQ553">
        <v>0</v>
      </c>
      <c r="FR553">
        <v>0</v>
      </c>
      <c r="FS553">
        <v>0</v>
      </c>
      <c r="FX553">
        <v>95</v>
      </c>
      <c r="FY553">
        <v>53</v>
      </c>
      <c r="GA553" t="s">
        <v>3</v>
      </c>
      <c r="GD553">
        <v>1</v>
      </c>
      <c r="GF553">
        <v>-32509009</v>
      </c>
      <c r="GG553">
        <v>2</v>
      </c>
      <c r="GH553">
        <v>1</v>
      </c>
      <c r="GI553">
        <v>2</v>
      </c>
      <c r="GJ553">
        <v>0</v>
      </c>
      <c r="GK553">
        <v>0</v>
      </c>
      <c r="GL553">
        <f t="shared" si="463"/>
        <v>0</v>
      </c>
      <c r="GM553">
        <f t="shared" si="464"/>
        <v>21803.66</v>
      </c>
      <c r="GN553">
        <f t="shared" si="465"/>
        <v>0</v>
      </c>
      <c r="GO553">
        <f t="shared" si="466"/>
        <v>21803.66</v>
      </c>
      <c r="GP553">
        <f t="shared" si="467"/>
        <v>0</v>
      </c>
      <c r="GR553">
        <v>0</v>
      </c>
      <c r="GS553">
        <v>3</v>
      </c>
      <c r="GT553">
        <v>0</v>
      </c>
      <c r="GU553" t="s">
        <v>3</v>
      </c>
      <c r="GV553">
        <f t="shared" si="468"/>
        <v>0</v>
      </c>
      <c r="GW553">
        <v>1</v>
      </c>
      <c r="GX553">
        <f t="shared" si="469"/>
        <v>0</v>
      </c>
      <c r="HA553">
        <v>0</v>
      </c>
      <c r="HB553">
        <v>0</v>
      </c>
      <c r="HC553">
        <f t="shared" si="470"/>
        <v>0</v>
      </c>
      <c r="HE553" t="s">
        <v>3</v>
      </c>
      <c r="HF553" t="s">
        <v>3</v>
      </c>
      <c r="HM553" t="s">
        <v>3</v>
      </c>
      <c r="HN553" t="s">
        <v>3</v>
      </c>
      <c r="HO553" t="s">
        <v>3</v>
      </c>
      <c r="HP553" t="s">
        <v>3</v>
      </c>
      <c r="HQ553" t="s">
        <v>3</v>
      </c>
      <c r="HS553">
        <v>0</v>
      </c>
      <c r="IK553">
        <v>0</v>
      </c>
    </row>
    <row r="554" spans="1:255" x14ac:dyDescent="0.2">
      <c r="A554" s="2">
        <v>17</v>
      </c>
      <c r="B554" s="2">
        <v>1</v>
      </c>
      <c r="C554" s="2"/>
      <c r="D554" s="2"/>
      <c r="E554" s="2" t="s">
        <v>474</v>
      </c>
      <c r="F554" s="2" t="s">
        <v>475</v>
      </c>
      <c r="G554" s="2" t="s">
        <v>476</v>
      </c>
      <c r="H554" s="2" t="s">
        <v>31</v>
      </c>
      <c r="I554" s="2">
        <v>11</v>
      </c>
      <c r="J554" s="2">
        <v>0</v>
      </c>
      <c r="K554" s="2">
        <v>11</v>
      </c>
      <c r="L554" s="2"/>
      <c r="M554" s="2"/>
      <c r="N554" s="2"/>
      <c r="O554" s="2">
        <f t="shared" si="439"/>
        <v>455.73</v>
      </c>
      <c r="P554" s="2">
        <f>ROUND((ROUND((AC554*I554),2)*BC554),2)</f>
        <v>455.73</v>
      </c>
      <c r="Q554" s="2">
        <f>(ROUND((ROUND(((ET554)*AV554*I554),2)*BB554),2)+ROUND((ROUND(((AE554-(EU554))*AV554*I554),2)*BS554),2))</f>
        <v>0</v>
      </c>
      <c r="R554" s="2">
        <f t="shared" si="441"/>
        <v>0</v>
      </c>
      <c r="S554" s="2">
        <f t="shared" si="442"/>
        <v>0</v>
      </c>
      <c r="T554" s="2">
        <f t="shared" si="443"/>
        <v>0</v>
      </c>
      <c r="U554" s="2">
        <f t="shared" si="444"/>
        <v>0</v>
      </c>
      <c r="V554" s="2">
        <f t="shared" si="445"/>
        <v>0</v>
      </c>
      <c r="W554" s="2">
        <f t="shared" si="446"/>
        <v>0</v>
      </c>
      <c r="X554" s="2">
        <f t="shared" si="447"/>
        <v>0</v>
      </c>
      <c r="Y554" s="2">
        <f t="shared" si="448"/>
        <v>0</v>
      </c>
      <c r="Z554" s="2"/>
      <c r="AA554" s="2">
        <v>56959434</v>
      </c>
      <c r="AB554" s="2">
        <f t="shared" si="449"/>
        <v>41.43</v>
      </c>
      <c r="AC554" s="2">
        <f t="shared" si="450"/>
        <v>41.43</v>
      </c>
      <c r="AD554" s="2">
        <f>ROUND((((ET554)-(EU554))+AE554),6)</f>
        <v>0</v>
      </c>
      <c r="AE554" s="2">
        <f>ROUND((EU554),6)</f>
        <v>0</v>
      </c>
      <c r="AF554" s="2">
        <f>ROUND((EV554),6)</f>
        <v>0</v>
      </c>
      <c r="AG554" s="2">
        <f t="shared" si="451"/>
        <v>0</v>
      </c>
      <c r="AH554" s="2">
        <f>(EW554)</f>
        <v>0</v>
      </c>
      <c r="AI554" s="2">
        <f>(EX554)</f>
        <v>0</v>
      </c>
      <c r="AJ554" s="2">
        <f t="shared" si="452"/>
        <v>0</v>
      </c>
      <c r="AK554" s="2">
        <v>41.43</v>
      </c>
      <c r="AL554" s="2">
        <v>41.43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1</v>
      </c>
      <c r="AW554" s="2">
        <v>1</v>
      </c>
      <c r="AX554" s="2"/>
      <c r="AY554" s="2"/>
      <c r="AZ554" s="2">
        <v>1</v>
      </c>
      <c r="BA554" s="2">
        <v>1</v>
      </c>
      <c r="BB554" s="2">
        <v>1</v>
      </c>
      <c r="BC554" s="2">
        <v>1</v>
      </c>
      <c r="BD554" s="2" t="s">
        <v>3</v>
      </c>
      <c r="BE554" s="2" t="s">
        <v>3</v>
      </c>
      <c r="BF554" s="2" t="s">
        <v>3</v>
      </c>
      <c r="BG554" s="2" t="s">
        <v>3</v>
      </c>
      <c r="BH554" s="2">
        <v>3</v>
      </c>
      <c r="BI554" s="2">
        <v>3</v>
      </c>
      <c r="BJ554" s="2" t="s">
        <v>3</v>
      </c>
      <c r="BK554" s="2"/>
      <c r="BL554" s="2"/>
      <c r="BM554" s="2">
        <v>746</v>
      </c>
      <c r="BN554" s="2">
        <v>0</v>
      </c>
      <c r="BO554" s="2" t="s">
        <v>3</v>
      </c>
      <c r="BP554" s="2">
        <v>0</v>
      </c>
      <c r="BQ554" s="2">
        <v>130</v>
      </c>
      <c r="BR554" s="2">
        <v>0</v>
      </c>
      <c r="BS554" s="2">
        <v>1</v>
      </c>
      <c r="BT554" s="2">
        <v>1</v>
      </c>
      <c r="BU554" s="2">
        <v>1</v>
      </c>
      <c r="BV554" s="2">
        <v>1</v>
      </c>
      <c r="BW554" s="2">
        <v>1</v>
      </c>
      <c r="BX554" s="2">
        <v>1</v>
      </c>
      <c r="BY554" s="2" t="s">
        <v>3</v>
      </c>
      <c r="BZ554" s="2">
        <v>0</v>
      </c>
      <c r="CA554" s="2">
        <v>0</v>
      </c>
      <c r="CB554" s="2" t="s">
        <v>3</v>
      </c>
      <c r="CC554" s="2"/>
      <c r="CD554" s="2"/>
      <c r="CE554" s="2">
        <v>30</v>
      </c>
      <c r="CF554" s="2">
        <v>0</v>
      </c>
      <c r="CG554" s="2">
        <v>0</v>
      </c>
      <c r="CH554" s="2"/>
      <c r="CI554" s="2"/>
      <c r="CJ554" s="2"/>
      <c r="CK554" s="2"/>
      <c r="CL554" s="2"/>
      <c r="CM554" s="2">
        <v>0</v>
      </c>
      <c r="CN554" s="2" t="s">
        <v>3</v>
      </c>
      <c r="CO554" s="2">
        <v>0</v>
      </c>
      <c r="CP554" s="2">
        <f t="shared" si="453"/>
        <v>455.73</v>
      </c>
      <c r="CQ554" s="2">
        <f>ROUND((ROUND((AC554*1),2)*BC554),2)</f>
        <v>41.43</v>
      </c>
      <c r="CR554" s="2">
        <f>(ROUND((ROUND(((ET554)*AV554*1),2)*BB554),2)+ROUND((ROUND(((AE554-(EU554))*AV554*1),2)*BS554),2))</f>
        <v>0</v>
      </c>
      <c r="CS554" s="2">
        <f t="shared" si="455"/>
        <v>0</v>
      </c>
      <c r="CT554" s="2">
        <f t="shared" si="456"/>
        <v>0</v>
      </c>
      <c r="CU554" s="2">
        <f t="shared" si="457"/>
        <v>0</v>
      </c>
      <c r="CV554" s="2">
        <f t="shared" si="458"/>
        <v>0</v>
      </c>
      <c r="CW554" s="2">
        <f t="shared" si="459"/>
        <v>0</v>
      </c>
      <c r="CX554" s="2">
        <f t="shared" si="460"/>
        <v>0</v>
      </c>
      <c r="CY554" s="2">
        <f t="shared" si="461"/>
        <v>0</v>
      </c>
      <c r="CZ554" s="2">
        <f t="shared" si="462"/>
        <v>0</v>
      </c>
      <c r="DA554" s="2"/>
      <c r="DB554" s="2"/>
      <c r="DC554" s="2" t="s">
        <v>3</v>
      </c>
      <c r="DD554" s="2" t="s">
        <v>3</v>
      </c>
      <c r="DE554" s="2" t="s">
        <v>3</v>
      </c>
      <c r="DF554" s="2" t="s">
        <v>3</v>
      </c>
      <c r="DG554" s="2" t="s">
        <v>3</v>
      </c>
      <c r="DH554" s="2" t="s">
        <v>3</v>
      </c>
      <c r="DI554" s="2" t="s">
        <v>3</v>
      </c>
      <c r="DJ554" s="2" t="s">
        <v>3</v>
      </c>
      <c r="DK554" s="2" t="s">
        <v>3</v>
      </c>
      <c r="DL554" s="2" t="s">
        <v>3</v>
      </c>
      <c r="DM554" s="2" t="s">
        <v>3</v>
      </c>
      <c r="DN554" s="2">
        <v>0</v>
      </c>
      <c r="DO554" s="2">
        <v>0</v>
      </c>
      <c r="DP554" s="2">
        <v>1</v>
      </c>
      <c r="DQ554" s="2">
        <v>1</v>
      </c>
      <c r="DR554" s="2"/>
      <c r="DS554" s="2"/>
      <c r="DT554" s="2"/>
      <c r="DU554" s="2">
        <v>1010</v>
      </c>
      <c r="DV554" s="2" t="s">
        <v>31</v>
      </c>
      <c r="DW554" s="2" t="s">
        <v>31</v>
      </c>
      <c r="DX554" s="2">
        <v>1</v>
      </c>
      <c r="DY554" s="2"/>
      <c r="DZ554" s="2" t="s">
        <v>3</v>
      </c>
      <c r="EA554" s="2" t="s">
        <v>3</v>
      </c>
      <c r="EB554" s="2" t="s">
        <v>3</v>
      </c>
      <c r="EC554" s="2" t="s">
        <v>3</v>
      </c>
      <c r="ED554" s="2"/>
      <c r="EE554" s="2">
        <v>55992259</v>
      </c>
      <c r="EF554" s="2">
        <v>130</v>
      </c>
      <c r="EG554" s="2" t="s">
        <v>32</v>
      </c>
      <c r="EH554" s="2">
        <v>0</v>
      </c>
      <c r="EI554" s="2" t="s">
        <v>3</v>
      </c>
      <c r="EJ554" s="2">
        <v>3</v>
      </c>
      <c r="EK554" s="2">
        <v>746</v>
      </c>
      <c r="EL554" s="2" t="s">
        <v>33</v>
      </c>
      <c r="EM554" s="2" t="s">
        <v>34</v>
      </c>
      <c r="EN554" s="2"/>
      <c r="EO554" s="2" t="s">
        <v>3</v>
      </c>
      <c r="EP554" s="2"/>
      <c r="EQ554" s="2">
        <v>0</v>
      </c>
      <c r="ER554" s="2">
        <v>0</v>
      </c>
      <c r="ES554" s="2">
        <v>41.43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>
        <v>0</v>
      </c>
      <c r="FR554" s="2">
        <f>P554</f>
        <v>455.73</v>
      </c>
      <c r="FS554" s="2">
        <v>0</v>
      </c>
      <c r="FT554" s="2"/>
      <c r="FU554" s="2"/>
      <c r="FV554" s="2"/>
      <c r="FW554" s="2"/>
      <c r="FX554" s="2">
        <v>0</v>
      </c>
      <c r="FY554" s="2">
        <v>0</v>
      </c>
      <c r="FZ554" s="2"/>
      <c r="GA554" s="2" t="s">
        <v>477</v>
      </c>
      <c r="GB554" s="2"/>
      <c r="GC554" s="2"/>
      <c r="GD554" s="2">
        <v>1</v>
      </c>
      <c r="GE554" s="2"/>
      <c r="GF554" s="2">
        <v>-1270820847</v>
      </c>
      <c r="GG554" s="2">
        <v>2</v>
      </c>
      <c r="GH554" s="2">
        <v>4</v>
      </c>
      <c r="GI554" s="2">
        <v>-2</v>
      </c>
      <c r="GJ554" s="2">
        <v>0</v>
      </c>
      <c r="GK554" s="2">
        <v>0</v>
      </c>
      <c r="GL554" s="2">
        <f t="shared" si="463"/>
        <v>0</v>
      </c>
      <c r="GM554" s="2">
        <f t="shared" si="464"/>
        <v>455.73</v>
      </c>
      <c r="GN554" s="2">
        <f t="shared" si="465"/>
        <v>0</v>
      </c>
      <c r="GO554" s="2">
        <f t="shared" si="466"/>
        <v>0</v>
      </c>
      <c r="GP554" s="2">
        <f t="shared" si="467"/>
        <v>0</v>
      </c>
      <c r="GQ554" s="2"/>
      <c r="GR554" s="2">
        <v>0</v>
      </c>
      <c r="GS554" s="2">
        <v>2</v>
      </c>
      <c r="GT554" s="2">
        <v>0</v>
      </c>
      <c r="GU554" s="2" t="s">
        <v>3</v>
      </c>
      <c r="GV554" s="2">
        <f t="shared" si="468"/>
        <v>0</v>
      </c>
      <c r="GW554" s="2">
        <v>1</v>
      </c>
      <c r="GX554" s="2">
        <f t="shared" si="469"/>
        <v>0</v>
      </c>
      <c r="GY554" s="2"/>
      <c r="GZ554" s="2"/>
      <c r="HA554" s="2">
        <v>0</v>
      </c>
      <c r="HB554" s="2">
        <v>0</v>
      </c>
      <c r="HC554" s="2">
        <f t="shared" si="470"/>
        <v>0</v>
      </c>
      <c r="HD554" s="2"/>
      <c r="HE554" s="2" t="s">
        <v>36</v>
      </c>
      <c r="HF554" s="2" t="s">
        <v>37</v>
      </c>
      <c r="HG554" s="2"/>
      <c r="HH554" s="2"/>
      <c r="HI554" s="2"/>
      <c r="HJ554" s="2"/>
      <c r="HK554" s="2"/>
      <c r="HL554" s="2"/>
      <c r="HM554" s="2" t="s">
        <v>3</v>
      </c>
      <c r="HN554" s="2" t="s">
        <v>3</v>
      </c>
      <c r="HO554" s="2" t="s">
        <v>3</v>
      </c>
      <c r="HP554" s="2" t="s">
        <v>3</v>
      </c>
      <c r="HQ554" s="2" t="s">
        <v>3</v>
      </c>
      <c r="HR554" s="2"/>
      <c r="HS554" s="2">
        <v>0</v>
      </c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>
        <v>0</v>
      </c>
      <c r="IL554" s="2"/>
      <c r="IM554" s="2"/>
      <c r="IN554" s="2"/>
      <c r="IO554" s="2"/>
      <c r="IP554" s="2"/>
      <c r="IQ554" s="2"/>
      <c r="IR554" s="2"/>
      <c r="IS554" s="2"/>
      <c r="IT554" s="2"/>
      <c r="IU554" s="2"/>
    </row>
    <row r="555" spans="1:255" x14ac:dyDescent="0.2">
      <c r="A555">
        <v>17</v>
      </c>
      <c r="B555">
        <v>1</v>
      </c>
      <c r="E555" t="s">
        <v>474</v>
      </c>
      <c r="F555" t="s">
        <v>475</v>
      </c>
      <c r="G555" t="s">
        <v>476</v>
      </c>
      <c r="H555" t="s">
        <v>31</v>
      </c>
      <c r="I555">
        <v>11</v>
      </c>
      <c r="J555">
        <v>0</v>
      </c>
      <c r="K555">
        <v>11</v>
      </c>
      <c r="O555">
        <f t="shared" si="439"/>
        <v>3490.89</v>
      </c>
      <c r="P555">
        <f>ROUND((ROUND((AC555*I555),2)*BC555),2)</f>
        <v>3490.89</v>
      </c>
      <c r="Q555">
        <f>(ROUND((ROUND(((ET555)*AV555*I555),2)*BB555),2)+ROUND((ROUND(((AE555-(EU555))*AV555*I555),2)*BS555),2))</f>
        <v>0</v>
      </c>
      <c r="R555">
        <f t="shared" si="441"/>
        <v>0</v>
      </c>
      <c r="S555">
        <f t="shared" si="442"/>
        <v>0</v>
      </c>
      <c r="T555">
        <f t="shared" si="443"/>
        <v>0</v>
      </c>
      <c r="U555">
        <f t="shared" si="444"/>
        <v>0</v>
      </c>
      <c r="V555">
        <f t="shared" si="445"/>
        <v>0</v>
      </c>
      <c r="W555">
        <f t="shared" si="446"/>
        <v>0</v>
      </c>
      <c r="X555">
        <f t="shared" si="447"/>
        <v>0</v>
      </c>
      <c r="Y555">
        <f t="shared" si="448"/>
        <v>0</v>
      </c>
      <c r="AA555">
        <v>56959431</v>
      </c>
      <c r="AB555">
        <f t="shared" si="449"/>
        <v>41.43</v>
      </c>
      <c r="AC555">
        <f t="shared" si="450"/>
        <v>41.43</v>
      </c>
      <c r="AD555">
        <f>ROUND((((ET555)-(EU555))+AE555),6)</f>
        <v>0</v>
      </c>
      <c r="AE555">
        <f>ROUND((EU555),6)</f>
        <v>0</v>
      </c>
      <c r="AF555">
        <f>ROUND((EV555),6)</f>
        <v>0</v>
      </c>
      <c r="AG555">
        <f t="shared" si="451"/>
        <v>0</v>
      </c>
      <c r="AH555">
        <f>(EW555)</f>
        <v>0</v>
      </c>
      <c r="AI555">
        <f>(EX555)</f>
        <v>0</v>
      </c>
      <c r="AJ555">
        <f t="shared" si="452"/>
        <v>0</v>
      </c>
      <c r="AK555">
        <v>41.43</v>
      </c>
      <c r="AL555">
        <v>41.43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  <c r="AW555">
        <v>1</v>
      </c>
      <c r="AZ555">
        <v>1</v>
      </c>
      <c r="BA555">
        <v>1</v>
      </c>
      <c r="BB555">
        <v>1</v>
      </c>
      <c r="BC555">
        <v>7.66</v>
      </c>
      <c r="BD555" t="s">
        <v>3</v>
      </c>
      <c r="BE555" t="s">
        <v>3</v>
      </c>
      <c r="BF555" t="s">
        <v>3</v>
      </c>
      <c r="BG555" t="s">
        <v>3</v>
      </c>
      <c r="BH555">
        <v>3</v>
      </c>
      <c r="BI555">
        <v>3</v>
      </c>
      <c r="BJ555" t="s">
        <v>3</v>
      </c>
      <c r="BM555">
        <v>746</v>
      </c>
      <c r="BN555">
        <v>0</v>
      </c>
      <c r="BO555" t="s">
        <v>3</v>
      </c>
      <c r="BP555">
        <v>0</v>
      </c>
      <c r="BQ555">
        <v>130</v>
      </c>
      <c r="BR555">
        <v>0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 t="s">
        <v>3</v>
      </c>
      <c r="BZ555">
        <v>0</v>
      </c>
      <c r="CA555">
        <v>0</v>
      </c>
      <c r="CB555" t="s">
        <v>3</v>
      </c>
      <c r="CE555">
        <v>30</v>
      </c>
      <c r="CF555">
        <v>0</v>
      </c>
      <c r="CG555">
        <v>0</v>
      </c>
      <c r="CM555">
        <v>0</v>
      </c>
      <c r="CN555" t="s">
        <v>3</v>
      </c>
      <c r="CO555">
        <v>0</v>
      </c>
      <c r="CP555">
        <f t="shared" si="453"/>
        <v>3490.89</v>
      </c>
      <c r="CQ555">
        <f>ROUND((ROUND((AC555*1),2)*BC555),2)</f>
        <v>317.35000000000002</v>
      </c>
      <c r="CR555">
        <f>(ROUND((ROUND(((ET555)*AV555*1),2)*BB555),2)+ROUND((ROUND(((AE555-(EU555))*AV555*1),2)*BS555),2))</f>
        <v>0</v>
      </c>
      <c r="CS555">
        <f t="shared" si="455"/>
        <v>0</v>
      </c>
      <c r="CT555">
        <f t="shared" si="456"/>
        <v>0</v>
      </c>
      <c r="CU555">
        <f t="shared" si="457"/>
        <v>0</v>
      </c>
      <c r="CV555">
        <f t="shared" si="458"/>
        <v>0</v>
      </c>
      <c r="CW555">
        <f t="shared" si="459"/>
        <v>0</v>
      </c>
      <c r="CX555">
        <f t="shared" si="460"/>
        <v>0</v>
      </c>
      <c r="CY555">
        <f t="shared" si="461"/>
        <v>0</v>
      </c>
      <c r="CZ555">
        <f t="shared" si="462"/>
        <v>0</v>
      </c>
      <c r="DC555" t="s">
        <v>3</v>
      </c>
      <c r="DD555" t="s">
        <v>3</v>
      </c>
      <c r="DE555" t="s">
        <v>3</v>
      </c>
      <c r="DF555" t="s">
        <v>3</v>
      </c>
      <c r="DG555" t="s">
        <v>3</v>
      </c>
      <c r="DH555" t="s">
        <v>3</v>
      </c>
      <c r="DI555" t="s">
        <v>3</v>
      </c>
      <c r="DJ555" t="s">
        <v>3</v>
      </c>
      <c r="DK555" t="s">
        <v>3</v>
      </c>
      <c r="DL555" t="s">
        <v>3</v>
      </c>
      <c r="DM555" t="s">
        <v>3</v>
      </c>
      <c r="DN555">
        <v>0</v>
      </c>
      <c r="DO555">
        <v>0</v>
      </c>
      <c r="DP555">
        <v>1</v>
      </c>
      <c r="DQ555">
        <v>1</v>
      </c>
      <c r="DU555">
        <v>1010</v>
      </c>
      <c r="DV555" t="s">
        <v>31</v>
      </c>
      <c r="DW555" t="s">
        <v>31</v>
      </c>
      <c r="DX555">
        <v>1</v>
      </c>
      <c r="DZ555" t="s">
        <v>3</v>
      </c>
      <c r="EA555" t="s">
        <v>3</v>
      </c>
      <c r="EB555" t="s">
        <v>3</v>
      </c>
      <c r="EC555" t="s">
        <v>3</v>
      </c>
      <c r="EE555">
        <v>55992259</v>
      </c>
      <c r="EF555">
        <v>130</v>
      </c>
      <c r="EG555" t="s">
        <v>32</v>
      </c>
      <c r="EH555">
        <v>0</v>
      </c>
      <c r="EI555" t="s">
        <v>3</v>
      </c>
      <c r="EJ555">
        <v>3</v>
      </c>
      <c r="EK555">
        <v>746</v>
      </c>
      <c r="EL555" t="s">
        <v>33</v>
      </c>
      <c r="EM555" t="s">
        <v>34</v>
      </c>
      <c r="EO555" t="s">
        <v>3</v>
      </c>
      <c r="EQ555">
        <v>0</v>
      </c>
      <c r="ER555">
        <v>41.43</v>
      </c>
      <c r="ES555">
        <v>41.43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5</v>
      </c>
      <c r="FC555">
        <v>1</v>
      </c>
      <c r="FD555">
        <v>18</v>
      </c>
      <c r="FF555">
        <v>365.4</v>
      </c>
      <c r="FQ555">
        <v>0</v>
      </c>
      <c r="FR555">
        <f>P555</f>
        <v>3490.89</v>
      </c>
      <c r="FS555">
        <v>0</v>
      </c>
      <c r="FX555">
        <v>0</v>
      </c>
      <c r="FY555">
        <v>0</v>
      </c>
      <c r="GA555" t="s">
        <v>477</v>
      </c>
      <c r="GD555">
        <v>1</v>
      </c>
      <c r="GF555">
        <v>-1270820847</v>
      </c>
      <c r="GG555">
        <v>2</v>
      </c>
      <c r="GH555">
        <v>3</v>
      </c>
      <c r="GI555">
        <v>5</v>
      </c>
      <c r="GJ555">
        <v>0</v>
      </c>
      <c r="GK555">
        <v>0</v>
      </c>
      <c r="GL555">
        <f t="shared" si="463"/>
        <v>0</v>
      </c>
      <c r="GM555">
        <f t="shared" si="464"/>
        <v>3490.89</v>
      </c>
      <c r="GN555">
        <f t="shared" si="465"/>
        <v>0</v>
      </c>
      <c r="GO555">
        <f t="shared" si="466"/>
        <v>0</v>
      </c>
      <c r="GP555">
        <f t="shared" si="467"/>
        <v>0</v>
      </c>
      <c r="GR555">
        <v>1</v>
      </c>
      <c r="GS555">
        <v>1</v>
      </c>
      <c r="GT555">
        <v>0</v>
      </c>
      <c r="GU555" t="s">
        <v>3</v>
      </c>
      <c r="GV555">
        <f t="shared" si="468"/>
        <v>0</v>
      </c>
      <c r="GW555">
        <v>1</v>
      </c>
      <c r="GX555">
        <f t="shared" si="469"/>
        <v>0</v>
      </c>
      <c r="HA555">
        <v>0</v>
      </c>
      <c r="HB555">
        <v>0</v>
      </c>
      <c r="HC555">
        <f t="shared" si="470"/>
        <v>0</v>
      </c>
      <c r="HE555" t="s">
        <v>36</v>
      </c>
      <c r="HF555" t="s">
        <v>37</v>
      </c>
      <c r="HM555" t="s">
        <v>3</v>
      </c>
      <c r="HN555" t="s">
        <v>3</v>
      </c>
      <c r="HO555" t="s">
        <v>3</v>
      </c>
      <c r="HP555" t="s">
        <v>3</v>
      </c>
      <c r="HQ555" t="s">
        <v>3</v>
      </c>
      <c r="HS555">
        <v>0</v>
      </c>
      <c r="IK555">
        <v>0</v>
      </c>
    </row>
    <row r="556" spans="1:255" x14ac:dyDescent="0.2">
      <c r="A556" s="2">
        <v>17</v>
      </c>
      <c r="B556" s="2">
        <v>1</v>
      </c>
      <c r="C556" s="2">
        <f>ROW(SmtRes!A424)</f>
        <v>424</v>
      </c>
      <c r="D556" s="2">
        <f>ROW(EtalonRes!A510)</f>
        <v>510</v>
      </c>
      <c r="E556" s="2" t="s">
        <v>478</v>
      </c>
      <c r="F556" s="2" t="s">
        <v>75</v>
      </c>
      <c r="G556" s="2" t="s">
        <v>76</v>
      </c>
      <c r="H556" s="2" t="s">
        <v>77</v>
      </c>
      <c r="I556" s="2">
        <f>ROUND(300/100,9)</f>
        <v>3</v>
      </c>
      <c r="J556" s="2">
        <v>0</v>
      </c>
      <c r="K556" s="2">
        <f>ROUND(300/100,9)</f>
        <v>3</v>
      </c>
      <c r="L556" s="2"/>
      <c r="M556" s="2"/>
      <c r="N556" s="2"/>
      <c r="O556" s="2">
        <f t="shared" si="439"/>
        <v>1720.72</v>
      </c>
      <c r="P556" s="2">
        <f t="shared" ref="P556:P563" si="471">ROUND((ROUND((AC556*AW556*I556),2)*BC556),2)</f>
        <v>942.87</v>
      </c>
      <c r="Q556" s="2">
        <f>(ROUND((ROUND((((ET556*1.1))*AV556*I556),2)*BB556),2)+ROUND((ROUND(((AE556-((EU556*1.1)))*AV556*I556),2)*BS556),2))</f>
        <v>113.57</v>
      </c>
      <c r="R556" s="2">
        <f t="shared" si="441"/>
        <v>19.73</v>
      </c>
      <c r="S556" s="2">
        <f t="shared" si="442"/>
        <v>664.28</v>
      </c>
      <c r="T556" s="2">
        <f t="shared" si="443"/>
        <v>0</v>
      </c>
      <c r="U556" s="2">
        <f t="shared" si="444"/>
        <v>51.826499999999996</v>
      </c>
      <c r="V556" s="2">
        <f t="shared" si="445"/>
        <v>0</v>
      </c>
      <c r="W556" s="2">
        <f t="shared" si="446"/>
        <v>0</v>
      </c>
      <c r="X556" s="2">
        <f t="shared" si="447"/>
        <v>663.49</v>
      </c>
      <c r="Y556" s="2">
        <f t="shared" si="448"/>
        <v>348.85</v>
      </c>
      <c r="Z556" s="2"/>
      <c r="AA556" s="2">
        <v>56959434</v>
      </c>
      <c r="AB556" s="2">
        <f t="shared" si="449"/>
        <v>561.93299999999999</v>
      </c>
      <c r="AC556" s="2">
        <f t="shared" si="450"/>
        <v>314.29000000000002</v>
      </c>
      <c r="AD556" s="2">
        <f>ROUND(((((ET556*1.1))-((EU556*1.1)))+AE556),6)</f>
        <v>36.156999999999996</v>
      </c>
      <c r="AE556" s="2">
        <f>ROUND(((EU556*1.1)),6)</f>
        <v>6.2809999999999997</v>
      </c>
      <c r="AF556" s="2">
        <f>ROUND(((EV556*1.1)),6)</f>
        <v>211.48599999999999</v>
      </c>
      <c r="AG556" s="2">
        <f t="shared" si="451"/>
        <v>0</v>
      </c>
      <c r="AH556" s="2">
        <f>((EW556*1.1))</f>
        <v>16.5</v>
      </c>
      <c r="AI556" s="2">
        <f>((EX556*1.1))</f>
        <v>0</v>
      </c>
      <c r="AJ556" s="2">
        <f t="shared" si="452"/>
        <v>0</v>
      </c>
      <c r="AK556" s="2">
        <v>539.41999999999996</v>
      </c>
      <c r="AL556" s="2">
        <v>314.29000000000002</v>
      </c>
      <c r="AM556" s="2">
        <v>32.869999999999997</v>
      </c>
      <c r="AN556" s="2">
        <v>5.71</v>
      </c>
      <c r="AO556" s="2">
        <v>192.26</v>
      </c>
      <c r="AP556" s="2">
        <v>0</v>
      </c>
      <c r="AQ556" s="2">
        <v>15</v>
      </c>
      <c r="AR556" s="2">
        <v>0</v>
      </c>
      <c r="AS556" s="2">
        <v>0</v>
      </c>
      <c r="AT556" s="2">
        <v>97</v>
      </c>
      <c r="AU556" s="2">
        <v>51</v>
      </c>
      <c r="AV556" s="2">
        <v>1.0469999999999999</v>
      </c>
      <c r="AW556" s="2">
        <v>1</v>
      </c>
      <c r="AX556" s="2"/>
      <c r="AY556" s="2"/>
      <c r="AZ556" s="2">
        <v>1</v>
      </c>
      <c r="BA556" s="2">
        <v>1</v>
      </c>
      <c r="BB556" s="2">
        <v>1</v>
      </c>
      <c r="BC556" s="2">
        <v>1</v>
      </c>
      <c r="BD556" s="2" t="s">
        <v>3</v>
      </c>
      <c r="BE556" s="2" t="s">
        <v>3</v>
      </c>
      <c r="BF556" s="2" t="s">
        <v>3</v>
      </c>
      <c r="BG556" s="2" t="s">
        <v>3</v>
      </c>
      <c r="BH556" s="2">
        <v>0</v>
      </c>
      <c r="BI556" s="2">
        <v>2</v>
      </c>
      <c r="BJ556" s="2" t="s">
        <v>78</v>
      </c>
      <c r="BK556" s="2"/>
      <c r="BL556" s="2"/>
      <c r="BM556" s="2">
        <v>67</v>
      </c>
      <c r="BN556" s="2">
        <v>55992028</v>
      </c>
      <c r="BO556" s="2" t="s">
        <v>75</v>
      </c>
      <c r="BP556" s="2">
        <v>1</v>
      </c>
      <c r="BQ556" s="2">
        <v>40</v>
      </c>
      <c r="BR556" s="2">
        <v>0</v>
      </c>
      <c r="BS556" s="2">
        <v>1</v>
      </c>
      <c r="BT556" s="2">
        <v>1</v>
      </c>
      <c r="BU556" s="2">
        <v>1</v>
      </c>
      <c r="BV556" s="2">
        <v>1</v>
      </c>
      <c r="BW556" s="2">
        <v>1</v>
      </c>
      <c r="BX556" s="2">
        <v>1</v>
      </c>
      <c r="BY556" s="2" t="s">
        <v>3</v>
      </c>
      <c r="BZ556" s="2">
        <v>97</v>
      </c>
      <c r="CA556" s="2">
        <v>51</v>
      </c>
      <c r="CB556" s="2" t="s">
        <v>3</v>
      </c>
      <c r="CC556" s="2"/>
      <c r="CD556" s="2"/>
      <c r="CE556" s="2">
        <v>30</v>
      </c>
      <c r="CF556" s="2">
        <v>0</v>
      </c>
      <c r="CG556" s="2">
        <v>0</v>
      </c>
      <c r="CH556" s="2"/>
      <c r="CI556" s="2"/>
      <c r="CJ556" s="2"/>
      <c r="CK556" s="2"/>
      <c r="CL556" s="2"/>
      <c r="CM556" s="2">
        <v>0</v>
      </c>
      <c r="CN556" s="2" t="s">
        <v>673</v>
      </c>
      <c r="CO556" s="2">
        <v>0</v>
      </c>
      <c r="CP556" s="2">
        <f t="shared" si="453"/>
        <v>1720.72</v>
      </c>
      <c r="CQ556" s="2">
        <f t="shared" ref="CQ556:CQ563" si="472">ROUND((ROUND((AC556*AW556*1),2)*BC556),2)</f>
        <v>314.29000000000002</v>
      </c>
      <c r="CR556" s="2">
        <f>(ROUND((ROUND((((ET556*1.1))*AV556*1),2)*BB556),2)+ROUND((ROUND(((AE556-((EU556*1.1)))*AV556*1),2)*BS556),2))</f>
        <v>37.86</v>
      </c>
      <c r="CS556" s="2">
        <f t="shared" si="455"/>
        <v>6.58</v>
      </c>
      <c r="CT556" s="2">
        <f t="shared" si="456"/>
        <v>221.43</v>
      </c>
      <c r="CU556" s="2">
        <f t="shared" si="457"/>
        <v>0</v>
      </c>
      <c r="CV556" s="2">
        <f t="shared" si="458"/>
        <v>17.275499999999997</v>
      </c>
      <c r="CW556" s="2">
        <f t="shared" si="459"/>
        <v>0</v>
      </c>
      <c r="CX556" s="2">
        <f t="shared" si="460"/>
        <v>0</v>
      </c>
      <c r="CY556" s="2">
        <f t="shared" si="461"/>
        <v>663.48969999999997</v>
      </c>
      <c r="CZ556" s="2">
        <f t="shared" si="462"/>
        <v>348.8451</v>
      </c>
      <c r="DA556" s="2"/>
      <c r="DB556" s="2"/>
      <c r="DC556" s="2" t="s">
        <v>3</v>
      </c>
      <c r="DD556" s="2" t="s">
        <v>3</v>
      </c>
      <c r="DE556" s="2" t="s">
        <v>23</v>
      </c>
      <c r="DF556" s="2" t="s">
        <v>23</v>
      </c>
      <c r="DG556" s="2" t="s">
        <v>23</v>
      </c>
      <c r="DH556" s="2" t="s">
        <v>3</v>
      </c>
      <c r="DI556" s="2" t="s">
        <v>23</v>
      </c>
      <c r="DJ556" s="2" t="s">
        <v>23</v>
      </c>
      <c r="DK556" s="2" t="s">
        <v>3</v>
      </c>
      <c r="DL556" s="2" t="s">
        <v>3</v>
      </c>
      <c r="DM556" s="2" t="s">
        <v>3</v>
      </c>
      <c r="DN556" s="2">
        <v>0</v>
      </c>
      <c r="DO556" s="2">
        <v>0</v>
      </c>
      <c r="DP556" s="2">
        <v>1</v>
      </c>
      <c r="DQ556" s="2">
        <v>1</v>
      </c>
      <c r="DR556" s="2"/>
      <c r="DS556" s="2"/>
      <c r="DT556" s="2"/>
      <c r="DU556" s="2">
        <v>1003</v>
      </c>
      <c r="DV556" s="2" t="s">
        <v>77</v>
      </c>
      <c r="DW556" s="2" t="s">
        <v>77</v>
      </c>
      <c r="DX556" s="2">
        <v>100</v>
      </c>
      <c r="DY556" s="2"/>
      <c r="DZ556" s="2" t="s">
        <v>3</v>
      </c>
      <c r="EA556" s="2" t="s">
        <v>3</v>
      </c>
      <c r="EB556" s="2" t="s">
        <v>3</v>
      </c>
      <c r="EC556" s="2" t="s">
        <v>3</v>
      </c>
      <c r="ED556" s="2"/>
      <c r="EE556" s="2">
        <v>55992151</v>
      </c>
      <c r="EF556" s="2">
        <v>40</v>
      </c>
      <c r="EG556" s="2" t="s">
        <v>24</v>
      </c>
      <c r="EH556" s="2">
        <v>0</v>
      </c>
      <c r="EI556" s="2" t="s">
        <v>3</v>
      </c>
      <c r="EJ556" s="2">
        <v>2</v>
      </c>
      <c r="EK556" s="2">
        <v>67</v>
      </c>
      <c r="EL556" s="2" t="s">
        <v>79</v>
      </c>
      <c r="EM556" s="2" t="s">
        <v>80</v>
      </c>
      <c r="EN556" s="2"/>
      <c r="EO556" s="2" t="s">
        <v>27</v>
      </c>
      <c r="EP556" s="2"/>
      <c r="EQ556" s="2">
        <v>0</v>
      </c>
      <c r="ER556" s="2">
        <v>539.41999999999996</v>
      </c>
      <c r="ES556" s="2">
        <v>314.29000000000002</v>
      </c>
      <c r="ET556" s="2">
        <v>32.869999999999997</v>
      </c>
      <c r="EU556" s="2">
        <v>5.71</v>
      </c>
      <c r="EV556" s="2">
        <v>192.26</v>
      </c>
      <c r="EW556" s="2">
        <v>15</v>
      </c>
      <c r="EX556" s="2">
        <v>0</v>
      </c>
      <c r="EY556" s="2">
        <v>0</v>
      </c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>
        <v>0</v>
      </c>
      <c r="FR556" s="2">
        <v>0</v>
      </c>
      <c r="FS556" s="2">
        <v>0</v>
      </c>
      <c r="FT556" s="2"/>
      <c r="FU556" s="2"/>
      <c r="FV556" s="2"/>
      <c r="FW556" s="2"/>
      <c r="FX556" s="2">
        <v>97</v>
      </c>
      <c r="FY556" s="2">
        <v>51</v>
      </c>
      <c r="FZ556" s="2"/>
      <c r="GA556" s="2" t="s">
        <v>3</v>
      </c>
      <c r="GB556" s="2"/>
      <c r="GC556" s="2"/>
      <c r="GD556" s="2">
        <v>1</v>
      </c>
      <c r="GE556" s="2"/>
      <c r="GF556" s="2">
        <v>1705749599</v>
      </c>
      <c r="GG556" s="2">
        <v>2</v>
      </c>
      <c r="GH556" s="2">
        <v>1</v>
      </c>
      <c r="GI556" s="2">
        <v>2</v>
      </c>
      <c r="GJ556" s="2">
        <v>0</v>
      </c>
      <c r="GK556" s="2">
        <v>0</v>
      </c>
      <c r="GL556" s="2">
        <f t="shared" si="463"/>
        <v>0</v>
      </c>
      <c r="GM556" s="2">
        <f t="shared" si="464"/>
        <v>2733.06</v>
      </c>
      <c r="GN556" s="2">
        <f t="shared" si="465"/>
        <v>0</v>
      </c>
      <c r="GO556" s="2">
        <f t="shared" si="466"/>
        <v>2733.06</v>
      </c>
      <c r="GP556" s="2">
        <f t="shared" si="467"/>
        <v>0</v>
      </c>
      <c r="GQ556" s="2"/>
      <c r="GR556" s="2">
        <v>0</v>
      </c>
      <c r="GS556" s="2">
        <v>3</v>
      </c>
      <c r="GT556" s="2">
        <v>0</v>
      </c>
      <c r="GU556" s="2" t="s">
        <v>3</v>
      </c>
      <c r="GV556" s="2">
        <f t="shared" si="468"/>
        <v>0</v>
      </c>
      <c r="GW556" s="2">
        <v>1</v>
      </c>
      <c r="GX556" s="2">
        <f t="shared" si="469"/>
        <v>0</v>
      </c>
      <c r="GY556" s="2"/>
      <c r="GZ556" s="2"/>
      <c r="HA556" s="2">
        <v>0</v>
      </c>
      <c r="HB556" s="2">
        <v>0</v>
      </c>
      <c r="HC556" s="2">
        <f t="shared" si="470"/>
        <v>0</v>
      </c>
      <c r="HD556" s="2"/>
      <c r="HE556" s="2" t="s">
        <v>3</v>
      </c>
      <c r="HF556" s="2" t="s">
        <v>3</v>
      </c>
      <c r="HG556" s="2"/>
      <c r="HH556" s="2"/>
      <c r="HI556" s="2"/>
      <c r="HJ556" s="2"/>
      <c r="HK556" s="2"/>
      <c r="HL556" s="2"/>
      <c r="HM556" s="2" t="s">
        <v>3</v>
      </c>
      <c r="HN556" s="2" t="s">
        <v>3</v>
      </c>
      <c r="HO556" s="2" t="s">
        <v>3</v>
      </c>
      <c r="HP556" s="2" t="s">
        <v>3</v>
      </c>
      <c r="HQ556" s="2" t="s">
        <v>3</v>
      </c>
      <c r="HR556" s="2"/>
      <c r="HS556" s="2">
        <v>0</v>
      </c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>
        <v>0</v>
      </c>
      <c r="IL556" s="2"/>
      <c r="IM556" s="2"/>
      <c r="IN556" s="2"/>
      <c r="IO556" s="2"/>
      <c r="IP556" s="2"/>
      <c r="IQ556" s="2"/>
      <c r="IR556" s="2"/>
      <c r="IS556" s="2"/>
      <c r="IT556" s="2"/>
      <c r="IU556" s="2"/>
    </row>
    <row r="557" spans="1:255" x14ac:dyDescent="0.2">
      <c r="A557">
        <v>17</v>
      </c>
      <c r="B557">
        <v>1</v>
      </c>
      <c r="C557">
        <f>ROW(SmtRes!A426)</f>
        <v>426</v>
      </c>
      <c r="D557">
        <f>ROW(EtalonRes!A514)</f>
        <v>514</v>
      </c>
      <c r="E557" t="s">
        <v>478</v>
      </c>
      <c r="F557" t="s">
        <v>75</v>
      </c>
      <c r="G557" t="s">
        <v>76</v>
      </c>
      <c r="H557" t="s">
        <v>77</v>
      </c>
      <c r="I557">
        <f>ROUND(300/100,9)</f>
        <v>3</v>
      </c>
      <c r="J557">
        <v>0</v>
      </c>
      <c r="K557">
        <f>ROUND(300/100,9)</f>
        <v>3</v>
      </c>
      <c r="O557">
        <f t="shared" si="439"/>
        <v>47880.959999999999</v>
      </c>
      <c r="P557">
        <f t="shared" si="471"/>
        <v>9324.98</v>
      </c>
      <c r="Q557">
        <f>(ROUND((ROUND((((ET557*1.1))*AV557*I557),2)*BB557),2)+ROUND((ROUND(((AE557-((EU557*1.1)))*AV557*I557),2)*BS557),2))</f>
        <v>2027.22</v>
      </c>
      <c r="R557">
        <f t="shared" si="441"/>
        <v>1084.95</v>
      </c>
      <c r="S557">
        <f t="shared" si="442"/>
        <v>36528.76</v>
      </c>
      <c r="T557">
        <f t="shared" si="443"/>
        <v>0</v>
      </c>
      <c r="U557">
        <f t="shared" si="444"/>
        <v>51.826499999999996</v>
      </c>
      <c r="V557">
        <f t="shared" si="445"/>
        <v>0</v>
      </c>
      <c r="W557">
        <f t="shared" si="446"/>
        <v>0</v>
      </c>
      <c r="X557">
        <f t="shared" si="447"/>
        <v>36485.300000000003</v>
      </c>
      <c r="Y557">
        <f t="shared" si="448"/>
        <v>19182.990000000002</v>
      </c>
      <c r="AA557">
        <v>56959431</v>
      </c>
      <c r="AB557">
        <f t="shared" si="449"/>
        <v>561.93299999999999</v>
      </c>
      <c r="AC557">
        <f t="shared" si="450"/>
        <v>314.29000000000002</v>
      </c>
      <c r="AD557">
        <f>ROUND(((((ET557*1.1))-((EU557*1.1)))+AE557),6)</f>
        <v>36.156999999999996</v>
      </c>
      <c r="AE557">
        <f>ROUND(((EU557*1.1)),6)</f>
        <v>6.2809999999999997</v>
      </c>
      <c r="AF557">
        <f>ROUND(((EV557*1.1)),6)</f>
        <v>211.48599999999999</v>
      </c>
      <c r="AG557">
        <f t="shared" si="451"/>
        <v>0</v>
      </c>
      <c r="AH557">
        <f>((EW557*1.1))</f>
        <v>16.5</v>
      </c>
      <c r="AI557">
        <f>((EX557*1.1))</f>
        <v>0</v>
      </c>
      <c r="AJ557">
        <f t="shared" si="452"/>
        <v>0</v>
      </c>
      <c r="AK557">
        <v>539.41999999999996</v>
      </c>
      <c r="AL557">
        <v>314.29000000000002</v>
      </c>
      <c r="AM557">
        <v>32.869999999999997</v>
      </c>
      <c r="AN557">
        <v>5.71</v>
      </c>
      <c r="AO557">
        <v>192.26</v>
      </c>
      <c r="AP557">
        <v>0</v>
      </c>
      <c r="AQ557">
        <v>15</v>
      </c>
      <c r="AR557">
        <v>0</v>
      </c>
      <c r="AS557">
        <v>0</v>
      </c>
      <c r="AT557">
        <v>97</v>
      </c>
      <c r="AU557">
        <v>51</v>
      </c>
      <c r="AV557">
        <v>1.0469999999999999</v>
      </c>
      <c r="AW557">
        <v>1</v>
      </c>
      <c r="AZ557">
        <v>1</v>
      </c>
      <c r="BA557">
        <v>54.99</v>
      </c>
      <c r="BB557">
        <v>17.850000000000001</v>
      </c>
      <c r="BC557">
        <v>9.89</v>
      </c>
      <c r="BD557" t="s">
        <v>3</v>
      </c>
      <c r="BE557" t="s">
        <v>3</v>
      </c>
      <c r="BF557" t="s">
        <v>3</v>
      </c>
      <c r="BG557" t="s">
        <v>3</v>
      </c>
      <c r="BH557">
        <v>0</v>
      </c>
      <c r="BI557">
        <v>2</v>
      </c>
      <c r="BJ557" t="s">
        <v>78</v>
      </c>
      <c r="BM557">
        <v>67</v>
      </c>
      <c r="BN557">
        <v>55992028</v>
      </c>
      <c r="BO557" t="s">
        <v>75</v>
      </c>
      <c r="BP557">
        <v>1</v>
      </c>
      <c r="BQ557">
        <v>40</v>
      </c>
      <c r="BR557">
        <v>0</v>
      </c>
      <c r="BS557">
        <v>54.99</v>
      </c>
      <c r="BT557">
        <v>1</v>
      </c>
      <c r="BU557">
        <v>1</v>
      </c>
      <c r="BV557">
        <v>1</v>
      </c>
      <c r="BW557">
        <v>1</v>
      </c>
      <c r="BX557">
        <v>1</v>
      </c>
      <c r="BY557" t="s">
        <v>3</v>
      </c>
      <c r="BZ557">
        <v>97</v>
      </c>
      <c r="CA557">
        <v>51</v>
      </c>
      <c r="CB557" t="s">
        <v>3</v>
      </c>
      <c r="CE557">
        <v>30</v>
      </c>
      <c r="CF557">
        <v>0</v>
      </c>
      <c r="CG557">
        <v>0</v>
      </c>
      <c r="CM557">
        <v>0</v>
      </c>
      <c r="CN557" t="s">
        <v>673</v>
      </c>
      <c r="CO557">
        <v>0</v>
      </c>
      <c r="CP557">
        <f t="shared" si="453"/>
        <v>47880.959999999999</v>
      </c>
      <c r="CQ557">
        <f t="shared" si="472"/>
        <v>3108.33</v>
      </c>
      <c r="CR557">
        <f>(ROUND((ROUND((((ET557*1.1))*AV557*1),2)*BB557),2)+ROUND((ROUND(((AE557-((EU557*1.1)))*AV557*1),2)*BS557),2))</f>
        <v>675.8</v>
      </c>
      <c r="CS557">
        <f t="shared" si="455"/>
        <v>361.83</v>
      </c>
      <c r="CT557">
        <f t="shared" si="456"/>
        <v>12176.44</v>
      </c>
      <c r="CU557">
        <f t="shared" si="457"/>
        <v>0</v>
      </c>
      <c r="CV557">
        <f t="shared" si="458"/>
        <v>17.275499999999997</v>
      </c>
      <c r="CW557">
        <f t="shared" si="459"/>
        <v>0</v>
      </c>
      <c r="CX557">
        <f t="shared" si="460"/>
        <v>0</v>
      </c>
      <c r="CY557">
        <f t="shared" si="461"/>
        <v>36485.298699999999</v>
      </c>
      <c r="CZ557">
        <f t="shared" si="462"/>
        <v>19182.992099999999</v>
      </c>
      <c r="DC557" t="s">
        <v>3</v>
      </c>
      <c r="DD557" t="s">
        <v>3</v>
      </c>
      <c r="DE557" t="s">
        <v>23</v>
      </c>
      <c r="DF557" t="s">
        <v>23</v>
      </c>
      <c r="DG557" t="s">
        <v>23</v>
      </c>
      <c r="DH557" t="s">
        <v>3</v>
      </c>
      <c r="DI557" t="s">
        <v>23</v>
      </c>
      <c r="DJ557" t="s">
        <v>23</v>
      </c>
      <c r="DK557" t="s">
        <v>3</v>
      </c>
      <c r="DL557" t="s">
        <v>3</v>
      </c>
      <c r="DM557" t="s">
        <v>3</v>
      </c>
      <c r="DN557">
        <v>0</v>
      </c>
      <c r="DO557">
        <v>0</v>
      </c>
      <c r="DP557">
        <v>1</v>
      </c>
      <c r="DQ557">
        <v>1</v>
      </c>
      <c r="DU557">
        <v>1003</v>
      </c>
      <c r="DV557" t="s">
        <v>77</v>
      </c>
      <c r="DW557" t="s">
        <v>77</v>
      </c>
      <c r="DX557">
        <v>100</v>
      </c>
      <c r="DZ557" t="s">
        <v>3</v>
      </c>
      <c r="EA557" t="s">
        <v>3</v>
      </c>
      <c r="EB557" t="s">
        <v>3</v>
      </c>
      <c r="EC557" t="s">
        <v>3</v>
      </c>
      <c r="EE557">
        <v>55992151</v>
      </c>
      <c r="EF557">
        <v>40</v>
      </c>
      <c r="EG557" t="s">
        <v>24</v>
      </c>
      <c r="EH557">
        <v>0</v>
      </c>
      <c r="EI557" t="s">
        <v>3</v>
      </c>
      <c r="EJ557">
        <v>2</v>
      </c>
      <c r="EK557">
        <v>67</v>
      </c>
      <c r="EL557" t="s">
        <v>79</v>
      </c>
      <c r="EM557" t="s">
        <v>80</v>
      </c>
      <c r="EO557" t="s">
        <v>27</v>
      </c>
      <c r="EQ557">
        <v>0</v>
      </c>
      <c r="ER557">
        <v>539.41999999999996</v>
      </c>
      <c r="ES557">
        <v>314.29000000000002</v>
      </c>
      <c r="ET557">
        <v>32.869999999999997</v>
      </c>
      <c r="EU557">
        <v>5.71</v>
      </c>
      <c r="EV557">
        <v>192.26</v>
      </c>
      <c r="EW557">
        <v>15</v>
      </c>
      <c r="EX557">
        <v>0</v>
      </c>
      <c r="EY557">
        <v>0</v>
      </c>
      <c r="FQ557">
        <v>0</v>
      </c>
      <c r="FR557">
        <v>0</v>
      </c>
      <c r="FS557">
        <v>0</v>
      </c>
      <c r="FX557">
        <v>97</v>
      </c>
      <c r="FY557">
        <v>51</v>
      </c>
      <c r="GA557" t="s">
        <v>3</v>
      </c>
      <c r="GD557">
        <v>1</v>
      </c>
      <c r="GF557">
        <v>1705749599</v>
      </c>
      <c r="GG557">
        <v>2</v>
      </c>
      <c r="GH557">
        <v>1</v>
      </c>
      <c r="GI557">
        <v>2</v>
      </c>
      <c r="GJ557">
        <v>0</v>
      </c>
      <c r="GK557">
        <v>0</v>
      </c>
      <c r="GL557">
        <f t="shared" si="463"/>
        <v>0</v>
      </c>
      <c r="GM557">
        <f t="shared" si="464"/>
        <v>103549.25</v>
      </c>
      <c r="GN557">
        <f t="shared" si="465"/>
        <v>0</v>
      </c>
      <c r="GO557">
        <f t="shared" si="466"/>
        <v>103549.25</v>
      </c>
      <c r="GP557">
        <f t="shared" si="467"/>
        <v>0</v>
      </c>
      <c r="GR557">
        <v>0</v>
      </c>
      <c r="GS557">
        <v>3</v>
      </c>
      <c r="GT557">
        <v>0</v>
      </c>
      <c r="GU557" t="s">
        <v>3</v>
      </c>
      <c r="GV557">
        <f t="shared" si="468"/>
        <v>0</v>
      </c>
      <c r="GW557">
        <v>1</v>
      </c>
      <c r="GX557">
        <f t="shared" si="469"/>
        <v>0</v>
      </c>
      <c r="HA557">
        <v>0</v>
      </c>
      <c r="HB557">
        <v>0</v>
      </c>
      <c r="HC557">
        <f t="shared" si="470"/>
        <v>0</v>
      </c>
      <c r="HE557" t="s">
        <v>3</v>
      </c>
      <c r="HF557" t="s">
        <v>3</v>
      </c>
      <c r="HM557" t="s">
        <v>3</v>
      </c>
      <c r="HN557" t="s">
        <v>3</v>
      </c>
      <c r="HO557" t="s">
        <v>3</v>
      </c>
      <c r="HP557" t="s">
        <v>3</v>
      </c>
      <c r="HQ557" t="s">
        <v>3</v>
      </c>
      <c r="HS557">
        <v>0</v>
      </c>
      <c r="IK557">
        <v>0</v>
      </c>
    </row>
    <row r="558" spans="1:255" x14ac:dyDescent="0.2">
      <c r="A558" s="2">
        <v>18</v>
      </c>
      <c r="B558" s="2">
        <v>1</v>
      </c>
      <c r="C558" s="2">
        <v>424</v>
      </c>
      <c r="D558" s="2"/>
      <c r="E558" s="2" t="s">
        <v>479</v>
      </c>
      <c r="F558" s="2" t="s">
        <v>82</v>
      </c>
      <c r="G558" s="2" t="s">
        <v>83</v>
      </c>
      <c r="H558" s="2" t="s">
        <v>84</v>
      </c>
      <c r="I558" s="2">
        <f>I556*J558</f>
        <v>306</v>
      </c>
      <c r="J558" s="2">
        <v>102</v>
      </c>
      <c r="K558" s="2">
        <v>102</v>
      </c>
      <c r="L558" s="2"/>
      <c r="M558" s="2"/>
      <c r="N558" s="2"/>
      <c r="O558" s="2">
        <f t="shared" si="439"/>
        <v>1055.7</v>
      </c>
      <c r="P558" s="2">
        <f t="shared" si="471"/>
        <v>1055.7</v>
      </c>
      <c r="Q558" s="2">
        <f>(ROUND((ROUND(((ET558)*AV558*I558),2)*BB558),2)+ROUND((ROUND(((AE558-(EU558))*AV558*I558),2)*BS558),2))</f>
        <v>0</v>
      </c>
      <c r="R558" s="2">
        <f t="shared" si="441"/>
        <v>0</v>
      </c>
      <c r="S558" s="2">
        <f t="shared" si="442"/>
        <v>0</v>
      </c>
      <c r="T558" s="2">
        <f t="shared" si="443"/>
        <v>0</v>
      </c>
      <c r="U558" s="2">
        <f t="shared" si="444"/>
        <v>0</v>
      </c>
      <c r="V558" s="2">
        <f t="shared" si="445"/>
        <v>0</v>
      </c>
      <c r="W558" s="2">
        <f t="shared" si="446"/>
        <v>0</v>
      </c>
      <c r="X558" s="2">
        <f t="shared" si="447"/>
        <v>0</v>
      </c>
      <c r="Y558" s="2">
        <f t="shared" si="448"/>
        <v>0</v>
      </c>
      <c r="Z558" s="2"/>
      <c r="AA558" s="2">
        <v>56959434</v>
      </c>
      <c r="AB558" s="2">
        <f t="shared" si="449"/>
        <v>3.45</v>
      </c>
      <c r="AC558" s="2">
        <f t="shared" si="450"/>
        <v>3.45</v>
      </c>
      <c r="AD558" s="2">
        <f>ROUND((((ET558)-(EU558))+AE558),6)</f>
        <v>0</v>
      </c>
      <c r="AE558" s="2">
        <f>ROUND((EU558),6)</f>
        <v>0</v>
      </c>
      <c r="AF558" s="2">
        <f>ROUND((EV558),6)</f>
        <v>0</v>
      </c>
      <c r="AG558" s="2">
        <f t="shared" si="451"/>
        <v>0</v>
      </c>
      <c r="AH558" s="2">
        <f>(EW558)</f>
        <v>0</v>
      </c>
      <c r="AI558" s="2">
        <f>(EX558)</f>
        <v>0</v>
      </c>
      <c r="AJ558" s="2">
        <f t="shared" si="452"/>
        <v>0</v>
      </c>
      <c r="AK558" s="2">
        <v>3.45</v>
      </c>
      <c r="AL558" s="2">
        <v>3.45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97</v>
      </c>
      <c r="AU558" s="2">
        <v>51</v>
      </c>
      <c r="AV558" s="2">
        <v>1</v>
      </c>
      <c r="AW558" s="2">
        <v>1</v>
      </c>
      <c r="AX558" s="2"/>
      <c r="AY558" s="2"/>
      <c r="AZ558" s="2">
        <v>1</v>
      </c>
      <c r="BA558" s="2">
        <v>1</v>
      </c>
      <c r="BB558" s="2">
        <v>1</v>
      </c>
      <c r="BC558" s="2">
        <v>1</v>
      </c>
      <c r="BD558" s="2" t="s">
        <v>3</v>
      </c>
      <c r="BE558" s="2" t="s">
        <v>3</v>
      </c>
      <c r="BF558" s="2" t="s">
        <v>3</v>
      </c>
      <c r="BG558" s="2" t="s">
        <v>3</v>
      </c>
      <c r="BH558" s="2">
        <v>3</v>
      </c>
      <c r="BI558" s="2">
        <v>2</v>
      </c>
      <c r="BJ558" s="2" t="s">
        <v>85</v>
      </c>
      <c r="BK558" s="2"/>
      <c r="BL558" s="2"/>
      <c r="BM558" s="2">
        <v>67</v>
      </c>
      <c r="BN558" s="2">
        <v>55992028</v>
      </c>
      <c r="BO558" s="2" t="s">
        <v>3</v>
      </c>
      <c r="BP558" s="2">
        <v>0</v>
      </c>
      <c r="BQ558" s="2">
        <v>40</v>
      </c>
      <c r="BR558" s="2">
        <v>0</v>
      </c>
      <c r="BS558" s="2">
        <v>1</v>
      </c>
      <c r="BT558" s="2">
        <v>1</v>
      </c>
      <c r="BU558" s="2">
        <v>1</v>
      </c>
      <c r="BV558" s="2">
        <v>1</v>
      </c>
      <c r="BW558" s="2">
        <v>1</v>
      </c>
      <c r="BX558" s="2">
        <v>1</v>
      </c>
      <c r="BY558" s="2" t="s">
        <v>3</v>
      </c>
      <c r="BZ558" s="2">
        <v>97</v>
      </c>
      <c r="CA558" s="2">
        <v>51</v>
      </c>
      <c r="CB558" s="2" t="s">
        <v>3</v>
      </c>
      <c r="CC558" s="2"/>
      <c r="CD558" s="2"/>
      <c r="CE558" s="2">
        <v>30</v>
      </c>
      <c r="CF558" s="2">
        <v>0</v>
      </c>
      <c r="CG558" s="2">
        <v>0</v>
      </c>
      <c r="CH558" s="2"/>
      <c r="CI558" s="2"/>
      <c r="CJ558" s="2"/>
      <c r="CK558" s="2"/>
      <c r="CL558" s="2"/>
      <c r="CM558" s="2">
        <v>0</v>
      </c>
      <c r="CN558" s="2" t="s">
        <v>3</v>
      </c>
      <c r="CO558" s="2">
        <v>0</v>
      </c>
      <c r="CP558" s="2">
        <f t="shared" si="453"/>
        <v>1055.7</v>
      </c>
      <c r="CQ558" s="2">
        <f t="shared" si="472"/>
        <v>3.45</v>
      </c>
      <c r="CR558" s="2">
        <f>(ROUND((ROUND(((ET558)*AV558*1),2)*BB558),2)+ROUND((ROUND(((AE558-(EU558))*AV558*1),2)*BS558),2))</f>
        <v>0</v>
      </c>
      <c r="CS558" s="2">
        <f t="shared" si="455"/>
        <v>0</v>
      </c>
      <c r="CT558" s="2">
        <f t="shared" si="456"/>
        <v>0</v>
      </c>
      <c r="CU558" s="2">
        <f t="shared" si="457"/>
        <v>0</v>
      </c>
      <c r="CV558" s="2">
        <f t="shared" si="458"/>
        <v>0</v>
      </c>
      <c r="CW558" s="2">
        <f t="shared" si="459"/>
        <v>0</v>
      </c>
      <c r="CX558" s="2">
        <f t="shared" si="460"/>
        <v>0</v>
      </c>
      <c r="CY558" s="2">
        <f t="shared" si="461"/>
        <v>0</v>
      </c>
      <c r="CZ558" s="2">
        <f t="shared" si="462"/>
        <v>0</v>
      </c>
      <c r="DA558" s="2"/>
      <c r="DB558" s="2"/>
      <c r="DC558" s="2" t="s">
        <v>3</v>
      </c>
      <c r="DD558" s="2" t="s">
        <v>3</v>
      </c>
      <c r="DE558" s="2" t="s">
        <v>3</v>
      </c>
      <c r="DF558" s="2" t="s">
        <v>3</v>
      </c>
      <c r="DG558" s="2" t="s">
        <v>3</v>
      </c>
      <c r="DH558" s="2" t="s">
        <v>3</v>
      </c>
      <c r="DI558" s="2" t="s">
        <v>3</v>
      </c>
      <c r="DJ558" s="2" t="s">
        <v>3</v>
      </c>
      <c r="DK558" s="2" t="s">
        <v>3</v>
      </c>
      <c r="DL558" s="2" t="s">
        <v>3</v>
      </c>
      <c r="DM558" s="2" t="s">
        <v>3</v>
      </c>
      <c r="DN558" s="2">
        <v>0</v>
      </c>
      <c r="DO558" s="2">
        <v>0</v>
      </c>
      <c r="DP558" s="2">
        <v>1</v>
      </c>
      <c r="DQ558" s="2">
        <v>1</v>
      </c>
      <c r="DR558" s="2"/>
      <c r="DS558" s="2"/>
      <c r="DT558" s="2"/>
      <c r="DU558" s="2">
        <v>1003</v>
      </c>
      <c r="DV558" s="2" t="s">
        <v>84</v>
      </c>
      <c r="DW558" s="2" t="s">
        <v>84</v>
      </c>
      <c r="DX558" s="2">
        <v>1</v>
      </c>
      <c r="DY558" s="2"/>
      <c r="DZ558" s="2" t="s">
        <v>3</v>
      </c>
      <c r="EA558" s="2" t="s">
        <v>3</v>
      </c>
      <c r="EB558" s="2" t="s">
        <v>3</v>
      </c>
      <c r="EC558" s="2" t="s">
        <v>3</v>
      </c>
      <c r="ED558" s="2"/>
      <c r="EE558" s="2">
        <v>55992151</v>
      </c>
      <c r="EF558" s="2">
        <v>40</v>
      </c>
      <c r="EG558" s="2" t="s">
        <v>24</v>
      </c>
      <c r="EH558" s="2">
        <v>0</v>
      </c>
      <c r="EI558" s="2" t="s">
        <v>3</v>
      </c>
      <c r="EJ558" s="2">
        <v>2</v>
      </c>
      <c r="EK558" s="2">
        <v>67</v>
      </c>
      <c r="EL558" s="2" t="s">
        <v>79</v>
      </c>
      <c r="EM558" s="2" t="s">
        <v>80</v>
      </c>
      <c r="EN558" s="2"/>
      <c r="EO558" s="2" t="s">
        <v>3</v>
      </c>
      <c r="EP558" s="2"/>
      <c r="EQ558" s="2">
        <v>0</v>
      </c>
      <c r="ER558" s="2">
        <v>3.45</v>
      </c>
      <c r="ES558" s="2">
        <v>3.45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>
        <v>0</v>
      </c>
      <c r="FR558" s="2">
        <v>0</v>
      </c>
      <c r="FS558" s="2">
        <v>0</v>
      </c>
      <c r="FT558" s="2"/>
      <c r="FU558" s="2"/>
      <c r="FV558" s="2"/>
      <c r="FW558" s="2"/>
      <c r="FX558" s="2">
        <v>97</v>
      </c>
      <c r="FY558" s="2">
        <v>51</v>
      </c>
      <c r="FZ558" s="2"/>
      <c r="GA558" s="2" t="s">
        <v>3</v>
      </c>
      <c r="GB558" s="2"/>
      <c r="GC558" s="2"/>
      <c r="GD558" s="2">
        <v>1</v>
      </c>
      <c r="GE558" s="2"/>
      <c r="GF558" s="2">
        <v>-1305428159</v>
      </c>
      <c r="GG558" s="2">
        <v>2</v>
      </c>
      <c r="GH558" s="2">
        <v>1</v>
      </c>
      <c r="GI558" s="2">
        <v>-2</v>
      </c>
      <c r="GJ558" s="2">
        <v>0</v>
      </c>
      <c r="GK558" s="2">
        <v>0</v>
      </c>
      <c r="GL558" s="2">
        <f t="shared" si="463"/>
        <v>0</v>
      </c>
      <c r="GM558" s="2">
        <f t="shared" si="464"/>
        <v>1055.7</v>
      </c>
      <c r="GN558" s="2">
        <f t="shared" si="465"/>
        <v>0</v>
      </c>
      <c r="GO558" s="2">
        <f t="shared" si="466"/>
        <v>1055.7</v>
      </c>
      <c r="GP558" s="2">
        <f t="shared" si="467"/>
        <v>0</v>
      </c>
      <c r="GQ558" s="2"/>
      <c r="GR558" s="2">
        <v>0</v>
      </c>
      <c r="GS558" s="2">
        <v>3</v>
      </c>
      <c r="GT558" s="2">
        <v>0</v>
      </c>
      <c r="GU558" s="2" t="s">
        <v>3</v>
      </c>
      <c r="GV558" s="2">
        <f t="shared" si="468"/>
        <v>0</v>
      </c>
      <c r="GW558" s="2">
        <v>1</v>
      </c>
      <c r="GX558" s="2">
        <f t="shared" si="469"/>
        <v>0</v>
      </c>
      <c r="GY558" s="2"/>
      <c r="GZ558" s="2"/>
      <c r="HA558" s="2">
        <v>0</v>
      </c>
      <c r="HB558" s="2">
        <v>0</v>
      </c>
      <c r="HC558" s="2">
        <f t="shared" si="470"/>
        <v>0</v>
      </c>
      <c r="HD558" s="2"/>
      <c r="HE558" s="2" t="s">
        <v>3</v>
      </c>
      <c r="HF558" s="2" t="s">
        <v>3</v>
      </c>
      <c r="HG558" s="2"/>
      <c r="HH558" s="2"/>
      <c r="HI558" s="2"/>
      <c r="HJ558" s="2"/>
      <c r="HK558" s="2"/>
      <c r="HL558" s="2"/>
      <c r="HM558" s="2" t="s">
        <v>3</v>
      </c>
      <c r="HN558" s="2" t="s">
        <v>3</v>
      </c>
      <c r="HO558" s="2" t="s">
        <v>3</v>
      </c>
      <c r="HP558" s="2" t="s">
        <v>3</v>
      </c>
      <c r="HQ558" s="2" t="s">
        <v>3</v>
      </c>
      <c r="HR558" s="2"/>
      <c r="HS558" s="2">
        <v>0</v>
      </c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>
        <v>0</v>
      </c>
      <c r="IL558" s="2"/>
      <c r="IM558" s="2"/>
      <c r="IN558" s="2"/>
      <c r="IO558" s="2"/>
      <c r="IP558" s="2"/>
      <c r="IQ558" s="2"/>
      <c r="IR558" s="2"/>
      <c r="IS558" s="2"/>
      <c r="IT558" s="2"/>
      <c r="IU558" s="2"/>
    </row>
    <row r="559" spans="1:255" x14ac:dyDescent="0.2">
      <c r="A559">
        <v>18</v>
      </c>
      <c r="B559">
        <v>1</v>
      </c>
      <c r="C559">
        <v>426</v>
      </c>
      <c r="E559" t="s">
        <v>479</v>
      </c>
      <c r="F559" t="s">
        <v>82</v>
      </c>
      <c r="G559" t="s">
        <v>83</v>
      </c>
      <c r="H559" t="s">
        <v>84</v>
      </c>
      <c r="I559">
        <f>I557*J559</f>
        <v>306</v>
      </c>
      <c r="J559">
        <v>102</v>
      </c>
      <c r="K559">
        <v>102</v>
      </c>
      <c r="O559">
        <f t="shared" si="439"/>
        <v>4148.8999999999996</v>
      </c>
      <c r="P559">
        <f t="shared" si="471"/>
        <v>4148.8999999999996</v>
      </c>
      <c r="Q559">
        <f>(ROUND((ROUND(((ET559)*AV559*I559),2)*BB559),2)+ROUND((ROUND(((AE559-(EU559))*AV559*I559),2)*BS559),2))</f>
        <v>0</v>
      </c>
      <c r="R559">
        <f t="shared" si="441"/>
        <v>0</v>
      </c>
      <c r="S559">
        <f t="shared" si="442"/>
        <v>0</v>
      </c>
      <c r="T559">
        <f t="shared" si="443"/>
        <v>0</v>
      </c>
      <c r="U559">
        <f t="shared" si="444"/>
        <v>0</v>
      </c>
      <c r="V559">
        <f t="shared" si="445"/>
        <v>0</v>
      </c>
      <c r="W559">
        <f t="shared" si="446"/>
        <v>0</v>
      </c>
      <c r="X559">
        <f t="shared" si="447"/>
        <v>0</v>
      </c>
      <c r="Y559">
        <f t="shared" si="448"/>
        <v>0</v>
      </c>
      <c r="AA559">
        <v>56959431</v>
      </c>
      <c r="AB559">
        <f t="shared" si="449"/>
        <v>3.45</v>
      </c>
      <c r="AC559">
        <f t="shared" si="450"/>
        <v>3.45</v>
      </c>
      <c r="AD559">
        <f>ROUND((((ET559)-(EU559))+AE559),6)</f>
        <v>0</v>
      </c>
      <c r="AE559">
        <f>ROUND((EU559),6)</f>
        <v>0</v>
      </c>
      <c r="AF559">
        <f>ROUND((EV559),6)</f>
        <v>0</v>
      </c>
      <c r="AG559">
        <f t="shared" si="451"/>
        <v>0</v>
      </c>
      <c r="AH559">
        <f>(EW559)</f>
        <v>0</v>
      </c>
      <c r="AI559">
        <f>(EX559)</f>
        <v>0</v>
      </c>
      <c r="AJ559">
        <f t="shared" si="452"/>
        <v>0</v>
      </c>
      <c r="AK559">
        <v>3.45</v>
      </c>
      <c r="AL559">
        <v>3.45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97</v>
      </c>
      <c r="AU559">
        <v>51</v>
      </c>
      <c r="AV559">
        <v>1</v>
      </c>
      <c r="AW559">
        <v>1</v>
      </c>
      <c r="AZ559">
        <v>1</v>
      </c>
      <c r="BA559">
        <v>1</v>
      </c>
      <c r="BB559">
        <v>1</v>
      </c>
      <c r="BC559">
        <v>3.93</v>
      </c>
      <c r="BD559" t="s">
        <v>3</v>
      </c>
      <c r="BE559" t="s">
        <v>3</v>
      </c>
      <c r="BF559" t="s">
        <v>3</v>
      </c>
      <c r="BG559" t="s">
        <v>3</v>
      </c>
      <c r="BH559">
        <v>3</v>
      </c>
      <c r="BI559">
        <v>2</v>
      </c>
      <c r="BJ559" t="s">
        <v>85</v>
      </c>
      <c r="BM559">
        <v>67</v>
      </c>
      <c r="BN559">
        <v>55992028</v>
      </c>
      <c r="BO559" t="s">
        <v>82</v>
      </c>
      <c r="BP559">
        <v>1</v>
      </c>
      <c r="BQ559">
        <v>40</v>
      </c>
      <c r="BR559">
        <v>0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 t="s">
        <v>3</v>
      </c>
      <c r="BZ559">
        <v>97</v>
      </c>
      <c r="CA559">
        <v>51</v>
      </c>
      <c r="CB559" t="s">
        <v>3</v>
      </c>
      <c r="CE559">
        <v>30</v>
      </c>
      <c r="CF559">
        <v>0</v>
      </c>
      <c r="CG559">
        <v>0</v>
      </c>
      <c r="CM559">
        <v>0</v>
      </c>
      <c r="CN559" t="s">
        <v>3</v>
      </c>
      <c r="CO559">
        <v>0</v>
      </c>
      <c r="CP559">
        <f t="shared" si="453"/>
        <v>4148.8999999999996</v>
      </c>
      <c r="CQ559">
        <f t="shared" si="472"/>
        <v>13.56</v>
      </c>
      <c r="CR559">
        <f>(ROUND((ROUND(((ET559)*AV559*1),2)*BB559),2)+ROUND((ROUND(((AE559-(EU559))*AV559*1),2)*BS559),2))</f>
        <v>0</v>
      </c>
      <c r="CS559">
        <f t="shared" si="455"/>
        <v>0</v>
      </c>
      <c r="CT559">
        <f t="shared" si="456"/>
        <v>0</v>
      </c>
      <c r="CU559">
        <f t="shared" si="457"/>
        <v>0</v>
      </c>
      <c r="CV559">
        <f t="shared" si="458"/>
        <v>0</v>
      </c>
      <c r="CW559">
        <f t="shared" si="459"/>
        <v>0</v>
      </c>
      <c r="CX559">
        <f t="shared" si="460"/>
        <v>0</v>
      </c>
      <c r="CY559">
        <f t="shared" si="461"/>
        <v>0</v>
      </c>
      <c r="CZ559">
        <f t="shared" si="462"/>
        <v>0</v>
      </c>
      <c r="DC559" t="s">
        <v>3</v>
      </c>
      <c r="DD559" t="s">
        <v>3</v>
      </c>
      <c r="DE559" t="s">
        <v>3</v>
      </c>
      <c r="DF559" t="s">
        <v>3</v>
      </c>
      <c r="DG559" t="s">
        <v>3</v>
      </c>
      <c r="DH559" t="s">
        <v>3</v>
      </c>
      <c r="DI559" t="s">
        <v>3</v>
      </c>
      <c r="DJ559" t="s">
        <v>3</v>
      </c>
      <c r="DK559" t="s">
        <v>3</v>
      </c>
      <c r="DL559" t="s">
        <v>3</v>
      </c>
      <c r="DM559" t="s">
        <v>3</v>
      </c>
      <c r="DN559">
        <v>0</v>
      </c>
      <c r="DO559">
        <v>0</v>
      </c>
      <c r="DP559">
        <v>1</v>
      </c>
      <c r="DQ559">
        <v>1</v>
      </c>
      <c r="DU559">
        <v>1003</v>
      </c>
      <c r="DV559" t="s">
        <v>84</v>
      </c>
      <c r="DW559" t="s">
        <v>84</v>
      </c>
      <c r="DX559">
        <v>1</v>
      </c>
      <c r="DZ559" t="s">
        <v>3</v>
      </c>
      <c r="EA559" t="s">
        <v>3</v>
      </c>
      <c r="EB559" t="s">
        <v>3</v>
      </c>
      <c r="EC559" t="s">
        <v>3</v>
      </c>
      <c r="EE559">
        <v>55992151</v>
      </c>
      <c r="EF559">
        <v>40</v>
      </c>
      <c r="EG559" t="s">
        <v>24</v>
      </c>
      <c r="EH559">
        <v>0</v>
      </c>
      <c r="EI559" t="s">
        <v>3</v>
      </c>
      <c r="EJ559">
        <v>2</v>
      </c>
      <c r="EK559">
        <v>67</v>
      </c>
      <c r="EL559" t="s">
        <v>79</v>
      </c>
      <c r="EM559" t="s">
        <v>80</v>
      </c>
      <c r="EO559" t="s">
        <v>3</v>
      </c>
      <c r="EQ559">
        <v>0</v>
      </c>
      <c r="ER559">
        <v>3.45</v>
      </c>
      <c r="ES559">
        <v>3.45</v>
      </c>
      <c r="ET559">
        <v>0</v>
      </c>
      <c r="EU559">
        <v>0</v>
      </c>
      <c r="EV559">
        <v>0</v>
      </c>
      <c r="EW559">
        <v>0</v>
      </c>
      <c r="EX559">
        <v>0</v>
      </c>
      <c r="FQ559">
        <v>0</v>
      </c>
      <c r="FR559">
        <v>0</v>
      </c>
      <c r="FS559">
        <v>0</v>
      </c>
      <c r="FX559">
        <v>97</v>
      </c>
      <c r="FY559">
        <v>51</v>
      </c>
      <c r="GA559" t="s">
        <v>3</v>
      </c>
      <c r="GD559">
        <v>1</v>
      </c>
      <c r="GF559">
        <v>-1305428159</v>
      </c>
      <c r="GG559">
        <v>2</v>
      </c>
      <c r="GH559">
        <v>1</v>
      </c>
      <c r="GI559">
        <v>2</v>
      </c>
      <c r="GJ559">
        <v>0</v>
      </c>
      <c r="GK559">
        <v>0</v>
      </c>
      <c r="GL559">
        <f t="shared" si="463"/>
        <v>0</v>
      </c>
      <c r="GM559">
        <f t="shared" si="464"/>
        <v>4148.8999999999996</v>
      </c>
      <c r="GN559">
        <f t="shared" si="465"/>
        <v>0</v>
      </c>
      <c r="GO559">
        <f t="shared" si="466"/>
        <v>4148.8999999999996</v>
      </c>
      <c r="GP559">
        <f t="shared" si="467"/>
        <v>0</v>
      </c>
      <c r="GR559">
        <v>0</v>
      </c>
      <c r="GS559">
        <v>3</v>
      </c>
      <c r="GT559">
        <v>0</v>
      </c>
      <c r="GU559" t="s">
        <v>3</v>
      </c>
      <c r="GV559">
        <f t="shared" si="468"/>
        <v>0</v>
      </c>
      <c r="GW559">
        <v>1</v>
      </c>
      <c r="GX559">
        <f t="shared" si="469"/>
        <v>0</v>
      </c>
      <c r="HA559">
        <v>0</v>
      </c>
      <c r="HB559">
        <v>0</v>
      </c>
      <c r="HC559">
        <f t="shared" si="470"/>
        <v>0</v>
      </c>
      <c r="HE559" t="s">
        <v>3</v>
      </c>
      <c r="HF559" t="s">
        <v>3</v>
      </c>
      <c r="HM559" t="s">
        <v>3</v>
      </c>
      <c r="HN559" t="s">
        <v>3</v>
      </c>
      <c r="HO559" t="s">
        <v>3</v>
      </c>
      <c r="HP559" t="s">
        <v>3</v>
      </c>
      <c r="HQ559" t="s">
        <v>3</v>
      </c>
      <c r="HS559">
        <v>0</v>
      </c>
      <c r="IK559">
        <v>0</v>
      </c>
    </row>
    <row r="560" spans="1:255" x14ac:dyDescent="0.2">
      <c r="A560" s="2">
        <v>17</v>
      </c>
      <c r="B560" s="2">
        <v>1</v>
      </c>
      <c r="C560" s="2">
        <f>ROW(SmtRes!A436)</f>
        <v>436</v>
      </c>
      <c r="D560" s="2">
        <f>ROW(EtalonRes!A524)</f>
        <v>524</v>
      </c>
      <c r="E560" s="2" t="s">
        <v>480</v>
      </c>
      <c r="F560" s="2" t="s">
        <v>95</v>
      </c>
      <c r="G560" s="2" t="s">
        <v>96</v>
      </c>
      <c r="H560" s="2" t="s">
        <v>77</v>
      </c>
      <c r="I560" s="2">
        <f>ROUND(300/100,9)</f>
        <v>3</v>
      </c>
      <c r="J560" s="2">
        <v>0</v>
      </c>
      <c r="K560" s="2">
        <f>ROUND(300/100,9)</f>
        <v>3</v>
      </c>
      <c r="L560" s="2"/>
      <c r="M560" s="2"/>
      <c r="N560" s="2"/>
      <c r="O560" s="2">
        <f t="shared" si="439"/>
        <v>374.33</v>
      </c>
      <c r="P560" s="2">
        <f t="shared" si="471"/>
        <v>174.45</v>
      </c>
      <c r="Q560" s="2">
        <f>(ROUND((ROUND((((ET560*1.1))*AV560*I560),2)*BB560),2)+ROUND((ROUND(((AE560-((EU560*1.1)))*AV560*I560),2)*BS560),2))</f>
        <v>9.0500000000000007</v>
      </c>
      <c r="R560" s="2">
        <f t="shared" si="441"/>
        <v>1.04</v>
      </c>
      <c r="S560" s="2">
        <f t="shared" si="442"/>
        <v>190.83</v>
      </c>
      <c r="T560" s="2">
        <f t="shared" si="443"/>
        <v>0</v>
      </c>
      <c r="U560" s="2">
        <f t="shared" si="444"/>
        <v>15.513399000000003</v>
      </c>
      <c r="V560" s="2">
        <f t="shared" si="445"/>
        <v>0</v>
      </c>
      <c r="W560" s="2">
        <f t="shared" si="446"/>
        <v>0</v>
      </c>
      <c r="X560" s="2">
        <f t="shared" si="447"/>
        <v>186.11</v>
      </c>
      <c r="Y560" s="2">
        <f t="shared" si="448"/>
        <v>97.85</v>
      </c>
      <c r="Z560" s="2"/>
      <c r="AA560" s="2">
        <v>56959434</v>
      </c>
      <c r="AB560" s="2">
        <f t="shared" si="449"/>
        <v>121.785</v>
      </c>
      <c r="AC560" s="2">
        <f t="shared" si="450"/>
        <v>58.15</v>
      </c>
      <c r="AD560" s="2">
        <f>ROUND(((((ET560*1.1))-((EU560*1.1)))+AE560),6)</f>
        <v>2.8820000000000001</v>
      </c>
      <c r="AE560" s="2">
        <f>ROUND(((EU560*1.1)),6)</f>
        <v>0.33</v>
      </c>
      <c r="AF560" s="2">
        <f>ROUND(((EV560*1.1)),6)</f>
        <v>60.753</v>
      </c>
      <c r="AG560" s="2">
        <f t="shared" si="451"/>
        <v>0</v>
      </c>
      <c r="AH560" s="2">
        <f>((EW560*1.1))</f>
        <v>4.9390000000000009</v>
      </c>
      <c r="AI560" s="2">
        <f>((EX560*1.1))</f>
        <v>0</v>
      </c>
      <c r="AJ560" s="2">
        <f t="shared" si="452"/>
        <v>0</v>
      </c>
      <c r="AK560" s="2">
        <v>116</v>
      </c>
      <c r="AL560" s="2">
        <v>58.15</v>
      </c>
      <c r="AM560" s="2">
        <v>2.62</v>
      </c>
      <c r="AN560" s="2">
        <v>0.3</v>
      </c>
      <c r="AO560" s="2">
        <v>55.23</v>
      </c>
      <c r="AP560" s="2">
        <v>0</v>
      </c>
      <c r="AQ560" s="2">
        <v>4.49</v>
      </c>
      <c r="AR560" s="2">
        <v>0</v>
      </c>
      <c r="AS560" s="2">
        <v>0</v>
      </c>
      <c r="AT560" s="2">
        <v>97</v>
      </c>
      <c r="AU560" s="2">
        <v>51</v>
      </c>
      <c r="AV560" s="2">
        <v>1.0469999999999999</v>
      </c>
      <c r="AW560" s="2">
        <v>1</v>
      </c>
      <c r="AX560" s="2"/>
      <c r="AY560" s="2"/>
      <c r="AZ560" s="2">
        <v>1</v>
      </c>
      <c r="BA560" s="2">
        <v>1</v>
      </c>
      <c r="BB560" s="2">
        <v>1</v>
      </c>
      <c r="BC560" s="2">
        <v>1</v>
      </c>
      <c r="BD560" s="2" t="s">
        <v>3</v>
      </c>
      <c r="BE560" s="2" t="s">
        <v>3</v>
      </c>
      <c r="BF560" s="2" t="s">
        <v>3</v>
      </c>
      <c r="BG560" s="2" t="s">
        <v>3</v>
      </c>
      <c r="BH560" s="2">
        <v>0</v>
      </c>
      <c r="BI560" s="2">
        <v>2</v>
      </c>
      <c r="BJ560" s="2" t="s">
        <v>97</v>
      </c>
      <c r="BK560" s="2"/>
      <c r="BL560" s="2"/>
      <c r="BM560" s="2">
        <v>67</v>
      </c>
      <c r="BN560" s="2">
        <v>55992028</v>
      </c>
      <c r="BO560" s="2" t="s">
        <v>95</v>
      </c>
      <c r="BP560" s="2">
        <v>1</v>
      </c>
      <c r="BQ560" s="2">
        <v>40</v>
      </c>
      <c r="BR560" s="2">
        <v>0</v>
      </c>
      <c r="BS560" s="2">
        <v>1</v>
      </c>
      <c r="BT560" s="2">
        <v>1</v>
      </c>
      <c r="BU560" s="2">
        <v>1</v>
      </c>
      <c r="BV560" s="2">
        <v>1</v>
      </c>
      <c r="BW560" s="2">
        <v>1</v>
      </c>
      <c r="BX560" s="2">
        <v>1</v>
      </c>
      <c r="BY560" s="2" t="s">
        <v>3</v>
      </c>
      <c r="BZ560" s="2">
        <v>97</v>
      </c>
      <c r="CA560" s="2">
        <v>51</v>
      </c>
      <c r="CB560" s="2" t="s">
        <v>3</v>
      </c>
      <c r="CC560" s="2"/>
      <c r="CD560" s="2"/>
      <c r="CE560" s="2">
        <v>30</v>
      </c>
      <c r="CF560" s="2">
        <v>0</v>
      </c>
      <c r="CG560" s="2">
        <v>0</v>
      </c>
      <c r="CH560" s="2"/>
      <c r="CI560" s="2"/>
      <c r="CJ560" s="2"/>
      <c r="CK560" s="2"/>
      <c r="CL560" s="2"/>
      <c r="CM560" s="2">
        <v>0</v>
      </c>
      <c r="CN560" s="2" t="s">
        <v>673</v>
      </c>
      <c r="CO560" s="2">
        <v>0</v>
      </c>
      <c r="CP560" s="2">
        <f t="shared" si="453"/>
        <v>374.33000000000004</v>
      </c>
      <c r="CQ560" s="2">
        <f t="shared" si="472"/>
        <v>58.15</v>
      </c>
      <c r="CR560" s="2">
        <f>(ROUND((ROUND((((ET560*1.1))*AV560*1),2)*BB560),2)+ROUND((ROUND(((AE560-((EU560*1.1)))*AV560*1),2)*BS560),2))</f>
        <v>3.02</v>
      </c>
      <c r="CS560" s="2">
        <f t="shared" si="455"/>
        <v>0.35</v>
      </c>
      <c r="CT560" s="2">
        <f t="shared" si="456"/>
        <v>63.61</v>
      </c>
      <c r="CU560" s="2">
        <f t="shared" si="457"/>
        <v>0</v>
      </c>
      <c r="CV560" s="2">
        <f t="shared" si="458"/>
        <v>5.1711330000000011</v>
      </c>
      <c r="CW560" s="2">
        <f t="shared" si="459"/>
        <v>0</v>
      </c>
      <c r="CX560" s="2">
        <f t="shared" si="460"/>
        <v>0</v>
      </c>
      <c r="CY560" s="2">
        <f t="shared" si="461"/>
        <v>186.1139</v>
      </c>
      <c r="CZ560" s="2">
        <f t="shared" si="462"/>
        <v>97.853700000000003</v>
      </c>
      <c r="DA560" s="2"/>
      <c r="DB560" s="2"/>
      <c r="DC560" s="2" t="s">
        <v>3</v>
      </c>
      <c r="DD560" s="2" t="s">
        <v>3</v>
      </c>
      <c r="DE560" s="2" t="s">
        <v>23</v>
      </c>
      <c r="DF560" s="2" t="s">
        <v>23</v>
      </c>
      <c r="DG560" s="2" t="s">
        <v>23</v>
      </c>
      <c r="DH560" s="2" t="s">
        <v>3</v>
      </c>
      <c r="DI560" s="2" t="s">
        <v>23</v>
      </c>
      <c r="DJ560" s="2" t="s">
        <v>23</v>
      </c>
      <c r="DK560" s="2" t="s">
        <v>3</v>
      </c>
      <c r="DL560" s="2" t="s">
        <v>3</v>
      </c>
      <c r="DM560" s="2" t="s">
        <v>3</v>
      </c>
      <c r="DN560" s="2">
        <v>0</v>
      </c>
      <c r="DO560" s="2">
        <v>0</v>
      </c>
      <c r="DP560" s="2">
        <v>1</v>
      </c>
      <c r="DQ560" s="2">
        <v>1</v>
      </c>
      <c r="DR560" s="2"/>
      <c r="DS560" s="2"/>
      <c r="DT560" s="2"/>
      <c r="DU560" s="2">
        <v>1003</v>
      </c>
      <c r="DV560" s="2" t="s">
        <v>77</v>
      </c>
      <c r="DW560" s="2" t="s">
        <v>77</v>
      </c>
      <c r="DX560" s="2">
        <v>100</v>
      </c>
      <c r="DY560" s="2"/>
      <c r="DZ560" s="2" t="s">
        <v>3</v>
      </c>
      <c r="EA560" s="2" t="s">
        <v>3</v>
      </c>
      <c r="EB560" s="2" t="s">
        <v>3</v>
      </c>
      <c r="EC560" s="2" t="s">
        <v>3</v>
      </c>
      <c r="ED560" s="2"/>
      <c r="EE560" s="2">
        <v>55992151</v>
      </c>
      <c r="EF560" s="2">
        <v>40</v>
      </c>
      <c r="EG560" s="2" t="s">
        <v>24</v>
      </c>
      <c r="EH560" s="2">
        <v>0</v>
      </c>
      <c r="EI560" s="2" t="s">
        <v>3</v>
      </c>
      <c r="EJ560" s="2">
        <v>2</v>
      </c>
      <c r="EK560" s="2">
        <v>67</v>
      </c>
      <c r="EL560" s="2" t="s">
        <v>79</v>
      </c>
      <c r="EM560" s="2" t="s">
        <v>80</v>
      </c>
      <c r="EN560" s="2"/>
      <c r="EO560" s="2" t="s">
        <v>27</v>
      </c>
      <c r="EP560" s="2"/>
      <c r="EQ560" s="2">
        <v>0</v>
      </c>
      <c r="ER560" s="2">
        <v>116</v>
      </c>
      <c r="ES560" s="2">
        <v>58.15</v>
      </c>
      <c r="ET560" s="2">
        <v>2.62</v>
      </c>
      <c r="EU560" s="2">
        <v>0.3</v>
      </c>
      <c r="EV560" s="2">
        <v>55.23</v>
      </c>
      <c r="EW560" s="2">
        <v>4.49</v>
      </c>
      <c r="EX560" s="2">
        <v>0</v>
      </c>
      <c r="EY560" s="2">
        <v>0</v>
      </c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>
        <v>0</v>
      </c>
      <c r="FR560" s="2">
        <v>0</v>
      </c>
      <c r="FS560" s="2">
        <v>0</v>
      </c>
      <c r="FT560" s="2"/>
      <c r="FU560" s="2"/>
      <c r="FV560" s="2"/>
      <c r="FW560" s="2"/>
      <c r="FX560" s="2">
        <v>97</v>
      </c>
      <c r="FY560" s="2">
        <v>51</v>
      </c>
      <c r="FZ560" s="2"/>
      <c r="GA560" s="2" t="s">
        <v>3</v>
      </c>
      <c r="GB560" s="2"/>
      <c r="GC560" s="2"/>
      <c r="GD560" s="2">
        <v>1</v>
      </c>
      <c r="GE560" s="2"/>
      <c r="GF560" s="2">
        <v>770559996</v>
      </c>
      <c r="GG560" s="2">
        <v>2</v>
      </c>
      <c r="GH560" s="2">
        <v>1</v>
      </c>
      <c r="GI560" s="2">
        <v>2</v>
      </c>
      <c r="GJ560" s="2">
        <v>0</v>
      </c>
      <c r="GK560" s="2">
        <v>0</v>
      </c>
      <c r="GL560" s="2">
        <f t="shared" si="463"/>
        <v>0</v>
      </c>
      <c r="GM560" s="2">
        <f t="shared" si="464"/>
        <v>658.29</v>
      </c>
      <c r="GN560" s="2">
        <f t="shared" si="465"/>
        <v>0</v>
      </c>
      <c r="GO560" s="2">
        <f t="shared" si="466"/>
        <v>658.29</v>
      </c>
      <c r="GP560" s="2">
        <f t="shared" si="467"/>
        <v>0</v>
      </c>
      <c r="GQ560" s="2"/>
      <c r="GR560" s="2">
        <v>0</v>
      </c>
      <c r="GS560" s="2">
        <v>3</v>
      </c>
      <c r="GT560" s="2">
        <v>0</v>
      </c>
      <c r="GU560" s="2" t="s">
        <v>3</v>
      </c>
      <c r="GV560" s="2">
        <f t="shared" si="468"/>
        <v>0</v>
      </c>
      <c r="GW560" s="2">
        <v>1</v>
      </c>
      <c r="GX560" s="2">
        <f t="shared" si="469"/>
        <v>0</v>
      </c>
      <c r="GY560" s="2"/>
      <c r="GZ560" s="2"/>
      <c r="HA560" s="2">
        <v>0</v>
      </c>
      <c r="HB560" s="2">
        <v>0</v>
      </c>
      <c r="HC560" s="2">
        <f t="shared" si="470"/>
        <v>0</v>
      </c>
      <c r="HD560" s="2"/>
      <c r="HE560" s="2" t="s">
        <v>3</v>
      </c>
      <c r="HF560" s="2" t="s">
        <v>3</v>
      </c>
      <c r="HG560" s="2"/>
      <c r="HH560" s="2"/>
      <c r="HI560" s="2"/>
      <c r="HJ560" s="2"/>
      <c r="HK560" s="2"/>
      <c r="HL560" s="2"/>
      <c r="HM560" s="2" t="s">
        <v>3</v>
      </c>
      <c r="HN560" s="2" t="s">
        <v>3</v>
      </c>
      <c r="HO560" s="2" t="s">
        <v>3</v>
      </c>
      <c r="HP560" s="2" t="s">
        <v>3</v>
      </c>
      <c r="HQ560" s="2" t="s">
        <v>3</v>
      </c>
      <c r="HR560" s="2"/>
      <c r="HS560" s="2">
        <v>0</v>
      </c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>
        <v>0</v>
      </c>
      <c r="IL560" s="2"/>
      <c r="IM560" s="2"/>
      <c r="IN560" s="2"/>
      <c r="IO560" s="2"/>
      <c r="IP560" s="2"/>
      <c r="IQ560" s="2"/>
      <c r="IR560" s="2"/>
      <c r="IS560" s="2"/>
      <c r="IT560" s="2"/>
      <c r="IU560" s="2"/>
    </row>
    <row r="561" spans="1:255" x14ac:dyDescent="0.2">
      <c r="A561">
        <v>17</v>
      </c>
      <c r="B561">
        <v>1</v>
      </c>
      <c r="C561">
        <f>ROW(SmtRes!A446)</f>
        <v>446</v>
      </c>
      <c r="D561">
        <f>ROW(EtalonRes!A534)</f>
        <v>534</v>
      </c>
      <c r="E561" t="s">
        <v>480</v>
      </c>
      <c r="F561" t="s">
        <v>95</v>
      </c>
      <c r="G561" t="s">
        <v>96</v>
      </c>
      <c r="H561" t="s">
        <v>77</v>
      </c>
      <c r="I561">
        <f>ROUND(300/100,9)</f>
        <v>3</v>
      </c>
      <c r="J561">
        <v>0</v>
      </c>
      <c r="K561">
        <f>ROUND(300/100,9)</f>
        <v>3</v>
      </c>
      <c r="O561">
        <f t="shared" si="439"/>
        <v>11271.07</v>
      </c>
      <c r="P561">
        <f t="shared" si="471"/>
        <v>645.47</v>
      </c>
      <c r="Q561">
        <f>(ROUND((ROUND((((ET561*1.1))*AV561*I561),2)*BB561),2)+ROUND((ROUND(((AE561-((EU561*1.1)))*AV561*I561),2)*BS561),2))</f>
        <v>131.86000000000001</v>
      </c>
      <c r="R561">
        <f t="shared" si="441"/>
        <v>57.19</v>
      </c>
      <c r="S561">
        <f t="shared" si="442"/>
        <v>10493.74</v>
      </c>
      <c r="T561">
        <f t="shared" si="443"/>
        <v>0</v>
      </c>
      <c r="U561">
        <f t="shared" si="444"/>
        <v>15.513399000000003</v>
      </c>
      <c r="V561">
        <f t="shared" si="445"/>
        <v>0</v>
      </c>
      <c r="W561">
        <f t="shared" si="446"/>
        <v>0</v>
      </c>
      <c r="X561">
        <f t="shared" si="447"/>
        <v>10234.4</v>
      </c>
      <c r="Y561">
        <f t="shared" si="448"/>
        <v>5380.97</v>
      </c>
      <c r="AA561">
        <v>56959431</v>
      </c>
      <c r="AB561">
        <f t="shared" si="449"/>
        <v>121.785</v>
      </c>
      <c r="AC561">
        <f t="shared" si="450"/>
        <v>58.15</v>
      </c>
      <c r="AD561">
        <f>ROUND(((((ET561*1.1))-((EU561*1.1)))+AE561),6)</f>
        <v>2.8820000000000001</v>
      </c>
      <c r="AE561">
        <f>ROUND(((EU561*1.1)),6)</f>
        <v>0.33</v>
      </c>
      <c r="AF561">
        <f>ROUND(((EV561*1.1)),6)</f>
        <v>60.753</v>
      </c>
      <c r="AG561">
        <f t="shared" si="451"/>
        <v>0</v>
      </c>
      <c r="AH561">
        <f>((EW561*1.1))</f>
        <v>4.9390000000000009</v>
      </c>
      <c r="AI561">
        <f>((EX561*1.1))</f>
        <v>0</v>
      </c>
      <c r="AJ561">
        <f t="shared" si="452"/>
        <v>0</v>
      </c>
      <c r="AK561">
        <v>116</v>
      </c>
      <c r="AL561">
        <v>58.15</v>
      </c>
      <c r="AM561">
        <v>2.62</v>
      </c>
      <c r="AN561">
        <v>0.3</v>
      </c>
      <c r="AO561">
        <v>55.23</v>
      </c>
      <c r="AP561">
        <v>0</v>
      </c>
      <c r="AQ561">
        <v>4.49</v>
      </c>
      <c r="AR561">
        <v>0</v>
      </c>
      <c r="AS561">
        <v>0</v>
      </c>
      <c r="AT561">
        <v>97</v>
      </c>
      <c r="AU561">
        <v>51</v>
      </c>
      <c r="AV561">
        <v>1.0469999999999999</v>
      </c>
      <c r="AW561">
        <v>1</v>
      </c>
      <c r="AZ561">
        <v>1</v>
      </c>
      <c r="BA561">
        <v>54.99</v>
      </c>
      <c r="BB561">
        <v>14.57</v>
      </c>
      <c r="BC561">
        <v>3.7</v>
      </c>
      <c r="BD561" t="s">
        <v>3</v>
      </c>
      <c r="BE561" t="s">
        <v>3</v>
      </c>
      <c r="BF561" t="s">
        <v>3</v>
      </c>
      <c r="BG561" t="s">
        <v>3</v>
      </c>
      <c r="BH561">
        <v>0</v>
      </c>
      <c r="BI561">
        <v>2</v>
      </c>
      <c r="BJ561" t="s">
        <v>97</v>
      </c>
      <c r="BM561">
        <v>67</v>
      </c>
      <c r="BN561">
        <v>55992028</v>
      </c>
      <c r="BO561" t="s">
        <v>95</v>
      </c>
      <c r="BP561">
        <v>1</v>
      </c>
      <c r="BQ561">
        <v>40</v>
      </c>
      <c r="BR561">
        <v>0</v>
      </c>
      <c r="BS561">
        <v>54.99</v>
      </c>
      <c r="BT561">
        <v>1</v>
      </c>
      <c r="BU561">
        <v>1</v>
      </c>
      <c r="BV561">
        <v>1</v>
      </c>
      <c r="BW561">
        <v>1</v>
      </c>
      <c r="BX561">
        <v>1</v>
      </c>
      <c r="BY561" t="s">
        <v>3</v>
      </c>
      <c r="BZ561">
        <v>97</v>
      </c>
      <c r="CA561">
        <v>51</v>
      </c>
      <c r="CB561" t="s">
        <v>3</v>
      </c>
      <c r="CE561">
        <v>30</v>
      </c>
      <c r="CF561">
        <v>0</v>
      </c>
      <c r="CG561">
        <v>0</v>
      </c>
      <c r="CM561">
        <v>0</v>
      </c>
      <c r="CN561" t="s">
        <v>673</v>
      </c>
      <c r="CO561">
        <v>0</v>
      </c>
      <c r="CP561">
        <f t="shared" si="453"/>
        <v>11271.07</v>
      </c>
      <c r="CQ561">
        <f t="shared" si="472"/>
        <v>215.16</v>
      </c>
      <c r="CR561">
        <f>(ROUND((ROUND((((ET561*1.1))*AV561*1),2)*BB561),2)+ROUND((ROUND(((AE561-((EU561*1.1)))*AV561*1),2)*BS561),2))</f>
        <v>44</v>
      </c>
      <c r="CS561">
        <f t="shared" si="455"/>
        <v>19.25</v>
      </c>
      <c r="CT561">
        <f t="shared" si="456"/>
        <v>3497.91</v>
      </c>
      <c r="CU561">
        <f t="shared" si="457"/>
        <v>0</v>
      </c>
      <c r="CV561">
        <f t="shared" si="458"/>
        <v>5.1711330000000011</v>
      </c>
      <c r="CW561">
        <f t="shared" si="459"/>
        <v>0</v>
      </c>
      <c r="CX561">
        <f t="shared" si="460"/>
        <v>0</v>
      </c>
      <c r="CY561">
        <f t="shared" si="461"/>
        <v>10234.402100000001</v>
      </c>
      <c r="CZ561">
        <f t="shared" si="462"/>
        <v>5380.9743000000008</v>
      </c>
      <c r="DC561" t="s">
        <v>3</v>
      </c>
      <c r="DD561" t="s">
        <v>3</v>
      </c>
      <c r="DE561" t="s">
        <v>23</v>
      </c>
      <c r="DF561" t="s">
        <v>23</v>
      </c>
      <c r="DG561" t="s">
        <v>23</v>
      </c>
      <c r="DH561" t="s">
        <v>3</v>
      </c>
      <c r="DI561" t="s">
        <v>23</v>
      </c>
      <c r="DJ561" t="s">
        <v>23</v>
      </c>
      <c r="DK561" t="s">
        <v>3</v>
      </c>
      <c r="DL561" t="s">
        <v>3</v>
      </c>
      <c r="DM561" t="s">
        <v>3</v>
      </c>
      <c r="DN561">
        <v>0</v>
      </c>
      <c r="DO561">
        <v>0</v>
      </c>
      <c r="DP561">
        <v>1</v>
      </c>
      <c r="DQ561">
        <v>1</v>
      </c>
      <c r="DU561">
        <v>1003</v>
      </c>
      <c r="DV561" t="s">
        <v>77</v>
      </c>
      <c r="DW561" t="s">
        <v>77</v>
      </c>
      <c r="DX561">
        <v>100</v>
      </c>
      <c r="DZ561" t="s">
        <v>3</v>
      </c>
      <c r="EA561" t="s">
        <v>3</v>
      </c>
      <c r="EB561" t="s">
        <v>3</v>
      </c>
      <c r="EC561" t="s">
        <v>3</v>
      </c>
      <c r="EE561">
        <v>55992151</v>
      </c>
      <c r="EF561">
        <v>40</v>
      </c>
      <c r="EG561" t="s">
        <v>24</v>
      </c>
      <c r="EH561">
        <v>0</v>
      </c>
      <c r="EI561" t="s">
        <v>3</v>
      </c>
      <c r="EJ561">
        <v>2</v>
      </c>
      <c r="EK561">
        <v>67</v>
      </c>
      <c r="EL561" t="s">
        <v>79</v>
      </c>
      <c r="EM561" t="s">
        <v>80</v>
      </c>
      <c r="EO561" t="s">
        <v>27</v>
      </c>
      <c r="EQ561">
        <v>0</v>
      </c>
      <c r="ER561">
        <v>116</v>
      </c>
      <c r="ES561">
        <v>58.15</v>
      </c>
      <c r="ET561">
        <v>2.62</v>
      </c>
      <c r="EU561">
        <v>0.3</v>
      </c>
      <c r="EV561">
        <v>55.23</v>
      </c>
      <c r="EW561">
        <v>4.49</v>
      </c>
      <c r="EX561">
        <v>0</v>
      </c>
      <c r="EY561">
        <v>0</v>
      </c>
      <c r="FQ561">
        <v>0</v>
      </c>
      <c r="FR561">
        <v>0</v>
      </c>
      <c r="FS561">
        <v>0</v>
      </c>
      <c r="FX561">
        <v>97</v>
      </c>
      <c r="FY561">
        <v>51</v>
      </c>
      <c r="GA561" t="s">
        <v>3</v>
      </c>
      <c r="GD561">
        <v>1</v>
      </c>
      <c r="GF561">
        <v>770559996</v>
      </c>
      <c r="GG561">
        <v>2</v>
      </c>
      <c r="GH561">
        <v>1</v>
      </c>
      <c r="GI561">
        <v>2</v>
      </c>
      <c r="GJ561">
        <v>0</v>
      </c>
      <c r="GK561">
        <v>0</v>
      </c>
      <c r="GL561">
        <f t="shared" si="463"/>
        <v>0</v>
      </c>
      <c r="GM561">
        <f t="shared" si="464"/>
        <v>26886.44</v>
      </c>
      <c r="GN561">
        <f t="shared" si="465"/>
        <v>0</v>
      </c>
      <c r="GO561">
        <f t="shared" si="466"/>
        <v>26886.44</v>
      </c>
      <c r="GP561">
        <f t="shared" si="467"/>
        <v>0</v>
      </c>
      <c r="GR561">
        <v>0</v>
      </c>
      <c r="GS561">
        <v>3</v>
      </c>
      <c r="GT561">
        <v>0</v>
      </c>
      <c r="GU561" t="s">
        <v>3</v>
      </c>
      <c r="GV561">
        <f t="shared" si="468"/>
        <v>0</v>
      </c>
      <c r="GW561">
        <v>1</v>
      </c>
      <c r="GX561">
        <f t="shared" si="469"/>
        <v>0</v>
      </c>
      <c r="HA561">
        <v>0</v>
      </c>
      <c r="HB561">
        <v>0</v>
      </c>
      <c r="HC561">
        <f t="shared" si="470"/>
        <v>0</v>
      </c>
      <c r="HE561" t="s">
        <v>3</v>
      </c>
      <c r="HF561" t="s">
        <v>3</v>
      </c>
      <c r="HM561" t="s">
        <v>3</v>
      </c>
      <c r="HN561" t="s">
        <v>3</v>
      </c>
      <c r="HO561" t="s">
        <v>3</v>
      </c>
      <c r="HP561" t="s">
        <v>3</v>
      </c>
      <c r="HQ561" t="s">
        <v>3</v>
      </c>
      <c r="HS561">
        <v>0</v>
      </c>
      <c r="IK561">
        <v>0</v>
      </c>
    </row>
    <row r="562" spans="1:255" x14ac:dyDescent="0.2">
      <c r="A562" s="2">
        <v>18</v>
      </c>
      <c r="B562" s="2">
        <v>1</v>
      </c>
      <c r="C562" s="2">
        <v>436</v>
      </c>
      <c r="D562" s="2"/>
      <c r="E562" s="2" t="s">
        <v>481</v>
      </c>
      <c r="F562" s="2" t="s">
        <v>99</v>
      </c>
      <c r="G562" s="2" t="s">
        <v>100</v>
      </c>
      <c r="H562" s="2" t="s">
        <v>101</v>
      </c>
      <c r="I562" s="2">
        <f>I560*J562</f>
        <v>306</v>
      </c>
      <c r="J562" s="2">
        <v>102</v>
      </c>
      <c r="K562" s="2">
        <v>102</v>
      </c>
      <c r="L562" s="2"/>
      <c r="M562" s="2"/>
      <c r="N562" s="2"/>
      <c r="O562" s="2">
        <f t="shared" si="439"/>
        <v>1554.48</v>
      </c>
      <c r="P562" s="2">
        <f t="shared" si="471"/>
        <v>1554.48</v>
      </c>
      <c r="Q562" s="2">
        <f>(ROUND((ROUND(((ET562)*AV562*I562),2)*BB562),2)+ROUND((ROUND(((AE562-(EU562))*AV562*I562),2)*BS562),2))</f>
        <v>0</v>
      </c>
      <c r="R562" s="2">
        <f t="shared" si="441"/>
        <v>0</v>
      </c>
      <c r="S562" s="2">
        <f t="shared" si="442"/>
        <v>0</v>
      </c>
      <c r="T562" s="2">
        <f t="shared" si="443"/>
        <v>0</v>
      </c>
      <c r="U562" s="2">
        <f t="shared" si="444"/>
        <v>0</v>
      </c>
      <c r="V562" s="2">
        <f t="shared" si="445"/>
        <v>0</v>
      </c>
      <c r="W562" s="2">
        <f t="shared" si="446"/>
        <v>0</v>
      </c>
      <c r="X562" s="2">
        <f t="shared" si="447"/>
        <v>0</v>
      </c>
      <c r="Y562" s="2">
        <f t="shared" si="448"/>
        <v>0</v>
      </c>
      <c r="Z562" s="2"/>
      <c r="AA562" s="2">
        <v>56959434</v>
      </c>
      <c r="AB562" s="2">
        <f t="shared" si="449"/>
        <v>5.08</v>
      </c>
      <c r="AC562" s="2">
        <f t="shared" si="450"/>
        <v>5.08</v>
      </c>
      <c r="AD562" s="2">
        <f>ROUND((((ET562)-(EU562))+AE562),6)</f>
        <v>0</v>
      </c>
      <c r="AE562" s="2">
        <f>ROUND((EU562),6)</f>
        <v>0</v>
      </c>
      <c r="AF562" s="2">
        <f>ROUND((EV562),6)</f>
        <v>0</v>
      </c>
      <c r="AG562" s="2">
        <f t="shared" si="451"/>
        <v>0</v>
      </c>
      <c r="AH562" s="2">
        <f>(EW562)</f>
        <v>0</v>
      </c>
      <c r="AI562" s="2">
        <f>(EX562)</f>
        <v>0</v>
      </c>
      <c r="AJ562" s="2">
        <f t="shared" si="452"/>
        <v>0</v>
      </c>
      <c r="AK562" s="2">
        <v>5.08</v>
      </c>
      <c r="AL562" s="2">
        <v>5.08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97</v>
      </c>
      <c r="AU562" s="2">
        <v>51</v>
      </c>
      <c r="AV562" s="2">
        <v>1</v>
      </c>
      <c r="AW562" s="2">
        <v>1</v>
      </c>
      <c r="AX562" s="2"/>
      <c r="AY562" s="2"/>
      <c r="AZ562" s="2">
        <v>1</v>
      </c>
      <c r="BA562" s="2">
        <v>1</v>
      </c>
      <c r="BB562" s="2">
        <v>1</v>
      </c>
      <c r="BC562" s="2">
        <v>1</v>
      </c>
      <c r="BD562" s="2" t="s">
        <v>3</v>
      </c>
      <c r="BE562" s="2" t="s">
        <v>3</v>
      </c>
      <c r="BF562" s="2" t="s">
        <v>3</v>
      </c>
      <c r="BG562" s="2" t="s">
        <v>3</v>
      </c>
      <c r="BH562" s="2">
        <v>3</v>
      </c>
      <c r="BI562" s="2">
        <v>2</v>
      </c>
      <c r="BJ562" s="2" t="s">
        <v>3</v>
      </c>
      <c r="BK562" s="2"/>
      <c r="BL562" s="2"/>
      <c r="BM562" s="2">
        <v>67</v>
      </c>
      <c r="BN562" s="2">
        <v>0</v>
      </c>
      <c r="BO562" s="2" t="s">
        <v>3</v>
      </c>
      <c r="BP562" s="2">
        <v>0</v>
      </c>
      <c r="BQ562" s="2">
        <v>40</v>
      </c>
      <c r="BR562" s="2">
        <v>0</v>
      </c>
      <c r="BS562" s="2">
        <v>1</v>
      </c>
      <c r="BT562" s="2">
        <v>1</v>
      </c>
      <c r="BU562" s="2">
        <v>1</v>
      </c>
      <c r="BV562" s="2">
        <v>1</v>
      </c>
      <c r="BW562" s="2">
        <v>1</v>
      </c>
      <c r="BX562" s="2">
        <v>1</v>
      </c>
      <c r="BY562" s="2" t="s">
        <v>3</v>
      </c>
      <c r="BZ562" s="2">
        <v>97</v>
      </c>
      <c r="CA562" s="2">
        <v>51</v>
      </c>
      <c r="CB562" s="2" t="s">
        <v>3</v>
      </c>
      <c r="CC562" s="2"/>
      <c r="CD562" s="2"/>
      <c r="CE562" s="2">
        <v>30</v>
      </c>
      <c r="CF562" s="2">
        <v>0</v>
      </c>
      <c r="CG562" s="2">
        <v>0</v>
      </c>
      <c r="CH562" s="2"/>
      <c r="CI562" s="2"/>
      <c r="CJ562" s="2"/>
      <c r="CK562" s="2"/>
      <c r="CL562" s="2"/>
      <c r="CM562" s="2">
        <v>0</v>
      </c>
      <c r="CN562" s="2" t="s">
        <v>3</v>
      </c>
      <c r="CO562" s="2">
        <v>0</v>
      </c>
      <c r="CP562" s="2">
        <f t="shared" si="453"/>
        <v>1554.48</v>
      </c>
      <c r="CQ562" s="2">
        <f t="shared" si="472"/>
        <v>5.08</v>
      </c>
      <c r="CR562" s="2">
        <f>(ROUND((ROUND(((ET562)*AV562*1),2)*BB562),2)+ROUND((ROUND(((AE562-(EU562))*AV562*1),2)*BS562),2))</f>
        <v>0</v>
      </c>
      <c r="CS562" s="2">
        <f t="shared" si="455"/>
        <v>0</v>
      </c>
      <c r="CT562" s="2">
        <f t="shared" si="456"/>
        <v>0</v>
      </c>
      <c r="CU562" s="2">
        <f t="shared" si="457"/>
        <v>0</v>
      </c>
      <c r="CV562" s="2">
        <f t="shared" si="458"/>
        <v>0</v>
      </c>
      <c r="CW562" s="2">
        <f t="shared" si="459"/>
        <v>0</v>
      </c>
      <c r="CX562" s="2">
        <f t="shared" si="460"/>
        <v>0</v>
      </c>
      <c r="CY562" s="2">
        <f t="shared" si="461"/>
        <v>0</v>
      </c>
      <c r="CZ562" s="2">
        <f t="shared" si="462"/>
        <v>0</v>
      </c>
      <c r="DA562" s="2"/>
      <c r="DB562" s="2"/>
      <c r="DC562" s="2" t="s">
        <v>3</v>
      </c>
      <c r="DD562" s="2" t="s">
        <v>3</v>
      </c>
      <c r="DE562" s="2" t="s">
        <v>3</v>
      </c>
      <c r="DF562" s="2" t="s">
        <v>3</v>
      </c>
      <c r="DG562" s="2" t="s">
        <v>3</v>
      </c>
      <c r="DH562" s="2" t="s">
        <v>3</v>
      </c>
      <c r="DI562" s="2" t="s">
        <v>3</v>
      </c>
      <c r="DJ562" s="2" t="s">
        <v>3</v>
      </c>
      <c r="DK562" s="2" t="s">
        <v>3</v>
      </c>
      <c r="DL562" s="2" t="s">
        <v>3</v>
      </c>
      <c r="DM562" s="2" t="s">
        <v>3</v>
      </c>
      <c r="DN562" s="2">
        <v>0</v>
      </c>
      <c r="DO562" s="2">
        <v>0</v>
      </c>
      <c r="DP562" s="2">
        <v>1</v>
      </c>
      <c r="DQ562" s="2">
        <v>1</v>
      </c>
      <c r="DR562" s="2"/>
      <c r="DS562" s="2"/>
      <c r="DT562" s="2"/>
      <c r="DU562" s="2">
        <v>1013</v>
      </c>
      <c r="DV562" s="2" t="s">
        <v>101</v>
      </c>
      <c r="DW562" s="2" t="s">
        <v>101</v>
      </c>
      <c r="DX562" s="2">
        <v>1</v>
      </c>
      <c r="DY562" s="2"/>
      <c r="DZ562" s="2" t="s">
        <v>3</v>
      </c>
      <c r="EA562" s="2" t="s">
        <v>3</v>
      </c>
      <c r="EB562" s="2" t="s">
        <v>3</v>
      </c>
      <c r="EC562" s="2" t="s">
        <v>3</v>
      </c>
      <c r="ED562" s="2"/>
      <c r="EE562" s="2">
        <v>55992151</v>
      </c>
      <c r="EF562" s="2">
        <v>40</v>
      </c>
      <c r="EG562" s="2" t="s">
        <v>24</v>
      </c>
      <c r="EH562" s="2">
        <v>0</v>
      </c>
      <c r="EI562" s="2" t="s">
        <v>3</v>
      </c>
      <c r="EJ562" s="2">
        <v>2</v>
      </c>
      <c r="EK562" s="2">
        <v>67</v>
      </c>
      <c r="EL562" s="2" t="s">
        <v>79</v>
      </c>
      <c r="EM562" s="2" t="s">
        <v>80</v>
      </c>
      <c r="EN562" s="2"/>
      <c r="EO562" s="2" t="s">
        <v>3</v>
      </c>
      <c r="EP562" s="2"/>
      <c r="EQ562" s="2">
        <v>0</v>
      </c>
      <c r="ER562" s="2">
        <v>0</v>
      </c>
      <c r="ES562" s="2">
        <v>5.08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>
        <v>0</v>
      </c>
      <c r="FR562" s="2">
        <v>0</v>
      </c>
      <c r="FS562" s="2">
        <v>0</v>
      </c>
      <c r="FT562" s="2"/>
      <c r="FU562" s="2"/>
      <c r="FV562" s="2"/>
      <c r="FW562" s="2"/>
      <c r="FX562" s="2">
        <v>97</v>
      </c>
      <c r="FY562" s="2">
        <v>51</v>
      </c>
      <c r="FZ562" s="2"/>
      <c r="GA562" s="2" t="s">
        <v>102</v>
      </c>
      <c r="GB562" s="2"/>
      <c r="GC562" s="2"/>
      <c r="GD562" s="2">
        <v>1</v>
      </c>
      <c r="GE562" s="2"/>
      <c r="GF562" s="2">
        <v>1285757954</v>
      </c>
      <c r="GG562" s="2">
        <v>2</v>
      </c>
      <c r="GH562" s="2">
        <v>4</v>
      </c>
      <c r="GI562" s="2">
        <v>-2</v>
      </c>
      <c r="GJ562" s="2">
        <v>0</v>
      </c>
      <c r="GK562" s="2">
        <v>0</v>
      </c>
      <c r="GL562" s="2">
        <f t="shared" si="463"/>
        <v>0</v>
      </c>
      <c r="GM562" s="2">
        <f t="shared" si="464"/>
        <v>1554.48</v>
      </c>
      <c r="GN562" s="2">
        <f t="shared" si="465"/>
        <v>0</v>
      </c>
      <c r="GO562" s="2">
        <f t="shared" si="466"/>
        <v>1554.48</v>
      </c>
      <c r="GP562" s="2">
        <f t="shared" si="467"/>
        <v>0</v>
      </c>
      <c r="GQ562" s="2"/>
      <c r="GR562" s="2">
        <v>0</v>
      </c>
      <c r="GS562" s="2">
        <v>2</v>
      </c>
      <c r="GT562" s="2">
        <v>0</v>
      </c>
      <c r="GU562" s="2" t="s">
        <v>3</v>
      </c>
      <c r="GV562" s="2">
        <f t="shared" si="468"/>
        <v>0</v>
      </c>
      <c r="GW562" s="2">
        <v>1</v>
      </c>
      <c r="GX562" s="2">
        <f t="shared" si="469"/>
        <v>0</v>
      </c>
      <c r="GY562" s="2"/>
      <c r="GZ562" s="2"/>
      <c r="HA562" s="2">
        <v>0</v>
      </c>
      <c r="HB562" s="2">
        <v>0</v>
      </c>
      <c r="HC562" s="2">
        <f t="shared" si="470"/>
        <v>0</v>
      </c>
      <c r="HD562" s="2"/>
      <c r="HE562" s="2" t="s">
        <v>103</v>
      </c>
      <c r="HF562" s="2" t="s">
        <v>28</v>
      </c>
      <c r="HG562" s="2"/>
      <c r="HH562" s="2"/>
      <c r="HI562" s="2"/>
      <c r="HJ562" s="2"/>
      <c r="HK562" s="2"/>
      <c r="HL562" s="2"/>
      <c r="HM562" s="2" t="s">
        <v>3</v>
      </c>
      <c r="HN562" s="2" t="s">
        <v>3</v>
      </c>
      <c r="HO562" s="2" t="s">
        <v>3</v>
      </c>
      <c r="HP562" s="2" t="s">
        <v>3</v>
      </c>
      <c r="HQ562" s="2" t="s">
        <v>3</v>
      </c>
      <c r="HR562" s="2"/>
      <c r="HS562" s="2">
        <v>0</v>
      </c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>
        <v>0</v>
      </c>
      <c r="IL562" s="2"/>
      <c r="IM562" s="2"/>
      <c r="IN562" s="2"/>
      <c r="IO562" s="2"/>
      <c r="IP562" s="2"/>
      <c r="IQ562" s="2"/>
      <c r="IR562" s="2"/>
      <c r="IS562" s="2"/>
      <c r="IT562" s="2"/>
      <c r="IU562" s="2"/>
    </row>
    <row r="563" spans="1:255" x14ac:dyDescent="0.2">
      <c r="A563">
        <v>18</v>
      </c>
      <c r="B563">
        <v>1</v>
      </c>
      <c r="C563">
        <v>446</v>
      </c>
      <c r="E563" t="s">
        <v>481</v>
      </c>
      <c r="F563" t="s">
        <v>99</v>
      </c>
      <c r="G563" t="s">
        <v>100</v>
      </c>
      <c r="H563" t="s">
        <v>101</v>
      </c>
      <c r="I563">
        <f>I561*J563</f>
        <v>306</v>
      </c>
      <c r="J563">
        <v>102</v>
      </c>
      <c r="K563">
        <v>102</v>
      </c>
      <c r="O563">
        <f t="shared" si="439"/>
        <v>15358.26</v>
      </c>
      <c r="P563">
        <f t="shared" si="471"/>
        <v>15358.26</v>
      </c>
      <c r="Q563">
        <f>(ROUND((ROUND(((ET563)*AV563*I563),2)*BB563),2)+ROUND((ROUND(((AE563-(EU563))*AV563*I563),2)*BS563),2))</f>
        <v>0</v>
      </c>
      <c r="R563">
        <f t="shared" si="441"/>
        <v>0</v>
      </c>
      <c r="S563">
        <f t="shared" si="442"/>
        <v>0</v>
      </c>
      <c r="T563">
        <f t="shared" si="443"/>
        <v>0</v>
      </c>
      <c r="U563">
        <f t="shared" si="444"/>
        <v>0</v>
      </c>
      <c r="V563">
        <f t="shared" si="445"/>
        <v>0</v>
      </c>
      <c r="W563">
        <f t="shared" si="446"/>
        <v>0</v>
      </c>
      <c r="X563">
        <f t="shared" si="447"/>
        <v>0</v>
      </c>
      <c r="Y563">
        <f t="shared" si="448"/>
        <v>0</v>
      </c>
      <c r="AA563">
        <v>56959431</v>
      </c>
      <c r="AB563">
        <f t="shared" si="449"/>
        <v>5.08</v>
      </c>
      <c r="AC563">
        <f t="shared" si="450"/>
        <v>5.08</v>
      </c>
      <c r="AD563">
        <f>ROUND((((ET563)-(EU563))+AE563),6)</f>
        <v>0</v>
      </c>
      <c r="AE563">
        <f>ROUND((EU563),6)</f>
        <v>0</v>
      </c>
      <c r="AF563">
        <f>ROUND((EV563),6)</f>
        <v>0</v>
      </c>
      <c r="AG563">
        <f t="shared" si="451"/>
        <v>0</v>
      </c>
      <c r="AH563">
        <f>(EW563)</f>
        <v>0</v>
      </c>
      <c r="AI563">
        <f>(EX563)</f>
        <v>0</v>
      </c>
      <c r="AJ563">
        <f t="shared" si="452"/>
        <v>0</v>
      </c>
      <c r="AK563">
        <v>5.08</v>
      </c>
      <c r="AL563">
        <v>5.08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97</v>
      </c>
      <c r="AU563">
        <v>51</v>
      </c>
      <c r="AV563">
        <v>1</v>
      </c>
      <c r="AW563">
        <v>1</v>
      </c>
      <c r="AZ563">
        <v>1</v>
      </c>
      <c r="BA563">
        <v>1</v>
      </c>
      <c r="BB563">
        <v>1</v>
      </c>
      <c r="BC563">
        <v>9.8800000000000008</v>
      </c>
      <c r="BD563" t="s">
        <v>3</v>
      </c>
      <c r="BE563" t="s">
        <v>3</v>
      </c>
      <c r="BF563" t="s">
        <v>3</v>
      </c>
      <c r="BG563" t="s">
        <v>3</v>
      </c>
      <c r="BH563">
        <v>3</v>
      </c>
      <c r="BI563">
        <v>2</v>
      </c>
      <c r="BJ563" t="s">
        <v>3</v>
      </c>
      <c r="BM563">
        <v>67</v>
      </c>
      <c r="BN563">
        <v>0</v>
      </c>
      <c r="BO563" t="s">
        <v>3</v>
      </c>
      <c r="BP563">
        <v>0</v>
      </c>
      <c r="BQ563">
        <v>40</v>
      </c>
      <c r="BR563">
        <v>0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 t="s">
        <v>3</v>
      </c>
      <c r="BZ563">
        <v>97</v>
      </c>
      <c r="CA563">
        <v>51</v>
      </c>
      <c r="CB563" t="s">
        <v>3</v>
      </c>
      <c r="CE563">
        <v>30</v>
      </c>
      <c r="CF563">
        <v>0</v>
      </c>
      <c r="CG563">
        <v>0</v>
      </c>
      <c r="CM563">
        <v>0</v>
      </c>
      <c r="CN563" t="s">
        <v>3</v>
      </c>
      <c r="CO563">
        <v>0</v>
      </c>
      <c r="CP563">
        <f t="shared" si="453"/>
        <v>15358.26</v>
      </c>
      <c r="CQ563">
        <f t="shared" si="472"/>
        <v>50.19</v>
      </c>
      <c r="CR563">
        <f>(ROUND((ROUND(((ET563)*AV563*1),2)*BB563),2)+ROUND((ROUND(((AE563-(EU563))*AV563*1),2)*BS563),2))</f>
        <v>0</v>
      </c>
      <c r="CS563">
        <f t="shared" si="455"/>
        <v>0</v>
      </c>
      <c r="CT563">
        <f t="shared" si="456"/>
        <v>0</v>
      </c>
      <c r="CU563">
        <f t="shared" si="457"/>
        <v>0</v>
      </c>
      <c r="CV563">
        <f t="shared" si="458"/>
        <v>0</v>
      </c>
      <c r="CW563">
        <f t="shared" si="459"/>
        <v>0</v>
      </c>
      <c r="CX563">
        <f t="shared" si="460"/>
        <v>0</v>
      </c>
      <c r="CY563">
        <f t="shared" si="461"/>
        <v>0</v>
      </c>
      <c r="CZ563">
        <f t="shared" si="462"/>
        <v>0</v>
      </c>
      <c r="DC563" t="s">
        <v>3</v>
      </c>
      <c r="DD563" t="s">
        <v>3</v>
      </c>
      <c r="DE563" t="s">
        <v>3</v>
      </c>
      <c r="DF563" t="s">
        <v>3</v>
      </c>
      <c r="DG563" t="s">
        <v>3</v>
      </c>
      <c r="DH563" t="s">
        <v>3</v>
      </c>
      <c r="DI563" t="s">
        <v>3</v>
      </c>
      <c r="DJ563" t="s">
        <v>3</v>
      </c>
      <c r="DK563" t="s">
        <v>3</v>
      </c>
      <c r="DL563" t="s">
        <v>3</v>
      </c>
      <c r="DM563" t="s">
        <v>3</v>
      </c>
      <c r="DN563">
        <v>0</v>
      </c>
      <c r="DO563">
        <v>0</v>
      </c>
      <c r="DP563">
        <v>1</v>
      </c>
      <c r="DQ563">
        <v>1</v>
      </c>
      <c r="DU563">
        <v>1013</v>
      </c>
      <c r="DV563" t="s">
        <v>101</v>
      </c>
      <c r="DW563" t="s">
        <v>101</v>
      </c>
      <c r="DX563">
        <v>1</v>
      </c>
      <c r="DZ563" t="s">
        <v>3</v>
      </c>
      <c r="EA563" t="s">
        <v>3</v>
      </c>
      <c r="EB563" t="s">
        <v>3</v>
      </c>
      <c r="EC563" t="s">
        <v>3</v>
      </c>
      <c r="EE563">
        <v>55992151</v>
      </c>
      <c r="EF563">
        <v>40</v>
      </c>
      <c r="EG563" t="s">
        <v>24</v>
      </c>
      <c r="EH563">
        <v>0</v>
      </c>
      <c r="EI563" t="s">
        <v>3</v>
      </c>
      <c r="EJ563">
        <v>2</v>
      </c>
      <c r="EK563">
        <v>67</v>
      </c>
      <c r="EL563" t="s">
        <v>79</v>
      </c>
      <c r="EM563" t="s">
        <v>80</v>
      </c>
      <c r="EO563" t="s">
        <v>3</v>
      </c>
      <c r="EQ563">
        <v>0</v>
      </c>
      <c r="ER563">
        <v>5.08</v>
      </c>
      <c r="ES563">
        <v>5.08</v>
      </c>
      <c r="ET563">
        <v>0</v>
      </c>
      <c r="EU563">
        <v>0</v>
      </c>
      <c r="EV563">
        <v>0</v>
      </c>
      <c r="EW563">
        <v>0</v>
      </c>
      <c r="EX563">
        <v>0</v>
      </c>
      <c r="EZ563">
        <v>5</v>
      </c>
      <c r="FC563">
        <v>1</v>
      </c>
      <c r="FD563">
        <v>18</v>
      </c>
      <c r="FF563">
        <v>59</v>
      </c>
      <c r="FQ563">
        <v>0</v>
      </c>
      <c r="FR563">
        <v>0</v>
      </c>
      <c r="FS563">
        <v>0</v>
      </c>
      <c r="FX563">
        <v>97</v>
      </c>
      <c r="FY563">
        <v>51</v>
      </c>
      <c r="GA563" t="s">
        <v>102</v>
      </c>
      <c r="GD563">
        <v>1</v>
      </c>
      <c r="GF563">
        <v>1285757954</v>
      </c>
      <c r="GG563">
        <v>2</v>
      </c>
      <c r="GH563">
        <v>3</v>
      </c>
      <c r="GI563">
        <v>5</v>
      </c>
      <c r="GJ563">
        <v>0</v>
      </c>
      <c r="GK563">
        <v>0</v>
      </c>
      <c r="GL563">
        <f t="shared" si="463"/>
        <v>0</v>
      </c>
      <c r="GM563">
        <f t="shared" si="464"/>
        <v>15358.26</v>
      </c>
      <c r="GN563">
        <f t="shared" si="465"/>
        <v>0</v>
      </c>
      <c r="GO563">
        <f t="shared" si="466"/>
        <v>15358.26</v>
      </c>
      <c r="GP563">
        <f t="shared" si="467"/>
        <v>0</v>
      </c>
      <c r="GR563">
        <v>1</v>
      </c>
      <c r="GS563">
        <v>1</v>
      </c>
      <c r="GT563">
        <v>0</v>
      </c>
      <c r="GU563" t="s">
        <v>3</v>
      </c>
      <c r="GV563">
        <f t="shared" si="468"/>
        <v>0</v>
      </c>
      <c r="GW563">
        <v>1</v>
      </c>
      <c r="GX563">
        <f t="shared" si="469"/>
        <v>0</v>
      </c>
      <c r="HA563">
        <v>0</v>
      </c>
      <c r="HB563">
        <v>0</v>
      </c>
      <c r="HC563">
        <f t="shared" si="470"/>
        <v>0</v>
      </c>
      <c r="HE563" t="s">
        <v>103</v>
      </c>
      <c r="HF563" t="s">
        <v>28</v>
      </c>
      <c r="HM563" t="s">
        <v>3</v>
      </c>
      <c r="HN563" t="s">
        <v>3</v>
      </c>
      <c r="HO563" t="s">
        <v>3</v>
      </c>
      <c r="HP563" t="s">
        <v>3</v>
      </c>
      <c r="HQ563" t="s">
        <v>3</v>
      </c>
      <c r="HS563">
        <v>0</v>
      </c>
      <c r="IK563">
        <v>0</v>
      </c>
    </row>
    <row r="565" spans="1:255" x14ac:dyDescent="0.2">
      <c r="A565" s="3">
        <v>51</v>
      </c>
      <c r="B565" s="3">
        <f>B540</f>
        <v>1</v>
      </c>
      <c r="C565" s="3">
        <f>A540</f>
        <v>4</v>
      </c>
      <c r="D565" s="3">
        <f>ROW(A540)</f>
        <v>540</v>
      </c>
      <c r="E565" s="3"/>
      <c r="F565" s="3" t="str">
        <f>IF(F540&lt;&gt;"",F540,"")</f>
        <v>Новый раздел</v>
      </c>
      <c r="G565" s="3" t="str">
        <f>IF(G540&lt;&gt;"",G540,"")</f>
        <v>Система управления фрамугами</v>
      </c>
      <c r="H565" s="3">
        <v>0</v>
      </c>
      <c r="I565" s="3"/>
      <c r="J565" s="3"/>
      <c r="K565" s="3"/>
      <c r="L565" s="3"/>
      <c r="M565" s="3"/>
      <c r="N565" s="3"/>
      <c r="O565" s="3">
        <f t="shared" ref="O565:T565" si="473">ROUND(AB565,2)</f>
        <v>15503.04</v>
      </c>
      <c r="P565" s="3">
        <f t="shared" si="473"/>
        <v>14196.45</v>
      </c>
      <c r="Q565" s="3">
        <f t="shared" si="473"/>
        <v>128.35</v>
      </c>
      <c r="R565" s="3">
        <f t="shared" si="473"/>
        <v>21.38</v>
      </c>
      <c r="S565" s="3">
        <f t="shared" si="473"/>
        <v>1178.24</v>
      </c>
      <c r="T565" s="3">
        <f t="shared" si="473"/>
        <v>0</v>
      </c>
      <c r="U565" s="3">
        <f>AH565</f>
        <v>91.516385400000004</v>
      </c>
      <c r="V565" s="3">
        <f>AI565</f>
        <v>0</v>
      </c>
      <c r="W565" s="3">
        <f>ROUND(AJ565,2)</f>
        <v>0</v>
      </c>
      <c r="X565" s="3">
        <f>ROUND(AK565,2)</f>
        <v>1148.97</v>
      </c>
      <c r="Y565" s="3">
        <f>ROUND(AL565,2)</f>
        <v>606.80999999999995</v>
      </c>
      <c r="Z565" s="3"/>
      <c r="AA565" s="3"/>
      <c r="AB565" s="3">
        <f>ROUND(SUMIF(AA544:AA563,"=56959434",O544:O563),2)</f>
        <v>15503.04</v>
      </c>
      <c r="AC565" s="3">
        <f>ROUND(SUMIF(AA544:AA563,"=56959434",P544:P563),2)</f>
        <v>14196.45</v>
      </c>
      <c r="AD565" s="3">
        <f>ROUND(SUMIF(AA544:AA563,"=56959434",Q544:Q563),2)</f>
        <v>128.35</v>
      </c>
      <c r="AE565" s="3">
        <f>ROUND(SUMIF(AA544:AA563,"=56959434",R544:R563),2)</f>
        <v>21.38</v>
      </c>
      <c r="AF565" s="3">
        <f>ROUND(SUMIF(AA544:AA563,"=56959434",S544:S563),2)</f>
        <v>1178.24</v>
      </c>
      <c r="AG565" s="3">
        <f>ROUND(SUMIF(AA544:AA563,"=56959434",T544:T563),2)</f>
        <v>0</v>
      </c>
      <c r="AH565" s="3">
        <f>SUMIF(AA544:AA563,"=56959434",U544:U563)</f>
        <v>91.516385400000004</v>
      </c>
      <c r="AI565" s="3">
        <f>SUMIF(AA544:AA563,"=56959434",V544:V563)</f>
        <v>0</v>
      </c>
      <c r="AJ565" s="3">
        <f>ROUND(SUMIF(AA544:AA563,"=56959434",W544:W563),2)</f>
        <v>0</v>
      </c>
      <c r="AK565" s="3">
        <f>ROUND(SUMIF(AA544:AA563,"=56959434",X544:X563),2)</f>
        <v>1148.97</v>
      </c>
      <c r="AL565" s="3">
        <f>ROUND(SUMIF(AA544:AA563,"=56959434",Y544:Y563),2)</f>
        <v>606.80999999999995</v>
      </c>
      <c r="AM565" s="3"/>
      <c r="AN565" s="3"/>
      <c r="AO565" s="3">
        <f t="shared" ref="AO565:BD565" si="474">ROUND(BX565,2)</f>
        <v>0</v>
      </c>
      <c r="AP565" s="3">
        <f t="shared" si="474"/>
        <v>6300.29</v>
      </c>
      <c r="AQ565" s="3">
        <f t="shared" si="474"/>
        <v>0</v>
      </c>
      <c r="AR565" s="3">
        <f t="shared" si="474"/>
        <v>17258.82</v>
      </c>
      <c r="AS565" s="3">
        <f t="shared" si="474"/>
        <v>0</v>
      </c>
      <c r="AT565" s="3">
        <f t="shared" si="474"/>
        <v>10958.53</v>
      </c>
      <c r="AU565" s="3">
        <f t="shared" si="474"/>
        <v>0</v>
      </c>
      <c r="AV565" s="3">
        <f t="shared" si="474"/>
        <v>14196.45</v>
      </c>
      <c r="AW565" s="3">
        <f t="shared" si="474"/>
        <v>7896.16</v>
      </c>
      <c r="AX565" s="3">
        <f t="shared" si="474"/>
        <v>0</v>
      </c>
      <c r="AY565" s="3">
        <f t="shared" si="474"/>
        <v>7896.16</v>
      </c>
      <c r="AZ565" s="3">
        <f t="shared" si="474"/>
        <v>6300.29</v>
      </c>
      <c r="BA565" s="3">
        <f t="shared" si="474"/>
        <v>0</v>
      </c>
      <c r="BB565" s="3">
        <f t="shared" si="474"/>
        <v>0</v>
      </c>
      <c r="BC565" s="3">
        <f t="shared" si="474"/>
        <v>0</v>
      </c>
      <c r="BD565" s="3">
        <f t="shared" si="474"/>
        <v>0</v>
      </c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>
        <f>ROUND(SUMIF(AA544:AA563,"=56959434",FQ544:FQ563),2)</f>
        <v>0</v>
      </c>
      <c r="BY565" s="3">
        <f>ROUND(SUMIF(AA544:AA563,"=56959434",FR544:FR563),2)</f>
        <v>6300.29</v>
      </c>
      <c r="BZ565" s="3">
        <f>ROUND(SUMIF(AA544:AA563,"=56959434",GL544:GL563),2)</f>
        <v>0</v>
      </c>
      <c r="CA565" s="3">
        <f>ROUND(SUMIF(AA544:AA563,"=56959434",GM544:GM563),2)</f>
        <v>17258.82</v>
      </c>
      <c r="CB565" s="3">
        <f>ROUND(SUMIF(AA544:AA563,"=56959434",GN544:GN563),2)</f>
        <v>0</v>
      </c>
      <c r="CC565" s="3">
        <f>ROUND(SUMIF(AA544:AA563,"=56959434",GO544:GO563),2)</f>
        <v>10958.53</v>
      </c>
      <c r="CD565" s="3">
        <f>ROUND(SUMIF(AA544:AA563,"=56959434",GP544:GP563),2)</f>
        <v>0</v>
      </c>
      <c r="CE565" s="3">
        <f>AC565-BX565</f>
        <v>14196.45</v>
      </c>
      <c r="CF565" s="3">
        <f>AC565-BY565</f>
        <v>7896.1600000000008</v>
      </c>
      <c r="CG565" s="3">
        <f>BX565-BZ565</f>
        <v>0</v>
      </c>
      <c r="CH565" s="3">
        <f>AC565-BX565-BY565+BZ565</f>
        <v>7896.1600000000008</v>
      </c>
      <c r="CI565" s="3">
        <f>BY565-BZ565</f>
        <v>6300.29</v>
      </c>
      <c r="CJ565" s="3">
        <f>ROUND(SUMIF(AA544:AA563,"=56959434",GX544:GX563),2)</f>
        <v>0</v>
      </c>
      <c r="CK565" s="3">
        <f>ROUND(SUMIF(AA544:AA563,"=56959434",GY544:GY563),2)</f>
        <v>0</v>
      </c>
      <c r="CL565" s="3">
        <f>ROUND(SUMIF(AA544:AA563,"=56959434",GZ544:GZ563),2)</f>
        <v>0</v>
      </c>
      <c r="CM565" s="3">
        <f>ROUND(SUMIF(AA544:AA563,"=56959434",HD544:HD563),2)</f>
        <v>0</v>
      </c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4">
        <f t="shared" ref="DG565:DL565" si="475">ROUND(DT565,2)</f>
        <v>172580.87</v>
      </c>
      <c r="DH565" s="4">
        <f t="shared" si="475"/>
        <v>105550.08</v>
      </c>
      <c r="DI565" s="4">
        <f t="shared" si="475"/>
        <v>2239.37</v>
      </c>
      <c r="DJ565" s="4">
        <f t="shared" si="475"/>
        <v>1175.68</v>
      </c>
      <c r="DK565" s="4">
        <f t="shared" si="475"/>
        <v>64791.42</v>
      </c>
      <c r="DL565" s="4">
        <f t="shared" si="475"/>
        <v>0</v>
      </c>
      <c r="DM565" s="4">
        <f>DZ565</f>
        <v>91.516385400000004</v>
      </c>
      <c r="DN565" s="4">
        <f>EA565</f>
        <v>0</v>
      </c>
      <c r="DO565" s="4">
        <f>ROUND(EB565,2)</f>
        <v>0</v>
      </c>
      <c r="DP565" s="4">
        <f>ROUND(EC565,2)</f>
        <v>63181.5</v>
      </c>
      <c r="DQ565" s="4">
        <f>ROUND(ED565,2)</f>
        <v>33368.519999999997</v>
      </c>
      <c r="DR565" s="4"/>
      <c r="DS565" s="4"/>
      <c r="DT565" s="4">
        <f>ROUND(SUMIF(AA544:AA563,"=56959431",O544:O563),2)</f>
        <v>172580.87</v>
      </c>
      <c r="DU565" s="4">
        <f>ROUND(SUMIF(AA544:AA563,"=56959431",P544:P563),2)</f>
        <v>105550.08</v>
      </c>
      <c r="DV565" s="4">
        <f>ROUND(SUMIF(AA544:AA563,"=56959431",Q544:Q563),2)</f>
        <v>2239.37</v>
      </c>
      <c r="DW565" s="4">
        <f>ROUND(SUMIF(AA544:AA563,"=56959431",R544:R563),2)</f>
        <v>1175.68</v>
      </c>
      <c r="DX565" s="4">
        <f>ROUND(SUMIF(AA544:AA563,"=56959431",S544:S563),2)</f>
        <v>64791.42</v>
      </c>
      <c r="DY565" s="4">
        <f>ROUND(SUMIF(AA544:AA563,"=56959431",T544:T563),2)</f>
        <v>0</v>
      </c>
      <c r="DZ565" s="4">
        <f>SUMIF(AA544:AA563,"=56959431",U544:U563)</f>
        <v>91.516385400000004</v>
      </c>
      <c r="EA565" s="4">
        <f>SUMIF(AA544:AA563,"=56959431",V544:V563)</f>
        <v>0</v>
      </c>
      <c r="EB565" s="4">
        <f>ROUND(SUMIF(AA544:AA563,"=56959431",W544:W563),2)</f>
        <v>0</v>
      </c>
      <c r="EC565" s="4">
        <f>ROUND(SUMIF(AA544:AA563,"=56959431",X544:X563),2)</f>
        <v>63181.5</v>
      </c>
      <c r="ED565" s="4">
        <f>ROUND(SUMIF(AA544:AA563,"=56959431",Y544:Y563),2)</f>
        <v>33368.519999999997</v>
      </c>
      <c r="EE565" s="4"/>
      <c r="EF565" s="4"/>
      <c r="EG565" s="4">
        <f t="shared" ref="EG565:EV565" si="476">ROUND(FP565,2)</f>
        <v>0</v>
      </c>
      <c r="EH565" s="4">
        <f t="shared" si="476"/>
        <v>48260.22</v>
      </c>
      <c r="EI565" s="4">
        <f t="shared" si="476"/>
        <v>0</v>
      </c>
      <c r="EJ565" s="4">
        <f t="shared" si="476"/>
        <v>269130.89</v>
      </c>
      <c r="EK565" s="4">
        <f t="shared" si="476"/>
        <v>0</v>
      </c>
      <c r="EL565" s="4">
        <f t="shared" si="476"/>
        <v>220870.67</v>
      </c>
      <c r="EM565" s="4">
        <f t="shared" si="476"/>
        <v>0</v>
      </c>
      <c r="EN565" s="4">
        <f t="shared" si="476"/>
        <v>105550.08</v>
      </c>
      <c r="EO565" s="4">
        <f t="shared" si="476"/>
        <v>57289.86</v>
      </c>
      <c r="EP565" s="4">
        <f t="shared" si="476"/>
        <v>0</v>
      </c>
      <c r="EQ565" s="4">
        <f t="shared" si="476"/>
        <v>57289.86</v>
      </c>
      <c r="ER565" s="4">
        <f t="shared" si="476"/>
        <v>48260.22</v>
      </c>
      <c r="ES565" s="4">
        <f t="shared" si="476"/>
        <v>0</v>
      </c>
      <c r="ET565" s="4">
        <f t="shared" si="476"/>
        <v>0</v>
      </c>
      <c r="EU565" s="4">
        <f t="shared" si="476"/>
        <v>0</v>
      </c>
      <c r="EV565" s="4">
        <f t="shared" si="476"/>
        <v>0</v>
      </c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>
        <f>ROUND(SUMIF(AA544:AA563,"=56959431",FQ544:FQ563),2)</f>
        <v>0</v>
      </c>
      <c r="FQ565" s="4">
        <f>ROUND(SUMIF(AA544:AA563,"=56959431",FR544:FR563),2)</f>
        <v>48260.22</v>
      </c>
      <c r="FR565" s="4">
        <f>ROUND(SUMIF(AA544:AA563,"=56959431",GL544:GL563),2)</f>
        <v>0</v>
      </c>
      <c r="FS565" s="4">
        <f>ROUND(SUMIF(AA544:AA563,"=56959431",GM544:GM563),2)</f>
        <v>269130.89</v>
      </c>
      <c r="FT565" s="4">
        <f>ROUND(SUMIF(AA544:AA563,"=56959431",GN544:GN563),2)</f>
        <v>0</v>
      </c>
      <c r="FU565" s="4">
        <f>ROUND(SUMIF(AA544:AA563,"=56959431",GO544:GO563),2)</f>
        <v>220870.67</v>
      </c>
      <c r="FV565" s="4">
        <f>ROUND(SUMIF(AA544:AA563,"=56959431",GP544:GP563),2)</f>
        <v>0</v>
      </c>
      <c r="FW565" s="4">
        <f>DU565-FP565</f>
        <v>105550.08</v>
      </c>
      <c r="FX565" s="4">
        <f>DU565-FQ565</f>
        <v>57289.86</v>
      </c>
      <c r="FY565" s="4">
        <f>FP565-FR565</f>
        <v>0</v>
      </c>
      <c r="FZ565" s="4">
        <f>DU565-FP565-FQ565+FR565</f>
        <v>57289.86</v>
      </c>
      <c r="GA565" s="4">
        <f>FQ565-FR565</f>
        <v>48260.22</v>
      </c>
      <c r="GB565" s="4">
        <f>ROUND(SUMIF(AA544:AA563,"=56959431",GX544:GX563),2)</f>
        <v>0</v>
      </c>
      <c r="GC565" s="4">
        <f>ROUND(SUMIF(AA544:AA563,"=56959431",GY544:GY563),2)</f>
        <v>0</v>
      </c>
      <c r="GD565" s="4">
        <f>ROUND(SUMIF(AA544:AA563,"=56959431",GZ544:GZ563),2)</f>
        <v>0</v>
      </c>
      <c r="GE565" s="4">
        <f>ROUND(SUMIF(AA544:AA563,"=56959431",HD544:HD563),2)</f>
        <v>0</v>
      </c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>
        <v>0</v>
      </c>
    </row>
    <row r="567" spans="1:255" x14ac:dyDescent="0.2">
      <c r="A567" s="5">
        <v>50</v>
      </c>
      <c r="B567" s="5">
        <v>0</v>
      </c>
      <c r="C567" s="5">
        <v>0</v>
      </c>
      <c r="D567" s="5">
        <v>1</v>
      </c>
      <c r="E567" s="5">
        <v>201</v>
      </c>
      <c r="F567" s="5">
        <f>ROUND(Source!O565,O567)</f>
        <v>15503.04</v>
      </c>
      <c r="G567" s="5" t="s">
        <v>118</v>
      </c>
      <c r="H567" s="5" t="s">
        <v>119</v>
      </c>
      <c r="I567" s="5"/>
      <c r="J567" s="5"/>
      <c r="K567" s="5">
        <v>201</v>
      </c>
      <c r="L567" s="5">
        <v>1</v>
      </c>
      <c r="M567" s="5">
        <v>3</v>
      </c>
      <c r="N567" s="5" t="s">
        <v>3</v>
      </c>
      <c r="O567" s="5">
        <v>2</v>
      </c>
      <c r="P567" s="5">
        <f>ROUND(Source!DG565,O567)</f>
        <v>172580.87</v>
      </c>
      <c r="Q567" s="5"/>
      <c r="R567" s="5"/>
      <c r="S567" s="5"/>
      <c r="T567" s="5"/>
      <c r="U567" s="5"/>
      <c r="V567" s="5"/>
      <c r="W567" s="5">
        <v>15503.04</v>
      </c>
      <c r="X567" s="5">
        <v>1</v>
      </c>
      <c r="Y567" s="5">
        <v>15503.04</v>
      </c>
      <c r="Z567" s="5">
        <v>172580.87</v>
      </c>
      <c r="AA567" s="5">
        <v>1</v>
      </c>
      <c r="AB567" s="5">
        <v>172580.87</v>
      </c>
    </row>
    <row r="568" spans="1:255" x14ac:dyDescent="0.2">
      <c r="A568" s="5">
        <v>50</v>
      </c>
      <c r="B568" s="5">
        <v>0</v>
      </c>
      <c r="C568" s="5">
        <v>0</v>
      </c>
      <c r="D568" s="5">
        <v>1</v>
      </c>
      <c r="E568" s="5">
        <v>202</v>
      </c>
      <c r="F568" s="5">
        <f>ROUND(Source!P565,O568)</f>
        <v>14196.45</v>
      </c>
      <c r="G568" s="5" t="s">
        <v>120</v>
      </c>
      <c r="H568" s="5" t="s">
        <v>121</v>
      </c>
      <c r="I568" s="5"/>
      <c r="J568" s="5"/>
      <c r="K568" s="5">
        <v>202</v>
      </c>
      <c r="L568" s="5">
        <v>2</v>
      </c>
      <c r="M568" s="5">
        <v>3</v>
      </c>
      <c r="N568" s="5" t="s">
        <v>3</v>
      </c>
      <c r="O568" s="5">
        <v>2</v>
      </c>
      <c r="P568" s="5">
        <f>ROUND(Source!DH565,O568)</f>
        <v>105550.08</v>
      </c>
      <c r="Q568" s="5"/>
      <c r="R568" s="5"/>
      <c r="S568" s="5"/>
      <c r="T568" s="5"/>
      <c r="U568" s="5"/>
      <c r="V568" s="5"/>
      <c r="W568" s="5">
        <v>14196.45</v>
      </c>
      <c r="X568" s="5">
        <v>1</v>
      </c>
      <c r="Y568" s="5">
        <v>14196.45</v>
      </c>
      <c r="Z568" s="5">
        <v>105550.08</v>
      </c>
      <c r="AA568" s="5">
        <v>1</v>
      </c>
      <c r="AB568" s="5">
        <v>105550.08</v>
      </c>
    </row>
    <row r="569" spans="1:255" x14ac:dyDescent="0.2">
      <c r="A569" s="5">
        <v>50</v>
      </c>
      <c r="B569" s="5">
        <v>0</v>
      </c>
      <c r="C569" s="5">
        <v>0</v>
      </c>
      <c r="D569" s="5">
        <v>1</v>
      </c>
      <c r="E569" s="5">
        <v>222</v>
      </c>
      <c r="F569" s="5">
        <f>ROUND(Source!AO565,O569)</f>
        <v>0</v>
      </c>
      <c r="G569" s="5" t="s">
        <v>122</v>
      </c>
      <c r="H569" s="5" t="s">
        <v>123</v>
      </c>
      <c r="I569" s="5"/>
      <c r="J569" s="5"/>
      <c r="K569" s="5">
        <v>222</v>
      </c>
      <c r="L569" s="5">
        <v>3</v>
      </c>
      <c r="M569" s="5">
        <v>3</v>
      </c>
      <c r="N569" s="5" t="s">
        <v>3</v>
      </c>
      <c r="O569" s="5">
        <v>2</v>
      </c>
      <c r="P569" s="5">
        <f>ROUND(Source!EG565,O569)</f>
        <v>0</v>
      </c>
      <c r="Q569" s="5"/>
      <c r="R569" s="5"/>
      <c r="S569" s="5"/>
      <c r="T569" s="5"/>
      <c r="U569" s="5"/>
      <c r="V569" s="5"/>
      <c r="W569" s="5">
        <v>0</v>
      </c>
      <c r="X569" s="5">
        <v>1</v>
      </c>
      <c r="Y569" s="5">
        <v>0</v>
      </c>
      <c r="Z569" s="5">
        <v>0</v>
      </c>
      <c r="AA569" s="5">
        <v>1</v>
      </c>
      <c r="AB569" s="5">
        <v>0</v>
      </c>
    </row>
    <row r="570" spans="1:255" x14ac:dyDescent="0.2">
      <c r="A570" s="5">
        <v>50</v>
      </c>
      <c r="B570" s="5">
        <v>0</v>
      </c>
      <c r="C570" s="5">
        <v>0</v>
      </c>
      <c r="D570" s="5">
        <v>1</v>
      </c>
      <c r="E570" s="5">
        <v>225</v>
      </c>
      <c r="F570" s="5">
        <f>ROUND(Source!AV565,O570)</f>
        <v>14196.45</v>
      </c>
      <c r="G570" s="5" t="s">
        <v>124</v>
      </c>
      <c r="H570" s="5" t="s">
        <v>125</v>
      </c>
      <c r="I570" s="5"/>
      <c r="J570" s="5"/>
      <c r="K570" s="5">
        <v>225</v>
      </c>
      <c r="L570" s="5">
        <v>4</v>
      </c>
      <c r="M570" s="5">
        <v>3</v>
      </c>
      <c r="N570" s="5" t="s">
        <v>3</v>
      </c>
      <c r="O570" s="5">
        <v>2</v>
      </c>
      <c r="P570" s="5">
        <f>ROUND(Source!EN565,O570)</f>
        <v>105550.08</v>
      </c>
      <c r="Q570" s="5"/>
      <c r="R570" s="5"/>
      <c r="S570" s="5"/>
      <c r="T570" s="5"/>
      <c r="U570" s="5"/>
      <c r="V570" s="5"/>
      <c r="W570" s="5">
        <v>14196.45</v>
      </c>
      <c r="X570" s="5">
        <v>1</v>
      </c>
      <c r="Y570" s="5">
        <v>14196.45</v>
      </c>
      <c r="Z570" s="5">
        <v>105550.08</v>
      </c>
      <c r="AA570" s="5">
        <v>1</v>
      </c>
      <c r="AB570" s="5">
        <v>105550.08</v>
      </c>
    </row>
    <row r="571" spans="1:255" x14ac:dyDescent="0.2">
      <c r="A571" s="5">
        <v>50</v>
      </c>
      <c r="B571" s="5">
        <v>0</v>
      </c>
      <c r="C571" s="5">
        <v>0</v>
      </c>
      <c r="D571" s="5">
        <v>1</v>
      </c>
      <c r="E571" s="5">
        <v>226</v>
      </c>
      <c r="F571" s="5">
        <f>ROUND(Source!AW565,O571)</f>
        <v>7896.16</v>
      </c>
      <c r="G571" s="5" t="s">
        <v>126</v>
      </c>
      <c r="H571" s="5" t="s">
        <v>127</v>
      </c>
      <c r="I571" s="5"/>
      <c r="J571" s="5"/>
      <c r="K571" s="5">
        <v>226</v>
      </c>
      <c r="L571" s="5">
        <v>5</v>
      </c>
      <c r="M571" s="5">
        <v>3</v>
      </c>
      <c r="N571" s="5" t="s">
        <v>3</v>
      </c>
      <c r="O571" s="5">
        <v>2</v>
      </c>
      <c r="P571" s="5">
        <f>ROUND(Source!EO565,O571)</f>
        <v>57289.86</v>
      </c>
      <c r="Q571" s="5"/>
      <c r="R571" s="5"/>
      <c r="S571" s="5"/>
      <c r="T571" s="5"/>
      <c r="U571" s="5"/>
      <c r="V571" s="5"/>
      <c r="W571" s="5">
        <v>7896.16</v>
      </c>
      <c r="X571" s="5">
        <v>1</v>
      </c>
      <c r="Y571" s="5">
        <v>7896.16</v>
      </c>
      <c r="Z571" s="5">
        <v>57289.86</v>
      </c>
      <c r="AA571" s="5">
        <v>1</v>
      </c>
      <c r="AB571" s="5">
        <v>57289.86</v>
      </c>
    </row>
    <row r="572" spans="1:255" x14ac:dyDescent="0.2">
      <c r="A572" s="5">
        <v>50</v>
      </c>
      <c r="B572" s="5">
        <v>0</v>
      </c>
      <c r="C572" s="5">
        <v>0</v>
      </c>
      <c r="D572" s="5">
        <v>1</v>
      </c>
      <c r="E572" s="5">
        <v>227</v>
      </c>
      <c r="F572" s="5">
        <f>ROUND(Source!AX565,O572)</f>
        <v>0</v>
      </c>
      <c r="G572" s="5" t="s">
        <v>128</v>
      </c>
      <c r="H572" s="5" t="s">
        <v>129</v>
      </c>
      <c r="I572" s="5"/>
      <c r="J572" s="5"/>
      <c r="K572" s="5">
        <v>227</v>
      </c>
      <c r="L572" s="5">
        <v>6</v>
      </c>
      <c r="M572" s="5">
        <v>3</v>
      </c>
      <c r="N572" s="5" t="s">
        <v>3</v>
      </c>
      <c r="O572" s="5">
        <v>2</v>
      </c>
      <c r="P572" s="5">
        <f>ROUND(Source!EP565,O572)</f>
        <v>0</v>
      </c>
      <c r="Q572" s="5"/>
      <c r="R572" s="5"/>
      <c r="S572" s="5"/>
      <c r="T572" s="5"/>
      <c r="U572" s="5"/>
      <c r="V572" s="5"/>
      <c r="W572" s="5">
        <v>0</v>
      </c>
      <c r="X572" s="5">
        <v>1</v>
      </c>
      <c r="Y572" s="5">
        <v>0</v>
      </c>
      <c r="Z572" s="5">
        <v>0</v>
      </c>
      <c r="AA572" s="5">
        <v>1</v>
      </c>
      <c r="AB572" s="5">
        <v>0</v>
      </c>
    </row>
    <row r="573" spans="1:255" x14ac:dyDescent="0.2">
      <c r="A573" s="5">
        <v>50</v>
      </c>
      <c r="B573" s="5">
        <v>0</v>
      </c>
      <c r="C573" s="5">
        <v>0</v>
      </c>
      <c r="D573" s="5">
        <v>1</v>
      </c>
      <c r="E573" s="5">
        <v>228</v>
      </c>
      <c r="F573" s="5">
        <f>ROUND(Source!AY565,O573)</f>
        <v>7896.16</v>
      </c>
      <c r="G573" s="5" t="s">
        <v>130</v>
      </c>
      <c r="H573" s="5" t="s">
        <v>131</v>
      </c>
      <c r="I573" s="5"/>
      <c r="J573" s="5"/>
      <c r="K573" s="5">
        <v>228</v>
      </c>
      <c r="L573" s="5">
        <v>7</v>
      </c>
      <c r="M573" s="5">
        <v>3</v>
      </c>
      <c r="N573" s="5" t="s">
        <v>3</v>
      </c>
      <c r="O573" s="5">
        <v>2</v>
      </c>
      <c r="P573" s="5">
        <f>ROUND(Source!EQ565,O573)</f>
        <v>57289.86</v>
      </c>
      <c r="Q573" s="5"/>
      <c r="R573" s="5"/>
      <c r="S573" s="5"/>
      <c r="T573" s="5"/>
      <c r="U573" s="5"/>
      <c r="V573" s="5"/>
      <c r="W573" s="5">
        <v>7896.16</v>
      </c>
      <c r="X573" s="5">
        <v>1</v>
      </c>
      <c r="Y573" s="5">
        <v>7896.16</v>
      </c>
      <c r="Z573" s="5">
        <v>57289.86</v>
      </c>
      <c r="AA573" s="5">
        <v>1</v>
      </c>
      <c r="AB573" s="5">
        <v>57289.86</v>
      </c>
    </row>
    <row r="574" spans="1:255" x14ac:dyDescent="0.2">
      <c r="A574" s="5">
        <v>50</v>
      </c>
      <c r="B574" s="5">
        <v>0</v>
      </c>
      <c r="C574" s="5">
        <v>0</v>
      </c>
      <c r="D574" s="5">
        <v>1</v>
      </c>
      <c r="E574" s="5">
        <v>216</v>
      </c>
      <c r="F574" s="5">
        <f>ROUND(Source!AP565,O574)</f>
        <v>6300.29</v>
      </c>
      <c r="G574" s="5" t="s">
        <v>132</v>
      </c>
      <c r="H574" s="5" t="s">
        <v>133</v>
      </c>
      <c r="I574" s="5"/>
      <c r="J574" s="5"/>
      <c r="K574" s="5">
        <v>216</v>
      </c>
      <c r="L574" s="5">
        <v>8</v>
      </c>
      <c r="M574" s="5">
        <v>3</v>
      </c>
      <c r="N574" s="5" t="s">
        <v>3</v>
      </c>
      <c r="O574" s="5">
        <v>2</v>
      </c>
      <c r="P574" s="5">
        <f>ROUND(Source!EH565,O574)</f>
        <v>48260.22</v>
      </c>
      <c r="Q574" s="5"/>
      <c r="R574" s="5"/>
      <c r="S574" s="5"/>
      <c r="T574" s="5"/>
      <c r="U574" s="5"/>
      <c r="V574" s="5"/>
      <c r="W574" s="5">
        <v>6300.29</v>
      </c>
      <c r="X574" s="5">
        <v>1</v>
      </c>
      <c r="Y574" s="5">
        <v>6300.29</v>
      </c>
      <c r="Z574" s="5">
        <v>48260.22</v>
      </c>
      <c r="AA574" s="5">
        <v>1</v>
      </c>
      <c r="AB574" s="5">
        <v>48260.22</v>
      </c>
    </row>
    <row r="575" spans="1:255" x14ac:dyDescent="0.2">
      <c r="A575" s="5">
        <v>50</v>
      </c>
      <c r="B575" s="5">
        <v>0</v>
      </c>
      <c r="C575" s="5">
        <v>0</v>
      </c>
      <c r="D575" s="5">
        <v>1</v>
      </c>
      <c r="E575" s="5">
        <v>223</v>
      </c>
      <c r="F575" s="5">
        <f>ROUND(Source!AQ565,O575)</f>
        <v>0</v>
      </c>
      <c r="G575" s="5" t="s">
        <v>134</v>
      </c>
      <c r="H575" s="5" t="s">
        <v>135</v>
      </c>
      <c r="I575" s="5"/>
      <c r="J575" s="5"/>
      <c r="K575" s="5">
        <v>223</v>
      </c>
      <c r="L575" s="5">
        <v>9</v>
      </c>
      <c r="M575" s="5">
        <v>3</v>
      </c>
      <c r="N575" s="5" t="s">
        <v>3</v>
      </c>
      <c r="O575" s="5">
        <v>2</v>
      </c>
      <c r="P575" s="5">
        <f>ROUND(Source!EI565,O575)</f>
        <v>0</v>
      </c>
      <c r="Q575" s="5"/>
      <c r="R575" s="5"/>
      <c r="S575" s="5"/>
      <c r="T575" s="5"/>
      <c r="U575" s="5"/>
      <c r="V575" s="5"/>
      <c r="W575" s="5">
        <v>0</v>
      </c>
      <c r="X575" s="5">
        <v>1</v>
      </c>
      <c r="Y575" s="5">
        <v>0</v>
      </c>
      <c r="Z575" s="5">
        <v>0</v>
      </c>
      <c r="AA575" s="5">
        <v>1</v>
      </c>
      <c r="AB575" s="5">
        <v>0</v>
      </c>
    </row>
    <row r="576" spans="1:255" x14ac:dyDescent="0.2">
      <c r="A576" s="5">
        <v>50</v>
      </c>
      <c r="B576" s="5">
        <v>0</v>
      </c>
      <c r="C576" s="5">
        <v>0</v>
      </c>
      <c r="D576" s="5">
        <v>1</v>
      </c>
      <c r="E576" s="5">
        <v>229</v>
      </c>
      <c r="F576" s="5">
        <f>ROUND(Source!AZ565,O576)</f>
        <v>6300.29</v>
      </c>
      <c r="G576" s="5" t="s">
        <v>136</v>
      </c>
      <c r="H576" s="5" t="s">
        <v>137</v>
      </c>
      <c r="I576" s="5"/>
      <c r="J576" s="5"/>
      <c r="K576" s="5">
        <v>229</v>
      </c>
      <c r="L576" s="5">
        <v>10</v>
      </c>
      <c r="M576" s="5">
        <v>3</v>
      </c>
      <c r="N576" s="5" t="s">
        <v>3</v>
      </c>
      <c r="O576" s="5">
        <v>2</v>
      </c>
      <c r="P576" s="5">
        <f>ROUND(Source!ER565,O576)</f>
        <v>48260.22</v>
      </c>
      <c r="Q576" s="5"/>
      <c r="R576" s="5"/>
      <c r="S576" s="5"/>
      <c r="T576" s="5"/>
      <c r="U576" s="5"/>
      <c r="V576" s="5"/>
      <c r="W576" s="5">
        <v>6300.29</v>
      </c>
      <c r="X576" s="5">
        <v>1</v>
      </c>
      <c r="Y576" s="5">
        <v>6300.29</v>
      </c>
      <c r="Z576" s="5">
        <v>48260.22</v>
      </c>
      <c r="AA576" s="5">
        <v>1</v>
      </c>
      <c r="AB576" s="5">
        <v>48260.22</v>
      </c>
    </row>
    <row r="577" spans="1:28" x14ac:dyDescent="0.2">
      <c r="A577" s="5">
        <v>50</v>
      </c>
      <c r="B577" s="5">
        <v>0</v>
      </c>
      <c r="C577" s="5">
        <v>0</v>
      </c>
      <c r="D577" s="5">
        <v>1</v>
      </c>
      <c r="E577" s="5">
        <v>203</v>
      </c>
      <c r="F577" s="5">
        <f>ROUND(Source!Q565,O577)</f>
        <v>128.35</v>
      </c>
      <c r="G577" s="5" t="s">
        <v>138</v>
      </c>
      <c r="H577" s="5" t="s">
        <v>139</v>
      </c>
      <c r="I577" s="5"/>
      <c r="J577" s="5"/>
      <c r="K577" s="5">
        <v>203</v>
      </c>
      <c r="L577" s="5">
        <v>11</v>
      </c>
      <c r="M577" s="5">
        <v>3</v>
      </c>
      <c r="N577" s="5" t="s">
        <v>3</v>
      </c>
      <c r="O577" s="5">
        <v>2</v>
      </c>
      <c r="P577" s="5">
        <f>ROUND(Source!DI565,O577)</f>
        <v>2239.37</v>
      </c>
      <c r="Q577" s="5"/>
      <c r="R577" s="5"/>
      <c r="S577" s="5"/>
      <c r="T577" s="5"/>
      <c r="U577" s="5"/>
      <c r="V577" s="5"/>
      <c r="W577" s="5">
        <v>128.35</v>
      </c>
      <c r="X577" s="5">
        <v>1</v>
      </c>
      <c r="Y577" s="5">
        <v>128.35</v>
      </c>
      <c r="Z577" s="5">
        <v>2239.37</v>
      </c>
      <c r="AA577" s="5">
        <v>1</v>
      </c>
      <c r="AB577" s="5">
        <v>2239.37</v>
      </c>
    </row>
    <row r="578" spans="1:28" x14ac:dyDescent="0.2">
      <c r="A578" s="5">
        <v>50</v>
      </c>
      <c r="B578" s="5">
        <v>0</v>
      </c>
      <c r="C578" s="5">
        <v>0</v>
      </c>
      <c r="D578" s="5">
        <v>1</v>
      </c>
      <c r="E578" s="5">
        <v>231</v>
      </c>
      <c r="F578" s="5">
        <f>ROUND(Source!BB565,O578)</f>
        <v>0</v>
      </c>
      <c r="G578" s="5" t="s">
        <v>140</v>
      </c>
      <c r="H578" s="5" t="s">
        <v>141</v>
      </c>
      <c r="I578" s="5"/>
      <c r="J578" s="5"/>
      <c r="K578" s="5">
        <v>231</v>
      </c>
      <c r="L578" s="5">
        <v>12</v>
      </c>
      <c r="M578" s="5">
        <v>3</v>
      </c>
      <c r="N578" s="5" t="s">
        <v>3</v>
      </c>
      <c r="O578" s="5">
        <v>2</v>
      </c>
      <c r="P578" s="5">
        <f>ROUND(Source!ET565,O578)</f>
        <v>0</v>
      </c>
      <c r="Q578" s="5"/>
      <c r="R578" s="5"/>
      <c r="S578" s="5"/>
      <c r="T578" s="5"/>
      <c r="U578" s="5"/>
      <c r="V578" s="5"/>
      <c r="W578" s="5">
        <v>0</v>
      </c>
      <c r="X578" s="5">
        <v>1</v>
      </c>
      <c r="Y578" s="5">
        <v>0</v>
      </c>
      <c r="Z578" s="5">
        <v>0</v>
      </c>
      <c r="AA578" s="5">
        <v>1</v>
      </c>
      <c r="AB578" s="5">
        <v>0</v>
      </c>
    </row>
    <row r="579" spans="1:28" x14ac:dyDescent="0.2">
      <c r="A579" s="5">
        <v>50</v>
      </c>
      <c r="B579" s="5">
        <v>0</v>
      </c>
      <c r="C579" s="5">
        <v>0</v>
      </c>
      <c r="D579" s="5">
        <v>1</v>
      </c>
      <c r="E579" s="5">
        <v>204</v>
      </c>
      <c r="F579" s="5">
        <f>ROUND(Source!R565,O579)</f>
        <v>21.38</v>
      </c>
      <c r="G579" s="5" t="s">
        <v>142</v>
      </c>
      <c r="H579" s="5" t="s">
        <v>143</v>
      </c>
      <c r="I579" s="5"/>
      <c r="J579" s="5"/>
      <c r="K579" s="5">
        <v>204</v>
      </c>
      <c r="L579" s="5">
        <v>13</v>
      </c>
      <c r="M579" s="5">
        <v>3</v>
      </c>
      <c r="N579" s="5" t="s">
        <v>3</v>
      </c>
      <c r="O579" s="5">
        <v>2</v>
      </c>
      <c r="P579" s="5">
        <f>ROUND(Source!DJ565,O579)</f>
        <v>1175.68</v>
      </c>
      <c r="Q579" s="5"/>
      <c r="R579" s="5"/>
      <c r="S579" s="5"/>
      <c r="T579" s="5"/>
      <c r="U579" s="5"/>
      <c r="V579" s="5"/>
      <c r="W579" s="5">
        <v>21.38</v>
      </c>
      <c r="X579" s="5">
        <v>1</v>
      </c>
      <c r="Y579" s="5">
        <v>21.38</v>
      </c>
      <c r="Z579" s="5">
        <v>1175.68</v>
      </c>
      <c r="AA579" s="5">
        <v>1</v>
      </c>
      <c r="AB579" s="5">
        <v>1175.68</v>
      </c>
    </row>
    <row r="580" spans="1:28" x14ac:dyDescent="0.2">
      <c r="A580" s="5">
        <v>50</v>
      </c>
      <c r="B580" s="5">
        <v>0</v>
      </c>
      <c r="C580" s="5">
        <v>0</v>
      </c>
      <c r="D580" s="5">
        <v>1</v>
      </c>
      <c r="E580" s="5">
        <v>205</v>
      </c>
      <c r="F580" s="5">
        <f>ROUND(Source!S565,O580)</f>
        <v>1178.24</v>
      </c>
      <c r="G580" s="5" t="s">
        <v>144</v>
      </c>
      <c r="H580" s="5" t="s">
        <v>145</v>
      </c>
      <c r="I580" s="5"/>
      <c r="J580" s="5"/>
      <c r="K580" s="5">
        <v>205</v>
      </c>
      <c r="L580" s="5">
        <v>14</v>
      </c>
      <c r="M580" s="5">
        <v>3</v>
      </c>
      <c r="N580" s="5" t="s">
        <v>3</v>
      </c>
      <c r="O580" s="5">
        <v>2</v>
      </c>
      <c r="P580" s="5">
        <f>ROUND(Source!DK565,O580)</f>
        <v>64791.42</v>
      </c>
      <c r="Q580" s="5"/>
      <c r="R580" s="5"/>
      <c r="S580" s="5"/>
      <c r="T580" s="5"/>
      <c r="U580" s="5"/>
      <c r="V580" s="5"/>
      <c r="W580" s="5">
        <v>1178.24</v>
      </c>
      <c r="X580" s="5">
        <v>1</v>
      </c>
      <c r="Y580" s="5">
        <v>1178.24</v>
      </c>
      <c r="Z580" s="5">
        <v>64791.42</v>
      </c>
      <c r="AA580" s="5">
        <v>1</v>
      </c>
      <c r="AB580" s="5">
        <v>64791.42</v>
      </c>
    </row>
    <row r="581" spans="1:28" x14ac:dyDescent="0.2">
      <c r="A581" s="5">
        <v>50</v>
      </c>
      <c r="B581" s="5">
        <v>0</v>
      </c>
      <c r="C581" s="5">
        <v>0</v>
      </c>
      <c r="D581" s="5">
        <v>1</v>
      </c>
      <c r="E581" s="5">
        <v>232</v>
      </c>
      <c r="F581" s="5">
        <f>ROUND(Source!BC565,O581)</f>
        <v>0</v>
      </c>
      <c r="G581" s="5" t="s">
        <v>146</v>
      </c>
      <c r="H581" s="5" t="s">
        <v>147</v>
      </c>
      <c r="I581" s="5"/>
      <c r="J581" s="5"/>
      <c r="K581" s="5">
        <v>232</v>
      </c>
      <c r="L581" s="5">
        <v>15</v>
      </c>
      <c r="M581" s="5">
        <v>3</v>
      </c>
      <c r="N581" s="5" t="s">
        <v>3</v>
      </c>
      <c r="O581" s="5">
        <v>2</v>
      </c>
      <c r="P581" s="5">
        <f>ROUND(Source!EU565,O581)</f>
        <v>0</v>
      </c>
      <c r="Q581" s="5"/>
      <c r="R581" s="5"/>
      <c r="S581" s="5"/>
      <c r="T581" s="5"/>
      <c r="U581" s="5"/>
      <c r="V581" s="5"/>
      <c r="W581" s="5">
        <v>0</v>
      </c>
      <c r="X581" s="5">
        <v>1</v>
      </c>
      <c r="Y581" s="5">
        <v>0</v>
      </c>
      <c r="Z581" s="5">
        <v>0</v>
      </c>
      <c r="AA581" s="5">
        <v>1</v>
      </c>
      <c r="AB581" s="5">
        <v>0</v>
      </c>
    </row>
    <row r="582" spans="1:28" x14ac:dyDescent="0.2">
      <c r="A582" s="5">
        <v>50</v>
      </c>
      <c r="B582" s="5">
        <v>0</v>
      </c>
      <c r="C582" s="5">
        <v>0</v>
      </c>
      <c r="D582" s="5">
        <v>1</v>
      </c>
      <c r="E582" s="5">
        <v>214</v>
      </c>
      <c r="F582" s="5">
        <f>ROUND(Source!AS565,O582)</f>
        <v>0</v>
      </c>
      <c r="G582" s="5" t="s">
        <v>148</v>
      </c>
      <c r="H582" s="5" t="s">
        <v>149</v>
      </c>
      <c r="I582" s="5"/>
      <c r="J582" s="5"/>
      <c r="K582" s="5">
        <v>214</v>
      </c>
      <c r="L582" s="5">
        <v>16</v>
      </c>
      <c r="M582" s="5">
        <v>3</v>
      </c>
      <c r="N582" s="5" t="s">
        <v>3</v>
      </c>
      <c r="O582" s="5">
        <v>2</v>
      </c>
      <c r="P582" s="5">
        <f>ROUND(Source!EK565,O582)</f>
        <v>0</v>
      </c>
      <c r="Q582" s="5"/>
      <c r="R582" s="5"/>
      <c r="S582" s="5"/>
      <c r="T582" s="5"/>
      <c r="U582" s="5"/>
      <c r="V582" s="5"/>
      <c r="W582" s="5">
        <v>0</v>
      </c>
      <c r="X582" s="5">
        <v>1</v>
      </c>
      <c r="Y582" s="5">
        <v>0</v>
      </c>
      <c r="Z582" s="5">
        <v>0</v>
      </c>
      <c r="AA582" s="5">
        <v>1</v>
      </c>
      <c r="AB582" s="5">
        <v>0</v>
      </c>
    </row>
    <row r="583" spans="1:28" x14ac:dyDescent="0.2">
      <c r="A583" s="5">
        <v>50</v>
      </c>
      <c r="B583" s="5">
        <v>0</v>
      </c>
      <c r="C583" s="5">
        <v>0</v>
      </c>
      <c r="D583" s="5">
        <v>1</v>
      </c>
      <c r="E583" s="5">
        <v>215</v>
      </c>
      <c r="F583" s="5">
        <f>ROUND(Source!AT565,O583)</f>
        <v>10958.53</v>
      </c>
      <c r="G583" s="5" t="s">
        <v>150</v>
      </c>
      <c r="H583" s="5" t="s">
        <v>151</v>
      </c>
      <c r="I583" s="5"/>
      <c r="J583" s="5"/>
      <c r="K583" s="5">
        <v>215</v>
      </c>
      <c r="L583" s="5">
        <v>17</v>
      </c>
      <c r="M583" s="5">
        <v>3</v>
      </c>
      <c r="N583" s="5" t="s">
        <v>3</v>
      </c>
      <c r="O583" s="5">
        <v>2</v>
      </c>
      <c r="P583" s="5">
        <f>ROUND(Source!EL565,O583)</f>
        <v>220870.67</v>
      </c>
      <c r="Q583" s="5"/>
      <c r="R583" s="5"/>
      <c r="S583" s="5"/>
      <c r="T583" s="5"/>
      <c r="U583" s="5"/>
      <c r="V583" s="5"/>
      <c r="W583" s="5">
        <v>10958.53</v>
      </c>
      <c r="X583" s="5">
        <v>1</v>
      </c>
      <c r="Y583" s="5">
        <v>10958.53</v>
      </c>
      <c r="Z583" s="5">
        <v>220870.67</v>
      </c>
      <c r="AA583" s="5">
        <v>1</v>
      </c>
      <c r="AB583" s="5">
        <v>220870.67</v>
      </c>
    </row>
    <row r="584" spans="1:28" x14ac:dyDescent="0.2">
      <c r="A584" s="5">
        <v>50</v>
      </c>
      <c r="B584" s="5">
        <v>0</v>
      </c>
      <c r="C584" s="5">
        <v>0</v>
      </c>
      <c r="D584" s="5">
        <v>1</v>
      </c>
      <c r="E584" s="5">
        <v>217</v>
      </c>
      <c r="F584" s="5">
        <f>ROUND(Source!AU565,O584)</f>
        <v>0</v>
      </c>
      <c r="G584" s="5" t="s">
        <v>152</v>
      </c>
      <c r="H584" s="5" t="s">
        <v>153</v>
      </c>
      <c r="I584" s="5"/>
      <c r="J584" s="5"/>
      <c r="K584" s="5">
        <v>217</v>
      </c>
      <c r="L584" s="5">
        <v>18</v>
      </c>
      <c r="M584" s="5">
        <v>3</v>
      </c>
      <c r="N584" s="5" t="s">
        <v>3</v>
      </c>
      <c r="O584" s="5">
        <v>2</v>
      </c>
      <c r="P584" s="5">
        <f>ROUND(Source!EM565,O584)</f>
        <v>0</v>
      </c>
      <c r="Q584" s="5"/>
      <c r="R584" s="5"/>
      <c r="S584" s="5"/>
      <c r="T584" s="5"/>
      <c r="U584" s="5"/>
      <c r="V584" s="5"/>
      <c r="W584" s="5">
        <v>0</v>
      </c>
      <c r="X584" s="5">
        <v>1</v>
      </c>
      <c r="Y584" s="5">
        <v>0</v>
      </c>
      <c r="Z584" s="5">
        <v>0</v>
      </c>
      <c r="AA584" s="5">
        <v>1</v>
      </c>
      <c r="AB584" s="5">
        <v>0</v>
      </c>
    </row>
    <row r="585" spans="1:28" x14ac:dyDescent="0.2">
      <c r="A585" s="5">
        <v>50</v>
      </c>
      <c r="B585" s="5">
        <v>0</v>
      </c>
      <c r="C585" s="5">
        <v>0</v>
      </c>
      <c r="D585" s="5">
        <v>1</v>
      </c>
      <c r="E585" s="5">
        <v>230</v>
      </c>
      <c r="F585" s="5">
        <f>ROUND(Source!BA565,O585)</f>
        <v>0</v>
      </c>
      <c r="G585" s="5" t="s">
        <v>154</v>
      </c>
      <c r="H585" s="5" t="s">
        <v>155</v>
      </c>
      <c r="I585" s="5"/>
      <c r="J585" s="5"/>
      <c r="K585" s="5">
        <v>230</v>
      </c>
      <c r="L585" s="5">
        <v>19</v>
      </c>
      <c r="M585" s="5">
        <v>3</v>
      </c>
      <c r="N585" s="5" t="s">
        <v>3</v>
      </c>
      <c r="O585" s="5">
        <v>2</v>
      </c>
      <c r="P585" s="5">
        <f>ROUND(Source!ES565,O585)</f>
        <v>0</v>
      </c>
      <c r="Q585" s="5"/>
      <c r="R585" s="5"/>
      <c r="S585" s="5"/>
      <c r="T585" s="5"/>
      <c r="U585" s="5"/>
      <c r="V585" s="5"/>
      <c r="W585" s="5">
        <v>0</v>
      </c>
      <c r="X585" s="5">
        <v>1</v>
      </c>
      <c r="Y585" s="5">
        <v>0</v>
      </c>
      <c r="Z585" s="5">
        <v>0</v>
      </c>
      <c r="AA585" s="5">
        <v>1</v>
      </c>
      <c r="AB585" s="5">
        <v>0</v>
      </c>
    </row>
    <row r="586" spans="1:28" x14ac:dyDescent="0.2">
      <c r="A586" s="5">
        <v>50</v>
      </c>
      <c r="B586" s="5">
        <v>0</v>
      </c>
      <c r="C586" s="5">
        <v>0</v>
      </c>
      <c r="D586" s="5">
        <v>1</v>
      </c>
      <c r="E586" s="5">
        <v>206</v>
      </c>
      <c r="F586" s="5">
        <f>ROUND(Source!T565,O586)</f>
        <v>0</v>
      </c>
      <c r="G586" s="5" t="s">
        <v>156</v>
      </c>
      <c r="H586" s="5" t="s">
        <v>157</v>
      </c>
      <c r="I586" s="5"/>
      <c r="J586" s="5"/>
      <c r="K586" s="5">
        <v>206</v>
      </c>
      <c r="L586" s="5">
        <v>20</v>
      </c>
      <c r="M586" s="5">
        <v>3</v>
      </c>
      <c r="N586" s="5" t="s">
        <v>3</v>
      </c>
      <c r="O586" s="5">
        <v>2</v>
      </c>
      <c r="P586" s="5">
        <f>ROUND(Source!DL565,O586)</f>
        <v>0</v>
      </c>
      <c r="Q586" s="5"/>
      <c r="R586" s="5"/>
      <c r="S586" s="5"/>
      <c r="T586" s="5"/>
      <c r="U586" s="5"/>
      <c r="V586" s="5"/>
      <c r="W586" s="5">
        <v>0</v>
      </c>
      <c r="X586" s="5">
        <v>1</v>
      </c>
      <c r="Y586" s="5">
        <v>0</v>
      </c>
      <c r="Z586" s="5">
        <v>0</v>
      </c>
      <c r="AA586" s="5">
        <v>1</v>
      </c>
      <c r="AB586" s="5">
        <v>0</v>
      </c>
    </row>
    <row r="587" spans="1:28" x14ac:dyDescent="0.2">
      <c r="A587" s="5">
        <v>50</v>
      </c>
      <c r="B587" s="5">
        <v>0</v>
      </c>
      <c r="C587" s="5">
        <v>0</v>
      </c>
      <c r="D587" s="5">
        <v>1</v>
      </c>
      <c r="E587" s="5">
        <v>207</v>
      </c>
      <c r="F587" s="5">
        <f>Source!U565</f>
        <v>91.516385400000004</v>
      </c>
      <c r="G587" s="5" t="s">
        <v>158</v>
      </c>
      <c r="H587" s="5" t="s">
        <v>159</v>
      </c>
      <c r="I587" s="5"/>
      <c r="J587" s="5"/>
      <c r="K587" s="5">
        <v>207</v>
      </c>
      <c r="L587" s="5">
        <v>21</v>
      </c>
      <c r="M587" s="5">
        <v>3</v>
      </c>
      <c r="N587" s="5" t="s">
        <v>3</v>
      </c>
      <c r="O587" s="5">
        <v>-1</v>
      </c>
      <c r="P587" s="5">
        <f>Source!DM565</f>
        <v>91.516385400000004</v>
      </c>
      <c r="Q587" s="5"/>
      <c r="R587" s="5"/>
      <c r="S587" s="5"/>
      <c r="T587" s="5"/>
      <c r="U587" s="5"/>
      <c r="V587" s="5"/>
      <c r="W587" s="5">
        <v>91.51638539999999</v>
      </c>
      <c r="X587" s="5">
        <v>1</v>
      </c>
      <c r="Y587" s="5">
        <v>91.51638539999999</v>
      </c>
      <c r="Z587" s="5">
        <v>91.51638539999999</v>
      </c>
      <c r="AA587" s="5">
        <v>1</v>
      </c>
      <c r="AB587" s="5">
        <v>91.51638539999999</v>
      </c>
    </row>
    <row r="588" spans="1:28" x14ac:dyDescent="0.2">
      <c r="A588" s="5">
        <v>50</v>
      </c>
      <c r="B588" s="5">
        <v>0</v>
      </c>
      <c r="C588" s="5">
        <v>0</v>
      </c>
      <c r="D588" s="5">
        <v>1</v>
      </c>
      <c r="E588" s="5">
        <v>208</v>
      </c>
      <c r="F588" s="5">
        <f>Source!V565</f>
        <v>0</v>
      </c>
      <c r="G588" s="5" t="s">
        <v>160</v>
      </c>
      <c r="H588" s="5" t="s">
        <v>161</v>
      </c>
      <c r="I588" s="5"/>
      <c r="J588" s="5"/>
      <c r="K588" s="5">
        <v>208</v>
      </c>
      <c r="L588" s="5">
        <v>22</v>
      </c>
      <c r="M588" s="5">
        <v>3</v>
      </c>
      <c r="N588" s="5" t="s">
        <v>3</v>
      </c>
      <c r="O588" s="5">
        <v>-1</v>
      </c>
      <c r="P588" s="5">
        <f>Source!DN565</f>
        <v>0</v>
      </c>
      <c r="Q588" s="5"/>
      <c r="R588" s="5"/>
      <c r="S588" s="5"/>
      <c r="T588" s="5"/>
      <c r="U588" s="5"/>
      <c r="V588" s="5"/>
      <c r="W588" s="5">
        <v>0</v>
      </c>
      <c r="X588" s="5">
        <v>1</v>
      </c>
      <c r="Y588" s="5">
        <v>0</v>
      </c>
      <c r="Z588" s="5">
        <v>0</v>
      </c>
      <c r="AA588" s="5">
        <v>1</v>
      </c>
      <c r="AB588" s="5">
        <v>0</v>
      </c>
    </row>
    <row r="589" spans="1:28" x14ac:dyDescent="0.2">
      <c r="A589" s="5">
        <v>50</v>
      </c>
      <c r="B589" s="5">
        <v>0</v>
      </c>
      <c r="C589" s="5">
        <v>0</v>
      </c>
      <c r="D589" s="5">
        <v>1</v>
      </c>
      <c r="E589" s="5">
        <v>209</v>
      </c>
      <c r="F589" s="5">
        <f>ROUND(Source!W565,O589)</f>
        <v>0</v>
      </c>
      <c r="G589" s="5" t="s">
        <v>162</v>
      </c>
      <c r="H589" s="5" t="s">
        <v>163</v>
      </c>
      <c r="I589" s="5"/>
      <c r="J589" s="5"/>
      <c r="K589" s="5">
        <v>209</v>
      </c>
      <c r="L589" s="5">
        <v>23</v>
      </c>
      <c r="M589" s="5">
        <v>3</v>
      </c>
      <c r="N589" s="5" t="s">
        <v>3</v>
      </c>
      <c r="O589" s="5">
        <v>2</v>
      </c>
      <c r="P589" s="5">
        <f>ROUND(Source!DO565,O589)</f>
        <v>0</v>
      </c>
      <c r="Q589" s="5"/>
      <c r="R589" s="5"/>
      <c r="S589" s="5"/>
      <c r="T589" s="5"/>
      <c r="U589" s="5"/>
      <c r="V589" s="5"/>
      <c r="W589" s="5">
        <v>0</v>
      </c>
      <c r="X589" s="5">
        <v>1</v>
      </c>
      <c r="Y589" s="5">
        <v>0</v>
      </c>
      <c r="Z589" s="5">
        <v>0</v>
      </c>
      <c r="AA589" s="5">
        <v>1</v>
      </c>
      <c r="AB589" s="5">
        <v>0</v>
      </c>
    </row>
    <row r="590" spans="1:28" x14ac:dyDescent="0.2">
      <c r="A590" s="5">
        <v>50</v>
      </c>
      <c r="B590" s="5">
        <v>0</v>
      </c>
      <c r="C590" s="5">
        <v>0</v>
      </c>
      <c r="D590" s="5">
        <v>1</v>
      </c>
      <c r="E590" s="5">
        <v>233</v>
      </c>
      <c r="F590" s="5">
        <f>ROUND(Source!BD565,O590)</f>
        <v>0</v>
      </c>
      <c r="G590" s="5" t="s">
        <v>164</v>
      </c>
      <c r="H590" s="5" t="s">
        <v>165</v>
      </c>
      <c r="I590" s="5"/>
      <c r="J590" s="5"/>
      <c r="K590" s="5">
        <v>233</v>
      </c>
      <c r="L590" s="5">
        <v>24</v>
      </c>
      <c r="M590" s="5">
        <v>3</v>
      </c>
      <c r="N590" s="5" t="s">
        <v>3</v>
      </c>
      <c r="O590" s="5">
        <v>2</v>
      </c>
      <c r="P590" s="5">
        <f>ROUND(Source!EV565,O590)</f>
        <v>0</v>
      </c>
      <c r="Q590" s="5"/>
      <c r="R590" s="5"/>
      <c r="S590" s="5"/>
      <c r="T590" s="5"/>
      <c r="U590" s="5"/>
      <c r="V590" s="5"/>
      <c r="W590" s="5">
        <v>0</v>
      </c>
      <c r="X590" s="5">
        <v>1</v>
      </c>
      <c r="Y590" s="5">
        <v>0</v>
      </c>
      <c r="Z590" s="5">
        <v>0</v>
      </c>
      <c r="AA590" s="5">
        <v>1</v>
      </c>
      <c r="AB590" s="5">
        <v>0</v>
      </c>
    </row>
    <row r="591" spans="1:28" x14ac:dyDescent="0.2">
      <c r="A591" s="5">
        <v>50</v>
      </c>
      <c r="B591" s="5">
        <v>0</v>
      </c>
      <c r="C591" s="5">
        <v>0</v>
      </c>
      <c r="D591" s="5">
        <v>1</v>
      </c>
      <c r="E591" s="5">
        <v>210</v>
      </c>
      <c r="F591" s="5">
        <f>ROUND(Source!X565,O591)</f>
        <v>1148.97</v>
      </c>
      <c r="G591" s="5" t="s">
        <v>166</v>
      </c>
      <c r="H591" s="5" t="s">
        <v>167</v>
      </c>
      <c r="I591" s="5"/>
      <c r="J591" s="5"/>
      <c r="K591" s="5">
        <v>210</v>
      </c>
      <c r="L591" s="5">
        <v>25</v>
      </c>
      <c r="M591" s="5">
        <v>3</v>
      </c>
      <c r="N591" s="5" t="s">
        <v>3</v>
      </c>
      <c r="O591" s="5">
        <v>2</v>
      </c>
      <c r="P591" s="5">
        <f>ROUND(Source!DP565,O591)</f>
        <v>63181.5</v>
      </c>
      <c r="Q591" s="5"/>
      <c r="R591" s="5"/>
      <c r="S591" s="5"/>
      <c r="T591" s="5"/>
      <c r="U591" s="5"/>
      <c r="V591" s="5"/>
      <c r="W591" s="5">
        <v>1148.97</v>
      </c>
      <c r="X591" s="5">
        <v>1</v>
      </c>
      <c r="Y591" s="5">
        <v>1148.97</v>
      </c>
      <c r="Z591" s="5">
        <v>63181.5</v>
      </c>
      <c r="AA591" s="5">
        <v>1</v>
      </c>
      <c r="AB591" s="5">
        <v>63181.5</v>
      </c>
    </row>
    <row r="592" spans="1:28" x14ac:dyDescent="0.2">
      <c r="A592" s="5">
        <v>50</v>
      </c>
      <c r="B592" s="5">
        <v>0</v>
      </c>
      <c r="C592" s="5">
        <v>0</v>
      </c>
      <c r="D592" s="5">
        <v>1</v>
      </c>
      <c r="E592" s="5">
        <v>211</v>
      </c>
      <c r="F592" s="5">
        <f>ROUND(Source!Y565,O592)</f>
        <v>606.80999999999995</v>
      </c>
      <c r="G592" s="5" t="s">
        <v>168</v>
      </c>
      <c r="H592" s="5" t="s">
        <v>169</v>
      </c>
      <c r="I592" s="5"/>
      <c r="J592" s="5"/>
      <c r="K592" s="5">
        <v>211</v>
      </c>
      <c r="L592" s="5">
        <v>26</v>
      </c>
      <c r="M592" s="5">
        <v>3</v>
      </c>
      <c r="N592" s="5" t="s">
        <v>3</v>
      </c>
      <c r="O592" s="5">
        <v>2</v>
      </c>
      <c r="P592" s="5">
        <f>ROUND(Source!DQ565,O592)</f>
        <v>33368.519999999997</v>
      </c>
      <c r="Q592" s="5"/>
      <c r="R592" s="5"/>
      <c r="S592" s="5"/>
      <c r="T592" s="5"/>
      <c r="U592" s="5"/>
      <c r="V592" s="5"/>
      <c r="W592" s="5">
        <v>606.80999999999995</v>
      </c>
      <c r="X592" s="5">
        <v>1</v>
      </c>
      <c r="Y592" s="5">
        <v>606.80999999999995</v>
      </c>
      <c r="Z592" s="5">
        <v>33368.519999999997</v>
      </c>
      <c r="AA592" s="5">
        <v>1</v>
      </c>
      <c r="AB592" s="5">
        <v>33368.519999999997</v>
      </c>
    </row>
    <row r="593" spans="1:206" x14ac:dyDescent="0.2">
      <c r="A593" s="5">
        <v>50</v>
      </c>
      <c r="B593" s="5">
        <v>0</v>
      </c>
      <c r="C593" s="5">
        <v>0</v>
      </c>
      <c r="D593" s="5">
        <v>1</v>
      </c>
      <c r="E593" s="5">
        <v>224</v>
      </c>
      <c r="F593" s="5">
        <f>ROUND(Source!AR565,O593)</f>
        <v>17258.82</v>
      </c>
      <c r="G593" s="5" t="s">
        <v>170</v>
      </c>
      <c r="H593" s="5" t="s">
        <v>171</v>
      </c>
      <c r="I593" s="5"/>
      <c r="J593" s="5"/>
      <c r="K593" s="5">
        <v>224</v>
      </c>
      <c r="L593" s="5">
        <v>27</v>
      </c>
      <c r="M593" s="5">
        <v>3</v>
      </c>
      <c r="N593" s="5" t="s">
        <v>3</v>
      </c>
      <c r="O593" s="5">
        <v>2</v>
      </c>
      <c r="P593" s="5">
        <f>ROUND(Source!EJ565,O593)</f>
        <v>269130.89</v>
      </c>
      <c r="Q593" s="5"/>
      <c r="R593" s="5"/>
      <c r="S593" s="5"/>
      <c r="T593" s="5"/>
      <c r="U593" s="5"/>
      <c r="V593" s="5"/>
      <c r="W593" s="5">
        <v>17258.82</v>
      </c>
      <c r="X593" s="5">
        <v>1</v>
      </c>
      <c r="Y593" s="5">
        <v>17258.82</v>
      </c>
      <c r="Z593" s="5">
        <v>269130.89</v>
      </c>
      <c r="AA593" s="5">
        <v>1</v>
      </c>
      <c r="AB593" s="5">
        <v>269130.89</v>
      </c>
    </row>
    <row r="595" spans="1:206" x14ac:dyDescent="0.2">
      <c r="A595" s="3">
        <v>51</v>
      </c>
      <c r="B595" s="3">
        <f>B20</f>
        <v>1</v>
      </c>
      <c r="C595" s="3">
        <f>A20</f>
        <v>3</v>
      </c>
      <c r="D595" s="3">
        <f>ROW(A20)</f>
        <v>20</v>
      </c>
      <c r="E595" s="3"/>
      <c r="F595" s="3" t="str">
        <f>IF(F20&lt;&gt;"",F20,"")</f>
        <v>02-01-18</v>
      </c>
      <c r="G595" s="3" t="str">
        <f>IF(G20&lt;&gt;"",G20,"")</f>
        <v>Автоматизация и диспетчеризация инженерных систем.</v>
      </c>
      <c r="H595" s="3">
        <v>0</v>
      </c>
      <c r="I595" s="3"/>
      <c r="J595" s="3"/>
      <c r="K595" s="3"/>
      <c r="L595" s="3"/>
      <c r="M595" s="3"/>
      <c r="N595" s="3"/>
      <c r="O595" s="3">
        <f t="shared" ref="O595:T595" si="477">ROUND(O75+O114+O163+O248+O323+O404+O459+O510+O565+AB595,2)</f>
        <v>1897925.62</v>
      </c>
      <c r="P595" s="3">
        <f t="shared" si="477"/>
        <v>1849266.87</v>
      </c>
      <c r="Q595" s="3">
        <f t="shared" si="477"/>
        <v>7979.47</v>
      </c>
      <c r="R595" s="3">
        <f t="shared" si="477"/>
        <v>1138.1600000000001</v>
      </c>
      <c r="S595" s="3">
        <f t="shared" si="477"/>
        <v>40679.279999999999</v>
      </c>
      <c r="T595" s="3">
        <f t="shared" si="477"/>
        <v>0</v>
      </c>
      <c r="U595" s="3">
        <f>U75+U114+U163+U248+U323+U404+U459+U510+U565+AH595</f>
        <v>3300.0132297</v>
      </c>
      <c r="V595" s="3">
        <f>V75+V114+V163+V248+V323+V404+V459+V510+V565+AI595</f>
        <v>0</v>
      </c>
      <c r="W595" s="3">
        <f>ROUND(W75+W114+W163+W248+W323+W404+W459+W510+W565+AJ595,2)</f>
        <v>0</v>
      </c>
      <c r="X595" s="3">
        <f>ROUND(X75+X114+X163+X248+X323+X404+X459+X510+X565+AK595,2)</f>
        <v>39790.9</v>
      </c>
      <c r="Y595" s="3">
        <f>ROUND(Y75+Y114+Y163+Y248+Y323+Y404+Y459+Y510+Y565+AL595,2)</f>
        <v>20859.990000000002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>
        <f t="shared" ref="AO595:BD595" si="478">ROUND(AO75+AO114+AO163+AO248+AO323+AO404+AO459+AO510+AO565+BX595,2)</f>
        <v>0</v>
      </c>
      <c r="AP595" s="3">
        <f t="shared" si="478"/>
        <v>1659768.83</v>
      </c>
      <c r="AQ595" s="3">
        <f t="shared" si="478"/>
        <v>0</v>
      </c>
      <c r="AR595" s="3">
        <f t="shared" si="478"/>
        <v>1958576.51</v>
      </c>
      <c r="AS595" s="3">
        <f t="shared" si="478"/>
        <v>0</v>
      </c>
      <c r="AT595" s="3">
        <f t="shared" si="478"/>
        <v>298807.67999999999</v>
      </c>
      <c r="AU595" s="3">
        <f t="shared" si="478"/>
        <v>0</v>
      </c>
      <c r="AV595" s="3">
        <f t="shared" si="478"/>
        <v>1849266.87</v>
      </c>
      <c r="AW595" s="3">
        <f t="shared" si="478"/>
        <v>189498.04</v>
      </c>
      <c r="AX595" s="3">
        <f t="shared" si="478"/>
        <v>0</v>
      </c>
      <c r="AY595" s="3">
        <f t="shared" si="478"/>
        <v>189498.04</v>
      </c>
      <c r="AZ595" s="3">
        <f t="shared" si="478"/>
        <v>1659768.83</v>
      </c>
      <c r="BA595" s="3">
        <f t="shared" si="478"/>
        <v>0</v>
      </c>
      <c r="BB595" s="3">
        <f t="shared" si="478"/>
        <v>0</v>
      </c>
      <c r="BC595" s="3">
        <f t="shared" si="478"/>
        <v>0</v>
      </c>
      <c r="BD595" s="3">
        <f t="shared" si="478"/>
        <v>0</v>
      </c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4">
        <f t="shared" ref="DG595:DL595" si="479">ROUND(DG75+DG114+DG163+DG248+DG323+DG404+DG459+DG510+DG565+DT595,2)</f>
        <v>16172221.220000001</v>
      </c>
      <c r="DH595" s="4">
        <f t="shared" si="479"/>
        <v>13805080.75</v>
      </c>
      <c r="DI595" s="4">
        <f t="shared" si="479"/>
        <v>130186.87</v>
      </c>
      <c r="DJ595" s="4">
        <f t="shared" si="479"/>
        <v>62587.44</v>
      </c>
      <c r="DK595" s="4">
        <f t="shared" si="479"/>
        <v>2236953.6000000001</v>
      </c>
      <c r="DL595" s="4">
        <f t="shared" si="479"/>
        <v>0</v>
      </c>
      <c r="DM595" s="4">
        <f>DM75+DM114+DM163+DM248+DM323+DM404+DM459+DM510+DM565+DZ595</f>
        <v>3300.0132297</v>
      </c>
      <c r="DN595" s="4">
        <f>DN75+DN114+DN163+DN248+DN323+DN404+DN459+DN510+DN565+EA595</f>
        <v>0</v>
      </c>
      <c r="DO595" s="4">
        <f>ROUND(DO75+DO114+DO163+DO248+DO323+DO404+DO459+DO510+DO565+EB595,2)</f>
        <v>0</v>
      </c>
      <c r="DP595" s="4">
        <f>ROUND(DP75+DP114+DP163+DP248+DP323+DP404+DP459+DP510+DP565+EC595,2)</f>
        <v>2188101.2200000002</v>
      </c>
      <c r="DQ595" s="4">
        <f>ROUND(DQ75+DQ114+DQ163+DQ248+DQ323+DQ404+DQ459+DQ510+DQ565+ED595,2)</f>
        <v>1147090.7</v>
      </c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>
        <f t="shared" ref="EG595:EV595" si="480">ROUND(EG75+EG114+EG163+EG248+EG323+EG404+EG459+EG510+EG565+FP595,2)</f>
        <v>0</v>
      </c>
      <c r="EH595" s="4">
        <f t="shared" si="480"/>
        <v>12610419.609999999</v>
      </c>
      <c r="EI595" s="4">
        <f t="shared" si="480"/>
        <v>0</v>
      </c>
      <c r="EJ595" s="4">
        <f t="shared" si="480"/>
        <v>19507413.140000001</v>
      </c>
      <c r="EK595" s="4">
        <f t="shared" si="480"/>
        <v>0</v>
      </c>
      <c r="EL595" s="4">
        <f t="shared" si="480"/>
        <v>6896993.5300000003</v>
      </c>
      <c r="EM595" s="4">
        <f t="shared" si="480"/>
        <v>0</v>
      </c>
      <c r="EN595" s="4">
        <f t="shared" si="480"/>
        <v>13805080.75</v>
      </c>
      <c r="EO595" s="4">
        <f t="shared" si="480"/>
        <v>1194661.1399999999</v>
      </c>
      <c r="EP595" s="4">
        <f t="shared" si="480"/>
        <v>0</v>
      </c>
      <c r="EQ595" s="4">
        <f t="shared" si="480"/>
        <v>1194661.1399999999</v>
      </c>
      <c r="ER595" s="4">
        <f t="shared" si="480"/>
        <v>12610419.609999999</v>
      </c>
      <c r="ES595" s="4">
        <f t="shared" si="480"/>
        <v>0</v>
      </c>
      <c r="ET595" s="4">
        <f t="shared" si="480"/>
        <v>0</v>
      </c>
      <c r="EU595" s="4">
        <f t="shared" si="480"/>
        <v>0</v>
      </c>
      <c r="EV595" s="4">
        <f t="shared" si="480"/>
        <v>0</v>
      </c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>
        <v>0</v>
      </c>
    </row>
    <row r="597" spans="1:206" x14ac:dyDescent="0.2">
      <c r="A597" s="5">
        <v>50</v>
      </c>
      <c r="B597" s="5">
        <v>0</v>
      </c>
      <c r="C597" s="5">
        <v>0</v>
      </c>
      <c r="D597" s="5">
        <v>1</v>
      </c>
      <c r="E597" s="5">
        <v>201</v>
      </c>
      <c r="F597" s="5">
        <f>ROUND(Source!O595,O597)</f>
        <v>1897925.62</v>
      </c>
      <c r="G597" s="5" t="s">
        <v>118</v>
      </c>
      <c r="H597" s="5" t="s">
        <v>119</v>
      </c>
      <c r="I597" s="5"/>
      <c r="J597" s="5"/>
      <c r="K597" s="5">
        <v>201</v>
      </c>
      <c r="L597" s="5">
        <v>1</v>
      </c>
      <c r="M597" s="5">
        <v>3</v>
      </c>
      <c r="N597" s="5" t="s">
        <v>3</v>
      </c>
      <c r="O597" s="5">
        <v>2</v>
      </c>
      <c r="P597" s="5">
        <f>ROUND(Source!DG595,O597)</f>
        <v>16172221.220000001</v>
      </c>
      <c r="Q597" s="5"/>
      <c r="R597" s="5"/>
      <c r="S597" s="5"/>
      <c r="T597" s="5"/>
      <c r="U597" s="5"/>
      <c r="V597" s="5"/>
      <c r="W597" s="5">
        <v>1897925.62</v>
      </c>
      <c r="X597" s="5">
        <v>1</v>
      </c>
      <c r="Y597" s="5">
        <v>1897925.62</v>
      </c>
      <c r="Z597" s="5">
        <v>16172221.220000001</v>
      </c>
      <c r="AA597" s="5">
        <v>1</v>
      </c>
      <c r="AB597" s="5">
        <v>16172221.220000001</v>
      </c>
    </row>
    <row r="598" spans="1:206" x14ac:dyDescent="0.2">
      <c r="A598" s="5">
        <v>50</v>
      </c>
      <c r="B598" s="5">
        <v>0</v>
      </c>
      <c r="C598" s="5">
        <v>0</v>
      </c>
      <c r="D598" s="5">
        <v>1</v>
      </c>
      <c r="E598" s="5">
        <v>202</v>
      </c>
      <c r="F598" s="5">
        <f>ROUND(Source!P595,O598)</f>
        <v>1849266.87</v>
      </c>
      <c r="G598" s="5" t="s">
        <v>120</v>
      </c>
      <c r="H598" s="5" t="s">
        <v>121</v>
      </c>
      <c r="I598" s="5"/>
      <c r="J598" s="5"/>
      <c r="K598" s="5">
        <v>202</v>
      </c>
      <c r="L598" s="5">
        <v>2</v>
      </c>
      <c r="M598" s="5">
        <v>3</v>
      </c>
      <c r="N598" s="5" t="s">
        <v>3</v>
      </c>
      <c r="O598" s="5">
        <v>2</v>
      </c>
      <c r="P598" s="5">
        <f>ROUND(Source!DH595,O598)</f>
        <v>13805080.75</v>
      </c>
      <c r="Q598" s="5"/>
      <c r="R598" s="5"/>
      <c r="S598" s="5"/>
      <c r="T598" s="5"/>
      <c r="U598" s="5"/>
      <c r="V598" s="5"/>
      <c r="W598" s="5">
        <v>1849266.87</v>
      </c>
      <c r="X598" s="5">
        <v>1</v>
      </c>
      <c r="Y598" s="5">
        <v>1849266.87</v>
      </c>
      <c r="Z598" s="5">
        <v>13805080.75</v>
      </c>
      <c r="AA598" s="5">
        <v>1</v>
      </c>
      <c r="AB598" s="5">
        <v>13805080.75</v>
      </c>
    </row>
    <row r="599" spans="1:206" x14ac:dyDescent="0.2">
      <c r="A599" s="5">
        <v>50</v>
      </c>
      <c r="B599" s="5">
        <v>0</v>
      </c>
      <c r="C599" s="5">
        <v>0</v>
      </c>
      <c r="D599" s="5">
        <v>1</v>
      </c>
      <c r="E599" s="5">
        <v>222</v>
      </c>
      <c r="F599" s="5">
        <f>ROUND(Source!AO595,O599)</f>
        <v>0</v>
      </c>
      <c r="G599" s="5" t="s">
        <v>122</v>
      </c>
      <c r="H599" s="5" t="s">
        <v>123</v>
      </c>
      <c r="I599" s="5"/>
      <c r="J599" s="5"/>
      <c r="K599" s="5">
        <v>222</v>
      </c>
      <c r="L599" s="5">
        <v>3</v>
      </c>
      <c r="M599" s="5">
        <v>3</v>
      </c>
      <c r="N599" s="5" t="s">
        <v>3</v>
      </c>
      <c r="O599" s="5">
        <v>2</v>
      </c>
      <c r="P599" s="5">
        <f>ROUND(Source!EG595,O599)</f>
        <v>0</v>
      </c>
      <c r="Q599" s="5"/>
      <c r="R599" s="5"/>
      <c r="S599" s="5"/>
      <c r="T599" s="5"/>
      <c r="U599" s="5"/>
      <c r="V599" s="5"/>
      <c r="W599" s="5">
        <v>0</v>
      </c>
      <c r="X599" s="5">
        <v>1</v>
      </c>
      <c r="Y599" s="5">
        <v>0</v>
      </c>
      <c r="Z599" s="5">
        <v>0</v>
      </c>
      <c r="AA599" s="5">
        <v>1</v>
      </c>
      <c r="AB599" s="5">
        <v>0</v>
      </c>
    </row>
    <row r="600" spans="1:206" x14ac:dyDescent="0.2">
      <c r="A600" s="5">
        <v>50</v>
      </c>
      <c r="B600" s="5">
        <v>0</v>
      </c>
      <c r="C600" s="5">
        <v>0</v>
      </c>
      <c r="D600" s="5">
        <v>1</v>
      </c>
      <c r="E600" s="5">
        <v>225</v>
      </c>
      <c r="F600" s="5">
        <f>ROUND(Source!AV595,O600)</f>
        <v>1849266.87</v>
      </c>
      <c r="G600" s="5" t="s">
        <v>124</v>
      </c>
      <c r="H600" s="5" t="s">
        <v>125</v>
      </c>
      <c r="I600" s="5"/>
      <c r="J600" s="5"/>
      <c r="K600" s="5">
        <v>225</v>
      </c>
      <c r="L600" s="5">
        <v>4</v>
      </c>
      <c r="M600" s="5">
        <v>3</v>
      </c>
      <c r="N600" s="5" t="s">
        <v>3</v>
      </c>
      <c r="O600" s="5">
        <v>2</v>
      </c>
      <c r="P600" s="5">
        <f>ROUND(Source!EN595,O600)</f>
        <v>13805080.75</v>
      </c>
      <c r="Q600" s="5"/>
      <c r="R600" s="5"/>
      <c r="S600" s="5"/>
      <c r="T600" s="5"/>
      <c r="U600" s="5"/>
      <c r="V600" s="5"/>
      <c r="W600" s="5">
        <v>1849266.87</v>
      </c>
      <c r="X600" s="5">
        <v>1</v>
      </c>
      <c r="Y600" s="5">
        <v>1849266.87</v>
      </c>
      <c r="Z600" s="5">
        <v>13805080.75</v>
      </c>
      <c r="AA600" s="5">
        <v>1</v>
      </c>
      <c r="AB600" s="5">
        <v>13805080.75</v>
      </c>
    </row>
    <row r="601" spans="1:206" x14ac:dyDescent="0.2">
      <c r="A601" s="5">
        <v>50</v>
      </c>
      <c r="B601" s="5">
        <v>0</v>
      </c>
      <c r="C601" s="5">
        <v>0</v>
      </c>
      <c r="D601" s="5">
        <v>1</v>
      </c>
      <c r="E601" s="5">
        <v>226</v>
      </c>
      <c r="F601" s="5">
        <f>ROUND(Source!AW595,O601)</f>
        <v>189498.04</v>
      </c>
      <c r="G601" s="5" t="s">
        <v>126</v>
      </c>
      <c r="H601" s="5" t="s">
        <v>127</v>
      </c>
      <c r="I601" s="5"/>
      <c r="J601" s="5"/>
      <c r="K601" s="5">
        <v>226</v>
      </c>
      <c r="L601" s="5">
        <v>5</v>
      </c>
      <c r="M601" s="5">
        <v>3</v>
      </c>
      <c r="N601" s="5" t="s">
        <v>3</v>
      </c>
      <c r="O601" s="5">
        <v>2</v>
      </c>
      <c r="P601" s="5">
        <f>ROUND(Source!EO595,O601)</f>
        <v>1194661.1399999999</v>
      </c>
      <c r="Q601" s="5"/>
      <c r="R601" s="5"/>
      <c r="S601" s="5"/>
      <c r="T601" s="5"/>
      <c r="U601" s="5"/>
      <c r="V601" s="5"/>
      <c r="W601" s="5">
        <v>189498.04</v>
      </c>
      <c r="X601" s="5">
        <v>1</v>
      </c>
      <c r="Y601" s="5">
        <v>189498.04</v>
      </c>
      <c r="Z601" s="5">
        <v>1194661.1399999999</v>
      </c>
      <c r="AA601" s="5">
        <v>1</v>
      </c>
      <c r="AB601" s="5">
        <v>1194661.1399999999</v>
      </c>
    </row>
    <row r="602" spans="1:206" x14ac:dyDescent="0.2">
      <c r="A602" s="5">
        <v>50</v>
      </c>
      <c r="B602" s="5">
        <v>0</v>
      </c>
      <c r="C602" s="5">
        <v>0</v>
      </c>
      <c r="D602" s="5">
        <v>1</v>
      </c>
      <c r="E602" s="5">
        <v>227</v>
      </c>
      <c r="F602" s="5">
        <f>ROUND(Source!AX595,O602)</f>
        <v>0</v>
      </c>
      <c r="G602" s="5" t="s">
        <v>128</v>
      </c>
      <c r="H602" s="5" t="s">
        <v>129</v>
      </c>
      <c r="I602" s="5"/>
      <c r="J602" s="5"/>
      <c r="K602" s="5">
        <v>227</v>
      </c>
      <c r="L602" s="5">
        <v>6</v>
      </c>
      <c r="M602" s="5">
        <v>3</v>
      </c>
      <c r="N602" s="5" t="s">
        <v>3</v>
      </c>
      <c r="O602" s="5">
        <v>2</v>
      </c>
      <c r="P602" s="5">
        <f>ROUND(Source!EP595,O602)</f>
        <v>0</v>
      </c>
      <c r="Q602" s="5"/>
      <c r="R602" s="5"/>
      <c r="S602" s="5"/>
      <c r="T602" s="5"/>
      <c r="U602" s="5"/>
      <c r="V602" s="5"/>
      <c r="W602" s="5">
        <v>0</v>
      </c>
      <c r="X602" s="5">
        <v>1</v>
      </c>
      <c r="Y602" s="5">
        <v>0</v>
      </c>
      <c r="Z602" s="5">
        <v>0</v>
      </c>
      <c r="AA602" s="5">
        <v>1</v>
      </c>
      <c r="AB602" s="5">
        <v>0</v>
      </c>
    </row>
    <row r="603" spans="1:206" x14ac:dyDescent="0.2">
      <c r="A603" s="5">
        <v>50</v>
      </c>
      <c r="B603" s="5">
        <v>0</v>
      </c>
      <c r="C603" s="5">
        <v>0</v>
      </c>
      <c r="D603" s="5">
        <v>1</v>
      </c>
      <c r="E603" s="5">
        <v>228</v>
      </c>
      <c r="F603" s="5">
        <f>ROUND(Source!AY595,O603)</f>
        <v>189498.04</v>
      </c>
      <c r="G603" s="5" t="s">
        <v>130</v>
      </c>
      <c r="H603" s="5" t="s">
        <v>131</v>
      </c>
      <c r="I603" s="5"/>
      <c r="J603" s="5"/>
      <c r="K603" s="5">
        <v>228</v>
      </c>
      <c r="L603" s="5">
        <v>7</v>
      </c>
      <c r="M603" s="5">
        <v>3</v>
      </c>
      <c r="N603" s="5" t="s">
        <v>3</v>
      </c>
      <c r="O603" s="5">
        <v>2</v>
      </c>
      <c r="P603" s="5">
        <f>ROUND(Source!EQ595,O603)</f>
        <v>1194661.1399999999</v>
      </c>
      <c r="Q603" s="5"/>
      <c r="R603" s="5"/>
      <c r="S603" s="5"/>
      <c r="T603" s="5"/>
      <c r="U603" s="5"/>
      <c r="V603" s="5"/>
      <c r="W603" s="5">
        <v>189498.04</v>
      </c>
      <c r="X603" s="5">
        <v>1</v>
      </c>
      <c r="Y603" s="5">
        <v>189498.04</v>
      </c>
      <c r="Z603" s="5">
        <v>1194661.1399999999</v>
      </c>
      <c r="AA603" s="5">
        <v>1</v>
      </c>
      <c r="AB603" s="5">
        <v>1194661.1399999999</v>
      </c>
    </row>
    <row r="604" spans="1:206" x14ac:dyDescent="0.2">
      <c r="A604" s="5">
        <v>50</v>
      </c>
      <c r="B604" s="5">
        <v>0</v>
      </c>
      <c r="C604" s="5">
        <v>0</v>
      </c>
      <c r="D604" s="5">
        <v>1</v>
      </c>
      <c r="E604" s="5">
        <v>216</v>
      </c>
      <c r="F604" s="5">
        <f>ROUND(Source!AP595,O604)</f>
        <v>1659768.83</v>
      </c>
      <c r="G604" s="5" t="s">
        <v>132</v>
      </c>
      <c r="H604" s="5" t="s">
        <v>133</v>
      </c>
      <c r="I604" s="5"/>
      <c r="J604" s="5"/>
      <c r="K604" s="5">
        <v>216</v>
      </c>
      <c r="L604" s="5">
        <v>8</v>
      </c>
      <c r="M604" s="5">
        <v>3</v>
      </c>
      <c r="N604" s="5" t="s">
        <v>3</v>
      </c>
      <c r="O604" s="5">
        <v>2</v>
      </c>
      <c r="P604" s="5">
        <f>ROUND(Source!EH595,O604)</f>
        <v>12610419.609999999</v>
      </c>
      <c r="Q604" s="5"/>
      <c r="R604" s="5"/>
      <c r="S604" s="5"/>
      <c r="T604" s="5"/>
      <c r="U604" s="5"/>
      <c r="V604" s="5"/>
      <c r="W604" s="5">
        <v>1659768.83</v>
      </c>
      <c r="X604" s="5">
        <v>1</v>
      </c>
      <c r="Y604" s="5">
        <v>1659768.83</v>
      </c>
      <c r="Z604" s="5">
        <v>12610419.609999999</v>
      </c>
      <c r="AA604" s="5">
        <v>1</v>
      </c>
      <c r="AB604" s="5">
        <v>12610419.609999999</v>
      </c>
    </row>
    <row r="605" spans="1:206" x14ac:dyDescent="0.2">
      <c r="A605" s="5">
        <v>50</v>
      </c>
      <c r="B605" s="5">
        <v>0</v>
      </c>
      <c r="C605" s="5">
        <v>0</v>
      </c>
      <c r="D605" s="5">
        <v>1</v>
      </c>
      <c r="E605" s="5">
        <v>223</v>
      </c>
      <c r="F605" s="5">
        <f>ROUND(Source!AQ595,O605)</f>
        <v>0</v>
      </c>
      <c r="G605" s="5" t="s">
        <v>134</v>
      </c>
      <c r="H605" s="5" t="s">
        <v>135</v>
      </c>
      <c r="I605" s="5"/>
      <c r="J605" s="5"/>
      <c r="K605" s="5">
        <v>223</v>
      </c>
      <c r="L605" s="5">
        <v>9</v>
      </c>
      <c r="M605" s="5">
        <v>3</v>
      </c>
      <c r="N605" s="5" t="s">
        <v>3</v>
      </c>
      <c r="O605" s="5">
        <v>2</v>
      </c>
      <c r="P605" s="5">
        <f>ROUND(Source!EI595,O605)</f>
        <v>0</v>
      </c>
      <c r="Q605" s="5"/>
      <c r="R605" s="5"/>
      <c r="S605" s="5"/>
      <c r="T605" s="5"/>
      <c r="U605" s="5"/>
      <c r="V605" s="5"/>
      <c r="W605" s="5">
        <v>0</v>
      </c>
      <c r="X605" s="5">
        <v>1</v>
      </c>
      <c r="Y605" s="5">
        <v>0</v>
      </c>
      <c r="Z605" s="5">
        <v>0</v>
      </c>
      <c r="AA605" s="5">
        <v>1</v>
      </c>
      <c r="AB605" s="5">
        <v>0</v>
      </c>
    </row>
    <row r="606" spans="1:206" x14ac:dyDescent="0.2">
      <c r="A606" s="5">
        <v>50</v>
      </c>
      <c r="B606" s="5">
        <v>0</v>
      </c>
      <c r="C606" s="5">
        <v>0</v>
      </c>
      <c r="D606" s="5">
        <v>1</v>
      </c>
      <c r="E606" s="5">
        <v>229</v>
      </c>
      <c r="F606" s="5">
        <f>ROUND(Source!AZ595,O606)</f>
        <v>1659768.83</v>
      </c>
      <c r="G606" s="5" t="s">
        <v>136</v>
      </c>
      <c r="H606" s="5" t="s">
        <v>137</v>
      </c>
      <c r="I606" s="5"/>
      <c r="J606" s="5"/>
      <c r="K606" s="5">
        <v>229</v>
      </c>
      <c r="L606" s="5">
        <v>10</v>
      </c>
      <c r="M606" s="5">
        <v>3</v>
      </c>
      <c r="N606" s="5" t="s">
        <v>3</v>
      </c>
      <c r="O606" s="5">
        <v>2</v>
      </c>
      <c r="P606" s="5">
        <f>ROUND(Source!ER595,O606)</f>
        <v>12610419.609999999</v>
      </c>
      <c r="Q606" s="5"/>
      <c r="R606" s="5"/>
      <c r="S606" s="5"/>
      <c r="T606" s="5"/>
      <c r="U606" s="5"/>
      <c r="V606" s="5"/>
      <c r="W606" s="5">
        <v>1659768.83</v>
      </c>
      <c r="X606" s="5">
        <v>1</v>
      </c>
      <c r="Y606" s="5">
        <v>1659768.83</v>
      </c>
      <c r="Z606" s="5">
        <v>12610419.609999999</v>
      </c>
      <c r="AA606" s="5">
        <v>1</v>
      </c>
      <c r="AB606" s="5">
        <v>12610419.609999999</v>
      </c>
    </row>
    <row r="607" spans="1:206" x14ac:dyDescent="0.2">
      <c r="A607" s="5">
        <v>50</v>
      </c>
      <c r="B607" s="5">
        <v>0</v>
      </c>
      <c r="C607" s="5">
        <v>0</v>
      </c>
      <c r="D607" s="5">
        <v>1</v>
      </c>
      <c r="E607" s="5">
        <v>203</v>
      </c>
      <c r="F607" s="5">
        <f>ROUND(Source!Q595,O607)</f>
        <v>7979.47</v>
      </c>
      <c r="G607" s="5" t="s">
        <v>138</v>
      </c>
      <c r="H607" s="5" t="s">
        <v>139</v>
      </c>
      <c r="I607" s="5"/>
      <c r="J607" s="5"/>
      <c r="K607" s="5">
        <v>203</v>
      </c>
      <c r="L607" s="5">
        <v>11</v>
      </c>
      <c r="M607" s="5">
        <v>3</v>
      </c>
      <c r="N607" s="5" t="s">
        <v>3</v>
      </c>
      <c r="O607" s="5">
        <v>2</v>
      </c>
      <c r="P607" s="5">
        <f>ROUND(Source!DI595,O607)</f>
        <v>130186.87</v>
      </c>
      <c r="Q607" s="5"/>
      <c r="R607" s="5"/>
      <c r="S607" s="5"/>
      <c r="T607" s="5"/>
      <c r="U607" s="5"/>
      <c r="V607" s="5"/>
      <c r="W607" s="5">
        <v>7979.47</v>
      </c>
      <c r="X607" s="5">
        <v>1</v>
      </c>
      <c r="Y607" s="5">
        <v>7979.47</v>
      </c>
      <c r="Z607" s="5">
        <v>130186.87</v>
      </c>
      <c r="AA607" s="5">
        <v>1</v>
      </c>
      <c r="AB607" s="5">
        <v>130186.87</v>
      </c>
    </row>
    <row r="608" spans="1:206" x14ac:dyDescent="0.2">
      <c r="A608" s="5">
        <v>50</v>
      </c>
      <c r="B608" s="5">
        <v>0</v>
      </c>
      <c r="C608" s="5">
        <v>0</v>
      </c>
      <c r="D608" s="5">
        <v>1</v>
      </c>
      <c r="E608" s="5">
        <v>231</v>
      </c>
      <c r="F608" s="5">
        <f>ROUND(Source!BB595,O608)</f>
        <v>0</v>
      </c>
      <c r="G608" s="5" t="s">
        <v>140</v>
      </c>
      <c r="H608" s="5" t="s">
        <v>141</v>
      </c>
      <c r="I608" s="5"/>
      <c r="J608" s="5"/>
      <c r="K608" s="5">
        <v>231</v>
      </c>
      <c r="L608" s="5">
        <v>12</v>
      </c>
      <c r="M608" s="5">
        <v>3</v>
      </c>
      <c r="N608" s="5" t="s">
        <v>3</v>
      </c>
      <c r="O608" s="5">
        <v>2</v>
      </c>
      <c r="P608" s="5">
        <f>ROUND(Source!ET595,O608)</f>
        <v>0</v>
      </c>
      <c r="Q608" s="5"/>
      <c r="R608" s="5"/>
      <c r="S608" s="5"/>
      <c r="T608" s="5"/>
      <c r="U608" s="5"/>
      <c r="V608" s="5"/>
      <c r="W608" s="5">
        <v>0</v>
      </c>
      <c r="X608" s="5">
        <v>1</v>
      </c>
      <c r="Y608" s="5">
        <v>0</v>
      </c>
      <c r="Z608" s="5">
        <v>0</v>
      </c>
      <c r="AA608" s="5">
        <v>1</v>
      </c>
      <c r="AB608" s="5">
        <v>0</v>
      </c>
    </row>
    <row r="609" spans="1:28" x14ac:dyDescent="0.2">
      <c r="A609" s="5">
        <v>50</v>
      </c>
      <c r="B609" s="5">
        <v>0</v>
      </c>
      <c r="C609" s="5">
        <v>0</v>
      </c>
      <c r="D609" s="5">
        <v>1</v>
      </c>
      <c r="E609" s="5">
        <v>204</v>
      </c>
      <c r="F609" s="5">
        <f>ROUND(Source!R595,O609)</f>
        <v>1138.1600000000001</v>
      </c>
      <c r="G609" s="5" t="s">
        <v>142</v>
      </c>
      <c r="H609" s="5" t="s">
        <v>143</v>
      </c>
      <c r="I609" s="5"/>
      <c r="J609" s="5"/>
      <c r="K609" s="5">
        <v>204</v>
      </c>
      <c r="L609" s="5">
        <v>13</v>
      </c>
      <c r="M609" s="5">
        <v>3</v>
      </c>
      <c r="N609" s="5" t="s">
        <v>3</v>
      </c>
      <c r="O609" s="5">
        <v>2</v>
      </c>
      <c r="P609" s="5">
        <f>ROUND(Source!DJ595,O609)</f>
        <v>62587.44</v>
      </c>
      <c r="Q609" s="5"/>
      <c r="R609" s="5"/>
      <c r="S609" s="5"/>
      <c r="T609" s="5"/>
      <c r="U609" s="5"/>
      <c r="V609" s="5"/>
      <c r="W609" s="5">
        <v>1138.1600000000001</v>
      </c>
      <c r="X609" s="5">
        <v>1</v>
      </c>
      <c r="Y609" s="5">
        <v>1138.1600000000001</v>
      </c>
      <c r="Z609" s="5">
        <v>62587.44</v>
      </c>
      <c r="AA609" s="5">
        <v>1</v>
      </c>
      <c r="AB609" s="5">
        <v>62587.44</v>
      </c>
    </row>
    <row r="610" spans="1:28" x14ac:dyDescent="0.2">
      <c r="A610" s="5">
        <v>50</v>
      </c>
      <c r="B610" s="5">
        <v>0</v>
      </c>
      <c r="C610" s="5">
        <v>0</v>
      </c>
      <c r="D610" s="5">
        <v>1</v>
      </c>
      <c r="E610" s="5">
        <v>205</v>
      </c>
      <c r="F610" s="5">
        <f>ROUND(Source!S595,O610)</f>
        <v>40679.279999999999</v>
      </c>
      <c r="G610" s="5" t="s">
        <v>144</v>
      </c>
      <c r="H610" s="5" t="s">
        <v>145</v>
      </c>
      <c r="I610" s="5"/>
      <c r="J610" s="5"/>
      <c r="K610" s="5">
        <v>205</v>
      </c>
      <c r="L610" s="5">
        <v>14</v>
      </c>
      <c r="M610" s="5">
        <v>3</v>
      </c>
      <c r="N610" s="5" t="s">
        <v>3</v>
      </c>
      <c r="O610" s="5">
        <v>2</v>
      </c>
      <c r="P610" s="5">
        <f>ROUND(Source!DK595,O610)</f>
        <v>2236953.6000000001</v>
      </c>
      <c r="Q610" s="5"/>
      <c r="R610" s="5"/>
      <c r="S610" s="5"/>
      <c r="T610" s="5"/>
      <c r="U610" s="5"/>
      <c r="V610" s="5"/>
      <c r="W610" s="5">
        <v>40679.279999999999</v>
      </c>
      <c r="X610" s="5">
        <v>1</v>
      </c>
      <c r="Y610" s="5">
        <v>40679.279999999999</v>
      </c>
      <c r="Z610" s="5">
        <v>2236953.6000000001</v>
      </c>
      <c r="AA610" s="5">
        <v>1</v>
      </c>
      <c r="AB610" s="5">
        <v>2236953.6000000001</v>
      </c>
    </row>
    <row r="611" spans="1:28" x14ac:dyDescent="0.2">
      <c r="A611" s="5">
        <v>50</v>
      </c>
      <c r="B611" s="5">
        <v>0</v>
      </c>
      <c r="C611" s="5">
        <v>0</v>
      </c>
      <c r="D611" s="5">
        <v>1</v>
      </c>
      <c r="E611" s="5">
        <v>232</v>
      </c>
      <c r="F611" s="5">
        <f>ROUND(Source!BC595,O611)</f>
        <v>0</v>
      </c>
      <c r="G611" s="5" t="s">
        <v>146</v>
      </c>
      <c r="H611" s="5" t="s">
        <v>147</v>
      </c>
      <c r="I611" s="5"/>
      <c r="J611" s="5"/>
      <c r="K611" s="5">
        <v>232</v>
      </c>
      <c r="L611" s="5">
        <v>15</v>
      </c>
      <c r="M611" s="5">
        <v>3</v>
      </c>
      <c r="N611" s="5" t="s">
        <v>3</v>
      </c>
      <c r="O611" s="5">
        <v>2</v>
      </c>
      <c r="P611" s="5">
        <f>ROUND(Source!EU595,O611)</f>
        <v>0</v>
      </c>
      <c r="Q611" s="5"/>
      <c r="R611" s="5"/>
      <c r="S611" s="5"/>
      <c r="T611" s="5"/>
      <c r="U611" s="5"/>
      <c r="V611" s="5"/>
      <c r="W611" s="5">
        <v>0</v>
      </c>
      <c r="X611" s="5">
        <v>1</v>
      </c>
      <c r="Y611" s="5">
        <v>0</v>
      </c>
      <c r="Z611" s="5">
        <v>0</v>
      </c>
      <c r="AA611" s="5">
        <v>1</v>
      </c>
      <c r="AB611" s="5">
        <v>0</v>
      </c>
    </row>
    <row r="612" spans="1:28" x14ac:dyDescent="0.2">
      <c r="A612" s="5">
        <v>50</v>
      </c>
      <c r="B612" s="5">
        <v>0</v>
      </c>
      <c r="C612" s="5">
        <v>0</v>
      </c>
      <c r="D612" s="5">
        <v>1</v>
      </c>
      <c r="E612" s="5">
        <v>214</v>
      </c>
      <c r="F612" s="5">
        <f>ROUND(Source!AS595,O612)</f>
        <v>0</v>
      </c>
      <c r="G612" s="5" t="s">
        <v>148</v>
      </c>
      <c r="H612" s="5" t="s">
        <v>149</v>
      </c>
      <c r="I612" s="5"/>
      <c r="J612" s="5"/>
      <c r="K612" s="5">
        <v>214</v>
      </c>
      <c r="L612" s="5">
        <v>16</v>
      </c>
      <c r="M612" s="5">
        <v>3</v>
      </c>
      <c r="N612" s="5" t="s">
        <v>3</v>
      </c>
      <c r="O612" s="5">
        <v>2</v>
      </c>
      <c r="P612" s="5">
        <f>ROUND(Source!EK595,O612)</f>
        <v>0</v>
      </c>
      <c r="Q612" s="5"/>
      <c r="R612" s="5"/>
      <c r="S612" s="5"/>
      <c r="T612" s="5"/>
      <c r="U612" s="5"/>
      <c r="V612" s="5"/>
      <c r="W612" s="5">
        <v>0</v>
      </c>
      <c r="X612" s="5">
        <v>1</v>
      </c>
      <c r="Y612" s="5">
        <v>0</v>
      </c>
      <c r="Z612" s="5">
        <v>0</v>
      </c>
      <c r="AA612" s="5">
        <v>1</v>
      </c>
      <c r="AB612" s="5">
        <v>0</v>
      </c>
    </row>
    <row r="613" spans="1:28" x14ac:dyDescent="0.2">
      <c r="A613" s="5">
        <v>50</v>
      </c>
      <c r="B613" s="5">
        <v>0</v>
      </c>
      <c r="C613" s="5">
        <v>0</v>
      </c>
      <c r="D613" s="5">
        <v>1</v>
      </c>
      <c r="E613" s="5">
        <v>215</v>
      </c>
      <c r="F613" s="5">
        <f>ROUND(Source!AT595,O613)</f>
        <v>298807.67999999999</v>
      </c>
      <c r="G613" s="5" t="s">
        <v>150</v>
      </c>
      <c r="H613" s="5" t="s">
        <v>151</v>
      </c>
      <c r="I613" s="5"/>
      <c r="J613" s="5"/>
      <c r="K613" s="5">
        <v>215</v>
      </c>
      <c r="L613" s="5">
        <v>17</v>
      </c>
      <c r="M613" s="5">
        <v>3</v>
      </c>
      <c r="N613" s="5" t="s">
        <v>3</v>
      </c>
      <c r="O613" s="5">
        <v>2</v>
      </c>
      <c r="P613" s="5">
        <f>ROUND(Source!EL595,O613)</f>
        <v>6896993.5300000003</v>
      </c>
      <c r="Q613" s="5"/>
      <c r="R613" s="5"/>
      <c r="S613" s="5"/>
      <c r="T613" s="5"/>
      <c r="U613" s="5"/>
      <c r="V613" s="5"/>
      <c r="W613" s="5">
        <v>298807.67999999999</v>
      </c>
      <c r="X613" s="5">
        <v>1</v>
      </c>
      <c r="Y613" s="5">
        <v>298807.67999999999</v>
      </c>
      <c r="Z613" s="5">
        <v>6896993.5300000003</v>
      </c>
      <c r="AA613" s="5">
        <v>1</v>
      </c>
      <c r="AB613" s="5">
        <v>6896993.5300000003</v>
      </c>
    </row>
    <row r="614" spans="1:28" x14ac:dyDescent="0.2">
      <c r="A614" s="5">
        <v>50</v>
      </c>
      <c r="B614" s="5">
        <v>0</v>
      </c>
      <c r="C614" s="5">
        <v>0</v>
      </c>
      <c r="D614" s="5">
        <v>1</v>
      </c>
      <c r="E614" s="5">
        <v>217</v>
      </c>
      <c r="F614" s="5">
        <f>ROUND(Source!AU595,O614)</f>
        <v>0</v>
      </c>
      <c r="G614" s="5" t="s">
        <v>152</v>
      </c>
      <c r="H614" s="5" t="s">
        <v>153</v>
      </c>
      <c r="I614" s="5"/>
      <c r="J614" s="5"/>
      <c r="K614" s="5">
        <v>217</v>
      </c>
      <c r="L614" s="5">
        <v>18</v>
      </c>
      <c r="M614" s="5">
        <v>3</v>
      </c>
      <c r="N614" s="5" t="s">
        <v>3</v>
      </c>
      <c r="O614" s="5">
        <v>2</v>
      </c>
      <c r="P614" s="5">
        <f>ROUND(Source!EM595,O614)</f>
        <v>0</v>
      </c>
      <c r="Q614" s="5"/>
      <c r="R614" s="5"/>
      <c r="S614" s="5"/>
      <c r="T614" s="5"/>
      <c r="U614" s="5"/>
      <c r="V614" s="5"/>
      <c r="W614" s="5">
        <v>0</v>
      </c>
      <c r="X614" s="5">
        <v>1</v>
      </c>
      <c r="Y614" s="5">
        <v>0</v>
      </c>
      <c r="Z614" s="5">
        <v>0</v>
      </c>
      <c r="AA614" s="5">
        <v>1</v>
      </c>
      <c r="AB614" s="5">
        <v>0</v>
      </c>
    </row>
    <row r="615" spans="1:28" x14ac:dyDescent="0.2">
      <c r="A615" s="5">
        <v>50</v>
      </c>
      <c r="B615" s="5">
        <v>0</v>
      </c>
      <c r="C615" s="5">
        <v>0</v>
      </c>
      <c r="D615" s="5">
        <v>1</v>
      </c>
      <c r="E615" s="5">
        <v>230</v>
      </c>
      <c r="F615" s="5">
        <f>ROUND(Source!BA595,O615)</f>
        <v>0</v>
      </c>
      <c r="G615" s="5" t="s">
        <v>154</v>
      </c>
      <c r="H615" s="5" t="s">
        <v>155</v>
      </c>
      <c r="I615" s="5"/>
      <c r="J615" s="5"/>
      <c r="K615" s="5">
        <v>230</v>
      </c>
      <c r="L615" s="5">
        <v>19</v>
      </c>
      <c r="M615" s="5">
        <v>3</v>
      </c>
      <c r="N615" s="5" t="s">
        <v>3</v>
      </c>
      <c r="O615" s="5">
        <v>2</v>
      </c>
      <c r="P615" s="5">
        <f>ROUND(Source!ES595,O615)</f>
        <v>0</v>
      </c>
      <c r="Q615" s="5"/>
      <c r="R615" s="5"/>
      <c r="S615" s="5"/>
      <c r="T615" s="5"/>
      <c r="U615" s="5"/>
      <c r="V615" s="5"/>
      <c r="W615" s="5">
        <v>0</v>
      </c>
      <c r="X615" s="5">
        <v>1</v>
      </c>
      <c r="Y615" s="5">
        <v>0</v>
      </c>
      <c r="Z615" s="5">
        <v>0</v>
      </c>
      <c r="AA615" s="5">
        <v>1</v>
      </c>
      <c r="AB615" s="5">
        <v>0</v>
      </c>
    </row>
    <row r="616" spans="1:28" x14ac:dyDescent="0.2">
      <c r="A616" s="5">
        <v>50</v>
      </c>
      <c r="B616" s="5">
        <v>0</v>
      </c>
      <c r="C616" s="5">
        <v>0</v>
      </c>
      <c r="D616" s="5">
        <v>1</v>
      </c>
      <c r="E616" s="5">
        <v>206</v>
      </c>
      <c r="F616" s="5">
        <f>ROUND(Source!T595,O616)</f>
        <v>0</v>
      </c>
      <c r="G616" s="5" t="s">
        <v>156</v>
      </c>
      <c r="H616" s="5" t="s">
        <v>157</v>
      </c>
      <c r="I616" s="5"/>
      <c r="J616" s="5"/>
      <c r="K616" s="5">
        <v>206</v>
      </c>
      <c r="L616" s="5">
        <v>20</v>
      </c>
      <c r="M616" s="5">
        <v>3</v>
      </c>
      <c r="N616" s="5" t="s">
        <v>3</v>
      </c>
      <c r="O616" s="5">
        <v>2</v>
      </c>
      <c r="P616" s="5">
        <f>ROUND(Source!DL595,O616)</f>
        <v>0</v>
      </c>
      <c r="Q616" s="5"/>
      <c r="R616" s="5"/>
      <c r="S616" s="5"/>
      <c r="T616" s="5"/>
      <c r="U616" s="5"/>
      <c r="V616" s="5"/>
      <c r="W616" s="5">
        <v>0</v>
      </c>
      <c r="X616" s="5">
        <v>1</v>
      </c>
      <c r="Y616" s="5">
        <v>0</v>
      </c>
      <c r="Z616" s="5">
        <v>0</v>
      </c>
      <c r="AA616" s="5">
        <v>1</v>
      </c>
      <c r="AB616" s="5">
        <v>0</v>
      </c>
    </row>
    <row r="617" spans="1:28" x14ac:dyDescent="0.2">
      <c r="A617" s="5">
        <v>50</v>
      </c>
      <c r="B617" s="5">
        <v>0</v>
      </c>
      <c r="C617" s="5">
        <v>0</v>
      </c>
      <c r="D617" s="5">
        <v>1</v>
      </c>
      <c r="E617" s="5">
        <v>207</v>
      </c>
      <c r="F617" s="5">
        <f>Source!U595</f>
        <v>3300.0132297</v>
      </c>
      <c r="G617" s="5" t="s">
        <v>158</v>
      </c>
      <c r="H617" s="5" t="s">
        <v>159</v>
      </c>
      <c r="I617" s="5"/>
      <c r="J617" s="5"/>
      <c r="K617" s="5">
        <v>207</v>
      </c>
      <c r="L617" s="5">
        <v>21</v>
      </c>
      <c r="M617" s="5">
        <v>3</v>
      </c>
      <c r="N617" s="5" t="s">
        <v>3</v>
      </c>
      <c r="O617" s="5">
        <v>-1</v>
      </c>
      <c r="P617" s="5">
        <f>Source!DM595</f>
        <v>3300.0132297</v>
      </c>
      <c r="Q617" s="5"/>
      <c r="R617" s="5"/>
      <c r="S617" s="5"/>
      <c r="T617" s="5"/>
      <c r="U617" s="5"/>
      <c r="V617" s="5"/>
      <c r="W617" s="5">
        <v>3300.0132297</v>
      </c>
      <c r="X617" s="5">
        <v>1</v>
      </c>
      <c r="Y617" s="5">
        <v>3300.0132297</v>
      </c>
      <c r="Z617" s="5">
        <v>3300.0132297</v>
      </c>
      <c r="AA617" s="5">
        <v>1</v>
      </c>
      <c r="AB617" s="5">
        <v>3300.0132297</v>
      </c>
    </row>
    <row r="618" spans="1:28" x14ac:dyDescent="0.2">
      <c r="A618" s="5">
        <v>50</v>
      </c>
      <c r="B618" s="5">
        <v>0</v>
      </c>
      <c r="C618" s="5">
        <v>0</v>
      </c>
      <c r="D618" s="5">
        <v>1</v>
      </c>
      <c r="E618" s="5">
        <v>208</v>
      </c>
      <c r="F618" s="5">
        <f>Source!V595</f>
        <v>0</v>
      </c>
      <c r="G618" s="5" t="s">
        <v>160</v>
      </c>
      <c r="H618" s="5" t="s">
        <v>161</v>
      </c>
      <c r="I618" s="5"/>
      <c r="J618" s="5"/>
      <c r="K618" s="5">
        <v>208</v>
      </c>
      <c r="L618" s="5">
        <v>22</v>
      </c>
      <c r="M618" s="5">
        <v>3</v>
      </c>
      <c r="N618" s="5" t="s">
        <v>3</v>
      </c>
      <c r="O618" s="5">
        <v>-1</v>
      </c>
      <c r="P618" s="5">
        <f>Source!DN595</f>
        <v>0</v>
      </c>
      <c r="Q618" s="5"/>
      <c r="R618" s="5"/>
      <c r="S618" s="5"/>
      <c r="T618" s="5"/>
      <c r="U618" s="5"/>
      <c r="V618" s="5"/>
      <c r="W618" s="5">
        <v>0</v>
      </c>
      <c r="X618" s="5">
        <v>1</v>
      </c>
      <c r="Y618" s="5">
        <v>0</v>
      </c>
      <c r="Z618" s="5">
        <v>0</v>
      </c>
      <c r="AA618" s="5">
        <v>1</v>
      </c>
      <c r="AB618" s="5">
        <v>0</v>
      </c>
    </row>
    <row r="619" spans="1:28" x14ac:dyDescent="0.2">
      <c r="A619" s="5">
        <v>50</v>
      </c>
      <c r="B619" s="5">
        <v>0</v>
      </c>
      <c r="C619" s="5">
        <v>0</v>
      </c>
      <c r="D619" s="5">
        <v>1</v>
      </c>
      <c r="E619" s="5">
        <v>209</v>
      </c>
      <c r="F619" s="5">
        <f>ROUND(Source!W595,O619)</f>
        <v>0</v>
      </c>
      <c r="G619" s="5" t="s">
        <v>162</v>
      </c>
      <c r="H619" s="5" t="s">
        <v>163</v>
      </c>
      <c r="I619" s="5"/>
      <c r="J619" s="5"/>
      <c r="K619" s="5">
        <v>209</v>
      </c>
      <c r="L619" s="5">
        <v>23</v>
      </c>
      <c r="M619" s="5">
        <v>3</v>
      </c>
      <c r="N619" s="5" t="s">
        <v>3</v>
      </c>
      <c r="O619" s="5">
        <v>2</v>
      </c>
      <c r="P619" s="5">
        <f>ROUND(Source!DO595,O619)</f>
        <v>0</v>
      </c>
      <c r="Q619" s="5"/>
      <c r="R619" s="5"/>
      <c r="S619" s="5"/>
      <c r="T619" s="5"/>
      <c r="U619" s="5"/>
      <c r="V619" s="5"/>
      <c r="W619" s="5">
        <v>0</v>
      </c>
      <c r="X619" s="5">
        <v>1</v>
      </c>
      <c r="Y619" s="5">
        <v>0</v>
      </c>
      <c r="Z619" s="5">
        <v>0</v>
      </c>
      <c r="AA619" s="5">
        <v>1</v>
      </c>
      <c r="AB619" s="5">
        <v>0</v>
      </c>
    </row>
    <row r="620" spans="1:28" x14ac:dyDescent="0.2">
      <c r="A620" s="5">
        <v>50</v>
      </c>
      <c r="B620" s="5">
        <v>0</v>
      </c>
      <c r="C620" s="5">
        <v>0</v>
      </c>
      <c r="D620" s="5">
        <v>1</v>
      </c>
      <c r="E620" s="5">
        <v>233</v>
      </c>
      <c r="F620" s="5">
        <f>ROUND(Source!BD595,O620)</f>
        <v>0</v>
      </c>
      <c r="G620" s="5" t="s">
        <v>164</v>
      </c>
      <c r="H620" s="5" t="s">
        <v>165</v>
      </c>
      <c r="I620" s="5"/>
      <c r="J620" s="5"/>
      <c r="K620" s="5">
        <v>233</v>
      </c>
      <c r="L620" s="5">
        <v>24</v>
      </c>
      <c r="M620" s="5">
        <v>3</v>
      </c>
      <c r="N620" s="5" t="s">
        <v>3</v>
      </c>
      <c r="O620" s="5">
        <v>2</v>
      </c>
      <c r="P620" s="5">
        <f>ROUND(Source!EV595,O620)</f>
        <v>0</v>
      </c>
      <c r="Q620" s="5"/>
      <c r="R620" s="5"/>
      <c r="S620" s="5"/>
      <c r="T620" s="5"/>
      <c r="U620" s="5"/>
      <c r="V620" s="5"/>
      <c r="W620" s="5">
        <v>0</v>
      </c>
      <c r="X620" s="5">
        <v>1</v>
      </c>
      <c r="Y620" s="5">
        <v>0</v>
      </c>
      <c r="Z620" s="5">
        <v>0</v>
      </c>
      <c r="AA620" s="5">
        <v>1</v>
      </c>
      <c r="AB620" s="5">
        <v>0</v>
      </c>
    </row>
    <row r="621" spans="1:28" x14ac:dyDescent="0.2">
      <c r="A621" s="5">
        <v>50</v>
      </c>
      <c r="B621" s="5">
        <v>0</v>
      </c>
      <c r="C621" s="5">
        <v>0</v>
      </c>
      <c r="D621" s="5">
        <v>1</v>
      </c>
      <c r="E621" s="5">
        <v>210</v>
      </c>
      <c r="F621" s="5">
        <f>ROUND(Source!X595,O621)</f>
        <v>39790.9</v>
      </c>
      <c r="G621" s="5" t="s">
        <v>166</v>
      </c>
      <c r="H621" s="5" t="s">
        <v>167</v>
      </c>
      <c r="I621" s="5"/>
      <c r="J621" s="5"/>
      <c r="K621" s="5">
        <v>210</v>
      </c>
      <c r="L621" s="5">
        <v>25</v>
      </c>
      <c r="M621" s="5">
        <v>3</v>
      </c>
      <c r="N621" s="5" t="s">
        <v>3</v>
      </c>
      <c r="O621" s="5">
        <v>2</v>
      </c>
      <c r="P621" s="5">
        <f>ROUND(Source!DP595,O621)</f>
        <v>2188101.2200000002</v>
      </c>
      <c r="Q621" s="5"/>
      <c r="R621" s="5"/>
      <c r="S621" s="5"/>
      <c r="T621" s="5"/>
      <c r="U621" s="5"/>
      <c r="V621" s="5"/>
      <c r="W621" s="5">
        <v>39790.9</v>
      </c>
      <c r="X621" s="5">
        <v>1</v>
      </c>
      <c r="Y621" s="5">
        <v>39790.9</v>
      </c>
      <c r="Z621" s="5">
        <v>2188101.2200000002</v>
      </c>
      <c r="AA621" s="5">
        <v>1</v>
      </c>
      <c r="AB621" s="5">
        <v>2188101.2200000002</v>
      </c>
    </row>
    <row r="622" spans="1:28" x14ac:dyDescent="0.2">
      <c r="A622" s="5">
        <v>50</v>
      </c>
      <c r="B622" s="5">
        <v>0</v>
      </c>
      <c r="C622" s="5">
        <v>0</v>
      </c>
      <c r="D622" s="5">
        <v>1</v>
      </c>
      <c r="E622" s="5">
        <v>211</v>
      </c>
      <c r="F622" s="5">
        <f>ROUND(Source!Y595,O622)</f>
        <v>20859.990000000002</v>
      </c>
      <c r="G622" s="5" t="s">
        <v>168</v>
      </c>
      <c r="H622" s="5" t="s">
        <v>169</v>
      </c>
      <c r="I622" s="5"/>
      <c r="J622" s="5"/>
      <c r="K622" s="5">
        <v>211</v>
      </c>
      <c r="L622" s="5">
        <v>26</v>
      </c>
      <c r="M622" s="5">
        <v>3</v>
      </c>
      <c r="N622" s="5" t="s">
        <v>3</v>
      </c>
      <c r="O622" s="5">
        <v>2</v>
      </c>
      <c r="P622" s="5">
        <f>ROUND(Source!DQ595,O622)</f>
        <v>1147090.7</v>
      </c>
      <c r="Q622" s="5"/>
      <c r="R622" s="5"/>
      <c r="S622" s="5"/>
      <c r="T622" s="5"/>
      <c r="U622" s="5"/>
      <c r="V622" s="5"/>
      <c r="W622" s="5">
        <v>20859.990000000002</v>
      </c>
      <c r="X622" s="5">
        <v>1</v>
      </c>
      <c r="Y622" s="5">
        <v>20859.990000000002</v>
      </c>
      <c r="Z622" s="5">
        <v>1147090.7</v>
      </c>
      <c r="AA622" s="5">
        <v>1</v>
      </c>
      <c r="AB622" s="5">
        <v>1147090.7</v>
      </c>
    </row>
    <row r="623" spans="1:28" x14ac:dyDescent="0.2">
      <c r="A623" s="5">
        <v>50</v>
      </c>
      <c r="B623" s="5">
        <v>0</v>
      </c>
      <c r="C623" s="5">
        <v>0</v>
      </c>
      <c r="D623" s="5">
        <v>1</v>
      </c>
      <c r="E623" s="5">
        <v>224</v>
      </c>
      <c r="F623" s="5">
        <f>ROUND(Source!AR595,O623)</f>
        <v>1958576.51</v>
      </c>
      <c r="G623" s="5" t="s">
        <v>170</v>
      </c>
      <c r="H623" s="5" t="s">
        <v>171</v>
      </c>
      <c r="I623" s="5"/>
      <c r="J623" s="5"/>
      <c r="K623" s="5">
        <v>224</v>
      </c>
      <c r="L623" s="5">
        <v>27</v>
      </c>
      <c r="M623" s="5">
        <v>3</v>
      </c>
      <c r="N623" s="5" t="s">
        <v>3</v>
      </c>
      <c r="O623" s="5">
        <v>2</v>
      </c>
      <c r="P623" s="5">
        <f>ROUND(Source!EJ595,O623)</f>
        <v>19507413.140000001</v>
      </c>
      <c r="Q623" s="5"/>
      <c r="R623" s="5"/>
      <c r="S623" s="5"/>
      <c r="T623" s="5"/>
      <c r="U623" s="5"/>
      <c r="V623" s="5"/>
      <c r="W623" s="5">
        <v>1958576.51</v>
      </c>
      <c r="X623" s="5">
        <v>1</v>
      </c>
      <c r="Y623" s="5">
        <v>1958576.51</v>
      </c>
      <c r="Z623" s="5">
        <v>19507413.140000001</v>
      </c>
      <c r="AA623" s="5">
        <v>1</v>
      </c>
      <c r="AB623" s="5">
        <v>19507413.140000001</v>
      </c>
    </row>
    <row r="625" spans="1:206" x14ac:dyDescent="0.2">
      <c r="A625" s="3">
        <v>51</v>
      </c>
      <c r="B625" s="3">
        <f>B12</f>
        <v>664</v>
      </c>
      <c r="C625" s="3">
        <f>A12</f>
        <v>1</v>
      </c>
      <c r="D625" s="3">
        <f>ROW(A12)</f>
        <v>12</v>
      </c>
      <c r="E625" s="3"/>
      <c r="F625" s="3" t="str">
        <f>IF(F12&lt;&gt;"",F12,"")</f>
        <v>Новый объект (ТСН-2001 (Мосгосэкспертиза))</v>
      </c>
      <c r="G625" s="3" t="str">
        <f>IF(G12&lt;&gt;"",G12,"")</f>
        <v>Капитальный ремонт здания ГБОУ города Москвы «Школа №236» по адресу: город Москва, улица Клязьминская, дом 7, корп. 4</v>
      </c>
      <c r="H625" s="3">
        <v>0</v>
      </c>
      <c r="I625" s="3"/>
      <c r="J625" s="3"/>
      <c r="K625" s="3"/>
      <c r="L625" s="3"/>
      <c r="M625" s="3"/>
      <c r="N625" s="3"/>
      <c r="O625" s="3">
        <f t="shared" ref="O625:T625" si="481">ROUND(O595,2)</f>
        <v>1897925.62</v>
      </c>
      <c r="P625" s="3">
        <f t="shared" si="481"/>
        <v>1849266.87</v>
      </c>
      <c r="Q625" s="3">
        <f t="shared" si="481"/>
        <v>7979.47</v>
      </c>
      <c r="R625" s="3">
        <f t="shared" si="481"/>
        <v>1138.1600000000001</v>
      </c>
      <c r="S625" s="3">
        <f t="shared" si="481"/>
        <v>40679.279999999999</v>
      </c>
      <c r="T625" s="3">
        <f t="shared" si="481"/>
        <v>0</v>
      </c>
      <c r="U625" s="3">
        <f>U595</f>
        <v>3300.0132297</v>
      </c>
      <c r="V625" s="3">
        <f>V595</f>
        <v>0</v>
      </c>
      <c r="W625" s="3">
        <f>ROUND(W595,2)</f>
        <v>0</v>
      </c>
      <c r="X625" s="3">
        <f>ROUND(X595,2)</f>
        <v>39790.9</v>
      </c>
      <c r="Y625" s="3">
        <f>ROUND(Y595,2)</f>
        <v>20859.990000000002</v>
      </c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>
        <f t="shared" ref="AO625:BD625" si="482">ROUND(AO595,2)</f>
        <v>0</v>
      </c>
      <c r="AP625" s="3">
        <f t="shared" si="482"/>
        <v>1659768.83</v>
      </c>
      <c r="AQ625" s="3">
        <f t="shared" si="482"/>
        <v>0</v>
      </c>
      <c r="AR625" s="3">
        <f t="shared" si="482"/>
        <v>1958576.51</v>
      </c>
      <c r="AS625" s="3">
        <f t="shared" si="482"/>
        <v>0</v>
      </c>
      <c r="AT625" s="3">
        <f t="shared" si="482"/>
        <v>298807.67999999999</v>
      </c>
      <c r="AU625" s="3">
        <f t="shared" si="482"/>
        <v>0</v>
      </c>
      <c r="AV625" s="3">
        <f t="shared" si="482"/>
        <v>1849266.87</v>
      </c>
      <c r="AW625" s="3">
        <f t="shared" si="482"/>
        <v>189498.04</v>
      </c>
      <c r="AX625" s="3">
        <f t="shared" si="482"/>
        <v>0</v>
      </c>
      <c r="AY625" s="3">
        <f t="shared" si="482"/>
        <v>189498.04</v>
      </c>
      <c r="AZ625" s="3">
        <f t="shared" si="482"/>
        <v>1659768.83</v>
      </c>
      <c r="BA625" s="3">
        <f t="shared" si="482"/>
        <v>0</v>
      </c>
      <c r="BB625" s="3">
        <f t="shared" si="482"/>
        <v>0</v>
      </c>
      <c r="BC625" s="3">
        <f t="shared" si="482"/>
        <v>0</v>
      </c>
      <c r="BD625" s="3">
        <f t="shared" si="482"/>
        <v>0</v>
      </c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4">
        <f t="shared" ref="DG625:DL625" si="483">ROUND(DG595,2)</f>
        <v>16172221.220000001</v>
      </c>
      <c r="DH625" s="4">
        <f t="shared" si="483"/>
        <v>13805080.75</v>
      </c>
      <c r="DI625" s="4">
        <f t="shared" si="483"/>
        <v>130186.87</v>
      </c>
      <c r="DJ625" s="4">
        <f t="shared" si="483"/>
        <v>62587.44</v>
      </c>
      <c r="DK625" s="4">
        <f t="shared" si="483"/>
        <v>2236953.6000000001</v>
      </c>
      <c r="DL625" s="4">
        <f t="shared" si="483"/>
        <v>0</v>
      </c>
      <c r="DM625" s="4">
        <f>DM595</f>
        <v>3300.0132297</v>
      </c>
      <c r="DN625" s="4">
        <f>DN595</f>
        <v>0</v>
      </c>
      <c r="DO625" s="4">
        <f>ROUND(DO595,2)</f>
        <v>0</v>
      </c>
      <c r="DP625" s="4">
        <f>ROUND(DP595,2)</f>
        <v>2188101.2200000002</v>
      </c>
      <c r="DQ625" s="4">
        <f>ROUND(DQ595,2)</f>
        <v>1147090.7</v>
      </c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>
        <f t="shared" ref="EG625:EV625" si="484">ROUND(EG595,2)</f>
        <v>0</v>
      </c>
      <c r="EH625" s="4">
        <f t="shared" si="484"/>
        <v>12610419.609999999</v>
      </c>
      <c r="EI625" s="4">
        <f t="shared" si="484"/>
        <v>0</v>
      </c>
      <c r="EJ625" s="4">
        <f t="shared" si="484"/>
        <v>19507413.140000001</v>
      </c>
      <c r="EK625" s="4">
        <f t="shared" si="484"/>
        <v>0</v>
      </c>
      <c r="EL625" s="4">
        <f t="shared" si="484"/>
        <v>6896993.5300000003</v>
      </c>
      <c r="EM625" s="4">
        <f t="shared" si="484"/>
        <v>0</v>
      </c>
      <c r="EN625" s="4">
        <f t="shared" si="484"/>
        <v>13805080.75</v>
      </c>
      <c r="EO625" s="4">
        <f t="shared" si="484"/>
        <v>1194661.1399999999</v>
      </c>
      <c r="EP625" s="4">
        <f t="shared" si="484"/>
        <v>0</v>
      </c>
      <c r="EQ625" s="4">
        <f t="shared" si="484"/>
        <v>1194661.1399999999</v>
      </c>
      <c r="ER625" s="4">
        <f t="shared" si="484"/>
        <v>12610419.609999999</v>
      </c>
      <c r="ES625" s="4">
        <f t="shared" si="484"/>
        <v>0</v>
      </c>
      <c r="ET625" s="4">
        <f t="shared" si="484"/>
        <v>0</v>
      </c>
      <c r="EU625" s="4">
        <f t="shared" si="484"/>
        <v>0</v>
      </c>
      <c r="EV625" s="4">
        <f t="shared" si="484"/>
        <v>0</v>
      </c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>
        <v>0</v>
      </c>
    </row>
    <row r="627" spans="1:206" x14ac:dyDescent="0.2">
      <c r="A627" s="5">
        <v>50</v>
      </c>
      <c r="B627" s="5">
        <v>0</v>
      </c>
      <c r="C627" s="5">
        <v>0</v>
      </c>
      <c r="D627" s="5">
        <v>1</v>
      </c>
      <c r="E627" s="5">
        <v>201</v>
      </c>
      <c r="F627" s="5">
        <f>ROUND(Source!O625,O627)</f>
        <v>1897925.62</v>
      </c>
      <c r="G627" s="5" t="s">
        <v>118</v>
      </c>
      <c r="H627" s="5" t="s">
        <v>119</v>
      </c>
      <c r="I627" s="5"/>
      <c r="J627" s="5"/>
      <c r="K627" s="5">
        <v>201</v>
      </c>
      <c r="L627" s="5">
        <v>1</v>
      </c>
      <c r="M627" s="5">
        <v>3</v>
      </c>
      <c r="N627" s="5" t="s">
        <v>3</v>
      </c>
      <c r="O627" s="5">
        <v>2</v>
      </c>
      <c r="P627" s="5">
        <f>ROUND(Source!DG625,O627)</f>
        <v>16172221.220000001</v>
      </c>
      <c r="Q627" s="5"/>
      <c r="R627" s="5"/>
      <c r="S627" s="5"/>
      <c r="T627" s="5"/>
      <c r="U627" s="5"/>
      <c r="V627" s="5"/>
      <c r="W627" s="5">
        <v>1897925.62</v>
      </c>
      <c r="X627" s="5">
        <v>1</v>
      </c>
      <c r="Y627" s="5">
        <v>1897925.62</v>
      </c>
      <c r="Z627" s="5">
        <v>16172221.220000001</v>
      </c>
      <c r="AA627" s="5">
        <v>1</v>
      </c>
      <c r="AB627" s="5">
        <v>16172221.220000001</v>
      </c>
    </row>
    <row r="628" spans="1:206" x14ac:dyDescent="0.2">
      <c r="A628" s="5">
        <v>50</v>
      </c>
      <c r="B628" s="5">
        <v>0</v>
      </c>
      <c r="C628" s="5">
        <v>0</v>
      </c>
      <c r="D628" s="5">
        <v>1</v>
      </c>
      <c r="E628" s="5">
        <v>202</v>
      </c>
      <c r="F628" s="5">
        <f>ROUND(Source!P625,O628)</f>
        <v>1849266.87</v>
      </c>
      <c r="G628" s="5" t="s">
        <v>120</v>
      </c>
      <c r="H628" s="5" t="s">
        <v>121</v>
      </c>
      <c r="I628" s="5"/>
      <c r="J628" s="5"/>
      <c r="K628" s="5">
        <v>202</v>
      </c>
      <c r="L628" s="5">
        <v>2</v>
      </c>
      <c r="M628" s="5">
        <v>3</v>
      </c>
      <c r="N628" s="5" t="s">
        <v>3</v>
      </c>
      <c r="O628" s="5">
        <v>2</v>
      </c>
      <c r="P628" s="5">
        <f>ROUND(Source!DH625,O628)</f>
        <v>13805080.75</v>
      </c>
      <c r="Q628" s="5"/>
      <c r="R628" s="5"/>
      <c r="S628" s="5"/>
      <c r="T628" s="5"/>
      <c r="U628" s="5"/>
      <c r="V628" s="5"/>
      <c r="W628" s="5">
        <v>1849266.87</v>
      </c>
      <c r="X628" s="5">
        <v>1</v>
      </c>
      <c r="Y628" s="5">
        <v>1849266.87</v>
      </c>
      <c r="Z628" s="5">
        <v>13805080.75</v>
      </c>
      <c r="AA628" s="5">
        <v>1</v>
      </c>
      <c r="AB628" s="5">
        <v>13805080.75</v>
      </c>
    </row>
    <row r="629" spans="1:206" x14ac:dyDescent="0.2">
      <c r="A629" s="5">
        <v>50</v>
      </c>
      <c r="B629" s="5">
        <v>0</v>
      </c>
      <c r="C629" s="5">
        <v>0</v>
      </c>
      <c r="D629" s="5">
        <v>1</v>
      </c>
      <c r="E629" s="5">
        <v>222</v>
      </c>
      <c r="F629" s="5">
        <f>ROUND(Source!AO625,O629)</f>
        <v>0</v>
      </c>
      <c r="G629" s="5" t="s">
        <v>122</v>
      </c>
      <c r="H629" s="5" t="s">
        <v>123</v>
      </c>
      <c r="I629" s="5"/>
      <c r="J629" s="5"/>
      <c r="K629" s="5">
        <v>222</v>
      </c>
      <c r="L629" s="5">
        <v>3</v>
      </c>
      <c r="M629" s="5">
        <v>3</v>
      </c>
      <c r="N629" s="5" t="s">
        <v>3</v>
      </c>
      <c r="O629" s="5">
        <v>2</v>
      </c>
      <c r="P629" s="5">
        <f>ROUND(Source!EG625,O629)</f>
        <v>0</v>
      </c>
      <c r="Q629" s="5"/>
      <c r="R629" s="5"/>
      <c r="S629" s="5"/>
      <c r="T629" s="5"/>
      <c r="U629" s="5"/>
      <c r="V629" s="5"/>
      <c r="W629" s="5">
        <v>0</v>
      </c>
      <c r="X629" s="5">
        <v>1</v>
      </c>
      <c r="Y629" s="5">
        <v>0</v>
      </c>
      <c r="Z629" s="5">
        <v>0</v>
      </c>
      <c r="AA629" s="5">
        <v>1</v>
      </c>
      <c r="AB629" s="5">
        <v>0</v>
      </c>
    </row>
    <row r="630" spans="1:206" x14ac:dyDescent="0.2">
      <c r="A630" s="5">
        <v>50</v>
      </c>
      <c r="B630" s="5">
        <v>0</v>
      </c>
      <c r="C630" s="5">
        <v>0</v>
      </c>
      <c r="D630" s="5">
        <v>1</v>
      </c>
      <c r="E630" s="5">
        <v>225</v>
      </c>
      <c r="F630" s="5">
        <f>ROUND(Source!AV625,O630)</f>
        <v>1849266.87</v>
      </c>
      <c r="G630" s="5" t="s">
        <v>124</v>
      </c>
      <c r="H630" s="5" t="s">
        <v>125</v>
      </c>
      <c r="I630" s="5"/>
      <c r="J630" s="5"/>
      <c r="K630" s="5">
        <v>225</v>
      </c>
      <c r="L630" s="5">
        <v>4</v>
      </c>
      <c r="M630" s="5">
        <v>3</v>
      </c>
      <c r="N630" s="5" t="s">
        <v>3</v>
      </c>
      <c r="O630" s="5">
        <v>2</v>
      </c>
      <c r="P630" s="5">
        <f>ROUND(Source!EN625,O630)</f>
        <v>13805080.75</v>
      </c>
      <c r="Q630" s="5"/>
      <c r="R630" s="5"/>
      <c r="S630" s="5"/>
      <c r="T630" s="5"/>
      <c r="U630" s="5"/>
      <c r="V630" s="5"/>
      <c r="W630" s="5">
        <v>1849266.87</v>
      </c>
      <c r="X630" s="5">
        <v>1</v>
      </c>
      <c r="Y630" s="5">
        <v>1849266.87</v>
      </c>
      <c r="Z630" s="5">
        <v>13805080.75</v>
      </c>
      <c r="AA630" s="5">
        <v>1</v>
      </c>
      <c r="AB630" s="5">
        <v>13805080.75</v>
      </c>
    </row>
    <row r="631" spans="1:206" x14ac:dyDescent="0.2">
      <c r="A631" s="5">
        <v>50</v>
      </c>
      <c r="B631" s="5">
        <v>0</v>
      </c>
      <c r="C631" s="5">
        <v>0</v>
      </c>
      <c r="D631" s="5">
        <v>1</v>
      </c>
      <c r="E631" s="5">
        <v>226</v>
      </c>
      <c r="F631" s="5">
        <f>ROUND(Source!AW625,O631)</f>
        <v>189498.04</v>
      </c>
      <c r="G631" s="5" t="s">
        <v>126</v>
      </c>
      <c r="H631" s="5" t="s">
        <v>127</v>
      </c>
      <c r="I631" s="5"/>
      <c r="J631" s="5"/>
      <c r="K631" s="5">
        <v>226</v>
      </c>
      <c r="L631" s="5">
        <v>5</v>
      </c>
      <c r="M631" s="5">
        <v>3</v>
      </c>
      <c r="N631" s="5" t="s">
        <v>3</v>
      </c>
      <c r="O631" s="5">
        <v>2</v>
      </c>
      <c r="P631" s="5">
        <f>ROUND(Source!EO625,O631)</f>
        <v>1194661.1399999999</v>
      </c>
      <c r="Q631" s="5"/>
      <c r="R631" s="5"/>
      <c r="S631" s="5"/>
      <c r="T631" s="5"/>
      <c r="U631" s="5"/>
      <c r="V631" s="5"/>
      <c r="W631" s="5">
        <v>189498.04</v>
      </c>
      <c r="X631" s="5">
        <v>1</v>
      </c>
      <c r="Y631" s="5">
        <v>189498.04</v>
      </c>
      <c r="Z631" s="5">
        <v>1194661.1399999999</v>
      </c>
      <c r="AA631" s="5">
        <v>1</v>
      </c>
      <c r="AB631" s="5">
        <v>1194661.1399999999</v>
      </c>
    </row>
    <row r="632" spans="1:206" x14ac:dyDescent="0.2">
      <c r="A632" s="5">
        <v>50</v>
      </c>
      <c r="B632" s="5">
        <v>0</v>
      </c>
      <c r="C632" s="5">
        <v>0</v>
      </c>
      <c r="D632" s="5">
        <v>1</v>
      </c>
      <c r="E632" s="5">
        <v>227</v>
      </c>
      <c r="F632" s="5">
        <f>ROUND(Source!AX625,O632)</f>
        <v>0</v>
      </c>
      <c r="G632" s="5" t="s">
        <v>128</v>
      </c>
      <c r="H632" s="5" t="s">
        <v>129</v>
      </c>
      <c r="I632" s="5"/>
      <c r="J632" s="5"/>
      <c r="K632" s="5">
        <v>227</v>
      </c>
      <c r="L632" s="5">
        <v>6</v>
      </c>
      <c r="M632" s="5">
        <v>3</v>
      </c>
      <c r="N632" s="5" t="s">
        <v>3</v>
      </c>
      <c r="O632" s="5">
        <v>2</v>
      </c>
      <c r="P632" s="5">
        <f>ROUND(Source!EP625,O632)</f>
        <v>0</v>
      </c>
      <c r="Q632" s="5"/>
      <c r="R632" s="5"/>
      <c r="S632" s="5"/>
      <c r="T632" s="5"/>
      <c r="U632" s="5"/>
      <c r="V632" s="5"/>
      <c r="W632" s="5">
        <v>0</v>
      </c>
      <c r="X632" s="5">
        <v>1</v>
      </c>
      <c r="Y632" s="5">
        <v>0</v>
      </c>
      <c r="Z632" s="5">
        <v>0</v>
      </c>
      <c r="AA632" s="5">
        <v>1</v>
      </c>
      <c r="AB632" s="5">
        <v>0</v>
      </c>
    </row>
    <row r="633" spans="1:206" x14ac:dyDescent="0.2">
      <c r="A633" s="5">
        <v>50</v>
      </c>
      <c r="B633" s="5">
        <v>0</v>
      </c>
      <c r="C633" s="5">
        <v>0</v>
      </c>
      <c r="D633" s="5">
        <v>1</v>
      </c>
      <c r="E633" s="5">
        <v>228</v>
      </c>
      <c r="F633" s="5">
        <f>ROUND(Source!AY625,O633)</f>
        <v>189498.04</v>
      </c>
      <c r="G633" s="5" t="s">
        <v>130</v>
      </c>
      <c r="H633" s="5" t="s">
        <v>131</v>
      </c>
      <c r="I633" s="5"/>
      <c r="J633" s="5"/>
      <c r="K633" s="5">
        <v>228</v>
      </c>
      <c r="L633" s="5">
        <v>7</v>
      </c>
      <c r="M633" s="5">
        <v>3</v>
      </c>
      <c r="N633" s="5" t="s">
        <v>3</v>
      </c>
      <c r="O633" s="5">
        <v>2</v>
      </c>
      <c r="P633" s="5">
        <f>ROUND(Source!EQ625,O633)</f>
        <v>1194661.1399999999</v>
      </c>
      <c r="Q633" s="5"/>
      <c r="R633" s="5"/>
      <c r="S633" s="5"/>
      <c r="T633" s="5"/>
      <c r="U633" s="5"/>
      <c r="V633" s="5"/>
      <c r="W633" s="5">
        <v>189498.04</v>
      </c>
      <c r="X633" s="5">
        <v>1</v>
      </c>
      <c r="Y633" s="5">
        <v>189498.04</v>
      </c>
      <c r="Z633" s="5">
        <v>1194661.1399999999</v>
      </c>
      <c r="AA633" s="5">
        <v>1</v>
      </c>
      <c r="AB633" s="5">
        <v>1194661.1399999999</v>
      </c>
    </row>
    <row r="634" spans="1:206" x14ac:dyDescent="0.2">
      <c r="A634" s="5">
        <v>50</v>
      </c>
      <c r="B634" s="5">
        <v>0</v>
      </c>
      <c r="C634" s="5">
        <v>0</v>
      </c>
      <c r="D634" s="5">
        <v>1</v>
      </c>
      <c r="E634" s="5">
        <v>216</v>
      </c>
      <c r="F634" s="5">
        <f>ROUND(Source!AP625,O634)</f>
        <v>1659768.83</v>
      </c>
      <c r="G634" s="5" t="s">
        <v>132</v>
      </c>
      <c r="H634" s="5" t="s">
        <v>133</v>
      </c>
      <c r="I634" s="5"/>
      <c r="J634" s="5"/>
      <c r="K634" s="5">
        <v>216</v>
      </c>
      <c r="L634" s="5">
        <v>8</v>
      </c>
      <c r="M634" s="5">
        <v>3</v>
      </c>
      <c r="N634" s="5" t="s">
        <v>3</v>
      </c>
      <c r="O634" s="5">
        <v>2</v>
      </c>
      <c r="P634" s="5">
        <f>ROUND(Source!EH625,O634)</f>
        <v>12610419.609999999</v>
      </c>
      <c r="Q634" s="5"/>
      <c r="R634" s="5"/>
      <c r="S634" s="5"/>
      <c r="T634" s="5"/>
      <c r="U634" s="5"/>
      <c r="V634" s="5"/>
      <c r="W634" s="5">
        <v>1659768.83</v>
      </c>
      <c r="X634" s="5">
        <v>1</v>
      </c>
      <c r="Y634" s="5">
        <v>1659768.83</v>
      </c>
      <c r="Z634" s="5">
        <v>12610419.609999999</v>
      </c>
      <c r="AA634" s="5">
        <v>1</v>
      </c>
      <c r="AB634" s="5">
        <v>12610419.609999999</v>
      </c>
    </row>
    <row r="635" spans="1:206" x14ac:dyDescent="0.2">
      <c r="A635" s="5">
        <v>50</v>
      </c>
      <c r="B635" s="5">
        <v>0</v>
      </c>
      <c r="C635" s="5">
        <v>0</v>
      </c>
      <c r="D635" s="5">
        <v>1</v>
      </c>
      <c r="E635" s="5">
        <v>223</v>
      </c>
      <c r="F635" s="5">
        <f>ROUND(Source!AQ625,O635)</f>
        <v>0</v>
      </c>
      <c r="G635" s="5" t="s">
        <v>134</v>
      </c>
      <c r="H635" s="5" t="s">
        <v>135</v>
      </c>
      <c r="I635" s="5"/>
      <c r="J635" s="5"/>
      <c r="K635" s="5">
        <v>223</v>
      </c>
      <c r="L635" s="5">
        <v>9</v>
      </c>
      <c r="M635" s="5">
        <v>3</v>
      </c>
      <c r="N635" s="5" t="s">
        <v>3</v>
      </c>
      <c r="O635" s="5">
        <v>2</v>
      </c>
      <c r="P635" s="5">
        <f>ROUND(Source!EI625,O635)</f>
        <v>0</v>
      </c>
      <c r="Q635" s="5"/>
      <c r="R635" s="5"/>
      <c r="S635" s="5"/>
      <c r="T635" s="5"/>
      <c r="U635" s="5"/>
      <c r="V635" s="5"/>
      <c r="W635" s="5">
        <v>0</v>
      </c>
      <c r="X635" s="5">
        <v>1</v>
      </c>
      <c r="Y635" s="5">
        <v>0</v>
      </c>
      <c r="Z635" s="5">
        <v>0</v>
      </c>
      <c r="AA635" s="5">
        <v>1</v>
      </c>
      <c r="AB635" s="5">
        <v>0</v>
      </c>
    </row>
    <row r="636" spans="1:206" x14ac:dyDescent="0.2">
      <c r="A636" s="5">
        <v>50</v>
      </c>
      <c r="B636" s="5">
        <v>0</v>
      </c>
      <c r="C636" s="5">
        <v>0</v>
      </c>
      <c r="D636" s="5">
        <v>1</v>
      </c>
      <c r="E636" s="5">
        <v>229</v>
      </c>
      <c r="F636" s="5">
        <f>ROUND(Source!AZ625,O636)</f>
        <v>1659768.83</v>
      </c>
      <c r="G636" s="5" t="s">
        <v>136</v>
      </c>
      <c r="H636" s="5" t="s">
        <v>137</v>
      </c>
      <c r="I636" s="5"/>
      <c r="J636" s="5"/>
      <c r="K636" s="5">
        <v>229</v>
      </c>
      <c r="L636" s="5">
        <v>10</v>
      </c>
      <c r="M636" s="5">
        <v>3</v>
      </c>
      <c r="N636" s="5" t="s">
        <v>3</v>
      </c>
      <c r="O636" s="5">
        <v>2</v>
      </c>
      <c r="P636" s="5">
        <f>ROUND(Source!ER625,O636)</f>
        <v>12610419.609999999</v>
      </c>
      <c r="Q636" s="5"/>
      <c r="R636" s="5"/>
      <c r="S636" s="5"/>
      <c r="T636" s="5"/>
      <c r="U636" s="5"/>
      <c r="V636" s="5"/>
      <c r="W636" s="5">
        <v>1659768.83</v>
      </c>
      <c r="X636" s="5">
        <v>1</v>
      </c>
      <c r="Y636" s="5">
        <v>1659768.83</v>
      </c>
      <c r="Z636" s="5">
        <v>12610419.609999999</v>
      </c>
      <c r="AA636" s="5">
        <v>1</v>
      </c>
      <c r="AB636" s="5">
        <v>12610419.609999999</v>
      </c>
    </row>
    <row r="637" spans="1:206" x14ac:dyDescent="0.2">
      <c r="A637" s="5">
        <v>50</v>
      </c>
      <c r="B637" s="5">
        <v>0</v>
      </c>
      <c r="C637" s="5">
        <v>0</v>
      </c>
      <c r="D637" s="5">
        <v>1</v>
      </c>
      <c r="E637" s="5">
        <v>203</v>
      </c>
      <c r="F637" s="5">
        <f>ROUND(Source!Q625,O637)</f>
        <v>7979.47</v>
      </c>
      <c r="G637" s="5" t="s">
        <v>138</v>
      </c>
      <c r="H637" s="5" t="s">
        <v>139</v>
      </c>
      <c r="I637" s="5"/>
      <c r="J637" s="5"/>
      <c r="K637" s="5">
        <v>203</v>
      </c>
      <c r="L637" s="5">
        <v>11</v>
      </c>
      <c r="M637" s="5">
        <v>3</v>
      </c>
      <c r="N637" s="5" t="s">
        <v>3</v>
      </c>
      <c r="O637" s="5">
        <v>2</v>
      </c>
      <c r="P637" s="5">
        <f>ROUND(Source!DI625,O637)</f>
        <v>130186.87</v>
      </c>
      <c r="Q637" s="5"/>
      <c r="R637" s="5"/>
      <c r="S637" s="5"/>
      <c r="T637" s="5"/>
      <c r="U637" s="5"/>
      <c r="V637" s="5"/>
      <c r="W637" s="5">
        <v>7979.47</v>
      </c>
      <c r="X637" s="5">
        <v>1</v>
      </c>
      <c r="Y637" s="5">
        <v>7979.47</v>
      </c>
      <c r="Z637" s="5">
        <v>130186.87</v>
      </c>
      <c r="AA637" s="5">
        <v>1</v>
      </c>
      <c r="AB637" s="5">
        <v>130186.87</v>
      </c>
    </row>
    <row r="638" spans="1:206" x14ac:dyDescent="0.2">
      <c r="A638" s="5">
        <v>50</v>
      </c>
      <c r="B638" s="5">
        <v>0</v>
      </c>
      <c r="C638" s="5">
        <v>0</v>
      </c>
      <c r="D638" s="5">
        <v>1</v>
      </c>
      <c r="E638" s="5">
        <v>231</v>
      </c>
      <c r="F638" s="5">
        <f>ROUND(Source!BB625,O638)</f>
        <v>0</v>
      </c>
      <c r="G638" s="5" t="s">
        <v>140</v>
      </c>
      <c r="H638" s="5" t="s">
        <v>141</v>
      </c>
      <c r="I638" s="5"/>
      <c r="J638" s="5"/>
      <c r="K638" s="5">
        <v>231</v>
      </c>
      <c r="L638" s="5">
        <v>12</v>
      </c>
      <c r="M638" s="5">
        <v>3</v>
      </c>
      <c r="N638" s="5" t="s">
        <v>3</v>
      </c>
      <c r="O638" s="5">
        <v>2</v>
      </c>
      <c r="P638" s="5">
        <f>ROUND(Source!ET625,O638)</f>
        <v>0</v>
      </c>
      <c r="Q638" s="5"/>
      <c r="R638" s="5"/>
      <c r="S638" s="5"/>
      <c r="T638" s="5"/>
      <c r="U638" s="5"/>
      <c r="V638" s="5"/>
      <c r="W638" s="5">
        <v>0</v>
      </c>
      <c r="X638" s="5">
        <v>1</v>
      </c>
      <c r="Y638" s="5">
        <v>0</v>
      </c>
      <c r="Z638" s="5">
        <v>0</v>
      </c>
      <c r="AA638" s="5">
        <v>1</v>
      </c>
      <c r="AB638" s="5">
        <v>0</v>
      </c>
    </row>
    <row r="639" spans="1:206" x14ac:dyDescent="0.2">
      <c r="A639" s="5">
        <v>50</v>
      </c>
      <c r="B639" s="5">
        <v>0</v>
      </c>
      <c r="C639" s="5">
        <v>0</v>
      </c>
      <c r="D639" s="5">
        <v>1</v>
      </c>
      <c r="E639" s="5">
        <v>204</v>
      </c>
      <c r="F639" s="5">
        <f>ROUND(Source!R625,O639)</f>
        <v>1138.1600000000001</v>
      </c>
      <c r="G639" s="5" t="s">
        <v>142</v>
      </c>
      <c r="H639" s="5" t="s">
        <v>143</v>
      </c>
      <c r="I639" s="5"/>
      <c r="J639" s="5"/>
      <c r="K639" s="5">
        <v>204</v>
      </c>
      <c r="L639" s="5">
        <v>13</v>
      </c>
      <c r="M639" s="5">
        <v>3</v>
      </c>
      <c r="N639" s="5" t="s">
        <v>3</v>
      </c>
      <c r="O639" s="5">
        <v>2</v>
      </c>
      <c r="P639" s="5">
        <f>ROUND(Source!DJ625,O639)</f>
        <v>62587.44</v>
      </c>
      <c r="Q639" s="5"/>
      <c r="R639" s="5"/>
      <c r="S639" s="5"/>
      <c r="T639" s="5"/>
      <c r="U639" s="5"/>
      <c r="V639" s="5"/>
      <c r="W639" s="5">
        <v>1138.1600000000001</v>
      </c>
      <c r="X639" s="5">
        <v>1</v>
      </c>
      <c r="Y639" s="5">
        <v>1138.1600000000001</v>
      </c>
      <c r="Z639" s="5">
        <v>62587.44</v>
      </c>
      <c r="AA639" s="5">
        <v>1</v>
      </c>
      <c r="AB639" s="5">
        <v>62587.44</v>
      </c>
    </row>
    <row r="640" spans="1:206" x14ac:dyDescent="0.2">
      <c r="A640" s="5">
        <v>50</v>
      </c>
      <c r="B640" s="5">
        <v>0</v>
      </c>
      <c r="C640" s="5">
        <v>0</v>
      </c>
      <c r="D640" s="5">
        <v>1</v>
      </c>
      <c r="E640" s="5">
        <v>205</v>
      </c>
      <c r="F640" s="5">
        <f>ROUND(Source!S625,O640)</f>
        <v>40679.279999999999</v>
      </c>
      <c r="G640" s="5" t="s">
        <v>144</v>
      </c>
      <c r="H640" s="5" t="s">
        <v>145</v>
      </c>
      <c r="I640" s="5"/>
      <c r="J640" s="5"/>
      <c r="K640" s="5">
        <v>205</v>
      </c>
      <c r="L640" s="5">
        <v>14</v>
      </c>
      <c r="M640" s="5">
        <v>3</v>
      </c>
      <c r="N640" s="5" t="s">
        <v>3</v>
      </c>
      <c r="O640" s="5">
        <v>2</v>
      </c>
      <c r="P640" s="5">
        <f>ROUND(Source!DK625,O640)</f>
        <v>2236953.6000000001</v>
      </c>
      <c r="Q640" s="5"/>
      <c r="R640" s="5"/>
      <c r="S640" s="5"/>
      <c r="T640" s="5"/>
      <c r="U640" s="5"/>
      <c r="V640" s="5"/>
      <c r="W640" s="5">
        <v>40679.279999999999</v>
      </c>
      <c r="X640" s="5">
        <v>1</v>
      </c>
      <c r="Y640" s="5">
        <v>40679.279999999999</v>
      </c>
      <c r="Z640" s="5">
        <v>2236953.6000000001</v>
      </c>
      <c r="AA640" s="5">
        <v>1</v>
      </c>
      <c r="AB640" s="5">
        <v>2236953.6000000001</v>
      </c>
    </row>
    <row r="641" spans="1:28" x14ac:dyDescent="0.2">
      <c r="A641" s="5">
        <v>50</v>
      </c>
      <c r="B641" s="5">
        <v>0</v>
      </c>
      <c r="C641" s="5">
        <v>0</v>
      </c>
      <c r="D641" s="5">
        <v>1</v>
      </c>
      <c r="E641" s="5">
        <v>232</v>
      </c>
      <c r="F641" s="5">
        <f>ROUND(Source!BC625,O641)</f>
        <v>0</v>
      </c>
      <c r="G641" s="5" t="s">
        <v>146</v>
      </c>
      <c r="H641" s="5" t="s">
        <v>147</v>
      </c>
      <c r="I641" s="5"/>
      <c r="J641" s="5"/>
      <c r="K641" s="5">
        <v>232</v>
      </c>
      <c r="L641" s="5">
        <v>15</v>
      </c>
      <c r="M641" s="5">
        <v>3</v>
      </c>
      <c r="N641" s="5" t="s">
        <v>3</v>
      </c>
      <c r="O641" s="5">
        <v>2</v>
      </c>
      <c r="P641" s="5">
        <f>ROUND(Source!EU625,O641)</f>
        <v>0</v>
      </c>
      <c r="Q641" s="5"/>
      <c r="R641" s="5"/>
      <c r="S641" s="5"/>
      <c r="T641" s="5"/>
      <c r="U641" s="5"/>
      <c r="V641" s="5"/>
      <c r="W641" s="5">
        <v>0</v>
      </c>
      <c r="X641" s="5">
        <v>1</v>
      </c>
      <c r="Y641" s="5">
        <v>0</v>
      </c>
      <c r="Z641" s="5">
        <v>0</v>
      </c>
      <c r="AA641" s="5">
        <v>1</v>
      </c>
      <c r="AB641" s="5">
        <v>0</v>
      </c>
    </row>
    <row r="642" spans="1:28" x14ac:dyDescent="0.2">
      <c r="A642" s="5">
        <v>50</v>
      </c>
      <c r="B642" s="5">
        <v>0</v>
      </c>
      <c r="C642" s="5">
        <v>0</v>
      </c>
      <c r="D642" s="5">
        <v>1</v>
      </c>
      <c r="E642" s="5">
        <v>214</v>
      </c>
      <c r="F642" s="5">
        <f>ROUND(Source!AS625,O642)</f>
        <v>0</v>
      </c>
      <c r="G642" s="5" t="s">
        <v>148</v>
      </c>
      <c r="H642" s="5" t="s">
        <v>149</v>
      </c>
      <c r="I642" s="5"/>
      <c r="J642" s="5"/>
      <c r="K642" s="5">
        <v>214</v>
      </c>
      <c r="L642" s="5">
        <v>16</v>
      </c>
      <c r="M642" s="5">
        <v>3</v>
      </c>
      <c r="N642" s="5" t="s">
        <v>3</v>
      </c>
      <c r="O642" s="5">
        <v>2</v>
      </c>
      <c r="P642" s="5">
        <f>ROUND(Source!EK625,O642)</f>
        <v>0</v>
      </c>
      <c r="Q642" s="5"/>
      <c r="R642" s="5"/>
      <c r="S642" s="5"/>
      <c r="T642" s="5"/>
      <c r="U642" s="5"/>
      <c r="V642" s="5"/>
      <c r="W642" s="5">
        <v>0</v>
      </c>
      <c r="X642" s="5">
        <v>1</v>
      </c>
      <c r="Y642" s="5">
        <v>0</v>
      </c>
      <c r="Z642" s="5">
        <v>0</v>
      </c>
      <c r="AA642" s="5">
        <v>1</v>
      </c>
      <c r="AB642" s="5">
        <v>0</v>
      </c>
    </row>
    <row r="643" spans="1:28" x14ac:dyDescent="0.2">
      <c r="A643" s="5">
        <v>50</v>
      </c>
      <c r="B643" s="5">
        <v>0</v>
      </c>
      <c r="C643" s="5">
        <v>0</v>
      </c>
      <c r="D643" s="5">
        <v>1</v>
      </c>
      <c r="E643" s="5">
        <v>215</v>
      </c>
      <c r="F643" s="5">
        <f>ROUND(Source!AT625,O643)</f>
        <v>298807.67999999999</v>
      </c>
      <c r="G643" s="5" t="s">
        <v>150</v>
      </c>
      <c r="H643" s="5" t="s">
        <v>151</v>
      </c>
      <c r="I643" s="5"/>
      <c r="J643" s="5"/>
      <c r="K643" s="5">
        <v>215</v>
      </c>
      <c r="L643" s="5">
        <v>17</v>
      </c>
      <c r="M643" s="5">
        <v>3</v>
      </c>
      <c r="N643" s="5" t="s">
        <v>3</v>
      </c>
      <c r="O643" s="5">
        <v>2</v>
      </c>
      <c r="P643" s="5">
        <f>ROUND(Source!EL625,O643)</f>
        <v>6896993.5300000003</v>
      </c>
      <c r="Q643" s="5"/>
      <c r="R643" s="5"/>
      <c r="S643" s="5"/>
      <c r="T643" s="5"/>
      <c r="U643" s="5"/>
      <c r="V643" s="5"/>
      <c r="W643" s="5">
        <v>298807.67999999999</v>
      </c>
      <c r="X643" s="5">
        <v>1</v>
      </c>
      <c r="Y643" s="5">
        <v>298807.67999999999</v>
      </c>
      <c r="Z643" s="5">
        <v>6896993.5300000003</v>
      </c>
      <c r="AA643" s="5">
        <v>1</v>
      </c>
      <c r="AB643" s="5">
        <v>6896993.5300000003</v>
      </c>
    </row>
    <row r="644" spans="1:28" x14ac:dyDescent="0.2">
      <c r="A644" s="5">
        <v>50</v>
      </c>
      <c r="B644" s="5">
        <v>0</v>
      </c>
      <c r="C644" s="5">
        <v>0</v>
      </c>
      <c r="D644" s="5">
        <v>1</v>
      </c>
      <c r="E644" s="5">
        <v>217</v>
      </c>
      <c r="F644" s="5">
        <f>ROUND(Source!AU625,O644)</f>
        <v>0</v>
      </c>
      <c r="G644" s="5" t="s">
        <v>152</v>
      </c>
      <c r="H644" s="5" t="s">
        <v>153</v>
      </c>
      <c r="I644" s="5"/>
      <c r="J644" s="5"/>
      <c r="K644" s="5">
        <v>217</v>
      </c>
      <c r="L644" s="5">
        <v>18</v>
      </c>
      <c r="M644" s="5">
        <v>3</v>
      </c>
      <c r="N644" s="5" t="s">
        <v>3</v>
      </c>
      <c r="O644" s="5">
        <v>2</v>
      </c>
      <c r="P644" s="5">
        <f>ROUND(Source!EM625,O644)</f>
        <v>0</v>
      </c>
      <c r="Q644" s="5"/>
      <c r="R644" s="5"/>
      <c r="S644" s="5"/>
      <c r="T644" s="5"/>
      <c r="U644" s="5"/>
      <c r="V644" s="5"/>
      <c r="W644" s="5">
        <v>0</v>
      </c>
      <c r="X644" s="5">
        <v>1</v>
      </c>
      <c r="Y644" s="5">
        <v>0</v>
      </c>
      <c r="Z644" s="5">
        <v>0</v>
      </c>
      <c r="AA644" s="5">
        <v>1</v>
      </c>
      <c r="AB644" s="5">
        <v>0</v>
      </c>
    </row>
    <row r="645" spans="1:28" x14ac:dyDescent="0.2">
      <c r="A645" s="5">
        <v>50</v>
      </c>
      <c r="B645" s="5">
        <v>0</v>
      </c>
      <c r="C645" s="5">
        <v>0</v>
      </c>
      <c r="D645" s="5">
        <v>1</v>
      </c>
      <c r="E645" s="5">
        <v>230</v>
      </c>
      <c r="F645" s="5">
        <f>ROUND(Source!BA625,O645)</f>
        <v>0</v>
      </c>
      <c r="G645" s="5" t="s">
        <v>154</v>
      </c>
      <c r="H645" s="5" t="s">
        <v>155</v>
      </c>
      <c r="I645" s="5"/>
      <c r="J645" s="5"/>
      <c r="K645" s="5">
        <v>230</v>
      </c>
      <c r="L645" s="5">
        <v>19</v>
      </c>
      <c r="M645" s="5">
        <v>3</v>
      </c>
      <c r="N645" s="5" t="s">
        <v>3</v>
      </c>
      <c r="O645" s="5">
        <v>2</v>
      </c>
      <c r="P645" s="5">
        <f>ROUND(Source!ES625,O645)</f>
        <v>0</v>
      </c>
      <c r="Q645" s="5"/>
      <c r="R645" s="5"/>
      <c r="S645" s="5"/>
      <c r="T645" s="5"/>
      <c r="U645" s="5"/>
      <c r="V645" s="5"/>
      <c r="W645" s="5">
        <v>0</v>
      </c>
      <c r="X645" s="5">
        <v>1</v>
      </c>
      <c r="Y645" s="5">
        <v>0</v>
      </c>
      <c r="Z645" s="5">
        <v>0</v>
      </c>
      <c r="AA645" s="5">
        <v>1</v>
      </c>
      <c r="AB645" s="5">
        <v>0</v>
      </c>
    </row>
    <row r="646" spans="1:28" x14ac:dyDescent="0.2">
      <c r="A646" s="5">
        <v>50</v>
      </c>
      <c r="B646" s="5">
        <v>0</v>
      </c>
      <c r="C646" s="5">
        <v>0</v>
      </c>
      <c r="D646" s="5">
        <v>1</v>
      </c>
      <c r="E646" s="5">
        <v>206</v>
      </c>
      <c r="F646" s="5">
        <f>ROUND(Source!T625,O646)</f>
        <v>0</v>
      </c>
      <c r="G646" s="5" t="s">
        <v>156</v>
      </c>
      <c r="H646" s="5" t="s">
        <v>157</v>
      </c>
      <c r="I646" s="5"/>
      <c r="J646" s="5"/>
      <c r="K646" s="5">
        <v>206</v>
      </c>
      <c r="L646" s="5">
        <v>20</v>
      </c>
      <c r="M646" s="5">
        <v>3</v>
      </c>
      <c r="N646" s="5" t="s">
        <v>3</v>
      </c>
      <c r="O646" s="5">
        <v>2</v>
      </c>
      <c r="P646" s="5">
        <f>ROUND(Source!DL625,O646)</f>
        <v>0</v>
      </c>
      <c r="Q646" s="5"/>
      <c r="R646" s="5"/>
      <c r="S646" s="5"/>
      <c r="T646" s="5"/>
      <c r="U646" s="5"/>
      <c r="V646" s="5"/>
      <c r="W646" s="5">
        <v>0</v>
      </c>
      <c r="X646" s="5">
        <v>1</v>
      </c>
      <c r="Y646" s="5">
        <v>0</v>
      </c>
      <c r="Z646" s="5">
        <v>0</v>
      </c>
      <c r="AA646" s="5">
        <v>1</v>
      </c>
      <c r="AB646" s="5">
        <v>0</v>
      </c>
    </row>
    <row r="647" spans="1:28" x14ac:dyDescent="0.2">
      <c r="A647" s="5">
        <v>50</v>
      </c>
      <c r="B647" s="5">
        <v>0</v>
      </c>
      <c r="C647" s="5">
        <v>0</v>
      </c>
      <c r="D647" s="5">
        <v>1</v>
      </c>
      <c r="E647" s="5">
        <v>207</v>
      </c>
      <c r="F647" s="5">
        <f>Source!U625</f>
        <v>3300.0132297</v>
      </c>
      <c r="G647" s="5" t="s">
        <v>158</v>
      </c>
      <c r="H647" s="5" t="s">
        <v>159</v>
      </c>
      <c r="I647" s="5"/>
      <c r="J647" s="5"/>
      <c r="K647" s="5">
        <v>207</v>
      </c>
      <c r="L647" s="5">
        <v>21</v>
      </c>
      <c r="M647" s="5">
        <v>3</v>
      </c>
      <c r="N647" s="5" t="s">
        <v>3</v>
      </c>
      <c r="O647" s="5">
        <v>-1</v>
      </c>
      <c r="P647" s="5">
        <f>Source!DM625</f>
        <v>3300.0132297</v>
      </c>
      <c r="Q647" s="5"/>
      <c r="R647" s="5"/>
      <c r="S647" s="5"/>
      <c r="T647" s="5"/>
      <c r="U647" s="5"/>
      <c r="V647" s="5"/>
      <c r="W647" s="5">
        <v>3300.0132297</v>
      </c>
      <c r="X647" s="5">
        <v>1</v>
      </c>
      <c r="Y647" s="5">
        <v>3300.0132297</v>
      </c>
      <c r="Z647" s="5">
        <v>3300.0132297</v>
      </c>
      <c r="AA647" s="5">
        <v>1</v>
      </c>
      <c r="AB647" s="5">
        <v>3300.0132297</v>
      </c>
    </row>
    <row r="648" spans="1:28" x14ac:dyDescent="0.2">
      <c r="A648" s="5">
        <v>50</v>
      </c>
      <c r="B648" s="5">
        <v>0</v>
      </c>
      <c r="C648" s="5">
        <v>0</v>
      </c>
      <c r="D648" s="5">
        <v>1</v>
      </c>
      <c r="E648" s="5">
        <v>208</v>
      </c>
      <c r="F648" s="5">
        <f>Source!V625</f>
        <v>0</v>
      </c>
      <c r="G648" s="5" t="s">
        <v>160</v>
      </c>
      <c r="H648" s="5" t="s">
        <v>161</v>
      </c>
      <c r="I648" s="5"/>
      <c r="J648" s="5"/>
      <c r="K648" s="5">
        <v>208</v>
      </c>
      <c r="L648" s="5">
        <v>22</v>
      </c>
      <c r="M648" s="5">
        <v>3</v>
      </c>
      <c r="N648" s="5" t="s">
        <v>3</v>
      </c>
      <c r="O648" s="5">
        <v>-1</v>
      </c>
      <c r="P648" s="5">
        <f>Source!DN625</f>
        <v>0</v>
      </c>
      <c r="Q648" s="5"/>
      <c r="R648" s="5"/>
      <c r="S648" s="5"/>
      <c r="T648" s="5"/>
      <c r="U648" s="5"/>
      <c r="V648" s="5"/>
      <c r="W648" s="5">
        <v>0</v>
      </c>
      <c r="X648" s="5">
        <v>1</v>
      </c>
      <c r="Y648" s="5">
        <v>0</v>
      </c>
      <c r="Z648" s="5">
        <v>0</v>
      </c>
      <c r="AA648" s="5">
        <v>1</v>
      </c>
      <c r="AB648" s="5">
        <v>0</v>
      </c>
    </row>
    <row r="649" spans="1:28" x14ac:dyDescent="0.2">
      <c r="A649" s="5">
        <v>50</v>
      </c>
      <c r="B649" s="5">
        <v>0</v>
      </c>
      <c r="C649" s="5">
        <v>0</v>
      </c>
      <c r="D649" s="5">
        <v>1</v>
      </c>
      <c r="E649" s="5">
        <v>209</v>
      </c>
      <c r="F649" s="5">
        <f>ROUND(Source!W625,O649)</f>
        <v>0</v>
      </c>
      <c r="G649" s="5" t="s">
        <v>162</v>
      </c>
      <c r="H649" s="5" t="s">
        <v>163</v>
      </c>
      <c r="I649" s="5"/>
      <c r="J649" s="5"/>
      <c r="K649" s="5">
        <v>209</v>
      </c>
      <c r="L649" s="5">
        <v>23</v>
      </c>
      <c r="M649" s="5">
        <v>3</v>
      </c>
      <c r="N649" s="5" t="s">
        <v>3</v>
      </c>
      <c r="O649" s="5">
        <v>2</v>
      </c>
      <c r="P649" s="5">
        <f>ROUND(Source!DO625,O649)</f>
        <v>0</v>
      </c>
      <c r="Q649" s="5"/>
      <c r="R649" s="5"/>
      <c r="S649" s="5"/>
      <c r="T649" s="5"/>
      <c r="U649" s="5"/>
      <c r="V649" s="5"/>
      <c r="W649" s="5">
        <v>0</v>
      </c>
      <c r="X649" s="5">
        <v>1</v>
      </c>
      <c r="Y649" s="5">
        <v>0</v>
      </c>
      <c r="Z649" s="5">
        <v>0</v>
      </c>
      <c r="AA649" s="5">
        <v>1</v>
      </c>
      <c r="AB649" s="5">
        <v>0</v>
      </c>
    </row>
    <row r="650" spans="1:28" x14ac:dyDescent="0.2">
      <c r="A650" s="5">
        <v>50</v>
      </c>
      <c r="B650" s="5">
        <v>0</v>
      </c>
      <c r="C650" s="5">
        <v>0</v>
      </c>
      <c r="D650" s="5">
        <v>1</v>
      </c>
      <c r="E650" s="5">
        <v>233</v>
      </c>
      <c r="F650" s="5">
        <f>ROUND(Source!BD625,O650)</f>
        <v>0</v>
      </c>
      <c r="G650" s="5" t="s">
        <v>164</v>
      </c>
      <c r="H650" s="5" t="s">
        <v>165</v>
      </c>
      <c r="I650" s="5"/>
      <c r="J650" s="5"/>
      <c r="K650" s="5">
        <v>233</v>
      </c>
      <c r="L650" s="5">
        <v>24</v>
      </c>
      <c r="M650" s="5">
        <v>3</v>
      </c>
      <c r="N650" s="5" t="s">
        <v>3</v>
      </c>
      <c r="O650" s="5">
        <v>2</v>
      </c>
      <c r="P650" s="5">
        <f>ROUND(Source!EV625,O650)</f>
        <v>0</v>
      </c>
      <c r="Q650" s="5"/>
      <c r="R650" s="5"/>
      <c r="S650" s="5"/>
      <c r="T650" s="5"/>
      <c r="U650" s="5"/>
      <c r="V650" s="5"/>
      <c r="W650" s="5">
        <v>0</v>
      </c>
      <c r="X650" s="5">
        <v>1</v>
      </c>
      <c r="Y650" s="5">
        <v>0</v>
      </c>
      <c r="Z650" s="5">
        <v>0</v>
      </c>
      <c r="AA650" s="5">
        <v>1</v>
      </c>
      <c r="AB650" s="5">
        <v>0</v>
      </c>
    </row>
    <row r="651" spans="1:28" x14ac:dyDescent="0.2">
      <c r="A651" s="5">
        <v>50</v>
      </c>
      <c r="B651" s="5">
        <v>0</v>
      </c>
      <c r="C651" s="5">
        <v>0</v>
      </c>
      <c r="D651" s="5">
        <v>1</v>
      </c>
      <c r="E651" s="5">
        <v>210</v>
      </c>
      <c r="F651" s="5">
        <f>ROUND(Source!X625,O651)</f>
        <v>39790.9</v>
      </c>
      <c r="G651" s="5" t="s">
        <v>166</v>
      </c>
      <c r="H651" s="5" t="s">
        <v>167</v>
      </c>
      <c r="I651" s="5"/>
      <c r="J651" s="5"/>
      <c r="K651" s="5">
        <v>210</v>
      </c>
      <c r="L651" s="5">
        <v>25</v>
      </c>
      <c r="M651" s="5">
        <v>3</v>
      </c>
      <c r="N651" s="5" t="s">
        <v>3</v>
      </c>
      <c r="O651" s="5">
        <v>2</v>
      </c>
      <c r="P651" s="5">
        <f>ROUND(Source!DP625,O651)</f>
        <v>2188101.2200000002</v>
      </c>
      <c r="Q651" s="5"/>
      <c r="R651" s="5"/>
      <c r="S651" s="5"/>
      <c r="T651" s="5"/>
      <c r="U651" s="5"/>
      <c r="V651" s="5"/>
      <c r="W651" s="5">
        <v>39790.9</v>
      </c>
      <c r="X651" s="5">
        <v>1</v>
      </c>
      <c r="Y651" s="5">
        <v>39790.9</v>
      </c>
      <c r="Z651" s="5">
        <v>2188101.2200000002</v>
      </c>
      <c r="AA651" s="5">
        <v>1</v>
      </c>
      <c r="AB651" s="5">
        <v>2188101.2200000002</v>
      </c>
    </row>
    <row r="652" spans="1:28" x14ac:dyDescent="0.2">
      <c r="A652" s="5">
        <v>50</v>
      </c>
      <c r="B652" s="5">
        <v>0</v>
      </c>
      <c r="C652" s="5">
        <v>0</v>
      </c>
      <c r="D652" s="5">
        <v>1</v>
      </c>
      <c r="E652" s="5">
        <v>211</v>
      </c>
      <c r="F652" s="5">
        <f>ROUND(Source!Y625,O652)</f>
        <v>20859.990000000002</v>
      </c>
      <c r="G652" s="5" t="s">
        <v>168</v>
      </c>
      <c r="H652" s="5" t="s">
        <v>169</v>
      </c>
      <c r="I652" s="5"/>
      <c r="J652" s="5"/>
      <c r="K652" s="5">
        <v>211</v>
      </c>
      <c r="L652" s="5">
        <v>26</v>
      </c>
      <c r="M652" s="5">
        <v>3</v>
      </c>
      <c r="N652" s="5" t="s">
        <v>3</v>
      </c>
      <c r="O652" s="5">
        <v>2</v>
      </c>
      <c r="P652" s="5">
        <f>ROUND(Source!DQ625,O652)</f>
        <v>1147090.7</v>
      </c>
      <c r="Q652" s="5"/>
      <c r="R652" s="5"/>
      <c r="S652" s="5"/>
      <c r="T652" s="5"/>
      <c r="U652" s="5"/>
      <c r="V652" s="5"/>
      <c r="W652" s="5">
        <v>20859.990000000002</v>
      </c>
      <c r="X652" s="5">
        <v>1</v>
      </c>
      <c r="Y652" s="5">
        <v>20859.990000000002</v>
      </c>
      <c r="Z652" s="5">
        <v>1147090.7</v>
      </c>
      <c r="AA652" s="5">
        <v>1</v>
      </c>
      <c r="AB652" s="5">
        <v>1147090.7</v>
      </c>
    </row>
    <row r="653" spans="1:28" x14ac:dyDescent="0.2">
      <c r="A653" s="5">
        <v>50</v>
      </c>
      <c r="B653" s="5">
        <v>0</v>
      </c>
      <c r="C653" s="5">
        <v>0</v>
      </c>
      <c r="D653" s="5">
        <v>1</v>
      </c>
      <c r="E653" s="5">
        <v>224</v>
      </c>
      <c r="F653" s="5">
        <f>ROUND(Source!AR625,O653)</f>
        <v>1958576.51</v>
      </c>
      <c r="G653" s="5" t="s">
        <v>170</v>
      </c>
      <c r="H653" s="5" t="s">
        <v>171</v>
      </c>
      <c r="I653" s="5"/>
      <c r="J653" s="5"/>
      <c r="K653" s="5">
        <v>224</v>
      </c>
      <c r="L653" s="5">
        <v>27</v>
      </c>
      <c r="M653" s="5">
        <v>3</v>
      </c>
      <c r="N653" s="5" t="s">
        <v>3</v>
      </c>
      <c r="O653" s="5">
        <v>2</v>
      </c>
      <c r="P653" s="5">
        <f>ROUND(Source!EJ625,O653)</f>
        <v>19507413.140000001</v>
      </c>
      <c r="Q653" s="5"/>
      <c r="R653" s="5"/>
      <c r="S653" s="5"/>
      <c r="T653" s="5"/>
      <c r="U653" s="5"/>
      <c r="V653" s="5"/>
      <c r="W653" s="5">
        <v>1958576.51</v>
      </c>
      <c r="X653" s="5">
        <v>1</v>
      </c>
      <c r="Y653" s="5">
        <v>1958576.51</v>
      </c>
      <c r="Z653" s="5">
        <v>19507413.140000001</v>
      </c>
      <c r="AA653" s="5">
        <v>1</v>
      </c>
      <c r="AB653" s="5">
        <v>19507413.140000001</v>
      </c>
    </row>
    <row r="656" spans="1:28" x14ac:dyDescent="0.2">
      <c r="A656">
        <v>70</v>
      </c>
      <c r="B656">
        <v>1</v>
      </c>
      <c r="D656">
        <v>1</v>
      </c>
      <c r="E656" t="s">
        <v>482</v>
      </c>
      <c r="F656" t="s">
        <v>483</v>
      </c>
      <c r="G656">
        <v>0</v>
      </c>
      <c r="H656">
        <v>0</v>
      </c>
      <c r="I656" t="s">
        <v>3</v>
      </c>
      <c r="J656">
        <v>1</v>
      </c>
      <c r="K656">
        <v>0</v>
      </c>
      <c r="L656" t="s">
        <v>3</v>
      </c>
      <c r="M656" t="s">
        <v>3</v>
      </c>
      <c r="N656">
        <v>0</v>
      </c>
      <c r="O656">
        <v>0</v>
      </c>
      <c r="P656" t="s">
        <v>3</v>
      </c>
    </row>
    <row r="657" spans="1:50" x14ac:dyDescent="0.2">
      <c r="A657">
        <v>70</v>
      </c>
      <c r="B657">
        <v>1</v>
      </c>
      <c r="D657">
        <v>2</v>
      </c>
      <c r="E657" t="s">
        <v>484</v>
      </c>
      <c r="F657" t="s">
        <v>485</v>
      </c>
      <c r="G657">
        <v>1</v>
      </c>
      <c r="H657">
        <v>0</v>
      </c>
      <c r="I657" t="s">
        <v>3</v>
      </c>
      <c r="J657">
        <v>1</v>
      </c>
      <c r="K657">
        <v>0</v>
      </c>
      <c r="L657" t="s">
        <v>3</v>
      </c>
      <c r="M657" t="s">
        <v>3</v>
      </c>
      <c r="N657">
        <v>0</v>
      </c>
      <c r="O657">
        <v>1</v>
      </c>
      <c r="P657" t="s">
        <v>3</v>
      </c>
    </row>
    <row r="658" spans="1:50" x14ac:dyDescent="0.2">
      <c r="A658">
        <v>70</v>
      </c>
      <c r="B658">
        <v>1</v>
      </c>
      <c r="D658">
        <v>3</v>
      </c>
      <c r="E658" t="s">
        <v>486</v>
      </c>
      <c r="F658" t="s">
        <v>487</v>
      </c>
      <c r="G658">
        <v>1</v>
      </c>
      <c r="H658">
        <v>0</v>
      </c>
      <c r="I658" t="s">
        <v>3</v>
      </c>
      <c r="J658">
        <v>0</v>
      </c>
      <c r="K658">
        <v>0</v>
      </c>
      <c r="L658" t="s">
        <v>3</v>
      </c>
      <c r="M658" t="s">
        <v>3</v>
      </c>
      <c r="N658">
        <v>0</v>
      </c>
      <c r="O658">
        <v>1</v>
      </c>
      <c r="P658" t="s">
        <v>3</v>
      </c>
    </row>
    <row r="659" spans="1:50" x14ac:dyDescent="0.2">
      <c r="A659">
        <v>70</v>
      </c>
      <c r="B659">
        <v>1</v>
      </c>
      <c r="D659">
        <v>4</v>
      </c>
      <c r="E659" t="s">
        <v>488</v>
      </c>
      <c r="F659" t="s">
        <v>489</v>
      </c>
      <c r="G659">
        <v>1</v>
      </c>
      <c r="H659">
        <v>0</v>
      </c>
      <c r="I659" t="s">
        <v>3</v>
      </c>
      <c r="J659">
        <v>0</v>
      </c>
      <c r="K659">
        <v>0</v>
      </c>
      <c r="L659" t="s">
        <v>3</v>
      </c>
      <c r="M659" t="s">
        <v>3</v>
      </c>
      <c r="N659">
        <v>0</v>
      </c>
      <c r="O659">
        <v>1</v>
      </c>
      <c r="P659" t="s">
        <v>3</v>
      </c>
    </row>
    <row r="660" spans="1:50" x14ac:dyDescent="0.2">
      <c r="A660">
        <v>70</v>
      </c>
      <c r="B660">
        <v>1</v>
      </c>
      <c r="D660">
        <v>5</v>
      </c>
      <c r="E660" t="s">
        <v>490</v>
      </c>
      <c r="F660" t="s">
        <v>491</v>
      </c>
      <c r="G660">
        <v>0</v>
      </c>
      <c r="H660">
        <v>0</v>
      </c>
      <c r="I660" t="s">
        <v>3</v>
      </c>
      <c r="J660">
        <v>0</v>
      </c>
      <c r="K660">
        <v>0</v>
      </c>
      <c r="L660" t="s">
        <v>3</v>
      </c>
      <c r="M660" t="s">
        <v>3</v>
      </c>
      <c r="N660">
        <v>0</v>
      </c>
      <c r="O660">
        <v>0</v>
      </c>
      <c r="P660" t="s">
        <v>3</v>
      </c>
    </row>
    <row r="662" spans="1:50" x14ac:dyDescent="0.2">
      <c r="A662">
        <v>-1</v>
      </c>
    </row>
    <row r="664" spans="1:50" x14ac:dyDescent="0.2">
      <c r="A664" s="4">
        <v>75</v>
      </c>
      <c r="B664" s="4" t="s">
        <v>492</v>
      </c>
      <c r="C664" s="4">
        <v>2025</v>
      </c>
      <c r="D664" s="4">
        <v>0</v>
      </c>
      <c r="E664" s="4">
        <v>9</v>
      </c>
      <c r="F664" s="4"/>
      <c r="G664" s="4">
        <v>0</v>
      </c>
      <c r="H664" s="4">
        <v>1</v>
      </c>
      <c r="I664" s="4">
        <v>1</v>
      </c>
      <c r="J664" s="4">
        <v>3</v>
      </c>
      <c r="K664" s="4">
        <v>0</v>
      </c>
      <c r="L664" s="4">
        <v>0</v>
      </c>
      <c r="M664" s="4">
        <v>1</v>
      </c>
      <c r="N664" s="4">
        <v>56959431</v>
      </c>
      <c r="O664" s="4">
        <v>1</v>
      </c>
    </row>
    <row r="665" spans="1:50" x14ac:dyDescent="0.2">
      <c r="A665" s="6">
        <v>1</v>
      </c>
      <c r="B665" s="6" t="s">
        <v>493</v>
      </c>
      <c r="C665" s="6" t="s">
        <v>494</v>
      </c>
      <c r="D665" s="6">
        <v>2025</v>
      </c>
      <c r="E665" s="6">
        <v>9</v>
      </c>
      <c r="F665" s="6">
        <v>1</v>
      </c>
      <c r="G665" s="6">
        <v>1</v>
      </c>
      <c r="H665" s="6">
        <v>0</v>
      </c>
      <c r="I665" s="6">
        <v>2</v>
      </c>
      <c r="J665" s="6">
        <v>1</v>
      </c>
      <c r="K665" s="6">
        <v>9.8800000000000008</v>
      </c>
      <c r="L665" s="6">
        <v>7.66</v>
      </c>
      <c r="M665" s="6">
        <v>1</v>
      </c>
      <c r="N665" s="6">
        <v>1</v>
      </c>
      <c r="O665" s="6">
        <v>9.8800000000000008</v>
      </c>
      <c r="P665" s="6">
        <v>7.66</v>
      </c>
      <c r="Q665" s="6">
        <v>1</v>
      </c>
      <c r="R665" s="6" t="s">
        <v>3</v>
      </c>
      <c r="S665" s="6" t="s">
        <v>3</v>
      </c>
      <c r="T665" s="6" t="s">
        <v>3</v>
      </c>
      <c r="U665" s="6" t="s">
        <v>3</v>
      </c>
      <c r="V665" s="6" t="s">
        <v>3</v>
      </c>
      <c r="W665" s="6" t="s">
        <v>3</v>
      </c>
      <c r="X665" s="6" t="s">
        <v>3</v>
      </c>
      <c r="Y665" s="6" t="s">
        <v>3</v>
      </c>
      <c r="Z665" s="6" t="s">
        <v>3</v>
      </c>
      <c r="AA665" s="6" t="s">
        <v>495</v>
      </c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>
        <v>56959432</v>
      </c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spans="1:50" x14ac:dyDescent="0.2">
      <c r="A666" s="6">
        <v>1</v>
      </c>
      <c r="B666" s="6" t="s">
        <v>493</v>
      </c>
      <c r="C666" s="6" t="s">
        <v>496</v>
      </c>
      <c r="D666" s="6">
        <v>2025</v>
      </c>
      <c r="E666" s="6">
        <v>7</v>
      </c>
      <c r="F666" s="6">
        <v>1</v>
      </c>
      <c r="G666" s="6">
        <v>1</v>
      </c>
      <c r="H666" s="6">
        <v>0</v>
      </c>
      <c r="I666" s="6">
        <v>2</v>
      </c>
      <c r="J666" s="6">
        <v>1</v>
      </c>
      <c r="K666" s="6">
        <v>1</v>
      </c>
      <c r="L666" s="6">
        <v>1</v>
      </c>
      <c r="M666" s="6">
        <v>1</v>
      </c>
      <c r="N666" s="6">
        <v>1</v>
      </c>
      <c r="O666" s="6">
        <v>1</v>
      </c>
      <c r="P666" s="6">
        <v>1</v>
      </c>
      <c r="Q666" s="6">
        <v>1</v>
      </c>
      <c r="R666" s="6" t="s">
        <v>3</v>
      </c>
      <c r="S666" s="6" t="s">
        <v>3</v>
      </c>
      <c r="T666" s="6" t="s">
        <v>3</v>
      </c>
      <c r="U666" s="6" t="s">
        <v>3</v>
      </c>
      <c r="V666" s="6" t="s">
        <v>3</v>
      </c>
      <c r="W666" s="6" t="s">
        <v>3</v>
      </c>
      <c r="X666" s="6" t="s">
        <v>3</v>
      </c>
      <c r="Y666" s="6" t="s">
        <v>3</v>
      </c>
      <c r="Z666" s="6" t="s">
        <v>3</v>
      </c>
      <c r="AA666" s="6" t="s">
        <v>497</v>
      </c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>
        <v>56959433</v>
      </c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spans="1:50" x14ac:dyDescent="0.2">
      <c r="A667" s="4">
        <v>75</v>
      </c>
      <c r="B667" s="4" t="s">
        <v>498</v>
      </c>
      <c r="C667" s="4">
        <v>2000</v>
      </c>
      <c r="D667" s="4">
        <v>0</v>
      </c>
      <c r="E667" s="4">
        <v>1</v>
      </c>
      <c r="F667" s="4">
        <v>0</v>
      </c>
      <c r="G667" s="4">
        <v>0</v>
      </c>
      <c r="H667" s="4">
        <v>1</v>
      </c>
      <c r="I667" s="4">
        <v>1</v>
      </c>
      <c r="J667" s="4">
        <v>3</v>
      </c>
      <c r="K667" s="4">
        <v>0</v>
      </c>
      <c r="L667" s="4">
        <v>0</v>
      </c>
      <c r="M667" s="4">
        <v>0</v>
      </c>
      <c r="N667" s="4">
        <v>56959434</v>
      </c>
      <c r="O667" s="4">
        <v>2</v>
      </c>
    </row>
    <row r="668" spans="1:50" x14ac:dyDescent="0.2">
      <c r="A668" s="6">
        <v>1</v>
      </c>
      <c r="B668" s="6" t="s">
        <v>493</v>
      </c>
      <c r="C668" s="6" t="s">
        <v>494</v>
      </c>
      <c r="D668" s="6">
        <v>2000</v>
      </c>
      <c r="E668" s="6">
        <v>1</v>
      </c>
      <c r="F668" s="6">
        <v>1</v>
      </c>
      <c r="G668" s="6">
        <v>1</v>
      </c>
      <c r="H668" s="6">
        <v>0</v>
      </c>
      <c r="I668" s="6">
        <v>2</v>
      </c>
      <c r="J668" s="6">
        <v>1</v>
      </c>
      <c r="K668" s="6">
        <v>1</v>
      </c>
      <c r="L668" s="6">
        <v>1</v>
      </c>
      <c r="M668" s="6">
        <v>1</v>
      </c>
      <c r="N668" s="6">
        <v>1</v>
      </c>
      <c r="O668" s="6">
        <v>1</v>
      </c>
      <c r="P668" s="6">
        <v>1</v>
      </c>
      <c r="Q668" s="6">
        <v>1</v>
      </c>
      <c r="R668" s="6" t="s">
        <v>3</v>
      </c>
      <c r="S668" s="6" t="s">
        <v>3</v>
      </c>
      <c r="T668" s="6" t="s">
        <v>3</v>
      </c>
      <c r="U668" s="6" t="s">
        <v>3</v>
      </c>
      <c r="V668" s="6" t="s">
        <v>3</v>
      </c>
      <c r="W668" s="6" t="s">
        <v>3</v>
      </c>
      <c r="X668" s="6" t="s">
        <v>3</v>
      </c>
      <c r="Y668" s="6" t="s">
        <v>3</v>
      </c>
      <c r="Z668" s="6" t="s">
        <v>3</v>
      </c>
      <c r="AA668" s="6" t="s">
        <v>103</v>
      </c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>
        <v>56959435</v>
      </c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72" spans="1:50" x14ac:dyDescent="0.2">
      <c r="A672">
        <v>65</v>
      </c>
      <c r="C672">
        <v>1</v>
      </c>
      <c r="D672">
        <v>0</v>
      </c>
      <c r="E672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499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74570</v>
      </c>
      <c r="M1">
        <v>10</v>
      </c>
      <c r="N1">
        <v>11</v>
      </c>
      <c r="O1">
        <v>15</v>
      </c>
      <c r="P1">
        <v>0</v>
      </c>
      <c r="Q1">
        <v>2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56959431</v>
      </c>
      <c r="E14" s="1">
        <v>56959434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13</v>
      </c>
      <c r="D16" s="7" t="s">
        <v>14</v>
      </c>
      <c r="E16" s="8">
        <f>ROUND((Source!P612)/1000,2)</f>
        <v>0</v>
      </c>
      <c r="F16" s="8">
        <f>ROUND((Source!P613)/1000,2)</f>
        <v>6896.99</v>
      </c>
      <c r="G16" s="8">
        <f>ROUND((Source!P604)/1000,2)</f>
        <v>12610.42</v>
      </c>
      <c r="H16" s="8">
        <f>ROUND((Source!P614)/1000+(Source!P615)/1000,2)</f>
        <v>0</v>
      </c>
      <c r="I16" s="8">
        <f>E16+F16+G16+H16</f>
        <v>19507.41</v>
      </c>
      <c r="J16" s="8">
        <f>ROUND((Source!P610+Source!P609)/1000,2)</f>
        <v>2299.54</v>
      </c>
      <c r="K16" s="8">
        <v>29977.3</v>
      </c>
      <c r="L16" s="8">
        <v>0</v>
      </c>
      <c r="M16" s="8">
        <v>0</v>
      </c>
      <c r="N16" s="8">
        <f>I16+L16+M16</f>
        <v>19507.41</v>
      </c>
      <c r="T16" s="9">
        <f>ROUND((Source!F612)/1000,2)</f>
        <v>0</v>
      </c>
      <c r="U16" s="9">
        <f>ROUND((Source!F613)/1000,2)</f>
        <v>298.81</v>
      </c>
      <c r="V16" s="9">
        <f>ROUND((Source!F604)/1000,2)</f>
        <v>1659.77</v>
      </c>
      <c r="W16" s="9">
        <f>ROUND((Source!F614)/1000+(Source!F615)/1000,2)</f>
        <v>0</v>
      </c>
      <c r="X16" s="9">
        <f>T16+U16+V16+W16</f>
        <v>1958.58</v>
      </c>
      <c r="Y16" s="9">
        <f>ROUND((Source!F610+Source!F609)/1000,2)</f>
        <v>41.82</v>
      </c>
      <c r="Z16" s="9">
        <v>3747.19</v>
      </c>
      <c r="AA16" s="9">
        <v>0</v>
      </c>
      <c r="AB16" s="9">
        <v>0</v>
      </c>
      <c r="AC16" s="9">
        <f>X16+AA16+AB16</f>
        <v>1958.58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16172221.220000001</v>
      </c>
      <c r="AU16" s="8">
        <v>13805080.75</v>
      </c>
      <c r="AV16" s="8">
        <v>0</v>
      </c>
      <c r="AW16" s="8">
        <v>12610419.609999999</v>
      </c>
      <c r="AX16" s="8">
        <v>0</v>
      </c>
      <c r="AY16" s="8">
        <v>130186.87</v>
      </c>
      <c r="AZ16" s="8">
        <v>62587.44</v>
      </c>
      <c r="BA16" s="8">
        <v>2236953.6000000001</v>
      </c>
      <c r="BB16" s="8">
        <v>0</v>
      </c>
      <c r="BC16" s="8">
        <v>6896993.5300000003</v>
      </c>
      <c r="BD16" s="8">
        <v>0</v>
      </c>
      <c r="BE16" s="8">
        <v>0</v>
      </c>
      <c r="BF16" s="8">
        <v>3300.0132297</v>
      </c>
      <c r="BG16" s="8">
        <v>0</v>
      </c>
      <c r="BH16" s="8">
        <v>0</v>
      </c>
      <c r="BI16" s="8">
        <v>2188101.2200000002</v>
      </c>
      <c r="BJ16" s="8">
        <v>1147090.7</v>
      </c>
      <c r="BK16" s="8">
        <v>19507413.140000001</v>
      </c>
      <c r="BR16" s="9">
        <v>1897925.62</v>
      </c>
      <c r="BS16" s="9">
        <v>1849266.87</v>
      </c>
      <c r="BT16" s="9">
        <v>0</v>
      </c>
      <c r="BU16" s="9">
        <v>1659768.83</v>
      </c>
      <c r="BV16" s="9">
        <v>0</v>
      </c>
      <c r="BW16" s="9">
        <v>7979.47</v>
      </c>
      <c r="BX16" s="9">
        <v>1138.1600000000001</v>
      </c>
      <c r="BY16" s="9">
        <v>40679.279999999999</v>
      </c>
      <c r="BZ16" s="9">
        <v>0</v>
      </c>
      <c r="CA16" s="9">
        <v>298807.67999999999</v>
      </c>
      <c r="CB16" s="9">
        <v>0</v>
      </c>
      <c r="CC16" s="9">
        <v>0</v>
      </c>
      <c r="CD16" s="9">
        <v>3300.0132297</v>
      </c>
      <c r="CE16" s="9">
        <v>0</v>
      </c>
      <c r="CF16" s="9">
        <v>0</v>
      </c>
      <c r="CG16" s="9">
        <v>39790.9</v>
      </c>
      <c r="CH16" s="9">
        <v>20859.990000000002</v>
      </c>
      <c r="CI16" s="9">
        <v>1958576.51</v>
      </c>
    </row>
    <row r="18" spans="1:29" x14ac:dyDescent="0.2">
      <c r="A18">
        <v>51</v>
      </c>
      <c r="E18">
        <v>0</v>
      </c>
      <c r="F18">
        <v>6896.99</v>
      </c>
      <c r="G18">
        <v>12610.42</v>
      </c>
      <c r="H18">
        <v>0</v>
      </c>
      <c r="I18">
        <v>19507.41</v>
      </c>
      <c r="J18">
        <v>2299.54</v>
      </c>
      <c r="K18">
        <v>29977.3</v>
      </c>
      <c r="L18">
        <v>0</v>
      </c>
      <c r="M18">
        <v>0</v>
      </c>
      <c r="N18">
        <v>19507.41</v>
      </c>
      <c r="T18">
        <v>0</v>
      </c>
      <c r="U18">
        <v>298.81</v>
      </c>
      <c r="V18">
        <v>1659.77</v>
      </c>
      <c r="W18">
        <v>0</v>
      </c>
      <c r="X18">
        <v>1958.58</v>
      </c>
      <c r="Y18">
        <v>41.82</v>
      </c>
      <c r="Z18">
        <v>3747.19</v>
      </c>
      <c r="AA18">
        <v>0</v>
      </c>
      <c r="AB18">
        <v>0</v>
      </c>
      <c r="AC18">
        <v>1958.58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16172221.220000001</v>
      </c>
      <c r="G20" s="5" t="s">
        <v>118</v>
      </c>
      <c r="H20" s="5" t="s">
        <v>119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1897925.62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13805080.75</v>
      </c>
      <c r="G21" s="5" t="s">
        <v>120</v>
      </c>
      <c r="H21" s="5" t="s">
        <v>121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1849266.87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122</v>
      </c>
      <c r="H22" s="5" t="s">
        <v>123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13805080.75</v>
      </c>
      <c r="G23" s="5" t="s">
        <v>124</v>
      </c>
      <c r="H23" s="5" t="s">
        <v>125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1849266.87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1194661.1399999999</v>
      </c>
      <c r="G24" s="5" t="s">
        <v>126</v>
      </c>
      <c r="H24" s="5" t="s">
        <v>127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189498.04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128</v>
      </c>
      <c r="H25" s="5" t="s">
        <v>129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1194661.1399999999</v>
      </c>
      <c r="G26" s="5" t="s">
        <v>130</v>
      </c>
      <c r="H26" s="5" t="s">
        <v>131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189498.04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12610419.609999999</v>
      </c>
      <c r="G27" s="5" t="s">
        <v>132</v>
      </c>
      <c r="H27" s="5" t="s">
        <v>133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1659768.83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134</v>
      </c>
      <c r="H28" s="5" t="s">
        <v>135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12610419.609999999</v>
      </c>
      <c r="G29" s="5" t="s">
        <v>136</v>
      </c>
      <c r="H29" s="5" t="s">
        <v>137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1659768.83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130186.87</v>
      </c>
      <c r="G30" s="5" t="s">
        <v>138</v>
      </c>
      <c r="H30" s="5" t="s">
        <v>139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7979.47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140</v>
      </c>
      <c r="H31" s="5" t="s">
        <v>141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62587.44</v>
      </c>
      <c r="G32" s="5" t="s">
        <v>142</v>
      </c>
      <c r="H32" s="5" t="s">
        <v>143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1138.1600000000001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2236953.6000000001</v>
      </c>
      <c r="G33" s="5" t="s">
        <v>144</v>
      </c>
      <c r="H33" s="5" t="s">
        <v>145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40679.279999999999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146</v>
      </c>
      <c r="H34" s="5" t="s">
        <v>147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148</v>
      </c>
      <c r="H35" s="5" t="s">
        <v>149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6896993.5300000003</v>
      </c>
      <c r="G36" s="5" t="s">
        <v>150</v>
      </c>
      <c r="H36" s="5" t="s">
        <v>151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298807.67999999999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152</v>
      </c>
      <c r="H37" s="5" t="s">
        <v>153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154</v>
      </c>
      <c r="H38" s="5" t="s">
        <v>155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156</v>
      </c>
      <c r="H39" s="5" t="s">
        <v>157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3300.0132297</v>
      </c>
      <c r="G40" s="5" t="s">
        <v>158</v>
      </c>
      <c r="H40" s="5" t="s">
        <v>159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3300.0132297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160</v>
      </c>
      <c r="H41" s="5" t="s">
        <v>161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162</v>
      </c>
      <c r="H42" s="5" t="s">
        <v>163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164</v>
      </c>
      <c r="H43" s="5" t="s">
        <v>165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2188101.2200000002</v>
      </c>
      <c r="G44" s="5" t="s">
        <v>166</v>
      </c>
      <c r="H44" s="5" t="s">
        <v>167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39790.9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1147090.7</v>
      </c>
      <c r="G45" s="5" t="s">
        <v>168</v>
      </c>
      <c r="H45" s="5" t="s">
        <v>169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20859.990000000002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19507413.140000001</v>
      </c>
      <c r="G46" s="5" t="s">
        <v>170</v>
      </c>
      <c r="H46" s="5" t="s">
        <v>171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1958576.51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492</v>
      </c>
      <c r="C51" s="4">
        <v>2025</v>
      </c>
      <c r="D51" s="4">
        <v>0</v>
      </c>
      <c r="E51" s="4">
        <v>9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56959431</v>
      </c>
      <c r="O51" s="4">
        <v>1</v>
      </c>
    </row>
    <row r="52" spans="1:50" x14ac:dyDescent="0.2">
      <c r="A52" s="6">
        <v>1</v>
      </c>
      <c r="B52" s="6" t="s">
        <v>493</v>
      </c>
      <c r="C52" s="6" t="s">
        <v>494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495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56959432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493</v>
      </c>
      <c r="C53" s="6" t="s">
        <v>496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497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56959433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498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56959434</v>
      </c>
      <c r="O54" s="4">
        <v>2</v>
      </c>
    </row>
    <row r="55" spans="1:50" x14ac:dyDescent="0.2">
      <c r="A55" s="6">
        <v>1</v>
      </c>
      <c r="B55" s="6" t="s">
        <v>493</v>
      </c>
      <c r="C55" s="6" t="s">
        <v>494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103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56959435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44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56959434</v>
      </c>
      <c r="C1">
        <v>56959548</v>
      </c>
      <c r="D1">
        <v>56018166</v>
      </c>
      <c r="E1">
        <v>1080</v>
      </c>
      <c r="F1">
        <v>1</v>
      </c>
      <c r="G1">
        <v>1080</v>
      </c>
      <c r="H1">
        <v>1</v>
      </c>
      <c r="I1" t="s">
        <v>500</v>
      </c>
      <c r="J1" t="s">
        <v>3</v>
      </c>
      <c r="K1" t="s">
        <v>501</v>
      </c>
      <c r="L1">
        <v>1191</v>
      </c>
      <c r="N1">
        <v>1013</v>
      </c>
      <c r="O1" t="s">
        <v>502</v>
      </c>
      <c r="P1" t="s">
        <v>502</v>
      </c>
      <c r="Q1">
        <v>1</v>
      </c>
      <c r="W1">
        <v>0</v>
      </c>
      <c r="X1">
        <v>476480486</v>
      </c>
      <c r="Y1">
        <f t="shared" ref="Y1:Y6" si="0">(AT1*1.1)</f>
        <v>3.399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3.09</v>
      </c>
      <c r="AU1" t="s">
        <v>23</v>
      </c>
      <c r="AV1">
        <v>1</v>
      </c>
      <c r="AW1">
        <v>2</v>
      </c>
      <c r="AX1">
        <v>56960904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3.399</v>
      </c>
      <c r="CW1">
        <v>0</v>
      </c>
      <c r="CX1">
        <f>ROUND(Y1*Source!I28,9)</f>
        <v>3.399</v>
      </c>
      <c r="CY1">
        <f>AD1</f>
        <v>0</v>
      </c>
      <c r="CZ1">
        <f>AH1</f>
        <v>0</v>
      </c>
      <c r="DA1">
        <f>AL1</f>
        <v>1</v>
      </c>
      <c r="DB1">
        <f t="shared" ref="DB1:DB6" si="1">ROUND((ROUND(AT1*CZ1,2)*1.1),6)</f>
        <v>0</v>
      </c>
      <c r="DC1">
        <f t="shared" ref="DC1:DC6" si="2">ROUND((ROUND(AT1*AG1,2)*1.1),6)</f>
        <v>0</v>
      </c>
      <c r="DD1" t="s">
        <v>3</v>
      </c>
      <c r="DE1" t="s">
        <v>3</v>
      </c>
      <c r="DF1">
        <f t="shared" ref="DF1:DF13" si="3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4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56959434</v>
      </c>
      <c r="C2">
        <v>56959548</v>
      </c>
      <c r="D2">
        <v>56092340</v>
      </c>
      <c r="E2">
        <v>1</v>
      </c>
      <c r="F2">
        <v>1</v>
      </c>
      <c r="G2">
        <v>1080</v>
      </c>
      <c r="H2">
        <v>2</v>
      </c>
      <c r="I2" t="s">
        <v>503</v>
      </c>
      <c r="J2" t="s">
        <v>504</v>
      </c>
      <c r="K2" t="s">
        <v>505</v>
      </c>
      <c r="L2">
        <v>1368</v>
      </c>
      <c r="N2">
        <v>1011</v>
      </c>
      <c r="O2" t="s">
        <v>506</v>
      </c>
      <c r="P2" t="s">
        <v>506</v>
      </c>
      <c r="Q2">
        <v>1</v>
      </c>
      <c r="W2">
        <v>0</v>
      </c>
      <c r="X2">
        <v>-1985943078</v>
      </c>
      <c r="Y2">
        <f t="shared" si="0"/>
        <v>0.35200000000000004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0.32</v>
      </c>
      <c r="AU2" t="s">
        <v>23</v>
      </c>
      <c r="AV2">
        <v>0</v>
      </c>
      <c r="AW2">
        <v>2</v>
      </c>
      <c r="AX2">
        <v>56960905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4.44224</v>
      </c>
      <c r="CX2">
        <f>ROUND(Y2*Source!I28,9)</f>
        <v>0.35199999999999998</v>
      </c>
      <c r="CY2">
        <f>AB2</f>
        <v>87.01</v>
      </c>
      <c r="CZ2">
        <f>AF2</f>
        <v>83.1</v>
      </c>
      <c r="DA2">
        <f>AJ2</f>
        <v>1</v>
      </c>
      <c r="DB2">
        <f t="shared" si="1"/>
        <v>29.248999999999999</v>
      </c>
      <c r="DC2">
        <f t="shared" si="2"/>
        <v>4.444</v>
      </c>
      <c r="DD2" t="s">
        <v>3</v>
      </c>
      <c r="DE2" t="s">
        <v>3</v>
      </c>
      <c r="DF2">
        <f t="shared" si="3"/>
        <v>0</v>
      </c>
      <c r="DG2">
        <f>ROUND(ROUND(AF2,2)*CX2,2)</f>
        <v>29.25</v>
      </c>
      <c r="DH2">
        <f>ROUND(ROUND(AG2,2)*CX2,2)</f>
        <v>4.4400000000000004</v>
      </c>
      <c r="DI2">
        <f t="shared" si="4"/>
        <v>0</v>
      </c>
      <c r="DJ2">
        <f>DG2</f>
        <v>29.25</v>
      </c>
      <c r="DK2">
        <v>0</v>
      </c>
      <c r="DL2" t="s">
        <v>507</v>
      </c>
      <c r="DM2">
        <v>0</v>
      </c>
      <c r="DN2" t="s">
        <v>502</v>
      </c>
      <c r="DO2">
        <v>12.62</v>
      </c>
    </row>
    <row r="3" spans="1:119" x14ac:dyDescent="0.2">
      <c r="A3">
        <f>ROW(Source!A29)</f>
        <v>29</v>
      </c>
      <c r="B3">
        <v>56959431</v>
      </c>
      <c r="C3">
        <v>56959548</v>
      </c>
      <c r="D3">
        <v>56018166</v>
      </c>
      <c r="E3">
        <v>1080</v>
      </c>
      <c r="F3">
        <v>1</v>
      </c>
      <c r="G3">
        <v>1080</v>
      </c>
      <c r="H3">
        <v>1</v>
      </c>
      <c r="I3" t="s">
        <v>500</v>
      </c>
      <c r="J3" t="s">
        <v>3</v>
      </c>
      <c r="K3" t="s">
        <v>501</v>
      </c>
      <c r="L3">
        <v>1191</v>
      </c>
      <c r="N3">
        <v>1013</v>
      </c>
      <c r="O3" t="s">
        <v>502</v>
      </c>
      <c r="P3" t="s">
        <v>502</v>
      </c>
      <c r="Q3">
        <v>1</v>
      </c>
      <c r="W3">
        <v>0</v>
      </c>
      <c r="X3">
        <v>476480486</v>
      </c>
      <c r="Y3">
        <f t="shared" si="0"/>
        <v>3.399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5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3.09</v>
      </c>
      <c r="AU3" t="s">
        <v>23</v>
      </c>
      <c r="AV3">
        <v>1</v>
      </c>
      <c r="AW3">
        <v>2</v>
      </c>
      <c r="AX3">
        <v>56960904</v>
      </c>
      <c r="AY3">
        <v>1</v>
      </c>
      <c r="AZ3">
        <v>0</v>
      </c>
      <c r="BA3">
        <v>4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ROUND(AT3*Source!I29*AH3*AL3,2)</f>
        <v>0</v>
      </c>
      <c r="CV3">
        <f>ROUND(Y3*Source!I29,9)</f>
        <v>3.399</v>
      </c>
      <c r="CW3">
        <v>0</v>
      </c>
      <c r="CX3">
        <f>ROUND(Y3*Source!I29,9)</f>
        <v>3.399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>ROUND(ROUND(AF3,2)*CX3,2)</f>
        <v>0</v>
      </c>
      <c r="DH3">
        <f>ROUND(ROUND(AG3,2)*CX3,2)</f>
        <v>0</v>
      </c>
      <c r="DI3">
        <f t="shared" si="4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ROW(Source!A29)</f>
        <v>29</v>
      </c>
      <c r="B4">
        <v>56959431</v>
      </c>
      <c r="C4">
        <v>56959548</v>
      </c>
      <c r="D4">
        <v>56092340</v>
      </c>
      <c r="E4">
        <v>1</v>
      </c>
      <c r="F4">
        <v>1</v>
      </c>
      <c r="G4">
        <v>1080</v>
      </c>
      <c r="H4">
        <v>2</v>
      </c>
      <c r="I4" t="s">
        <v>503</v>
      </c>
      <c r="J4" t="s">
        <v>504</v>
      </c>
      <c r="K4" t="s">
        <v>505</v>
      </c>
      <c r="L4">
        <v>1368</v>
      </c>
      <c r="N4">
        <v>1011</v>
      </c>
      <c r="O4" t="s">
        <v>506</v>
      </c>
      <c r="P4" t="s">
        <v>506</v>
      </c>
      <c r="Q4">
        <v>1</v>
      </c>
      <c r="W4">
        <v>0</v>
      </c>
      <c r="X4">
        <v>-1985943078</v>
      </c>
      <c r="Y4">
        <f t="shared" si="0"/>
        <v>0.35200000000000004</v>
      </c>
      <c r="AA4">
        <v>0</v>
      </c>
      <c r="AB4">
        <v>1418.19</v>
      </c>
      <c r="AC4">
        <v>726.59</v>
      </c>
      <c r="AD4">
        <v>0</v>
      </c>
      <c r="AE4">
        <v>0</v>
      </c>
      <c r="AF4">
        <v>83.1</v>
      </c>
      <c r="AG4">
        <v>12.62</v>
      </c>
      <c r="AH4">
        <v>0</v>
      </c>
      <c r="AI4">
        <v>1</v>
      </c>
      <c r="AJ4">
        <v>16.3</v>
      </c>
      <c r="AK4">
        <v>54.99</v>
      </c>
      <c r="AL4">
        <v>1</v>
      </c>
      <c r="AM4">
        <v>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0.32</v>
      </c>
      <c r="AU4" t="s">
        <v>23</v>
      </c>
      <c r="AV4">
        <v>0</v>
      </c>
      <c r="AW4">
        <v>2</v>
      </c>
      <c r="AX4">
        <v>56960905</v>
      </c>
      <c r="AY4">
        <v>1</v>
      </c>
      <c r="AZ4">
        <v>0</v>
      </c>
      <c r="BA4">
        <v>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ROUND(Y4*Source!I29*DO4,9)</f>
        <v>4.44224</v>
      </c>
      <c r="CX4">
        <f>ROUND(Y4*Source!I29,9)</f>
        <v>0.35199999999999998</v>
      </c>
      <c r="CY4">
        <f>AB4</f>
        <v>1418.19</v>
      </c>
      <c r="CZ4">
        <f>AF4</f>
        <v>83.1</v>
      </c>
      <c r="DA4">
        <f>AJ4</f>
        <v>16.3</v>
      </c>
      <c r="DB4">
        <f t="shared" si="1"/>
        <v>29.248999999999999</v>
      </c>
      <c r="DC4">
        <f t="shared" si="2"/>
        <v>4.444</v>
      </c>
      <c r="DD4" t="s">
        <v>3</v>
      </c>
      <c r="DE4" t="s">
        <v>3</v>
      </c>
      <c r="DF4">
        <f t="shared" si="3"/>
        <v>0</v>
      </c>
      <c r="DG4">
        <f>ROUND(ROUND(AF4*AJ4,2)*CX4,2)</f>
        <v>476.79</v>
      </c>
      <c r="DH4">
        <f>ROUND(ROUND(AG4*AK4,2)*CX4,2)</f>
        <v>244.28</v>
      </c>
      <c r="DI4">
        <f t="shared" si="4"/>
        <v>0</v>
      </c>
      <c r="DJ4">
        <f>DG4</f>
        <v>476.79</v>
      </c>
      <c r="DK4">
        <v>0</v>
      </c>
      <c r="DL4" t="s">
        <v>507</v>
      </c>
      <c r="DM4">
        <v>0</v>
      </c>
      <c r="DN4" t="s">
        <v>502</v>
      </c>
      <c r="DO4">
        <v>12.62</v>
      </c>
    </row>
    <row r="5" spans="1:119" x14ac:dyDescent="0.2">
      <c r="A5">
        <f>ROW(Source!A32)</f>
        <v>32</v>
      </c>
      <c r="B5">
        <v>56959434</v>
      </c>
      <c r="C5">
        <v>56959555</v>
      </c>
      <c r="D5">
        <v>56018166</v>
      </c>
      <c r="E5">
        <v>1080</v>
      </c>
      <c r="F5">
        <v>1</v>
      </c>
      <c r="G5">
        <v>1080</v>
      </c>
      <c r="H5">
        <v>1</v>
      </c>
      <c r="I5" t="s">
        <v>500</v>
      </c>
      <c r="J5" t="s">
        <v>3</v>
      </c>
      <c r="K5" t="s">
        <v>501</v>
      </c>
      <c r="L5">
        <v>1191</v>
      </c>
      <c r="N5">
        <v>1013</v>
      </c>
      <c r="O5" t="s">
        <v>502</v>
      </c>
      <c r="P5" t="s">
        <v>502</v>
      </c>
      <c r="Q5">
        <v>1</v>
      </c>
      <c r="W5">
        <v>0</v>
      </c>
      <c r="X5">
        <v>476480486</v>
      </c>
      <c r="Y5">
        <f t="shared" si="0"/>
        <v>2.2000000000000002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</v>
      </c>
      <c r="AU5" t="s">
        <v>23</v>
      </c>
      <c r="AV5">
        <v>1</v>
      </c>
      <c r="AW5">
        <v>2</v>
      </c>
      <c r="AX5">
        <v>56960907</v>
      </c>
      <c r="AY5">
        <v>1</v>
      </c>
      <c r="AZ5">
        <v>0</v>
      </c>
      <c r="BA5">
        <v>7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ROUND(AT5*Source!I32*AH5*AL5,2)</f>
        <v>0</v>
      </c>
      <c r="CV5">
        <f>ROUND(Y5*Source!I32,9)</f>
        <v>2.2000000000000002</v>
      </c>
      <c r="CW5">
        <v>0</v>
      </c>
      <c r="CX5">
        <f>ROUND(Y5*Source!I32,9)</f>
        <v>2.2000000000000002</v>
      </c>
      <c r="CY5">
        <f>AD5</f>
        <v>0</v>
      </c>
      <c r="CZ5">
        <f>AH5</f>
        <v>0</v>
      </c>
      <c r="DA5">
        <f>AL5</f>
        <v>1</v>
      </c>
      <c r="DB5">
        <f t="shared" si="1"/>
        <v>0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ref="DG5:DG12" si="5">ROUND(ROUND(AF5,2)*CX5,2)</f>
        <v>0</v>
      </c>
      <c r="DH5">
        <f t="shared" ref="DH5:DH12" si="6">ROUND(ROUND(AG5,2)*CX5,2)</f>
        <v>0</v>
      </c>
      <c r="DI5">
        <f t="shared" si="4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ROW(Source!A32)</f>
        <v>32</v>
      </c>
      <c r="B6">
        <v>56959434</v>
      </c>
      <c r="C6">
        <v>56959555</v>
      </c>
      <c r="D6">
        <v>56092342</v>
      </c>
      <c r="E6">
        <v>1</v>
      </c>
      <c r="F6">
        <v>1</v>
      </c>
      <c r="G6">
        <v>1080</v>
      </c>
      <c r="H6">
        <v>2</v>
      </c>
      <c r="I6" t="s">
        <v>508</v>
      </c>
      <c r="J6" t="s">
        <v>509</v>
      </c>
      <c r="K6" t="s">
        <v>510</v>
      </c>
      <c r="L6">
        <v>1368</v>
      </c>
      <c r="N6">
        <v>1011</v>
      </c>
      <c r="O6" t="s">
        <v>506</v>
      </c>
      <c r="P6" t="s">
        <v>506</v>
      </c>
      <c r="Q6">
        <v>1</v>
      </c>
      <c r="W6">
        <v>0</v>
      </c>
      <c r="X6">
        <v>1346534067</v>
      </c>
      <c r="Y6">
        <f t="shared" si="0"/>
        <v>2.2000000000000002E-2</v>
      </c>
      <c r="AA6">
        <v>0</v>
      </c>
      <c r="AB6">
        <v>124.67</v>
      </c>
      <c r="AC6">
        <v>13.21</v>
      </c>
      <c r="AD6">
        <v>0</v>
      </c>
      <c r="AE6">
        <v>0</v>
      </c>
      <c r="AF6">
        <v>119.07</v>
      </c>
      <c r="AG6">
        <v>12.62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0.02</v>
      </c>
      <c r="AU6" t="s">
        <v>23</v>
      </c>
      <c r="AV6">
        <v>0</v>
      </c>
      <c r="AW6">
        <v>2</v>
      </c>
      <c r="AX6">
        <v>56960908</v>
      </c>
      <c r="AY6">
        <v>1</v>
      </c>
      <c r="AZ6">
        <v>0</v>
      </c>
      <c r="BA6">
        <v>8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ROUND(Y6*Source!I32*DO6,9)</f>
        <v>0.27764</v>
      </c>
      <c r="CX6">
        <f>ROUND(Y6*Source!I32,9)</f>
        <v>2.1999999999999999E-2</v>
      </c>
      <c r="CY6">
        <f>AB6</f>
        <v>124.67</v>
      </c>
      <c r="CZ6">
        <f>AF6</f>
        <v>119.07</v>
      </c>
      <c r="DA6">
        <f>AJ6</f>
        <v>1</v>
      </c>
      <c r="DB6">
        <f t="shared" si="1"/>
        <v>2.6179999999999999</v>
      </c>
      <c r="DC6">
        <f t="shared" si="2"/>
        <v>0.27500000000000002</v>
      </c>
      <c r="DD6" t="s">
        <v>3</v>
      </c>
      <c r="DE6" t="s">
        <v>3</v>
      </c>
      <c r="DF6">
        <f t="shared" si="3"/>
        <v>0</v>
      </c>
      <c r="DG6">
        <f t="shared" si="5"/>
        <v>2.62</v>
      </c>
      <c r="DH6">
        <f t="shared" si="6"/>
        <v>0.28000000000000003</v>
      </c>
      <c r="DI6">
        <f t="shared" si="4"/>
        <v>0</v>
      </c>
      <c r="DJ6">
        <f>DG6</f>
        <v>2.62</v>
      </c>
      <c r="DK6">
        <v>0</v>
      </c>
      <c r="DL6" t="s">
        <v>507</v>
      </c>
      <c r="DM6">
        <v>0</v>
      </c>
      <c r="DN6" t="s">
        <v>502</v>
      </c>
      <c r="DO6">
        <v>12.62</v>
      </c>
    </row>
    <row r="7" spans="1:119" x14ac:dyDescent="0.2">
      <c r="A7">
        <f>ROW(Source!A32)</f>
        <v>32</v>
      </c>
      <c r="B7">
        <v>56959434</v>
      </c>
      <c r="C7">
        <v>56959555</v>
      </c>
      <c r="D7">
        <v>56061656</v>
      </c>
      <c r="E7">
        <v>1</v>
      </c>
      <c r="F7">
        <v>1</v>
      </c>
      <c r="G7">
        <v>1080</v>
      </c>
      <c r="H7">
        <v>3</v>
      </c>
      <c r="I7" t="s">
        <v>511</v>
      </c>
      <c r="J7" t="s">
        <v>512</v>
      </c>
      <c r="K7" t="s">
        <v>513</v>
      </c>
      <c r="L7">
        <v>1346</v>
      </c>
      <c r="N7">
        <v>1009</v>
      </c>
      <c r="O7" t="s">
        <v>249</v>
      </c>
      <c r="P7" t="s">
        <v>249</v>
      </c>
      <c r="Q7">
        <v>1</v>
      </c>
      <c r="W7">
        <v>0</v>
      </c>
      <c r="X7">
        <v>444134433</v>
      </c>
      <c r="Y7">
        <f>AT7</f>
        <v>0.9</v>
      </c>
      <c r="AA7">
        <v>104.63</v>
      </c>
      <c r="AB7">
        <v>0</v>
      </c>
      <c r="AC7">
        <v>0</v>
      </c>
      <c r="AD7">
        <v>0</v>
      </c>
      <c r="AE7">
        <v>104.63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0.9</v>
      </c>
      <c r="AU7" t="s">
        <v>3</v>
      </c>
      <c r="AV7">
        <v>0</v>
      </c>
      <c r="AW7">
        <v>2</v>
      </c>
      <c r="AX7">
        <v>56960909</v>
      </c>
      <c r="AY7">
        <v>1</v>
      </c>
      <c r="AZ7">
        <v>0</v>
      </c>
      <c r="BA7">
        <v>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ROUND(Y7*Source!I32,9)</f>
        <v>0.9</v>
      </c>
      <c r="CY7">
        <f>AA7</f>
        <v>104.63</v>
      </c>
      <c r="CZ7">
        <f>AE7</f>
        <v>104.63</v>
      </c>
      <c r="DA7">
        <f>AI7</f>
        <v>1</v>
      </c>
      <c r="DB7">
        <f>ROUND(ROUND(AT7*CZ7,2),6)</f>
        <v>94.17</v>
      </c>
      <c r="DC7">
        <f>ROUND(ROUND(AT7*AG7,2),6)</f>
        <v>0</v>
      </c>
      <c r="DD7" t="s">
        <v>3</v>
      </c>
      <c r="DE7" t="s">
        <v>3</v>
      </c>
      <c r="DF7">
        <f t="shared" si="3"/>
        <v>94.17</v>
      </c>
      <c r="DG7">
        <f t="shared" si="5"/>
        <v>0</v>
      </c>
      <c r="DH7">
        <f t="shared" si="6"/>
        <v>0</v>
      </c>
      <c r="DI7">
        <f t="shared" si="4"/>
        <v>0</v>
      </c>
      <c r="DJ7">
        <f>DF7</f>
        <v>94.17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ROW(Source!A32)</f>
        <v>32</v>
      </c>
      <c r="B8">
        <v>56959434</v>
      </c>
      <c r="C8">
        <v>56959555</v>
      </c>
      <c r="D8">
        <v>56063129</v>
      </c>
      <c r="E8">
        <v>1</v>
      </c>
      <c r="F8">
        <v>1</v>
      </c>
      <c r="G8">
        <v>1080</v>
      </c>
      <c r="H8">
        <v>3</v>
      </c>
      <c r="I8" t="s">
        <v>514</v>
      </c>
      <c r="J8" t="s">
        <v>515</v>
      </c>
      <c r="K8" t="s">
        <v>516</v>
      </c>
      <c r="L8">
        <v>1348</v>
      </c>
      <c r="N8">
        <v>1009</v>
      </c>
      <c r="O8" t="s">
        <v>291</v>
      </c>
      <c r="P8" t="s">
        <v>291</v>
      </c>
      <c r="Q8">
        <v>1000</v>
      </c>
      <c r="W8">
        <v>0</v>
      </c>
      <c r="X8">
        <v>1224372165</v>
      </c>
      <c r="Y8">
        <f>AT8</f>
        <v>2.6999999999999999E-5</v>
      </c>
      <c r="AA8">
        <v>15568.37</v>
      </c>
      <c r="AB8">
        <v>0</v>
      </c>
      <c r="AC8">
        <v>0</v>
      </c>
      <c r="AD8">
        <v>0</v>
      </c>
      <c r="AE8">
        <v>15568.37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2.6999999999999999E-5</v>
      </c>
      <c r="AU8" t="s">
        <v>3</v>
      </c>
      <c r="AV8">
        <v>0</v>
      </c>
      <c r="AW8">
        <v>2</v>
      </c>
      <c r="AX8">
        <v>56960910</v>
      </c>
      <c r="AY8">
        <v>1</v>
      </c>
      <c r="AZ8">
        <v>0</v>
      </c>
      <c r="BA8">
        <v>10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2.6999999999999999E-5</v>
      </c>
      <c r="CY8">
        <f>AA8</f>
        <v>15568.37</v>
      </c>
      <c r="CZ8">
        <f>AE8</f>
        <v>15568.37</v>
      </c>
      <c r="DA8">
        <f>AI8</f>
        <v>1</v>
      </c>
      <c r="DB8">
        <f>ROUND(ROUND(AT8*CZ8,2),6)</f>
        <v>0.42</v>
      </c>
      <c r="DC8">
        <f>ROUND(ROUND(AT8*AG8,2),6)</f>
        <v>0</v>
      </c>
      <c r="DD8" t="s">
        <v>3</v>
      </c>
      <c r="DE8" t="s">
        <v>3</v>
      </c>
      <c r="DF8">
        <f t="shared" si="3"/>
        <v>0.42</v>
      </c>
      <c r="DG8">
        <f t="shared" si="5"/>
        <v>0</v>
      </c>
      <c r="DH8">
        <f t="shared" si="6"/>
        <v>0</v>
      </c>
      <c r="DI8">
        <f t="shared" si="4"/>
        <v>0</v>
      </c>
      <c r="DJ8">
        <f>DF8</f>
        <v>0.42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ROW(Source!A32)</f>
        <v>32</v>
      </c>
      <c r="B9">
        <v>56959434</v>
      </c>
      <c r="C9">
        <v>56959555</v>
      </c>
      <c r="D9">
        <v>56067341</v>
      </c>
      <c r="E9">
        <v>1</v>
      </c>
      <c r="F9">
        <v>1</v>
      </c>
      <c r="G9">
        <v>1080</v>
      </c>
      <c r="H9">
        <v>3</v>
      </c>
      <c r="I9" t="s">
        <v>517</v>
      </c>
      <c r="J9" t="s">
        <v>518</v>
      </c>
      <c r="K9" t="s">
        <v>519</v>
      </c>
      <c r="L9">
        <v>1355</v>
      </c>
      <c r="N9">
        <v>1010</v>
      </c>
      <c r="O9" t="s">
        <v>520</v>
      </c>
      <c r="P9" t="s">
        <v>520</v>
      </c>
      <c r="Q9">
        <v>100</v>
      </c>
      <c r="W9">
        <v>0</v>
      </c>
      <c r="X9">
        <v>-1616851610</v>
      </c>
      <c r="Y9">
        <f>AT9</f>
        <v>0.12</v>
      </c>
      <c r="AA9">
        <v>120.19</v>
      </c>
      <c r="AB9">
        <v>0</v>
      </c>
      <c r="AC9">
        <v>0</v>
      </c>
      <c r="AD9">
        <v>0</v>
      </c>
      <c r="AE9">
        <v>120.19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0.12</v>
      </c>
      <c r="AU9" t="s">
        <v>3</v>
      </c>
      <c r="AV9">
        <v>0</v>
      </c>
      <c r="AW9">
        <v>2</v>
      </c>
      <c r="AX9">
        <v>56960911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ROUND(Y9*Source!I32,9)</f>
        <v>0.12</v>
      </c>
      <c r="CY9">
        <f>AA9</f>
        <v>120.19</v>
      </c>
      <c r="CZ9">
        <f>AE9</f>
        <v>120.19</v>
      </c>
      <c r="DA9">
        <f>AI9</f>
        <v>1</v>
      </c>
      <c r="DB9">
        <f>ROUND(ROUND(AT9*CZ9,2),6)</f>
        <v>14.42</v>
      </c>
      <c r="DC9">
        <f>ROUND(ROUND(AT9*AG9,2),6)</f>
        <v>0</v>
      </c>
      <c r="DD9" t="s">
        <v>3</v>
      </c>
      <c r="DE9" t="s">
        <v>3</v>
      </c>
      <c r="DF9">
        <f t="shared" si="3"/>
        <v>14.42</v>
      </c>
      <c r="DG9">
        <f t="shared" si="5"/>
        <v>0</v>
      </c>
      <c r="DH9">
        <f t="shared" si="6"/>
        <v>0</v>
      </c>
      <c r="DI9">
        <f t="shared" si="4"/>
        <v>0</v>
      </c>
      <c r="DJ9">
        <f>DF9</f>
        <v>14.42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ROW(Source!A32)</f>
        <v>32</v>
      </c>
      <c r="B10">
        <v>56959434</v>
      </c>
      <c r="C10">
        <v>56959555</v>
      </c>
      <c r="D10">
        <v>56083520</v>
      </c>
      <c r="E10">
        <v>1</v>
      </c>
      <c r="F10">
        <v>1</v>
      </c>
      <c r="G10">
        <v>1080</v>
      </c>
      <c r="H10">
        <v>3</v>
      </c>
      <c r="I10" t="s">
        <v>44</v>
      </c>
      <c r="J10" t="s">
        <v>46</v>
      </c>
      <c r="K10" t="s">
        <v>45</v>
      </c>
      <c r="L10">
        <v>1354</v>
      </c>
      <c r="N10">
        <v>1010</v>
      </c>
      <c r="O10" t="s">
        <v>31</v>
      </c>
      <c r="P10" t="s">
        <v>31</v>
      </c>
      <c r="Q10">
        <v>1</v>
      </c>
      <c r="W10">
        <v>0</v>
      </c>
      <c r="X10">
        <v>672353504</v>
      </c>
      <c r="Y10">
        <f>AT10</f>
        <v>1</v>
      </c>
      <c r="AA10">
        <v>1975.19</v>
      </c>
      <c r="AB10">
        <v>0</v>
      </c>
      <c r="AC10">
        <v>0</v>
      </c>
      <c r="AD10">
        <v>0</v>
      </c>
      <c r="AE10">
        <v>1975.19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3</v>
      </c>
      <c r="AT10">
        <v>1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ROUND(Y10*Source!I32,9)</f>
        <v>1</v>
      </c>
      <c r="CY10">
        <f>AA10</f>
        <v>1975.19</v>
      </c>
      <c r="CZ10">
        <f>AE10</f>
        <v>1975.19</v>
      </c>
      <c r="DA10">
        <f>AI10</f>
        <v>1</v>
      </c>
      <c r="DB10">
        <f>ROUND(ROUND(AT10*CZ10,2),6)</f>
        <v>1975.19</v>
      </c>
      <c r="DC10">
        <f>ROUND(ROUND(AT10*AG10,2),6)</f>
        <v>0</v>
      </c>
      <c r="DD10" t="s">
        <v>3</v>
      </c>
      <c r="DE10" t="s">
        <v>3</v>
      </c>
      <c r="DF10">
        <f t="shared" si="3"/>
        <v>1975.19</v>
      </c>
      <c r="DG10">
        <f t="shared" si="5"/>
        <v>0</v>
      </c>
      <c r="DH10">
        <f t="shared" si="6"/>
        <v>0</v>
      </c>
      <c r="DI10">
        <f t="shared" si="4"/>
        <v>0</v>
      </c>
      <c r="DJ10">
        <f>DF10</f>
        <v>1975.19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56959434</v>
      </c>
      <c r="C11">
        <v>56959555</v>
      </c>
      <c r="D11">
        <v>56023168</v>
      </c>
      <c r="E11">
        <v>1080</v>
      </c>
      <c r="F11">
        <v>1</v>
      </c>
      <c r="G11">
        <v>1080</v>
      </c>
      <c r="H11">
        <v>3</v>
      </c>
      <c r="I11" t="s">
        <v>521</v>
      </c>
      <c r="J11" t="s">
        <v>3</v>
      </c>
      <c r="K11" t="s">
        <v>522</v>
      </c>
      <c r="L11">
        <v>1348</v>
      </c>
      <c r="N11">
        <v>1009</v>
      </c>
      <c r="O11" t="s">
        <v>291</v>
      </c>
      <c r="P11" t="s">
        <v>291</v>
      </c>
      <c r="Q11">
        <v>1000</v>
      </c>
      <c r="W11">
        <v>0</v>
      </c>
      <c r="X11">
        <v>-783086922</v>
      </c>
      <c r="Y11">
        <f>AT11</f>
        <v>2.7E-2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2.7E-2</v>
      </c>
      <c r="AU11" t="s">
        <v>3</v>
      </c>
      <c r="AV11">
        <v>0</v>
      </c>
      <c r="AW11">
        <v>2</v>
      </c>
      <c r="AX11">
        <v>56960913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ROUND(Y11*Source!I32,9)</f>
        <v>2.7E-2</v>
      </c>
      <c r="CY11">
        <f>AA11</f>
        <v>0</v>
      </c>
      <c r="CZ11">
        <f>AE11</f>
        <v>0</v>
      </c>
      <c r="DA11">
        <f>AI11</f>
        <v>1</v>
      </c>
      <c r="DB11">
        <f>ROUND(ROUND(AT11*CZ11,2),6)</f>
        <v>0</v>
      </c>
      <c r="DC11">
        <f>ROUND(ROUND(AT11*AG11,2),6)</f>
        <v>0</v>
      </c>
      <c r="DD11" t="s">
        <v>3</v>
      </c>
      <c r="DE11" t="s">
        <v>3</v>
      </c>
      <c r="DF11">
        <f t="shared" si="3"/>
        <v>0</v>
      </c>
      <c r="DG11">
        <f t="shared" si="5"/>
        <v>0</v>
      </c>
      <c r="DH11">
        <f t="shared" si="6"/>
        <v>0</v>
      </c>
      <c r="DI11">
        <f t="shared" si="4"/>
        <v>0</v>
      </c>
      <c r="DJ11">
        <f>DF11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ROW(Source!A33)</f>
        <v>33</v>
      </c>
      <c r="B12">
        <v>56959431</v>
      </c>
      <c r="C12">
        <v>56959555</v>
      </c>
      <c r="D12">
        <v>56018166</v>
      </c>
      <c r="E12">
        <v>1080</v>
      </c>
      <c r="F12">
        <v>1</v>
      </c>
      <c r="G12">
        <v>1080</v>
      </c>
      <c r="H12">
        <v>1</v>
      </c>
      <c r="I12" t="s">
        <v>500</v>
      </c>
      <c r="J12" t="s">
        <v>3</v>
      </c>
      <c r="K12" t="s">
        <v>501</v>
      </c>
      <c r="L12">
        <v>1191</v>
      </c>
      <c r="N12">
        <v>1013</v>
      </c>
      <c r="O12" t="s">
        <v>502</v>
      </c>
      <c r="P12" t="s">
        <v>502</v>
      </c>
      <c r="Q12">
        <v>1</v>
      </c>
      <c r="W12">
        <v>0</v>
      </c>
      <c r="X12">
        <v>476480486</v>
      </c>
      <c r="Y12">
        <f>(AT12*1.1)</f>
        <v>2.2000000000000002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5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</v>
      </c>
      <c r="AU12" t="s">
        <v>23</v>
      </c>
      <c r="AV12">
        <v>1</v>
      </c>
      <c r="AW12">
        <v>2</v>
      </c>
      <c r="AX12">
        <v>56960907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U12">
        <f>ROUND(AT12*Source!I33*AH12*AL12,2)</f>
        <v>0</v>
      </c>
      <c r="CV12">
        <f>ROUND(Y12*Source!I33,9)</f>
        <v>2.2000000000000002</v>
      </c>
      <c r="CW12">
        <v>0</v>
      </c>
      <c r="CX12">
        <f>ROUND(Y12*Source!I33,9)</f>
        <v>2.2000000000000002</v>
      </c>
      <c r="CY12">
        <f>AD12</f>
        <v>0</v>
      </c>
      <c r="CZ12">
        <f>AH12</f>
        <v>0</v>
      </c>
      <c r="DA12">
        <f>AL12</f>
        <v>1</v>
      </c>
      <c r="DB12">
        <f>ROUND((ROUND(AT12*CZ12,2)*1.1),6)</f>
        <v>0</v>
      </c>
      <c r="DC12">
        <f>ROUND((ROUND(AT12*AG12,2)*1.1),6)</f>
        <v>0</v>
      </c>
      <c r="DD12" t="s">
        <v>3</v>
      </c>
      <c r="DE12" t="s">
        <v>3</v>
      </c>
      <c r="DF12">
        <f t="shared" si="3"/>
        <v>0</v>
      </c>
      <c r="DG12">
        <f t="shared" si="5"/>
        <v>0</v>
      </c>
      <c r="DH12">
        <f t="shared" si="6"/>
        <v>0</v>
      </c>
      <c r="DI12">
        <f t="shared" si="4"/>
        <v>0</v>
      </c>
      <c r="DJ12">
        <f>DI12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ROW(Source!A33)</f>
        <v>33</v>
      </c>
      <c r="B13">
        <v>56959431</v>
      </c>
      <c r="C13">
        <v>56959555</v>
      </c>
      <c r="D13">
        <v>56092342</v>
      </c>
      <c r="E13">
        <v>1</v>
      </c>
      <c r="F13">
        <v>1</v>
      </c>
      <c r="G13">
        <v>1080</v>
      </c>
      <c r="H13">
        <v>2</v>
      </c>
      <c r="I13" t="s">
        <v>508</v>
      </c>
      <c r="J13" t="s">
        <v>509</v>
      </c>
      <c r="K13" t="s">
        <v>510</v>
      </c>
      <c r="L13">
        <v>1368</v>
      </c>
      <c r="N13">
        <v>1011</v>
      </c>
      <c r="O13" t="s">
        <v>506</v>
      </c>
      <c r="P13" t="s">
        <v>506</v>
      </c>
      <c r="Q13">
        <v>1</v>
      </c>
      <c r="W13">
        <v>0</v>
      </c>
      <c r="X13">
        <v>1346534067</v>
      </c>
      <c r="Y13">
        <f>(AT13*1.1)</f>
        <v>2.2000000000000002E-2</v>
      </c>
      <c r="AA13">
        <v>0</v>
      </c>
      <c r="AB13">
        <v>1742.83</v>
      </c>
      <c r="AC13">
        <v>726.59</v>
      </c>
      <c r="AD13">
        <v>0</v>
      </c>
      <c r="AE13">
        <v>0</v>
      </c>
      <c r="AF13">
        <v>119.07</v>
      </c>
      <c r="AG13">
        <v>12.62</v>
      </c>
      <c r="AH13">
        <v>0</v>
      </c>
      <c r="AI13">
        <v>1</v>
      </c>
      <c r="AJ13">
        <v>13.98</v>
      </c>
      <c r="AK13">
        <v>54.99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0.02</v>
      </c>
      <c r="AU13" t="s">
        <v>23</v>
      </c>
      <c r="AV13">
        <v>0</v>
      </c>
      <c r="AW13">
        <v>2</v>
      </c>
      <c r="AX13">
        <v>56960908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ROUND(Y13*Source!I33*DO13,9)</f>
        <v>0.27764</v>
      </c>
      <c r="CX13">
        <f>ROUND(Y13*Source!I33,9)</f>
        <v>2.1999999999999999E-2</v>
      </c>
      <c r="CY13">
        <f>AB13</f>
        <v>1742.83</v>
      </c>
      <c r="CZ13">
        <f>AF13</f>
        <v>119.07</v>
      </c>
      <c r="DA13">
        <f>AJ13</f>
        <v>13.98</v>
      </c>
      <c r="DB13">
        <f>ROUND((ROUND(AT13*CZ13,2)*1.1),6)</f>
        <v>2.6179999999999999</v>
      </c>
      <c r="DC13">
        <f>ROUND((ROUND(AT13*AG13,2)*1.1),6)</f>
        <v>0.27500000000000002</v>
      </c>
      <c r="DD13" t="s">
        <v>3</v>
      </c>
      <c r="DE13" t="s">
        <v>3</v>
      </c>
      <c r="DF13">
        <f t="shared" si="3"/>
        <v>0</v>
      </c>
      <c r="DG13">
        <f>ROUND(ROUND(AF13*AJ13,2)*CX13,2)</f>
        <v>36.619999999999997</v>
      </c>
      <c r="DH13">
        <f>ROUND(ROUND(AG13*AK13,2)*CX13,2)</f>
        <v>15.27</v>
      </c>
      <c r="DI13">
        <f t="shared" si="4"/>
        <v>0</v>
      </c>
      <c r="DJ13">
        <f>DG13</f>
        <v>36.619999999999997</v>
      </c>
      <c r="DK13">
        <v>0</v>
      </c>
      <c r="DL13" t="s">
        <v>507</v>
      </c>
      <c r="DM13">
        <v>0</v>
      </c>
      <c r="DN13" t="s">
        <v>502</v>
      </c>
      <c r="DO13">
        <v>12.62</v>
      </c>
    </row>
    <row r="14" spans="1:119" x14ac:dyDescent="0.2">
      <c r="A14">
        <f>ROW(Source!A33)</f>
        <v>33</v>
      </c>
      <c r="B14">
        <v>56959431</v>
      </c>
      <c r="C14">
        <v>56959555</v>
      </c>
      <c r="D14">
        <v>56061656</v>
      </c>
      <c r="E14">
        <v>1</v>
      </c>
      <c r="F14">
        <v>1</v>
      </c>
      <c r="G14">
        <v>1080</v>
      </c>
      <c r="H14">
        <v>3</v>
      </c>
      <c r="I14" t="s">
        <v>511</v>
      </c>
      <c r="J14" t="s">
        <v>512</v>
      </c>
      <c r="K14" t="s">
        <v>513</v>
      </c>
      <c r="L14">
        <v>1346</v>
      </c>
      <c r="N14">
        <v>1009</v>
      </c>
      <c r="O14" t="s">
        <v>249</v>
      </c>
      <c r="P14" t="s">
        <v>249</v>
      </c>
      <c r="Q14">
        <v>1</v>
      </c>
      <c r="W14">
        <v>0</v>
      </c>
      <c r="X14">
        <v>444134433</v>
      </c>
      <c r="Y14">
        <f>AT14</f>
        <v>0.9</v>
      </c>
      <c r="AA14">
        <v>183.1</v>
      </c>
      <c r="AB14">
        <v>0</v>
      </c>
      <c r="AC14">
        <v>0</v>
      </c>
      <c r="AD14">
        <v>0</v>
      </c>
      <c r="AE14">
        <v>104.63</v>
      </c>
      <c r="AF14">
        <v>0</v>
      </c>
      <c r="AG14">
        <v>0</v>
      </c>
      <c r="AH14">
        <v>0</v>
      </c>
      <c r="AI14">
        <v>1.75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0.9</v>
      </c>
      <c r="AU14" t="s">
        <v>3</v>
      </c>
      <c r="AV14">
        <v>0</v>
      </c>
      <c r="AW14">
        <v>2</v>
      </c>
      <c r="AX14">
        <v>56960909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ROUND(Y14*Source!I33,9)</f>
        <v>0.9</v>
      </c>
      <c r="CY14">
        <f>AA14</f>
        <v>183.1</v>
      </c>
      <c r="CZ14">
        <f>AE14</f>
        <v>104.63</v>
      </c>
      <c r="DA14">
        <f>AI14</f>
        <v>1.75</v>
      </c>
      <c r="DB14">
        <f>ROUND(ROUND(AT14*CZ14,2),6)</f>
        <v>94.17</v>
      </c>
      <c r="DC14">
        <f>ROUND(ROUND(AT14*AG14,2),6)</f>
        <v>0</v>
      </c>
      <c r="DD14" t="s">
        <v>3</v>
      </c>
      <c r="DE14" t="s">
        <v>3</v>
      </c>
      <c r="DF14">
        <f>ROUND(ROUND(AE14*AI14,2)*CX14,2)</f>
        <v>164.79</v>
      </c>
      <c r="DG14">
        <f t="shared" ref="DG14:DG21" si="7">ROUND(ROUND(AF14,2)*CX14,2)</f>
        <v>0</v>
      </c>
      <c r="DH14">
        <f t="shared" ref="DH14:DH21" si="8">ROUND(ROUND(AG14,2)*CX14,2)</f>
        <v>0</v>
      </c>
      <c r="DI14">
        <f t="shared" si="4"/>
        <v>0</v>
      </c>
      <c r="DJ14">
        <f>DF14</f>
        <v>164.79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ROW(Source!A33)</f>
        <v>33</v>
      </c>
      <c r="B15">
        <v>56959431</v>
      </c>
      <c r="C15">
        <v>56959555</v>
      </c>
      <c r="D15">
        <v>56063129</v>
      </c>
      <c r="E15">
        <v>1</v>
      </c>
      <c r="F15">
        <v>1</v>
      </c>
      <c r="G15">
        <v>1080</v>
      </c>
      <c r="H15">
        <v>3</v>
      </c>
      <c r="I15" t="s">
        <v>514</v>
      </c>
      <c r="J15" t="s">
        <v>515</v>
      </c>
      <c r="K15" t="s">
        <v>516</v>
      </c>
      <c r="L15">
        <v>1348</v>
      </c>
      <c r="N15">
        <v>1009</v>
      </c>
      <c r="O15" t="s">
        <v>291</v>
      </c>
      <c r="P15" t="s">
        <v>291</v>
      </c>
      <c r="Q15">
        <v>1000</v>
      </c>
      <c r="W15">
        <v>0</v>
      </c>
      <c r="X15">
        <v>1224372165</v>
      </c>
      <c r="Y15">
        <f>AT15</f>
        <v>2.6999999999999999E-5</v>
      </c>
      <c r="AA15">
        <v>176389.63</v>
      </c>
      <c r="AB15">
        <v>0</v>
      </c>
      <c r="AC15">
        <v>0</v>
      </c>
      <c r="AD15">
        <v>0</v>
      </c>
      <c r="AE15">
        <v>15568.37</v>
      </c>
      <c r="AF15">
        <v>0</v>
      </c>
      <c r="AG15">
        <v>0</v>
      </c>
      <c r="AH15">
        <v>0</v>
      </c>
      <c r="AI15">
        <v>11.33</v>
      </c>
      <c r="AJ15">
        <v>1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2.6999999999999999E-5</v>
      </c>
      <c r="AU15" t="s">
        <v>3</v>
      </c>
      <c r="AV15">
        <v>0</v>
      </c>
      <c r="AW15">
        <v>2</v>
      </c>
      <c r="AX15">
        <v>56960910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ROUND(Y15*Source!I33,9)</f>
        <v>2.6999999999999999E-5</v>
      </c>
      <c r="CY15">
        <f>AA15</f>
        <v>176389.63</v>
      </c>
      <c r="CZ15">
        <f>AE15</f>
        <v>15568.37</v>
      </c>
      <c r="DA15">
        <f>AI15</f>
        <v>11.33</v>
      </c>
      <c r="DB15">
        <f>ROUND(ROUND(AT15*CZ15,2),6)</f>
        <v>0.42</v>
      </c>
      <c r="DC15">
        <f>ROUND(ROUND(AT15*AG15,2),6)</f>
        <v>0</v>
      </c>
      <c r="DD15" t="s">
        <v>3</v>
      </c>
      <c r="DE15" t="s">
        <v>3</v>
      </c>
      <c r="DF15">
        <f>ROUND(ROUND(AE15*AI15,2)*CX15,2)</f>
        <v>4.76</v>
      </c>
      <c r="DG15">
        <f t="shared" si="7"/>
        <v>0</v>
      </c>
      <c r="DH15">
        <f t="shared" si="8"/>
        <v>0</v>
      </c>
      <c r="DI15">
        <f t="shared" si="4"/>
        <v>0</v>
      </c>
      <c r="DJ15">
        <f>DF15</f>
        <v>4.76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ROW(Source!A33)</f>
        <v>33</v>
      </c>
      <c r="B16">
        <v>56959431</v>
      </c>
      <c r="C16">
        <v>56959555</v>
      </c>
      <c r="D16">
        <v>56067341</v>
      </c>
      <c r="E16">
        <v>1</v>
      </c>
      <c r="F16">
        <v>1</v>
      </c>
      <c r="G16">
        <v>1080</v>
      </c>
      <c r="H16">
        <v>3</v>
      </c>
      <c r="I16" t="s">
        <v>517</v>
      </c>
      <c r="J16" t="s">
        <v>518</v>
      </c>
      <c r="K16" t="s">
        <v>519</v>
      </c>
      <c r="L16">
        <v>1355</v>
      </c>
      <c r="N16">
        <v>1010</v>
      </c>
      <c r="O16" t="s">
        <v>520</v>
      </c>
      <c r="P16" t="s">
        <v>520</v>
      </c>
      <c r="Q16">
        <v>100</v>
      </c>
      <c r="W16">
        <v>0</v>
      </c>
      <c r="X16">
        <v>-1616851610</v>
      </c>
      <c r="Y16">
        <f>AT16</f>
        <v>0.12</v>
      </c>
      <c r="AA16">
        <v>1542.04</v>
      </c>
      <c r="AB16">
        <v>0</v>
      </c>
      <c r="AC16">
        <v>0</v>
      </c>
      <c r="AD16">
        <v>0</v>
      </c>
      <c r="AE16">
        <v>120.19</v>
      </c>
      <c r="AF16">
        <v>0</v>
      </c>
      <c r="AG16">
        <v>0</v>
      </c>
      <c r="AH16">
        <v>0</v>
      </c>
      <c r="AI16">
        <v>12.83</v>
      </c>
      <c r="AJ16">
        <v>1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0.12</v>
      </c>
      <c r="AU16" t="s">
        <v>3</v>
      </c>
      <c r="AV16">
        <v>0</v>
      </c>
      <c r="AW16">
        <v>2</v>
      </c>
      <c r="AX16">
        <v>56960911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ROUND(Y16*Source!I33,9)</f>
        <v>0.12</v>
      </c>
      <c r="CY16">
        <f>AA16</f>
        <v>1542.04</v>
      </c>
      <c r="CZ16">
        <f>AE16</f>
        <v>120.19</v>
      </c>
      <c r="DA16">
        <f>AI16</f>
        <v>12.83</v>
      </c>
      <c r="DB16">
        <f>ROUND(ROUND(AT16*CZ16,2),6)</f>
        <v>14.42</v>
      </c>
      <c r="DC16">
        <f>ROUND(ROUND(AT16*AG16,2),6)</f>
        <v>0</v>
      </c>
      <c r="DD16" t="s">
        <v>3</v>
      </c>
      <c r="DE16" t="s">
        <v>3</v>
      </c>
      <c r="DF16">
        <f>ROUND(ROUND(AE16*AI16,2)*CX16,2)</f>
        <v>185.04</v>
      </c>
      <c r="DG16">
        <f t="shared" si="7"/>
        <v>0</v>
      </c>
      <c r="DH16">
        <f t="shared" si="8"/>
        <v>0</v>
      </c>
      <c r="DI16">
        <f t="shared" si="4"/>
        <v>0</v>
      </c>
      <c r="DJ16">
        <f>DF16</f>
        <v>185.04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ROW(Source!A33)</f>
        <v>33</v>
      </c>
      <c r="B17">
        <v>56959431</v>
      </c>
      <c r="C17">
        <v>56959555</v>
      </c>
      <c r="D17">
        <v>56083520</v>
      </c>
      <c r="E17">
        <v>1</v>
      </c>
      <c r="F17">
        <v>1</v>
      </c>
      <c r="G17">
        <v>1080</v>
      </c>
      <c r="H17">
        <v>3</v>
      </c>
      <c r="I17" t="s">
        <v>44</v>
      </c>
      <c r="J17" t="s">
        <v>46</v>
      </c>
      <c r="K17" t="s">
        <v>45</v>
      </c>
      <c r="L17">
        <v>1354</v>
      </c>
      <c r="N17">
        <v>1010</v>
      </c>
      <c r="O17" t="s">
        <v>31</v>
      </c>
      <c r="P17" t="s">
        <v>31</v>
      </c>
      <c r="Q17">
        <v>1</v>
      </c>
      <c r="W17">
        <v>0</v>
      </c>
      <c r="X17">
        <v>672353504</v>
      </c>
      <c r="Y17">
        <f>AT17</f>
        <v>1</v>
      </c>
      <c r="AA17">
        <v>13549.8</v>
      </c>
      <c r="AB17">
        <v>0</v>
      </c>
      <c r="AC17">
        <v>0</v>
      </c>
      <c r="AD17">
        <v>0</v>
      </c>
      <c r="AE17">
        <v>1975.19</v>
      </c>
      <c r="AF17">
        <v>0</v>
      </c>
      <c r="AG17">
        <v>0</v>
      </c>
      <c r="AH17">
        <v>0</v>
      </c>
      <c r="AI17">
        <v>6.86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3</v>
      </c>
      <c r="AT17">
        <v>1</v>
      </c>
      <c r="AU17" t="s">
        <v>3</v>
      </c>
      <c r="AV17">
        <v>0</v>
      </c>
      <c r="AW17">
        <v>1</v>
      </c>
      <c r="AX17">
        <v>-1</v>
      </c>
      <c r="AY17">
        <v>0</v>
      </c>
      <c r="AZ17">
        <v>0</v>
      </c>
      <c r="BA17" t="s">
        <v>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ROUND(Y17*Source!I33,9)</f>
        <v>1</v>
      </c>
      <c r="CY17">
        <f>AA17</f>
        <v>13549.8</v>
      </c>
      <c r="CZ17">
        <f>AE17</f>
        <v>1975.19</v>
      </c>
      <c r="DA17">
        <f>AI17</f>
        <v>6.86</v>
      </c>
      <c r="DB17">
        <f>ROUND(ROUND(AT17*CZ17,2),6)</f>
        <v>1975.19</v>
      </c>
      <c r="DC17">
        <f>ROUND(ROUND(AT17*AG17,2),6)</f>
        <v>0</v>
      </c>
      <c r="DD17" t="s">
        <v>3</v>
      </c>
      <c r="DE17" t="s">
        <v>3</v>
      </c>
      <c r="DF17">
        <f>ROUND(ROUND(AE17*AI17,2)*CX17,2)</f>
        <v>13549.8</v>
      </c>
      <c r="DG17">
        <f t="shared" si="7"/>
        <v>0</v>
      </c>
      <c r="DH17">
        <f t="shared" si="8"/>
        <v>0</v>
      </c>
      <c r="DI17">
        <f t="shared" si="4"/>
        <v>0</v>
      </c>
      <c r="DJ17">
        <f>DF17</f>
        <v>13549.8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ROW(Source!A33)</f>
        <v>33</v>
      </c>
      <c r="B18">
        <v>56959431</v>
      </c>
      <c r="C18">
        <v>56959555</v>
      </c>
      <c r="D18">
        <v>56023168</v>
      </c>
      <c r="E18">
        <v>1080</v>
      </c>
      <c r="F18">
        <v>1</v>
      </c>
      <c r="G18">
        <v>1080</v>
      </c>
      <c r="H18">
        <v>3</v>
      </c>
      <c r="I18" t="s">
        <v>521</v>
      </c>
      <c r="J18" t="s">
        <v>3</v>
      </c>
      <c r="K18" t="s">
        <v>522</v>
      </c>
      <c r="L18">
        <v>1348</v>
      </c>
      <c r="N18">
        <v>1009</v>
      </c>
      <c r="O18" t="s">
        <v>291</v>
      </c>
      <c r="P18" t="s">
        <v>291</v>
      </c>
      <c r="Q18">
        <v>1000</v>
      </c>
      <c r="W18">
        <v>0</v>
      </c>
      <c r="X18">
        <v>-783086922</v>
      </c>
      <c r="Y18">
        <f>AT18</f>
        <v>2.7E-2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9.8800000000000008</v>
      </c>
      <c r="AJ18">
        <v>1</v>
      </c>
      <c r="AK18">
        <v>1</v>
      </c>
      <c r="AL18">
        <v>1</v>
      </c>
      <c r="AM18">
        <v>5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2.7E-2</v>
      </c>
      <c r="AU18" t="s">
        <v>3</v>
      </c>
      <c r="AV18">
        <v>0</v>
      </c>
      <c r="AW18">
        <v>2</v>
      </c>
      <c r="AX18">
        <v>56960913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ROUND(Y18*Source!I33,9)</f>
        <v>2.7E-2</v>
      </c>
      <c r="CY18">
        <f>AA18</f>
        <v>0</v>
      </c>
      <c r="CZ18">
        <f>AE18</f>
        <v>0</v>
      </c>
      <c r="DA18">
        <f>AI18</f>
        <v>9.8800000000000008</v>
      </c>
      <c r="DB18">
        <f>ROUND(ROUND(AT18*CZ18,2),6)</f>
        <v>0</v>
      </c>
      <c r="DC18">
        <f>ROUND(ROUND(AT18*AG18,2),6)</f>
        <v>0</v>
      </c>
      <c r="DD18" t="s">
        <v>3</v>
      </c>
      <c r="DE18" t="s">
        <v>3</v>
      </c>
      <c r="DF18">
        <f>ROUND(ROUND(AE18*AI18,2)*CX18,2)</f>
        <v>0</v>
      </c>
      <c r="DG18">
        <f t="shared" si="7"/>
        <v>0</v>
      </c>
      <c r="DH18">
        <f t="shared" si="8"/>
        <v>0</v>
      </c>
      <c r="DI18">
        <f t="shared" si="4"/>
        <v>0</v>
      </c>
      <c r="DJ18">
        <f>DF18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ROW(Source!A36)</f>
        <v>36</v>
      </c>
      <c r="B19">
        <v>56959434</v>
      </c>
      <c r="C19">
        <v>56959571</v>
      </c>
      <c r="D19">
        <v>56018166</v>
      </c>
      <c r="E19">
        <v>1080</v>
      </c>
      <c r="F19">
        <v>1</v>
      </c>
      <c r="G19">
        <v>1080</v>
      </c>
      <c r="H19">
        <v>1</v>
      </c>
      <c r="I19" t="s">
        <v>500</v>
      </c>
      <c r="J19" t="s">
        <v>3</v>
      </c>
      <c r="K19" t="s">
        <v>501</v>
      </c>
      <c r="L19">
        <v>1191</v>
      </c>
      <c r="N19">
        <v>1013</v>
      </c>
      <c r="O19" t="s">
        <v>502</v>
      </c>
      <c r="P19" t="s">
        <v>502</v>
      </c>
      <c r="Q19">
        <v>1</v>
      </c>
      <c r="W19">
        <v>0</v>
      </c>
      <c r="X19">
        <v>476480486</v>
      </c>
      <c r="Y19">
        <f t="shared" ref="Y19:Y25" si="9">(AT19*1.1)</f>
        <v>1.1330000000000002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1.03</v>
      </c>
      <c r="AU19" t="s">
        <v>23</v>
      </c>
      <c r="AV19">
        <v>1</v>
      </c>
      <c r="AW19">
        <v>2</v>
      </c>
      <c r="AX19">
        <v>56960914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ROUND(AT19*Source!I36*AH19*AL19,2)</f>
        <v>0</v>
      </c>
      <c r="CV19">
        <f>ROUND(Y19*Source!I36,9)</f>
        <v>1.133</v>
      </c>
      <c r="CW19">
        <v>0</v>
      </c>
      <c r="CX19">
        <f>ROUND(Y19*Source!I36,9)</f>
        <v>1.133</v>
      </c>
      <c r="CY19">
        <f>AD19</f>
        <v>0</v>
      </c>
      <c r="CZ19">
        <f>AH19</f>
        <v>0</v>
      </c>
      <c r="DA19">
        <f>AL19</f>
        <v>1</v>
      </c>
      <c r="DB19">
        <f t="shared" ref="DB19:DB25" si="10">ROUND((ROUND(AT19*CZ19,2)*1.1),6)</f>
        <v>0</v>
      </c>
      <c r="DC19">
        <f t="shared" ref="DC19:DC25" si="11">ROUND((ROUND(AT19*AG19,2)*1.1),6)</f>
        <v>0</v>
      </c>
      <c r="DD19" t="s">
        <v>3</v>
      </c>
      <c r="DE19" t="s">
        <v>3</v>
      </c>
      <c r="DF19">
        <f t="shared" ref="DF19:DF29" si="12">ROUND(ROUND(AE19,2)*CX19,2)</f>
        <v>0</v>
      </c>
      <c r="DG19">
        <f t="shared" si="7"/>
        <v>0</v>
      </c>
      <c r="DH19">
        <f t="shared" si="8"/>
        <v>0</v>
      </c>
      <c r="DI19">
        <f t="shared" si="4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ROW(Source!A36)</f>
        <v>36</v>
      </c>
      <c r="B20">
        <v>56959434</v>
      </c>
      <c r="C20">
        <v>56959571</v>
      </c>
      <c r="D20">
        <v>56092340</v>
      </c>
      <c r="E20">
        <v>1</v>
      </c>
      <c r="F20">
        <v>1</v>
      </c>
      <c r="G20">
        <v>1080</v>
      </c>
      <c r="H20">
        <v>2</v>
      </c>
      <c r="I20" t="s">
        <v>503</v>
      </c>
      <c r="J20" t="s">
        <v>504</v>
      </c>
      <c r="K20" t="s">
        <v>505</v>
      </c>
      <c r="L20">
        <v>1368</v>
      </c>
      <c r="N20">
        <v>1011</v>
      </c>
      <c r="O20" t="s">
        <v>506</v>
      </c>
      <c r="P20" t="s">
        <v>506</v>
      </c>
      <c r="Q20">
        <v>1</v>
      </c>
      <c r="W20">
        <v>0</v>
      </c>
      <c r="X20">
        <v>-1985943078</v>
      </c>
      <c r="Y20">
        <f t="shared" si="9"/>
        <v>6.6000000000000008E-3</v>
      </c>
      <c r="AA20">
        <v>0</v>
      </c>
      <c r="AB20">
        <v>87.01</v>
      </c>
      <c r="AC20">
        <v>13.21</v>
      </c>
      <c r="AD20">
        <v>0</v>
      </c>
      <c r="AE20">
        <v>0</v>
      </c>
      <c r="AF20">
        <v>83.1</v>
      </c>
      <c r="AG20">
        <v>12.62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6.0000000000000001E-3</v>
      </c>
      <c r="AU20" t="s">
        <v>23</v>
      </c>
      <c r="AV20">
        <v>0</v>
      </c>
      <c r="AW20">
        <v>2</v>
      </c>
      <c r="AX20">
        <v>56960915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ROUND(Y20*Source!I36*DO20,9)</f>
        <v>8.3292000000000005E-2</v>
      </c>
      <c r="CX20">
        <f>ROUND(Y20*Source!I36,9)</f>
        <v>6.6E-3</v>
      </c>
      <c r="CY20">
        <f>AB20</f>
        <v>87.01</v>
      </c>
      <c r="CZ20">
        <f>AF20</f>
        <v>83.1</v>
      </c>
      <c r="DA20">
        <f>AJ20</f>
        <v>1</v>
      </c>
      <c r="DB20">
        <f t="shared" si="10"/>
        <v>0.55000000000000004</v>
      </c>
      <c r="DC20">
        <f t="shared" si="11"/>
        <v>8.7999999999999995E-2</v>
      </c>
      <c r="DD20" t="s">
        <v>3</v>
      </c>
      <c r="DE20" t="s">
        <v>3</v>
      </c>
      <c r="DF20">
        <f t="shared" si="12"/>
        <v>0</v>
      </c>
      <c r="DG20">
        <f t="shared" si="7"/>
        <v>0.55000000000000004</v>
      </c>
      <c r="DH20">
        <f t="shared" si="8"/>
        <v>0.08</v>
      </c>
      <c r="DI20">
        <f t="shared" si="4"/>
        <v>0</v>
      </c>
      <c r="DJ20">
        <f>DG20</f>
        <v>0.55000000000000004</v>
      </c>
      <c r="DK20">
        <v>0</v>
      </c>
      <c r="DL20" t="s">
        <v>507</v>
      </c>
      <c r="DM20">
        <v>0</v>
      </c>
      <c r="DN20" t="s">
        <v>502</v>
      </c>
      <c r="DO20">
        <v>12.62</v>
      </c>
    </row>
    <row r="21" spans="1:119" x14ac:dyDescent="0.2">
      <c r="A21">
        <f>ROW(Source!A37)</f>
        <v>37</v>
      </c>
      <c r="B21">
        <v>56959431</v>
      </c>
      <c r="C21">
        <v>56959571</v>
      </c>
      <c r="D21">
        <v>56018166</v>
      </c>
      <c r="E21">
        <v>1080</v>
      </c>
      <c r="F21">
        <v>1</v>
      </c>
      <c r="G21">
        <v>1080</v>
      </c>
      <c r="H21">
        <v>1</v>
      </c>
      <c r="I21" t="s">
        <v>500</v>
      </c>
      <c r="J21" t="s">
        <v>3</v>
      </c>
      <c r="K21" t="s">
        <v>501</v>
      </c>
      <c r="L21">
        <v>1191</v>
      </c>
      <c r="N21">
        <v>1013</v>
      </c>
      <c r="O21" t="s">
        <v>502</v>
      </c>
      <c r="P21" t="s">
        <v>502</v>
      </c>
      <c r="Q21">
        <v>1</v>
      </c>
      <c r="W21">
        <v>0</v>
      </c>
      <c r="X21">
        <v>476480486</v>
      </c>
      <c r="Y21">
        <f t="shared" si="9"/>
        <v>1.1330000000000002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5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1.03</v>
      </c>
      <c r="AU21" t="s">
        <v>23</v>
      </c>
      <c r="AV21">
        <v>1</v>
      </c>
      <c r="AW21">
        <v>2</v>
      </c>
      <c r="AX21">
        <v>56960914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ROUND(AT21*Source!I37*AH21*AL21,2)</f>
        <v>0</v>
      </c>
      <c r="CV21">
        <f>ROUND(Y21*Source!I37,9)</f>
        <v>1.133</v>
      </c>
      <c r="CW21">
        <v>0</v>
      </c>
      <c r="CX21">
        <f>ROUND(Y21*Source!I37,9)</f>
        <v>1.133</v>
      </c>
      <c r="CY21">
        <f>AD21</f>
        <v>0</v>
      </c>
      <c r="CZ21">
        <f>AH21</f>
        <v>0</v>
      </c>
      <c r="DA21">
        <f>AL21</f>
        <v>1</v>
      </c>
      <c r="DB21">
        <f t="shared" si="10"/>
        <v>0</v>
      </c>
      <c r="DC21">
        <f t="shared" si="11"/>
        <v>0</v>
      </c>
      <c r="DD21" t="s">
        <v>3</v>
      </c>
      <c r="DE21" t="s">
        <v>3</v>
      </c>
      <c r="DF21">
        <f t="shared" si="12"/>
        <v>0</v>
      </c>
      <c r="DG21">
        <f t="shared" si="7"/>
        <v>0</v>
      </c>
      <c r="DH21">
        <f t="shared" si="8"/>
        <v>0</v>
      </c>
      <c r="DI21">
        <f t="shared" si="4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ROW(Source!A37)</f>
        <v>37</v>
      </c>
      <c r="B22">
        <v>56959431</v>
      </c>
      <c r="C22">
        <v>56959571</v>
      </c>
      <c r="D22">
        <v>56092340</v>
      </c>
      <c r="E22">
        <v>1</v>
      </c>
      <c r="F22">
        <v>1</v>
      </c>
      <c r="G22">
        <v>1080</v>
      </c>
      <c r="H22">
        <v>2</v>
      </c>
      <c r="I22" t="s">
        <v>503</v>
      </c>
      <c r="J22" t="s">
        <v>504</v>
      </c>
      <c r="K22" t="s">
        <v>505</v>
      </c>
      <c r="L22">
        <v>1368</v>
      </c>
      <c r="N22">
        <v>1011</v>
      </c>
      <c r="O22" t="s">
        <v>506</v>
      </c>
      <c r="P22" t="s">
        <v>506</v>
      </c>
      <c r="Q22">
        <v>1</v>
      </c>
      <c r="W22">
        <v>0</v>
      </c>
      <c r="X22">
        <v>-1985943078</v>
      </c>
      <c r="Y22">
        <f t="shared" si="9"/>
        <v>6.6000000000000008E-3</v>
      </c>
      <c r="AA22">
        <v>0</v>
      </c>
      <c r="AB22">
        <v>1418.19</v>
      </c>
      <c r="AC22">
        <v>726.59</v>
      </c>
      <c r="AD22">
        <v>0</v>
      </c>
      <c r="AE22">
        <v>0</v>
      </c>
      <c r="AF22">
        <v>83.1</v>
      </c>
      <c r="AG22">
        <v>12.62</v>
      </c>
      <c r="AH22">
        <v>0</v>
      </c>
      <c r="AI22">
        <v>1</v>
      </c>
      <c r="AJ22">
        <v>16.3</v>
      </c>
      <c r="AK22">
        <v>54.99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6.0000000000000001E-3</v>
      </c>
      <c r="AU22" t="s">
        <v>23</v>
      </c>
      <c r="AV22">
        <v>0</v>
      </c>
      <c r="AW22">
        <v>2</v>
      </c>
      <c r="AX22">
        <v>56960915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ROUND(Y22*Source!I37*DO22,9)</f>
        <v>8.3292000000000005E-2</v>
      </c>
      <c r="CX22">
        <f>ROUND(Y22*Source!I37,9)</f>
        <v>6.6E-3</v>
      </c>
      <c r="CY22">
        <f>AB22</f>
        <v>1418.19</v>
      </c>
      <c r="CZ22">
        <f>AF22</f>
        <v>83.1</v>
      </c>
      <c r="DA22">
        <f>AJ22</f>
        <v>16.3</v>
      </c>
      <c r="DB22">
        <f t="shared" si="10"/>
        <v>0.55000000000000004</v>
      </c>
      <c r="DC22">
        <f t="shared" si="11"/>
        <v>8.7999999999999995E-2</v>
      </c>
      <c r="DD22" t="s">
        <v>3</v>
      </c>
      <c r="DE22" t="s">
        <v>3</v>
      </c>
      <c r="DF22">
        <f t="shared" si="12"/>
        <v>0</v>
      </c>
      <c r="DG22">
        <f>ROUND(ROUND(AF22*AJ22,2)*CX22,2)</f>
        <v>8.94</v>
      </c>
      <c r="DH22">
        <f>ROUND(ROUND(AG22*AK22,2)*CX22,2)</f>
        <v>4.58</v>
      </c>
      <c r="DI22">
        <f t="shared" si="4"/>
        <v>0</v>
      </c>
      <c r="DJ22">
        <f>DG22</f>
        <v>8.94</v>
      </c>
      <c r="DK22">
        <v>0</v>
      </c>
      <c r="DL22" t="s">
        <v>507</v>
      </c>
      <c r="DM22">
        <v>0</v>
      </c>
      <c r="DN22" t="s">
        <v>502</v>
      </c>
      <c r="DO22">
        <v>12.62</v>
      </c>
    </row>
    <row r="23" spans="1:119" x14ac:dyDescent="0.2">
      <c r="A23">
        <f>ROW(Source!A40)</f>
        <v>40</v>
      </c>
      <c r="B23">
        <v>56959434</v>
      </c>
      <c r="C23">
        <v>56959578</v>
      </c>
      <c r="D23">
        <v>56018166</v>
      </c>
      <c r="E23">
        <v>1080</v>
      </c>
      <c r="F23">
        <v>1</v>
      </c>
      <c r="G23">
        <v>1080</v>
      </c>
      <c r="H23">
        <v>1</v>
      </c>
      <c r="I23" t="s">
        <v>500</v>
      </c>
      <c r="J23" t="s">
        <v>3</v>
      </c>
      <c r="K23" t="s">
        <v>501</v>
      </c>
      <c r="L23">
        <v>1191</v>
      </c>
      <c r="N23">
        <v>1013</v>
      </c>
      <c r="O23" t="s">
        <v>502</v>
      </c>
      <c r="P23" t="s">
        <v>502</v>
      </c>
      <c r="Q23">
        <v>1</v>
      </c>
      <c r="W23">
        <v>0</v>
      </c>
      <c r="X23">
        <v>476480486</v>
      </c>
      <c r="Y23">
        <f t="shared" si="9"/>
        <v>32.956000000000003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29.96</v>
      </c>
      <c r="AU23" t="s">
        <v>23</v>
      </c>
      <c r="AV23">
        <v>1</v>
      </c>
      <c r="AW23">
        <v>2</v>
      </c>
      <c r="AX23">
        <v>56960917</v>
      </c>
      <c r="AY23">
        <v>1</v>
      </c>
      <c r="AZ23">
        <v>0</v>
      </c>
      <c r="BA23">
        <v>27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ROUND(AT23*Source!I40*AH23*AL23,2)</f>
        <v>0</v>
      </c>
      <c r="CV23">
        <f>ROUND(Y23*Source!I40,9)</f>
        <v>3.2955999999999999</v>
      </c>
      <c r="CW23">
        <v>0</v>
      </c>
      <c r="CX23">
        <f>ROUND(Y23*Source!I40,9)</f>
        <v>3.2955999999999999</v>
      </c>
      <c r="CY23">
        <f>AD23</f>
        <v>0</v>
      </c>
      <c r="CZ23">
        <f>AH23</f>
        <v>0</v>
      </c>
      <c r="DA23">
        <f>AL23</f>
        <v>1</v>
      </c>
      <c r="DB23">
        <f t="shared" si="10"/>
        <v>0</v>
      </c>
      <c r="DC23">
        <f t="shared" si="11"/>
        <v>0</v>
      </c>
      <c r="DD23" t="s">
        <v>3</v>
      </c>
      <c r="DE23" t="s">
        <v>3</v>
      </c>
      <c r="DF23">
        <f t="shared" si="12"/>
        <v>0</v>
      </c>
      <c r="DG23">
        <f>ROUND(ROUND(AF23,2)*CX23,2)</f>
        <v>0</v>
      </c>
      <c r="DH23">
        <f>ROUND(ROUND(AG23,2)*CX23,2)</f>
        <v>0</v>
      </c>
      <c r="DI23">
        <f t="shared" si="4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ROW(Source!A40)</f>
        <v>40</v>
      </c>
      <c r="B24">
        <v>56959434</v>
      </c>
      <c r="C24">
        <v>56959578</v>
      </c>
      <c r="D24">
        <v>56092340</v>
      </c>
      <c r="E24">
        <v>1</v>
      </c>
      <c r="F24">
        <v>1</v>
      </c>
      <c r="G24">
        <v>1080</v>
      </c>
      <c r="H24">
        <v>2</v>
      </c>
      <c r="I24" t="s">
        <v>503</v>
      </c>
      <c r="J24" t="s">
        <v>504</v>
      </c>
      <c r="K24" t="s">
        <v>505</v>
      </c>
      <c r="L24">
        <v>1368</v>
      </c>
      <c r="N24">
        <v>1011</v>
      </c>
      <c r="O24" t="s">
        <v>506</v>
      </c>
      <c r="P24" t="s">
        <v>506</v>
      </c>
      <c r="Q24">
        <v>1</v>
      </c>
      <c r="W24">
        <v>0</v>
      </c>
      <c r="X24">
        <v>-1985943078</v>
      </c>
      <c r="Y24">
        <f t="shared" si="9"/>
        <v>1.1000000000000001E-2</v>
      </c>
      <c r="AA24">
        <v>0</v>
      </c>
      <c r="AB24">
        <v>87.01</v>
      </c>
      <c r="AC24">
        <v>13.21</v>
      </c>
      <c r="AD24">
        <v>0</v>
      </c>
      <c r="AE24">
        <v>0</v>
      </c>
      <c r="AF24">
        <v>83.1</v>
      </c>
      <c r="AG24">
        <v>12.62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0.01</v>
      </c>
      <c r="AU24" t="s">
        <v>23</v>
      </c>
      <c r="AV24">
        <v>0</v>
      </c>
      <c r="AW24">
        <v>2</v>
      </c>
      <c r="AX24">
        <v>56960918</v>
      </c>
      <c r="AY24">
        <v>1</v>
      </c>
      <c r="AZ24">
        <v>0</v>
      </c>
      <c r="BA24">
        <v>28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ROUND(Y24*Source!I40*DO24,9)</f>
        <v>1.3882E-2</v>
      </c>
      <c r="CX24">
        <f>ROUND(Y24*Source!I40,9)</f>
        <v>1.1000000000000001E-3</v>
      </c>
      <c r="CY24">
        <f>AB24</f>
        <v>87.01</v>
      </c>
      <c r="CZ24">
        <f>AF24</f>
        <v>83.1</v>
      </c>
      <c r="DA24">
        <f>AJ24</f>
        <v>1</v>
      </c>
      <c r="DB24">
        <f t="shared" si="10"/>
        <v>0.91300000000000003</v>
      </c>
      <c r="DC24">
        <f t="shared" si="11"/>
        <v>0.14299999999999999</v>
      </c>
      <c r="DD24" t="s">
        <v>3</v>
      </c>
      <c r="DE24" t="s">
        <v>3</v>
      </c>
      <c r="DF24">
        <f t="shared" si="12"/>
        <v>0</v>
      </c>
      <c r="DG24">
        <f>ROUND(ROUND(AF24,2)*CX24,2)</f>
        <v>0.09</v>
      </c>
      <c r="DH24">
        <f>ROUND(ROUND(AG24,2)*CX24,2)</f>
        <v>0.01</v>
      </c>
      <c r="DI24">
        <f t="shared" si="4"/>
        <v>0</v>
      </c>
      <c r="DJ24">
        <f>DG24</f>
        <v>0.09</v>
      </c>
      <c r="DK24">
        <v>0</v>
      </c>
      <c r="DL24" t="s">
        <v>507</v>
      </c>
      <c r="DM24">
        <v>0</v>
      </c>
      <c r="DN24" t="s">
        <v>502</v>
      </c>
      <c r="DO24">
        <v>12.62</v>
      </c>
    </row>
    <row r="25" spans="1:119" x14ac:dyDescent="0.2">
      <c r="A25">
        <f>ROW(Source!A40)</f>
        <v>40</v>
      </c>
      <c r="B25">
        <v>56959434</v>
      </c>
      <c r="C25">
        <v>56959578</v>
      </c>
      <c r="D25">
        <v>56092425</v>
      </c>
      <c r="E25">
        <v>1</v>
      </c>
      <c r="F25">
        <v>1</v>
      </c>
      <c r="G25">
        <v>1080</v>
      </c>
      <c r="H25">
        <v>2</v>
      </c>
      <c r="I25" t="s">
        <v>523</v>
      </c>
      <c r="J25" t="s">
        <v>524</v>
      </c>
      <c r="K25" t="s">
        <v>525</v>
      </c>
      <c r="L25">
        <v>1368</v>
      </c>
      <c r="N25">
        <v>1011</v>
      </c>
      <c r="O25" t="s">
        <v>506</v>
      </c>
      <c r="P25" t="s">
        <v>506</v>
      </c>
      <c r="Q25">
        <v>1</v>
      </c>
      <c r="W25">
        <v>0</v>
      </c>
      <c r="X25">
        <v>1645565003</v>
      </c>
      <c r="Y25">
        <f t="shared" si="9"/>
        <v>0.63800000000000001</v>
      </c>
      <c r="AA25">
        <v>0</v>
      </c>
      <c r="AB25">
        <v>0.49</v>
      </c>
      <c r="AC25">
        <v>0</v>
      </c>
      <c r="AD25">
        <v>0</v>
      </c>
      <c r="AE25">
        <v>0</v>
      </c>
      <c r="AF25">
        <v>0.47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0.57999999999999996</v>
      </c>
      <c r="AU25" t="s">
        <v>23</v>
      </c>
      <c r="AV25">
        <v>0</v>
      </c>
      <c r="AW25">
        <v>2</v>
      </c>
      <c r="AX25">
        <v>56960919</v>
      </c>
      <c r="AY25">
        <v>1</v>
      </c>
      <c r="AZ25">
        <v>0</v>
      </c>
      <c r="BA25">
        <v>29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ROUND(Y25*Source!I40*DO25,9)</f>
        <v>0</v>
      </c>
      <c r="CX25">
        <f>ROUND(Y25*Source!I40,9)</f>
        <v>6.3799999999999996E-2</v>
      </c>
      <c r="CY25">
        <f>AB25</f>
        <v>0.49</v>
      </c>
      <c r="CZ25">
        <f>AF25</f>
        <v>0.47</v>
      </c>
      <c r="DA25">
        <f>AJ25</f>
        <v>1</v>
      </c>
      <c r="DB25">
        <f t="shared" si="10"/>
        <v>0.29699999999999999</v>
      </c>
      <c r="DC25">
        <f t="shared" si="11"/>
        <v>0</v>
      </c>
      <c r="DD25" t="s">
        <v>3</v>
      </c>
      <c r="DE25" t="s">
        <v>3</v>
      </c>
      <c r="DF25">
        <f t="shared" si="12"/>
        <v>0</v>
      </c>
      <c r="DG25">
        <f>ROUND(ROUND(AF25,2)*CX25,2)</f>
        <v>0.03</v>
      </c>
      <c r="DH25">
        <f>ROUND(ROUND(AG25,2)*CX25,2)</f>
        <v>0</v>
      </c>
      <c r="DI25">
        <f t="shared" si="4"/>
        <v>0</v>
      </c>
      <c r="DJ25">
        <f>DG25</f>
        <v>0.03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ROW(Source!A40)</f>
        <v>40</v>
      </c>
      <c r="B26">
        <v>56959434</v>
      </c>
      <c r="C26">
        <v>56959578</v>
      </c>
      <c r="D26">
        <v>56062222</v>
      </c>
      <c r="E26">
        <v>1</v>
      </c>
      <c r="F26">
        <v>1</v>
      </c>
      <c r="G26">
        <v>1080</v>
      </c>
      <c r="H26">
        <v>3</v>
      </c>
      <c r="I26" t="s">
        <v>526</v>
      </c>
      <c r="J26" t="s">
        <v>527</v>
      </c>
      <c r="K26" t="s">
        <v>528</v>
      </c>
      <c r="L26">
        <v>1348</v>
      </c>
      <c r="N26">
        <v>1009</v>
      </c>
      <c r="O26" t="s">
        <v>291</v>
      </c>
      <c r="P26" t="s">
        <v>291</v>
      </c>
      <c r="Q26">
        <v>1000</v>
      </c>
      <c r="W26">
        <v>0</v>
      </c>
      <c r="X26">
        <v>1854293486</v>
      </c>
      <c r="Y26">
        <f>AT26</f>
        <v>9.0000000000000006E-5</v>
      </c>
      <c r="AA26">
        <v>14327.51</v>
      </c>
      <c r="AB26">
        <v>0</v>
      </c>
      <c r="AC26">
        <v>0</v>
      </c>
      <c r="AD26">
        <v>0</v>
      </c>
      <c r="AE26">
        <v>14327.51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9.0000000000000006E-5</v>
      </c>
      <c r="AU26" t="s">
        <v>3</v>
      </c>
      <c r="AV26">
        <v>0</v>
      </c>
      <c r="AW26">
        <v>2</v>
      </c>
      <c r="AX26">
        <v>56960920</v>
      </c>
      <c r="AY26">
        <v>1</v>
      </c>
      <c r="AZ26">
        <v>0</v>
      </c>
      <c r="BA26">
        <v>30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ROUND(Y26*Source!I40,9)</f>
        <v>9.0000000000000002E-6</v>
      </c>
      <c r="CY26">
        <f>AA26</f>
        <v>14327.51</v>
      </c>
      <c r="CZ26">
        <f>AE26</f>
        <v>14327.51</v>
      </c>
      <c r="DA26">
        <f>AI26</f>
        <v>1</v>
      </c>
      <c r="DB26">
        <f>ROUND(ROUND(AT26*CZ26,2),6)</f>
        <v>1.29</v>
      </c>
      <c r="DC26">
        <f>ROUND(ROUND(AT26*AG26,2),6)</f>
        <v>0</v>
      </c>
      <c r="DD26" t="s">
        <v>3</v>
      </c>
      <c r="DE26" t="s">
        <v>3</v>
      </c>
      <c r="DF26">
        <f t="shared" si="12"/>
        <v>0.13</v>
      </c>
      <c r="DG26">
        <f>ROUND(ROUND(AF26,2)*CX26,2)</f>
        <v>0</v>
      </c>
      <c r="DH26">
        <f>ROUND(ROUND(AG26,2)*CX26,2)</f>
        <v>0</v>
      </c>
      <c r="DI26">
        <f t="shared" si="4"/>
        <v>0</v>
      </c>
      <c r="DJ26">
        <f>DF26</f>
        <v>0.13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ROW(Source!A41)</f>
        <v>41</v>
      </c>
      <c r="B27">
        <v>56959431</v>
      </c>
      <c r="C27">
        <v>56959578</v>
      </c>
      <c r="D27">
        <v>56018166</v>
      </c>
      <c r="E27">
        <v>1080</v>
      </c>
      <c r="F27">
        <v>1</v>
      </c>
      <c r="G27">
        <v>1080</v>
      </c>
      <c r="H27">
        <v>1</v>
      </c>
      <c r="I27" t="s">
        <v>500</v>
      </c>
      <c r="J27" t="s">
        <v>3</v>
      </c>
      <c r="K27" t="s">
        <v>501</v>
      </c>
      <c r="L27">
        <v>1191</v>
      </c>
      <c r="N27">
        <v>1013</v>
      </c>
      <c r="O27" t="s">
        <v>502</v>
      </c>
      <c r="P27" t="s">
        <v>502</v>
      </c>
      <c r="Q27">
        <v>1</v>
      </c>
      <c r="W27">
        <v>0</v>
      </c>
      <c r="X27">
        <v>476480486</v>
      </c>
      <c r="Y27">
        <f>(AT27*1.1)</f>
        <v>32.956000000000003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5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29.96</v>
      </c>
      <c r="AU27" t="s">
        <v>23</v>
      </c>
      <c r="AV27">
        <v>1</v>
      </c>
      <c r="AW27">
        <v>2</v>
      </c>
      <c r="AX27">
        <v>56960917</v>
      </c>
      <c r="AY27">
        <v>1</v>
      </c>
      <c r="AZ27">
        <v>0</v>
      </c>
      <c r="BA27">
        <v>32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ROUND(AT27*Source!I41*AH27*AL27,2)</f>
        <v>0</v>
      </c>
      <c r="CV27">
        <f>ROUND(Y27*Source!I41,9)</f>
        <v>3.2955999999999999</v>
      </c>
      <c r="CW27">
        <v>0</v>
      </c>
      <c r="CX27">
        <f>ROUND(Y27*Source!I41,9)</f>
        <v>3.2955999999999999</v>
      </c>
      <c r="CY27">
        <f>AD27</f>
        <v>0</v>
      </c>
      <c r="CZ27">
        <f>AH27</f>
        <v>0</v>
      </c>
      <c r="DA27">
        <f>AL27</f>
        <v>1</v>
      </c>
      <c r="DB27">
        <f>ROUND((ROUND(AT27*CZ27,2)*1.1),6)</f>
        <v>0</v>
      </c>
      <c r="DC27">
        <f>ROUND((ROUND(AT27*AG27,2)*1.1),6)</f>
        <v>0</v>
      </c>
      <c r="DD27" t="s">
        <v>3</v>
      </c>
      <c r="DE27" t="s">
        <v>3</v>
      </c>
      <c r="DF27">
        <f t="shared" si="12"/>
        <v>0</v>
      </c>
      <c r="DG27">
        <f>ROUND(ROUND(AF27,2)*CX27,2)</f>
        <v>0</v>
      </c>
      <c r="DH27">
        <f>ROUND(ROUND(AG27,2)*CX27,2)</f>
        <v>0</v>
      </c>
      <c r="DI27">
        <f t="shared" si="4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ROW(Source!A41)</f>
        <v>41</v>
      </c>
      <c r="B28">
        <v>56959431</v>
      </c>
      <c r="C28">
        <v>56959578</v>
      </c>
      <c r="D28">
        <v>56092340</v>
      </c>
      <c r="E28">
        <v>1</v>
      </c>
      <c r="F28">
        <v>1</v>
      </c>
      <c r="G28">
        <v>1080</v>
      </c>
      <c r="H28">
        <v>2</v>
      </c>
      <c r="I28" t="s">
        <v>503</v>
      </c>
      <c r="J28" t="s">
        <v>504</v>
      </c>
      <c r="K28" t="s">
        <v>505</v>
      </c>
      <c r="L28">
        <v>1368</v>
      </c>
      <c r="N28">
        <v>1011</v>
      </c>
      <c r="O28" t="s">
        <v>506</v>
      </c>
      <c r="P28" t="s">
        <v>506</v>
      </c>
      <c r="Q28">
        <v>1</v>
      </c>
      <c r="W28">
        <v>0</v>
      </c>
      <c r="X28">
        <v>-1985943078</v>
      </c>
      <c r="Y28">
        <f>(AT28*1.1)</f>
        <v>1.1000000000000001E-2</v>
      </c>
      <c r="AA28">
        <v>0</v>
      </c>
      <c r="AB28">
        <v>1418.19</v>
      </c>
      <c r="AC28">
        <v>726.59</v>
      </c>
      <c r="AD28">
        <v>0</v>
      </c>
      <c r="AE28">
        <v>0</v>
      </c>
      <c r="AF28">
        <v>83.1</v>
      </c>
      <c r="AG28">
        <v>12.62</v>
      </c>
      <c r="AH28">
        <v>0</v>
      </c>
      <c r="AI28">
        <v>1</v>
      </c>
      <c r="AJ28">
        <v>16.3</v>
      </c>
      <c r="AK28">
        <v>54.99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0.01</v>
      </c>
      <c r="AU28" t="s">
        <v>23</v>
      </c>
      <c r="AV28">
        <v>0</v>
      </c>
      <c r="AW28">
        <v>2</v>
      </c>
      <c r="AX28">
        <v>56960918</v>
      </c>
      <c r="AY28">
        <v>1</v>
      </c>
      <c r="AZ28">
        <v>0</v>
      </c>
      <c r="BA28">
        <v>33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ROUND(Y28*Source!I41*DO28,9)</f>
        <v>1.3882E-2</v>
      </c>
      <c r="CX28">
        <f>ROUND(Y28*Source!I41,9)</f>
        <v>1.1000000000000001E-3</v>
      </c>
      <c r="CY28">
        <f>AB28</f>
        <v>1418.19</v>
      </c>
      <c r="CZ28">
        <f>AF28</f>
        <v>83.1</v>
      </c>
      <c r="DA28">
        <f>AJ28</f>
        <v>16.3</v>
      </c>
      <c r="DB28">
        <f>ROUND((ROUND(AT28*CZ28,2)*1.1),6)</f>
        <v>0.91300000000000003</v>
      </c>
      <c r="DC28">
        <f>ROUND((ROUND(AT28*AG28,2)*1.1),6)</f>
        <v>0.14299999999999999</v>
      </c>
      <c r="DD28" t="s">
        <v>3</v>
      </c>
      <c r="DE28" t="s">
        <v>3</v>
      </c>
      <c r="DF28">
        <f t="shared" si="12"/>
        <v>0</v>
      </c>
      <c r="DG28">
        <f>ROUND(ROUND(AF28*AJ28,2)*CX28,2)</f>
        <v>1.49</v>
      </c>
      <c r="DH28">
        <f>ROUND(ROUND(AG28*AK28,2)*CX28,2)</f>
        <v>0.76</v>
      </c>
      <c r="DI28">
        <f t="shared" si="4"/>
        <v>0</v>
      </c>
      <c r="DJ28">
        <f>DG28</f>
        <v>1.49</v>
      </c>
      <c r="DK28">
        <v>0</v>
      </c>
      <c r="DL28" t="s">
        <v>507</v>
      </c>
      <c r="DM28">
        <v>0</v>
      </c>
      <c r="DN28" t="s">
        <v>502</v>
      </c>
      <c r="DO28">
        <v>12.62</v>
      </c>
    </row>
    <row r="29" spans="1:119" x14ac:dyDescent="0.2">
      <c r="A29">
        <f>ROW(Source!A41)</f>
        <v>41</v>
      </c>
      <c r="B29">
        <v>56959431</v>
      </c>
      <c r="C29">
        <v>56959578</v>
      </c>
      <c r="D29">
        <v>56092425</v>
      </c>
      <c r="E29">
        <v>1</v>
      </c>
      <c r="F29">
        <v>1</v>
      </c>
      <c r="G29">
        <v>1080</v>
      </c>
      <c r="H29">
        <v>2</v>
      </c>
      <c r="I29" t="s">
        <v>523</v>
      </c>
      <c r="J29" t="s">
        <v>524</v>
      </c>
      <c r="K29" t="s">
        <v>525</v>
      </c>
      <c r="L29">
        <v>1368</v>
      </c>
      <c r="N29">
        <v>1011</v>
      </c>
      <c r="O29" t="s">
        <v>506</v>
      </c>
      <c r="P29" t="s">
        <v>506</v>
      </c>
      <c r="Q29">
        <v>1</v>
      </c>
      <c r="W29">
        <v>0</v>
      </c>
      <c r="X29">
        <v>1645565003</v>
      </c>
      <c r="Y29">
        <f>(AT29*1.1)</f>
        <v>0.63800000000000001</v>
      </c>
      <c r="AA29">
        <v>0</v>
      </c>
      <c r="AB29">
        <v>4.3</v>
      </c>
      <c r="AC29">
        <v>0</v>
      </c>
      <c r="AD29">
        <v>0</v>
      </c>
      <c r="AE29">
        <v>0</v>
      </c>
      <c r="AF29">
        <v>0.47</v>
      </c>
      <c r="AG29">
        <v>0</v>
      </c>
      <c r="AH29">
        <v>0</v>
      </c>
      <c r="AI29">
        <v>1</v>
      </c>
      <c r="AJ29">
        <v>8.74</v>
      </c>
      <c r="AK29">
        <v>54.99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0.57999999999999996</v>
      </c>
      <c r="AU29" t="s">
        <v>23</v>
      </c>
      <c r="AV29">
        <v>0</v>
      </c>
      <c r="AW29">
        <v>2</v>
      </c>
      <c r="AX29">
        <v>56960919</v>
      </c>
      <c r="AY29">
        <v>1</v>
      </c>
      <c r="AZ29">
        <v>0</v>
      </c>
      <c r="BA29">
        <v>34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f>ROUND(Y29*Source!I41*DO29,9)</f>
        <v>0</v>
      </c>
      <c r="CX29">
        <f>ROUND(Y29*Source!I41,9)</f>
        <v>6.3799999999999996E-2</v>
      </c>
      <c r="CY29">
        <f>AB29</f>
        <v>4.3</v>
      </c>
      <c r="CZ29">
        <f>AF29</f>
        <v>0.47</v>
      </c>
      <c r="DA29">
        <f>AJ29</f>
        <v>8.74</v>
      </c>
      <c r="DB29">
        <f>ROUND((ROUND(AT29*CZ29,2)*1.1),6)</f>
        <v>0.29699999999999999</v>
      </c>
      <c r="DC29">
        <f>ROUND((ROUND(AT29*AG29,2)*1.1),6)</f>
        <v>0</v>
      </c>
      <c r="DD29" t="s">
        <v>3</v>
      </c>
      <c r="DE29" t="s">
        <v>3</v>
      </c>
      <c r="DF29">
        <f t="shared" si="12"/>
        <v>0</v>
      </c>
      <c r="DG29">
        <f>ROUND(ROUND(AF29*AJ29,2)*CX29,2)</f>
        <v>0.26</v>
      </c>
      <c r="DH29">
        <f>ROUND(ROUND(AG29*AK29,2)*CX29,2)</f>
        <v>0</v>
      </c>
      <c r="DI29">
        <f t="shared" si="4"/>
        <v>0</v>
      </c>
      <c r="DJ29">
        <f>DG29</f>
        <v>0.26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ROW(Source!A41)</f>
        <v>41</v>
      </c>
      <c r="B30">
        <v>56959431</v>
      </c>
      <c r="C30">
        <v>56959578</v>
      </c>
      <c r="D30">
        <v>56062222</v>
      </c>
      <c r="E30">
        <v>1</v>
      </c>
      <c r="F30">
        <v>1</v>
      </c>
      <c r="G30">
        <v>1080</v>
      </c>
      <c r="H30">
        <v>3</v>
      </c>
      <c r="I30" t="s">
        <v>526</v>
      </c>
      <c r="J30" t="s">
        <v>527</v>
      </c>
      <c r="K30" t="s">
        <v>528</v>
      </c>
      <c r="L30">
        <v>1348</v>
      </c>
      <c r="N30">
        <v>1009</v>
      </c>
      <c r="O30" t="s">
        <v>291</v>
      </c>
      <c r="P30" t="s">
        <v>291</v>
      </c>
      <c r="Q30">
        <v>1000</v>
      </c>
      <c r="W30">
        <v>0</v>
      </c>
      <c r="X30">
        <v>1854293486</v>
      </c>
      <c r="Y30">
        <f>AT30</f>
        <v>9.0000000000000006E-5</v>
      </c>
      <c r="AA30">
        <v>103874.45</v>
      </c>
      <c r="AB30">
        <v>0</v>
      </c>
      <c r="AC30">
        <v>0</v>
      </c>
      <c r="AD30">
        <v>0</v>
      </c>
      <c r="AE30">
        <v>14327.51</v>
      </c>
      <c r="AF30">
        <v>0</v>
      </c>
      <c r="AG30">
        <v>0</v>
      </c>
      <c r="AH30">
        <v>0</v>
      </c>
      <c r="AI30">
        <v>7.25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9.0000000000000006E-5</v>
      </c>
      <c r="AU30" t="s">
        <v>3</v>
      </c>
      <c r="AV30">
        <v>0</v>
      </c>
      <c r="AW30">
        <v>2</v>
      </c>
      <c r="AX30">
        <v>56960920</v>
      </c>
      <c r="AY30">
        <v>1</v>
      </c>
      <c r="AZ30">
        <v>0</v>
      </c>
      <c r="BA30">
        <v>35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ROUND(Y30*Source!I41,9)</f>
        <v>9.0000000000000002E-6</v>
      </c>
      <c r="CY30">
        <f>AA30</f>
        <v>103874.45</v>
      </c>
      <c r="CZ30">
        <f>AE30</f>
        <v>14327.51</v>
      </c>
      <c r="DA30">
        <f>AI30</f>
        <v>7.25</v>
      </c>
      <c r="DB30">
        <f>ROUND(ROUND(AT30*CZ30,2),6)</f>
        <v>1.29</v>
      </c>
      <c r="DC30">
        <f>ROUND(ROUND(AT30*AG30,2),6)</f>
        <v>0</v>
      </c>
      <c r="DD30" t="s">
        <v>3</v>
      </c>
      <c r="DE30" t="s">
        <v>3</v>
      </c>
      <c r="DF30">
        <f>ROUND(ROUND(AE30*AI30,2)*CX30,2)</f>
        <v>0.93</v>
      </c>
      <c r="DG30">
        <f>ROUND(ROUND(AF30,2)*CX30,2)</f>
        <v>0</v>
      </c>
      <c r="DH30">
        <f>ROUND(ROUND(AG30,2)*CX30,2)</f>
        <v>0</v>
      </c>
      <c r="DI30">
        <f t="shared" si="4"/>
        <v>0</v>
      </c>
      <c r="DJ30">
        <f>DF30</f>
        <v>0.93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ROW(Source!A44)</f>
        <v>44</v>
      </c>
      <c r="B31">
        <v>56959434</v>
      </c>
      <c r="C31">
        <v>56959589</v>
      </c>
      <c r="D31">
        <v>56018166</v>
      </c>
      <c r="E31">
        <v>1080</v>
      </c>
      <c r="F31">
        <v>1</v>
      </c>
      <c r="G31">
        <v>1080</v>
      </c>
      <c r="H31">
        <v>1</v>
      </c>
      <c r="I31" t="s">
        <v>500</v>
      </c>
      <c r="J31" t="s">
        <v>3</v>
      </c>
      <c r="K31" t="s">
        <v>501</v>
      </c>
      <c r="L31">
        <v>1191</v>
      </c>
      <c r="N31">
        <v>1013</v>
      </c>
      <c r="O31" t="s">
        <v>502</v>
      </c>
      <c r="P31" t="s">
        <v>502</v>
      </c>
      <c r="Q31">
        <v>1</v>
      </c>
      <c r="W31">
        <v>0</v>
      </c>
      <c r="X31">
        <v>476480486</v>
      </c>
      <c r="Y31">
        <f t="shared" ref="Y31:Y39" si="13">(AT31*1.1)</f>
        <v>1.1330000000000002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1.03</v>
      </c>
      <c r="AU31" t="s">
        <v>23</v>
      </c>
      <c r="AV31">
        <v>1</v>
      </c>
      <c r="AW31">
        <v>2</v>
      </c>
      <c r="AX31">
        <v>56960922</v>
      </c>
      <c r="AY31">
        <v>1</v>
      </c>
      <c r="AZ31">
        <v>0</v>
      </c>
      <c r="BA31">
        <v>37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ROUND(AT31*Source!I44*AH31*AL31,2)</f>
        <v>0</v>
      </c>
      <c r="CV31">
        <f>ROUND(Y31*Source!I44,9)</f>
        <v>2.266</v>
      </c>
      <c r="CW31">
        <v>0</v>
      </c>
      <c r="CX31">
        <f>ROUND(Y31*Source!I44,9)</f>
        <v>2.266</v>
      </c>
      <c r="CY31">
        <f>AD31</f>
        <v>0</v>
      </c>
      <c r="CZ31">
        <f>AH31</f>
        <v>0</v>
      </c>
      <c r="DA31">
        <f>AL31</f>
        <v>1</v>
      </c>
      <c r="DB31">
        <f t="shared" ref="DB31:DB39" si="14">ROUND((ROUND(AT31*CZ31,2)*1.1),6)</f>
        <v>0</v>
      </c>
      <c r="DC31">
        <f t="shared" ref="DC31:DC39" si="15">ROUND((ROUND(AT31*AG31,2)*1.1),6)</f>
        <v>0</v>
      </c>
      <c r="DD31" t="s">
        <v>3</v>
      </c>
      <c r="DE31" t="s">
        <v>3</v>
      </c>
      <c r="DF31">
        <f t="shared" ref="DF31:DF41" si="16">ROUND(ROUND(AE31,2)*CX31,2)</f>
        <v>0</v>
      </c>
      <c r="DG31">
        <f>ROUND(ROUND(AF31,2)*CX31,2)</f>
        <v>0</v>
      </c>
      <c r="DH31">
        <f>ROUND(ROUND(AG31,2)*CX31,2)</f>
        <v>0</v>
      </c>
      <c r="DI31">
        <f t="shared" si="4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ROW(Source!A44)</f>
        <v>44</v>
      </c>
      <c r="B32">
        <v>56959434</v>
      </c>
      <c r="C32">
        <v>56959589</v>
      </c>
      <c r="D32">
        <v>56092340</v>
      </c>
      <c r="E32">
        <v>1</v>
      </c>
      <c r="F32">
        <v>1</v>
      </c>
      <c r="G32">
        <v>1080</v>
      </c>
      <c r="H32">
        <v>2</v>
      </c>
      <c r="I32" t="s">
        <v>503</v>
      </c>
      <c r="J32" t="s">
        <v>504</v>
      </c>
      <c r="K32" t="s">
        <v>505</v>
      </c>
      <c r="L32">
        <v>1368</v>
      </c>
      <c r="N32">
        <v>1011</v>
      </c>
      <c r="O32" t="s">
        <v>506</v>
      </c>
      <c r="P32" t="s">
        <v>506</v>
      </c>
      <c r="Q32">
        <v>1</v>
      </c>
      <c r="W32">
        <v>0</v>
      </c>
      <c r="X32">
        <v>-1985943078</v>
      </c>
      <c r="Y32">
        <f t="shared" si="13"/>
        <v>6.6000000000000008E-3</v>
      </c>
      <c r="AA32">
        <v>0</v>
      </c>
      <c r="AB32">
        <v>87.01</v>
      </c>
      <c r="AC32">
        <v>13.21</v>
      </c>
      <c r="AD32">
        <v>0</v>
      </c>
      <c r="AE32">
        <v>0</v>
      </c>
      <c r="AF32">
        <v>83.1</v>
      </c>
      <c r="AG32">
        <v>12.62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6.0000000000000001E-3</v>
      </c>
      <c r="AU32" t="s">
        <v>23</v>
      </c>
      <c r="AV32">
        <v>0</v>
      </c>
      <c r="AW32">
        <v>2</v>
      </c>
      <c r="AX32">
        <v>56960923</v>
      </c>
      <c r="AY32">
        <v>1</v>
      </c>
      <c r="AZ32">
        <v>0</v>
      </c>
      <c r="BA32">
        <v>38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ROUND(Y32*Source!I44*DO32,9)</f>
        <v>0.16658400000000001</v>
      </c>
      <c r="CX32">
        <f>ROUND(Y32*Source!I44,9)</f>
        <v>1.32E-2</v>
      </c>
      <c r="CY32">
        <f>AB32</f>
        <v>87.01</v>
      </c>
      <c r="CZ32">
        <f>AF32</f>
        <v>83.1</v>
      </c>
      <c r="DA32">
        <f>AJ32</f>
        <v>1</v>
      </c>
      <c r="DB32">
        <f t="shared" si="14"/>
        <v>0.55000000000000004</v>
      </c>
      <c r="DC32">
        <f t="shared" si="15"/>
        <v>8.7999999999999995E-2</v>
      </c>
      <c r="DD32" t="s">
        <v>3</v>
      </c>
      <c r="DE32" t="s">
        <v>3</v>
      </c>
      <c r="DF32">
        <f t="shared" si="16"/>
        <v>0</v>
      </c>
      <c r="DG32">
        <f>ROUND(ROUND(AF32,2)*CX32,2)</f>
        <v>1.1000000000000001</v>
      </c>
      <c r="DH32">
        <f>ROUND(ROUND(AG32,2)*CX32,2)</f>
        <v>0.17</v>
      </c>
      <c r="DI32">
        <f t="shared" si="4"/>
        <v>0</v>
      </c>
      <c r="DJ32">
        <f>DG32</f>
        <v>1.1000000000000001</v>
      </c>
      <c r="DK32">
        <v>0</v>
      </c>
      <c r="DL32" t="s">
        <v>507</v>
      </c>
      <c r="DM32">
        <v>0</v>
      </c>
      <c r="DN32" t="s">
        <v>502</v>
      </c>
      <c r="DO32">
        <v>12.62</v>
      </c>
    </row>
    <row r="33" spans="1:119" x14ac:dyDescent="0.2">
      <c r="A33">
        <f>ROW(Source!A45)</f>
        <v>45</v>
      </c>
      <c r="B33">
        <v>56959431</v>
      </c>
      <c r="C33">
        <v>56959589</v>
      </c>
      <c r="D33">
        <v>56018166</v>
      </c>
      <c r="E33">
        <v>1080</v>
      </c>
      <c r="F33">
        <v>1</v>
      </c>
      <c r="G33">
        <v>1080</v>
      </c>
      <c r="H33">
        <v>1</v>
      </c>
      <c r="I33" t="s">
        <v>500</v>
      </c>
      <c r="J33" t="s">
        <v>3</v>
      </c>
      <c r="K33" t="s">
        <v>501</v>
      </c>
      <c r="L33">
        <v>1191</v>
      </c>
      <c r="N33">
        <v>1013</v>
      </c>
      <c r="O33" t="s">
        <v>502</v>
      </c>
      <c r="P33" t="s">
        <v>502</v>
      </c>
      <c r="Q33">
        <v>1</v>
      </c>
      <c r="W33">
        <v>0</v>
      </c>
      <c r="X33">
        <v>476480486</v>
      </c>
      <c r="Y33">
        <f t="shared" si="13"/>
        <v>1.1330000000000002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5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1.03</v>
      </c>
      <c r="AU33" t="s">
        <v>23</v>
      </c>
      <c r="AV33">
        <v>1</v>
      </c>
      <c r="AW33">
        <v>2</v>
      </c>
      <c r="AX33">
        <v>56960922</v>
      </c>
      <c r="AY33">
        <v>1</v>
      </c>
      <c r="AZ33">
        <v>0</v>
      </c>
      <c r="BA33">
        <v>40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ROUND(AT33*Source!I45*AH33*AL33,2)</f>
        <v>0</v>
      </c>
      <c r="CV33">
        <f>ROUND(Y33*Source!I45,9)</f>
        <v>2.266</v>
      </c>
      <c r="CW33">
        <v>0</v>
      </c>
      <c r="CX33">
        <f>ROUND(Y33*Source!I45,9)</f>
        <v>2.266</v>
      </c>
      <c r="CY33">
        <f>AD33</f>
        <v>0</v>
      </c>
      <c r="CZ33">
        <f>AH33</f>
        <v>0</v>
      </c>
      <c r="DA33">
        <f>AL33</f>
        <v>1</v>
      </c>
      <c r="DB33">
        <f t="shared" si="14"/>
        <v>0</v>
      </c>
      <c r="DC33">
        <f t="shared" si="15"/>
        <v>0</v>
      </c>
      <c r="DD33" t="s">
        <v>3</v>
      </c>
      <c r="DE33" t="s">
        <v>3</v>
      </c>
      <c r="DF33">
        <f t="shared" si="16"/>
        <v>0</v>
      </c>
      <c r="DG33">
        <f>ROUND(ROUND(AF33,2)*CX33,2)</f>
        <v>0</v>
      </c>
      <c r="DH33">
        <f>ROUND(ROUND(AG33,2)*CX33,2)</f>
        <v>0</v>
      </c>
      <c r="DI33">
        <f t="shared" si="4"/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ROW(Source!A45)</f>
        <v>45</v>
      </c>
      <c r="B34">
        <v>56959431</v>
      </c>
      <c r="C34">
        <v>56959589</v>
      </c>
      <c r="D34">
        <v>56092340</v>
      </c>
      <c r="E34">
        <v>1</v>
      </c>
      <c r="F34">
        <v>1</v>
      </c>
      <c r="G34">
        <v>1080</v>
      </c>
      <c r="H34">
        <v>2</v>
      </c>
      <c r="I34" t="s">
        <v>503</v>
      </c>
      <c r="J34" t="s">
        <v>504</v>
      </c>
      <c r="K34" t="s">
        <v>505</v>
      </c>
      <c r="L34">
        <v>1368</v>
      </c>
      <c r="N34">
        <v>1011</v>
      </c>
      <c r="O34" t="s">
        <v>506</v>
      </c>
      <c r="P34" t="s">
        <v>506</v>
      </c>
      <c r="Q34">
        <v>1</v>
      </c>
      <c r="W34">
        <v>0</v>
      </c>
      <c r="X34">
        <v>-1985943078</v>
      </c>
      <c r="Y34">
        <f t="shared" si="13"/>
        <v>6.6000000000000008E-3</v>
      </c>
      <c r="AA34">
        <v>0</v>
      </c>
      <c r="AB34">
        <v>1418.19</v>
      </c>
      <c r="AC34">
        <v>726.59</v>
      </c>
      <c r="AD34">
        <v>0</v>
      </c>
      <c r="AE34">
        <v>0</v>
      </c>
      <c r="AF34">
        <v>83.1</v>
      </c>
      <c r="AG34">
        <v>12.62</v>
      </c>
      <c r="AH34">
        <v>0</v>
      </c>
      <c r="AI34">
        <v>1</v>
      </c>
      <c r="AJ34">
        <v>16.3</v>
      </c>
      <c r="AK34">
        <v>54.99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6.0000000000000001E-3</v>
      </c>
      <c r="AU34" t="s">
        <v>23</v>
      </c>
      <c r="AV34">
        <v>0</v>
      </c>
      <c r="AW34">
        <v>2</v>
      </c>
      <c r="AX34">
        <v>56960923</v>
      </c>
      <c r="AY34">
        <v>1</v>
      </c>
      <c r="AZ34">
        <v>0</v>
      </c>
      <c r="BA34">
        <v>41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ROUND(Y34*Source!I45*DO34,9)</f>
        <v>0.16658400000000001</v>
      </c>
      <c r="CX34">
        <f>ROUND(Y34*Source!I45,9)</f>
        <v>1.32E-2</v>
      </c>
      <c r="CY34">
        <f>AB34</f>
        <v>1418.19</v>
      </c>
      <c r="CZ34">
        <f>AF34</f>
        <v>83.1</v>
      </c>
      <c r="DA34">
        <f>AJ34</f>
        <v>16.3</v>
      </c>
      <c r="DB34">
        <f t="shared" si="14"/>
        <v>0.55000000000000004</v>
      </c>
      <c r="DC34">
        <f t="shared" si="15"/>
        <v>8.7999999999999995E-2</v>
      </c>
      <c r="DD34" t="s">
        <v>3</v>
      </c>
      <c r="DE34" t="s">
        <v>3</v>
      </c>
      <c r="DF34">
        <f t="shared" si="16"/>
        <v>0</v>
      </c>
      <c r="DG34">
        <f>ROUND(ROUND(AF34*AJ34,2)*CX34,2)</f>
        <v>17.88</v>
      </c>
      <c r="DH34">
        <f>ROUND(ROUND(AG34*AK34,2)*CX34,2)</f>
        <v>9.16</v>
      </c>
      <c r="DI34">
        <f t="shared" si="4"/>
        <v>0</v>
      </c>
      <c r="DJ34">
        <f>DG34</f>
        <v>17.88</v>
      </c>
      <c r="DK34">
        <v>0</v>
      </c>
      <c r="DL34" t="s">
        <v>507</v>
      </c>
      <c r="DM34">
        <v>0</v>
      </c>
      <c r="DN34" t="s">
        <v>502</v>
      </c>
      <c r="DO34">
        <v>12.62</v>
      </c>
    </row>
    <row r="35" spans="1:119" x14ac:dyDescent="0.2">
      <c r="A35">
        <f>ROW(Source!A48)</f>
        <v>48</v>
      </c>
      <c r="B35">
        <v>56959434</v>
      </c>
      <c r="C35">
        <v>56959596</v>
      </c>
      <c r="D35">
        <v>56018166</v>
      </c>
      <c r="E35">
        <v>1080</v>
      </c>
      <c r="F35">
        <v>1</v>
      </c>
      <c r="G35">
        <v>1080</v>
      </c>
      <c r="H35">
        <v>1</v>
      </c>
      <c r="I35" t="s">
        <v>500</v>
      </c>
      <c r="J35" t="s">
        <v>3</v>
      </c>
      <c r="K35" t="s">
        <v>501</v>
      </c>
      <c r="L35">
        <v>1191</v>
      </c>
      <c r="N35">
        <v>1013</v>
      </c>
      <c r="O35" t="s">
        <v>502</v>
      </c>
      <c r="P35" t="s">
        <v>502</v>
      </c>
      <c r="Q35">
        <v>1</v>
      </c>
      <c r="W35">
        <v>0</v>
      </c>
      <c r="X35">
        <v>476480486</v>
      </c>
      <c r="Y35">
        <f t="shared" si="13"/>
        <v>1.1330000000000002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1.03</v>
      </c>
      <c r="AU35" t="s">
        <v>23</v>
      </c>
      <c r="AV35">
        <v>1</v>
      </c>
      <c r="AW35">
        <v>2</v>
      </c>
      <c r="AX35">
        <v>56960925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ROUND(AT35*Source!I48*AH35*AL35,2)</f>
        <v>0</v>
      </c>
      <c r="CV35">
        <f>ROUND(Y35*Source!I48,9)</f>
        <v>1.133</v>
      </c>
      <c r="CW35">
        <v>0</v>
      </c>
      <c r="CX35">
        <f>ROUND(Y35*Source!I48,9)</f>
        <v>1.133</v>
      </c>
      <c r="CY35">
        <f>AD35</f>
        <v>0</v>
      </c>
      <c r="CZ35">
        <f>AH35</f>
        <v>0</v>
      </c>
      <c r="DA35">
        <f>AL35</f>
        <v>1</v>
      </c>
      <c r="DB35">
        <f t="shared" si="14"/>
        <v>0</v>
      </c>
      <c r="DC35">
        <f t="shared" si="15"/>
        <v>0</v>
      </c>
      <c r="DD35" t="s">
        <v>3</v>
      </c>
      <c r="DE35" t="s">
        <v>3</v>
      </c>
      <c r="DF35">
        <f t="shared" si="16"/>
        <v>0</v>
      </c>
      <c r="DG35">
        <f>ROUND(ROUND(AF35,2)*CX35,2)</f>
        <v>0</v>
      </c>
      <c r="DH35">
        <f>ROUND(ROUND(AG35,2)*CX35,2)</f>
        <v>0</v>
      </c>
      <c r="DI35">
        <f t="shared" si="4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ROW(Source!A48)</f>
        <v>48</v>
      </c>
      <c r="B36">
        <v>56959434</v>
      </c>
      <c r="C36">
        <v>56959596</v>
      </c>
      <c r="D36">
        <v>56092340</v>
      </c>
      <c r="E36">
        <v>1</v>
      </c>
      <c r="F36">
        <v>1</v>
      </c>
      <c r="G36">
        <v>1080</v>
      </c>
      <c r="H36">
        <v>2</v>
      </c>
      <c r="I36" t="s">
        <v>503</v>
      </c>
      <c r="J36" t="s">
        <v>504</v>
      </c>
      <c r="K36" t="s">
        <v>505</v>
      </c>
      <c r="L36">
        <v>1368</v>
      </c>
      <c r="N36">
        <v>1011</v>
      </c>
      <c r="O36" t="s">
        <v>506</v>
      </c>
      <c r="P36" t="s">
        <v>506</v>
      </c>
      <c r="Q36">
        <v>1</v>
      </c>
      <c r="W36">
        <v>0</v>
      </c>
      <c r="X36">
        <v>-1985943078</v>
      </c>
      <c r="Y36">
        <f t="shared" si="13"/>
        <v>6.6000000000000008E-3</v>
      </c>
      <c r="AA36">
        <v>0</v>
      </c>
      <c r="AB36">
        <v>87.01</v>
      </c>
      <c r="AC36">
        <v>13.21</v>
      </c>
      <c r="AD36">
        <v>0</v>
      </c>
      <c r="AE36">
        <v>0</v>
      </c>
      <c r="AF36">
        <v>83.1</v>
      </c>
      <c r="AG36">
        <v>12.62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6.0000000000000001E-3</v>
      </c>
      <c r="AU36" t="s">
        <v>23</v>
      </c>
      <c r="AV36">
        <v>0</v>
      </c>
      <c r="AW36">
        <v>2</v>
      </c>
      <c r="AX36">
        <v>56960926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ROUND(Y36*Source!I48*DO36,9)</f>
        <v>8.3292000000000005E-2</v>
      </c>
      <c r="CX36">
        <f>ROUND(Y36*Source!I48,9)</f>
        <v>6.6E-3</v>
      </c>
      <c r="CY36">
        <f>AB36</f>
        <v>87.01</v>
      </c>
      <c r="CZ36">
        <f>AF36</f>
        <v>83.1</v>
      </c>
      <c r="DA36">
        <f>AJ36</f>
        <v>1</v>
      </c>
      <c r="DB36">
        <f t="shared" si="14"/>
        <v>0.55000000000000004</v>
      </c>
      <c r="DC36">
        <f t="shared" si="15"/>
        <v>8.7999999999999995E-2</v>
      </c>
      <c r="DD36" t="s">
        <v>3</v>
      </c>
      <c r="DE36" t="s">
        <v>3</v>
      </c>
      <c r="DF36">
        <f t="shared" si="16"/>
        <v>0</v>
      </c>
      <c r="DG36">
        <f>ROUND(ROUND(AF36,2)*CX36,2)</f>
        <v>0.55000000000000004</v>
      </c>
      <c r="DH36">
        <f>ROUND(ROUND(AG36,2)*CX36,2)</f>
        <v>0.08</v>
      </c>
      <c r="DI36">
        <f t="shared" si="4"/>
        <v>0</v>
      </c>
      <c r="DJ36">
        <f>DG36</f>
        <v>0.55000000000000004</v>
      </c>
      <c r="DK36">
        <v>0</v>
      </c>
      <c r="DL36" t="s">
        <v>507</v>
      </c>
      <c r="DM36">
        <v>0</v>
      </c>
      <c r="DN36" t="s">
        <v>502</v>
      </c>
      <c r="DO36">
        <v>12.62</v>
      </c>
    </row>
    <row r="37" spans="1:119" x14ac:dyDescent="0.2">
      <c r="A37">
        <f>ROW(Source!A49)</f>
        <v>49</v>
      </c>
      <c r="B37">
        <v>56959431</v>
      </c>
      <c r="C37">
        <v>56959596</v>
      </c>
      <c r="D37">
        <v>56018166</v>
      </c>
      <c r="E37">
        <v>1080</v>
      </c>
      <c r="F37">
        <v>1</v>
      </c>
      <c r="G37">
        <v>1080</v>
      </c>
      <c r="H37">
        <v>1</v>
      </c>
      <c r="I37" t="s">
        <v>500</v>
      </c>
      <c r="J37" t="s">
        <v>3</v>
      </c>
      <c r="K37" t="s">
        <v>501</v>
      </c>
      <c r="L37">
        <v>1191</v>
      </c>
      <c r="N37">
        <v>1013</v>
      </c>
      <c r="O37" t="s">
        <v>502</v>
      </c>
      <c r="P37" t="s">
        <v>502</v>
      </c>
      <c r="Q37">
        <v>1</v>
      </c>
      <c r="W37">
        <v>0</v>
      </c>
      <c r="X37">
        <v>476480486</v>
      </c>
      <c r="Y37">
        <f t="shared" si="13"/>
        <v>1.1330000000000002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5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1.03</v>
      </c>
      <c r="AU37" t="s">
        <v>23</v>
      </c>
      <c r="AV37">
        <v>1</v>
      </c>
      <c r="AW37">
        <v>2</v>
      </c>
      <c r="AX37">
        <v>56960925</v>
      </c>
      <c r="AY37">
        <v>1</v>
      </c>
      <c r="AZ37">
        <v>0</v>
      </c>
      <c r="BA37">
        <v>46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ROUND(AT37*Source!I49*AH37*AL37,2)</f>
        <v>0</v>
      </c>
      <c r="CV37">
        <f>ROUND(Y37*Source!I49,9)</f>
        <v>1.133</v>
      </c>
      <c r="CW37">
        <v>0</v>
      </c>
      <c r="CX37">
        <f>ROUND(Y37*Source!I49,9)</f>
        <v>1.133</v>
      </c>
      <c r="CY37">
        <f>AD37</f>
        <v>0</v>
      </c>
      <c r="CZ37">
        <f>AH37</f>
        <v>0</v>
      </c>
      <c r="DA37">
        <f>AL37</f>
        <v>1</v>
      </c>
      <c r="DB37">
        <f t="shared" si="14"/>
        <v>0</v>
      </c>
      <c r="DC37">
        <f t="shared" si="15"/>
        <v>0</v>
      </c>
      <c r="DD37" t="s">
        <v>3</v>
      </c>
      <c r="DE37" t="s">
        <v>3</v>
      </c>
      <c r="DF37">
        <f t="shared" si="16"/>
        <v>0</v>
      </c>
      <c r="DG37">
        <f>ROUND(ROUND(AF37,2)*CX37,2)</f>
        <v>0</v>
      </c>
      <c r="DH37">
        <f>ROUND(ROUND(AG37,2)*CX37,2)</f>
        <v>0</v>
      </c>
      <c r="DI37">
        <f t="shared" si="4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ROW(Source!A49)</f>
        <v>49</v>
      </c>
      <c r="B38">
        <v>56959431</v>
      </c>
      <c r="C38">
        <v>56959596</v>
      </c>
      <c r="D38">
        <v>56092340</v>
      </c>
      <c r="E38">
        <v>1</v>
      </c>
      <c r="F38">
        <v>1</v>
      </c>
      <c r="G38">
        <v>1080</v>
      </c>
      <c r="H38">
        <v>2</v>
      </c>
      <c r="I38" t="s">
        <v>503</v>
      </c>
      <c r="J38" t="s">
        <v>504</v>
      </c>
      <c r="K38" t="s">
        <v>505</v>
      </c>
      <c r="L38">
        <v>1368</v>
      </c>
      <c r="N38">
        <v>1011</v>
      </c>
      <c r="O38" t="s">
        <v>506</v>
      </c>
      <c r="P38" t="s">
        <v>506</v>
      </c>
      <c r="Q38">
        <v>1</v>
      </c>
      <c r="W38">
        <v>0</v>
      </c>
      <c r="X38">
        <v>-1985943078</v>
      </c>
      <c r="Y38">
        <f t="shared" si="13"/>
        <v>6.6000000000000008E-3</v>
      </c>
      <c r="AA38">
        <v>0</v>
      </c>
      <c r="AB38">
        <v>1418.19</v>
      </c>
      <c r="AC38">
        <v>726.59</v>
      </c>
      <c r="AD38">
        <v>0</v>
      </c>
      <c r="AE38">
        <v>0</v>
      </c>
      <c r="AF38">
        <v>83.1</v>
      </c>
      <c r="AG38">
        <v>12.62</v>
      </c>
      <c r="AH38">
        <v>0</v>
      </c>
      <c r="AI38">
        <v>1</v>
      </c>
      <c r="AJ38">
        <v>16.3</v>
      </c>
      <c r="AK38">
        <v>54.99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6.0000000000000001E-3</v>
      </c>
      <c r="AU38" t="s">
        <v>23</v>
      </c>
      <c r="AV38">
        <v>0</v>
      </c>
      <c r="AW38">
        <v>2</v>
      </c>
      <c r="AX38">
        <v>56960926</v>
      </c>
      <c r="AY38">
        <v>1</v>
      </c>
      <c r="AZ38">
        <v>0</v>
      </c>
      <c r="BA38">
        <v>47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ROUND(Y38*Source!I49*DO38,9)</f>
        <v>8.3292000000000005E-2</v>
      </c>
      <c r="CX38">
        <f>ROUND(Y38*Source!I49,9)</f>
        <v>6.6E-3</v>
      </c>
      <c r="CY38">
        <f>AB38</f>
        <v>1418.19</v>
      </c>
      <c r="CZ38">
        <f>AF38</f>
        <v>83.1</v>
      </c>
      <c r="DA38">
        <f>AJ38</f>
        <v>16.3</v>
      </c>
      <c r="DB38">
        <f t="shared" si="14"/>
        <v>0.55000000000000004</v>
      </c>
      <c r="DC38">
        <f t="shared" si="15"/>
        <v>8.7999999999999995E-2</v>
      </c>
      <c r="DD38" t="s">
        <v>3</v>
      </c>
      <c r="DE38" t="s">
        <v>3</v>
      </c>
      <c r="DF38">
        <f t="shared" si="16"/>
        <v>0</v>
      </c>
      <c r="DG38">
        <f>ROUND(ROUND(AF38*AJ38,2)*CX38,2)</f>
        <v>8.94</v>
      </c>
      <c r="DH38">
        <f>ROUND(ROUND(AG38*AK38,2)*CX38,2)</f>
        <v>4.58</v>
      </c>
      <c r="DI38">
        <f t="shared" si="4"/>
        <v>0</v>
      </c>
      <c r="DJ38">
        <f>DG38</f>
        <v>8.94</v>
      </c>
      <c r="DK38">
        <v>0</v>
      </c>
      <c r="DL38" t="s">
        <v>507</v>
      </c>
      <c r="DM38">
        <v>0</v>
      </c>
      <c r="DN38" t="s">
        <v>502</v>
      </c>
      <c r="DO38">
        <v>12.62</v>
      </c>
    </row>
    <row r="39" spans="1:119" x14ac:dyDescent="0.2">
      <c r="A39">
        <f>ROW(Source!A52)</f>
        <v>52</v>
      </c>
      <c r="B39">
        <v>56959434</v>
      </c>
      <c r="C39">
        <v>56959603</v>
      </c>
      <c r="D39">
        <v>56018166</v>
      </c>
      <c r="E39">
        <v>1080</v>
      </c>
      <c r="F39">
        <v>1</v>
      </c>
      <c r="G39">
        <v>1080</v>
      </c>
      <c r="H39">
        <v>1</v>
      </c>
      <c r="I39" t="s">
        <v>500</v>
      </c>
      <c r="J39" t="s">
        <v>3</v>
      </c>
      <c r="K39" t="s">
        <v>501</v>
      </c>
      <c r="L39">
        <v>1191</v>
      </c>
      <c r="N39">
        <v>1013</v>
      </c>
      <c r="O39" t="s">
        <v>502</v>
      </c>
      <c r="P39" t="s">
        <v>502</v>
      </c>
      <c r="Q39">
        <v>1</v>
      </c>
      <c r="W39">
        <v>0</v>
      </c>
      <c r="X39">
        <v>476480486</v>
      </c>
      <c r="Y39">
        <f t="shared" si="13"/>
        <v>16.5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15</v>
      </c>
      <c r="AU39" t="s">
        <v>23</v>
      </c>
      <c r="AV39">
        <v>1</v>
      </c>
      <c r="AW39">
        <v>2</v>
      </c>
      <c r="AX39">
        <v>56960928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ROUND(AT39*Source!I52*AH39*AL39,2)</f>
        <v>0</v>
      </c>
      <c r="CV39">
        <f>ROUND(Y39*Source!I52,9)</f>
        <v>379.5</v>
      </c>
      <c r="CW39">
        <v>0</v>
      </c>
      <c r="CX39">
        <f>ROUND(Y39*Source!I52,9)</f>
        <v>379.5</v>
      </c>
      <c r="CY39">
        <f>AD39</f>
        <v>0</v>
      </c>
      <c r="CZ39">
        <f>AH39</f>
        <v>0</v>
      </c>
      <c r="DA39">
        <f>AL39</f>
        <v>1</v>
      </c>
      <c r="DB39">
        <f t="shared" si="14"/>
        <v>0</v>
      </c>
      <c r="DC39">
        <f t="shared" si="15"/>
        <v>0</v>
      </c>
      <c r="DD39" t="s">
        <v>3</v>
      </c>
      <c r="DE39" t="s">
        <v>3</v>
      </c>
      <c r="DF39">
        <f t="shared" si="16"/>
        <v>0</v>
      </c>
      <c r="DG39">
        <f t="shared" ref="DG39:DG57" si="17">ROUND(ROUND(AF39,2)*CX39,2)</f>
        <v>0</v>
      </c>
      <c r="DH39">
        <f t="shared" ref="DH39:DH57" si="18">ROUND(ROUND(AG39,2)*CX39,2)</f>
        <v>0</v>
      </c>
      <c r="DI39">
        <f t="shared" si="4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ROW(Source!A52)</f>
        <v>52</v>
      </c>
      <c r="B40">
        <v>56959434</v>
      </c>
      <c r="C40">
        <v>56959603</v>
      </c>
      <c r="D40">
        <v>56074647</v>
      </c>
      <c r="E40">
        <v>1</v>
      </c>
      <c r="F40">
        <v>1</v>
      </c>
      <c r="G40">
        <v>1080</v>
      </c>
      <c r="H40">
        <v>3</v>
      </c>
      <c r="I40" t="s">
        <v>82</v>
      </c>
      <c r="J40" t="s">
        <v>85</v>
      </c>
      <c r="K40" t="s">
        <v>83</v>
      </c>
      <c r="L40">
        <v>1301</v>
      </c>
      <c r="N40">
        <v>1003</v>
      </c>
      <c r="O40" t="s">
        <v>84</v>
      </c>
      <c r="P40" t="s">
        <v>84</v>
      </c>
      <c r="Q40">
        <v>1</v>
      </c>
      <c r="W40">
        <v>0</v>
      </c>
      <c r="X40">
        <v>-1305428159</v>
      </c>
      <c r="Y40">
        <f>AT40</f>
        <v>102</v>
      </c>
      <c r="AA40">
        <v>3.45</v>
      </c>
      <c r="AB40">
        <v>0</v>
      </c>
      <c r="AC40">
        <v>0</v>
      </c>
      <c r="AD40">
        <v>0</v>
      </c>
      <c r="AE40">
        <v>3.45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3</v>
      </c>
      <c r="AT40">
        <v>102</v>
      </c>
      <c r="AU40" t="s">
        <v>3</v>
      </c>
      <c r="AV40">
        <v>0</v>
      </c>
      <c r="AW40">
        <v>1</v>
      </c>
      <c r="AX40">
        <v>-1</v>
      </c>
      <c r="AY40">
        <v>0</v>
      </c>
      <c r="AZ40">
        <v>0</v>
      </c>
      <c r="BA40" t="s">
        <v>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ROUND(Y40*Source!I52,9)</f>
        <v>2346</v>
      </c>
      <c r="CY40">
        <f>AA40</f>
        <v>3.45</v>
      </c>
      <c r="CZ40">
        <f>AE40</f>
        <v>3.45</v>
      </c>
      <c r="DA40">
        <f>AI40</f>
        <v>1</v>
      </c>
      <c r="DB40">
        <f>ROUND(ROUND(AT40*CZ40,2),6)</f>
        <v>351.9</v>
      </c>
      <c r="DC40">
        <f>ROUND(ROUND(AT40*AG40,2),6)</f>
        <v>0</v>
      </c>
      <c r="DD40" t="s">
        <v>3</v>
      </c>
      <c r="DE40" t="s">
        <v>3</v>
      </c>
      <c r="DF40">
        <f t="shared" si="16"/>
        <v>8093.7</v>
      </c>
      <c r="DG40">
        <f t="shared" si="17"/>
        <v>0</v>
      </c>
      <c r="DH40">
        <f t="shared" si="18"/>
        <v>0</v>
      </c>
      <c r="DI40">
        <f t="shared" si="4"/>
        <v>0</v>
      </c>
      <c r="DJ40">
        <f>DF40</f>
        <v>8093.7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ROW(Source!A53)</f>
        <v>53</v>
      </c>
      <c r="B41">
        <v>56959431</v>
      </c>
      <c r="C41">
        <v>56959603</v>
      </c>
      <c r="D41">
        <v>56018166</v>
      </c>
      <c r="E41">
        <v>1080</v>
      </c>
      <c r="F41">
        <v>1</v>
      </c>
      <c r="G41">
        <v>1080</v>
      </c>
      <c r="H41">
        <v>1</v>
      </c>
      <c r="I41" t="s">
        <v>500</v>
      </c>
      <c r="J41" t="s">
        <v>3</v>
      </c>
      <c r="K41" t="s">
        <v>501</v>
      </c>
      <c r="L41">
        <v>1191</v>
      </c>
      <c r="N41">
        <v>1013</v>
      </c>
      <c r="O41" t="s">
        <v>502</v>
      </c>
      <c r="P41" t="s">
        <v>502</v>
      </c>
      <c r="Q41">
        <v>1</v>
      </c>
      <c r="W41">
        <v>0</v>
      </c>
      <c r="X41">
        <v>476480486</v>
      </c>
      <c r="Y41">
        <f>(AT41*1.1)</f>
        <v>16.5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5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15</v>
      </c>
      <c r="AU41" t="s">
        <v>23</v>
      </c>
      <c r="AV41">
        <v>1</v>
      </c>
      <c r="AW41">
        <v>2</v>
      </c>
      <c r="AX41">
        <v>56960928</v>
      </c>
      <c r="AY41">
        <v>1</v>
      </c>
      <c r="AZ41">
        <v>0</v>
      </c>
      <c r="BA41">
        <v>53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ROUND(AT41*Source!I53*AH41*AL41,2)</f>
        <v>0</v>
      </c>
      <c r="CV41">
        <f>ROUND(Y41*Source!I53,9)</f>
        <v>379.5</v>
      </c>
      <c r="CW41">
        <v>0</v>
      </c>
      <c r="CX41">
        <f>ROUND(Y41*Source!I53,9)</f>
        <v>379.5</v>
      </c>
      <c r="CY41">
        <f>AD41</f>
        <v>0</v>
      </c>
      <c r="CZ41">
        <f>AH41</f>
        <v>0</v>
      </c>
      <c r="DA41">
        <f>AL41</f>
        <v>1</v>
      </c>
      <c r="DB41">
        <f>ROUND((ROUND(AT41*CZ41,2)*1.1),6)</f>
        <v>0</v>
      </c>
      <c r="DC41">
        <f>ROUND((ROUND(AT41*AG41,2)*1.1),6)</f>
        <v>0</v>
      </c>
      <c r="DD41" t="s">
        <v>3</v>
      </c>
      <c r="DE41" t="s">
        <v>3</v>
      </c>
      <c r="DF41">
        <f t="shared" si="16"/>
        <v>0</v>
      </c>
      <c r="DG41">
        <f t="shared" si="17"/>
        <v>0</v>
      </c>
      <c r="DH41">
        <f t="shared" si="18"/>
        <v>0</v>
      </c>
      <c r="DI41">
        <f t="shared" si="4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ROW(Source!A53)</f>
        <v>53</v>
      </c>
      <c r="B42">
        <v>56959431</v>
      </c>
      <c r="C42">
        <v>56959603</v>
      </c>
      <c r="D42">
        <v>56074647</v>
      </c>
      <c r="E42">
        <v>1</v>
      </c>
      <c r="F42">
        <v>1</v>
      </c>
      <c r="G42">
        <v>1080</v>
      </c>
      <c r="H42">
        <v>3</v>
      </c>
      <c r="I42" t="s">
        <v>82</v>
      </c>
      <c r="J42" t="s">
        <v>85</v>
      </c>
      <c r="K42" t="s">
        <v>83</v>
      </c>
      <c r="L42">
        <v>1301</v>
      </c>
      <c r="N42">
        <v>1003</v>
      </c>
      <c r="O42" t="s">
        <v>84</v>
      </c>
      <c r="P42" t="s">
        <v>84</v>
      </c>
      <c r="Q42">
        <v>1</v>
      </c>
      <c r="W42">
        <v>0</v>
      </c>
      <c r="X42">
        <v>-1305428159</v>
      </c>
      <c r="Y42">
        <f>AT42</f>
        <v>102</v>
      </c>
      <c r="AA42">
        <v>13.56</v>
      </c>
      <c r="AB42">
        <v>0</v>
      </c>
      <c r="AC42">
        <v>0</v>
      </c>
      <c r="AD42">
        <v>0</v>
      </c>
      <c r="AE42">
        <v>3.45</v>
      </c>
      <c r="AF42">
        <v>0</v>
      </c>
      <c r="AG42">
        <v>0</v>
      </c>
      <c r="AH42">
        <v>0</v>
      </c>
      <c r="AI42">
        <v>3.93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102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ROUND(Y42*Source!I53,9)</f>
        <v>2346</v>
      </c>
      <c r="CY42">
        <f>AA42</f>
        <v>13.56</v>
      </c>
      <c r="CZ42">
        <f>AE42</f>
        <v>3.45</v>
      </c>
      <c r="DA42">
        <f>AI42</f>
        <v>3.93</v>
      </c>
      <c r="DB42">
        <f>ROUND(ROUND(AT42*CZ42,2),6)</f>
        <v>351.9</v>
      </c>
      <c r="DC42">
        <f>ROUND(ROUND(AT42*AG42,2),6)</f>
        <v>0</v>
      </c>
      <c r="DD42" t="s">
        <v>3</v>
      </c>
      <c r="DE42" t="s">
        <v>3</v>
      </c>
      <c r="DF42">
        <f>ROUND(ROUND(AE42*AI42,2)*CX42,2)</f>
        <v>31811.759999999998</v>
      </c>
      <c r="DG42">
        <f t="shared" si="17"/>
        <v>0</v>
      </c>
      <c r="DH42">
        <f t="shared" si="18"/>
        <v>0</v>
      </c>
      <c r="DI42">
        <f t="shared" si="4"/>
        <v>0</v>
      </c>
      <c r="DJ42">
        <f>DF42</f>
        <v>31811.759999999998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ROW(Source!A56)</f>
        <v>56</v>
      </c>
      <c r="B43">
        <v>56959434</v>
      </c>
      <c r="C43">
        <v>56959611</v>
      </c>
      <c r="D43">
        <v>56018166</v>
      </c>
      <c r="E43">
        <v>1080</v>
      </c>
      <c r="F43">
        <v>1</v>
      </c>
      <c r="G43">
        <v>1080</v>
      </c>
      <c r="H43">
        <v>1</v>
      </c>
      <c r="I43" t="s">
        <v>500</v>
      </c>
      <c r="J43" t="s">
        <v>3</v>
      </c>
      <c r="K43" t="s">
        <v>501</v>
      </c>
      <c r="L43">
        <v>1191</v>
      </c>
      <c r="N43">
        <v>1013</v>
      </c>
      <c r="O43" t="s">
        <v>502</v>
      </c>
      <c r="P43" t="s">
        <v>502</v>
      </c>
      <c r="Q43">
        <v>1</v>
      </c>
      <c r="W43">
        <v>0</v>
      </c>
      <c r="X43">
        <v>476480486</v>
      </c>
      <c r="Y43">
        <f>(AT43*1.1)</f>
        <v>37.169000000000004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33.79</v>
      </c>
      <c r="AU43" t="s">
        <v>23</v>
      </c>
      <c r="AV43">
        <v>1</v>
      </c>
      <c r="AW43">
        <v>2</v>
      </c>
      <c r="AX43">
        <v>56960932</v>
      </c>
      <c r="AY43">
        <v>1</v>
      </c>
      <c r="AZ43">
        <v>0</v>
      </c>
      <c r="BA43">
        <v>57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ROUND(AT43*Source!I56*AH43*AL43,2)</f>
        <v>0</v>
      </c>
      <c r="CV43">
        <f>ROUND(Y43*Source!I56,9)</f>
        <v>74.337999999999994</v>
      </c>
      <c r="CW43">
        <v>0</v>
      </c>
      <c r="CX43">
        <f>ROUND(Y43*Source!I56,9)</f>
        <v>74.337999999999994</v>
      </c>
      <c r="CY43">
        <f>AD43</f>
        <v>0</v>
      </c>
      <c r="CZ43">
        <f>AH43</f>
        <v>0</v>
      </c>
      <c r="DA43">
        <f>AL43</f>
        <v>1</v>
      </c>
      <c r="DB43">
        <f>ROUND((ROUND(AT43*CZ43,2)*1.1),6)</f>
        <v>0</v>
      </c>
      <c r="DC43">
        <f>ROUND((ROUND(AT43*AG43,2)*1.1),6)</f>
        <v>0</v>
      </c>
      <c r="DD43" t="s">
        <v>3</v>
      </c>
      <c r="DE43" t="s">
        <v>3</v>
      </c>
      <c r="DF43">
        <f>ROUND(ROUND(AE43,2)*CX43,2)</f>
        <v>0</v>
      </c>
      <c r="DG43">
        <f t="shared" si="17"/>
        <v>0</v>
      </c>
      <c r="DH43">
        <f t="shared" si="18"/>
        <v>0</v>
      </c>
      <c r="DI43">
        <f t="shared" si="4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ROW(Source!A56)</f>
        <v>56</v>
      </c>
      <c r="B44">
        <v>56959434</v>
      </c>
      <c r="C44">
        <v>56959611</v>
      </c>
      <c r="D44">
        <v>56061916</v>
      </c>
      <c r="E44">
        <v>1</v>
      </c>
      <c r="F44">
        <v>1</v>
      </c>
      <c r="G44">
        <v>1080</v>
      </c>
      <c r="H44">
        <v>3</v>
      </c>
      <c r="I44" t="s">
        <v>91</v>
      </c>
      <c r="J44" t="s">
        <v>93</v>
      </c>
      <c r="K44" t="s">
        <v>92</v>
      </c>
      <c r="L44">
        <v>1301</v>
      </c>
      <c r="N44">
        <v>1003</v>
      </c>
      <c r="O44" t="s">
        <v>84</v>
      </c>
      <c r="P44" t="s">
        <v>84</v>
      </c>
      <c r="Q44">
        <v>1</v>
      </c>
      <c r="W44">
        <v>0</v>
      </c>
      <c r="X44">
        <v>1290991592</v>
      </c>
      <c r="Y44">
        <f>AT44</f>
        <v>100</v>
      </c>
      <c r="AA44">
        <v>3.8</v>
      </c>
      <c r="AB44">
        <v>0</v>
      </c>
      <c r="AC44">
        <v>0</v>
      </c>
      <c r="AD44">
        <v>0</v>
      </c>
      <c r="AE44">
        <v>3.8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 t="s">
        <v>3</v>
      </c>
      <c r="AT44">
        <v>100</v>
      </c>
      <c r="AU44" t="s">
        <v>3</v>
      </c>
      <c r="AV44">
        <v>0</v>
      </c>
      <c r="AW44">
        <v>1</v>
      </c>
      <c r="AX44">
        <v>-1</v>
      </c>
      <c r="AY44">
        <v>0</v>
      </c>
      <c r="AZ44">
        <v>0</v>
      </c>
      <c r="BA44" t="s">
        <v>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ROUND(Y44*Source!I56,9)</f>
        <v>200</v>
      </c>
      <c r="CY44">
        <f>AA44</f>
        <v>3.8</v>
      </c>
      <c r="CZ44">
        <f>AE44</f>
        <v>3.8</v>
      </c>
      <c r="DA44">
        <f>AI44</f>
        <v>1</v>
      </c>
      <c r="DB44">
        <f>ROUND(ROUND(AT44*CZ44,2),6)</f>
        <v>380</v>
      </c>
      <c r="DC44">
        <f>ROUND(ROUND(AT44*AG44,2),6)</f>
        <v>0</v>
      </c>
      <c r="DD44" t="s">
        <v>3</v>
      </c>
      <c r="DE44" t="s">
        <v>3</v>
      </c>
      <c r="DF44">
        <f>ROUND(ROUND(AE44,2)*CX44,2)</f>
        <v>760</v>
      </c>
      <c r="DG44">
        <f t="shared" si="17"/>
        <v>0</v>
      </c>
      <c r="DH44">
        <f t="shared" si="18"/>
        <v>0</v>
      </c>
      <c r="DI44">
        <f t="shared" si="4"/>
        <v>0</v>
      </c>
      <c r="DJ44">
        <f>DF44</f>
        <v>760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ROW(Source!A57)</f>
        <v>57</v>
      </c>
      <c r="B45">
        <v>56959431</v>
      </c>
      <c r="C45">
        <v>56959611</v>
      </c>
      <c r="D45">
        <v>56018166</v>
      </c>
      <c r="E45">
        <v>1080</v>
      </c>
      <c r="F45">
        <v>1</v>
      </c>
      <c r="G45">
        <v>1080</v>
      </c>
      <c r="H45">
        <v>1</v>
      </c>
      <c r="I45" t="s">
        <v>500</v>
      </c>
      <c r="J45" t="s">
        <v>3</v>
      </c>
      <c r="K45" t="s">
        <v>501</v>
      </c>
      <c r="L45">
        <v>1191</v>
      </c>
      <c r="N45">
        <v>1013</v>
      </c>
      <c r="O45" t="s">
        <v>502</v>
      </c>
      <c r="P45" t="s">
        <v>502</v>
      </c>
      <c r="Q45">
        <v>1</v>
      </c>
      <c r="W45">
        <v>0</v>
      </c>
      <c r="X45">
        <v>476480486</v>
      </c>
      <c r="Y45">
        <f>(AT45*1.1)</f>
        <v>37.169000000000004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5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33.79</v>
      </c>
      <c r="AU45" t="s">
        <v>23</v>
      </c>
      <c r="AV45">
        <v>1</v>
      </c>
      <c r="AW45">
        <v>2</v>
      </c>
      <c r="AX45">
        <v>56960932</v>
      </c>
      <c r="AY45">
        <v>1</v>
      </c>
      <c r="AZ45">
        <v>0</v>
      </c>
      <c r="BA45">
        <v>65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ROUND(AT45*Source!I57*AH45*AL45,2)</f>
        <v>0</v>
      </c>
      <c r="CV45">
        <f>ROUND(Y45*Source!I57,9)</f>
        <v>74.337999999999994</v>
      </c>
      <c r="CW45">
        <v>0</v>
      </c>
      <c r="CX45">
        <f>ROUND(Y45*Source!I57,9)</f>
        <v>74.337999999999994</v>
      </c>
      <c r="CY45">
        <f>AD45</f>
        <v>0</v>
      </c>
      <c r="CZ45">
        <f>AH45</f>
        <v>0</v>
      </c>
      <c r="DA45">
        <f>AL45</f>
        <v>1</v>
      </c>
      <c r="DB45">
        <f>ROUND((ROUND(AT45*CZ45,2)*1.1),6)</f>
        <v>0</v>
      </c>
      <c r="DC45">
        <f>ROUND((ROUND(AT45*AG45,2)*1.1),6)</f>
        <v>0</v>
      </c>
      <c r="DD45" t="s">
        <v>3</v>
      </c>
      <c r="DE45" t="s">
        <v>3</v>
      </c>
      <c r="DF45">
        <f>ROUND(ROUND(AE45,2)*CX45,2)</f>
        <v>0</v>
      </c>
      <c r="DG45">
        <f t="shared" si="17"/>
        <v>0</v>
      </c>
      <c r="DH45">
        <f t="shared" si="18"/>
        <v>0</v>
      </c>
      <c r="DI45">
        <f t="shared" si="4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ROW(Source!A57)</f>
        <v>57</v>
      </c>
      <c r="B46">
        <v>56959431</v>
      </c>
      <c r="C46">
        <v>56959611</v>
      </c>
      <c r="D46">
        <v>56061916</v>
      </c>
      <c r="E46">
        <v>1</v>
      </c>
      <c r="F46">
        <v>1</v>
      </c>
      <c r="G46">
        <v>1080</v>
      </c>
      <c r="H46">
        <v>3</v>
      </c>
      <c r="I46" t="s">
        <v>91</v>
      </c>
      <c r="J46" t="s">
        <v>93</v>
      </c>
      <c r="K46" t="s">
        <v>92</v>
      </c>
      <c r="L46">
        <v>1301</v>
      </c>
      <c r="N46">
        <v>1003</v>
      </c>
      <c r="O46" t="s">
        <v>84</v>
      </c>
      <c r="P46" t="s">
        <v>84</v>
      </c>
      <c r="Q46">
        <v>1</v>
      </c>
      <c r="W46">
        <v>0</v>
      </c>
      <c r="X46">
        <v>1290991592</v>
      </c>
      <c r="Y46">
        <f>AT46</f>
        <v>100</v>
      </c>
      <c r="AA46">
        <v>26.14</v>
      </c>
      <c r="AB46">
        <v>0</v>
      </c>
      <c r="AC46">
        <v>0</v>
      </c>
      <c r="AD46">
        <v>0</v>
      </c>
      <c r="AE46">
        <v>3.8</v>
      </c>
      <c r="AF46">
        <v>0</v>
      </c>
      <c r="AG46">
        <v>0</v>
      </c>
      <c r="AH46">
        <v>0</v>
      </c>
      <c r="AI46">
        <v>6.88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 t="s">
        <v>3</v>
      </c>
      <c r="AT46">
        <v>100</v>
      </c>
      <c r="AU46" t="s">
        <v>3</v>
      </c>
      <c r="AV46">
        <v>0</v>
      </c>
      <c r="AW46">
        <v>1</v>
      </c>
      <c r="AX46">
        <v>-1</v>
      </c>
      <c r="AY46">
        <v>0</v>
      </c>
      <c r="AZ46">
        <v>0</v>
      </c>
      <c r="BA46" t="s">
        <v>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ROUND(Y46*Source!I57,9)</f>
        <v>200</v>
      </c>
      <c r="CY46">
        <f>AA46</f>
        <v>26.14</v>
      </c>
      <c r="CZ46">
        <f>AE46</f>
        <v>3.8</v>
      </c>
      <c r="DA46">
        <f>AI46</f>
        <v>6.88</v>
      </c>
      <c r="DB46">
        <f>ROUND(ROUND(AT46*CZ46,2),6)</f>
        <v>380</v>
      </c>
      <c r="DC46">
        <f>ROUND(ROUND(AT46*AG46,2),6)</f>
        <v>0</v>
      </c>
      <c r="DD46" t="s">
        <v>3</v>
      </c>
      <c r="DE46" t="s">
        <v>3</v>
      </c>
      <c r="DF46">
        <f>ROUND(ROUND(AE46*AI46,2)*CX46,2)</f>
        <v>5228</v>
      </c>
      <c r="DG46">
        <f t="shared" si="17"/>
        <v>0</v>
      </c>
      <c r="DH46">
        <f t="shared" si="18"/>
        <v>0</v>
      </c>
      <c r="DI46">
        <f t="shared" si="4"/>
        <v>0</v>
      </c>
      <c r="DJ46">
        <f>DF46</f>
        <v>5228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ROW(Source!A60)</f>
        <v>60</v>
      </c>
      <c r="B47">
        <v>56959434</v>
      </c>
      <c r="C47">
        <v>56959623</v>
      </c>
      <c r="D47">
        <v>56018166</v>
      </c>
      <c r="E47">
        <v>1080</v>
      </c>
      <c r="F47">
        <v>1</v>
      </c>
      <c r="G47">
        <v>1080</v>
      </c>
      <c r="H47">
        <v>1</v>
      </c>
      <c r="I47" t="s">
        <v>500</v>
      </c>
      <c r="J47" t="s">
        <v>3</v>
      </c>
      <c r="K47" t="s">
        <v>501</v>
      </c>
      <c r="L47">
        <v>1191</v>
      </c>
      <c r="N47">
        <v>1013</v>
      </c>
      <c r="O47" t="s">
        <v>502</v>
      </c>
      <c r="P47" t="s">
        <v>502</v>
      </c>
      <c r="Q47">
        <v>1</v>
      </c>
      <c r="W47">
        <v>0</v>
      </c>
      <c r="X47">
        <v>476480486</v>
      </c>
      <c r="Y47">
        <f>(AT47*1.1)</f>
        <v>4.9390000000000009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4.49</v>
      </c>
      <c r="AU47" t="s">
        <v>23</v>
      </c>
      <c r="AV47">
        <v>1</v>
      </c>
      <c r="AW47">
        <v>2</v>
      </c>
      <c r="AX47">
        <v>56960940</v>
      </c>
      <c r="AY47">
        <v>1</v>
      </c>
      <c r="AZ47">
        <v>0</v>
      </c>
      <c r="BA47">
        <v>73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ROUND(AT47*Source!I60*AH47*AL47,2)</f>
        <v>0</v>
      </c>
      <c r="CV47">
        <f>ROUND(Y47*Source!I60,9)</f>
        <v>49.39</v>
      </c>
      <c r="CW47">
        <v>0</v>
      </c>
      <c r="CX47">
        <f>ROUND(Y47*Source!I60,9)</f>
        <v>49.39</v>
      </c>
      <c r="CY47">
        <f>AD47</f>
        <v>0</v>
      </c>
      <c r="CZ47">
        <f>AH47</f>
        <v>0</v>
      </c>
      <c r="DA47">
        <f>AL47</f>
        <v>1</v>
      </c>
      <c r="DB47">
        <f>ROUND((ROUND(AT47*CZ47,2)*1.1),6)</f>
        <v>0</v>
      </c>
      <c r="DC47">
        <f>ROUND((ROUND(AT47*AG47,2)*1.1),6)</f>
        <v>0</v>
      </c>
      <c r="DD47" t="s">
        <v>3</v>
      </c>
      <c r="DE47" t="s">
        <v>3</v>
      </c>
      <c r="DF47">
        <f t="shared" ref="DF47:DF59" si="19">ROUND(ROUND(AE47,2)*CX47,2)</f>
        <v>0</v>
      </c>
      <c r="DG47">
        <f t="shared" si="17"/>
        <v>0</v>
      </c>
      <c r="DH47">
        <f t="shared" si="18"/>
        <v>0</v>
      </c>
      <c r="DI47">
        <f t="shared" si="4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ROW(Source!A60)</f>
        <v>60</v>
      </c>
      <c r="B48">
        <v>56959434</v>
      </c>
      <c r="C48">
        <v>56959623</v>
      </c>
      <c r="D48">
        <v>56092340</v>
      </c>
      <c r="E48">
        <v>1</v>
      </c>
      <c r="F48">
        <v>1</v>
      </c>
      <c r="G48">
        <v>1080</v>
      </c>
      <c r="H48">
        <v>2</v>
      </c>
      <c r="I48" t="s">
        <v>503</v>
      </c>
      <c r="J48" t="s">
        <v>504</v>
      </c>
      <c r="K48" t="s">
        <v>505</v>
      </c>
      <c r="L48">
        <v>1368</v>
      </c>
      <c r="N48">
        <v>1011</v>
      </c>
      <c r="O48" t="s">
        <v>506</v>
      </c>
      <c r="P48" t="s">
        <v>506</v>
      </c>
      <c r="Q48">
        <v>1</v>
      </c>
      <c r="W48">
        <v>0</v>
      </c>
      <c r="X48">
        <v>-1985943078</v>
      </c>
      <c r="Y48">
        <f>(AT48*1.1)</f>
        <v>1.1000000000000001E-2</v>
      </c>
      <c r="AA48">
        <v>0</v>
      </c>
      <c r="AB48">
        <v>87.01</v>
      </c>
      <c r="AC48">
        <v>13.21</v>
      </c>
      <c r="AD48">
        <v>0</v>
      </c>
      <c r="AE48">
        <v>0</v>
      </c>
      <c r="AF48">
        <v>83.1</v>
      </c>
      <c r="AG48">
        <v>12.62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0.01</v>
      </c>
      <c r="AU48" t="s">
        <v>23</v>
      </c>
      <c r="AV48">
        <v>0</v>
      </c>
      <c r="AW48">
        <v>2</v>
      </c>
      <c r="AX48">
        <v>56960941</v>
      </c>
      <c r="AY48">
        <v>1</v>
      </c>
      <c r="AZ48">
        <v>0</v>
      </c>
      <c r="BA48">
        <v>74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ROUND(Y48*Source!I60*DO48,9)</f>
        <v>1.3882000000000001</v>
      </c>
      <c r="CX48">
        <f>ROUND(Y48*Source!I60,9)</f>
        <v>0.11</v>
      </c>
      <c r="CY48">
        <f>AB48</f>
        <v>87.01</v>
      </c>
      <c r="CZ48">
        <f>AF48</f>
        <v>83.1</v>
      </c>
      <c r="DA48">
        <f>AJ48</f>
        <v>1</v>
      </c>
      <c r="DB48">
        <f>ROUND((ROUND(AT48*CZ48,2)*1.1),6)</f>
        <v>0.91300000000000003</v>
      </c>
      <c r="DC48">
        <f>ROUND((ROUND(AT48*AG48,2)*1.1),6)</f>
        <v>0.14299999999999999</v>
      </c>
      <c r="DD48" t="s">
        <v>3</v>
      </c>
      <c r="DE48" t="s">
        <v>3</v>
      </c>
      <c r="DF48">
        <f t="shared" si="19"/>
        <v>0</v>
      </c>
      <c r="DG48">
        <f t="shared" si="17"/>
        <v>9.14</v>
      </c>
      <c r="DH48">
        <f t="shared" si="18"/>
        <v>1.39</v>
      </c>
      <c r="DI48">
        <f t="shared" si="4"/>
        <v>0</v>
      </c>
      <c r="DJ48">
        <f>DG48</f>
        <v>9.14</v>
      </c>
      <c r="DK48">
        <v>0</v>
      </c>
      <c r="DL48" t="s">
        <v>507</v>
      </c>
      <c r="DM48">
        <v>0</v>
      </c>
      <c r="DN48" t="s">
        <v>502</v>
      </c>
      <c r="DO48">
        <v>12.62</v>
      </c>
    </row>
    <row r="49" spans="1:119" x14ac:dyDescent="0.2">
      <c r="A49">
        <f>ROW(Source!A60)</f>
        <v>60</v>
      </c>
      <c r="B49">
        <v>56959434</v>
      </c>
      <c r="C49">
        <v>56959623</v>
      </c>
      <c r="D49">
        <v>56091576</v>
      </c>
      <c r="E49">
        <v>1</v>
      </c>
      <c r="F49">
        <v>1</v>
      </c>
      <c r="G49">
        <v>1080</v>
      </c>
      <c r="H49">
        <v>2</v>
      </c>
      <c r="I49" t="s">
        <v>529</v>
      </c>
      <c r="J49" t="s">
        <v>530</v>
      </c>
      <c r="K49" t="s">
        <v>531</v>
      </c>
      <c r="L49">
        <v>1368</v>
      </c>
      <c r="N49">
        <v>1011</v>
      </c>
      <c r="O49" t="s">
        <v>506</v>
      </c>
      <c r="P49" t="s">
        <v>506</v>
      </c>
      <c r="Q49">
        <v>1</v>
      </c>
      <c r="W49">
        <v>0</v>
      </c>
      <c r="X49">
        <v>1087580389</v>
      </c>
      <c r="Y49">
        <f>(AT49*1.1)</f>
        <v>1.1000000000000001E-2</v>
      </c>
      <c r="AA49">
        <v>0</v>
      </c>
      <c r="AB49">
        <v>187.59</v>
      </c>
      <c r="AC49">
        <v>17.73</v>
      </c>
      <c r="AD49">
        <v>0</v>
      </c>
      <c r="AE49">
        <v>0</v>
      </c>
      <c r="AF49">
        <v>179.17</v>
      </c>
      <c r="AG49">
        <v>16.93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0.01</v>
      </c>
      <c r="AU49" t="s">
        <v>23</v>
      </c>
      <c r="AV49">
        <v>0</v>
      </c>
      <c r="AW49">
        <v>2</v>
      </c>
      <c r="AX49">
        <v>56960942</v>
      </c>
      <c r="AY49">
        <v>1</v>
      </c>
      <c r="AZ49">
        <v>0</v>
      </c>
      <c r="BA49">
        <v>75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ROUND(Y49*Source!I60*DO49,9)</f>
        <v>1.8623000000000001</v>
      </c>
      <c r="CX49">
        <f>ROUND(Y49*Source!I60,9)</f>
        <v>0.11</v>
      </c>
      <c r="CY49">
        <f>AB49</f>
        <v>187.59</v>
      </c>
      <c r="CZ49">
        <f>AF49</f>
        <v>179.17</v>
      </c>
      <c r="DA49">
        <f>AJ49</f>
        <v>1</v>
      </c>
      <c r="DB49">
        <f>ROUND((ROUND(AT49*CZ49,2)*1.1),6)</f>
        <v>1.9690000000000001</v>
      </c>
      <c r="DC49">
        <f>ROUND((ROUND(AT49*AG49,2)*1.1),6)</f>
        <v>0.187</v>
      </c>
      <c r="DD49" t="s">
        <v>3</v>
      </c>
      <c r="DE49" t="s">
        <v>3</v>
      </c>
      <c r="DF49">
        <f t="shared" si="19"/>
        <v>0</v>
      </c>
      <c r="DG49">
        <f t="shared" si="17"/>
        <v>19.71</v>
      </c>
      <c r="DH49">
        <f t="shared" si="18"/>
        <v>1.86</v>
      </c>
      <c r="DI49">
        <f t="shared" si="4"/>
        <v>0</v>
      </c>
      <c r="DJ49">
        <f>DG49</f>
        <v>19.71</v>
      </c>
      <c r="DK49">
        <v>0</v>
      </c>
      <c r="DL49" t="s">
        <v>507</v>
      </c>
      <c r="DM49">
        <v>0</v>
      </c>
      <c r="DN49" t="s">
        <v>502</v>
      </c>
      <c r="DO49">
        <v>16.93</v>
      </c>
    </row>
    <row r="50" spans="1:119" x14ac:dyDescent="0.2">
      <c r="A50">
        <f>ROW(Source!A60)</f>
        <v>60</v>
      </c>
      <c r="B50">
        <v>56959434</v>
      </c>
      <c r="C50">
        <v>56959623</v>
      </c>
      <c r="D50">
        <v>56061373</v>
      </c>
      <c r="E50">
        <v>1</v>
      </c>
      <c r="F50">
        <v>1</v>
      </c>
      <c r="G50">
        <v>1080</v>
      </c>
      <c r="H50">
        <v>3</v>
      </c>
      <c r="I50" t="s">
        <v>532</v>
      </c>
      <c r="J50" t="s">
        <v>533</v>
      </c>
      <c r="K50" t="s">
        <v>534</v>
      </c>
      <c r="L50">
        <v>1346</v>
      </c>
      <c r="N50">
        <v>1009</v>
      </c>
      <c r="O50" t="s">
        <v>249</v>
      </c>
      <c r="P50" t="s">
        <v>249</v>
      </c>
      <c r="Q50">
        <v>1</v>
      </c>
      <c r="W50">
        <v>0</v>
      </c>
      <c r="X50">
        <v>1770006655</v>
      </c>
      <c r="Y50">
        <f t="shared" ref="Y50:Y56" si="20">AT50</f>
        <v>0.43</v>
      </c>
      <c r="AA50">
        <v>1.38</v>
      </c>
      <c r="AB50">
        <v>0</v>
      </c>
      <c r="AC50">
        <v>0</v>
      </c>
      <c r="AD50">
        <v>0</v>
      </c>
      <c r="AE50">
        <v>1.38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0.43</v>
      </c>
      <c r="AU50" t="s">
        <v>3</v>
      </c>
      <c r="AV50">
        <v>0</v>
      </c>
      <c r="AW50">
        <v>2</v>
      </c>
      <c r="AX50">
        <v>56960943</v>
      </c>
      <c r="AY50">
        <v>1</v>
      </c>
      <c r="AZ50">
        <v>0</v>
      </c>
      <c r="BA50">
        <v>76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ROUND(Y50*Source!I60,9)</f>
        <v>4.3</v>
      </c>
      <c r="CY50">
        <f t="shared" ref="CY50:CY56" si="21">AA50</f>
        <v>1.38</v>
      </c>
      <c r="CZ50">
        <f t="shared" ref="CZ50:CZ56" si="22">AE50</f>
        <v>1.38</v>
      </c>
      <c r="DA50">
        <f t="shared" ref="DA50:DA56" si="23">AI50</f>
        <v>1</v>
      </c>
      <c r="DB50">
        <f t="shared" ref="DB50:DB56" si="24">ROUND(ROUND(AT50*CZ50,2),6)</f>
        <v>0.59</v>
      </c>
      <c r="DC50">
        <f t="shared" ref="DC50:DC56" si="25">ROUND(ROUND(AT50*AG50,2),6)</f>
        <v>0</v>
      </c>
      <c r="DD50" t="s">
        <v>3</v>
      </c>
      <c r="DE50" t="s">
        <v>3</v>
      </c>
      <c r="DF50">
        <f t="shared" si="19"/>
        <v>5.93</v>
      </c>
      <c r="DG50">
        <f t="shared" si="17"/>
        <v>0</v>
      </c>
      <c r="DH50">
        <f t="shared" si="18"/>
        <v>0</v>
      </c>
      <c r="DI50">
        <f t="shared" si="4"/>
        <v>0</v>
      </c>
      <c r="DJ50">
        <f t="shared" ref="DJ50:DJ56" si="26">DF50</f>
        <v>5.93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ROW(Source!A60)</f>
        <v>60</v>
      </c>
      <c r="B51">
        <v>56959434</v>
      </c>
      <c r="C51">
        <v>56959623</v>
      </c>
      <c r="D51">
        <v>56061764</v>
      </c>
      <c r="E51">
        <v>1</v>
      </c>
      <c r="F51">
        <v>1</v>
      </c>
      <c r="G51">
        <v>1080</v>
      </c>
      <c r="H51">
        <v>3</v>
      </c>
      <c r="I51" t="s">
        <v>535</v>
      </c>
      <c r="J51" t="s">
        <v>536</v>
      </c>
      <c r="K51" t="s">
        <v>537</v>
      </c>
      <c r="L51">
        <v>1346</v>
      </c>
      <c r="N51">
        <v>1009</v>
      </c>
      <c r="O51" t="s">
        <v>249</v>
      </c>
      <c r="P51" t="s">
        <v>249</v>
      </c>
      <c r="Q51">
        <v>1</v>
      </c>
      <c r="W51">
        <v>0</v>
      </c>
      <c r="X51">
        <v>-878159893</v>
      </c>
      <c r="Y51">
        <f t="shared" si="20"/>
        <v>0.16</v>
      </c>
      <c r="AA51">
        <v>159.06</v>
      </c>
      <c r="AB51">
        <v>0</v>
      </c>
      <c r="AC51">
        <v>0</v>
      </c>
      <c r="AD51">
        <v>0</v>
      </c>
      <c r="AE51">
        <v>159.06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0.16</v>
      </c>
      <c r="AU51" t="s">
        <v>3</v>
      </c>
      <c r="AV51">
        <v>0</v>
      </c>
      <c r="AW51">
        <v>2</v>
      </c>
      <c r="AX51">
        <v>56960944</v>
      </c>
      <c r="AY51">
        <v>1</v>
      </c>
      <c r="AZ51">
        <v>0</v>
      </c>
      <c r="BA51">
        <v>77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ROUND(Y51*Source!I60,9)</f>
        <v>1.6</v>
      </c>
      <c r="CY51">
        <f t="shared" si="21"/>
        <v>159.06</v>
      </c>
      <c r="CZ51">
        <f t="shared" si="22"/>
        <v>159.06</v>
      </c>
      <c r="DA51">
        <f t="shared" si="23"/>
        <v>1</v>
      </c>
      <c r="DB51">
        <f t="shared" si="24"/>
        <v>25.45</v>
      </c>
      <c r="DC51">
        <f t="shared" si="25"/>
        <v>0</v>
      </c>
      <c r="DD51" t="s">
        <v>3</v>
      </c>
      <c r="DE51" t="s">
        <v>3</v>
      </c>
      <c r="DF51">
        <f t="shared" si="19"/>
        <v>254.5</v>
      </c>
      <c r="DG51">
        <f t="shared" si="17"/>
        <v>0</v>
      </c>
      <c r="DH51">
        <f t="shared" si="18"/>
        <v>0</v>
      </c>
      <c r="DI51">
        <f t="shared" si="4"/>
        <v>0</v>
      </c>
      <c r="DJ51">
        <f t="shared" si="26"/>
        <v>254.5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ROW(Source!A60)</f>
        <v>60</v>
      </c>
      <c r="B52">
        <v>56959434</v>
      </c>
      <c r="C52">
        <v>56959623</v>
      </c>
      <c r="D52">
        <v>56084707</v>
      </c>
      <c r="E52">
        <v>1</v>
      </c>
      <c r="F52">
        <v>1</v>
      </c>
      <c r="G52">
        <v>1080</v>
      </c>
      <c r="H52">
        <v>3</v>
      </c>
      <c r="I52" t="s">
        <v>538</v>
      </c>
      <c r="J52" t="s">
        <v>539</v>
      </c>
      <c r="K52" t="s">
        <v>540</v>
      </c>
      <c r="L52">
        <v>1355</v>
      </c>
      <c r="N52">
        <v>1010</v>
      </c>
      <c r="O52" t="s">
        <v>520</v>
      </c>
      <c r="P52" t="s">
        <v>520</v>
      </c>
      <c r="Q52">
        <v>100</v>
      </c>
      <c r="W52">
        <v>0</v>
      </c>
      <c r="X52">
        <v>-456781043</v>
      </c>
      <c r="Y52">
        <f t="shared" si="20"/>
        <v>0.05</v>
      </c>
      <c r="AA52">
        <v>68.819999999999993</v>
      </c>
      <c r="AB52">
        <v>0</v>
      </c>
      <c r="AC52">
        <v>0</v>
      </c>
      <c r="AD52">
        <v>0</v>
      </c>
      <c r="AE52">
        <v>68.819999999999993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0.05</v>
      </c>
      <c r="AU52" t="s">
        <v>3</v>
      </c>
      <c r="AV52">
        <v>0</v>
      </c>
      <c r="AW52">
        <v>2</v>
      </c>
      <c r="AX52">
        <v>56960945</v>
      </c>
      <c r="AY52">
        <v>1</v>
      </c>
      <c r="AZ52">
        <v>0</v>
      </c>
      <c r="BA52">
        <v>78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ROUND(Y52*Source!I60,9)</f>
        <v>0.5</v>
      </c>
      <c r="CY52">
        <f t="shared" si="21"/>
        <v>68.819999999999993</v>
      </c>
      <c r="CZ52">
        <f t="shared" si="22"/>
        <v>68.819999999999993</v>
      </c>
      <c r="DA52">
        <f t="shared" si="23"/>
        <v>1</v>
      </c>
      <c r="DB52">
        <f t="shared" si="24"/>
        <v>3.44</v>
      </c>
      <c r="DC52">
        <f t="shared" si="25"/>
        <v>0</v>
      </c>
      <c r="DD52" t="s">
        <v>3</v>
      </c>
      <c r="DE52" t="s">
        <v>3</v>
      </c>
      <c r="DF52">
        <f t="shared" si="19"/>
        <v>34.409999999999997</v>
      </c>
      <c r="DG52">
        <f t="shared" si="17"/>
        <v>0</v>
      </c>
      <c r="DH52">
        <f t="shared" si="18"/>
        <v>0</v>
      </c>
      <c r="DI52">
        <f t="shared" si="4"/>
        <v>0</v>
      </c>
      <c r="DJ52">
        <f t="shared" si="26"/>
        <v>34.409999999999997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ROW(Source!A60)</f>
        <v>60</v>
      </c>
      <c r="B53">
        <v>56959434</v>
      </c>
      <c r="C53">
        <v>56959623</v>
      </c>
      <c r="D53">
        <v>56084718</v>
      </c>
      <c r="E53">
        <v>1</v>
      </c>
      <c r="F53">
        <v>1</v>
      </c>
      <c r="G53">
        <v>1080</v>
      </c>
      <c r="H53">
        <v>3</v>
      </c>
      <c r="I53" t="s">
        <v>541</v>
      </c>
      <c r="J53" t="s">
        <v>542</v>
      </c>
      <c r="K53" t="s">
        <v>543</v>
      </c>
      <c r="L53">
        <v>1356</v>
      </c>
      <c r="N53">
        <v>1010</v>
      </c>
      <c r="O53" t="s">
        <v>544</v>
      </c>
      <c r="P53" t="s">
        <v>544</v>
      </c>
      <c r="Q53">
        <v>1000</v>
      </c>
      <c r="W53">
        <v>0</v>
      </c>
      <c r="X53">
        <v>1726193810</v>
      </c>
      <c r="Y53">
        <f t="shared" si="20"/>
        <v>1.2200000000000001E-2</v>
      </c>
      <c r="AA53">
        <v>183.4</v>
      </c>
      <c r="AB53">
        <v>0</v>
      </c>
      <c r="AC53">
        <v>0</v>
      </c>
      <c r="AD53">
        <v>0</v>
      </c>
      <c r="AE53">
        <v>183.4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1.2200000000000001E-2</v>
      </c>
      <c r="AU53" t="s">
        <v>3</v>
      </c>
      <c r="AV53">
        <v>0</v>
      </c>
      <c r="AW53">
        <v>2</v>
      </c>
      <c r="AX53">
        <v>56960946</v>
      </c>
      <c r="AY53">
        <v>1</v>
      </c>
      <c r="AZ53">
        <v>0</v>
      </c>
      <c r="BA53">
        <v>79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ROUND(Y53*Source!I60,9)</f>
        <v>0.122</v>
      </c>
      <c r="CY53">
        <f t="shared" si="21"/>
        <v>183.4</v>
      </c>
      <c r="CZ53">
        <f t="shared" si="22"/>
        <v>183.4</v>
      </c>
      <c r="DA53">
        <f t="shared" si="23"/>
        <v>1</v>
      </c>
      <c r="DB53">
        <f t="shared" si="24"/>
        <v>2.2400000000000002</v>
      </c>
      <c r="DC53">
        <f t="shared" si="25"/>
        <v>0</v>
      </c>
      <c r="DD53" t="s">
        <v>3</v>
      </c>
      <c r="DE53" t="s">
        <v>3</v>
      </c>
      <c r="DF53">
        <f t="shared" si="19"/>
        <v>22.37</v>
      </c>
      <c r="DG53">
        <f t="shared" si="17"/>
        <v>0</v>
      </c>
      <c r="DH53">
        <f t="shared" si="18"/>
        <v>0</v>
      </c>
      <c r="DI53">
        <f t="shared" si="4"/>
        <v>0</v>
      </c>
      <c r="DJ53">
        <f t="shared" si="26"/>
        <v>22.37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ROW(Source!A60)</f>
        <v>60</v>
      </c>
      <c r="B54">
        <v>56959434</v>
      </c>
      <c r="C54">
        <v>56959623</v>
      </c>
      <c r="D54">
        <v>56084044</v>
      </c>
      <c r="E54">
        <v>1</v>
      </c>
      <c r="F54">
        <v>1</v>
      </c>
      <c r="G54">
        <v>1080</v>
      </c>
      <c r="H54">
        <v>3</v>
      </c>
      <c r="I54" t="s">
        <v>545</v>
      </c>
      <c r="J54" t="s">
        <v>546</v>
      </c>
      <c r="K54" t="s">
        <v>547</v>
      </c>
      <c r="L54">
        <v>1354</v>
      </c>
      <c r="N54">
        <v>1010</v>
      </c>
      <c r="O54" t="s">
        <v>31</v>
      </c>
      <c r="P54" t="s">
        <v>31</v>
      </c>
      <c r="Q54">
        <v>1</v>
      </c>
      <c r="W54">
        <v>0</v>
      </c>
      <c r="X54">
        <v>145081611</v>
      </c>
      <c r="Y54">
        <f t="shared" si="20"/>
        <v>3.1</v>
      </c>
      <c r="AA54">
        <v>6.94</v>
      </c>
      <c r="AB54">
        <v>0</v>
      </c>
      <c r="AC54">
        <v>0</v>
      </c>
      <c r="AD54">
        <v>0</v>
      </c>
      <c r="AE54">
        <v>6.94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3.1</v>
      </c>
      <c r="AU54" t="s">
        <v>3</v>
      </c>
      <c r="AV54">
        <v>0</v>
      </c>
      <c r="AW54">
        <v>2</v>
      </c>
      <c r="AX54">
        <v>56960947</v>
      </c>
      <c r="AY54">
        <v>1</v>
      </c>
      <c r="AZ54">
        <v>0</v>
      </c>
      <c r="BA54">
        <v>80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ROUND(Y54*Source!I60,9)</f>
        <v>31</v>
      </c>
      <c r="CY54">
        <f t="shared" si="21"/>
        <v>6.94</v>
      </c>
      <c r="CZ54">
        <f t="shared" si="22"/>
        <v>6.94</v>
      </c>
      <c r="DA54">
        <f t="shared" si="23"/>
        <v>1</v>
      </c>
      <c r="DB54">
        <f t="shared" si="24"/>
        <v>21.51</v>
      </c>
      <c r="DC54">
        <f t="shared" si="25"/>
        <v>0</v>
      </c>
      <c r="DD54" t="s">
        <v>3</v>
      </c>
      <c r="DE54" t="s">
        <v>3</v>
      </c>
      <c r="DF54">
        <f t="shared" si="19"/>
        <v>215.14</v>
      </c>
      <c r="DG54">
        <f t="shared" si="17"/>
        <v>0</v>
      </c>
      <c r="DH54">
        <f t="shared" si="18"/>
        <v>0</v>
      </c>
      <c r="DI54">
        <f t="shared" si="4"/>
        <v>0</v>
      </c>
      <c r="DJ54">
        <f t="shared" si="26"/>
        <v>215.14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ROW(Source!A60)</f>
        <v>60</v>
      </c>
      <c r="B55">
        <v>56959434</v>
      </c>
      <c r="C55">
        <v>56959623</v>
      </c>
      <c r="D55">
        <v>56084051</v>
      </c>
      <c r="E55">
        <v>1</v>
      </c>
      <c r="F55">
        <v>1</v>
      </c>
      <c r="G55">
        <v>1080</v>
      </c>
      <c r="H55">
        <v>3</v>
      </c>
      <c r="I55" t="s">
        <v>548</v>
      </c>
      <c r="J55" t="s">
        <v>549</v>
      </c>
      <c r="K55" t="s">
        <v>550</v>
      </c>
      <c r="L55">
        <v>1356</v>
      </c>
      <c r="N55">
        <v>1010</v>
      </c>
      <c r="O55" t="s">
        <v>544</v>
      </c>
      <c r="P55" t="s">
        <v>544</v>
      </c>
      <c r="Q55">
        <v>1000</v>
      </c>
      <c r="W55">
        <v>0</v>
      </c>
      <c r="X55">
        <v>-1715273674</v>
      </c>
      <c r="Y55">
        <f t="shared" si="20"/>
        <v>8.0000000000000002E-3</v>
      </c>
      <c r="AA55">
        <v>614.09</v>
      </c>
      <c r="AB55">
        <v>0</v>
      </c>
      <c r="AC55">
        <v>0</v>
      </c>
      <c r="AD55">
        <v>0</v>
      </c>
      <c r="AE55">
        <v>614.09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8.0000000000000002E-3</v>
      </c>
      <c r="AU55" t="s">
        <v>3</v>
      </c>
      <c r="AV55">
        <v>0</v>
      </c>
      <c r="AW55">
        <v>2</v>
      </c>
      <c r="AX55">
        <v>56960948</v>
      </c>
      <c r="AY55">
        <v>1</v>
      </c>
      <c r="AZ55">
        <v>0</v>
      </c>
      <c r="BA55">
        <v>81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ROUND(Y55*Source!I60,9)</f>
        <v>0.08</v>
      </c>
      <c r="CY55">
        <f t="shared" si="21"/>
        <v>614.09</v>
      </c>
      <c r="CZ55">
        <f t="shared" si="22"/>
        <v>614.09</v>
      </c>
      <c r="DA55">
        <f t="shared" si="23"/>
        <v>1</v>
      </c>
      <c r="DB55">
        <f t="shared" si="24"/>
        <v>4.91</v>
      </c>
      <c r="DC55">
        <f t="shared" si="25"/>
        <v>0</v>
      </c>
      <c r="DD55" t="s">
        <v>3</v>
      </c>
      <c r="DE55" t="s">
        <v>3</v>
      </c>
      <c r="DF55">
        <f t="shared" si="19"/>
        <v>49.13</v>
      </c>
      <c r="DG55">
        <f t="shared" si="17"/>
        <v>0</v>
      </c>
      <c r="DH55">
        <f t="shared" si="18"/>
        <v>0</v>
      </c>
      <c r="DI55">
        <f t="shared" si="4"/>
        <v>0</v>
      </c>
      <c r="DJ55">
        <f t="shared" si="26"/>
        <v>49.13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ROW(Source!A60)</f>
        <v>60</v>
      </c>
      <c r="B56">
        <v>56959434</v>
      </c>
      <c r="C56">
        <v>56959623</v>
      </c>
      <c r="D56">
        <v>0</v>
      </c>
      <c r="E56">
        <v>1080</v>
      </c>
      <c r="F56">
        <v>1</v>
      </c>
      <c r="G56">
        <v>1080</v>
      </c>
      <c r="H56">
        <v>3</v>
      </c>
      <c r="I56" t="s">
        <v>99</v>
      </c>
      <c r="J56" t="s">
        <v>3</v>
      </c>
      <c r="K56" t="s">
        <v>100</v>
      </c>
      <c r="L56">
        <v>2698</v>
      </c>
      <c r="N56">
        <v>1013</v>
      </c>
      <c r="O56" t="s">
        <v>101</v>
      </c>
      <c r="P56" t="s">
        <v>101</v>
      </c>
      <c r="Q56">
        <v>1</v>
      </c>
      <c r="W56">
        <v>0</v>
      </c>
      <c r="X56">
        <v>1285757954</v>
      </c>
      <c r="Y56">
        <f t="shared" si="20"/>
        <v>102</v>
      </c>
      <c r="AA56">
        <v>5.08</v>
      </c>
      <c r="AB56">
        <v>0</v>
      </c>
      <c r="AC56">
        <v>0</v>
      </c>
      <c r="AD56">
        <v>0</v>
      </c>
      <c r="AE56">
        <v>5.08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 t="s">
        <v>3</v>
      </c>
      <c r="AT56">
        <v>102</v>
      </c>
      <c r="AU56" t="s">
        <v>3</v>
      </c>
      <c r="AV56">
        <v>0</v>
      </c>
      <c r="AW56">
        <v>1</v>
      </c>
      <c r="AX56">
        <v>-1</v>
      </c>
      <c r="AY56">
        <v>0</v>
      </c>
      <c r="AZ56">
        <v>0</v>
      </c>
      <c r="BA56" t="s">
        <v>3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ROUND(Y56*Source!I60,9)</f>
        <v>1020</v>
      </c>
      <c r="CY56">
        <f t="shared" si="21"/>
        <v>5.08</v>
      </c>
      <c r="CZ56">
        <f t="shared" si="22"/>
        <v>5.08</v>
      </c>
      <c r="DA56">
        <f t="shared" si="23"/>
        <v>1</v>
      </c>
      <c r="DB56">
        <f t="shared" si="24"/>
        <v>518.16</v>
      </c>
      <c r="DC56">
        <f t="shared" si="25"/>
        <v>0</v>
      </c>
      <c r="DD56" t="s">
        <v>3</v>
      </c>
      <c r="DE56" t="s">
        <v>3</v>
      </c>
      <c r="DF56">
        <f t="shared" si="19"/>
        <v>5181.6000000000004</v>
      </c>
      <c r="DG56">
        <f t="shared" si="17"/>
        <v>0</v>
      </c>
      <c r="DH56">
        <f t="shared" si="18"/>
        <v>0</v>
      </c>
      <c r="DI56">
        <f t="shared" si="4"/>
        <v>0</v>
      </c>
      <c r="DJ56">
        <f t="shared" si="26"/>
        <v>5181.6000000000004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ROW(Source!A61)</f>
        <v>61</v>
      </c>
      <c r="B57">
        <v>56959431</v>
      </c>
      <c r="C57">
        <v>56959623</v>
      </c>
      <c r="D57">
        <v>56018166</v>
      </c>
      <c r="E57">
        <v>1080</v>
      </c>
      <c r="F57">
        <v>1</v>
      </c>
      <c r="G57">
        <v>1080</v>
      </c>
      <c r="H57">
        <v>1</v>
      </c>
      <c r="I57" t="s">
        <v>500</v>
      </c>
      <c r="J57" t="s">
        <v>3</v>
      </c>
      <c r="K57" t="s">
        <v>501</v>
      </c>
      <c r="L57">
        <v>1191</v>
      </c>
      <c r="N57">
        <v>1013</v>
      </c>
      <c r="O57" t="s">
        <v>502</v>
      </c>
      <c r="P57" t="s">
        <v>502</v>
      </c>
      <c r="Q57">
        <v>1</v>
      </c>
      <c r="W57">
        <v>0</v>
      </c>
      <c r="X57">
        <v>476480486</v>
      </c>
      <c r="Y57">
        <f>(AT57*1.1)</f>
        <v>4.9390000000000009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5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4.49</v>
      </c>
      <c r="AU57" t="s">
        <v>23</v>
      </c>
      <c r="AV57">
        <v>1</v>
      </c>
      <c r="AW57">
        <v>2</v>
      </c>
      <c r="AX57">
        <v>56960940</v>
      </c>
      <c r="AY57">
        <v>1</v>
      </c>
      <c r="AZ57">
        <v>0</v>
      </c>
      <c r="BA57">
        <v>83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ROUND(AT57*Source!I61*AH57*AL57,2)</f>
        <v>0</v>
      </c>
      <c r="CV57">
        <f>ROUND(Y57*Source!I61,9)</f>
        <v>49.39</v>
      </c>
      <c r="CW57">
        <v>0</v>
      </c>
      <c r="CX57">
        <f>ROUND(Y57*Source!I61,9)</f>
        <v>49.39</v>
      </c>
      <c r="CY57">
        <f>AD57</f>
        <v>0</v>
      </c>
      <c r="CZ57">
        <f>AH57</f>
        <v>0</v>
      </c>
      <c r="DA57">
        <f>AL57</f>
        <v>1</v>
      </c>
      <c r="DB57">
        <f>ROUND((ROUND(AT57*CZ57,2)*1.1),6)</f>
        <v>0</v>
      </c>
      <c r="DC57">
        <f>ROUND((ROUND(AT57*AG57,2)*1.1),6)</f>
        <v>0</v>
      </c>
      <c r="DD57" t="s">
        <v>3</v>
      </c>
      <c r="DE57" t="s">
        <v>3</v>
      </c>
      <c r="DF57">
        <f t="shared" si="19"/>
        <v>0</v>
      </c>
      <c r="DG57">
        <f t="shared" si="17"/>
        <v>0</v>
      </c>
      <c r="DH57">
        <f t="shared" si="18"/>
        <v>0</v>
      </c>
      <c r="DI57">
        <f t="shared" si="4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ROW(Source!A61)</f>
        <v>61</v>
      </c>
      <c r="B58">
        <v>56959431</v>
      </c>
      <c r="C58">
        <v>56959623</v>
      </c>
      <c r="D58">
        <v>56092340</v>
      </c>
      <c r="E58">
        <v>1</v>
      </c>
      <c r="F58">
        <v>1</v>
      </c>
      <c r="G58">
        <v>1080</v>
      </c>
      <c r="H58">
        <v>2</v>
      </c>
      <c r="I58" t="s">
        <v>503</v>
      </c>
      <c r="J58" t="s">
        <v>504</v>
      </c>
      <c r="K58" t="s">
        <v>505</v>
      </c>
      <c r="L58">
        <v>1368</v>
      </c>
      <c r="N58">
        <v>1011</v>
      </c>
      <c r="O58" t="s">
        <v>506</v>
      </c>
      <c r="P58" t="s">
        <v>506</v>
      </c>
      <c r="Q58">
        <v>1</v>
      </c>
      <c r="W58">
        <v>0</v>
      </c>
      <c r="X58">
        <v>-1985943078</v>
      </c>
      <c r="Y58">
        <f>(AT58*1.1)</f>
        <v>1.1000000000000001E-2</v>
      </c>
      <c r="AA58">
        <v>0</v>
      </c>
      <c r="AB58">
        <v>1418.19</v>
      </c>
      <c r="AC58">
        <v>726.59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16.3</v>
      </c>
      <c r="AK58">
        <v>54.99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23</v>
      </c>
      <c r="AV58">
        <v>0</v>
      </c>
      <c r="AW58">
        <v>2</v>
      </c>
      <c r="AX58">
        <v>56960941</v>
      </c>
      <c r="AY58">
        <v>1</v>
      </c>
      <c r="AZ58">
        <v>0</v>
      </c>
      <c r="BA58">
        <v>84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ROUND(Y58*Source!I61*DO58,9)</f>
        <v>1.3882000000000001</v>
      </c>
      <c r="CX58">
        <f>ROUND(Y58*Source!I61,9)</f>
        <v>0.11</v>
      </c>
      <c r="CY58">
        <f>AB58</f>
        <v>1418.19</v>
      </c>
      <c r="CZ58">
        <f>AF58</f>
        <v>83.1</v>
      </c>
      <c r="DA58">
        <f>AJ58</f>
        <v>16.3</v>
      </c>
      <c r="DB58">
        <f>ROUND((ROUND(AT58*CZ58,2)*1.1),6)</f>
        <v>0.91300000000000003</v>
      </c>
      <c r="DC58">
        <f>ROUND((ROUND(AT58*AG58,2)*1.1),6)</f>
        <v>0.14299999999999999</v>
      </c>
      <c r="DD58" t="s">
        <v>3</v>
      </c>
      <c r="DE58" t="s">
        <v>3</v>
      </c>
      <c r="DF58">
        <f t="shared" si="19"/>
        <v>0</v>
      </c>
      <c r="DG58">
        <f>ROUND(ROUND(AF58*AJ58,2)*CX58,2)</f>
        <v>149</v>
      </c>
      <c r="DH58">
        <f>ROUND(ROUND(AG58*AK58,2)*CX58,2)</f>
        <v>76.34</v>
      </c>
      <c r="DI58">
        <f t="shared" si="4"/>
        <v>0</v>
      </c>
      <c r="DJ58">
        <f>DG58</f>
        <v>149</v>
      </c>
      <c r="DK58">
        <v>0</v>
      </c>
      <c r="DL58" t="s">
        <v>507</v>
      </c>
      <c r="DM58">
        <v>0</v>
      </c>
      <c r="DN58" t="s">
        <v>502</v>
      </c>
      <c r="DO58">
        <v>12.62</v>
      </c>
    </row>
    <row r="59" spans="1:119" x14ac:dyDescent="0.2">
      <c r="A59">
        <f>ROW(Source!A61)</f>
        <v>61</v>
      </c>
      <c r="B59">
        <v>56959431</v>
      </c>
      <c r="C59">
        <v>56959623</v>
      </c>
      <c r="D59">
        <v>56091576</v>
      </c>
      <c r="E59">
        <v>1</v>
      </c>
      <c r="F59">
        <v>1</v>
      </c>
      <c r="G59">
        <v>1080</v>
      </c>
      <c r="H59">
        <v>2</v>
      </c>
      <c r="I59" t="s">
        <v>529</v>
      </c>
      <c r="J59" t="s">
        <v>530</v>
      </c>
      <c r="K59" t="s">
        <v>531</v>
      </c>
      <c r="L59">
        <v>1368</v>
      </c>
      <c r="N59">
        <v>1011</v>
      </c>
      <c r="O59" t="s">
        <v>506</v>
      </c>
      <c r="P59" t="s">
        <v>506</v>
      </c>
      <c r="Q59">
        <v>1</v>
      </c>
      <c r="W59">
        <v>0</v>
      </c>
      <c r="X59">
        <v>1087580389</v>
      </c>
      <c r="Y59">
        <f>(AT59*1.1)</f>
        <v>1.1000000000000001E-2</v>
      </c>
      <c r="AA59">
        <v>0</v>
      </c>
      <c r="AB59">
        <v>2579.38</v>
      </c>
      <c r="AC59">
        <v>974.74</v>
      </c>
      <c r="AD59">
        <v>0</v>
      </c>
      <c r="AE59">
        <v>0</v>
      </c>
      <c r="AF59">
        <v>179.17</v>
      </c>
      <c r="AG59">
        <v>16.93</v>
      </c>
      <c r="AH59">
        <v>0</v>
      </c>
      <c r="AI59">
        <v>1</v>
      </c>
      <c r="AJ59">
        <v>13.75</v>
      </c>
      <c r="AK59">
        <v>54.99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0.01</v>
      </c>
      <c r="AU59" t="s">
        <v>23</v>
      </c>
      <c r="AV59">
        <v>0</v>
      </c>
      <c r="AW59">
        <v>2</v>
      </c>
      <c r="AX59">
        <v>56960942</v>
      </c>
      <c r="AY59">
        <v>1</v>
      </c>
      <c r="AZ59">
        <v>0</v>
      </c>
      <c r="BA59">
        <v>85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ROUND(Y59*Source!I61*DO59,9)</f>
        <v>1.8623000000000001</v>
      </c>
      <c r="CX59">
        <f>ROUND(Y59*Source!I61,9)</f>
        <v>0.11</v>
      </c>
      <c r="CY59">
        <f>AB59</f>
        <v>2579.38</v>
      </c>
      <c r="CZ59">
        <f>AF59</f>
        <v>179.17</v>
      </c>
      <c r="DA59">
        <f>AJ59</f>
        <v>13.75</v>
      </c>
      <c r="DB59">
        <f>ROUND((ROUND(AT59*CZ59,2)*1.1),6)</f>
        <v>1.9690000000000001</v>
      </c>
      <c r="DC59">
        <f>ROUND((ROUND(AT59*AG59,2)*1.1),6)</f>
        <v>0.187</v>
      </c>
      <c r="DD59" t="s">
        <v>3</v>
      </c>
      <c r="DE59" t="s">
        <v>3</v>
      </c>
      <c r="DF59">
        <f t="shared" si="19"/>
        <v>0</v>
      </c>
      <c r="DG59">
        <f>ROUND(ROUND(AF59*AJ59,2)*CX59,2)</f>
        <v>270.99</v>
      </c>
      <c r="DH59">
        <f>ROUND(ROUND(AG59*AK59,2)*CX59,2)</f>
        <v>102.41</v>
      </c>
      <c r="DI59">
        <f t="shared" si="4"/>
        <v>0</v>
      </c>
      <c r="DJ59">
        <f>DG59</f>
        <v>270.99</v>
      </c>
      <c r="DK59">
        <v>0</v>
      </c>
      <c r="DL59" t="s">
        <v>507</v>
      </c>
      <c r="DM59">
        <v>0</v>
      </c>
      <c r="DN59" t="s">
        <v>502</v>
      </c>
      <c r="DO59">
        <v>16.93</v>
      </c>
    </row>
    <row r="60" spans="1:119" x14ac:dyDescent="0.2">
      <c r="A60">
        <f>ROW(Source!A61)</f>
        <v>61</v>
      </c>
      <c r="B60">
        <v>56959431</v>
      </c>
      <c r="C60">
        <v>56959623</v>
      </c>
      <c r="D60">
        <v>56061373</v>
      </c>
      <c r="E60">
        <v>1</v>
      </c>
      <c r="F60">
        <v>1</v>
      </c>
      <c r="G60">
        <v>1080</v>
      </c>
      <c r="H60">
        <v>3</v>
      </c>
      <c r="I60" t="s">
        <v>532</v>
      </c>
      <c r="J60" t="s">
        <v>533</v>
      </c>
      <c r="K60" t="s">
        <v>534</v>
      </c>
      <c r="L60">
        <v>1346</v>
      </c>
      <c r="N60">
        <v>1009</v>
      </c>
      <c r="O60" t="s">
        <v>249</v>
      </c>
      <c r="P60" t="s">
        <v>249</v>
      </c>
      <c r="Q60">
        <v>1</v>
      </c>
      <c r="W60">
        <v>0</v>
      </c>
      <c r="X60">
        <v>1770006655</v>
      </c>
      <c r="Y60">
        <f t="shared" ref="Y60:Y66" si="27">AT60</f>
        <v>0.43</v>
      </c>
      <c r="AA60">
        <v>29.73</v>
      </c>
      <c r="AB60">
        <v>0</v>
      </c>
      <c r="AC60">
        <v>0</v>
      </c>
      <c r="AD60">
        <v>0</v>
      </c>
      <c r="AE60">
        <v>1.38</v>
      </c>
      <c r="AF60">
        <v>0</v>
      </c>
      <c r="AG60">
        <v>0</v>
      </c>
      <c r="AH60">
        <v>0</v>
      </c>
      <c r="AI60">
        <v>21.54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0.43</v>
      </c>
      <c r="AU60" t="s">
        <v>3</v>
      </c>
      <c r="AV60">
        <v>0</v>
      </c>
      <c r="AW60">
        <v>2</v>
      </c>
      <c r="AX60">
        <v>56960943</v>
      </c>
      <c r="AY60">
        <v>1</v>
      </c>
      <c r="AZ60">
        <v>0</v>
      </c>
      <c r="BA60">
        <v>86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ROUND(Y60*Source!I61,9)</f>
        <v>4.3</v>
      </c>
      <c r="CY60">
        <f t="shared" ref="CY60:CY66" si="28">AA60</f>
        <v>29.73</v>
      </c>
      <c r="CZ60">
        <f t="shared" ref="CZ60:CZ66" si="29">AE60</f>
        <v>1.38</v>
      </c>
      <c r="DA60">
        <f t="shared" ref="DA60:DA66" si="30">AI60</f>
        <v>21.54</v>
      </c>
      <c r="DB60">
        <f t="shared" ref="DB60:DB66" si="31">ROUND(ROUND(AT60*CZ60,2),6)</f>
        <v>0.59</v>
      </c>
      <c r="DC60">
        <f t="shared" ref="DC60:DC66" si="32">ROUND(ROUND(AT60*AG60,2),6)</f>
        <v>0</v>
      </c>
      <c r="DD60" t="s">
        <v>3</v>
      </c>
      <c r="DE60" t="s">
        <v>3</v>
      </c>
      <c r="DF60">
        <f t="shared" ref="DF60:DF66" si="33">ROUND(ROUND(AE60*AI60,2)*CX60,2)</f>
        <v>127.84</v>
      </c>
      <c r="DG60">
        <f t="shared" ref="DG60:DG78" si="34">ROUND(ROUND(AF60,2)*CX60,2)</f>
        <v>0</v>
      </c>
      <c r="DH60">
        <f t="shared" ref="DH60:DH78" si="35">ROUND(ROUND(AG60,2)*CX60,2)</f>
        <v>0</v>
      </c>
      <c r="DI60">
        <f t="shared" si="4"/>
        <v>0</v>
      </c>
      <c r="DJ60">
        <f t="shared" ref="DJ60:DJ66" si="36">DF60</f>
        <v>127.84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ROW(Source!A61)</f>
        <v>61</v>
      </c>
      <c r="B61">
        <v>56959431</v>
      </c>
      <c r="C61">
        <v>56959623</v>
      </c>
      <c r="D61">
        <v>56061764</v>
      </c>
      <c r="E61">
        <v>1</v>
      </c>
      <c r="F61">
        <v>1</v>
      </c>
      <c r="G61">
        <v>1080</v>
      </c>
      <c r="H61">
        <v>3</v>
      </c>
      <c r="I61" t="s">
        <v>535</v>
      </c>
      <c r="J61" t="s">
        <v>536</v>
      </c>
      <c r="K61" t="s">
        <v>537</v>
      </c>
      <c r="L61">
        <v>1346</v>
      </c>
      <c r="N61">
        <v>1009</v>
      </c>
      <c r="O61" t="s">
        <v>249</v>
      </c>
      <c r="P61" t="s">
        <v>249</v>
      </c>
      <c r="Q61">
        <v>1</v>
      </c>
      <c r="W61">
        <v>0</v>
      </c>
      <c r="X61">
        <v>-878159893</v>
      </c>
      <c r="Y61">
        <f t="shared" si="27"/>
        <v>0.16</v>
      </c>
      <c r="AA61">
        <v>286.31</v>
      </c>
      <c r="AB61">
        <v>0</v>
      </c>
      <c r="AC61">
        <v>0</v>
      </c>
      <c r="AD61">
        <v>0</v>
      </c>
      <c r="AE61">
        <v>159.06</v>
      </c>
      <c r="AF61">
        <v>0</v>
      </c>
      <c r="AG61">
        <v>0</v>
      </c>
      <c r="AH61">
        <v>0</v>
      </c>
      <c r="AI61">
        <v>1.8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0.16</v>
      </c>
      <c r="AU61" t="s">
        <v>3</v>
      </c>
      <c r="AV61">
        <v>0</v>
      </c>
      <c r="AW61">
        <v>2</v>
      </c>
      <c r="AX61">
        <v>56960944</v>
      </c>
      <c r="AY61">
        <v>1</v>
      </c>
      <c r="AZ61">
        <v>0</v>
      </c>
      <c r="BA61">
        <v>87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ROUND(Y61*Source!I61,9)</f>
        <v>1.6</v>
      </c>
      <c r="CY61">
        <f t="shared" si="28"/>
        <v>286.31</v>
      </c>
      <c r="CZ61">
        <f t="shared" si="29"/>
        <v>159.06</v>
      </c>
      <c r="DA61">
        <f t="shared" si="30"/>
        <v>1.8</v>
      </c>
      <c r="DB61">
        <f t="shared" si="31"/>
        <v>25.45</v>
      </c>
      <c r="DC61">
        <f t="shared" si="32"/>
        <v>0</v>
      </c>
      <c r="DD61" t="s">
        <v>3</v>
      </c>
      <c r="DE61" t="s">
        <v>3</v>
      </c>
      <c r="DF61">
        <f t="shared" si="33"/>
        <v>458.1</v>
      </c>
      <c r="DG61">
        <f t="shared" si="34"/>
        <v>0</v>
      </c>
      <c r="DH61">
        <f t="shared" si="35"/>
        <v>0</v>
      </c>
      <c r="DI61">
        <f t="shared" si="4"/>
        <v>0</v>
      </c>
      <c r="DJ61">
        <f t="shared" si="36"/>
        <v>458.1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ROW(Source!A61)</f>
        <v>61</v>
      </c>
      <c r="B62">
        <v>56959431</v>
      </c>
      <c r="C62">
        <v>56959623</v>
      </c>
      <c r="D62">
        <v>56084707</v>
      </c>
      <c r="E62">
        <v>1</v>
      </c>
      <c r="F62">
        <v>1</v>
      </c>
      <c r="G62">
        <v>1080</v>
      </c>
      <c r="H62">
        <v>3</v>
      </c>
      <c r="I62" t="s">
        <v>538</v>
      </c>
      <c r="J62" t="s">
        <v>539</v>
      </c>
      <c r="K62" t="s">
        <v>540</v>
      </c>
      <c r="L62">
        <v>1355</v>
      </c>
      <c r="N62">
        <v>1010</v>
      </c>
      <c r="O62" t="s">
        <v>520</v>
      </c>
      <c r="P62" t="s">
        <v>520</v>
      </c>
      <c r="Q62">
        <v>100</v>
      </c>
      <c r="W62">
        <v>0</v>
      </c>
      <c r="X62">
        <v>-456781043</v>
      </c>
      <c r="Y62">
        <f t="shared" si="27"/>
        <v>0.05</v>
      </c>
      <c r="AA62">
        <v>1102.5</v>
      </c>
      <c r="AB62">
        <v>0</v>
      </c>
      <c r="AC62">
        <v>0</v>
      </c>
      <c r="AD62">
        <v>0</v>
      </c>
      <c r="AE62">
        <v>68.819999999999993</v>
      </c>
      <c r="AF62">
        <v>0</v>
      </c>
      <c r="AG62">
        <v>0</v>
      </c>
      <c r="AH62">
        <v>0</v>
      </c>
      <c r="AI62">
        <v>16.02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0.05</v>
      </c>
      <c r="AU62" t="s">
        <v>3</v>
      </c>
      <c r="AV62">
        <v>0</v>
      </c>
      <c r="AW62">
        <v>2</v>
      </c>
      <c r="AX62">
        <v>56960945</v>
      </c>
      <c r="AY62">
        <v>1</v>
      </c>
      <c r="AZ62">
        <v>0</v>
      </c>
      <c r="BA62">
        <v>88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ROUND(Y62*Source!I61,9)</f>
        <v>0.5</v>
      </c>
      <c r="CY62">
        <f t="shared" si="28"/>
        <v>1102.5</v>
      </c>
      <c r="CZ62">
        <f t="shared" si="29"/>
        <v>68.819999999999993</v>
      </c>
      <c r="DA62">
        <f t="shared" si="30"/>
        <v>16.02</v>
      </c>
      <c r="DB62">
        <f t="shared" si="31"/>
        <v>3.44</v>
      </c>
      <c r="DC62">
        <f t="shared" si="32"/>
        <v>0</v>
      </c>
      <c r="DD62" t="s">
        <v>3</v>
      </c>
      <c r="DE62" t="s">
        <v>3</v>
      </c>
      <c r="DF62">
        <f t="shared" si="33"/>
        <v>551.25</v>
      </c>
      <c r="DG62">
        <f t="shared" si="34"/>
        <v>0</v>
      </c>
      <c r="DH62">
        <f t="shared" si="35"/>
        <v>0</v>
      </c>
      <c r="DI62">
        <f t="shared" si="4"/>
        <v>0</v>
      </c>
      <c r="DJ62">
        <f t="shared" si="36"/>
        <v>551.25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ROW(Source!A61)</f>
        <v>61</v>
      </c>
      <c r="B63">
        <v>56959431</v>
      </c>
      <c r="C63">
        <v>56959623</v>
      </c>
      <c r="D63">
        <v>56084718</v>
      </c>
      <c r="E63">
        <v>1</v>
      </c>
      <c r="F63">
        <v>1</v>
      </c>
      <c r="G63">
        <v>1080</v>
      </c>
      <c r="H63">
        <v>3</v>
      </c>
      <c r="I63" t="s">
        <v>541</v>
      </c>
      <c r="J63" t="s">
        <v>542</v>
      </c>
      <c r="K63" t="s">
        <v>543</v>
      </c>
      <c r="L63">
        <v>1356</v>
      </c>
      <c r="N63">
        <v>1010</v>
      </c>
      <c r="O63" t="s">
        <v>544</v>
      </c>
      <c r="P63" t="s">
        <v>544</v>
      </c>
      <c r="Q63">
        <v>1000</v>
      </c>
      <c r="W63">
        <v>0</v>
      </c>
      <c r="X63">
        <v>1726193810</v>
      </c>
      <c r="Y63">
        <f t="shared" si="27"/>
        <v>1.2200000000000001E-2</v>
      </c>
      <c r="AA63">
        <v>1318.65</v>
      </c>
      <c r="AB63">
        <v>0</v>
      </c>
      <c r="AC63">
        <v>0</v>
      </c>
      <c r="AD63">
        <v>0</v>
      </c>
      <c r="AE63">
        <v>183.4</v>
      </c>
      <c r="AF63">
        <v>0</v>
      </c>
      <c r="AG63">
        <v>0</v>
      </c>
      <c r="AH63">
        <v>0</v>
      </c>
      <c r="AI63">
        <v>7.19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1.2200000000000001E-2</v>
      </c>
      <c r="AU63" t="s">
        <v>3</v>
      </c>
      <c r="AV63">
        <v>0</v>
      </c>
      <c r="AW63">
        <v>2</v>
      </c>
      <c r="AX63">
        <v>56960946</v>
      </c>
      <c r="AY63">
        <v>1</v>
      </c>
      <c r="AZ63">
        <v>0</v>
      </c>
      <c r="BA63">
        <v>89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ROUND(Y63*Source!I61,9)</f>
        <v>0.122</v>
      </c>
      <c r="CY63">
        <f t="shared" si="28"/>
        <v>1318.65</v>
      </c>
      <c r="CZ63">
        <f t="shared" si="29"/>
        <v>183.4</v>
      </c>
      <c r="DA63">
        <f t="shared" si="30"/>
        <v>7.19</v>
      </c>
      <c r="DB63">
        <f t="shared" si="31"/>
        <v>2.2400000000000002</v>
      </c>
      <c r="DC63">
        <f t="shared" si="32"/>
        <v>0</v>
      </c>
      <c r="DD63" t="s">
        <v>3</v>
      </c>
      <c r="DE63" t="s">
        <v>3</v>
      </c>
      <c r="DF63">
        <f t="shared" si="33"/>
        <v>160.88</v>
      </c>
      <c r="DG63">
        <f t="shared" si="34"/>
        <v>0</v>
      </c>
      <c r="DH63">
        <f t="shared" si="35"/>
        <v>0</v>
      </c>
      <c r="DI63">
        <f t="shared" si="4"/>
        <v>0</v>
      </c>
      <c r="DJ63">
        <f t="shared" si="36"/>
        <v>160.88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ROW(Source!A61)</f>
        <v>61</v>
      </c>
      <c r="B64">
        <v>56959431</v>
      </c>
      <c r="C64">
        <v>56959623</v>
      </c>
      <c r="D64">
        <v>56084044</v>
      </c>
      <c r="E64">
        <v>1</v>
      </c>
      <c r="F64">
        <v>1</v>
      </c>
      <c r="G64">
        <v>1080</v>
      </c>
      <c r="H64">
        <v>3</v>
      </c>
      <c r="I64" t="s">
        <v>545</v>
      </c>
      <c r="J64" t="s">
        <v>546</v>
      </c>
      <c r="K64" t="s">
        <v>547</v>
      </c>
      <c r="L64">
        <v>1354</v>
      </c>
      <c r="N64">
        <v>1010</v>
      </c>
      <c r="O64" t="s">
        <v>31</v>
      </c>
      <c r="P64" t="s">
        <v>31</v>
      </c>
      <c r="Q64">
        <v>1</v>
      </c>
      <c r="W64">
        <v>0</v>
      </c>
      <c r="X64">
        <v>145081611</v>
      </c>
      <c r="Y64">
        <f t="shared" si="27"/>
        <v>3.1</v>
      </c>
      <c r="AA64">
        <v>25.47</v>
      </c>
      <c r="AB64">
        <v>0</v>
      </c>
      <c r="AC64">
        <v>0</v>
      </c>
      <c r="AD64">
        <v>0</v>
      </c>
      <c r="AE64">
        <v>6.94</v>
      </c>
      <c r="AF64">
        <v>0</v>
      </c>
      <c r="AG64">
        <v>0</v>
      </c>
      <c r="AH64">
        <v>0</v>
      </c>
      <c r="AI64">
        <v>3.67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3.1</v>
      </c>
      <c r="AU64" t="s">
        <v>3</v>
      </c>
      <c r="AV64">
        <v>0</v>
      </c>
      <c r="AW64">
        <v>2</v>
      </c>
      <c r="AX64">
        <v>56960947</v>
      </c>
      <c r="AY64">
        <v>1</v>
      </c>
      <c r="AZ64">
        <v>0</v>
      </c>
      <c r="BA64">
        <v>90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ROUND(Y64*Source!I61,9)</f>
        <v>31</v>
      </c>
      <c r="CY64">
        <f t="shared" si="28"/>
        <v>25.47</v>
      </c>
      <c r="CZ64">
        <f t="shared" si="29"/>
        <v>6.94</v>
      </c>
      <c r="DA64">
        <f t="shared" si="30"/>
        <v>3.67</v>
      </c>
      <c r="DB64">
        <f t="shared" si="31"/>
        <v>21.51</v>
      </c>
      <c r="DC64">
        <f t="shared" si="32"/>
        <v>0</v>
      </c>
      <c r="DD64" t="s">
        <v>3</v>
      </c>
      <c r="DE64" t="s">
        <v>3</v>
      </c>
      <c r="DF64">
        <f t="shared" si="33"/>
        <v>789.57</v>
      </c>
      <c r="DG64">
        <f t="shared" si="34"/>
        <v>0</v>
      </c>
      <c r="DH64">
        <f t="shared" si="35"/>
        <v>0</v>
      </c>
      <c r="DI64">
        <f t="shared" si="4"/>
        <v>0</v>
      </c>
      <c r="DJ64">
        <f t="shared" si="36"/>
        <v>789.57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ROW(Source!A61)</f>
        <v>61</v>
      </c>
      <c r="B65">
        <v>56959431</v>
      </c>
      <c r="C65">
        <v>56959623</v>
      </c>
      <c r="D65">
        <v>56084051</v>
      </c>
      <c r="E65">
        <v>1</v>
      </c>
      <c r="F65">
        <v>1</v>
      </c>
      <c r="G65">
        <v>1080</v>
      </c>
      <c r="H65">
        <v>3</v>
      </c>
      <c r="I65" t="s">
        <v>548</v>
      </c>
      <c r="J65" t="s">
        <v>549</v>
      </c>
      <c r="K65" t="s">
        <v>550</v>
      </c>
      <c r="L65">
        <v>1356</v>
      </c>
      <c r="N65">
        <v>1010</v>
      </c>
      <c r="O65" t="s">
        <v>544</v>
      </c>
      <c r="P65" t="s">
        <v>544</v>
      </c>
      <c r="Q65">
        <v>1000</v>
      </c>
      <c r="W65">
        <v>0</v>
      </c>
      <c r="X65">
        <v>-1715273674</v>
      </c>
      <c r="Y65">
        <f t="shared" si="27"/>
        <v>8.0000000000000002E-3</v>
      </c>
      <c r="AA65">
        <v>786.04</v>
      </c>
      <c r="AB65">
        <v>0</v>
      </c>
      <c r="AC65">
        <v>0</v>
      </c>
      <c r="AD65">
        <v>0</v>
      </c>
      <c r="AE65">
        <v>614.09</v>
      </c>
      <c r="AF65">
        <v>0</v>
      </c>
      <c r="AG65">
        <v>0</v>
      </c>
      <c r="AH65">
        <v>0</v>
      </c>
      <c r="AI65">
        <v>1.28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8.0000000000000002E-3</v>
      </c>
      <c r="AU65" t="s">
        <v>3</v>
      </c>
      <c r="AV65">
        <v>0</v>
      </c>
      <c r="AW65">
        <v>2</v>
      </c>
      <c r="AX65">
        <v>56960948</v>
      </c>
      <c r="AY65">
        <v>1</v>
      </c>
      <c r="AZ65">
        <v>0</v>
      </c>
      <c r="BA65">
        <v>91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ROUND(Y65*Source!I61,9)</f>
        <v>0.08</v>
      </c>
      <c r="CY65">
        <f t="shared" si="28"/>
        <v>786.04</v>
      </c>
      <c r="CZ65">
        <f t="shared" si="29"/>
        <v>614.09</v>
      </c>
      <c r="DA65">
        <f t="shared" si="30"/>
        <v>1.28</v>
      </c>
      <c r="DB65">
        <f t="shared" si="31"/>
        <v>4.91</v>
      </c>
      <c r="DC65">
        <f t="shared" si="32"/>
        <v>0</v>
      </c>
      <c r="DD65" t="s">
        <v>3</v>
      </c>
      <c r="DE65" t="s">
        <v>3</v>
      </c>
      <c r="DF65">
        <f t="shared" si="33"/>
        <v>62.88</v>
      </c>
      <c r="DG65">
        <f t="shared" si="34"/>
        <v>0</v>
      </c>
      <c r="DH65">
        <f t="shared" si="35"/>
        <v>0</v>
      </c>
      <c r="DI65">
        <f t="shared" ref="DI65:DI128" si="37">ROUND(ROUND(AH65,2)*CX65,2)</f>
        <v>0</v>
      </c>
      <c r="DJ65">
        <f t="shared" si="36"/>
        <v>62.88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ROW(Source!A61)</f>
        <v>61</v>
      </c>
      <c r="B66">
        <v>56959431</v>
      </c>
      <c r="C66">
        <v>56959623</v>
      </c>
      <c r="D66">
        <v>0</v>
      </c>
      <c r="E66">
        <v>1080</v>
      </c>
      <c r="F66">
        <v>1</v>
      </c>
      <c r="G66">
        <v>1080</v>
      </c>
      <c r="H66">
        <v>3</v>
      </c>
      <c r="I66" t="s">
        <v>99</v>
      </c>
      <c r="J66" t="s">
        <v>3</v>
      </c>
      <c r="K66" t="s">
        <v>100</v>
      </c>
      <c r="L66">
        <v>2698</v>
      </c>
      <c r="N66">
        <v>1013</v>
      </c>
      <c r="O66" t="s">
        <v>101</v>
      </c>
      <c r="P66" t="s">
        <v>101</v>
      </c>
      <c r="Q66">
        <v>1</v>
      </c>
      <c r="W66">
        <v>0</v>
      </c>
      <c r="X66">
        <v>1285757954</v>
      </c>
      <c r="Y66">
        <f t="shared" si="27"/>
        <v>102</v>
      </c>
      <c r="AA66">
        <v>50.19</v>
      </c>
      <c r="AB66">
        <v>0</v>
      </c>
      <c r="AC66">
        <v>0</v>
      </c>
      <c r="AD66">
        <v>0</v>
      </c>
      <c r="AE66">
        <v>5.08</v>
      </c>
      <c r="AF66">
        <v>0</v>
      </c>
      <c r="AG66">
        <v>0</v>
      </c>
      <c r="AH66">
        <v>0</v>
      </c>
      <c r="AI66">
        <v>9.8800000000000008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102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ROUND(Y66*Source!I61,9)</f>
        <v>1020</v>
      </c>
      <c r="CY66">
        <f t="shared" si="28"/>
        <v>50.19</v>
      </c>
      <c r="CZ66">
        <f t="shared" si="29"/>
        <v>5.08</v>
      </c>
      <c r="DA66">
        <f t="shared" si="30"/>
        <v>9.8800000000000008</v>
      </c>
      <c r="DB66">
        <f t="shared" si="31"/>
        <v>518.16</v>
      </c>
      <c r="DC66">
        <f t="shared" si="32"/>
        <v>0</v>
      </c>
      <c r="DD66" t="s">
        <v>3</v>
      </c>
      <c r="DE66" t="s">
        <v>3</v>
      </c>
      <c r="DF66">
        <f t="shared" si="33"/>
        <v>51193.8</v>
      </c>
      <c r="DG66">
        <f t="shared" si="34"/>
        <v>0</v>
      </c>
      <c r="DH66">
        <f t="shared" si="35"/>
        <v>0</v>
      </c>
      <c r="DI66">
        <f t="shared" si="37"/>
        <v>0</v>
      </c>
      <c r="DJ66">
        <f t="shared" si="36"/>
        <v>51193.8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ROW(Source!A64)</f>
        <v>64</v>
      </c>
      <c r="B67">
        <v>56959434</v>
      </c>
      <c r="C67">
        <v>56959645</v>
      </c>
      <c r="D67">
        <v>56018166</v>
      </c>
      <c r="E67">
        <v>1080</v>
      </c>
      <c r="F67">
        <v>1</v>
      </c>
      <c r="G67">
        <v>1080</v>
      </c>
      <c r="H67">
        <v>1</v>
      </c>
      <c r="I67" t="s">
        <v>500</v>
      </c>
      <c r="J67" t="s">
        <v>3</v>
      </c>
      <c r="K67" t="s">
        <v>501</v>
      </c>
      <c r="L67">
        <v>1191</v>
      </c>
      <c r="N67">
        <v>1013</v>
      </c>
      <c r="O67" t="s">
        <v>502</v>
      </c>
      <c r="P67" t="s">
        <v>502</v>
      </c>
      <c r="Q67">
        <v>1</v>
      </c>
      <c r="W67">
        <v>0</v>
      </c>
      <c r="X67">
        <v>476480486</v>
      </c>
      <c r="Y67">
        <f>(AT67*1.1)</f>
        <v>4.9390000000000009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4.49</v>
      </c>
      <c r="AU67" t="s">
        <v>23</v>
      </c>
      <c r="AV67">
        <v>1</v>
      </c>
      <c r="AW67">
        <v>2</v>
      </c>
      <c r="AX67">
        <v>56960950</v>
      </c>
      <c r="AY67">
        <v>1</v>
      </c>
      <c r="AZ67">
        <v>0</v>
      </c>
      <c r="BA67">
        <v>93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ROUND(AT67*Source!I64*AH67*AL67,2)</f>
        <v>0</v>
      </c>
      <c r="CV67">
        <f>ROUND(Y67*Source!I64,9)</f>
        <v>64.206999999999994</v>
      </c>
      <c r="CW67">
        <v>0</v>
      </c>
      <c r="CX67">
        <f>ROUND(Y67*Source!I64,9)</f>
        <v>64.206999999999994</v>
      </c>
      <c r="CY67">
        <f>AD67</f>
        <v>0</v>
      </c>
      <c r="CZ67">
        <f>AH67</f>
        <v>0</v>
      </c>
      <c r="DA67">
        <f>AL67</f>
        <v>1</v>
      </c>
      <c r="DB67">
        <f>ROUND((ROUND(AT67*CZ67,2)*1.1),6)</f>
        <v>0</v>
      </c>
      <c r="DC67">
        <f>ROUND((ROUND(AT67*AG67,2)*1.1),6)</f>
        <v>0</v>
      </c>
      <c r="DD67" t="s">
        <v>3</v>
      </c>
      <c r="DE67" t="s">
        <v>3</v>
      </c>
      <c r="DF67">
        <f t="shared" ref="DF67:DF80" si="38">ROUND(ROUND(AE67,2)*CX67,2)</f>
        <v>0</v>
      </c>
      <c r="DG67">
        <f t="shared" si="34"/>
        <v>0</v>
      </c>
      <c r="DH67">
        <f t="shared" si="35"/>
        <v>0</v>
      </c>
      <c r="DI67">
        <f t="shared" si="37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ROW(Source!A64)</f>
        <v>64</v>
      </c>
      <c r="B68">
        <v>56959434</v>
      </c>
      <c r="C68">
        <v>56959645</v>
      </c>
      <c r="D68">
        <v>56092340</v>
      </c>
      <c r="E68">
        <v>1</v>
      </c>
      <c r="F68">
        <v>1</v>
      </c>
      <c r="G68">
        <v>1080</v>
      </c>
      <c r="H68">
        <v>2</v>
      </c>
      <c r="I68" t="s">
        <v>503</v>
      </c>
      <c r="J68" t="s">
        <v>504</v>
      </c>
      <c r="K68" t="s">
        <v>505</v>
      </c>
      <c r="L68">
        <v>1368</v>
      </c>
      <c r="N68">
        <v>1011</v>
      </c>
      <c r="O68" t="s">
        <v>506</v>
      </c>
      <c r="P68" t="s">
        <v>506</v>
      </c>
      <c r="Q68">
        <v>1</v>
      </c>
      <c r="W68">
        <v>0</v>
      </c>
      <c r="X68">
        <v>-1985943078</v>
      </c>
      <c r="Y68">
        <f>(AT68*1.1)</f>
        <v>1.1000000000000001E-2</v>
      </c>
      <c r="AA68">
        <v>0</v>
      </c>
      <c r="AB68">
        <v>87.01</v>
      </c>
      <c r="AC68">
        <v>13.21</v>
      </c>
      <c r="AD68">
        <v>0</v>
      </c>
      <c r="AE68">
        <v>0</v>
      </c>
      <c r="AF68">
        <v>83.1</v>
      </c>
      <c r="AG68">
        <v>12.62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0.01</v>
      </c>
      <c r="AU68" t="s">
        <v>23</v>
      </c>
      <c r="AV68">
        <v>0</v>
      </c>
      <c r="AW68">
        <v>2</v>
      </c>
      <c r="AX68">
        <v>56960951</v>
      </c>
      <c r="AY68">
        <v>1</v>
      </c>
      <c r="AZ68">
        <v>0</v>
      </c>
      <c r="BA68">
        <v>94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ROUND(Y68*Source!I64*DO68,9)</f>
        <v>1.8046599999999999</v>
      </c>
      <c r="CX68">
        <f>ROUND(Y68*Source!I64,9)</f>
        <v>0.14299999999999999</v>
      </c>
      <c r="CY68">
        <f>AB68</f>
        <v>87.01</v>
      </c>
      <c r="CZ68">
        <f>AF68</f>
        <v>83.1</v>
      </c>
      <c r="DA68">
        <f>AJ68</f>
        <v>1</v>
      </c>
      <c r="DB68">
        <f>ROUND((ROUND(AT68*CZ68,2)*1.1),6)</f>
        <v>0.91300000000000003</v>
      </c>
      <c r="DC68">
        <f>ROUND((ROUND(AT68*AG68,2)*1.1),6)</f>
        <v>0.14299999999999999</v>
      </c>
      <c r="DD68" t="s">
        <v>3</v>
      </c>
      <c r="DE68" t="s">
        <v>3</v>
      </c>
      <c r="DF68">
        <f t="shared" si="38"/>
        <v>0</v>
      </c>
      <c r="DG68">
        <f t="shared" si="34"/>
        <v>11.88</v>
      </c>
      <c r="DH68">
        <f t="shared" si="35"/>
        <v>1.8</v>
      </c>
      <c r="DI68">
        <f t="shared" si="37"/>
        <v>0</v>
      </c>
      <c r="DJ68">
        <f>DG68</f>
        <v>11.88</v>
      </c>
      <c r="DK68">
        <v>0</v>
      </c>
      <c r="DL68" t="s">
        <v>507</v>
      </c>
      <c r="DM68">
        <v>0</v>
      </c>
      <c r="DN68" t="s">
        <v>502</v>
      </c>
      <c r="DO68">
        <v>12.62</v>
      </c>
    </row>
    <row r="69" spans="1:119" x14ac:dyDescent="0.2">
      <c r="A69">
        <f>ROW(Source!A64)</f>
        <v>64</v>
      </c>
      <c r="B69">
        <v>56959434</v>
      </c>
      <c r="C69">
        <v>56959645</v>
      </c>
      <c r="D69">
        <v>56091576</v>
      </c>
      <c r="E69">
        <v>1</v>
      </c>
      <c r="F69">
        <v>1</v>
      </c>
      <c r="G69">
        <v>1080</v>
      </c>
      <c r="H69">
        <v>2</v>
      </c>
      <c r="I69" t="s">
        <v>529</v>
      </c>
      <c r="J69" t="s">
        <v>530</v>
      </c>
      <c r="K69" t="s">
        <v>531</v>
      </c>
      <c r="L69">
        <v>1368</v>
      </c>
      <c r="N69">
        <v>1011</v>
      </c>
      <c r="O69" t="s">
        <v>506</v>
      </c>
      <c r="P69" t="s">
        <v>506</v>
      </c>
      <c r="Q69">
        <v>1</v>
      </c>
      <c r="W69">
        <v>0</v>
      </c>
      <c r="X69">
        <v>1087580389</v>
      </c>
      <c r="Y69">
        <f>(AT69*1.1)</f>
        <v>1.1000000000000001E-2</v>
      </c>
      <c r="AA69">
        <v>0</v>
      </c>
      <c r="AB69">
        <v>187.59</v>
      </c>
      <c r="AC69">
        <v>17.73</v>
      </c>
      <c r="AD69">
        <v>0</v>
      </c>
      <c r="AE69">
        <v>0</v>
      </c>
      <c r="AF69">
        <v>179.17</v>
      </c>
      <c r="AG69">
        <v>16.93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0.01</v>
      </c>
      <c r="AU69" t="s">
        <v>23</v>
      </c>
      <c r="AV69">
        <v>0</v>
      </c>
      <c r="AW69">
        <v>2</v>
      </c>
      <c r="AX69">
        <v>56960952</v>
      </c>
      <c r="AY69">
        <v>1</v>
      </c>
      <c r="AZ69">
        <v>0</v>
      </c>
      <c r="BA69">
        <v>95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ROUND(Y69*Source!I64*DO69,9)</f>
        <v>2.4209900000000002</v>
      </c>
      <c r="CX69">
        <f>ROUND(Y69*Source!I64,9)</f>
        <v>0.14299999999999999</v>
      </c>
      <c r="CY69">
        <f>AB69</f>
        <v>187.59</v>
      </c>
      <c r="CZ69">
        <f>AF69</f>
        <v>179.17</v>
      </c>
      <c r="DA69">
        <f>AJ69</f>
        <v>1</v>
      </c>
      <c r="DB69">
        <f>ROUND((ROUND(AT69*CZ69,2)*1.1),6)</f>
        <v>1.9690000000000001</v>
      </c>
      <c r="DC69">
        <f>ROUND((ROUND(AT69*AG69,2)*1.1),6)</f>
        <v>0.187</v>
      </c>
      <c r="DD69" t="s">
        <v>3</v>
      </c>
      <c r="DE69" t="s">
        <v>3</v>
      </c>
      <c r="DF69">
        <f t="shared" si="38"/>
        <v>0</v>
      </c>
      <c r="DG69">
        <f t="shared" si="34"/>
        <v>25.62</v>
      </c>
      <c r="DH69">
        <f t="shared" si="35"/>
        <v>2.42</v>
      </c>
      <c r="DI69">
        <f t="shared" si="37"/>
        <v>0</v>
      </c>
      <c r="DJ69">
        <f>DG69</f>
        <v>25.62</v>
      </c>
      <c r="DK69">
        <v>0</v>
      </c>
      <c r="DL69" t="s">
        <v>507</v>
      </c>
      <c r="DM69">
        <v>0</v>
      </c>
      <c r="DN69" t="s">
        <v>502</v>
      </c>
      <c r="DO69">
        <v>16.93</v>
      </c>
    </row>
    <row r="70" spans="1:119" x14ac:dyDescent="0.2">
      <c r="A70">
        <f>ROW(Source!A64)</f>
        <v>64</v>
      </c>
      <c r="B70">
        <v>56959434</v>
      </c>
      <c r="C70">
        <v>56959645</v>
      </c>
      <c r="D70">
        <v>56061373</v>
      </c>
      <c r="E70">
        <v>1</v>
      </c>
      <c r="F70">
        <v>1</v>
      </c>
      <c r="G70">
        <v>1080</v>
      </c>
      <c r="H70">
        <v>3</v>
      </c>
      <c r="I70" t="s">
        <v>532</v>
      </c>
      <c r="J70" t="s">
        <v>533</v>
      </c>
      <c r="K70" t="s">
        <v>534</v>
      </c>
      <c r="L70">
        <v>1346</v>
      </c>
      <c r="N70">
        <v>1009</v>
      </c>
      <c r="O70" t="s">
        <v>249</v>
      </c>
      <c r="P70" t="s">
        <v>249</v>
      </c>
      <c r="Q70">
        <v>1</v>
      </c>
      <c r="W70">
        <v>0</v>
      </c>
      <c r="X70">
        <v>1770006655</v>
      </c>
      <c r="Y70">
        <f t="shared" ref="Y70:Y77" si="39">AT70</f>
        <v>0.43</v>
      </c>
      <c r="AA70">
        <v>1.38</v>
      </c>
      <c r="AB70">
        <v>0</v>
      </c>
      <c r="AC70">
        <v>0</v>
      </c>
      <c r="AD70">
        <v>0</v>
      </c>
      <c r="AE70">
        <v>1.38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0.43</v>
      </c>
      <c r="AU70" t="s">
        <v>3</v>
      </c>
      <c r="AV70">
        <v>0</v>
      </c>
      <c r="AW70">
        <v>2</v>
      </c>
      <c r="AX70">
        <v>56960953</v>
      </c>
      <c r="AY70">
        <v>1</v>
      </c>
      <c r="AZ70">
        <v>0</v>
      </c>
      <c r="BA70">
        <v>96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ROUND(Y70*Source!I64,9)</f>
        <v>5.59</v>
      </c>
      <c r="CY70">
        <f t="shared" ref="CY70:CY77" si="40">AA70</f>
        <v>1.38</v>
      </c>
      <c r="CZ70">
        <f t="shared" ref="CZ70:CZ77" si="41">AE70</f>
        <v>1.38</v>
      </c>
      <c r="DA70">
        <f t="shared" ref="DA70:DA77" si="42">AI70</f>
        <v>1</v>
      </c>
      <c r="DB70">
        <f t="shared" ref="DB70:DB77" si="43">ROUND(ROUND(AT70*CZ70,2),6)</f>
        <v>0.59</v>
      </c>
      <c r="DC70">
        <f t="shared" ref="DC70:DC77" si="44">ROUND(ROUND(AT70*AG70,2),6)</f>
        <v>0</v>
      </c>
      <c r="DD70" t="s">
        <v>3</v>
      </c>
      <c r="DE70" t="s">
        <v>3</v>
      </c>
      <c r="DF70">
        <f t="shared" si="38"/>
        <v>7.71</v>
      </c>
      <c r="DG70">
        <f t="shared" si="34"/>
        <v>0</v>
      </c>
      <c r="DH70">
        <f t="shared" si="35"/>
        <v>0</v>
      </c>
      <c r="DI70">
        <f t="shared" si="37"/>
        <v>0</v>
      </c>
      <c r="DJ70">
        <f t="shared" ref="DJ70:DJ77" si="45">DF70</f>
        <v>7.71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ROW(Source!A64)</f>
        <v>64</v>
      </c>
      <c r="B71">
        <v>56959434</v>
      </c>
      <c r="C71">
        <v>56959645</v>
      </c>
      <c r="D71">
        <v>56061764</v>
      </c>
      <c r="E71">
        <v>1</v>
      </c>
      <c r="F71">
        <v>1</v>
      </c>
      <c r="G71">
        <v>1080</v>
      </c>
      <c r="H71">
        <v>3</v>
      </c>
      <c r="I71" t="s">
        <v>535</v>
      </c>
      <c r="J71" t="s">
        <v>536</v>
      </c>
      <c r="K71" t="s">
        <v>537</v>
      </c>
      <c r="L71">
        <v>1346</v>
      </c>
      <c r="N71">
        <v>1009</v>
      </c>
      <c r="O71" t="s">
        <v>249</v>
      </c>
      <c r="P71" t="s">
        <v>249</v>
      </c>
      <c r="Q71">
        <v>1</v>
      </c>
      <c r="W71">
        <v>0</v>
      </c>
      <c r="X71">
        <v>-878159893</v>
      </c>
      <c r="Y71">
        <f t="shared" si="39"/>
        <v>0.16</v>
      </c>
      <c r="AA71">
        <v>159.06</v>
      </c>
      <c r="AB71">
        <v>0</v>
      </c>
      <c r="AC71">
        <v>0</v>
      </c>
      <c r="AD71">
        <v>0</v>
      </c>
      <c r="AE71">
        <v>159.06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0.16</v>
      </c>
      <c r="AU71" t="s">
        <v>3</v>
      </c>
      <c r="AV71">
        <v>0</v>
      </c>
      <c r="AW71">
        <v>2</v>
      </c>
      <c r="AX71">
        <v>56960954</v>
      </c>
      <c r="AY71">
        <v>1</v>
      </c>
      <c r="AZ71">
        <v>0</v>
      </c>
      <c r="BA71">
        <v>97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ROUND(Y71*Source!I64,9)</f>
        <v>2.08</v>
      </c>
      <c r="CY71">
        <f t="shared" si="40"/>
        <v>159.06</v>
      </c>
      <c r="CZ71">
        <f t="shared" si="41"/>
        <v>159.06</v>
      </c>
      <c r="DA71">
        <f t="shared" si="42"/>
        <v>1</v>
      </c>
      <c r="DB71">
        <f t="shared" si="43"/>
        <v>25.45</v>
      </c>
      <c r="DC71">
        <f t="shared" si="44"/>
        <v>0</v>
      </c>
      <c r="DD71" t="s">
        <v>3</v>
      </c>
      <c r="DE71" t="s">
        <v>3</v>
      </c>
      <c r="DF71">
        <f t="shared" si="38"/>
        <v>330.84</v>
      </c>
      <c r="DG71">
        <f t="shared" si="34"/>
        <v>0</v>
      </c>
      <c r="DH71">
        <f t="shared" si="35"/>
        <v>0</v>
      </c>
      <c r="DI71">
        <f t="shared" si="37"/>
        <v>0</v>
      </c>
      <c r="DJ71">
        <f t="shared" si="45"/>
        <v>330.84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ROW(Source!A64)</f>
        <v>64</v>
      </c>
      <c r="B72">
        <v>56959434</v>
      </c>
      <c r="C72">
        <v>56959645</v>
      </c>
      <c r="D72">
        <v>56084707</v>
      </c>
      <c r="E72">
        <v>1</v>
      </c>
      <c r="F72">
        <v>1</v>
      </c>
      <c r="G72">
        <v>1080</v>
      </c>
      <c r="H72">
        <v>3</v>
      </c>
      <c r="I72" t="s">
        <v>538</v>
      </c>
      <c r="J72" t="s">
        <v>539</v>
      </c>
      <c r="K72" t="s">
        <v>540</v>
      </c>
      <c r="L72">
        <v>1355</v>
      </c>
      <c r="N72">
        <v>1010</v>
      </c>
      <c r="O72" t="s">
        <v>520</v>
      </c>
      <c r="P72" t="s">
        <v>520</v>
      </c>
      <c r="Q72">
        <v>100</v>
      </c>
      <c r="W72">
        <v>0</v>
      </c>
      <c r="X72">
        <v>-456781043</v>
      </c>
      <c r="Y72">
        <f t="shared" si="39"/>
        <v>0.05</v>
      </c>
      <c r="AA72">
        <v>68.819999999999993</v>
      </c>
      <c r="AB72">
        <v>0</v>
      </c>
      <c r="AC72">
        <v>0</v>
      </c>
      <c r="AD72">
        <v>0</v>
      </c>
      <c r="AE72">
        <v>68.819999999999993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0.05</v>
      </c>
      <c r="AU72" t="s">
        <v>3</v>
      </c>
      <c r="AV72">
        <v>0</v>
      </c>
      <c r="AW72">
        <v>2</v>
      </c>
      <c r="AX72">
        <v>56960955</v>
      </c>
      <c r="AY72">
        <v>1</v>
      </c>
      <c r="AZ72">
        <v>0</v>
      </c>
      <c r="BA72">
        <v>98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ROUND(Y72*Source!I64,9)</f>
        <v>0.65</v>
      </c>
      <c r="CY72">
        <f t="shared" si="40"/>
        <v>68.819999999999993</v>
      </c>
      <c r="CZ72">
        <f t="shared" si="41"/>
        <v>68.819999999999993</v>
      </c>
      <c r="DA72">
        <f t="shared" si="42"/>
        <v>1</v>
      </c>
      <c r="DB72">
        <f t="shared" si="43"/>
        <v>3.44</v>
      </c>
      <c r="DC72">
        <f t="shared" si="44"/>
        <v>0</v>
      </c>
      <c r="DD72" t="s">
        <v>3</v>
      </c>
      <c r="DE72" t="s">
        <v>3</v>
      </c>
      <c r="DF72">
        <f t="shared" si="38"/>
        <v>44.73</v>
      </c>
      <c r="DG72">
        <f t="shared" si="34"/>
        <v>0</v>
      </c>
      <c r="DH72">
        <f t="shared" si="35"/>
        <v>0</v>
      </c>
      <c r="DI72">
        <f t="shared" si="37"/>
        <v>0</v>
      </c>
      <c r="DJ72">
        <f t="shared" si="45"/>
        <v>44.73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ROW(Source!A64)</f>
        <v>64</v>
      </c>
      <c r="B73">
        <v>56959434</v>
      </c>
      <c r="C73">
        <v>56959645</v>
      </c>
      <c r="D73">
        <v>56084718</v>
      </c>
      <c r="E73">
        <v>1</v>
      </c>
      <c r="F73">
        <v>1</v>
      </c>
      <c r="G73">
        <v>1080</v>
      </c>
      <c r="H73">
        <v>3</v>
      </c>
      <c r="I73" t="s">
        <v>541</v>
      </c>
      <c r="J73" t="s">
        <v>542</v>
      </c>
      <c r="K73" t="s">
        <v>543</v>
      </c>
      <c r="L73">
        <v>1356</v>
      </c>
      <c r="N73">
        <v>1010</v>
      </c>
      <c r="O73" t="s">
        <v>544</v>
      </c>
      <c r="P73" t="s">
        <v>544</v>
      </c>
      <c r="Q73">
        <v>1000</v>
      </c>
      <c r="W73">
        <v>0</v>
      </c>
      <c r="X73">
        <v>1726193810</v>
      </c>
      <c r="Y73">
        <f t="shared" si="39"/>
        <v>1.2200000000000001E-2</v>
      </c>
      <c r="AA73">
        <v>183.4</v>
      </c>
      <c r="AB73">
        <v>0</v>
      </c>
      <c r="AC73">
        <v>0</v>
      </c>
      <c r="AD73">
        <v>0</v>
      </c>
      <c r="AE73">
        <v>183.4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1.2200000000000001E-2</v>
      </c>
      <c r="AU73" t="s">
        <v>3</v>
      </c>
      <c r="AV73">
        <v>0</v>
      </c>
      <c r="AW73">
        <v>2</v>
      </c>
      <c r="AX73">
        <v>56960956</v>
      </c>
      <c r="AY73">
        <v>1</v>
      </c>
      <c r="AZ73">
        <v>0</v>
      </c>
      <c r="BA73">
        <v>99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ROUND(Y73*Source!I64,9)</f>
        <v>0.15859999999999999</v>
      </c>
      <c r="CY73">
        <f t="shared" si="40"/>
        <v>183.4</v>
      </c>
      <c r="CZ73">
        <f t="shared" si="41"/>
        <v>183.4</v>
      </c>
      <c r="DA73">
        <f t="shared" si="42"/>
        <v>1</v>
      </c>
      <c r="DB73">
        <f t="shared" si="43"/>
        <v>2.2400000000000002</v>
      </c>
      <c r="DC73">
        <f t="shared" si="44"/>
        <v>0</v>
      </c>
      <c r="DD73" t="s">
        <v>3</v>
      </c>
      <c r="DE73" t="s">
        <v>3</v>
      </c>
      <c r="DF73">
        <f t="shared" si="38"/>
        <v>29.09</v>
      </c>
      <c r="DG73">
        <f t="shared" si="34"/>
        <v>0</v>
      </c>
      <c r="DH73">
        <f t="shared" si="35"/>
        <v>0</v>
      </c>
      <c r="DI73">
        <f t="shared" si="37"/>
        <v>0</v>
      </c>
      <c r="DJ73">
        <f t="shared" si="45"/>
        <v>29.09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ROW(Source!A64)</f>
        <v>64</v>
      </c>
      <c r="B74">
        <v>56959434</v>
      </c>
      <c r="C74">
        <v>56959645</v>
      </c>
      <c r="D74">
        <v>56084044</v>
      </c>
      <c r="E74">
        <v>1</v>
      </c>
      <c r="F74">
        <v>1</v>
      </c>
      <c r="G74">
        <v>1080</v>
      </c>
      <c r="H74">
        <v>3</v>
      </c>
      <c r="I74" t="s">
        <v>545</v>
      </c>
      <c r="J74" t="s">
        <v>546</v>
      </c>
      <c r="K74" t="s">
        <v>547</v>
      </c>
      <c r="L74">
        <v>1354</v>
      </c>
      <c r="N74">
        <v>1010</v>
      </c>
      <c r="O74" t="s">
        <v>31</v>
      </c>
      <c r="P74" t="s">
        <v>31</v>
      </c>
      <c r="Q74">
        <v>1</v>
      </c>
      <c r="W74">
        <v>0</v>
      </c>
      <c r="X74">
        <v>145081611</v>
      </c>
      <c r="Y74">
        <f t="shared" si="39"/>
        <v>3.1</v>
      </c>
      <c r="AA74">
        <v>6.94</v>
      </c>
      <c r="AB74">
        <v>0</v>
      </c>
      <c r="AC74">
        <v>0</v>
      </c>
      <c r="AD74">
        <v>0</v>
      </c>
      <c r="AE74">
        <v>6.94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3.1</v>
      </c>
      <c r="AU74" t="s">
        <v>3</v>
      </c>
      <c r="AV74">
        <v>0</v>
      </c>
      <c r="AW74">
        <v>2</v>
      </c>
      <c r="AX74">
        <v>56960957</v>
      </c>
      <c r="AY74">
        <v>1</v>
      </c>
      <c r="AZ74">
        <v>0</v>
      </c>
      <c r="BA74">
        <v>100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ROUND(Y74*Source!I64,9)</f>
        <v>40.299999999999997</v>
      </c>
      <c r="CY74">
        <f t="shared" si="40"/>
        <v>6.94</v>
      </c>
      <c r="CZ74">
        <f t="shared" si="41"/>
        <v>6.94</v>
      </c>
      <c r="DA74">
        <f t="shared" si="42"/>
        <v>1</v>
      </c>
      <c r="DB74">
        <f t="shared" si="43"/>
        <v>21.51</v>
      </c>
      <c r="DC74">
        <f t="shared" si="44"/>
        <v>0</v>
      </c>
      <c r="DD74" t="s">
        <v>3</v>
      </c>
      <c r="DE74" t="s">
        <v>3</v>
      </c>
      <c r="DF74">
        <f t="shared" si="38"/>
        <v>279.68</v>
      </c>
      <c r="DG74">
        <f t="shared" si="34"/>
        <v>0</v>
      </c>
      <c r="DH74">
        <f t="shared" si="35"/>
        <v>0</v>
      </c>
      <c r="DI74">
        <f t="shared" si="37"/>
        <v>0</v>
      </c>
      <c r="DJ74">
        <f t="shared" si="45"/>
        <v>279.68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ROW(Source!A64)</f>
        <v>64</v>
      </c>
      <c r="B75">
        <v>56959434</v>
      </c>
      <c r="C75">
        <v>56959645</v>
      </c>
      <c r="D75">
        <v>56084051</v>
      </c>
      <c r="E75">
        <v>1</v>
      </c>
      <c r="F75">
        <v>1</v>
      </c>
      <c r="G75">
        <v>1080</v>
      </c>
      <c r="H75">
        <v>3</v>
      </c>
      <c r="I75" t="s">
        <v>548</v>
      </c>
      <c r="J75" t="s">
        <v>549</v>
      </c>
      <c r="K75" t="s">
        <v>550</v>
      </c>
      <c r="L75">
        <v>1356</v>
      </c>
      <c r="N75">
        <v>1010</v>
      </c>
      <c r="O75" t="s">
        <v>544</v>
      </c>
      <c r="P75" t="s">
        <v>544</v>
      </c>
      <c r="Q75">
        <v>1000</v>
      </c>
      <c r="W75">
        <v>0</v>
      </c>
      <c r="X75">
        <v>-1715273674</v>
      </c>
      <c r="Y75">
        <f t="shared" si="39"/>
        <v>8.0000000000000002E-3</v>
      </c>
      <c r="AA75">
        <v>614.09</v>
      </c>
      <c r="AB75">
        <v>0</v>
      </c>
      <c r="AC75">
        <v>0</v>
      </c>
      <c r="AD75">
        <v>0</v>
      </c>
      <c r="AE75">
        <v>614.09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8.0000000000000002E-3</v>
      </c>
      <c r="AU75" t="s">
        <v>3</v>
      </c>
      <c r="AV75">
        <v>0</v>
      </c>
      <c r="AW75">
        <v>2</v>
      </c>
      <c r="AX75">
        <v>56960958</v>
      </c>
      <c r="AY75">
        <v>1</v>
      </c>
      <c r="AZ75">
        <v>0</v>
      </c>
      <c r="BA75">
        <v>101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ROUND(Y75*Source!I64,9)</f>
        <v>0.104</v>
      </c>
      <c r="CY75">
        <f t="shared" si="40"/>
        <v>614.09</v>
      </c>
      <c r="CZ75">
        <f t="shared" si="41"/>
        <v>614.09</v>
      </c>
      <c r="DA75">
        <f t="shared" si="42"/>
        <v>1</v>
      </c>
      <c r="DB75">
        <f t="shared" si="43"/>
        <v>4.91</v>
      </c>
      <c r="DC75">
        <f t="shared" si="44"/>
        <v>0</v>
      </c>
      <c r="DD75" t="s">
        <v>3</v>
      </c>
      <c r="DE75" t="s">
        <v>3</v>
      </c>
      <c r="DF75">
        <f t="shared" si="38"/>
        <v>63.87</v>
      </c>
      <c r="DG75">
        <f t="shared" si="34"/>
        <v>0</v>
      </c>
      <c r="DH75">
        <f t="shared" si="35"/>
        <v>0</v>
      </c>
      <c r="DI75">
        <f t="shared" si="37"/>
        <v>0</v>
      </c>
      <c r="DJ75">
        <f t="shared" si="45"/>
        <v>63.87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ROW(Source!A64)</f>
        <v>64</v>
      </c>
      <c r="B76">
        <v>56959434</v>
      </c>
      <c r="C76">
        <v>56959645</v>
      </c>
      <c r="D76">
        <v>56089900</v>
      </c>
      <c r="E76">
        <v>1</v>
      </c>
      <c r="F76">
        <v>1</v>
      </c>
      <c r="G76">
        <v>1080</v>
      </c>
      <c r="H76">
        <v>3</v>
      </c>
      <c r="I76" t="s">
        <v>106</v>
      </c>
      <c r="J76" t="s">
        <v>109</v>
      </c>
      <c r="K76" t="s">
        <v>107</v>
      </c>
      <c r="L76">
        <v>1303</v>
      </c>
      <c r="N76">
        <v>1003</v>
      </c>
      <c r="O76" t="s">
        <v>108</v>
      </c>
      <c r="P76" t="s">
        <v>108</v>
      </c>
      <c r="Q76">
        <v>1000</v>
      </c>
      <c r="W76">
        <v>0</v>
      </c>
      <c r="X76">
        <v>-205854567</v>
      </c>
      <c r="Y76">
        <f t="shared" si="39"/>
        <v>0.10199999999999999</v>
      </c>
      <c r="AA76">
        <v>36413</v>
      </c>
      <c r="AB76">
        <v>0</v>
      </c>
      <c r="AC76">
        <v>0</v>
      </c>
      <c r="AD76">
        <v>0</v>
      </c>
      <c r="AE76">
        <v>36413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3</v>
      </c>
      <c r="AT76">
        <v>0.10199999999999999</v>
      </c>
      <c r="AU76" t="s">
        <v>3</v>
      </c>
      <c r="AV76">
        <v>0</v>
      </c>
      <c r="AW76">
        <v>1</v>
      </c>
      <c r="AX76">
        <v>-1</v>
      </c>
      <c r="AY76">
        <v>0</v>
      </c>
      <c r="AZ76">
        <v>0</v>
      </c>
      <c r="BA76" t="s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ROUND(Y76*Source!I64,9)</f>
        <v>1.3260000000000001</v>
      </c>
      <c r="CY76">
        <f t="shared" si="40"/>
        <v>36413</v>
      </c>
      <c r="CZ76">
        <f t="shared" si="41"/>
        <v>36413</v>
      </c>
      <c r="DA76">
        <f t="shared" si="42"/>
        <v>1</v>
      </c>
      <c r="DB76">
        <f t="shared" si="43"/>
        <v>3714.13</v>
      </c>
      <c r="DC76">
        <f t="shared" si="44"/>
        <v>0</v>
      </c>
      <c r="DD76" t="s">
        <v>3</v>
      </c>
      <c r="DE76" t="s">
        <v>3</v>
      </c>
      <c r="DF76">
        <f t="shared" si="38"/>
        <v>48283.64</v>
      </c>
      <c r="DG76">
        <f t="shared" si="34"/>
        <v>0</v>
      </c>
      <c r="DH76">
        <f t="shared" si="35"/>
        <v>0</v>
      </c>
      <c r="DI76">
        <f t="shared" si="37"/>
        <v>0</v>
      </c>
      <c r="DJ76">
        <f t="shared" si="45"/>
        <v>48283.64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ROW(Source!A64)</f>
        <v>64</v>
      </c>
      <c r="B77">
        <v>56959434</v>
      </c>
      <c r="C77">
        <v>56959645</v>
      </c>
      <c r="D77">
        <v>0</v>
      </c>
      <c r="E77">
        <v>1080</v>
      </c>
      <c r="F77">
        <v>1</v>
      </c>
      <c r="G77">
        <v>1080</v>
      </c>
      <c r="H77">
        <v>3</v>
      </c>
      <c r="I77" t="s">
        <v>111</v>
      </c>
      <c r="J77" t="s">
        <v>3</v>
      </c>
      <c r="K77" t="s">
        <v>112</v>
      </c>
      <c r="L77">
        <v>2698</v>
      </c>
      <c r="N77">
        <v>1013</v>
      </c>
      <c r="O77" t="s">
        <v>101</v>
      </c>
      <c r="P77" t="s">
        <v>101</v>
      </c>
      <c r="Q77">
        <v>1</v>
      </c>
      <c r="W77">
        <v>0</v>
      </c>
      <c r="X77">
        <v>2097214465</v>
      </c>
      <c r="Y77">
        <f t="shared" si="39"/>
        <v>0</v>
      </c>
      <c r="AA77">
        <v>5.08</v>
      </c>
      <c r="AB77">
        <v>0</v>
      </c>
      <c r="AC77">
        <v>0</v>
      </c>
      <c r="AD77">
        <v>0</v>
      </c>
      <c r="AE77">
        <v>5.08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 t="s">
        <v>3</v>
      </c>
      <c r="AT77">
        <v>0</v>
      </c>
      <c r="AU77" t="s">
        <v>3</v>
      </c>
      <c r="AV77">
        <v>0</v>
      </c>
      <c r="AW77">
        <v>1</v>
      </c>
      <c r="AX77">
        <v>-1</v>
      </c>
      <c r="AY77">
        <v>0</v>
      </c>
      <c r="AZ77">
        <v>0</v>
      </c>
      <c r="BA77" t="s">
        <v>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ROUND(Y77*Source!I64,9)</f>
        <v>0</v>
      </c>
      <c r="CY77">
        <f t="shared" si="40"/>
        <v>5.08</v>
      </c>
      <c r="CZ77">
        <f t="shared" si="41"/>
        <v>5.08</v>
      </c>
      <c r="DA77">
        <f t="shared" si="42"/>
        <v>1</v>
      </c>
      <c r="DB77">
        <f t="shared" si="43"/>
        <v>0</v>
      </c>
      <c r="DC77">
        <f t="shared" si="44"/>
        <v>0</v>
      </c>
      <c r="DD77" t="s">
        <v>3</v>
      </c>
      <c r="DE77" t="s">
        <v>3</v>
      </c>
      <c r="DF77">
        <f t="shared" si="38"/>
        <v>0</v>
      </c>
      <c r="DG77">
        <f t="shared" si="34"/>
        <v>0</v>
      </c>
      <c r="DH77">
        <f t="shared" si="35"/>
        <v>0</v>
      </c>
      <c r="DI77">
        <f t="shared" si="37"/>
        <v>0</v>
      </c>
      <c r="DJ77">
        <f t="shared" si="45"/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ROW(Source!A65)</f>
        <v>65</v>
      </c>
      <c r="B78">
        <v>56959431</v>
      </c>
      <c r="C78">
        <v>56959645</v>
      </c>
      <c r="D78">
        <v>56018166</v>
      </c>
      <c r="E78">
        <v>1080</v>
      </c>
      <c r="F78">
        <v>1</v>
      </c>
      <c r="G78">
        <v>1080</v>
      </c>
      <c r="H78">
        <v>1</v>
      </c>
      <c r="I78" t="s">
        <v>500</v>
      </c>
      <c r="J78" t="s">
        <v>3</v>
      </c>
      <c r="K78" t="s">
        <v>501</v>
      </c>
      <c r="L78">
        <v>1191</v>
      </c>
      <c r="N78">
        <v>1013</v>
      </c>
      <c r="O78" t="s">
        <v>502</v>
      </c>
      <c r="P78" t="s">
        <v>502</v>
      </c>
      <c r="Q78">
        <v>1</v>
      </c>
      <c r="W78">
        <v>0</v>
      </c>
      <c r="X78">
        <v>476480486</v>
      </c>
      <c r="Y78">
        <f>(AT78*1.1)</f>
        <v>4.9390000000000009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4.49</v>
      </c>
      <c r="AU78" t="s">
        <v>23</v>
      </c>
      <c r="AV78">
        <v>1</v>
      </c>
      <c r="AW78">
        <v>2</v>
      </c>
      <c r="AX78">
        <v>56960950</v>
      </c>
      <c r="AY78">
        <v>1</v>
      </c>
      <c r="AZ78">
        <v>0</v>
      </c>
      <c r="BA78">
        <v>103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U78">
        <f>ROUND(AT78*Source!I65*AH78*AL78,2)</f>
        <v>0</v>
      </c>
      <c r="CV78">
        <f>ROUND(Y78*Source!I65,9)</f>
        <v>64.206999999999994</v>
      </c>
      <c r="CW78">
        <v>0</v>
      </c>
      <c r="CX78">
        <f>ROUND(Y78*Source!I65,9)</f>
        <v>64.206999999999994</v>
      </c>
      <c r="CY78">
        <f>AD78</f>
        <v>0</v>
      </c>
      <c r="CZ78">
        <f>AH78</f>
        <v>0</v>
      </c>
      <c r="DA78">
        <f>AL78</f>
        <v>1</v>
      </c>
      <c r="DB78">
        <f>ROUND((ROUND(AT78*CZ78,2)*1.1),6)</f>
        <v>0</v>
      </c>
      <c r="DC78">
        <f>ROUND((ROUND(AT78*AG78,2)*1.1),6)</f>
        <v>0</v>
      </c>
      <c r="DD78" t="s">
        <v>3</v>
      </c>
      <c r="DE78" t="s">
        <v>3</v>
      </c>
      <c r="DF78">
        <f t="shared" si="38"/>
        <v>0</v>
      </c>
      <c r="DG78">
        <f t="shared" si="34"/>
        <v>0</v>
      </c>
      <c r="DH78">
        <f t="shared" si="35"/>
        <v>0</v>
      </c>
      <c r="DI78">
        <f t="shared" si="37"/>
        <v>0</v>
      </c>
      <c r="DJ78">
        <f>DI78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ROW(Source!A65)</f>
        <v>65</v>
      </c>
      <c r="B79">
        <v>56959431</v>
      </c>
      <c r="C79">
        <v>56959645</v>
      </c>
      <c r="D79">
        <v>56092340</v>
      </c>
      <c r="E79">
        <v>1</v>
      </c>
      <c r="F79">
        <v>1</v>
      </c>
      <c r="G79">
        <v>1080</v>
      </c>
      <c r="H79">
        <v>2</v>
      </c>
      <c r="I79" t="s">
        <v>503</v>
      </c>
      <c r="J79" t="s">
        <v>504</v>
      </c>
      <c r="K79" t="s">
        <v>505</v>
      </c>
      <c r="L79">
        <v>1368</v>
      </c>
      <c r="N79">
        <v>1011</v>
      </c>
      <c r="O79" t="s">
        <v>506</v>
      </c>
      <c r="P79" t="s">
        <v>506</v>
      </c>
      <c r="Q79">
        <v>1</v>
      </c>
      <c r="W79">
        <v>0</v>
      </c>
      <c r="X79">
        <v>-1985943078</v>
      </c>
      <c r="Y79">
        <f>(AT79*1.1)</f>
        <v>1.1000000000000001E-2</v>
      </c>
      <c r="AA79">
        <v>0</v>
      </c>
      <c r="AB79">
        <v>1418.19</v>
      </c>
      <c r="AC79">
        <v>726.59</v>
      </c>
      <c r="AD79">
        <v>0</v>
      </c>
      <c r="AE79">
        <v>0</v>
      </c>
      <c r="AF79">
        <v>83.1</v>
      </c>
      <c r="AG79">
        <v>12.62</v>
      </c>
      <c r="AH79">
        <v>0</v>
      </c>
      <c r="AI79">
        <v>1</v>
      </c>
      <c r="AJ79">
        <v>16.3</v>
      </c>
      <c r="AK79">
        <v>54.99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0.01</v>
      </c>
      <c r="AU79" t="s">
        <v>23</v>
      </c>
      <c r="AV79">
        <v>0</v>
      </c>
      <c r="AW79">
        <v>2</v>
      </c>
      <c r="AX79">
        <v>56960951</v>
      </c>
      <c r="AY79">
        <v>1</v>
      </c>
      <c r="AZ79">
        <v>0</v>
      </c>
      <c r="BA79">
        <v>104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f>ROUND(Y79*Source!I65*DO79,9)</f>
        <v>1.8046599999999999</v>
      </c>
      <c r="CX79">
        <f>ROUND(Y79*Source!I65,9)</f>
        <v>0.14299999999999999</v>
      </c>
      <c r="CY79">
        <f>AB79</f>
        <v>1418.19</v>
      </c>
      <c r="CZ79">
        <f>AF79</f>
        <v>83.1</v>
      </c>
      <c r="DA79">
        <f>AJ79</f>
        <v>16.3</v>
      </c>
      <c r="DB79">
        <f>ROUND((ROUND(AT79*CZ79,2)*1.1),6)</f>
        <v>0.91300000000000003</v>
      </c>
      <c r="DC79">
        <f>ROUND((ROUND(AT79*AG79,2)*1.1),6)</f>
        <v>0.14299999999999999</v>
      </c>
      <c r="DD79" t="s">
        <v>3</v>
      </c>
      <c r="DE79" t="s">
        <v>3</v>
      </c>
      <c r="DF79">
        <f t="shared" si="38"/>
        <v>0</v>
      </c>
      <c r="DG79">
        <f>ROUND(ROUND(AF79*AJ79,2)*CX79,2)</f>
        <v>193.7</v>
      </c>
      <c r="DH79">
        <f>ROUND(ROUND(AG79*AK79,2)*CX79,2)</f>
        <v>99.24</v>
      </c>
      <c r="DI79">
        <f t="shared" si="37"/>
        <v>0</v>
      </c>
      <c r="DJ79">
        <f>DG79</f>
        <v>193.7</v>
      </c>
      <c r="DK79">
        <v>0</v>
      </c>
      <c r="DL79" t="s">
        <v>507</v>
      </c>
      <c r="DM79">
        <v>0</v>
      </c>
      <c r="DN79" t="s">
        <v>502</v>
      </c>
      <c r="DO79">
        <v>12.62</v>
      </c>
    </row>
    <row r="80" spans="1:119" x14ac:dyDescent="0.2">
      <c r="A80">
        <f>ROW(Source!A65)</f>
        <v>65</v>
      </c>
      <c r="B80">
        <v>56959431</v>
      </c>
      <c r="C80">
        <v>56959645</v>
      </c>
      <c r="D80">
        <v>56091576</v>
      </c>
      <c r="E80">
        <v>1</v>
      </c>
      <c r="F80">
        <v>1</v>
      </c>
      <c r="G80">
        <v>1080</v>
      </c>
      <c r="H80">
        <v>2</v>
      </c>
      <c r="I80" t="s">
        <v>529</v>
      </c>
      <c r="J80" t="s">
        <v>530</v>
      </c>
      <c r="K80" t="s">
        <v>531</v>
      </c>
      <c r="L80">
        <v>1368</v>
      </c>
      <c r="N80">
        <v>1011</v>
      </c>
      <c r="O80" t="s">
        <v>506</v>
      </c>
      <c r="P80" t="s">
        <v>506</v>
      </c>
      <c r="Q80">
        <v>1</v>
      </c>
      <c r="W80">
        <v>0</v>
      </c>
      <c r="X80">
        <v>1087580389</v>
      </c>
      <c r="Y80">
        <f>(AT80*1.1)</f>
        <v>1.1000000000000001E-2</v>
      </c>
      <c r="AA80">
        <v>0</v>
      </c>
      <c r="AB80">
        <v>2579.38</v>
      </c>
      <c r="AC80">
        <v>974.74</v>
      </c>
      <c r="AD80">
        <v>0</v>
      </c>
      <c r="AE80">
        <v>0</v>
      </c>
      <c r="AF80">
        <v>179.17</v>
      </c>
      <c r="AG80">
        <v>16.93</v>
      </c>
      <c r="AH80">
        <v>0</v>
      </c>
      <c r="AI80">
        <v>1</v>
      </c>
      <c r="AJ80">
        <v>13.75</v>
      </c>
      <c r="AK80">
        <v>54.99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0.01</v>
      </c>
      <c r="AU80" t="s">
        <v>23</v>
      </c>
      <c r="AV80">
        <v>0</v>
      </c>
      <c r="AW80">
        <v>2</v>
      </c>
      <c r="AX80">
        <v>56960952</v>
      </c>
      <c r="AY80">
        <v>1</v>
      </c>
      <c r="AZ80">
        <v>0</v>
      </c>
      <c r="BA80">
        <v>105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ROUND(Y80*Source!I65*DO80,9)</f>
        <v>2.4209900000000002</v>
      </c>
      <c r="CX80">
        <f>ROUND(Y80*Source!I65,9)</f>
        <v>0.14299999999999999</v>
      </c>
      <c r="CY80">
        <f>AB80</f>
        <v>2579.38</v>
      </c>
      <c r="CZ80">
        <f>AF80</f>
        <v>179.17</v>
      </c>
      <c r="DA80">
        <f>AJ80</f>
        <v>13.75</v>
      </c>
      <c r="DB80">
        <f>ROUND((ROUND(AT80*CZ80,2)*1.1),6)</f>
        <v>1.9690000000000001</v>
      </c>
      <c r="DC80">
        <f>ROUND((ROUND(AT80*AG80,2)*1.1),6)</f>
        <v>0.187</v>
      </c>
      <c r="DD80" t="s">
        <v>3</v>
      </c>
      <c r="DE80" t="s">
        <v>3</v>
      </c>
      <c r="DF80">
        <f t="shared" si="38"/>
        <v>0</v>
      </c>
      <c r="DG80">
        <f>ROUND(ROUND(AF80*AJ80,2)*CX80,2)</f>
        <v>352.29</v>
      </c>
      <c r="DH80">
        <f>ROUND(ROUND(AG80*AK80,2)*CX80,2)</f>
        <v>133.13</v>
      </c>
      <c r="DI80">
        <f t="shared" si="37"/>
        <v>0</v>
      </c>
      <c r="DJ80">
        <f>DG80</f>
        <v>352.29</v>
      </c>
      <c r="DK80">
        <v>0</v>
      </c>
      <c r="DL80" t="s">
        <v>507</v>
      </c>
      <c r="DM80">
        <v>0</v>
      </c>
      <c r="DN80" t="s">
        <v>502</v>
      </c>
      <c r="DO80">
        <v>16.93</v>
      </c>
    </row>
    <row r="81" spans="1:119" x14ac:dyDescent="0.2">
      <c r="A81">
        <f>ROW(Source!A65)</f>
        <v>65</v>
      </c>
      <c r="B81">
        <v>56959431</v>
      </c>
      <c r="C81">
        <v>56959645</v>
      </c>
      <c r="D81">
        <v>56061373</v>
      </c>
      <c r="E81">
        <v>1</v>
      </c>
      <c r="F81">
        <v>1</v>
      </c>
      <c r="G81">
        <v>1080</v>
      </c>
      <c r="H81">
        <v>3</v>
      </c>
      <c r="I81" t="s">
        <v>532</v>
      </c>
      <c r="J81" t="s">
        <v>533</v>
      </c>
      <c r="K81" t="s">
        <v>534</v>
      </c>
      <c r="L81">
        <v>1346</v>
      </c>
      <c r="N81">
        <v>1009</v>
      </c>
      <c r="O81" t="s">
        <v>249</v>
      </c>
      <c r="P81" t="s">
        <v>249</v>
      </c>
      <c r="Q81">
        <v>1</v>
      </c>
      <c r="W81">
        <v>0</v>
      </c>
      <c r="X81">
        <v>1770006655</v>
      </c>
      <c r="Y81">
        <f t="shared" ref="Y81:Y88" si="46">AT81</f>
        <v>0.43</v>
      </c>
      <c r="AA81">
        <v>29.73</v>
      </c>
      <c r="AB81">
        <v>0</v>
      </c>
      <c r="AC81">
        <v>0</v>
      </c>
      <c r="AD81">
        <v>0</v>
      </c>
      <c r="AE81">
        <v>1.38</v>
      </c>
      <c r="AF81">
        <v>0</v>
      </c>
      <c r="AG81">
        <v>0</v>
      </c>
      <c r="AH81">
        <v>0</v>
      </c>
      <c r="AI81">
        <v>21.54</v>
      </c>
      <c r="AJ81">
        <v>1</v>
      </c>
      <c r="AK81">
        <v>1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0.43</v>
      </c>
      <c r="AU81" t="s">
        <v>3</v>
      </c>
      <c r="AV81">
        <v>0</v>
      </c>
      <c r="AW81">
        <v>2</v>
      </c>
      <c r="AX81">
        <v>56960953</v>
      </c>
      <c r="AY81">
        <v>1</v>
      </c>
      <c r="AZ81">
        <v>0</v>
      </c>
      <c r="BA81">
        <v>106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ROUND(Y81*Source!I65,9)</f>
        <v>5.59</v>
      </c>
      <c r="CY81">
        <f t="shared" ref="CY81:CY88" si="47">AA81</f>
        <v>29.73</v>
      </c>
      <c r="CZ81">
        <f t="shared" ref="CZ81:CZ88" si="48">AE81</f>
        <v>1.38</v>
      </c>
      <c r="DA81">
        <f t="shared" ref="DA81:DA88" si="49">AI81</f>
        <v>21.54</v>
      </c>
      <c r="DB81">
        <f t="shared" ref="DB81:DB88" si="50">ROUND(ROUND(AT81*CZ81,2),6)</f>
        <v>0.59</v>
      </c>
      <c r="DC81">
        <f t="shared" ref="DC81:DC88" si="51">ROUND(ROUND(AT81*AG81,2),6)</f>
        <v>0</v>
      </c>
      <c r="DD81" t="s">
        <v>3</v>
      </c>
      <c r="DE81" t="s">
        <v>3</v>
      </c>
      <c r="DF81">
        <f t="shared" ref="DF81:DF88" si="52">ROUND(ROUND(AE81*AI81,2)*CX81,2)</f>
        <v>166.19</v>
      </c>
      <c r="DG81">
        <f t="shared" ref="DG81:DG96" si="53">ROUND(ROUND(AF81,2)*CX81,2)</f>
        <v>0</v>
      </c>
      <c r="DH81">
        <f t="shared" ref="DH81:DH96" si="54">ROUND(ROUND(AG81,2)*CX81,2)</f>
        <v>0</v>
      </c>
      <c r="DI81">
        <f t="shared" si="37"/>
        <v>0</v>
      </c>
      <c r="DJ81">
        <f t="shared" ref="DJ81:DJ88" si="55">DF81</f>
        <v>166.19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ROW(Source!A65)</f>
        <v>65</v>
      </c>
      <c r="B82">
        <v>56959431</v>
      </c>
      <c r="C82">
        <v>56959645</v>
      </c>
      <c r="D82">
        <v>56061764</v>
      </c>
      <c r="E82">
        <v>1</v>
      </c>
      <c r="F82">
        <v>1</v>
      </c>
      <c r="G82">
        <v>1080</v>
      </c>
      <c r="H82">
        <v>3</v>
      </c>
      <c r="I82" t="s">
        <v>535</v>
      </c>
      <c r="J82" t="s">
        <v>536</v>
      </c>
      <c r="K82" t="s">
        <v>537</v>
      </c>
      <c r="L82">
        <v>1346</v>
      </c>
      <c r="N82">
        <v>1009</v>
      </c>
      <c r="O82" t="s">
        <v>249</v>
      </c>
      <c r="P82" t="s">
        <v>249</v>
      </c>
      <c r="Q82">
        <v>1</v>
      </c>
      <c r="W82">
        <v>0</v>
      </c>
      <c r="X82">
        <v>-878159893</v>
      </c>
      <c r="Y82">
        <f t="shared" si="46"/>
        <v>0.16</v>
      </c>
      <c r="AA82">
        <v>286.31</v>
      </c>
      <c r="AB82">
        <v>0</v>
      </c>
      <c r="AC82">
        <v>0</v>
      </c>
      <c r="AD82">
        <v>0</v>
      </c>
      <c r="AE82">
        <v>159.06</v>
      </c>
      <c r="AF82">
        <v>0</v>
      </c>
      <c r="AG82">
        <v>0</v>
      </c>
      <c r="AH82">
        <v>0</v>
      </c>
      <c r="AI82">
        <v>1.8</v>
      </c>
      <c r="AJ82">
        <v>1</v>
      </c>
      <c r="AK82">
        <v>1</v>
      </c>
      <c r="AL82">
        <v>1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0.16</v>
      </c>
      <c r="AU82" t="s">
        <v>3</v>
      </c>
      <c r="AV82">
        <v>0</v>
      </c>
      <c r="AW82">
        <v>2</v>
      </c>
      <c r="AX82">
        <v>56960954</v>
      </c>
      <c r="AY82">
        <v>1</v>
      </c>
      <c r="AZ82">
        <v>0</v>
      </c>
      <c r="BA82">
        <v>107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ROUND(Y82*Source!I65,9)</f>
        <v>2.08</v>
      </c>
      <c r="CY82">
        <f t="shared" si="47"/>
        <v>286.31</v>
      </c>
      <c r="CZ82">
        <f t="shared" si="48"/>
        <v>159.06</v>
      </c>
      <c r="DA82">
        <f t="shared" si="49"/>
        <v>1.8</v>
      </c>
      <c r="DB82">
        <f t="shared" si="50"/>
        <v>25.45</v>
      </c>
      <c r="DC82">
        <f t="shared" si="51"/>
        <v>0</v>
      </c>
      <c r="DD82" t="s">
        <v>3</v>
      </c>
      <c r="DE82" t="s">
        <v>3</v>
      </c>
      <c r="DF82">
        <f t="shared" si="52"/>
        <v>595.52</v>
      </c>
      <c r="DG82">
        <f t="shared" si="53"/>
        <v>0</v>
      </c>
      <c r="DH82">
        <f t="shared" si="54"/>
        <v>0</v>
      </c>
      <c r="DI82">
        <f t="shared" si="37"/>
        <v>0</v>
      </c>
      <c r="DJ82">
        <f t="shared" si="55"/>
        <v>595.52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ROW(Source!A65)</f>
        <v>65</v>
      </c>
      <c r="B83">
        <v>56959431</v>
      </c>
      <c r="C83">
        <v>56959645</v>
      </c>
      <c r="D83">
        <v>56084707</v>
      </c>
      <c r="E83">
        <v>1</v>
      </c>
      <c r="F83">
        <v>1</v>
      </c>
      <c r="G83">
        <v>1080</v>
      </c>
      <c r="H83">
        <v>3</v>
      </c>
      <c r="I83" t="s">
        <v>538</v>
      </c>
      <c r="J83" t="s">
        <v>539</v>
      </c>
      <c r="K83" t="s">
        <v>540</v>
      </c>
      <c r="L83">
        <v>1355</v>
      </c>
      <c r="N83">
        <v>1010</v>
      </c>
      <c r="O83" t="s">
        <v>520</v>
      </c>
      <c r="P83" t="s">
        <v>520</v>
      </c>
      <c r="Q83">
        <v>100</v>
      </c>
      <c r="W83">
        <v>0</v>
      </c>
      <c r="X83">
        <v>-456781043</v>
      </c>
      <c r="Y83">
        <f t="shared" si="46"/>
        <v>0.05</v>
      </c>
      <c r="AA83">
        <v>1102.5</v>
      </c>
      <c r="AB83">
        <v>0</v>
      </c>
      <c r="AC83">
        <v>0</v>
      </c>
      <c r="AD83">
        <v>0</v>
      </c>
      <c r="AE83">
        <v>68.819999999999993</v>
      </c>
      <c r="AF83">
        <v>0</v>
      </c>
      <c r="AG83">
        <v>0</v>
      </c>
      <c r="AH83">
        <v>0</v>
      </c>
      <c r="AI83">
        <v>16.02</v>
      </c>
      <c r="AJ83">
        <v>1</v>
      </c>
      <c r="AK83">
        <v>1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0.05</v>
      </c>
      <c r="AU83" t="s">
        <v>3</v>
      </c>
      <c r="AV83">
        <v>0</v>
      </c>
      <c r="AW83">
        <v>2</v>
      </c>
      <c r="AX83">
        <v>56960955</v>
      </c>
      <c r="AY83">
        <v>1</v>
      </c>
      <c r="AZ83">
        <v>0</v>
      </c>
      <c r="BA83">
        <v>108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ROUND(Y83*Source!I65,9)</f>
        <v>0.65</v>
      </c>
      <c r="CY83">
        <f t="shared" si="47"/>
        <v>1102.5</v>
      </c>
      <c r="CZ83">
        <f t="shared" si="48"/>
        <v>68.819999999999993</v>
      </c>
      <c r="DA83">
        <f t="shared" si="49"/>
        <v>16.02</v>
      </c>
      <c r="DB83">
        <f t="shared" si="50"/>
        <v>3.44</v>
      </c>
      <c r="DC83">
        <f t="shared" si="51"/>
        <v>0</v>
      </c>
      <c r="DD83" t="s">
        <v>3</v>
      </c>
      <c r="DE83" t="s">
        <v>3</v>
      </c>
      <c r="DF83">
        <f t="shared" si="52"/>
        <v>716.63</v>
      </c>
      <c r="DG83">
        <f t="shared" si="53"/>
        <v>0</v>
      </c>
      <c r="DH83">
        <f t="shared" si="54"/>
        <v>0</v>
      </c>
      <c r="DI83">
        <f t="shared" si="37"/>
        <v>0</v>
      </c>
      <c r="DJ83">
        <f t="shared" si="55"/>
        <v>716.63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ROW(Source!A65)</f>
        <v>65</v>
      </c>
      <c r="B84">
        <v>56959431</v>
      </c>
      <c r="C84">
        <v>56959645</v>
      </c>
      <c r="D84">
        <v>56084718</v>
      </c>
      <c r="E84">
        <v>1</v>
      </c>
      <c r="F84">
        <v>1</v>
      </c>
      <c r="G84">
        <v>1080</v>
      </c>
      <c r="H84">
        <v>3</v>
      </c>
      <c r="I84" t="s">
        <v>541</v>
      </c>
      <c r="J84" t="s">
        <v>542</v>
      </c>
      <c r="K84" t="s">
        <v>543</v>
      </c>
      <c r="L84">
        <v>1356</v>
      </c>
      <c r="N84">
        <v>1010</v>
      </c>
      <c r="O84" t="s">
        <v>544</v>
      </c>
      <c r="P84" t="s">
        <v>544</v>
      </c>
      <c r="Q84">
        <v>1000</v>
      </c>
      <c r="W84">
        <v>0</v>
      </c>
      <c r="X84">
        <v>1726193810</v>
      </c>
      <c r="Y84">
        <f t="shared" si="46"/>
        <v>1.2200000000000001E-2</v>
      </c>
      <c r="AA84">
        <v>1318.65</v>
      </c>
      <c r="AB84">
        <v>0</v>
      </c>
      <c r="AC84">
        <v>0</v>
      </c>
      <c r="AD84">
        <v>0</v>
      </c>
      <c r="AE84">
        <v>183.4</v>
      </c>
      <c r="AF84">
        <v>0</v>
      </c>
      <c r="AG84">
        <v>0</v>
      </c>
      <c r="AH84">
        <v>0</v>
      </c>
      <c r="AI84">
        <v>7.19</v>
      </c>
      <c r="AJ84">
        <v>1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1.2200000000000001E-2</v>
      </c>
      <c r="AU84" t="s">
        <v>3</v>
      </c>
      <c r="AV84">
        <v>0</v>
      </c>
      <c r="AW84">
        <v>2</v>
      </c>
      <c r="AX84">
        <v>56960956</v>
      </c>
      <c r="AY84">
        <v>1</v>
      </c>
      <c r="AZ84">
        <v>0</v>
      </c>
      <c r="BA84">
        <v>109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ROUND(Y84*Source!I65,9)</f>
        <v>0.15859999999999999</v>
      </c>
      <c r="CY84">
        <f t="shared" si="47"/>
        <v>1318.65</v>
      </c>
      <c r="CZ84">
        <f t="shared" si="48"/>
        <v>183.4</v>
      </c>
      <c r="DA84">
        <f t="shared" si="49"/>
        <v>7.19</v>
      </c>
      <c r="DB84">
        <f t="shared" si="50"/>
        <v>2.2400000000000002</v>
      </c>
      <c r="DC84">
        <f t="shared" si="51"/>
        <v>0</v>
      </c>
      <c r="DD84" t="s">
        <v>3</v>
      </c>
      <c r="DE84" t="s">
        <v>3</v>
      </c>
      <c r="DF84">
        <f t="shared" si="52"/>
        <v>209.14</v>
      </c>
      <c r="DG84">
        <f t="shared" si="53"/>
        <v>0</v>
      </c>
      <c r="DH84">
        <f t="shared" si="54"/>
        <v>0</v>
      </c>
      <c r="DI84">
        <f t="shared" si="37"/>
        <v>0</v>
      </c>
      <c r="DJ84">
        <f t="shared" si="55"/>
        <v>209.14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ROW(Source!A65)</f>
        <v>65</v>
      </c>
      <c r="B85">
        <v>56959431</v>
      </c>
      <c r="C85">
        <v>56959645</v>
      </c>
      <c r="D85">
        <v>56084044</v>
      </c>
      <c r="E85">
        <v>1</v>
      </c>
      <c r="F85">
        <v>1</v>
      </c>
      <c r="G85">
        <v>1080</v>
      </c>
      <c r="H85">
        <v>3</v>
      </c>
      <c r="I85" t="s">
        <v>545</v>
      </c>
      <c r="J85" t="s">
        <v>546</v>
      </c>
      <c r="K85" t="s">
        <v>547</v>
      </c>
      <c r="L85">
        <v>1354</v>
      </c>
      <c r="N85">
        <v>1010</v>
      </c>
      <c r="O85" t="s">
        <v>31</v>
      </c>
      <c r="P85" t="s">
        <v>31</v>
      </c>
      <c r="Q85">
        <v>1</v>
      </c>
      <c r="W85">
        <v>0</v>
      </c>
      <c r="X85">
        <v>145081611</v>
      </c>
      <c r="Y85">
        <f t="shared" si="46"/>
        <v>3.1</v>
      </c>
      <c r="AA85">
        <v>25.47</v>
      </c>
      <c r="AB85">
        <v>0</v>
      </c>
      <c r="AC85">
        <v>0</v>
      </c>
      <c r="AD85">
        <v>0</v>
      </c>
      <c r="AE85">
        <v>6.94</v>
      </c>
      <c r="AF85">
        <v>0</v>
      </c>
      <c r="AG85">
        <v>0</v>
      </c>
      <c r="AH85">
        <v>0</v>
      </c>
      <c r="AI85">
        <v>3.67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3.1</v>
      </c>
      <c r="AU85" t="s">
        <v>3</v>
      </c>
      <c r="AV85">
        <v>0</v>
      </c>
      <c r="AW85">
        <v>2</v>
      </c>
      <c r="AX85">
        <v>56960957</v>
      </c>
      <c r="AY85">
        <v>1</v>
      </c>
      <c r="AZ85">
        <v>0</v>
      </c>
      <c r="BA85">
        <v>110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ROUND(Y85*Source!I65,9)</f>
        <v>40.299999999999997</v>
      </c>
      <c r="CY85">
        <f t="shared" si="47"/>
        <v>25.47</v>
      </c>
      <c r="CZ85">
        <f t="shared" si="48"/>
        <v>6.94</v>
      </c>
      <c r="DA85">
        <f t="shared" si="49"/>
        <v>3.67</v>
      </c>
      <c r="DB85">
        <f t="shared" si="50"/>
        <v>21.51</v>
      </c>
      <c r="DC85">
        <f t="shared" si="51"/>
        <v>0</v>
      </c>
      <c r="DD85" t="s">
        <v>3</v>
      </c>
      <c r="DE85" t="s">
        <v>3</v>
      </c>
      <c r="DF85">
        <f t="shared" si="52"/>
        <v>1026.44</v>
      </c>
      <c r="DG85">
        <f t="shared" si="53"/>
        <v>0</v>
      </c>
      <c r="DH85">
        <f t="shared" si="54"/>
        <v>0</v>
      </c>
      <c r="DI85">
        <f t="shared" si="37"/>
        <v>0</v>
      </c>
      <c r="DJ85">
        <f t="shared" si="55"/>
        <v>1026.44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ROW(Source!A65)</f>
        <v>65</v>
      </c>
      <c r="B86">
        <v>56959431</v>
      </c>
      <c r="C86">
        <v>56959645</v>
      </c>
      <c r="D86">
        <v>56084051</v>
      </c>
      <c r="E86">
        <v>1</v>
      </c>
      <c r="F86">
        <v>1</v>
      </c>
      <c r="G86">
        <v>1080</v>
      </c>
      <c r="H86">
        <v>3</v>
      </c>
      <c r="I86" t="s">
        <v>548</v>
      </c>
      <c r="J86" t="s">
        <v>549</v>
      </c>
      <c r="K86" t="s">
        <v>550</v>
      </c>
      <c r="L86">
        <v>1356</v>
      </c>
      <c r="N86">
        <v>1010</v>
      </c>
      <c r="O86" t="s">
        <v>544</v>
      </c>
      <c r="P86" t="s">
        <v>544</v>
      </c>
      <c r="Q86">
        <v>1000</v>
      </c>
      <c r="W86">
        <v>0</v>
      </c>
      <c r="X86">
        <v>-1715273674</v>
      </c>
      <c r="Y86">
        <f t="shared" si="46"/>
        <v>8.0000000000000002E-3</v>
      </c>
      <c r="AA86">
        <v>786.04</v>
      </c>
      <c r="AB86">
        <v>0</v>
      </c>
      <c r="AC86">
        <v>0</v>
      </c>
      <c r="AD86">
        <v>0</v>
      </c>
      <c r="AE86">
        <v>614.09</v>
      </c>
      <c r="AF86">
        <v>0</v>
      </c>
      <c r="AG86">
        <v>0</v>
      </c>
      <c r="AH86">
        <v>0</v>
      </c>
      <c r="AI86">
        <v>1.28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8.0000000000000002E-3</v>
      </c>
      <c r="AU86" t="s">
        <v>3</v>
      </c>
      <c r="AV86">
        <v>0</v>
      </c>
      <c r="AW86">
        <v>2</v>
      </c>
      <c r="AX86">
        <v>56960958</v>
      </c>
      <c r="AY86">
        <v>1</v>
      </c>
      <c r="AZ86">
        <v>0</v>
      </c>
      <c r="BA86">
        <v>111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ROUND(Y86*Source!I65,9)</f>
        <v>0.104</v>
      </c>
      <c r="CY86">
        <f t="shared" si="47"/>
        <v>786.04</v>
      </c>
      <c r="CZ86">
        <f t="shared" si="48"/>
        <v>614.09</v>
      </c>
      <c r="DA86">
        <f t="shared" si="49"/>
        <v>1.28</v>
      </c>
      <c r="DB86">
        <f t="shared" si="50"/>
        <v>4.91</v>
      </c>
      <c r="DC86">
        <f t="shared" si="51"/>
        <v>0</v>
      </c>
      <c r="DD86" t="s">
        <v>3</v>
      </c>
      <c r="DE86" t="s">
        <v>3</v>
      </c>
      <c r="DF86">
        <f t="shared" si="52"/>
        <v>81.75</v>
      </c>
      <c r="DG86">
        <f t="shared" si="53"/>
        <v>0</v>
      </c>
      <c r="DH86">
        <f t="shared" si="54"/>
        <v>0</v>
      </c>
      <c r="DI86">
        <f t="shared" si="37"/>
        <v>0</v>
      </c>
      <c r="DJ86">
        <f t="shared" si="55"/>
        <v>81.75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ROW(Source!A65)</f>
        <v>65</v>
      </c>
      <c r="B87">
        <v>56959431</v>
      </c>
      <c r="C87">
        <v>56959645</v>
      </c>
      <c r="D87">
        <v>56089900</v>
      </c>
      <c r="E87">
        <v>1</v>
      </c>
      <c r="F87">
        <v>1</v>
      </c>
      <c r="G87">
        <v>1080</v>
      </c>
      <c r="H87">
        <v>3</v>
      </c>
      <c r="I87" t="s">
        <v>106</v>
      </c>
      <c r="J87" t="s">
        <v>109</v>
      </c>
      <c r="K87" t="s">
        <v>107</v>
      </c>
      <c r="L87">
        <v>1303</v>
      </c>
      <c r="N87">
        <v>1003</v>
      </c>
      <c r="O87" t="s">
        <v>108</v>
      </c>
      <c r="P87" t="s">
        <v>108</v>
      </c>
      <c r="Q87">
        <v>1000</v>
      </c>
      <c r="W87">
        <v>0</v>
      </c>
      <c r="X87">
        <v>-205854567</v>
      </c>
      <c r="Y87">
        <f t="shared" si="46"/>
        <v>0.10199999999999999</v>
      </c>
      <c r="AA87">
        <v>168956.32</v>
      </c>
      <c r="AB87">
        <v>0</v>
      </c>
      <c r="AC87">
        <v>0</v>
      </c>
      <c r="AD87">
        <v>0</v>
      </c>
      <c r="AE87">
        <v>36413</v>
      </c>
      <c r="AF87">
        <v>0</v>
      </c>
      <c r="AG87">
        <v>0</v>
      </c>
      <c r="AH87">
        <v>0</v>
      </c>
      <c r="AI87">
        <v>4.6399999999999997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 t="s">
        <v>3</v>
      </c>
      <c r="AT87">
        <v>0.10199999999999999</v>
      </c>
      <c r="AU87" t="s">
        <v>3</v>
      </c>
      <c r="AV87">
        <v>0</v>
      </c>
      <c r="AW87">
        <v>1</v>
      </c>
      <c r="AX87">
        <v>-1</v>
      </c>
      <c r="AY87">
        <v>0</v>
      </c>
      <c r="AZ87">
        <v>0</v>
      </c>
      <c r="BA87" t="s">
        <v>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ROUND(Y87*Source!I65,9)</f>
        <v>1.3260000000000001</v>
      </c>
      <c r="CY87">
        <f t="shared" si="47"/>
        <v>168956.32</v>
      </c>
      <c r="CZ87">
        <f t="shared" si="48"/>
        <v>36413</v>
      </c>
      <c r="DA87">
        <f t="shared" si="49"/>
        <v>4.6399999999999997</v>
      </c>
      <c r="DB87">
        <f t="shared" si="50"/>
        <v>3714.13</v>
      </c>
      <c r="DC87">
        <f t="shared" si="51"/>
        <v>0</v>
      </c>
      <c r="DD87" t="s">
        <v>3</v>
      </c>
      <c r="DE87" t="s">
        <v>3</v>
      </c>
      <c r="DF87">
        <f t="shared" si="52"/>
        <v>224036.08</v>
      </c>
      <c r="DG87">
        <f t="shared" si="53"/>
        <v>0</v>
      </c>
      <c r="DH87">
        <f t="shared" si="54"/>
        <v>0</v>
      </c>
      <c r="DI87">
        <f t="shared" si="37"/>
        <v>0</v>
      </c>
      <c r="DJ87">
        <f t="shared" si="55"/>
        <v>224036.08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ROW(Source!A65)</f>
        <v>65</v>
      </c>
      <c r="B88">
        <v>56959431</v>
      </c>
      <c r="C88">
        <v>56959645</v>
      </c>
      <c r="D88">
        <v>0</v>
      </c>
      <c r="E88">
        <v>1080</v>
      </c>
      <c r="F88">
        <v>1</v>
      </c>
      <c r="G88">
        <v>1080</v>
      </c>
      <c r="H88">
        <v>3</v>
      </c>
      <c r="I88" t="s">
        <v>111</v>
      </c>
      <c r="J88" t="s">
        <v>3</v>
      </c>
      <c r="K88" t="s">
        <v>112</v>
      </c>
      <c r="L88">
        <v>2698</v>
      </c>
      <c r="N88">
        <v>1013</v>
      </c>
      <c r="O88" t="s">
        <v>101</v>
      </c>
      <c r="P88" t="s">
        <v>101</v>
      </c>
      <c r="Q88">
        <v>1</v>
      </c>
      <c r="W88">
        <v>0</v>
      </c>
      <c r="X88">
        <v>2097214465</v>
      </c>
      <c r="Y88">
        <f t="shared" si="46"/>
        <v>0</v>
      </c>
      <c r="AA88">
        <v>50.19</v>
      </c>
      <c r="AB88">
        <v>0</v>
      </c>
      <c r="AC88">
        <v>0</v>
      </c>
      <c r="AD88">
        <v>0</v>
      </c>
      <c r="AE88">
        <v>5.08</v>
      </c>
      <c r="AF88">
        <v>0</v>
      </c>
      <c r="AG88">
        <v>0</v>
      </c>
      <c r="AH88">
        <v>0</v>
      </c>
      <c r="AI88">
        <v>9.8800000000000008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 t="s">
        <v>3</v>
      </c>
      <c r="AT88">
        <v>0</v>
      </c>
      <c r="AU88" t="s">
        <v>3</v>
      </c>
      <c r="AV88">
        <v>0</v>
      </c>
      <c r="AW88">
        <v>1</v>
      </c>
      <c r="AX88">
        <v>-1</v>
      </c>
      <c r="AY88">
        <v>0</v>
      </c>
      <c r="AZ88">
        <v>0</v>
      </c>
      <c r="BA88" t="s">
        <v>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ROUND(Y88*Source!I65,9)</f>
        <v>0</v>
      </c>
      <c r="CY88">
        <f t="shared" si="47"/>
        <v>50.19</v>
      </c>
      <c r="CZ88">
        <f t="shared" si="48"/>
        <v>5.08</v>
      </c>
      <c r="DA88">
        <f t="shared" si="49"/>
        <v>9.8800000000000008</v>
      </c>
      <c r="DB88">
        <f t="shared" si="50"/>
        <v>0</v>
      </c>
      <c r="DC88">
        <f t="shared" si="51"/>
        <v>0</v>
      </c>
      <c r="DD88" t="s">
        <v>3</v>
      </c>
      <c r="DE88" t="s">
        <v>3</v>
      </c>
      <c r="DF88">
        <f t="shared" si="52"/>
        <v>0</v>
      </c>
      <c r="DG88">
        <f t="shared" si="53"/>
        <v>0</v>
      </c>
      <c r="DH88">
        <f t="shared" si="54"/>
        <v>0</v>
      </c>
      <c r="DI88">
        <f t="shared" si="37"/>
        <v>0</v>
      </c>
      <c r="DJ88">
        <f t="shared" si="55"/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ROW(Source!A70)</f>
        <v>70</v>
      </c>
      <c r="B89">
        <v>56959434</v>
      </c>
      <c r="C89">
        <v>56959669</v>
      </c>
      <c r="D89">
        <v>56018166</v>
      </c>
      <c r="E89">
        <v>1080</v>
      </c>
      <c r="F89">
        <v>1</v>
      </c>
      <c r="G89">
        <v>1080</v>
      </c>
      <c r="H89">
        <v>1</v>
      </c>
      <c r="I89" t="s">
        <v>500</v>
      </c>
      <c r="J89" t="s">
        <v>3</v>
      </c>
      <c r="K89" t="s">
        <v>501</v>
      </c>
      <c r="L89">
        <v>1191</v>
      </c>
      <c r="N89">
        <v>1013</v>
      </c>
      <c r="O89" t="s">
        <v>502</v>
      </c>
      <c r="P89" t="s">
        <v>502</v>
      </c>
      <c r="Q89">
        <v>1</v>
      </c>
      <c r="W89">
        <v>0</v>
      </c>
      <c r="X89">
        <v>476480486</v>
      </c>
      <c r="Y89">
        <f>(AT89*1.1)</f>
        <v>3.399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3.09</v>
      </c>
      <c r="AU89" t="s">
        <v>23</v>
      </c>
      <c r="AV89">
        <v>1</v>
      </c>
      <c r="AW89">
        <v>2</v>
      </c>
      <c r="AX89">
        <v>56960960</v>
      </c>
      <c r="AY89">
        <v>1</v>
      </c>
      <c r="AZ89">
        <v>0</v>
      </c>
      <c r="BA89">
        <v>113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ROUND(AT89*Source!I70*AH89*AL89,2)</f>
        <v>0</v>
      </c>
      <c r="CV89">
        <f>ROUND(Y89*Source!I70,9)</f>
        <v>6.798</v>
      </c>
      <c r="CW89">
        <v>0</v>
      </c>
      <c r="CX89">
        <f>ROUND(Y89*Source!I70,9)</f>
        <v>6.798</v>
      </c>
      <c r="CY89">
        <f>AD89</f>
        <v>0</v>
      </c>
      <c r="CZ89">
        <f>AH89</f>
        <v>0</v>
      </c>
      <c r="DA89">
        <f>AL89</f>
        <v>1</v>
      </c>
      <c r="DB89">
        <f>ROUND((ROUND(AT89*CZ89,2)*1.1),6)</f>
        <v>0</v>
      </c>
      <c r="DC89">
        <f>ROUND((ROUND(AT89*AG89,2)*1.1),6)</f>
        <v>0</v>
      </c>
      <c r="DD89" t="s">
        <v>3</v>
      </c>
      <c r="DE89" t="s">
        <v>3</v>
      </c>
      <c r="DF89">
        <f t="shared" ref="DF89:DF97" si="56">ROUND(ROUND(AE89,2)*CX89,2)</f>
        <v>0</v>
      </c>
      <c r="DG89">
        <f t="shared" si="53"/>
        <v>0</v>
      </c>
      <c r="DH89">
        <f t="shared" si="54"/>
        <v>0</v>
      </c>
      <c r="DI89">
        <f t="shared" si="37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ROW(Source!A70)</f>
        <v>70</v>
      </c>
      <c r="B90">
        <v>56959434</v>
      </c>
      <c r="C90">
        <v>56959669</v>
      </c>
      <c r="D90">
        <v>56092340</v>
      </c>
      <c r="E90">
        <v>1</v>
      </c>
      <c r="F90">
        <v>1</v>
      </c>
      <c r="G90">
        <v>1080</v>
      </c>
      <c r="H90">
        <v>2</v>
      </c>
      <c r="I90" t="s">
        <v>503</v>
      </c>
      <c r="J90" t="s">
        <v>504</v>
      </c>
      <c r="K90" t="s">
        <v>505</v>
      </c>
      <c r="L90">
        <v>1368</v>
      </c>
      <c r="N90">
        <v>1011</v>
      </c>
      <c r="O90" t="s">
        <v>506</v>
      </c>
      <c r="P90" t="s">
        <v>506</v>
      </c>
      <c r="Q90">
        <v>1</v>
      </c>
      <c r="W90">
        <v>0</v>
      </c>
      <c r="X90">
        <v>-1985943078</v>
      </c>
      <c r="Y90">
        <f>(AT90*1.1)</f>
        <v>1.1000000000000001E-2</v>
      </c>
      <c r="AA90">
        <v>0</v>
      </c>
      <c r="AB90">
        <v>87.01</v>
      </c>
      <c r="AC90">
        <v>13.21</v>
      </c>
      <c r="AD90">
        <v>0</v>
      </c>
      <c r="AE90">
        <v>0</v>
      </c>
      <c r="AF90">
        <v>83.1</v>
      </c>
      <c r="AG90">
        <v>12.62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0.01</v>
      </c>
      <c r="AU90" t="s">
        <v>23</v>
      </c>
      <c r="AV90">
        <v>0</v>
      </c>
      <c r="AW90">
        <v>2</v>
      </c>
      <c r="AX90">
        <v>56960961</v>
      </c>
      <c r="AY90">
        <v>1</v>
      </c>
      <c r="AZ90">
        <v>0</v>
      </c>
      <c r="BA90">
        <v>114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ROUND(Y90*Source!I70*DO90,9)</f>
        <v>0.27764</v>
      </c>
      <c r="CX90">
        <f>ROUND(Y90*Source!I70,9)</f>
        <v>2.1999999999999999E-2</v>
      </c>
      <c r="CY90">
        <f>AB90</f>
        <v>87.01</v>
      </c>
      <c r="CZ90">
        <f>AF90</f>
        <v>83.1</v>
      </c>
      <c r="DA90">
        <f>AJ90</f>
        <v>1</v>
      </c>
      <c r="DB90">
        <f>ROUND((ROUND(AT90*CZ90,2)*1.1),6)</f>
        <v>0.91300000000000003</v>
      </c>
      <c r="DC90">
        <f>ROUND((ROUND(AT90*AG90,2)*1.1),6)</f>
        <v>0.14299999999999999</v>
      </c>
      <c r="DD90" t="s">
        <v>3</v>
      </c>
      <c r="DE90" t="s">
        <v>3</v>
      </c>
      <c r="DF90">
        <f t="shared" si="56"/>
        <v>0</v>
      </c>
      <c r="DG90">
        <f t="shared" si="53"/>
        <v>1.83</v>
      </c>
      <c r="DH90">
        <f t="shared" si="54"/>
        <v>0.28000000000000003</v>
      </c>
      <c r="DI90">
        <f t="shared" si="37"/>
        <v>0</v>
      </c>
      <c r="DJ90">
        <f>DG90</f>
        <v>1.83</v>
      </c>
      <c r="DK90">
        <v>0</v>
      </c>
      <c r="DL90" t="s">
        <v>507</v>
      </c>
      <c r="DM90">
        <v>0</v>
      </c>
      <c r="DN90" t="s">
        <v>502</v>
      </c>
      <c r="DO90">
        <v>12.62</v>
      </c>
    </row>
    <row r="91" spans="1:119" x14ac:dyDescent="0.2">
      <c r="A91">
        <f>ROW(Source!A70)</f>
        <v>70</v>
      </c>
      <c r="B91">
        <v>56959434</v>
      </c>
      <c r="C91">
        <v>56959669</v>
      </c>
      <c r="D91">
        <v>56084405</v>
      </c>
      <c r="E91">
        <v>1</v>
      </c>
      <c r="F91">
        <v>1</v>
      </c>
      <c r="G91">
        <v>1080</v>
      </c>
      <c r="H91">
        <v>3</v>
      </c>
      <c r="I91" t="s">
        <v>551</v>
      </c>
      <c r="J91" t="s">
        <v>552</v>
      </c>
      <c r="K91" t="s">
        <v>553</v>
      </c>
      <c r="L91">
        <v>1356</v>
      </c>
      <c r="N91">
        <v>1010</v>
      </c>
      <c r="O91" t="s">
        <v>544</v>
      </c>
      <c r="P91" t="s">
        <v>544</v>
      </c>
      <c r="Q91">
        <v>1000</v>
      </c>
      <c r="W91">
        <v>0</v>
      </c>
      <c r="X91">
        <v>-1221558404</v>
      </c>
      <c r="Y91">
        <f>AT91</f>
        <v>5.0000000000000001E-3</v>
      </c>
      <c r="AA91">
        <v>226.66</v>
      </c>
      <c r="AB91">
        <v>0</v>
      </c>
      <c r="AC91">
        <v>0</v>
      </c>
      <c r="AD91">
        <v>0</v>
      </c>
      <c r="AE91">
        <v>226.66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5.0000000000000001E-3</v>
      </c>
      <c r="AU91" t="s">
        <v>3</v>
      </c>
      <c r="AV91">
        <v>0</v>
      </c>
      <c r="AW91">
        <v>2</v>
      </c>
      <c r="AX91">
        <v>56960962</v>
      </c>
      <c r="AY91">
        <v>1</v>
      </c>
      <c r="AZ91">
        <v>0</v>
      </c>
      <c r="BA91">
        <v>115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ROUND(Y91*Source!I70,9)</f>
        <v>0.01</v>
      </c>
      <c r="CY91">
        <f>AA91</f>
        <v>226.66</v>
      </c>
      <c r="CZ91">
        <f>AE91</f>
        <v>226.66</v>
      </c>
      <c r="DA91">
        <f>AI91</f>
        <v>1</v>
      </c>
      <c r="DB91">
        <f>ROUND(ROUND(AT91*CZ91,2),6)</f>
        <v>1.1299999999999999</v>
      </c>
      <c r="DC91">
        <f>ROUND(ROUND(AT91*AG91,2),6)</f>
        <v>0</v>
      </c>
      <c r="DD91" t="s">
        <v>3</v>
      </c>
      <c r="DE91" t="s">
        <v>3</v>
      </c>
      <c r="DF91">
        <f t="shared" si="56"/>
        <v>2.27</v>
      </c>
      <c r="DG91">
        <f t="shared" si="53"/>
        <v>0</v>
      </c>
      <c r="DH91">
        <f t="shared" si="54"/>
        <v>0</v>
      </c>
      <c r="DI91">
        <f t="shared" si="37"/>
        <v>0</v>
      </c>
      <c r="DJ91">
        <f>DF91</f>
        <v>2.27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ROW(Source!A70)</f>
        <v>70</v>
      </c>
      <c r="B92">
        <v>56959434</v>
      </c>
      <c r="C92">
        <v>56959669</v>
      </c>
      <c r="D92">
        <v>56084816</v>
      </c>
      <c r="E92">
        <v>1</v>
      </c>
      <c r="F92">
        <v>1</v>
      </c>
      <c r="G92">
        <v>1080</v>
      </c>
      <c r="H92">
        <v>3</v>
      </c>
      <c r="I92" t="s">
        <v>554</v>
      </c>
      <c r="J92" t="s">
        <v>555</v>
      </c>
      <c r="K92" t="s">
        <v>556</v>
      </c>
      <c r="L92">
        <v>1355</v>
      </c>
      <c r="N92">
        <v>1010</v>
      </c>
      <c r="O92" t="s">
        <v>520</v>
      </c>
      <c r="P92" t="s">
        <v>520</v>
      </c>
      <c r="Q92">
        <v>100</v>
      </c>
      <c r="W92">
        <v>0</v>
      </c>
      <c r="X92">
        <v>1017710329</v>
      </c>
      <c r="Y92">
        <f>AT92</f>
        <v>0.26</v>
      </c>
      <c r="AA92">
        <v>323.76</v>
      </c>
      <c r="AB92">
        <v>0</v>
      </c>
      <c r="AC92">
        <v>0</v>
      </c>
      <c r="AD92">
        <v>0</v>
      </c>
      <c r="AE92">
        <v>323.76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0.26</v>
      </c>
      <c r="AU92" t="s">
        <v>3</v>
      </c>
      <c r="AV92">
        <v>0</v>
      </c>
      <c r="AW92">
        <v>2</v>
      </c>
      <c r="AX92">
        <v>56960963</v>
      </c>
      <c r="AY92">
        <v>1</v>
      </c>
      <c r="AZ92">
        <v>0</v>
      </c>
      <c r="BA92">
        <v>116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ROUND(Y92*Source!I70,9)</f>
        <v>0.52</v>
      </c>
      <c r="CY92">
        <f>AA92</f>
        <v>323.76</v>
      </c>
      <c r="CZ92">
        <f>AE92</f>
        <v>323.76</v>
      </c>
      <c r="DA92">
        <f>AI92</f>
        <v>1</v>
      </c>
      <c r="DB92">
        <f>ROUND(ROUND(AT92*CZ92,2),6)</f>
        <v>84.18</v>
      </c>
      <c r="DC92">
        <f>ROUND(ROUND(AT92*AG92,2),6)</f>
        <v>0</v>
      </c>
      <c r="DD92" t="s">
        <v>3</v>
      </c>
      <c r="DE92" t="s">
        <v>3</v>
      </c>
      <c r="DF92">
        <f t="shared" si="56"/>
        <v>168.36</v>
      </c>
      <c r="DG92">
        <f t="shared" si="53"/>
        <v>0</v>
      </c>
      <c r="DH92">
        <f t="shared" si="54"/>
        <v>0</v>
      </c>
      <c r="DI92">
        <f t="shared" si="37"/>
        <v>0</v>
      </c>
      <c r="DJ92">
        <f>DF92</f>
        <v>168.36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ROW(Source!A70)</f>
        <v>70</v>
      </c>
      <c r="B93">
        <v>56959434</v>
      </c>
      <c r="C93">
        <v>56959669</v>
      </c>
      <c r="D93">
        <v>56084066</v>
      </c>
      <c r="E93">
        <v>1</v>
      </c>
      <c r="F93">
        <v>1</v>
      </c>
      <c r="G93">
        <v>1080</v>
      </c>
      <c r="H93">
        <v>3</v>
      </c>
      <c r="I93" t="s">
        <v>557</v>
      </c>
      <c r="J93" t="s">
        <v>558</v>
      </c>
      <c r="K93" t="s">
        <v>559</v>
      </c>
      <c r="L93">
        <v>1301</v>
      </c>
      <c r="N93">
        <v>1003</v>
      </c>
      <c r="O93" t="s">
        <v>84</v>
      </c>
      <c r="P93" t="s">
        <v>84</v>
      </c>
      <c r="Q93">
        <v>1</v>
      </c>
      <c r="W93">
        <v>0</v>
      </c>
      <c r="X93">
        <v>-949506742</v>
      </c>
      <c r="Y93">
        <f>AT93</f>
        <v>5</v>
      </c>
      <c r="AA93">
        <v>0.7</v>
      </c>
      <c r="AB93">
        <v>0</v>
      </c>
      <c r="AC93">
        <v>0</v>
      </c>
      <c r="AD93">
        <v>0</v>
      </c>
      <c r="AE93">
        <v>0.7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5</v>
      </c>
      <c r="AU93" t="s">
        <v>3</v>
      </c>
      <c r="AV93">
        <v>0</v>
      </c>
      <c r="AW93">
        <v>2</v>
      </c>
      <c r="AX93">
        <v>56960964</v>
      </c>
      <c r="AY93">
        <v>1</v>
      </c>
      <c r="AZ93">
        <v>0</v>
      </c>
      <c r="BA93">
        <v>117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ROUND(Y93*Source!I70,9)</f>
        <v>10</v>
      </c>
      <c r="CY93">
        <f>AA93</f>
        <v>0.7</v>
      </c>
      <c r="CZ93">
        <f>AE93</f>
        <v>0.7</v>
      </c>
      <c r="DA93">
        <f>AI93</f>
        <v>1</v>
      </c>
      <c r="DB93">
        <f>ROUND(ROUND(AT93*CZ93,2),6)</f>
        <v>3.5</v>
      </c>
      <c r="DC93">
        <f>ROUND(ROUND(AT93*AG93,2),6)</f>
        <v>0</v>
      </c>
      <c r="DD93" t="s">
        <v>3</v>
      </c>
      <c r="DE93" t="s">
        <v>3</v>
      </c>
      <c r="DF93">
        <f t="shared" si="56"/>
        <v>7</v>
      </c>
      <c r="DG93">
        <f t="shared" si="53"/>
        <v>0</v>
      </c>
      <c r="DH93">
        <f t="shared" si="54"/>
        <v>0</v>
      </c>
      <c r="DI93">
        <f t="shared" si="37"/>
        <v>0</v>
      </c>
      <c r="DJ93">
        <f>DF93</f>
        <v>7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ROW(Source!A70)</f>
        <v>70</v>
      </c>
      <c r="B94">
        <v>56959434</v>
      </c>
      <c r="C94">
        <v>56959669</v>
      </c>
      <c r="D94">
        <v>56084068</v>
      </c>
      <c r="E94">
        <v>1</v>
      </c>
      <c r="F94">
        <v>1</v>
      </c>
      <c r="G94">
        <v>1080</v>
      </c>
      <c r="H94">
        <v>3</v>
      </c>
      <c r="I94" t="s">
        <v>560</v>
      </c>
      <c r="J94" t="s">
        <v>561</v>
      </c>
      <c r="K94" t="s">
        <v>562</v>
      </c>
      <c r="L94">
        <v>1356</v>
      </c>
      <c r="N94">
        <v>1010</v>
      </c>
      <c r="O94" t="s">
        <v>544</v>
      </c>
      <c r="P94" t="s">
        <v>544</v>
      </c>
      <c r="Q94">
        <v>1000</v>
      </c>
      <c r="W94">
        <v>0</v>
      </c>
      <c r="X94">
        <v>-510359138</v>
      </c>
      <c r="Y94">
        <f>AT94</f>
        <v>0.02</v>
      </c>
      <c r="AA94">
        <v>6.44</v>
      </c>
      <c r="AB94">
        <v>0</v>
      </c>
      <c r="AC94">
        <v>0</v>
      </c>
      <c r="AD94">
        <v>0</v>
      </c>
      <c r="AE94">
        <v>6.44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0.02</v>
      </c>
      <c r="AU94" t="s">
        <v>3</v>
      </c>
      <c r="AV94">
        <v>0</v>
      </c>
      <c r="AW94">
        <v>2</v>
      </c>
      <c r="AX94">
        <v>56960965</v>
      </c>
      <c r="AY94">
        <v>1</v>
      </c>
      <c r="AZ94">
        <v>0</v>
      </c>
      <c r="BA94">
        <v>118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ROUND(Y94*Source!I70,9)</f>
        <v>0.04</v>
      </c>
      <c r="CY94">
        <f>AA94</f>
        <v>6.44</v>
      </c>
      <c r="CZ94">
        <f>AE94</f>
        <v>6.44</v>
      </c>
      <c r="DA94">
        <f>AI94</f>
        <v>1</v>
      </c>
      <c r="DB94">
        <f>ROUND(ROUND(AT94*CZ94,2),6)</f>
        <v>0.13</v>
      </c>
      <c r="DC94">
        <f>ROUND(ROUND(AT94*AG94,2),6)</f>
        <v>0</v>
      </c>
      <c r="DD94" t="s">
        <v>3</v>
      </c>
      <c r="DE94" t="s">
        <v>3</v>
      </c>
      <c r="DF94">
        <f t="shared" si="56"/>
        <v>0.26</v>
      </c>
      <c r="DG94">
        <f t="shared" si="53"/>
        <v>0</v>
      </c>
      <c r="DH94">
        <f t="shared" si="54"/>
        <v>0</v>
      </c>
      <c r="DI94">
        <f t="shared" si="37"/>
        <v>0</v>
      </c>
      <c r="DJ94">
        <f>DF94</f>
        <v>0.26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ROW(Source!A70)</f>
        <v>70</v>
      </c>
      <c r="B95">
        <v>56959434</v>
      </c>
      <c r="C95">
        <v>56959669</v>
      </c>
      <c r="D95">
        <v>56089900</v>
      </c>
      <c r="E95">
        <v>1</v>
      </c>
      <c r="F95">
        <v>1</v>
      </c>
      <c r="G95">
        <v>1080</v>
      </c>
      <c r="H95">
        <v>3</v>
      </c>
      <c r="I95" t="s">
        <v>106</v>
      </c>
      <c r="J95" t="s">
        <v>109</v>
      </c>
      <c r="K95" t="s">
        <v>107</v>
      </c>
      <c r="L95">
        <v>1303</v>
      </c>
      <c r="N95">
        <v>1003</v>
      </c>
      <c r="O95" t="s">
        <v>108</v>
      </c>
      <c r="P95" t="s">
        <v>108</v>
      </c>
      <c r="Q95">
        <v>1000</v>
      </c>
      <c r="W95">
        <v>0</v>
      </c>
      <c r="X95">
        <v>-205854567</v>
      </c>
      <c r="Y95">
        <f>AT95</f>
        <v>0.10199999999999999</v>
      </c>
      <c r="AA95">
        <v>36413</v>
      </c>
      <c r="AB95">
        <v>0</v>
      </c>
      <c r="AC95">
        <v>0</v>
      </c>
      <c r="AD95">
        <v>0</v>
      </c>
      <c r="AE95">
        <v>36413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 t="s">
        <v>3</v>
      </c>
      <c r="AT95">
        <v>0.10199999999999999</v>
      </c>
      <c r="AU95" t="s">
        <v>3</v>
      </c>
      <c r="AV95">
        <v>0</v>
      </c>
      <c r="AW95">
        <v>1</v>
      </c>
      <c r="AX95">
        <v>-1</v>
      </c>
      <c r="AY95">
        <v>0</v>
      </c>
      <c r="AZ95">
        <v>0</v>
      </c>
      <c r="BA95" t="s">
        <v>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ROUND(Y95*Source!I70,9)</f>
        <v>0.20399999999999999</v>
      </c>
      <c r="CY95">
        <f>AA95</f>
        <v>36413</v>
      </c>
      <c r="CZ95">
        <f>AE95</f>
        <v>36413</v>
      </c>
      <c r="DA95">
        <f>AI95</f>
        <v>1</v>
      </c>
      <c r="DB95">
        <f>ROUND(ROUND(AT95*CZ95,2),6)</f>
        <v>3714.13</v>
      </c>
      <c r="DC95">
        <f>ROUND(ROUND(AT95*AG95,2),6)</f>
        <v>0</v>
      </c>
      <c r="DD95" t="s">
        <v>3</v>
      </c>
      <c r="DE95" t="s">
        <v>3</v>
      </c>
      <c r="DF95">
        <f t="shared" si="56"/>
        <v>7428.25</v>
      </c>
      <c r="DG95">
        <f t="shared" si="53"/>
        <v>0</v>
      </c>
      <c r="DH95">
        <f t="shared" si="54"/>
        <v>0</v>
      </c>
      <c r="DI95">
        <f t="shared" si="37"/>
        <v>0</v>
      </c>
      <c r="DJ95">
        <f>DF95</f>
        <v>7428.25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ROW(Source!A71)</f>
        <v>71</v>
      </c>
      <c r="B96">
        <v>56959431</v>
      </c>
      <c r="C96">
        <v>56959669</v>
      </c>
      <c r="D96">
        <v>56018166</v>
      </c>
      <c r="E96">
        <v>1080</v>
      </c>
      <c r="F96">
        <v>1</v>
      </c>
      <c r="G96">
        <v>1080</v>
      </c>
      <c r="H96">
        <v>1</v>
      </c>
      <c r="I96" t="s">
        <v>500</v>
      </c>
      <c r="J96" t="s">
        <v>3</v>
      </c>
      <c r="K96" t="s">
        <v>501</v>
      </c>
      <c r="L96">
        <v>1191</v>
      </c>
      <c r="N96">
        <v>1013</v>
      </c>
      <c r="O96" t="s">
        <v>502</v>
      </c>
      <c r="P96" t="s">
        <v>502</v>
      </c>
      <c r="Q96">
        <v>1</v>
      </c>
      <c r="W96">
        <v>0</v>
      </c>
      <c r="X96">
        <v>476480486</v>
      </c>
      <c r="Y96">
        <f>(AT96*1.1)</f>
        <v>3.399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5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3.09</v>
      </c>
      <c r="AU96" t="s">
        <v>23</v>
      </c>
      <c r="AV96">
        <v>1</v>
      </c>
      <c r="AW96">
        <v>2</v>
      </c>
      <c r="AX96">
        <v>56960960</v>
      </c>
      <c r="AY96">
        <v>1</v>
      </c>
      <c r="AZ96">
        <v>0</v>
      </c>
      <c r="BA96">
        <v>120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U96">
        <f>ROUND(AT96*Source!I71*AH96*AL96,2)</f>
        <v>0</v>
      </c>
      <c r="CV96">
        <f>ROUND(Y96*Source!I71,9)</f>
        <v>6.798</v>
      </c>
      <c r="CW96">
        <v>0</v>
      </c>
      <c r="CX96">
        <f>ROUND(Y96*Source!I71,9)</f>
        <v>6.798</v>
      </c>
      <c r="CY96">
        <f>AD96</f>
        <v>0</v>
      </c>
      <c r="CZ96">
        <f>AH96</f>
        <v>0</v>
      </c>
      <c r="DA96">
        <f>AL96</f>
        <v>1</v>
      </c>
      <c r="DB96">
        <f>ROUND((ROUND(AT96*CZ96,2)*1.1),6)</f>
        <v>0</v>
      </c>
      <c r="DC96">
        <f>ROUND((ROUND(AT96*AG96,2)*1.1),6)</f>
        <v>0</v>
      </c>
      <c r="DD96" t="s">
        <v>3</v>
      </c>
      <c r="DE96" t="s">
        <v>3</v>
      </c>
      <c r="DF96">
        <f t="shared" si="56"/>
        <v>0</v>
      </c>
      <c r="DG96">
        <f t="shared" si="53"/>
        <v>0</v>
      </c>
      <c r="DH96">
        <f t="shared" si="54"/>
        <v>0</v>
      </c>
      <c r="DI96">
        <f t="shared" si="37"/>
        <v>0</v>
      </c>
      <c r="DJ96">
        <f>DI96</f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ROW(Source!A71)</f>
        <v>71</v>
      </c>
      <c r="B97">
        <v>56959431</v>
      </c>
      <c r="C97">
        <v>56959669</v>
      </c>
      <c r="D97">
        <v>56092340</v>
      </c>
      <c r="E97">
        <v>1</v>
      </c>
      <c r="F97">
        <v>1</v>
      </c>
      <c r="G97">
        <v>1080</v>
      </c>
      <c r="H97">
        <v>2</v>
      </c>
      <c r="I97" t="s">
        <v>503</v>
      </c>
      <c r="J97" t="s">
        <v>504</v>
      </c>
      <c r="K97" t="s">
        <v>505</v>
      </c>
      <c r="L97">
        <v>1368</v>
      </c>
      <c r="N97">
        <v>1011</v>
      </c>
      <c r="O97" t="s">
        <v>506</v>
      </c>
      <c r="P97" t="s">
        <v>506</v>
      </c>
      <c r="Q97">
        <v>1</v>
      </c>
      <c r="W97">
        <v>0</v>
      </c>
      <c r="X97">
        <v>-1985943078</v>
      </c>
      <c r="Y97">
        <f>(AT97*1.1)</f>
        <v>1.1000000000000001E-2</v>
      </c>
      <c r="AA97">
        <v>0</v>
      </c>
      <c r="AB97">
        <v>1418.19</v>
      </c>
      <c r="AC97">
        <v>726.59</v>
      </c>
      <c r="AD97">
        <v>0</v>
      </c>
      <c r="AE97">
        <v>0</v>
      </c>
      <c r="AF97">
        <v>83.1</v>
      </c>
      <c r="AG97">
        <v>12.62</v>
      </c>
      <c r="AH97">
        <v>0</v>
      </c>
      <c r="AI97">
        <v>1</v>
      </c>
      <c r="AJ97">
        <v>16.3</v>
      </c>
      <c r="AK97">
        <v>54.99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0.01</v>
      </c>
      <c r="AU97" t="s">
        <v>23</v>
      </c>
      <c r="AV97">
        <v>0</v>
      </c>
      <c r="AW97">
        <v>2</v>
      </c>
      <c r="AX97">
        <v>56960961</v>
      </c>
      <c r="AY97">
        <v>1</v>
      </c>
      <c r="AZ97">
        <v>0</v>
      </c>
      <c r="BA97">
        <v>121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ROUND(Y97*Source!I71*DO97,9)</f>
        <v>0.27764</v>
      </c>
      <c r="CX97">
        <f>ROUND(Y97*Source!I71,9)</f>
        <v>2.1999999999999999E-2</v>
      </c>
      <c r="CY97">
        <f>AB97</f>
        <v>1418.19</v>
      </c>
      <c r="CZ97">
        <f>AF97</f>
        <v>83.1</v>
      </c>
      <c r="DA97">
        <f>AJ97</f>
        <v>16.3</v>
      </c>
      <c r="DB97">
        <f>ROUND((ROUND(AT97*CZ97,2)*1.1),6)</f>
        <v>0.91300000000000003</v>
      </c>
      <c r="DC97">
        <f>ROUND((ROUND(AT97*AG97,2)*1.1),6)</f>
        <v>0.14299999999999999</v>
      </c>
      <c r="DD97" t="s">
        <v>3</v>
      </c>
      <c r="DE97" t="s">
        <v>3</v>
      </c>
      <c r="DF97">
        <f t="shared" si="56"/>
        <v>0</v>
      </c>
      <c r="DG97">
        <f>ROUND(ROUND(AF97*AJ97,2)*CX97,2)</f>
        <v>29.8</v>
      </c>
      <c r="DH97">
        <f>ROUND(ROUND(AG97*AK97,2)*CX97,2)</f>
        <v>15.27</v>
      </c>
      <c r="DI97">
        <f t="shared" si="37"/>
        <v>0</v>
      </c>
      <c r="DJ97">
        <f>DG97</f>
        <v>29.8</v>
      </c>
      <c r="DK97">
        <v>0</v>
      </c>
      <c r="DL97" t="s">
        <v>507</v>
      </c>
      <c r="DM97">
        <v>0</v>
      </c>
      <c r="DN97" t="s">
        <v>502</v>
      </c>
      <c r="DO97">
        <v>12.62</v>
      </c>
    </row>
    <row r="98" spans="1:119" x14ac:dyDescent="0.2">
      <c r="A98">
        <f>ROW(Source!A71)</f>
        <v>71</v>
      </c>
      <c r="B98">
        <v>56959431</v>
      </c>
      <c r="C98">
        <v>56959669</v>
      </c>
      <c r="D98">
        <v>56084405</v>
      </c>
      <c r="E98">
        <v>1</v>
      </c>
      <c r="F98">
        <v>1</v>
      </c>
      <c r="G98">
        <v>1080</v>
      </c>
      <c r="H98">
        <v>3</v>
      </c>
      <c r="I98" t="s">
        <v>551</v>
      </c>
      <c r="J98" t="s">
        <v>552</v>
      </c>
      <c r="K98" t="s">
        <v>553</v>
      </c>
      <c r="L98">
        <v>1356</v>
      </c>
      <c r="N98">
        <v>1010</v>
      </c>
      <c r="O98" t="s">
        <v>544</v>
      </c>
      <c r="P98" t="s">
        <v>544</v>
      </c>
      <c r="Q98">
        <v>1000</v>
      </c>
      <c r="W98">
        <v>0</v>
      </c>
      <c r="X98">
        <v>-1221558404</v>
      </c>
      <c r="Y98">
        <f>AT98</f>
        <v>5.0000000000000001E-3</v>
      </c>
      <c r="AA98">
        <v>1602.49</v>
      </c>
      <c r="AB98">
        <v>0</v>
      </c>
      <c r="AC98">
        <v>0</v>
      </c>
      <c r="AD98">
        <v>0</v>
      </c>
      <c r="AE98">
        <v>226.66</v>
      </c>
      <c r="AF98">
        <v>0</v>
      </c>
      <c r="AG98">
        <v>0</v>
      </c>
      <c r="AH98">
        <v>0</v>
      </c>
      <c r="AI98">
        <v>7.07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5.0000000000000001E-3</v>
      </c>
      <c r="AU98" t="s">
        <v>3</v>
      </c>
      <c r="AV98">
        <v>0</v>
      </c>
      <c r="AW98">
        <v>2</v>
      </c>
      <c r="AX98">
        <v>56960962</v>
      </c>
      <c r="AY98">
        <v>1</v>
      </c>
      <c r="AZ98">
        <v>0</v>
      </c>
      <c r="BA98">
        <v>122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ROUND(Y98*Source!I71,9)</f>
        <v>0.01</v>
      </c>
      <c r="CY98">
        <f>AA98</f>
        <v>1602.49</v>
      </c>
      <c r="CZ98">
        <f>AE98</f>
        <v>226.66</v>
      </c>
      <c r="DA98">
        <f>AI98</f>
        <v>7.07</v>
      </c>
      <c r="DB98">
        <f>ROUND(ROUND(AT98*CZ98,2),6)</f>
        <v>1.1299999999999999</v>
      </c>
      <c r="DC98">
        <f>ROUND(ROUND(AT98*AG98,2),6)</f>
        <v>0</v>
      </c>
      <c r="DD98" t="s">
        <v>3</v>
      </c>
      <c r="DE98" t="s">
        <v>3</v>
      </c>
      <c r="DF98">
        <f>ROUND(ROUND(AE98*AI98,2)*CX98,2)</f>
        <v>16.02</v>
      </c>
      <c r="DG98">
        <f t="shared" ref="DG98:DG122" si="57">ROUND(ROUND(AF98,2)*CX98,2)</f>
        <v>0</v>
      </c>
      <c r="DH98">
        <f t="shared" ref="DH98:DH122" si="58">ROUND(ROUND(AG98,2)*CX98,2)</f>
        <v>0</v>
      </c>
      <c r="DI98">
        <f t="shared" si="37"/>
        <v>0</v>
      </c>
      <c r="DJ98">
        <f>DF98</f>
        <v>16.02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ROW(Source!A71)</f>
        <v>71</v>
      </c>
      <c r="B99">
        <v>56959431</v>
      </c>
      <c r="C99">
        <v>56959669</v>
      </c>
      <c r="D99">
        <v>56084816</v>
      </c>
      <c r="E99">
        <v>1</v>
      </c>
      <c r="F99">
        <v>1</v>
      </c>
      <c r="G99">
        <v>1080</v>
      </c>
      <c r="H99">
        <v>3</v>
      </c>
      <c r="I99" t="s">
        <v>554</v>
      </c>
      <c r="J99" t="s">
        <v>555</v>
      </c>
      <c r="K99" t="s">
        <v>556</v>
      </c>
      <c r="L99">
        <v>1355</v>
      </c>
      <c r="N99">
        <v>1010</v>
      </c>
      <c r="O99" t="s">
        <v>520</v>
      </c>
      <c r="P99" t="s">
        <v>520</v>
      </c>
      <c r="Q99">
        <v>100</v>
      </c>
      <c r="W99">
        <v>0</v>
      </c>
      <c r="X99">
        <v>1017710329</v>
      </c>
      <c r="Y99">
        <f>AT99</f>
        <v>0.26</v>
      </c>
      <c r="AA99">
        <v>2340.7800000000002</v>
      </c>
      <c r="AB99">
        <v>0</v>
      </c>
      <c r="AC99">
        <v>0</v>
      </c>
      <c r="AD99">
        <v>0</v>
      </c>
      <c r="AE99">
        <v>323.76</v>
      </c>
      <c r="AF99">
        <v>0</v>
      </c>
      <c r="AG99">
        <v>0</v>
      </c>
      <c r="AH99">
        <v>0</v>
      </c>
      <c r="AI99">
        <v>7.23</v>
      </c>
      <c r="AJ99">
        <v>1</v>
      </c>
      <c r="AK99">
        <v>1</v>
      </c>
      <c r="AL99">
        <v>1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0.26</v>
      </c>
      <c r="AU99" t="s">
        <v>3</v>
      </c>
      <c r="AV99">
        <v>0</v>
      </c>
      <c r="AW99">
        <v>2</v>
      </c>
      <c r="AX99">
        <v>56960963</v>
      </c>
      <c r="AY99">
        <v>1</v>
      </c>
      <c r="AZ99">
        <v>0</v>
      </c>
      <c r="BA99">
        <v>123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ROUND(Y99*Source!I71,9)</f>
        <v>0.52</v>
      </c>
      <c r="CY99">
        <f>AA99</f>
        <v>2340.7800000000002</v>
      </c>
      <c r="CZ99">
        <f>AE99</f>
        <v>323.76</v>
      </c>
      <c r="DA99">
        <f>AI99</f>
        <v>7.23</v>
      </c>
      <c r="DB99">
        <f>ROUND(ROUND(AT99*CZ99,2),6)</f>
        <v>84.18</v>
      </c>
      <c r="DC99">
        <f>ROUND(ROUND(AT99*AG99,2),6)</f>
        <v>0</v>
      </c>
      <c r="DD99" t="s">
        <v>3</v>
      </c>
      <c r="DE99" t="s">
        <v>3</v>
      </c>
      <c r="DF99">
        <f>ROUND(ROUND(AE99*AI99,2)*CX99,2)</f>
        <v>1217.21</v>
      </c>
      <c r="DG99">
        <f t="shared" si="57"/>
        <v>0</v>
      </c>
      <c r="DH99">
        <f t="shared" si="58"/>
        <v>0</v>
      </c>
      <c r="DI99">
        <f t="shared" si="37"/>
        <v>0</v>
      </c>
      <c r="DJ99">
        <f>DF99</f>
        <v>1217.21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ROW(Source!A71)</f>
        <v>71</v>
      </c>
      <c r="B100">
        <v>56959431</v>
      </c>
      <c r="C100">
        <v>56959669</v>
      </c>
      <c r="D100">
        <v>56084066</v>
      </c>
      <c r="E100">
        <v>1</v>
      </c>
      <c r="F100">
        <v>1</v>
      </c>
      <c r="G100">
        <v>1080</v>
      </c>
      <c r="H100">
        <v>3</v>
      </c>
      <c r="I100" t="s">
        <v>557</v>
      </c>
      <c r="J100" t="s">
        <v>558</v>
      </c>
      <c r="K100" t="s">
        <v>559</v>
      </c>
      <c r="L100">
        <v>1301</v>
      </c>
      <c r="N100">
        <v>1003</v>
      </c>
      <c r="O100" t="s">
        <v>84</v>
      </c>
      <c r="P100" t="s">
        <v>84</v>
      </c>
      <c r="Q100">
        <v>1</v>
      </c>
      <c r="W100">
        <v>0</v>
      </c>
      <c r="X100">
        <v>-949506742</v>
      </c>
      <c r="Y100">
        <f>AT100</f>
        <v>5</v>
      </c>
      <c r="AA100">
        <v>4.72</v>
      </c>
      <c r="AB100">
        <v>0</v>
      </c>
      <c r="AC100">
        <v>0</v>
      </c>
      <c r="AD100">
        <v>0</v>
      </c>
      <c r="AE100">
        <v>0.7</v>
      </c>
      <c r="AF100">
        <v>0</v>
      </c>
      <c r="AG100">
        <v>0</v>
      </c>
      <c r="AH100">
        <v>0</v>
      </c>
      <c r="AI100">
        <v>6.74</v>
      </c>
      <c r="AJ100">
        <v>1</v>
      </c>
      <c r="AK100">
        <v>1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5</v>
      </c>
      <c r="AU100" t="s">
        <v>3</v>
      </c>
      <c r="AV100">
        <v>0</v>
      </c>
      <c r="AW100">
        <v>2</v>
      </c>
      <c r="AX100">
        <v>56960964</v>
      </c>
      <c r="AY100">
        <v>1</v>
      </c>
      <c r="AZ100">
        <v>0</v>
      </c>
      <c r="BA100">
        <v>124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ROUND(Y100*Source!I71,9)</f>
        <v>10</v>
      </c>
      <c r="CY100">
        <f>AA100</f>
        <v>4.72</v>
      </c>
      <c r="CZ100">
        <f>AE100</f>
        <v>0.7</v>
      </c>
      <c r="DA100">
        <f>AI100</f>
        <v>6.74</v>
      </c>
      <c r="DB100">
        <f>ROUND(ROUND(AT100*CZ100,2),6)</f>
        <v>3.5</v>
      </c>
      <c r="DC100">
        <f>ROUND(ROUND(AT100*AG100,2),6)</f>
        <v>0</v>
      </c>
      <c r="DD100" t="s">
        <v>3</v>
      </c>
      <c r="DE100" t="s">
        <v>3</v>
      </c>
      <c r="DF100">
        <f>ROUND(ROUND(AE100*AI100,2)*CX100,2)</f>
        <v>47.2</v>
      </c>
      <c r="DG100">
        <f t="shared" si="57"/>
        <v>0</v>
      </c>
      <c r="DH100">
        <f t="shared" si="58"/>
        <v>0</v>
      </c>
      <c r="DI100">
        <f t="shared" si="37"/>
        <v>0</v>
      </c>
      <c r="DJ100">
        <f>DF100</f>
        <v>47.2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ROW(Source!A71)</f>
        <v>71</v>
      </c>
      <c r="B101">
        <v>56959431</v>
      </c>
      <c r="C101">
        <v>56959669</v>
      </c>
      <c r="D101">
        <v>56084068</v>
      </c>
      <c r="E101">
        <v>1</v>
      </c>
      <c r="F101">
        <v>1</v>
      </c>
      <c r="G101">
        <v>1080</v>
      </c>
      <c r="H101">
        <v>3</v>
      </c>
      <c r="I101" t="s">
        <v>560</v>
      </c>
      <c r="J101" t="s">
        <v>561</v>
      </c>
      <c r="K101" t="s">
        <v>562</v>
      </c>
      <c r="L101">
        <v>1356</v>
      </c>
      <c r="N101">
        <v>1010</v>
      </c>
      <c r="O101" t="s">
        <v>544</v>
      </c>
      <c r="P101" t="s">
        <v>544</v>
      </c>
      <c r="Q101">
        <v>1000</v>
      </c>
      <c r="W101">
        <v>0</v>
      </c>
      <c r="X101">
        <v>-510359138</v>
      </c>
      <c r="Y101">
        <f>AT101</f>
        <v>0.02</v>
      </c>
      <c r="AA101">
        <v>212.58</v>
      </c>
      <c r="AB101">
        <v>0</v>
      </c>
      <c r="AC101">
        <v>0</v>
      </c>
      <c r="AD101">
        <v>0</v>
      </c>
      <c r="AE101">
        <v>6.44</v>
      </c>
      <c r="AF101">
        <v>0</v>
      </c>
      <c r="AG101">
        <v>0</v>
      </c>
      <c r="AH101">
        <v>0</v>
      </c>
      <c r="AI101">
        <v>33.01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0.02</v>
      </c>
      <c r="AU101" t="s">
        <v>3</v>
      </c>
      <c r="AV101">
        <v>0</v>
      </c>
      <c r="AW101">
        <v>2</v>
      </c>
      <c r="AX101">
        <v>56960965</v>
      </c>
      <c r="AY101">
        <v>1</v>
      </c>
      <c r="AZ101">
        <v>0</v>
      </c>
      <c r="BA101">
        <v>125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ROUND(Y101*Source!I71,9)</f>
        <v>0.04</v>
      </c>
      <c r="CY101">
        <f>AA101</f>
        <v>212.58</v>
      </c>
      <c r="CZ101">
        <f>AE101</f>
        <v>6.44</v>
      </c>
      <c r="DA101">
        <f>AI101</f>
        <v>33.01</v>
      </c>
      <c r="DB101">
        <f>ROUND(ROUND(AT101*CZ101,2),6)</f>
        <v>0.13</v>
      </c>
      <c r="DC101">
        <f>ROUND(ROUND(AT101*AG101,2),6)</f>
        <v>0</v>
      </c>
      <c r="DD101" t="s">
        <v>3</v>
      </c>
      <c r="DE101" t="s">
        <v>3</v>
      </c>
      <c r="DF101">
        <f>ROUND(ROUND(AE101*AI101,2)*CX101,2)</f>
        <v>8.5</v>
      </c>
      <c r="DG101">
        <f t="shared" si="57"/>
        <v>0</v>
      </c>
      <c r="DH101">
        <f t="shared" si="58"/>
        <v>0</v>
      </c>
      <c r="DI101">
        <f t="shared" si="37"/>
        <v>0</v>
      </c>
      <c r="DJ101">
        <f>DF101</f>
        <v>8.5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ROW(Source!A71)</f>
        <v>71</v>
      </c>
      <c r="B102">
        <v>56959431</v>
      </c>
      <c r="C102">
        <v>56959669</v>
      </c>
      <c r="D102">
        <v>56089900</v>
      </c>
      <c r="E102">
        <v>1</v>
      </c>
      <c r="F102">
        <v>1</v>
      </c>
      <c r="G102">
        <v>1080</v>
      </c>
      <c r="H102">
        <v>3</v>
      </c>
      <c r="I102" t="s">
        <v>106</v>
      </c>
      <c r="J102" t="s">
        <v>109</v>
      </c>
      <c r="K102" t="s">
        <v>107</v>
      </c>
      <c r="L102">
        <v>1303</v>
      </c>
      <c r="N102">
        <v>1003</v>
      </c>
      <c r="O102" t="s">
        <v>108</v>
      </c>
      <c r="P102" t="s">
        <v>108</v>
      </c>
      <c r="Q102">
        <v>1000</v>
      </c>
      <c r="W102">
        <v>0</v>
      </c>
      <c r="X102">
        <v>-205854567</v>
      </c>
      <c r="Y102">
        <f>AT102</f>
        <v>0.10199999999999999</v>
      </c>
      <c r="AA102">
        <v>168956.32</v>
      </c>
      <c r="AB102">
        <v>0</v>
      </c>
      <c r="AC102">
        <v>0</v>
      </c>
      <c r="AD102">
        <v>0</v>
      </c>
      <c r="AE102">
        <v>36413</v>
      </c>
      <c r="AF102">
        <v>0</v>
      </c>
      <c r="AG102">
        <v>0</v>
      </c>
      <c r="AH102">
        <v>0</v>
      </c>
      <c r="AI102">
        <v>4.6399999999999997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0.10199999999999999</v>
      </c>
      <c r="AU102" t="s">
        <v>3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ROUND(Y102*Source!I71,9)</f>
        <v>0.20399999999999999</v>
      </c>
      <c r="CY102">
        <f>AA102</f>
        <v>168956.32</v>
      </c>
      <c r="CZ102">
        <f>AE102</f>
        <v>36413</v>
      </c>
      <c r="DA102">
        <f>AI102</f>
        <v>4.6399999999999997</v>
      </c>
      <c r="DB102">
        <f>ROUND(ROUND(AT102*CZ102,2),6)</f>
        <v>3714.13</v>
      </c>
      <c r="DC102">
        <f>ROUND(ROUND(AT102*AG102,2),6)</f>
        <v>0</v>
      </c>
      <c r="DD102" t="s">
        <v>3</v>
      </c>
      <c r="DE102" t="s">
        <v>3</v>
      </c>
      <c r="DF102">
        <f>ROUND(ROUND(AE102*AI102,2)*CX102,2)</f>
        <v>34467.089999999997</v>
      </c>
      <c r="DG102">
        <f t="shared" si="57"/>
        <v>0</v>
      </c>
      <c r="DH102">
        <f t="shared" si="58"/>
        <v>0</v>
      </c>
      <c r="DI102">
        <f t="shared" si="37"/>
        <v>0</v>
      </c>
      <c r="DJ102">
        <f>DF102</f>
        <v>34467.089999999997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ROW(Source!A148)</f>
        <v>148</v>
      </c>
      <c r="B103">
        <v>56959434</v>
      </c>
      <c r="C103">
        <v>56959799</v>
      </c>
      <c r="D103">
        <v>56018166</v>
      </c>
      <c r="E103">
        <v>1080</v>
      </c>
      <c r="F103">
        <v>1</v>
      </c>
      <c r="G103">
        <v>1080</v>
      </c>
      <c r="H103">
        <v>1</v>
      </c>
      <c r="I103" t="s">
        <v>500</v>
      </c>
      <c r="J103" t="s">
        <v>3</v>
      </c>
      <c r="K103" t="s">
        <v>501</v>
      </c>
      <c r="L103">
        <v>1191</v>
      </c>
      <c r="N103">
        <v>1013</v>
      </c>
      <c r="O103" t="s">
        <v>502</v>
      </c>
      <c r="P103" t="s">
        <v>502</v>
      </c>
      <c r="Q103">
        <v>1</v>
      </c>
      <c r="W103">
        <v>0</v>
      </c>
      <c r="X103">
        <v>476480486</v>
      </c>
      <c r="Y103">
        <f>(AT103*1.1)</f>
        <v>0.55000000000000004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0.5</v>
      </c>
      <c r="AU103" t="s">
        <v>23</v>
      </c>
      <c r="AV103">
        <v>1</v>
      </c>
      <c r="AW103">
        <v>2</v>
      </c>
      <c r="AX103">
        <v>56960967</v>
      </c>
      <c r="AY103">
        <v>1</v>
      </c>
      <c r="AZ103">
        <v>0</v>
      </c>
      <c r="BA103">
        <v>127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ROUND(AT103*Source!I148*AH103*AL103,2)</f>
        <v>0</v>
      </c>
      <c r="CV103">
        <f>ROUND(Y103*Source!I148,9)</f>
        <v>1.1000000000000001</v>
      </c>
      <c r="CW103">
        <v>0</v>
      </c>
      <c r="CX103">
        <f>ROUND(Y103*Source!I148,9)</f>
        <v>1.1000000000000001</v>
      </c>
      <c r="CY103">
        <f>AD103</f>
        <v>0</v>
      </c>
      <c r="CZ103">
        <f>AH103</f>
        <v>0</v>
      </c>
      <c r="DA103">
        <f>AL103</f>
        <v>1</v>
      </c>
      <c r="DB103">
        <f>ROUND((ROUND(AT103*CZ103,2)*1.1),6)</f>
        <v>0</v>
      </c>
      <c r="DC103">
        <f>ROUND((ROUND(AT103*AG103,2)*1.1),6)</f>
        <v>0</v>
      </c>
      <c r="DD103" t="s">
        <v>3</v>
      </c>
      <c r="DE103" t="s">
        <v>3</v>
      </c>
      <c r="DF103">
        <f>ROUND(ROUND(AE103,2)*CX103,2)</f>
        <v>0</v>
      </c>
      <c r="DG103">
        <f t="shared" si="57"/>
        <v>0</v>
      </c>
      <c r="DH103">
        <f t="shared" si="58"/>
        <v>0</v>
      </c>
      <c r="DI103">
        <f t="shared" si="37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ROW(Source!A148)</f>
        <v>148</v>
      </c>
      <c r="B104">
        <v>56959434</v>
      </c>
      <c r="C104">
        <v>56959799</v>
      </c>
      <c r="D104">
        <v>56023168</v>
      </c>
      <c r="E104">
        <v>1080</v>
      </c>
      <c r="F104">
        <v>1</v>
      </c>
      <c r="G104">
        <v>1080</v>
      </c>
      <c r="H104">
        <v>3</v>
      </c>
      <c r="I104" t="s">
        <v>521</v>
      </c>
      <c r="J104" t="s">
        <v>3</v>
      </c>
      <c r="K104" t="s">
        <v>522</v>
      </c>
      <c r="L104">
        <v>1348</v>
      </c>
      <c r="N104">
        <v>1009</v>
      </c>
      <c r="O104" t="s">
        <v>291</v>
      </c>
      <c r="P104" t="s">
        <v>291</v>
      </c>
      <c r="Q104">
        <v>1000</v>
      </c>
      <c r="W104">
        <v>0</v>
      </c>
      <c r="X104">
        <v>-783086922</v>
      </c>
      <c r="Y104">
        <f>AT104</f>
        <v>1E-3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1E-3</v>
      </c>
      <c r="AU104" t="s">
        <v>3</v>
      </c>
      <c r="AV104">
        <v>0</v>
      </c>
      <c r="AW104">
        <v>2</v>
      </c>
      <c r="AX104">
        <v>56960969</v>
      </c>
      <c r="AY104">
        <v>1</v>
      </c>
      <c r="AZ104">
        <v>0</v>
      </c>
      <c r="BA104">
        <v>129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ROUND(Y104*Source!I148,9)</f>
        <v>2E-3</v>
      </c>
      <c r="CY104">
        <f>AA104</f>
        <v>0</v>
      </c>
      <c r="CZ104">
        <f>AE104</f>
        <v>0</v>
      </c>
      <c r="DA104">
        <f>AI104</f>
        <v>1</v>
      </c>
      <c r="DB104">
        <f>ROUND(ROUND(AT104*CZ104,2),6)</f>
        <v>0</v>
      </c>
      <c r="DC104">
        <f>ROUND(ROUND(AT104*AG104,2),6)</f>
        <v>0</v>
      </c>
      <c r="DD104" t="s">
        <v>3</v>
      </c>
      <c r="DE104" t="s">
        <v>3</v>
      </c>
      <c r="DF104">
        <f>ROUND(ROUND(AE104,2)*CX104,2)</f>
        <v>0</v>
      </c>
      <c r="DG104">
        <f t="shared" si="57"/>
        <v>0</v>
      </c>
      <c r="DH104">
        <f t="shared" si="58"/>
        <v>0</v>
      </c>
      <c r="DI104">
        <f t="shared" si="37"/>
        <v>0</v>
      </c>
      <c r="DJ104">
        <f>DF104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ROW(Source!A149)</f>
        <v>149</v>
      </c>
      <c r="B105">
        <v>56959431</v>
      </c>
      <c r="C105">
        <v>56959799</v>
      </c>
      <c r="D105">
        <v>56018166</v>
      </c>
      <c r="E105">
        <v>1080</v>
      </c>
      <c r="F105">
        <v>1</v>
      </c>
      <c r="G105">
        <v>1080</v>
      </c>
      <c r="H105">
        <v>1</v>
      </c>
      <c r="I105" t="s">
        <v>500</v>
      </c>
      <c r="J105" t="s">
        <v>3</v>
      </c>
      <c r="K105" t="s">
        <v>501</v>
      </c>
      <c r="L105">
        <v>1191</v>
      </c>
      <c r="N105">
        <v>1013</v>
      </c>
      <c r="O105" t="s">
        <v>502</v>
      </c>
      <c r="P105" t="s">
        <v>502</v>
      </c>
      <c r="Q105">
        <v>1</v>
      </c>
      <c r="W105">
        <v>0</v>
      </c>
      <c r="X105">
        <v>476480486</v>
      </c>
      <c r="Y105">
        <f>(AT105*1.1)</f>
        <v>0.55000000000000004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5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0.5</v>
      </c>
      <c r="AU105" t="s">
        <v>23</v>
      </c>
      <c r="AV105">
        <v>1</v>
      </c>
      <c r="AW105">
        <v>2</v>
      </c>
      <c r="AX105">
        <v>56960967</v>
      </c>
      <c r="AY105">
        <v>1</v>
      </c>
      <c r="AZ105">
        <v>0</v>
      </c>
      <c r="BA105">
        <v>130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ROUND(AT105*Source!I149*AH105*AL105,2)</f>
        <v>0</v>
      </c>
      <c r="CV105">
        <f>ROUND(Y105*Source!I149,9)</f>
        <v>1.1000000000000001</v>
      </c>
      <c r="CW105">
        <v>0</v>
      </c>
      <c r="CX105">
        <f>ROUND(Y105*Source!I149,9)</f>
        <v>1.1000000000000001</v>
      </c>
      <c r="CY105">
        <f>AD105</f>
        <v>0</v>
      </c>
      <c r="CZ105">
        <f>AH105</f>
        <v>0</v>
      </c>
      <c r="DA105">
        <f>AL105</f>
        <v>1</v>
      </c>
      <c r="DB105">
        <f>ROUND((ROUND(AT105*CZ105,2)*1.1),6)</f>
        <v>0</v>
      </c>
      <c r="DC105">
        <f>ROUND((ROUND(AT105*AG105,2)*1.1),6)</f>
        <v>0</v>
      </c>
      <c r="DD105" t="s">
        <v>3</v>
      </c>
      <c r="DE105" t="s">
        <v>3</v>
      </c>
      <c r="DF105">
        <f>ROUND(ROUND(AE105,2)*CX105,2)</f>
        <v>0</v>
      </c>
      <c r="DG105">
        <f t="shared" si="57"/>
        <v>0</v>
      </c>
      <c r="DH105">
        <f t="shared" si="58"/>
        <v>0</v>
      </c>
      <c r="DI105">
        <f t="shared" si="37"/>
        <v>0</v>
      </c>
      <c r="DJ105">
        <f>DI105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ROW(Source!A149)</f>
        <v>149</v>
      </c>
      <c r="B106">
        <v>56959431</v>
      </c>
      <c r="C106">
        <v>56959799</v>
      </c>
      <c r="D106">
        <v>56023168</v>
      </c>
      <c r="E106">
        <v>1080</v>
      </c>
      <c r="F106">
        <v>1</v>
      </c>
      <c r="G106">
        <v>1080</v>
      </c>
      <c r="H106">
        <v>3</v>
      </c>
      <c r="I106" t="s">
        <v>521</v>
      </c>
      <c r="J106" t="s">
        <v>3</v>
      </c>
      <c r="K106" t="s">
        <v>522</v>
      </c>
      <c r="L106">
        <v>1348</v>
      </c>
      <c r="N106">
        <v>1009</v>
      </c>
      <c r="O106" t="s">
        <v>291</v>
      </c>
      <c r="P106" t="s">
        <v>291</v>
      </c>
      <c r="Q106">
        <v>1000</v>
      </c>
      <c r="W106">
        <v>0</v>
      </c>
      <c r="X106">
        <v>-783086922</v>
      </c>
      <c r="Y106">
        <f>AT106</f>
        <v>1E-3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9.8800000000000008</v>
      </c>
      <c r="AJ106">
        <v>1</v>
      </c>
      <c r="AK106">
        <v>1</v>
      </c>
      <c r="AL106">
        <v>1</v>
      </c>
      <c r="AM106">
        <v>5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1E-3</v>
      </c>
      <c r="AU106" t="s">
        <v>3</v>
      </c>
      <c r="AV106">
        <v>0</v>
      </c>
      <c r="AW106">
        <v>2</v>
      </c>
      <c r="AX106">
        <v>56960969</v>
      </c>
      <c r="AY106">
        <v>1</v>
      </c>
      <c r="AZ106">
        <v>0</v>
      </c>
      <c r="BA106">
        <v>132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ROUND(Y106*Source!I149,9)</f>
        <v>2E-3</v>
      </c>
      <c r="CY106">
        <f>AA106</f>
        <v>0</v>
      </c>
      <c r="CZ106">
        <f>AE106</f>
        <v>0</v>
      </c>
      <c r="DA106">
        <f>AI106</f>
        <v>9.8800000000000008</v>
      </c>
      <c r="DB106">
        <f>ROUND(ROUND(AT106*CZ106,2),6)</f>
        <v>0</v>
      </c>
      <c r="DC106">
        <f>ROUND(ROUND(AT106*AG106,2),6)</f>
        <v>0</v>
      </c>
      <c r="DD106" t="s">
        <v>3</v>
      </c>
      <c r="DE106" t="s">
        <v>3</v>
      </c>
      <c r="DF106">
        <f>ROUND(ROUND(AE106*AI106,2)*CX106,2)</f>
        <v>0</v>
      </c>
      <c r="DG106">
        <f t="shared" si="57"/>
        <v>0</v>
      </c>
      <c r="DH106">
        <f t="shared" si="58"/>
        <v>0</v>
      </c>
      <c r="DI106">
        <f t="shared" si="37"/>
        <v>0</v>
      </c>
      <c r="DJ106">
        <f>DF106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ROW(Source!A152)</f>
        <v>152</v>
      </c>
      <c r="B107">
        <v>56959434</v>
      </c>
      <c r="C107">
        <v>56959806</v>
      </c>
      <c r="D107">
        <v>56018166</v>
      </c>
      <c r="E107">
        <v>1080</v>
      </c>
      <c r="F107">
        <v>1</v>
      </c>
      <c r="G107">
        <v>1080</v>
      </c>
      <c r="H107">
        <v>1</v>
      </c>
      <c r="I107" t="s">
        <v>500</v>
      </c>
      <c r="J107" t="s">
        <v>3</v>
      </c>
      <c r="K107" t="s">
        <v>501</v>
      </c>
      <c r="L107">
        <v>1191</v>
      </c>
      <c r="N107">
        <v>1013</v>
      </c>
      <c r="O107" t="s">
        <v>502</v>
      </c>
      <c r="P107" t="s">
        <v>502</v>
      </c>
      <c r="Q107">
        <v>1</v>
      </c>
      <c r="W107">
        <v>0</v>
      </c>
      <c r="X107">
        <v>476480486</v>
      </c>
      <c r="Y107">
        <f>(AT107*1.1)</f>
        <v>16.5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15</v>
      </c>
      <c r="AU107" t="s">
        <v>23</v>
      </c>
      <c r="AV107">
        <v>1</v>
      </c>
      <c r="AW107">
        <v>2</v>
      </c>
      <c r="AX107">
        <v>56960970</v>
      </c>
      <c r="AY107">
        <v>1</v>
      </c>
      <c r="AZ107">
        <v>0</v>
      </c>
      <c r="BA107">
        <v>133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ROUND(AT107*Source!I152*AH107*AL107,2)</f>
        <v>0</v>
      </c>
      <c r="CV107">
        <f>ROUND(Y107*Source!I152,9)</f>
        <v>16.5</v>
      </c>
      <c r="CW107">
        <v>0</v>
      </c>
      <c r="CX107">
        <f>ROUND(Y107*Source!I152,9)</f>
        <v>16.5</v>
      </c>
      <c r="CY107">
        <f>AD107</f>
        <v>0</v>
      </c>
      <c r="CZ107">
        <f>AH107</f>
        <v>0</v>
      </c>
      <c r="DA107">
        <f>AL107</f>
        <v>1</v>
      </c>
      <c r="DB107">
        <f>ROUND((ROUND(AT107*CZ107,2)*1.1),6)</f>
        <v>0</v>
      </c>
      <c r="DC107">
        <f>ROUND((ROUND(AT107*AG107,2)*1.1),6)</f>
        <v>0</v>
      </c>
      <c r="DD107" t="s">
        <v>3</v>
      </c>
      <c r="DE107" t="s">
        <v>3</v>
      </c>
      <c r="DF107">
        <f>ROUND(ROUND(AE107,2)*CX107,2)</f>
        <v>0</v>
      </c>
      <c r="DG107">
        <f t="shared" si="57"/>
        <v>0</v>
      </c>
      <c r="DH107">
        <f t="shared" si="58"/>
        <v>0</v>
      </c>
      <c r="DI107">
        <f t="shared" si="37"/>
        <v>0</v>
      </c>
      <c r="DJ107">
        <f>DI107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ROW(Source!A152)</f>
        <v>152</v>
      </c>
      <c r="B108">
        <v>56959434</v>
      </c>
      <c r="C108">
        <v>56959806</v>
      </c>
      <c r="D108">
        <v>56074647</v>
      </c>
      <c r="E108">
        <v>1</v>
      </c>
      <c r="F108">
        <v>1</v>
      </c>
      <c r="G108">
        <v>1080</v>
      </c>
      <c r="H108">
        <v>3</v>
      </c>
      <c r="I108" t="s">
        <v>82</v>
      </c>
      <c r="J108" t="s">
        <v>85</v>
      </c>
      <c r="K108" t="s">
        <v>83</v>
      </c>
      <c r="L108">
        <v>1301</v>
      </c>
      <c r="N108">
        <v>1003</v>
      </c>
      <c r="O108" t="s">
        <v>84</v>
      </c>
      <c r="P108" t="s">
        <v>84</v>
      </c>
      <c r="Q108">
        <v>1</v>
      </c>
      <c r="W108">
        <v>0</v>
      </c>
      <c r="X108">
        <v>-1305428159</v>
      </c>
      <c r="Y108">
        <f>AT108</f>
        <v>102</v>
      </c>
      <c r="AA108">
        <v>3.45</v>
      </c>
      <c r="AB108">
        <v>0</v>
      </c>
      <c r="AC108">
        <v>0</v>
      </c>
      <c r="AD108">
        <v>0</v>
      </c>
      <c r="AE108">
        <v>3.45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102</v>
      </c>
      <c r="AU108" t="s">
        <v>3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ROUND(Y108*Source!I152,9)</f>
        <v>102</v>
      </c>
      <c r="CY108">
        <f>AA108</f>
        <v>3.45</v>
      </c>
      <c r="CZ108">
        <f>AE108</f>
        <v>3.45</v>
      </c>
      <c r="DA108">
        <f>AI108</f>
        <v>1</v>
      </c>
      <c r="DB108">
        <f>ROUND(ROUND(AT108*CZ108,2),6)</f>
        <v>351.9</v>
      </c>
      <c r="DC108">
        <f>ROUND(ROUND(AT108*AG108,2),6)</f>
        <v>0</v>
      </c>
      <c r="DD108" t="s">
        <v>3</v>
      </c>
      <c r="DE108" t="s">
        <v>3</v>
      </c>
      <c r="DF108">
        <f>ROUND(ROUND(AE108,2)*CX108,2)</f>
        <v>351.9</v>
      </c>
      <c r="DG108">
        <f t="shared" si="57"/>
        <v>0</v>
      </c>
      <c r="DH108">
        <f t="shared" si="58"/>
        <v>0</v>
      </c>
      <c r="DI108">
        <f t="shared" si="37"/>
        <v>0</v>
      </c>
      <c r="DJ108">
        <f>DF108</f>
        <v>351.9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ROW(Source!A153)</f>
        <v>153</v>
      </c>
      <c r="B109">
        <v>56959431</v>
      </c>
      <c r="C109">
        <v>56959806</v>
      </c>
      <c r="D109">
        <v>56018166</v>
      </c>
      <c r="E109">
        <v>1080</v>
      </c>
      <c r="F109">
        <v>1</v>
      </c>
      <c r="G109">
        <v>1080</v>
      </c>
      <c r="H109">
        <v>1</v>
      </c>
      <c r="I109" t="s">
        <v>500</v>
      </c>
      <c r="J109" t="s">
        <v>3</v>
      </c>
      <c r="K109" t="s">
        <v>501</v>
      </c>
      <c r="L109">
        <v>1191</v>
      </c>
      <c r="N109">
        <v>1013</v>
      </c>
      <c r="O109" t="s">
        <v>502</v>
      </c>
      <c r="P109" t="s">
        <v>502</v>
      </c>
      <c r="Q109">
        <v>1</v>
      </c>
      <c r="W109">
        <v>0</v>
      </c>
      <c r="X109">
        <v>476480486</v>
      </c>
      <c r="Y109">
        <f>(AT109*1.1)</f>
        <v>16.5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5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15</v>
      </c>
      <c r="AU109" t="s">
        <v>23</v>
      </c>
      <c r="AV109">
        <v>1</v>
      </c>
      <c r="AW109">
        <v>2</v>
      </c>
      <c r="AX109">
        <v>56960970</v>
      </c>
      <c r="AY109">
        <v>1</v>
      </c>
      <c r="AZ109">
        <v>0</v>
      </c>
      <c r="BA109">
        <v>137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ROUND(AT109*Source!I153*AH109*AL109,2)</f>
        <v>0</v>
      </c>
      <c r="CV109">
        <f>ROUND(Y109*Source!I153,9)</f>
        <v>16.5</v>
      </c>
      <c r="CW109">
        <v>0</v>
      </c>
      <c r="CX109">
        <f>ROUND(Y109*Source!I153,9)</f>
        <v>16.5</v>
      </c>
      <c r="CY109">
        <f>AD109</f>
        <v>0</v>
      </c>
      <c r="CZ109">
        <f>AH109</f>
        <v>0</v>
      </c>
      <c r="DA109">
        <f>AL109</f>
        <v>1</v>
      </c>
      <c r="DB109">
        <f>ROUND((ROUND(AT109*CZ109,2)*1.1),6)</f>
        <v>0</v>
      </c>
      <c r="DC109">
        <f>ROUND((ROUND(AT109*AG109,2)*1.1),6)</f>
        <v>0</v>
      </c>
      <c r="DD109" t="s">
        <v>3</v>
      </c>
      <c r="DE109" t="s">
        <v>3</v>
      </c>
      <c r="DF109">
        <f>ROUND(ROUND(AE109,2)*CX109,2)</f>
        <v>0</v>
      </c>
      <c r="DG109">
        <f t="shared" si="57"/>
        <v>0</v>
      </c>
      <c r="DH109">
        <f t="shared" si="58"/>
        <v>0</v>
      </c>
      <c r="DI109">
        <f t="shared" si="37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ROW(Source!A153)</f>
        <v>153</v>
      </c>
      <c r="B110">
        <v>56959431</v>
      </c>
      <c r="C110">
        <v>56959806</v>
      </c>
      <c r="D110">
        <v>56074647</v>
      </c>
      <c r="E110">
        <v>1</v>
      </c>
      <c r="F110">
        <v>1</v>
      </c>
      <c r="G110">
        <v>1080</v>
      </c>
      <c r="H110">
        <v>3</v>
      </c>
      <c r="I110" t="s">
        <v>82</v>
      </c>
      <c r="J110" t="s">
        <v>85</v>
      </c>
      <c r="K110" t="s">
        <v>83</v>
      </c>
      <c r="L110">
        <v>1301</v>
      </c>
      <c r="N110">
        <v>1003</v>
      </c>
      <c r="O110" t="s">
        <v>84</v>
      </c>
      <c r="P110" t="s">
        <v>84</v>
      </c>
      <c r="Q110">
        <v>1</v>
      </c>
      <c r="W110">
        <v>0</v>
      </c>
      <c r="X110">
        <v>-1305428159</v>
      </c>
      <c r="Y110">
        <f>AT110</f>
        <v>102</v>
      </c>
      <c r="AA110">
        <v>13.56</v>
      </c>
      <c r="AB110">
        <v>0</v>
      </c>
      <c r="AC110">
        <v>0</v>
      </c>
      <c r="AD110">
        <v>0</v>
      </c>
      <c r="AE110">
        <v>3.45</v>
      </c>
      <c r="AF110">
        <v>0</v>
      </c>
      <c r="AG110">
        <v>0</v>
      </c>
      <c r="AH110">
        <v>0</v>
      </c>
      <c r="AI110">
        <v>3.93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 t="s">
        <v>3</v>
      </c>
      <c r="AT110">
        <v>102</v>
      </c>
      <c r="AU110" t="s">
        <v>3</v>
      </c>
      <c r="AV110">
        <v>0</v>
      </c>
      <c r="AW110">
        <v>1</v>
      </c>
      <c r="AX110">
        <v>-1</v>
      </c>
      <c r="AY110">
        <v>0</v>
      </c>
      <c r="AZ110">
        <v>0</v>
      </c>
      <c r="BA110" t="s">
        <v>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ROUND(Y110*Source!I153,9)</f>
        <v>102</v>
      </c>
      <c r="CY110">
        <f>AA110</f>
        <v>13.56</v>
      </c>
      <c r="CZ110">
        <f>AE110</f>
        <v>3.45</v>
      </c>
      <c r="DA110">
        <f>AI110</f>
        <v>3.93</v>
      </c>
      <c r="DB110">
        <f>ROUND(ROUND(AT110*CZ110,2),6)</f>
        <v>351.9</v>
      </c>
      <c r="DC110">
        <f>ROUND(ROUND(AT110*AG110,2),6)</f>
        <v>0</v>
      </c>
      <c r="DD110" t="s">
        <v>3</v>
      </c>
      <c r="DE110" t="s">
        <v>3</v>
      </c>
      <c r="DF110">
        <f>ROUND(ROUND(AE110*AI110,2)*CX110,2)</f>
        <v>1383.12</v>
      </c>
      <c r="DG110">
        <f t="shared" si="57"/>
        <v>0</v>
      </c>
      <c r="DH110">
        <f t="shared" si="58"/>
        <v>0</v>
      </c>
      <c r="DI110">
        <f t="shared" si="37"/>
        <v>0</v>
      </c>
      <c r="DJ110">
        <f>DF110</f>
        <v>1383.12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ROW(Source!A156)</f>
        <v>156</v>
      </c>
      <c r="B111">
        <v>56959434</v>
      </c>
      <c r="C111">
        <v>56959814</v>
      </c>
      <c r="D111">
        <v>56018166</v>
      </c>
      <c r="E111">
        <v>1080</v>
      </c>
      <c r="F111">
        <v>1</v>
      </c>
      <c r="G111">
        <v>1080</v>
      </c>
      <c r="H111">
        <v>1</v>
      </c>
      <c r="I111" t="s">
        <v>500</v>
      </c>
      <c r="J111" t="s">
        <v>3</v>
      </c>
      <c r="K111" t="s">
        <v>501</v>
      </c>
      <c r="L111">
        <v>1191</v>
      </c>
      <c r="N111">
        <v>1013</v>
      </c>
      <c r="O111" t="s">
        <v>502</v>
      </c>
      <c r="P111" t="s">
        <v>502</v>
      </c>
      <c r="Q111">
        <v>1</v>
      </c>
      <c r="W111">
        <v>0</v>
      </c>
      <c r="X111">
        <v>476480486</v>
      </c>
      <c r="Y111">
        <f>(AT111*1.1)</f>
        <v>4.9390000000000009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4.49</v>
      </c>
      <c r="AU111" t="s">
        <v>23</v>
      </c>
      <c r="AV111">
        <v>1</v>
      </c>
      <c r="AW111">
        <v>2</v>
      </c>
      <c r="AX111">
        <v>56960974</v>
      </c>
      <c r="AY111">
        <v>1</v>
      </c>
      <c r="AZ111">
        <v>0</v>
      </c>
      <c r="BA111">
        <v>141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ROUND(AT111*Source!I156*AH111*AL111,2)</f>
        <v>0</v>
      </c>
      <c r="CV111">
        <f>ROUND(Y111*Source!I156,9)</f>
        <v>4.9390000000000001</v>
      </c>
      <c r="CW111">
        <v>0</v>
      </c>
      <c r="CX111">
        <f>ROUND(Y111*Source!I156,9)</f>
        <v>4.9390000000000001</v>
      </c>
      <c r="CY111">
        <f>AD111</f>
        <v>0</v>
      </c>
      <c r="CZ111">
        <f>AH111</f>
        <v>0</v>
      </c>
      <c r="DA111">
        <f>AL111</f>
        <v>1</v>
      </c>
      <c r="DB111">
        <f>ROUND((ROUND(AT111*CZ111,2)*1.1),6)</f>
        <v>0</v>
      </c>
      <c r="DC111">
        <f>ROUND((ROUND(AT111*AG111,2)*1.1),6)</f>
        <v>0</v>
      </c>
      <c r="DD111" t="s">
        <v>3</v>
      </c>
      <c r="DE111" t="s">
        <v>3</v>
      </c>
      <c r="DF111">
        <f t="shared" ref="DF111:DF124" si="59">ROUND(ROUND(AE111,2)*CX111,2)</f>
        <v>0</v>
      </c>
      <c r="DG111">
        <f t="shared" si="57"/>
        <v>0</v>
      </c>
      <c r="DH111">
        <f t="shared" si="58"/>
        <v>0</v>
      </c>
      <c r="DI111">
        <f t="shared" si="37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ROW(Source!A156)</f>
        <v>156</v>
      </c>
      <c r="B112">
        <v>56959434</v>
      </c>
      <c r="C112">
        <v>56959814</v>
      </c>
      <c r="D112">
        <v>56092340</v>
      </c>
      <c r="E112">
        <v>1</v>
      </c>
      <c r="F112">
        <v>1</v>
      </c>
      <c r="G112">
        <v>1080</v>
      </c>
      <c r="H112">
        <v>2</v>
      </c>
      <c r="I112" t="s">
        <v>503</v>
      </c>
      <c r="J112" t="s">
        <v>504</v>
      </c>
      <c r="K112" t="s">
        <v>505</v>
      </c>
      <c r="L112">
        <v>1368</v>
      </c>
      <c r="N112">
        <v>1011</v>
      </c>
      <c r="O112" t="s">
        <v>506</v>
      </c>
      <c r="P112" t="s">
        <v>506</v>
      </c>
      <c r="Q112">
        <v>1</v>
      </c>
      <c r="W112">
        <v>0</v>
      </c>
      <c r="X112">
        <v>-1985943078</v>
      </c>
      <c r="Y112">
        <f>(AT112*1.1)</f>
        <v>1.1000000000000001E-2</v>
      </c>
      <c r="AA112">
        <v>0</v>
      </c>
      <c r="AB112">
        <v>87.01</v>
      </c>
      <c r="AC112">
        <v>13.21</v>
      </c>
      <c r="AD112">
        <v>0</v>
      </c>
      <c r="AE112">
        <v>0</v>
      </c>
      <c r="AF112">
        <v>83.1</v>
      </c>
      <c r="AG112">
        <v>12.62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0.01</v>
      </c>
      <c r="AU112" t="s">
        <v>23</v>
      </c>
      <c r="AV112">
        <v>0</v>
      </c>
      <c r="AW112">
        <v>2</v>
      </c>
      <c r="AX112">
        <v>56960975</v>
      </c>
      <c r="AY112">
        <v>1</v>
      </c>
      <c r="AZ112">
        <v>0</v>
      </c>
      <c r="BA112">
        <v>142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ROUND(Y112*Source!I156*DO112,9)</f>
        <v>0.13882</v>
      </c>
      <c r="CX112">
        <f>ROUND(Y112*Source!I156,9)</f>
        <v>1.0999999999999999E-2</v>
      </c>
      <c r="CY112">
        <f>AB112</f>
        <v>87.01</v>
      </c>
      <c r="CZ112">
        <f>AF112</f>
        <v>83.1</v>
      </c>
      <c r="DA112">
        <f>AJ112</f>
        <v>1</v>
      </c>
      <c r="DB112">
        <f>ROUND((ROUND(AT112*CZ112,2)*1.1),6)</f>
        <v>0.91300000000000003</v>
      </c>
      <c r="DC112">
        <f>ROUND((ROUND(AT112*AG112,2)*1.1),6)</f>
        <v>0.14299999999999999</v>
      </c>
      <c r="DD112" t="s">
        <v>3</v>
      </c>
      <c r="DE112" t="s">
        <v>3</v>
      </c>
      <c r="DF112">
        <f t="shared" si="59"/>
        <v>0</v>
      </c>
      <c r="DG112">
        <f t="shared" si="57"/>
        <v>0.91</v>
      </c>
      <c r="DH112">
        <f t="shared" si="58"/>
        <v>0.14000000000000001</v>
      </c>
      <c r="DI112">
        <f t="shared" si="37"/>
        <v>0</v>
      </c>
      <c r="DJ112">
        <f>DG112</f>
        <v>0.91</v>
      </c>
      <c r="DK112">
        <v>0</v>
      </c>
      <c r="DL112" t="s">
        <v>507</v>
      </c>
      <c r="DM112">
        <v>0</v>
      </c>
      <c r="DN112" t="s">
        <v>502</v>
      </c>
      <c r="DO112">
        <v>12.62</v>
      </c>
    </row>
    <row r="113" spans="1:119" x14ac:dyDescent="0.2">
      <c r="A113">
        <f>ROW(Source!A156)</f>
        <v>156</v>
      </c>
      <c r="B113">
        <v>56959434</v>
      </c>
      <c r="C113">
        <v>56959814</v>
      </c>
      <c r="D113">
        <v>56091576</v>
      </c>
      <c r="E113">
        <v>1</v>
      </c>
      <c r="F113">
        <v>1</v>
      </c>
      <c r="G113">
        <v>1080</v>
      </c>
      <c r="H113">
        <v>2</v>
      </c>
      <c r="I113" t="s">
        <v>529</v>
      </c>
      <c r="J113" t="s">
        <v>530</v>
      </c>
      <c r="K113" t="s">
        <v>531</v>
      </c>
      <c r="L113">
        <v>1368</v>
      </c>
      <c r="N113">
        <v>1011</v>
      </c>
      <c r="O113" t="s">
        <v>506</v>
      </c>
      <c r="P113" t="s">
        <v>506</v>
      </c>
      <c r="Q113">
        <v>1</v>
      </c>
      <c r="W113">
        <v>0</v>
      </c>
      <c r="X113">
        <v>1087580389</v>
      </c>
      <c r="Y113">
        <f>(AT113*1.1)</f>
        <v>1.1000000000000001E-2</v>
      </c>
      <c r="AA113">
        <v>0</v>
      </c>
      <c r="AB113">
        <v>187.59</v>
      </c>
      <c r="AC113">
        <v>17.73</v>
      </c>
      <c r="AD113">
        <v>0</v>
      </c>
      <c r="AE113">
        <v>0</v>
      </c>
      <c r="AF113">
        <v>179.17</v>
      </c>
      <c r="AG113">
        <v>16.93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0.01</v>
      </c>
      <c r="AU113" t="s">
        <v>23</v>
      </c>
      <c r="AV113">
        <v>0</v>
      </c>
      <c r="AW113">
        <v>2</v>
      </c>
      <c r="AX113">
        <v>56960976</v>
      </c>
      <c r="AY113">
        <v>1</v>
      </c>
      <c r="AZ113">
        <v>0</v>
      </c>
      <c r="BA113">
        <v>143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ROUND(Y113*Source!I156*DO113,9)</f>
        <v>0.18623000000000001</v>
      </c>
      <c r="CX113">
        <f>ROUND(Y113*Source!I156,9)</f>
        <v>1.0999999999999999E-2</v>
      </c>
      <c r="CY113">
        <f>AB113</f>
        <v>187.59</v>
      </c>
      <c r="CZ113">
        <f>AF113</f>
        <v>179.17</v>
      </c>
      <c r="DA113">
        <f>AJ113</f>
        <v>1</v>
      </c>
      <c r="DB113">
        <f>ROUND((ROUND(AT113*CZ113,2)*1.1),6)</f>
        <v>1.9690000000000001</v>
      </c>
      <c r="DC113">
        <f>ROUND((ROUND(AT113*AG113,2)*1.1),6)</f>
        <v>0.187</v>
      </c>
      <c r="DD113" t="s">
        <v>3</v>
      </c>
      <c r="DE113" t="s">
        <v>3</v>
      </c>
      <c r="DF113">
        <f t="shared" si="59"/>
        <v>0</v>
      </c>
      <c r="DG113">
        <f t="shared" si="57"/>
        <v>1.97</v>
      </c>
      <c r="DH113">
        <f t="shared" si="58"/>
        <v>0.19</v>
      </c>
      <c r="DI113">
        <f t="shared" si="37"/>
        <v>0</v>
      </c>
      <c r="DJ113">
        <f>DG113</f>
        <v>1.97</v>
      </c>
      <c r="DK113">
        <v>0</v>
      </c>
      <c r="DL113" t="s">
        <v>507</v>
      </c>
      <c r="DM113">
        <v>0</v>
      </c>
      <c r="DN113" t="s">
        <v>502</v>
      </c>
      <c r="DO113">
        <v>16.93</v>
      </c>
    </row>
    <row r="114" spans="1:119" x14ac:dyDescent="0.2">
      <c r="A114">
        <f>ROW(Source!A156)</f>
        <v>156</v>
      </c>
      <c r="B114">
        <v>56959434</v>
      </c>
      <c r="C114">
        <v>56959814</v>
      </c>
      <c r="D114">
        <v>56061373</v>
      </c>
      <c r="E114">
        <v>1</v>
      </c>
      <c r="F114">
        <v>1</v>
      </c>
      <c r="G114">
        <v>1080</v>
      </c>
      <c r="H114">
        <v>3</v>
      </c>
      <c r="I114" t="s">
        <v>532</v>
      </c>
      <c r="J114" t="s">
        <v>533</v>
      </c>
      <c r="K114" t="s">
        <v>534</v>
      </c>
      <c r="L114">
        <v>1346</v>
      </c>
      <c r="N114">
        <v>1009</v>
      </c>
      <c r="O114" t="s">
        <v>249</v>
      </c>
      <c r="P114" t="s">
        <v>249</v>
      </c>
      <c r="Q114">
        <v>1</v>
      </c>
      <c r="W114">
        <v>0</v>
      </c>
      <c r="X114">
        <v>1770006655</v>
      </c>
      <c r="Y114">
        <f t="shared" ref="Y114:Y121" si="60">AT114</f>
        <v>0.43</v>
      </c>
      <c r="AA114">
        <v>1.38</v>
      </c>
      <c r="AB114">
        <v>0</v>
      </c>
      <c r="AC114">
        <v>0</v>
      </c>
      <c r="AD114">
        <v>0</v>
      </c>
      <c r="AE114">
        <v>1.38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0.43</v>
      </c>
      <c r="AU114" t="s">
        <v>3</v>
      </c>
      <c r="AV114">
        <v>0</v>
      </c>
      <c r="AW114">
        <v>2</v>
      </c>
      <c r="AX114">
        <v>56960977</v>
      </c>
      <c r="AY114">
        <v>1</v>
      </c>
      <c r="AZ114">
        <v>0</v>
      </c>
      <c r="BA114">
        <v>144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ROUND(Y114*Source!I156,9)</f>
        <v>0.43</v>
      </c>
      <c r="CY114">
        <f t="shared" ref="CY114:CY121" si="61">AA114</f>
        <v>1.38</v>
      </c>
      <c r="CZ114">
        <f t="shared" ref="CZ114:CZ121" si="62">AE114</f>
        <v>1.38</v>
      </c>
      <c r="DA114">
        <f t="shared" ref="DA114:DA121" si="63">AI114</f>
        <v>1</v>
      </c>
      <c r="DB114">
        <f t="shared" ref="DB114:DB121" si="64">ROUND(ROUND(AT114*CZ114,2),6)</f>
        <v>0.59</v>
      </c>
      <c r="DC114">
        <f t="shared" ref="DC114:DC121" si="65">ROUND(ROUND(AT114*AG114,2),6)</f>
        <v>0</v>
      </c>
      <c r="DD114" t="s">
        <v>3</v>
      </c>
      <c r="DE114" t="s">
        <v>3</v>
      </c>
      <c r="DF114">
        <f t="shared" si="59"/>
        <v>0.59</v>
      </c>
      <c r="DG114">
        <f t="shared" si="57"/>
        <v>0</v>
      </c>
      <c r="DH114">
        <f t="shared" si="58"/>
        <v>0</v>
      </c>
      <c r="DI114">
        <f t="shared" si="37"/>
        <v>0</v>
      </c>
      <c r="DJ114">
        <f t="shared" ref="DJ114:DJ121" si="66">DF114</f>
        <v>0.59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ROW(Source!A156)</f>
        <v>156</v>
      </c>
      <c r="B115">
        <v>56959434</v>
      </c>
      <c r="C115">
        <v>56959814</v>
      </c>
      <c r="D115">
        <v>56061764</v>
      </c>
      <c r="E115">
        <v>1</v>
      </c>
      <c r="F115">
        <v>1</v>
      </c>
      <c r="G115">
        <v>1080</v>
      </c>
      <c r="H115">
        <v>3</v>
      </c>
      <c r="I115" t="s">
        <v>535</v>
      </c>
      <c r="J115" t="s">
        <v>536</v>
      </c>
      <c r="K115" t="s">
        <v>537</v>
      </c>
      <c r="L115">
        <v>1346</v>
      </c>
      <c r="N115">
        <v>1009</v>
      </c>
      <c r="O115" t="s">
        <v>249</v>
      </c>
      <c r="P115" t="s">
        <v>249</v>
      </c>
      <c r="Q115">
        <v>1</v>
      </c>
      <c r="W115">
        <v>0</v>
      </c>
      <c r="X115">
        <v>-878159893</v>
      </c>
      <c r="Y115">
        <f t="shared" si="60"/>
        <v>0.16</v>
      </c>
      <c r="AA115">
        <v>159.06</v>
      </c>
      <c r="AB115">
        <v>0</v>
      </c>
      <c r="AC115">
        <v>0</v>
      </c>
      <c r="AD115">
        <v>0</v>
      </c>
      <c r="AE115">
        <v>159.06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0.16</v>
      </c>
      <c r="AU115" t="s">
        <v>3</v>
      </c>
      <c r="AV115">
        <v>0</v>
      </c>
      <c r="AW115">
        <v>2</v>
      </c>
      <c r="AX115">
        <v>56960978</v>
      </c>
      <c r="AY115">
        <v>1</v>
      </c>
      <c r="AZ115">
        <v>0</v>
      </c>
      <c r="BA115">
        <v>145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ROUND(Y115*Source!I156,9)</f>
        <v>0.16</v>
      </c>
      <c r="CY115">
        <f t="shared" si="61"/>
        <v>159.06</v>
      </c>
      <c r="CZ115">
        <f t="shared" si="62"/>
        <v>159.06</v>
      </c>
      <c r="DA115">
        <f t="shared" si="63"/>
        <v>1</v>
      </c>
      <c r="DB115">
        <f t="shared" si="64"/>
        <v>25.45</v>
      </c>
      <c r="DC115">
        <f t="shared" si="65"/>
        <v>0</v>
      </c>
      <c r="DD115" t="s">
        <v>3</v>
      </c>
      <c r="DE115" t="s">
        <v>3</v>
      </c>
      <c r="DF115">
        <f t="shared" si="59"/>
        <v>25.45</v>
      </c>
      <c r="DG115">
        <f t="shared" si="57"/>
        <v>0</v>
      </c>
      <c r="DH115">
        <f t="shared" si="58"/>
        <v>0</v>
      </c>
      <c r="DI115">
        <f t="shared" si="37"/>
        <v>0</v>
      </c>
      <c r="DJ115">
        <f t="shared" si="66"/>
        <v>25.45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ROW(Source!A156)</f>
        <v>156</v>
      </c>
      <c r="B116">
        <v>56959434</v>
      </c>
      <c r="C116">
        <v>56959814</v>
      </c>
      <c r="D116">
        <v>56084707</v>
      </c>
      <c r="E116">
        <v>1</v>
      </c>
      <c r="F116">
        <v>1</v>
      </c>
      <c r="G116">
        <v>1080</v>
      </c>
      <c r="H116">
        <v>3</v>
      </c>
      <c r="I116" t="s">
        <v>538</v>
      </c>
      <c r="J116" t="s">
        <v>539</v>
      </c>
      <c r="K116" t="s">
        <v>540</v>
      </c>
      <c r="L116">
        <v>1355</v>
      </c>
      <c r="N116">
        <v>1010</v>
      </c>
      <c r="O116" t="s">
        <v>520</v>
      </c>
      <c r="P116" t="s">
        <v>520</v>
      </c>
      <c r="Q116">
        <v>100</v>
      </c>
      <c r="W116">
        <v>0</v>
      </c>
      <c r="X116">
        <v>-456781043</v>
      </c>
      <c r="Y116">
        <f t="shared" si="60"/>
        <v>0.05</v>
      </c>
      <c r="AA116">
        <v>68.819999999999993</v>
      </c>
      <c r="AB116">
        <v>0</v>
      </c>
      <c r="AC116">
        <v>0</v>
      </c>
      <c r="AD116">
        <v>0</v>
      </c>
      <c r="AE116">
        <v>68.819999999999993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0.05</v>
      </c>
      <c r="AU116" t="s">
        <v>3</v>
      </c>
      <c r="AV116">
        <v>0</v>
      </c>
      <c r="AW116">
        <v>2</v>
      </c>
      <c r="AX116">
        <v>56960979</v>
      </c>
      <c r="AY116">
        <v>1</v>
      </c>
      <c r="AZ116">
        <v>0</v>
      </c>
      <c r="BA116">
        <v>146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ROUND(Y116*Source!I156,9)</f>
        <v>0.05</v>
      </c>
      <c r="CY116">
        <f t="shared" si="61"/>
        <v>68.819999999999993</v>
      </c>
      <c r="CZ116">
        <f t="shared" si="62"/>
        <v>68.819999999999993</v>
      </c>
      <c r="DA116">
        <f t="shared" si="63"/>
        <v>1</v>
      </c>
      <c r="DB116">
        <f t="shared" si="64"/>
        <v>3.44</v>
      </c>
      <c r="DC116">
        <f t="shared" si="65"/>
        <v>0</v>
      </c>
      <c r="DD116" t="s">
        <v>3</v>
      </c>
      <c r="DE116" t="s">
        <v>3</v>
      </c>
      <c r="DF116">
        <f t="shared" si="59"/>
        <v>3.44</v>
      </c>
      <c r="DG116">
        <f t="shared" si="57"/>
        <v>0</v>
      </c>
      <c r="DH116">
        <f t="shared" si="58"/>
        <v>0</v>
      </c>
      <c r="DI116">
        <f t="shared" si="37"/>
        <v>0</v>
      </c>
      <c r="DJ116">
        <f t="shared" si="66"/>
        <v>3.44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ROW(Source!A156)</f>
        <v>156</v>
      </c>
      <c r="B117">
        <v>56959434</v>
      </c>
      <c r="C117">
        <v>56959814</v>
      </c>
      <c r="D117">
        <v>56084718</v>
      </c>
      <c r="E117">
        <v>1</v>
      </c>
      <c r="F117">
        <v>1</v>
      </c>
      <c r="G117">
        <v>1080</v>
      </c>
      <c r="H117">
        <v>3</v>
      </c>
      <c r="I117" t="s">
        <v>541</v>
      </c>
      <c r="J117" t="s">
        <v>542</v>
      </c>
      <c r="K117" t="s">
        <v>543</v>
      </c>
      <c r="L117">
        <v>1356</v>
      </c>
      <c r="N117">
        <v>1010</v>
      </c>
      <c r="O117" t="s">
        <v>544</v>
      </c>
      <c r="P117" t="s">
        <v>544</v>
      </c>
      <c r="Q117">
        <v>1000</v>
      </c>
      <c r="W117">
        <v>0</v>
      </c>
      <c r="X117">
        <v>1726193810</v>
      </c>
      <c r="Y117">
        <f t="shared" si="60"/>
        <v>1.2200000000000001E-2</v>
      </c>
      <c r="AA117">
        <v>183.4</v>
      </c>
      <c r="AB117">
        <v>0</v>
      </c>
      <c r="AC117">
        <v>0</v>
      </c>
      <c r="AD117">
        <v>0</v>
      </c>
      <c r="AE117">
        <v>183.4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1.2200000000000001E-2</v>
      </c>
      <c r="AU117" t="s">
        <v>3</v>
      </c>
      <c r="AV117">
        <v>0</v>
      </c>
      <c r="AW117">
        <v>2</v>
      </c>
      <c r="AX117">
        <v>56960980</v>
      </c>
      <c r="AY117">
        <v>1</v>
      </c>
      <c r="AZ117">
        <v>0</v>
      </c>
      <c r="BA117">
        <v>147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ROUND(Y117*Source!I156,9)</f>
        <v>1.2200000000000001E-2</v>
      </c>
      <c r="CY117">
        <f t="shared" si="61"/>
        <v>183.4</v>
      </c>
      <c r="CZ117">
        <f t="shared" si="62"/>
        <v>183.4</v>
      </c>
      <c r="DA117">
        <f t="shared" si="63"/>
        <v>1</v>
      </c>
      <c r="DB117">
        <f t="shared" si="64"/>
        <v>2.2400000000000002</v>
      </c>
      <c r="DC117">
        <f t="shared" si="65"/>
        <v>0</v>
      </c>
      <c r="DD117" t="s">
        <v>3</v>
      </c>
      <c r="DE117" t="s">
        <v>3</v>
      </c>
      <c r="DF117">
        <f t="shared" si="59"/>
        <v>2.2400000000000002</v>
      </c>
      <c r="DG117">
        <f t="shared" si="57"/>
        <v>0</v>
      </c>
      <c r="DH117">
        <f t="shared" si="58"/>
        <v>0</v>
      </c>
      <c r="DI117">
        <f t="shared" si="37"/>
        <v>0</v>
      </c>
      <c r="DJ117">
        <f t="shared" si="66"/>
        <v>2.2400000000000002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ROW(Source!A156)</f>
        <v>156</v>
      </c>
      <c r="B118">
        <v>56959434</v>
      </c>
      <c r="C118">
        <v>56959814</v>
      </c>
      <c r="D118">
        <v>56084044</v>
      </c>
      <c r="E118">
        <v>1</v>
      </c>
      <c r="F118">
        <v>1</v>
      </c>
      <c r="G118">
        <v>1080</v>
      </c>
      <c r="H118">
        <v>3</v>
      </c>
      <c r="I118" t="s">
        <v>545</v>
      </c>
      <c r="J118" t="s">
        <v>546</v>
      </c>
      <c r="K118" t="s">
        <v>547</v>
      </c>
      <c r="L118">
        <v>1354</v>
      </c>
      <c r="N118">
        <v>1010</v>
      </c>
      <c r="O118" t="s">
        <v>31</v>
      </c>
      <c r="P118" t="s">
        <v>31</v>
      </c>
      <c r="Q118">
        <v>1</v>
      </c>
      <c r="W118">
        <v>0</v>
      </c>
      <c r="X118">
        <v>145081611</v>
      </c>
      <c r="Y118">
        <f t="shared" si="60"/>
        <v>3.1</v>
      </c>
      <c r="AA118">
        <v>6.94</v>
      </c>
      <c r="AB118">
        <v>0</v>
      </c>
      <c r="AC118">
        <v>0</v>
      </c>
      <c r="AD118">
        <v>0</v>
      </c>
      <c r="AE118">
        <v>6.94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3.1</v>
      </c>
      <c r="AU118" t="s">
        <v>3</v>
      </c>
      <c r="AV118">
        <v>0</v>
      </c>
      <c r="AW118">
        <v>2</v>
      </c>
      <c r="AX118">
        <v>56960981</v>
      </c>
      <c r="AY118">
        <v>1</v>
      </c>
      <c r="AZ118">
        <v>0</v>
      </c>
      <c r="BA118">
        <v>148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ROUND(Y118*Source!I156,9)</f>
        <v>3.1</v>
      </c>
      <c r="CY118">
        <f t="shared" si="61"/>
        <v>6.94</v>
      </c>
      <c r="CZ118">
        <f t="shared" si="62"/>
        <v>6.94</v>
      </c>
      <c r="DA118">
        <f t="shared" si="63"/>
        <v>1</v>
      </c>
      <c r="DB118">
        <f t="shared" si="64"/>
        <v>21.51</v>
      </c>
      <c r="DC118">
        <f t="shared" si="65"/>
        <v>0</v>
      </c>
      <c r="DD118" t="s">
        <v>3</v>
      </c>
      <c r="DE118" t="s">
        <v>3</v>
      </c>
      <c r="DF118">
        <f t="shared" si="59"/>
        <v>21.51</v>
      </c>
      <c r="DG118">
        <f t="shared" si="57"/>
        <v>0</v>
      </c>
      <c r="DH118">
        <f t="shared" si="58"/>
        <v>0</v>
      </c>
      <c r="DI118">
        <f t="shared" si="37"/>
        <v>0</v>
      </c>
      <c r="DJ118">
        <f t="shared" si="66"/>
        <v>21.51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ROW(Source!A156)</f>
        <v>156</v>
      </c>
      <c r="B119">
        <v>56959434</v>
      </c>
      <c r="C119">
        <v>56959814</v>
      </c>
      <c r="D119">
        <v>56084051</v>
      </c>
      <c r="E119">
        <v>1</v>
      </c>
      <c r="F119">
        <v>1</v>
      </c>
      <c r="G119">
        <v>1080</v>
      </c>
      <c r="H119">
        <v>3</v>
      </c>
      <c r="I119" t="s">
        <v>548</v>
      </c>
      <c r="J119" t="s">
        <v>549</v>
      </c>
      <c r="K119" t="s">
        <v>550</v>
      </c>
      <c r="L119">
        <v>1356</v>
      </c>
      <c r="N119">
        <v>1010</v>
      </c>
      <c r="O119" t="s">
        <v>544</v>
      </c>
      <c r="P119" t="s">
        <v>544</v>
      </c>
      <c r="Q119">
        <v>1000</v>
      </c>
      <c r="W119">
        <v>0</v>
      </c>
      <c r="X119">
        <v>-1715273674</v>
      </c>
      <c r="Y119">
        <f t="shared" si="60"/>
        <v>8.0000000000000002E-3</v>
      </c>
      <c r="AA119">
        <v>614.09</v>
      </c>
      <c r="AB119">
        <v>0</v>
      </c>
      <c r="AC119">
        <v>0</v>
      </c>
      <c r="AD119">
        <v>0</v>
      </c>
      <c r="AE119">
        <v>614.09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8.0000000000000002E-3</v>
      </c>
      <c r="AU119" t="s">
        <v>3</v>
      </c>
      <c r="AV119">
        <v>0</v>
      </c>
      <c r="AW119">
        <v>2</v>
      </c>
      <c r="AX119">
        <v>56960982</v>
      </c>
      <c r="AY119">
        <v>1</v>
      </c>
      <c r="AZ119">
        <v>0</v>
      </c>
      <c r="BA119">
        <v>149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ROUND(Y119*Source!I156,9)</f>
        <v>8.0000000000000002E-3</v>
      </c>
      <c r="CY119">
        <f t="shared" si="61"/>
        <v>614.09</v>
      </c>
      <c r="CZ119">
        <f t="shared" si="62"/>
        <v>614.09</v>
      </c>
      <c r="DA119">
        <f t="shared" si="63"/>
        <v>1</v>
      </c>
      <c r="DB119">
        <f t="shared" si="64"/>
        <v>4.91</v>
      </c>
      <c r="DC119">
        <f t="shared" si="65"/>
        <v>0</v>
      </c>
      <c r="DD119" t="s">
        <v>3</v>
      </c>
      <c r="DE119" t="s">
        <v>3</v>
      </c>
      <c r="DF119">
        <f t="shared" si="59"/>
        <v>4.91</v>
      </c>
      <c r="DG119">
        <f t="shared" si="57"/>
        <v>0</v>
      </c>
      <c r="DH119">
        <f t="shared" si="58"/>
        <v>0</v>
      </c>
      <c r="DI119">
        <f t="shared" si="37"/>
        <v>0</v>
      </c>
      <c r="DJ119">
        <f t="shared" si="66"/>
        <v>4.91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ROW(Source!A156)</f>
        <v>156</v>
      </c>
      <c r="B120">
        <v>56959434</v>
      </c>
      <c r="C120">
        <v>56959814</v>
      </c>
      <c r="D120">
        <v>56089909</v>
      </c>
      <c r="E120">
        <v>1</v>
      </c>
      <c r="F120">
        <v>1</v>
      </c>
      <c r="G120">
        <v>1080</v>
      </c>
      <c r="H120">
        <v>3</v>
      </c>
      <c r="I120" t="s">
        <v>195</v>
      </c>
      <c r="J120" t="s">
        <v>197</v>
      </c>
      <c r="K120" t="s">
        <v>196</v>
      </c>
      <c r="L120">
        <v>1303</v>
      </c>
      <c r="N120">
        <v>1003</v>
      </c>
      <c r="O120" t="s">
        <v>108</v>
      </c>
      <c r="P120" t="s">
        <v>108</v>
      </c>
      <c r="Q120">
        <v>1000</v>
      </c>
      <c r="W120">
        <v>0</v>
      </c>
      <c r="X120">
        <v>-451984637</v>
      </c>
      <c r="Y120">
        <f t="shared" si="60"/>
        <v>0</v>
      </c>
      <c r="AA120">
        <v>4535.74</v>
      </c>
      <c r="AB120">
        <v>0</v>
      </c>
      <c r="AC120">
        <v>0</v>
      </c>
      <c r="AD120">
        <v>0</v>
      </c>
      <c r="AE120">
        <v>4535.74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 t="s">
        <v>3</v>
      </c>
      <c r="AT120">
        <v>0</v>
      </c>
      <c r="AU120" t="s">
        <v>3</v>
      </c>
      <c r="AV120">
        <v>0</v>
      </c>
      <c r="AW120">
        <v>1</v>
      </c>
      <c r="AX120">
        <v>-1</v>
      </c>
      <c r="AY120">
        <v>0</v>
      </c>
      <c r="AZ120">
        <v>0</v>
      </c>
      <c r="BA120" t="s">
        <v>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ROUND(Y120*Source!I156,9)</f>
        <v>0</v>
      </c>
      <c r="CY120">
        <f t="shared" si="61"/>
        <v>4535.74</v>
      </c>
      <c r="CZ120">
        <f t="shared" si="62"/>
        <v>4535.74</v>
      </c>
      <c r="DA120">
        <f t="shared" si="63"/>
        <v>1</v>
      </c>
      <c r="DB120">
        <f t="shared" si="64"/>
        <v>0</v>
      </c>
      <c r="DC120">
        <f t="shared" si="65"/>
        <v>0</v>
      </c>
      <c r="DD120" t="s">
        <v>3</v>
      </c>
      <c r="DE120" t="s">
        <v>3</v>
      </c>
      <c r="DF120">
        <f t="shared" si="59"/>
        <v>0</v>
      </c>
      <c r="DG120">
        <f t="shared" si="57"/>
        <v>0</v>
      </c>
      <c r="DH120">
        <f t="shared" si="58"/>
        <v>0</v>
      </c>
      <c r="DI120">
        <f t="shared" si="37"/>
        <v>0</v>
      </c>
      <c r="DJ120">
        <f t="shared" si="66"/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ROW(Source!A156)</f>
        <v>156</v>
      </c>
      <c r="B121">
        <v>56959434</v>
      </c>
      <c r="C121">
        <v>56959814</v>
      </c>
      <c r="D121">
        <v>0</v>
      </c>
      <c r="E121">
        <v>1080</v>
      </c>
      <c r="F121">
        <v>1</v>
      </c>
      <c r="G121">
        <v>1080</v>
      </c>
      <c r="H121">
        <v>3</v>
      </c>
      <c r="I121" t="s">
        <v>199</v>
      </c>
      <c r="J121" t="s">
        <v>3</v>
      </c>
      <c r="K121" t="s">
        <v>200</v>
      </c>
      <c r="L121">
        <v>2698</v>
      </c>
      <c r="N121">
        <v>1013</v>
      </c>
      <c r="O121" t="s">
        <v>101</v>
      </c>
      <c r="P121" t="s">
        <v>101</v>
      </c>
      <c r="Q121">
        <v>1</v>
      </c>
      <c r="W121">
        <v>0</v>
      </c>
      <c r="X121">
        <v>-1333965113</v>
      </c>
      <c r="Y121">
        <f t="shared" si="60"/>
        <v>102</v>
      </c>
      <c r="AA121">
        <v>5.08</v>
      </c>
      <c r="AB121">
        <v>0</v>
      </c>
      <c r="AC121">
        <v>0</v>
      </c>
      <c r="AD121">
        <v>0</v>
      </c>
      <c r="AE121">
        <v>5.08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 t="s">
        <v>3</v>
      </c>
      <c r="AT121">
        <v>102</v>
      </c>
      <c r="AU121" t="s">
        <v>3</v>
      </c>
      <c r="AV121">
        <v>0</v>
      </c>
      <c r="AW121">
        <v>1</v>
      </c>
      <c r="AX121">
        <v>-1</v>
      </c>
      <c r="AY121">
        <v>0</v>
      </c>
      <c r="AZ121">
        <v>0</v>
      </c>
      <c r="BA121" t="s">
        <v>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ROUND(Y121*Source!I156,9)</f>
        <v>102</v>
      </c>
      <c r="CY121">
        <f t="shared" si="61"/>
        <v>5.08</v>
      </c>
      <c r="CZ121">
        <f t="shared" si="62"/>
        <v>5.08</v>
      </c>
      <c r="DA121">
        <f t="shared" si="63"/>
        <v>1</v>
      </c>
      <c r="DB121">
        <f t="shared" si="64"/>
        <v>518.16</v>
      </c>
      <c r="DC121">
        <f t="shared" si="65"/>
        <v>0</v>
      </c>
      <c r="DD121" t="s">
        <v>3</v>
      </c>
      <c r="DE121" t="s">
        <v>3</v>
      </c>
      <c r="DF121">
        <f t="shared" si="59"/>
        <v>518.16</v>
      </c>
      <c r="DG121">
        <f t="shared" si="57"/>
        <v>0</v>
      </c>
      <c r="DH121">
        <f t="shared" si="58"/>
        <v>0</v>
      </c>
      <c r="DI121">
        <f t="shared" si="37"/>
        <v>0</v>
      </c>
      <c r="DJ121">
        <f t="shared" si="66"/>
        <v>518.16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ROW(Source!A157)</f>
        <v>157</v>
      </c>
      <c r="B122">
        <v>56959431</v>
      </c>
      <c r="C122">
        <v>56959814</v>
      </c>
      <c r="D122">
        <v>56018166</v>
      </c>
      <c r="E122">
        <v>1080</v>
      </c>
      <c r="F122">
        <v>1</v>
      </c>
      <c r="G122">
        <v>1080</v>
      </c>
      <c r="H122">
        <v>1</v>
      </c>
      <c r="I122" t="s">
        <v>500</v>
      </c>
      <c r="J122" t="s">
        <v>3</v>
      </c>
      <c r="K122" t="s">
        <v>501</v>
      </c>
      <c r="L122">
        <v>1191</v>
      </c>
      <c r="N122">
        <v>1013</v>
      </c>
      <c r="O122" t="s">
        <v>502</v>
      </c>
      <c r="P122" t="s">
        <v>502</v>
      </c>
      <c r="Q122">
        <v>1</v>
      </c>
      <c r="W122">
        <v>0</v>
      </c>
      <c r="X122">
        <v>476480486</v>
      </c>
      <c r="Y122">
        <f>(AT122*1.1)</f>
        <v>4.9390000000000009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5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4.49</v>
      </c>
      <c r="AU122" t="s">
        <v>23</v>
      </c>
      <c r="AV122">
        <v>1</v>
      </c>
      <c r="AW122">
        <v>2</v>
      </c>
      <c r="AX122">
        <v>56960974</v>
      </c>
      <c r="AY122">
        <v>1</v>
      </c>
      <c r="AZ122">
        <v>0</v>
      </c>
      <c r="BA122">
        <v>151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U122">
        <f>ROUND(AT122*Source!I157*AH122*AL122,2)</f>
        <v>0</v>
      </c>
      <c r="CV122">
        <f>ROUND(Y122*Source!I157,9)</f>
        <v>4.9390000000000001</v>
      </c>
      <c r="CW122">
        <v>0</v>
      </c>
      <c r="CX122">
        <f>ROUND(Y122*Source!I157,9)</f>
        <v>4.9390000000000001</v>
      </c>
      <c r="CY122">
        <f>AD122</f>
        <v>0</v>
      </c>
      <c r="CZ122">
        <f>AH122</f>
        <v>0</v>
      </c>
      <c r="DA122">
        <f>AL122</f>
        <v>1</v>
      </c>
      <c r="DB122">
        <f>ROUND((ROUND(AT122*CZ122,2)*1.1),6)</f>
        <v>0</v>
      </c>
      <c r="DC122">
        <f>ROUND((ROUND(AT122*AG122,2)*1.1),6)</f>
        <v>0</v>
      </c>
      <c r="DD122" t="s">
        <v>3</v>
      </c>
      <c r="DE122" t="s">
        <v>3</v>
      </c>
      <c r="DF122">
        <f t="shared" si="59"/>
        <v>0</v>
      </c>
      <c r="DG122">
        <f t="shared" si="57"/>
        <v>0</v>
      </c>
      <c r="DH122">
        <f t="shared" si="58"/>
        <v>0</v>
      </c>
      <c r="DI122">
        <f t="shared" si="37"/>
        <v>0</v>
      </c>
      <c r="DJ122">
        <f>DI122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ROW(Source!A157)</f>
        <v>157</v>
      </c>
      <c r="B123">
        <v>56959431</v>
      </c>
      <c r="C123">
        <v>56959814</v>
      </c>
      <c r="D123">
        <v>56092340</v>
      </c>
      <c r="E123">
        <v>1</v>
      </c>
      <c r="F123">
        <v>1</v>
      </c>
      <c r="G123">
        <v>1080</v>
      </c>
      <c r="H123">
        <v>2</v>
      </c>
      <c r="I123" t="s">
        <v>503</v>
      </c>
      <c r="J123" t="s">
        <v>504</v>
      </c>
      <c r="K123" t="s">
        <v>505</v>
      </c>
      <c r="L123">
        <v>1368</v>
      </c>
      <c r="N123">
        <v>1011</v>
      </c>
      <c r="O123" t="s">
        <v>506</v>
      </c>
      <c r="P123" t="s">
        <v>506</v>
      </c>
      <c r="Q123">
        <v>1</v>
      </c>
      <c r="W123">
        <v>0</v>
      </c>
      <c r="X123">
        <v>-1985943078</v>
      </c>
      <c r="Y123">
        <f>(AT123*1.1)</f>
        <v>1.1000000000000001E-2</v>
      </c>
      <c r="AA123">
        <v>0</v>
      </c>
      <c r="AB123">
        <v>1418.19</v>
      </c>
      <c r="AC123">
        <v>726.59</v>
      </c>
      <c r="AD123">
        <v>0</v>
      </c>
      <c r="AE123">
        <v>0</v>
      </c>
      <c r="AF123">
        <v>83.1</v>
      </c>
      <c r="AG123">
        <v>12.62</v>
      </c>
      <c r="AH123">
        <v>0</v>
      </c>
      <c r="AI123">
        <v>1</v>
      </c>
      <c r="AJ123">
        <v>16.3</v>
      </c>
      <c r="AK123">
        <v>54.99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0.01</v>
      </c>
      <c r="AU123" t="s">
        <v>23</v>
      </c>
      <c r="AV123">
        <v>0</v>
      </c>
      <c r="AW123">
        <v>2</v>
      </c>
      <c r="AX123">
        <v>56960975</v>
      </c>
      <c r="AY123">
        <v>1</v>
      </c>
      <c r="AZ123">
        <v>0</v>
      </c>
      <c r="BA123">
        <v>152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ROUND(Y123*Source!I157*DO123,9)</f>
        <v>0.13882</v>
      </c>
      <c r="CX123">
        <f>ROUND(Y123*Source!I157,9)</f>
        <v>1.0999999999999999E-2</v>
      </c>
      <c r="CY123">
        <f>AB123</f>
        <v>1418.19</v>
      </c>
      <c r="CZ123">
        <f>AF123</f>
        <v>83.1</v>
      </c>
      <c r="DA123">
        <f>AJ123</f>
        <v>16.3</v>
      </c>
      <c r="DB123">
        <f>ROUND((ROUND(AT123*CZ123,2)*1.1),6)</f>
        <v>0.91300000000000003</v>
      </c>
      <c r="DC123">
        <f>ROUND((ROUND(AT123*AG123,2)*1.1),6)</f>
        <v>0.14299999999999999</v>
      </c>
      <c r="DD123" t="s">
        <v>3</v>
      </c>
      <c r="DE123" t="s">
        <v>3</v>
      </c>
      <c r="DF123">
        <f t="shared" si="59"/>
        <v>0</v>
      </c>
      <c r="DG123">
        <f>ROUND(ROUND(AF123*AJ123,2)*CX123,2)</f>
        <v>14.9</v>
      </c>
      <c r="DH123">
        <f>ROUND(ROUND(AG123*AK123,2)*CX123,2)</f>
        <v>7.63</v>
      </c>
      <c r="DI123">
        <f t="shared" si="37"/>
        <v>0</v>
      </c>
      <c r="DJ123">
        <f>DG123</f>
        <v>14.9</v>
      </c>
      <c r="DK123">
        <v>0</v>
      </c>
      <c r="DL123" t="s">
        <v>507</v>
      </c>
      <c r="DM123">
        <v>0</v>
      </c>
      <c r="DN123" t="s">
        <v>502</v>
      </c>
      <c r="DO123">
        <v>12.62</v>
      </c>
    </row>
    <row r="124" spans="1:119" x14ac:dyDescent="0.2">
      <c r="A124">
        <f>ROW(Source!A157)</f>
        <v>157</v>
      </c>
      <c r="B124">
        <v>56959431</v>
      </c>
      <c r="C124">
        <v>56959814</v>
      </c>
      <c r="D124">
        <v>56091576</v>
      </c>
      <c r="E124">
        <v>1</v>
      </c>
      <c r="F124">
        <v>1</v>
      </c>
      <c r="G124">
        <v>1080</v>
      </c>
      <c r="H124">
        <v>2</v>
      </c>
      <c r="I124" t="s">
        <v>529</v>
      </c>
      <c r="J124" t="s">
        <v>530</v>
      </c>
      <c r="K124" t="s">
        <v>531</v>
      </c>
      <c r="L124">
        <v>1368</v>
      </c>
      <c r="N124">
        <v>1011</v>
      </c>
      <c r="O124" t="s">
        <v>506</v>
      </c>
      <c r="P124" t="s">
        <v>506</v>
      </c>
      <c r="Q124">
        <v>1</v>
      </c>
      <c r="W124">
        <v>0</v>
      </c>
      <c r="X124">
        <v>1087580389</v>
      </c>
      <c r="Y124">
        <f>(AT124*1.1)</f>
        <v>1.1000000000000001E-2</v>
      </c>
      <c r="AA124">
        <v>0</v>
      </c>
      <c r="AB124">
        <v>2579.38</v>
      </c>
      <c r="AC124">
        <v>974.74</v>
      </c>
      <c r="AD124">
        <v>0</v>
      </c>
      <c r="AE124">
        <v>0</v>
      </c>
      <c r="AF124">
        <v>179.17</v>
      </c>
      <c r="AG124">
        <v>16.93</v>
      </c>
      <c r="AH124">
        <v>0</v>
      </c>
      <c r="AI124">
        <v>1</v>
      </c>
      <c r="AJ124">
        <v>13.75</v>
      </c>
      <c r="AK124">
        <v>54.99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0.01</v>
      </c>
      <c r="AU124" t="s">
        <v>23</v>
      </c>
      <c r="AV124">
        <v>0</v>
      </c>
      <c r="AW124">
        <v>2</v>
      </c>
      <c r="AX124">
        <v>56960976</v>
      </c>
      <c r="AY124">
        <v>1</v>
      </c>
      <c r="AZ124">
        <v>0</v>
      </c>
      <c r="BA124">
        <v>153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ROUND(Y124*Source!I157*DO124,9)</f>
        <v>0.18623000000000001</v>
      </c>
      <c r="CX124">
        <f>ROUND(Y124*Source!I157,9)</f>
        <v>1.0999999999999999E-2</v>
      </c>
      <c r="CY124">
        <f>AB124</f>
        <v>2579.38</v>
      </c>
      <c r="CZ124">
        <f>AF124</f>
        <v>179.17</v>
      </c>
      <c r="DA124">
        <f>AJ124</f>
        <v>13.75</v>
      </c>
      <c r="DB124">
        <f>ROUND((ROUND(AT124*CZ124,2)*1.1),6)</f>
        <v>1.9690000000000001</v>
      </c>
      <c r="DC124">
        <f>ROUND((ROUND(AT124*AG124,2)*1.1),6)</f>
        <v>0.187</v>
      </c>
      <c r="DD124" t="s">
        <v>3</v>
      </c>
      <c r="DE124" t="s">
        <v>3</v>
      </c>
      <c r="DF124">
        <f t="shared" si="59"/>
        <v>0</v>
      </c>
      <c r="DG124">
        <f>ROUND(ROUND(AF124*AJ124,2)*CX124,2)</f>
        <v>27.1</v>
      </c>
      <c r="DH124">
        <f>ROUND(ROUND(AG124*AK124,2)*CX124,2)</f>
        <v>10.24</v>
      </c>
      <c r="DI124">
        <f t="shared" si="37"/>
        <v>0</v>
      </c>
      <c r="DJ124">
        <f>DG124</f>
        <v>27.1</v>
      </c>
      <c r="DK124">
        <v>0</v>
      </c>
      <c r="DL124" t="s">
        <v>507</v>
      </c>
      <c r="DM124">
        <v>0</v>
      </c>
      <c r="DN124" t="s">
        <v>502</v>
      </c>
      <c r="DO124">
        <v>16.93</v>
      </c>
    </row>
    <row r="125" spans="1:119" x14ac:dyDescent="0.2">
      <c r="A125">
        <f>ROW(Source!A157)</f>
        <v>157</v>
      </c>
      <c r="B125">
        <v>56959431</v>
      </c>
      <c r="C125">
        <v>56959814</v>
      </c>
      <c r="D125">
        <v>56061373</v>
      </c>
      <c r="E125">
        <v>1</v>
      </c>
      <c r="F125">
        <v>1</v>
      </c>
      <c r="G125">
        <v>1080</v>
      </c>
      <c r="H125">
        <v>3</v>
      </c>
      <c r="I125" t="s">
        <v>532</v>
      </c>
      <c r="J125" t="s">
        <v>533</v>
      </c>
      <c r="K125" t="s">
        <v>534</v>
      </c>
      <c r="L125">
        <v>1346</v>
      </c>
      <c r="N125">
        <v>1009</v>
      </c>
      <c r="O125" t="s">
        <v>249</v>
      </c>
      <c r="P125" t="s">
        <v>249</v>
      </c>
      <c r="Q125">
        <v>1</v>
      </c>
      <c r="W125">
        <v>0</v>
      </c>
      <c r="X125">
        <v>1770006655</v>
      </c>
      <c r="Y125">
        <f t="shared" ref="Y125:Y132" si="67">AT125</f>
        <v>0.43</v>
      </c>
      <c r="AA125">
        <v>29.73</v>
      </c>
      <c r="AB125">
        <v>0</v>
      </c>
      <c r="AC125">
        <v>0</v>
      </c>
      <c r="AD125">
        <v>0</v>
      </c>
      <c r="AE125">
        <v>1.38</v>
      </c>
      <c r="AF125">
        <v>0</v>
      </c>
      <c r="AG125">
        <v>0</v>
      </c>
      <c r="AH125">
        <v>0</v>
      </c>
      <c r="AI125">
        <v>21.54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0.43</v>
      </c>
      <c r="AU125" t="s">
        <v>3</v>
      </c>
      <c r="AV125">
        <v>0</v>
      </c>
      <c r="AW125">
        <v>2</v>
      </c>
      <c r="AX125">
        <v>56960977</v>
      </c>
      <c r="AY125">
        <v>1</v>
      </c>
      <c r="AZ125">
        <v>0</v>
      </c>
      <c r="BA125">
        <v>154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ROUND(Y125*Source!I157,9)</f>
        <v>0.43</v>
      </c>
      <c r="CY125">
        <f t="shared" ref="CY125:CY132" si="68">AA125</f>
        <v>29.73</v>
      </c>
      <c r="CZ125">
        <f t="shared" ref="CZ125:CZ132" si="69">AE125</f>
        <v>1.38</v>
      </c>
      <c r="DA125">
        <f t="shared" ref="DA125:DA132" si="70">AI125</f>
        <v>21.54</v>
      </c>
      <c r="DB125">
        <f t="shared" ref="DB125:DB132" si="71">ROUND(ROUND(AT125*CZ125,2),6)</f>
        <v>0.59</v>
      </c>
      <c r="DC125">
        <f t="shared" ref="DC125:DC132" si="72">ROUND(ROUND(AT125*AG125,2),6)</f>
        <v>0</v>
      </c>
      <c r="DD125" t="s">
        <v>3</v>
      </c>
      <c r="DE125" t="s">
        <v>3</v>
      </c>
      <c r="DF125">
        <f t="shared" ref="DF125:DF132" si="73">ROUND(ROUND(AE125*AI125,2)*CX125,2)</f>
        <v>12.78</v>
      </c>
      <c r="DG125">
        <f t="shared" ref="DG125:DG137" si="74">ROUND(ROUND(AF125,2)*CX125,2)</f>
        <v>0</v>
      </c>
      <c r="DH125">
        <f t="shared" ref="DH125:DH137" si="75">ROUND(ROUND(AG125,2)*CX125,2)</f>
        <v>0</v>
      </c>
      <c r="DI125">
        <f t="shared" si="37"/>
        <v>0</v>
      </c>
      <c r="DJ125">
        <f t="shared" ref="DJ125:DJ132" si="76">DF125</f>
        <v>12.78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ROW(Source!A157)</f>
        <v>157</v>
      </c>
      <c r="B126">
        <v>56959431</v>
      </c>
      <c r="C126">
        <v>56959814</v>
      </c>
      <c r="D126">
        <v>56061764</v>
      </c>
      <c r="E126">
        <v>1</v>
      </c>
      <c r="F126">
        <v>1</v>
      </c>
      <c r="G126">
        <v>1080</v>
      </c>
      <c r="H126">
        <v>3</v>
      </c>
      <c r="I126" t="s">
        <v>535</v>
      </c>
      <c r="J126" t="s">
        <v>536</v>
      </c>
      <c r="K126" t="s">
        <v>537</v>
      </c>
      <c r="L126">
        <v>1346</v>
      </c>
      <c r="N126">
        <v>1009</v>
      </c>
      <c r="O126" t="s">
        <v>249</v>
      </c>
      <c r="P126" t="s">
        <v>249</v>
      </c>
      <c r="Q126">
        <v>1</v>
      </c>
      <c r="W126">
        <v>0</v>
      </c>
      <c r="X126">
        <v>-878159893</v>
      </c>
      <c r="Y126">
        <f t="shared" si="67"/>
        <v>0.16</v>
      </c>
      <c r="AA126">
        <v>286.31</v>
      </c>
      <c r="AB126">
        <v>0</v>
      </c>
      <c r="AC126">
        <v>0</v>
      </c>
      <c r="AD126">
        <v>0</v>
      </c>
      <c r="AE126">
        <v>159.06</v>
      </c>
      <c r="AF126">
        <v>0</v>
      </c>
      <c r="AG126">
        <v>0</v>
      </c>
      <c r="AH126">
        <v>0</v>
      </c>
      <c r="AI126">
        <v>1.8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0.16</v>
      </c>
      <c r="AU126" t="s">
        <v>3</v>
      </c>
      <c r="AV126">
        <v>0</v>
      </c>
      <c r="AW126">
        <v>2</v>
      </c>
      <c r="AX126">
        <v>56960978</v>
      </c>
      <c r="AY126">
        <v>1</v>
      </c>
      <c r="AZ126">
        <v>0</v>
      </c>
      <c r="BA126">
        <v>155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ROUND(Y126*Source!I157,9)</f>
        <v>0.16</v>
      </c>
      <c r="CY126">
        <f t="shared" si="68"/>
        <v>286.31</v>
      </c>
      <c r="CZ126">
        <f t="shared" si="69"/>
        <v>159.06</v>
      </c>
      <c r="DA126">
        <f t="shared" si="70"/>
        <v>1.8</v>
      </c>
      <c r="DB126">
        <f t="shared" si="71"/>
        <v>25.45</v>
      </c>
      <c r="DC126">
        <f t="shared" si="72"/>
        <v>0</v>
      </c>
      <c r="DD126" t="s">
        <v>3</v>
      </c>
      <c r="DE126" t="s">
        <v>3</v>
      </c>
      <c r="DF126">
        <f t="shared" si="73"/>
        <v>45.81</v>
      </c>
      <c r="DG126">
        <f t="shared" si="74"/>
        <v>0</v>
      </c>
      <c r="DH126">
        <f t="shared" si="75"/>
        <v>0</v>
      </c>
      <c r="DI126">
        <f t="shared" si="37"/>
        <v>0</v>
      </c>
      <c r="DJ126">
        <f t="shared" si="76"/>
        <v>45.81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ROW(Source!A157)</f>
        <v>157</v>
      </c>
      <c r="B127">
        <v>56959431</v>
      </c>
      <c r="C127">
        <v>56959814</v>
      </c>
      <c r="D127">
        <v>56084707</v>
      </c>
      <c r="E127">
        <v>1</v>
      </c>
      <c r="F127">
        <v>1</v>
      </c>
      <c r="G127">
        <v>1080</v>
      </c>
      <c r="H127">
        <v>3</v>
      </c>
      <c r="I127" t="s">
        <v>538</v>
      </c>
      <c r="J127" t="s">
        <v>539</v>
      </c>
      <c r="K127" t="s">
        <v>540</v>
      </c>
      <c r="L127">
        <v>1355</v>
      </c>
      <c r="N127">
        <v>1010</v>
      </c>
      <c r="O127" t="s">
        <v>520</v>
      </c>
      <c r="P127" t="s">
        <v>520</v>
      </c>
      <c r="Q127">
        <v>100</v>
      </c>
      <c r="W127">
        <v>0</v>
      </c>
      <c r="X127">
        <v>-456781043</v>
      </c>
      <c r="Y127">
        <f t="shared" si="67"/>
        <v>0.05</v>
      </c>
      <c r="AA127">
        <v>1102.5</v>
      </c>
      <c r="AB127">
        <v>0</v>
      </c>
      <c r="AC127">
        <v>0</v>
      </c>
      <c r="AD127">
        <v>0</v>
      </c>
      <c r="AE127">
        <v>68.819999999999993</v>
      </c>
      <c r="AF127">
        <v>0</v>
      </c>
      <c r="AG127">
        <v>0</v>
      </c>
      <c r="AH127">
        <v>0</v>
      </c>
      <c r="AI127">
        <v>16.02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0.05</v>
      </c>
      <c r="AU127" t="s">
        <v>3</v>
      </c>
      <c r="AV127">
        <v>0</v>
      </c>
      <c r="AW127">
        <v>2</v>
      </c>
      <c r="AX127">
        <v>56960979</v>
      </c>
      <c r="AY127">
        <v>1</v>
      </c>
      <c r="AZ127">
        <v>0</v>
      </c>
      <c r="BA127">
        <v>156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ROUND(Y127*Source!I157,9)</f>
        <v>0.05</v>
      </c>
      <c r="CY127">
        <f t="shared" si="68"/>
        <v>1102.5</v>
      </c>
      <c r="CZ127">
        <f t="shared" si="69"/>
        <v>68.819999999999993</v>
      </c>
      <c r="DA127">
        <f t="shared" si="70"/>
        <v>16.02</v>
      </c>
      <c r="DB127">
        <f t="shared" si="71"/>
        <v>3.44</v>
      </c>
      <c r="DC127">
        <f t="shared" si="72"/>
        <v>0</v>
      </c>
      <c r="DD127" t="s">
        <v>3</v>
      </c>
      <c r="DE127" t="s">
        <v>3</v>
      </c>
      <c r="DF127">
        <f t="shared" si="73"/>
        <v>55.13</v>
      </c>
      <c r="DG127">
        <f t="shared" si="74"/>
        <v>0</v>
      </c>
      <c r="DH127">
        <f t="shared" si="75"/>
        <v>0</v>
      </c>
      <c r="DI127">
        <f t="shared" si="37"/>
        <v>0</v>
      </c>
      <c r="DJ127">
        <f t="shared" si="76"/>
        <v>55.13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ROW(Source!A157)</f>
        <v>157</v>
      </c>
      <c r="B128">
        <v>56959431</v>
      </c>
      <c r="C128">
        <v>56959814</v>
      </c>
      <c r="D128">
        <v>56084718</v>
      </c>
      <c r="E128">
        <v>1</v>
      </c>
      <c r="F128">
        <v>1</v>
      </c>
      <c r="G128">
        <v>1080</v>
      </c>
      <c r="H128">
        <v>3</v>
      </c>
      <c r="I128" t="s">
        <v>541</v>
      </c>
      <c r="J128" t="s">
        <v>542</v>
      </c>
      <c r="K128" t="s">
        <v>543</v>
      </c>
      <c r="L128">
        <v>1356</v>
      </c>
      <c r="N128">
        <v>1010</v>
      </c>
      <c r="O128" t="s">
        <v>544</v>
      </c>
      <c r="P128" t="s">
        <v>544</v>
      </c>
      <c r="Q128">
        <v>1000</v>
      </c>
      <c r="W128">
        <v>0</v>
      </c>
      <c r="X128">
        <v>1726193810</v>
      </c>
      <c r="Y128">
        <f t="shared" si="67"/>
        <v>1.2200000000000001E-2</v>
      </c>
      <c r="AA128">
        <v>1318.65</v>
      </c>
      <c r="AB128">
        <v>0</v>
      </c>
      <c r="AC128">
        <v>0</v>
      </c>
      <c r="AD128">
        <v>0</v>
      </c>
      <c r="AE128">
        <v>183.4</v>
      </c>
      <c r="AF128">
        <v>0</v>
      </c>
      <c r="AG128">
        <v>0</v>
      </c>
      <c r="AH128">
        <v>0</v>
      </c>
      <c r="AI128">
        <v>7.19</v>
      </c>
      <c r="AJ128">
        <v>1</v>
      </c>
      <c r="AK128">
        <v>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1.2200000000000001E-2</v>
      </c>
      <c r="AU128" t="s">
        <v>3</v>
      </c>
      <c r="AV128">
        <v>0</v>
      </c>
      <c r="AW128">
        <v>2</v>
      </c>
      <c r="AX128">
        <v>56960980</v>
      </c>
      <c r="AY128">
        <v>1</v>
      </c>
      <c r="AZ128">
        <v>0</v>
      </c>
      <c r="BA128">
        <v>157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ROUND(Y128*Source!I157,9)</f>
        <v>1.2200000000000001E-2</v>
      </c>
      <c r="CY128">
        <f t="shared" si="68"/>
        <v>1318.65</v>
      </c>
      <c r="CZ128">
        <f t="shared" si="69"/>
        <v>183.4</v>
      </c>
      <c r="DA128">
        <f t="shared" si="70"/>
        <v>7.19</v>
      </c>
      <c r="DB128">
        <f t="shared" si="71"/>
        <v>2.2400000000000002</v>
      </c>
      <c r="DC128">
        <f t="shared" si="72"/>
        <v>0</v>
      </c>
      <c r="DD128" t="s">
        <v>3</v>
      </c>
      <c r="DE128" t="s">
        <v>3</v>
      </c>
      <c r="DF128">
        <f t="shared" si="73"/>
        <v>16.09</v>
      </c>
      <c r="DG128">
        <f t="shared" si="74"/>
        <v>0</v>
      </c>
      <c r="DH128">
        <f t="shared" si="75"/>
        <v>0</v>
      </c>
      <c r="DI128">
        <f t="shared" si="37"/>
        <v>0</v>
      </c>
      <c r="DJ128">
        <f t="shared" si="76"/>
        <v>16.09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ROW(Source!A157)</f>
        <v>157</v>
      </c>
      <c r="B129">
        <v>56959431</v>
      </c>
      <c r="C129">
        <v>56959814</v>
      </c>
      <c r="D129">
        <v>56084044</v>
      </c>
      <c r="E129">
        <v>1</v>
      </c>
      <c r="F129">
        <v>1</v>
      </c>
      <c r="G129">
        <v>1080</v>
      </c>
      <c r="H129">
        <v>3</v>
      </c>
      <c r="I129" t="s">
        <v>545</v>
      </c>
      <c r="J129" t="s">
        <v>546</v>
      </c>
      <c r="K129" t="s">
        <v>547</v>
      </c>
      <c r="L129">
        <v>1354</v>
      </c>
      <c r="N129">
        <v>1010</v>
      </c>
      <c r="O129" t="s">
        <v>31</v>
      </c>
      <c r="P129" t="s">
        <v>31</v>
      </c>
      <c r="Q129">
        <v>1</v>
      </c>
      <c r="W129">
        <v>0</v>
      </c>
      <c r="X129">
        <v>145081611</v>
      </c>
      <c r="Y129">
        <f t="shared" si="67"/>
        <v>3.1</v>
      </c>
      <c r="AA129">
        <v>25.47</v>
      </c>
      <c r="AB129">
        <v>0</v>
      </c>
      <c r="AC129">
        <v>0</v>
      </c>
      <c r="AD129">
        <v>0</v>
      </c>
      <c r="AE129">
        <v>6.94</v>
      </c>
      <c r="AF129">
        <v>0</v>
      </c>
      <c r="AG129">
        <v>0</v>
      </c>
      <c r="AH129">
        <v>0</v>
      </c>
      <c r="AI129">
        <v>3.67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3.1</v>
      </c>
      <c r="AU129" t="s">
        <v>3</v>
      </c>
      <c r="AV129">
        <v>0</v>
      </c>
      <c r="AW129">
        <v>2</v>
      </c>
      <c r="AX129">
        <v>56960981</v>
      </c>
      <c r="AY129">
        <v>1</v>
      </c>
      <c r="AZ129">
        <v>0</v>
      </c>
      <c r="BA129">
        <v>158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ROUND(Y129*Source!I157,9)</f>
        <v>3.1</v>
      </c>
      <c r="CY129">
        <f t="shared" si="68"/>
        <v>25.47</v>
      </c>
      <c r="CZ129">
        <f t="shared" si="69"/>
        <v>6.94</v>
      </c>
      <c r="DA129">
        <f t="shared" si="70"/>
        <v>3.67</v>
      </c>
      <c r="DB129">
        <f t="shared" si="71"/>
        <v>21.51</v>
      </c>
      <c r="DC129">
        <f t="shared" si="72"/>
        <v>0</v>
      </c>
      <c r="DD129" t="s">
        <v>3</v>
      </c>
      <c r="DE129" t="s">
        <v>3</v>
      </c>
      <c r="DF129">
        <f t="shared" si="73"/>
        <v>78.959999999999994</v>
      </c>
      <c r="DG129">
        <f t="shared" si="74"/>
        <v>0</v>
      </c>
      <c r="DH129">
        <f t="shared" si="75"/>
        <v>0</v>
      </c>
      <c r="DI129">
        <f t="shared" ref="DI129:DI192" si="77">ROUND(ROUND(AH129,2)*CX129,2)</f>
        <v>0</v>
      </c>
      <c r="DJ129">
        <f t="shared" si="76"/>
        <v>78.959999999999994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ROW(Source!A157)</f>
        <v>157</v>
      </c>
      <c r="B130">
        <v>56959431</v>
      </c>
      <c r="C130">
        <v>56959814</v>
      </c>
      <c r="D130">
        <v>56084051</v>
      </c>
      <c r="E130">
        <v>1</v>
      </c>
      <c r="F130">
        <v>1</v>
      </c>
      <c r="G130">
        <v>1080</v>
      </c>
      <c r="H130">
        <v>3</v>
      </c>
      <c r="I130" t="s">
        <v>548</v>
      </c>
      <c r="J130" t="s">
        <v>549</v>
      </c>
      <c r="K130" t="s">
        <v>550</v>
      </c>
      <c r="L130">
        <v>1356</v>
      </c>
      <c r="N130">
        <v>1010</v>
      </c>
      <c r="O130" t="s">
        <v>544</v>
      </c>
      <c r="P130" t="s">
        <v>544</v>
      </c>
      <c r="Q130">
        <v>1000</v>
      </c>
      <c r="W130">
        <v>0</v>
      </c>
      <c r="X130">
        <v>-1715273674</v>
      </c>
      <c r="Y130">
        <f t="shared" si="67"/>
        <v>8.0000000000000002E-3</v>
      </c>
      <c r="AA130">
        <v>786.04</v>
      </c>
      <c r="AB130">
        <v>0</v>
      </c>
      <c r="AC130">
        <v>0</v>
      </c>
      <c r="AD130">
        <v>0</v>
      </c>
      <c r="AE130">
        <v>614.09</v>
      </c>
      <c r="AF130">
        <v>0</v>
      </c>
      <c r="AG130">
        <v>0</v>
      </c>
      <c r="AH130">
        <v>0</v>
      </c>
      <c r="AI130">
        <v>1.28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8.0000000000000002E-3</v>
      </c>
      <c r="AU130" t="s">
        <v>3</v>
      </c>
      <c r="AV130">
        <v>0</v>
      </c>
      <c r="AW130">
        <v>2</v>
      </c>
      <c r="AX130">
        <v>56960982</v>
      </c>
      <c r="AY130">
        <v>1</v>
      </c>
      <c r="AZ130">
        <v>0</v>
      </c>
      <c r="BA130">
        <v>159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ROUND(Y130*Source!I157,9)</f>
        <v>8.0000000000000002E-3</v>
      </c>
      <c r="CY130">
        <f t="shared" si="68"/>
        <v>786.04</v>
      </c>
      <c r="CZ130">
        <f t="shared" si="69"/>
        <v>614.09</v>
      </c>
      <c r="DA130">
        <f t="shared" si="70"/>
        <v>1.28</v>
      </c>
      <c r="DB130">
        <f t="shared" si="71"/>
        <v>4.91</v>
      </c>
      <c r="DC130">
        <f t="shared" si="72"/>
        <v>0</v>
      </c>
      <c r="DD130" t="s">
        <v>3</v>
      </c>
      <c r="DE130" t="s">
        <v>3</v>
      </c>
      <c r="DF130">
        <f t="shared" si="73"/>
        <v>6.29</v>
      </c>
      <c r="DG130">
        <f t="shared" si="74"/>
        <v>0</v>
      </c>
      <c r="DH130">
        <f t="shared" si="75"/>
        <v>0</v>
      </c>
      <c r="DI130">
        <f t="shared" si="77"/>
        <v>0</v>
      </c>
      <c r="DJ130">
        <f t="shared" si="76"/>
        <v>6.29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ROW(Source!A157)</f>
        <v>157</v>
      </c>
      <c r="B131">
        <v>56959431</v>
      </c>
      <c r="C131">
        <v>56959814</v>
      </c>
      <c r="D131">
        <v>56089909</v>
      </c>
      <c r="E131">
        <v>1</v>
      </c>
      <c r="F131">
        <v>1</v>
      </c>
      <c r="G131">
        <v>1080</v>
      </c>
      <c r="H131">
        <v>3</v>
      </c>
      <c r="I131" t="s">
        <v>195</v>
      </c>
      <c r="J131" t="s">
        <v>197</v>
      </c>
      <c r="K131" t="s">
        <v>196</v>
      </c>
      <c r="L131">
        <v>1303</v>
      </c>
      <c r="N131">
        <v>1003</v>
      </c>
      <c r="O131" t="s">
        <v>108</v>
      </c>
      <c r="P131" t="s">
        <v>108</v>
      </c>
      <c r="Q131">
        <v>1000</v>
      </c>
      <c r="W131">
        <v>0</v>
      </c>
      <c r="X131">
        <v>-451984637</v>
      </c>
      <c r="Y131">
        <f t="shared" si="67"/>
        <v>0</v>
      </c>
      <c r="AA131">
        <v>19050.11</v>
      </c>
      <c r="AB131">
        <v>0</v>
      </c>
      <c r="AC131">
        <v>0</v>
      </c>
      <c r="AD131">
        <v>0</v>
      </c>
      <c r="AE131">
        <v>4535.74</v>
      </c>
      <c r="AF131">
        <v>0</v>
      </c>
      <c r="AG131">
        <v>0</v>
      </c>
      <c r="AH131">
        <v>0</v>
      </c>
      <c r="AI131">
        <v>4.2</v>
      </c>
      <c r="AJ131">
        <v>1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 t="s">
        <v>3</v>
      </c>
      <c r="AT131">
        <v>0</v>
      </c>
      <c r="AU131" t="s">
        <v>3</v>
      </c>
      <c r="AV131">
        <v>0</v>
      </c>
      <c r="AW131">
        <v>1</v>
      </c>
      <c r="AX131">
        <v>-1</v>
      </c>
      <c r="AY131">
        <v>0</v>
      </c>
      <c r="AZ131">
        <v>0</v>
      </c>
      <c r="BA131" t="s">
        <v>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ROUND(Y131*Source!I157,9)</f>
        <v>0</v>
      </c>
      <c r="CY131">
        <f t="shared" si="68"/>
        <v>19050.11</v>
      </c>
      <c r="CZ131">
        <f t="shared" si="69"/>
        <v>4535.74</v>
      </c>
      <c r="DA131">
        <f t="shared" si="70"/>
        <v>4.2</v>
      </c>
      <c r="DB131">
        <f t="shared" si="71"/>
        <v>0</v>
      </c>
      <c r="DC131">
        <f t="shared" si="72"/>
        <v>0</v>
      </c>
      <c r="DD131" t="s">
        <v>3</v>
      </c>
      <c r="DE131" t="s">
        <v>3</v>
      </c>
      <c r="DF131">
        <f t="shared" si="73"/>
        <v>0</v>
      </c>
      <c r="DG131">
        <f t="shared" si="74"/>
        <v>0</v>
      </c>
      <c r="DH131">
        <f t="shared" si="75"/>
        <v>0</v>
      </c>
      <c r="DI131">
        <f t="shared" si="77"/>
        <v>0</v>
      </c>
      <c r="DJ131">
        <f t="shared" si="76"/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ROW(Source!A157)</f>
        <v>157</v>
      </c>
      <c r="B132">
        <v>56959431</v>
      </c>
      <c r="C132">
        <v>56959814</v>
      </c>
      <c r="D132">
        <v>0</v>
      </c>
      <c r="E132">
        <v>1080</v>
      </c>
      <c r="F132">
        <v>1</v>
      </c>
      <c r="G132">
        <v>1080</v>
      </c>
      <c r="H132">
        <v>3</v>
      </c>
      <c r="I132" t="s">
        <v>199</v>
      </c>
      <c r="J132" t="s">
        <v>3</v>
      </c>
      <c r="K132" t="s">
        <v>200</v>
      </c>
      <c r="L132">
        <v>2698</v>
      </c>
      <c r="N132">
        <v>1013</v>
      </c>
      <c r="O132" t="s">
        <v>101</v>
      </c>
      <c r="P132" t="s">
        <v>101</v>
      </c>
      <c r="Q132">
        <v>1</v>
      </c>
      <c r="W132">
        <v>0</v>
      </c>
      <c r="X132">
        <v>-1333965113</v>
      </c>
      <c r="Y132">
        <f t="shared" si="67"/>
        <v>102</v>
      </c>
      <c r="AA132">
        <v>50.19</v>
      </c>
      <c r="AB132">
        <v>0</v>
      </c>
      <c r="AC132">
        <v>0</v>
      </c>
      <c r="AD132">
        <v>0</v>
      </c>
      <c r="AE132">
        <v>5.08</v>
      </c>
      <c r="AF132">
        <v>0</v>
      </c>
      <c r="AG132">
        <v>0</v>
      </c>
      <c r="AH132">
        <v>0</v>
      </c>
      <c r="AI132">
        <v>9.8800000000000008</v>
      </c>
      <c r="AJ132">
        <v>1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 t="s">
        <v>3</v>
      </c>
      <c r="AT132">
        <v>102</v>
      </c>
      <c r="AU132" t="s">
        <v>3</v>
      </c>
      <c r="AV132">
        <v>0</v>
      </c>
      <c r="AW132">
        <v>1</v>
      </c>
      <c r="AX132">
        <v>-1</v>
      </c>
      <c r="AY132">
        <v>0</v>
      </c>
      <c r="AZ132">
        <v>0</v>
      </c>
      <c r="BA132" t="s">
        <v>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ROUND(Y132*Source!I157,9)</f>
        <v>102</v>
      </c>
      <c r="CY132">
        <f t="shared" si="68"/>
        <v>50.19</v>
      </c>
      <c r="CZ132">
        <f t="shared" si="69"/>
        <v>5.08</v>
      </c>
      <c r="DA132">
        <f t="shared" si="70"/>
        <v>9.8800000000000008</v>
      </c>
      <c r="DB132">
        <f t="shared" si="71"/>
        <v>518.16</v>
      </c>
      <c r="DC132">
        <f t="shared" si="72"/>
        <v>0</v>
      </c>
      <c r="DD132" t="s">
        <v>3</v>
      </c>
      <c r="DE132" t="s">
        <v>3</v>
      </c>
      <c r="DF132">
        <f t="shared" si="73"/>
        <v>5119.38</v>
      </c>
      <c r="DG132">
        <f t="shared" si="74"/>
        <v>0</v>
      </c>
      <c r="DH132">
        <f t="shared" si="75"/>
        <v>0</v>
      </c>
      <c r="DI132">
        <f t="shared" si="77"/>
        <v>0</v>
      </c>
      <c r="DJ132">
        <f t="shared" si="76"/>
        <v>5119.38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ROW(Source!A197)</f>
        <v>197</v>
      </c>
      <c r="B133">
        <v>56959434</v>
      </c>
      <c r="C133">
        <v>56959894</v>
      </c>
      <c r="D133">
        <v>56018166</v>
      </c>
      <c r="E133">
        <v>1080</v>
      </c>
      <c r="F133">
        <v>1</v>
      </c>
      <c r="G133">
        <v>1080</v>
      </c>
      <c r="H133">
        <v>1</v>
      </c>
      <c r="I133" t="s">
        <v>500</v>
      </c>
      <c r="J133" t="s">
        <v>3</v>
      </c>
      <c r="K133" t="s">
        <v>501</v>
      </c>
      <c r="L133">
        <v>1191</v>
      </c>
      <c r="N133">
        <v>1013</v>
      </c>
      <c r="O133" t="s">
        <v>502</v>
      </c>
      <c r="P133" t="s">
        <v>502</v>
      </c>
      <c r="Q133">
        <v>1</v>
      </c>
      <c r="W133">
        <v>0</v>
      </c>
      <c r="X133">
        <v>476480486</v>
      </c>
      <c r="Y133">
        <f t="shared" ref="Y133:Y141" si="78">(AT133*1.1)</f>
        <v>6.2700000000000005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5.7</v>
      </c>
      <c r="AU133" t="s">
        <v>23</v>
      </c>
      <c r="AV133">
        <v>1</v>
      </c>
      <c r="AW133">
        <v>2</v>
      </c>
      <c r="AX133">
        <v>56960984</v>
      </c>
      <c r="AY133">
        <v>1</v>
      </c>
      <c r="AZ133">
        <v>0</v>
      </c>
      <c r="BA133">
        <v>161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ROUND(AT133*Source!I197*AH133*AL133,2)</f>
        <v>0</v>
      </c>
      <c r="CV133">
        <f>ROUND(Y133*Source!I197,9)</f>
        <v>6.27</v>
      </c>
      <c r="CW133">
        <v>0</v>
      </c>
      <c r="CX133">
        <f>ROUND(Y133*Source!I197,9)</f>
        <v>6.27</v>
      </c>
      <c r="CY133">
        <f>AD133</f>
        <v>0</v>
      </c>
      <c r="CZ133">
        <f>AH133</f>
        <v>0</v>
      </c>
      <c r="DA133">
        <f>AL133</f>
        <v>1</v>
      </c>
      <c r="DB133">
        <f t="shared" ref="DB133:DB141" si="79">ROUND((ROUND(AT133*CZ133,2)*1.1),6)</f>
        <v>0</v>
      </c>
      <c r="DC133">
        <f t="shared" ref="DC133:DC141" si="80">ROUND((ROUND(AT133*AG133,2)*1.1),6)</f>
        <v>0</v>
      </c>
      <c r="DD133" t="s">
        <v>3</v>
      </c>
      <c r="DE133" t="s">
        <v>3</v>
      </c>
      <c r="DF133">
        <f t="shared" ref="DF133:DF143" si="81">ROUND(ROUND(AE133,2)*CX133,2)</f>
        <v>0</v>
      </c>
      <c r="DG133">
        <f t="shared" si="74"/>
        <v>0</v>
      </c>
      <c r="DH133">
        <f t="shared" si="75"/>
        <v>0</v>
      </c>
      <c r="DI133">
        <f t="shared" si="77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ROW(Source!A198)</f>
        <v>198</v>
      </c>
      <c r="B134">
        <v>56959431</v>
      </c>
      <c r="C134">
        <v>56959894</v>
      </c>
      <c r="D134">
        <v>56018166</v>
      </c>
      <c r="E134">
        <v>1080</v>
      </c>
      <c r="F134">
        <v>1</v>
      </c>
      <c r="G134">
        <v>1080</v>
      </c>
      <c r="H134">
        <v>1</v>
      </c>
      <c r="I134" t="s">
        <v>500</v>
      </c>
      <c r="J134" t="s">
        <v>3</v>
      </c>
      <c r="K134" t="s">
        <v>501</v>
      </c>
      <c r="L134">
        <v>1191</v>
      </c>
      <c r="N134">
        <v>1013</v>
      </c>
      <c r="O134" t="s">
        <v>502</v>
      </c>
      <c r="P134" t="s">
        <v>502</v>
      </c>
      <c r="Q134">
        <v>1</v>
      </c>
      <c r="W134">
        <v>0</v>
      </c>
      <c r="X134">
        <v>476480486</v>
      </c>
      <c r="Y134">
        <f t="shared" si="78"/>
        <v>6.2700000000000005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5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5.7</v>
      </c>
      <c r="AU134" t="s">
        <v>23</v>
      </c>
      <c r="AV134">
        <v>1</v>
      </c>
      <c r="AW134">
        <v>2</v>
      </c>
      <c r="AX134">
        <v>56960984</v>
      </c>
      <c r="AY134">
        <v>1</v>
      </c>
      <c r="AZ134">
        <v>0</v>
      </c>
      <c r="BA134">
        <v>162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U134">
        <f>ROUND(AT134*Source!I198*AH134*AL134,2)</f>
        <v>0</v>
      </c>
      <c r="CV134">
        <f>ROUND(Y134*Source!I198,9)</f>
        <v>6.27</v>
      </c>
      <c r="CW134">
        <v>0</v>
      </c>
      <c r="CX134">
        <f>ROUND(Y134*Source!I198,9)</f>
        <v>6.27</v>
      </c>
      <c r="CY134">
        <f>AD134</f>
        <v>0</v>
      </c>
      <c r="CZ134">
        <f>AH134</f>
        <v>0</v>
      </c>
      <c r="DA134">
        <f>AL134</f>
        <v>1</v>
      </c>
      <c r="DB134">
        <f t="shared" si="79"/>
        <v>0</v>
      </c>
      <c r="DC134">
        <f t="shared" si="80"/>
        <v>0</v>
      </c>
      <c r="DD134" t="s">
        <v>3</v>
      </c>
      <c r="DE134" t="s">
        <v>3</v>
      </c>
      <c r="DF134">
        <f t="shared" si="81"/>
        <v>0</v>
      </c>
      <c r="DG134">
        <f t="shared" si="74"/>
        <v>0</v>
      </c>
      <c r="DH134">
        <f t="shared" si="75"/>
        <v>0</v>
      </c>
      <c r="DI134">
        <f t="shared" si="77"/>
        <v>0</v>
      </c>
      <c r="DJ134">
        <f>DI134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ROW(Source!A201)</f>
        <v>201</v>
      </c>
      <c r="B135">
        <v>56959434</v>
      </c>
      <c r="C135">
        <v>56959898</v>
      </c>
      <c r="D135">
        <v>56018166</v>
      </c>
      <c r="E135">
        <v>1080</v>
      </c>
      <c r="F135">
        <v>1</v>
      </c>
      <c r="G135">
        <v>1080</v>
      </c>
      <c r="H135">
        <v>1</v>
      </c>
      <c r="I135" t="s">
        <v>500</v>
      </c>
      <c r="J135" t="s">
        <v>3</v>
      </c>
      <c r="K135" t="s">
        <v>501</v>
      </c>
      <c r="L135">
        <v>1191</v>
      </c>
      <c r="N135">
        <v>1013</v>
      </c>
      <c r="O135" t="s">
        <v>502</v>
      </c>
      <c r="P135" t="s">
        <v>502</v>
      </c>
      <c r="Q135">
        <v>1</v>
      </c>
      <c r="W135">
        <v>0</v>
      </c>
      <c r="X135">
        <v>476480486</v>
      </c>
      <c r="Y135">
        <f t="shared" si="78"/>
        <v>1.1330000000000002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1.03</v>
      </c>
      <c r="AU135" t="s">
        <v>23</v>
      </c>
      <c r="AV135">
        <v>1</v>
      </c>
      <c r="AW135">
        <v>2</v>
      </c>
      <c r="AX135">
        <v>56960985</v>
      </c>
      <c r="AY135">
        <v>1</v>
      </c>
      <c r="AZ135">
        <v>0</v>
      </c>
      <c r="BA135">
        <v>163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ROUND(AT135*Source!I201*AH135*AL135,2)</f>
        <v>0</v>
      </c>
      <c r="CV135">
        <f>ROUND(Y135*Source!I201,9)</f>
        <v>210.738</v>
      </c>
      <c r="CW135">
        <v>0</v>
      </c>
      <c r="CX135">
        <f>ROUND(Y135*Source!I201,9)</f>
        <v>210.738</v>
      </c>
      <c r="CY135">
        <f>AD135</f>
        <v>0</v>
      </c>
      <c r="CZ135">
        <f>AH135</f>
        <v>0</v>
      </c>
      <c r="DA135">
        <f>AL135</f>
        <v>1</v>
      </c>
      <c r="DB135">
        <f t="shared" si="79"/>
        <v>0</v>
      </c>
      <c r="DC135">
        <f t="shared" si="80"/>
        <v>0</v>
      </c>
      <c r="DD135" t="s">
        <v>3</v>
      </c>
      <c r="DE135" t="s">
        <v>3</v>
      </c>
      <c r="DF135">
        <f t="shared" si="81"/>
        <v>0</v>
      </c>
      <c r="DG135">
        <f t="shared" si="74"/>
        <v>0</v>
      </c>
      <c r="DH135">
        <f t="shared" si="75"/>
        <v>0</v>
      </c>
      <c r="DI135">
        <f t="shared" si="77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ROW(Source!A201)</f>
        <v>201</v>
      </c>
      <c r="B136">
        <v>56959434</v>
      </c>
      <c r="C136">
        <v>56959898</v>
      </c>
      <c r="D136">
        <v>56092340</v>
      </c>
      <c r="E136">
        <v>1</v>
      </c>
      <c r="F136">
        <v>1</v>
      </c>
      <c r="G136">
        <v>1080</v>
      </c>
      <c r="H136">
        <v>2</v>
      </c>
      <c r="I136" t="s">
        <v>503</v>
      </c>
      <c r="J136" t="s">
        <v>504</v>
      </c>
      <c r="K136" t="s">
        <v>505</v>
      </c>
      <c r="L136">
        <v>1368</v>
      </c>
      <c r="N136">
        <v>1011</v>
      </c>
      <c r="O136" t="s">
        <v>506</v>
      </c>
      <c r="P136" t="s">
        <v>506</v>
      </c>
      <c r="Q136">
        <v>1</v>
      </c>
      <c r="W136">
        <v>0</v>
      </c>
      <c r="X136">
        <v>-1985943078</v>
      </c>
      <c r="Y136">
        <f t="shared" si="78"/>
        <v>6.6000000000000008E-3</v>
      </c>
      <c r="AA136">
        <v>0</v>
      </c>
      <c r="AB136">
        <v>87.01</v>
      </c>
      <c r="AC136">
        <v>13.21</v>
      </c>
      <c r="AD136">
        <v>0</v>
      </c>
      <c r="AE136">
        <v>0</v>
      </c>
      <c r="AF136">
        <v>83.1</v>
      </c>
      <c r="AG136">
        <v>12.62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6.0000000000000001E-3</v>
      </c>
      <c r="AU136" t="s">
        <v>23</v>
      </c>
      <c r="AV136">
        <v>0</v>
      </c>
      <c r="AW136">
        <v>2</v>
      </c>
      <c r="AX136">
        <v>56960986</v>
      </c>
      <c r="AY136">
        <v>1</v>
      </c>
      <c r="AZ136">
        <v>0</v>
      </c>
      <c r="BA136">
        <v>164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ROUND(Y136*Source!I201*DO136,9)</f>
        <v>15.492312</v>
      </c>
      <c r="CX136">
        <f>ROUND(Y136*Source!I201,9)</f>
        <v>1.2276</v>
      </c>
      <c r="CY136">
        <f>AB136</f>
        <v>87.01</v>
      </c>
      <c r="CZ136">
        <f>AF136</f>
        <v>83.1</v>
      </c>
      <c r="DA136">
        <f>AJ136</f>
        <v>1</v>
      </c>
      <c r="DB136">
        <f t="shared" si="79"/>
        <v>0.55000000000000004</v>
      </c>
      <c r="DC136">
        <f t="shared" si="80"/>
        <v>8.7999999999999995E-2</v>
      </c>
      <c r="DD136" t="s">
        <v>3</v>
      </c>
      <c r="DE136" t="s">
        <v>3</v>
      </c>
      <c r="DF136">
        <f t="shared" si="81"/>
        <v>0</v>
      </c>
      <c r="DG136">
        <f t="shared" si="74"/>
        <v>102.01</v>
      </c>
      <c r="DH136">
        <f t="shared" si="75"/>
        <v>15.49</v>
      </c>
      <c r="DI136">
        <f t="shared" si="77"/>
        <v>0</v>
      </c>
      <c r="DJ136">
        <f>DG136</f>
        <v>102.01</v>
      </c>
      <c r="DK136">
        <v>0</v>
      </c>
      <c r="DL136" t="s">
        <v>507</v>
      </c>
      <c r="DM136">
        <v>0</v>
      </c>
      <c r="DN136" t="s">
        <v>502</v>
      </c>
      <c r="DO136">
        <v>12.62</v>
      </c>
    </row>
    <row r="137" spans="1:119" x14ac:dyDescent="0.2">
      <c r="A137">
        <f>ROW(Source!A202)</f>
        <v>202</v>
      </c>
      <c r="B137">
        <v>56959431</v>
      </c>
      <c r="C137">
        <v>56959898</v>
      </c>
      <c r="D137">
        <v>56018166</v>
      </c>
      <c r="E137">
        <v>1080</v>
      </c>
      <c r="F137">
        <v>1</v>
      </c>
      <c r="G137">
        <v>1080</v>
      </c>
      <c r="H137">
        <v>1</v>
      </c>
      <c r="I137" t="s">
        <v>500</v>
      </c>
      <c r="J137" t="s">
        <v>3</v>
      </c>
      <c r="K137" t="s">
        <v>501</v>
      </c>
      <c r="L137">
        <v>1191</v>
      </c>
      <c r="N137">
        <v>1013</v>
      </c>
      <c r="O137" t="s">
        <v>502</v>
      </c>
      <c r="P137" t="s">
        <v>502</v>
      </c>
      <c r="Q137">
        <v>1</v>
      </c>
      <c r="W137">
        <v>0</v>
      </c>
      <c r="X137">
        <v>476480486</v>
      </c>
      <c r="Y137">
        <f t="shared" si="78"/>
        <v>1.1330000000000002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5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1.03</v>
      </c>
      <c r="AU137" t="s">
        <v>23</v>
      </c>
      <c r="AV137">
        <v>1</v>
      </c>
      <c r="AW137">
        <v>2</v>
      </c>
      <c r="AX137">
        <v>56960985</v>
      </c>
      <c r="AY137">
        <v>1</v>
      </c>
      <c r="AZ137">
        <v>0</v>
      </c>
      <c r="BA137">
        <v>166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U137">
        <f>ROUND(AT137*Source!I202*AH137*AL137,2)</f>
        <v>0</v>
      </c>
      <c r="CV137">
        <f>ROUND(Y137*Source!I202,9)</f>
        <v>210.738</v>
      </c>
      <c r="CW137">
        <v>0</v>
      </c>
      <c r="CX137">
        <f>ROUND(Y137*Source!I202,9)</f>
        <v>210.738</v>
      </c>
      <c r="CY137">
        <f>AD137</f>
        <v>0</v>
      </c>
      <c r="CZ137">
        <f>AH137</f>
        <v>0</v>
      </c>
      <c r="DA137">
        <f>AL137</f>
        <v>1</v>
      </c>
      <c r="DB137">
        <f t="shared" si="79"/>
        <v>0</v>
      </c>
      <c r="DC137">
        <f t="shared" si="80"/>
        <v>0</v>
      </c>
      <c r="DD137" t="s">
        <v>3</v>
      </c>
      <c r="DE137" t="s">
        <v>3</v>
      </c>
      <c r="DF137">
        <f t="shared" si="81"/>
        <v>0</v>
      </c>
      <c r="DG137">
        <f t="shared" si="74"/>
        <v>0</v>
      </c>
      <c r="DH137">
        <f t="shared" si="75"/>
        <v>0</v>
      </c>
      <c r="DI137">
        <f t="shared" si="77"/>
        <v>0</v>
      </c>
      <c r="DJ137">
        <f>DI137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ROW(Source!A202)</f>
        <v>202</v>
      </c>
      <c r="B138">
        <v>56959431</v>
      </c>
      <c r="C138">
        <v>56959898</v>
      </c>
      <c r="D138">
        <v>56092340</v>
      </c>
      <c r="E138">
        <v>1</v>
      </c>
      <c r="F138">
        <v>1</v>
      </c>
      <c r="G138">
        <v>1080</v>
      </c>
      <c r="H138">
        <v>2</v>
      </c>
      <c r="I138" t="s">
        <v>503</v>
      </c>
      <c r="J138" t="s">
        <v>504</v>
      </c>
      <c r="K138" t="s">
        <v>505</v>
      </c>
      <c r="L138">
        <v>1368</v>
      </c>
      <c r="N138">
        <v>1011</v>
      </c>
      <c r="O138" t="s">
        <v>506</v>
      </c>
      <c r="P138" t="s">
        <v>506</v>
      </c>
      <c r="Q138">
        <v>1</v>
      </c>
      <c r="W138">
        <v>0</v>
      </c>
      <c r="X138">
        <v>-1985943078</v>
      </c>
      <c r="Y138">
        <f t="shared" si="78"/>
        <v>6.6000000000000008E-3</v>
      </c>
      <c r="AA138">
        <v>0</v>
      </c>
      <c r="AB138">
        <v>1418.19</v>
      </c>
      <c r="AC138">
        <v>726.59</v>
      </c>
      <c r="AD138">
        <v>0</v>
      </c>
      <c r="AE138">
        <v>0</v>
      </c>
      <c r="AF138">
        <v>83.1</v>
      </c>
      <c r="AG138">
        <v>12.62</v>
      </c>
      <c r="AH138">
        <v>0</v>
      </c>
      <c r="AI138">
        <v>1</v>
      </c>
      <c r="AJ138">
        <v>16.3</v>
      </c>
      <c r="AK138">
        <v>54.99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6.0000000000000001E-3</v>
      </c>
      <c r="AU138" t="s">
        <v>23</v>
      </c>
      <c r="AV138">
        <v>0</v>
      </c>
      <c r="AW138">
        <v>2</v>
      </c>
      <c r="AX138">
        <v>56960986</v>
      </c>
      <c r="AY138">
        <v>1</v>
      </c>
      <c r="AZ138">
        <v>0</v>
      </c>
      <c r="BA138">
        <v>167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f>ROUND(Y138*Source!I202*DO138,9)</f>
        <v>15.492312</v>
      </c>
      <c r="CX138">
        <f>ROUND(Y138*Source!I202,9)</f>
        <v>1.2276</v>
      </c>
      <c r="CY138">
        <f>AB138</f>
        <v>1418.19</v>
      </c>
      <c r="CZ138">
        <f>AF138</f>
        <v>83.1</v>
      </c>
      <c r="DA138">
        <f>AJ138</f>
        <v>16.3</v>
      </c>
      <c r="DB138">
        <f t="shared" si="79"/>
        <v>0.55000000000000004</v>
      </c>
      <c r="DC138">
        <f t="shared" si="80"/>
        <v>8.7999999999999995E-2</v>
      </c>
      <c r="DD138" t="s">
        <v>3</v>
      </c>
      <c r="DE138" t="s">
        <v>3</v>
      </c>
      <c r="DF138">
        <f t="shared" si="81"/>
        <v>0</v>
      </c>
      <c r="DG138">
        <f>ROUND(ROUND(AF138*AJ138,2)*CX138,2)</f>
        <v>1662.82</v>
      </c>
      <c r="DH138">
        <f>ROUND(ROUND(AG138*AK138,2)*CX138,2)</f>
        <v>851.92</v>
      </c>
      <c r="DI138">
        <f t="shared" si="77"/>
        <v>0</v>
      </c>
      <c r="DJ138">
        <f>DG138</f>
        <v>1662.82</v>
      </c>
      <c r="DK138">
        <v>0</v>
      </c>
      <c r="DL138" t="s">
        <v>507</v>
      </c>
      <c r="DM138">
        <v>0</v>
      </c>
      <c r="DN138" t="s">
        <v>502</v>
      </c>
      <c r="DO138">
        <v>12.62</v>
      </c>
    </row>
    <row r="139" spans="1:119" x14ac:dyDescent="0.2">
      <c r="A139">
        <f>ROW(Source!A205)</f>
        <v>205</v>
      </c>
      <c r="B139">
        <v>56959434</v>
      </c>
      <c r="C139">
        <v>56959905</v>
      </c>
      <c r="D139">
        <v>56018166</v>
      </c>
      <c r="E139">
        <v>1080</v>
      </c>
      <c r="F139">
        <v>1</v>
      </c>
      <c r="G139">
        <v>1080</v>
      </c>
      <c r="H139">
        <v>1</v>
      </c>
      <c r="I139" t="s">
        <v>500</v>
      </c>
      <c r="J139" t="s">
        <v>3</v>
      </c>
      <c r="K139" t="s">
        <v>501</v>
      </c>
      <c r="L139">
        <v>1191</v>
      </c>
      <c r="N139">
        <v>1013</v>
      </c>
      <c r="O139" t="s">
        <v>502</v>
      </c>
      <c r="P139" t="s">
        <v>502</v>
      </c>
      <c r="Q139">
        <v>1</v>
      </c>
      <c r="W139">
        <v>0</v>
      </c>
      <c r="X139">
        <v>476480486</v>
      </c>
      <c r="Y139">
        <f t="shared" si="78"/>
        <v>1.32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1.2</v>
      </c>
      <c r="AU139" t="s">
        <v>23</v>
      </c>
      <c r="AV139">
        <v>1</v>
      </c>
      <c r="AW139">
        <v>2</v>
      </c>
      <c r="AX139">
        <v>56960988</v>
      </c>
      <c r="AY139">
        <v>1</v>
      </c>
      <c r="AZ139">
        <v>0</v>
      </c>
      <c r="BA139">
        <v>169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ROUND(AT139*Source!I205*AH139*AL139,2)</f>
        <v>0</v>
      </c>
      <c r="CV139">
        <f>ROUND(Y139*Source!I205,9)</f>
        <v>22.44</v>
      </c>
      <c r="CW139">
        <v>0</v>
      </c>
      <c r="CX139">
        <f>ROUND(Y139*Source!I205,9)</f>
        <v>22.44</v>
      </c>
      <c r="CY139">
        <f>AD139</f>
        <v>0</v>
      </c>
      <c r="CZ139">
        <f>AH139</f>
        <v>0</v>
      </c>
      <c r="DA139">
        <f>AL139</f>
        <v>1</v>
      </c>
      <c r="DB139">
        <f t="shared" si="79"/>
        <v>0</v>
      </c>
      <c r="DC139">
        <f t="shared" si="80"/>
        <v>0</v>
      </c>
      <c r="DD139" t="s">
        <v>3</v>
      </c>
      <c r="DE139" t="s">
        <v>3</v>
      </c>
      <c r="DF139">
        <f t="shared" si="81"/>
        <v>0</v>
      </c>
      <c r="DG139">
        <f t="shared" ref="DG139:DG159" si="82">ROUND(ROUND(AF139,2)*CX139,2)</f>
        <v>0</v>
      </c>
      <c r="DH139">
        <f t="shared" ref="DH139:DH159" si="83">ROUND(ROUND(AG139,2)*CX139,2)</f>
        <v>0</v>
      </c>
      <c r="DI139">
        <f t="shared" si="77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ROW(Source!A206)</f>
        <v>206</v>
      </c>
      <c r="B140">
        <v>56959431</v>
      </c>
      <c r="C140">
        <v>56959905</v>
      </c>
      <c r="D140">
        <v>56018166</v>
      </c>
      <c r="E140">
        <v>1080</v>
      </c>
      <c r="F140">
        <v>1</v>
      </c>
      <c r="G140">
        <v>1080</v>
      </c>
      <c r="H140">
        <v>1</v>
      </c>
      <c r="I140" t="s">
        <v>500</v>
      </c>
      <c r="J140" t="s">
        <v>3</v>
      </c>
      <c r="K140" t="s">
        <v>501</v>
      </c>
      <c r="L140">
        <v>1191</v>
      </c>
      <c r="N140">
        <v>1013</v>
      </c>
      <c r="O140" t="s">
        <v>502</v>
      </c>
      <c r="P140" t="s">
        <v>502</v>
      </c>
      <c r="Q140">
        <v>1</v>
      </c>
      <c r="W140">
        <v>0</v>
      </c>
      <c r="X140">
        <v>476480486</v>
      </c>
      <c r="Y140">
        <f t="shared" si="78"/>
        <v>1.32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5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1.2</v>
      </c>
      <c r="AU140" t="s">
        <v>23</v>
      </c>
      <c r="AV140">
        <v>1</v>
      </c>
      <c r="AW140">
        <v>2</v>
      </c>
      <c r="AX140">
        <v>56960988</v>
      </c>
      <c r="AY140">
        <v>1</v>
      </c>
      <c r="AZ140">
        <v>0</v>
      </c>
      <c r="BA140">
        <v>170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U140">
        <f>ROUND(AT140*Source!I206*AH140*AL140,2)</f>
        <v>0</v>
      </c>
      <c r="CV140">
        <f>ROUND(Y140*Source!I206,9)</f>
        <v>22.44</v>
      </c>
      <c r="CW140">
        <v>0</v>
      </c>
      <c r="CX140">
        <f>ROUND(Y140*Source!I206,9)</f>
        <v>22.44</v>
      </c>
      <c r="CY140">
        <f>AD140</f>
        <v>0</v>
      </c>
      <c r="CZ140">
        <f>AH140</f>
        <v>0</v>
      </c>
      <c r="DA140">
        <f>AL140</f>
        <v>1</v>
      </c>
      <c r="DB140">
        <f t="shared" si="79"/>
        <v>0</v>
      </c>
      <c r="DC140">
        <f t="shared" si="80"/>
        <v>0</v>
      </c>
      <c r="DD140" t="s">
        <v>3</v>
      </c>
      <c r="DE140" t="s">
        <v>3</v>
      </c>
      <c r="DF140">
        <f t="shared" si="81"/>
        <v>0</v>
      </c>
      <c r="DG140">
        <f t="shared" si="82"/>
        <v>0</v>
      </c>
      <c r="DH140">
        <f t="shared" si="83"/>
        <v>0</v>
      </c>
      <c r="DI140">
        <f t="shared" si="77"/>
        <v>0</v>
      </c>
      <c r="DJ140">
        <f>DI140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ROW(Source!A211)</f>
        <v>211</v>
      </c>
      <c r="B141">
        <v>56959434</v>
      </c>
      <c r="C141">
        <v>56959910</v>
      </c>
      <c r="D141">
        <v>56018166</v>
      </c>
      <c r="E141">
        <v>1080</v>
      </c>
      <c r="F141">
        <v>1</v>
      </c>
      <c r="G141">
        <v>1080</v>
      </c>
      <c r="H141">
        <v>1</v>
      </c>
      <c r="I141" t="s">
        <v>500</v>
      </c>
      <c r="J141" t="s">
        <v>3</v>
      </c>
      <c r="K141" t="s">
        <v>501</v>
      </c>
      <c r="L141">
        <v>1191</v>
      </c>
      <c r="N141">
        <v>1013</v>
      </c>
      <c r="O141" t="s">
        <v>502</v>
      </c>
      <c r="P141" t="s">
        <v>502</v>
      </c>
      <c r="Q141">
        <v>1</v>
      </c>
      <c r="W141">
        <v>0</v>
      </c>
      <c r="X141">
        <v>476480486</v>
      </c>
      <c r="Y141">
        <f t="shared" si="78"/>
        <v>1.1000000000000001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</v>
      </c>
      <c r="AU141" t="s">
        <v>23</v>
      </c>
      <c r="AV141">
        <v>1</v>
      </c>
      <c r="AW141">
        <v>2</v>
      </c>
      <c r="AX141">
        <v>56960989</v>
      </c>
      <c r="AY141">
        <v>1</v>
      </c>
      <c r="AZ141">
        <v>0</v>
      </c>
      <c r="BA141">
        <v>171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U141">
        <f>ROUND(AT141*Source!I211*AH141*AL141,2)</f>
        <v>0</v>
      </c>
      <c r="CV141">
        <f>ROUND(Y141*Source!I211,9)</f>
        <v>204.6</v>
      </c>
      <c r="CW141">
        <v>0</v>
      </c>
      <c r="CX141">
        <f>ROUND(Y141*Source!I211,9)</f>
        <v>204.6</v>
      </c>
      <c r="CY141">
        <f>AD141</f>
        <v>0</v>
      </c>
      <c r="CZ141">
        <f>AH141</f>
        <v>0</v>
      </c>
      <c r="DA141">
        <f>AL141</f>
        <v>1</v>
      </c>
      <c r="DB141">
        <f t="shared" si="79"/>
        <v>0</v>
      </c>
      <c r="DC141">
        <f t="shared" si="80"/>
        <v>0</v>
      </c>
      <c r="DD141" t="s">
        <v>3</v>
      </c>
      <c r="DE141" t="s">
        <v>3</v>
      </c>
      <c r="DF141">
        <f t="shared" si="81"/>
        <v>0</v>
      </c>
      <c r="DG141">
        <f t="shared" si="82"/>
        <v>0</v>
      </c>
      <c r="DH141">
        <f t="shared" si="83"/>
        <v>0</v>
      </c>
      <c r="DI141">
        <f t="shared" si="77"/>
        <v>0</v>
      </c>
      <c r="DJ141">
        <f>DI141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ROW(Source!A211)</f>
        <v>211</v>
      </c>
      <c r="B142">
        <v>56959434</v>
      </c>
      <c r="C142">
        <v>56959910</v>
      </c>
      <c r="D142">
        <v>56023168</v>
      </c>
      <c r="E142">
        <v>1080</v>
      </c>
      <c r="F142">
        <v>1</v>
      </c>
      <c r="G142">
        <v>1080</v>
      </c>
      <c r="H142">
        <v>3</v>
      </c>
      <c r="I142" t="s">
        <v>521</v>
      </c>
      <c r="J142" t="s">
        <v>3</v>
      </c>
      <c r="K142" t="s">
        <v>522</v>
      </c>
      <c r="L142">
        <v>1348</v>
      </c>
      <c r="N142">
        <v>1009</v>
      </c>
      <c r="O142" t="s">
        <v>291</v>
      </c>
      <c r="P142" t="s">
        <v>291</v>
      </c>
      <c r="Q142">
        <v>1000</v>
      </c>
      <c r="W142">
        <v>0</v>
      </c>
      <c r="X142">
        <v>-783086922</v>
      </c>
      <c r="Y142">
        <f>AT142</f>
        <v>1.6000000000000001E-4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1.6000000000000001E-4</v>
      </c>
      <c r="AU142" t="s">
        <v>3</v>
      </c>
      <c r="AV142">
        <v>0</v>
      </c>
      <c r="AW142">
        <v>2</v>
      </c>
      <c r="AX142">
        <v>56960991</v>
      </c>
      <c r="AY142">
        <v>1</v>
      </c>
      <c r="AZ142">
        <v>0</v>
      </c>
      <c r="BA142">
        <v>173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ROUND(Y142*Source!I211,9)</f>
        <v>2.9760000000000002E-2</v>
      </c>
      <c r="CY142">
        <f>AA142</f>
        <v>0</v>
      </c>
      <c r="CZ142">
        <f>AE142</f>
        <v>0</v>
      </c>
      <c r="DA142">
        <f>AI142</f>
        <v>1</v>
      </c>
      <c r="DB142">
        <f>ROUND(ROUND(AT142*CZ142,2),6)</f>
        <v>0</v>
      </c>
      <c r="DC142">
        <f>ROUND(ROUND(AT142*AG142,2),6)</f>
        <v>0</v>
      </c>
      <c r="DD142" t="s">
        <v>3</v>
      </c>
      <c r="DE142" t="s">
        <v>3</v>
      </c>
      <c r="DF142">
        <f t="shared" si="81"/>
        <v>0</v>
      </c>
      <c r="DG142">
        <f t="shared" si="82"/>
        <v>0</v>
      </c>
      <c r="DH142">
        <f t="shared" si="83"/>
        <v>0</v>
      </c>
      <c r="DI142">
        <f t="shared" si="77"/>
        <v>0</v>
      </c>
      <c r="DJ142">
        <f>DF142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ROW(Source!A212)</f>
        <v>212</v>
      </c>
      <c r="B143">
        <v>56959431</v>
      </c>
      <c r="C143">
        <v>56959910</v>
      </c>
      <c r="D143">
        <v>56018166</v>
      </c>
      <c r="E143">
        <v>1080</v>
      </c>
      <c r="F143">
        <v>1</v>
      </c>
      <c r="G143">
        <v>1080</v>
      </c>
      <c r="H143">
        <v>1</v>
      </c>
      <c r="I143" t="s">
        <v>500</v>
      </c>
      <c r="J143" t="s">
        <v>3</v>
      </c>
      <c r="K143" t="s">
        <v>501</v>
      </c>
      <c r="L143">
        <v>1191</v>
      </c>
      <c r="N143">
        <v>1013</v>
      </c>
      <c r="O143" t="s">
        <v>502</v>
      </c>
      <c r="P143" t="s">
        <v>502</v>
      </c>
      <c r="Q143">
        <v>1</v>
      </c>
      <c r="W143">
        <v>0</v>
      </c>
      <c r="X143">
        <v>476480486</v>
      </c>
      <c r="Y143">
        <f>(AT143*1.1)</f>
        <v>1.1000000000000001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5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1</v>
      </c>
      <c r="AU143" t="s">
        <v>23</v>
      </c>
      <c r="AV143">
        <v>1</v>
      </c>
      <c r="AW143">
        <v>2</v>
      </c>
      <c r="AX143">
        <v>56960989</v>
      </c>
      <c r="AY143">
        <v>1</v>
      </c>
      <c r="AZ143">
        <v>0</v>
      </c>
      <c r="BA143">
        <v>174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ROUND(AT143*Source!I212*AH143*AL143,2)</f>
        <v>0</v>
      </c>
      <c r="CV143">
        <f>ROUND(Y143*Source!I212,9)</f>
        <v>204.6</v>
      </c>
      <c r="CW143">
        <v>0</v>
      </c>
      <c r="CX143">
        <f>ROUND(Y143*Source!I212,9)</f>
        <v>204.6</v>
      </c>
      <c r="CY143">
        <f>AD143</f>
        <v>0</v>
      </c>
      <c r="CZ143">
        <f>AH143</f>
        <v>0</v>
      </c>
      <c r="DA143">
        <f>AL143</f>
        <v>1</v>
      </c>
      <c r="DB143">
        <f>ROUND((ROUND(AT143*CZ143,2)*1.1),6)</f>
        <v>0</v>
      </c>
      <c r="DC143">
        <f>ROUND((ROUND(AT143*AG143,2)*1.1),6)</f>
        <v>0</v>
      </c>
      <c r="DD143" t="s">
        <v>3</v>
      </c>
      <c r="DE143" t="s">
        <v>3</v>
      </c>
      <c r="DF143">
        <f t="shared" si="81"/>
        <v>0</v>
      </c>
      <c r="DG143">
        <f t="shared" si="82"/>
        <v>0</v>
      </c>
      <c r="DH143">
        <f t="shared" si="83"/>
        <v>0</v>
      </c>
      <c r="DI143">
        <f t="shared" si="77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ROW(Source!A212)</f>
        <v>212</v>
      </c>
      <c r="B144">
        <v>56959431</v>
      </c>
      <c r="C144">
        <v>56959910</v>
      </c>
      <c r="D144">
        <v>56023168</v>
      </c>
      <c r="E144">
        <v>1080</v>
      </c>
      <c r="F144">
        <v>1</v>
      </c>
      <c r="G144">
        <v>1080</v>
      </c>
      <c r="H144">
        <v>3</v>
      </c>
      <c r="I144" t="s">
        <v>521</v>
      </c>
      <c r="J144" t="s">
        <v>3</v>
      </c>
      <c r="K144" t="s">
        <v>522</v>
      </c>
      <c r="L144">
        <v>1348</v>
      </c>
      <c r="N144">
        <v>1009</v>
      </c>
      <c r="O144" t="s">
        <v>291</v>
      </c>
      <c r="P144" t="s">
        <v>291</v>
      </c>
      <c r="Q144">
        <v>1000</v>
      </c>
      <c r="W144">
        <v>0</v>
      </c>
      <c r="X144">
        <v>-783086922</v>
      </c>
      <c r="Y144">
        <f>AT144</f>
        <v>1.6000000000000001E-4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9.8800000000000008</v>
      </c>
      <c r="AJ144">
        <v>1</v>
      </c>
      <c r="AK144">
        <v>1</v>
      </c>
      <c r="AL144">
        <v>1</v>
      </c>
      <c r="AM144">
        <v>5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1.6000000000000001E-4</v>
      </c>
      <c r="AU144" t="s">
        <v>3</v>
      </c>
      <c r="AV144">
        <v>0</v>
      </c>
      <c r="AW144">
        <v>2</v>
      </c>
      <c r="AX144">
        <v>56960991</v>
      </c>
      <c r="AY144">
        <v>1</v>
      </c>
      <c r="AZ144">
        <v>0</v>
      </c>
      <c r="BA144">
        <v>176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ROUND(Y144*Source!I212,9)</f>
        <v>2.9760000000000002E-2</v>
      </c>
      <c r="CY144">
        <f>AA144</f>
        <v>0</v>
      </c>
      <c r="CZ144">
        <f>AE144</f>
        <v>0</v>
      </c>
      <c r="DA144">
        <f>AI144</f>
        <v>9.8800000000000008</v>
      </c>
      <c r="DB144">
        <f>ROUND(ROUND(AT144*CZ144,2),6)</f>
        <v>0</v>
      </c>
      <c r="DC144">
        <f>ROUND(ROUND(AT144*AG144,2),6)</f>
        <v>0</v>
      </c>
      <c r="DD144" t="s">
        <v>3</v>
      </c>
      <c r="DE144" t="s">
        <v>3</v>
      </c>
      <c r="DF144">
        <f>ROUND(ROUND(AE144*AI144,2)*CX144,2)</f>
        <v>0</v>
      </c>
      <c r="DG144">
        <f t="shared" si="82"/>
        <v>0</v>
      </c>
      <c r="DH144">
        <f t="shared" si="83"/>
        <v>0</v>
      </c>
      <c r="DI144">
        <f t="shared" si="77"/>
        <v>0</v>
      </c>
      <c r="DJ144">
        <f>DF144</f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ROW(Source!A215)</f>
        <v>215</v>
      </c>
      <c r="B145">
        <v>56959434</v>
      </c>
      <c r="C145">
        <v>56959917</v>
      </c>
      <c r="D145">
        <v>56018166</v>
      </c>
      <c r="E145">
        <v>1080</v>
      </c>
      <c r="F145">
        <v>1</v>
      </c>
      <c r="G145">
        <v>1080</v>
      </c>
      <c r="H145">
        <v>1</v>
      </c>
      <c r="I145" t="s">
        <v>500</v>
      </c>
      <c r="J145" t="s">
        <v>3</v>
      </c>
      <c r="K145" t="s">
        <v>501</v>
      </c>
      <c r="L145">
        <v>1191</v>
      </c>
      <c r="N145">
        <v>1013</v>
      </c>
      <c r="O145" t="s">
        <v>502</v>
      </c>
      <c r="P145" t="s">
        <v>502</v>
      </c>
      <c r="Q145">
        <v>1</v>
      </c>
      <c r="W145">
        <v>0</v>
      </c>
      <c r="X145">
        <v>476480486</v>
      </c>
      <c r="Y145">
        <f>(AT145*1.1)</f>
        <v>3.4980000000000007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3.18</v>
      </c>
      <c r="AU145" t="s">
        <v>23</v>
      </c>
      <c r="AV145">
        <v>1</v>
      </c>
      <c r="AW145">
        <v>2</v>
      </c>
      <c r="AX145">
        <v>56960992</v>
      </c>
      <c r="AY145">
        <v>1</v>
      </c>
      <c r="AZ145">
        <v>0</v>
      </c>
      <c r="BA145">
        <v>177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ROUND(AT145*Source!I215*AH145*AL145,2)</f>
        <v>0</v>
      </c>
      <c r="CV145">
        <f>ROUND(Y145*Source!I215,9)</f>
        <v>10.494</v>
      </c>
      <c r="CW145">
        <v>0</v>
      </c>
      <c r="CX145">
        <f>ROUND(Y145*Source!I215,9)</f>
        <v>10.494</v>
      </c>
      <c r="CY145">
        <f>AD145</f>
        <v>0</v>
      </c>
      <c r="CZ145">
        <f>AH145</f>
        <v>0</v>
      </c>
      <c r="DA145">
        <f>AL145</f>
        <v>1</v>
      </c>
      <c r="DB145">
        <f>ROUND((ROUND(AT145*CZ145,2)*1.1),6)</f>
        <v>0</v>
      </c>
      <c r="DC145">
        <f>ROUND((ROUND(AT145*AG145,2)*1.1),6)</f>
        <v>0</v>
      </c>
      <c r="DD145" t="s">
        <v>3</v>
      </c>
      <c r="DE145" t="s">
        <v>3</v>
      </c>
      <c r="DF145">
        <f>ROUND(ROUND(AE145,2)*CX145,2)</f>
        <v>0</v>
      </c>
      <c r="DG145">
        <f t="shared" si="82"/>
        <v>0</v>
      </c>
      <c r="DH145">
        <f t="shared" si="83"/>
        <v>0</v>
      </c>
      <c r="DI145">
        <f t="shared" si="77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ROW(Source!A215)</f>
        <v>215</v>
      </c>
      <c r="B146">
        <v>56959434</v>
      </c>
      <c r="C146">
        <v>56959917</v>
      </c>
      <c r="D146">
        <v>56062414</v>
      </c>
      <c r="E146">
        <v>1</v>
      </c>
      <c r="F146">
        <v>1</v>
      </c>
      <c r="G146">
        <v>1080</v>
      </c>
      <c r="H146">
        <v>3</v>
      </c>
      <c r="I146" t="s">
        <v>563</v>
      </c>
      <c r="J146" t="s">
        <v>564</v>
      </c>
      <c r="K146" t="s">
        <v>565</v>
      </c>
      <c r="L146">
        <v>1346</v>
      </c>
      <c r="N146">
        <v>1009</v>
      </c>
      <c r="O146" t="s">
        <v>249</v>
      </c>
      <c r="P146" t="s">
        <v>249</v>
      </c>
      <c r="Q146">
        <v>1</v>
      </c>
      <c r="W146">
        <v>0</v>
      </c>
      <c r="X146">
        <v>1225168167</v>
      </c>
      <c r="Y146">
        <f>AT146</f>
        <v>6.2700000000000004E-3</v>
      </c>
      <c r="AA146">
        <v>27.62</v>
      </c>
      <c r="AB146">
        <v>0</v>
      </c>
      <c r="AC146">
        <v>0</v>
      </c>
      <c r="AD146">
        <v>0</v>
      </c>
      <c r="AE146">
        <v>27.62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6.2700000000000004E-3</v>
      </c>
      <c r="AU146" t="s">
        <v>3</v>
      </c>
      <c r="AV146">
        <v>0</v>
      </c>
      <c r="AW146">
        <v>2</v>
      </c>
      <c r="AX146">
        <v>56960993</v>
      </c>
      <c r="AY146">
        <v>1</v>
      </c>
      <c r="AZ146">
        <v>0</v>
      </c>
      <c r="BA146">
        <v>178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ROUND(Y146*Source!I215,9)</f>
        <v>1.881E-2</v>
      </c>
      <c r="CY146">
        <f>AA146</f>
        <v>27.62</v>
      </c>
      <c r="CZ146">
        <f>AE146</f>
        <v>27.62</v>
      </c>
      <c r="DA146">
        <f>AI146</f>
        <v>1</v>
      </c>
      <c r="DB146">
        <f>ROUND(ROUND(AT146*CZ146,2),6)</f>
        <v>0.17</v>
      </c>
      <c r="DC146">
        <f>ROUND(ROUND(AT146*AG146,2),6)</f>
        <v>0</v>
      </c>
      <c r="DD146" t="s">
        <v>3</v>
      </c>
      <c r="DE146" t="s">
        <v>3</v>
      </c>
      <c r="DF146">
        <f>ROUND(ROUND(AE146,2)*CX146,2)</f>
        <v>0.52</v>
      </c>
      <c r="DG146">
        <f t="shared" si="82"/>
        <v>0</v>
      </c>
      <c r="DH146">
        <f t="shared" si="83"/>
        <v>0</v>
      </c>
      <c r="DI146">
        <f t="shared" si="77"/>
        <v>0</v>
      </c>
      <c r="DJ146">
        <f>DF146</f>
        <v>0.52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ROW(Source!A215)</f>
        <v>215</v>
      </c>
      <c r="B147">
        <v>56959434</v>
      </c>
      <c r="C147">
        <v>56959917</v>
      </c>
      <c r="D147">
        <v>56061133</v>
      </c>
      <c r="E147">
        <v>1</v>
      </c>
      <c r="F147">
        <v>1</v>
      </c>
      <c r="G147">
        <v>1080</v>
      </c>
      <c r="H147">
        <v>3</v>
      </c>
      <c r="I147" t="s">
        <v>566</v>
      </c>
      <c r="J147" t="s">
        <v>567</v>
      </c>
      <c r="K147" t="s">
        <v>568</v>
      </c>
      <c r="L147">
        <v>1348</v>
      </c>
      <c r="N147">
        <v>1009</v>
      </c>
      <c r="O147" t="s">
        <v>291</v>
      </c>
      <c r="P147" t="s">
        <v>291</v>
      </c>
      <c r="Q147">
        <v>1000</v>
      </c>
      <c r="W147">
        <v>0</v>
      </c>
      <c r="X147">
        <v>-1945031955</v>
      </c>
      <c r="Y147">
        <f>AT147</f>
        <v>1.0000000000000001E-5</v>
      </c>
      <c r="AA147">
        <v>64123.05</v>
      </c>
      <c r="AB147">
        <v>0</v>
      </c>
      <c r="AC147">
        <v>0</v>
      </c>
      <c r="AD147">
        <v>0</v>
      </c>
      <c r="AE147">
        <v>64123.05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1.0000000000000001E-5</v>
      </c>
      <c r="AU147" t="s">
        <v>3</v>
      </c>
      <c r="AV147">
        <v>0</v>
      </c>
      <c r="AW147">
        <v>2</v>
      </c>
      <c r="AX147">
        <v>56960994</v>
      </c>
      <c r="AY147">
        <v>1</v>
      </c>
      <c r="AZ147">
        <v>0</v>
      </c>
      <c r="BA147">
        <v>179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ROUND(Y147*Source!I215,9)</f>
        <v>3.0000000000000001E-5</v>
      </c>
      <c r="CY147">
        <f>AA147</f>
        <v>64123.05</v>
      </c>
      <c r="CZ147">
        <f>AE147</f>
        <v>64123.05</v>
      </c>
      <c r="DA147">
        <f>AI147</f>
        <v>1</v>
      </c>
      <c r="DB147">
        <f>ROUND(ROUND(AT147*CZ147,2),6)</f>
        <v>0.64</v>
      </c>
      <c r="DC147">
        <f>ROUND(ROUND(AT147*AG147,2),6)</f>
        <v>0</v>
      </c>
      <c r="DD147" t="s">
        <v>3</v>
      </c>
      <c r="DE147" t="s">
        <v>3</v>
      </c>
      <c r="DF147">
        <f>ROUND(ROUND(AE147,2)*CX147,2)</f>
        <v>1.92</v>
      </c>
      <c r="DG147">
        <f t="shared" si="82"/>
        <v>0</v>
      </c>
      <c r="DH147">
        <f t="shared" si="83"/>
        <v>0</v>
      </c>
      <c r="DI147">
        <f t="shared" si="77"/>
        <v>0</v>
      </c>
      <c r="DJ147">
        <f>DF147</f>
        <v>1.92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ROW(Source!A215)</f>
        <v>215</v>
      </c>
      <c r="B148">
        <v>56959434</v>
      </c>
      <c r="C148">
        <v>56959917</v>
      </c>
      <c r="D148">
        <v>56071025</v>
      </c>
      <c r="E148">
        <v>1</v>
      </c>
      <c r="F148">
        <v>1</v>
      </c>
      <c r="G148">
        <v>1080</v>
      </c>
      <c r="H148">
        <v>3</v>
      </c>
      <c r="I148" t="s">
        <v>569</v>
      </c>
      <c r="J148" t="s">
        <v>570</v>
      </c>
      <c r="K148" t="s">
        <v>571</v>
      </c>
      <c r="L148">
        <v>1354</v>
      </c>
      <c r="N148">
        <v>1010</v>
      </c>
      <c r="O148" t="s">
        <v>31</v>
      </c>
      <c r="P148" t="s">
        <v>31</v>
      </c>
      <c r="Q148">
        <v>1</v>
      </c>
      <c r="W148">
        <v>0</v>
      </c>
      <c r="X148">
        <v>314181591</v>
      </c>
      <c r="Y148">
        <f>AT148</f>
        <v>0.1</v>
      </c>
      <c r="AA148">
        <v>15.25</v>
      </c>
      <c r="AB148">
        <v>0</v>
      </c>
      <c r="AC148">
        <v>0</v>
      </c>
      <c r="AD148">
        <v>0</v>
      </c>
      <c r="AE148">
        <v>15.25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0.1</v>
      </c>
      <c r="AU148" t="s">
        <v>3</v>
      </c>
      <c r="AV148">
        <v>0</v>
      </c>
      <c r="AW148">
        <v>2</v>
      </c>
      <c r="AX148">
        <v>56960995</v>
      </c>
      <c r="AY148">
        <v>1</v>
      </c>
      <c r="AZ148">
        <v>0</v>
      </c>
      <c r="BA148">
        <v>180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ROUND(Y148*Source!I215,9)</f>
        <v>0.3</v>
      </c>
      <c r="CY148">
        <f>AA148</f>
        <v>15.25</v>
      </c>
      <c r="CZ148">
        <f>AE148</f>
        <v>15.25</v>
      </c>
      <c r="DA148">
        <f>AI148</f>
        <v>1</v>
      </c>
      <c r="DB148">
        <f>ROUND(ROUND(AT148*CZ148,2),6)</f>
        <v>1.53</v>
      </c>
      <c r="DC148">
        <f>ROUND(ROUND(AT148*AG148,2),6)</f>
        <v>0</v>
      </c>
      <c r="DD148" t="s">
        <v>3</v>
      </c>
      <c r="DE148" t="s">
        <v>3</v>
      </c>
      <c r="DF148">
        <f>ROUND(ROUND(AE148,2)*CX148,2)</f>
        <v>4.58</v>
      </c>
      <c r="DG148">
        <f t="shared" si="82"/>
        <v>0</v>
      </c>
      <c r="DH148">
        <f t="shared" si="83"/>
        <v>0</v>
      </c>
      <c r="DI148">
        <f t="shared" si="77"/>
        <v>0</v>
      </c>
      <c r="DJ148">
        <f>DF148</f>
        <v>4.58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ROW(Source!A216)</f>
        <v>216</v>
      </c>
      <c r="B149">
        <v>56959431</v>
      </c>
      <c r="C149">
        <v>56959917</v>
      </c>
      <c r="D149">
        <v>56018166</v>
      </c>
      <c r="E149">
        <v>1080</v>
      </c>
      <c r="F149">
        <v>1</v>
      </c>
      <c r="G149">
        <v>1080</v>
      </c>
      <c r="H149">
        <v>1</v>
      </c>
      <c r="I149" t="s">
        <v>500</v>
      </c>
      <c r="J149" t="s">
        <v>3</v>
      </c>
      <c r="K149" t="s">
        <v>501</v>
      </c>
      <c r="L149">
        <v>1191</v>
      </c>
      <c r="N149">
        <v>1013</v>
      </c>
      <c r="O149" t="s">
        <v>502</v>
      </c>
      <c r="P149" t="s">
        <v>502</v>
      </c>
      <c r="Q149">
        <v>1</v>
      </c>
      <c r="W149">
        <v>0</v>
      </c>
      <c r="X149">
        <v>476480486</v>
      </c>
      <c r="Y149">
        <f>(AT149*1.1)</f>
        <v>3.4980000000000007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5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3.18</v>
      </c>
      <c r="AU149" t="s">
        <v>23</v>
      </c>
      <c r="AV149">
        <v>1</v>
      </c>
      <c r="AW149">
        <v>2</v>
      </c>
      <c r="AX149">
        <v>56960992</v>
      </c>
      <c r="AY149">
        <v>1</v>
      </c>
      <c r="AZ149">
        <v>0</v>
      </c>
      <c r="BA149">
        <v>182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ROUND(AT149*Source!I216*AH149*AL149,2)</f>
        <v>0</v>
      </c>
      <c r="CV149">
        <f>ROUND(Y149*Source!I216,9)</f>
        <v>10.494</v>
      </c>
      <c r="CW149">
        <v>0</v>
      </c>
      <c r="CX149">
        <f>ROUND(Y149*Source!I216,9)</f>
        <v>10.494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ROUND((ROUND(AT149*CZ149,2)*1.1),6)</f>
        <v>0</v>
      </c>
      <c r="DC149">
        <f>ROUND((ROUND(AT149*AG149,2)*1.1),6)</f>
        <v>0</v>
      </c>
      <c r="DD149" t="s">
        <v>3</v>
      </c>
      <c r="DE149" t="s">
        <v>3</v>
      </c>
      <c r="DF149">
        <f>ROUND(ROUND(AE149,2)*CX149,2)</f>
        <v>0</v>
      </c>
      <c r="DG149">
        <f t="shared" si="82"/>
        <v>0</v>
      </c>
      <c r="DH149">
        <f t="shared" si="83"/>
        <v>0</v>
      </c>
      <c r="DI149">
        <f t="shared" si="77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ROW(Source!A216)</f>
        <v>216</v>
      </c>
      <c r="B150">
        <v>56959431</v>
      </c>
      <c r="C150">
        <v>56959917</v>
      </c>
      <c r="D150">
        <v>56062414</v>
      </c>
      <c r="E150">
        <v>1</v>
      </c>
      <c r="F150">
        <v>1</v>
      </c>
      <c r="G150">
        <v>1080</v>
      </c>
      <c r="H150">
        <v>3</v>
      </c>
      <c r="I150" t="s">
        <v>563</v>
      </c>
      <c r="J150" t="s">
        <v>564</v>
      </c>
      <c r="K150" t="s">
        <v>565</v>
      </c>
      <c r="L150">
        <v>1346</v>
      </c>
      <c r="N150">
        <v>1009</v>
      </c>
      <c r="O150" t="s">
        <v>249</v>
      </c>
      <c r="P150" t="s">
        <v>249</v>
      </c>
      <c r="Q150">
        <v>1</v>
      </c>
      <c r="W150">
        <v>0</v>
      </c>
      <c r="X150">
        <v>1225168167</v>
      </c>
      <c r="Y150">
        <f t="shared" ref="Y150:Y164" si="84">AT150</f>
        <v>6.2700000000000004E-3</v>
      </c>
      <c r="AA150">
        <v>172.35</v>
      </c>
      <c r="AB150">
        <v>0</v>
      </c>
      <c r="AC150">
        <v>0</v>
      </c>
      <c r="AD150">
        <v>0</v>
      </c>
      <c r="AE150">
        <v>27.62</v>
      </c>
      <c r="AF150">
        <v>0</v>
      </c>
      <c r="AG150">
        <v>0</v>
      </c>
      <c r="AH150">
        <v>0</v>
      </c>
      <c r="AI150">
        <v>6.24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6.2700000000000004E-3</v>
      </c>
      <c r="AU150" t="s">
        <v>3</v>
      </c>
      <c r="AV150">
        <v>0</v>
      </c>
      <c r="AW150">
        <v>2</v>
      </c>
      <c r="AX150">
        <v>56960993</v>
      </c>
      <c r="AY150">
        <v>1</v>
      </c>
      <c r="AZ150">
        <v>0</v>
      </c>
      <c r="BA150">
        <v>183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ROUND(Y150*Source!I216,9)</f>
        <v>1.881E-2</v>
      </c>
      <c r="CY150">
        <f>AA150</f>
        <v>172.35</v>
      </c>
      <c r="CZ150">
        <f>AE150</f>
        <v>27.62</v>
      </c>
      <c r="DA150">
        <f>AI150</f>
        <v>6.24</v>
      </c>
      <c r="DB150">
        <f t="shared" ref="DB150:DB164" si="85">ROUND(ROUND(AT150*CZ150,2),6)</f>
        <v>0.17</v>
      </c>
      <c r="DC150">
        <f t="shared" ref="DC150:DC164" si="86">ROUND(ROUND(AT150*AG150,2),6)</f>
        <v>0</v>
      </c>
      <c r="DD150" t="s">
        <v>3</v>
      </c>
      <c r="DE150" t="s">
        <v>3</v>
      </c>
      <c r="DF150">
        <f>ROUND(ROUND(AE150*AI150,2)*CX150,2)</f>
        <v>3.24</v>
      </c>
      <c r="DG150">
        <f t="shared" si="82"/>
        <v>0</v>
      </c>
      <c r="DH150">
        <f t="shared" si="83"/>
        <v>0</v>
      </c>
      <c r="DI150">
        <f t="shared" si="77"/>
        <v>0</v>
      </c>
      <c r="DJ150">
        <f>DF150</f>
        <v>3.24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ROW(Source!A216)</f>
        <v>216</v>
      </c>
      <c r="B151">
        <v>56959431</v>
      </c>
      <c r="C151">
        <v>56959917</v>
      </c>
      <c r="D151">
        <v>56061133</v>
      </c>
      <c r="E151">
        <v>1</v>
      </c>
      <c r="F151">
        <v>1</v>
      </c>
      <c r="G151">
        <v>1080</v>
      </c>
      <c r="H151">
        <v>3</v>
      </c>
      <c r="I151" t="s">
        <v>566</v>
      </c>
      <c r="J151" t="s">
        <v>567</v>
      </c>
      <c r="K151" t="s">
        <v>568</v>
      </c>
      <c r="L151">
        <v>1348</v>
      </c>
      <c r="N151">
        <v>1009</v>
      </c>
      <c r="O151" t="s">
        <v>291</v>
      </c>
      <c r="P151" t="s">
        <v>291</v>
      </c>
      <c r="Q151">
        <v>1000</v>
      </c>
      <c r="W151">
        <v>0</v>
      </c>
      <c r="X151">
        <v>-1945031955</v>
      </c>
      <c r="Y151">
        <f t="shared" si="84"/>
        <v>1.0000000000000001E-5</v>
      </c>
      <c r="AA151">
        <v>1930103.81</v>
      </c>
      <c r="AB151">
        <v>0</v>
      </c>
      <c r="AC151">
        <v>0</v>
      </c>
      <c r="AD151">
        <v>0</v>
      </c>
      <c r="AE151">
        <v>64123.05</v>
      </c>
      <c r="AF151">
        <v>0</v>
      </c>
      <c r="AG151">
        <v>0</v>
      </c>
      <c r="AH151">
        <v>0</v>
      </c>
      <c r="AI151">
        <v>30.1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1.0000000000000001E-5</v>
      </c>
      <c r="AU151" t="s">
        <v>3</v>
      </c>
      <c r="AV151">
        <v>0</v>
      </c>
      <c r="AW151">
        <v>2</v>
      </c>
      <c r="AX151">
        <v>56960994</v>
      </c>
      <c r="AY151">
        <v>1</v>
      </c>
      <c r="AZ151">
        <v>0</v>
      </c>
      <c r="BA151">
        <v>184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ROUND(Y151*Source!I216,9)</f>
        <v>3.0000000000000001E-5</v>
      </c>
      <c r="CY151">
        <f>AA151</f>
        <v>1930103.81</v>
      </c>
      <c r="CZ151">
        <f>AE151</f>
        <v>64123.05</v>
      </c>
      <c r="DA151">
        <f>AI151</f>
        <v>30.1</v>
      </c>
      <c r="DB151">
        <f t="shared" si="85"/>
        <v>0.64</v>
      </c>
      <c r="DC151">
        <f t="shared" si="86"/>
        <v>0</v>
      </c>
      <c r="DD151" t="s">
        <v>3</v>
      </c>
      <c r="DE151" t="s">
        <v>3</v>
      </c>
      <c r="DF151">
        <f>ROUND(ROUND(AE151*AI151,2)*CX151,2)</f>
        <v>57.9</v>
      </c>
      <c r="DG151">
        <f t="shared" si="82"/>
        <v>0</v>
      </c>
      <c r="DH151">
        <f t="shared" si="83"/>
        <v>0</v>
      </c>
      <c r="DI151">
        <f t="shared" si="77"/>
        <v>0</v>
      </c>
      <c r="DJ151">
        <f>DF151</f>
        <v>57.9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ROW(Source!A216)</f>
        <v>216</v>
      </c>
      <c r="B152">
        <v>56959431</v>
      </c>
      <c r="C152">
        <v>56959917</v>
      </c>
      <c r="D152">
        <v>56071025</v>
      </c>
      <c r="E152">
        <v>1</v>
      </c>
      <c r="F152">
        <v>1</v>
      </c>
      <c r="G152">
        <v>1080</v>
      </c>
      <c r="H152">
        <v>3</v>
      </c>
      <c r="I152" t="s">
        <v>569</v>
      </c>
      <c r="J152" t="s">
        <v>570</v>
      </c>
      <c r="K152" t="s">
        <v>571</v>
      </c>
      <c r="L152">
        <v>1354</v>
      </c>
      <c r="N152">
        <v>1010</v>
      </c>
      <c r="O152" t="s">
        <v>31</v>
      </c>
      <c r="P152" t="s">
        <v>31</v>
      </c>
      <c r="Q152">
        <v>1</v>
      </c>
      <c r="W152">
        <v>0</v>
      </c>
      <c r="X152">
        <v>314181591</v>
      </c>
      <c r="Y152">
        <f t="shared" si="84"/>
        <v>0.1</v>
      </c>
      <c r="AA152">
        <v>36.14</v>
      </c>
      <c r="AB152">
        <v>0</v>
      </c>
      <c r="AC152">
        <v>0</v>
      </c>
      <c r="AD152">
        <v>0</v>
      </c>
      <c r="AE152">
        <v>15.25</v>
      </c>
      <c r="AF152">
        <v>0</v>
      </c>
      <c r="AG152">
        <v>0</v>
      </c>
      <c r="AH152">
        <v>0</v>
      </c>
      <c r="AI152">
        <v>2.37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0.1</v>
      </c>
      <c r="AU152" t="s">
        <v>3</v>
      </c>
      <c r="AV152">
        <v>0</v>
      </c>
      <c r="AW152">
        <v>2</v>
      </c>
      <c r="AX152">
        <v>56960995</v>
      </c>
      <c r="AY152">
        <v>1</v>
      </c>
      <c r="AZ152">
        <v>0</v>
      </c>
      <c r="BA152">
        <v>185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ROUND(Y152*Source!I216,9)</f>
        <v>0.3</v>
      </c>
      <c r="CY152">
        <f>AA152</f>
        <v>36.14</v>
      </c>
      <c r="CZ152">
        <f>AE152</f>
        <v>15.25</v>
      </c>
      <c r="DA152">
        <f>AI152</f>
        <v>2.37</v>
      </c>
      <c r="DB152">
        <f t="shared" si="85"/>
        <v>1.53</v>
      </c>
      <c r="DC152">
        <f t="shared" si="86"/>
        <v>0</v>
      </c>
      <c r="DD152" t="s">
        <v>3</v>
      </c>
      <c r="DE152" t="s">
        <v>3</v>
      </c>
      <c r="DF152">
        <f>ROUND(ROUND(AE152*AI152,2)*CX152,2)</f>
        <v>10.84</v>
      </c>
      <c r="DG152">
        <f t="shared" si="82"/>
        <v>0</v>
      </c>
      <c r="DH152">
        <f t="shared" si="83"/>
        <v>0</v>
      </c>
      <c r="DI152">
        <f t="shared" si="77"/>
        <v>0</v>
      </c>
      <c r="DJ152">
        <f>DF152</f>
        <v>10.84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ROW(Source!A219)</f>
        <v>219</v>
      </c>
      <c r="B153">
        <v>56959434</v>
      </c>
      <c r="C153">
        <v>56959928</v>
      </c>
      <c r="D153">
        <v>56018166</v>
      </c>
      <c r="E153">
        <v>1080</v>
      </c>
      <c r="F153">
        <v>1</v>
      </c>
      <c r="G153">
        <v>1080</v>
      </c>
      <c r="H153">
        <v>1</v>
      </c>
      <c r="I153" t="s">
        <v>500</v>
      </c>
      <c r="J153" t="s">
        <v>3</v>
      </c>
      <c r="K153" t="s">
        <v>501</v>
      </c>
      <c r="L153">
        <v>1191</v>
      </c>
      <c r="N153">
        <v>1013</v>
      </c>
      <c r="O153" t="s">
        <v>502</v>
      </c>
      <c r="P153" t="s">
        <v>502</v>
      </c>
      <c r="Q153">
        <v>1</v>
      </c>
      <c r="W153">
        <v>0</v>
      </c>
      <c r="X153">
        <v>476480486</v>
      </c>
      <c r="Y153">
        <f t="shared" si="84"/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2</v>
      </c>
      <c r="AU153" t="s">
        <v>3</v>
      </c>
      <c r="AV153">
        <v>1</v>
      </c>
      <c r="AW153">
        <v>2</v>
      </c>
      <c r="AX153">
        <v>56960997</v>
      </c>
      <c r="AY153">
        <v>1</v>
      </c>
      <c r="AZ153">
        <v>0</v>
      </c>
      <c r="BA153">
        <v>187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U153">
        <f>ROUND(AT153*Source!I219*AH153*AL153,2)</f>
        <v>0</v>
      </c>
      <c r="CV153">
        <f>ROUND(Y153*Source!I219,9)</f>
        <v>0</v>
      </c>
      <c r="CW153">
        <v>0</v>
      </c>
      <c r="CX153">
        <f>ROUND(Y153*Source!I219,9)</f>
        <v>0</v>
      </c>
      <c r="CY153">
        <f>AD153</f>
        <v>0</v>
      </c>
      <c r="CZ153">
        <f>AH153</f>
        <v>0</v>
      </c>
      <c r="DA153">
        <f>AL153</f>
        <v>1</v>
      </c>
      <c r="DB153">
        <f t="shared" si="85"/>
        <v>0</v>
      </c>
      <c r="DC153">
        <f t="shared" si="86"/>
        <v>0</v>
      </c>
      <c r="DD153" t="s">
        <v>3</v>
      </c>
      <c r="DE153" t="s">
        <v>3</v>
      </c>
      <c r="DF153">
        <f t="shared" ref="DF153:DF160" si="87">ROUND(ROUND(AE153,2)*CX153,2)</f>
        <v>0</v>
      </c>
      <c r="DG153">
        <f t="shared" si="82"/>
        <v>0</v>
      </c>
      <c r="DH153">
        <f t="shared" si="83"/>
        <v>0</v>
      </c>
      <c r="DI153">
        <f t="shared" si="77"/>
        <v>0</v>
      </c>
      <c r="DJ153">
        <f>DI153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ROW(Source!A219)</f>
        <v>219</v>
      </c>
      <c r="B154">
        <v>56959434</v>
      </c>
      <c r="C154">
        <v>56959928</v>
      </c>
      <c r="D154">
        <v>56092342</v>
      </c>
      <c r="E154">
        <v>1</v>
      </c>
      <c r="F154">
        <v>1</v>
      </c>
      <c r="G154">
        <v>1080</v>
      </c>
      <c r="H154">
        <v>2</v>
      </c>
      <c r="I154" t="s">
        <v>508</v>
      </c>
      <c r="J154" t="s">
        <v>509</v>
      </c>
      <c r="K154" t="s">
        <v>510</v>
      </c>
      <c r="L154">
        <v>1368</v>
      </c>
      <c r="N154">
        <v>1011</v>
      </c>
      <c r="O154" t="s">
        <v>506</v>
      </c>
      <c r="P154" t="s">
        <v>506</v>
      </c>
      <c r="Q154">
        <v>1</v>
      </c>
      <c r="W154">
        <v>0</v>
      </c>
      <c r="X154">
        <v>1346534067</v>
      </c>
      <c r="Y154">
        <f t="shared" si="84"/>
        <v>0.02</v>
      </c>
      <c r="AA154">
        <v>0</v>
      </c>
      <c r="AB154">
        <v>124.67</v>
      </c>
      <c r="AC154">
        <v>13.21</v>
      </c>
      <c r="AD154">
        <v>0</v>
      </c>
      <c r="AE154">
        <v>0</v>
      </c>
      <c r="AF154">
        <v>119.07</v>
      </c>
      <c r="AG154">
        <v>12.62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0.02</v>
      </c>
      <c r="AU154" t="s">
        <v>3</v>
      </c>
      <c r="AV154">
        <v>0</v>
      </c>
      <c r="AW154">
        <v>2</v>
      </c>
      <c r="AX154">
        <v>56960998</v>
      </c>
      <c r="AY154">
        <v>1</v>
      </c>
      <c r="AZ154">
        <v>0</v>
      </c>
      <c r="BA154">
        <v>188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ROUND(Y154*Source!I219*DO154,9)</f>
        <v>0</v>
      </c>
      <c r="CX154">
        <f>ROUND(Y154*Source!I219,9)</f>
        <v>0</v>
      </c>
      <c r="CY154">
        <f>AB154</f>
        <v>124.67</v>
      </c>
      <c r="CZ154">
        <f>AF154</f>
        <v>119.07</v>
      </c>
      <c r="DA154">
        <f>AJ154</f>
        <v>1</v>
      </c>
      <c r="DB154">
        <f t="shared" si="85"/>
        <v>2.38</v>
      </c>
      <c r="DC154">
        <f t="shared" si="86"/>
        <v>0.25</v>
      </c>
      <c r="DD154" t="s">
        <v>3</v>
      </c>
      <c r="DE154" t="s">
        <v>3</v>
      </c>
      <c r="DF154">
        <f t="shared" si="87"/>
        <v>0</v>
      </c>
      <c r="DG154">
        <f t="shared" si="82"/>
        <v>0</v>
      </c>
      <c r="DH154">
        <f t="shared" si="83"/>
        <v>0</v>
      </c>
      <c r="DI154">
        <f t="shared" si="77"/>
        <v>0</v>
      </c>
      <c r="DJ154">
        <f>DG154</f>
        <v>0</v>
      </c>
      <c r="DK154">
        <v>0</v>
      </c>
      <c r="DL154" t="s">
        <v>507</v>
      </c>
      <c r="DM154">
        <v>0</v>
      </c>
      <c r="DN154" t="s">
        <v>502</v>
      </c>
      <c r="DO154">
        <v>12.62</v>
      </c>
    </row>
    <row r="155" spans="1:119" x14ac:dyDescent="0.2">
      <c r="A155">
        <f>ROW(Source!A219)</f>
        <v>219</v>
      </c>
      <c r="B155">
        <v>56959434</v>
      </c>
      <c r="C155">
        <v>56959928</v>
      </c>
      <c r="D155">
        <v>56061656</v>
      </c>
      <c r="E155">
        <v>1</v>
      </c>
      <c r="F155">
        <v>1</v>
      </c>
      <c r="G155">
        <v>1080</v>
      </c>
      <c r="H155">
        <v>3</v>
      </c>
      <c r="I155" t="s">
        <v>511</v>
      </c>
      <c r="J155" t="s">
        <v>512</v>
      </c>
      <c r="K155" t="s">
        <v>513</v>
      </c>
      <c r="L155">
        <v>1346</v>
      </c>
      <c r="N155">
        <v>1009</v>
      </c>
      <c r="O155" t="s">
        <v>249</v>
      </c>
      <c r="P155" t="s">
        <v>249</v>
      </c>
      <c r="Q155">
        <v>1</v>
      </c>
      <c r="W155">
        <v>0</v>
      </c>
      <c r="X155">
        <v>444134433</v>
      </c>
      <c r="Y155">
        <f t="shared" si="84"/>
        <v>0.9</v>
      </c>
      <c r="AA155">
        <v>104.63</v>
      </c>
      <c r="AB155">
        <v>0</v>
      </c>
      <c r="AC155">
        <v>0</v>
      </c>
      <c r="AD155">
        <v>0</v>
      </c>
      <c r="AE155">
        <v>104.63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0.9</v>
      </c>
      <c r="AU155" t="s">
        <v>3</v>
      </c>
      <c r="AV155">
        <v>0</v>
      </c>
      <c r="AW155">
        <v>2</v>
      </c>
      <c r="AX155">
        <v>56960999</v>
      </c>
      <c r="AY155">
        <v>1</v>
      </c>
      <c r="AZ155">
        <v>0</v>
      </c>
      <c r="BA155">
        <v>189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ROUND(Y155*Source!I219,9)</f>
        <v>0</v>
      </c>
      <c r="CY155">
        <f>AA155</f>
        <v>104.63</v>
      </c>
      <c r="CZ155">
        <f>AE155</f>
        <v>104.63</v>
      </c>
      <c r="DA155">
        <f>AI155</f>
        <v>1</v>
      </c>
      <c r="DB155">
        <f t="shared" si="85"/>
        <v>94.17</v>
      </c>
      <c r="DC155">
        <f t="shared" si="86"/>
        <v>0</v>
      </c>
      <c r="DD155" t="s">
        <v>3</v>
      </c>
      <c r="DE155" t="s">
        <v>3</v>
      </c>
      <c r="DF155">
        <f t="shared" si="87"/>
        <v>0</v>
      </c>
      <c r="DG155">
        <f t="shared" si="82"/>
        <v>0</v>
      </c>
      <c r="DH155">
        <f t="shared" si="83"/>
        <v>0</v>
      </c>
      <c r="DI155">
        <f t="shared" si="77"/>
        <v>0</v>
      </c>
      <c r="DJ155">
        <f>DF155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ROW(Source!A219)</f>
        <v>219</v>
      </c>
      <c r="B156">
        <v>56959434</v>
      </c>
      <c r="C156">
        <v>56959928</v>
      </c>
      <c r="D156">
        <v>56063129</v>
      </c>
      <c r="E156">
        <v>1</v>
      </c>
      <c r="F156">
        <v>1</v>
      </c>
      <c r="G156">
        <v>1080</v>
      </c>
      <c r="H156">
        <v>3</v>
      </c>
      <c r="I156" t="s">
        <v>514</v>
      </c>
      <c r="J156" t="s">
        <v>515</v>
      </c>
      <c r="K156" t="s">
        <v>516</v>
      </c>
      <c r="L156">
        <v>1348</v>
      </c>
      <c r="N156">
        <v>1009</v>
      </c>
      <c r="O156" t="s">
        <v>291</v>
      </c>
      <c r="P156" t="s">
        <v>291</v>
      </c>
      <c r="Q156">
        <v>1000</v>
      </c>
      <c r="W156">
        <v>0</v>
      </c>
      <c r="X156">
        <v>1224372165</v>
      </c>
      <c r="Y156">
        <f t="shared" si="84"/>
        <v>2.6999999999999999E-5</v>
      </c>
      <c r="AA156">
        <v>15568.37</v>
      </c>
      <c r="AB156">
        <v>0</v>
      </c>
      <c r="AC156">
        <v>0</v>
      </c>
      <c r="AD156">
        <v>0</v>
      </c>
      <c r="AE156">
        <v>15568.37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2.6999999999999999E-5</v>
      </c>
      <c r="AU156" t="s">
        <v>3</v>
      </c>
      <c r="AV156">
        <v>0</v>
      </c>
      <c r="AW156">
        <v>2</v>
      </c>
      <c r="AX156">
        <v>56961000</v>
      </c>
      <c r="AY156">
        <v>1</v>
      </c>
      <c r="AZ156">
        <v>0</v>
      </c>
      <c r="BA156">
        <v>190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ROUND(Y156*Source!I219,9)</f>
        <v>0</v>
      </c>
      <c r="CY156">
        <f>AA156</f>
        <v>15568.37</v>
      </c>
      <c r="CZ156">
        <f>AE156</f>
        <v>15568.37</v>
      </c>
      <c r="DA156">
        <f>AI156</f>
        <v>1</v>
      </c>
      <c r="DB156">
        <f t="shared" si="85"/>
        <v>0.42</v>
      </c>
      <c r="DC156">
        <f t="shared" si="86"/>
        <v>0</v>
      </c>
      <c r="DD156" t="s">
        <v>3</v>
      </c>
      <c r="DE156" t="s">
        <v>3</v>
      </c>
      <c r="DF156">
        <f t="shared" si="87"/>
        <v>0</v>
      </c>
      <c r="DG156">
        <f t="shared" si="82"/>
        <v>0</v>
      </c>
      <c r="DH156">
        <f t="shared" si="83"/>
        <v>0</v>
      </c>
      <c r="DI156">
        <f t="shared" si="77"/>
        <v>0</v>
      </c>
      <c r="DJ156">
        <f>DF156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ROW(Source!A219)</f>
        <v>219</v>
      </c>
      <c r="B157">
        <v>56959434</v>
      </c>
      <c r="C157">
        <v>56959928</v>
      </c>
      <c r="D157">
        <v>56067341</v>
      </c>
      <c r="E157">
        <v>1</v>
      </c>
      <c r="F157">
        <v>1</v>
      </c>
      <c r="G157">
        <v>1080</v>
      </c>
      <c r="H157">
        <v>3</v>
      </c>
      <c r="I157" t="s">
        <v>517</v>
      </c>
      <c r="J157" t="s">
        <v>518</v>
      </c>
      <c r="K157" t="s">
        <v>519</v>
      </c>
      <c r="L157">
        <v>1355</v>
      </c>
      <c r="N157">
        <v>1010</v>
      </c>
      <c r="O157" t="s">
        <v>520</v>
      </c>
      <c r="P157" t="s">
        <v>520</v>
      </c>
      <c r="Q157">
        <v>100</v>
      </c>
      <c r="W157">
        <v>0</v>
      </c>
      <c r="X157">
        <v>-1616851610</v>
      </c>
      <c r="Y157">
        <f t="shared" si="84"/>
        <v>0.12</v>
      </c>
      <c r="AA157">
        <v>120.19</v>
      </c>
      <c r="AB157">
        <v>0</v>
      </c>
      <c r="AC157">
        <v>0</v>
      </c>
      <c r="AD157">
        <v>0</v>
      </c>
      <c r="AE157">
        <v>120.19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0.12</v>
      </c>
      <c r="AU157" t="s">
        <v>3</v>
      </c>
      <c r="AV157">
        <v>0</v>
      </c>
      <c r="AW157">
        <v>2</v>
      </c>
      <c r="AX157">
        <v>56961001</v>
      </c>
      <c r="AY157">
        <v>1</v>
      </c>
      <c r="AZ157">
        <v>0</v>
      </c>
      <c r="BA157">
        <v>191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ROUND(Y157*Source!I219,9)</f>
        <v>0</v>
      </c>
      <c r="CY157">
        <f>AA157</f>
        <v>120.19</v>
      </c>
      <c r="CZ157">
        <f>AE157</f>
        <v>120.19</v>
      </c>
      <c r="DA157">
        <f>AI157</f>
        <v>1</v>
      </c>
      <c r="DB157">
        <f t="shared" si="85"/>
        <v>14.42</v>
      </c>
      <c r="DC157">
        <f t="shared" si="86"/>
        <v>0</v>
      </c>
      <c r="DD157" t="s">
        <v>3</v>
      </c>
      <c r="DE157" t="s">
        <v>3</v>
      </c>
      <c r="DF157">
        <f t="shared" si="87"/>
        <v>0</v>
      </c>
      <c r="DG157">
        <f t="shared" si="82"/>
        <v>0</v>
      </c>
      <c r="DH157">
        <f t="shared" si="83"/>
        <v>0</v>
      </c>
      <c r="DI157">
        <f t="shared" si="77"/>
        <v>0</v>
      </c>
      <c r="DJ157">
        <f>DF157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ROW(Source!A219)</f>
        <v>219</v>
      </c>
      <c r="B158">
        <v>56959434</v>
      </c>
      <c r="C158">
        <v>56959928</v>
      </c>
      <c r="D158">
        <v>56023168</v>
      </c>
      <c r="E158">
        <v>1080</v>
      </c>
      <c r="F158">
        <v>1</v>
      </c>
      <c r="G158">
        <v>1080</v>
      </c>
      <c r="H158">
        <v>3</v>
      </c>
      <c r="I158" t="s">
        <v>521</v>
      </c>
      <c r="J158" t="s">
        <v>3</v>
      </c>
      <c r="K158" t="s">
        <v>522</v>
      </c>
      <c r="L158">
        <v>1348</v>
      </c>
      <c r="N158">
        <v>1009</v>
      </c>
      <c r="O158" t="s">
        <v>291</v>
      </c>
      <c r="P158" t="s">
        <v>291</v>
      </c>
      <c r="Q158">
        <v>1000</v>
      </c>
      <c r="W158">
        <v>0</v>
      </c>
      <c r="X158">
        <v>-783086922</v>
      </c>
      <c r="Y158">
        <f t="shared" si="84"/>
        <v>2.7E-2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2.7E-2</v>
      </c>
      <c r="AU158" t="s">
        <v>3</v>
      </c>
      <c r="AV158">
        <v>0</v>
      </c>
      <c r="AW158">
        <v>2</v>
      </c>
      <c r="AX158">
        <v>56961003</v>
      </c>
      <c r="AY158">
        <v>1</v>
      </c>
      <c r="AZ158">
        <v>0</v>
      </c>
      <c r="BA158">
        <v>193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ROUND(Y158*Source!I219,9)</f>
        <v>0</v>
      </c>
      <c r="CY158">
        <f>AA158</f>
        <v>0</v>
      </c>
      <c r="CZ158">
        <f>AE158</f>
        <v>0</v>
      </c>
      <c r="DA158">
        <f>AI158</f>
        <v>1</v>
      </c>
      <c r="DB158">
        <f t="shared" si="85"/>
        <v>0</v>
      </c>
      <c r="DC158">
        <f t="shared" si="86"/>
        <v>0</v>
      </c>
      <c r="DD158" t="s">
        <v>3</v>
      </c>
      <c r="DE158" t="s">
        <v>3</v>
      </c>
      <c r="DF158">
        <f t="shared" si="87"/>
        <v>0</v>
      </c>
      <c r="DG158">
        <f t="shared" si="82"/>
        <v>0</v>
      </c>
      <c r="DH158">
        <f t="shared" si="83"/>
        <v>0</v>
      </c>
      <c r="DI158">
        <f t="shared" si="77"/>
        <v>0</v>
      </c>
      <c r="DJ158">
        <f>DF158</f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ROW(Source!A220)</f>
        <v>220</v>
      </c>
      <c r="B159">
        <v>56959431</v>
      </c>
      <c r="C159">
        <v>56959928</v>
      </c>
      <c r="D159">
        <v>56018166</v>
      </c>
      <c r="E159">
        <v>1080</v>
      </c>
      <c r="F159">
        <v>1</v>
      </c>
      <c r="G159">
        <v>1080</v>
      </c>
      <c r="H159">
        <v>1</v>
      </c>
      <c r="I159" t="s">
        <v>500</v>
      </c>
      <c r="J159" t="s">
        <v>3</v>
      </c>
      <c r="K159" t="s">
        <v>501</v>
      </c>
      <c r="L159">
        <v>1191</v>
      </c>
      <c r="N159">
        <v>1013</v>
      </c>
      <c r="O159" t="s">
        <v>502</v>
      </c>
      <c r="P159" t="s">
        <v>502</v>
      </c>
      <c r="Q159">
        <v>1</v>
      </c>
      <c r="W159">
        <v>0</v>
      </c>
      <c r="X159">
        <v>476480486</v>
      </c>
      <c r="Y159">
        <f t="shared" si="84"/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2</v>
      </c>
      <c r="AU159" t="s">
        <v>3</v>
      </c>
      <c r="AV159">
        <v>1</v>
      </c>
      <c r="AW159">
        <v>2</v>
      </c>
      <c r="AX159">
        <v>56960997</v>
      </c>
      <c r="AY159">
        <v>1</v>
      </c>
      <c r="AZ159">
        <v>0</v>
      </c>
      <c r="BA159">
        <v>194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ROUND(AT159*Source!I220*AH159*AL159,2)</f>
        <v>0</v>
      </c>
      <c r="CV159">
        <f>ROUND(Y159*Source!I220,9)</f>
        <v>0</v>
      </c>
      <c r="CW159">
        <v>0</v>
      </c>
      <c r="CX159">
        <f>ROUND(Y159*Source!I220,9)</f>
        <v>0</v>
      </c>
      <c r="CY159">
        <f>AD159</f>
        <v>0</v>
      </c>
      <c r="CZ159">
        <f>AH159</f>
        <v>0</v>
      </c>
      <c r="DA159">
        <f>AL159</f>
        <v>1</v>
      </c>
      <c r="DB159">
        <f t="shared" si="85"/>
        <v>0</v>
      </c>
      <c r="DC159">
        <f t="shared" si="86"/>
        <v>0</v>
      </c>
      <c r="DD159" t="s">
        <v>3</v>
      </c>
      <c r="DE159" t="s">
        <v>3</v>
      </c>
      <c r="DF159">
        <f t="shared" si="87"/>
        <v>0</v>
      </c>
      <c r="DG159">
        <f t="shared" si="82"/>
        <v>0</v>
      </c>
      <c r="DH159">
        <f t="shared" si="83"/>
        <v>0</v>
      </c>
      <c r="DI159">
        <f t="shared" si="77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ROW(Source!A220)</f>
        <v>220</v>
      </c>
      <c r="B160">
        <v>56959431</v>
      </c>
      <c r="C160">
        <v>56959928</v>
      </c>
      <c r="D160">
        <v>56092342</v>
      </c>
      <c r="E160">
        <v>1</v>
      </c>
      <c r="F160">
        <v>1</v>
      </c>
      <c r="G160">
        <v>1080</v>
      </c>
      <c r="H160">
        <v>2</v>
      </c>
      <c r="I160" t="s">
        <v>508</v>
      </c>
      <c r="J160" t="s">
        <v>509</v>
      </c>
      <c r="K160" t="s">
        <v>510</v>
      </c>
      <c r="L160">
        <v>1368</v>
      </c>
      <c r="N160">
        <v>1011</v>
      </c>
      <c r="O160" t="s">
        <v>506</v>
      </c>
      <c r="P160" t="s">
        <v>506</v>
      </c>
      <c r="Q160">
        <v>1</v>
      </c>
      <c r="W160">
        <v>0</v>
      </c>
      <c r="X160">
        <v>1346534067</v>
      </c>
      <c r="Y160">
        <f t="shared" si="84"/>
        <v>0.02</v>
      </c>
      <c r="AA160">
        <v>0</v>
      </c>
      <c r="AB160">
        <v>1742.83</v>
      </c>
      <c r="AC160">
        <v>726.59</v>
      </c>
      <c r="AD160">
        <v>0</v>
      </c>
      <c r="AE160">
        <v>0</v>
      </c>
      <c r="AF160">
        <v>119.07</v>
      </c>
      <c r="AG160">
        <v>12.62</v>
      </c>
      <c r="AH160">
        <v>0</v>
      </c>
      <c r="AI160">
        <v>1</v>
      </c>
      <c r="AJ160">
        <v>13.98</v>
      </c>
      <c r="AK160">
        <v>54.99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0.02</v>
      </c>
      <c r="AU160" t="s">
        <v>3</v>
      </c>
      <c r="AV160">
        <v>0</v>
      </c>
      <c r="AW160">
        <v>2</v>
      </c>
      <c r="AX160">
        <v>56960998</v>
      </c>
      <c r="AY160">
        <v>1</v>
      </c>
      <c r="AZ160">
        <v>0</v>
      </c>
      <c r="BA160">
        <v>195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ROUND(Y160*Source!I220*DO160,9)</f>
        <v>0</v>
      </c>
      <c r="CX160">
        <f>ROUND(Y160*Source!I220,9)</f>
        <v>0</v>
      </c>
      <c r="CY160">
        <f>AB160</f>
        <v>1742.83</v>
      </c>
      <c r="CZ160">
        <f>AF160</f>
        <v>119.07</v>
      </c>
      <c r="DA160">
        <f>AJ160</f>
        <v>13.98</v>
      </c>
      <c r="DB160">
        <f t="shared" si="85"/>
        <v>2.38</v>
      </c>
      <c r="DC160">
        <f t="shared" si="86"/>
        <v>0.25</v>
      </c>
      <c r="DD160" t="s">
        <v>3</v>
      </c>
      <c r="DE160" t="s">
        <v>3</v>
      </c>
      <c r="DF160">
        <f t="shared" si="87"/>
        <v>0</v>
      </c>
      <c r="DG160">
        <f>ROUND(ROUND(AF160*AJ160,2)*CX160,2)</f>
        <v>0</v>
      </c>
      <c r="DH160">
        <f>ROUND(ROUND(AG160*AK160,2)*CX160,2)</f>
        <v>0</v>
      </c>
      <c r="DI160">
        <f t="shared" si="77"/>
        <v>0</v>
      </c>
      <c r="DJ160">
        <f>DG160</f>
        <v>0</v>
      </c>
      <c r="DK160">
        <v>0</v>
      </c>
      <c r="DL160" t="s">
        <v>507</v>
      </c>
      <c r="DM160">
        <v>0</v>
      </c>
      <c r="DN160" t="s">
        <v>502</v>
      </c>
      <c r="DO160">
        <v>12.62</v>
      </c>
    </row>
    <row r="161" spans="1:119" x14ac:dyDescent="0.2">
      <c r="A161">
        <f>ROW(Source!A220)</f>
        <v>220</v>
      </c>
      <c r="B161">
        <v>56959431</v>
      </c>
      <c r="C161">
        <v>56959928</v>
      </c>
      <c r="D161">
        <v>56061656</v>
      </c>
      <c r="E161">
        <v>1</v>
      </c>
      <c r="F161">
        <v>1</v>
      </c>
      <c r="G161">
        <v>1080</v>
      </c>
      <c r="H161">
        <v>3</v>
      </c>
      <c r="I161" t="s">
        <v>511</v>
      </c>
      <c r="J161" t="s">
        <v>512</v>
      </c>
      <c r="K161" t="s">
        <v>513</v>
      </c>
      <c r="L161">
        <v>1346</v>
      </c>
      <c r="N161">
        <v>1009</v>
      </c>
      <c r="O161" t="s">
        <v>249</v>
      </c>
      <c r="P161" t="s">
        <v>249</v>
      </c>
      <c r="Q161">
        <v>1</v>
      </c>
      <c r="W161">
        <v>0</v>
      </c>
      <c r="X161">
        <v>444134433</v>
      </c>
      <c r="Y161">
        <f t="shared" si="84"/>
        <v>0.9</v>
      </c>
      <c r="AA161">
        <v>183.1</v>
      </c>
      <c r="AB161">
        <v>0</v>
      </c>
      <c r="AC161">
        <v>0</v>
      </c>
      <c r="AD161">
        <v>0</v>
      </c>
      <c r="AE161">
        <v>104.63</v>
      </c>
      <c r="AF161">
        <v>0</v>
      </c>
      <c r="AG161">
        <v>0</v>
      </c>
      <c r="AH161">
        <v>0</v>
      </c>
      <c r="AI161">
        <v>1.75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0.9</v>
      </c>
      <c r="AU161" t="s">
        <v>3</v>
      </c>
      <c r="AV161">
        <v>0</v>
      </c>
      <c r="AW161">
        <v>2</v>
      </c>
      <c r="AX161">
        <v>56960999</v>
      </c>
      <c r="AY161">
        <v>1</v>
      </c>
      <c r="AZ161">
        <v>0</v>
      </c>
      <c r="BA161">
        <v>196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ROUND(Y161*Source!I220,9)</f>
        <v>0</v>
      </c>
      <c r="CY161">
        <f>AA161</f>
        <v>183.1</v>
      </c>
      <c r="CZ161">
        <f>AE161</f>
        <v>104.63</v>
      </c>
      <c r="DA161">
        <f>AI161</f>
        <v>1.75</v>
      </c>
      <c r="DB161">
        <f t="shared" si="85"/>
        <v>94.17</v>
      </c>
      <c r="DC161">
        <f t="shared" si="86"/>
        <v>0</v>
      </c>
      <c r="DD161" t="s">
        <v>3</v>
      </c>
      <c r="DE161" t="s">
        <v>3</v>
      </c>
      <c r="DF161">
        <f>ROUND(ROUND(AE161*AI161,2)*CX161,2)</f>
        <v>0</v>
      </c>
      <c r="DG161">
        <f t="shared" ref="DG161:DG173" si="88">ROUND(ROUND(AF161,2)*CX161,2)</f>
        <v>0</v>
      </c>
      <c r="DH161">
        <f t="shared" ref="DH161:DH173" si="89">ROUND(ROUND(AG161,2)*CX161,2)</f>
        <v>0</v>
      </c>
      <c r="DI161">
        <f t="shared" si="77"/>
        <v>0</v>
      </c>
      <c r="DJ161">
        <f>DF161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ROW(Source!A220)</f>
        <v>220</v>
      </c>
      <c r="B162">
        <v>56959431</v>
      </c>
      <c r="C162">
        <v>56959928</v>
      </c>
      <c r="D162">
        <v>56063129</v>
      </c>
      <c r="E162">
        <v>1</v>
      </c>
      <c r="F162">
        <v>1</v>
      </c>
      <c r="G162">
        <v>1080</v>
      </c>
      <c r="H162">
        <v>3</v>
      </c>
      <c r="I162" t="s">
        <v>514</v>
      </c>
      <c r="J162" t="s">
        <v>515</v>
      </c>
      <c r="K162" t="s">
        <v>516</v>
      </c>
      <c r="L162">
        <v>1348</v>
      </c>
      <c r="N162">
        <v>1009</v>
      </c>
      <c r="O162" t="s">
        <v>291</v>
      </c>
      <c r="P162" t="s">
        <v>291</v>
      </c>
      <c r="Q162">
        <v>1000</v>
      </c>
      <c r="W162">
        <v>0</v>
      </c>
      <c r="X162">
        <v>1224372165</v>
      </c>
      <c r="Y162">
        <f t="shared" si="84"/>
        <v>2.6999999999999999E-5</v>
      </c>
      <c r="AA162">
        <v>176389.63</v>
      </c>
      <c r="AB162">
        <v>0</v>
      </c>
      <c r="AC162">
        <v>0</v>
      </c>
      <c r="AD162">
        <v>0</v>
      </c>
      <c r="AE162">
        <v>15568.37</v>
      </c>
      <c r="AF162">
        <v>0</v>
      </c>
      <c r="AG162">
        <v>0</v>
      </c>
      <c r="AH162">
        <v>0</v>
      </c>
      <c r="AI162">
        <v>11.33</v>
      </c>
      <c r="AJ162">
        <v>1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2.6999999999999999E-5</v>
      </c>
      <c r="AU162" t="s">
        <v>3</v>
      </c>
      <c r="AV162">
        <v>0</v>
      </c>
      <c r="AW162">
        <v>2</v>
      </c>
      <c r="AX162">
        <v>56961000</v>
      </c>
      <c r="AY162">
        <v>1</v>
      </c>
      <c r="AZ162">
        <v>0</v>
      </c>
      <c r="BA162">
        <v>197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ROUND(Y162*Source!I220,9)</f>
        <v>0</v>
      </c>
      <c r="CY162">
        <f>AA162</f>
        <v>176389.63</v>
      </c>
      <c r="CZ162">
        <f>AE162</f>
        <v>15568.37</v>
      </c>
      <c r="DA162">
        <f>AI162</f>
        <v>11.33</v>
      </c>
      <c r="DB162">
        <f t="shared" si="85"/>
        <v>0.42</v>
      </c>
      <c r="DC162">
        <f t="shared" si="86"/>
        <v>0</v>
      </c>
      <c r="DD162" t="s">
        <v>3</v>
      </c>
      <c r="DE162" t="s">
        <v>3</v>
      </c>
      <c r="DF162">
        <f>ROUND(ROUND(AE162*AI162,2)*CX162,2)</f>
        <v>0</v>
      </c>
      <c r="DG162">
        <f t="shared" si="88"/>
        <v>0</v>
      </c>
      <c r="DH162">
        <f t="shared" si="89"/>
        <v>0</v>
      </c>
      <c r="DI162">
        <f t="shared" si="77"/>
        <v>0</v>
      </c>
      <c r="DJ162">
        <f>DF162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ROW(Source!A220)</f>
        <v>220</v>
      </c>
      <c r="B163">
        <v>56959431</v>
      </c>
      <c r="C163">
        <v>56959928</v>
      </c>
      <c r="D163">
        <v>56067341</v>
      </c>
      <c r="E163">
        <v>1</v>
      </c>
      <c r="F163">
        <v>1</v>
      </c>
      <c r="G163">
        <v>1080</v>
      </c>
      <c r="H163">
        <v>3</v>
      </c>
      <c r="I163" t="s">
        <v>517</v>
      </c>
      <c r="J163" t="s">
        <v>518</v>
      </c>
      <c r="K163" t="s">
        <v>519</v>
      </c>
      <c r="L163">
        <v>1355</v>
      </c>
      <c r="N163">
        <v>1010</v>
      </c>
      <c r="O163" t="s">
        <v>520</v>
      </c>
      <c r="P163" t="s">
        <v>520</v>
      </c>
      <c r="Q163">
        <v>100</v>
      </c>
      <c r="W163">
        <v>0</v>
      </c>
      <c r="X163">
        <v>-1616851610</v>
      </c>
      <c r="Y163">
        <f t="shared" si="84"/>
        <v>0.12</v>
      </c>
      <c r="AA163">
        <v>1542.04</v>
      </c>
      <c r="AB163">
        <v>0</v>
      </c>
      <c r="AC163">
        <v>0</v>
      </c>
      <c r="AD163">
        <v>0</v>
      </c>
      <c r="AE163">
        <v>120.19</v>
      </c>
      <c r="AF163">
        <v>0</v>
      </c>
      <c r="AG163">
        <v>0</v>
      </c>
      <c r="AH163">
        <v>0</v>
      </c>
      <c r="AI163">
        <v>12.83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0.12</v>
      </c>
      <c r="AU163" t="s">
        <v>3</v>
      </c>
      <c r="AV163">
        <v>0</v>
      </c>
      <c r="AW163">
        <v>2</v>
      </c>
      <c r="AX163">
        <v>56961001</v>
      </c>
      <c r="AY163">
        <v>1</v>
      </c>
      <c r="AZ163">
        <v>0</v>
      </c>
      <c r="BA163">
        <v>198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ROUND(Y163*Source!I220,9)</f>
        <v>0</v>
      </c>
      <c r="CY163">
        <f>AA163</f>
        <v>1542.04</v>
      </c>
      <c r="CZ163">
        <f>AE163</f>
        <v>120.19</v>
      </c>
      <c r="DA163">
        <f>AI163</f>
        <v>12.83</v>
      </c>
      <c r="DB163">
        <f t="shared" si="85"/>
        <v>14.42</v>
      </c>
      <c r="DC163">
        <f t="shared" si="86"/>
        <v>0</v>
      </c>
      <c r="DD163" t="s">
        <v>3</v>
      </c>
      <c r="DE163" t="s">
        <v>3</v>
      </c>
      <c r="DF163">
        <f>ROUND(ROUND(AE163*AI163,2)*CX163,2)</f>
        <v>0</v>
      </c>
      <c r="DG163">
        <f t="shared" si="88"/>
        <v>0</v>
      </c>
      <c r="DH163">
        <f t="shared" si="89"/>
        <v>0</v>
      </c>
      <c r="DI163">
        <f t="shared" si="77"/>
        <v>0</v>
      </c>
      <c r="DJ163">
        <f>DF163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ROW(Source!A220)</f>
        <v>220</v>
      </c>
      <c r="B164">
        <v>56959431</v>
      </c>
      <c r="C164">
        <v>56959928</v>
      </c>
      <c r="D164">
        <v>56023168</v>
      </c>
      <c r="E164">
        <v>1080</v>
      </c>
      <c r="F164">
        <v>1</v>
      </c>
      <c r="G164">
        <v>1080</v>
      </c>
      <c r="H164">
        <v>3</v>
      </c>
      <c r="I164" t="s">
        <v>521</v>
      </c>
      <c r="J164" t="s">
        <v>3</v>
      </c>
      <c r="K164" t="s">
        <v>522</v>
      </c>
      <c r="L164">
        <v>1348</v>
      </c>
      <c r="N164">
        <v>1009</v>
      </c>
      <c r="O164" t="s">
        <v>291</v>
      </c>
      <c r="P164" t="s">
        <v>291</v>
      </c>
      <c r="Q164">
        <v>1000</v>
      </c>
      <c r="W164">
        <v>0</v>
      </c>
      <c r="X164">
        <v>-783086922</v>
      </c>
      <c r="Y164">
        <f t="shared" si="84"/>
        <v>2.7E-2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9.8800000000000008</v>
      </c>
      <c r="AJ164">
        <v>1</v>
      </c>
      <c r="AK164">
        <v>1</v>
      </c>
      <c r="AL164">
        <v>1</v>
      </c>
      <c r="AM164">
        <v>5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2.7E-2</v>
      </c>
      <c r="AU164" t="s">
        <v>3</v>
      </c>
      <c r="AV164">
        <v>0</v>
      </c>
      <c r="AW164">
        <v>2</v>
      </c>
      <c r="AX164">
        <v>56961003</v>
      </c>
      <c r="AY164">
        <v>1</v>
      </c>
      <c r="AZ164">
        <v>0</v>
      </c>
      <c r="BA164">
        <v>200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ROUND(Y164*Source!I220,9)</f>
        <v>0</v>
      </c>
      <c r="CY164">
        <f>AA164</f>
        <v>0</v>
      </c>
      <c r="CZ164">
        <f>AE164</f>
        <v>0</v>
      </c>
      <c r="DA164">
        <f>AI164</f>
        <v>9.8800000000000008</v>
      </c>
      <c r="DB164">
        <f t="shared" si="85"/>
        <v>0</v>
      </c>
      <c r="DC164">
        <f t="shared" si="86"/>
        <v>0</v>
      </c>
      <c r="DD164" t="s">
        <v>3</v>
      </c>
      <c r="DE164" t="s">
        <v>3</v>
      </c>
      <c r="DF164">
        <f>ROUND(ROUND(AE164*AI164,2)*CX164,2)</f>
        <v>0</v>
      </c>
      <c r="DG164">
        <f t="shared" si="88"/>
        <v>0</v>
      </c>
      <c r="DH164">
        <f t="shared" si="89"/>
        <v>0</v>
      </c>
      <c r="DI164">
        <f t="shared" si="77"/>
        <v>0</v>
      </c>
      <c r="DJ164">
        <f>DF164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ROW(Source!A221)</f>
        <v>221</v>
      </c>
      <c r="B165">
        <v>56959434</v>
      </c>
      <c r="C165">
        <v>56959942</v>
      </c>
      <c r="D165">
        <v>56018166</v>
      </c>
      <c r="E165">
        <v>1080</v>
      </c>
      <c r="F165">
        <v>1</v>
      </c>
      <c r="G165">
        <v>1080</v>
      </c>
      <c r="H165">
        <v>1</v>
      </c>
      <c r="I165" t="s">
        <v>500</v>
      </c>
      <c r="J165" t="s">
        <v>3</v>
      </c>
      <c r="K165" t="s">
        <v>501</v>
      </c>
      <c r="L165">
        <v>1191</v>
      </c>
      <c r="N165">
        <v>1013</v>
      </c>
      <c r="O165" t="s">
        <v>502</v>
      </c>
      <c r="P165" t="s">
        <v>502</v>
      </c>
      <c r="Q165">
        <v>1</v>
      </c>
      <c r="W165">
        <v>0</v>
      </c>
      <c r="X165">
        <v>476480486</v>
      </c>
      <c r="Y165">
        <f>(AT165*1.1)</f>
        <v>2.2660000000000005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2.06</v>
      </c>
      <c r="AU165" t="s">
        <v>23</v>
      </c>
      <c r="AV165">
        <v>1</v>
      </c>
      <c r="AW165">
        <v>2</v>
      </c>
      <c r="AX165">
        <v>56961004</v>
      </c>
      <c r="AY165">
        <v>1</v>
      </c>
      <c r="AZ165">
        <v>0</v>
      </c>
      <c r="BA165">
        <v>201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ROUND(AT165*Source!I221*AH165*AL165,2)</f>
        <v>0</v>
      </c>
      <c r="CV165">
        <f>ROUND(Y165*Source!I221,9)</f>
        <v>40.787999999999997</v>
      </c>
      <c r="CW165">
        <v>0</v>
      </c>
      <c r="CX165">
        <f>ROUND(Y165*Source!I221,9)</f>
        <v>40.787999999999997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ROUND((ROUND(AT165*CZ165,2)*1.1),6)</f>
        <v>0</v>
      </c>
      <c r="DC165">
        <f>ROUND((ROUND(AT165*AG165,2)*1.1),6)</f>
        <v>0</v>
      </c>
      <c r="DD165" t="s">
        <v>3</v>
      </c>
      <c r="DE165" t="s">
        <v>3</v>
      </c>
      <c r="DF165">
        <f t="shared" ref="DF165:DF177" si="90">ROUND(ROUND(AE165,2)*CX165,2)</f>
        <v>0</v>
      </c>
      <c r="DG165">
        <f t="shared" si="88"/>
        <v>0</v>
      </c>
      <c r="DH165">
        <f t="shared" si="89"/>
        <v>0</v>
      </c>
      <c r="DI165">
        <f t="shared" si="77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ROW(Source!A221)</f>
        <v>221</v>
      </c>
      <c r="B166">
        <v>56959434</v>
      </c>
      <c r="C166">
        <v>56959942</v>
      </c>
      <c r="D166">
        <v>56091935</v>
      </c>
      <c r="E166">
        <v>1</v>
      </c>
      <c r="F166">
        <v>1</v>
      </c>
      <c r="G166">
        <v>1080</v>
      </c>
      <c r="H166">
        <v>2</v>
      </c>
      <c r="I166" t="s">
        <v>572</v>
      </c>
      <c r="J166" t="s">
        <v>573</v>
      </c>
      <c r="K166" t="s">
        <v>574</v>
      </c>
      <c r="L166">
        <v>1368</v>
      </c>
      <c r="N166">
        <v>1011</v>
      </c>
      <c r="O166" t="s">
        <v>506</v>
      </c>
      <c r="P166" t="s">
        <v>506</v>
      </c>
      <c r="Q166">
        <v>1</v>
      </c>
      <c r="W166">
        <v>0</v>
      </c>
      <c r="X166">
        <v>-741343433</v>
      </c>
      <c r="Y166">
        <f>(AT166*1.1)</f>
        <v>0.20900000000000002</v>
      </c>
      <c r="AA166">
        <v>0</v>
      </c>
      <c r="AB166">
        <v>43.4</v>
      </c>
      <c r="AC166">
        <v>13.21</v>
      </c>
      <c r="AD166">
        <v>0</v>
      </c>
      <c r="AE166">
        <v>0</v>
      </c>
      <c r="AF166">
        <v>41.45</v>
      </c>
      <c r="AG166">
        <v>12.62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0.19</v>
      </c>
      <c r="AU166" t="s">
        <v>23</v>
      </c>
      <c r="AV166">
        <v>0</v>
      </c>
      <c r="AW166">
        <v>2</v>
      </c>
      <c r="AX166">
        <v>56961005</v>
      </c>
      <c r="AY166">
        <v>1</v>
      </c>
      <c r="AZ166">
        <v>0</v>
      </c>
      <c r="BA166">
        <v>202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ROUND(Y166*Source!I221*DO166,9)</f>
        <v>47.476439999999997</v>
      </c>
      <c r="CX166">
        <f>ROUND(Y166*Source!I221,9)</f>
        <v>3.762</v>
      </c>
      <c r="CY166">
        <f>AB166</f>
        <v>43.4</v>
      </c>
      <c r="CZ166">
        <f>AF166</f>
        <v>41.45</v>
      </c>
      <c r="DA166">
        <f>AJ166</f>
        <v>1</v>
      </c>
      <c r="DB166">
        <f>ROUND((ROUND(AT166*CZ166,2)*1.1),6)</f>
        <v>8.6679999999999993</v>
      </c>
      <c r="DC166">
        <f>ROUND((ROUND(AT166*AG166,2)*1.1),6)</f>
        <v>2.64</v>
      </c>
      <c r="DD166" t="s">
        <v>3</v>
      </c>
      <c r="DE166" t="s">
        <v>3</v>
      </c>
      <c r="DF166">
        <f t="shared" si="90"/>
        <v>0</v>
      </c>
      <c r="DG166">
        <f t="shared" si="88"/>
        <v>155.93</v>
      </c>
      <c r="DH166">
        <f t="shared" si="89"/>
        <v>47.48</v>
      </c>
      <c r="DI166">
        <f t="shared" si="77"/>
        <v>0</v>
      </c>
      <c r="DJ166">
        <f>DG166</f>
        <v>155.93</v>
      </c>
      <c r="DK166">
        <v>0</v>
      </c>
      <c r="DL166" t="s">
        <v>507</v>
      </c>
      <c r="DM166">
        <v>0</v>
      </c>
      <c r="DN166" t="s">
        <v>502</v>
      </c>
      <c r="DO166">
        <v>12.62</v>
      </c>
    </row>
    <row r="167" spans="1:119" x14ac:dyDescent="0.2">
      <c r="A167">
        <f>ROW(Source!A221)</f>
        <v>221</v>
      </c>
      <c r="B167">
        <v>56959434</v>
      </c>
      <c r="C167">
        <v>56959942</v>
      </c>
      <c r="D167">
        <v>56092041</v>
      </c>
      <c r="E167">
        <v>1</v>
      </c>
      <c r="F167">
        <v>1</v>
      </c>
      <c r="G167">
        <v>1080</v>
      </c>
      <c r="H167">
        <v>2</v>
      </c>
      <c r="I167" t="s">
        <v>575</v>
      </c>
      <c r="J167" t="s">
        <v>576</v>
      </c>
      <c r="K167" t="s">
        <v>577</v>
      </c>
      <c r="L167">
        <v>1368</v>
      </c>
      <c r="N167">
        <v>1011</v>
      </c>
      <c r="O167" t="s">
        <v>506</v>
      </c>
      <c r="P167" t="s">
        <v>506</v>
      </c>
      <c r="Q167">
        <v>1</v>
      </c>
      <c r="W167">
        <v>0</v>
      </c>
      <c r="X167">
        <v>-2065404138</v>
      </c>
      <c r="Y167">
        <f>(AT167*1.1)</f>
        <v>0.67100000000000004</v>
      </c>
      <c r="AA167">
        <v>0</v>
      </c>
      <c r="AB167">
        <v>7.44</v>
      </c>
      <c r="AC167">
        <v>0</v>
      </c>
      <c r="AD167">
        <v>0</v>
      </c>
      <c r="AE167">
        <v>0</v>
      </c>
      <c r="AF167">
        <v>7.11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0.61</v>
      </c>
      <c r="AU167" t="s">
        <v>23</v>
      </c>
      <c r="AV167">
        <v>0</v>
      </c>
      <c r="AW167">
        <v>2</v>
      </c>
      <c r="AX167">
        <v>56961006</v>
      </c>
      <c r="AY167">
        <v>1</v>
      </c>
      <c r="AZ167">
        <v>0</v>
      </c>
      <c r="BA167">
        <v>203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ROUND(Y167*Source!I221*DO167,9)</f>
        <v>0</v>
      </c>
      <c r="CX167">
        <f>ROUND(Y167*Source!I221,9)</f>
        <v>12.077999999999999</v>
      </c>
      <c r="CY167">
        <f>AB167</f>
        <v>7.44</v>
      </c>
      <c r="CZ167">
        <f>AF167</f>
        <v>7.11</v>
      </c>
      <c r="DA167">
        <f>AJ167</f>
        <v>1</v>
      </c>
      <c r="DB167">
        <f>ROUND((ROUND(AT167*CZ167,2)*1.1),6)</f>
        <v>4.774</v>
      </c>
      <c r="DC167">
        <f>ROUND((ROUND(AT167*AG167,2)*1.1),6)</f>
        <v>0</v>
      </c>
      <c r="DD167" t="s">
        <v>3</v>
      </c>
      <c r="DE167" t="s">
        <v>3</v>
      </c>
      <c r="DF167">
        <f t="shared" si="90"/>
        <v>0</v>
      </c>
      <c r="DG167">
        <f t="shared" si="88"/>
        <v>85.87</v>
      </c>
      <c r="DH167">
        <f t="shared" si="89"/>
        <v>0</v>
      </c>
      <c r="DI167">
        <f t="shared" si="77"/>
        <v>0</v>
      </c>
      <c r="DJ167">
        <f>DG167</f>
        <v>85.87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ROW(Source!A221)</f>
        <v>221</v>
      </c>
      <c r="B168">
        <v>56959434</v>
      </c>
      <c r="C168">
        <v>56959942</v>
      </c>
      <c r="D168">
        <v>56092340</v>
      </c>
      <c r="E168">
        <v>1</v>
      </c>
      <c r="F168">
        <v>1</v>
      </c>
      <c r="G168">
        <v>1080</v>
      </c>
      <c r="H168">
        <v>2</v>
      </c>
      <c r="I168" t="s">
        <v>503</v>
      </c>
      <c r="J168" t="s">
        <v>504</v>
      </c>
      <c r="K168" t="s">
        <v>505</v>
      </c>
      <c r="L168">
        <v>1368</v>
      </c>
      <c r="N168">
        <v>1011</v>
      </c>
      <c r="O168" t="s">
        <v>506</v>
      </c>
      <c r="P168" t="s">
        <v>506</v>
      </c>
      <c r="Q168">
        <v>1</v>
      </c>
      <c r="W168">
        <v>0</v>
      </c>
      <c r="X168">
        <v>-1985943078</v>
      </c>
      <c r="Y168">
        <f>(AT168*1.1)</f>
        <v>6.6000000000000003E-2</v>
      </c>
      <c r="AA168">
        <v>0</v>
      </c>
      <c r="AB168">
        <v>87.01</v>
      </c>
      <c r="AC168">
        <v>13.21</v>
      </c>
      <c r="AD168">
        <v>0</v>
      </c>
      <c r="AE168">
        <v>0</v>
      </c>
      <c r="AF168">
        <v>83.1</v>
      </c>
      <c r="AG168">
        <v>12.62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0.06</v>
      </c>
      <c r="AU168" t="s">
        <v>23</v>
      </c>
      <c r="AV168">
        <v>0</v>
      </c>
      <c r="AW168">
        <v>2</v>
      </c>
      <c r="AX168">
        <v>56961007</v>
      </c>
      <c r="AY168">
        <v>1</v>
      </c>
      <c r="AZ168">
        <v>0</v>
      </c>
      <c r="BA168">
        <v>204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f>ROUND(Y168*Source!I221*DO168,9)</f>
        <v>14.992559999999999</v>
      </c>
      <c r="CX168">
        <f>ROUND(Y168*Source!I221,9)</f>
        <v>1.1879999999999999</v>
      </c>
      <c r="CY168">
        <f>AB168</f>
        <v>87.01</v>
      </c>
      <c r="CZ168">
        <f>AF168</f>
        <v>83.1</v>
      </c>
      <c r="DA168">
        <f>AJ168</f>
        <v>1</v>
      </c>
      <c r="DB168">
        <f>ROUND((ROUND(AT168*CZ168,2)*1.1),6)</f>
        <v>5.4889999999999999</v>
      </c>
      <c r="DC168">
        <f>ROUND((ROUND(AT168*AG168,2)*1.1),6)</f>
        <v>0.83599999999999997</v>
      </c>
      <c r="DD168" t="s">
        <v>3</v>
      </c>
      <c r="DE168" t="s">
        <v>3</v>
      </c>
      <c r="DF168">
        <f t="shared" si="90"/>
        <v>0</v>
      </c>
      <c r="DG168">
        <f t="shared" si="88"/>
        <v>98.72</v>
      </c>
      <c r="DH168">
        <f t="shared" si="89"/>
        <v>14.99</v>
      </c>
      <c r="DI168">
        <f t="shared" si="77"/>
        <v>0</v>
      </c>
      <c r="DJ168">
        <f>DG168</f>
        <v>98.72</v>
      </c>
      <c r="DK168">
        <v>0</v>
      </c>
      <c r="DL168" t="s">
        <v>507</v>
      </c>
      <c r="DM168">
        <v>0</v>
      </c>
      <c r="DN168" t="s">
        <v>502</v>
      </c>
      <c r="DO168">
        <v>12.62</v>
      </c>
    </row>
    <row r="169" spans="1:119" x14ac:dyDescent="0.2">
      <c r="A169">
        <f>ROW(Source!A221)</f>
        <v>221</v>
      </c>
      <c r="B169">
        <v>56959434</v>
      </c>
      <c r="C169">
        <v>56959942</v>
      </c>
      <c r="D169">
        <v>56092389</v>
      </c>
      <c r="E169">
        <v>1</v>
      </c>
      <c r="F169">
        <v>1</v>
      </c>
      <c r="G169">
        <v>1080</v>
      </c>
      <c r="H169">
        <v>2</v>
      </c>
      <c r="I169" t="s">
        <v>578</v>
      </c>
      <c r="J169" t="s">
        <v>579</v>
      </c>
      <c r="K169" t="s">
        <v>580</v>
      </c>
      <c r="L169">
        <v>1368</v>
      </c>
      <c r="N169">
        <v>1011</v>
      </c>
      <c r="O169" t="s">
        <v>506</v>
      </c>
      <c r="P169" t="s">
        <v>506</v>
      </c>
      <c r="Q169">
        <v>1</v>
      </c>
      <c r="W169">
        <v>0</v>
      </c>
      <c r="X169">
        <v>323214627</v>
      </c>
      <c r="Y169">
        <f>(AT169*1.1)</f>
        <v>0.20900000000000002</v>
      </c>
      <c r="AA169">
        <v>0</v>
      </c>
      <c r="AB169">
        <v>1.2</v>
      </c>
      <c r="AC169">
        <v>0</v>
      </c>
      <c r="AD169">
        <v>0</v>
      </c>
      <c r="AE169">
        <v>0</v>
      </c>
      <c r="AF169">
        <v>1.1499999999999999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0.19</v>
      </c>
      <c r="AU169" t="s">
        <v>23</v>
      </c>
      <c r="AV169">
        <v>0</v>
      </c>
      <c r="AW169">
        <v>2</v>
      </c>
      <c r="AX169">
        <v>56961008</v>
      </c>
      <c r="AY169">
        <v>1</v>
      </c>
      <c r="AZ169">
        <v>0</v>
      </c>
      <c r="BA169">
        <v>205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f>ROUND(Y169*Source!I221*DO169,9)</f>
        <v>0</v>
      </c>
      <c r="CX169">
        <f>ROUND(Y169*Source!I221,9)</f>
        <v>3.762</v>
      </c>
      <c r="CY169">
        <f>AB169</f>
        <v>1.2</v>
      </c>
      <c r="CZ169">
        <f>AF169</f>
        <v>1.1499999999999999</v>
      </c>
      <c r="DA169">
        <f>AJ169</f>
        <v>1</v>
      </c>
      <c r="DB169">
        <f>ROUND((ROUND(AT169*CZ169,2)*1.1),6)</f>
        <v>0.24199999999999999</v>
      </c>
      <c r="DC169">
        <f>ROUND((ROUND(AT169*AG169,2)*1.1),6)</f>
        <v>0</v>
      </c>
      <c r="DD169" t="s">
        <v>3</v>
      </c>
      <c r="DE169" t="s">
        <v>3</v>
      </c>
      <c r="DF169">
        <f t="shared" si="90"/>
        <v>0</v>
      </c>
      <c r="DG169">
        <f t="shared" si="88"/>
        <v>4.33</v>
      </c>
      <c r="DH169">
        <f t="shared" si="89"/>
        <v>0</v>
      </c>
      <c r="DI169">
        <f t="shared" si="77"/>
        <v>0</v>
      </c>
      <c r="DJ169">
        <f>DG169</f>
        <v>4.33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ROW(Source!A221)</f>
        <v>221</v>
      </c>
      <c r="B170">
        <v>56959434</v>
      </c>
      <c r="C170">
        <v>56959942</v>
      </c>
      <c r="D170">
        <v>56061650</v>
      </c>
      <c r="E170">
        <v>1</v>
      </c>
      <c r="F170">
        <v>1</v>
      </c>
      <c r="G170">
        <v>1080</v>
      </c>
      <c r="H170">
        <v>3</v>
      </c>
      <c r="I170" t="s">
        <v>581</v>
      </c>
      <c r="J170" t="s">
        <v>582</v>
      </c>
      <c r="K170" t="s">
        <v>583</v>
      </c>
      <c r="L170">
        <v>1346</v>
      </c>
      <c r="N170">
        <v>1009</v>
      </c>
      <c r="O170" t="s">
        <v>249</v>
      </c>
      <c r="P170" t="s">
        <v>249</v>
      </c>
      <c r="Q170">
        <v>1</v>
      </c>
      <c r="W170">
        <v>0</v>
      </c>
      <c r="X170">
        <v>2041003886</v>
      </c>
      <c r="Y170">
        <f>AT170</f>
        <v>0.02</v>
      </c>
      <c r="AA170">
        <v>29.89</v>
      </c>
      <c r="AB170">
        <v>0</v>
      </c>
      <c r="AC170">
        <v>0</v>
      </c>
      <c r="AD170">
        <v>0</v>
      </c>
      <c r="AE170">
        <v>29.89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0.02</v>
      </c>
      <c r="AU170" t="s">
        <v>3</v>
      </c>
      <c r="AV170">
        <v>0</v>
      </c>
      <c r="AW170">
        <v>2</v>
      </c>
      <c r="AX170">
        <v>56961009</v>
      </c>
      <c r="AY170">
        <v>1</v>
      </c>
      <c r="AZ170">
        <v>0</v>
      </c>
      <c r="BA170">
        <v>206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ROUND(Y170*Source!I221,9)</f>
        <v>0.36</v>
      </c>
      <c r="CY170">
        <f>AA170</f>
        <v>29.89</v>
      </c>
      <c r="CZ170">
        <f>AE170</f>
        <v>29.89</v>
      </c>
      <c r="DA170">
        <f>AI170</f>
        <v>1</v>
      </c>
      <c r="DB170">
        <f>ROUND(ROUND(AT170*CZ170,2),6)</f>
        <v>0.6</v>
      </c>
      <c r="DC170">
        <f>ROUND(ROUND(AT170*AG170,2),6)</f>
        <v>0</v>
      </c>
      <c r="DD170" t="s">
        <v>3</v>
      </c>
      <c r="DE170" t="s">
        <v>3</v>
      </c>
      <c r="DF170">
        <f t="shared" si="90"/>
        <v>10.76</v>
      </c>
      <c r="DG170">
        <f t="shared" si="88"/>
        <v>0</v>
      </c>
      <c r="DH170">
        <f t="shared" si="89"/>
        <v>0</v>
      </c>
      <c r="DI170">
        <f t="shared" si="77"/>
        <v>0</v>
      </c>
      <c r="DJ170">
        <f>DF170</f>
        <v>10.76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ROW(Source!A221)</f>
        <v>221</v>
      </c>
      <c r="B171">
        <v>56959434</v>
      </c>
      <c r="C171">
        <v>56959942</v>
      </c>
      <c r="D171">
        <v>56061720</v>
      </c>
      <c r="E171">
        <v>1</v>
      </c>
      <c r="F171">
        <v>1</v>
      </c>
      <c r="G171">
        <v>1080</v>
      </c>
      <c r="H171">
        <v>3</v>
      </c>
      <c r="I171" t="s">
        <v>584</v>
      </c>
      <c r="J171" t="s">
        <v>585</v>
      </c>
      <c r="K171" t="s">
        <v>586</v>
      </c>
      <c r="L171">
        <v>1348</v>
      </c>
      <c r="N171">
        <v>1009</v>
      </c>
      <c r="O171" t="s">
        <v>291</v>
      </c>
      <c r="P171" t="s">
        <v>291</v>
      </c>
      <c r="Q171">
        <v>1000</v>
      </c>
      <c r="W171">
        <v>0</v>
      </c>
      <c r="X171">
        <v>-1792704725</v>
      </c>
      <c r="Y171">
        <f>AT171</f>
        <v>1E-4</v>
      </c>
      <c r="AA171">
        <v>8590.86</v>
      </c>
      <c r="AB171">
        <v>0</v>
      </c>
      <c r="AC171">
        <v>0</v>
      </c>
      <c r="AD171">
        <v>0</v>
      </c>
      <c r="AE171">
        <v>8590.86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1E-4</v>
      </c>
      <c r="AU171" t="s">
        <v>3</v>
      </c>
      <c r="AV171">
        <v>0</v>
      </c>
      <c r="AW171">
        <v>2</v>
      </c>
      <c r="AX171">
        <v>56961010</v>
      </c>
      <c r="AY171">
        <v>1</v>
      </c>
      <c r="AZ171">
        <v>0</v>
      </c>
      <c r="BA171">
        <v>207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ROUND(Y171*Source!I221,9)</f>
        <v>1.8E-3</v>
      </c>
      <c r="CY171">
        <f>AA171</f>
        <v>8590.86</v>
      </c>
      <c r="CZ171">
        <f>AE171</f>
        <v>8590.86</v>
      </c>
      <c r="DA171">
        <f>AI171</f>
        <v>1</v>
      </c>
      <c r="DB171">
        <f>ROUND(ROUND(AT171*CZ171,2),6)</f>
        <v>0.86</v>
      </c>
      <c r="DC171">
        <f>ROUND(ROUND(AT171*AG171,2),6)</f>
        <v>0</v>
      </c>
      <c r="DD171" t="s">
        <v>3</v>
      </c>
      <c r="DE171" t="s">
        <v>3</v>
      </c>
      <c r="DF171">
        <f t="shared" si="90"/>
        <v>15.46</v>
      </c>
      <c r="DG171">
        <f t="shared" si="88"/>
        <v>0</v>
      </c>
      <c r="DH171">
        <f t="shared" si="89"/>
        <v>0</v>
      </c>
      <c r="DI171">
        <f t="shared" si="77"/>
        <v>0</v>
      </c>
      <c r="DJ171">
        <f>DF171</f>
        <v>15.46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ROW(Source!A221)</f>
        <v>221</v>
      </c>
      <c r="B172">
        <v>56959434</v>
      </c>
      <c r="C172">
        <v>56959942</v>
      </c>
      <c r="D172">
        <v>56067452</v>
      </c>
      <c r="E172">
        <v>1</v>
      </c>
      <c r="F172">
        <v>1</v>
      </c>
      <c r="G172">
        <v>1080</v>
      </c>
      <c r="H172">
        <v>3</v>
      </c>
      <c r="I172" t="s">
        <v>247</v>
      </c>
      <c r="J172" t="s">
        <v>250</v>
      </c>
      <c r="K172" t="s">
        <v>248</v>
      </c>
      <c r="L172">
        <v>1346</v>
      </c>
      <c r="N172">
        <v>1009</v>
      </c>
      <c r="O172" t="s">
        <v>249</v>
      </c>
      <c r="P172" t="s">
        <v>249</v>
      </c>
      <c r="Q172">
        <v>1</v>
      </c>
      <c r="W172">
        <v>0</v>
      </c>
      <c r="X172">
        <v>1143487818</v>
      </c>
      <c r="Y172">
        <f>AT172</f>
        <v>0.1</v>
      </c>
      <c r="AA172">
        <v>31.08</v>
      </c>
      <c r="AB172">
        <v>0</v>
      </c>
      <c r="AC172">
        <v>0</v>
      </c>
      <c r="AD172">
        <v>0</v>
      </c>
      <c r="AE172">
        <v>31.08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0.1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ROUND(Y172*Source!I221,9)</f>
        <v>1.8</v>
      </c>
      <c r="CY172">
        <f>AA172</f>
        <v>31.08</v>
      </c>
      <c r="CZ172">
        <f>AE172</f>
        <v>31.08</v>
      </c>
      <c r="DA172">
        <f>AI172</f>
        <v>1</v>
      </c>
      <c r="DB172">
        <f>ROUND(ROUND(AT172*CZ172,2),6)</f>
        <v>3.11</v>
      </c>
      <c r="DC172">
        <f>ROUND(ROUND(AT172*AG172,2),6)</f>
        <v>0</v>
      </c>
      <c r="DD172" t="s">
        <v>3</v>
      </c>
      <c r="DE172" t="s">
        <v>3</v>
      </c>
      <c r="DF172">
        <f t="shared" si="90"/>
        <v>55.94</v>
      </c>
      <c r="DG172">
        <f t="shared" si="88"/>
        <v>0</v>
      </c>
      <c r="DH172">
        <f t="shared" si="89"/>
        <v>0</v>
      </c>
      <c r="DI172">
        <f t="shared" si="77"/>
        <v>0</v>
      </c>
      <c r="DJ172">
        <f>DF172</f>
        <v>55.94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ROW(Source!A222)</f>
        <v>222</v>
      </c>
      <c r="B173">
        <v>56959431</v>
      </c>
      <c r="C173">
        <v>56959942</v>
      </c>
      <c r="D173">
        <v>56018166</v>
      </c>
      <c r="E173">
        <v>1080</v>
      </c>
      <c r="F173">
        <v>1</v>
      </c>
      <c r="G173">
        <v>1080</v>
      </c>
      <c r="H173">
        <v>1</v>
      </c>
      <c r="I173" t="s">
        <v>500</v>
      </c>
      <c r="J173" t="s">
        <v>3</v>
      </c>
      <c r="K173" t="s">
        <v>501</v>
      </c>
      <c r="L173">
        <v>1191</v>
      </c>
      <c r="N173">
        <v>1013</v>
      </c>
      <c r="O173" t="s">
        <v>502</v>
      </c>
      <c r="P173" t="s">
        <v>502</v>
      </c>
      <c r="Q173">
        <v>1</v>
      </c>
      <c r="W173">
        <v>0</v>
      </c>
      <c r="X173">
        <v>476480486</v>
      </c>
      <c r="Y173">
        <f>(AT173*1.1)</f>
        <v>2.2660000000000005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5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2.06</v>
      </c>
      <c r="AU173" t="s">
        <v>23</v>
      </c>
      <c r="AV173">
        <v>1</v>
      </c>
      <c r="AW173">
        <v>2</v>
      </c>
      <c r="AX173">
        <v>56961004</v>
      </c>
      <c r="AY173">
        <v>1</v>
      </c>
      <c r="AZ173">
        <v>0</v>
      </c>
      <c r="BA173">
        <v>210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ROUND(AT173*Source!I222*AH173*AL173,2)</f>
        <v>0</v>
      </c>
      <c r="CV173">
        <f>ROUND(Y173*Source!I222,9)</f>
        <v>40.787999999999997</v>
      </c>
      <c r="CW173">
        <v>0</v>
      </c>
      <c r="CX173">
        <f>ROUND(Y173*Source!I222,9)</f>
        <v>40.787999999999997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ROUND((ROUND(AT173*CZ173,2)*1.1),6)</f>
        <v>0</v>
      </c>
      <c r="DC173">
        <f>ROUND((ROUND(AT173*AG173,2)*1.1),6)</f>
        <v>0</v>
      </c>
      <c r="DD173" t="s">
        <v>3</v>
      </c>
      <c r="DE173" t="s">
        <v>3</v>
      </c>
      <c r="DF173">
        <f t="shared" si="90"/>
        <v>0</v>
      </c>
      <c r="DG173">
        <f t="shared" si="88"/>
        <v>0</v>
      </c>
      <c r="DH173">
        <f t="shared" si="89"/>
        <v>0</v>
      </c>
      <c r="DI173">
        <f t="shared" si="77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ROW(Source!A222)</f>
        <v>222</v>
      </c>
      <c r="B174">
        <v>56959431</v>
      </c>
      <c r="C174">
        <v>56959942</v>
      </c>
      <c r="D174">
        <v>56091935</v>
      </c>
      <c r="E174">
        <v>1</v>
      </c>
      <c r="F174">
        <v>1</v>
      </c>
      <c r="G174">
        <v>1080</v>
      </c>
      <c r="H174">
        <v>2</v>
      </c>
      <c r="I174" t="s">
        <v>572</v>
      </c>
      <c r="J174" t="s">
        <v>573</v>
      </c>
      <c r="K174" t="s">
        <v>574</v>
      </c>
      <c r="L174">
        <v>1368</v>
      </c>
      <c r="N174">
        <v>1011</v>
      </c>
      <c r="O174" t="s">
        <v>506</v>
      </c>
      <c r="P174" t="s">
        <v>506</v>
      </c>
      <c r="Q174">
        <v>1</v>
      </c>
      <c r="W174">
        <v>0</v>
      </c>
      <c r="X174">
        <v>-741343433</v>
      </c>
      <c r="Y174">
        <f>(AT174*1.1)</f>
        <v>0.20900000000000002</v>
      </c>
      <c r="AA174">
        <v>0</v>
      </c>
      <c r="AB174">
        <v>1068.9000000000001</v>
      </c>
      <c r="AC174">
        <v>726.59</v>
      </c>
      <c r="AD174">
        <v>0</v>
      </c>
      <c r="AE174">
        <v>0</v>
      </c>
      <c r="AF174">
        <v>41.45</v>
      </c>
      <c r="AG174">
        <v>12.62</v>
      </c>
      <c r="AH174">
        <v>0</v>
      </c>
      <c r="AI174">
        <v>1</v>
      </c>
      <c r="AJ174">
        <v>24.63</v>
      </c>
      <c r="AK174">
        <v>54.99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0.19</v>
      </c>
      <c r="AU174" t="s">
        <v>23</v>
      </c>
      <c r="AV174">
        <v>0</v>
      </c>
      <c r="AW174">
        <v>2</v>
      </c>
      <c r="AX174">
        <v>56961005</v>
      </c>
      <c r="AY174">
        <v>1</v>
      </c>
      <c r="AZ174">
        <v>0</v>
      </c>
      <c r="BA174">
        <v>211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ROUND(Y174*Source!I222*DO174,9)</f>
        <v>47.476439999999997</v>
      </c>
      <c r="CX174">
        <f>ROUND(Y174*Source!I222,9)</f>
        <v>3.762</v>
      </c>
      <c r="CY174">
        <f>AB174</f>
        <v>1068.9000000000001</v>
      </c>
      <c r="CZ174">
        <f>AF174</f>
        <v>41.45</v>
      </c>
      <c r="DA174">
        <f>AJ174</f>
        <v>24.63</v>
      </c>
      <c r="DB174">
        <f>ROUND((ROUND(AT174*CZ174,2)*1.1),6)</f>
        <v>8.6679999999999993</v>
      </c>
      <c r="DC174">
        <f>ROUND((ROUND(AT174*AG174,2)*1.1),6)</f>
        <v>2.64</v>
      </c>
      <c r="DD174" t="s">
        <v>3</v>
      </c>
      <c r="DE174" t="s">
        <v>3</v>
      </c>
      <c r="DF174">
        <f t="shared" si="90"/>
        <v>0</v>
      </c>
      <c r="DG174">
        <f>ROUND(ROUND(AF174*AJ174,2)*CX174,2)</f>
        <v>3840.66</v>
      </c>
      <c r="DH174">
        <f>ROUND(ROUND(AG174*AK174,2)*CX174,2)</f>
        <v>2610.7199999999998</v>
      </c>
      <c r="DI174">
        <f t="shared" si="77"/>
        <v>0</v>
      </c>
      <c r="DJ174">
        <f>DG174</f>
        <v>3840.66</v>
      </c>
      <c r="DK174">
        <v>0</v>
      </c>
      <c r="DL174" t="s">
        <v>507</v>
      </c>
      <c r="DM174">
        <v>0</v>
      </c>
      <c r="DN174" t="s">
        <v>502</v>
      </c>
      <c r="DO174">
        <v>12.62</v>
      </c>
    </row>
    <row r="175" spans="1:119" x14ac:dyDescent="0.2">
      <c r="A175">
        <f>ROW(Source!A222)</f>
        <v>222</v>
      </c>
      <c r="B175">
        <v>56959431</v>
      </c>
      <c r="C175">
        <v>56959942</v>
      </c>
      <c r="D175">
        <v>56092041</v>
      </c>
      <c r="E175">
        <v>1</v>
      </c>
      <c r="F175">
        <v>1</v>
      </c>
      <c r="G175">
        <v>1080</v>
      </c>
      <c r="H175">
        <v>2</v>
      </c>
      <c r="I175" t="s">
        <v>575</v>
      </c>
      <c r="J175" t="s">
        <v>576</v>
      </c>
      <c r="K175" t="s">
        <v>577</v>
      </c>
      <c r="L175">
        <v>1368</v>
      </c>
      <c r="N175">
        <v>1011</v>
      </c>
      <c r="O175" t="s">
        <v>506</v>
      </c>
      <c r="P175" t="s">
        <v>506</v>
      </c>
      <c r="Q175">
        <v>1</v>
      </c>
      <c r="W175">
        <v>0</v>
      </c>
      <c r="X175">
        <v>-2065404138</v>
      </c>
      <c r="Y175">
        <f>(AT175*1.1)</f>
        <v>0.67100000000000004</v>
      </c>
      <c r="AA175">
        <v>0</v>
      </c>
      <c r="AB175">
        <v>85.83</v>
      </c>
      <c r="AC175">
        <v>0</v>
      </c>
      <c r="AD175">
        <v>0</v>
      </c>
      <c r="AE175">
        <v>0</v>
      </c>
      <c r="AF175">
        <v>7.11</v>
      </c>
      <c r="AG175">
        <v>0</v>
      </c>
      <c r="AH175">
        <v>0</v>
      </c>
      <c r="AI175">
        <v>1</v>
      </c>
      <c r="AJ175">
        <v>11.53</v>
      </c>
      <c r="AK175">
        <v>54.99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0.61</v>
      </c>
      <c r="AU175" t="s">
        <v>23</v>
      </c>
      <c r="AV175">
        <v>0</v>
      </c>
      <c r="AW175">
        <v>2</v>
      </c>
      <c r="AX175">
        <v>56961006</v>
      </c>
      <c r="AY175">
        <v>1</v>
      </c>
      <c r="AZ175">
        <v>0</v>
      </c>
      <c r="BA175">
        <v>212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ROUND(Y175*Source!I222*DO175,9)</f>
        <v>0</v>
      </c>
      <c r="CX175">
        <f>ROUND(Y175*Source!I222,9)</f>
        <v>12.077999999999999</v>
      </c>
      <c r="CY175">
        <f>AB175</f>
        <v>85.83</v>
      </c>
      <c r="CZ175">
        <f>AF175</f>
        <v>7.11</v>
      </c>
      <c r="DA175">
        <f>AJ175</f>
        <v>11.53</v>
      </c>
      <c r="DB175">
        <f>ROUND((ROUND(AT175*CZ175,2)*1.1),6)</f>
        <v>4.774</v>
      </c>
      <c r="DC175">
        <f>ROUND((ROUND(AT175*AG175,2)*1.1),6)</f>
        <v>0</v>
      </c>
      <c r="DD175" t="s">
        <v>3</v>
      </c>
      <c r="DE175" t="s">
        <v>3</v>
      </c>
      <c r="DF175">
        <f t="shared" si="90"/>
        <v>0</v>
      </c>
      <c r="DG175">
        <f>ROUND(ROUND(AF175*AJ175,2)*CX175,2)</f>
        <v>990.15</v>
      </c>
      <c r="DH175">
        <f>ROUND(ROUND(AG175*AK175,2)*CX175,2)</f>
        <v>0</v>
      </c>
      <c r="DI175">
        <f t="shared" si="77"/>
        <v>0</v>
      </c>
      <c r="DJ175">
        <f>DG175</f>
        <v>990.15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ROW(Source!A222)</f>
        <v>222</v>
      </c>
      <c r="B176">
        <v>56959431</v>
      </c>
      <c r="C176">
        <v>56959942</v>
      </c>
      <c r="D176">
        <v>56092340</v>
      </c>
      <c r="E176">
        <v>1</v>
      </c>
      <c r="F176">
        <v>1</v>
      </c>
      <c r="G176">
        <v>1080</v>
      </c>
      <c r="H176">
        <v>2</v>
      </c>
      <c r="I176" t="s">
        <v>503</v>
      </c>
      <c r="J176" t="s">
        <v>504</v>
      </c>
      <c r="K176" t="s">
        <v>505</v>
      </c>
      <c r="L176">
        <v>1368</v>
      </c>
      <c r="N176">
        <v>1011</v>
      </c>
      <c r="O176" t="s">
        <v>506</v>
      </c>
      <c r="P176" t="s">
        <v>506</v>
      </c>
      <c r="Q176">
        <v>1</v>
      </c>
      <c r="W176">
        <v>0</v>
      </c>
      <c r="X176">
        <v>-1985943078</v>
      </c>
      <c r="Y176">
        <f>(AT176*1.1)</f>
        <v>6.6000000000000003E-2</v>
      </c>
      <c r="AA176">
        <v>0</v>
      </c>
      <c r="AB176">
        <v>1418.19</v>
      </c>
      <c r="AC176">
        <v>726.59</v>
      </c>
      <c r="AD176">
        <v>0</v>
      </c>
      <c r="AE176">
        <v>0</v>
      </c>
      <c r="AF176">
        <v>83.1</v>
      </c>
      <c r="AG176">
        <v>12.62</v>
      </c>
      <c r="AH176">
        <v>0</v>
      </c>
      <c r="AI176">
        <v>1</v>
      </c>
      <c r="AJ176">
        <v>16.3</v>
      </c>
      <c r="AK176">
        <v>54.99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0.06</v>
      </c>
      <c r="AU176" t="s">
        <v>23</v>
      </c>
      <c r="AV176">
        <v>0</v>
      </c>
      <c r="AW176">
        <v>2</v>
      </c>
      <c r="AX176">
        <v>56961007</v>
      </c>
      <c r="AY176">
        <v>1</v>
      </c>
      <c r="AZ176">
        <v>0</v>
      </c>
      <c r="BA176">
        <v>213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ROUND(Y176*Source!I222*DO176,9)</f>
        <v>14.992559999999999</v>
      </c>
      <c r="CX176">
        <f>ROUND(Y176*Source!I222,9)</f>
        <v>1.1879999999999999</v>
      </c>
      <c r="CY176">
        <f>AB176</f>
        <v>1418.19</v>
      </c>
      <c r="CZ176">
        <f>AF176</f>
        <v>83.1</v>
      </c>
      <c r="DA176">
        <f>AJ176</f>
        <v>16.3</v>
      </c>
      <c r="DB176">
        <f>ROUND((ROUND(AT176*CZ176,2)*1.1),6)</f>
        <v>5.4889999999999999</v>
      </c>
      <c r="DC176">
        <f>ROUND((ROUND(AT176*AG176,2)*1.1),6)</f>
        <v>0.83599999999999997</v>
      </c>
      <c r="DD176" t="s">
        <v>3</v>
      </c>
      <c r="DE176" t="s">
        <v>3</v>
      </c>
      <c r="DF176">
        <f t="shared" si="90"/>
        <v>0</v>
      </c>
      <c r="DG176">
        <f>ROUND(ROUND(AF176*AJ176,2)*CX176,2)</f>
        <v>1609.18</v>
      </c>
      <c r="DH176">
        <f>ROUND(ROUND(AG176*AK176,2)*CX176,2)</f>
        <v>824.44</v>
      </c>
      <c r="DI176">
        <f t="shared" si="77"/>
        <v>0</v>
      </c>
      <c r="DJ176">
        <f>DG176</f>
        <v>1609.18</v>
      </c>
      <c r="DK176">
        <v>0</v>
      </c>
      <c r="DL176" t="s">
        <v>507</v>
      </c>
      <c r="DM176">
        <v>0</v>
      </c>
      <c r="DN176" t="s">
        <v>502</v>
      </c>
      <c r="DO176">
        <v>12.62</v>
      </c>
    </row>
    <row r="177" spans="1:119" x14ac:dyDescent="0.2">
      <c r="A177">
        <f>ROW(Source!A222)</f>
        <v>222</v>
      </c>
      <c r="B177">
        <v>56959431</v>
      </c>
      <c r="C177">
        <v>56959942</v>
      </c>
      <c r="D177">
        <v>56092389</v>
      </c>
      <c r="E177">
        <v>1</v>
      </c>
      <c r="F177">
        <v>1</v>
      </c>
      <c r="G177">
        <v>1080</v>
      </c>
      <c r="H177">
        <v>2</v>
      </c>
      <c r="I177" t="s">
        <v>578</v>
      </c>
      <c r="J177" t="s">
        <v>579</v>
      </c>
      <c r="K177" t="s">
        <v>580</v>
      </c>
      <c r="L177">
        <v>1368</v>
      </c>
      <c r="N177">
        <v>1011</v>
      </c>
      <c r="O177" t="s">
        <v>506</v>
      </c>
      <c r="P177" t="s">
        <v>506</v>
      </c>
      <c r="Q177">
        <v>1</v>
      </c>
      <c r="W177">
        <v>0</v>
      </c>
      <c r="X177">
        <v>323214627</v>
      </c>
      <c r="Y177">
        <f>(AT177*1.1)</f>
        <v>0.20900000000000002</v>
      </c>
      <c r="AA177">
        <v>0</v>
      </c>
      <c r="AB177">
        <v>10.26</v>
      </c>
      <c r="AC177">
        <v>0</v>
      </c>
      <c r="AD177">
        <v>0</v>
      </c>
      <c r="AE177">
        <v>0</v>
      </c>
      <c r="AF177">
        <v>1.1499999999999999</v>
      </c>
      <c r="AG177">
        <v>0</v>
      </c>
      <c r="AH177">
        <v>0</v>
      </c>
      <c r="AI177">
        <v>1</v>
      </c>
      <c r="AJ177">
        <v>8.52</v>
      </c>
      <c r="AK177">
        <v>54.99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0.19</v>
      </c>
      <c r="AU177" t="s">
        <v>23</v>
      </c>
      <c r="AV177">
        <v>0</v>
      </c>
      <c r="AW177">
        <v>2</v>
      </c>
      <c r="AX177">
        <v>56961008</v>
      </c>
      <c r="AY177">
        <v>1</v>
      </c>
      <c r="AZ177">
        <v>0</v>
      </c>
      <c r="BA177">
        <v>214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ROUND(Y177*Source!I222*DO177,9)</f>
        <v>0</v>
      </c>
      <c r="CX177">
        <f>ROUND(Y177*Source!I222,9)</f>
        <v>3.762</v>
      </c>
      <c r="CY177">
        <f>AB177</f>
        <v>10.26</v>
      </c>
      <c r="CZ177">
        <f>AF177</f>
        <v>1.1499999999999999</v>
      </c>
      <c r="DA177">
        <f>AJ177</f>
        <v>8.52</v>
      </c>
      <c r="DB177">
        <f>ROUND((ROUND(AT177*CZ177,2)*1.1),6)</f>
        <v>0.24199999999999999</v>
      </c>
      <c r="DC177">
        <f>ROUND((ROUND(AT177*AG177,2)*1.1),6)</f>
        <v>0</v>
      </c>
      <c r="DD177" t="s">
        <v>3</v>
      </c>
      <c r="DE177" t="s">
        <v>3</v>
      </c>
      <c r="DF177">
        <f t="shared" si="90"/>
        <v>0</v>
      </c>
      <c r="DG177">
        <f>ROUND(ROUND(AF177*AJ177,2)*CX177,2)</f>
        <v>36.869999999999997</v>
      </c>
      <c r="DH177">
        <f>ROUND(ROUND(AG177*AK177,2)*CX177,2)</f>
        <v>0</v>
      </c>
      <c r="DI177">
        <f t="shared" si="77"/>
        <v>0</v>
      </c>
      <c r="DJ177">
        <f>DG177</f>
        <v>36.869999999999997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ROW(Source!A222)</f>
        <v>222</v>
      </c>
      <c r="B178">
        <v>56959431</v>
      </c>
      <c r="C178">
        <v>56959942</v>
      </c>
      <c r="D178">
        <v>56061650</v>
      </c>
      <c r="E178">
        <v>1</v>
      </c>
      <c r="F178">
        <v>1</v>
      </c>
      <c r="G178">
        <v>1080</v>
      </c>
      <c r="H178">
        <v>3</v>
      </c>
      <c r="I178" t="s">
        <v>581</v>
      </c>
      <c r="J178" t="s">
        <v>582</v>
      </c>
      <c r="K178" t="s">
        <v>583</v>
      </c>
      <c r="L178">
        <v>1346</v>
      </c>
      <c r="N178">
        <v>1009</v>
      </c>
      <c r="O178" t="s">
        <v>249</v>
      </c>
      <c r="P178" t="s">
        <v>249</v>
      </c>
      <c r="Q178">
        <v>1</v>
      </c>
      <c r="W178">
        <v>0</v>
      </c>
      <c r="X178">
        <v>2041003886</v>
      </c>
      <c r="Y178">
        <f>AT178</f>
        <v>0.02</v>
      </c>
      <c r="AA178">
        <v>98.94</v>
      </c>
      <c r="AB178">
        <v>0</v>
      </c>
      <c r="AC178">
        <v>0</v>
      </c>
      <c r="AD178">
        <v>0</v>
      </c>
      <c r="AE178">
        <v>29.89</v>
      </c>
      <c r="AF178">
        <v>0</v>
      </c>
      <c r="AG178">
        <v>0</v>
      </c>
      <c r="AH178">
        <v>0</v>
      </c>
      <c r="AI178">
        <v>3.31</v>
      </c>
      <c r="AJ178">
        <v>1</v>
      </c>
      <c r="AK178">
        <v>1</v>
      </c>
      <c r="AL178">
        <v>1</v>
      </c>
      <c r="AM178">
        <v>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0.02</v>
      </c>
      <c r="AU178" t="s">
        <v>3</v>
      </c>
      <c r="AV178">
        <v>0</v>
      </c>
      <c r="AW178">
        <v>2</v>
      </c>
      <c r="AX178">
        <v>56961009</v>
      </c>
      <c r="AY178">
        <v>1</v>
      </c>
      <c r="AZ178">
        <v>0</v>
      </c>
      <c r="BA178">
        <v>215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ROUND(Y178*Source!I222,9)</f>
        <v>0.36</v>
      </c>
      <c r="CY178">
        <f>AA178</f>
        <v>98.94</v>
      </c>
      <c r="CZ178">
        <f>AE178</f>
        <v>29.89</v>
      </c>
      <c r="DA178">
        <f>AI178</f>
        <v>3.31</v>
      </c>
      <c r="DB178">
        <f>ROUND(ROUND(AT178*CZ178,2),6)</f>
        <v>0.6</v>
      </c>
      <c r="DC178">
        <f>ROUND(ROUND(AT178*AG178,2),6)</f>
        <v>0</v>
      </c>
      <c r="DD178" t="s">
        <v>3</v>
      </c>
      <c r="DE178" t="s">
        <v>3</v>
      </c>
      <c r="DF178">
        <f>ROUND(ROUND(AE178*AI178,2)*CX178,2)</f>
        <v>35.619999999999997</v>
      </c>
      <c r="DG178">
        <f t="shared" ref="DG178:DG195" si="91">ROUND(ROUND(AF178,2)*CX178,2)</f>
        <v>0</v>
      </c>
      <c r="DH178">
        <f t="shared" ref="DH178:DH195" si="92">ROUND(ROUND(AG178,2)*CX178,2)</f>
        <v>0</v>
      </c>
      <c r="DI178">
        <f t="shared" si="77"/>
        <v>0</v>
      </c>
      <c r="DJ178">
        <f>DF178</f>
        <v>35.619999999999997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ROW(Source!A222)</f>
        <v>222</v>
      </c>
      <c r="B179">
        <v>56959431</v>
      </c>
      <c r="C179">
        <v>56959942</v>
      </c>
      <c r="D179">
        <v>56061720</v>
      </c>
      <c r="E179">
        <v>1</v>
      </c>
      <c r="F179">
        <v>1</v>
      </c>
      <c r="G179">
        <v>1080</v>
      </c>
      <c r="H179">
        <v>3</v>
      </c>
      <c r="I179" t="s">
        <v>584</v>
      </c>
      <c r="J179" t="s">
        <v>585</v>
      </c>
      <c r="K179" t="s">
        <v>586</v>
      </c>
      <c r="L179">
        <v>1348</v>
      </c>
      <c r="N179">
        <v>1009</v>
      </c>
      <c r="O179" t="s">
        <v>291</v>
      </c>
      <c r="P179" t="s">
        <v>291</v>
      </c>
      <c r="Q179">
        <v>1000</v>
      </c>
      <c r="W179">
        <v>0</v>
      </c>
      <c r="X179">
        <v>-1792704725</v>
      </c>
      <c r="Y179">
        <f>AT179</f>
        <v>1E-4</v>
      </c>
      <c r="AA179">
        <v>159875.9</v>
      </c>
      <c r="AB179">
        <v>0</v>
      </c>
      <c r="AC179">
        <v>0</v>
      </c>
      <c r="AD179">
        <v>0</v>
      </c>
      <c r="AE179">
        <v>8590.86</v>
      </c>
      <c r="AF179">
        <v>0</v>
      </c>
      <c r="AG179">
        <v>0</v>
      </c>
      <c r="AH179">
        <v>0</v>
      </c>
      <c r="AI179">
        <v>18.61</v>
      </c>
      <c r="AJ179">
        <v>1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1E-4</v>
      </c>
      <c r="AU179" t="s">
        <v>3</v>
      </c>
      <c r="AV179">
        <v>0</v>
      </c>
      <c r="AW179">
        <v>2</v>
      </c>
      <c r="AX179">
        <v>56961010</v>
      </c>
      <c r="AY179">
        <v>1</v>
      </c>
      <c r="AZ179">
        <v>0</v>
      </c>
      <c r="BA179">
        <v>216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ROUND(Y179*Source!I222,9)</f>
        <v>1.8E-3</v>
      </c>
      <c r="CY179">
        <f>AA179</f>
        <v>159875.9</v>
      </c>
      <c r="CZ179">
        <f>AE179</f>
        <v>8590.86</v>
      </c>
      <c r="DA179">
        <f>AI179</f>
        <v>18.61</v>
      </c>
      <c r="DB179">
        <f>ROUND(ROUND(AT179*CZ179,2),6)</f>
        <v>0.86</v>
      </c>
      <c r="DC179">
        <f>ROUND(ROUND(AT179*AG179,2),6)</f>
        <v>0</v>
      </c>
      <c r="DD179" t="s">
        <v>3</v>
      </c>
      <c r="DE179" t="s">
        <v>3</v>
      </c>
      <c r="DF179">
        <f>ROUND(ROUND(AE179*AI179,2)*CX179,2)</f>
        <v>287.77999999999997</v>
      </c>
      <c r="DG179">
        <f t="shared" si="91"/>
        <v>0</v>
      </c>
      <c r="DH179">
        <f t="shared" si="92"/>
        <v>0</v>
      </c>
      <c r="DI179">
        <f t="shared" si="77"/>
        <v>0</v>
      </c>
      <c r="DJ179">
        <f>DF179</f>
        <v>287.77999999999997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ROW(Source!A222)</f>
        <v>222</v>
      </c>
      <c r="B180">
        <v>56959431</v>
      </c>
      <c r="C180">
        <v>56959942</v>
      </c>
      <c r="D180">
        <v>56067452</v>
      </c>
      <c r="E180">
        <v>1</v>
      </c>
      <c r="F180">
        <v>1</v>
      </c>
      <c r="G180">
        <v>1080</v>
      </c>
      <c r="H180">
        <v>3</v>
      </c>
      <c r="I180" t="s">
        <v>247</v>
      </c>
      <c r="J180" t="s">
        <v>250</v>
      </c>
      <c r="K180" t="s">
        <v>248</v>
      </c>
      <c r="L180">
        <v>1346</v>
      </c>
      <c r="N180">
        <v>1009</v>
      </c>
      <c r="O180" t="s">
        <v>249</v>
      </c>
      <c r="P180" t="s">
        <v>249</v>
      </c>
      <c r="Q180">
        <v>1</v>
      </c>
      <c r="W180">
        <v>0</v>
      </c>
      <c r="X180">
        <v>1143487818</v>
      </c>
      <c r="Y180">
        <f>AT180</f>
        <v>0.1</v>
      </c>
      <c r="AA180">
        <v>159.13</v>
      </c>
      <c r="AB180">
        <v>0</v>
      </c>
      <c r="AC180">
        <v>0</v>
      </c>
      <c r="AD180">
        <v>0</v>
      </c>
      <c r="AE180">
        <v>31.08</v>
      </c>
      <c r="AF180">
        <v>0</v>
      </c>
      <c r="AG180">
        <v>0</v>
      </c>
      <c r="AH180">
        <v>0</v>
      </c>
      <c r="AI180">
        <v>5.12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0.1</v>
      </c>
      <c r="AU180" t="s">
        <v>3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ROUND(Y180*Source!I222,9)</f>
        <v>1.8</v>
      </c>
      <c r="CY180">
        <f>AA180</f>
        <v>159.13</v>
      </c>
      <c r="CZ180">
        <f>AE180</f>
        <v>31.08</v>
      </c>
      <c r="DA180">
        <f>AI180</f>
        <v>5.12</v>
      </c>
      <c r="DB180">
        <f>ROUND(ROUND(AT180*CZ180,2),6)</f>
        <v>3.11</v>
      </c>
      <c r="DC180">
        <f>ROUND(ROUND(AT180*AG180,2),6)</f>
        <v>0</v>
      </c>
      <c r="DD180" t="s">
        <v>3</v>
      </c>
      <c r="DE180" t="s">
        <v>3</v>
      </c>
      <c r="DF180">
        <f>ROUND(ROUND(AE180*AI180,2)*CX180,2)</f>
        <v>286.43</v>
      </c>
      <c r="DG180">
        <f t="shared" si="91"/>
        <v>0</v>
      </c>
      <c r="DH180">
        <f t="shared" si="92"/>
        <v>0</v>
      </c>
      <c r="DI180">
        <f t="shared" si="77"/>
        <v>0</v>
      </c>
      <c r="DJ180">
        <f>DF180</f>
        <v>286.43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ROW(Source!A235)</f>
        <v>235</v>
      </c>
      <c r="B181">
        <v>56959434</v>
      </c>
      <c r="C181">
        <v>56959966</v>
      </c>
      <c r="D181">
        <v>56018166</v>
      </c>
      <c r="E181">
        <v>1080</v>
      </c>
      <c r="F181">
        <v>1</v>
      </c>
      <c r="G181">
        <v>1080</v>
      </c>
      <c r="H181">
        <v>1</v>
      </c>
      <c r="I181" t="s">
        <v>500</v>
      </c>
      <c r="J181" t="s">
        <v>3</v>
      </c>
      <c r="K181" t="s">
        <v>501</v>
      </c>
      <c r="L181">
        <v>1191</v>
      </c>
      <c r="N181">
        <v>1013</v>
      </c>
      <c r="O181" t="s">
        <v>502</v>
      </c>
      <c r="P181" t="s">
        <v>502</v>
      </c>
      <c r="Q181">
        <v>1</v>
      </c>
      <c r="W181">
        <v>0</v>
      </c>
      <c r="X181">
        <v>476480486</v>
      </c>
      <c r="Y181">
        <f>(AT181*1.1)</f>
        <v>16.5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15</v>
      </c>
      <c r="AU181" t="s">
        <v>23</v>
      </c>
      <c r="AV181">
        <v>1</v>
      </c>
      <c r="AW181">
        <v>2</v>
      </c>
      <c r="AX181">
        <v>56961013</v>
      </c>
      <c r="AY181">
        <v>1</v>
      </c>
      <c r="AZ181">
        <v>0</v>
      </c>
      <c r="BA181">
        <v>219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U181">
        <f>ROUND(AT181*Source!I235*AH181*AL181,2)</f>
        <v>0</v>
      </c>
      <c r="CV181">
        <f>ROUND(Y181*Source!I235,9)</f>
        <v>402.6</v>
      </c>
      <c r="CW181">
        <v>0</v>
      </c>
      <c r="CX181">
        <f>ROUND(Y181*Source!I235,9)</f>
        <v>402.6</v>
      </c>
      <c r="CY181">
        <f>AD181</f>
        <v>0</v>
      </c>
      <c r="CZ181">
        <f>AH181</f>
        <v>0</v>
      </c>
      <c r="DA181">
        <f>AL181</f>
        <v>1</v>
      </c>
      <c r="DB181">
        <f>ROUND((ROUND(AT181*CZ181,2)*1.1),6)</f>
        <v>0</v>
      </c>
      <c r="DC181">
        <f>ROUND((ROUND(AT181*AG181,2)*1.1),6)</f>
        <v>0</v>
      </c>
      <c r="DD181" t="s">
        <v>3</v>
      </c>
      <c r="DE181" t="s">
        <v>3</v>
      </c>
      <c r="DF181">
        <f>ROUND(ROUND(AE181,2)*CX181,2)</f>
        <v>0</v>
      </c>
      <c r="DG181">
        <f t="shared" si="91"/>
        <v>0</v>
      </c>
      <c r="DH181">
        <f t="shared" si="92"/>
        <v>0</v>
      </c>
      <c r="DI181">
        <f t="shared" si="77"/>
        <v>0</v>
      </c>
      <c r="DJ181">
        <f>DI181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ROW(Source!A235)</f>
        <v>235</v>
      </c>
      <c r="B182">
        <v>56959434</v>
      </c>
      <c r="C182">
        <v>56959966</v>
      </c>
      <c r="D182">
        <v>56074647</v>
      </c>
      <c r="E182">
        <v>1</v>
      </c>
      <c r="F182">
        <v>1</v>
      </c>
      <c r="G182">
        <v>1080</v>
      </c>
      <c r="H182">
        <v>3</v>
      </c>
      <c r="I182" t="s">
        <v>82</v>
      </c>
      <c r="J182" t="s">
        <v>85</v>
      </c>
      <c r="K182" t="s">
        <v>83</v>
      </c>
      <c r="L182">
        <v>1301</v>
      </c>
      <c r="N182">
        <v>1003</v>
      </c>
      <c r="O182" t="s">
        <v>84</v>
      </c>
      <c r="P182" t="s">
        <v>84</v>
      </c>
      <c r="Q182">
        <v>1</v>
      </c>
      <c r="W182">
        <v>0</v>
      </c>
      <c r="X182">
        <v>-1305428159</v>
      </c>
      <c r="Y182">
        <f>AT182</f>
        <v>102</v>
      </c>
      <c r="AA182">
        <v>3.45</v>
      </c>
      <c r="AB182">
        <v>0</v>
      </c>
      <c r="AC182">
        <v>0</v>
      </c>
      <c r="AD182">
        <v>0</v>
      </c>
      <c r="AE182">
        <v>3.45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3</v>
      </c>
      <c r="AT182">
        <v>102</v>
      </c>
      <c r="AU182" t="s">
        <v>3</v>
      </c>
      <c r="AV182">
        <v>0</v>
      </c>
      <c r="AW182">
        <v>1</v>
      </c>
      <c r="AX182">
        <v>-1</v>
      </c>
      <c r="AY182">
        <v>0</v>
      </c>
      <c r="AZ182">
        <v>0</v>
      </c>
      <c r="BA182" t="s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ROUND(Y182*Source!I235,9)</f>
        <v>2488.8000000000002</v>
      </c>
      <c r="CY182">
        <f>AA182</f>
        <v>3.45</v>
      </c>
      <c r="CZ182">
        <f>AE182</f>
        <v>3.45</v>
      </c>
      <c r="DA182">
        <f>AI182</f>
        <v>1</v>
      </c>
      <c r="DB182">
        <f>ROUND(ROUND(AT182*CZ182,2),6)</f>
        <v>351.9</v>
      </c>
      <c r="DC182">
        <f>ROUND(ROUND(AT182*AG182,2),6)</f>
        <v>0</v>
      </c>
      <c r="DD182" t="s">
        <v>3</v>
      </c>
      <c r="DE182" t="s">
        <v>3</v>
      </c>
      <c r="DF182">
        <f>ROUND(ROUND(AE182,2)*CX182,2)</f>
        <v>8586.36</v>
      </c>
      <c r="DG182">
        <f t="shared" si="91"/>
        <v>0</v>
      </c>
      <c r="DH182">
        <f t="shared" si="92"/>
        <v>0</v>
      </c>
      <c r="DI182">
        <f t="shared" si="77"/>
        <v>0</v>
      </c>
      <c r="DJ182">
        <f>DF182</f>
        <v>8586.36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ROW(Source!A236)</f>
        <v>236</v>
      </c>
      <c r="B183">
        <v>56959431</v>
      </c>
      <c r="C183">
        <v>56959966</v>
      </c>
      <c r="D183">
        <v>56018166</v>
      </c>
      <c r="E183">
        <v>1080</v>
      </c>
      <c r="F183">
        <v>1</v>
      </c>
      <c r="G183">
        <v>1080</v>
      </c>
      <c r="H183">
        <v>1</v>
      </c>
      <c r="I183" t="s">
        <v>500</v>
      </c>
      <c r="J183" t="s">
        <v>3</v>
      </c>
      <c r="K183" t="s">
        <v>501</v>
      </c>
      <c r="L183">
        <v>1191</v>
      </c>
      <c r="N183">
        <v>1013</v>
      </c>
      <c r="O183" t="s">
        <v>502</v>
      </c>
      <c r="P183" t="s">
        <v>502</v>
      </c>
      <c r="Q183">
        <v>1</v>
      </c>
      <c r="W183">
        <v>0</v>
      </c>
      <c r="X183">
        <v>476480486</v>
      </c>
      <c r="Y183">
        <f>(AT183*1.1)</f>
        <v>16.5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15</v>
      </c>
      <c r="AU183" t="s">
        <v>23</v>
      </c>
      <c r="AV183">
        <v>1</v>
      </c>
      <c r="AW183">
        <v>2</v>
      </c>
      <c r="AX183">
        <v>56961013</v>
      </c>
      <c r="AY183">
        <v>1</v>
      </c>
      <c r="AZ183">
        <v>0</v>
      </c>
      <c r="BA183">
        <v>223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ROUND(AT183*Source!I236*AH183*AL183,2)</f>
        <v>0</v>
      </c>
      <c r="CV183">
        <f>ROUND(Y183*Source!I236,9)</f>
        <v>402.6</v>
      </c>
      <c r="CW183">
        <v>0</v>
      </c>
      <c r="CX183">
        <f>ROUND(Y183*Source!I236,9)</f>
        <v>402.6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ROUND((ROUND(AT183*CZ183,2)*1.1),6)</f>
        <v>0</v>
      </c>
      <c r="DC183">
        <f>ROUND((ROUND(AT183*AG183,2)*1.1),6)</f>
        <v>0</v>
      </c>
      <c r="DD183" t="s">
        <v>3</v>
      </c>
      <c r="DE183" t="s">
        <v>3</v>
      </c>
      <c r="DF183">
        <f>ROUND(ROUND(AE183,2)*CX183,2)</f>
        <v>0</v>
      </c>
      <c r="DG183">
        <f t="shared" si="91"/>
        <v>0</v>
      </c>
      <c r="DH183">
        <f t="shared" si="92"/>
        <v>0</v>
      </c>
      <c r="DI183">
        <f t="shared" si="77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ROW(Source!A236)</f>
        <v>236</v>
      </c>
      <c r="B184">
        <v>56959431</v>
      </c>
      <c r="C184">
        <v>56959966</v>
      </c>
      <c r="D184">
        <v>56074647</v>
      </c>
      <c r="E184">
        <v>1</v>
      </c>
      <c r="F184">
        <v>1</v>
      </c>
      <c r="G184">
        <v>1080</v>
      </c>
      <c r="H184">
        <v>3</v>
      </c>
      <c r="I184" t="s">
        <v>82</v>
      </c>
      <c r="J184" t="s">
        <v>85</v>
      </c>
      <c r="K184" t="s">
        <v>83</v>
      </c>
      <c r="L184">
        <v>1301</v>
      </c>
      <c r="N184">
        <v>1003</v>
      </c>
      <c r="O184" t="s">
        <v>84</v>
      </c>
      <c r="P184" t="s">
        <v>84</v>
      </c>
      <c r="Q184">
        <v>1</v>
      </c>
      <c r="W184">
        <v>0</v>
      </c>
      <c r="X184">
        <v>-1305428159</v>
      </c>
      <c r="Y184">
        <f>AT184</f>
        <v>102</v>
      </c>
      <c r="AA184">
        <v>13.56</v>
      </c>
      <c r="AB184">
        <v>0</v>
      </c>
      <c r="AC184">
        <v>0</v>
      </c>
      <c r="AD184">
        <v>0</v>
      </c>
      <c r="AE184">
        <v>3.45</v>
      </c>
      <c r="AF184">
        <v>0</v>
      </c>
      <c r="AG184">
        <v>0</v>
      </c>
      <c r="AH184">
        <v>0</v>
      </c>
      <c r="AI184">
        <v>3.93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 t="s">
        <v>3</v>
      </c>
      <c r="AT184">
        <v>102</v>
      </c>
      <c r="AU184" t="s">
        <v>3</v>
      </c>
      <c r="AV184">
        <v>0</v>
      </c>
      <c r="AW184">
        <v>1</v>
      </c>
      <c r="AX184">
        <v>-1</v>
      </c>
      <c r="AY184">
        <v>0</v>
      </c>
      <c r="AZ184">
        <v>0</v>
      </c>
      <c r="BA184" t="s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ROUND(Y184*Source!I236,9)</f>
        <v>2488.8000000000002</v>
      </c>
      <c r="CY184">
        <f>AA184</f>
        <v>13.56</v>
      </c>
      <c r="CZ184">
        <f>AE184</f>
        <v>3.45</v>
      </c>
      <c r="DA184">
        <f>AI184</f>
        <v>3.93</v>
      </c>
      <c r="DB184">
        <f>ROUND(ROUND(AT184*CZ184,2),6)</f>
        <v>351.9</v>
      </c>
      <c r="DC184">
        <f>ROUND(ROUND(AT184*AG184,2),6)</f>
        <v>0</v>
      </c>
      <c r="DD184" t="s">
        <v>3</v>
      </c>
      <c r="DE184" t="s">
        <v>3</v>
      </c>
      <c r="DF184">
        <f>ROUND(ROUND(AE184*AI184,2)*CX184,2)</f>
        <v>33748.129999999997</v>
      </c>
      <c r="DG184">
        <f t="shared" si="91"/>
        <v>0</v>
      </c>
      <c r="DH184">
        <f t="shared" si="92"/>
        <v>0</v>
      </c>
      <c r="DI184">
        <f t="shared" si="77"/>
        <v>0</v>
      </c>
      <c r="DJ184">
        <f>DF184</f>
        <v>33748.129999999997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ROW(Source!A239)</f>
        <v>239</v>
      </c>
      <c r="B185">
        <v>56959434</v>
      </c>
      <c r="C185">
        <v>56959974</v>
      </c>
      <c r="D185">
        <v>56018166</v>
      </c>
      <c r="E185">
        <v>1080</v>
      </c>
      <c r="F185">
        <v>1</v>
      </c>
      <c r="G185">
        <v>1080</v>
      </c>
      <c r="H185">
        <v>1</v>
      </c>
      <c r="I185" t="s">
        <v>500</v>
      </c>
      <c r="J185" t="s">
        <v>3</v>
      </c>
      <c r="K185" t="s">
        <v>501</v>
      </c>
      <c r="L185">
        <v>1191</v>
      </c>
      <c r="N185">
        <v>1013</v>
      </c>
      <c r="O185" t="s">
        <v>502</v>
      </c>
      <c r="P185" t="s">
        <v>502</v>
      </c>
      <c r="Q185">
        <v>1</v>
      </c>
      <c r="W185">
        <v>0</v>
      </c>
      <c r="X185">
        <v>476480486</v>
      </c>
      <c r="Y185">
        <f>(AT185*1.1)</f>
        <v>4.9390000000000009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4.49</v>
      </c>
      <c r="AU185" t="s">
        <v>23</v>
      </c>
      <c r="AV185">
        <v>1</v>
      </c>
      <c r="AW185">
        <v>2</v>
      </c>
      <c r="AX185">
        <v>56961017</v>
      </c>
      <c r="AY185">
        <v>1</v>
      </c>
      <c r="AZ185">
        <v>0</v>
      </c>
      <c r="BA185">
        <v>227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U185">
        <f>ROUND(AT185*Source!I239*AH185*AL185,2)</f>
        <v>0</v>
      </c>
      <c r="CV185">
        <f>ROUND(Y185*Source!I239,9)</f>
        <v>74.084999999999994</v>
      </c>
      <c r="CW185">
        <v>0</v>
      </c>
      <c r="CX185">
        <f>ROUND(Y185*Source!I239,9)</f>
        <v>74.084999999999994</v>
      </c>
      <c r="CY185">
        <f>AD185</f>
        <v>0</v>
      </c>
      <c r="CZ185">
        <f>AH185</f>
        <v>0</v>
      </c>
      <c r="DA185">
        <f>AL185</f>
        <v>1</v>
      </c>
      <c r="DB185">
        <f>ROUND((ROUND(AT185*CZ185,2)*1.1),6)</f>
        <v>0</v>
      </c>
      <c r="DC185">
        <f>ROUND((ROUND(AT185*AG185,2)*1.1),6)</f>
        <v>0</v>
      </c>
      <c r="DD185" t="s">
        <v>3</v>
      </c>
      <c r="DE185" t="s">
        <v>3</v>
      </c>
      <c r="DF185">
        <f t="shared" ref="DF185:DF197" si="93">ROUND(ROUND(AE185,2)*CX185,2)</f>
        <v>0</v>
      </c>
      <c r="DG185">
        <f t="shared" si="91"/>
        <v>0</v>
      </c>
      <c r="DH185">
        <f t="shared" si="92"/>
        <v>0</v>
      </c>
      <c r="DI185">
        <f t="shared" si="77"/>
        <v>0</v>
      </c>
      <c r="DJ185">
        <f>DI185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ROW(Source!A239)</f>
        <v>239</v>
      </c>
      <c r="B186">
        <v>56959434</v>
      </c>
      <c r="C186">
        <v>56959974</v>
      </c>
      <c r="D186">
        <v>56092340</v>
      </c>
      <c r="E186">
        <v>1</v>
      </c>
      <c r="F186">
        <v>1</v>
      </c>
      <c r="G186">
        <v>1080</v>
      </c>
      <c r="H186">
        <v>2</v>
      </c>
      <c r="I186" t="s">
        <v>503</v>
      </c>
      <c r="J186" t="s">
        <v>504</v>
      </c>
      <c r="K186" t="s">
        <v>505</v>
      </c>
      <c r="L186">
        <v>1368</v>
      </c>
      <c r="N186">
        <v>1011</v>
      </c>
      <c r="O186" t="s">
        <v>506</v>
      </c>
      <c r="P186" t="s">
        <v>506</v>
      </c>
      <c r="Q186">
        <v>1</v>
      </c>
      <c r="W186">
        <v>0</v>
      </c>
      <c r="X186">
        <v>-1985943078</v>
      </c>
      <c r="Y186">
        <f>(AT186*1.1)</f>
        <v>1.1000000000000001E-2</v>
      </c>
      <c r="AA186">
        <v>0</v>
      </c>
      <c r="AB186">
        <v>87.01</v>
      </c>
      <c r="AC186">
        <v>13.21</v>
      </c>
      <c r="AD186">
        <v>0</v>
      </c>
      <c r="AE186">
        <v>0</v>
      </c>
      <c r="AF186">
        <v>83.1</v>
      </c>
      <c r="AG186">
        <v>12.62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0.01</v>
      </c>
      <c r="AU186" t="s">
        <v>23</v>
      </c>
      <c r="AV186">
        <v>0</v>
      </c>
      <c r="AW186">
        <v>2</v>
      </c>
      <c r="AX186">
        <v>56961018</v>
      </c>
      <c r="AY186">
        <v>1</v>
      </c>
      <c r="AZ186">
        <v>0</v>
      </c>
      <c r="BA186">
        <v>228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ROUND(Y186*Source!I239*DO186,9)</f>
        <v>2.0823</v>
      </c>
      <c r="CX186">
        <f>ROUND(Y186*Source!I239,9)</f>
        <v>0.16500000000000001</v>
      </c>
      <c r="CY186">
        <f>AB186</f>
        <v>87.01</v>
      </c>
      <c r="CZ186">
        <f>AF186</f>
        <v>83.1</v>
      </c>
      <c r="DA186">
        <f>AJ186</f>
        <v>1</v>
      </c>
      <c r="DB186">
        <f>ROUND((ROUND(AT186*CZ186,2)*1.1),6)</f>
        <v>0.91300000000000003</v>
      </c>
      <c r="DC186">
        <f>ROUND((ROUND(AT186*AG186,2)*1.1),6)</f>
        <v>0.14299999999999999</v>
      </c>
      <c r="DD186" t="s">
        <v>3</v>
      </c>
      <c r="DE186" t="s">
        <v>3</v>
      </c>
      <c r="DF186">
        <f t="shared" si="93"/>
        <v>0</v>
      </c>
      <c r="DG186">
        <f t="shared" si="91"/>
        <v>13.71</v>
      </c>
      <c r="DH186">
        <f t="shared" si="92"/>
        <v>2.08</v>
      </c>
      <c r="DI186">
        <f t="shared" si="77"/>
        <v>0</v>
      </c>
      <c r="DJ186">
        <f>DG186</f>
        <v>13.71</v>
      </c>
      <c r="DK186">
        <v>0</v>
      </c>
      <c r="DL186" t="s">
        <v>507</v>
      </c>
      <c r="DM186">
        <v>0</v>
      </c>
      <c r="DN186" t="s">
        <v>502</v>
      </c>
      <c r="DO186">
        <v>12.62</v>
      </c>
    </row>
    <row r="187" spans="1:119" x14ac:dyDescent="0.2">
      <c r="A187">
        <f>ROW(Source!A239)</f>
        <v>239</v>
      </c>
      <c r="B187">
        <v>56959434</v>
      </c>
      <c r="C187">
        <v>56959974</v>
      </c>
      <c r="D187">
        <v>56091576</v>
      </c>
      <c r="E187">
        <v>1</v>
      </c>
      <c r="F187">
        <v>1</v>
      </c>
      <c r="G187">
        <v>1080</v>
      </c>
      <c r="H187">
        <v>2</v>
      </c>
      <c r="I187" t="s">
        <v>529</v>
      </c>
      <c r="J187" t="s">
        <v>530</v>
      </c>
      <c r="K187" t="s">
        <v>531</v>
      </c>
      <c r="L187">
        <v>1368</v>
      </c>
      <c r="N187">
        <v>1011</v>
      </c>
      <c r="O187" t="s">
        <v>506</v>
      </c>
      <c r="P187" t="s">
        <v>506</v>
      </c>
      <c r="Q187">
        <v>1</v>
      </c>
      <c r="W187">
        <v>0</v>
      </c>
      <c r="X187">
        <v>1087580389</v>
      </c>
      <c r="Y187">
        <f>(AT187*1.1)</f>
        <v>1.1000000000000001E-2</v>
      </c>
      <c r="AA187">
        <v>0</v>
      </c>
      <c r="AB187">
        <v>187.59</v>
      </c>
      <c r="AC187">
        <v>17.73</v>
      </c>
      <c r="AD187">
        <v>0</v>
      </c>
      <c r="AE187">
        <v>0</v>
      </c>
      <c r="AF187">
        <v>179.17</v>
      </c>
      <c r="AG187">
        <v>16.93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0.01</v>
      </c>
      <c r="AU187" t="s">
        <v>23</v>
      </c>
      <c r="AV187">
        <v>0</v>
      </c>
      <c r="AW187">
        <v>2</v>
      </c>
      <c r="AX187">
        <v>56961019</v>
      </c>
      <c r="AY187">
        <v>1</v>
      </c>
      <c r="AZ187">
        <v>0</v>
      </c>
      <c r="BA187">
        <v>229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f>ROUND(Y187*Source!I239*DO187,9)</f>
        <v>2.79345</v>
      </c>
      <c r="CX187">
        <f>ROUND(Y187*Source!I239,9)</f>
        <v>0.16500000000000001</v>
      </c>
      <c r="CY187">
        <f>AB187</f>
        <v>187.59</v>
      </c>
      <c r="CZ187">
        <f>AF187</f>
        <v>179.17</v>
      </c>
      <c r="DA187">
        <f>AJ187</f>
        <v>1</v>
      </c>
      <c r="DB187">
        <f>ROUND((ROUND(AT187*CZ187,2)*1.1),6)</f>
        <v>1.9690000000000001</v>
      </c>
      <c r="DC187">
        <f>ROUND((ROUND(AT187*AG187,2)*1.1),6)</f>
        <v>0.187</v>
      </c>
      <c r="DD187" t="s">
        <v>3</v>
      </c>
      <c r="DE187" t="s">
        <v>3</v>
      </c>
      <c r="DF187">
        <f t="shared" si="93"/>
        <v>0</v>
      </c>
      <c r="DG187">
        <f t="shared" si="91"/>
        <v>29.56</v>
      </c>
      <c r="DH187">
        <f t="shared" si="92"/>
        <v>2.79</v>
      </c>
      <c r="DI187">
        <f t="shared" si="77"/>
        <v>0</v>
      </c>
      <c r="DJ187">
        <f>DG187</f>
        <v>29.56</v>
      </c>
      <c r="DK187">
        <v>0</v>
      </c>
      <c r="DL187" t="s">
        <v>507</v>
      </c>
      <c r="DM187">
        <v>0</v>
      </c>
      <c r="DN187" t="s">
        <v>502</v>
      </c>
      <c r="DO187">
        <v>16.93</v>
      </c>
    </row>
    <row r="188" spans="1:119" x14ac:dyDescent="0.2">
      <c r="A188">
        <f>ROW(Source!A239)</f>
        <v>239</v>
      </c>
      <c r="B188">
        <v>56959434</v>
      </c>
      <c r="C188">
        <v>56959974</v>
      </c>
      <c r="D188">
        <v>56061373</v>
      </c>
      <c r="E188">
        <v>1</v>
      </c>
      <c r="F188">
        <v>1</v>
      </c>
      <c r="G188">
        <v>1080</v>
      </c>
      <c r="H188">
        <v>3</v>
      </c>
      <c r="I188" t="s">
        <v>532</v>
      </c>
      <c r="J188" t="s">
        <v>533</v>
      </c>
      <c r="K188" t="s">
        <v>534</v>
      </c>
      <c r="L188">
        <v>1346</v>
      </c>
      <c r="N188">
        <v>1009</v>
      </c>
      <c r="O188" t="s">
        <v>249</v>
      </c>
      <c r="P188" t="s">
        <v>249</v>
      </c>
      <c r="Q188">
        <v>1</v>
      </c>
      <c r="W188">
        <v>0</v>
      </c>
      <c r="X188">
        <v>1770006655</v>
      </c>
      <c r="Y188">
        <f t="shared" ref="Y188:Y194" si="94">AT188</f>
        <v>0.43</v>
      </c>
      <c r="AA188">
        <v>1.38</v>
      </c>
      <c r="AB188">
        <v>0</v>
      </c>
      <c r="AC188">
        <v>0</v>
      </c>
      <c r="AD188">
        <v>0</v>
      </c>
      <c r="AE188">
        <v>1.38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0.43</v>
      </c>
      <c r="AU188" t="s">
        <v>3</v>
      </c>
      <c r="AV188">
        <v>0</v>
      </c>
      <c r="AW188">
        <v>2</v>
      </c>
      <c r="AX188">
        <v>56961020</v>
      </c>
      <c r="AY188">
        <v>1</v>
      </c>
      <c r="AZ188">
        <v>0</v>
      </c>
      <c r="BA188">
        <v>230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ROUND(Y188*Source!I239,9)</f>
        <v>6.45</v>
      </c>
      <c r="CY188">
        <f t="shared" ref="CY188:CY194" si="95">AA188</f>
        <v>1.38</v>
      </c>
      <c r="CZ188">
        <f t="shared" ref="CZ188:CZ194" si="96">AE188</f>
        <v>1.38</v>
      </c>
      <c r="DA188">
        <f t="shared" ref="DA188:DA194" si="97">AI188</f>
        <v>1</v>
      </c>
      <c r="DB188">
        <f t="shared" ref="DB188:DB194" si="98">ROUND(ROUND(AT188*CZ188,2),6)</f>
        <v>0.59</v>
      </c>
      <c r="DC188">
        <f t="shared" ref="DC188:DC194" si="99">ROUND(ROUND(AT188*AG188,2),6)</f>
        <v>0</v>
      </c>
      <c r="DD188" t="s">
        <v>3</v>
      </c>
      <c r="DE188" t="s">
        <v>3</v>
      </c>
      <c r="DF188">
        <f t="shared" si="93"/>
        <v>8.9</v>
      </c>
      <c r="DG188">
        <f t="shared" si="91"/>
        <v>0</v>
      </c>
      <c r="DH188">
        <f t="shared" si="92"/>
        <v>0</v>
      </c>
      <c r="DI188">
        <f t="shared" si="77"/>
        <v>0</v>
      </c>
      <c r="DJ188">
        <f t="shared" ref="DJ188:DJ194" si="100">DF188</f>
        <v>8.9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ROW(Source!A239)</f>
        <v>239</v>
      </c>
      <c r="B189">
        <v>56959434</v>
      </c>
      <c r="C189">
        <v>56959974</v>
      </c>
      <c r="D189">
        <v>56061764</v>
      </c>
      <c r="E189">
        <v>1</v>
      </c>
      <c r="F189">
        <v>1</v>
      </c>
      <c r="G189">
        <v>1080</v>
      </c>
      <c r="H189">
        <v>3</v>
      </c>
      <c r="I189" t="s">
        <v>535</v>
      </c>
      <c r="J189" t="s">
        <v>536</v>
      </c>
      <c r="K189" t="s">
        <v>537</v>
      </c>
      <c r="L189">
        <v>1346</v>
      </c>
      <c r="N189">
        <v>1009</v>
      </c>
      <c r="O189" t="s">
        <v>249</v>
      </c>
      <c r="P189" t="s">
        <v>249</v>
      </c>
      <c r="Q189">
        <v>1</v>
      </c>
      <c r="W189">
        <v>0</v>
      </c>
      <c r="X189">
        <v>-878159893</v>
      </c>
      <c r="Y189">
        <f t="shared" si="94"/>
        <v>0.16</v>
      </c>
      <c r="AA189">
        <v>159.06</v>
      </c>
      <c r="AB189">
        <v>0</v>
      </c>
      <c r="AC189">
        <v>0</v>
      </c>
      <c r="AD189">
        <v>0</v>
      </c>
      <c r="AE189">
        <v>159.06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0.16</v>
      </c>
      <c r="AU189" t="s">
        <v>3</v>
      </c>
      <c r="AV189">
        <v>0</v>
      </c>
      <c r="AW189">
        <v>2</v>
      </c>
      <c r="AX189">
        <v>56961021</v>
      </c>
      <c r="AY189">
        <v>1</v>
      </c>
      <c r="AZ189">
        <v>0</v>
      </c>
      <c r="BA189">
        <v>231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ROUND(Y189*Source!I239,9)</f>
        <v>2.4</v>
      </c>
      <c r="CY189">
        <f t="shared" si="95"/>
        <v>159.06</v>
      </c>
      <c r="CZ189">
        <f t="shared" si="96"/>
        <v>159.06</v>
      </c>
      <c r="DA189">
        <f t="shared" si="97"/>
        <v>1</v>
      </c>
      <c r="DB189">
        <f t="shared" si="98"/>
        <v>25.45</v>
      </c>
      <c r="DC189">
        <f t="shared" si="99"/>
        <v>0</v>
      </c>
      <c r="DD189" t="s">
        <v>3</v>
      </c>
      <c r="DE189" t="s">
        <v>3</v>
      </c>
      <c r="DF189">
        <f t="shared" si="93"/>
        <v>381.74</v>
      </c>
      <c r="DG189">
        <f t="shared" si="91"/>
        <v>0</v>
      </c>
      <c r="DH189">
        <f t="shared" si="92"/>
        <v>0</v>
      </c>
      <c r="DI189">
        <f t="shared" si="77"/>
        <v>0</v>
      </c>
      <c r="DJ189">
        <f t="shared" si="100"/>
        <v>381.74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ROW(Source!A239)</f>
        <v>239</v>
      </c>
      <c r="B190">
        <v>56959434</v>
      </c>
      <c r="C190">
        <v>56959974</v>
      </c>
      <c r="D190">
        <v>56084707</v>
      </c>
      <c r="E190">
        <v>1</v>
      </c>
      <c r="F190">
        <v>1</v>
      </c>
      <c r="G190">
        <v>1080</v>
      </c>
      <c r="H190">
        <v>3</v>
      </c>
      <c r="I190" t="s">
        <v>538</v>
      </c>
      <c r="J190" t="s">
        <v>539</v>
      </c>
      <c r="K190" t="s">
        <v>540</v>
      </c>
      <c r="L190">
        <v>1355</v>
      </c>
      <c r="N190">
        <v>1010</v>
      </c>
      <c r="O190" t="s">
        <v>520</v>
      </c>
      <c r="P190" t="s">
        <v>520</v>
      </c>
      <c r="Q190">
        <v>100</v>
      </c>
      <c r="W190">
        <v>0</v>
      </c>
      <c r="X190">
        <v>-456781043</v>
      </c>
      <c r="Y190">
        <f t="shared" si="94"/>
        <v>0.05</v>
      </c>
      <c r="AA190">
        <v>68.819999999999993</v>
      </c>
      <c r="AB190">
        <v>0</v>
      </c>
      <c r="AC190">
        <v>0</v>
      </c>
      <c r="AD190">
        <v>0</v>
      </c>
      <c r="AE190">
        <v>68.819999999999993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0.05</v>
      </c>
      <c r="AU190" t="s">
        <v>3</v>
      </c>
      <c r="AV190">
        <v>0</v>
      </c>
      <c r="AW190">
        <v>2</v>
      </c>
      <c r="AX190">
        <v>56961022</v>
      </c>
      <c r="AY190">
        <v>1</v>
      </c>
      <c r="AZ190">
        <v>0</v>
      </c>
      <c r="BA190">
        <v>232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ROUND(Y190*Source!I239,9)</f>
        <v>0.75</v>
      </c>
      <c r="CY190">
        <f t="shared" si="95"/>
        <v>68.819999999999993</v>
      </c>
      <c r="CZ190">
        <f t="shared" si="96"/>
        <v>68.819999999999993</v>
      </c>
      <c r="DA190">
        <f t="shared" si="97"/>
        <v>1</v>
      </c>
      <c r="DB190">
        <f t="shared" si="98"/>
        <v>3.44</v>
      </c>
      <c r="DC190">
        <f t="shared" si="99"/>
        <v>0</v>
      </c>
      <c r="DD190" t="s">
        <v>3</v>
      </c>
      <c r="DE190" t="s">
        <v>3</v>
      </c>
      <c r="DF190">
        <f t="shared" si="93"/>
        <v>51.62</v>
      </c>
      <c r="DG190">
        <f t="shared" si="91"/>
        <v>0</v>
      </c>
      <c r="DH190">
        <f t="shared" si="92"/>
        <v>0</v>
      </c>
      <c r="DI190">
        <f t="shared" si="77"/>
        <v>0</v>
      </c>
      <c r="DJ190">
        <f t="shared" si="100"/>
        <v>51.62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ROW(Source!A239)</f>
        <v>239</v>
      </c>
      <c r="B191">
        <v>56959434</v>
      </c>
      <c r="C191">
        <v>56959974</v>
      </c>
      <c r="D191">
        <v>56084718</v>
      </c>
      <c r="E191">
        <v>1</v>
      </c>
      <c r="F191">
        <v>1</v>
      </c>
      <c r="G191">
        <v>1080</v>
      </c>
      <c r="H191">
        <v>3</v>
      </c>
      <c r="I191" t="s">
        <v>541</v>
      </c>
      <c r="J191" t="s">
        <v>542</v>
      </c>
      <c r="K191" t="s">
        <v>543</v>
      </c>
      <c r="L191">
        <v>1356</v>
      </c>
      <c r="N191">
        <v>1010</v>
      </c>
      <c r="O191" t="s">
        <v>544</v>
      </c>
      <c r="P191" t="s">
        <v>544</v>
      </c>
      <c r="Q191">
        <v>1000</v>
      </c>
      <c r="W191">
        <v>0</v>
      </c>
      <c r="X191">
        <v>1726193810</v>
      </c>
      <c r="Y191">
        <f t="shared" si="94"/>
        <v>1.2200000000000001E-2</v>
      </c>
      <c r="AA191">
        <v>183.4</v>
      </c>
      <c r="AB191">
        <v>0</v>
      </c>
      <c r="AC191">
        <v>0</v>
      </c>
      <c r="AD191">
        <v>0</v>
      </c>
      <c r="AE191">
        <v>183.4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1.2200000000000001E-2</v>
      </c>
      <c r="AU191" t="s">
        <v>3</v>
      </c>
      <c r="AV191">
        <v>0</v>
      </c>
      <c r="AW191">
        <v>2</v>
      </c>
      <c r="AX191">
        <v>56961023</v>
      </c>
      <c r="AY191">
        <v>1</v>
      </c>
      <c r="AZ191">
        <v>0</v>
      </c>
      <c r="BA191">
        <v>233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ROUND(Y191*Source!I239,9)</f>
        <v>0.183</v>
      </c>
      <c r="CY191">
        <f t="shared" si="95"/>
        <v>183.4</v>
      </c>
      <c r="CZ191">
        <f t="shared" si="96"/>
        <v>183.4</v>
      </c>
      <c r="DA191">
        <f t="shared" si="97"/>
        <v>1</v>
      </c>
      <c r="DB191">
        <f t="shared" si="98"/>
        <v>2.2400000000000002</v>
      </c>
      <c r="DC191">
        <f t="shared" si="99"/>
        <v>0</v>
      </c>
      <c r="DD191" t="s">
        <v>3</v>
      </c>
      <c r="DE191" t="s">
        <v>3</v>
      </c>
      <c r="DF191">
        <f t="shared" si="93"/>
        <v>33.56</v>
      </c>
      <c r="DG191">
        <f t="shared" si="91"/>
        <v>0</v>
      </c>
      <c r="DH191">
        <f t="shared" si="92"/>
        <v>0</v>
      </c>
      <c r="DI191">
        <f t="shared" si="77"/>
        <v>0</v>
      </c>
      <c r="DJ191">
        <f t="shared" si="100"/>
        <v>33.56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ROW(Source!A239)</f>
        <v>239</v>
      </c>
      <c r="B192">
        <v>56959434</v>
      </c>
      <c r="C192">
        <v>56959974</v>
      </c>
      <c r="D192">
        <v>56084044</v>
      </c>
      <c r="E192">
        <v>1</v>
      </c>
      <c r="F192">
        <v>1</v>
      </c>
      <c r="G192">
        <v>1080</v>
      </c>
      <c r="H192">
        <v>3</v>
      </c>
      <c r="I192" t="s">
        <v>545</v>
      </c>
      <c r="J192" t="s">
        <v>546</v>
      </c>
      <c r="K192" t="s">
        <v>547</v>
      </c>
      <c r="L192">
        <v>1354</v>
      </c>
      <c r="N192">
        <v>1010</v>
      </c>
      <c r="O192" t="s">
        <v>31</v>
      </c>
      <c r="P192" t="s">
        <v>31</v>
      </c>
      <c r="Q192">
        <v>1</v>
      </c>
      <c r="W192">
        <v>0</v>
      </c>
      <c r="X192">
        <v>145081611</v>
      </c>
      <c r="Y192">
        <f t="shared" si="94"/>
        <v>3.1</v>
      </c>
      <c r="AA192">
        <v>6.94</v>
      </c>
      <c r="AB192">
        <v>0</v>
      </c>
      <c r="AC192">
        <v>0</v>
      </c>
      <c r="AD192">
        <v>0</v>
      </c>
      <c r="AE192">
        <v>6.94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3.1</v>
      </c>
      <c r="AU192" t="s">
        <v>3</v>
      </c>
      <c r="AV192">
        <v>0</v>
      </c>
      <c r="AW192">
        <v>2</v>
      </c>
      <c r="AX192">
        <v>56961024</v>
      </c>
      <c r="AY192">
        <v>1</v>
      </c>
      <c r="AZ192">
        <v>0</v>
      </c>
      <c r="BA192">
        <v>234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ROUND(Y192*Source!I239,9)</f>
        <v>46.5</v>
      </c>
      <c r="CY192">
        <f t="shared" si="95"/>
        <v>6.94</v>
      </c>
      <c r="CZ192">
        <f t="shared" si="96"/>
        <v>6.94</v>
      </c>
      <c r="DA192">
        <f t="shared" si="97"/>
        <v>1</v>
      </c>
      <c r="DB192">
        <f t="shared" si="98"/>
        <v>21.51</v>
      </c>
      <c r="DC192">
        <f t="shared" si="99"/>
        <v>0</v>
      </c>
      <c r="DD192" t="s">
        <v>3</v>
      </c>
      <c r="DE192" t="s">
        <v>3</v>
      </c>
      <c r="DF192">
        <f t="shared" si="93"/>
        <v>322.70999999999998</v>
      </c>
      <c r="DG192">
        <f t="shared" si="91"/>
        <v>0</v>
      </c>
      <c r="DH192">
        <f t="shared" si="92"/>
        <v>0</v>
      </c>
      <c r="DI192">
        <f t="shared" si="77"/>
        <v>0</v>
      </c>
      <c r="DJ192">
        <f t="shared" si="100"/>
        <v>322.70999999999998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ROW(Source!A239)</f>
        <v>239</v>
      </c>
      <c r="B193">
        <v>56959434</v>
      </c>
      <c r="C193">
        <v>56959974</v>
      </c>
      <c r="D193">
        <v>56084051</v>
      </c>
      <c r="E193">
        <v>1</v>
      </c>
      <c r="F193">
        <v>1</v>
      </c>
      <c r="G193">
        <v>1080</v>
      </c>
      <c r="H193">
        <v>3</v>
      </c>
      <c r="I193" t="s">
        <v>548</v>
      </c>
      <c r="J193" t="s">
        <v>549</v>
      </c>
      <c r="K193" t="s">
        <v>550</v>
      </c>
      <c r="L193">
        <v>1356</v>
      </c>
      <c r="N193">
        <v>1010</v>
      </c>
      <c r="O193" t="s">
        <v>544</v>
      </c>
      <c r="P193" t="s">
        <v>544</v>
      </c>
      <c r="Q193">
        <v>1000</v>
      </c>
      <c r="W193">
        <v>0</v>
      </c>
      <c r="X193">
        <v>-1715273674</v>
      </c>
      <c r="Y193">
        <f t="shared" si="94"/>
        <v>8.0000000000000002E-3</v>
      </c>
      <c r="AA193">
        <v>614.09</v>
      </c>
      <c r="AB193">
        <v>0</v>
      </c>
      <c r="AC193">
        <v>0</v>
      </c>
      <c r="AD193">
        <v>0</v>
      </c>
      <c r="AE193">
        <v>614.09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8.0000000000000002E-3</v>
      </c>
      <c r="AU193" t="s">
        <v>3</v>
      </c>
      <c r="AV193">
        <v>0</v>
      </c>
      <c r="AW193">
        <v>2</v>
      </c>
      <c r="AX193">
        <v>56961025</v>
      </c>
      <c r="AY193">
        <v>1</v>
      </c>
      <c r="AZ193">
        <v>0</v>
      </c>
      <c r="BA193">
        <v>235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ROUND(Y193*Source!I239,9)</f>
        <v>0.12</v>
      </c>
      <c r="CY193">
        <f t="shared" si="95"/>
        <v>614.09</v>
      </c>
      <c r="CZ193">
        <f t="shared" si="96"/>
        <v>614.09</v>
      </c>
      <c r="DA193">
        <f t="shared" si="97"/>
        <v>1</v>
      </c>
      <c r="DB193">
        <f t="shared" si="98"/>
        <v>4.91</v>
      </c>
      <c r="DC193">
        <f t="shared" si="99"/>
        <v>0</v>
      </c>
      <c r="DD193" t="s">
        <v>3</v>
      </c>
      <c r="DE193" t="s">
        <v>3</v>
      </c>
      <c r="DF193">
        <f t="shared" si="93"/>
        <v>73.69</v>
      </c>
      <c r="DG193">
        <f t="shared" si="91"/>
        <v>0</v>
      </c>
      <c r="DH193">
        <f t="shared" si="92"/>
        <v>0</v>
      </c>
      <c r="DI193">
        <f t="shared" ref="DI193:DI256" si="101">ROUND(ROUND(AH193,2)*CX193,2)</f>
        <v>0</v>
      </c>
      <c r="DJ193">
        <f t="shared" si="100"/>
        <v>73.69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ROW(Source!A239)</f>
        <v>239</v>
      </c>
      <c r="B194">
        <v>56959434</v>
      </c>
      <c r="C194">
        <v>56959974</v>
      </c>
      <c r="D194">
        <v>56089909</v>
      </c>
      <c r="E194">
        <v>1</v>
      </c>
      <c r="F194">
        <v>1</v>
      </c>
      <c r="G194">
        <v>1080</v>
      </c>
      <c r="H194">
        <v>3</v>
      </c>
      <c r="I194" t="s">
        <v>195</v>
      </c>
      <c r="J194" t="s">
        <v>197</v>
      </c>
      <c r="K194" t="s">
        <v>196</v>
      </c>
      <c r="L194">
        <v>1303</v>
      </c>
      <c r="N194">
        <v>1003</v>
      </c>
      <c r="O194" t="s">
        <v>108</v>
      </c>
      <c r="P194" t="s">
        <v>108</v>
      </c>
      <c r="Q194">
        <v>1000</v>
      </c>
      <c r="W194">
        <v>0</v>
      </c>
      <c r="X194">
        <v>-451984637</v>
      </c>
      <c r="Y194">
        <f t="shared" si="94"/>
        <v>0.10299999999999999</v>
      </c>
      <c r="AA194">
        <v>4535.74</v>
      </c>
      <c r="AB194">
        <v>0</v>
      </c>
      <c r="AC194">
        <v>0</v>
      </c>
      <c r="AD194">
        <v>0</v>
      </c>
      <c r="AE194">
        <v>4535.74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 t="s">
        <v>3</v>
      </c>
      <c r="AT194">
        <v>0.10299999999999999</v>
      </c>
      <c r="AU194" t="s">
        <v>3</v>
      </c>
      <c r="AV194">
        <v>0</v>
      </c>
      <c r="AW194">
        <v>1</v>
      </c>
      <c r="AX194">
        <v>-1</v>
      </c>
      <c r="AY194">
        <v>0</v>
      </c>
      <c r="AZ194">
        <v>0</v>
      </c>
      <c r="BA194" t="s">
        <v>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ROUND(Y194*Source!I239,9)</f>
        <v>1.5449999999999999</v>
      </c>
      <c r="CY194">
        <f t="shared" si="95"/>
        <v>4535.74</v>
      </c>
      <c r="CZ194">
        <f t="shared" si="96"/>
        <v>4535.74</v>
      </c>
      <c r="DA194">
        <f t="shared" si="97"/>
        <v>1</v>
      </c>
      <c r="DB194">
        <f t="shared" si="98"/>
        <v>467.18</v>
      </c>
      <c r="DC194">
        <f t="shared" si="99"/>
        <v>0</v>
      </c>
      <c r="DD194" t="s">
        <v>3</v>
      </c>
      <c r="DE194" t="s">
        <v>3</v>
      </c>
      <c r="DF194">
        <f t="shared" si="93"/>
        <v>7007.72</v>
      </c>
      <c r="DG194">
        <f t="shared" si="91"/>
        <v>0</v>
      </c>
      <c r="DH194">
        <f t="shared" si="92"/>
        <v>0</v>
      </c>
      <c r="DI194">
        <f t="shared" si="101"/>
        <v>0</v>
      </c>
      <c r="DJ194">
        <f t="shared" si="100"/>
        <v>7007.72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ROW(Source!A240)</f>
        <v>240</v>
      </c>
      <c r="B195">
        <v>56959431</v>
      </c>
      <c r="C195">
        <v>56959974</v>
      </c>
      <c r="D195">
        <v>56018166</v>
      </c>
      <c r="E195">
        <v>1080</v>
      </c>
      <c r="F195">
        <v>1</v>
      </c>
      <c r="G195">
        <v>1080</v>
      </c>
      <c r="H195">
        <v>1</v>
      </c>
      <c r="I195" t="s">
        <v>500</v>
      </c>
      <c r="J195" t="s">
        <v>3</v>
      </c>
      <c r="K195" t="s">
        <v>501</v>
      </c>
      <c r="L195">
        <v>1191</v>
      </c>
      <c r="N195">
        <v>1013</v>
      </c>
      <c r="O195" t="s">
        <v>502</v>
      </c>
      <c r="P195" t="s">
        <v>502</v>
      </c>
      <c r="Q195">
        <v>1</v>
      </c>
      <c r="W195">
        <v>0</v>
      </c>
      <c r="X195">
        <v>476480486</v>
      </c>
      <c r="Y195">
        <f>(AT195*1.1)</f>
        <v>4.9390000000000009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5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4.49</v>
      </c>
      <c r="AU195" t="s">
        <v>23</v>
      </c>
      <c r="AV195">
        <v>1</v>
      </c>
      <c r="AW195">
        <v>2</v>
      </c>
      <c r="AX195">
        <v>56961017</v>
      </c>
      <c r="AY195">
        <v>1</v>
      </c>
      <c r="AZ195">
        <v>0</v>
      </c>
      <c r="BA195">
        <v>237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U195">
        <f>ROUND(AT195*Source!I240*AH195*AL195,2)</f>
        <v>0</v>
      </c>
      <c r="CV195">
        <f>ROUND(Y195*Source!I240,9)</f>
        <v>74.084999999999994</v>
      </c>
      <c r="CW195">
        <v>0</v>
      </c>
      <c r="CX195">
        <f>ROUND(Y195*Source!I240,9)</f>
        <v>74.084999999999994</v>
      </c>
      <c r="CY195">
        <f>AD195</f>
        <v>0</v>
      </c>
      <c r="CZ195">
        <f>AH195</f>
        <v>0</v>
      </c>
      <c r="DA195">
        <f>AL195</f>
        <v>1</v>
      </c>
      <c r="DB195">
        <f>ROUND((ROUND(AT195*CZ195,2)*1.1),6)</f>
        <v>0</v>
      </c>
      <c r="DC195">
        <f>ROUND((ROUND(AT195*AG195,2)*1.1),6)</f>
        <v>0</v>
      </c>
      <c r="DD195" t="s">
        <v>3</v>
      </c>
      <c r="DE195" t="s">
        <v>3</v>
      </c>
      <c r="DF195">
        <f t="shared" si="93"/>
        <v>0</v>
      </c>
      <c r="DG195">
        <f t="shared" si="91"/>
        <v>0</v>
      </c>
      <c r="DH195">
        <f t="shared" si="92"/>
        <v>0</v>
      </c>
      <c r="DI195">
        <f t="shared" si="101"/>
        <v>0</v>
      </c>
      <c r="DJ195">
        <f>DI195</f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ROW(Source!A240)</f>
        <v>240</v>
      </c>
      <c r="B196">
        <v>56959431</v>
      </c>
      <c r="C196">
        <v>56959974</v>
      </c>
      <c r="D196">
        <v>56092340</v>
      </c>
      <c r="E196">
        <v>1</v>
      </c>
      <c r="F196">
        <v>1</v>
      </c>
      <c r="G196">
        <v>1080</v>
      </c>
      <c r="H196">
        <v>2</v>
      </c>
      <c r="I196" t="s">
        <v>503</v>
      </c>
      <c r="J196" t="s">
        <v>504</v>
      </c>
      <c r="K196" t="s">
        <v>505</v>
      </c>
      <c r="L196">
        <v>1368</v>
      </c>
      <c r="N196">
        <v>1011</v>
      </c>
      <c r="O196" t="s">
        <v>506</v>
      </c>
      <c r="P196" t="s">
        <v>506</v>
      </c>
      <c r="Q196">
        <v>1</v>
      </c>
      <c r="W196">
        <v>0</v>
      </c>
      <c r="X196">
        <v>-1985943078</v>
      </c>
      <c r="Y196">
        <f>(AT196*1.1)</f>
        <v>1.1000000000000001E-2</v>
      </c>
      <c r="AA196">
        <v>0</v>
      </c>
      <c r="AB196">
        <v>1418.19</v>
      </c>
      <c r="AC196">
        <v>726.59</v>
      </c>
      <c r="AD196">
        <v>0</v>
      </c>
      <c r="AE196">
        <v>0</v>
      </c>
      <c r="AF196">
        <v>83.1</v>
      </c>
      <c r="AG196">
        <v>12.62</v>
      </c>
      <c r="AH196">
        <v>0</v>
      </c>
      <c r="AI196">
        <v>1</v>
      </c>
      <c r="AJ196">
        <v>16.3</v>
      </c>
      <c r="AK196">
        <v>54.99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0.01</v>
      </c>
      <c r="AU196" t="s">
        <v>23</v>
      </c>
      <c r="AV196">
        <v>0</v>
      </c>
      <c r="AW196">
        <v>2</v>
      </c>
      <c r="AX196">
        <v>56961018</v>
      </c>
      <c r="AY196">
        <v>1</v>
      </c>
      <c r="AZ196">
        <v>0</v>
      </c>
      <c r="BA196">
        <v>238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ROUND(Y196*Source!I240*DO196,9)</f>
        <v>2.0823</v>
      </c>
      <c r="CX196">
        <f>ROUND(Y196*Source!I240,9)</f>
        <v>0.16500000000000001</v>
      </c>
      <c r="CY196">
        <f>AB196</f>
        <v>1418.19</v>
      </c>
      <c r="CZ196">
        <f>AF196</f>
        <v>83.1</v>
      </c>
      <c r="DA196">
        <f>AJ196</f>
        <v>16.3</v>
      </c>
      <c r="DB196">
        <f>ROUND((ROUND(AT196*CZ196,2)*1.1),6)</f>
        <v>0.91300000000000003</v>
      </c>
      <c r="DC196">
        <f>ROUND((ROUND(AT196*AG196,2)*1.1),6)</f>
        <v>0.14299999999999999</v>
      </c>
      <c r="DD196" t="s">
        <v>3</v>
      </c>
      <c r="DE196" t="s">
        <v>3</v>
      </c>
      <c r="DF196">
        <f t="shared" si="93"/>
        <v>0</v>
      </c>
      <c r="DG196">
        <f>ROUND(ROUND(AF196*AJ196,2)*CX196,2)</f>
        <v>223.5</v>
      </c>
      <c r="DH196">
        <f>ROUND(ROUND(AG196*AK196,2)*CX196,2)</f>
        <v>114.51</v>
      </c>
      <c r="DI196">
        <f t="shared" si="101"/>
        <v>0</v>
      </c>
      <c r="DJ196">
        <f>DG196</f>
        <v>223.5</v>
      </c>
      <c r="DK196">
        <v>0</v>
      </c>
      <c r="DL196" t="s">
        <v>507</v>
      </c>
      <c r="DM196">
        <v>0</v>
      </c>
      <c r="DN196" t="s">
        <v>502</v>
      </c>
      <c r="DO196">
        <v>12.62</v>
      </c>
    </row>
    <row r="197" spans="1:119" x14ac:dyDescent="0.2">
      <c r="A197">
        <f>ROW(Source!A240)</f>
        <v>240</v>
      </c>
      <c r="B197">
        <v>56959431</v>
      </c>
      <c r="C197">
        <v>56959974</v>
      </c>
      <c r="D197">
        <v>56091576</v>
      </c>
      <c r="E197">
        <v>1</v>
      </c>
      <c r="F197">
        <v>1</v>
      </c>
      <c r="G197">
        <v>1080</v>
      </c>
      <c r="H197">
        <v>2</v>
      </c>
      <c r="I197" t="s">
        <v>529</v>
      </c>
      <c r="J197" t="s">
        <v>530</v>
      </c>
      <c r="K197" t="s">
        <v>531</v>
      </c>
      <c r="L197">
        <v>1368</v>
      </c>
      <c r="N197">
        <v>1011</v>
      </c>
      <c r="O197" t="s">
        <v>506</v>
      </c>
      <c r="P197" t="s">
        <v>506</v>
      </c>
      <c r="Q197">
        <v>1</v>
      </c>
      <c r="W197">
        <v>0</v>
      </c>
      <c r="X197">
        <v>1087580389</v>
      </c>
      <c r="Y197">
        <f>(AT197*1.1)</f>
        <v>1.1000000000000001E-2</v>
      </c>
      <c r="AA197">
        <v>0</v>
      </c>
      <c r="AB197">
        <v>2579.38</v>
      </c>
      <c r="AC197">
        <v>974.74</v>
      </c>
      <c r="AD197">
        <v>0</v>
      </c>
      <c r="AE197">
        <v>0</v>
      </c>
      <c r="AF197">
        <v>179.17</v>
      </c>
      <c r="AG197">
        <v>16.93</v>
      </c>
      <c r="AH197">
        <v>0</v>
      </c>
      <c r="AI197">
        <v>1</v>
      </c>
      <c r="AJ197">
        <v>13.75</v>
      </c>
      <c r="AK197">
        <v>54.99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0.01</v>
      </c>
      <c r="AU197" t="s">
        <v>23</v>
      </c>
      <c r="AV197">
        <v>0</v>
      </c>
      <c r="AW197">
        <v>2</v>
      </c>
      <c r="AX197">
        <v>56961019</v>
      </c>
      <c r="AY197">
        <v>1</v>
      </c>
      <c r="AZ197">
        <v>0</v>
      </c>
      <c r="BA197">
        <v>239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ROUND(Y197*Source!I240*DO197,9)</f>
        <v>2.79345</v>
      </c>
      <c r="CX197">
        <f>ROUND(Y197*Source!I240,9)</f>
        <v>0.16500000000000001</v>
      </c>
      <c r="CY197">
        <f>AB197</f>
        <v>2579.38</v>
      </c>
      <c r="CZ197">
        <f>AF197</f>
        <v>179.17</v>
      </c>
      <c r="DA197">
        <f>AJ197</f>
        <v>13.75</v>
      </c>
      <c r="DB197">
        <f>ROUND((ROUND(AT197*CZ197,2)*1.1),6)</f>
        <v>1.9690000000000001</v>
      </c>
      <c r="DC197">
        <f>ROUND((ROUND(AT197*AG197,2)*1.1),6)</f>
        <v>0.187</v>
      </c>
      <c r="DD197" t="s">
        <v>3</v>
      </c>
      <c r="DE197" t="s">
        <v>3</v>
      </c>
      <c r="DF197">
        <f t="shared" si="93"/>
        <v>0</v>
      </c>
      <c r="DG197">
        <f>ROUND(ROUND(AF197*AJ197,2)*CX197,2)</f>
        <v>406.49</v>
      </c>
      <c r="DH197">
        <f>ROUND(ROUND(AG197*AK197,2)*CX197,2)</f>
        <v>153.61000000000001</v>
      </c>
      <c r="DI197">
        <f t="shared" si="101"/>
        <v>0</v>
      </c>
      <c r="DJ197">
        <f>DG197</f>
        <v>406.49</v>
      </c>
      <c r="DK197">
        <v>0</v>
      </c>
      <c r="DL197" t="s">
        <v>507</v>
      </c>
      <c r="DM197">
        <v>0</v>
      </c>
      <c r="DN197" t="s">
        <v>502</v>
      </c>
      <c r="DO197">
        <v>16.93</v>
      </c>
    </row>
    <row r="198" spans="1:119" x14ac:dyDescent="0.2">
      <c r="A198">
        <f>ROW(Source!A240)</f>
        <v>240</v>
      </c>
      <c r="B198">
        <v>56959431</v>
      </c>
      <c r="C198">
        <v>56959974</v>
      </c>
      <c r="D198">
        <v>56061373</v>
      </c>
      <c r="E198">
        <v>1</v>
      </c>
      <c r="F198">
        <v>1</v>
      </c>
      <c r="G198">
        <v>1080</v>
      </c>
      <c r="H198">
        <v>3</v>
      </c>
      <c r="I198" t="s">
        <v>532</v>
      </c>
      <c r="J198" t="s">
        <v>533</v>
      </c>
      <c r="K198" t="s">
        <v>534</v>
      </c>
      <c r="L198">
        <v>1346</v>
      </c>
      <c r="N198">
        <v>1009</v>
      </c>
      <c r="O198" t="s">
        <v>249</v>
      </c>
      <c r="P198" t="s">
        <v>249</v>
      </c>
      <c r="Q198">
        <v>1</v>
      </c>
      <c r="W198">
        <v>0</v>
      </c>
      <c r="X198">
        <v>1770006655</v>
      </c>
      <c r="Y198">
        <f t="shared" ref="Y198:Y204" si="102">AT198</f>
        <v>0.43</v>
      </c>
      <c r="AA198">
        <v>29.73</v>
      </c>
      <c r="AB198">
        <v>0</v>
      </c>
      <c r="AC198">
        <v>0</v>
      </c>
      <c r="AD198">
        <v>0</v>
      </c>
      <c r="AE198">
        <v>1.38</v>
      </c>
      <c r="AF198">
        <v>0</v>
      </c>
      <c r="AG198">
        <v>0</v>
      </c>
      <c r="AH198">
        <v>0</v>
      </c>
      <c r="AI198">
        <v>21.54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0.43</v>
      </c>
      <c r="AU198" t="s">
        <v>3</v>
      </c>
      <c r="AV198">
        <v>0</v>
      </c>
      <c r="AW198">
        <v>2</v>
      </c>
      <c r="AX198">
        <v>56961020</v>
      </c>
      <c r="AY198">
        <v>1</v>
      </c>
      <c r="AZ198">
        <v>0</v>
      </c>
      <c r="BA198">
        <v>240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ROUND(Y198*Source!I240,9)</f>
        <v>6.45</v>
      </c>
      <c r="CY198">
        <f t="shared" ref="CY198:CY204" si="103">AA198</f>
        <v>29.73</v>
      </c>
      <c r="CZ198">
        <f t="shared" ref="CZ198:CZ204" si="104">AE198</f>
        <v>1.38</v>
      </c>
      <c r="DA198">
        <f t="shared" ref="DA198:DA204" si="105">AI198</f>
        <v>21.54</v>
      </c>
      <c r="DB198">
        <f t="shared" ref="DB198:DB204" si="106">ROUND(ROUND(AT198*CZ198,2),6)</f>
        <v>0.59</v>
      </c>
      <c r="DC198">
        <f t="shared" ref="DC198:DC204" si="107">ROUND(ROUND(AT198*AG198,2),6)</f>
        <v>0</v>
      </c>
      <c r="DD198" t="s">
        <v>3</v>
      </c>
      <c r="DE198" t="s">
        <v>3</v>
      </c>
      <c r="DF198">
        <f t="shared" ref="DF198:DF204" si="108">ROUND(ROUND(AE198*AI198,2)*CX198,2)</f>
        <v>191.76</v>
      </c>
      <c r="DG198">
        <f t="shared" ref="DG198:DG215" si="109">ROUND(ROUND(AF198,2)*CX198,2)</f>
        <v>0</v>
      </c>
      <c r="DH198">
        <f t="shared" ref="DH198:DH215" si="110">ROUND(ROUND(AG198,2)*CX198,2)</f>
        <v>0</v>
      </c>
      <c r="DI198">
        <f t="shared" si="101"/>
        <v>0</v>
      </c>
      <c r="DJ198">
        <f t="shared" ref="DJ198:DJ204" si="111">DF198</f>
        <v>191.76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ROW(Source!A240)</f>
        <v>240</v>
      </c>
      <c r="B199">
        <v>56959431</v>
      </c>
      <c r="C199">
        <v>56959974</v>
      </c>
      <c r="D199">
        <v>56061764</v>
      </c>
      <c r="E199">
        <v>1</v>
      </c>
      <c r="F199">
        <v>1</v>
      </c>
      <c r="G199">
        <v>1080</v>
      </c>
      <c r="H199">
        <v>3</v>
      </c>
      <c r="I199" t="s">
        <v>535</v>
      </c>
      <c r="J199" t="s">
        <v>536</v>
      </c>
      <c r="K199" t="s">
        <v>537</v>
      </c>
      <c r="L199">
        <v>1346</v>
      </c>
      <c r="N199">
        <v>1009</v>
      </c>
      <c r="O199" t="s">
        <v>249</v>
      </c>
      <c r="P199" t="s">
        <v>249</v>
      </c>
      <c r="Q199">
        <v>1</v>
      </c>
      <c r="W199">
        <v>0</v>
      </c>
      <c r="X199">
        <v>-878159893</v>
      </c>
      <c r="Y199">
        <f t="shared" si="102"/>
        <v>0.16</v>
      </c>
      <c r="AA199">
        <v>286.31</v>
      </c>
      <c r="AB199">
        <v>0</v>
      </c>
      <c r="AC199">
        <v>0</v>
      </c>
      <c r="AD199">
        <v>0</v>
      </c>
      <c r="AE199">
        <v>159.06</v>
      </c>
      <c r="AF199">
        <v>0</v>
      </c>
      <c r="AG199">
        <v>0</v>
      </c>
      <c r="AH199">
        <v>0</v>
      </c>
      <c r="AI199">
        <v>1.8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0.16</v>
      </c>
      <c r="AU199" t="s">
        <v>3</v>
      </c>
      <c r="AV199">
        <v>0</v>
      </c>
      <c r="AW199">
        <v>2</v>
      </c>
      <c r="AX199">
        <v>56961021</v>
      </c>
      <c r="AY199">
        <v>1</v>
      </c>
      <c r="AZ199">
        <v>0</v>
      </c>
      <c r="BA199">
        <v>241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ROUND(Y199*Source!I240,9)</f>
        <v>2.4</v>
      </c>
      <c r="CY199">
        <f t="shared" si="103"/>
        <v>286.31</v>
      </c>
      <c r="CZ199">
        <f t="shared" si="104"/>
        <v>159.06</v>
      </c>
      <c r="DA199">
        <f t="shared" si="105"/>
        <v>1.8</v>
      </c>
      <c r="DB199">
        <f t="shared" si="106"/>
        <v>25.45</v>
      </c>
      <c r="DC199">
        <f t="shared" si="107"/>
        <v>0</v>
      </c>
      <c r="DD199" t="s">
        <v>3</v>
      </c>
      <c r="DE199" t="s">
        <v>3</v>
      </c>
      <c r="DF199">
        <f t="shared" si="108"/>
        <v>687.14</v>
      </c>
      <c r="DG199">
        <f t="shared" si="109"/>
        <v>0</v>
      </c>
      <c r="DH199">
        <f t="shared" si="110"/>
        <v>0</v>
      </c>
      <c r="DI199">
        <f t="shared" si="101"/>
        <v>0</v>
      </c>
      <c r="DJ199">
        <f t="shared" si="111"/>
        <v>687.14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ROW(Source!A240)</f>
        <v>240</v>
      </c>
      <c r="B200">
        <v>56959431</v>
      </c>
      <c r="C200">
        <v>56959974</v>
      </c>
      <c r="D200">
        <v>56084707</v>
      </c>
      <c r="E200">
        <v>1</v>
      </c>
      <c r="F200">
        <v>1</v>
      </c>
      <c r="G200">
        <v>1080</v>
      </c>
      <c r="H200">
        <v>3</v>
      </c>
      <c r="I200" t="s">
        <v>538</v>
      </c>
      <c r="J200" t="s">
        <v>539</v>
      </c>
      <c r="K200" t="s">
        <v>540</v>
      </c>
      <c r="L200">
        <v>1355</v>
      </c>
      <c r="N200">
        <v>1010</v>
      </c>
      <c r="O200" t="s">
        <v>520</v>
      </c>
      <c r="P200" t="s">
        <v>520</v>
      </c>
      <c r="Q200">
        <v>100</v>
      </c>
      <c r="W200">
        <v>0</v>
      </c>
      <c r="X200">
        <v>-456781043</v>
      </c>
      <c r="Y200">
        <f t="shared" si="102"/>
        <v>0.05</v>
      </c>
      <c r="AA200">
        <v>1102.5</v>
      </c>
      <c r="AB200">
        <v>0</v>
      </c>
      <c r="AC200">
        <v>0</v>
      </c>
      <c r="AD200">
        <v>0</v>
      </c>
      <c r="AE200">
        <v>68.819999999999993</v>
      </c>
      <c r="AF200">
        <v>0</v>
      </c>
      <c r="AG200">
        <v>0</v>
      </c>
      <c r="AH200">
        <v>0</v>
      </c>
      <c r="AI200">
        <v>16.02</v>
      </c>
      <c r="AJ200">
        <v>1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0.05</v>
      </c>
      <c r="AU200" t="s">
        <v>3</v>
      </c>
      <c r="AV200">
        <v>0</v>
      </c>
      <c r="AW200">
        <v>2</v>
      </c>
      <c r="AX200">
        <v>56961022</v>
      </c>
      <c r="AY200">
        <v>1</v>
      </c>
      <c r="AZ200">
        <v>0</v>
      </c>
      <c r="BA200">
        <v>242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ROUND(Y200*Source!I240,9)</f>
        <v>0.75</v>
      </c>
      <c r="CY200">
        <f t="shared" si="103"/>
        <v>1102.5</v>
      </c>
      <c r="CZ200">
        <f t="shared" si="104"/>
        <v>68.819999999999993</v>
      </c>
      <c r="DA200">
        <f t="shared" si="105"/>
        <v>16.02</v>
      </c>
      <c r="DB200">
        <f t="shared" si="106"/>
        <v>3.44</v>
      </c>
      <c r="DC200">
        <f t="shared" si="107"/>
        <v>0</v>
      </c>
      <c r="DD200" t="s">
        <v>3</v>
      </c>
      <c r="DE200" t="s">
        <v>3</v>
      </c>
      <c r="DF200">
        <f t="shared" si="108"/>
        <v>826.88</v>
      </c>
      <c r="DG200">
        <f t="shared" si="109"/>
        <v>0</v>
      </c>
      <c r="DH200">
        <f t="shared" si="110"/>
        <v>0</v>
      </c>
      <c r="DI200">
        <f t="shared" si="101"/>
        <v>0</v>
      </c>
      <c r="DJ200">
        <f t="shared" si="111"/>
        <v>826.88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ROW(Source!A240)</f>
        <v>240</v>
      </c>
      <c r="B201">
        <v>56959431</v>
      </c>
      <c r="C201">
        <v>56959974</v>
      </c>
      <c r="D201">
        <v>56084718</v>
      </c>
      <c r="E201">
        <v>1</v>
      </c>
      <c r="F201">
        <v>1</v>
      </c>
      <c r="G201">
        <v>1080</v>
      </c>
      <c r="H201">
        <v>3</v>
      </c>
      <c r="I201" t="s">
        <v>541</v>
      </c>
      <c r="J201" t="s">
        <v>542</v>
      </c>
      <c r="K201" t="s">
        <v>543</v>
      </c>
      <c r="L201">
        <v>1356</v>
      </c>
      <c r="N201">
        <v>1010</v>
      </c>
      <c r="O201" t="s">
        <v>544</v>
      </c>
      <c r="P201" t="s">
        <v>544</v>
      </c>
      <c r="Q201">
        <v>1000</v>
      </c>
      <c r="W201">
        <v>0</v>
      </c>
      <c r="X201">
        <v>1726193810</v>
      </c>
      <c r="Y201">
        <f t="shared" si="102"/>
        <v>1.2200000000000001E-2</v>
      </c>
      <c r="AA201">
        <v>1318.65</v>
      </c>
      <c r="AB201">
        <v>0</v>
      </c>
      <c r="AC201">
        <v>0</v>
      </c>
      <c r="AD201">
        <v>0</v>
      </c>
      <c r="AE201">
        <v>183.4</v>
      </c>
      <c r="AF201">
        <v>0</v>
      </c>
      <c r="AG201">
        <v>0</v>
      </c>
      <c r="AH201">
        <v>0</v>
      </c>
      <c r="AI201">
        <v>7.19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1.2200000000000001E-2</v>
      </c>
      <c r="AU201" t="s">
        <v>3</v>
      </c>
      <c r="AV201">
        <v>0</v>
      </c>
      <c r="AW201">
        <v>2</v>
      </c>
      <c r="AX201">
        <v>56961023</v>
      </c>
      <c r="AY201">
        <v>1</v>
      </c>
      <c r="AZ201">
        <v>0</v>
      </c>
      <c r="BA201">
        <v>243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ROUND(Y201*Source!I240,9)</f>
        <v>0.183</v>
      </c>
      <c r="CY201">
        <f t="shared" si="103"/>
        <v>1318.65</v>
      </c>
      <c r="CZ201">
        <f t="shared" si="104"/>
        <v>183.4</v>
      </c>
      <c r="DA201">
        <f t="shared" si="105"/>
        <v>7.19</v>
      </c>
      <c r="DB201">
        <f t="shared" si="106"/>
        <v>2.2400000000000002</v>
      </c>
      <c r="DC201">
        <f t="shared" si="107"/>
        <v>0</v>
      </c>
      <c r="DD201" t="s">
        <v>3</v>
      </c>
      <c r="DE201" t="s">
        <v>3</v>
      </c>
      <c r="DF201">
        <f t="shared" si="108"/>
        <v>241.31</v>
      </c>
      <c r="DG201">
        <f t="shared" si="109"/>
        <v>0</v>
      </c>
      <c r="DH201">
        <f t="shared" si="110"/>
        <v>0</v>
      </c>
      <c r="DI201">
        <f t="shared" si="101"/>
        <v>0</v>
      </c>
      <c r="DJ201">
        <f t="shared" si="111"/>
        <v>241.31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ROW(Source!A240)</f>
        <v>240</v>
      </c>
      <c r="B202">
        <v>56959431</v>
      </c>
      <c r="C202">
        <v>56959974</v>
      </c>
      <c r="D202">
        <v>56084044</v>
      </c>
      <c r="E202">
        <v>1</v>
      </c>
      <c r="F202">
        <v>1</v>
      </c>
      <c r="G202">
        <v>1080</v>
      </c>
      <c r="H202">
        <v>3</v>
      </c>
      <c r="I202" t="s">
        <v>545</v>
      </c>
      <c r="J202" t="s">
        <v>546</v>
      </c>
      <c r="K202" t="s">
        <v>547</v>
      </c>
      <c r="L202">
        <v>1354</v>
      </c>
      <c r="N202">
        <v>1010</v>
      </c>
      <c r="O202" t="s">
        <v>31</v>
      </c>
      <c r="P202" t="s">
        <v>31</v>
      </c>
      <c r="Q202">
        <v>1</v>
      </c>
      <c r="W202">
        <v>0</v>
      </c>
      <c r="X202">
        <v>145081611</v>
      </c>
      <c r="Y202">
        <f t="shared" si="102"/>
        <v>3.1</v>
      </c>
      <c r="AA202">
        <v>25.47</v>
      </c>
      <c r="AB202">
        <v>0</v>
      </c>
      <c r="AC202">
        <v>0</v>
      </c>
      <c r="AD202">
        <v>0</v>
      </c>
      <c r="AE202">
        <v>6.94</v>
      </c>
      <c r="AF202">
        <v>0</v>
      </c>
      <c r="AG202">
        <v>0</v>
      </c>
      <c r="AH202">
        <v>0</v>
      </c>
      <c r="AI202">
        <v>3.67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3.1</v>
      </c>
      <c r="AU202" t="s">
        <v>3</v>
      </c>
      <c r="AV202">
        <v>0</v>
      </c>
      <c r="AW202">
        <v>2</v>
      </c>
      <c r="AX202">
        <v>56961024</v>
      </c>
      <c r="AY202">
        <v>1</v>
      </c>
      <c r="AZ202">
        <v>0</v>
      </c>
      <c r="BA202">
        <v>244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ROUND(Y202*Source!I240,9)</f>
        <v>46.5</v>
      </c>
      <c r="CY202">
        <f t="shared" si="103"/>
        <v>25.47</v>
      </c>
      <c r="CZ202">
        <f t="shared" si="104"/>
        <v>6.94</v>
      </c>
      <c r="DA202">
        <f t="shared" si="105"/>
        <v>3.67</v>
      </c>
      <c r="DB202">
        <f t="shared" si="106"/>
        <v>21.51</v>
      </c>
      <c r="DC202">
        <f t="shared" si="107"/>
        <v>0</v>
      </c>
      <c r="DD202" t="s">
        <v>3</v>
      </c>
      <c r="DE202" t="s">
        <v>3</v>
      </c>
      <c r="DF202">
        <f t="shared" si="108"/>
        <v>1184.3599999999999</v>
      </c>
      <c r="DG202">
        <f t="shared" si="109"/>
        <v>0</v>
      </c>
      <c r="DH202">
        <f t="shared" si="110"/>
        <v>0</v>
      </c>
      <c r="DI202">
        <f t="shared" si="101"/>
        <v>0</v>
      </c>
      <c r="DJ202">
        <f t="shared" si="111"/>
        <v>1184.3599999999999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ROW(Source!A240)</f>
        <v>240</v>
      </c>
      <c r="B203">
        <v>56959431</v>
      </c>
      <c r="C203">
        <v>56959974</v>
      </c>
      <c r="D203">
        <v>56084051</v>
      </c>
      <c r="E203">
        <v>1</v>
      </c>
      <c r="F203">
        <v>1</v>
      </c>
      <c r="G203">
        <v>1080</v>
      </c>
      <c r="H203">
        <v>3</v>
      </c>
      <c r="I203" t="s">
        <v>548</v>
      </c>
      <c r="J203" t="s">
        <v>549</v>
      </c>
      <c r="K203" t="s">
        <v>550</v>
      </c>
      <c r="L203">
        <v>1356</v>
      </c>
      <c r="N203">
        <v>1010</v>
      </c>
      <c r="O203" t="s">
        <v>544</v>
      </c>
      <c r="P203" t="s">
        <v>544</v>
      </c>
      <c r="Q203">
        <v>1000</v>
      </c>
      <c r="W203">
        <v>0</v>
      </c>
      <c r="X203">
        <v>-1715273674</v>
      </c>
      <c r="Y203">
        <f t="shared" si="102"/>
        <v>8.0000000000000002E-3</v>
      </c>
      <c r="AA203">
        <v>786.04</v>
      </c>
      <c r="AB203">
        <v>0</v>
      </c>
      <c r="AC203">
        <v>0</v>
      </c>
      <c r="AD203">
        <v>0</v>
      </c>
      <c r="AE203">
        <v>614.09</v>
      </c>
      <c r="AF203">
        <v>0</v>
      </c>
      <c r="AG203">
        <v>0</v>
      </c>
      <c r="AH203">
        <v>0</v>
      </c>
      <c r="AI203">
        <v>1.28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8.0000000000000002E-3</v>
      </c>
      <c r="AU203" t="s">
        <v>3</v>
      </c>
      <c r="AV203">
        <v>0</v>
      </c>
      <c r="AW203">
        <v>2</v>
      </c>
      <c r="AX203">
        <v>56961025</v>
      </c>
      <c r="AY203">
        <v>1</v>
      </c>
      <c r="AZ203">
        <v>0</v>
      </c>
      <c r="BA203">
        <v>245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ROUND(Y203*Source!I240,9)</f>
        <v>0.12</v>
      </c>
      <c r="CY203">
        <f t="shared" si="103"/>
        <v>786.04</v>
      </c>
      <c r="CZ203">
        <f t="shared" si="104"/>
        <v>614.09</v>
      </c>
      <c r="DA203">
        <f t="shared" si="105"/>
        <v>1.28</v>
      </c>
      <c r="DB203">
        <f t="shared" si="106"/>
        <v>4.91</v>
      </c>
      <c r="DC203">
        <f t="shared" si="107"/>
        <v>0</v>
      </c>
      <c r="DD203" t="s">
        <v>3</v>
      </c>
      <c r="DE203" t="s">
        <v>3</v>
      </c>
      <c r="DF203">
        <f t="shared" si="108"/>
        <v>94.32</v>
      </c>
      <c r="DG203">
        <f t="shared" si="109"/>
        <v>0</v>
      </c>
      <c r="DH203">
        <f t="shared" si="110"/>
        <v>0</v>
      </c>
      <c r="DI203">
        <f t="shared" si="101"/>
        <v>0</v>
      </c>
      <c r="DJ203">
        <f t="shared" si="111"/>
        <v>94.32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ROW(Source!A240)</f>
        <v>240</v>
      </c>
      <c r="B204">
        <v>56959431</v>
      </c>
      <c r="C204">
        <v>56959974</v>
      </c>
      <c r="D204">
        <v>56089909</v>
      </c>
      <c r="E204">
        <v>1</v>
      </c>
      <c r="F204">
        <v>1</v>
      </c>
      <c r="G204">
        <v>1080</v>
      </c>
      <c r="H204">
        <v>3</v>
      </c>
      <c r="I204" t="s">
        <v>195</v>
      </c>
      <c r="J204" t="s">
        <v>197</v>
      </c>
      <c r="K204" t="s">
        <v>196</v>
      </c>
      <c r="L204">
        <v>1303</v>
      </c>
      <c r="N204">
        <v>1003</v>
      </c>
      <c r="O204" t="s">
        <v>108</v>
      </c>
      <c r="P204" t="s">
        <v>108</v>
      </c>
      <c r="Q204">
        <v>1000</v>
      </c>
      <c r="W204">
        <v>0</v>
      </c>
      <c r="X204">
        <v>-451984637</v>
      </c>
      <c r="Y204">
        <f t="shared" si="102"/>
        <v>0.10299999999999999</v>
      </c>
      <c r="AA204">
        <v>19050.11</v>
      </c>
      <c r="AB204">
        <v>0</v>
      </c>
      <c r="AC204">
        <v>0</v>
      </c>
      <c r="AD204">
        <v>0</v>
      </c>
      <c r="AE204">
        <v>4535.74</v>
      </c>
      <c r="AF204">
        <v>0</v>
      </c>
      <c r="AG204">
        <v>0</v>
      </c>
      <c r="AH204">
        <v>0</v>
      </c>
      <c r="AI204">
        <v>4.2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0.10299999999999999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ROUND(Y204*Source!I240,9)</f>
        <v>1.5449999999999999</v>
      </c>
      <c r="CY204">
        <f t="shared" si="103"/>
        <v>19050.11</v>
      </c>
      <c r="CZ204">
        <f t="shared" si="104"/>
        <v>4535.74</v>
      </c>
      <c r="DA204">
        <f t="shared" si="105"/>
        <v>4.2</v>
      </c>
      <c r="DB204">
        <f t="shared" si="106"/>
        <v>467.18</v>
      </c>
      <c r="DC204">
        <f t="shared" si="107"/>
        <v>0</v>
      </c>
      <c r="DD204" t="s">
        <v>3</v>
      </c>
      <c r="DE204" t="s">
        <v>3</v>
      </c>
      <c r="DF204">
        <f t="shared" si="108"/>
        <v>29432.42</v>
      </c>
      <c r="DG204">
        <f t="shared" si="109"/>
        <v>0</v>
      </c>
      <c r="DH204">
        <f t="shared" si="110"/>
        <v>0</v>
      </c>
      <c r="DI204">
        <f t="shared" si="101"/>
        <v>0</v>
      </c>
      <c r="DJ204">
        <f t="shared" si="111"/>
        <v>29432.42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ROW(Source!A243)</f>
        <v>243</v>
      </c>
      <c r="B205">
        <v>56959434</v>
      </c>
      <c r="C205">
        <v>56959996</v>
      </c>
      <c r="D205">
        <v>56018166</v>
      </c>
      <c r="E205">
        <v>1080</v>
      </c>
      <c r="F205">
        <v>1</v>
      </c>
      <c r="G205">
        <v>1080</v>
      </c>
      <c r="H205">
        <v>1</v>
      </c>
      <c r="I205" t="s">
        <v>500</v>
      </c>
      <c r="J205" t="s">
        <v>3</v>
      </c>
      <c r="K205" t="s">
        <v>501</v>
      </c>
      <c r="L205">
        <v>1191</v>
      </c>
      <c r="N205">
        <v>1013</v>
      </c>
      <c r="O205" t="s">
        <v>502</v>
      </c>
      <c r="P205" t="s">
        <v>502</v>
      </c>
      <c r="Q205">
        <v>1</v>
      </c>
      <c r="W205">
        <v>0</v>
      </c>
      <c r="X205">
        <v>476480486</v>
      </c>
      <c r="Y205">
        <f>(AT205*1.1)</f>
        <v>5.9290000000000003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5.39</v>
      </c>
      <c r="AU205" t="s">
        <v>23</v>
      </c>
      <c r="AV205">
        <v>1</v>
      </c>
      <c r="AW205">
        <v>2</v>
      </c>
      <c r="AX205">
        <v>56961027</v>
      </c>
      <c r="AY205">
        <v>1</v>
      </c>
      <c r="AZ205">
        <v>0</v>
      </c>
      <c r="BA205">
        <v>247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U205">
        <f>ROUND(AT205*Source!I243*AH205*AL205,2)</f>
        <v>0</v>
      </c>
      <c r="CV205">
        <f>ROUND(Y205*Source!I243,9)</f>
        <v>55.732599999999998</v>
      </c>
      <c r="CW205">
        <v>0</v>
      </c>
      <c r="CX205">
        <f>ROUND(Y205*Source!I243,9)</f>
        <v>55.732599999999998</v>
      </c>
      <c r="CY205">
        <f>AD205</f>
        <v>0</v>
      </c>
      <c r="CZ205">
        <f>AH205</f>
        <v>0</v>
      </c>
      <c r="DA205">
        <f>AL205</f>
        <v>1</v>
      </c>
      <c r="DB205">
        <f>ROUND((ROUND(AT205*CZ205,2)*1.1),6)</f>
        <v>0</v>
      </c>
      <c r="DC205">
        <f>ROUND((ROUND(AT205*AG205,2)*1.1),6)</f>
        <v>0</v>
      </c>
      <c r="DD205" t="s">
        <v>3</v>
      </c>
      <c r="DE205" t="s">
        <v>3</v>
      </c>
      <c r="DF205">
        <f t="shared" ref="DF205:DF217" si="112">ROUND(ROUND(AE205,2)*CX205,2)</f>
        <v>0</v>
      </c>
      <c r="DG205">
        <f t="shared" si="109"/>
        <v>0</v>
      </c>
      <c r="DH205">
        <f t="shared" si="110"/>
        <v>0</v>
      </c>
      <c r="DI205">
        <f t="shared" si="101"/>
        <v>0</v>
      </c>
      <c r="DJ205">
        <f>DI205</f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ROW(Source!A243)</f>
        <v>243</v>
      </c>
      <c r="B206">
        <v>56959434</v>
      </c>
      <c r="C206">
        <v>56959996</v>
      </c>
      <c r="D206">
        <v>56092340</v>
      </c>
      <c r="E206">
        <v>1</v>
      </c>
      <c r="F206">
        <v>1</v>
      </c>
      <c r="G206">
        <v>1080</v>
      </c>
      <c r="H206">
        <v>2</v>
      </c>
      <c r="I206" t="s">
        <v>503</v>
      </c>
      <c r="J206" t="s">
        <v>504</v>
      </c>
      <c r="K206" t="s">
        <v>505</v>
      </c>
      <c r="L206">
        <v>1368</v>
      </c>
      <c r="N206">
        <v>1011</v>
      </c>
      <c r="O206" t="s">
        <v>506</v>
      </c>
      <c r="P206" t="s">
        <v>506</v>
      </c>
      <c r="Q206">
        <v>1</v>
      </c>
      <c r="W206">
        <v>0</v>
      </c>
      <c r="X206">
        <v>-1985943078</v>
      </c>
      <c r="Y206">
        <f>(AT206*1.1)</f>
        <v>2.2000000000000002E-2</v>
      </c>
      <c r="AA206">
        <v>0</v>
      </c>
      <c r="AB206">
        <v>87.01</v>
      </c>
      <c r="AC206">
        <v>13.21</v>
      </c>
      <c r="AD206">
        <v>0</v>
      </c>
      <c r="AE206">
        <v>0</v>
      </c>
      <c r="AF206">
        <v>83.1</v>
      </c>
      <c r="AG206">
        <v>12.62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0.02</v>
      </c>
      <c r="AU206" t="s">
        <v>23</v>
      </c>
      <c r="AV206">
        <v>0</v>
      </c>
      <c r="AW206">
        <v>2</v>
      </c>
      <c r="AX206">
        <v>56961028</v>
      </c>
      <c r="AY206">
        <v>1</v>
      </c>
      <c r="AZ206">
        <v>0</v>
      </c>
      <c r="BA206">
        <v>248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ROUND(Y206*Source!I243*DO206,9)</f>
        <v>2.6098159999999999</v>
      </c>
      <c r="CX206">
        <f>ROUND(Y206*Source!I243,9)</f>
        <v>0.20680000000000001</v>
      </c>
      <c r="CY206">
        <f>AB206</f>
        <v>87.01</v>
      </c>
      <c r="CZ206">
        <f>AF206</f>
        <v>83.1</v>
      </c>
      <c r="DA206">
        <f>AJ206</f>
        <v>1</v>
      </c>
      <c r="DB206">
        <f>ROUND((ROUND(AT206*CZ206,2)*1.1),6)</f>
        <v>1.8260000000000001</v>
      </c>
      <c r="DC206">
        <f>ROUND((ROUND(AT206*AG206,2)*1.1),6)</f>
        <v>0.27500000000000002</v>
      </c>
      <c r="DD206" t="s">
        <v>3</v>
      </c>
      <c r="DE206" t="s">
        <v>3</v>
      </c>
      <c r="DF206">
        <f t="shared" si="112"/>
        <v>0</v>
      </c>
      <c r="DG206">
        <f t="shared" si="109"/>
        <v>17.190000000000001</v>
      </c>
      <c r="DH206">
        <f t="shared" si="110"/>
        <v>2.61</v>
      </c>
      <c r="DI206">
        <f t="shared" si="101"/>
        <v>0</v>
      </c>
      <c r="DJ206">
        <f>DG206</f>
        <v>17.190000000000001</v>
      </c>
      <c r="DK206">
        <v>0</v>
      </c>
      <c r="DL206" t="s">
        <v>507</v>
      </c>
      <c r="DM206">
        <v>0</v>
      </c>
      <c r="DN206" t="s">
        <v>502</v>
      </c>
      <c r="DO206">
        <v>12.62</v>
      </c>
    </row>
    <row r="207" spans="1:119" x14ac:dyDescent="0.2">
      <c r="A207">
        <f>ROW(Source!A243)</f>
        <v>243</v>
      </c>
      <c r="B207">
        <v>56959434</v>
      </c>
      <c r="C207">
        <v>56959996</v>
      </c>
      <c r="D207">
        <v>56091576</v>
      </c>
      <c r="E207">
        <v>1</v>
      </c>
      <c r="F207">
        <v>1</v>
      </c>
      <c r="G207">
        <v>1080</v>
      </c>
      <c r="H207">
        <v>2</v>
      </c>
      <c r="I207" t="s">
        <v>529</v>
      </c>
      <c r="J207" t="s">
        <v>530</v>
      </c>
      <c r="K207" t="s">
        <v>531</v>
      </c>
      <c r="L207">
        <v>1368</v>
      </c>
      <c r="N207">
        <v>1011</v>
      </c>
      <c r="O207" t="s">
        <v>506</v>
      </c>
      <c r="P207" t="s">
        <v>506</v>
      </c>
      <c r="Q207">
        <v>1</v>
      </c>
      <c r="W207">
        <v>0</v>
      </c>
      <c r="X207">
        <v>1087580389</v>
      </c>
      <c r="Y207">
        <f>(AT207*1.1)</f>
        <v>2.2000000000000002E-2</v>
      </c>
      <c r="AA207">
        <v>0</v>
      </c>
      <c r="AB207">
        <v>187.59</v>
      </c>
      <c r="AC207">
        <v>17.73</v>
      </c>
      <c r="AD207">
        <v>0</v>
      </c>
      <c r="AE207">
        <v>0</v>
      </c>
      <c r="AF207">
        <v>179.17</v>
      </c>
      <c r="AG207">
        <v>16.93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0.02</v>
      </c>
      <c r="AU207" t="s">
        <v>23</v>
      </c>
      <c r="AV207">
        <v>0</v>
      </c>
      <c r="AW207">
        <v>2</v>
      </c>
      <c r="AX207">
        <v>56961029</v>
      </c>
      <c r="AY207">
        <v>1</v>
      </c>
      <c r="AZ207">
        <v>0</v>
      </c>
      <c r="BA207">
        <v>249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f>ROUND(Y207*Source!I243*DO207,9)</f>
        <v>3.5011239999999999</v>
      </c>
      <c r="CX207">
        <f>ROUND(Y207*Source!I243,9)</f>
        <v>0.20680000000000001</v>
      </c>
      <c r="CY207">
        <f>AB207</f>
        <v>187.59</v>
      </c>
      <c r="CZ207">
        <f>AF207</f>
        <v>179.17</v>
      </c>
      <c r="DA207">
        <f>AJ207</f>
        <v>1</v>
      </c>
      <c r="DB207">
        <f>ROUND((ROUND(AT207*CZ207,2)*1.1),6)</f>
        <v>3.9380000000000002</v>
      </c>
      <c r="DC207">
        <f>ROUND((ROUND(AT207*AG207,2)*1.1),6)</f>
        <v>0.374</v>
      </c>
      <c r="DD207" t="s">
        <v>3</v>
      </c>
      <c r="DE207" t="s">
        <v>3</v>
      </c>
      <c r="DF207">
        <f t="shared" si="112"/>
        <v>0</v>
      </c>
      <c r="DG207">
        <f t="shared" si="109"/>
        <v>37.049999999999997</v>
      </c>
      <c r="DH207">
        <f t="shared" si="110"/>
        <v>3.5</v>
      </c>
      <c r="DI207">
        <f t="shared" si="101"/>
        <v>0</v>
      </c>
      <c r="DJ207">
        <f>DG207</f>
        <v>37.049999999999997</v>
      </c>
      <c r="DK207">
        <v>0</v>
      </c>
      <c r="DL207" t="s">
        <v>507</v>
      </c>
      <c r="DM207">
        <v>0</v>
      </c>
      <c r="DN207" t="s">
        <v>502</v>
      </c>
      <c r="DO207">
        <v>16.93</v>
      </c>
    </row>
    <row r="208" spans="1:119" x14ac:dyDescent="0.2">
      <c r="A208">
        <f>ROW(Source!A243)</f>
        <v>243</v>
      </c>
      <c r="B208">
        <v>56959434</v>
      </c>
      <c r="C208">
        <v>56959996</v>
      </c>
      <c r="D208">
        <v>56061373</v>
      </c>
      <c r="E208">
        <v>1</v>
      </c>
      <c r="F208">
        <v>1</v>
      </c>
      <c r="G208">
        <v>1080</v>
      </c>
      <c r="H208">
        <v>3</v>
      </c>
      <c r="I208" t="s">
        <v>532</v>
      </c>
      <c r="J208" t="s">
        <v>533</v>
      </c>
      <c r="K208" t="s">
        <v>534</v>
      </c>
      <c r="L208">
        <v>1346</v>
      </c>
      <c r="N208">
        <v>1009</v>
      </c>
      <c r="O208" t="s">
        <v>249</v>
      </c>
      <c r="P208" t="s">
        <v>249</v>
      </c>
      <c r="Q208">
        <v>1</v>
      </c>
      <c r="W208">
        <v>0</v>
      </c>
      <c r="X208">
        <v>1770006655</v>
      </c>
      <c r="Y208">
        <f t="shared" ref="Y208:Y214" si="113">AT208</f>
        <v>0.6</v>
      </c>
      <c r="AA208">
        <v>1.38</v>
      </c>
      <c r="AB208">
        <v>0</v>
      </c>
      <c r="AC208">
        <v>0</v>
      </c>
      <c r="AD208">
        <v>0</v>
      </c>
      <c r="AE208">
        <v>1.38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0.6</v>
      </c>
      <c r="AU208" t="s">
        <v>3</v>
      </c>
      <c r="AV208">
        <v>0</v>
      </c>
      <c r="AW208">
        <v>2</v>
      </c>
      <c r="AX208">
        <v>56961030</v>
      </c>
      <c r="AY208">
        <v>1</v>
      </c>
      <c r="AZ208">
        <v>0</v>
      </c>
      <c r="BA208">
        <v>250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ROUND(Y208*Source!I243,9)</f>
        <v>5.64</v>
      </c>
      <c r="CY208">
        <f t="shared" ref="CY208:CY214" si="114">AA208</f>
        <v>1.38</v>
      </c>
      <c r="CZ208">
        <f t="shared" ref="CZ208:CZ214" si="115">AE208</f>
        <v>1.38</v>
      </c>
      <c r="DA208">
        <f t="shared" ref="DA208:DA214" si="116">AI208</f>
        <v>1</v>
      </c>
      <c r="DB208">
        <f t="shared" ref="DB208:DB214" si="117">ROUND(ROUND(AT208*CZ208,2),6)</f>
        <v>0.83</v>
      </c>
      <c r="DC208">
        <f t="shared" ref="DC208:DC214" si="118">ROUND(ROUND(AT208*AG208,2),6)</f>
        <v>0</v>
      </c>
      <c r="DD208" t="s">
        <v>3</v>
      </c>
      <c r="DE208" t="s">
        <v>3</v>
      </c>
      <c r="DF208">
        <f t="shared" si="112"/>
        <v>7.78</v>
      </c>
      <c r="DG208">
        <f t="shared" si="109"/>
        <v>0</v>
      </c>
      <c r="DH208">
        <f t="shared" si="110"/>
        <v>0</v>
      </c>
      <c r="DI208">
        <f t="shared" si="101"/>
        <v>0</v>
      </c>
      <c r="DJ208">
        <f t="shared" ref="DJ208:DJ214" si="119">DF208</f>
        <v>7.78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ROW(Source!A243)</f>
        <v>243</v>
      </c>
      <c r="B209">
        <v>56959434</v>
      </c>
      <c r="C209">
        <v>56959996</v>
      </c>
      <c r="D209">
        <v>56061764</v>
      </c>
      <c r="E209">
        <v>1</v>
      </c>
      <c r="F209">
        <v>1</v>
      </c>
      <c r="G209">
        <v>1080</v>
      </c>
      <c r="H209">
        <v>3</v>
      </c>
      <c r="I209" t="s">
        <v>535</v>
      </c>
      <c r="J209" t="s">
        <v>536</v>
      </c>
      <c r="K209" t="s">
        <v>537</v>
      </c>
      <c r="L209">
        <v>1346</v>
      </c>
      <c r="N209">
        <v>1009</v>
      </c>
      <c r="O209" t="s">
        <v>249</v>
      </c>
      <c r="P209" t="s">
        <v>249</v>
      </c>
      <c r="Q209">
        <v>1</v>
      </c>
      <c r="W209">
        <v>0</v>
      </c>
      <c r="X209">
        <v>-878159893</v>
      </c>
      <c r="Y209">
        <f t="shared" si="113"/>
        <v>0.16</v>
      </c>
      <c r="AA209">
        <v>159.06</v>
      </c>
      <c r="AB209">
        <v>0</v>
      </c>
      <c r="AC209">
        <v>0</v>
      </c>
      <c r="AD209">
        <v>0</v>
      </c>
      <c r="AE209">
        <v>159.06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0.16</v>
      </c>
      <c r="AU209" t="s">
        <v>3</v>
      </c>
      <c r="AV209">
        <v>0</v>
      </c>
      <c r="AW209">
        <v>2</v>
      </c>
      <c r="AX209">
        <v>56961031</v>
      </c>
      <c r="AY209">
        <v>1</v>
      </c>
      <c r="AZ209">
        <v>0</v>
      </c>
      <c r="BA209">
        <v>251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ROUND(Y209*Source!I243,9)</f>
        <v>1.504</v>
      </c>
      <c r="CY209">
        <f t="shared" si="114"/>
        <v>159.06</v>
      </c>
      <c r="CZ209">
        <f t="shared" si="115"/>
        <v>159.06</v>
      </c>
      <c r="DA209">
        <f t="shared" si="116"/>
        <v>1</v>
      </c>
      <c r="DB209">
        <f t="shared" si="117"/>
        <v>25.45</v>
      </c>
      <c r="DC209">
        <f t="shared" si="118"/>
        <v>0</v>
      </c>
      <c r="DD209" t="s">
        <v>3</v>
      </c>
      <c r="DE209" t="s">
        <v>3</v>
      </c>
      <c r="DF209">
        <f t="shared" si="112"/>
        <v>239.23</v>
      </c>
      <c r="DG209">
        <f t="shared" si="109"/>
        <v>0</v>
      </c>
      <c r="DH209">
        <f t="shared" si="110"/>
        <v>0</v>
      </c>
      <c r="DI209">
        <f t="shared" si="101"/>
        <v>0</v>
      </c>
      <c r="DJ209">
        <f t="shared" si="119"/>
        <v>239.23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ROW(Source!A243)</f>
        <v>243</v>
      </c>
      <c r="B210">
        <v>56959434</v>
      </c>
      <c r="C210">
        <v>56959996</v>
      </c>
      <c r="D210">
        <v>56084708</v>
      </c>
      <c r="E210">
        <v>1</v>
      </c>
      <c r="F210">
        <v>1</v>
      </c>
      <c r="G210">
        <v>1080</v>
      </c>
      <c r="H210">
        <v>3</v>
      </c>
      <c r="I210" t="s">
        <v>587</v>
      </c>
      <c r="J210" t="s">
        <v>588</v>
      </c>
      <c r="K210" t="s">
        <v>589</v>
      </c>
      <c r="L210">
        <v>1355</v>
      </c>
      <c r="N210">
        <v>1010</v>
      </c>
      <c r="O210" t="s">
        <v>520</v>
      </c>
      <c r="P210" t="s">
        <v>520</v>
      </c>
      <c r="Q210">
        <v>100</v>
      </c>
      <c r="W210">
        <v>0</v>
      </c>
      <c r="X210">
        <v>938266694</v>
      </c>
      <c r="Y210">
        <f t="shared" si="113"/>
        <v>0.05</v>
      </c>
      <c r="AA210">
        <v>130.15</v>
      </c>
      <c r="AB210">
        <v>0</v>
      </c>
      <c r="AC210">
        <v>0</v>
      </c>
      <c r="AD210">
        <v>0</v>
      </c>
      <c r="AE210">
        <v>130.15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0.05</v>
      </c>
      <c r="AU210" t="s">
        <v>3</v>
      </c>
      <c r="AV210">
        <v>0</v>
      </c>
      <c r="AW210">
        <v>2</v>
      </c>
      <c r="AX210">
        <v>56961032</v>
      </c>
      <c r="AY210">
        <v>1</v>
      </c>
      <c r="AZ210">
        <v>0</v>
      </c>
      <c r="BA210">
        <v>252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ROUND(Y210*Source!I243,9)</f>
        <v>0.47</v>
      </c>
      <c r="CY210">
        <f t="shared" si="114"/>
        <v>130.15</v>
      </c>
      <c r="CZ210">
        <f t="shared" si="115"/>
        <v>130.15</v>
      </c>
      <c r="DA210">
        <f t="shared" si="116"/>
        <v>1</v>
      </c>
      <c r="DB210">
        <f t="shared" si="117"/>
        <v>6.51</v>
      </c>
      <c r="DC210">
        <f t="shared" si="118"/>
        <v>0</v>
      </c>
      <c r="DD210" t="s">
        <v>3</v>
      </c>
      <c r="DE210" t="s">
        <v>3</v>
      </c>
      <c r="DF210">
        <f t="shared" si="112"/>
        <v>61.17</v>
      </c>
      <c r="DG210">
        <f t="shared" si="109"/>
        <v>0</v>
      </c>
      <c r="DH210">
        <f t="shared" si="110"/>
        <v>0</v>
      </c>
      <c r="DI210">
        <f t="shared" si="101"/>
        <v>0</v>
      </c>
      <c r="DJ210">
        <f t="shared" si="119"/>
        <v>61.17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ROW(Source!A243)</f>
        <v>243</v>
      </c>
      <c r="B211">
        <v>56959434</v>
      </c>
      <c r="C211">
        <v>56959996</v>
      </c>
      <c r="D211">
        <v>56084719</v>
      </c>
      <c r="E211">
        <v>1</v>
      </c>
      <c r="F211">
        <v>1</v>
      </c>
      <c r="G211">
        <v>1080</v>
      </c>
      <c r="H211">
        <v>3</v>
      </c>
      <c r="I211" t="s">
        <v>590</v>
      </c>
      <c r="J211" t="s">
        <v>591</v>
      </c>
      <c r="K211" t="s">
        <v>592</v>
      </c>
      <c r="L211">
        <v>1356</v>
      </c>
      <c r="N211">
        <v>1010</v>
      </c>
      <c r="O211" t="s">
        <v>544</v>
      </c>
      <c r="P211" t="s">
        <v>544</v>
      </c>
      <c r="Q211">
        <v>1000</v>
      </c>
      <c r="W211">
        <v>0</v>
      </c>
      <c r="X211">
        <v>-422648154</v>
      </c>
      <c r="Y211">
        <f t="shared" si="113"/>
        <v>1.2200000000000001E-2</v>
      </c>
      <c r="AA211">
        <v>226.86</v>
      </c>
      <c r="AB211">
        <v>0</v>
      </c>
      <c r="AC211">
        <v>0</v>
      </c>
      <c r="AD211">
        <v>0</v>
      </c>
      <c r="AE211">
        <v>226.86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1.2200000000000001E-2</v>
      </c>
      <c r="AU211" t="s">
        <v>3</v>
      </c>
      <c r="AV211">
        <v>0</v>
      </c>
      <c r="AW211">
        <v>2</v>
      </c>
      <c r="AX211">
        <v>56961033</v>
      </c>
      <c r="AY211">
        <v>1</v>
      </c>
      <c r="AZ211">
        <v>0</v>
      </c>
      <c r="BA211">
        <v>253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ROUND(Y211*Source!I243,9)</f>
        <v>0.11468</v>
      </c>
      <c r="CY211">
        <f t="shared" si="114"/>
        <v>226.86</v>
      </c>
      <c r="CZ211">
        <f t="shared" si="115"/>
        <v>226.86</v>
      </c>
      <c r="DA211">
        <f t="shared" si="116"/>
        <v>1</v>
      </c>
      <c r="DB211">
        <f t="shared" si="117"/>
        <v>2.77</v>
      </c>
      <c r="DC211">
        <f t="shared" si="118"/>
        <v>0</v>
      </c>
      <c r="DD211" t="s">
        <v>3</v>
      </c>
      <c r="DE211" t="s">
        <v>3</v>
      </c>
      <c r="DF211">
        <f t="shared" si="112"/>
        <v>26.02</v>
      </c>
      <c r="DG211">
        <f t="shared" si="109"/>
        <v>0</v>
      </c>
      <c r="DH211">
        <f t="shared" si="110"/>
        <v>0</v>
      </c>
      <c r="DI211">
        <f t="shared" si="101"/>
        <v>0</v>
      </c>
      <c r="DJ211">
        <f t="shared" si="119"/>
        <v>26.02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ROW(Source!A243)</f>
        <v>243</v>
      </c>
      <c r="B212">
        <v>56959434</v>
      </c>
      <c r="C212">
        <v>56959996</v>
      </c>
      <c r="D212">
        <v>56084044</v>
      </c>
      <c r="E212">
        <v>1</v>
      </c>
      <c r="F212">
        <v>1</v>
      </c>
      <c r="G212">
        <v>1080</v>
      </c>
      <c r="H212">
        <v>3</v>
      </c>
      <c r="I212" t="s">
        <v>545</v>
      </c>
      <c r="J212" t="s">
        <v>546</v>
      </c>
      <c r="K212" t="s">
        <v>547</v>
      </c>
      <c r="L212">
        <v>1354</v>
      </c>
      <c r="N212">
        <v>1010</v>
      </c>
      <c r="O212" t="s">
        <v>31</v>
      </c>
      <c r="P212" t="s">
        <v>31</v>
      </c>
      <c r="Q212">
        <v>1</v>
      </c>
      <c r="W212">
        <v>0</v>
      </c>
      <c r="X212">
        <v>145081611</v>
      </c>
      <c r="Y212">
        <f t="shared" si="113"/>
        <v>3.1</v>
      </c>
      <c r="AA212">
        <v>6.94</v>
      </c>
      <c r="AB212">
        <v>0</v>
      </c>
      <c r="AC212">
        <v>0</v>
      </c>
      <c r="AD212">
        <v>0</v>
      </c>
      <c r="AE212">
        <v>6.94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3.1</v>
      </c>
      <c r="AU212" t="s">
        <v>3</v>
      </c>
      <c r="AV212">
        <v>0</v>
      </c>
      <c r="AW212">
        <v>2</v>
      </c>
      <c r="AX212">
        <v>56961034</v>
      </c>
      <c r="AY212">
        <v>1</v>
      </c>
      <c r="AZ212">
        <v>0</v>
      </c>
      <c r="BA212">
        <v>254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ROUND(Y212*Source!I243,9)</f>
        <v>29.14</v>
      </c>
      <c r="CY212">
        <f t="shared" si="114"/>
        <v>6.94</v>
      </c>
      <c r="CZ212">
        <f t="shared" si="115"/>
        <v>6.94</v>
      </c>
      <c r="DA212">
        <f t="shared" si="116"/>
        <v>1</v>
      </c>
      <c r="DB212">
        <f t="shared" si="117"/>
        <v>21.51</v>
      </c>
      <c r="DC212">
        <f t="shared" si="118"/>
        <v>0</v>
      </c>
      <c r="DD212" t="s">
        <v>3</v>
      </c>
      <c r="DE212" t="s">
        <v>3</v>
      </c>
      <c r="DF212">
        <f t="shared" si="112"/>
        <v>202.23</v>
      </c>
      <c r="DG212">
        <f t="shared" si="109"/>
        <v>0</v>
      </c>
      <c r="DH212">
        <f t="shared" si="110"/>
        <v>0</v>
      </c>
      <c r="DI212">
        <f t="shared" si="101"/>
        <v>0</v>
      </c>
      <c r="DJ212">
        <f t="shared" si="119"/>
        <v>202.23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ROW(Source!A243)</f>
        <v>243</v>
      </c>
      <c r="B213">
        <v>56959434</v>
      </c>
      <c r="C213">
        <v>56959996</v>
      </c>
      <c r="D213">
        <v>56084052</v>
      </c>
      <c r="E213">
        <v>1</v>
      </c>
      <c r="F213">
        <v>1</v>
      </c>
      <c r="G213">
        <v>1080</v>
      </c>
      <c r="H213">
        <v>3</v>
      </c>
      <c r="I213" t="s">
        <v>593</v>
      </c>
      <c r="J213" t="s">
        <v>594</v>
      </c>
      <c r="K213" t="s">
        <v>595</v>
      </c>
      <c r="L213">
        <v>1356</v>
      </c>
      <c r="N213">
        <v>1010</v>
      </c>
      <c r="O213" t="s">
        <v>544</v>
      </c>
      <c r="P213" t="s">
        <v>544</v>
      </c>
      <c r="Q213">
        <v>1000</v>
      </c>
      <c r="W213">
        <v>0</v>
      </c>
      <c r="X213">
        <v>807379832</v>
      </c>
      <c r="Y213">
        <f t="shared" si="113"/>
        <v>8.0000000000000002E-3</v>
      </c>
      <c r="AA213">
        <v>614.09</v>
      </c>
      <c r="AB213">
        <v>0</v>
      </c>
      <c r="AC213">
        <v>0</v>
      </c>
      <c r="AD213">
        <v>0</v>
      </c>
      <c r="AE213">
        <v>614.09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8.0000000000000002E-3</v>
      </c>
      <c r="AU213" t="s">
        <v>3</v>
      </c>
      <c r="AV213">
        <v>0</v>
      </c>
      <c r="AW213">
        <v>2</v>
      </c>
      <c r="AX213">
        <v>56961035</v>
      </c>
      <c r="AY213">
        <v>1</v>
      </c>
      <c r="AZ213">
        <v>0</v>
      </c>
      <c r="BA213">
        <v>255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ROUND(Y213*Source!I243,9)</f>
        <v>7.5200000000000003E-2</v>
      </c>
      <c r="CY213">
        <f t="shared" si="114"/>
        <v>614.09</v>
      </c>
      <c r="CZ213">
        <f t="shared" si="115"/>
        <v>614.09</v>
      </c>
      <c r="DA213">
        <f t="shared" si="116"/>
        <v>1</v>
      </c>
      <c r="DB213">
        <f t="shared" si="117"/>
        <v>4.91</v>
      </c>
      <c r="DC213">
        <f t="shared" si="118"/>
        <v>0</v>
      </c>
      <c r="DD213" t="s">
        <v>3</v>
      </c>
      <c r="DE213" t="s">
        <v>3</v>
      </c>
      <c r="DF213">
        <f t="shared" si="112"/>
        <v>46.18</v>
      </c>
      <c r="DG213">
        <f t="shared" si="109"/>
        <v>0</v>
      </c>
      <c r="DH213">
        <f t="shared" si="110"/>
        <v>0</v>
      </c>
      <c r="DI213">
        <f t="shared" si="101"/>
        <v>0</v>
      </c>
      <c r="DJ213">
        <f t="shared" si="119"/>
        <v>46.18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ROW(Source!A243)</f>
        <v>243</v>
      </c>
      <c r="B214">
        <v>56959434</v>
      </c>
      <c r="C214">
        <v>56959996</v>
      </c>
      <c r="D214">
        <v>0</v>
      </c>
      <c r="E214">
        <v>1080</v>
      </c>
      <c r="F214">
        <v>1</v>
      </c>
      <c r="G214">
        <v>1080</v>
      </c>
      <c r="H214">
        <v>3</v>
      </c>
      <c r="I214" t="s">
        <v>280</v>
      </c>
      <c r="J214" t="s">
        <v>3</v>
      </c>
      <c r="K214" t="s">
        <v>281</v>
      </c>
      <c r="L214">
        <v>2698</v>
      </c>
      <c r="N214">
        <v>1013</v>
      </c>
      <c r="O214" t="s">
        <v>101</v>
      </c>
      <c r="P214" t="s">
        <v>101</v>
      </c>
      <c r="Q214">
        <v>1</v>
      </c>
      <c r="W214">
        <v>0</v>
      </c>
      <c r="X214">
        <v>544496089</v>
      </c>
      <c r="Y214">
        <f t="shared" si="113"/>
        <v>102</v>
      </c>
      <c r="AA214">
        <v>4.88</v>
      </c>
      <c r="AB214">
        <v>0</v>
      </c>
      <c r="AC214">
        <v>0</v>
      </c>
      <c r="AD214">
        <v>0</v>
      </c>
      <c r="AE214">
        <v>4.88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t="s">
        <v>3</v>
      </c>
      <c r="AT214">
        <v>102</v>
      </c>
      <c r="AU214" t="s">
        <v>3</v>
      </c>
      <c r="AV214">
        <v>0</v>
      </c>
      <c r="AW214">
        <v>1</v>
      </c>
      <c r="AX214">
        <v>-1</v>
      </c>
      <c r="AY214">
        <v>0</v>
      </c>
      <c r="AZ214">
        <v>0</v>
      </c>
      <c r="BA214" t="s">
        <v>3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ROUND(Y214*Source!I243,9)</f>
        <v>958.8</v>
      </c>
      <c r="CY214">
        <f t="shared" si="114"/>
        <v>4.88</v>
      </c>
      <c r="CZ214">
        <f t="shared" si="115"/>
        <v>4.88</v>
      </c>
      <c r="DA214">
        <f t="shared" si="116"/>
        <v>1</v>
      </c>
      <c r="DB214">
        <f t="shared" si="117"/>
        <v>497.76</v>
      </c>
      <c r="DC214">
        <f t="shared" si="118"/>
        <v>0</v>
      </c>
      <c r="DD214" t="s">
        <v>3</v>
      </c>
      <c r="DE214" t="s">
        <v>3</v>
      </c>
      <c r="DF214">
        <f t="shared" si="112"/>
        <v>4678.9399999999996</v>
      </c>
      <c r="DG214">
        <f t="shared" si="109"/>
        <v>0</v>
      </c>
      <c r="DH214">
        <f t="shared" si="110"/>
        <v>0</v>
      </c>
      <c r="DI214">
        <f t="shared" si="101"/>
        <v>0</v>
      </c>
      <c r="DJ214">
        <f t="shared" si="119"/>
        <v>4678.9399999999996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ROW(Source!A244)</f>
        <v>244</v>
      </c>
      <c r="B215">
        <v>56959431</v>
      </c>
      <c r="C215">
        <v>56959996</v>
      </c>
      <c r="D215">
        <v>56018166</v>
      </c>
      <c r="E215">
        <v>1080</v>
      </c>
      <c r="F215">
        <v>1</v>
      </c>
      <c r="G215">
        <v>1080</v>
      </c>
      <c r="H215">
        <v>1</v>
      </c>
      <c r="I215" t="s">
        <v>500</v>
      </c>
      <c r="J215" t="s">
        <v>3</v>
      </c>
      <c r="K215" t="s">
        <v>501</v>
      </c>
      <c r="L215">
        <v>1191</v>
      </c>
      <c r="N215">
        <v>1013</v>
      </c>
      <c r="O215" t="s">
        <v>502</v>
      </c>
      <c r="P215" t="s">
        <v>502</v>
      </c>
      <c r="Q215">
        <v>1</v>
      </c>
      <c r="W215">
        <v>0</v>
      </c>
      <c r="X215">
        <v>476480486</v>
      </c>
      <c r="Y215">
        <f>(AT215*1.1)</f>
        <v>5.9290000000000003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5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5.39</v>
      </c>
      <c r="AU215" t="s">
        <v>23</v>
      </c>
      <c r="AV215">
        <v>1</v>
      </c>
      <c r="AW215">
        <v>2</v>
      </c>
      <c r="AX215">
        <v>56961027</v>
      </c>
      <c r="AY215">
        <v>1</v>
      </c>
      <c r="AZ215">
        <v>0</v>
      </c>
      <c r="BA215">
        <v>257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ROUND(AT215*Source!I244*AH215*AL215,2)</f>
        <v>0</v>
      </c>
      <c r="CV215">
        <f>ROUND(Y215*Source!I244,9)</f>
        <v>55.732599999999998</v>
      </c>
      <c r="CW215">
        <v>0</v>
      </c>
      <c r="CX215">
        <f>ROUND(Y215*Source!I244,9)</f>
        <v>55.732599999999998</v>
      </c>
      <c r="CY215">
        <f>AD215</f>
        <v>0</v>
      </c>
      <c r="CZ215">
        <f>AH215</f>
        <v>0</v>
      </c>
      <c r="DA215">
        <f>AL215</f>
        <v>1</v>
      </c>
      <c r="DB215">
        <f>ROUND((ROUND(AT215*CZ215,2)*1.1),6)</f>
        <v>0</v>
      </c>
      <c r="DC215">
        <f>ROUND((ROUND(AT215*AG215,2)*1.1),6)</f>
        <v>0</v>
      </c>
      <c r="DD215" t="s">
        <v>3</v>
      </c>
      <c r="DE215" t="s">
        <v>3</v>
      </c>
      <c r="DF215">
        <f t="shared" si="112"/>
        <v>0</v>
      </c>
      <c r="DG215">
        <f t="shared" si="109"/>
        <v>0</v>
      </c>
      <c r="DH215">
        <f t="shared" si="110"/>
        <v>0</v>
      </c>
      <c r="DI215">
        <f t="shared" si="101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ROW(Source!A244)</f>
        <v>244</v>
      </c>
      <c r="B216">
        <v>56959431</v>
      </c>
      <c r="C216">
        <v>56959996</v>
      </c>
      <c r="D216">
        <v>56092340</v>
      </c>
      <c r="E216">
        <v>1</v>
      </c>
      <c r="F216">
        <v>1</v>
      </c>
      <c r="G216">
        <v>1080</v>
      </c>
      <c r="H216">
        <v>2</v>
      </c>
      <c r="I216" t="s">
        <v>503</v>
      </c>
      <c r="J216" t="s">
        <v>504</v>
      </c>
      <c r="K216" t="s">
        <v>505</v>
      </c>
      <c r="L216">
        <v>1368</v>
      </c>
      <c r="N216">
        <v>1011</v>
      </c>
      <c r="O216" t="s">
        <v>506</v>
      </c>
      <c r="P216" t="s">
        <v>506</v>
      </c>
      <c r="Q216">
        <v>1</v>
      </c>
      <c r="W216">
        <v>0</v>
      </c>
      <c r="X216">
        <v>-1985943078</v>
      </c>
      <c r="Y216">
        <f>(AT216*1.1)</f>
        <v>2.2000000000000002E-2</v>
      </c>
      <c r="AA216">
        <v>0</v>
      </c>
      <c r="AB216">
        <v>1418.19</v>
      </c>
      <c r="AC216">
        <v>726.59</v>
      </c>
      <c r="AD216">
        <v>0</v>
      </c>
      <c r="AE216">
        <v>0</v>
      </c>
      <c r="AF216">
        <v>83.1</v>
      </c>
      <c r="AG216">
        <v>12.62</v>
      </c>
      <c r="AH216">
        <v>0</v>
      </c>
      <c r="AI216">
        <v>1</v>
      </c>
      <c r="AJ216">
        <v>16.3</v>
      </c>
      <c r="AK216">
        <v>54.99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0.02</v>
      </c>
      <c r="AU216" t="s">
        <v>23</v>
      </c>
      <c r="AV216">
        <v>0</v>
      </c>
      <c r="AW216">
        <v>2</v>
      </c>
      <c r="AX216">
        <v>56961028</v>
      </c>
      <c r="AY216">
        <v>1</v>
      </c>
      <c r="AZ216">
        <v>0</v>
      </c>
      <c r="BA216">
        <v>258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ROUND(Y216*Source!I244*DO216,9)</f>
        <v>2.6098159999999999</v>
      </c>
      <c r="CX216">
        <f>ROUND(Y216*Source!I244,9)</f>
        <v>0.20680000000000001</v>
      </c>
      <c r="CY216">
        <f>AB216</f>
        <v>1418.19</v>
      </c>
      <c r="CZ216">
        <f>AF216</f>
        <v>83.1</v>
      </c>
      <c r="DA216">
        <f>AJ216</f>
        <v>16.3</v>
      </c>
      <c r="DB216">
        <f>ROUND((ROUND(AT216*CZ216,2)*1.1),6)</f>
        <v>1.8260000000000001</v>
      </c>
      <c r="DC216">
        <f>ROUND((ROUND(AT216*AG216,2)*1.1),6)</f>
        <v>0.27500000000000002</v>
      </c>
      <c r="DD216" t="s">
        <v>3</v>
      </c>
      <c r="DE216" t="s">
        <v>3</v>
      </c>
      <c r="DF216">
        <f t="shared" si="112"/>
        <v>0</v>
      </c>
      <c r="DG216">
        <f>ROUND(ROUND(AF216*AJ216,2)*CX216,2)</f>
        <v>280.12</v>
      </c>
      <c r="DH216">
        <f>ROUND(ROUND(AG216*AK216,2)*CX216,2)</f>
        <v>143.51</v>
      </c>
      <c r="DI216">
        <f t="shared" si="101"/>
        <v>0</v>
      </c>
      <c r="DJ216">
        <f>DG216</f>
        <v>280.12</v>
      </c>
      <c r="DK216">
        <v>0</v>
      </c>
      <c r="DL216" t="s">
        <v>507</v>
      </c>
      <c r="DM216">
        <v>0</v>
      </c>
      <c r="DN216" t="s">
        <v>502</v>
      </c>
      <c r="DO216">
        <v>12.62</v>
      </c>
    </row>
    <row r="217" spans="1:119" x14ac:dyDescent="0.2">
      <c r="A217">
        <f>ROW(Source!A244)</f>
        <v>244</v>
      </c>
      <c r="B217">
        <v>56959431</v>
      </c>
      <c r="C217">
        <v>56959996</v>
      </c>
      <c r="D217">
        <v>56091576</v>
      </c>
      <c r="E217">
        <v>1</v>
      </c>
      <c r="F217">
        <v>1</v>
      </c>
      <c r="G217">
        <v>1080</v>
      </c>
      <c r="H217">
        <v>2</v>
      </c>
      <c r="I217" t="s">
        <v>529</v>
      </c>
      <c r="J217" t="s">
        <v>530</v>
      </c>
      <c r="K217" t="s">
        <v>531</v>
      </c>
      <c r="L217">
        <v>1368</v>
      </c>
      <c r="N217">
        <v>1011</v>
      </c>
      <c r="O217" t="s">
        <v>506</v>
      </c>
      <c r="P217" t="s">
        <v>506</v>
      </c>
      <c r="Q217">
        <v>1</v>
      </c>
      <c r="W217">
        <v>0</v>
      </c>
      <c r="X217">
        <v>1087580389</v>
      </c>
      <c r="Y217">
        <f>(AT217*1.1)</f>
        <v>2.2000000000000002E-2</v>
      </c>
      <c r="AA217">
        <v>0</v>
      </c>
      <c r="AB217">
        <v>2579.38</v>
      </c>
      <c r="AC217">
        <v>974.74</v>
      </c>
      <c r="AD217">
        <v>0</v>
      </c>
      <c r="AE217">
        <v>0</v>
      </c>
      <c r="AF217">
        <v>179.17</v>
      </c>
      <c r="AG217">
        <v>16.93</v>
      </c>
      <c r="AH217">
        <v>0</v>
      </c>
      <c r="AI217">
        <v>1</v>
      </c>
      <c r="AJ217">
        <v>13.75</v>
      </c>
      <c r="AK217">
        <v>54.99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0.02</v>
      </c>
      <c r="AU217" t="s">
        <v>23</v>
      </c>
      <c r="AV217">
        <v>0</v>
      </c>
      <c r="AW217">
        <v>2</v>
      </c>
      <c r="AX217">
        <v>56961029</v>
      </c>
      <c r="AY217">
        <v>1</v>
      </c>
      <c r="AZ217">
        <v>0</v>
      </c>
      <c r="BA217">
        <v>259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ROUND(Y217*Source!I244*DO217,9)</f>
        <v>3.5011239999999999</v>
      </c>
      <c r="CX217">
        <f>ROUND(Y217*Source!I244,9)</f>
        <v>0.20680000000000001</v>
      </c>
      <c r="CY217">
        <f>AB217</f>
        <v>2579.38</v>
      </c>
      <c r="CZ217">
        <f>AF217</f>
        <v>179.17</v>
      </c>
      <c r="DA217">
        <f>AJ217</f>
        <v>13.75</v>
      </c>
      <c r="DB217">
        <f>ROUND((ROUND(AT217*CZ217,2)*1.1),6)</f>
        <v>3.9380000000000002</v>
      </c>
      <c r="DC217">
        <f>ROUND((ROUND(AT217*AG217,2)*1.1),6)</f>
        <v>0.374</v>
      </c>
      <c r="DD217" t="s">
        <v>3</v>
      </c>
      <c r="DE217" t="s">
        <v>3</v>
      </c>
      <c r="DF217">
        <f t="shared" si="112"/>
        <v>0</v>
      </c>
      <c r="DG217">
        <f>ROUND(ROUND(AF217*AJ217,2)*CX217,2)</f>
        <v>509.47</v>
      </c>
      <c r="DH217">
        <f>ROUND(ROUND(AG217*AK217,2)*CX217,2)</f>
        <v>192.53</v>
      </c>
      <c r="DI217">
        <f t="shared" si="101"/>
        <v>0</v>
      </c>
      <c r="DJ217">
        <f>DG217</f>
        <v>509.47</v>
      </c>
      <c r="DK217">
        <v>0</v>
      </c>
      <c r="DL217" t="s">
        <v>507</v>
      </c>
      <c r="DM217">
        <v>0</v>
      </c>
      <c r="DN217" t="s">
        <v>502</v>
      </c>
      <c r="DO217">
        <v>16.93</v>
      </c>
    </row>
    <row r="218" spans="1:119" x14ac:dyDescent="0.2">
      <c r="A218">
        <f>ROW(Source!A244)</f>
        <v>244</v>
      </c>
      <c r="B218">
        <v>56959431</v>
      </c>
      <c r="C218">
        <v>56959996</v>
      </c>
      <c r="D218">
        <v>56061373</v>
      </c>
      <c r="E218">
        <v>1</v>
      </c>
      <c r="F218">
        <v>1</v>
      </c>
      <c r="G218">
        <v>1080</v>
      </c>
      <c r="H218">
        <v>3</v>
      </c>
      <c r="I218" t="s">
        <v>532</v>
      </c>
      <c r="J218" t="s">
        <v>533</v>
      </c>
      <c r="K218" t="s">
        <v>534</v>
      </c>
      <c r="L218">
        <v>1346</v>
      </c>
      <c r="N218">
        <v>1009</v>
      </c>
      <c r="O218" t="s">
        <v>249</v>
      </c>
      <c r="P218" t="s">
        <v>249</v>
      </c>
      <c r="Q218">
        <v>1</v>
      </c>
      <c r="W218">
        <v>0</v>
      </c>
      <c r="X218">
        <v>1770006655</v>
      </c>
      <c r="Y218">
        <f t="shared" ref="Y218:Y224" si="120">AT218</f>
        <v>0.6</v>
      </c>
      <c r="AA218">
        <v>29.73</v>
      </c>
      <c r="AB218">
        <v>0</v>
      </c>
      <c r="AC218">
        <v>0</v>
      </c>
      <c r="AD218">
        <v>0</v>
      </c>
      <c r="AE218">
        <v>1.38</v>
      </c>
      <c r="AF218">
        <v>0</v>
      </c>
      <c r="AG218">
        <v>0</v>
      </c>
      <c r="AH218">
        <v>0</v>
      </c>
      <c r="AI218">
        <v>21.54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0.6</v>
      </c>
      <c r="AU218" t="s">
        <v>3</v>
      </c>
      <c r="AV218">
        <v>0</v>
      </c>
      <c r="AW218">
        <v>2</v>
      </c>
      <c r="AX218">
        <v>56961030</v>
      </c>
      <c r="AY218">
        <v>1</v>
      </c>
      <c r="AZ218">
        <v>0</v>
      </c>
      <c r="BA218">
        <v>260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ROUND(Y218*Source!I244,9)</f>
        <v>5.64</v>
      </c>
      <c r="CY218">
        <f t="shared" ref="CY218:CY224" si="121">AA218</f>
        <v>29.73</v>
      </c>
      <c r="CZ218">
        <f t="shared" ref="CZ218:CZ224" si="122">AE218</f>
        <v>1.38</v>
      </c>
      <c r="DA218">
        <f t="shared" ref="DA218:DA224" si="123">AI218</f>
        <v>21.54</v>
      </c>
      <c r="DB218">
        <f t="shared" ref="DB218:DB224" si="124">ROUND(ROUND(AT218*CZ218,2),6)</f>
        <v>0.83</v>
      </c>
      <c r="DC218">
        <f t="shared" ref="DC218:DC224" si="125">ROUND(ROUND(AT218*AG218,2),6)</f>
        <v>0</v>
      </c>
      <c r="DD218" t="s">
        <v>3</v>
      </c>
      <c r="DE218" t="s">
        <v>3</v>
      </c>
      <c r="DF218">
        <f t="shared" ref="DF218:DF224" si="126">ROUND(ROUND(AE218*AI218,2)*CX218,2)</f>
        <v>167.68</v>
      </c>
      <c r="DG218">
        <f t="shared" ref="DG218:DG239" si="127">ROUND(ROUND(AF218,2)*CX218,2)</f>
        <v>0</v>
      </c>
      <c r="DH218">
        <f t="shared" ref="DH218:DH239" si="128">ROUND(ROUND(AG218,2)*CX218,2)</f>
        <v>0</v>
      </c>
      <c r="DI218">
        <f t="shared" si="101"/>
        <v>0</v>
      </c>
      <c r="DJ218">
        <f t="shared" ref="DJ218:DJ224" si="129">DF218</f>
        <v>167.68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ROW(Source!A244)</f>
        <v>244</v>
      </c>
      <c r="B219">
        <v>56959431</v>
      </c>
      <c r="C219">
        <v>56959996</v>
      </c>
      <c r="D219">
        <v>56061764</v>
      </c>
      <c r="E219">
        <v>1</v>
      </c>
      <c r="F219">
        <v>1</v>
      </c>
      <c r="G219">
        <v>1080</v>
      </c>
      <c r="H219">
        <v>3</v>
      </c>
      <c r="I219" t="s">
        <v>535</v>
      </c>
      <c r="J219" t="s">
        <v>536</v>
      </c>
      <c r="K219" t="s">
        <v>537</v>
      </c>
      <c r="L219">
        <v>1346</v>
      </c>
      <c r="N219">
        <v>1009</v>
      </c>
      <c r="O219" t="s">
        <v>249</v>
      </c>
      <c r="P219" t="s">
        <v>249</v>
      </c>
      <c r="Q219">
        <v>1</v>
      </c>
      <c r="W219">
        <v>0</v>
      </c>
      <c r="X219">
        <v>-878159893</v>
      </c>
      <c r="Y219">
        <f t="shared" si="120"/>
        <v>0.16</v>
      </c>
      <c r="AA219">
        <v>286.31</v>
      </c>
      <c r="AB219">
        <v>0</v>
      </c>
      <c r="AC219">
        <v>0</v>
      </c>
      <c r="AD219">
        <v>0</v>
      </c>
      <c r="AE219">
        <v>159.06</v>
      </c>
      <c r="AF219">
        <v>0</v>
      </c>
      <c r="AG219">
        <v>0</v>
      </c>
      <c r="AH219">
        <v>0</v>
      </c>
      <c r="AI219">
        <v>1.8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0.16</v>
      </c>
      <c r="AU219" t="s">
        <v>3</v>
      </c>
      <c r="AV219">
        <v>0</v>
      </c>
      <c r="AW219">
        <v>2</v>
      </c>
      <c r="AX219">
        <v>56961031</v>
      </c>
      <c r="AY219">
        <v>1</v>
      </c>
      <c r="AZ219">
        <v>0</v>
      </c>
      <c r="BA219">
        <v>261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ROUND(Y219*Source!I244,9)</f>
        <v>1.504</v>
      </c>
      <c r="CY219">
        <f t="shared" si="121"/>
        <v>286.31</v>
      </c>
      <c r="CZ219">
        <f t="shared" si="122"/>
        <v>159.06</v>
      </c>
      <c r="DA219">
        <f t="shared" si="123"/>
        <v>1.8</v>
      </c>
      <c r="DB219">
        <f t="shared" si="124"/>
        <v>25.45</v>
      </c>
      <c r="DC219">
        <f t="shared" si="125"/>
        <v>0</v>
      </c>
      <c r="DD219" t="s">
        <v>3</v>
      </c>
      <c r="DE219" t="s">
        <v>3</v>
      </c>
      <c r="DF219">
        <f t="shared" si="126"/>
        <v>430.61</v>
      </c>
      <c r="DG219">
        <f t="shared" si="127"/>
        <v>0</v>
      </c>
      <c r="DH219">
        <f t="shared" si="128"/>
        <v>0</v>
      </c>
      <c r="DI219">
        <f t="shared" si="101"/>
        <v>0</v>
      </c>
      <c r="DJ219">
        <f t="shared" si="129"/>
        <v>430.61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ROW(Source!A244)</f>
        <v>244</v>
      </c>
      <c r="B220">
        <v>56959431</v>
      </c>
      <c r="C220">
        <v>56959996</v>
      </c>
      <c r="D220">
        <v>56084708</v>
      </c>
      <c r="E220">
        <v>1</v>
      </c>
      <c r="F220">
        <v>1</v>
      </c>
      <c r="G220">
        <v>1080</v>
      </c>
      <c r="H220">
        <v>3</v>
      </c>
      <c r="I220" t="s">
        <v>587</v>
      </c>
      <c r="J220" t="s">
        <v>588</v>
      </c>
      <c r="K220" t="s">
        <v>589</v>
      </c>
      <c r="L220">
        <v>1355</v>
      </c>
      <c r="N220">
        <v>1010</v>
      </c>
      <c r="O220" t="s">
        <v>520</v>
      </c>
      <c r="P220" t="s">
        <v>520</v>
      </c>
      <c r="Q220">
        <v>100</v>
      </c>
      <c r="W220">
        <v>0</v>
      </c>
      <c r="X220">
        <v>938266694</v>
      </c>
      <c r="Y220">
        <f t="shared" si="120"/>
        <v>0.05</v>
      </c>
      <c r="AA220">
        <v>2189.12</v>
      </c>
      <c r="AB220">
        <v>0</v>
      </c>
      <c r="AC220">
        <v>0</v>
      </c>
      <c r="AD220">
        <v>0</v>
      </c>
      <c r="AE220">
        <v>130.15</v>
      </c>
      <c r="AF220">
        <v>0</v>
      </c>
      <c r="AG220">
        <v>0</v>
      </c>
      <c r="AH220">
        <v>0</v>
      </c>
      <c r="AI220">
        <v>16.82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0.05</v>
      </c>
      <c r="AU220" t="s">
        <v>3</v>
      </c>
      <c r="AV220">
        <v>0</v>
      </c>
      <c r="AW220">
        <v>2</v>
      </c>
      <c r="AX220">
        <v>56961032</v>
      </c>
      <c r="AY220">
        <v>1</v>
      </c>
      <c r="AZ220">
        <v>0</v>
      </c>
      <c r="BA220">
        <v>262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ROUND(Y220*Source!I244,9)</f>
        <v>0.47</v>
      </c>
      <c r="CY220">
        <f t="shared" si="121"/>
        <v>2189.12</v>
      </c>
      <c r="CZ220">
        <f t="shared" si="122"/>
        <v>130.15</v>
      </c>
      <c r="DA220">
        <f t="shared" si="123"/>
        <v>16.82</v>
      </c>
      <c r="DB220">
        <f t="shared" si="124"/>
        <v>6.51</v>
      </c>
      <c r="DC220">
        <f t="shared" si="125"/>
        <v>0</v>
      </c>
      <c r="DD220" t="s">
        <v>3</v>
      </c>
      <c r="DE220" t="s">
        <v>3</v>
      </c>
      <c r="DF220">
        <f t="shared" si="126"/>
        <v>1028.8900000000001</v>
      </c>
      <c r="DG220">
        <f t="shared" si="127"/>
        <v>0</v>
      </c>
      <c r="DH220">
        <f t="shared" si="128"/>
        <v>0</v>
      </c>
      <c r="DI220">
        <f t="shared" si="101"/>
        <v>0</v>
      </c>
      <c r="DJ220">
        <f t="shared" si="129"/>
        <v>1028.8900000000001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ROW(Source!A244)</f>
        <v>244</v>
      </c>
      <c r="B221">
        <v>56959431</v>
      </c>
      <c r="C221">
        <v>56959996</v>
      </c>
      <c r="D221">
        <v>56084719</v>
      </c>
      <c r="E221">
        <v>1</v>
      </c>
      <c r="F221">
        <v>1</v>
      </c>
      <c r="G221">
        <v>1080</v>
      </c>
      <c r="H221">
        <v>3</v>
      </c>
      <c r="I221" t="s">
        <v>590</v>
      </c>
      <c r="J221" t="s">
        <v>591</v>
      </c>
      <c r="K221" t="s">
        <v>592</v>
      </c>
      <c r="L221">
        <v>1356</v>
      </c>
      <c r="N221">
        <v>1010</v>
      </c>
      <c r="O221" t="s">
        <v>544</v>
      </c>
      <c r="P221" t="s">
        <v>544</v>
      </c>
      <c r="Q221">
        <v>1000</v>
      </c>
      <c r="W221">
        <v>0</v>
      </c>
      <c r="X221">
        <v>-422648154</v>
      </c>
      <c r="Y221">
        <f t="shared" si="120"/>
        <v>1.2200000000000001E-2</v>
      </c>
      <c r="AA221">
        <v>1599.36</v>
      </c>
      <c r="AB221">
        <v>0</v>
      </c>
      <c r="AC221">
        <v>0</v>
      </c>
      <c r="AD221">
        <v>0</v>
      </c>
      <c r="AE221">
        <v>226.86</v>
      </c>
      <c r="AF221">
        <v>0</v>
      </c>
      <c r="AG221">
        <v>0</v>
      </c>
      <c r="AH221">
        <v>0</v>
      </c>
      <c r="AI221">
        <v>7.05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1.2200000000000001E-2</v>
      </c>
      <c r="AU221" t="s">
        <v>3</v>
      </c>
      <c r="AV221">
        <v>0</v>
      </c>
      <c r="AW221">
        <v>2</v>
      </c>
      <c r="AX221">
        <v>56961033</v>
      </c>
      <c r="AY221">
        <v>1</v>
      </c>
      <c r="AZ221">
        <v>0</v>
      </c>
      <c r="BA221">
        <v>263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ROUND(Y221*Source!I244,9)</f>
        <v>0.11468</v>
      </c>
      <c r="CY221">
        <f t="shared" si="121"/>
        <v>1599.36</v>
      </c>
      <c r="CZ221">
        <f t="shared" si="122"/>
        <v>226.86</v>
      </c>
      <c r="DA221">
        <f t="shared" si="123"/>
        <v>7.05</v>
      </c>
      <c r="DB221">
        <f t="shared" si="124"/>
        <v>2.77</v>
      </c>
      <c r="DC221">
        <f t="shared" si="125"/>
        <v>0</v>
      </c>
      <c r="DD221" t="s">
        <v>3</v>
      </c>
      <c r="DE221" t="s">
        <v>3</v>
      </c>
      <c r="DF221">
        <f t="shared" si="126"/>
        <v>183.41</v>
      </c>
      <c r="DG221">
        <f t="shared" si="127"/>
        <v>0</v>
      </c>
      <c r="DH221">
        <f t="shared" si="128"/>
        <v>0</v>
      </c>
      <c r="DI221">
        <f t="shared" si="101"/>
        <v>0</v>
      </c>
      <c r="DJ221">
        <f t="shared" si="129"/>
        <v>183.41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ROW(Source!A244)</f>
        <v>244</v>
      </c>
      <c r="B222">
        <v>56959431</v>
      </c>
      <c r="C222">
        <v>56959996</v>
      </c>
      <c r="D222">
        <v>56084044</v>
      </c>
      <c r="E222">
        <v>1</v>
      </c>
      <c r="F222">
        <v>1</v>
      </c>
      <c r="G222">
        <v>1080</v>
      </c>
      <c r="H222">
        <v>3</v>
      </c>
      <c r="I222" t="s">
        <v>545</v>
      </c>
      <c r="J222" t="s">
        <v>546</v>
      </c>
      <c r="K222" t="s">
        <v>547</v>
      </c>
      <c r="L222">
        <v>1354</v>
      </c>
      <c r="N222">
        <v>1010</v>
      </c>
      <c r="O222" t="s">
        <v>31</v>
      </c>
      <c r="P222" t="s">
        <v>31</v>
      </c>
      <c r="Q222">
        <v>1</v>
      </c>
      <c r="W222">
        <v>0</v>
      </c>
      <c r="X222">
        <v>145081611</v>
      </c>
      <c r="Y222">
        <f t="shared" si="120"/>
        <v>3.1</v>
      </c>
      <c r="AA222">
        <v>25.47</v>
      </c>
      <c r="AB222">
        <v>0</v>
      </c>
      <c r="AC222">
        <v>0</v>
      </c>
      <c r="AD222">
        <v>0</v>
      </c>
      <c r="AE222">
        <v>6.94</v>
      </c>
      <c r="AF222">
        <v>0</v>
      </c>
      <c r="AG222">
        <v>0</v>
      </c>
      <c r="AH222">
        <v>0</v>
      </c>
      <c r="AI222">
        <v>3.67</v>
      </c>
      <c r="AJ222">
        <v>1</v>
      </c>
      <c r="AK222">
        <v>1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3.1</v>
      </c>
      <c r="AU222" t="s">
        <v>3</v>
      </c>
      <c r="AV222">
        <v>0</v>
      </c>
      <c r="AW222">
        <v>2</v>
      </c>
      <c r="AX222">
        <v>56961034</v>
      </c>
      <c r="AY222">
        <v>1</v>
      </c>
      <c r="AZ222">
        <v>0</v>
      </c>
      <c r="BA222">
        <v>264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ROUND(Y222*Source!I244,9)</f>
        <v>29.14</v>
      </c>
      <c r="CY222">
        <f t="shared" si="121"/>
        <v>25.47</v>
      </c>
      <c r="CZ222">
        <f t="shared" si="122"/>
        <v>6.94</v>
      </c>
      <c r="DA222">
        <f t="shared" si="123"/>
        <v>3.67</v>
      </c>
      <c r="DB222">
        <f t="shared" si="124"/>
        <v>21.51</v>
      </c>
      <c r="DC222">
        <f t="shared" si="125"/>
        <v>0</v>
      </c>
      <c r="DD222" t="s">
        <v>3</v>
      </c>
      <c r="DE222" t="s">
        <v>3</v>
      </c>
      <c r="DF222">
        <f t="shared" si="126"/>
        <v>742.2</v>
      </c>
      <c r="DG222">
        <f t="shared" si="127"/>
        <v>0</v>
      </c>
      <c r="DH222">
        <f t="shared" si="128"/>
        <v>0</v>
      </c>
      <c r="DI222">
        <f t="shared" si="101"/>
        <v>0</v>
      </c>
      <c r="DJ222">
        <f t="shared" si="129"/>
        <v>742.2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ROW(Source!A244)</f>
        <v>244</v>
      </c>
      <c r="B223">
        <v>56959431</v>
      </c>
      <c r="C223">
        <v>56959996</v>
      </c>
      <c r="D223">
        <v>56084052</v>
      </c>
      <c r="E223">
        <v>1</v>
      </c>
      <c r="F223">
        <v>1</v>
      </c>
      <c r="G223">
        <v>1080</v>
      </c>
      <c r="H223">
        <v>3</v>
      </c>
      <c r="I223" t="s">
        <v>593</v>
      </c>
      <c r="J223" t="s">
        <v>594</v>
      </c>
      <c r="K223" t="s">
        <v>595</v>
      </c>
      <c r="L223">
        <v>1356</v>
      </c>
      <c r="N223">
        <v>1010</v>
      </c>
      <c r="O223" t="s">
        <v>544</v>
      </c>
      <c r="P223" t="s">
        <v>544</v>
      </c>
      <c r="Q223">
        <v>1000</v>
      </c>
      <c r="W223">
        <v>0</v>
      </c>
      <c r="X223">
        <v>807379832</v>
      </c>
      <c r="Y223">
        <f t="shared" si="120"/>
        <v>8.0000000000000002E-3</v>
      </c>
      <c r="AA223">
        <v>1197.48</v>
      </c>
      <c r="AB223">
        <v>0</v>
      </c>
      <c r="AC223">
        <v>0</v>
      </c>
      <c r="AD223">
        <v>0</v>
      </c>
      <c r="AE223">
        <v>614.09</v>
      </c>
      <c r="AF223">
        <v>0</v>
      </c>
      <c r="AG223">
        <v>0</v>
      </c>
      <c r="AH223">
        <v>0</v>
      </c>
      <c r="AI223">
        <v>1.95</v>
      </c>
      <c r="AJ223">
        <v>1</v>
      </c>
      <c r="AK223">
        <v>1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8.0000000000000002E-3</v>
      </c>
      <c r="AU223" t="s">
        <v>3</v>
      </c>
      <c r="AV223">
        <v>0</v>
      </c>
      <c r="AW223">
        <v>2</v>
      </c>
      <c r="AX223">
        <v>56961035</v>
      </c>
      <c r="AY223">
        <v>1</v>
      </c>
      <c r="AZ223">
        <v>0</v>
      </c>
      <c r="BA223">
        <v>265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ROUND(Y223*Source!I244,9)</f>
        <v>7.5200000000000003E-2</v>
      </c>
      <c r="CY223">
        <f t="shared" si="121"/>
        <v>1197.48</v>
      </c>
      <c r="CZ223">
        <f t="shared" si="122"/>
        <v>614.09</v>
      </c>
      <c r="DA223">
        <f t="shared" si="123"/>
        <v>1.95</v>
      </c>
      <c r="DB223">
        <f t="shared" si="124"/>
        <v>4.91</v>
      </c>
      <c r="DC223">
        <f t="shared" si="125"/>
        <v>0</v>
      </c>
      <c r="DD223" t="s">
        <v>3</v>
      </c>
      <c r="DE223" t="s">
        <v>3</v>
      </c>
      <c r="DF223">
        <f t="shared" si="126"/>
        <v>90.05</v>
      </c>
      <c r="DG223">
        <f t="shared" si="127"/>
        <v>0</v>
      </c>
      <c r="DH223">
        <f t="shared" si="128"/>
        <v>0</v>
      </c>
      <c r="DI223">
        <f t="shared" si="101"/>
        <v>0</v>
      </c>
      <c r="DJ223">
        <f t="shared" si="129"/>
        <v>90.05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ROW(Source!A244)</f>
        <v>244</v>
      </c>
      <c r="B224">
        <v>56959431</v>
      </c>
      <c r="C224">
        <v>56959996</v>
      </c>
      <c r="D224">
        <v>0</v>
      </c>
      <c r="E224">
        <v>1080</v>
      </c>
      <c r="F224">
        <v>1</v>
      </c>
      <c r="G224">
        <v>1080</v>
      </c>
      <c r="H224">
        <v>3</v>
      </c>
      <c r="I224" t="s">
        <v>280</v>
      </c>
      <c r="J224" t="s">
        <v>3</v>
      </c>
      <c r="K224" t="s">
        <v>281</v>
      </c>
      <c r="L224">
        <v>2698</v>
      </c>
      <c r="N224">
        <v>1013</v>
      </c>
      <c r="O224" t="s">
        <v>101</v>
      </c>
      <c r="P224" t="s">
        <v>101</v>
      </c>
      <c r="Q224">
        <v>1</v>
      </c>
      <c r="W224">
        <v>0</v>
      </c>
      <c r="X224">
        <v>544496089</v>
      </c>
      <c r="Y224">
        <f t="shared" si="120"/>
        <v>102</v>
      </c>
      <c r="AA224">
        <v>48.21</v>
      </c>
      <c r="AB224">
        <v>0</v>
      </c>
      <c r="AC224">
        <v>0</v>
      </c>
      <c r="AD224">
        <v>0</v>
      </c>
      <c r="AE224">
        <v>4.88</v>
      </c>
      <c r="AF224">
        <v>0</v>
      </c>
      <c r="AG224">
        <v>0</v>
      </c>
      <c r="AH224">
        <v>0</v>
      </c>
      <c r="AI224">
        <v>9.8800000000000008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t="s">
        <v>3</v>
      </c>
      <c r="AT224">
        <v>102</v>
      </c>
      <c r="AU224" t="s">
        <v>3</v>
      </c>
      <c r="AV224">
        <v>0</v>
      </c>
      <c r="AW224">
        <v>1</v>
      </c>
      <c r="AX224">
        <v>-1</v>
      </c>
      <c r="AY224">
        <v>0</v>
      </c>
      <c r="AZ224">
        <v>0</v>
      </c>
      <c r="BA224" t="s">
        <v>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ROUND(Y224*Source!I244,9)</f>
        <v>958.8</v>
      </c>
      <c r="CY224">
        <f t="shared" si="121"/>
        <v>48.21</v>
      </c>
      <c r="CZ224">
        <f t="shared" si="122"/>
        <v>4.88</v>
      </c>
      <c r="DA224">
        <f t="shared" si="123"/>
        <v>9.8800000000000008</v>
      </c>
      <c r="DB224">
        <f t="shared" si="124"/>
        <v>497.76</v>
      </c>
      <c r="DC224">
        <f t="shared" si="125"/>
        <v>0</v>
      </c>
      <c r="DD224" t="s">
        <v>3</v>
      </c>
      <c r="DE224" t="s">
        <v>3</v>
      </c>
      <c r="DF224">
        <f t="shared" si="126"/>
        <v>46223.75</v>
      </c>
      <c r="DG224">
        <f t="shared" si="127"/>
        <v>0</v>
      </c>
      <c r="DH224">
        <f t="shared" si="128"/>
        <v>0</v>
      </c>
      <c r="DI224">
        <f t="shared" si="101"/>
        <v>0</v>
      </c>
      <c r="DJ224">
        <f t="shared" si="129"/>
        <v>46223.75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ROW(Source!A282)</f>
        <v>282</v>
      </c>
      <c r="B225">
        <v>56959434</v>
      </c>
      <c r="C225">
        <v>56960074</v>
      </c>
      <c r="D225">
        <v>56018166</v>
      </c>
      <c r="E225">
        <v>1080</v>
      </c>
      <c r="F225">
        <v>1</v>
      </c>
      <c r="G225">
        <v>1080</v>
      </c>
      <c r="H225">
        <v>1</v>
      </c>
      <c r="I225" t="s">
        <v>500</v>
      </c>
      <c r="J225" t="s">
        <v>3</v>
      </c>
      <c r="K225" t="s">
        <v>501</v>
      </c>
      <c r="L225">
        <v>1191</v>
      </c>
      <c r="N225">
        <v>1013</v>
      </c>
      <c r="O225" t="s">
        <v>502</v>
      </c>
      <c r="P225" t="s">
        <v>502</v>
      </c>
      <c r="Q225">
        <v>1</v>
      </c>
      <c r="W225">
        <v>0</v>
      </c>
      <c r="X225">
        <v>476480486</v>
      </c>
      <c r="Y225">
        <f>(AT225*1.1)</f>
        <v>0.57200000000000006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0.52</v>
      </c>
      <c r="AU225" t="s">
        <v>23</v>
      </c>
      <c r="AV225">
        <v>1</v>
      </c>
      <c r="AW225">
        <v>2</v>
      </c>
      <c r="AX225">
        <v>56961037</v>
      </c>
      <c r="AY225">
        <v>1</v>
      </c>
      <c r="AZ225">
        <v>0</v>
      </c>
      <c r="BA225">
        <v>267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ROUND(AT225*Source!I282*AH225*AL225,2)</f>
        <v>0</v>
      </c>
      <c r="CV225">
        <f>ROUND(Y225*Source!I282,9)</f>
        <v>7.4359999999999999</v>
      </c>
      <c r="CW225">
        <v>0</v>
      </c>
      <c r="CX225">
        <f>ROUND(Y225*Source!I282,9)</f>
        <v>7.4359999999999999</v>
      </c>
      <c r="CY225">
        <f>AD225</f>
        <v>0</v>
      </c>
      <c r="CZ225">
        <f>AH225</f>
        <v>0</v>
      </c>
      <c r="DA225">
        <f>AL225</f>
        <v>1</v>
      </c>
      <c r="DB225">
        <f>ROUND((ROUND(AT225*CZ225,2)*1.1),6)</f>
        <v>0</v>
      </c>
      <c r="DC225">
        <f>ROUND((ROUND(AT225*AG225,2)*1.1),6)</f>
        <v>0</v>
      </c>
      <c r="DD225" t="s">
        <v>3</v>
      </c>
      <c r="DE225" t="s">
        <v>3</v>
      </c>
      <c r="DF225">
        <f>ROUND(ROUND(AE225,2)*CX225,2)</f>
        <v>0</v>
      </c>
      <c r="DG225">
        <f t="shared" si="127"/>
        <v>0</v>
      </c>
      <c r="DH225">
        <f t="shared" si="128"/>
        <v>0</v>
      </c>
      <c r="DI225">
        <f t="shared" si="101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ROW(Source!A282)</f>
        <v>282</v>
      </c>
      <c r="B226">
        <v>56959434</v>
      </c>
      <c r="C226">
        <v>56960074</v>
      </c>
      <c r="D226">
        <v>56060528</v>
      </c>
      <c r="E226">
        <v>1</v>
      </c>
      <c r="F226">
        <v>1</v>
      </c>
      <c r="G226">
        <v>1080</v>
      </c>
      <c r="H226">
        <v>3</v>
      </c>
      <c r="I226" t="s">
        <v>289</v>
      </c>
      <c r="J226" t="s">
        <v>292</v>
      </c>
      <c r="K226" t="s">
        <v>290</v>
      </c>
      <c r="L226">
        <v>1348</v>
      </c>
      <c r="N226">
        <v>1009</v>
      </c>
      <c r="O226" t="s">
        <v>291</v>
      </c>
      <c r="P226" t="s">
        <v>291</v>
      </c>
      <c r="Q226">
        <v>1000</v>
      </c>
      <c r="W226">
        <v>0</v>
      </c>
      <c r="X226">
        <v>-566361729</v>
      </c>
      <c r="Y226">
        <f>AT226</f>
        <v>3.5000000000000004E-5</v>
      </c>
      <c r="AA226">
        <v>24609.759999999998</v>
      </c>
      <c r="AB226">
        <v>0</v>
      </c>
      <c r="AC226">
        <v>0</v>
      </c>
      <c r="AD226">
        <v>0</v>
      </c>
      <c r="AE226">
        <v>24609.759999999998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 t="s">
        <v>3</v>
      </c>
      <c r="AT226">
        <v>3.5000000000000004E-5</v>
      </c>
      <c r="AU226" t="s">
        <v>3</v>
      </c>
      <c r="AV226">
        <v>0</v>
      </c>
      <c r="AW226">
        <v>1</v>
      </c>
      <c r="AX226">
        <v>-1</v>
      </c>
      <c r="AY226">
        <v>0</v>
      </c>
      <c r="AZ226">
        <v>0</v>
      </c>
      <c r="BA226" t="s">
        <v>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ROUND(Y226*Source!I282,9)</f>
        <v>4.55E-4</v>
      </c>
      <c r="CY226">
        <f>AA226</f>
        <v>24609.759999999998</v>
      </c>
      <c r="CZ226">
        <f>AE226</f>
        <v>24609.759999999998</v>
      </c>
      <c r="DA226">
        <f>AI226</f>
        <v>1</v>
      </c>
      <c r="DB226">
        <f>ROUND(ROUND(AT226*CZ226,2),6)</f>
        <v>0.86</v>
      </c>
      <c r="DC226">
        <f>ROUND(ROUND(AT226*AG226,2),6)</f>
        <v>0</v>
      </c>
      <c r="DD226" t="s">
        <v>3</v>
      </c>
      <c r="DE226" t="s">
        <v>3</v>
      </c>
      <c r="DF226">
        <f>ROUND(ROUND(AE226,2)*CX226,2)</f>
        <v>11.2</v>
      </c>
      <c r="DG226">
        <f t="shared" si="127"/>
        <v>0</v>
      </c>
      <c r="DH226">
        <f t="shared" si="128"/>
        <v>0</v>
      </c>
      <c r="DI226">
        <f t="shared" si="101"/>
        <v>0</v>
      </c>
      <c r="DJ226">
        <f>DF226</f>
        <v>11.2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ROW(Source!A283)</f>
        <v>283</v>
      </c>
      <c r="B227">
        <v>56959431</v>
      </c>
      <c r="C227">
        <v>56960074</v>
      </c>
      <c r="D227">
        <v>56018166</v>
      </c>
      <c r="E227">
        <v>1080</v>
      </c>
      <c r="F227">
        <v>1</v>
      </c>
      <c r="G227">
        <v>1080</v>
      </c>
      <c r="H227">
        <v>1</v>
      </c>
      <c r="I227" t="s">
        <v>500</v>
      </c>
      <c r="J227" t="s">
        <v>3</v>
      </c>
      <c r="K227" t="s">
        <v>501</v>
      </c>
      <c r="L227">
        <v>1191</v>
      </c>
      <c r="N227">
        <v>1013</v>
      </c>
      <c r="O227" t="s">
        <v>502</v>
      </c>
      <c r="P227" t="s">
        <v>502</v>
      </c>
      <c r="Q227">
        <v>1</v>
      </c>
      <c r="W227">
        <v>0</v>
      </c>
      <c r="X227">
        <v>476480486</v>
      </c>
      <c r="Y227">
        <f>(AT227*1.1)</f>
        <v>0.57200000000000006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5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0.52</v>
      </c>
      <c r="AU227" t="s">
        <v>23</v>
      </c>
      <c r="AV227">
        <v>1</v>
      </c>
      <c r="AW227">
        <v>2</v>
      </c>
      <c r="AX227">
        <v>56961037</v>
      </c>
      <c r="AY227">
        <v>1</v>
      </c>
      <c r="AZ227">
        <v>0</v>
      </c>
      <c r="BA227">
        <v>270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ROUND(AT227*Source!I283*AH227*AL227,2)</f>
        <v>0</v>
      </c>
      <c r="CV227">
        <f>ROUND(Y227*Source!I283,9)</f>
        <v>7.4359999999999999</v>
      </c>
      <c r="CW227">
        <v>0</v>
      </c>
      <c r="CX227">
        <f>ROUND(Y227*Source!I283,9)</f>
        <v>7.4359999999999999</v>
      </c>
      <c r="CY227">
        <f>AD227</f>
        <v>0</v>
      </c>
      <c r="CZ227">
        <f>AH227</f>
        <v>0</v>
      </c>
      <c r="DA227">
        <f>AL227</f>
        <v>1</v>
      </c>
      <c r="DB227">
        <f>ROUND((ROUND(AT227*CZ227,2)*1.1),6)</f>
        <v>0</v>
      </c>
      <c r="DC227">
        <f>ROUND((ROUND(AT227*AG227,2)*1.1),6)</f>
        <v>0</v>
      </c>
      <c r="DD227" t="s">
        <v>3</v>
      </c>
      <c r="DE227" t="s">
        <v>3</v>
      </c>
      <c r="DF227">
        <f>ROUND(ROUND(AE227,2)*CX227,2)</f>
        <v>0</v>
      </c>
      <c r="DG227">
        <f t="shared" si="127"/>
        <v>0</v>
      </c>
      <c r="DH227">
        <f t="shared" si="128"/>
        <v>0</v>
      </c>
      <c r="DI227">
        <f t="shared" si="101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ROW(Source!A283)</f>
        <v>283</v>
      </c>
      <c r="B228">
        <v>56959431</v>
      </c>
      <c r="C228">
        <v>56960074</v>
      </c>
      <c r="D228">
        <v>56060528</v>
      </c>
      <c r="E228">
        <v>1</v>
      </c>
      <c r="F228">
        <v>1</v>
      </c>
      <c r="G228">
        <v>1080</v>
      </c>
      <c r="H228">
        <v>3</v>
      </c>
      <c r="I228" t="s">
        <v>289</v>
      </c>
      <c r="J228" t="s">
        <v>292</v>
      </c>
      <c r="K228" t="s">
        <v>290</v>
      </c>
      <c r="L228">
        <v>1348</v>
      </c>
      <c r="N228">
        <v>1009</v>
      </c>
      <c r="O228" t="s">
        <v>291</v>
      </c>
      <c r="P228" t="s">
        <v>291</v>
      </c>
      <c r="Q228">
        <v>1000</v>
      </c>
      <c r="W228">
        <v>0</v>
      </c>
      <c r="X228">
        <v>-566361729</v>
      </c>
      <c r="Y228">
        <f>AT228</f>
        <v>3.5000000000000004E-5</v>
      </c>
      <c r="AA228">
        <v>126740.26</v>
      </c>
      <c r="AB228">
        <v>0</v>
      </c>
      <c r="AC228">
        <v>0</v>
      </c>
      <c r="AD228">
        <v>0</v>
      </c>
      <c r="AE228">
        <v>24609.759999999998</v>
      </c>
      <c r="AF228">
        <v>0</v>
      </c>
      <c r="AG228">
        <v>0</v>
      </c>
      <c r="AH228">
        <v>0</v>
      </c>
      <c r="AI228">
        <v>5.15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3.5000000000000004E-5</v>
      </c>
      <c r="AU228" t="s">
        <v>3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ROUND(Y228*Source!I283,9)</f>
        <v>4.55E-4</v>
      </c>
      <c r="CY228">
        <f>AA228</f>
        <v>126740.26</v>
      </c>
      <c r="CZ228">
        <f>AE228</f>
        <v>24609.759999999998</v>
      </c>
      <c r="DA228">
        <f>AI228</f>
        <v>5.15</v>
      </c>
      <c r="DB228">
        <f>ROUND(ROUND(AT228*CZ228,2),6)</f>
        <v>0.86</v>
      </c>
      <c r="DC228">
        <f>ROUND(ROUND(AT228*AG228,2),6)</f>
        <v>0</v>
      </c>
      <c r="DD228" t="s">
        <v>3</v>
      </c>
      <c r="DE228" t="s">
        <v>3</v>
      </c>
      <c r="DF228">
        <f>ROUND(ROUND(AE228*AI228,2)*CX228,2)</f>
        <v>57.67</v>
      </c>
      <c r="DG228">
        <f t="shared" si="127"/>
        <v>0</v>
      </c>
      <c r="DH228">
        <f t="shared" si="128"/>
        <v>0</v>
      </c>
      <c r="DI228">
        <f t="shared" si="101"/>
        <v>0</v>
      </c>
      <c r="DJ228">
        <f>DF228</f>
        <v>57.67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ROW(Source!A292)</f>
        <v>292</v>
      </c>
      <c r="B229">
        <v>56959434</v>
      </c>
      <c r="C229">
        <v>56960084</v>
      </c>
      <c r="D229">
        <v>56018166</v>
      </c>
      <c r="E229">
        <v>1080</v>
      </c>
      <c r="F229">
        <v>1</v>
      </c>
      <c r="G229">
        <v>1080</v>
      </c>
      <c r="H229">
        <v>1</v>
      </c>
      <c r="I229" t="s">
        <v>500</v>
      </c>
      <c r="J229" t="s">
        <v>3</v>
      </c>
      <c r="K229" t="s">
        <v>501</v>
      </c>
      <c r="L229">
        <v>1191</v>
      </c>
      <c r="N229">
        <v>1013</v>
      </c>
      <c r="O229" t="s">
        <v>502</v>
      </c>
      <c r="P229" t="s">
        <v>502</v>
      </c>
      <c r="Q229">
        <v>1</v>
      </c>
      <c r="W229">
        <v>0</v>
      </c>
      <c r="X229">
        <v>476480486</v>
      </c>
      <c r="Y229">
        <f>(AT229*1.1)</f>
        <v>0.33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0.3</v>
      </c>
      <c r="AU229" t="s">
        <v>23</v>
      </c>
      <c r="AV229">
        <v>1</v>
      </c>
      <c r="AW229">
        <v>2</v>
      </c>
      <c r="AX229">
        <v>56961040</v>
      </c>
      <c r="AY229">
        <v>1</v>
      </c>
      <c r="AZ229">
        <v>0</v>
      </c>
      <c r="BA229">
        <v>273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ROUND(AT229*Source!I292*AH229*AL229,2)</f>
        <v>0</v>
      </c>
      <c r="CV229">
        <f>ROUND(Y229*Source!I292,9)</f>
        <v>40.26</v>
      </c>
      <c r="CW229">
        <v>0</v>
      </c>
      <c r="CX229">
        <f>ROUND(Y229*Source!I292,9)</f>
        <v>40.26</v>
      </c>
      <c r="CY229">
        <f>AD229</f>
        <v>0</v>
      </c>
      <c r="CZ229">
        <f>AH229</f>
        <v>0</v>
      </c>
      <c r="DA229">
        <f>AL229</f>
        <v>1</v>
      </c>
      <c r="DB229">
        <f>ROUND((ROUND(AT229*CZ229,2)*1.1),6)</f>
        <v>0</v>
      </c>
      <c r="DC229">
        <f>ROUND((ROUND(AT229*AG229,2)*1.1),6)</f>
        <v>0</v>
      </c>
      <c r="DD229" t="s">
        <v>3</v>
      </c>
      <c r="DE229" t="s">
        <v>3</v>
      </c>
      <c r="DF229">
        <f>ROUND(ROUND(AE229,2)*CX229,2)</f>
        <v>0</v>
      </c>
      <c r="DG229">
        <f t="shared" si="127"/>
        <v>0</v>
      </c>
      <c r="DH229">
        <f t="shared" si="128"/>
        <v>0</v>
      </c>
      <c r="DI229">
        <f t="shared" si="101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ROW(Source!A292)</f>
        <v>292</v>
      </c>
      <c r="B230">
        <v>56959434</v>
      </c>
      <c r="C230">
        <v>56960084</v>
      </c>
      <c r="D230">
        <v>56082169</v>
      </c>
      <c r="E230">
        <v>1</v>
      </c>
      <c r="F230">
        <v>1</v>
      </c>
      <c r="G230">
        <v>1080</v>
      </c>
      <c r="H230">
        <v>3</v>
      </c>
      <c r="I230" t="s">
        <v>596</v>
      </c>
      <c r="J230" t="s">
        <v>597</v>
      </c>
      <c r="K230" t="s">
        <v>598</v>
      </c>
      <c r="L230">
        <v>1346</v>
      </c>
      <c r="N230">
        <v>1009</v>
      </c>
      <c r="O230" t="s">
        <v>249</v>
      </c>
      <c r="P230" t="s">
        <v>249</v>
      </c>
      <c r="Q230">
        <v>1</v>
      </c>
      <c r="W230">
        <v>0</v>
      </c>
      <c r="X230">
        <v>883542614</v>
      </c>
      <c r="Y230">
        <f>AT230</f>
        <v>4.2000000000000003E-2</v>
      </c>
      <c r="AA230">
        <v>19.28</v>
      </c>
      <c r="AB230">
        <v>0</v>
      </c>
      <c r="AC230">
        <v>0</v>
      </c>
      <c r="AD230">
        <v>0</v>
      </c>
      <c r="AE230">
        <v>19.28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4.2000000000000003E-2</v>
      </c>
      <c r="AU230" t="s">
        <v>3</v>
      </c>
      <c r="AV230">
        <v>0</v>
      </c>
      <c r="AW230">
        <v>2</v>
      </c>
      <c r="AX230">
        <v>56961041</v>
      </c>
      <c r="AY230">
        <v>1</v>
      </c>
      <c r="AZ230">
        <v>0</v>
      </c>
      <c r="BA230">
        <v>274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ROUND(Y230*Source!I292,9)</f>
        <v>5.1239999999999997</v>
      </c>
      <c r="CY230">
        <f>AA230</f>
        <v>19.28</v>
      </c>
      <c r="CZ230">
        <f>AE230</f>
        <v>19.28</v>
      </c>
      <c r="DA230">
        <f>AI230</f>
        <v>1</v>
      </c>
      <c r="DB230">
        <f>ROUND(ROUND(AT230*CZ230,2),6)</f>
        <v>0.81</v>
      </c>
      <c r="DC230">
        <f>ROUND(ROUND(AT230*AG230,2),6)</f>
        <v>0</v>
      </c>
      <c r="DD230" t="s">
        <v>3</v>
      </c>
      <c r="DE230" t="s">
        <v>3</v>
      </c>
      <c r="DF230">
        <f>ROUND(ROUND(AE230,2)*CX230,2)</f>
        <v>98.79</v>
      </c>
      <c r="DG230">
        <f t="shared" si="127"/>
        <v>0</v>
      </c>
      <c r="DH230">
        <f t="shared" si="128"/>
        <v>0</v>
      </c>
      <c r="DI230">
        <f t="shared" si="101"/>
        <v>0</v>
      </c>
      <c r="DJ230">
        <f>DF230</f>
        <v>98.79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ROW(Source!A292)</f>
        <v>292</v>
      </c>
      <c r="B231">
        <v>56959434</v>
      </c>
      <c r="C231">
        <v>56960084</v>
      </c>
      <c r="D231">
        <v>56023168</v>
      </c>
      <c r="E231">
        <v>1080</v>
      </c>
      <c r="F231">
        <v>1</v>
      </c>
      <c r="G231">
        <v>1080</v>
      </c>
      <c r="H231">
        <v>3</v>
      </c>
      <c r="I231" t="s">
        <v>521</v>
      </c>
      <c r="J231" t="s">
        <v>3</v>
      </c>
      <c r="K231" t="s">
        <v>522</v>
      </c>
      <c r="L231">
        <v>1348</v>
      </c>
      <c r="N231">
        <v>1009</v>
      </c>
      <c r="O231" t="s">
        <v>291</v>
      </c>
      <c r="P231" t="s">
        <v>291</v>
      </c>
      <c r="Q231">
        <v>1000</v>
      </c>
      <c r="W231">
        <v>0</v>
      </c>
      <c r="X231">
        <v>-783086922</v>
      </c>
      <c r="Y231">
        <f>AT231</f>
        <v>1.5E-3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1.5E-3</v>
      </c>
      <c r="AU231" t="s">
        <v>3</v>
      </c>
      <c r="AV231">
        <v>0</v>
      </c>
      <c r="AW231">
        <v>2</v>
      </c>
      <c r="AX231">
        <v>56961043</v>
      </c>
      <c r="AY231">
        <v>1</v>
      </c>
      <c r="AZ231">
        <v>0</v>
      </c>
      <c r="BA231">
        <v>276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ROUND(Y231*Source!I292,9)</f>
        <v>0.183</v>
      </c>
      <c r="CY231">
        <f>AA231</f>
        <v>0</v>
      </c>
      <c r="CZ231">
        <f>AE231</f>
        <v>0</v>
      </c>
      <c r="DA231">
        <f>AI231</f>
        <v>1</v>
      </c>
      <c r="DB231">
        <f>ROUND(ROUND(AT231*CZ231,2),6)</f>
        <v>0</v>
      </c>
      <c r="DC231">
        <f>ROUND(ROUND(AT231*AG231,2),6)</f>
        <v>0</v>
      </c>
      <c r="DD231" t="s">
        <v>3</v>
      </c>
      <c r="DE231" t="s">
        <v>3</v>
      </c>
      <c r="DF231">
        <f>ROUND(ROUND(AE231,2)*CX231,2)</f>
        <v>0</v>
      </c>
      <c r="DG231">
        <f t="shared" si="127"/>
        <v>0</v>
      </c>
      <c r="DH231">
        <f t="shared" si="128"/>
        <v>0</v>
      </c>
      <c r="DI231">
        <f t="shared" si="101"/>
        <v>0</v>
      </c>
      <c r="DJ231">
        <f>DF231</f>
        <v>0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ROW(Source!A293)</f>
        <v>293</v>
      </c>
      <c r="B232">
        <v>56959431</v>
      </c>
      <c r="C232">
        <v>56960084</v>
      </c>
      <c r="D232">
        <v>56018166</v>
      </c>
      <c r="E232">
        <v>1080</v>
      </c>
      <c r="F232">
        <v>1</v>
      </c>
      <c r="G232">
        <v>1080</v>
      </c>
      <c r="H232">
        <v>1</v>
      </c>
      <c r="I232" t="s">
        <v>500</v>
      </c>
      <c r="J232" t="s">
        <v>3</v>
      </c>
      <c r="K232" t="s">
        <v>501</v>
      </c>
      <c r="L232">
        <v>1191</v>
      </c>
      <c r="N232">
        <v>1013</v>
      </c>
      <c r="O232" t="s">
        <v>502</v>
      </c>
      <c r="P232" t="s">
        <v>502</v>
      </c>
      <c r="Q232">
        <v>1</v>
      </c>
      <c r="W232">
        <v>0</v>
      </c>
      <c r="X232">
        <v>476480486</v>
      </c>
      <c r="Y232">
        <f>(AT232*1.1)</f>
        <v>0.33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5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0.3</v>
      </c>
      <c r="AU232" t="s">
        <v>23</v>
      </c>
      <c r="AV232">
        <v>1</v>
      </c>
      <c r="AW232">
        <v>2</v>
      </c>
      <c r="AX232">
        <v>56961040</v>
      </c>
      <c r="AY232">
        <v>1</v>
      </c>
      <c r="AZ232">
        <v>0</v>
      </c>
      <c r="BA232">
        <v>277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U232">
        <f>ROUND(AT232*Source!I293*AH232*AL232,2)</f>
        <v>0</v>
      </c>
      <c r="CV232">
        <f>ROUND(Y232*Source!I293,9)</f>
        <v>40.26</v>
      </c>
      <c r="CW232">
        <v>0</v>
      </c>
      <c r="CX232">
        <f>ROUND(Y232*Source!I293,9)</f>
        <v>40.26</v>
      </c>
      <c r="CY232">
        <f>AD232</f>
        <v>0</v>
      </c>
      <c r="CZ232">
        <f>AH232</f>
        <v>0</v>
      </c>
      <c r="DA232">
        <f>AL232</f>
        <v>1</v>
      </c>
      <c r="DB232">
        <f>ROUND((ROUND(AT232*CZ232,2)*1.1),6)</f>
        <v>0</v>
      </c>
      <c r="DC232">
        <f>ROUND((ROUND(AT232*AG232,2)*1.1),6)</f>
        <v>0</v>
      </c>
      <c r="DD232" t="s">
        <v>3</v>
      </c>
      <c r="DE232" t="s">
        <v>3</v>
      </c>
      <c r="DF232">
        <f>ROUND(ROUND(AE232,2)*CX232,2)</f>
        <v>0</v>
      </c>
      <c r="DG232">
        <f t="shared" si="127"/>
        <v>0</v>
      </c>
      <c r="DH232">
        <f t="shared" si="128"/>
        <v>0</v>
      </c>
      <c r="DI232">
        <f t="shared" si="101"/>
        <v>0</v>
      </c>
      <c r="DJ232">
        <f>DI232</f>
        <v>0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ROW(Source!A293)</f>
        <v>293</v>
      </c>
      <c r="B233">
        <v>56959431</v>
      </c>
      <c r="C233">
        <v>56960084</v>
      </c>
      <c r="D233">
        <v>56082169</v>
      </c>
      <c r="E233">
        <v>1</v>
      </c>
      <c r="F233">
        <v>1</v>
      </c>
      <c r="G233">
        <v>1080</v>
      </c>
      <c r="H233">
        <v>3</v>
      </c>
      <c r="I233" t="s">
        <v>596</v>
      </c>
      <c r="J233" t="s">
        <v>597</v>
      </c>
      <c r="K233" t="s">
        <v>598</v>
      </c>
      <c r="L233">
        <v>1346</v>
      </c>
      <c r="N233">
        <v>1009</v>
      </c>
      <c r="O233" t="s">
        <v>249</v>
      </c>
      <c r="P233" t="s">
        <v>249</v>
      </c>
      <c r="Q233">
        <v>1</v>
      </c>
      <c r="W233">
        <v>0</v>
      </c>
      <c r="X233">
        <v>883542614</v>
      </c>
      <c r="Y233">
        <f>AT233</f>
        <v>4.2000000000000003E-2</v>
      </c>
      <c r="AA233">
        <v>169.66</v>
      </c>
      <c r="AB233">
        <v>0</v>
      </c>
      <c r="AC233">
        <v>0</v>
      </c>
      <c r="AD233">
        <v>0</v>
      </c>
      <c r="AE233">
        <v>19.28</v>
      </c>
      <c r="AF233">
        <v>0</v>
      </c>
      <c r="AG233">
        <v>0</v>
      </c>
      <c r="AH233">
        <v>0</v>
      </c>
      <c r="AI233">
        <v>8.8000000000000007</v>
      </c>
      <c r="AJ233">
        <v>1</v>
      </c>
      <c r="AK233">
        <v>1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4.2000000000000003E-2</v>
      </c>
      <c r="AU233" t="s">
        <v>3</v>
      </c>
      <c r="AV233">
        <v>0</v>
      </c>
      <c r="AW233">
        <v>2</v>
      </c>
      <c r="AX233">
        <v>56961041</v>
      </c>
      <c r="AY233">
        <v>1</v>
      </c>
      <c r="AZ233">
        <v>0</v>
      </c>
      <c r="BA233">
        <v>278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ROUND(Y233*Source!I293,9)</f>
        <v>5.1239999999999997</v>
      </c>
      <c r="CY233">
        <f>AA233</f>
        <v>169.66</v>
      </c>
      <c r="CZ233">
        <f>AE233</f>
        <v>19.28</v>
      </c>
      <c r="DA233">
        <f>AI233</f>
        <v>8.8000000000000007</v>
      </c>
      <c r="DB233">
        <f>ROUND(ROUND(AT233*CZ233,2),6)</f>
        <v>0.81</v>
      </c>
      <c r="DC233">
        <f>ROUND(ROUND(AT233*AG233,2),6)</f>
        <v>0</v>
      </c>
      <c r="DD233" t="s">
        <v>3</v>
      </c>
      <c r="DE233" t="s">
        <v>3</v>
      </c>
      <c r="DF233">
        <f>ROUND(ROUND(AE233*AI233,2)*CX233,2)</f>
        <v>869.34</v>
      </c>
      <c r="DG233">
        <f t="shared" si="127"/>
        <v>0</v>
      </c>
      <c r="DH233">
        <f t="shared" si="128"/>
        <v>0</v>
      </c>
      <c r="DI233">
        <f t="shared" si="101"/>
        <v>0</v>
      </c>
      <c r="DJ233">
        <f>DF233</f>
        <v>869.34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ROW(Source!A293)</f>
        <v>293</v>
      </c>
      <c r="B234">
        <v>56959431</v>
      </c>
      <c r="C234">
        <v>56960084</v>
      </c>
      <c r="D234">
        <v>56023168</v>
      </c>
      <c r="E234">
        <v>1080</v>
      </c>
      <c r="F234">
        <v>1</v>
      </c>
      <c r="G234">
        <v>1080</v>
      </c>
      <c r="H234">
        <v>3</v>
      </c>
      <c r="I234" t="s">
        <v>521</v>
      </c>
      <c r="J234" t="s">
        <v>3</v>
      </c>
      <c r="K234" t="s">
        <v>522</v>
      </c>
      <c r="L234">
        <v>1348</v>
      </c>
      <c r="N234">
        <v>1009</v>
      </c>
      <c r="O234" t="s">
        <v>291</v>
      </c>
      <c r="P234" t="s">
        <v>291</v>
      </c>
      <c r="Q234">
        <v>1000</v>
      </c>
      <c r="W234">
        <v>0</v>
      </c>
      <c r="X234">
        <v>-783086922</v>
      </c>
      <c r="Y234">
        <f>AT234</f>
        <v>1.5E-3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9.8800000000000008</v>
      </c>
      <c r="AJ234">
        <v>1</v>
      </c>
      <c r="AK234">
        <v>1</v>
      </c>
      <c r="AL234">
        <v>1</v>
      </c>
      <c r="AM234">
        <v>5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1.5E-3</v>
      </c>
      <c r="AU234" t="s">
        <v>3</v>
      </c>
      <c r="AV234">
        <v>0</v>
      </c>
      <c r="AW234">
        <v>2</v>
      </c>
      <c r="AX234">
        <v>56961043</v>
      </c>
      <c r="AY234">
        <v>1</v>
      </c>
      <c r="AZ234">
        <v>0</v>
      </c>
      <c r="BA234">
        <v>280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ROUND(Y234*Source!I293,9)</f>
        <v>0.183</v>
      </c>
      <c r="CY234">
        <f>AA234</f>
        <v>0</v>
      </c>
      <c r="CZ234">
        <f>AE234</f>
        <v>0</v>
      </c>
      <c r="DA234">
        <f>AI234</f>
        <v>9.8800000000000008</v>
      </c>
      <c r="DB234">
        <f>ROUND(ROUND(AT234*CZ234,2),6)</f>
        <v>0</v>
      </c>
      <c r="DC234">
        <f>ROUND(ROUND(AT234*AG234,2),6)</f>
        <v>0</v>
      </c>
      <c r="DD234" t="s">
        <v>3</v>
      </c>
      <c r="DE234" t="s">
        <v>3</v>
      </c>
      <c r="DF234">
        <f>ROUND(ROUND(AE234*AI234,2)*CX234,2)</f>
        <v>0</v>
      </c>
      <c r="DG234">
        <f t="shared" si="127"/>
        <v>0</v>
      </c>
      <c r="DH234">
        <f t="shared" si="128"/>
        <v>0</v>
      </c>
      <c r="DI234">
        <f t="shared" si="101"/>
        <v>0</v>
      </c>
      <c r="DJ234">
        <f>DF234</f>
        <v>0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ROW(Source!A308)</f>
        <v>308</v>
      </c>
      <c r="B235">
        <v>56959434</v>
      </c>
      <c r="C235">
        <v>56960099</v>
      </c>
      <c r="D235">
        <v>56018166</v>
      </c>
      <c r="E235">
        <v>1080</v>
      </c>
      <c r="F235">
        <v>1</v>
      </c>
      <c r="G235">
        <v>1080</v>
      </c>
      <c r="H235">
        <v>1</v>
      </c>
      <c r="I235" t="s">
        <v>500</v>
      </c>
      <c r="J235" t="s">
        <v>3</v>
      </c>
      <c r="K235" t="s">
        <v>501</v>
      </c>
      <c r="L235">
        <v>1191</v>
      </c>
      <c r="N235">
        <v>1013</v>
      </c>
      <c r="O235" t="s">
        <v>502</v>
      </c>
      <c r="P235" t="s">
        <v>502</v>
      </c>
      <c r="Q235">
        <v>1</v>
      </c>
      <c r="W235">
        <v>0</v>
      </c>
      <c r="X235">
        <v>476480486</v>
      </c>
      <c r="Y235">
        <f>(AT235*1.1)</f>
        <v>0.57200000000000006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0.52</v>
      </c>
      <c r="AU235" t="s">
        <v>23</v>
      </c>
      <c r="AV235">
        <v>1</v>
      </c>
      <c r="AW235">
        <v>2</v>
      </c>
      <c r="AX235">
        <v>56961044</v>
      </c>
      <c r="AY235">
        <v>1</v>
      </c>
      <c r="AZ235">
        <v>0</v>
      </c>
      <c r="BA235">
        <v>281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U235">
        <f>ROUND(AT235*Source!I308*AH235*AL235,2)</f>
        <v>0</v>
      </c>
      <c r="CV235">
        <f>ROUND(Y235*Source!I308,9)</f>
        <v>39.468000000000004</v>
      </c>
      <c r="CW235">
        <v>0</v>
      </c>
      <c r="CX235">
        <f>ROUND(Y235*Source!I308,9)</f>
        <v>39.468000000000004</v>
      </c>
      <c r="CY235">
        <f>AD235</f>
        <v>0</v>
      </c>
      <c r="CZ235">
        <f>AH235</f>
        <v>0</v>
      </c>
      <c r="DA235">
        <f>AL235</f>
        <v>1</v>
      </c>
      <c r="DB235">
        <f>ROUND((ROUND(AT235*CZ235,2)*1.1),6)</f>
        <v>0</v>
      </c>
      <c r="DC235">
        <f>ROUND((ROUND(AT235*AG235,2)*1.1),6)</f>
        <v>0</v>
      </c>
      <c r="DD235" t="s">
        <v>3</v>
      </c>
      <c r="DE235" t="s">
        <v>3</v>
      </c>
      <c r="DF235">
        <f t="shared" ref="DF235:DF241" si="130">ROUND(ROUND(AE235,2)*CX235,2)</f>
        <v>0</v>
      </c>
      <c r="DG235">
        <f t="shared" si="127"/>
        <v>0</v>
      </c>
      <c r="DH235">
        <f t="shared" si="128"/>
        <v>0</v>
      </c>
      <c r="DI235">
        <f t="shared" si="101"/>
        <v>0</v>
      </c>
      <c r="DJ235">
        <f>DI235</f>
        <v>0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ROW(Source!A308)</f>
        <v>308</v>
      </c>
      <c r="B236">
        <v>56959434</v>
      </c>
      <c r="C236">
        <v>56960099</v>
      </c>
      <c r="D236">
        <v>56092340</v>
      </c>
      <c r="E236">
        <v>1</v>
      </c>
      <c r="F236">
        <v>1</v>
      </c>
      <c r="G236">
        <v>1080</v>
      </c>
      <c r="H236">
        <v>2</v>
      </c>
      <c r="I236" t="s">
        <v>503</v>
      </c>
      <c r="J236" t="s">
        <v>504</v>
      </c>
      <c r="K236" t="s">
        <v>505</v>
      </c>
      <c r="L236">
        <v>1368</v>
      </c>
      <c r="N236">
        <v>1011</v>
      </c>
      <c r="O236" t="s">
        <v>506</v>
      </c>
      <c r="P236" t="s">
        <v>506</v>
      </c>
      <c r="Q236">
        <v>1</v>
      </c>
      <c r="W236">
        <v>0</v>
      </c>
      <c r="X236">
        <v>-1985943078</v>
      </c>
      <c r="Y236">
        <f>(AT236*1.1)</f>
        <v>2.2000000000000002E-2</v>
      </c>
      <c r="AA236">
        <v>0</v>
      </c>
      <c r="AB236">
        <v>87.01</v>
      </c>
      <c r="AC236">
        <v>13.21</v>
      </c>
      <c r="AD236">
        <v>0</v>
      </c>
      <c r="AE236">
        <v>0</v>
      </c>
      <c r="AF236">
        <v>83.1</v>
      </c>
      <c r="AG236">
        <v>12.62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0.02</v>
      </c>
      <c r="AU236" t="s">
        <v>23</v>
      </c>
      <c r="AV236">
        <v>0</v>
      </c>
      <c r="AW236">
        <v>2</v>
      </c>
      <c r="AX236">
        <v>56961045</v>
      </c>
      <c r="AY236">
        <v>1</v>
      </c>
      <c r="AZ236">
        <v>0</v>
      </c>
      <c r="BA236">
        <v>282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ROUND(Y236*Source!I308*DO236,9)</f>
        <v>19.157160000000001</v>
      </c>
      <c r="CX236">
        <f>ROUND(Y236*Source!I308,9)</f>
        <v>1.518</v>
      </c>
      <c r="CY236">
        <f>AB236</f>
        <v>87.01</v>
      </c>
      <c r="CZ236">
        <f>AF236</f>
        <v>83.1</v>
      </c>
      <c r="DA236">
        <f>AJ236</f>
        <v>1</v>
      </c>
      <c r="DB236">
        <f>ROUND((ROUND(AT236*CZ236,2)*1.1),6)</f>
        <v>1.8260000000000001</v>
      </c>
      <c r="DC236">
        <f>ROUND((ROUND(AT236*AG236,2)*1.1),6)</f>
        <v>0.27500000000000002</v>
      </c>
      <c r="DD236" t="s">
        <v>3</v>
      </c>
      <c r="DE236" t="s">
        <v>3</v>
      </c>
      <c r="DF236">
        <f t="shared" si="130"/>
        <v>0</v>
      </c>
      <c r="DG236">
        <f t="shared" si="127"/>
        <v>126.15</v>
      </c>
      <c r="DH236">
        <f t="shared" si="128"/>
        <v>19.16</v>
      </c>
      <c r="DI236">
        <f t="shared" si="101"/>
        <v>0</v>
      </c>
      <c r="DJ236">
        <f>DG236</f>
        <v>126.15</v>
      </c>
      <c r="DK236">
        <v>0</v>
      </c>
      <c r="DL236" t="s">
        <v>507</v>
      </c>
      <c r="DM236">
        <v>0</v>
      </c>
      <c r="DN236" t="s">
        <v>502</v>
      </c>
      <c r="DO236">
        <v>12.62</v>
      </c>
    </row>
    <row r="237" spans="1:119" x14ac:dyDescent="0.2">
      <c r="A237">
        <f>ROW(Source!A308)</f>
        <v>308</v>
      </c>
      <c r="B237">
        <v>56959434</v>
      </c>
      <c r="C237">
        <v>56960099</v>
      </c>
      <c r="D237">
        <v>56091652</v>
      </c>
      <c r="E237">
        <v>1</v>
      </c>
      <c r="F237">
        <v>1</v>
      </c>
      <c r="G237">
        <v>1080</v>
      </c>
      <c r="H237">
        <v>2</v>
      </c>
      <c r="I237" t="s">
        <v>599</v>
      </c>
      <c r="J237" t="s">
        <v>600</v>
      </c>
      <c r="K237" t="s">
        <v>601</v>
      </c>
      <c r="L237">
        <v>1368</v>
      </c>
      <c r="N237">
        <v>1011</v>
      </c>
      <c r="O237" t="s">
        <v>506</v>
      </c>
      <c r="P237" t="s">
        <v>506</v>
      </c>
      <c r="Q237">
        <v>1</v>
      </c>
      <c r="W237">
        <v>0</v>
      </c>
      <c r="X237">
        <v>1362397990</v>
      </c>
      <c r="Y237">
        <f>(AT237*1.1)</f>
        <v>0.22000000000000003</v>
      </c>
      <c r="AA237">
        <v>0</v>
      </c>
      <c r="AB237">
        <v>138.9</v>
      </c>
      <c r="AC237">
        <v>15.22</v>
      </c>
      <c r="AD237">
        <v>0</v>
      </c>
      <c r="AE237">
        <v>0</v>
      </c>
      <c r="AF237">
        <v>132.66</v>
      </c>
      <c r="AG237">
        <v>14.54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0.2</v>
      </c>
      <c r="AU237" t="s">
        <v>23</v>
      </c>
      <c r="AV237">
        <v>0</v>
      </c>
      <c r="AW237">
        <v>2</v>
      </c>
      <c r="AX237">
        <v>56961046</v>
      </c>
      <c r="AY237">
        <v>1</v>
      </c>
      <c r="AZ237">
        <v>0</v>
      </c>
      <c r="BA237">
        <v>283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ROUND(Y237*Source!I308*DO237,9)</f>
        <v>220.71719999999999</v>
      </c>
      <c r="CX237">
        <f>ROUND(Y237*Source!I308,9)</f>
        <v>15.18</v>
      </c>
      <c r="CY237">
        <f>AB237</f>
        <v>138.9</v>
      </c>
      <c r="CZ237">
        <f>AF237</f>
        <v>132.66</v>
      </c>
      <c r="DA237">
        <f>AJ237</f>
        <v>1</v>
      </c>
      <c r="DB237">
        <f>ROUND((ROUND(AT237*CZ237,2)*1.1),6)</f>
        <v>29.183</v>
      </c>
      <c r="DC237">
        <f>ROUND((ROUND(AT237*AG237,2)*1.1),6)</f>
        <v>3.2010000000000001</v>
      </c>
      <c r="DD237" t="s">
        <v>3</v>
      </c>
      <c r="DE237" t="s">
        <v>3</v>
      </c>
      <c r="DF237">
        <f t="shared" si="130"/>
        <v>0</v>
      </c>
      <c r="DG237">
        <f t="shared" si="127"/>
        <v>2013.78</v>
      </c>
      <c r="DH237">
        <f t="shared" si="128"/>
        <v>220.72</v>
      </c>
      <c r="DI237">
        <f t="shared" si="101"/>
        <v>0</v>
      </c>
      <c r="DJ237">
        <f>DG237</f>
        <v>2013.78</v>
      </c>
      <c r="DK237">
        <v>0</v>
      </c>
      <c r="DL237" t="s">
        <v>507</v>
      </c>
      <c r="DM237">
        <v>0</v>
      </c>
      <c r="DN237" t="s">
        <v>502</v>
      </c>
      <c r="DO237">
        <v>14.54</v>
      </c>
    </row>
    <row r="238" spans="1:119" x14ac:dyDescent="0.2">
      <c r="A238">
        <f>ROW(Source!A308)</f>
        <v>308</v>
      </c>
      <c r="B238">
        <v>56959434</v>
      </c>
      <c r="C238">
        <v>56960099</v>
      </c>
      <c r="D238">
        <v>56067452</v>
      </c>
      <c r="E238">
        <v>1</v>
      </c>
      <c r="F238">
        <v>1</v>
      </c>
      <c r="G238">
        <v>1080</v>
      </c>
      <c r="H238">
        <v>3</v>
      </c>
      <c r="I238" t="s">
        <v>247</v>
      </c>
      <c r="J238" t="s">
        <v>250</v>
      </c>
      <c r="K238" t="s">
        <v>248</v>
      </c>
      <c r="L238">
        <v>1346</v>
      </c>
      <c r="N238">
        <v>1009</v>
      </c>
      <c r="O238" t="s">
        <v>249</v>
      </c>
      <c r="P238" t="s">
        <v>249</v>
      </c>
      <c r="Q238">
        <v>1</v>
      </c>
      <c r="W238">
        <v>0</v>
      </c>
      <c r="X238">
        <v>1143487818</v>
      </c>
      <c r="Y238">
        <f>AT238</f>
        <v>3.2000000000000003E-4</v>
      </c>
      <c r="AA238">
        <v>31.08</v>
      </c>
      <c r="AB238">
        <v>0</v>
      </c>
      <c r="AC238">
        <v>0</v>
      </c>
      <c r="AD238">
        <v>0</v>
      </c>
      <c r="AE238">
        <v>31.08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 t="s">
        <v>3</v>
      </c>
      <c r="AT238">
        <v>3.2000000000000003E-4</v>
      </c>
      <c r="AU238" t="s">
        <v>3</v>
      </c>
      <c r="AV238">
        <v>0</v>
      </c>
      <c r="AW238">
        <v>1</v>
      </c>
      <c r="AX238">
        <v>-1</v>
      </c>
      <c r="AY238">
        <v>0</v>
      </c>
      <c r="AZ238">
        <v>0</v>
      </c>
      <c r="BA238" t="s">
        <v>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ROUND(Y238*Source!I308,9)</f>
        <v>2.2079999999999999E-2</v>
      </c>
      <c r="CY238">
        <f>AA238</f>
        <v>31.08</v>
      </c>
      <c r="CZ238">
        <f>AE238</f>
        <v>31.08</v>
      </c>
      <c r="DA238">
        <f>AI238</f>
        <v>1</v>
      </c>
      <c r="DB238">
        <f>ROUND(ROUND(AT238*CZ238,2),6)</f>
        <v>0.01</v>
      </c>
      <c r="DC238">
        <f>ROUND(ROUND(AT238*AG238,2),6)</f>
        <v>0</v>
      </c>
      <c r="DD238" t="s">
        <v>3</v>
      </c>
      <c r="DE238" t="s">
        <v>3</v>
      </c>
      <c r="DF238">
        <f t="shared" si="130"/>
        <v>0.69</v>
      </c>
      <c r="DG238">
        <f t="shared" si="127"/>
        <v>0</v>
      </c>
      <c r="DH238">
        <f t="shared" si="128"/>
        <v>0</v>
      </c>
      <c r="DI238">
        <f t="shared" si="101"/>
        <v>0</v>
      </c>
      <c r="DJ238">
        <f>DF238</f>
        <v>0.69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ROW(Source!A309)</f>
        <v>309</v>
      </c>
      <c r="B239">
        <v>56959431</v>
      </c>
      <c r="C239">
        <v>56960099</v>
      </c>
      <c r="D239">
        <v>56018166</v>
      </c>
      <c r="E239">
        <v>1080</v>
      </c>
      <c r="F239">
        <v>1</v>
      </c>
      <c r="G239">
        <v>1080</v>
      </c>
      <c r="H239">
        <v>1</v>
      </c>
      <c r="I239" t="s">
        <v>500</v>
      </c>
      <c r="J239" t="s">
        <v>3</v>
      </c>
      <c r="K239" t="s">
        <v>501</v>
      </c>
      <c r="L239">
        <v>1191</v>
      </c>
      <c r="N239">
        <v>1013</v>
      </c>
      <c r="O239" t="s">
        <v>502</v>
      </c>
      <c r="P239" t="s">
        <v>502</v>
      </c>
      <c r="Q239">
        <v>1</v>
      </c>
      <c r="W239">
        <v>0</v>
      </c>
      <c r="X239">
        <v>476480486</v>
      </c>
      <c r="Y239">
        <f>(AT239*1.1)</f>
        <v>0.57200000000000006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5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0.52</v>
      </c>
      <c r="AU239" t="s">
        <v>23</v>
      </c>
      <c r="AV239">
        <v>1</v>
      </c>
      <c r="AW239">
        <v>2</v>
      </c>
      <c r="AX239">
        <v>56961044</v>
      </c>
      <c r="AY239">
        <v>1</v>
      </c>
      <c r="AZ239">
        <v>0</v>
      </c>
      <c r="BA239">
        <v>286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ROUND(AT239*Source!I309*AH239*AL239,2)</f>
        <v>0</v>
      </c>
      <c r="CV239">
        <f>ROUND(Y239*Source!I309,9)</f>
        <v>39.468000000000004</v>
      </c>
      <c r="CW239">
        <v>0</v>
      </c>
      <c r="CX239">
        <f>ROUND(Y239*Source!I309,9)</f>
        <v>39.468000000000004</v>
      </c>
      <c r="CY239">
        <f>AD239</f>
        <v>0</v>
      </c>
      <c r="CZ239">
        <f>AH239</f>
        <v>0</v>
      </c>
      <c r="DA239">
        <f>AL239</f>
        <v>1</v>
      </c>
      <c r="DB239">
        <f>ROUND((ROUND(AT239*CZ239,2)*1.1),6)</f>
        <v>0</v>
      </c>
      <c r="DC239">
        <f>ROUND((ROUND(AT239*AG239,2)*1.1),6)</f>
        <v>0</v>
      </c>
      <c r="DD239" t="s">
        <v>3</v>
      </c>
      <c r="DE239" t="s">
        <v>3</v>
      </c>
      <c r="DF239">
        <f t="shared" si="130"/>
        <v>0</v>
      </c>
      <c r="DG239">
        <f t="shared" si="127"/>
        <v>0</v>
      </c>
      <c r="DH239">
        <f t="shared" si="128"/>
        <v>0</v>
      </c>
      <c r="DI239">
        <f t="shared" si="101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ROW(Source!A309)</f>
        <v>309</v>
      </c>
      <c r="B240">
        <v>56959431</v>
      </c>
      <c r="C240">
        <v>56960099</v>
      </c>
      <c r="D240">
        <v>56092340</v>
      </c>
      <c r="E240">
        <v>1</v>
      </c>
      <c r="F240">
        <v>1</v>
      </c>
      <c r="G240">
        <v>1080</v>
      </c>
      <c r="H240">
        <v>2</v>
      </c>
      <c r="I240" t="s">
        <v>503</v>
      </c>
      <c r="J240" t="s">
        <v>504</v>
      </c>
      <c r="K240" t="s">
        <v>505</v>
      </c>
      <c r="L240">
        <v>1368</v>
      </c>
      <c r="N240">
        <v>1011</v>
      </c>
      <c r="O240" t="s">
        <v>506</v>
      </c>
      <c r="P240" t="s">
        <v>506</v>
      </c>
      <c r="Q240">
        <v>1</v>
      </c>
      <c r="W240">
        <v>0</v>
      </c>
      <c r="X240">
        <v>-1985943078</v>
      </c>
      <c r="Y240">
        <f>(AT240*1.1)</f>
        <v>2.2000000000000002E-2</v>
      </c>
      <c r="AA240">
        <v>0</v>
      </c>
      <c r="AB240">
        <v>1418.19</v>
      </c>
      <c r="AC240">
        <v>726.59</v>
      </c>
      <c r="AD240">
        <v>0</v>
      </c>
      <c r="AE240">
        <v>0</v>
      </c>
      <c r="AF240">
        <v>83.1</v>
      </c>
      <c r="AG240">
        <v>12.62</v>
      </c>
      <c r="AH240">
        <v>0</v>
      </c>
      <c r="AI240">
        <v>1</v>
      </c>
      <c r="AJ240">
        <v>16.3</v>
      </c>
      <c r="AK240">
        <v>54.99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0.02</v>
      </c>
      <c r="AU240" t="s">
        <v>23</v>
      </c>
      <c r="AV240">
        <v>0</v>
      </c>
      <c r="AW240">
        <v>2</v>
      </c>
      <c r="AX240">
        <v>56961045</v>
      </c>
      <c r="AY240">
        <v>1</v>
      </c>
      <c r="AZ240">
        <v>0</v>
      </c>
      <c r="BA240">
        <v>287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ROUND(Y240*Source!I309*DO240,9)</f>
        <v>19.157160000000001</v>
      </c>
      <c r="CX240">
        <f>ROUND(Y240*Source!I309,9)</f>
        <v>1.518</v>
      </c>
      <c r="CY240">
        <f>AB240</f>
        <v>1418.19</v>
      </c>
      <c r="CZ240">
        <f>AF240</f>
        <v>83.1</v>
      </c>
      <c r="DA240">
        <f>AJ240</f>
        <v>16.3</v>
      </c>
      <c r="DB240">
        <f>ROUND((ROUND(AT240*CZ240,2)*1.1),6)</f>
        <v>1.8260000000000001</v>
      </c>
      <c r="DC240">
        <f>ROUND((ROUND(AT240*AG240,2)*1.1),6)</f>
        <v>0.27500000000000002</v>
      </c>
      <c r="DD240" t="s">
        <v>3</v>
      </c>
      <c r="DE240" t="s">
        <v>3</v>
      </c>
      <c r="DF240">
        <f t="shared" si="130"/>
        <v>0</v>
      </c>
      <c r="DG240">
        <f>ROUND(ROUND(AF240*AJ240,2)*CX240,2)</f>
        <v>2056.1799999999998</v>
      </c>
      <c r="DH240">
        <f>ROUND(ROUND(AG240*AK240,2)*CX240,2)</f>
        <v>1053.45</v>
      </c>
      <c r="DI240">
        <f t="shared" si="101"/>
        <v>0</v>
      </c>
      <c r="DJ240">
        <f>DG240</f>
        <v>2056.1799999999998</v>
      </c>
      <c r="DK240">
        <v>0</v>
      </c>
      <c r="DL240" t="s">
        <v>507</v>
      </c>
      <c r="DM240">
        <v>0</v>
      </c>
      <c r="DN240" t="s">
        <v>502</v>
      </c>
      <c r="DO240">
        <v>12.62</v>
      </c>
    </row>
    <row r="241" spans="1:119" x14ac:dyDescent="0.2">
      <c r="A241">
        <f>ROW(Source!A309)</f>
        <v>309</v>
      </c>
      <c r="B241">
        <v>56959431</v>
      </c>
      <c r="C241">
        <v>56960099</v>
      </c>
      <c r="D241">
        <v>56091652</v>
      </c>
      <c r="E241">
        <v>1</v>
      </c>
      <c r="F241">
        <v>1</v>
      </c>
      <c r="G241">
        <v>1080</v>
      </c>
      <c r="H241">
        <v>2</v>
      </c>
      <c r="I241" t="s">
        <v>599</v>
      </c>
      <c r="J241" t="s">
        <v>600</v>
      </c>
      <c r="K241" t="s">
        <v>601</v>
      </c>
      <c r="L241">
        <v>1368</v>
      </c>
      <c r="N241">
        <v>1011</v>
      </c>
      <c r="O241" t="s">
        <v>506</v>
      </c>
      <c r="P241" t="s">
        <v>506</v>
      </c>
      <c r="Q241">
        <v>1</v>
      </c>
      <c r="W241">
        <v>0</v>
      </c>
      <c r="X241">
        <v>1362397990</v>
      </c>
      <c r="Y241">
        <f>(AT241*1.1)</f>
        <v>0.22000000000000003</v>
      </c>
      <c r="AA241">
        <v>0</v>
      </c>
      <c r="AB241">
        <v>2038.98</v>
      </c>
      <c r="AC241">
        <v>837.13</v>
      </c>
      <c r="AD241">
        <v>0</v>
      </c>
      <c r="AE241">
        <v>0</v>
      </c>
      <c r="AF241">
        <v>132.66</v>
      </c>
      <c r="AG241">
        <v>14.54</v>
      </c>
      <c r="AH241">
        <v>0</v>
      </c>
      <c r="AI241">
        <v>1</v>
      </c>
      <c r="AJ241">
        <v>14.68</v>
      </c>
      <c r="AK241">
        <v>54.99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0.2</v>
      </c>
      <c r="AU241" t="s">
        <v>23</v>
      </c>
      <c r="AV241">
        <v>0</v>
      </c>
      <c r="AW241">
        <v>2</v>
      </c>
      <c r="AX241">
        <v>56961046</v>
      </c>
      <c r="AY241">
        <v>1</v>
      </c>
      <c r="AZ241">
        <v>0</v>
      </c>
      <c r="BA241">
        <v>288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ROUND(Y241*Source!I309*DO241,9)</f>
        <v>220.71719999999999</v>
      </c>
      <c r="CX241">
        <f>ROUND(Y241*Source!I309,9)</f>
        <v>15.18</v>
      </c>
      <c r="CY241">
        <f>AB241</f>
        <v>2038.98</v>
      </c>
      <c r="CZ241">
        <f>AF241</f>
        <v>132.66</v>
      </c>
      <c r="DA241">
        <f>AJ241</f>
        <v>14.68</v>
      </c>
      <c r="DB241">
        <f>ROUND((ROUND(AT241*CZ241,2)*1.1),6)</f>
        <v>29.183</v>
      </c>
      <c r="DC241">
        <f>ROUND((ROUND(AT241*AG241,2)*1.1),6)</f>
        <v>3.2010000000000001</v>
      </c>
      <c r="DD241" t="s">
        <v>3</v>
      </c>
      <c r="DE241" t="s">
        <v>3</v>
      </c>
      <c r="DF241">
        <f t="shared" si="130"/>
        <v>0</v>
      </c>
      <c r="DG241">
        <f>ROUND(ROUND(AF241*AJ241,2)*CX241,2)</f>
        <v>29562.29</v>
      </c>
      <c r="DH241">
        <f>ROUND(ROUND(AG241*AK241,2)*CX241,2)</f>
        <v>12137.17</v>
      </c>
      <c r="DI241">
        <f t="shared" si="101"/>
        <v>0</v>
      </c>
      <c r="DJ241">
        <f>DG241</f>
        <v>29562.29</v>
      </c>
      <c r="DK241">
        <v>0</v>
      </c>
      <c r="DL241" t="s">
        <v>507</v>
      </c>
      <c r="DM241">
        <v>0</v>
      </c>
      <c r="DN241" t="s">
        <v>502</v>
      </c>
      <c r="DO241">
        <v>14.54</v>
      </c>
    </row>
    <row r="242" spans="1:119" x14ac:dyDescent="0.2">
      <c r="A242">
        <f>ROW(Source!A309)</f>
        <v>309</v>
      </c>
      <c r="B242">
        <v>56959431</v>
      </c>
      <c r="C242">
        <v>56960099</v>
      </c>
      <c r="D242">
        <v>56067452</v>
      </c>
      <c r="E242">
        <v>1</v>
      </c>
      <c r="F242">
        <v>1</v>
      </c>
      <c r="G242">
        <v>1080</v>
      </c>
      <c r="H242">
        <v>3</v>
      </c>
      <c r="I242" t="s">
        <v>247</v>
      </c>
      <c r="J242" t="s">
        <v>250</v>
      </c>
      <c r="K242" t="s">
        <v>248</v>
      </c>
      <c r="L242">
        <v>1346</v>
      </c>
      <c r="N242">
        <v>1009</v>
      </c>
      <c r="O242" t="s">
        <v>249</v>
      </c>
      <c r="P242" t="s">
        <v>249</v>
      </c>
      <c r="Q242">
        <v>1</v>
      </c>
      <c r="W242">
        <v>0</v>
      </c>
      <c r="X242">
        <v>1143487818</v>
      </c>
      <c r="Y242">
        <f>AT242</f>
        <v>3.2000000000000003E-4</v>
      </c>
      <c r="AA242">
        <v>159.13</v>
      </c>
      <c r="AB242">
        <v>0</v>
      </c>
      <c r="AC242">
        <v>0</v>
      </c>
      <c r="AD242">
        <v>0</v>
      </c>
      <c r="AE242">
        <v>31.08</v>
      </c>
      <c r="AF242">
        <v>0</v>
      </c>
      <c r="AG242">
        <v>0</v>
      </c>
      <c r="AH242">
        <v>0</v>
      </c>
      <c r="AI242">
        <v>5.12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 t="s">
        <v>3</v>
      </c>
      <c r="AT242">
        <v>3.2000000000000003E-4</v>
      </c>
      <c r="AU242" t="s">
        <v>3</v>
      </c>
      <c r="AV242">
        <v>0</v>
      </c>
      <c r="AW242">
        <v>1</v>
      </c>
      <c r="AX242">
        <v>-1</v>
      </c>
      <c r="AY242">
        <v>0</v>
      </c>
      <c r="AZ242">
        <v>0</v>
      </c>
      <c r="BA242" t="s">
        <v>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ROUND(Y242*Source!I309,9)</f>
        <v>2.2079999999999999E-2</v>
      </c>
      <c r="CY242">
        <f>AA242</f>
        <v>159.13</v>
      </c>
      <c r="CZ242">
        <f>AE242</f>
        <v>31.08</v>
      </c>
      <c r="DA242">
        <f>AI242</f>
        <v>5.12</v>
      </c>
      <c r="DB242">
        <f>ROUND(ROUND(AT242*CZ242,2),6)</f>
        <v>0.01</v>
      </c>
      <c r="DC242">
        <f>ROUND(ROUND(AT242*AG242,2),6)</f>
        <v>0</v>
      </c>
      <c r="DD242" t="s">
        <v>3</v>
      </c>
      <c r="DE242" t="s">
        <v>3</v>
      </c>
      <c r="DF242">
        <f>ROUND(ROUND(AE242*AI242,2)*CX242,2)</f>
        <v>3.51</v>
      </c>
      <c r="DG242">
        <f t="shared" ref="DG242:DG254" si="131">ROUND(ROUND(AF242,2)*CX242,2)</f>
        <v>0</v>
      </c>
      <c r="DH242">
        <f t="shared" ref="DH242:DH254" si="132">ROUND(ROUND(AG242,2)*CX242,2)</f>
        <v>0</v>
      </c>
      <c r="DI242">
        <f t="shared" si="101"/>
        <v>0</v>
      </c>
      <c r="DJ242">
        <f>DF242</f>
        <v>3.51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ROW(Source!A357)</f>
        <v>357</v>
      </c>
      <c r="B243">
        <v>56959434</v>
      </c>
      <c r="C243">
        <v>56960171</v>
      </c>
      <c r="D243">
        <v>56018166</v>
      </c>
      <c r="E243">
        <v>1080</v>
      </c>
      <c r="F243">
        <v>1</v>
      </c>
      <c r="G243">
        <v>1080</v>
      </c>
      <c r="H243">
        <v>1</v>
      </c>
      <c r="I243" t="s">
        <v>500</v>
      </c>
      <c r="J243" t="s">
        <v>3</v>
      </c>
      <c r="K243" t="s">
        <v>501</v>
      </c>
      <c r="L243">
        <v>1191</v>
      </c>
      <c r="N243">
        <v>1013</v>
      </c>
      <c r="O243" t="s">
        <v>502</v>
      </c>
      <c r="P243" t="s">
        <v>502</v>
      </c>
      <c r="Q243">
        <v>1</v>
      </c>
      <c r="W243">
        <v>0</v>
      </c>
      <c r="X243">
        <v>476480486</v>
      </c>
      <c r="Y243">
        <f>(AT243*1.1)</f>
        <v>5.6650000000000009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5.15</v>
      </c>
      <c r="AU243" t="s">
        <v>23</v>
      </c>
      <c r="AV243">
        <v>1</v>
      </c>
      <c r="AW243">
        <v>2</v>
      </c>
      <c r="AX243">
        <v>56961049</v>
      </c>
      <c r="AY243">
        <v>1</v>
      </c>
      <c r="AZ243">
        <v>0</v>
      </c>
      <c r="BA243">
        <v>291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U243">
        <f>ROUND(AT243*Source!I357*AH243*AL243,2)</f>
        <v>0</v>
      </c>
      <c r="CV243">
        <f>ROUND(Y243*Source!I357,9)</f>
        <v>356.89499999999998</v>
      </c>
      <c r="CW243">
        <v>0</v>
      </c>
      <c r="CX243">
        <f>ROUND(Y243*Source!I357,9)</f>
        <v>356.89499999999998</v>
      </c>
      <c r="CY243">
        <f>AD243</f>
        <v>0</v>
      </c>
      <c r="CZ243">
        <f>AH243</f>
        <v>0</v>
      </c>
      <c r="DA243">
        <f>AL243</f>
        <v>1</v>
      </c>
      <c r="DB243">
        <f>ROUND((ROUND(AT243*CZ243,2)*1.1),6)</f>
        <v>0</v>
      </c>
      <c r="DC243">
        <f>ROUND((ROUND(AT243*AG243,2)*1.1),6)</f>
        <v>0</v>
      </c>
      <c r="DD243" t="s">
        <v>3</v>
      </c>
      <c r="DE243" t="s">
        <v>3</v>
      </c>
      <c r="DF243">
        <f t="shared" ref="DF243:DF257" si="133">ROUND(ROUND(AE243,2)*CX243,2)</f>
        <v>0</v>
      </c>
      <c r="DG243">
        <f t="shared" si="131"/>
        <v>0</v>
      </c>
      <c r="DH243">
        <f t="shared" si="132"/>
        <v>0</v>
      </c>
      <c r="DI243">
        <f t="shared" si="101"/>
        <v>0</v>
      </c>
      <c r="DJ243">
        <f>DI243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ROW(Source!A357)</f>
        <v>357</v>
      </c>
      <c r="B244">
        <v>56959434</v>
      </c>
      <c r="C244">
        <v>56960171</v>
      </c>
      <c r="D244">
        <v>56092041</v>
      </c>
      <c r="E244">
        <v>1</v>
      </c>
      <c r="F244">
        <v>1</v>
      </c>
      <c r="G244">
        <v>1080</v>
      </c>
      <c r="H244">
        <v>2</v>
      </c>
      <c r="I244" t="s">
        <v>575</v>
      </c>
      <c r="J244" t="s">
        <v>576</v>
      </c>
      <c r="K244" t="s">
        <v>577</v>
      </c>
      <c r="L244">
        <v>1368</v>
      </c>
      <c r="N244">
        <v>1011</v>
      </c>
      <c r="O244" t="s">
        <v>506</v>
      </c>
      <c r="P244" t="s">
        <v>506</v>
      </c>
      <c r="Q244">
        <v>1</v>
      </c>
      <c r="W244">
        <v>0</v>
      </c>
      <c r="X244">
        <v>-2065404138</v>
      </c>
      <c r="Y244">
        <f>(AT244*1.1)</f>
        <v>0.22000000000000003</v>
      </c>
      <c r="AA244">
        <v>0</v>
      </c>
      <c r="AB244">
        <v>7.44</v>
      </c>
      <c r="AC244">
        <v>0</v>
      </c>
      <c r="AD244">
        <v>0</v>
      </c>
      <c r="AE244">
        <v>0</v>
      </c>
      <c r="AF244">
        <v>7.11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0.2</v>
      </c>
      <c r="AU244" t="s">
        <v>23</v>
      </c>
      <c r="AV244">
        <v>0</v>
      </c>
      <c r="AW244">
        <v>2</v>
      </c>
      <c r="AX244">
        <v>56961050</v>
      </c>
      <c r="AY244">
        <v>1</v>
      </c>
      <c r="AZ244">
        <v>0</v>
      </c>
      <c r="BA244">
        <v>292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f>ROUND(Y244*Source!I357*DO244,9)</f>
        <v>0</v>
      </c>
      <c r="CX244">
        <f>ROUND(Y244*Source!I357,9)</f>
        <v>13.86</v>
      </c>
      <c r="CY244">
        <f>AB244</f>
        <v>7.44</v>
      </c>
      <c r="CZ244">
        <f>AF244</f>
        <v>7.11</v>
      </c>
      <c r="DA244">
        <f>AJ244</f>
        <v>1</v>
      </c>
      <c r="DB244">
        <f>ROUND((ROUND(AT244*CZ244,2)*1.1),6)</f>
        <v>1.5620000000000001</v>
      </c>
      <c r="DC244">
        <f>ROUND((ROUND(AT244*AG244,2)*1.1),6)</f>
        <v>0</v>
      </c>
      <c r="DD244" t="s">
        <v>3</v>
      </c>
      <c r="DE244" t="s">
        <v>3</v>
      </c>
      <c r="DF244">
        <f t="shared" si="133"/>
        <v>0</v>
      </c>
      <c r="DG244">
        <f t="shared" si="131"/>
        <v>98.54</v>
      </c>
      <c r="DH244">
        <f t="shared" si="132"/>
        <v>0</v>
      </c>
      <c r="DI244">
        <f t="shared" si="101"/>
        <v>0</v>
      </c>
      <c r="DJ244">
        <f>DG244</f>
        <v>98.54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ROW(Source!A357)</f>
        <v>357</v>
      </c>
      <c r="B245">
        <v>56959434</v>
      </c>
      <c r="C245">
        <v>56960171</v>
      </c>
      <c r="D245">
        <v>56092340</v>
      </c>
      <c r="E245">
        <v>1</v>
      </c>
      <c r="F245">
        <v>1</v>
      </c>
      <c r="G245">
        <v>1080</v>
      </c>
      <c r="H245">
        <v>2</v>
      </c>
      <c r="I245" t="s">
        <v>503</v>
      </c>
      <c r="J245" t="s">
        <v>504</v>
      </c>
      <c r="K245" t="s">
        <v>505</v>
      </c>
      <c r="L245">
        <v>1368</v>
      </c>
      <c r="N245">
        <v>1011</v>
      </c>
      <c r="O245" t="s">
        <v>506</v>
      </c>
      <c r="P245" t="s">
        <v>506</v>
      </c>
      <c r="Q245">
        <v>1</v>
      </c>
      <c r="W245">
        <v>0</v>
      </c>
      <c r="X245">
        <v>-1985943078</v>
      </c>
      <c r="Y245">
        <f>(AT245*1.1)</f>
        <v>3.3000000000000002E-2</v>
      </c>
      <c r="AA245">
        <v>0</v>
      </c>
      <c r="AB245">
        <v>87.01</v>
      </c>
      <c r="AC245">
        <v>13.21</v>
      </c>
      <c r="AD245">
        <v>0</v>
      </c>
      <c r="AE245">
        <v>0</v>
      </c>
      <c r="AF245">
        <v>83.1</v>
      </c>
      <c r="AG245">
        <v>12.62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0.03</v>
      </c>
      <c r="AU245" t="s">
        <v>23</v>
      </c>
      <c r="AV245">
        <v>0</v>
      </c>
      <c r="AW245">
        <v>2</v>
      </c>
      <c r="AX245">
        <v>56961051</v>
      </c>
      <c r="AY245">
        <v>1</v>
      </c>
      <c r="AZ245">
        <v>0</v>
      </c>
      <c r="BA245">
        <v>293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f>ROUND(Y245*Source!I357*DO245,9)</f>
        <v>26.236979999999999</v>
      </c>
      <c r="CX245">
        <f>ROUND(Y245*Source!I357,9)</f>
        <v>2.0790000000000002</v>
      </c>
      <c r="CY245">
        <f>AB245</f>
        <v>87.01</v>
      </c>
      <c r="CZ245">
        <f>AF245</f>
        <v>83.1</v>
      </c>
      <c r="DA245">
        <f>AJ245</f>
        <v>1</v>
      </c>
      <c r="DB245">
        <f>ROUND((ROUND(AT245*CZ245,2)*1.1),6)</f>
        <v>2.7389999999999999</v>
      </c>
      <c r="DC245">
        <f>ROUND((ROUND(AT245*AG245,2)*1.1),6)</f>
        <v>0.41799999999999998</v>
      </c>
      <c r="DD245" t="s">
        <v>3</v>
      </c>
      <c r="DE245" t="s">
        <v>3</v>
      </c>
      <c r="DF245">
        <f t="shared" si="133"/>
        <v>0</v>
      </c>
      <c r="DG245">
        <f t="shared" si="131"/>
        <v>172.76</v>
      </c>
      <c r="DH245">
        <f t="shared" si="132"/>
        <v>26.24</v>
      </c>
      <c r="DI245">
        <f t="shared" si="101"/>
        <v>0</v>
      </c>
      <c r="DJ245">
        <f>DG245</f>
        <v>172.76</v>
      </c>
      <c r="DK245">
        <v>0</v>
      </c>
      <c r="DL245" t="s">
        <v>507</v>
      </c>
      <c r="DM245">
        <v>0</v>
      </c>
      <c r="DN245" t="s">
        <v>502</v>
      </c>
      <c r="DO245">
        <v>12.62</v>
      </c>
    </row>
    <row r="246" spans="1:119" x14ac:dyDescent="0.2">
      <c r="A246">
        <f>ROW(Source!A357)</f>
        <v>357</v>
      </c>
      <c r="B246">
        <v>56959434</v>
      </c>
      <c r="C246">
        <v>56960171</v>
      </c>
      <c r="D246">
        <v>56092414</v>
      </c>
      <c r="E246">
        <v>1</v>
      </c>
      <c r="F246">
        <v>1</v>
      </c>
      <c r="G246">
        <v>1080</v>
      </c>
      <c r="H246">
        <v>2</v>
      </c>
      <c r="I246" t="s">
        <v>602</v>
      </c>
      <c r="J246" t="s">
        <v>603</v>
      </c>
      <c r="K246" t="s">
        <v>604</v>
      </c>
      <c r="L246">
        <v>1368</v>
      </c>
      <c r="N246">
        <v>1011</v>
      </c>
      <c r="O246" t="s">
        <v>506</v>
      </c>
      <c r="P246" t="s">
        <v>506</v>
      </c>
      <c r="Q246">
        <v>1</v>
      </c>
      <c r="W246">
        <v>0</v>
      </c>
      <c r="X246">
        <v>-156805976</v>
      </c>
      <c r="Y246">
        <f>(AT246*1.1)</f>
        <v>0.50600000000000012</v>
      </c>
      <c r="AA246">
        <v>0</v>
      </c>
      <c r="AB246">
        <v>0.82</v>
      </c>
      <c r="AC246">
        <v>0</v>
      </c>
      <c r="AD246">
        <v>0</v>
      </c>
      <c r="AE246">
        <v>0</v>
      </c>
      <c r="AF246">
        <v>0.78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0.46</v>
      </c>
      <c r="AU246" t="s">
        <v>23</v>
      </c>
      <c r="AV246">
        <v>0</v>
      </c>
      <c r="AW246">
        <v>2</v>
      </c>
      <c r="AX246">
        <v>56961052</v>
      </c>
      <c r="AY246">
        <v>1</v>
      </c>
      <c r="AZ246">
        <v>0</v>
      </c>
      <c r="BA246">
        <v>294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ROUND(Y246*Source!I357*DO246,9)</f>
        <v>0</v>
      </c>
      <c r="CX246">
        <f>ROUND(Y246*Source!I357,9)</f>
        <v>31.878</v>
      </c>
      <c r="CY246">
        <f>AB246</f>
        <v>0.82</v>
      </c>
      <c r="CZ246">
        <f>AF246</f>
        <v>0.78</v>
      </c>
      <c r="DA246">
        <f>AJ246</f>
        <v>1</v>
      </c>
      <c r="DB246">
        <f>ROUND((ROUND(AT246*CZ246,2)*1.1),6)</f>
        <v>0.39600000000000002</v>
      </c>
      <c r="DC246">
        <f>ROUND((ROUND(AT246*AG246,2)*1.1),6)</f>
        <v>0</v>
      </c>
      <c r="DD246" t="s">
        <v>3</v>
      </c>
      <c r="DE246" t="s">
        <v>3</v>
      </c>
      <c r="DF246">
        <f t="shared" si="133"/>
        <v>0</v>
      </c>
      <c r="DG246">
        <f t="shared" si="131"/>
        <v>24.86</v>
      </c>
      <c r="DH246">
        <f t="shared" si="132"/>
        <v>0</v>
      </c>
      <c r="DI246">
        <f t="shared" si="101"/>
        <v>0</v>
      </c>
      <c r="DJ246">
        <f>DG246</f>
        <v>24.86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ROW(Source!A357)</f>
        <v>357</v>
      </c>
      <c r="B247">
        <v>56959434</v>
      </c>
      <c r="C247">
        <v>56960171</v>
      </c>
      <c r="D247">
        <v>56061640</v>
      </c>
      <c r="E247">
        <v>1</v>
      </c>
      <c r="F247">
        <v>1</v>
      </c>
      <c r="G247">
        <v>1080</v>
      </c>
      <c r="H247">
        <v>3</v>
      </c>
      <c r="I247" t="s">
        <v>605</v>
      </c>
      <c r="J247" t="s">
        <v>606</v>
      </c>
      <c r="K247" t="s">
        <v>607</v>
      </c>
      <c r="L247">
        <v>1348</v>
      </c>
      <c r="N247">
        <v>1009</v>
      </c>
      <c r="O247" t="s">
        <v>291</v>
      </c>
      <c r="P247" t="s">
        <v>291</v>
      </c>
      <c r="Q247">
        <v>1000</v>
      </c>
      <c r="W247">
        <v>0</v>
      </c>
      <c r="X247">
        <v>-2039612599</v>
      </c>
      <c r="Y247">
        <f t="shared" ref="Y247:Y253" si="134">AT247</f>
        <v>1.21E-4</v>
      </c>
      <c r="AA247">
        <v>7185.82</v>
      </c>
      <c r="AB247">
        <v>0</v>
      </c>
      <c r="AC247">
        <v>0</v>
      </c>
      <c r="AD247">
        <v>0</v>
      </c>
      <c r="AE247">
        <v>7185.82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1.21E-4</v>
      </c>
      <c r="AU247" t="s">
        <v>3</v>
      </c>
      <c r="AV247">
        <v>0</v>
      </c>
      <c r="AW247">
        <v>2</v>
      </c>
      <c r="AX247">
        <v>56961053</v>
      </c>
      <c r="AY247">
        <v>1</v>
      </c>
      <c r="AZ247">
        <v>0</v>
      </c>
      <c r="BA247">
        <v>295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ROUND(Y247*Source!I357,9)</f>
        <v>7.6229999999999996E-3</v>
      </c>
      <c r="CY247">
        <f t="shared" ref="CY247:CY253" si="135">AA247</f>
        <v>7185.82</v>
      </c>
      <c r="CZ247">
        <f t="shared" ref="CZ247:CZ253" si="136">AE247</f>
        <v>7185.82</v>
      </c>
      <c r="DA247">
        <f t="shared" ref="DA247:DA253" si="137">AI247</f>
        <v>1</v>
      </c>
      <c r="DB247">
        <f t="shared" ref="DB247:DB253" si="138">ROUND(ROUND(AT247*CZ247,2),6)</f>
        <v>0.87</v>
      </c>
      <c r="DC247">
        <f t="shared" ref="DC247:DC253" si="139">ROUND(ROUND(AT247*AG247,2),6)</f>
        <v>0</v>
      </c>
      <c r="DD247" t="s">
        <v>3</v>
      </c>
      <c r="DE247" t="s">
        <v>3</v>
      </c>
      <c r="DF247">
        <f t="shared" si="133"/>
        <v>54.78</v>
      </c>
      <c r="DG247">
        <f t="shared" si="131"/>
        <v>0</v>
      </c>
      <c r="DH247">
        <f t="shared" si="132"/>
        <v>0</v>
      </c>
      <c r="DI247">
        <f t="shared" si="101"/>
        <v>0</v>
      </c>
      <c r="DJ247">
        <f t="shared" ref="DJ247:DJ253" si="140">DF247</f>
        <v>54.78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ROW(Source!A357)</f>
        <v>357</v>
      </c>
      <c r="B248">
        <v>56959434</v>
      </c>
      <c r="C248">
        <v>56960171</v>
      </c>
      <c r="D248">
        <v>56061649</v>
      </c>
      <c r="E248">
        <v>1</v>
      </c>
      <c r="F248">
        <v>1</v>
      </c>
      <c r="G248">
        <v>1080</v>
      </c>
      <c r="H248">
        <v>3</v>
      </c>
      <c r="I248" t="s">
        <v>608</v>
      </c>
      <c r="J248" t="s">
        <v>609</v>
      </c>
      <c r="K248" t="s">
        <v>610</v>
      </c>
      <c r="L248">
        <v>1346</v>
      </c>
      <c r="N248">
        <v>1009</v>
      </c>
      <c r="O248" t="s">
        <v>249</v>
      </c>
      <c r="P248" t="s">
        <v>249</v>
      </c>
      <c r="Q248">
        <v>1</v>
      </c>
      <c r="W248">
        <v>0</v>
      </c>
      <c r="X248">
        <v>1368649771</v>
      </c>
      <c r="Y248">
        <f t="shared" si="134"/>
        <v>2.3E-2</v>
      </c>
      <c r="AA248">
        <v>29.82</v>
      </c>
      <c r="AB248">
        <v>0</v>
      </c>
      <c r="AC248">
        <v>0</v>
      </c>
      <c r="AD248">
        <v>0</v>
      </c>
      <c r="AE248">
        <v>29.82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2.3E-2</v>
      </c>
      <c r="AU248" t="s">
        <v>3</v>
      </c>
      <c r="AV248">
        <v>0</v>
      </c>
      <c r="AW248">
        <v>2</v>
      </c>
      <c r="AX248">
        <v>56961054</v>
      </c>
      <c r="AY248">
        <v>1</v>
      </c>
      <c r="AZ248">
        <v>0</v>
      </c>
      <c r="BA248">
        <v>296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ROUND(Y248*Source!I357,9)</f>
        <v>1.4490000000000001</v>
      </c>
      <c r="CY248">
        <f t="shared" si="135"/>
        <v>29.82</v>
      </c>
      <c r="CZ248">
        <f t="shared" si="136"/>
        <v>29.82</v>
      </c>
      <c r="DA248">
        <f t="shared" si="137"/>
        <v>1</v>
      </c>
      <c r="DB248">
        <f t="shared" si="138"/>
        <v>0.69</v>
      </c>
      <c r="DC248">
        <f t="shared" si="139"/>
        <v>0</v>
      </c>
      <c r="DD248" t="s">
        <v>3</v>
      </c>
      <c r="DE248" t="s">
        <v>3</v>
      </c>
      <c r="DF248">
        <f t="shared" si="133"/>
        <v>43.21</v>
      </c>
      <c r="DG248">
        <f t="shared" si="131"/>
        <v>0</v>
      </c>
      <c r="DH248">
        <f t="shared" si="132"/>
        <v>0</v>
      </c>
      <c r="DI248">
        <f t="shared" si="101"/>
        <v>0</v>
      </c>
      <c r="DJ248">
        <f t="shared" si="140"/>
        <v>43.21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ROW(Source!A357)</f>
        <v>357</v>
      </c>
      <c r="B249">
        <v>56959434</v>
      </c>
      <c r="C249">
        <v>56960171</v>
      </c>
      <c r="D249">
        <v>56060619</v>
      </c>
      <c r="E249">
        <v>1</v>
      </c>
      <c r="F249">
        <v>1</v>
      </c>
      <c r="G249">
        <v>1080</v>
      </c>
      <c r="H249">
        <v>3</v>
      </c>
      <c r="I249" t="s">
        <v>611</v>
      </c>
      <c r="J249" t="s">
        <v>612</v>
      </c>
      <c r="K249" t="s">
        <v>613</v>
      </c>
      <c r="L249">
        <v>1348</v>
      </c>
      <c r="N249">
        <v>1009</v>
      </c>
      <c r="O249" t="s">
        <v>291</v>
      </c>
      <c r="P249" t="s">
        <v>291</v>
      </c>
      <c r="Q249">
        <v>1000</v>
      </c>
      <c r="W249">
        <v>0</v>
      </c>
      <c r="X249">
        <v>2017980840</v>
      </c>
      <c r="Y249">
        <f t="shared" si="134"/>
        <v>1.8E-5</v>
      </c>
      <c r="AA249">
        <v>18653.07</v>
      </c>
      <c r="AB249">
        <v>0</v>
      </c>
      <c r="AC249">
        <v>0</v>
      </c>
      <c r="AD249">
        <v>0</v>
      </c>
      <c r="AE249">
        <v>18653.07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1.8E-5</v>
      </c>
      <c r="AU249" t="s">
        <v>3</v>
      </c>
      <c r="AV249">
        <v>0</v>
      </c>
      <c r="AW249">
        <v>2</v>
      </c>
      <c r="AX249">
        <v>56961055</v>
      </c>
      <c r="AY249">
        <v>1</v>
      </c>
      <c r="AZ249">
        <v>0</v>
      </c>
      <c r="BA249">
        <v>297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ROUND(Y249*Source!I357,9)</f>
        <v>1.134E-3</v>
      </c>
      <c r="CY249">
        <f t="shared" si="135"/>
        <v>18653.07</v>
      </c>
      <c r="CZ249">
        <f t="shared" si="136"/>
        <v>18653.07</v>
      </c>
      <c r="DA249">
        <f t="shared" si="137"/>
        <v>1</v>
      </c>
      <c r="DB249">
        <f t="shared" si="138"/>
        <v>0.34</v>
      </c>
      <c r="DC249">
        <f t="shared" si="139"/>
        <v>0</v>
      </c>
      <c r="DD249" t="s">
        <v>3</v>
      </c>
      <c r="DE249" t="s">
        <v>3</v>
      </c>
      <c r="DF249">
        <f t="shared" si="133"/>
        <v>21.15</v>
      </c>
      <c r="DG249">
        <f t="shared" si="131"/>
        <v>0</v>
      </c>
      <c r="DH249">
        <f t="shared" si="132"/>
        <v>0</v>
      </c>
      <c r="DI249">
        <f t="shared" si="101"/>
        <v>0</v>
      </c>
      <c r="DJ249">
        <f t="shared" si="140"/>
        <v>21.15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ROW(Source!A357)</f>
        <v>357</v>
      </c>
      <c r="B250">
        <v>56959434</v>
      </c>
      <c r="C250">
        <v>56960171</v>
      </c>
      <c r="D250">
        <v>56062409</v>
      </c>
      <c r="E250">
        <v>1</v>
      </c>
      <c r="F250">
        <v>1</v>
      </c>
      <c r="G250">
        <v>1080</v>
      </c>
      <c r="H250">
        <v>3</v>
      </c>
      <c r="I250" t="s">
        <v>614</v>
      </c>
      <c r="J250" t="s">
        <v>615</v>
      </c>
      <c r="K250" t="s">
        <v>616</v>
      </c>
      <c r="L250">
        <v>1348</v>
      </c>
      <c r="N250">
        <v>1009</v>
      </c>
      <c r="O250" t="s">
        <v>291</v>
      </c>
      <c r="P250" t="s">
        <v>291</v>
      </c>
      <c r="Q250">
        <v>1000</v>
      </c>
      <c r="W250">
        <v>0</v>
      </c>
      <c r="X250">
        <v>1835689910</v>
      </c>
      <c r="Y250">
        <f t="shared" si="134"/>
        <v>2.3780000000000001E-4</v>
      </c>
      <c r="AA250">
        <v>11487.92</v>
      </c>
      <c r="AB250">
        <v>0</v>
      </c>
      <c r="AC250">
        <v>0</v>
      </c>
      <c r="AD250">
        <v>0</v>
      </c>
      <c r="AE250">
        <v>11487.92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-2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2.3780000000000001E-4</v>
      </c>
      <c r="AU250" t="s">
        <v>3</v>
      </c>
      <c r="AV250">
        <v>0</v>
      </c>
      <c r="AW250">
        <v>2</v>
      </c>
      <c r="AX250">
        <v>56961056</v>
      </c>
      <c r="AY250">
        <v>1</v>
      </c>
      <c r="AZ250">
        <v>0</v>
      </c>
      <c r="BA250">
        <v>298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ROUND(Y250*Source!I357,9)</f>
        <v>1.4981400000000001E-2</v>
      </c>
      <c r="CY250">
        <f t="shared" si="135"/>
        <v>11487.92</v>
      </c>
      <c r="CZ250">
        <f t="shared" si="136"/>
        <v>11487.92</v>
      </c>
      <c r="DA250">
        <f t="shared" si="137"/>
        <v>1</v>
      </c>
      <c r="DB250">
        <f t="shared" si="138"/>
        <v>2.73</v>
      </c>
      <c r="DC250">
        <f t="shared" si="139"/>
        <v>0</v>
      </c>
      <c r="DD250" t="s">
        <v>3</v>
      </c>
      <c r="DE250" t="s">
        <v>3</v>
      </c>
      <c r="DF250">
        <f t="shared" si="133"/>
        <v>172.11</v>
      </c>
      <c r="DG250">
        <f t="shared" si="131"/>
        <v>0</v>
      </c>
      <c r="DH250">
        <f t="shared" si="132"/>
        <v>0</v>
      </c>
      <c r="DI250">
        <f t="shared" si="101"/>
        <v>0</v>
      </c>
      <c r="DJ250">
        <f t="shared" si="140"/>
        <v>172.11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ROW(Source!A357)</f>
        <v>357</v>
      </c>
      <c r="B251">
        <v>56959434</v>
      </c>
      <c r="C251">
        <v>56960171</v>
      </c>
      <c r="D251">
        <v>56062973</v>
      </c>
      <c r="E251">
        <v>1</v>
      </c>
      <c r="F251">
        <v>1</v>
      </c>
      <c r="G251">
        <v>1080</v>
      </c>
      <c r="H251">
        <v>3</v>
      </c>
      <c r="I251" t="s">
        <v>617</v>
      </c>
      <c r="J251" t="s">
        <v>618</v>
      </c>
      <c r="K251" t="s">
        <v>619</v>
      </c>
      <c r="L251">
        <v>1348</v>
      </c>
      <c r="N251">
        <v>1009</v>
      </c>
      <c r="O251" t="s">
        <v>291</v>
      </c>
      <c r="P251" t="s">
        <v>291</v>
      </c>
      <c r="Q251">
        <v>1000</v>
      </c>
      <c r="W251">
        <v>0</v>
      </c>
      <c r="X251">
        <v>2135033779</v>
      </c>
      <c r="Y251">
        <f t="shared" si="134"/>
        <v>7.0000000000000001E-3</v>
      </c>
      <c r="AA251">
        <v>12089.95</v>
      </c>
      <c r="AB251">
        <v>0</v>
      </c>
      <c r="AC251">
        <v>0</v>
      </c>
      <c r="AD251">
        <v>0</v>
      </c>
      <c r="AE251">
        <v>12089.95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7.0000000000000001E-3</v>
      </c>
      <c r="AU251" t="s">
        <v>3</v>
      </c>
      <c r="AV251">
        <v>0</v>
      </c>
      <c r="AW251">
        <v>2</v>
      </c>
      <c r="AX251">
        <v>56961057</v>
      </c>
      <c r="AY251">
        <v>1</v>
      </c>
      <c r="AZ251">
        <v>0</v>
      </c>
      <c r="BA251">
        <v>299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ROUND(Y251*Source!I357,9)</f>
        <v>0.441</v>
      </c>
      <c r="CY251">
        <f t="shared" si="135"/>
        <v>12089.95</v>
      </c>
      <c r="CZ251">
        <f t="shared" si="136"/>
        <v>12089.95</v>
      </c>
      <c r="DA251">
        <f t="shared" si="137"/>
        <v>1</v>
      </c>
      <c r="DB251">
        <f t="shared" si="138"/>
        <v>84.63</v>
      </c>
      <c r="DC251">
        <f t="shared" si="139"/>
        <v>0</v>
      </c>
      <c r="DD251" t="s">
        <v>3</v>
      </c>
      <c r="DE251" t="s">
        <v>3</v>
      </c>
      <c r="DF251">
        <f t="shared" si="133"/>
        <v>5331.67</v>
      </c>
      <c r="DG251">
        <f t="shared" si="131"/>
        <v>0</v>
      </c>
      <c r="DH251">
        <f t="shared" si="132"/>
        <v>0</v>
      </c>
      <c r="DI251">
        <f t="shared" si="101"/>
        <v>0</v>
      </c>
      <c r="DJ251">
        <f t="shared" si="140"/>
        <v>5331.67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ROW(Source!A357)</f>
        <v>357</v>
      </c>
      <c r="B252">
        <v>56959434</v>
      </c>
      <c r="C252">
        <v>56960171</v>
      </c>
      <c r="D252">
        <v>56061171</v>
      </c>
      <c r="E252">
        <v>1</v>
      </c>
      <c r="F252">
        <v>1</v>
      </c>
      <c r="G252">
        <v>1080</v>
      </c>
      <c r="H252">
        <v>3</v>
      </c>
      <c r="I252" t="s">
        <v>620</v>
      </c>
      <c r="J252" t="s">
        <v>621</v>
      </c>
      <c r="K252" t="s">
        <v>622</v>
      </c>
      <c r="L252">
        <v>1348</v>
      </c>
      <c r="N252">
        <v>1009</v>
      </c>
      <c r="O252" t="s">
        <v>291</v>
      </c>
      <c r="P252" t="s">
        <v>291</v>
      </c>
      <c r="Q252">
        <v>1000</v>
      </c>
      <c r="W252">
        <v>0</v>
      </c>
      <c r="X252">
        <v>432853124</v>
      </c>
      <c r="Y252">
        <f t="shared" si="134"/>
        <v>1.0000000000000001E-5</v>
      </c>
      <c r="AA252">
        <v>8582.42</v>
      </c>
      <c r="AB252">
        <v>0</v>
      </c>
      <c r="AC252">
        <v>0</v>
      </c>
      <c r="AD252">
        <v>0</v>
      </c>
      <c r="AE252">
        <v>8582.42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1.0000000000000001E-5</v>
      </c>
      <c r="AU252" t="s">
        <v>3</v>
      </c>
      <c r="AV252">
        <v>0</v>
      </c>
      <c r="AW252">
        <v>2</v>
      </c>
      <c r="AX252">
        <v>56961058</v>
      </c>
      <c r="AY252">
        <v>1</v>
      </c>
      <c r="AZ252">
        <v>0</v>
      </c>
      <c r="BA252">
        <v>300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ROUND(Y252*Source!I357,9)</f>
        <v>6.3000000000000003E-4</v>
      </c>
      <c r="CY252">
        <f t="shared" si="135"/>
        <v>8582.42</v>
      </c>
      <c r="CZ252">
        <f t="shared" si="136"/>
        <v>8582.42</v>
      </c>
      <c r="DA252">
        <f t="shared" si="137"/>
        <v>1</v>
      </c>
      <c r="DB252">
        <f t="shared" si="138"/>
        <v>0.09</v>
      </c>
      <c r="DC252">
        <f t="shared" si="139"/>
        <v>0</v>
      </c>
      <c r="DD252" t="s">
        <v>3</v>
      </c>
      <c r="DE252" t="s">
        <v>3</v>
      </c>
      <c r="DF252">
        <f t="shared" si="133"/>
        <v>5.41</v>
      </c>
      <c r="DG252">
        <f t="shared" si="131"/>
        <v>0</v>
      </c>
      <c r="DH252">
        <f t="shared" si="132"/>
        <v>0</v>
      </c>
      <c r="DI252">
        <f t="shared" si="101"/>
        <v>0</v>
      </c>
      <c r="DJ252">
        <f t="shared" si="140"/>
        <v>5.41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ROW(Source!A357)</f>
        <v>357</v>
      </c>
      <c r="B253">
        <v>56959434</v>
      </c>
      <c r="C253">
        <v>56960171</v>
      </c>
      <c r="D253">
        <v>56061175</v>
      </c>
      <c r="E253">
        <v>1</v>
      </c>
      <c r="F253">
        <v>1</v>
      </c>
      <c r="G253">
        <v>1080</v>
      </c>
      <c r="H253">
        <v>3</v>
      </c>
      <c r="I253" t="s">
        <v>623</v>
      </c>
      <c r="J253" t="s">
        <v>624</v>
      </c>
      <c r="K253" t="s">
        <v>625</v>
      </c>
      <c r="L253">
        <v>1348</v>
      </c>
      <c r="N253">
        <v>1009</v>
      </c>
      <c r="O253" t="s">
        <v>291</v>
      </c>
      <c r="P253" t="s">
        <v>291</v>
      </c>
      <c r="Q253">
        <v>1000</v>
      </c>
      <c r="W253">
        <v>0</v>
      </c>
      <c r="X253">
        <v>1850032922</v>
      </c>
      <c r="Y253">
        <f t="shared" si="134"/>
        <v>1.9999999999999999E-6</v>
      </c>
      <c r="AA253">
        <v>12521.99</v>
      </c>
      <c r="AB253">
        <v>0</v>
      </c>
      <c r="AC253">
        <v>0</v>
      </c>
      <c r="AD253">
        <v>0</v>
      </c>
      <c r="AE253">
        <v>12521.99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1.9999999999999999E-6</v>
      </c>
      <c r="AU253" t="s">
        <v>3</v>
      </c>
      <c r="AV253">
        <v>0</v>
      </c>
      <c r="AW253">
        <v>2</v>
      </c>
      <c r="AX253">
        <v>56961059</v>
      </c>
      <c r="AY253">
        <v>1</v>
      </c>
      <c r="AZ253">
        <v>0</v>
      </c>
      <c r="BA253">
        <v>301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ROUND(Y253*Source!I357,9)</f>
        <v>1.26E-4</v>
      </c>
      <c r="CY253">
        <f t="shared" si="135"/>
        <v>12521.99</v>
      </c>
      <c r="CZ253">
        <f t="shared" si="136"/>
        <v>12521.99</v>
      </c>
      <c r="DA253">
        <f t="shared" si="137"/>
        <v>1</v>
      </c>
      <c r="DB253">
        <f t="shared" si="138"/>
        <v>0.03</v>
      </c>
      <c r="DC253">
        <f t="shared" si="139"/>
        <v>0</v>
      </c>
      <c r="DD253" t="s">
        <v>3</v>
      </c>
      <c r="DE253" t="s">
        <v>3</v>
      </c>
      <c r="DF253">
        <f t="shared" si="133"/>
        <v>1.58</v>
      </c>
      <c r="DG253">
        <f t="shared" si="131"/>
        <v>0</v>
      </c>
      <c r="DH253">
        <f t="shared" si="132"/>
        <v>0</v>
      </c>
      <c r="DI253">
        <f t="shared" si="101"/>
        <v>0</v>
      </c>
      <c r="DJ253">
        <f t="shared" si="140"/>
        <v>1.58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ROW(Source!A358)</f>
        <v>358</v>
      </c>
      <c r="B254">
        <v>56959431</v>
      </c>
      <c r="C254">
        <v>56960171</v>
      </c>
      <c r="D254">
        <v>56018166</v>
      </c>
      <c r="E254">
        <v>1080</v>
      </c>
      <c r="F254">
        <v>1</v>
      </c>
      <c r="G254">
        <v>1080</v>
      </c>
      <c r="H254">
        <v>1</v>
      </c>
      <c r="I254" t="s">
        <v>500</v>
      </c>
      <c r="J254" t="s">
        <v>3</v>
      </c>
      <c r="K254" t="s">
        <v>501</v>
      </c>
      <c r="L254">
        <v>1191</v>
      </c>
      <c r="N254">
        <v>1013</v>
      </c>
      <c r="O254" t="s">
        <v>502</v>
      </c>
      <c r="P254" t="s">
        <v>502</v>
      </c>
      <c r="Q254">
        <v>1</v>
      </c>
      <c r="W254">
        <v>0</v>
      </c>
      <c r="X254">
        <v>476480486</v>
      </c>
      <c r="Y254">
        <f>(AT254*1.1)</f>
        <v>5.6650000000000009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5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5.15</v>
      </c>
      <c r="AU254" t="s">
        <v>23</v>
      </c>
      <c r="AV254">
        <v>1</v>
      </c>
      <c r="AW254">
        <v>2</v>
      </c>
      <c r="AX254">
        <v>56961049</v>
      </c>
      <c r="AY254">
        <v>1</v>
      </c>
      <c r="AZ254">
        <v>0</v>
      </c>
      <c r="BA254">
        <v>303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U254">
        <f>ROUND(AT254*Source!I358*AH254*AL254,2)</f>
        <v>0</v>
      </c>
      <c r="CV254">
        <f>ROUND(Y254*Source!I358,9)</f>
        <v>356.89499999999998</v>
      </c>
      <c r="CW254">
        <v>0</v>
      </c>
      <c r="CX254">
        <f>ROUND(Y254*Source!I358,9)</f>
        <v>356.89499999999998</v>
      </c>
      <c r="CY254">
        <f>AD254</f>
        <v>0</v>
      </c>
      <c r="CZ254">
        <f>AH254</f>
        <v>0</v>
      </c>
      <c r="DA254">
        <f>AL254</f>
        <v>1</v>
      </c>
      <c r="DB254">
        <f>ROUND((ROUND(AT254*CZ254,2)*1.1),6)</f>
        <v>0</v>
      </c>
      <c r="DC254">
        <f>ROUND((ROUND(AT254*AG254,2)*1.1),6)</f>
        <v>0</v>
      </c>
      <c r="DD254" t="s">
        <v>3</v>
      </c>
      <c r="DE254" t="s">
        <v>3</v>
      </c>
      <c r="DF254">
        <f t="shared" si="133"/>
        <v>0</v>
      </c>
      <c r="DG254">
        <f t="shared" si="131"/>
        <v>0</v>
      </c>
      <c r="DH254">
        <f t="shared" si="132"/>
        <v>0</v>
      </c>
      <c r="DI254">
        <f t="shared" si="101"/>
        <v>0</v>
      </c>
      <c r="DJ254">
        <f>DI254</f>
        <v>0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ROW(Source!A358)</f>
        <v>358</v>
      </c>
      <c r="B255">
        <v>56959431</v>
      </c>
      <c r="C255">
        <v>56960171</v>
      </c>
      <c r="D255">
        <v>56092041</v>
      </c>
      <c r="E255">
        <v>1</v>
      </c>
      <c r="F255">
        <v>1</v>
      </c>
      <c r="G255">
        <v>1080</v>
      </c>
      <c r="H255">
        <v>2</v>
      </c>
      <c r="I255" t="s">
        <v>575</v>
      </c>
      <c r="J255" t="s">
        <v>576</v>
      </c>
      <c r="K255" t="s">
        <v>577</v>
      </c>
      <c r="L255">
        <v>1368</v>
      </c>
      <c r="N255">
        <v>1011</v>
      </c>
      <c r="O255" t="s">
        <v>506</v>
      </c>
      <c r="P255" t="s">
        <v>506</v>
      </c>
      <c r="Q255">
        <v>1</v>
      </c>
      <c r="W255">
        <v>0</v>
      </c>
      <c r="X255">
        <v>-2065404138</v>
      </c>
      <c r="Y255">
        <f>(AT255*1.1)</f>
        <v>0.22000000000000003</v>
      </c>
      <c r="AA255">
        <v>0</v>
      </c>
      <c r="AB255">
        <v>85.83</v>
      </c>
      <c r="AC255">
        <v>0</v>
      </c>
      <c r="AD255">
        <v>0</v>
      </c>
      <c r="AE255">
        <v>0</v>
      </c>
      <c r="AF255">
        <v>7.11</v>
      </c>
      <c r="AG255">
        <v>0</v>
      </c>
      <c r="AH255">
        <v>0</v>
      </c>
      <c r="AI255">
        <v>1</v>
      </c>
      <c r="AJ255">
        <v>11.53</v>
      </c>
      <c r="AK255">
        <v>54.99</v>
      </c>
      <c r="AL255">
        <v>1</v>
      </c>
      <c r="AM255">
        <v>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0.2</v>
      </c>
      <c r="AU255" t="s">
        <v>23</v>
      </c>
      <c r="AV255">
        <v>0</v>
      </c>
      <c r="AW255">
        <v>2</v>
      </c>
      <c r="AX255">
        <v>56961050</v>
      </c>
      <c r="AY255">
        <v>1</v>
      </c>
      <c r="AZ255">
        <v>0</v>
      </c>
      <c r="BA255">
        <v>304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f>ROUND(Y255*Source!I358*DO255,9)</f>
        <v>0</v>
      </c>
      <c r="CX255">
        <f>ROUND(Y255*Source!I358,9)</f>
        <v>13.86</v>
      </c>
      <c r="CY255">
        <f>AB255</f>
        <v>85.83</v>
      </c>
      <c r="CZ255">
        <f>AF255</f>
        <v>7.11</v>
      </c>
      <c r="DA255">
        <f>AJ255</f>
        <v>11.53</v>
      </c>
      <c r="DB255">
        <f>ROUND((ROUND(AT255*CZ255,2)*1.1),6)</f>
        <v>1.5620000000000001</v>
      </c>
      <c r="DC255">
        <f>ROUND((ROUND(AT255*AG255,2)*1.1),6)</f>
        <v>0</v>
      </c>
      <c r="DD255" t="s">
        <v>3</v>
      </c>
      <c r="DE255" t="s">
        <v>3</v>
      </c>
      <c r="DF255">
        <f t="shared" si="133"/>
        <v>0</v>
      </c>
      <c r="DG255">
        <f>ROUND(ROUND(AF255*AJ255,2)*CX255,2)</f>
        <v>1136.24</v>
      </c>
      <c r="DH255">
        <f>ROUND(ROUND(AG255*AK255,2)*CX255,2)</f>
        <v>0</v>
      </c>
      <c r="DI255">
        <f t="shared" si="101"/>
        <v>0</v>
      </c>
      <c r="DJ255">
        <f>DG255</f>
        <v>1136.24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ROW(Source!A358)</f>
        <v>358</v>
      </c>
      <c r="B256">
        <v>56959431</v>
      </c>
      <c r="C256">
        <v>56960171</v>
      </c>
      <c r="D256">
        <v>56092340</v>
      </c>
      <c r="E256">
        <v>1</v>
      </c>
      <c r="F256">
        <v>1</v>
      </c>
      <c r="G256">
        <v>1080</v>
      </c>
      <c r="H256">
        <v>2</v>
      </c>
      <c r="I256" t="s">
        <v>503</v>
      </c>
      <c r="J256" t="s">
        <v>504</v>
      </c>
      <c r="K256" t="s">
        <v>505</v>
      </c>
      <c r="L256">
        <v>1368</v>
      </c>
      <c r="N256">
        <v>1011</v>
      </c>
      <c r="O256" t="s">
        <v>506</v>
      </c>
      <c r="P256" t="s">
        <v>506</v>
      </c>
      <c r="Q256">
        <v>1</v>
      </c>
      <c r="W256">
        <v>0</v>
      </c>
      <c r="X256">
        <v>-1985943078</v>
      </c>
      <c r="Y256">
        <f>(AT256*1.1)</f>
        <v>3.3000000000000002E-2</v>
      </c>
      <c r="AA256">
        <v>0</v>
      </c>
      <c r="AB256">
        <v>1418.19</v>
      </c>
      <c r="AC256">
        <v>726.59</v>
      </c>
      <c r="AD256">
        <v>0</v>
      </c>
      <c r="AE256">
        <v>0</v>
      </c>
      <c r="AF256">
        <v>83.1</v>
      </c>
      <c r="AG256">
        <v>12.62</v>
      </c>
      <c r="AH256">
        <v>0</v>
      </c>
      <c r="AI256">
        <v>1</v>
      </c>
      <c r="AJ256">
        <v>16.3</v>
      </c>
      <c r="AK256">
        <v>54.99</v>
      </c>
      <c r="AL256">
        <v>1</v>
      </c>
      <c r="AM256">
        <v>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0.03</v>
      </c>
      <c r="AU256" t="s">
        <v>23</v>
      </c>
      <c r="AV256">
        <v>0</v>
      </c>
      <c r="AW256">
        <v>2</v>
      </c>
      <c r="AX256">
        <v>56961051</v>
      </c>
      <c r="AY256">
        <v>1</v>
      </c>
      <c r="AZ256">
        <v>0</v>
      </c>
      <c r="BA256">
        <v>305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ROUND(Y256*Source!I358*DO256,9)</f>
        <v>26.236979999999999</v>
      </c>
      <c r="CX256">
        <f>ROUND(Y256*Source!I358,9)</f>
        <v>2.0790000000000002</v>
      </c>
      <c r="CY256">
        <f>AB256</f>
        <v>1418.19</v>
      </c>
      <c r="CZ256">
        <f>AF256</f>
        <v>83.1</v>
      </c>
      <c r="DA256">
        <f>AJ256</f>
        <v>16.3</v>
      </c>
      <c r="DB256">
        <f>ROUND((ROUND(AT256*CZ256,2)*1.1),6)</f>
        <v>2.7389999999999999</v>
      </c>
      <c r="DC256">
        <f>ROUND((ROUND(AT256*AG256,2)*1.1),6)</f>
        <v>0.41799999999999998</v>
      </c>
      <c r="DD256" t="s">
        <v>3</v>
      </c>
      <c r="DE256" t="s">
        <v>3</v>
      </c>
      <c r="DF256">
        <f t="shared" si="133"/>
        <v>0</v>
      </c>
      <c r="DG256">
        <f>ROUND(ROUND(AF256*AJ256,2)*CX256,2)</f>
        <v>2816.07</v>
      </c>
      <c r="DH256">
        <f>ROUND(ROUND(AG256*AK256,2)*CX256,2)</f>
        <v>1442.76</v>
      </c>
      <c r="DI256">
        <f t="shared" si="101"/>
        <v>0</v>
      </c>
      <c r="DJ256">
        <f>DG256</f>
        <v>2816.07</v>
      </c>
      <c r="DK256">
        <v>0</v>
      </c>
      <c r="DL256" t="s">
        <v>507</v>
      </c>
      <c r="DM256">
        <v>0</v>
      </c>
      <c r="DN256" t="s">
        <v>502</v>
      </c>
      <c r="DO256">
        <v>12.62</v>
      </c>
    </row>
    <row r="257" spans="1:119" x14ac:dyDescent="0.2">
      <c r="A257">
        <f>ROW(Source!A358)</f>
        <v>358</v>
      </c>
      <c r="B257">
        <v>56959431</v>
      </c>
      <c r="C257">
        <v>56960171</v>
      </c>
      <c r="D257">
        <v>56092414</v>
      </c>
      <c r="E257">
        <v>1</v>
      </c>
      <c r="F257">
        <v>1</v>
      </c>
      <c r="G257">
        <v>1080</v>
      </c>
      <c r="H257">
        <v>2</v>
      </c>
      <c r="I257" t="s">
        <v>602</v>
      </c>
      <c r="J257" t="s">
        <v>603</v>
      </c>
      <c r="K257" t="s">
        <v>604</v>
      </c>
      <c r="L257">
        <v>1368</v>
      </c>
      <c r="N257">
        <v>1011</v>
      </c>
      <c r="O257" t="s">
        <v>506</v>
      </c>
      <c r="P257" t="s">
        <v>506</v>
      </c>
      <c r="Q257">
        <v>1</v>
      </c>
      <c r="W257">
        <v>0</v>
      </c>
      <c r="X257">
        <v>-156805976</v>
      </c>
      <c r="Y257">
        <f>(AT257*1.1)</f>
        <v>0.50600000000000012</v>
      </c>
      <c r="AA257">
        <v>0</v>
      </c>
      <c r="AB257">
        <v>7.1</v>
      </c>
      <c r="AC257">
        <v>0</v>
      </c>
      <c r="AD257">
        <v>0</v>
      </c>
      <c r="AE257">
        <v>0</v>
      </c>
      <c r="AF257">
        <v>0.78</v>
      </c>
      <c r="AG257">
        <v>0</v>
      </c>
      <c r="AH257">
        <v>0</v>
      </c>
      <c r="AI257">
        <v>1</v>
      </c>
      <c r="AJ257">
        <v>8.69</v>
      </c>
      <c r="AK257">
        <v>54.99</v>
      </c>
      <c r="AL257">
        <v>1</v>
      </c>
      <c r="AM257">
        <v>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0.46</v>
      </c>
      <c r="AU257" t="s">
        <v>23</v>
      </c>
      <c r="AV257">
        <v>0</v>
      </c>
      <c r="AW257">
        <v>2</v>
      </c>
      <c r="AX257">
        <v>56961052</v>
      </c>
      <c r="AY257">
        <v>1</v>
      </c>
      <c r="AZ257">
        <v>0</v>
      </c>
      <c r="BA257">
        <v>306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ROUND(Y257*Source!I358*DO257,9)</f>
        <v>0</v>
      </c>
      <c r="CX257">
        <f>ROUND(Y257*Source!I358,9)</f>
        <v>31.878</v>
      </c>
      <c r="CY257">
        <f>AB257</f>
        <v>7.1</v>
      </c>
      <c r="CZ257">
        <f>AF257</f>
        <v>0.78</v>
      </c>
      <c r="DA257">
        <f>AJ257</f>
        <v>8.69</v>
      </c>
      <c r="DB257">
        <f>ROUND((ROUND(AT257*CZ257,2)*1.1),6)</f>
        <v>0.39600000000000002</v>
      </c>
      <c r="DC257">
        <f>ROUND((ROUND(AT257*AG257,2)*1.1),6)</f>
        <v>0</v>
      </c>
      <c r="DD257" t="s">
        <v>3</v>
      </c>
      <c r="DE257" t="s">
        <v>3</v>
      </c>
      <c r="DF257">
        <f t="shared" si="133"/>
        <v>0</v>
      </c>
      <c r="DG257">
        <f>ROUND(ROUND(AF257*AJ257,2)*CX257,2)</f>
        <v>216.13</v>
      </c>
      <c r="DH257">
        <f>ROUND(ROUND(AG257*AK257,2)*CX257,2)</f>
        <v>0</v>
      </c>
      <c r="DI257">
        <f t="shared" ref="DI257:DI320" si="141">ROUND(ROUND(AH257,2)*CX257,2)</f>
        <v>0</v>
      </c>
      <c r="DJ257">
        <f>DG257</f>
        <v>216.13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ROW(Source!A358)</f>
        <v>358</v>
      </c>
      <c r="B258">
        <v>56959431</v>
      </c>
      <c r="C258">
        <v>56960171</v>
      </c>
      <c r="D258">
        <v>56061640</v>
      </c>
      <c r="E258">
        <v>1</v>
      </c>
      <c r="F258">
        <v>1</v>
      </c>
      <c r="G258">
        <v>1080</v>
      </c>
      <c r="H258">
        <v>3</v>
      </c>
      <c r="I258" t="s">
        <v>605</v>
      </c>
      <c r="J258" t="s">
        <v>606</v>
      </c>
      <c r="K258" t="s">
        <v>607</v>
      </c>
      <c r="L258">
        <v>1348</v>
      </c>
      <c r="N258">
        <v>1009</v>
      </c>
      <c r="O258" t="s">
        <v>291</v>
      </c>
      <c r="P258" t="s">
        <v>291</v>
      </c>
      <c r="Q258">
        <v>1000</v>
      </c>
      <c r="W258">
        <v>0</v>
      </c>
      <c r="X258">
        <v>-2039612599</v>
      </c>
      <c r="Y258">
        <f t="shared" ref="Y258:Y272" si="142">AT258</f>
        <v>1.21E-4</v>
      </c>
      <c r="AA258">
        <v>93559.38</v>
      </c>
      <c r="AB258">
        <v>0</v>
      </c>
      <c r="AC258">
        <v>0</v>
      </c>
      <c r="AD258">
        <v>0</v>
      </c>
      <c r="AE258">
        <v>7185.82</v>
      </c>
      <c r="AF258">
        <v>0</v>
      </c>
      <c r="AG258">
        <v>0</v>
      </c>
      <c r="AH258">
        <v>0</v>
      </c>
      <c r="AI258">
        <v>13.02</v>
      </c>
      <c r="AJ258">
        <v>1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1.21E-4</v>
      </c>
      <c r="AU258" t="s">
        <v>3</v>
      </c>
      <c r="AV258">
        <v>0</v>
      </c>
      <c r="AW258">
        <v>2</v>
      </c>
      <c r="AX258">
        <v>56961053</v>
      </c>
      <c r="AY258">
        <v>1</v>
      </c>
      <c r="AZ258">
        <v>0</v>
      </c>
      <c r="BA258">
        <v>307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ROUND(Y258*Source!I358,9)</f>
        <v>7.6229999999999996E-3</v>
      </c>
      <c r="CY258">
        <f t="shared" ref="CY258:CY264" si="143">AA258</f>
        <v>93559.38</v>
      </c>
      <c r="CZ258">
        <f t="shared" ref="CZ258:CZ264" si="144">AE258</f>
        <v>7185.82</v>
      </c>
      <c r="DA258">
        <f t="shared" ref="DA258:DA264" si="145">AI258</f>
        <v>13.02</v>
      </c>
      <c r="DB258">
        <f t="shared" ref="DB258:DB272" si="146">ROUND(ROUND(AT258*CZ258,2),6)</f>
        <v>0.87</v>
      </c>
      <c r="DC258">
        <f t="shared" ref="DC258:DC272" si="147">ROUND(ROUND(AT258*AG258,2),6)</f>
        <v>0</v>
      </c>
      <c r="DD258" t="s">
        <v>3</v>
      </c>
      <c r="DE258" t="s">
        <v>3</v>
      </c>
      <c r="DF258">
        <f t="shared" ref="DF258:DF264" si="148">ROUND(ROUND(AE258*AI258,2)*CX258,2)</f>
        <v>713.2</v>
      </c>
      <c r="DG258">
        <f t="shared" ref="DG258:DG295" si="149">ROUND(ROUND(AF258,2)*CX258,2)</f>
        <v>0</v>
      </c>
      <c r="DH258">
        <f t="shared" ref="DH258:DH295" si="150">ROUND(ROUND(AG258,2)*CX258,2)</f>
        <v>0</v>
      </c>
      <c r="DI258">
        <f t="shared" si="141"/>
        <v>0</v>
      </c>
      <c r="DJ258">
        <f t="shared" ref="DJ258:DJ264" si="151">DF258</f>
        <v>713.2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ROW(Source!A358)</f>
        <v>358</v>
      </c>
      <c r="B259">
        <v>56959431</v>
      </c>
      <c r="C259">
        <v>56960171</v>
      </c>
      <c r="D259">
        <v>56061649</v>
      </c>
      <c r="E259">
        <v>1</v>
      </c>
      <c r="F259">
        <v>1</v>
      </c>
      <c r="G259">
        <v>1080</v>
      </c>
      <c r="H259">
        <v>3</v>
      </c>
      <c r="I259" t="s">
        <v>608</v>
      </c>
      <c r="J259" t="s">
        <v>609</v>
      </c>
      <c r="K259" t="s">
        <v>610</v>
      </c>
      <c r="L259">
        <v>1346</v>
      </c>
      <c r="N259">
        <v>1009</v>
      </c>
      <c r="O259" t="s">
        <v>249</v>
      </c>
      <c r="P259" t="s">
        <v>249</v>
      </c>
      <c r="Q259">
        <v>1</v>
      </c>
      <c r="W259">
        <v>0</v>
      </c>
      <c r="X259">
        <v>1368649771</v>
      </c>
      <c r="Y259">
        <f t="shared" si="142"/>
        <v>2.3E-2</v>
      </c>
      <c r="AA259">
        <v>78.430000000000007</v>
      </c>
      <c r="AB259">
        <v>0</v>
      </c>
      <c r="AC259">
        <v>0</v>
      </c>
      <c r="AD259">
        <v>0</v>
      </c>
      <c r="AE259">
        <v>29.82</v>
      </c>
      <c r="AF259">
        <v>0</v>
      </c>
      <c r="AG259">
        <v>0</v>
      </c>
      <c r="AH259">
        <v>0</v>
      </c>
      <c r="AI259">
        <v>2.63</v>
      </c>
      <c r="AJ259">
        <v>1</v>
      </c>
      <c r="AK259">
        <v>1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2.3E-2</v>
      </c>
      <c r="AU259" t="s">
        <v>3</v>
      </c>
      <c r="AV259">
        <v>0</v>
      </c>
      <c r="AW259">
        <v>2</v>
      </c>
      <c r="AX259">
        <v>56961054</v>
      </c>
      <c r="AY259">
        <v>1</v>
      </c>
      <c r="AZ259">
        <v>0</v>
      </c>
      <c r="BA259">
        <v>308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ROUND(Y259*Source!I358,9)</f>
        <v>1.4490000000000001</v>
      </c>
      <c r="CY259">
        <f t="shared" si="143"/>
        <v>78.430000000000007</v>
      </c>
      <c r="CZ259">
        <f t="shared" si="144"/>
        <v>29.82</v>
      </c>
      <c r="DA259">
        <f t="shared" si="145"/>
        <v>2.63</v>
      </c>
      <c r="DB259">
        <f t="shared" si="146"/>
        <v>0.69</v>
      </c>
      <c r="DC259">
        <f t="shared" si="147"/>
        <v>0</v>
      </c>
      <c r="DD259" t="s">
        <v>3</v>
      </c>
      <c r="DE259" t="s">
        <v>3</v>
      </c>
      <c r="DF259">
        <f t="shared" si="148"/>
        <v>113.65</v>
      </c>
      <c r="DG259">
        <f t="shared" si="149"/>
        <v>0</v>
      </c>
      <c r="DH259">
        <f t="shared" si="150"/>
        <v>0</v>
      </c>
      <c r="DI259">
        <f t="shared" si="141"/>
        <v>0</v>
      </c>
      <c r="DJ259">
        <f t="shared" si="151"/>
        <v>113.65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ROW(Source!A358)</f>
        <v>358</v>
      </c>
      <c r="B260">
        <v>56959431</v>
      </c>
      <c r="C260">
        <v>56960171</v>
      </c>
      <c r="D260">
        <v>56060619</v>
      </c>
      <c r="E260">
        <v>1</v>
      </c>
      <c r="F260">
        <v>1</v>
      </c>
      <c r="G260">
        <v>1080</v>
      </c>
      <c r="H260">
        <v>3</v>
      </c>
      <c r="I260" t="s">
        <v>611</v>
      </c>
      <c r="J260" t="s">
        <v>612</v>
      </c>
      <c r="K260" t="s">
        <v>613</v>
      </c>
      <c r="L260">
        <v>1348</v>
      </c>
      <c r="N260">
        <v>1009</v>
      </c>
      <c r="O260" t="s">
        <v>291</v>
      </c>
      <c r="P260" t="s">
        <v>291</v>
      </c>
      <c r="Q260">
        <v>1000</v>
      </c>
      <c r="W260">
        <v>0</v>
      </c>
      <c r="X260">
        <v>2017980840</v>
      </c>
      <c r="Y260">
        <f t="shared" si="142"/>
        <v>1.8E-5</v>
      </c>
      <c r="AA260">
        <v>66964.52</v>
      </c>
      <c r="AB260">
        <v>0</v>
      </c>
      <c r="AC260">
        <v>0</v>
      </c>
      <c r="AD260">
        <v>0</v>
      </c>
      <c r="AE260">
        <v>18653.07</v>
      </c>
      <c r="AF260">
        <v>0</v>
      </c>
      <c r="AG260">
        <v>0</v>
      </c>
      <c r="AH260">
        <v>0</v>
      </c>
      <c r="AI260">
        <v>3.59</v>
      </c>
      <c r="AJ260">
        <v>1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1.8E-5</v>
      </c>
      <c r="AU260" t="s">
        <v>3</v>
      </c>
      <c r="AV260">
        <v>0</v>
      </c>
      <c r="AW260">
        <v>2</v>
      </c>
      <c r="AX260">
        <v>56961055</v>
      </c>
      <c r="AY260">
        <v>1</v>
      </c>
      <c r="AZ260">
        <v>0</v>
      </c>
      <c r="BA260">
        <v>309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ROUND(Y260*Source!I358,9)</f>
        <v>1.134E-3</v>
      </c>
      <c r="CY260">
        <f t="shared" si="143"/>
        <v>66964.52</v>
      </c>
      <c r="CZ260">
        <f t="shared" si="144"/>
        <v>18653.07</v>
      </c>
      <c r="DA260">
        <f t="shared" si="145"/>
        <v>3.59</v>
      </c>
      <c r="DB260">
        <f t="shared" si="146"/>
        <v>0.34</v>
      </c>
      <c r="DC260">
        <f t="shared" si="147"/>
        <v>0</v>
      </c>
      <c r="DD260" t="s">
        <v>3</v>
      </c>
      <c r="DE260" t="s">
        <v>3</v>
      </c>
      <c r="DF260">
        <f t="shared" si="148"/>
        <v>75.94</v>
      </c>
      <c r="DG260">
        <f t="shared" si="149"/>
        <v>0</v>
      </c>
      <c r="DH260">
        <f t="shared" si="150"/>
        <v>0</v>
      </c>
      <c r="DI260">
        <f t="shared" si="141"/>
        <v>0</v>
      </c>
      <c r="DJ260">
        <f t="shared" si="151"/>
        <v>75.94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ROW(Source!A358)</f>
        <v>358</v>
      </c>
      <c r="B261">
        <v>56959431</v>
      </c>
      <c r="C261">
        <v>56960171</v>
      </c>
      <c r="D261">
        <v>56062409</v>
      </c>
      <c r="E261">
        <v>1</v>
      </c>
      <c r="F261">
        <v>1</v>
      </c>
      <c r="G261">
        <v>1080</v>
      </c>
      <c r="H261">
        <v>3</v>
      </c>
      <c r="I261" t="s">
        <v>614</v>
      </c>
      <c r="J261" t="s">
        <v>615</v>
      </c>
      <c r="K261" t="s">
        <v>616</v>
      </c>
      <c r="L261">
        <v>1348</v>
      </c>
      <c r="N261">
        <v>1009</v>
      </c>
      <c r="O261" t="s">
        <v>291</v>
      </c>
      <c r="P261" t="s">
        <v>291</v>
      </c>
      <c r="Q261">
        <v>1000</v>
      </c>
      <c r="W261">
        <v>0</v>
      </c>
      <c r="X261">
        <v>1835689910</v>
      </c>
      <c r="Y261">
        <f t="shared" si="142"/>
        <v>2.3780000000000001E-4</v>
      </c>
      <c r="AA261">
        <v>121197.56</v>
      </c>
      <c r="AB261">
        <v>0</v>
      </c>
      <c r="AC261">
        <v>0</v>
      </c>
      <c r="AD261">
        <v>0</v>
      </c>
      <c r="AE261">
        <v>11487.92</v>
      </c>
      <c r="AF261">
        <v>0</v>
      </c>
      <c r="AG261">
        <v>0</v>
      </c>
      <c r="AH261">
        <v>0</v>
      </c>
      <c r="AI261">
        <v>10.55</v>
      </c>
      <c r="AJ261">
        <v>1</v>
      </c>
      <c r="AK261">
        <v>1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2.3780000000000001E-4</v>
      </c>
      <c r="AU261" t="s">
        <v>3</v>
      </c>
      <c r="AV261">
        <v>0</v>
      </c>
      <c r="AW261">
        <v>2</v>
      </c>
      <c r="AX261">
        <v>56961056</v>
      </c>
      <c r="AY261">
        <v>1</v>
      </c>
      <c r="AZ261">
        <v>0</v>
      </c>
      <c r="BA261">
        <v>310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ROUND(Y261*Source!I358,9)</f>
        <v>1.4981400000000001E-2</v>
      </c>
      <c r="CY261">
        <f t="shared" si="143"/>
        <v>121197.56</v>
      </c>
      <c r="CZ261">
        <f t="shared" si="144"/>
        <v>11487.92</v>
      </c>
      <c r="DA261">
        <f t="shared" si="145"/>
        <v>10.55</v>
      </c>
      <c r="DB261">
        <f t="shared" si="146"/>
        <v>2.73</v>
      </c>
      <c r="DC261">
        <f t="shared" si="147"/>
        <v>0</v>
      </c>
      <c r="DD261" t="s">
        <v>3</v>
      </c>
      <c r="DE261" t="s">
        <v>3</v>
      </c>
      <c r="DF261">
        <f t="shared" si="148"/>
        <v>1815.71</v>
      </c>
      <c r="DG261">
        <f t="shared" si="149"/>
        <v>0</v>
      </c>
      <c r="DH261">
        <f t="shared" si="150"/>
        <v>0</v>
      </c>
      <c r="DI261">
        <f t="shared" si="141"/>
        <v>0</v>
      </c>
      <c r="DJ261">
        <f t="shared" si="151"/>
        <v>1815.71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ROW(Source!A358)</f>
        <v>358</v>
      </c>
      <c r="B262">
        <v>56959431</v>
      </c>
      <c r="C262">
        <v>56960171</v>
      </c>
      <c r="D262">
        <v>56062973</v>
      </c>
      <c r="E262">
        <v>1</v>
      </c>
      <c r="F262">
        <v>1</v>
      </c>
      <c r="G262">
        <v>1080</v>
      </c>
      <c r="H262">
        <v>3</v>
      </c>
      <c r="I262" t="s">
        <v>617</v>
      </c>
      <c r="J262" t="s">
        <v>618</v>
      </c>
      <c r="K262" t="s">
        <v>619</v>
      </c>
      <c r="L262">
        <v>1348</v>
      </c>
      <c r="N262">
        <v>1009</v>
      </c>
      <c r="O262" t="s">
        <v>291</v>
      </c>
      <c r="P262" t="s">
        <v>291</v>
      </c>
      <c r="Q262">
        <v>1000</v>
      </c>
      <c r="W262">
        <v>0</v>
      </c>
      <c r="X262">
        <v>2135033779</v>
      </c>
      <c r="Y262">
        <f t="shared" si="142"/>
        <v>7.0000000000000001E-3</v>
      </c>
      <c r="AA262">
        <v>58515.360000000001</v>
      </c>
      <c r="AB262">
        <v>0</v>
      </c>
      <c r="AC262">
        <v>0</v>
      </c>
      <c r="AD262">
        <v>0</v>
      </c>
      <c r="AE262">
        <v>12089.95</v>
      </c>
      <c r="AF262">
        <v>0</v>
      </c>
      <c r="AG262">
        <v>0</v>
      </c>
      <c r="AH262">
        <v>0</v>
      </c>
      <c r="AI262">
        <v>4.84</v>
      </c>
      <c r="AJ262">
        <v>1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7.0000000000000001E-3</v>
      </c>
      <c r="AU262" t="s">
        <v>3</v>
      </c>
      <c r="AV262">
        <v>0</v>
      </c>
      <c r="AW262">
        <v>2</v>
      </c>
      <c r="AX262">
        <v>56961057</v>
      </c>
      <c r="AY262">
        <v>1</v>
      </c>
      <c r="AZ262">
        <v>0</v>
      </c>
      <c r="BA262">
        <v>311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ROUND(Y262*Source!I358,9)</f>
        <v>0.441</v>
      </c>
      <c r="CY262">
        <f t="shared" si="143"/>
        <v>58515.360000000001</v>
      </c>
      <c r="CZ262">
        <f t="shared" si="144"/>
        <v>12089.95</v>
      </c>
      <c r="DA262">
        <f t="shared" si="145"/>
        <v>4.84</v>
      </c>
      <c r="DB262">
        <f t="shared" si="146"/>
        <v>84.63</v>
      </c>
      <c r="DC262">
        <f t="shared" si="147"/>
        <v>0</v>
      </c>
      <c r="DD262" t="s">
        <v>3</v>
      </c>
      <c r="DE262" t="s">
        <v>3</v>
      </c>
      <c r="DF262">
        <f t="shared" si="148"/>
        <v>25805.27</v>
      </c>
      <c r="DG262">
        <f t="shared" si="149"/>
        <v>0</v>
      </c>
      <c r="DH262">
        <f t="shared" si="150"/>
        <v>0</v>
      </c>
      <c r="DI262">
        <f t="shared" si="141"/>
        <v>0</v>
      </c>
      <c r="DJ262">
        <f t="shared" si="151"/>
        <v>25805.27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ROW(Source!A358)</f>
        <v>358</v>
      </c>
      <c r="B263">
        <v>56959431</v>
      </c>
      <c r="C263">
        <v>56960171</v>
      </c>
      <c r="D263">
        <v>56061171</v>
      </c>
      <c r="E263">
        <v>1</v>
      </c>
      <c r="F263">
        <v>1</v>
      </c>
      <c r="G263">
        <v>1080</v>
      </c>
      <c r="H263">
        <v>3</v>
      </c>
      <c r="I263" t="s">
        <v>620</v>
      </c>
      <c r="J263" t="s">
        <v>621</v>
      </c>
      <c r="K263" t="s">
        <v>622</v>
      </c>
      <c r="L263">
        <v>1348</v>
      </c>
      <c r="N263">
        <v>1009</v>
      </c>
      <c r="O263" t="s">
        <v>291</v>
      </c>
      <c r="P263" t="s">
        <v>291</v>
      </c>
      <c r="Q263">
        <v>1000</v>
      </c>
      <c r="W263">
        <v>0</v>
      </c>
      <c r="X263">
        <v>432853124</v>
      </c>
      <c r="Y263">
        <f t="shared" si="142"/>
        <v>1.0000000000000001E-5</v>
      </c>
      <c r="AA263">
        <v>134057.4</v>
      </c>
      <c r="AB263">
        <v>0</v>
      </c>
      <c r="AC263">
        <v>0</v>
      </c>
      <c r="AD263">
        <v>0</v>
      </c>
      <c r="AE263">
        <v>8582.42</v>
      </c>
      <c r="AF263">
        <v>0</v>
      </c>
      <c r="AG263">
        <v>0</v>
      </c>
      <c r="AH263">
        <v>0</v>
      </c>
      <c r="AI263">
        <v>15.62</v>
      </c>
      <c r="AJ263">
        <v>1</v>
      </c>
      <c r="AK263">
        <v>1</v>
      </c>
      <c r="AL263">
        <v>1</v>
      </c>
      <c r="AM263">
        <v>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1.0000000000000001E-5</v>
      </c>
      <c r="AU263" t="s">
        <v>3</v>
      </c>
      <c r="AV263">
        <v>0</v>
      </c>
      <c r="AW263">
        <v>2</v>
      </c>
      <c r="AX263">
        <v>56961058</v>
      </c>
      <c r="AY263">
        <v>1</v>
      </c>
      <c r="AZ263">
        <v>0</v>
      </c>
      <c r="BA263">
        <v>312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ROUND(Y263*Source!I358,9)</f>
        <v>6.3000000000000003E-4</v>
      </c>
      <c r="CY263">
        <f t="shared" si="143"/>
        <v>134057.4</v>
      </c>
      <c r="CZ263">
        <f t="shared" si="144"/>
        <v>8582.42</v>
      </c>
      <c r="DA263">
        <f t="shared" si="145"/>
        <v>15.62</v>
      </c>
      <c r="DB263">
        <f t="shared" si="146"/>
        <v>0.09</v>
      </c>
      <c r="DC263">
        <f t="shared" si="147"/>
        <v>0</v>
      </c>
      <c r="DD263" t="s">
        <v>3</v>
      </c>
      <c r="DE263" t="s">
        <v>3</v>
      </c>
      <c r="DF263">
        <f t="shared" si="148"/>
        <v>84.46</v>
      </c>
      <c r="DG263">
        <f t="shared" si="149"/>
        <v>0</v>
      </c>
      <c r="DH263">
        <f t="shared" si="150"/>
        <v>0</v>
      </c>
      <c r="DI263">
        <f t="shared" si="141"/>
        <v>0</v>
      </c>
      <c r="DJ263">
        <f t="shared" si="151"/>
        <v>84.46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ROW(Source!A358)</f>
        <v>358</v>
      </c>
      <c r="B264">
        <v>56959431</v>
      </c>
      <c r="C264">
        <v>56960171</v>
      </c>
      <c r="D264">
        <v>56061175</v>
      </c>
      <c r="E264">
        <v>1</v>
      </c>
      <c r="F264">
        <v>1</v>
      </c>
      <c r="G264">
        <v>1080</v>
      </c>
      <c r="H264">
        <v>3</v>
      </c>
      <c r="I264" t="s">
        <v>623</v>
      </c>
      <c r="J264" t="s">
        <v>624</v>
      </c>
      <c r="K264" t="s">
        <v>625</v>
      </c>
      <c r="L264">
        <v>1348</v>
      </c>
      <c r="N264">
        <v>1009</v>
      </c>
      <c r="O264" t="s">
        <v>291</v>
      </c>
      <c r="P264" t="s">
        <v>291</v>
      </c>
      <c r="Q264">
        <v>1000</v>
      </c>
      <c r="W264">
        <v>0</v>
      </c>
      <c r="X264">
        <v>1850032922</v>
      </c>
      <c r="Y264">
        <f t="shared" si="142"/>
        <v>1.9999999999999999E-6</v>
      </c>
      <c r="AA264">
        <v>56975.05</v>
      </c>
      <c r="AB264">
        <v>0</v>
      </c>
      <c r="AC264">
        <v>0</v>
      </c>
      <c r="AD264">
        <v>0</v>
      </c>
      <c r="AE264">
        <v>12521.99</v>
      </c>
      <c r="AF264">
        <v>0</v>
      </c>
      <c r="AG264">
        <v>0</v>
      </c>
      <c r="AH264">
        <v>0</v>
      </c>
      <c r="AI264">
        <v>4.55</v>
      </c>
      <c r="AJ264">
        <v>1</v>
      </c>
      <c r="AK264">
        <v>1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1.9999999999999999E-6</v>
      </c>
      <c r="AU264" t="s">
        <v>3</v>
      </c>
      <c r="AV264">
        <v>0</v>
      </c>
      <c r="AW264">
        <v>2</v>
      </c>
      <c r="AX264">
        <v>56961059</v>
      </c>
      <c r="AY264">
        <v>1</v>
      </c>
      <c r="AZ264">
        <v>0</v>
      </c>
      <c r="BA264">
        <v>313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ROUND(Y264*Source!I358,9)</f>
        <v>1.26E-4</v>
      </c>
      <c r="CY264">
        <f t="shared" si="143"/>
        <v>56975.05</v>
      </c>
      <c r="CZ264">
        <f t="shared" si="144"/>
        <v>12521.99</v>
      </c>
      <c r="DA264">
        <f t="shared" si="145"/>
        <v>4.55</v>
      </c>
      <c r="DB264">
        <f t="shared" si="146"/>
        <v>0.03</v>
      </c>
      <c r="DC264">
        <f t="shared" si="147"/>
        <v>0</v>
      </c>
      <c r="DD264" t="s">
        <v>3</v>
      </c>
      <c r="DE264" t="s">
        <v>3</v>
      </c>
      <c r="DF264">
        <f t="shared" si="148"/>
        <v>7.18</v>
      </c>
      <c r="DG264">
        <f t="shared" si="149"/>
        <v>0</v>
      </c>
      <c r="DH264">
        <f t="shared" si="150"/>
        <v>0</v>
      </c>
      <c r="DI264">
        <f t="shared" si="141"/>
        <v>0</v>
      </c>
      <c r="DJ264">
        <f t="shared" si="151"/>
        <v>7.18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ROW(Source!A359)</f>
        <v>359</v>
      </c>
      <c r="B265">
        <v>56959434</v>
      </c>
      <c r="C265">
        <v>56960195</v>
      </c>
      <c r="D265">
        <v>56018166</v>
      </c>
      <c r="E265">
        <v>1080</v>
      </c>
      <c r="F265">
        <v>1</v>
      </c>
      <c r="G265">
        <v>1080</v>
      </c>
      <c r="H265">
        <v>1</v>
      </c>
      <c r="I265" t="s">
        <v>500</v>
      </c>
      <c r="J265" t="s">
        <v>3</v>
      </c>
      <c r="K265" t="s">
        <v>501</v>
      </c>
      <c r="L265">
        <v>1191</v>
      </c>
      <c r="N265">
        <v>1013</v>
      </c>
      <c r="O265" t="s">
        <v>502</v>
      </c>
      <c r="P265" t="s">
        <v>502</v>
      </c>
      <c r="Q265">
        <v>1</v>
      </c>
      <c r="W265">
        <v>0</v>
      </c>
      <c r="X265">
        <v>476480486</v>
      </c>
      <c r="Y265">
        <f t="shared" si="142"/>
        <v>2.65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2.65</v>
      </c>
      <c r="AU265" t="s">
        <v>3</v>
      </c>
      <c r="AV265">
        <v>1</v>
      </c>
      <c r="AW265">
        <v>2</v>
      </c>
      <c r="AX265">
        <v>56961061</v>
      </c>
      <c r="AY265">
        <v>1</v>
      </c>
      <c r="AZ265">
        <v>0</v>
      </c>
      <c r="BA265">
        <v>315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U265">
        <f>ROUND(AT265*Source!I359*AH265*AL265,2)</f>
        <v>0</v>
      </c>
      <c r="CV265">
        <f>ROUND(Y265*Source!I359,9)</f>
        <v>0</v>
      </c>
      <c r="CW265">
        <v>0</v>
      </c>
      <c r="CX265">
        <f>ROUND(Y265*Source!I359,9)</f>
        <v>0</v>
      </c>
      <c r="CY265">
        <f>AD265</f>
        <v>0</v>
      </c>
      <c r="CZ265">
        <f>AH265</f>
        <v>0</v>
      </c>
      <c r="DA265">
        <f>AL265</f>
        <v>1</v>
      </c>
      <c r="DB265">
        <f t="shared" si="146"/>
        <v>0</v>
      </c>
      <c r="DC265">
        <f t="shared" si="147"/>
        <v>0</v>
      </c>
      <c r="DD265" t="s">
        <v>3</v>
      </c>
      <c r="DE265" t="s">
        <v>3</v>
      </c>
      <c r="DF265">
        <f>ROUND(ROUND(AE265,2)*CX265,2)</f>
        <v>0</v>
      </c>
      <c r="DG265">
        <f t="shared" si="149"/>
        <v>0</v>
      </c>
      <c r="DH265">
        <f t="shared" si="150"/>
        <v>0</v>
      </c>
      <c r="DI265">
        <f t="shared" si="141"/>
        <v>0</v>
      </c>
      <c r="DJ265">
        <f>DI265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ROW(Source!A359)</f>
        <v>359</v>
      </c>
      <c r="B266">
        <v>56959434</v>
      </c>
      <c r="C266">
        <v>56960195</v>
      </c>
      <c r="D266">
        <v>56062414</v>
      </c>
      <c r="E266">
        <v>1</v>
      </c>
      <c r="F266">
        <v>1</v>
      </c>
      <c r="G266">
        <v>1080</v>
      </c>
      <c r="H266">
        <v>3</v>
      </c>
      <c r="I266" t="s">
        <v>563</v>
      </c>
      <c r="J266" t="s">
        <v>564</v>
      </c>
      <c r="K266" t="s">
        <v>565</v>
      </c>
      <c r="L266">
        <v>1346</v>
      </c>
      <c r="N266">
        <v>1009</v>
      </c>
      <c r="O266" t="s">
        <v>249</v>
      </c>
      <c r="P266" t="s">
        <v>249</v>
      </c>
      <c r="Q266">
        <v>1</v>
      </c>
      <c r="W266">
        <v>0</v>
      </c>
      <c r="X266">
        <v>1225168167</v>
      </c>
      <c r="Y266">
        <f t="shared" si="142"/>
        <v>6.2700000000000004E-3</v>
      </c>
      <c r="AA266">
        <v>27.62</v>
      </c>
      <c r="AB266">
        <v>0</v>
      </c>
      <c r="AC266">
        <v>0</v>
      </c>
      <c r="AD266">
        <v>0</v>
      </c>
      <c r="AE266">
        <v>27.62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-2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6.2700000000000004E-3</v>
      </c>
      <c r="AU266" t="s">
        <v>3</v>
      </c>
      <c r="AV266">
        <v>0</v>
      </c>
      <c r="AW266">
        <v>2</v>
      </c>
      <c r="AX266">
        <v>56961062</v>
      </c>
      <c r="AY266">
        <v>1</v>
      </c>
      <c r="AZ266">
        <v>0</v>
      </c>
      <c r="BA266">
        <v>316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ROUND(Y266*Source!I359,9)</f>
        <v>0</v>
      </c>
      <c r="CY266">
        <f>AA266</f>
        <v>27.62</v>
      </c>
      <c r="CZ266">
        <f>AE266</f>
        <v>27.62</v>
      </c>
      <c r="DA266">
        <f>AI266</f>
        <v>1</v>
      </c>
      <c r="DB266">
        <f t="shared" si="146"/>
        <v>0.17</v>
      </c>
      <c r="DC266">
        <f t="shared" si="147"/>
        <v>0</v>
      </c>
      <c r="DD266" t="s">
        <v>3</v>
      </c>
      <c r="DE266" t="s">
        <v>3</v>
      </c>
      <c r="DF266">
        <f>ROUND(ROUND(AE266,2)*CX266,2)</f>
        <v>0</v>
      </c>
      <c r="DG266">
        <f t="shared" si="149"/>
        <v>0</v>
      </c>
      <c r="DH266">
        <f t="shared" si="150"/>
        <v>0</v>
      </c>
      <c r="DI266">
        <f t="shared" si="141"/>
        <v>0</v>
      </c>
      <c r="DJ266">
        <f>DF266</f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ROW(Source!A359)</f>
        <v>359</v>
      </c>
      <c r="B267">
        <v>56959434</v>
      </c>
      <c r="C267">
        <v>56960195</v>
      </c>
      <c r="D267">
        <v>56061133</v>
      </c>
      <c r="E267">
        <v>1</v>
      </c>
      <c r="F267">
        <v>1</v>
      </c>
      <c r="G267">
        <v>1080</v>
      </c>
      <c r="H267">
        <v>3</v>
      </c>
      <c r="I267" t="s">
        <v>566</v>
      </c>
      <c r="J267" t="s">
        <v>567</v>
      </c>
      <c r="K267" t="s">
        <v>568</v>
      </c>
      <c r="L267">
        <v>1348</v>
      </c>
      <c r="N267">
        <v>1009</v>
      </c>
      <c r="O267" t="s">
        <v>291</v>
      </c>
      <c r="P267" t="s">
        <v>291</v>
      </c>
      <c r="Q267">
        <v>1000</v>
      </c>
      <c r="W267">
        <v>0</v>
      </c>
      <c r="X267">
        <v>-1945031955</v>
      </c>
      <c r="Y267">
        <f t="shared" si="142"/>
        <v>1.0000000000000001E-5</v>
      </c>
      <c r="AA267">
        <v>64123.05</v>
      </c>
      <c r="AB267">
        <v>0</v>
      </c>
      <c r="AC267">
        <v>0</v>
      </c>
      <c r="AD267">
        <v>0</v>
      </c>
      <c r="AE267">
        <v>64123.05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1.0000000000000001E-5</v>
      </c>
      <c r="AU267" t="s">
        <v>3</v>
      </c>
      <c r="AV267">
        <v>0</v>
      </c>
      <c r="AW267">
        <v>2</v>
      </c>
      <c r="AX267">
        <v>56961063</v>
      </c>
      <c r="AY267">
        <v>1</v>
      </c>
      <c r="AZ267">
        <v>0</v>
      </c>
      <c r="BA267">
        <v>317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ROUND(Y267*Source!I359,9)</f>
        <v>0</v>
      </c>
      <c r="CY267">
        <f>AA267</f>
        <v>64123.05</v>
      </c>
      <c r="CZ267">
        <f>AE267</f>
        <v>64123.05</v>
      </c>
      <c r="DA267">
        <f>AI267</f>
        <v>1</v>
      </c>
      <c r="DB267">
        <f t="shared" si="146"/>
        <v>0.64</v>
      </c>
      <c r="DC267">
        <f t="shared" si="147"/>
        <v>0</v>
      </c>
      <c r="DD267" t="s">
        <v>3</v>
      </c>
      <c r="DE267" t="s">
        <v>3</v>
      </c>
      <c r="DF267">
        <f>ROUND(ROUND(AE267,2)*CX267,2)</f>
        <v>0</v>
      </c>
      <c r="DG267">
        <f t="shared" si="149"/>
        <v>0</v>
      </c>
      <c r="DH267">
        <f t="shared" si="150"/>
        <v>0</v>
      </c>
      <c r="DI267">
        <f t="shared" si="141"/>
        <v>0</v>
      </c>
      <c r="DJ267">
        <f>DF267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ROW(Source!A359)</f>
        <v>359</v>
      </c>
      <c r="B268">
        <v>56959434</v>
      </c>
      <c r="C268">
        <v>56960195</v>
      </c>
      <c r="D268">
        <v>56071025</v>
      </c>
      <c r="E268">
        <v>1</v>
      </c>
      <c r="F268">
        <v>1</v>
      </c>
      <c r="G268">
        <v>1080</v>
      </c>
      <c r="H268">
        <v>3</v>
      </c>
      <c r="I268" t="s">
        <v>569</v>
      </c>
      <c r="J268" t="s">
        <v>570</v>
      </c>
      <c r="K268" t="s">
        <v>571</v>
      </c>
      <c r="L268">
        <v>1354</v>
      </c>
      <c r="N268">
        <v>1010</v>
      </c>
      <c r="O268" t="s">
        <v>31</v>
      </c>
      <c r="P268" t="s">
        <v>31</v>
      </c>
      <c r="Q268">
        <v>1</v>
      </c>
      <c r="W268">
        <v>0</v>
      </c>
      <c r="X268">
        <v>314181591</v>
      </c>
      <c r="Y268">
        <f t="shared" si="142"/>
        <v>0.1</v>
      </c>
      <c r="AA268">
        <v>15.25</v>
      </c>
      <c r="AB268">
        <v>0</v>
      </c>
      <c r="AC268">
        <v>0</v>
      </c>
      <c r="AD268">
        <v>0</v>
      </c>
      <c r="AE268">
        <v>15.25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0.1</v>
      </c>
      <c r="AU268" t="s">
        <v>3</v>
      </c>
      <c r="AV268">
        <v>0</v>
      </c>
      <c r="AW268">
        <v>2</v>
      </c>
      <c r="AX268">
        <v>56961064</v>
      </c>
      <c r="AY268">
        <v>1</v>
      </c>
      <c r="AZ268">
        <v>0</v>
      </c>
      <c r="BA268">
        <v>318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ROUND(Y268*Source!I359,9)</f>
        <v>0</v>
      </c>
      <c r="CY268">
        <f>AA268</f>
        <v>15.25</v>
      </c>
      <c r="CZ268">
        <f>AE268</f>
        <v>15.25</v>
      </c>
      <c r="DA268">
        <f>AI268</f>
        <v>1</v>
      </c>
      <c r="DB268">
        <f t="shared" si="146"/>
        <v>1.53</v>
      </c>
      <c r="DC268">
        <f t="shared" si="147"/>
        <v>0</v>
      </c>
      <c r="DD268" t="s">
        <v>3</v>
      </c>
      <c r="DE268" t="s">
        <v>3</v>
      </c>
      <c r="DF268">
        <f>ROUND(ROUND(AE268,2)*CX268,2)</f>
        <v>0</v>
      </c>
      <c r="DG268">
        <f t="shared" si="149"/>
        <v>0</v>
      </c>
      <c r="DH268">
        <f t="shared" si="150"/>
        <v>0</v>
      </c>
      <c r="DI268">
        <f t="shared" si="141"/>
        <v>0</v>
      </c>
      <c r="DJ268">
        <f>DF268</f>
        <v>0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ROW(Source!A360)</f>
        <v>360</v>
      </c>
      <c r="B269">
        <v>56959431</v>
      </c>
      <c r="C269">
        <v>56960195</v>
      </c>
      <c r="D269">
        <v>56018166</v>
      </c>
      <c r="E269">
        <v>1080</v>
      </c>
      <c r="F269">
        <v>1</v>
      </c>
      <c r="G269">
        <v>1080</v>
      </c>
      <c r="H269">
        <v>1</v>
      </c>
      <c r="I269" t="s">
        <v>500</v>
      </c>
      <c r="J269" t="s">
        <v>3</v>
      </c>
      <c r="K269" t="s">
        <v>501</v>
      </c>
      <c r="L269">
        <v>1191</v>
      </c>
      <c r="N269">
        <v>1013</v>
      </c>
      <c r="O269" t="s">
        <v>502</v>
      </c>
      <c r="P269" t="s">
        <v>502</v>
      </c>
      <c r="Q269">
        <v>1</v>
      </c>
      <c r="W269">
        <v>0</v>
      </c>
      <c r="X269">
        <v>476480486</v>
      </c>
      <c r="Y269">
        <f t="shared" si="142"/>
        <v>2.65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5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2.65</v>
      </c>
      <c r="AU269" t="s">
        <v>3</v>
      </c>
      <c r="AV269">
        <v>1</v>
      </c>
      <c r="AW269">
        <v>2</v>
      </c>
      <c r="AX269">
        <v>56961061</v>
      </c>
      <c r="AY269">
        <v>1</v>
      </c>
      <c r="AZ269">
        <v>0</v>
      </c>
      <c r="BA269">
        <v>320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U269">
        <f>ROUND(AT269*Source!I360*AH269*AL269,2)</f>
        <v>0</v>
      </c>
      <c r="CV269">
        <f>ROUND(Y269*Source!I360,9)</f>
        <v>0</v>
      </c>
      <c r="CW269">
        <v>0</v>
      </c>
      <c r="CX269">
        <f>ROUND(Y269*Source!I360,9)</f>
        <v>0</v>
      </c>
      <c r="CY269">
        <f>AD269</f>
        <v>0</v>
      </c>
      <c r="CZ269">
        <f>AH269</f>
        <v>0</v>
      </c>
      <c r="DA269">
        <f>AL269</f>
        <v>1</v>
      </c>
      <c r="DB269">
        <f t="shared" si="146"/>
        <v>0</v>
      </c>
      <c r="DC269">
        <f t="shared" si="147"/>
        <v>0</v>
      </c>
      <c r="DD269" t="s">
        <v>3</v>
      </c>
      <c r="DE269" t="s">
        <v>3</v>
      </c>
      <c r="DF269">
        <f>ROUND(ROUND(AE269,2)*CX269,2)</f>
        <v>0</v>
      </c>
      <c r="DG269">
        <f t="shared" si="149"/>
        <v>0</v>
      </c>
      <c r="DH269">
        <f t="shared" si="150"/>
        <v>0</v>
      </c>
      <c r="DI269">
        <f t="shared" si="141"/>
        <v>0</v>
      </c>
      <c r="DJ269">
        <f>DI269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ROW(Source!A360)</f>
        <v>360</v>
      </c>
      <c r="B270">
        <v>56959431</v>
      </c>
      <c r="C270">
        <v>56960195</v>
      </c>
      <c r="D270">
        <v>56062414</v>
      </c>
      <c r="E270">
        <v>1</v>
      </c>
      <c r="F270">
        <v>1</v>
      </c>
      <c r="G270">
        <v>1080</v>
      </c>
      <c r="H270">
        <v>3</v>
      </c>
      <c r="I270" t="s">
        <v>563</v>
      </c>
      <c r="J270" t="s">
        <v>564</v>
      </c>
      <c r="K270" t="s">
        <v>565</v>
      </c>
      <c r="L270">
        <v>1346</v>
      </c>
      <c r="N270">
        <v>1009</v>
      </c>
      <c r="O270" t="s">
        <v>249</v>
      </c>
      <c r="P270" t="s">
        <v>249</v>
      </c>
      <c r="Q270">
        <v>1</v>
      </c>
      <c r="W270">
        <v>0</v>
      </c>
      <c r="X270">
        <v>1225168167</v>
      </c>
      <c r="Y270">
        <f t="shared" si="142"/>
        <v>6.2700000000000004E-3</v>
      </c>
      <c r="AA270">
        <v>172.35</v>
      </c>
      <c r="AB270">
        <v>0</v>
      </c>
      <c r="AC270">
        <v>0</v>
      </c>
      <c r="AD270">
        <v>0</v>
      </c>
      <c r="AE270">
        <v>27.62</v>
      </c>
      <c r="AF270">
        <v>0</v>
      </c>
      <c r="AG270">
        <v>0</v>
      </c>
      <c r="AH270">
        <v>0</v>
      </c>
      <c r="AI270">
        <v>6.24</v>
      </c>
      <c r="AJ270">
        <v>1</v>
      </c>
      <c r="AK270">
        <v>1</v>
      </c>
      <c r="AL270">
        <v>1</v>
      </c>
      <c r="AM270">
        <v>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6.2700000000000004E-3</v>
      </c>
      <c r="AU270" t="s">
        <v>3</v>
      </c>
      <c r="AV270">
        <v>0</v>
      </c>
      <c r="AW270">
        <v>2</v>
      </c>
      <c r="AX270">
        <v>56961062</v>
      </c>
      <c r="AY270">
        <v>1</v>
      </c>
      <c r="AZ270">
        <v>0</v>
      </c>
      <c r="BA270">
        <v>321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ROUND(Y270*Source!I360,9)</f>
        <v>0</v>
      </c>
      <c r="CY270">
        <f>AA270</f>
        <v>172.35</v>
      </c>
      <c r="CZ270">
        <f>AE270</f>
        <v>27.62</v>
      </c>
      <c r="DA270">
        <f>AI270</f>
        <v>6.24</v>
      </c>
      <c r="DB270">
        <f t="shared" si="146"/>
        <v>0.17</v>
      </c>
      <c r="DC270">
        <f t="shared" si="147"/>
        <v>0</v>
      </c>
      <c r="DD270" t="s">
        <v>3</v>
      </c>
      <c r="DE270" t="s">
        <v>3</v>
      </c>
      <c r="DF270">
        <f>ROUND(ROUND(AE270*AI270,2)*CX270,2)</f>
        <v>0</v>
      </c>
      <c r="DG270">
        <f t="shared" si="149"/>
        <v>0</v>
      </c>
      <c r="DH270">
        <f t="shared" si="150"/>
        <v>0</v>
      </c>
      <c r="DI270">
        <f t="shared" si="141"/>
        <v>0</v>
      </c>
      <c r="DJ270">
        <f>DF270</f>
        <v>0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ROW(Source!A360)</f>
        <v>360</v>
      </c>
      <c r="B271">
        <v>56959431</v>
      </c>
      <c r="C271">
        <v>56960195</v>
      </c>
      <c r="D271">
        <v>56061133</v>
      </c>
      <c r="E271">
        <v>1</v>
      </c>
      <c r="F271">
        <v>1</v>
      </c>
      <c r="G271">
        <v>1080</v>
      </c>
      <c r="H271">
        <v>3</v>
      </c>
      <c r="I271" t="s">
        <v>566</v>
      </c>
      <c r="J271" t="s">
        <v>567</v>
      </c>
      <c r="K271" t="s">
        <v>568</v>
      </c>
      <c r="L271">
        <v>1348</v>
      </c>
      <c r="N271">
        <v>1009</v>
      </c>
      <c r="O271" t="s">
        <v>291</v>
      </c>
      <c r="P271" t="s">
        <v>291</v>
      </c>
      <c r="Q271">
        <v>1000</v>
      </c>
      <c r="W271">
        <v>0</v>
      </c>
      <c r="X271">
        <v>-1945031955</v>
      </c>
      <c r="Y271">
        <f t="shared" si="142"/>
        <v>1.0000000000000001E-5</v>
      </c>
      <c r="AA271">
        <v>1930103.81</v>
      </c>
      <c r="AB271">
        <v>0</v>
      </c>
      <c r="AC271">
        <v>0</v>
      </c>
      <c r="AD271">
        <v>0</v>
      </c>
      <c r="AE271">
        <v>64123.05</v>
      </c>
      <c r="AF271">
        <v>0</v>
      </c>
      <c r="AG271">
        <v>0</v>
      </c>
      <c r="AH271">
        <v>0</v>
      </c>
      <c r="AI271">
        <v>30.1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1.0000000000000001E-5</v>
      </c>
      <c r="AU271" t="s">
        <v>3</v>
      </c>
      <c r="AV271">
        <v>0</v>
      </c>
      <c r="AW271">
        <v>2</v>
      </c>
      <c r="AX271">
        <v>56961063</v>
      </c>
      <c r="AY271">
        <v>1</v>
      </c>
      <c r="AZ271">
        <v>0</v>
      </c>
      <c r="BA271">
        <v>322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ROUND(Y271*Source!I360,9)</f>
        <v>0</v>
      </c>
      <c r="CY271">
        <f>AA271</f>
        <v>1930103.81</v>
      </c>
      <c r="CZ271">
        <f>AE271</f>
        <v>64123.05</v>
      </c>
      <c r="DA271">
        <f>AI271</f>
        <v>30.1</v>
      </c>
      <c r="DB271">
        <f t="shared" si="146"/>
        <v>0.64</v>
      </c>
      <c r="DC271">
        <f t="shared" si="147"/>
        <v>0</v>
      </c>
      <c r="DD271" t="s">
        <v>3</v>
      </c>
      <c r="DE271" t="s">
        <v>3</v>
      </c>
      <c r="DF271">
        <f>ROUND(ROUND(AE271*AI271,2)*CX271,2)</f>
        <v>0</v>
      </c>
      <c r="DG271">
        <f t="shared" si="149"/>
        <v>0</v>
      </c>
      <c r="DH271">
        <f t="shared" si="150"/>
        <v>0</v>
      </c>
      <c r="DI271">
        <f t="shared" si="141"/>
        <v>0</v>
      </c>
      <c r="DJ271">
        <f>DF271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ROW(Source!A360)</f>
        <v>360</v>
      </c>
      <c r="B272">
        <v>56959431</v>
      </c>
      <c r="C272">
        <v>56960195</v>
      </c>
      <c r="D272">
        <v>56071025</v>
      </c>
      <c r="E272">
        <v>1</v>
      </c>
      <c r="F272">
        <v>1</v>
      </c>
      <c r="G272">
        <v>1080</v>
      </c>
      <c r="H272">
        <v>3</v>
      </c>
      <c r="I272" t="s">
        <v>569</v>
      </c>
      <c r="J272" t="s">
        <v>570</v>
      </c>
      <c r="K272" t="s">
        <v>571</v>
      </c>
      <c r="L272">
        <v>1354</v>
      </c>
      <c r="N272">
        <v>1010</v>
      </c>
      <c r="O272" t="s">
        <v>31</v>
      </c>
      <c r="P272" t="s">
        <v>31</v>
      </c>
      <c r="Q272">
        <v>1</v>
      </c>
      <c r="W272">
        <v>0</v>
      </c>
      <c r="X272">
        <v>314181591</v>
      </c>
      <c r="Y272">
        <f t="shared" si="142"/>
        <v>0.1</v>
      </c>
      <c r="AA272">
        <v>36.14</v>
      </c>
      <c r="AB272">
        <v>0</v>
      </c>
      <c r="AC272">
        <v>0</v>
      </c>
      <c r="AD272">
        <v>0</v>
      </c>
      <c r="AE272">
        <v>15.25</v>
      </c>
      <c r="AF272">
        <v>0</v>
      </c>
      <c r="AG272">
        <v>0</v>
      </c>
      <c r="AH272">
        <v>0</v>
      </c>
      <c r="AI272">
        <v>2.37</v>
      </c>
      <c r="AJ272">
        <v>1</v>
      </c>
      <c r="AK272">
        <v>1</v>
      </c>
      <c r="AL272">
        <v>1</v>
      </c>
      <c r="AM272">
        <v>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0.1</v>
      </c>
      <c r="AU272" t="s">
        <v>3</v>
      </c>
      <c r="AV272">
        <v>0</v>
      </c>
      <c r="AW272">
        <v>2</v>
      </c>
      <c r="AX272">
        <v>56961064</v>
      </c>
      <c r="AY272">
        <v>1</v>
      </c>
      <c r="AZ272">
        <v>0</v>
      </c>
      <c r="BA272">
        <v>323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ROUND(Y272*Source!I360,9)</f>
        <v>0</v>
      </c>
      <c r="CY272">
        <f>AA272</f>
        <v>36.14</v>
      </c>
      <c r="CZ272">
        <f>AE272</f>
        <v>15.25</v>
      </c>
      <c r="DA272">
        <f>AI272</f>
        <v>2.37</v>
      </c>
      <c r="DB272">
        <f t="shared" si="146"/>
        <v>1.53</v>
      </c>
      <c r="DC272">
        <f t="shared" si="147"/>
        <v>0</v>
      </c>
      <c r="DD272" t="s">
        <v>3</v>
      </c>
      <c r="DE272" t="s">
        <v>3</v>
      </c>
      <c r="DF272">
        <f>ROUND(ROUND(AE272*AI272,2)*CX272,2)</f>
        <v>0</v>
      </c>
      <c r="DG272">
        <f t="shared" si="149"/>
        <v>0</v>
      </c>
      <c r="DH272">
        <f t="shared" si="150"/>
        <v>0</v>
      </c>
      <c r="DI272">
        <f t="shared" si="141"/>
        <v>0</v>
      </c>
      <c r="DJ272">
        <f>DF272</f>
        <v>0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ROW(Source!A375)</f>
        <v>375</v>
      </c>
      <c r="B273">
        <v>56959434</v>
      </c>
      <c r="C273">
        <v>56960212</v>
      </c>
      <c r="D273">
        <v>56018166</v>
      </c>
      <c r="E273">
        <v>1080</v>
      </c>
      <c r="F273">
        <v>1</v>
      </c>
      <c r="G273">
        <v>1080</v>
      </c>
      <c r="H273">
        <v>1</v>
      </c>
      <c r="I273" t="s">
        <v>500</v>
      </c>
      <c r="J273" t="s">
        <v>3</v>
      </c>
      <c r="K273" t="s">
        <v>501</v>
      </c>
      <c r="L273">
        <v>1191</v>
      </c>
      <c r="N273">
        <v>1013</v>
      </c>
      <c r="O273" t="s">
        <v>502</v>
      </c>
      <c r="P273" t="s">
        <v>502</v>
      </c>
      <c r="Q273">
        <v>1</v>
      </c>
      <c r="W273">
        <v>0</v>
      </c>
      <c r="X273">
        <v>476480486</v>
      </c>
      <c r="Y273">
        <f>(AT273*1.1)</f>
        <v>0.57200000000000006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0.52</v>
      </c>
      <c r="AU273" t="s">
        <v>23</v>
      </c>
      <c r="AV273">
        <v>1</v>
      </c>
      <c r="AW273">
        <v>2</v>
      </c>
      <c r="AX273">
        <v>56961066</v>
      </c>
      <c r="AY273">
        <v>1</v>
      </c>
      <c r="AZ273">
        <v>0</v>
      </c>
      <c r="BA273">
        <v>325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ROUND(AT273*Source!I375*AH273*AL273,2)</f>
        <v>0</v>
      </c>
      <c r="CV273">
        <f>ROUND(Y273*Source!I375,9)</f>
        <v>10.295999999999999</v>
      </c>
      <c r="CW273">
        <v>0</v>
      </c>
      <c r="CX273">
        <f>ROUND(Y273*Source!I375,9)</f>
        <v>10.295999999999999</v>
      </c>
      <c r="CY273">
        <f>AD273</f>
        <v>0</v>
      </c>
      <c r="CZ273">
        <f>AH273</f>
        <v>0</v>
      </c>
      <c r="DA273">
        <f>AL273</f>
        <v>1</v>
      </c>
      <c r="DB273">
        <f>ROUND((ROUND(AT273*CZ273,2)*1.1),6)</f>
        <v>0</v>
      </c>
      <c r="DC273">
        <f>ROUND((ROUND(AT273*AG273,2)*1.1),6)</f>
        <v>0</v>
      </c>
      <c r="DD273" t="s">
        <v>3</v>
      </c>
      <c r="DE273" t="s">
        <v>3</v>
      </c>
      <c r="DF273">
        <f>ROUND(ROUND(AE273,2)*CX273,2)</f>
        <v>0</v>
      </c>
      <c r="DG273">
        <f t="shared" si="149"/>
        <v>0</v>
      </c>
      <c r="DH273">
        <f t="shared" si="150"/>
        <v>0</v>
      </c>
      <c r="DI273">
        <f t="shared" si="141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ROW(Source!A375)</f>
        <v>375</v>
      </c>
      <c r="B274">
        <v>56959434</v>
      </c>
      <c r="C274">
        <v>56960212</v>
      </c>
      <c r="D274">
        <v>56067452</v>
      </c>
      <c r="E274">
        <v>1</v>
      </c>
      <c r="F274">
        <v>1</v>
      </c>
      <c r="G274">
        <v>1080</v>
      </c>
      <c r="H274">
        <v>3</v>
      </c>
      <c r="I274" t="s">
        <v>247</v>
      </c>
      <c r="J274" t="s">
        <v>250</v>
      </c>
      <c r="K274" t="s">
        <v>248</v>
      </c>
      <c r="L274">
        <v>1346</v>
      </c>
      <c r="N274">
        <v>1009</v>
      </c>
      <c r="O274" t="s">
        <v>249</v>
      </c>
      <c r="P274" t="s">
        <v>249</v>
      </c>
      <c r="Q274">
        <v>1</v>
      </c>
      <c r="W274">
        <v>0</v>
      </c>
      <c r="X274">
        <v>1143487818</v>
      </c>
      <c r="Y274">
        <f>AT274</f>
        <v>3.5000000000000003E-2</v>
      </c>
      <c r="AA274">
        <v>31.08</v>
      </c>
      <c r="AB274">
        <v>0</v>
      </c>
      <c r="AC274">
        <v>0</v>
      </c>
      <c r="AD274">
        <v>0</v>
      </c>
      <c r="AE274">
        <v>31.08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3.5000000000000003E-2</v>
      </c>
      <c r="AU274" t="s">
        <v>3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ROUND(Y274*Source!I375,9)</f>
        <v>0.63</v>
      </c>
      <c r="CY274">
        <f>AA274</f>
        <v>31.08</v>
      </c>
      <c r="CZ274">
        <f>AE274</f>
        <v>31.08</v>
      </c>
      <c r="DA274">
        <f>AI274</f>
        <v>1</v>
      </c>
      <c r="DB274">
        <f>ROUND(ROUND(AT274*CZ274,2),6)</f>
        <v>1.0900000000000001</v>
      </c>
      <c r="DC274">
        <f>ROUND(ROUND(AT274*AG274,2),6)</f>
        <v>0</v>
      </c>
      <c r="DD274" t="s">
        <v>3</v>
      </c>
      <c r="DE274" t="s">
        <v>3</v>
      </c>
      <c r="DF274">
        <f>ROUND(ROUND(AE274,2)*CX274,2)</f>
        <v>19.579999999999998</v>
      </c>
      <c r="DG274">
        <f t="shared" si="149"/>
        <v>0</v>
      </c>
      <c r="DH274">
        <f t="shared" si="150"/>
        <v>0</v>
      </c>
      <c r="DI274">
        <f t="shared" si="141"/>
        <v>0</v>
      </c>
      <c r="DJ274">
        <f>DF274</f>
        <v>19.579999999999998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ROW(Source!A376)</f>
        <v>376</v>
      </c>
      <c r="B275">
        <v>56959431</v>
      </c>
      <c r="C275">
        <v>56960212</v>
      </c>
      <c r="D275">
        <v>56018166</v>
      </c>
      <c r="E275">
        <v>1080</v>
      </c>
      <c r="F275">
        <v>1</v>
      </c>
      <c r="G275">
        <v>1080</v>
      </c>
      <c r="H275">
        <v>1</v>
      </c>
      <c r="I275" t="s">
        <v>500</v>
      </c>
      <c r="J275" t="s">
        <v>3</v>
      </c>
      <c r="K275" t="s">
        <v>501</v>
      </c>
      <c r="L275">
        <v>1191</v>
      </c>
      <c r="N275">
        <v>1013</v>
      </c>
      <c r="O275" t="s">
        <v>502</v>
      </c>
      <c r="P275" t="s">
        <v>502</v>
      </c>
      <c r="Q275">
        <v>1</v>
      </c>
      <c r="W275">
        <v>0</v>
      </c>
      <c r="X275">
        <v>476480486</v>
      </c>
      <c r="Y275">
        <f>(AT275*1.1)</f>
        <v>0.57200000000000006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5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0.52</v>
      </c>
      <c r="AU275" t="s">
        <v>23</v>
      </c>
      <c r="AV275">
        <v>1</v>
      </c>
      <c r="AW275">
        <v>2</v>
      </c>
      <c r="AX275">
        <v>56961066</v>
      </c>
      <c r="AY275">
        <v>1</v>
      </c>
      <c r="AZ275">
        <v>0</v>
      </c>
      <c r="BA275">
        <v>328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ROUND(AT275*Source!I376*AH275*AL275,2)</f>
        <v>0</v>
      </c>
      <c r="CV275">
        <f>ROUND(Y275*Source!I376,9)</f>
        <v>10.295999999999999</v>
      </c>
      <c r="CW275">
        <v>0</v>
      </c>
      <c r="CX275">
        <f>ROUND(Y275*Source!I376,9)</f>
        <v>10.295999999999999</v>
      </c>
      <c r="CY275">
        <f>AD275</f>
        <v>0</v>
      </c>
      <c r="CZ275">
        <f>AH275</f>
        <v>0</v>
      </c>
      <c r="DA275">
        <f>AL275</f>
        <v>1</v>
      </c>
      <c r="DB275">
        <f>ROUND((ROUND(AT275*CZ275,2)*1.1),6)</f>
        <v>0</v>
      </c>
      <c r="DC275">
        <f>ROUND((ROUND(AT275*AG275,2)*1.1),6)</f>
        <v>0</v>
      </c>
      <c r="DD275" t="s">
        <v>3</v>
      </c>
      <c r="DE275" t="s">
        <v>3</v>
      </c>
      <c r="DF275">
        <f>ROUND(ROUND(AE275,2)*CX275,2)</f>
        <v>0</v>
      </c>
      <c r="DG275">
        <f t="shared" si="149"/>
        <v>0</v>
      </c>
      <c r="DH275">
        <f t="shared" si="150"/>
        <v>0</v>
      </c>
      <c r="DI275">
        <f t="shared" si="141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ROW(Source!A376)</f>
        <v>376</v>
      </c>
      <c r="B276">
        <v>56959431</v>
      </c>
      <c r="C276">
        <v>56960212</v>
      </c>
      <c r="D276">
        <v>56067452</v>
      </c>
      <c r="E276">
        <v>1</v>
      </c>
      <c r="F276">
        <v>1</v>
      </c>
      <c r="G276">
        <v>1080</v>
      </c>
      <c r="H276">
        <v>3</v>
      </c>
      <c r="I276" t="s">
        <v>247</v>
      </c>
      <c r="J276" t="s">
        <v>250</v>
      </c>
      <c r="K276" t="s">
        <v>248</v>
      </c>
      <c r="L276">
        <v>1346</v>
      </c>
      <c r="N276">
        <v>1009</v>
      </c>
      <c r="O276" t="s">
        <v>249</v>
      </c>
      <c r="P276" t="s">
        <v>249</v>
      </c>
      <c r="Q276">
        <v>1</v>
      </c>
      <c r="W276">
        <v>0</v>
      </c>
      <c r="X276">
        <v>1143487818</v>
      </c>
      <c r="Y276">
        <f>AT276</f>
        <v>3.5000000000000003E-2</v>
      </c>
      <c r="AA276">
        <v>159.13</v>
      </c>
      <c r="AB276">
        <v>0</v>
      </c>
      <c r="AC276">
        <v>0</v>
      </c>
      <c r="AD276">
        <v>0</v>
      </c>
      <c r="AE276">
        <v>31.08</v>
      </c>
      <c r="AF276">
        <v>0</v>
      </c>
      <c r="AG276">
        <v>0</v>
      </c>
      <c r="AH276">
        <v>0</v>
      </c>
      <c r="AI276">
        <v>5.12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3.5000000000000003E-2</v>
      </c>
      <c r="AU276" t="s">
        <v>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ROUND(Y276*Source!I376,9)</f>
        <v>0.63</v>
      </c>
      <c r="CY276">
        <f>AA276</f>
        <v>159.13</v>
      </c>
      <c r="CZ276">
        <f>AE276</f>
        <v>31.08</v>
      </c>
      <c r="DA276">
        <f>AI276</f>
        <v>5.12</v>
      </c>
      <c r="DB276">
        <f>ROUND(ROUND(AT276*CZ276,2),6)</f>
        <v>1.0900000000000001</v>
      </c>
      <c r="DC276">
        <f>ROUND(ROUND(AT276*AG276,2),6)</f>
        <v>0</v>
      </c>
      <c r="DD276" t="s">
        <v>3</v>
      </c>
      <c r="DE276" t="s">
        <v>3</v>
      </c>
      <c r="DF276">
        <f>ROUND(ROUND(AE276*AI276,2)*CX276,2)</f>
        <v>100.25</v>
      </c>
      <c r="DG276">
        <f t="shared" si="149"/>
        <v>0</v>
      </c>
      <c r="DH276">
        <f t="shared" si="150"/>
        <v>0</v>
      </c>
      <c r="DI276">
        <f t="shared" si="141"/>
        <v>0</v>
      </c>
      <c r="DJ276">
        <f>DF276</f>
        <v>100.25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ROW(Source!A389)</f>
        <v>389</v>
      </c>
      <c r="B277">
        <v>56959434</v>
      </c>
      <c r="C277">
        <v>56960224</v>
      </c>
      <c r="D277">
        <v>56018166</v>
      </c>
      <c r="E277">
        <v>1080</v>
      </c>
      <c r="F277">
        <v>1</v>
      </c>
      <c r="G277">
        <v>1080</v>
      </c>
      <c r="H277">
        <v>1</v>
      </c>
      <c r="I277" t="s">
        <v>500</v>
      </c>
      <c r="J277" t="s">
        <v>3</v>
      </c>
      <c r="K277" t="s">
        <v>501</v>
      </c>
      <c r="L277">
        <v>1191</v>
      </c>
      <c r="N277">
        <v>1013</v>
      </c>
      <c r="O277" t="s">
        <v>502</v>
      </c>
      <c r="P277" t="s">
        <v>502</v>
      </c>
      <c r="Q277">
        <v>1</v>
      </c>
      <c r="W277">
        <v>0</v>
      </c>
      <c r="X277">
        <v>476480486</v>
      </c>
      <c r="Y277">
        <f>(AT277*1.1)</f>
        <v>0.57200000000000006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0.52</v>
      </c>
      <c r="AU277" t="s">
        <v>23</v>
      </c>
      <c r="AV277">
        <v>1</v>
      </c>
      <c r="AW277">
        <v>2</v>
      </c>
      <c r="AX277">
        <v>56961069</v>
      </c>
      <c r="AY277">
        <v>1</v>
      </c>
      <c r="AZ277">
        <v>0</v>
      </c>
      <c r="BA277">
        <v>331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U277">
        <f>ROUND(AT277*Source!I389*AH277*AL277,2)</f>
        <v>0</v>
      </c>
      <c r="CV277">
        <f>ROUND(Y277*Source!I389,9)</f>
        <v>24.596</v>
      </c>
      <c r="CW277">
        <v>0</v>
      </c>
      <c r="CX277">
        <f>ROUND(Y277*Source!I389,9)</f>
        <v>24.596</v>
      </c>
      <c r="CY277">
        <f>AD277</f>
        <v>0</v>
      </c>
      <c r="CZ277">
        <f>AH277</f>
        <v>0</v>
      </c>
      <c r="DA277">
        <f>AL277</f>
        <v>1</v>
      </c>
      <c r="DB277">
        <f>ROUND((ROUND(AT277*CZ277,2)*1.1),6)</f>
        <v>0</v>
      </c>
      <c r="DC277">
        <f>ROUND((ROUND(AT277*AG277,2)*1.1),6)</f>
        <v>0</v>
      </c>
      <c r="DD277" t="s">
        <v>3</v>
      </c>
      <c r="DE277" t="s">
        <v>3</v>
      </c>
      <c r="DF277">
        <f>ROUND(ROUND(AE277,2)*CX277,2)</f>
        <v>0</v>
      </c>
      <c r="DG277">
        <f t="shared" si="149"/>
        <v>0</v>
      </c>
      <c r="DH277">
        <f t="shared" si="150"/>
        <v>0</v>
      </c>
      <c r="DI277">
        <f t="shared" si="141"/>
        <v>0</v>
      </c>
      <c r="DJ277">
        <f>DI277</f>
        <v>0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ROW(Source!A389)</f>
        <v>389</v>
      </c>
      <c r="B278">
        <v>56959434</v>
      </c>
      <c r="C278">
        <v>56960224</v>
      </c>
      <c r="D278">
        <v>56067452</v>
      </c>
      <c r="E278">
        <v>1</v>
      </c>
      <c r="F278">
        <v>1</v>
      </c>
      <c r="G278">
        <v>1080</v>
      </c>
      <c r="H278">
        <v>3</v>
      </c>
      <c r="I278" t="s">
        <v>247</v>
      </c>
      <c r="J278" t="s">
        <v>250</v>
      </c>
      <c r="K278" t="s">
        <v>248</v>
      </c>
      <c r="L278">
        <v>1346</v>
      </c>
      <c r="N278">
        <v>1009</v>
      </c>
      <c r="O278" t="s">
        <v>249</v>
      </c>
      <c r="P278" t="s">
        <v>249</v>
      </c>
      <c r="Q278">
        <v>1</v>
      </c>
      <c r="W278">
        <v>0</v>
      </c>
      <c r="X278">
        <v>1143487818</v>
      </c>
      <c r="Y278">
        <f>AT278</f>
        <v>3.5000000000000003E-2</v>
      </c>
      <c r="AA278">
        <v>31.08</v>
      </c>
      <c r="AB278">
        <v>0</v>
      </c>
      <c r="AC278">
        <v>0</v>
      </c>
      <c r="AD278">
        <v>0</v>
      </c>
      <c r="AE278">
        <v>31.08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3.5000000000000003E-2</v>
      </c>
      <c r="AU278" t="s">
        <v>3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ROUND(Y278*Source!I389,9)</f>
        <v>1.5049999999999999</v>
      </c>
      <c r="CY278">
        <f>AA278</f>
        <v>31.08</v>
      </c>
      <c r="CZ278">
        <f>AE278</f>
        <v>31.08</v>
      </c>
      <c r="DA278">
        <f>AI278</f>
        <v>1</v>
      </c>
      <c r="DB278">
        <f>ROUND(ROUND(AT278*CZ278,2),6)</f>
        <v>1.0900000000000001</v>
      </c>
      <c r="DC278">
        <f>ROUND(ROUND(AT278*AG278,2),6)</f>
        <v>0</v>
      </c>
      <c r="DD278" t="s">
        <v>3</v>
      </c>
      <c r="DE278" t="s">
        <v>3</v>
      </c>
      <c r="DF278">
        <f>ROUND(ROUND(AE278,2)*CX278,2)</f>
        <v>46.78</v>
      </c>
      <c r="DG278">
        <f t="shared" si="149"/>
        <v>0</v>
      </c>
      <c r="DH278">
        <f t="shared" si="150"/>
        <v>0</v>
      </c>
      <c r="DI278">
        <f t="shared" si="141"/>
        <v>0</v>
      </c>
      <c r="DJ278">
        <f>DF278</f>
        <v>46.78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ROW(Source!A390)</f>
        <v>390</v>
      </c>
      <c r="B279">
        <v>56959431</v>
      </c>
      <c r="C279">
        <v>56960224</v>
      </c>
      <c r="D279">
        <v>56018166</v>
      </c>
      <c r="E279">
        <v>1080</v>
      </c>
      <c r="F279">
        <v>1</v>
      </c>
      <c r="G279">
        <v>1080</v>
      </c>
      <c r="H279">
        <v>1</v>
      </c>
      <c r="I279" t="s">
        <v>500</v>
      </c>
      <c r="J279" t="s">
        <v>3</v>
      </c>
      <c r="K279" t="s">
        <v>501</v>
      </c>
      <c r="L279">
        <v>1191</v>
      </c>
      <c r="N279">
        <v>1013</v>
      </c>
      <c r="O279" t="s">
        <v>502</v>
      </c>
      <c r="P279" t="s">
        <v>502</v>
      </c>
      <c r="Q279">
        <v>1</v>
      </c>
      <c r="W279">
        <v>0</v>
      </c>
      <c r="X279">
        <v>476480486</v>
      </c>
      <c r="Y279">
        <f>(AT279*1.1)</f>
        <v>0.57200000000000006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5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0.52</v>
      </c>
      <c r="AU279" t="s">
        <v>23</v>
      </c>
      <c r="AV279">
        <v>1</v>
      </c>
      <c r="AW279">
        <v>2</v>
      </c>
      <c r="AX279">
        <v>56961069</v>
      </c>
      <c r="AY279">
        <v>1</v>
      </c>
      <c r="AZ279">
        <v>0</v>
      </c>
      <c r="BA279">
        <v>334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U279">
        <f>ROUND(AT279*Source!I390*AH279*AL279,2)</f>
        <v>0</v>
      </c>
      <c r="CV279">
        <f>ROUND(Y279*Source!I390,9)</f>
        <v>24.596</v>
      </c>
      <c r="CW279">
        <v>0</v>
      </c>
      <c r="CX279">
        <f>ROUND(Y279*Source!I390,9)</f>
        <v>24.596</v>
      </c>
      <c r="CY279">
        <f>AD279</f>
        <v>0</v>
      </c>
      <c r="CZ279">
        <f>AH279</f>
        <v>0</v>
      </c>
      <c r="DA279">
        <f>AL279</f>
        <v>1</v>
      </c>
      <c r="DB279">
        <f>ROUND((ROUND(AT279*CZ279,2)*1.1),6)</f>
        <v>0</v>
      </c>
      <c r="DC279">
        <f>ROUND((ROUND(AT279*AG279,2)*1.1),6)</f>
        <v>0</v>
      </c>
      <c r="DD279" t="s">
        <v>3</v>
      </c>
      <c r="DE279" t="s">
        <v>3</v>
      </c>
      <c r="DF279">
        <f>ROUND(ROUND(AE279,2)*CX279,2)</f>
        <v>0</v>
      </c>
      <c r="DG279">
        <f t="shared" si="149"/>
        <v>0</v>
      </c>
      <c r="DH279">
        <f t="shared" si="150"/>
        <v>0</v>
      </c>
      <c r="DI279">
        <f t="shared" si="141"/>
        <v>0</v>
      </c>
      <c r="DJ279">
        <f>DI279</f>
        <v>0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ROW(Source!A390)</f>
        <v>390</v>
      </c>
      <c r="B280">
        <v>56959431</v>
      </c>
      <c r="C280">
        <v>56960224</v>
      </c>
      <c r="D280">
        <v>56067452</v>
      </c>
      <c r="E280">
        <v>1</v>
      </c>
      <c r="F280">
        <v>1</v>
      </c>
      <c r="G280">
        <v>1080</v>
      </c>
      <c r="H280">
        <v>3</v>
      </c>
      <c r="I280" t="s">
        <v>247</v>
      </c>
      <c r="J280" t="s">
        <v>250</v>
      </c>
      <c r="K280" t="s">
        <v>248</v>
      </c>
      <c r="L280">
        <v>1346</v>
      </c>
      <c r="N280">
        <v>1009</v>
      </c>
      <c r="O280" t="s">
        <v>249</v>
      </c>
      <c r="P280" t="s">
        <v>249</v>
      </c>
      <c r="Q280">
        <v>1</v>
      </c>
      <c r="W280">
        <v>0</v>
      </c>
      <c r="X280">
        <v>1143487818</v>
      </c>
      <c r="Y280">
        <f>AT280</f>
        <v>3.5000000000000003E-2</v>
      </c>
      <c r="AA280">
        <v>159.13</v>
      </c>
      <c r="AB280">
        <v>0</v>
      </c>
      <c r="AC280">
        <v>0</v>
      </c>
      <c r="AD280">
        <v>0</v>
      </c>
      <c r="AE280">
        <v>31.08</v>
      </c>
      <c r="AF280">
        <v>0</v>
      </c>
      <c r="AG280">
        <v>0</v>
      </c>
      <c r="AH280">
        <v>0</v>
      </c>
      <c r="AI280">
        <v>5.12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3.5000000000000003E-2</v>
      </c>
      <c r="AU280" t="s">
        <v>3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ROUND(Y280*Source!I390,9)</f>
        <v>1.5049999999999999</v>
      </c>
      <c r="CY280">
        <f>AA280</f>
        <v>159.13</v>
      </c>
      <c r="CZ280">
        <f>AE280</f>
        <v>31.08</v>
      </c>
      <c r="DA280">
        <f>AI280</f>
        <v>5.12</v>
      </c>
      <c r="DB280">
        <f>ROUND(ROUND(AT280*CZ280,2),6)</f>
        <v>1.0900000000000001</v>
      </c>
      <c r="DC280">
        <f>ROUND(ROUND(AT280*AG280,2),6)</f>
        <v>0</v>
      </c>
      <c r="DD280" t="s">
        <v>3</v>
      </c>
      <c r="DE280" t="s">
        <v>3</v>
      </c>
      <c r="DF280">
        <f>ROUND(ROUND(AE280*AI280,2)*CX280,2)</f>
        <v>239.49</v>
      </c>
      <c r="DG280">
        <f t="shared" si="149"/>
        <v>0</v>
      </c>
      <c r="DH280">
        <f t="shared" si="150"/>
        <v>0</v>
      </c>
      <c r="DI280">
        <f t="shared" si="141"/>
        <v>0</v>
      </c>
      <c r="DJ280">
        <f>DF280</f>
        <v>239.49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ROW(Source!A395)</f>
        <v>395</v>
      </c>
      <c r="B281">
        <v>56959434</v>
      </c>
      <c r="C281">
        <v>56960232</v>
      </c>
      <c r="D281">
        <v>56018166</v>
      </c>
      <c r="E281">
        <v>1080</v>
      </c>
      <c r="F281">
        <v>1</v>
      </c>
      <c r="G281">
        <v>1080</v>
      </c>
      <c r="H281">
        <v>1</v>
      </c>
      <c r="I281" t="s">
        <v>500</v>
      </c>
      <c r="J281" t="s">
        <v>3</v>
      </c>
      <c r="K281" t="s">
        <v>501</v>
      </c>
      <c r="L281">
        <v>1191</v>
      </c>
      <c r="N281">
        <v>1013</v>
      </c>
      <c r="O281" t="s">
        <v>502</v>
      </c>
      <c r="P281" t="s">
        <v>502</v>
      </c>
      <c r="Q281">
        <v>1</v>
      </c>
      <c r="W281">
        <v>0</v>
      </c>
      <c r="X281">
        <v>476480486</v>
      </c>
      <c r="Y281">
        <f>(AT281*1.1)</f>
        <v>16.5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15</v>
      </c>
      <c r="AU281" t="s">
        <v>23</v>
      </c>
      <c r="AV281">
        <v>1</v>
      </c>
      <c r="AW281">
        <v>2</v>
      </c>
      <c r="AX281">
        <v>56961072</v>
      </c>
      <c r="AY281">
        <v>1</v>
      </c>
      <c r="AZ281">
        <v>0</v>
      </c>
      <c r="BA281">
        <v>337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ROUND(AT281*Source!I395*AH281*AL281,2)</f>
        <v>0</v>
      </c>
      <c r="CV281">
        <f>ROUND(Y281*Source!I395,9)</f>
        <v>519.75</v>
      </c>
      <c r="CW281">
        <v>0</v>
      </c>
      <c r="CX281">
        <f>ROUND(Y281*Source!I395,9)</f>
        <v>519.75</v>
      </c>
      <c r="CY281">
        <f>AD281</f>
        <v>0</v>
      </c>
      <c r="CZ281">
        <f>AH281</f>
        <v>0</v>
      </c>
      <c r="DA281">
        <f>AL281</f>
        <v>1</v>
      </c>
      <c r="DB281">
        <f>ROUND((ROUND(AT281*CZ281,2)*1.1),6)</f>
        <v>0</v>
      </c>
      <c r="DC281">
        <f>ROUND((ROUND(AT281*AG281,2)*1.1),6)</f>
        <v>0</v>
      </c>
      <c r="DD281" t="s">
        <v>3</v>
      </c>
      <c r="DE281" t="s">
        <v>3</v>
      </c>
      <c r="DF281">
        <f>ROUND(ROUND(AE281,2)*CX281,2)</f>
        <v>0</v>
      </c>
      <c r="DG281">
        <f t="shared" si="149"/>
        <v>0</v>
      </c>
      <c r="DH281">
        <f t="shared" si="150"/>
        <v>0</v>
      </c>
      <c r="DI281">
        <f t="shared" si="141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ROW(Source!A395)</f>
        <v>395</v>
      </c>
      <c r="B282">
        <v>56959434</v>
      </c>
      <c r="C282">
        <v>56960232</v>
      </c>
      <c r="D282">
        <v>56074647</v>
      </c>
      <c r="E282">
        <v>1</v>
      </c>
      <c r="F282">
        <v>1</v>
      </c>
      <c r="G282">
        <v>1080</v>
      </c>
      <c r="H282">
        <v>3</v>
      </c>
      <c r="I282" t="s">
        <v>82</v>
      </c>
      <c r="J282" t="s">
        <v>85</v>
      </c>
      <c r="K282" t="s">
        <v>83</v>
      </c>
      <c r="L282">
        <v>1301</v>
      </c>
      <c r="N282">
        <v>1003</v>
      </c>
      <c r="O282" t="s">
        <v>84</v>
      </c>
      <c r="P282" t="s">
        <v>84</v>
      </c>
      <c r="Q282">
        <v>1</v>
      </c>
      <c r="W282">
        <v>0</v>
      </c>
      <c r="X282">
        <v>-1305428159</v>
      </c>
      <c r="Y282">
        <f>AT282</f>
        <v>102</v>
      </c>
      <c r="AA282">
        <v>3.45</v>
      </c>
      <c r="AB282">
        <v>0</v>
      </c>
      <c r="AC282">
        <v>0</v>
      </c>
      <c r="AD282">
        <v>0</v>
      </c>
      <c r="AE282">
        <v>3.45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102</v>
      </c>
      <c r="AU282" t="s">
        <v>3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ROUND(Y282*Source!I395,9)</f>
        <v>3213</v>
      </c>
      <c r="CY282">
        <f>AA282</f>
        <v>3.45</v>
      </c>
      <c r="CZ282">
        <f>AE282</f>
        <v>3.45</v>
      </c>
      <c r="DA282">
        <f>AI282</f>
        <v>1</v>
      </c>
      <c r="DB282">
        <f>ROUND(ROUND(AT282*CZ282,2),6)</f>
        <v>351.9</v>
      </c>
      <c r="DC282">
        <f>ROUND(ROUND(AT282*AG282,2),6)</f>
        <v>0</v>
      </c>
      <c r="DD282" t="s">
        <v>3</v>
      </c>
      <c r="DE282" t="s">
        <v>3</v>
      </c>
      <c r="DF282">
        <f>ROUND(ROUND(AE282,2)*CX282,2)</f>
        <v>11084.85</v>
      </c>
      <c r="DG282">
        <f t="shared" si="149"/>
        <v>0</v>
      </c>
      <c r="DH282">
        <f t="shared" si="150"/>
        <v>0</v>
      </c>
      <c r="DI282">
        <f t="shared" si="141"/>
        <v>0</v>
      </c>
      <c r="DJ282">
        <f>DF282</f>
        <v>11084.85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ROW(Source!A396)</f>
        <v>396</v>
      </c>
      <c r="B283">
        <v>56959431</v>
      </c>
      <c r="C283">
        <v>56960232</v>
      </c>
      <c r="D283">
        <v>56018166</v>
      </c>
      <c r="E283">
        <v>1080</v>
      </c>
      <c r="F283">
        <v>1</v>
      </c>
      <c r="G283">
        <v>1080</v>
      </c>
      <c r="H283">
        <v>1</v>
      </c>
      <c r="I283" t="s">
        <v>500</v>
      </c>
      <c r="J283" t="s">
        <v>3</v>
      </c>
      <c r="K283" t="s">
        <v>501</v>
      </c>
      <c r="L283">
        <v>1191</v>
      </c>
      <c r="N283">
        <v>1013</v>
      </c>
      <c r="O283" t="s">
        <v>502</v>
      </c>
      <c r="P283" t="s">
        <v>502</v>
      </c>
      <c r="Q283">
        <v>1</v>
      </c>
      <c r="W283">
        <v>0</v>
      </c>
      <c r="X283">
        <v>476480486</v>
      </c>
      <c r="Y283">
        <f>(AT283*1.1)</f>
        <v>16.5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5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15</v>
      </c>
      <c r="AU283" t="s">
        <v>23</v>
      </c>
      <c r="AV283">
        <v>1</v>
      </c>
      <c r="AW283">
        <v>2</v>
      </c>
      <c r="AX283">
        <v>56961072</v>
      </c>
      <c r="AY283">
        <v>1</v>
      </c>
      <c r="AZ283">
        <v>0</v>
      </c>
      <c r="BA283">
        <v>341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U283">
        <f>ROUND(AT283*Source!I396*AH283*AL283,2)</f>
        <v>0</v>
      </c>
      <c r="CV283">
        <f>ROUND(Y283*Source!I396,9)</f>
        <v>519.75</v>
      </c>
      <c r="CW283">
        <v>0</v>
      </c>
      <c r="CX283">
        <f>ROUND(Y283*Source!I396,9)</f>
        <v>519.75</v>
      </c>
      <c r="CY283">
        <f>AD283</f>
        <v>0</v>
      </c>
      <c r="CZ283">
        <f>AH283</f>
        <v>0</v>
      </c>
      <c r="DA283">
        <f>AL283</f>
        <v>1</v>
      </c>
      <c r="DB283">
        <f>ROUND((ROUND(AT283*CZ283,2)*1.1),6)</f>
        <v>0</v>
      </c>
      <c r="DC283">
        <f>ROUND((ROUND(AT283*AG283,2)*1.1),6)</f>
        <v>0</v>
      </c>
      <c r="DD283" t="s">
        <v>3</v>
      </c>
      <c r="DE283" t="s">
        <v>3</v>
      </c>
      <c r="DF283">
        <f>ROUND(ROUND(AE283,2)*CX283,2)</f>
        <v>0</v>
      </c>
      <c r="DG283">
        <f t="shared" si="149"/>
        <v>0</v>
      </c>
      <c r="DH283">
        <f t="shared" si="150"/>
        <v>0</v>
      </c>
      <c r="DI283">
        <f t="shared" si="141"/>
        <v>0</v>
      </c>
      <c r="DJ283">
        <f>DI283</f>
        <v>0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ROW(Source!A396)</f>
        <v>396</v>
      </c>
      <c r="B284">
        <v>56959431</v>
      </c>
      <c r="C284">
        <v>56960232</v>
      </c>
      <c r="D284">
        <v>56074647</v>
      </c>
      <c r="E284">
        <v>1</v>
      </c>
      <c r="F284">
        <v>1</v>
      </c>
      <c r="G284">
        <v>1080</v>
      </c>
      <c r="H284">
        <v>3</v>
      </c>
      <c r="I284" t="s">
        <v>82</v>
      </c>
      <c r="J284" t="s">
        <v>85</v>
      </c>
      <c r="K284" t="s">
        <v>83</v>
      </c>
      <c r="L284">
        <v>1301</v>
      </c>
      <c r="N284">
        <v>1003</v>
      </c>
      <c r="O284" t="s">
        <v>84</v>
      </c>
      <c r="P284" t="s">
        <v>84</v>
      </c>
      <c r="Q284">
        <v>1</v>
      </c>
      <c r="W284">
        <v>0</v>
      </c>
      <c r="X284">
        <v>-1305428159</v>
      </c>
      <c r="Y284">
        <f>AT284</f>
        <v>102</v>
      </c>
      <c r="AA284">
        <v>13.56</v>
      </c>
      <c r="AB284">
        <v>0</v>
      </c>
      <c r="AC284">
        <v>0</v>
      </c>
      <c r="AD284">
        <v>0</v>
      </c>
      <c r="AE284">
        <v>3.45</v>
      </c>
      <c r="AF284">
        <v>0</v>
      </c>
      <c r="AG284">
        <v>0</v>
      </c>
      <c r="AH284">
        <v>0</v>
      </c>
      <c r="AI284">
        <v>3.93</v>
      </c>
      <c r="AJ284">
        <v>1</v>
      </c>
      <c r="AK284">
        <v>1</v>
      </c>
      <c r="AL284">
        <v>1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 t="s">
        <v>3</v>
      </c>
      <c r="AT284">
        <v>102</v>
      </c>
      <c r="AU284" t="s">
        <v>3</v>
      </c>
      <c r="AV284">
        <v>0</v>
      </c>
      <c r="AW284">
        <v>1</v>
      </c>
      <c r="AX284">
        <v>-1</v>
      </c>
      <c r="AY284">
        <v>0</v>
      </c>
      <c r="AZ284">
        <v>0</v>
      </c>
      <c r="BA284" t="s">
        <v>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ROUND(Y284*Source!I396,9)</f>
        <v>3213</v>
      </c>
      <c r="CY284">
        <f>AA284</f>
        <v>13.56</v>
      </c>
      <c r="CZ284">
        <f>AE284</f>
        <v>3.45</v>
      </c>
      <c r="DA284">
        <f>AI284</f>
        <v>3.93</v>
      </c>
      <c r="DB284">
        <f>ROUND(ROUND(AT284*CZ284,2),6)</f>
        <v>351.9</v>
      </c>
      <c r="DC284">
        <f>ROUND(ROUND(AT284*AG284,2),6)</f>
        <v>0</v>
      </c>
      <c r="DD284" t="s">
        <v>3</v>
      </c>
      <c r="DE284" t="s">
        <v>3</v>
      </c>
      <c r="DF284">
        <f>ROUND(ROUND(AE284*AI284,2)*CX284,2)</f>
        <v>43568.28</v>
      </c>
      <c r="DG284">
        <f t="shared" si="149"/>
        <v>0</v>
      </c>
      <c r="DH284">
        <f t="shared" si="150"/>
        <v>0</v>
      </c>
      <c r="DI284">
        <f t="shared" si="141"/>
        <v>0</v>
      </c>
      <c r="DJ284">
        <f>DF284</f>
        <v>43568.28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ROW(Source!A399)</f>
        <v>399</v>
      </c>
      <c r="B285">
        <v>56959434</v>
      </c>
      <c r="C285">
        <v>56960240</v>
      </c>
      <c r="D285">
        <v>56018166</v>
      </c>
      <c r="E285">
        <v>1080</v>
      </c>
      <c r="F285">
        <v>1</v>
      </c>
      <c r="G285">
        <v>1080</v>
      </c>
      <c r="H285">
        <v>1</v>
      </c>
      <c r="I285" t="s">
        <v>500</v>
      </c>
      <c r="J285" t="s">
        <v>3</v>
      </c>
      <c r="K285" t="s">
        <v>501</v>
      </c>
      <c r="L285">
        <v>1191</v>
      </c>
      <c r="N285">
        <v>1013</v>
      </c>
      <c r="O285" t="s">
        <v>502</v>
      </c>
      <c r="P285" t="s">
        <v>502</v>
      </c>
      <c r="Q285">
        <v>1</v>
      </c>
      <c r="W285">
        <v>0</v>
      </c>
      <c r="X285">
        <v>476480486</v>
      </c>
      <c r="Y285">
        <f>(AT285*1.1)</f>
        <v>4.9390000000000009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4.49</v>
      </c>
      <c r="AU285" t="s">
        <v>23</v>
      </c>
      <c r="AV285">
        <v>1</v>
      </c>
      <c r="AW285">
        <v>2</v>
      </c>
      <c r="AX285">
        <v>56961076</v>
      </c>
      <c r="AY285">
        <v>1</v>
      </c>
      <c r="AZ285">
        <v>0</v>
      </c>
      <c r="BA285">
        <v>345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U285">
        <f>ROUND(AT285*Source!I399*AH285*AL285,2)</f>
        <v>0</v>
      </c>
      <c r="CV285">
        <f>ROUND(Y285*Source!I399,9)</f>
        <v>155.57849999999999</v>
      </c>
      <c r="CW285">
        <v>0</v>
      </c>
      <c r="CX285">
        <f>ROUND(Y285*Source!I399,9)</f>
        <v>155.57849999999999</v>
      </c>
      <c r="CY285">
        <f>AD285</f>
        <v>0</v>
      </c>
      <c r="CZ285">
        <f>AH285</f>
        <v>0</v>
      </c>
      <c r="DA285">
        <f>AL285</f>
        <v>1</v>
      </c>
      <c r="DB285">
        <f>ROUND((ROUND(AT285*CZ285,2)*1.1),6)</f>
        <v>0</v>
      </c>
      <c r="DC285">
        <f>ROUND((ROUND(AT285*AG285,2)*1.1),6)</f>
        <v>0</v>
      </c>
      <c r="DD285" t="s">
        <v>3</v>
      </c>
      <c r="DE285" t="s">
        <v>3</v>
      </c>
      <c r="DF285">
        <f t="shared" ref="DF285:DF297" si="152">ROUND(ROUND(AE285,2)*CX285,2)</f>
        <v>0</v>
      </c>
      <c r="DG285">
        <f t="shared" si="149"/>
        <v>0</v>
      </c>
      <c r="DH285">
        <f t="shared" si="150"/>
        <v>0</v>
      </c>
      <c r="DI285">
        <f t="shared" si="141"/>
        <v>0</v>
      </c>
      <c r="DJ285">
        <f>DI285</f>
        <v>0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ROW(Source!A399)</f>
        <v>399</v>
      </c>
      <c r="B286">
        <v>56959434</v>
      </c>
      <c r="C286">
        <v>56960240</v>
      </c>
      <c r="D286">
        <v>56092340</v>
      </c>
      <c r="E286">
        <v>1</v>
      </c>
      <c r="F286">
        <v>1</v>
      </c>
      <c r="G286">
        <v>1080</v>
      </c>
      <c r="H286">
        <v>2</v>
      </c>
      <c r="I286" t="s">
        <v>503</v>
      </c>
      <c r="J286" t="s">
        <v>504</v>
      </c>
      <c r="K286" t="s">
        <v>505</v>
      </c>
      <c r="L286">
        <v>1368</v>
      </c>
      <c r="N286">
        <v>1011</v>
      </c>
      <c r="O286" t="s">
        <v>506</v>
      </c>
      <c r="P286" t="s">
        <v>506</v>
      </c>
      <c r="Q286">
        <v>1</v>
      </c>
      <c r="W286">
        <v>0</v>
      </c>
      <c r="X286">
        <v>-1985943078</v>
      </c>
      <c r="Y286">
        <f>(AT286*1.1)</f>
        <v>1.1000000000000001E-2</v>
      </c>
      <c r="AA286">
        <v>0</v>
      </c>
      <c r="AB286">
        <v>87.01</v>
      </c>
      <c r="AC286">
        <v>13.21</v>
      </c>
      <c r="AD286">
        <v>0</v>
      </c>
      <c r="AE286">
        <v>0</v>
      </c>
      <c r="AF286">
        <v>83.1</v>
      </c>
      <c r="AG286">
        <v>12.62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0.01</v>
      </c>
      <c r="AU286" t="s">
        <v>23</v>
      </c>
      <c r="AV286">
        <v>0</v>
      </c>
      <c r="AW286">
        <v>2</v>
      </c>
      <c r="AX286">
        <v>56961077</v>
      </c>
      <c r="AY286">
        <v>1</v>
      </c>
      <c r="AZ286">
        <v>0</v>
      </c>
      <c r="BA286">
        <v>346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f>ROUND(Y286*Source!I399*DO286,9)</f>
        <v>4.3728300000000004</v>
      </c>
      <c r="CX286">
        <f>ROUND(Y286*Source!I399,9)</f>
        <v>0.34649999999999997</v>
      </c>
      <c r="CY286">
        <f>AB286</f>
        <v>87.01</v>
      </c>
      <c r="CZ286">
        <f>AF286</f>
        <v>83.1</v>
      </c>
      <c r="DA286">
        <f>AJ286</f>
        <v>1</v>
      </c>
      <c r="DB286">
        <f>ROUND((ROUND(AT286*CZ286,2)*1.1),6)</f>
        <v>0.91300000000000003</v>
      </c>
      <c r="DC286">
        <f>ROUND((ROUND(AT286*AG286,2)*1.1),6)</f>
        <v>0.14299999999999999</v>
      </c>
      <c r="DD286" t="s">
        <v>3</v>
      </c>
      <c r="DE286" t="s">
        <v>3</v>
      </c>
      <c r="DF286">
        <f t="shared" si="152"/>
        <v>0</v>
      </c>
      <c r="DG286">
        <f t="shared" si="149"/>
        <v>28.79</v>
      </c>
      <c r="DH286">
        <f t="shared" si="150"/>
        <v>4.37</v>
      </c>
      <c r="DI286">
        <f t="shared" si="141"/>
        <v>0</v>
      </c>
      <c r="DJ286">
        <f>DG286</f>
        <v>28.79</v>
      </c>
      <c r="DK286">
        <v>0</v>
      </c>
      <c r="DL286" t="s">
        <v>507</v>
      </c>
      <c r="DM286">
        <v>0</v>
      </c>
      <c r="DN286" t="s">
        <v>502</v>
      </c>
      <c r="DO286">
        <v>12.62</v>
      </c>
    </row>
    <row r="287" spans="1:119" x14ac:dyDescent="0.2">
      <c r="A287">
        <f>ROW(Source!A399)</f>
        <v>399</v>
      </c>
      <c r="B287">
        <v>56959434</v>
      </c>
      <c r="C287">
        <v>56960240</v>
      </c>
      <c r="D287">
        <v>56091576</v>
      </c>
      <c r="E287">
        <v>1</v>
      </c>
      <c r="F287">
        <v>1</v>
      </c>
      <c r="G287">
        <v>1080</v>
      </c>
      <c r="H287">
        <v>2</v>
      </c>
      <c r="I287" t="s">
        <v>529</v>
      </c>
      <c r="J287" t="s">
        <v>530</v>
      </c>
      <c r="K287" t="s">
        <v>531</v>
      </c>
      <c r="L287">
        <v>1368</v>
      </c>
      <c r="N287">
        <v>1011</v>
      </c>
      <c r="O287" t="s">
        <v>506</v>
      </c>
      <c r="P287" t="s">
        <v>506</v>
      </c>
      <c r="Q287">
        <v>1</v>
      </c>
      <c r="W287">
        <v>0</v>
      </c>
      <c r="X287">
        <v>1087580389</v>
      </c>
      <c r="Y287">
        <f>(AT287*1.1)</f>
        <v>1.1000000000000001E-2</v>
      </c>
      <c r="AA287">
        <v>0</v>
      </c>
      <c r="AB287">
        <v>187.59</v>
      </c>
      <c r="AC287">
        <v>17.73</v>
      </c>
      <c r="AD287">
        <v>0</v>
      </c>
      <c r="AE287">
        <v>0</v>
      </c>
      <c r="AF287">
        <v>179.17</v>
      </c>
      <c r="AG287">
        <v>16.93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0.01</v>
      </c>
      <c r="AU287" t="s">
        <v>23</v>
      </c>
      <c r="AV287">
        <v>0</v>
      </c>
      <c r="AW287">
        <v>2</v>
      </c>
      <c r="AX287">
        <v>56961078</v>
      </c>
      <c r="AY287">
        <v>1</v>
      </c>
      <c r="AZ287">
        <v>0</v>
      </c>
      <c r="BA287">
        <v>347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f>ROUND(Y287*Source!I399*DO287,9)</f>
        <v>5.8662450000000002</v>
      </c>
      <c r="CX287">
        <f>ROUND(Y287*Source!I399,9)</f>
        <v>0.34649999999999997</v>
      </c>
      <c r="CY287">
        <f>AB287</f>
        <v>187.59</v>
      </c>
      <c r="CZ287">
        <f>AF287</f>
        <v>179.17</v>
      </c>
      <c r="DA287">
        <f>AJ287</f>
        <v>1</v>
      </c>
      <c r="DB287">
        <f>ROUND((ROUND(AT287*CZ287,2)*1.1),6)</f>
        <v>1.9690000000000001</v>
      </c>
      <c r="DC287">
        <f>ROUND((ROUND(AT287*AG287,2)*1.1),6)</f>
        <v>0.187</v>
      </c>
      <c r="DD287" t="s">
        <v>3</v>
      </c>
      <c r="DE287" t="s">
        <v>3</v>
      </c>
      <c r="DF287">
        <f t="shared" si="152"/>
        <v>0</v>
      </c>
      <c r="DG287">
        <f t="shared" si="149"/>
        <v>62.08</v>
      </c>
      <c r="DH287">
        <f t="shared" si="150"/>
        <v>5.87</v>
      </c>
      <c r="DI287">
        <f t="shared" si="141"/>
        <v>0</v>
      </c>
      <c r="DJ287">
        <f>DG287</f>
        <v>62.08</v>
      </c>
      <c r="DK287">
        <v>0</v>
      </c>
      <c r="DL287" t="s">
        <v>507</v>
      </c>
      <c r="DM287">
        <v>0</v>
      </c>
      <c r="DN287" t="s">
        <v>502</v>
      </c>
      <c r="DO287">
        <v>16.93</v>
      </c>
    </row>
    <row r="288" spans="1:119" x14ac:dyDescent="0.2">
      <c r="A288">
        <f>ROW(Source!A399)</f>
        <v>399</v>
      </c>
      <c r="B288">
        <v>56959434</v>
      </c>
      <c r="C288">
        <v>56960240</v>
      </c>
      <c r="D288">
        <v>56061373</v>
      </c>
      <c r="E288">
        <v>1</v>
      </c>
      <c r="F288">
        <v>1</v>
      </c>
      <c r="G288">
        <v>1080</v>
      </c>
      <c r="H288">
        <v>3</v>
      </c>
      <c r="I288" t="s">
        <v>532</v>
      </c>
      <c r="J288" t="s">
        <v>533</v>
      </c>
      <c r="K288" t="s">
        <v>534</v>
      </c>
      <c r="L288">
        <v>1346</v>
      </c>
      <c r="N288">
        <v>1009</v>
      </c>
      <c r="O288" t="s">
        <v>249</v>
      </c>
      <c r="P288" t="s">
        <v>249</v>
      </c>
      <c r="Q288">
        <v>1</v>
      </c>
      <c r="W288">
        <v>0</v>
      </c>
      <c r="X288">
        <v>1770006655</v>
      </c>
      <c r="Y288">
        <f t="shared" ref="Y288:Y294" si="153">AT288</f>
        <v>0.43</v>
      </c>
      <c r="AA288">
        <v>1.38</v>
      </c>
      <c r="AB288">
        <v>0</v>
      </c>
      <c r="AC288">
        <v>0</v>
      </c>
      <c r="AD288">
        <v>0</v>
      </c>
      <c r="AE288">
        <v>1.38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0.43</v>
      </c>
      <c r="AU288" t="s">
        <v>3</v>
      </c>
      <c r="AV288">
        <v>0</v>
      </c>
      <c r="AW288">
        <v>2</v>
      </c>
      <c r="AX288">
        <v>56961079</v>
      </c>
      <c r="AY288">
        <v>1</v>
      </c>
      <c r="AZ288">
        <v>0</v>
      </c>
      <c r="BA288">
        <v>348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ROUND(Y288*Source!I399,9)</f>
        <v>13.545</v>
      </c>
      <c r="CY288">
        <f t="shared" ref="CY288:CY294" si="154">AA288</f>
        <v>1.38</v>
      </c>
      <c r="CZ288">
        <f t="shared" ref="CZ288:CZ294" si="155">AE288</f>
        <v>1.38</v>
      </c>
      <c r="DA288">
        <f t="shared" ref="DA288:DA294" si="156">AI288</f>
        <v>1</v>
      </c>
      <c r="DB288">
        <f t="shared" ref="DB288:DB294" si="157">ROUND(ROUND(AT288*CZ288,2),6)</f>
        <v>0.59</v>
      </c>
      <c r="DC288">
        <f t="shared" ref="DC288:DC294" si="158">ROUND(ROUND(AT288*AG288,2),6)</f>
        <v>0</v>
      </c>
      <c r="DD288" t="s">
        <v>3</v>
      </c>
      <c r="DE288" t="s">
        <v>3</v>
      </c>
      <c r="DF288">
        <f t="shared" si="152"/>
        <v>18.690000000000001</v>
      </c>
      <c r="DG288">
        <f t="shared" si="149"/>
        <v>0</v>
      </c>
      <c r="DH288">
        <f t="shared" si="150"/>
        <v>0</v>
      </c>
      <c r="DI288">
        <f t="shared" si="141"/>
        <v>0</v>
      </c>
      <c r="DJ288">
        <f t="shared" ref="DJ288:DJ294" si="159">DF288</f>
        <v>18.690000000000001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ROW(Source!A399)</f>
        <v>399</v>
      </c>
      <c r="B289">
        <v>56959434</v>
      </c>
      <c r="C289">
        <v>56960240</v>
      </c>
      <c r="D289">
        <v>56061764</v>
      </c>
      <c r="E289">
        <v>1</v>
      </c>
      <c r="F289">
        <v>1</v>
      </c>
      <c r="G289">
        <v>1080</v>
      </c>
      <c r="H289">
        <v>3</v>
      </c>
      <c r="I289" t="s">
        <v>535</v>
      </c>
      <c r="J289" t="s">
        <v>536</v>
      </c>
      <c r="K289" t="s">
        <v>537</v>
      </c>
      <c r="L289">
        <v>1346</v>
      </c>
      <c r="N289">
        <v>1009</v>
      </c>
      <c r="O289" t="s">
        <v>249</v>
      </c>
      <c r="P289" t="s">
        <v>249</v>
      </c>
      <c r="Q289">
        <v>1</v>
      </c>
      <c r="W289">
        <v>0</v>
      </c>
      <c r="X289">
        <v>-878159893</v>
      </c>
      <c r="Y289">
        <f t="shared" si="153"/>
        <v>0.16</v>
      </c>
      <c r="AA289">
        <v>159.06</v>
      </c>
      <c r="AB289">
        <v>0</v>
      </c>
      <c r="AC289">
        <v>0</v>
      </c>
      <c r="AD289">
        <v>0</v>
      </c>
      <c r="AE289">
        <v>159.06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0.16</v>
      </c>
      <c r="AU289" t="s">
        <v>3</v>
      </c>
      <c r="AV289">
        <v>0</v>
      </c>
      <c r="AW289">
        <v>2</v>
      </c>
      <c r="AX289">
        <v>56961080</v>
      </c>
      <c r="AY289">
        <v>1</v>
      </c>
      <c r="AZ289">
        <v>0</v>
      </c>
      <c r="BA289">
        <v>349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ROUND(Y289*Source!I399,9)</f>
        <v>5.04</v>
      </c>
      <c r="CY289">
        <f t="shared" si="154"/>
        <v>159.06</v>
      </c>
      <c r="CZ289">
        <f t="shared" si="155"/>
        <v>159.06</v>
      </c>
      <c r="DA289">
        <f t="shared" si="156"/>
        <v>1</v>
      </c>
      <c r="DB289">
        <f t="shared" si="157"/>
        <v>25.45</v>
      </c>
      <c r="DC289">
        <f t="shared" si="158"/>
        <v>0</v>
      </c>
      <c r="DD289" t="s">
        <v>3</v>
      </c>
      <c r="DE289" t="s">
        <v>3</v>
      </c>
      <c r="DF289">
        <f t="shared" si="152"/>
        <v>801.66</v>
      </c>
      <c r="DG289">
        <f t="shared" si="149"/>
        <v>0</v>
      </c>
      <c r="DH289">
        <f t="shared" si="150"/>
        <v>0</v>
      </c>
      <c r="DI289">
        <f t="shared" si="141"/>
        <v>0</v>
      </c>
      <c r="DJ289">
        <f t="shared" si="159"/>
        <v>801.66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ROW(Source!A399)</f>
        <v>399</v>
      </c>
      <c r="B290">
        <v>56959434</v>
      </c>
      <c r="C290">
        <v>56960240</v>
      </c>
      <c r="D290">
        <v>56084707</v>
      </c>
      <c r="E290">
        <v>1</v>
      </c>
      <c r="F290">
        <v>1</v>
      </c>
      <c r="G290">
        <v>1080</v>
      </c>
      <c r="H290">
        <v>3</v>
      </c>
      <c r="I290" t="s">
        <v>538</v>
      </c>
      <c r="J290" t="s">
        <v>539</v>
      </c>
      <c r="K290" t="s">
        <v>540</v>
      </c>
      <c r="L290">
        <v>1355</v>
      </c>
      <c r="N290">
        <v>1010</v>
      </c>
      <c r="O290" t="s">
        <v>520</v>
      </c>
      <c r="P290" t="s">
        <v>520</v>
      </c>
      <c r="Q290">
        <v>100</v>
      </c>
      <c r="W290">
        <v>0</v>
      </c>
      <c r="X290">
        <v>-456781043</v>
      </c>
      <c r="Y290">
        <f t="shared" si="153"/>
        <v>0.05</v>
      </c>
      <c r="AA290">
        <v>68.819999999999993</v>
      </c>
      <c r="AB290">
        <v>0</v>
      </c>
      <c r="AC290">
        <v>0</v>
      </c>
      <c r="AD290">
        <v>0</v>
      </c>
      <c r="AE290">
        <v>68.819999999999993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0.05</v>
      </c>
      <c r="AU290" t="s">
        <v>3</v>
      </c>
      <c r="AV290">
        <v>0</v>
      </c>
      <c r="AW290">
        <v>2</v>
      </c>
      <c r="AX290">
        <v>56961081</v>
      </c>
      <c r="AY290">
        <v>1</v>
      </c>
      <c r="AZ290">
        <v>0</v>
      </c>
      <c r="BA290">
        <v>350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ROUND(Y290*Source!I399,9)</f>
        <v>1.575</v>
      </c>
      <c r="CY290">
        <f t="shared" si="154"/>
        <v>68.819999999999993</v>
      </c>
      <c r="CZ290">
        <f t="shared" si="155"/>
        <v>68.819999999999993</v>
      </c>
      <c r="DA290">
        <f t="shared" si="156"/>
        <v>1</v>
      </c>
      <c r="DB290">
        <f t="shared" si="157"/>
        <v>3.44</v>
      </c>
      <c r="DC290">
        <f t="shared" si="158"/>
        <v>0</v>
      </c>
      <c r="DD290" t="s">
        <v>3</v>
      </c>
      <c r="DE290" t="s">
        <v>3</v>
      </c>
      <c r="DF290">
        <f t="shared" si="152"/>
        <v>108.39</v>
      </c>
      <c r="DG290">
        <f t="shared" si="149"/>
        <v>0</v>
      </c>
      <c r="DH290">
        <f t="shared" si="150"/>
        <v>0</v>
      </c>
      <c r="DI290">
        <f t="shared" si="141"/>
        <v>0</v>
      </c>
      <c r="DJ290">
        <f t="shared" si="159"/>
        <v>108.39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ROW(Source!A399)</f>
        <v>399</v>
      </c>
      <c r="B291">
        <v>56959434</v>
      </c>
      <c r="C291">
        <v>56960240</v>
      </c>
      <c r="D291">
        <v>56084718</v>
      </c>
      <c r="E291">
        <v>1</v>
      </c>
      <c r="F291">
        <v>1</v>
      </c>
      <c r="G291">
        <v>1080</v>
      </c>
      <c r="H291">
        <v>3</v>
      </c>
      <c r="I291" t="s">
        <v>541</v>
      </c>
      <c r="J291" t="s">
        <v>542</v>
      </c>
      <c r="K291" t="s">
        <v>543</v>
      </c>
      <c r="L291">
        <v>1356</v>
      </c>
      <c r="N291">
        <v>1010</v>
      </c>
      <c r="O291" t="s">
        <v>544</v>
      </c>
      <c r="P291" t="s">
        <v>544</v>
      </c>
      <c r="Q291">
        <v>1000</v>
      </c>
      <c r="W291">
        <v>0</v>
      </c>
      <c r="X291">
        <v>1726193810</v>
      </c>
      <c r="Y291">
        <f t="shared" si="153"/>
        <v>1.2200000000000001E-2</v>
      </c>
      <c r="AA291">
        <v>183.4</v>
      </c>
      <c r="AB291">
        <v>0</v>
      </c>
      <c r="AC291">
        <v>0</v>
      </c>
      <c r="AD291">
        <v>0</v>
      </c>
      <c r="AE291">
        <v>183.4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1.2200000000000001E-2</v>
      </c>
      <c r="AU291" t="s">
        <v>3</v>
      </c>
      <c r="AV291">
        <v>0</v>
      </c>
      <c r="AW291">
        <v>2</v>
      </c>
      <c r="AX291">
        <v>56961082</v>
      </c>
      <c r="AY291">
        <v>1</v>
      </c>
      <c r="AZ291">
        <v>0</v>
      </c>
      <c r="BA291">
        <v>351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ROUND(Y291*Source!I399,9)</f>
        <v>0.38429999999999997</v>
      </c>
      <c r="CY291">
        <f t="shared" si="154"/>
        <v>183.4</v>
      </c>
      <c r="CZ291">
        <f t="shared" si="155"/>
        <v>183.4</v>
      </c>
      <c r="DA291">
        <f t="shared" si="156"/>
        <v>1</v>
      </c>
      <c r="DB291">
        <f t="shared" si="157"/>
        <v>2.2400000000000002</v>
      </c>
      <c r="DC291">
        <f t="shared" si="158"/>
        <v>0</v>
      </c>
      <c r="DD291" t="s">
        <v>3</v>
      </c>
      <c r="DE291" t="s">
        <v>3</v>
      </c>
      <c r="DF291">
        <f t="shared" si="152"/>
        <v>70.48</v>
      </c>
      <c r="DG291">
        <f t="shared" si="149"/>
        <v>0</v>
      </c>
      <c r="DH291">
        <f t="shared" si="150"/>
        <v>0</v>
      </c>
      <c r="DI291">
        <f t="shared" si="141"/>
        <v>0</v>
      </c>
      <c r="DJ291">
        <f t="shared" si="159"/>
        <v>70.48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ROW(Source!A399)</f>
        <v>399</v>
      </c>
      <c r="B292">
        <v>56959434</v>
      </c>
      <c r="C292">
        <v>56960240</v>
      </c>
      <c r="D292">
        <v>56084044</v>
      </c>
      <c r="E292">
        <v>1</v>
      </c>
      <c r="F292">
        <v>1</v>
      </c>
      <c r="G292">
        <v>1080</v>
      </c>
      <c r="H292">
        <v>3</v>
      </c>
      <c r="I292" t="s">
        <v>545</v>
      </c>
      <c r="J292" t="s">
        <v>546</v>
      </c>
      <c r="K292" t="s">
        <v>547</v>
      </c>
      <c r="L292">
        <v>1354</v>
      </c>
      <c r="N292">
        <v>1010</v>
      </c>
      <c r="O292" t="s">
        <v>31</v>
      </c>
      <c r="P292" t="s">
        <v>31</v>
      </c>
      <c r="Q292">
        <v>1</v>
      </c>
      <c r="W292">
        <v>0</v>
      </c>
      <c r="X292">
        <v>145081611</v>
      </c>
      <c r="Y292">
        <f t="shared" si="153"/>
        <v>3.1</v>
      </c>
      <c r="AA292">
        <v>6.94</v>
      </c>
      <c r="AB292">
        <v>0</v>
      </c>
      <c r="AC292">
        <v>0</v>
      </c>
      <c r="AD292">
        <v>0</v>
      </c>
      <c r="AE292">
        <v>6.94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3.1</v>
      </c>
      <c r="AU292" t="s">
        <v>3</v>
      </c>
      <c r="AV292">
        <v>0</v>
      </c>
      <c r="AW292">
        <v>2</v>
      </c>
      <c r="AX292">
        <v>56961083</v>
      </c>
      <c r="AY292">
        <v>1</v>
      </c>
      <c r="AZ292">
        <v>0</v>
      </c>
      <c r="BA292">
        <v>352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ROUND(Y292*Source!I399,9)</f>
        <v>97.65</v>
      </c>
      <c r="CY292">
        <f t="shared" si="154"/>
        <v>6.94</v>
      </c>
      <c r="CZ292">
        <f t="shared" si="155"/>
        <v>6.94</v>
      </c>
      <c r="DA292">
        <f t="shared" si="156"/>
        <v>1</v>
      </c>
      <c r="DB292">
        <f t="shared" si="157"/>
        <v>21.51</v>
      </c>
      <c r="DC292">
        <f t="shared" si="158"/>
        <v>0</v>
      </c>
      <c r="DD292" t="s">
        <v>3</v>
      </c>
      <c r="DE292" t="s">
        <v>3</v>
      </c>
      <c r="DF292">
        <f t="shared" si="152"/>
        <v>677.69</v>
      </c>
      <c r="DG292">
        <f t="shared" si="149"/>
        <v>0</v>
      </c>
      <c r="DH292">
        <f t="shared" si="150"/>
        <v>0</v>
      </c>
      <c r="DI292">
        <f t="shared" si="141"/>
        <v>0</v>
      </c>
      <c r="DJ292">
        <f t="shared" si="159"/>
        <v>677.69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ROW(Source!A399)</f>
        <v>399</v>
      </c>
      <c r="B293">
        <v>56959434</v>
      </c>
      <c r="C293">
        <v>56960240</v>
      </c>
      <c r="D293">
        <v>56084051</v>
      </c>
      <c r="E293">
        <v>1</v>
      </c>
      <c r="F293">
        <v>1</v>
      </c>
      <c r="G293">
        <v>1080</v>
      </c>
      <c r="H293">
        <v>3</v>
      </c>
      <c r="I293" t="s">
        <v>548</v>
      </c>
      <c r="J293" t="s">
        <v>549</v>
      </c>
      <c r="K293" t="s">
        <v>550</v>
      </c>
      <c r="L293">
        <v>1356</v>
      </c>
      <c r="N293">
        <v>1010</v>
      </c>
      <c r="O293" t="s">
        <v>544</v>
      </c>
      <c r="P293" t="s">
        <v>544</v>
      </c>
      <c r="Q293">
        <v>1000</v>
      </c>
      <c r="W293">
        <v>0</v>
      </c>
      <c r="X293">
        <v>-1715273674</v>
      </c>
      <c r="Y293">
        <f t="shared" si="153"/>
        <v>8.0000000000000002E-3</v>
      </c>
      <c r="AA293">
        <v>614.09</v>
      </c>
      <c r="AB293">
        <v>0</v>
      </c>
      <c r="AC293">
        <v>0</v>
      </c>
      <c r="AD293">
        <v>0</v>
      </c>
      <c r="AE293">
        <v>614.09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8.0000000000000002E-3</v>
      </c>
      <c r="AU293" t="s">
        <v>3</v>
      </c>
      <c r="AV293">
        <v>0</v>
      </c>
      <c r="AW293">
        <v>2</v>
      </c>
      <c r="AX293">
        <v>56961084</v>
      </c>
      <c r="AY293">
        <v>1</v>
      </c>
      <c r="AZ293">
        <v>0</v>
      </c>
      <c r="BA293">
        <v>353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ROUND(Y293*Source!I399,9)</f>
        <v>0.252</v>
      </c>
      <c r="CY293">
        <f t="shared" si="154"/>
        <v>614.09</v>
      </c>
      <c r="CZ293">
        <f t="shared" si="155"/>
        <v>614.09</v>
      </c>
      <c r="DA293">
        <f t="shared" si="156"/>
        <v>1</v>
      </c>
      <c r="DB293">
        <f t="shared" si="157"/>
        <v>4.91</v>
      </c>
      <c r="DC293">
        <f t="shared" si="158"/>
        <v>0</v>
      </c>
      <c r="DD293" t="s">
        <v>3</v>
      </c>
      <c r="DE293" t="s">
        <v>3</v>
      </c>
      <c r="DF293">
        <f t="shared" si="152"/>
        <v>154.75</v>
      </c>
      <c r="DG293">
        <f t="shared" si="149"/>
        <v>0</v>
      </c>
      <c r="DH293">
        <f t="shared" si="150"/>
        <v>0</v>
      </c>
      <c r="DI293">
        <f t="shared" si="141"/>
        <v>0</v>
      </c>
      <c r="DJ293">
        <f t="shared" si="159"/>
        <v>154.75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ROW(Source!A399)</f>
        <v>399</v>
      </c>
      <c r="B294">
        <v>56959434</v>
      </c>
      <c r="C294">
        <v>56960240</v>
      </c>
      <c r="D294">
        <v>0</v>
      </c>
      <c r="E294">
        <v>1080</v>
      </c>
      <c r="F294">
        <v>1</v>
      </c>
      <c r="G294">
        <v>1080</v>
      </c>
      <c r="H294">
        <v>3</v>
      </c>
      <c r="I294" t="s">
        <v>99</v>
      </c>
      <c r="J294" t="s">
        <v>3</v>
      </c>
      <c r="K294" t="s">
        <v>100</v>
      </c>
      <c r="L294">
        <v>2698</v>
      </c>
      <c r="N294">
        <v>1013</v>
      </c>
      <c r="O294" t="s">
        <v>101</v>
      </c>
      <c r="P294" t="s">
        <v>101</v>
      </c>
      <c r="Q294">
        <v>1</v>
      </c>
      <c r="W294">
        <v>0</v>
      </c>
      <c r="X294">
        <v>1285757954</v>
      </c>
      <c r="Y294">
        <f t="shared" si="153"/>
        <v>102</v>
      </c>
      <c r="AA294">
        <v>5.08</v>
      </c>
      <c r="AB294">
        <v>0</v>
      </c>
      <c r="AC294">
        <v>0</v>
      </c>
      <c r="AD294">
        <v>0</v>
      </c>
      <c r="AE294">
        <v>5.08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102</v>
      </c>
      <c r="AU294" t="s">
        <v>3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ROUND(Y294*Source!I399,9)</f>
        <v>3213</v>
      </c>
      <c r="CY294">
        <f t="shared" si="154"/>
        <v>5.08</v>
      </c>
      <c r="CZ294">
        <f t="shared" si="155"/>
        <v>5.08</v>
      </c>
      <c r="DA294">
        <f t="shared" si="156"/>
        <v>1</v>
      </c>
      <c r="DB294">
        <f t="shared" si="157"/>
        <v>518.16</v>
      </c>
      <c r="DC294">
        <f t="shared" si="158"/>
        <v>0</v>
      </c>
      <c r="DD294" t="s">
        <v>3</v>
      </c>
      <c r="DE294" t="s">
        <v>3</v>
      </c>
      <c r="DF294">
        <f t="shared" si="152"/>
        <v>16322.04</v>
      </c>
      <c r="DG294">
        <f t="shared" si="149"/>
        <v>0</v>
      </c>
      <c r="DH294">
        <f t="shared" si="150"/>
        <v>0</v>
      </c>
      <c r="DI294">
        <f t="shared" si="141"/>
        <v>0</v>
      </c>
      <c r="DJ294">
        <f t="shared" si="159"/>
        <v>16322.04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ROW(Source!A400)</f>
        <v>400</v>
      </c>
      <c r="B295">
        <v>56959431</v>
      </c>
      <c r="C295">
        <v>56960240</v>
      </c>
      <c r="D295">
        <v>56018166</v>
      </c>
      <c r="E295">
        <v>1080</v>
      </c>
      <c r="F295">
        <v>1</v>
      </c>
      <c r="G295">
        <v>1080</v>
      </c>
      <c r="H295">
        <v>1</v>
      </c>
      <c r="I295" t="s">
        <v>500</v>
      </c>
      <c r="J295" t="s">
        <v>3</v>
      </c>
      <c r="K295" t="s">
        <v>501</v>
      </c>
      <c r="L295">
        <v>1191</v>
      </c>
      <c r="N295">
        <v>1013</v>
      </c>
      <c r="O295" t="s">
        <v>502</v>
      </c>
      <c r="P295" t="s">
        <v>502</v>
      </c>
      <c r="Q295">
        <v>1</v>
      </c>
      <c r="W295">
        <v>0</v>
      </c>
      <c r="X295">
        <v>476480486</v>
      </c>
      <c r="Y295">
        <f>(AT295*1.1)</f>
        <v>4.9390000000000009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5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4.49</v>
      </c>
      <c r="AU295" t="s">
        <v>23</v>
      </c>
      <c r="AV295">
        <v>1</v>
      </c>
      <c r="AW295">
        <v>2</v>
      </c>
      <c r="AX295">
        <v>56961076</v>
      </c>
      <c r="AY295">
        <v>1</v>
      </c>
      <c r="AZ295">
        <v>0</v>
      </c>
      <c r="BA295">
        <v>355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U295">
        <f>ROUND(AT295*Source!I400*AH295*AL295,2)</f>
        <v>0</v>
      </c>
      <c r="CV295">
        <f>ROUND(Y295*Source!I400,9)</f>
        <v>155.57849999999999</v>
      </c>
      <c r="CW295">
        <v>0</v>
      </c>
      <c r="CX295">
        <f>ROUND(Y295*Source!I400,9)</f>
        <v>155.57849999999999</v>
      </c>
      <c r="CY295">
        <f>AD295</f>
        <v>0</v>
      </c>
      <c r="CZ295">
        <f>AH295</f>
        <v>0</v>
      </c>
      <c r="DA295">
        <f>AL295</f>
        <v>1</v>
      </c>
      <c r="DB295">
        <f>ROUND((ROUND(AT295*CZ295,2)*1.1),6)</f>
        <v>0</v>
      </c>
      <c r="DC295">
        <f>ROUND((ROUND(AT295*AG295,2)*1.1),6)</f>
        <v>0</v>
      </c>
      <c r="DD295" t="s">
        <v>3</v>
      </c>
      <c r="DE295" t="s">
        <v>3</v>
      </c>
      <c r="DF295">
        <f t="shared" si="152"/>
        <v>0</v>
      </c>
      <c r="DG295">
        <f t="shared" si="149"/>
        <v>0</v>
      </c>
      <c r="DH295">
        <f t="shared" si="150"/>
        <v>0</v>
      </c>
      <c r="DI295">
        <f t="shared" si="141"/>
        <v>0</v>
      </c>
      <c r="DJ295">
        <f>DI295</f>
        <v>0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ROW(Source!A400)</f>
        <v>400</v>
      </c>
      <c r="B296">
        <v>56959431</v>
      </c>
      <c r="C296">
        <v>56960240</v>
      </c>
      <c r="D296">
        <v>56092340</v>
      </c>
      <c r="E296">
        <v>1</v>
      </c>
      <c r="F296">
        <v>1</v>
      </c>
      <c r="G296">
        <v>1080</v>
      </c>
      <c r="H296">
        <v>2</v>
      </c>
      <c r="I296" t="s">
        <v>503</v>
      </c>
      <c r="J296" t="s">
        <v>504</v>
      </c>
      <c r="K296" t="s">
        <v>505</v>
      </c>
      <c r="L296">
        <v>1368</v>
      </c>
      <c r="N296">
        <v>1011</v>
      </c>
      <c r="O296" t="s">
        <v>506</v>
      </c>
      <c r="P296" t="s">
        <v>506</v>
      </c>
      <c r="Q296">
        <v>1</v>
      </c>
      <c r="W296">
        <v>0</v>
      </c>
      <c r="X296">
        <v>-1985943078</v>
      </c>
      <c r="Y296">
        <f>(AT296*1.1)</f>
        <v>1.1000000000000001E-2</v>
      </c>
      <c r="AA296">
        <v>0</v>
      </c>
      <c r="AB296">
        <v>1418.19</v>
      </c>
      <c r="AC296">
        <v>726.59</v>
      </c>
      <c r="AD296">
        <v>0</v>
      </c>
      <c r="AE296">
        <v>0</v>
      </c>
      <c r="AF296">
        <v>83.1</v>
      </c>
      <c r="AG296">
        <v>12.62</v>
      </c>
      <c r="AH296">
        <v>0</v>
      </c>
      <c r="AI296">
        <v>1</v>
      </c>
      <c r="AJ296">
        <v>16.3</v>
      </c>
      <c r="AK296">
        <v>54.99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0.01</v>
      </c>
      <c r="AU296" t="s">
        <v>23</v>
      </c>
      <c r="AV296">
        <v>0</v>
      </c>
      <c r="AW296">
        <v>2</v>
      </c>
      <c r="AX296">
        <v>56961077</v>
      </c>
      <c r="AY296">
        <v>1</v>
      </c>
      <c r="AZ296">
        <v>0</v>
      </c>
      <c r="BA296">
        <v>356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f>ROUND(Y296*Source!I400*DO296,9)</f>
        <v>4.3728300000000004</v>
      </c>
      <c r="CX296">
        <f>ROUND(Y296*Source!I400,9)</f>
        <v>0.34649999999999997</v>
      </c>
      <c r="CY296">
        <f>AB296</f>
        <v>1418.19</v>
      </c>
      <c r="CZ296">
        <f>AF296</f>
        <v>83.1</v>
      </c>
      <c r="DA296">
        <f>AJ296</f>
        <v>16.3</v>
      </c>
      <c r="DB296">
        <f>ROUND((ROUND(AT296*CZ296,2)*1.1),6)</f>
        <v>0.91300000000000003</v>
      </c>
      <c r="DC296">
        <f>ROUND((ROUND(AT296*AG296,2)*1.1),6)</f>
        <v>0.14299999999999999</v>
      </c>
      <c r="DD296" t="s">
        <v>3</v>
      </c>
      <c r="DE296" t="s">
        <v>3</v>
      </c>
      <c r="DF296">
        <f t="shared" si="152"/>
        <v>0</v>
      </c>
      <c r="DG296">
        <f>ROUND(ROUND(AF296*AJ296,2)*CX296,2)</f>
        <v>469.34</v>
      </c>
      <c r="DH296">
        <f>ROUND(ROUND(AG296*AK296,2)*CX296,2)</f>
        <v>240.46</v>
      </c>
      <c r="DI296">
        <f t="shared" si="141"/>
        <v>0</v>
      </c>
      <c r="DJ296">
        <f>DG296</f>
        <v>469.34</v>
      </c>
      <c r="DK296">
        <v>0</v>
      </c>
      <c r="DL296" t="s">
        <v>507</v>
      </c>
      <c r="DM296">
        <v>0</v>
      </c>
      <c r="DN296" t="s">
        <v>502</v>
      </c>
      <c r="DO296">
        <v>12.62</v>
      </c>
    </row>
    <row r="297" spans="1:119" x14ac:dyDescent="0.2">
      <c r="A297">
        <f>ROW(Source!A400)</f>
        <v>400</v>
      </c>
      <c r="B297">
        <v>56959431</v>
      </c>
      <c r="C297">
        <v>56960240</v>
      </c>
      <c r="D297">
        <v>56091576</v>
      </c>
      <c r="E297">
        <v>1</v>
      </c>
      <c r="F297">
        <v>1</v>
      </c>
      <c r="G297">
        <v>1080</v>
      </c>
      <c r="H297">
        <v>2</v>
      </c>
      <c r="I297" t="s">
        <v>529</v>
      </c>
      <c r="J297" t="s">
        <v>530</v>
      </c>
      <c r="K297" t="s">
        <v>531</v>
      </c>
      <c r="L297">
        <v>1368</v>
      </c>
      <c r="N297">
        <v>1011</v>
      </c>
      <c r="O297" t="s">
        <v>506</v>
      </c>
      <c r="P297" t="s">
        <v>506</v>
      </c>
      <c r="Q297">
        <v>1</v>
      </c>
      <c r="W297">
        <v>0</v>
      </c>
      <c r="X297">
        <v>1087580389</v>
      </c>
      <c r="Y297">
        <f>(AT297*1.1)</f>
        <v>1.1000000000000001E-2</v>
      </c>
      <c r="AA297">
        <v>0</v>
      </c>
      <c r="AB297">
        <v>2579.38</v>
      </c>
      <c r="AC297">
        <v>974.74</v>
      </c>
      <c r="AD297">
        <v>0</v>
      </c>
      <c r="AE297">
        <v>0</v>
      </c>
      <c r="AF297">
        <v>179.17</v>
      </c>
      <c r="AG297">
        <v>16.93</v>
      </c>
      <c r="AH297">
        <v>0</v>
      </c>
      <c r="AI297">
        <v>1</v>
      </c>
      <c r="AJ297">
        <v>13.75</v>
      </c>
      <c r="AK297">
        <v>54.99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0.01</v>
      </c>
      <c r="AU297" t="s">
        <v>23</v>
      </c>
      <c r="AV297">
        <v>0</v>
      </c>
      <c r="AW297">
        <v>2</v>
      </c>
      <c r="AX297">
        <v>56961078</v>
      </c>
      <c r="AY297">
        <v>1</v>
      </c>
      <c r="AZ297">
        <v>0</v>
      </c>
      <c r="BA297">
        <v>357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f>ROUND(Y297*Source!I400*DO297,9)</f>
        <v>5.8662450000000002</v>
      </c>
      <c r="CX297">
        <f>ROUND(Y297*Source!I400,9)</f>
        <v>0.34649999999999997</v>
      </c>
      <c r="CY297">
        <f>AB297</f>
        <v>2579.38</v>
      </c>
      <c r="CZ297">
        <f>AF297</f>
        <v>179.17</v>
      </c>
      <c r="DA297">
        <f>AJ297</f>
        <v>13.75</v>
      </c>
      <c r="DB297">
        <f>ROUND((ROUND(AT297*CZ297,2)*1.1),6)</f>
        <v>1.9690000000000001</v>
      </c>
      <c r="DC297">
        <f>ROUND((ROUND(AT297*AG297,2)*1.1),6)</f>
        <v>0.187</v>
      </c>
      <c r="DD297" t="s">
        <v>3</v>
      </c>
      <c r="DE297" t="s">
        <v>3</v>
      </c>
      <c r="DF297">
        <f t="shared" si="152"/>
        <v>0</v>
      </c>
      <c r="DG297">
        <f>ROUND(ROUND(AF297*AJ297,2)*CX297,2)</f>
        <v>853.63</v>
      </c>
      <c r="DH297">
        <f>ROUND(ROUND(AG297*AK297,2)*CX297,2)</f>
        <v>322.58</v>
      </c>
      <c r="DI297">
        <f t="shared" si="141"/>
        <v>0</v>
      </c>
      <c r="DJ297">
        <f>DG297</f>
        <v>853.63</v>
      </c>
      <c r="DK297">
        <v>0</v>
      </c>
      <c r="DL297" t="s">
        <v>507</v>
      </c>
      <c r="DM297">
        <v>0</v>
      </c>
      <c r="DN297" t="s">
        <v>502</v>
      </c>
      <c r="DO297">
        <v>16.93</v>
      </c>
    </row>
    <row r="298" spans="1:119" x14ac:dyDescent="0.2">
      <c r="A298">
        <f>ROW(Source!A400)</f>
        <v>400</v>
      </c>
      <c r="B298">
        <v>56959431</v>
      </c>
      <c r="C298">
        <v>56960240</v>
      </c>
      <c r="D298">
        <v>56061373</v>
      </c>
      <c r="E298">
        <v>1</v>
      </c>
      <c r="F298">
        <v>1</v>
      </c>
      <c r="G298">
        <v>1080</v>
      </c>
      <c r="H298">
        <v>3</v>
      </c>
      <c r="I298" t="s">
        <v>532</v>
      </c>
      <c r="J298" t="s">
        <v>533</v>
      </c>
      <c r="K298" t="s">
        <v>534</v>
      </c>
      <c r="L298">
        <v>1346</v>
      </c>
      <c r="N298">
        <v>1009</v>
      </c>
      <c r="O298" t="s">
        <v>249</v>
      </c>
      <c r="P298" t="s">
        <v>249</v>
      </c>
      <c r="Q298">
        <v>1</v>
      </c>
      <c r="W298">
        <v>0</v>
      </c>
      <c r="X298">
        <v>1770006655</v>
      </c>
      <c r="Y298">
        <f t="shared" ref="Y298:Y304" si="160">AT298</f>
        <v>0.43</v>
      </c>
      <c r="AA298">
        <v>29.73</v>
      </c>
      <c r="AB298">
        <v>0</v>
      </c>
      <c r="AC298">
        <v>0</v>
      </c>
      <c r="AD298">
        <v>0</v>
      </c>
      <c r="AE298">
        <v>1.38</v>
      </c>
      <c r="AF298">
        <v>0</v>
      </c>
      <c r="AG298">
        <v>0</v>
      </c>
      <c r="AH298">
        <v>0</v>
      </c>
      <c r="AI298">
        <v>21.54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0.43</v>
      </c>
      <c r="AU298" t="s">
        <v>3</v>
      </c>
      <c r="AV298">
        <v>0</v>
      </c>
      <c r="AW298">
        <v>2</v>
      </c>
      <c r="AX298">
        <v>56961079</v>
      </c>
      <c r="AY298">
        <v>1</v>
      </c>
      <c r="AZ298">
        <v>0</v>
      </c>
      <c r="BA298">
        <v>358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ROUND(Y298*Source!I400,9)</f>
        <v>13.545</v>
      </c>
      <c r="CY298">
        <f t="shared" ref="CY298:CY304" si="161">AA298</f>
        <v>29.73</v>
      </c>
      <c r="CZ298">
        <f t="shared" ref="CZ298:CZ304" si="162">AE298</f>
        <v>1.38</v>
      </c>
      <c r="DA298">
        <f t="shared" ref="DA298:DA304" si="163">AI298</f>
        <v>21.54</v>
      </c>
      <c r="DB298">
        <f t="shared" ref="DB298:DB304" si="164">ROUND(ROUND(AT298*CZ298,2),6)</f>
        <v>0.59</v>
      </c>
      <c r="DC298">
        <f t="shared" ref="DC298:DC304" si="165">ROUND(ROUND(AT298*AG298,2),6)</f>
        <v>0</v>
      </c>
      <c r="DD298" t="s">
        <v>3</v>
      </c>
      <c r="DE298" t="s">
        <v>3</v>
      </c>
      <c r="DF298">
        <f t="shared" ref="DF298:DF304" si="166">ROUND(ROUND(AE298*AI298,2)*CX298,2)</f>
        <v>402.69</v>
      </c>
      <c r="DG298">
        <f t="shared" ref="DG298:DG308" si="167">ROUND(ROUND(AF298,2)*CX298,2)</f>
        <v>0</v>
      </c>
      <c r="DH298">
        <f t="shared" ref="DH298:DH308" si="168">ROUND(ROUND(AG298,2)*CX298,2)</f>
        <v>0</v>
      </c>
      <c r="DI298">
        <f t="shared" si="141"/>
        <v>0</v>
      </c>
      <c r="DJ298">
        <f t="shared" ref="DJ298:DJ304" si="169">DF298</f>
        <v>402.69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ROW(Source!A400)</f>
        <v>400</v>
      </c>
      <c r="B299">
        <v>56959431</v>
      </c>
      <c r="C299">
        <v>56960240</v>
      </c>
      <c r="D299">
        <v>56061764</v>
      </c>
      <c r="E299">
        <v>1</v>
      </c>
      <c r="F299">
        <v>1</v>
      </c>
      <c r="G299">
        <v>1080</v>
      </c>
      <c r="H299">
        <v>3</v>
      </c>
      <c r="I299" t="s">
        <v>535</v>
      </c>
      <c r="J299" t="s">
        <v>536</v>
      </c>
      <c r="K299" t="s">
        <v>537</v>
      </c>
      <c r="L299">
        <v>1346</v>
      </c>
      <c r="N299">
        <v>1009</v>
      </c>
      <c r="O299" t="s">
        <v>249</v>
      </c>
      <c r="P299" t="s">
        <v>249</v>
      </c>
      <c r="Q299">
        <v>1</v>
      </c>
      <c r="W299">
        <v>0</v>
      </c>
      <c r="X299">
        <v>-878159893</v>
      </c>
      <c r="Y299">
        <f t="shared" si="160"/>
        <v>0.16</v>
      </c>
      <c r="AA299">
        <v>286.31</v>
      </c>
      <c r="AB299">
        <v>0</v>
      </c>
      <c r="AC299">
        <v>0</v>
      </c>
      <c r="AD299">
        <v>0</v>
      </c>
      <c r="AE299">
        <v>159.06</v>
      </c>
      <c r="AF299">
        <v>0</v>
      </c>
      <c r="AG299">
        <v>0</v>
      </c>
      <c r="AH299">
        <v>0</v>
      </c>
      <c r="AI299">
        <v>1.8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0.16</v>
      </c>
      <c r="AU299" t="s">
        <v>3</v>
      </c>
      <c r="AV299">
        <v>0</v>
      </c>
      <c r="AW299">
        <v>2</v>
      </c>
      <c r="AX299">
        <v>56961080</v>
      </c>
      <c r="AY299">
        <v>1</v>
      </c>
      <c r="AZ299">
        <v>0</v>
      </c>
      <c r="BA299">
        <v>359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ROUND(Y299*Source!I400,9)</f>
        <v>5.04</v>
      </c>
      <c r="CY299">
        <f t="shared" si="161"/>
        <v>286.31</v>
      </c>
      <c r="CZ299">
        <f t="shared" si="162"/>
        <v>159.06</v>
      </c>
      <c r="DA299">
        <f t="shared" si="163"/>
        <v>1.8</v>
      </c>
      <c r="DB299">
        <f t="shared" si="164"/>
        <v>25.45</v>
      </c>
      <c r="DC299">
        <f t="shared" si="165"/>
        <v>0</v>
      </c>
      <c r="DD299" t="s">
        <v>3</v>
      </c>
      <c r="DE299" t="s">
        <v>3</v>
      </c>
      <c r="DF299">
        <f t="shared" si="166"/>
        <v>1443</v>
      </c>
      <c r="DG299">
        <f t="shared" si="167"/>
        <v>0</v>
      </c>
      <c r="DH299">
        <f t="shared" si="168"/>
        <v>0</v>
      </c>
      <c r="DI299">
        <f t="shared" si="141"/>
        <v>0</v>
      </c>
      <c r="DJ299">
        <f t="shared" si="169"/>
        <v>1443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ROW(Source!A400)</f>
        <v>400</v>
      </c>
      <c r="B300">
        <v>56959431</v>
      </c>
      <c r="C300">
        <v>56960240</v>
      </c>
      <c r="D300">
        <v>56084707</v>
      </c>
      <c r="E300">
        <v>1</v>
      </c>
      <c r="F300">
        <v>1</v>
      </c>
      <c r="G300">
        <v>1080</v>
      </c>
      <c r="H300">
        <v>3</v>
      </c>
      <c r="I300" t="s">
        <v>538</v>
      </c>
      <c r="J300" t="s">
        <v>539</v>
      </c>
      <c r="K300" t="s">
        <v>540</v>
      </c>
      <c r="L300">
        <v>1355</v>
      </c>
      <c r="N300">
        <v>1010</v>
      </c>
      <c r="O300" t="s">
        <v>520</v>
      </c>
      <c r="P300" t="s">
        <v>520</v>
      </c>
      <c r="Q300">
        <v>100</v>
      </c>
      <c r="W300">
        <v>0</v>
      </c>
      <c r="X300">
        <v>-456781043</v>
      </c>
      <c r="Y300">
        <f t="shared" si="160"/>
        <v>0.05</v>
      </c>
      <c r="AA300">
        <v>1102.5</v>
      </c>
      <c r="AB300">
        <v>0</v>
      </c>
      <c r="AC300">
        <v>0</v>
      </c>
      <c r="AD300">
        <v>0</v>
      </c>
      <c r="AE300">
        <v>68.819999999999993</v>
      </c>
      <c r="AF300">
        <v>0</v>
      </c>
      <c r="AG300">
        <v>0</v>
      </c>
      <c r="AH300">
        <v>0</v>
      </c>
      <c r="AI300">
        <v>16.02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0.05</v>
      </c>
      <c r="AU300" t="s">
        <v>3</v>
      </c>
      <c r="AV300">
        <v>0</v>
      </c>
      <c r="AW300">
        <v>2</v>
      </c>
      <c r="AX300">
        <v>56961081</v>
      </c>
      <c r="AY300">
        <v>1</v>
      </c>
      <c r="AZ300">
        <v>0</v>
      </c>
      <c r="BA300">
        <v>360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ROUND(Y300*Source!I400,9)</f>
        <v>1.575</v>
      </c>
      <c r="CY300">
        <f t="shared" si="161"/>
        <v>1102.5</v>
      </c>
      <c r="CZ300">
        <f t="shared" si="162"/>
        <v>68.819999999999993</v>
      </c>
      <c r="DA300">
        <f t="shared" si="163"/>
        <v>16.02</v>
      </c>
      <c r="DB300">
        <f t="shared" si="164"/>
        <v>3.44</v>
      </c>
      <c r="DC300">
        <f t="shared" si="165"/>
        <v>0</v>
      </c>
      <c r="DD300" t="s">
        <v>3</v>
      </c>
      <c r="DE300" t="s">
        <v>3</v>
      </c>
      <c r="DF300">
        <f t="shared" si="166"/>
        <v>1736.44</v>
      </c>
      <c r="DG300">
        <f t="shared" si="167"/>
        <v>0</v>
      </c>
      <c r="DH300">
        <f t="shared" si="168"/>
        <v>0</v>
      </c>
      <c r="DI300">
        <f t="shared" si="141"/>
        <v>0</v>
      </c>
      <c r="DJ300">
        <f t="shared" si="169"/>
        <v>1736.44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ROW(Source!A400)</f>
        <v>400</v>
      </c>
      <c r="B301">
        <v>56959431</v>
      </c>
      <c r="C301">
        <v>56960240</v>
      </c>
      <c r="D301">
        <v>56084718</v>
      </c>
      <c r="E301">
        <v>1</v>
      </c>
      <c r="F301">
        <v>1</v>
      </c>
      <c r="G301">
        <v>1080</v>
      </c>
      <c r="H301">
        <v>3</v>
      </c>
      <c r="I301" t="s">
        <v>541</v>
      </c>
      <c r="J301" t="s">
        <v>542</v>
      </c>
      <c r="K301" t="s">
        <v>543</v>
      </c>
      <c r="L301">
        <v>1356</v>
      </c>
      <c r="N301">
        <v>1010</v>
      </c>
      <c r="O301" t="s">
        <v>544</v>
      </c>
      <c r="P301" t="s">
        <v>544</v>
      </c>
      <c r="Q301">
        <v>1000</v>
      </c>
      <c r="W301">
        <v>0</v>
      </c>
      <c r="X301">
        <v>1726193810</v>
      </c>
      <c r="Y301">
        <f t="shared" si="160"/>
        <v>1.2200000000000001E-2</v>
      </c>
      <c r="AA301">
        <v>1318.65</v>
      </c>
      <c r="AB301">
        <v>0</v>
      </c>
      <c r="AC301">
        <v>0</v>
      </c>
      <c r="AD301">
        <v>0</v>
      </c>
      <c r="AE301">
        <v>183.4</v>
      </c>
      <c r="AF301">
        <v>0</v>
      </c>
      <c r="AG301">
        <v>0</v>
      </c>
      <c r="AH301">
        <v>0</v>
      </c>
      <c r="AI301">
        <v>7.19</v>
      </c>
      <c r="AJ301">
        <v>1</v>
      </c>
      <c r="AK301">
        <v>1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1.2200000000000001E-2</v>
      </c>
      <c r="AU301" t="s">
        <v>3</v>
      </c>
      <c r="AV301">
        <v>0</v>
      </c>
      <c r="AW301">
        <v>2</v>
      </c>
      <c r="AX301">
        <v>56961082</v>
      </c>
      <c r="AY301">
        <v>1</v>
      </c>
      <c r="AZ301">
        <v>0</v>
      </c>
      <c r="BA301">
        <v>361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ROUND(Y301*Source!I400,9)</f>
        <v>0.38429999999999997</v>
      </c>
      <c r="CY301">
        <f t="shared" si="161"/>
        <v>1318.65</v>
      </c>
      <c r="CZ301">
        <f t="shared" si="162"/>
        <v>183.4</v>
      </c>
      <c r="DA301">
        <f t="shared" si="163"/>
        <v>7.19</v>
      </c>
      <c r="DB301">
        <f t="shared" si="164"/>
        <v>2.2400000000000002</v>
      </c>
      <c r="DC301">
        <f t="shared" si="165"/>
        <v>0</v>
      </c>
      <c r="DD301" t="s">
        <v>3</v>
      </c>
      <c r="DE301" t="s">
        <v>3</v>
      </c>
      <c r="DF301">
        <f t="shared" si="166"/>
        <v>506.76</v>
      </c>
      <c r="DG301">
        <f t="shared" si="167"/>
        <v>0</v>
      </c>
      <c r="DH301">
        <f t="shared" si="168"/>
        <v>0</v>
      </c>
      <c r="DI301">
        <f t="shared" si="141"/>
        <v>0</v>
      </c>
      <c r="DJ301">
        <f t="shared" si="169"/>
        <v>506.76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ROW(Source!A400)</f>
        <v>400</v>
      </c>
      <c r="B302">
        <v>56959431</v>
      </c>
      <c r="C302">
        <v>56960240</v>
      </c>
      <c r="D302">
        <v>56084044</v>
      </c>
      <c r="E302">
        <v>1</v>
      </c>
      <c r="F302">
        <v>1</v>
      </c>
      <c r="G302">
        <v>1080</v>
      </c>
      <c r="H302">
        <v>3</v>
      </c>
      <c r="I302" t="s">
        <v>545</v>
      </c>
      <c r="J302" t="s">
        <v>546</v>
      </c>
      <c r="K302" t="s">
        <v>547</v>
      </c>
      <c r="L302">
        <v>1354</v>
      </c>
      <c r="N302">
        <v>1010</v>
      </c>
      <c r="O302" t="s">
        <v>31</v>
      </c>
      <c r="P302" t="s">
        <v>31</v>
      </c>
      <c r="Q302">
        <v>1</v>
      </c>
      <c r="W302">
        <v>0</v>
      </c>
      <c r="X302">
        <v>145081611</v>
      </c>
      <c r="Y302">
        <f t="shared" si="160"/>
        <v>3.1</v>
      </c>
      <c r="AA302">
        <v>25.47</v>
      </c>
      <c r="AB302">
        <v>0</v>
      </c>
      <c r="AC302">
        <v>0</v>
      </c>
      <c r="AD302">
        <v>0</v>
      </c>
      <c r="AE302">
        <v>6.94</v>
      </c>
      <c r="AF302">
        <v>0</v>
      </c>
      <c r="AG302">
        <v>0</v>
      </c>
      <c r="AH302">
        <v>0</v>
      </c>
      <c r="AI302">
        <v>3.67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3.1</v>
      </c>
      <c r="AU302" t="s">
        <v>3</v>
      </c>
      <c r="AV302">
        <v>0</v>
      </c>
      <c r="AW302">
        <v>2</v>
      </c>
      <c r="AX302">
        <v>56961083</v>
      </c>
      <c r="AY302">
        <v>1</v>
      </c>
      <c r="AZ302">
        <v>0</v>
      </c>
      <c r="BA302">
        <v>362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ROUND(Y302*Source!I400,9)</f>
        <v>97.65</v>
      </c>
      <c r="CY302">
        <f t="shared" si="161"/>
        <v>25.47</v>
      </c>
      <c r="CZ302">
        <f t="shared" si="162"/>
        <v>6.94</v>
      </c>
      <c r="DA302">
        <f t="shared" si="163"/>
        <v>3.67</v>
      </c>
      <c r="DB302">
        <f t="shared" si="164"/>
        <v>21.51</v>
      </c>
      <c r="DC302">
        <f t="shared" si="165"/>
        <v>0</v>
      </c>
      <c r="DD302" t="s">
        <v>3</v>
      </c>
      <c r="DE302" t="s">
        <v>3</v>
      </c>
      <c r="DF302">
        <f t="shared" si="166"/>
        <v>2487.15</v>
      </c>
      <c r="DG302">
        <f t="shared" si="167"/>
        <v>0</v>
      </c>
      <c r="DH302">
        <f t="shared" si="168"/>
        <v>0</v>
      </c>
      <c r="DI302">
        <f t="shared" si="141"/>
        <v>0</v>
      </c>
      <c r="DJ302">
        <f t="shared" si="169"/>
        <v>2487.15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ROW(Source!A400)</f>
        <v>400</v>
      </c>
      <c r="B303">
        <v>56959431</v>
      </c>
      <c r="C303">
        <v>56960240</v>
      </c>
      <c r="D303">
        <v>56084051</v>
      </c>
      <c r="E303">
        <v>1</v>
      </c>
      <c r="F303">
        <v>1</v>
      </c>
      <c r="G303">
        <v>1080</v>
      </c>
      <c r="H303">
        <v>3</v>
      </c>
      <c r="I303" t="s">
        <v>548</v>
      </c>
      <c r="J303" t="s">
        <v>549</v>
      </c>
      <c r="K303" t="s">
        <v>550</v>
      </c>
      <c r="L303">
        <v>1356</v>
      </c>
      <c r="N303">
        <v>1010</v>
      </c>
      <c r="O303" t="s">
        <v>544</v>
      </c>
      <c r="P303" t="s">
        <v>544</v>
      </c>
      <c r="Q303">
        <v>1000</v>
      </c>
      <c r="W303">
        <v>0</v>
      </c>
      <c r="X303">
        <v>-1715273674</v>
      </c>
      <c r="Y303">
        <f t="shared" si="160"/>
        <v>8.0000000000000002E-3</v>
      </c>
      <c r="AA303">
        <v>786.04</v>
      </c>
      <c r="AB303">
        <v>0</v>
      </c>
      <c r="AC303">
        <v>0</v>
      </c>
      <c r="AD303">
        <v>0</v>
      </c>
      <c r="AE303">
        <v>614.09</v>
      </c>
      <c r="AF303">
        <v>0</v>
      </c>
      <c r="AG303">
        <v>0</v>
      </c>
      <c r="AH303">
        <v>0</v>
      </c>
      <c r="AI303">
        <v>1.28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8.0000000000000002E-3</v>
      </c>
      <c r="AU303" t="s">
        <v>3</v>
      </c>
      <c r="AV303">
        <v>0</v>
      </c>
      <c r="AW303">
        <v>2</v>
      </c>
      <c r="AX303">
        <v>56961084</v>
      </c>
      <c r="AY303">
        <v>1</v>
      </c>
      <c r="AZ303">
        <v>0</v>
      </c>
      <c r="BA303">
        <v>363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ROUND(Y303*Source!I400,9)</f>
        <v>0.252</v>
      </c>
      <c r="CY303">
        <f t="shared" si="161"/>
        <v>786.04</v>
      </c>
      <c r="CZ303">
        <f t="shared" si="162"/>
        <v>614.09</v>
      </c>
      <c r="DA303">
        <f t="shared" si="163"/>
        <v>1.28</v>
      </c>
      <c r="DB303">
        <f t="shared" si="164"/>
        <v>4.91</v>
      </c>
      <c r="DC303">
        <f t="shared" si="165"/>
        <v>0</v>
      </c>
      <c r="DD303" t="s">
        <v>3</v>
      </c>
      <c r="DE303" t="s">
        <v>3</v>
      </c>
      <c r="DF303">
        <f t="shared" si="166"/>
        <v>198.08</v>
      </c>
      <c r="DG303">
        <f t="shared" si="167"/>
        <v>0</v>
      </c>
      <c r="DH303">
        <f t="shared" si="168"/>
        <v>0</v>
      </c>
      <c r="DI303">
        <f t="shared" si="141"/>
        <v>0</v>
      </c>
      <c r="DJ303">
        <f t="shared" si="169"/>
        <v>198.08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ROW(Source!A400)</f>
        <v>400</v>
      </c>
      <c r="B304">
        <v>56959431</v>
      </c>
      <c r="C304">
        <v>56960240</v>
      </c>
      <c r="D304">
        <v>0</v>
      </c>
      <c r="E304">
        <v>1080</v>
      </c>
      <c r="F304">
        <v>1</v>
      </c>
      <c r="G304">
        <v>1080</v>
      </c>
      <c r="H304">
        <v>3</v>
      </c>
      <c r="I304" t="s">
        <v>99</v>
      </c>
      <c r="J304" t="s">
        <v>3</v>
      </c>
      <c r="K304" t="s">
        <v>100</v>
      </c>
      <c r="L304">
        <v>2698</v>
      </c>
      <c r="N304">
        <v>1013</v>
      </c>
      <c r="O304" t="s">
        <v>101</v>
      </c>
      <c r="P304" t="s">
        <v>101</v>
      </c>
      <c r="Q304">
        <v>1</v>
      </c>
      <c r="W304">
        <v>0</v>
      </c>
      <c r="X304">
        <v>1285757954</v>
      </c>
      <c r="Y304">
        <f t="shared" si="160"/>
        <v>102</v>
      </c>
      <c r="AA304">
        <v>50.19</v>
      </c>
      <c r="AB304">
        <v>0</v>
      </c>
      <c r="AC304">
        <v>0</v>
      </c>
      <c r="AD304">
        <v>0</v>
      </c>
      <c r="AE304">
        <v>5.08</v>
      </c>
      <c r="AF304">
        <v>0</v>
      </c>
      <c r="AG304">
        <v>0</v>
      </c>
      <c r="AH304">
        <v>0</v>
      </c>
      <c r="AI304">
        <v>9.8800000000000008</v>
      </c>
      <c r="AJ304">
        <v>1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 t="s">
        <v>3</v>
      </c>
      <c r="AT304">
        <v>102</v>
      </c>
      <c r="AU304" t="s">
        <v>3</v>
      </c>
      <c r="AV304">
        <v>0</v>
      </c>
      <c r="AW304">
        <v>1</v>
      </c>
      <c r="AX304">
        <v>-1</v>
      </c>
      <c r="AY304">
        <v>0</v>
      </c>
      <c r="AZ304">
        <v>0</v>
      </c>
      <c r="BA304" t="s">
        <v>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ROUND(Y304*Source!I400,9)</f>
        <v>3213</v>
      </c>
      <c r="CY304">
        <f t="shared" si="161"/>
        <v>50.19</v>
      </c>
      <c r="CZ304">
        <f t="shared" si="162"/>
        <v>5.08</v>
      </c>
      <c r="DA304">
        <f t="shared" si="163"/>
        <v>9.8800000000000008</v>
      </c>
      <c r="DB304">
        <f t="shared" si="164"/>
        <v>518.16</v>
      </c>
      <c r="DC304">
        <f t="shared" si="165"/>
        <v>0</v>
      </c>
      <c r="DD304" t="s">
        <v>3</v>
      </c>
      <c r="DE304" t="s">
        <v>3</v>
      </c>
      <c r="DF304">
        <f t="shared" si="166"/>
        <v>161260.47</v>
      </c>
      <c r="DG304">
        <f t="shared" si="167"/>
        <v>0</v>
      </c>
      <c r="DH304">
        <f t="shared" si="168"/>
        <v>0</v>
      </c>
      <c r="DI304">
        <f t="shared" si="141"/>
        <v>0</v>
      </c>
      <c r="DJ304">
        <f t="shared" si="169"/>
        <v>161260.47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ROW(Source!A438)</f>
        <v>438</v>
      </c>
      <c r="B305">
        <v>56959434</v>
      </c>
      <c r="C305">
        <v>56960318</v>
      </c>
      <c r="D305">
        <v>56018166</v>
      </c>
      <c r="E305">
        <v>1080</v>
      </c>
      <c r="F305">
        <v>1</v>
      </c>
      <c r="G305">
        <v>1080</v>
      </c>
      <c r="H305">
        <v>1</v>
      </c>
      <c r="I305" t="s">
        <v>500</v>
      </c>
      <c r="J305" t="s">
        <v>3</v>
      </c>
      <c r="K305" t="s">
        <v>501</v>
      </c>
      <c r="L305">
        <v>1191</v>
      </c>
      <c r="N305">
        <v>1013</v>
      </c>
      <c r="O305" t="s">
        <v>502</v>
      </c>
      <c r="P305" t="s">
        <v>502</v>
      </c>
      <c r="Q305">
        <v>1</v>
      </c>
      <c r="W305">
        <v>0</v>
      </c>
      <c r="X305">
        <v>476480486</v>
      </c>
      <c r="Y305">
        <f t="shared" ref="Y305:Y318" si="170">(AT305*1.1)</f>
        <v>0.57200000000000006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0.52</v>
      </c>
      <c r="AU305" t="s">
        <v>23</v>
      </c>
      <c r="AV305">
        <v>1</v>
      </c>
      <c r="AW305">
        <v>2</v>
      </c>
      <c r="AX305">
        <v>56961086</v>
      </c>
      <c r="AY305">
        <v>1</v>
      </c>
      <c r="AZ305">
        <v>0</v>
      </c>
      <c r="BA305">
        <v>365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U305">
        <f>ROUND(AT305*Source!I438*AH305*AL305,2)</f>
        <v>0</v>
      </c>
      <c r="CV305">
        <f>ROUND(Y305*Source!I438,9)</f>
        <v>5.72</v>
      </c>
      <c r="CW305">
        <v>0</v>
      </c>
      <c r="CX305">
        <f>ROUND(Y305*Source!I438,9)</f>
        <v>5.72</v>
      </c>
      <c r="CY305">
        <f>AD305</f>
        <v>0</v>
      </c>
      <c r="CZ305">
        <f>AH305</f>
        <v>0</v>
      </c>
      <c r="DA305">
        <f>AL305</f>
        <v>1</v>
      </c>
      <c r="DB305">
        <f t="shared" ref="DB305:DB318" si="171">ROUND((ROUND(AT305*CZ305,2)*1.1),6)</f>
        <v>0</v>
      </c>
      <c r="DC305">
        <f t="shared" ref="DC305:DC318" si="172">ROUND((ROUND(AT305*AG305,2)*1.1),6)</f>
        <v>0</v>
      </c>
      <c r="DD305" t="s">
        <v>3</v>
      </c>
      <c r="DE305" t="s">
        <v>3</v>
      </c>
      <c r="DF305">
        <f t="shared" ref="DF305:DF324" si="173">ROUND(ROUND(AE305,2)*CX305,2)</f>
        <v>0</v>
      </c>
      <c r="DG305">
        <f t="shared" si="167"/>
        <v>0</v>
      </c>
      <c r="DH305">
        <f t="shared" si="168"/>
        <v>0</v>
      </c>
      <c r="DI305">
        <f t="shared" si="141"/>
        <v>0</v>
      </c>
      <c r="DJ305">
        <f>DI305</f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ROW(Source!A438)</f>
        <v>438</v>
      </c>
      <c r="B306">
        <v>56959434</v>
      </c>
      <c r="C306">
        <v>56960318</v>
      </c>
      <c r="D306">
        <v>56092340</v>
      </c>
      <c r="E306">
        <v>1</v>
      </c>
      <c r="F306">
        <v>1</v>
      </c>
      <c r="G306">
        <v>1080</v>
      </c>
      <c r="H306">
        <v>2</v>
      </c>
      <c r="I306" t="s">
        <v>503</v>
      </c>
      <c r="J306" t="s">
        <v>504</v>
      </c>
      <c r="K306" t="s">
        <v>505</v>
      </c>
      <c r="L306">
        <v>1368</v>
      </c>
      <c r="N306">
        <v>1011</v>
      </c>
      <c r="O306" t="s">
        <v>506</v>
      </c>
      <c r="P306" t="s">
        <v>506</v>
      </c>
      <c r="Q306">
        <v>1</v>
      </c>
      <c r="W306">
        <v>0</v>
      </c>
      <c r="X306">
        <v>-1985943078</v>
      </c>
      <c r="Y306">
        <f t="shared" si="170"/>
        <v>2.2000000000000002E-2</v>
      </c>
      <c r="AA306">
        <v>0</v>
      </c>
      <c r="AB306">
        <v>87.01</v>
      </c>
      <c r="AC306">
        <v>13.21</v>
      </c>
      <c r="AD306">
        <v>0</v>
      </c>
      <c r="AE306">
        <v>0</v>
      </c>
      <c r="AF306">
        <v>83.1</v>
      </c>
      <c r="AG306">
        <v>12.62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0.02</v>
      </c>
      <c r="AU306" t="s">
        <v>23</v>
      </c>
      <c r="AV306">
        <v>0</v>
      </c>
      <c r="AW306">
        <v>2</v>
      </c>
      <c r="AX306">
        <v>56961087</v>
      </c>
      <c r="AY306">
        <v>1</v>
      </c>
      <c r="AZ306">
        <v>0</v>
      </c>
      <c r="BA306">
        <v>366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ROUND(Y306*Source!I438*DO306,9)</f>
        <v>2.7764000000000002</v>
      </c>
      <c r="CX306">
        <f>ROUND(Y306*Source!I438,9)</f>
        <v>0.22</v>
      </c>
      <c r="CY306">
        <f>AB306</f>
        <v>87.01</v>
      </c>
      <c r="CZ306">
        <f>AF306</f>
        <v>83.1</v>
      </c>
      <c r="DA306">
        <f>AJ306</f>
        <v>1</v>
      </c>
      <c r="DB306">
        <f t="shared" si="171"/>
        <v>1.8260000000000001</v>
      </c>
      <c r="DC306">
        <f t="shared" si="172"/>
        <v>0.27500000000000002</v>
      </c>
      <c r="DD306" t="s">
        <v>3</v>
      </c>
      <c r="DE306" t="s">
        <v>3</v>
      </c>
      <c r="DF306">
        <f t="shared" si="173"/>
        <v>0</v>
      </c>
      <c r="DG306">
        <f t="shared" si="167"/>
        <v>18.28</v>
      </c>
      <c r="DH306">
        <f t="shared" si="168"/>
        <v>2.78</v>
      </c>
      <c r="DI306">
        <f t="shared" si="141"/>
        <v>0</v>
      </c>
      <c r="DJ306">
        <f>DG306</f>
        <v>18.28</v>
      </c>
      <c r="DK306">
        <v>0</v>
      </c>
      <c r="DL306" t="s">
        <v>507</v>
      </c>
      <c r="DM306">
        <v>0</v>
      </c>
      <c r="DN306" t="s">
        <v>502</v>
      </c>
      <c r="DO306">
        <v>12.62</v>
      </c>
    </row>
    <row r="307" spans="1:119" x14ac:dyDescent="0.2">
      <c r="A307">
        <f>ROW(Source!A438)</f>
        <v>438</v>
      </c>
      <c r="B307">
        <v>56959434</v>
      </c>
      <c r="C307">
        <v>56960318</v>
      </c>
      <c r="D307">
        <v>56091652</v>
      </c>
      <c r="E307">
        <v>1</v>
      </c>
      <c r="F307">
        <v>1</v>
      </c>
      <c r="G307">
        <v>1080</v>
      </c>
      <c r="H307">
        <v>2</v>
      </c>
      <c r="I307" t="s">
        <v>599</v>
      </c>
      <c r="J307" t="s">
        <v>600</v>
      </c>
      <c r="K307" t="s">
        <v>601</v>
      </c>
      <c r="L307">
        <v>1368</v>
      </c>
      <c r="N307">
        <v>1011</v>
      </c>
      <c r="O307" t="s">
        <v>506</v>
      </c>
      <c r="P307" t="s">
        <v>506</v>
      </c>
      <c r="Q307">
        <v>1</v>
      </c>
      <c r="W307">
        <v>0</v>
      </c>
      <c r="X307">
        <v>1362397990</v>
      </c>
      <c r="Y307">
        <f t="shared" si="170"/>
        <v>0.22000000000000003</v>
      </c>
      <c r="AA307">
        <v>0</v>
      </c>
      <c r="AB307">
        <v>138.9</v>
      </c>
      <c r="AC307">
        <v>15.22</v>
      </c>
      <c r="AD307">
        <v>0</v>
      </c>
      <c r="AE307">
        <v>0</v>
      </c>
      <c r="AF307">
        <v>132.66</v>
      </c>
      <c r="AG307">
        <v>14.54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0.2</v>
      </c>
      <c r="AU307" t="s">
        <v>23</v>
      </c>
      <c r="AV307">
        <v>0</v>
      </c>
      <c r="AW307">
        <v>2</v>
      </c>
      <c r="AX307">
        <v>56961088</v>
      </c>
      <c r="AY307">
        <v>1</v>
      </c>
      <c r="AZ307">
        <v>0</v>
      </c>
      <c r="BA307">
        <v>367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ROUND(Y307*Source!I438*DO307,9)</f>
        <v>31.988</v>
      </c>
      <c r="CX307">
        <f>ROUND(Y307*Source!I438,9)</f>
        <v>2.2000000000000002</v>
      </c>
      <c r="CY307">
        <f>AB307</f>
        <v>138.9</v>
      </c>
      <c r="CZ307">
        <f>AF307</f>
        <v>132.66</v>
      </c>
      <c r="DA307">
        <f>AJ307</f>
        <v>1</v>
      </c>
      <c r="DB307">
        <f t="shared" si="171"/>
        <v>29.183</v>
      </c>
      <c r="DC307">
        <f t="shared" si="172"/>
        <v>3.2010000000000001</v>
      </c>
      <c r="DD307" t="s">
        <v>3</v>
      </c>
      <c r="DE307" t="s">
        <v>3</v>
      </c>
      <c r="DF307">
        <f t="shared" si="173"/>
        <v>0</v>
      </c>
      <c r="DG307">
        <f t="shared" si="167"/>
        <v>291.85000000000002</v>
      </c>
      <c r="DH307">
        <f t="shared" si="168"/>
        <v>31.99</v>
      </c>
      <c r="DI307">
        <f t="shared" si="141"/>
        <v>0</v>
      </c>
      <c r="DJ307">
        <f>DG307</f>
        <v>291.85000000000002</v>
      </c>
      <c r="DK307">
        <v>0</v>
      </c>
      <c r="DL307" t="s">
        <v>507</v>
      </c>
      <c r="DM307">
        <v>0</v>
      </c>
      <c r="DN307" t="s">
        <v>502</v>
      </c>
      <c r="DO307">
        <v>14.54</v>
      </c>
    </row>
    <row r="308" spans="1:119" x14ac:dyDescent="0.2">
      <c r="A308">
        <f>ROW(Source!A439)</f>
        <v>439</v>
      </c>
      <c r="B308">
        <v>56959431</v>
      </c>
      <c r="C308">
        <v>56960318</v>
      </c>
      <c r="D308">
        <v>56018166</v>
      </c>
      <c r="E308">
        <v>1080</v>
      </c>
      <c r="F308">
        <v>1</v>
      </c>
      <c r="G308">
        <v>1080</v>
      </c>
      <c r="H308">
        <v>1</v>
      </c>
      <c r="I308" t="s">
        <v>500</v>
      </c>
      <c r="J308" t="s">
        <v>3</v>
      </c>
      <c r="K308" t="s">
        <v>501</v>
      </c>
      <c r="L308">
        <v>1191</v>
      </c>
      <c r="N308">
        <v>1013</v>
      </c>
      <c r="O308" t="s">
        <v>502</v>
      </c>
      <c r="P308" t="s">
        <v>502</v>
      </c>
      <c r="Q308">
        <v>1</v>
      </c>
      <c r="W308">
        <v>0</v>
      </c>
      <c r="X308">
        <v>476480486</v>
      </c>
      <c r="Y308">
        <f t="shared" si="170"/>
        <v>0.57200000000000006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5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0.52</v>
      </c>
      <c r="AU308" t="s">
        <v>23</v>
      </c>
      <c r="AV308">
        <v>1</v>
      </c>
      <c r="AW308">
        <v>2</v>
      </c>
      <c r="AX308">
        <v>56961086</v>
      </c>
      <c r="AY308">
        <v>1</v>
      </c>
      <c r="AZ308">
        <v>0</v>
      </c>
      <c r="BA308">
        <v>370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U308">
        <f>ROUND(AT308*Source!I439*AH308*AL308,2)</f>
        <v>0</v>
      </c>
      <c r="CV308">
        <f>ROUND(Y308*Source!I439,9)</f>
        <v>5.72</v>
      </c>
      <c r="CW308">
        <v>0</v>
      </c>
      <c r="CX308">
        <f>ROUND(Y308*Source!I439,9)</f>
        <v>5.72</v>
      </c>
      <c r="CY308">
        <f>AD308</f>
        <v>0</v>
      </c>
      <c r="CZ308">
        <f>AH308</f>
        <v>0</v>
      </c>
      <c r="DA308">
        <f>AL308</f>
        <v>1</v>
      </c>
      <c r="DB308">
        <f t="shared" si="171"/>
        <v>0</v>
      </c>
      <c r="DC308">
        <f t="shared" si="172"/>
        <v>0</v>
      </c>
      <c r="DD308" t="s">
        <v>3</v>
      </c>
      <c r="DE308" t="s">
        <v>3</v>
      </c>
      <c r="DF308">
        <f t="shared" si="173"/>
        <v>0</v>
      </c>
      <c r="DG308">
        <f t="shared" si="167"/>
        <v>0</v>
      </c>
      <c r="DH308">
        <f t="shared" si="168"/>
        <v>0</v>
      </c>
      <c r="DI308">
        <f t="shared" si="141"/>
        <v>0</v>
      </c>
      <c r="DJ308">
        <f>DI308</f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ROW(Source!A439)</f>
        <v>439</v>
      </c>
      <c r="B309">
        <v>56959431</v>
      </c>
      <c r="C309">
        <v>56960318</v>
      </c>
      <c r="D309">
        <v>56092340</v>
      </c>
      <c r="E309">
        <v>1</v>
      </c>
      <c r="F309">
        <v>1</v>
      </c>
      <c r="G309">
        <v>1080</v>
      </c>
      <c r="H309">
        <v>2</v>
      </c>
      <c r="I309" t="s">
        <v>503</v>
      </c>
      <c r="J309" t="s">
        <v>504</v>
      </c>
      <c r="K309" t="s">
        <v>505</v>
      </c>
      <c r="L309">
        <v>1368</v>
      </c>
      <c r="N309">
        <v>1011</v>
      </c>
      <c r="O309" t="s">
        <v>506</v>
      </c>
      <c r="P309" t="s">
        <v>506</v>
      </c>
      <c r="Q309">
        <v>1</v>
      </c>
      <c r="W309">
        <v>0</v>
      </c>
      <c r="X309">
        <v>-1985943078</v>
      </c>
      <c r="Y309">
        <f t="shared" si="170"/>
        <v>2.2000000000000002E-2</v>
      </c>
      <c r="AA309">
        <v>0</v>
      </c>
      <c r="AB309">
        <v>1418.19</v>
      </c>
      <c r="AC309">
        <v>726.59</v>
      </c>
      <c r="AD309">
        <v>0</v>
      </c>
      <c r="AE309">
        <v>0</v>
      </c>
      <c r="AF309">
        <v>83.1</v>
      </c>
      <c r="AG309">
        <v>12.62</v>
      </c>
      <c r="AH309">
        <v>0</v>
      </c>
      <c r="AI309">
        <v>1</v>
      </c>
      <c r="AJ309">
        <v>16.3</v>
      </c>
      <c r="AK309">
        <v>54.99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0.02</v>
      </c>
      <c r="AU309" t="s">
        <v>23</v>
      </c>
      <c r="AV309">
        <v>0</v>
      </c>
      <c r="AW309">
        <v>2</v>
      </c>
      <c r="AX309">
        <v>56961087</v>
      </c>
      <c r="AY309">
        <v>1</v>
      </c>
      <c r="AZ309">
        <v>0</v>
      </c>
      <c r="BA309">
        <v>371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f>ROUND(Y309*Source!I439*DO309,9)</f>
        <v>2.7764000000000002</v>
      </c>
      <c r="CX309">
        <f>ROUND(Y309*Source!I439,9)</f>
        <v>0.22</v>
      </c>
      <c r="CY309">
        <f>AB309</f>
        <v>1418.19</v>
      </c>
      <c r="CZ309">
        <f>AF309</f>
        <v>83.1</v>
      </c>
      <c r="DA309">
        <f>AJ309</f>
        <v>16.3</v>
      </c>
      <c r="DB309">
        <f t="shared" si="171"/>
        <v>1.8260000000000001</v>
      </c>
      <c r="DC309">
        <f t="shared" si="172"/>
        <v>0.27500000000000002</v>
      </c>
      <c r="DD309" t="s">
        <v>3</v>
      </c>
      <c r="DE309" t="s">
        <v>3</v>
      </c>
      <c r="DF309">
        <f t="shared" si="173"/>
        <v>0</v>
      </c>
      <c r="DG309">
        <f>ROUND(ROUND(AF309*AJ309,2)*CX309,2)</f>
        <v>298</v>
      </c>
      <c r="DH309">
        <f>ROUND(ROUND(AG309*AK309,2)*CX309,2)</f>
        <v>152.66999999999999</v>
      </c>
      <c r="DI309">
        <f t="shared" si="141"/>
        <v>0</v>
      </c>
      <c r="DJ309">
        <f>DG309</f>
        <v>298</v>
      </c>
      <c r="DK309">
        <v>0</v>
      </c>
      <c r="DL309" t="s">
        <v>507</v>
      </c>
      <c r="DM309">
        <v>0</v>
      </c>
      <c r="DN309" t="s">
        <v>502</v>
      </c>
      <c r="DO309">
        <v>12.62</v>
      </c>
    </row>
    <row r="310" spans="1:119" x14ac:dyDescent="0.2">
      <c r="A310">
        <f>ROW(Source!A439)</f>
        <v>439</v>
      </c>
      <c r="B310">
        <v>56959431</v>
      </c>
      <c r="C310">
        <v>56960318</v>
      </c>
      <c r="D310">
        <v>56091652</v>
      </c>
      <c r="E310">
        <v>1</v>
      </c>
      <c r="F310">
        <v>1</v>
      </c>
      <c r="G310">
        <v>1080</v>
      </c>
      <c r="H310">
        <v>2</v>
      </c>
      <c r="I310" t="s">
        <v>599</v>
      </c>
      <c r="J310" t="s">
        <v>600</v>
      </c>
      <c r="K310" t="s">
        <v>601</v>
      </c>
      <c r="L310">
        <v>1368</v>
      </c>
      <c r="N310">
        <v>1011</v>
      </c>
      <c r="O310" t="s">
        <v>506</v>
      </c>
      <c r="P310" t="s">
        <v>506</v>
      </c>
      <c r="Q310">
        <v>1</v>
      </c>
      <c r="W310">
        <v>0</v>
      </c>
      <c r="X310">
        <v>1362397990</v>
      </c>
      <c r="Y310">
        <f t="shared" si="170"/>
        <v>0.22000000000000003</v>
      </c>
      <c r="AA310">
        <v>0</v>
      </c>
      <c r="AB310">
        <v>2038.98</v>
      </c>
      <c r="AC310">
        <v>837.13</v>
      </c>
      <c r="AD310">
        <v>0</v>
      </c>
      <c r="AE310">
        <v>0</v>
      </c>
      <c r="AF310">
        <v>132.66</v>
      </c>
      <c r="AG310">
        <v>14.54</v>
      </c>
      <c r="AH310">
        <v>0</v>
      </c>
      <c r="AI310">
        <v>1</v>
      </c>
      <c r="AJ310">
        <v>14.68</v>
      </c>
      <c r="AK310">
        <v>54.99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0.2</v>
      </c>
      <c r="AU310" t="s">
        <v>23</v>
      </c>
      <c r="AV310">
        <v>0</v>
      </c>
      <c r="AW310">
        <v>2</v>
      </c>
      <c r="AX310">
        <v>56961088</v>
      </c>
      <c r="AY310">
        <v>1</v>
      </c>
      <c r="AZ310">
        <v>0</v>
      </c>
      <c r="BA310">
        <v>372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ROUND(Y310*Source!I439*DO310,9)</f>
        <v>31.988</v>
      </c>
      <c r="CX310">
        <f>ROUND(Y310*Source!I439,9)</f>
        <v>2.2000000000000002</v>
      </c>
      <c r="CY310">
        <f>AB310</f>
        <v>2038.98</v>
      </c>
      <c r="CZ310">
        <f>AF310</f>
        <v>132.66</v>
      </c>
      <c r="DA310">
        <f>AJ310</f>
        <v>14.68</v>
      </c>
      <c r="DB310">
        <f t="shared" si="171"/>
        <v>29.183</v>
      </c>
      <c r="DC310">
        <f t="shared" si="172"/>
        <v>3.2010000000000001</v>
      </c>
      <c r="DD310" t="s">
        <v>3</v>
      </c>
      <c r="DE310" t="s">
        <v>3</v>
      </c>
      <c r="DF310">
        <f t="shared" si="173"/>
        <v>0</v>
      </c>
      <c r="DG310">
        <f>ROUND(ROUND(AF310*AJ310,2)*CX310,2)</f>
        <v>4284.3900000000003</v>
      </c>
      <c r="DH310">
        <f>ROUND(ROUND(AG310*AK310,2)*CX310,2)</f>
        <v>1759.01</v>
      </c>
      <c r="DI310">
        <f t="shared" si="141"/>
        <v>0</v>
      </c>
      <c r="DJ310">
        <f>DG310</f>
        <v>4284.3900000000003</v>
      </c>
      <c r="DK310">
        <v>0</v>
      </c>
      <c r="DL310" t="s">
        <v>507</v>
      </c>
      <c r="DM310">
        <v>0</v>
      </c>
      <c r="DN310" t="s">
        <v>502</v>
      </c>
      <c r="DO310">
        <v>14.54</v>
      </c>
    </row>
    <row r="311" spans="1:119" x14ac:dyDescent="0.2">
      <c r="A311">
        <f>ROW(Source!A442)</f>
        <v>442</v>
      </c>
      <c r="B311">
        <v>56959434</v>
      </c>
      <c r="C311">
        <v>56960328</v>
      </c>
      <c r="D311">
        <v>56018166</v>
      </c>
      <c r="E311">
        <v>1080</v>
      </c>
      <c r="F311">
        <v>1</v>
      </c>
      <c r="G311">
        <v>1080</v>
      </c>
      <c r="H311">
        <v>1</v>
      </c>
      <c r="I311" t="s">
        <v>500</v>
      </c>
      <c r="J311" t="s">
        <v>3</v>
      </c>
      <c r="K311" t="s">
        <v>501</v>
      </c>
      <c r="L311">
        <v>1191</v>
      </c>
      <c r="N311">
        <v>1013</v>
      </c>
      <c r="O311" t="s">
        <v>502</v>
      </c>
      <c r="P311" t="s">
        <v>502</v>
      </c>
      <c r="Q311">
        <v>1</v>
      </c>
      <c r="W311">
        <v>0</v>
      </c>
      <c r="X311">
        <v>476480486</v>
      </c>
      <c r="Y311">
        <f t="shared" si="170"/>
        <v>0.57200000000000006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0.52</v>
      </c>
      <c r="AU311" t="s">
        <v>23</v>
      </c>
      <c r="AV311">
        <v>1</v>
      </c>
      <c r="AW311">
        <v>2</v>
      </c>
      <c r="AX311">
        <v>56961091</v>
      </c>
      <c r="AY311">
        <v>1</v>
      </c>
      <c r="AZ311">
        <v>0</v>
      </c>
      <c r="BA311">
        <v>375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U311">
        <f>ROUND(AT311*Source!I442*AH311*AL311,2)</f>
        <v>0</v>
      </c>
      <c r="CV311">
        <f>ROUND(Y311*Source!I442,9)</f>
        <v>11.44</v>
      </c>
      <c r="CW311">
        <v>0</v>
      </c>
      <c r="CX311">
        <f>ROUND(Y311*Source!I442,9)</f>
        <v>11.44</v>
      </c>
      <c r="CY311">
        <f>AD311</f>
        <v>0</v>
      </c>
      <c r="CZ311">
        <f>AH311</f>
        <v>0</v>
      </c>
      <c r="DA311">
        <f>AL311</f>
        <v>1</v>
      </c>
      <c r="DB311">
        <f t="shared" si="171"/>
        <v>0</v>
      </c>
      <c r="DC311">
        <f t="shared" si="172"/>
        <v>0</v>
      </c>
      <c r="DD311" t="s">
        <v>3</v>
      </c>
      <c r="DE311" t="s">
        <v>3</v>
      </c>
      <c r="DF311">
        <f t="shared" si="173"/>
        <v>0</v>
      </c>
      <c r="DG311">
        <f>ROUND(ROUND(AF311,2)*CX311,2)</f>
        <v>0</v>
      </c>
      <c r="DH311">
        <f>ROUND(ROUND(AG311,2)*CX311,2)</f>
        <v>0</v>
      </c>
      <c r="DI311">
        <f t="shared" si="141"/>
        <v>0</v>
      </c>
      <c r="DJ311">
        <f>DI311</f>
        <v>0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ROW(Source!A442)</f>
        <v>442</v>
      </c>
      <c r="B312">
        <v>56959434</v>
      </c>
      <c r="C312">
        <v>56960328</v>
      </c>
      <c r="D312">
        <v>56092340</v>
      </c>
      <c r="E312">
        <v>1</v>
      </c>
      <c r="F312">
        <v>1</v>
      </c>
      <c r="G312">
        <v>1080</v>
      </c>
      <c r="H312">
        <v>2</v>
      </c>
      <c r="I312" t="s">
        <v>503</v>
      </c>
      <c r="J312" t="s">
        <v>504</v>
      </c>
      <c r="K312" t="s">
        <v>505</v>
      </c>
      <c r="L312">
        <v>1368</v>
      </c>
      <c r="N312">
        <v>1011</v>
      </c>
      <c r="O312" t="s">
        <v>506</v>
      </c>
      <c r="P312" t="s">
        <v>506</v>
      </c>
      <c r="Q312">
        <v>1</v>
      </c>
      <c r="W312">
        <v>0</v>
      </c>
      <c r="X312">
        <v>-1985943078</v>
      </c>
      <c r="Y312">
        <f t="shared" si="170"/>
        <v>2.2000000000000002E-2</v>
      </c>
      <c r="AA312">
        <v>0</v>
      </c>
      <c r="AB312">
        <v>87.01</v>
      </c>
      <c r="AC312">
        <v>13.21</v>
      </c>
      <c r="AD312">
        <v>0</v>
      </c>
      <c r="AE312">
        <v>0</v>
      </c>
      <c r="AF312">
        <v>83.1</v>
      </c>
      <c r="AG312">
        <v>12.62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0.02</v>
      </c>
      <c r="AU312" t="s">
        <v>23</v>
      </c>
      <c r="AV312">
        <v>0</v>
      </c>
      <c r="AW312">
        <v>2</v>
      </c>
      <c r="AX312">
        <v>56961092</v>
      </c>
      <c r="AY312">
        <v>1</v>
      </c>
      <c r="AZ312">
        <v>0</v>
      </c>
      <c r="BA312">
        <v>376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f>ROUND(Y312*Source!I442*DO312,9)</f>
        <v>5.5528000000000004</v>
      </c>
      <c r="CX312">
        <f>ROUND(Y312*Source!I442,9)</f>
        <v>0.44</v>
      </c>
      <c r="CY312">
        <f>AB312</f>
        <v>87.01</v>
      </c>
      <c r="CZ312">
        <f>AF312</f>
        <v>83.1</v>
      </c>
      <c r="DA312">
        <f>AJ312</f>
        <v>1</v>
      </c>
      <c r="DB312">
        <f t="shared" si="171"/>
        <v>1.8260000000000001</v>
      </c>
      <c r="DC312">
        <f t="shared" si="172"/>
        <v>0.27500000000000002</v>
      </c>
      <c r="DD312" t="s">
        <v>3</v>
      </c>
      <c r="DE312" t="s">
        <v>3</v>
      </c>
      <c r="DF312">
        <f t="shared" si="173"/>
        <v>0</v>
      </c>
      <c r="DG312">
        <f>ROUND(ROUND(AF312,2)*CX312,2)</f>
        <v>36.56</v>
      </c>
      <c r="DH312">
        <f>ROUND(ROUND(AG312,2)*CX312,2)</f>
        <v>5.55</v>
      </c>
      <c r="DI312">
        <f t="shared" si="141"/>
        <v>0</v>
      </c>
      <c r="DJ312">
        <f>DG312</f>
        <v>36.56</v>
      </c>
      <c r="DK312">
        <v>0</v>
      </c>
      <c r="DL312" t="s">
        <v>507</v>
      </c>
      <c r="DM312">
        <v>0</v>
      </c>
      <c r="DN312" t="s">
        <v>502</v>
      </c>
      <c r="DO312">
        <v>12.62</v>
      </c>
    </row>
    <row r="313" spans="1:119" x14ac:dyDescent="0.2">
      <c r="A313">
        <f>ROW(Source!A442)</f>
        <v>442</v>
      </c>
      <c r="B313">
        <v>56959434</v>
      </c>
      <c r="C313">
        <v>56960328</v>
      </c>
      <c r="D313">
        <v>56091652</v>
      </c>
      <c r="E313">
        <v>1</v>
      </c>
      <c r="F313">
        <v>1</v>
      </c>
      <c r="G313">
        <v>1080</v>
      </c>
      <c r="H313">
        <v>2</v>
      </c>
      <c r="I313" t="s">
        <v>599</v>
      </c>
      <c r="J313" t="s">
        <v>600</v>
      </c>
      <c r="K313" t="s">
        <v>601</v>
      </c>
      <c r="L313">
        <v>1368</v>
      </c>
      <c r="N313">
        <v>1011</v>
      </c>
      <c r="O313" t="s">
        <v>506</v>
      </c>
      <c r="P313" t="s">
        <v>506</v>
      </c>
      <c r="Q313">
        <v>1</v>
      </c>
      <c r="W313">
        <v>0</v>
      </c>
      <c r="X313">
        <v>1362397990</v>
      </c>
      <c r="Y313">
        <f t="shared" si="170"/>
        <v>0.22000000000000003</v>
      </c>
      <c r="AA313">
        <v>0</v>
      </c>
      <c r="AB313">
        <v>138.9</v>
      </c>
      <c r="AC313">
        <v>15.22</v>
      </c>
      <c r="AD313">
        <v>0</v>
      </c>
      <c r="AE313">
        <v>0</v>
      </c>
      <c r="AF313">
        <v>132.66</v>
      </c>
      <c r="AG313">
        <v>14.54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0.2</v>
      </c>
      <c r="AU313" t="s">
        <v>23</v>
      </c>
      <c r="AV313">
        <v>0</v>
      </c>
      <c r="AW313">
        <v>2</v>
      </c>
      <c r="AX313">
        <v>56961093</v>
      </c>
      <c r="AY313">
        <v>1</v>
      </c>
      <c r="AZ313">
        <v>0</v>
      </c>
      <c r="BA313">
        <v>377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f>ROUND(Y313*Source!I442*DO313,9)</f>
        <v>63.975999999999999</v>
      </c>
      <c r="CX313">
        <f>ROUND(Y313*Source!I442,9)</f>
        <v>4.4000000000000004</v>
      </c>
      <c r="CY313">
        <f>AB313</f>
        <v>138.9</v>
      </c>
      <c r="CZ313">
        <f>AF313</f>
        <v>132.66</v>
      </c>
      <c r="DA313">
        <f>AJ313</f>
        <v>1</v>
      </c>
      <c r="DB313">
        <f t="shared" si="171"/>
        <v>29.183</v>
      </c>
      <c r="DC313">
        <f t="shared" si="172"/>
        <v>3.2010000000000001</v>
      </c>
      <c r="DD313" t="s">
        <v>3</v>
      </c>
      <c r="DE313" t="s">
        <v>3</v>
      </c>
      <c r="DF313">
        <f t="shared" si="173"/>
        <v>0</v>
      </c>
      <c r="DG313">
        <f>ROUND(ROUND(AF313,2)*CX313,2)</f>
        <v>583.70000000000005</v>
      </c>
      <c r="DH313">
        <f>ROUND(ROUND(AG313,2)*CX313,2)</f>
        <v>63.98</v>
      </c>
      <c r="DI313">
        <f t="shared" si="141"/>
        <v>0</v>
      </c>
      <c r="DJ313">
        <f>DG313</f>
        <v>583.70000000000005</v>
      </c>
      <c r="DK313">
        <v>0</v>
      </c>
      <c r="DL313" t="s">
        <v>507</v>
      </c>
      <c r="DM313">
        <v>0</v>
      </c>
      <c r="DN313" t="s">
        <v>502</v>
      </c>
      <c r="DO313">
        <v>14.54</v>
      </c>
    </row>
    <row r="314" spans="1:119" x14ac:dyDescent="0.2">
      <c r="A314">
        <f>ROW(Source!A443)</f>
        <v>443</v>
      </c>
      <c r="B314">
        <v>56959431</v>
      </c>
      <c r="C314">
        <v>56960328</v>
      </c>
      <c r="D314">
        <v>56018166</v>
      </c>
      <c r="E314">
        <v>1080</v>
      </c>
      <c r="F314">
        <v>1</v>
      </c>
      <c r="G314">
        <v>1080</v>
      </c>
      <c r="H314">
        <v>1</v>
      </c>
      <c r="I314" t="s">
        <v>500</v>
      </c>
      <c r="J314" t="s">
        <v>3</v>
      </c>
      <c r="K314" t="s">
        <v>501</v>
      </c>
      <c r="L314">
        <v>1191</v>
      </c>
      <c r="N314">
        <v>1013</v>
      </c>
      <c r="O314" t="s">
        <v>502</v>
      </c>
      <c r="P314" t="s">
        <v>502</v>
      </c>
      <c r="Q314">
        <v>1</v>
      </c>
      <c r="W314">
        <v>0</v>
      </c>
      <c r="X314">
        <v>476480486</v>
      </c>
      <c r="Y314">
        <f t="shared" si="170"/>
        <v>0.57200000000000006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5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0.52</v>
      </c>
      <c r="AU314" t="s">
        <v>23</v>
      </c>
      <c r="AV314">
        <v>1</v>
      </c>
      <c r="AW314">
        <v>2</v>
      </c>
      <c r="AX314">
        <v>56961091</v>
      </c>
      <c r="AY314">
        <v>1</v>
      </c>
      <c r="AZ314">
        <v>0</v>
      </c>
      <c r="BA314">
        <v>380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U314">
        <f>ROUND(AT314*Source!I443*AH314*AL314,2)</f>
        <v>0</v>
      </c>
      <c r="CV314">
        <f>ROUND(Y314*Source!I443,9)</f>
        <v>11.44</v>
      </c>
      <c r="CW314">
        <v>0</v>
      </c>
      <c r="CX314">
        <f>ROUND(Y314*Source!I443,9)</f>
        <v>11.44</v>
      </c>
      <c r="CY314">
        <f>AD314</f>
        <v>0</v>
      </c>
      <c r="CZ314">
        <f>AH314</f>
        <v>0</v>
      </c>
      <c r="DA314">
        <f>AL314</f>
        <v>1</v>
      </c>
      <c r="DB314">
        <f t="shared" si="171"/>
        <v>0</v>
      </c>
      <c r="DC314">
        <f t="shared" si="172"/>
        <v>0</v>
      </c>
      <c r="DD314" t="s">
        <v>3</v>
      </c>
      <c r="DE314" t="s">
        <v>3</v>
      </c>
      <c r="DF314">
        <f t="shared" si="173"/>
        <v>0</v>
      </c>
      <c r="DG314">
        <f>ROUND(ROUND(AF314,2)*CX314,2)</f>
        <v>0</v>
      </c>
      <c r="DH314">
        <f>ROUND(ROUND(AG314,2)*CX314,2)</f>
        <v>0</v>
      </c>
      <c r="DI314">
        <f t="shared" si="141"/>
        <v>0</v>
      </c>
      <c r="DJ314">
        <f>DI314</f>
        <v>0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ROW(Source!A443)</f>
        <v>443</v>
      </c>
      <c r="B315">
        <v>56959431</v>
      </c>
      <c r="C315">
        <v>56960328</v>
      </c>
      <c r="D315">
        <v>56092340</v>
      </c>
      <c r="E315">
        <v>1</v>
      </c>
      <c r="F315">
        <v>1</v>
      </c>
      <c r="G315">
        <v>1080</v>
      </c>
      <c r="H315">
        <v>2</v>
      </c>
      <c r="I315" t="s">
        <v>503</v>
      </c>
      <c r="J315" t="s">
        <v>504</v>
      </c>
      <c r="K315" t="s">
        <v>505</v>
      </c>
      <c r="L315">
        <v>1368</v>
      </c>
      <c r="N315">
        <v>1011</v>
      </c>
      <c r="O315" t="s">
        <v>506</v>
      </c>
      <c r="P315" t="s">
        <v>506</v>
      </c>
      <c r="Q315">
        <v>1</v>
      </c>
      <c r="W315">
        <v>0</v>
      </c>
      <c r="X315">
        <v>-1985943078</v>
      </c>
      <c r="Y315">
        <f t="shared" si="170"/>
        <v>2.2000000000000002E-2</v>
      </c>
      <c r="AA315">
        <v>0</v>
      </c>
      <c r="AB315">
        <v>1418.19</v>
      </c>
      <c r="AC315">
        <v>726.59</v>
      </c>
      <c r="AD315">
        <v>0</v>
      </c>
      <c r="AE315">
        <v>0</v>
      </c>
      <c r="AF315">
        <v>83.1</v>
      </c>
      <c r="AG315">
        <v>12.62</v>
      </c>
      <c r="AH315">
        <v>0</v>
      </c>
      <c r="AI315">
        <v>1</v>
      </c>
      <c r="AJ315">
        <v>16.3</v>
      </c>
      <c r="AK315">
        <v>54.99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0.02</v>
      </c>
      <c r="AU315" t="s">
        <v>23</v>
      </c>
      <c r="AV315">
        <v>0</v>
      </c>
      <c r="AW315">
        <v>2</v>
      </c>
      <c r="AX315">
        <v>56961092</v>
      </c>
      <c r="AY315">
        <v>1</v>
      </c>
      <c r="AZ315">
        <v>0</v>
      </c>
      <c r="BA315">
        <v>381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ROUND(Y315*Source!I443*DO315,9)</f>
        <v>5.5528000000000004</v>
      </c>
      <c r="CX315">
        <f>ROUND(Y315*Source!I443,9)</f>
        <v>0.44</v>
      </c>
      <c r="CY315">
        <f>AB315</f>
        <v>1418.19</v>
      </c>
      <c r="CZ315">
        <f>AF315</f>
        <v>83.1</v>
      </c>
      <c r="DA315">
        <f>AJ315</f>
        <v>16.3</v>
      </c>
      <c r="DB315">
        <f t="shared" si="171"/>
        <v>1.8260000000000001</v>
      </c>
      <c r="DC315">
        <f t="shared" si="172"/>
        <v>0.27500000000000002</v>
      </c>
      <c r="DD315" t="s">
        <v>3</v>
      </c>
      <c r="DE315" t="s">
        <v>3</v>
      </c>
      <c r="DF315">
        <f t="shared" si="173"/>
        <v>0</v>
      </c>
      <c r="DG315">
        <f>ROUND(ROUND(AF315*AJ315,2)*CX315,2)</f>
        <v>595.99</v>
      </c>
      <c r="DH315">
        <f>ROUND(ROUND(AG315*AK315,2)*CX315,2)</f>
        <v>305.35000000000002</v>
      </c>
      <c r="DI315">
        <f t="shared" si="141"/>
        <v>0</v>
      </c>
      <c r="DJ315">
        <f>DG315</f>
        <v>595.99</v>
      </c>
      <c r="DK315">
        <v>0</v>
      </c>
      <c r="DL315" t="s">
        <v>507</v>
      </c>
      <c r="DM315">
        <v>0</v>
      </c>
      <c r="DN315" t="s">
        <v>502</v>
      </c>
      <c r="DO315">
        <v>12.62</v>
      </c>
    </row>
    <row r="316" spans="1:119" x14ac:dyDescent="0.2">
      <c r="A316">
        <f>ROW(Source!A443)</f>
        <v>443</v>
      </c>
      <c r="B316">
        <v>56959431</v>
      </c>
      <c r="C316">
        <v>56960328</v>
      </c>
      <c r="D316">
        <v>56091652</v>
      </c>
      <c r="E316">
        <v>1</v>
      </c>
      <c r="F316">
        <v>1</v>
      </c>
      <c r="G316">
        <v>1080</v>
      </c>
      <c r="H316">
        <v>2</v>
      </c>
      <c r="I316" t="s">
        <v>599</v>
      </c>
      <c r="J316" t="s">
        <v>600</v>
      </c>
      <c r="K316" t="s">
        <v>601</v>
      </c>
      <c r="L316">
        <v>1368</v>
      </c>
      <c r="N316">
        <v>1011</v>
      </c>
      <c r="O316" t="s">
        <v>506</v>
      </c>
      <c r="P316" t="s">
        <v>506</v>
      </c>
      <c r="Q316">
        <v>1</v>
      </c>
      <c r="W316">
        <v>0</v>
      </c>
      <c r="X316">
        <v>1362397990</v>
      </c>
      <c r="Y316">
        <f t="shared" si="170"/>
        <v>0.22000000000000003</v>
      </c>
      <c r="AA316">
        <v>0</v>
      </c>
      <c r="AB316">
        <v>2038.98</v>
      </c>
      <c r="AC316">
        <v>837.13</v>
      </c>
      <c r="AD316">
        <v>0</v>
      </c>
      <c r="AE316">
        <v>0</v>
      </c>
      <c r="AF316">
        <v>132.66</v>
      </c>
      <c r="AG316">
        <v>14.54</v>
      </c>
      <c r="AH316">
        <v>0</v>
      </c>
      <c r="AI316">
        <v>1</v>
      </c>
      <c r="AJ316">
        <v>14.68</v>
      </c>
      <c r="AK316">
        <v>54.99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0.2</v>
      </c>
      <c r="AU316" t="s">
        <v>23</v>
      </c>
      <c r="AV316">
        <v>0</v>
      </c>
      <c r="AW316">
        <v>2</v>
      </c>
      <c r="AX316">
        <v>56961093</v>
      </c>
      <c r="AY316">
        <v>1</v>
      </c>
      <c r="AZ316">
        <v>0</v>
      </c>
      <c r="BA316">
        <v>382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ROUND(Y316*Source!I443*DO316,9)</f>
        <v>63.975999999999999</v>
      </c>
      <c r="CX316">
        <f>ROUND(Y316*Source!I443,9)</f>
        <v>4.4000000000000004</v>
      </c>
      <c r="CY316">
        <f>AB316</f>
        <v>2038.98</v>
      </c>
      <c r="CZ316">
        <f>AF316</f>
        <v>132.66</v>
      </c>
      <c r="DA316">
        <f>AJ316</f>
        <v>14.68</v>
      </c>
      <c r="DB316">
        <f t="shared" si="171"/>
        <v>29.183</v>
      </c>
      <c r="DC316">
        <f t="shared" si="172"/>
        <v>3.2010000000000001</v>
      </c>
      <c r="DD316" t="s">
        <v>3</v>
      </c>
      <c r="DE316" t="s">
        <v>3</v>
      </c>
      <c r="DF316">
        <f t="shared" si="173"/>
        <v>0</v>
      </c>
      <c r="DG316">
        <f>ROUND(ROUND(AF316*AJ316,2)*CX316,2)</f>
        <v>8568.7800000000007</v>
      </c>
      <c r="DH316">
        <f>ROUND(ROUND(AG316*AK316,2)*CX316,2)</f>
        <v>3518.02</v>
      </c>
      <c r="DI316">
        <f t="shared" si="141"/>
        <v>0</v>
      </c>
      <c r="DJ316">
        <f>DG316</f>
        <v>8568.7800000000007</v>
      </c>
      <c r="DK316">
        <v>0</v>
      </c>
      <c r="DL316" t="s">
        <v>507</v>
      </c>
      <c r="DM316">
        <v>0</v>
      </c>
      <c r="DN316" t="s">
        <v>502</v>
      </c>
      <c r="DO316">
        <v>14.54</v>
      </c>
    </row>
    <row r="317" spans="1:119" x14ac:dyDescent="0.2">
      <c r="A317">
        <f>ROW(Source!A446)</f>
        <v>446</v>
      </c>
      <c r="B317">
        <v>56959434</v>
      </c>
      <c r="C317">
        <v>56960338</v>
      </c>
      <c r="D317">
        <v>56018166</v>
      </c>
      <c r="E317">
        <v>1080</v>
      </c>
      <c r="F317">
        <v>1</v>
      </c>
      <c r="G317">
        <v>1080</v>
      </c>
      <c r="H317">
        <v>1</v>
      </c>
      <c r="I317" t="s">
        <v>500</v>
      </c>
      <c r="J317" t="s">
        <v>3</v>
      </c>
      <c r="K317" t="s">
        <v>501</v>
      </c>
      <c r="L317">
        <v>1191</v>
      </c>
      <c r="N317">
        <v>1013</v>
      </c>
      <c r="O317" t="s">
        <v>502</v>
      </c>
      <c r="P317" t="s">
        <v>502</v>
      </c>
      <c r="Q317">
        <v>1</v>
      </c>
      <c r="W317">
        <v>0</v>
      </c>
      <c r="X317">
        <v>476480486</v>
      </c>
      <c r="Y317">
        <f t="shared" si="170"/>
        <v>2.2000000000000002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2</v>
      </c>
      <c r="AU317" t="s">
        <v>23</v>
      </c>
      <c r="AV317">
        <v>1</v>
      </c>
      <c r="AW317">
        <v>2</v>
      </c>
      <c r="AX317">
        <v>56961096</v>
      </c>
      <c r="AY317">
        <v>1</v>
      </c>
      <c r="AZ317">
        <v>0</v>
      </c>
      <c r="BA317">
        <v>385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U317">
        <f>ROUND(AT317*Source!I446*AH317*AL317,2)</f>
        <v>0</v>
      </c>
      <c r="CV317">
        <f>ROUND(Y317*Source!I446,9)</f>
        <v>22</v>
      </c>
      <c r="CW317">
        <v>0</v>
      </c>
      <c r="CX317">
        <f>ROUND(Y317*Source!I446,9)</f>
        <v>22</v>
      </c>
      <c r="CY317">
        <f>AD317</f>
        <v>0</v>
      </c>
      <c r="CZ317">
        <f>AH317</f>
        <v>0</v>
      </c>
      <c r="DA317">
        <f>AL317</f>
        <v>1</v>
      </c>
      <c r="DB317">
        <f t="shared" si="171"/>
        <v>0</v>
      </c>
      <c r="DC317">
        <f t="shared" si="172"/>
        <v>0</v>
      </c>
      <c r="DD317" t="s">
        <v>3</v>
      </c>
      <c r="DE317" t="s">
        <v>3</v>
      </c>
      <c r="DF317">
        <f t="shared" si="173"/>
        <v>0</v>
      </c>
      <c r="DG317">
        <f t="shared" ref="DG317:DG323" si="174">ROUND(ROUND(AF317,2)*CX317,2)</f>
        <v>0</v>
      </c>
      <c r="DH317">
        <f t="shared" ref="DH317:DH323" si="175">ROUND(ROUND(AG317,2)*CX317,2)</f>
        <v>0</v>
      </c>
      <c r="DI317">
        <f t="shared" si="141"/>
        <v>0</v>
      </c>
      <c r="DJ317">
        <f>DI317</f>
        <v>0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ROW(Source!A446)</f>
        <v>446</v>
      </c>
      <c r="B318">
        <v>56959434</v>
      </c>
      <c r="C318">
        <v>56960338</v>
      </c>
      <c r="D318">
        <v>56092342</v>
      </c>
      <c r="E318">
        <v>1</v>
      </c>
      <c r="F318">
        <v>1</v>
      </c>
      <c r="G318">
        <v>1080</v>
      </c>
      <c r="H318">
        <v>2</v>
      </c>
      <c r="I318" t="s">
        <v>508</v>
      </c>
      <c r="J318" t="s">
        <v>509</v>
      </c>
      <c r="K318" t="s">
        <v>510</v>
      </c>
      <c r="L318">
        <v>1368</v>
      </c>
      <c r="N318">
        <v>1011</v>
      </c>
      <c r="O318" t="s">
        <v>506</v>
      </c>
      <c r="P318" t="s">
        <v>506</v>
      </c>
      <c r="Q318">
        <v>1</v>
      </c>
      <c r="W318">
        <v>0</v>
      </c>
      <c r="X318">
        <v>1346534067</v>
      </c>
      <c r="Y318">
        <f t="shared" si="170"/>
        <v>2.2000000000000002E-2</v>
      </c>
      <c r="AA318">
        <v>0</v>
      </c>
      <c r="AB318">
        <v>124.67</v>
      </c>
      <c r="AC318">
        <v>13.21</v>
      </c>
      <c r="AD318">
        <v>0</v>
      </c>
      <c r="AE318">
        <v>0</v>
      </c>
      <c r="AF318">
        <v>119.07</v>
      </c>
      <c r="AG318">
        <v>12.62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0.02</v>
      </c>
      <c r="AU318" t="s">
        <v>23</v>
      </c>
      <c r="AV318">
        <v>0</v>
      </c>
      <c r="AW318">
        <v>2</v>
      </c>
      <c r="AX318">
        <v>56961097</v>
      </c>
      <c r="AY318">
        <v>1</v>
      </c>
      <c r="AZ318">
        <v>0</v>
      </c>
      <c r="BA318">
        <v>386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ROUND(Y318*Source!I446*DO318,9)</f>
        <v>2.7764000000000002</v>
      </c>
      <c r="CX318">
        <f>ROUND(Y318*Source!I446,9)</f>
        <v>0.22</v>
      </c>
      <c r="CY318">
        <f>AB318</f>
        <v>124.67</v>
      </c>
      <c r="CZ318">
        <f>AF318</f>
        <v>119.07</v>
      </c>
      <c r="DA318">
        <f>AJ318</f>
        <v>1</v>
      </c>
      <c r="DB318">
        <f t="shared" si="171"/>
        <v>2.6179999999999999</v>
      </c>
      <c r="DC318">
        <f t="shared" si="172"/>
        <v>0.27500000000000002</v>
      </c>
      <c r="DD318" t="s">
        <v>3</v>
      </c>
      <c r="DE318" t="s">
        <v>3</v>
      </c>
      <c r="DF318">
        <f t="shared" si="173"/>
        <v>0</v>
      </c>
      <c r="DG318">
        <f t="shared" si="174"/>
        <v>26.2</v>
      </c>
      <c r="DH318">
        <f t="shared" si="175"/>
        <v>2.78</v>
      </c>
      <c r="DI318">
        <f t="shared" si="141"/>
        <v>0</v>
      </c>
      <c r="DJ318">
        <f>DG318</f>
        <v>26.2</v>
      </c>
      <c r="DK318">
        <v>0</v>
      </c>
      <c r="DL318" t="s">
        <v>507</v>
      </c>
      <c r="DM318">
        <v>0</v>
      </c>
      <c r="DN318" t="s">
        <v>502</v>
      </c>
      <c r="DO318">
        <v>12.62</v>
      </c>
    </row>
    <row r="319" spans="1:119" x14ac:dyDescent="0.2">
      <c r="A319">
        <f>ROW(Source!A446)</f>
        <v>446</v>
      </c>
      <c r="B319">
        <v>56959434</v>
      </c>
      <c r="C319">
        <v>56960338</v>
      </c>
      <c r="D319">
        <v>56061656</v>
      </c>
      <c r="E319">
        <v>1</v>
      </c>
      <c r="F319">
        <v>1</v>
      </c>
      <c r="G319">
        <v>1080</v>
      </c>
      <c r="H319">
        <v>3</v>
      </c>
      <c r="I319" t="s">
        <v>511</v>
      </c>
      <c r="J319" t="s">
        <v>512</v>
      </c>
      <c r="K319" t="s">
        <v>513</v>
      </c>
      <c r="L319">
        <v>1346</v>
      </c>
      <c r="N319">
        <v>1009</v>
      </c>
      <c r="O319" t="s">
        <v>249</v>
      </c>
      <c r="P319" t="s">
        <v>249</v>
      </c>
      <c r="Q319">
        <v>1</v>
      </c>
      <c r="W319">
        <v>0</v>
      </c>
      <c r="X319">
        <v>444134433</v>
      </c>
      <c r="Y319">
        <f>AT319</f>
        <v>0.9</v>
      </c>
      <c r="AA319">
        <v>104.63</v>
      </c>
      <c r="AB319">
        <v>0</v>
      </c>
      <c r="AC319">
        <v>0</v>
      </c>
      <c r="AD319">
        <v>0</v>
      </c>
      <c r="AE319">
        <v>104.63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0.9</v>
      </c>
      <c r="AU319" t="s">
        <v>3</v>
      </c>
      <c r="AV319">
        <v>0</v>
      </c>
      <c r="AW319">
        <v>2</v>
      </c>
      <c r="AX319">
        <v>56961098</v>
      </c>
      <c r="AY319">
        <v>1</v>
      </c>
      <c r="AZ319">
        <v>0</v>
      </c>
      <c r="BA319">
        <v>387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ROUND(Y319*Source!I446,9)</f>
        <v>9</v>
      </c>
      <c r="CY319">
        <f>AA319</f>
        <v>104.63</v>
      </c>
      <c r="CZ319">
        <f>AE319</f>
        <v>104.63</v>
      </c>
      <c r="DA319">
        <f>AI319</f>
        <v>1</v>
      </c>
      <c r="DB319">
        <f>ROUND(ROUND(AT319*CZ319,2),6)</f>
        <v>94.17</v>
      </c>
      <c r="DC319">
        <f>ROUND(ROUND(AT319*AG319,2),6)</f>
        <v>0</v>
      </c>
      <c r="DD319" t="s">
        <v>3</v>
      </c>
      <c r="DE319" t="s">
        <v>3</v>
      </c>
      <c r="DF319">
        <f t="shared" si="173"/>
        <v>941.67</v>
      </c>
      <c r="DG319">
        <f t="shared" si="174"/>
        <v>0</v>
      </c>
      <c r="DH319">
        <f t="shared" si="175"/>
        <v>0</v>
      </c>
      <c r="DI319">
        <f t="shared" si="141"/>
        <v>0</v>
      </c>
      <c r="DJ319">
        <f>DF319</f>
        <v>941.67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ROW(Source!A446)</f>
        <v>446</v>
      </c>
      <c r="B320">
        <v>56959434</v>
      </c>
      <c r="C320">
        <v>56960338</v>
      </c>
      <c r="D320">
        <v>56063129</v>
      </c>
      <c r="E320">
        <v>1</v>
      </c>
      <c r="F320">
        <v>1</v>
      </c>
      <c r="G320">
        <v>1080</v>
      </c>
      <c r="H320">
        <v>3</v>
      </c>
      <c r="I320" t="s">
        <v>514</v>
      </c>
      <c r="J320" t="s">
        <v>515</v>
      </c>
      <c r="K320" t="s">
        <v>516</v>
      </c>
      <c r="L320">
        <v>1348</v>
      </c>
      <c r="N320">
        <v>1009</v>
      </c>
      <c r="O320" t="s">
        <v>291</v>
      </c>
      <c r="P320" t="s">
        <v>291</v>
      </c>
      <c r="Q320">
        <v>1000</v>
      </c>
      <c r="W320">
        <v>0</v>
      </c>
      <c r="X320">
        <v>1224372165</v>
      </c>
      <c r="Y320">
        <f>AT320</f>
        <v>2.6999999999999999E-5</v>
      </c>
      <c r="AA320">
        <v>15568.37</v>
      </c>
      <c r="AB320">
        <v>0</v>
      </c>
      <c r="AC320">
        <v>0</v>
      </c>
      <c r="AD320">
        <v>0</v>
      </c>
      <c r="AE320">
        <v>15568.37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2.6999999999999999E-5</v>
      </c>
      <c r="AU320" t="s">
        <v>3</v>
      </c>
      <c r="AV320">
        <v>0</v>
      </c>
      <c r="AW320">
        <v>2</v>
      </c>
      <c r="AX320">
        <v>56961099</v>
      </c>
      <c r="AY320">
        <v>1</v>
      </c>
      <c r="AZ320">
        <v>0</v>
      </c>
      <c r="BA320">
        <v>388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ROUND(Y320*Source!I446,9)</f>
        <v>2.7E-4</v>
      </c>
      <c r="CY320">
        <f>AA320</f>
        <v>15568.37</v>
      </c>
      <c r="CZ320">
        <f>AE320</f>
        <v>15568.37</v>
      </c>
      <c r="DA320">
        <f>AI320</f>
        <v>1</v>
      </c>
      <c r="DB320">
        <f>ROUND(ROUND(AT320*CZ320,2),6)</f>
        <v>0.42</v>
      </c>
      <c r="DC320">
        <f>ROUND(ROUND(AT320*AG320,2),6)</f>
        <v>0</v>
      </c>
      <c r="DD320" t="s">
        <v>3</v>
      </c>
      <c r="DE320" t="s">
        <v>3</v>
      </c>
      <c r="DF320">
        <f t="shared" si="173"/>
        <v>4.2</v>
      </c>
      <c r="DG320">
        <f t="shared" si="174"/>
        <v>0</v>
      </c>
      <c r="DH320">
        <f t="shared" si="175"/>
        <v>0</v>
      </c>
      <c r="DI320">
        <f t="shared" si="141"/>
        <v>0</v>
      </c>
      <c r="DJ320">
        <f>DF320</f>
        <v>4.2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ROW(Source!A446)</f>
        <v>446</v>
      </c>
      <c r="B321">
        <v>56959434</v>
      </c>
      <c r="C321">
        <v>56960338</v>
      </c>
      <c r="D321">
        <v>56067341</v>
      </c>
      <c r="E321">
        <v>1</v>
      </c>
      <c r="F321">
        <v>1</v>
      </c>
      <c r="G321">
        <v>1080</v>
      </c>
      <c r="H321">
        <v>3</v>
      </c>
      <c r="I321" t="s">
        <v>517</v>
      </c>
      <c r="J321" t="s">
        <v>518</v>
      </c>
      <c r="K321" t="s">
        <v>519</v>
      </c>
      <c r="L321">
        <v>1355</v>
      </c>
      <c r="N321">
        <v>1010</v>
      </c>
      <c r="O321" t="s">
        <v>520</v>
      </c>
      <c r="P321" t="s">
        <v>520</v>
      </c>
      <c r="Q321">
        <v>100</v>
      </c>
      <c r="W321">
        <v>0</v>
      </c>
      <c r="X321">
        <v>-1616851610</v>
      </c>
      <c r="Y321">
        <f>AT321</f>
        <v>0.12</v>
      </c>
      <c r="AA321">
        <v>120.19</v>
      </c>
      <c r="AB321">
        <v>0</v>
      </c>
      <c r="AC321">
        <v>0</v>
      </c>
      <c r="AD321">
        <v>0</v>
      </c>
      <c r="AE321">
        <v>120.19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0.12</v>
      </c>
      <c r="AU321" t="s">
        <v>3</v>
      </c>
      <c r="AV321">
        <v>0</v>
      </c>
      <c r="AW321">
        <v>2</v>
      </c>
      <c r="AX321">
        <v>56961100</v>
      </c>
      <c r="AY321">
        <v>1</v>
      </c>
      <c r="AZ321">
        <v>0</v>
      </c>
      <c r="BA321">
        <v>389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ROUND(Y321*Source!I446,9)</f>
        <v>1.2</v>
      </c>
      <c r="CY321">
        <f>AA321</f>
        <v>120.19</v>
      </c>
      <c r="CZ321">
        <f>AE321</f>
        <v>120.19</v>
      </c>
      <c r="DA321">
        <f>AI321</f>
        <v>1</v>
      </c>
      <c r="DB321">
        <f>ROUND(ROUND(AT321*CZ321,2),6)</f>
        <v>14.42</v>
      </c>
      <c r="DC321">
        <f>ROUND(ROUND(AT321*AG321,2),6)</f>
        <v>0</v>
      </c>
      <c r="DD321" t="s">
        <v>3</v>
      </c>
      <c r="DE321" t="s">
        <v>3</v>
      </c>
      <c r="DF321">
        <f t="shared" si="173"/>
        <v>144.22999999999999</v>
      </c>
      <c r="DG321">
        <f t="shared" si="174"/>
        <v>0</v>
      </c>
      <c r="DH321">
        <f t="shared" si="175"/>
        <v>0</v>
      </c>
      <c r="DI321">
        <f t="shared" ref="DI321:DI384" si="176">ROUND(ROUND(AH321,2)*CX321,2)</f>
        <v>0</v>
      </c>
      <c r="DJ321">
        <f>DF321</f>
        <v>144.22999999999999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ROW(Source!A446)</f>
        <v>446</v>
      </c>
      <c r="B322">
        <v>56959434</v>
      </c>
      <c r="C322">
        <v>56960338</v>
      </c>
      <c r="D322">
        <v>56023168</v>
      </c>
      <c r="E322">
        <v>1080</v>
      </c>
      <c r="F322">
        <v>1</v>
      </c>
      <c r="G322">
        <v>1080</v>
      </c>
      <c r="H322">
        <v>3</v>
      </c>
      <c r="I322" t="s">
        <v>521</v>
      </c>
      <c r="J322" t="s">
        <v>3</v>
      </c>
      <c r="K322" t="s">
        <v>522</v>
      </c>
      <c r="L322">
        <v>1348</v>
      </c>
      <c r="N322">
        <v>1009</v>
      </c>
      <c r="O322" t="s">
        <v>291</v>
      </c>
      <c r="P322" t="s">
        <v>291</v>
      </c>
      <c r="Q322">
        <v>1000</v>
      </c>
      <c r="W322">
        <v>0</v>
      </c>
      <c r="X322">
        <v>-783086922</v>
      </c>
      <c r="Y322">
        <f>AT322</f>
        <v>2.7E-2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2.7E-2</v>
      </c>
      <c r="AU322" t="s">
        <v>3</v>
      </c>
      <c r="AV322">
        <v>0</v>
      </c>
      <c r="AW322">
        <v>2</v>
      </c>
      <c r="AX322">
        <v>56961102</v>
      </c>
      <c r="AY322">
        <v>1</v>
      </c>
      <c r="AZ322">
        <v>0</v>
      </c>
      <c r="BA322">
        <v>391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ROUND(Y322*Source!I446,9)</f>
        <v>0.27</v>
      </c>
      <c r="CY322">
        <f>AA322</f>
        <v>0</v>
      </c>
      <c r="CZ322">
        <f>AE322</f>
        <v>0</v>
      </c>
      <c r="DA322">
        <f>AI322</f>
        <v>1</v>
      </c>
      <c r="DB322">
        <f>ROUND(ROUND(AT322*CZ322,2),6)</f>
        <v>0</v>
      </c>
      <c r="DC322">
        <f>ROUND(ROUND(AT322*AG322,2),6)</f>
        <v>0</v>
      </c>
      <c r="DD322" t="s">
        <v>3</v>
      </c>
      <c r="DE322" t="s">
        <v>3</v>
      </c>
      <c r="DF322">
        <f t="shared" si="173"/>
        <v>0</v>
      </c>
      <c r="DG322">
        <f t="shared" si="174"/>
        <v>0</v>
      </c>
      <c r="DH322">
        <f t="shared" si="175"/>
        <v>0</v>
      </c>
      <c r="DI322">
        <f t="shared" si="176"/>
        <v>0</v>
      </c>
      <c r="DJ322">
        <f>DF322</f>
        <v>0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ROW(Source!A447)</f>
        <v>447</v>
      </c>
      <c r="B323">
        <v>56959431</v>
      </c>
      <c r="C323">
        <v>56960338</v>
      </c>
      <c r="D323">
        <v>56018166</v>
      </c>
      <c r="E323">
        <v>1080</v>
      </c>
      <c r="F323">
        <v>1</v>
      </c>
      <c r="G323">
        <v>1080</v>
      </c>
      <c r="H323">
        <v>1</v>
      </c>
      <c r="I323" t="s">
        <v>500</v>
      </c>
      <c r="J323" t="s">
        <v>3</v>
      </c>
      <c r="K323" t="s">
        <v>501</v>
      </c>
      <c r="L323">
        <v>1191</v>
      </c>
      <c r="N323">
        <v>1013</v>
      </c>
      <c r="O323" t="s">
        <v>502</v>
      </c>
      <c r="P323" t="s">
        <v>502</v>
      </c>
      <c r="Q323">
        <v>1</v>
      </c>
      <c r="W323">
        <v>0</v>
      </c>
      <c r="X323">
        <v>476480486</v>
      </c>
      <c r="Y323">
        <f>(AT323*1.1)</f>
        <v>2.2000000000000002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5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2</v>
      </c>
      <c r="AU323" t="s">
        <v>23</v>
      </c>
      <c r="AV323">
        <v>1</v>
      </c>
      <c r="AW323">
        <v>2</v>
      </c>
      <c r="AX323">
        <v>56961096</v>
      </c>
      <c r="AY323">
        <v>1</v>
      </c>
      <c r="AZ323">
        <v>0</v>
      </c>
      <c r="BA323">
        <v>392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ROUND(AT323*Source!I447*AH323*AL323,2)</f>
        <v>0</v>
      </c>
      <c r="CV323">
        <f>ROUND(Y323*Source!I447,9)</f>
        <v>22</v>
      </c>
      <c r="CW323">
        <v>0</v>
      </c>
      <c r="CX323">
        <f>ROUND(Y323*Source!I447,9)</f>
        <v>22</v>
      </c>
      <c r="CY323">
        <f>AD323</f>
        <v>0</v>
      </c>
      <c r="CZ323">
        <f>AH323</f>
        <v>0</v>
      </c>
      <c r="DA323">
        <f>AL323</f>
        <v>1</v>
      </c>
      <c r="DB323">
        <f>ROUND((ROUND(AT323*CZ323,2)*1.1),6)</f>
        <v>0</v>
      </c>
      <c r="DC323">
        <f>ROUND((ROUND(AT323*AG323,2)*1.1),6)</f>
        <v>0</v>
      </c>
      <c r="DD323" t="s">
        <v>3</v>
      </c>
      <c r="DE323" t="s">
        <v>3</v>
      </c>
      <c r="DF323">
        <f t="shared" si="173"/>
        <v>0</v>
      </c>
      <c r="DG323">
        <f t="shared" si="174"/>
        <v>0</v>
      </c>
      <c r="DH323">
        <f t="shared" si="175"/>
        <v>0</v>
      </c>
      <c r="DI323">
        <f t="shared" si="176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ROW(Source!A447)</f>
        <v>447</v>
      </c>
      <c r="B324">
        <v>56959431</v>
      </c>
      <c r="C324">
        <v>56960338</v>
      </c>
      <c r="D324">
        <v>56092342</v>
      </c>
      <c r="E324">
        <v>1</v>
      </c>
      <c r="F324">
        <v>1</v>
      </c>
      <c r="G324">
        <v>1080</v>
      </c>
      <c r="H324">
        <v>2</v>
      </c>
      <c r="I324" t="s">
        <v>508</v>
      </c>
      <c r="J324" t="s">
        <v>509</v>
      </c>
      <c r="K324" t="s">
        <v>510</v>
      </c>
      <c r="L324">
        <v>1368</v>
      </c>
      <c r="N324">
        <v>1011</v>
      </c>
      <c r="O324" t="s">
        <v>506</v>
      </c>
      <c r="P324" t="s">
        <v>506</v>
      </c>
      <c r="Q324">
        <v>1</v>
      </c>
      <c r="W324">
        <v>0</v>
      </c>
      <c r="X324">
        <v>1346534067</v>
      </c>
      <c r="Y324">
        <f>(AT324*1.1)</f>
        <v>2.2000000000000002E-2</v>
      </c>
      <c r="AA324">
        <v>0</v>
      </c>
      <c r="AB324">
        <v>1742.83</v>
      </c>
      <c r="AC324">
        <v>726.59</v>
      </c>
      <c r="AD324">
        <v>0</v>
      </c>
      <c r="AE324">
        <v>0</v>
      </c>
      <c r="AF324">
        <v>119.07</v>
      </c>
      <c r="AG324">
        <v>12.62</v>
      </c>
      <c r="AH324">
        <v>0</v>
      </c>
      <c r="AI324">
        <v>1</v>
      </c>
      <c r="AJ324">
        <v>13.98</v>
      </c>
      <c r="AK324">
        <v>54.99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0.02</v>
      </c>
      <c r="AU324" t="s">
        <v>23</v>
      </c>
      <c r="AV324">
        <v>0</v>
      </c>
      <c r="AW324">
        <v>2</v>
      </c>
      <c r="AX324">
        <v>56961097</v>
      </c>
      <c r="AY324">
        <v>1</v>
      </c>
      <c r="AZ324">
        <v>0</v>
      </c>
      <c r="BA324">
        <v>393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ROUND(Y324*Source!I447*DO324,9)</f>
        <v>2.7764000000000002</v>
      </c>
      <c r="CX324">
        <f>ROUND(Y324*Source!I447,9)</f>
        <v>0.22</v>
      </c>
      <c r="CY324">
        <f>AB324</f>
        <v>1742.83</v>
      </c>
      <c r="CZ324">
        <f>AF324</f>
        <v>119.07</v>
      </c>
      <c r="DA324">
        <f>AJ324</f>
        <v>13.98</v>
      </c>
      <c r="DB324">
        <f>ROUND((ROUND(AT324*CZ324,2)*1.1),6)</f>
        <v>2.6179999999999999</v>
      </c>
      <c r="DC324">
        <f>ROUND((ROUND(AT324*AG324,2)*1.1),6)</f>
        <v>0.27500000000000002</v>
      </c>
      <c r="DD324" t="s">
        <v>3</v>
      </c>
      <c r="DE324" t="s">
        <v>3</v>
      </c>
      <c r="DF324">
        <f t="shared" si="173"/>
        <v>0</v>
      </c>
      <c r="DG324">
        <f>ROUND(ROUND(AF324*AJ324,2)*CX324,2)</f>
        <v>366.21</v>
      </c>
      <c r="DH324">
        <f>ROUND(ROUND(AG324*AK324,2)*CX324,2)</f>
        <v>152.66999999999999</v>
      </c>
      <c r="DI324">
        <f t="shared" si="176"/>
        <v>0</v>
      </c>
      <c r="DJ324">
        <f>DG324</f>
        <v>366.21</v>
      </c>
      <c r="DK324">
        <v>0</v>
      </c>
      <c r="DL324" t="s">
        <v>507</v>
      </c>
      <c r="DM324">
        <v>0</v>
      </c>
      <c r="DN324" t="s">
        <v>502</v>
      </c>
      <c r="DO324">
        <v>12.62</v>
      </c>
    </row>
    <row r="325" spans="1:119" x14ac:dyDescent="0.2">
      <c r="A325">
        <f>ROW(Source!A447)</f>
        <v>447</v>
      </c>
      <c r="B325">
        <v>56959431</v>
      </c>
      <c r="C325">
        <v>56960338</v>
      </c>
      <c r="D325">
        <v>56061656</v>
      </c>
      <c r="E325">
        <v>1</v>
      </c>
      <c r="F325">
        <v>1</v>
      </c>
      <c r="G325">
        <v>1080</v>
      </c>
      <c r="H325">
        <v>3</v>
      </c>
      <c r="I325" t="s">
        <v>511</v>
      </c>
      <c r="J325" t="s">
        <v>512</v>
      </c>
      <c r="K325" t="s">
        <v>513</v>
      </c>
      <c r="L325">
        <v>1346</v>
      </c>
      <c r="N325">
        <v>1009</v>
      </c>
      <c r="O325" t="s">
        <v>249</v>
      </c>
      <c r="P325" t="s">
        <v>249</v>
      </c>
      <c r="Q325">
        <v>1</v>
      </c>
      <c r="W325">
        <v>0</v>
      </c>
      <c r="X325">
        <v>444134433</v>
      </c>
      <c r="Y325">
        <f>AT325</f>
        <v>0.9</v>
      </c>
      <c r="AA325">
        <v>183.1</v>
      </c>
      <c r="AB325">
        <v>0</v>
      </c>
      <c r="AC325">
        <v>0</v>
      </c>
      <c r="AD325">
        <v>0</v>
      </c>
      <c r="AE325">
        <v>104.63</v>
      </c>
      <c r="AF325">
        <v>0</v>
      </c>
      <c r="AG325">
        <v>0</v>
      </c>
      <c r="AH325">
        <v>0</v>
      </c>
      <c r="AI325">
        <v>1.75</v>
      </c>
      <c r="AJ325">
        <v>1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0.9</v>
      </c>
      <c r="AU325" t="s">
        <v>3</v>
      </c>
      <c r="AV325">
        <v>0</v>
      </c>
      <c r="AW325">
        <v>2</v>
      </c>
      <c r="AX325">
        <v>56961098</v>
      </c>
      <c r="AY325">
        <v>1</v>
      </c>
      <c r="AZ325">
        <v>0</v>
      </c>
      <c r="BA325">
        <v>394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ROUND(Y325*Source!I447,9)</f>
        <v>9</v>
      </c>
      <c r="CY325">
        <f>AA325</f>
        <v>183.1</v>
      </c>
      <c r="CZ325">
        <f>AE325</f>
        <v>104.63</v>
      </c>
      <c r="DA325">
        <f>AI325</f>
        <v>1.75</v>
      </c>
      <c r="DB325">
        <f>ROUND(ROUND(AT325*CZ325,2),6)</f>
        <v>94.17</v>
      </c>
      <c r="DC325">
        <f>ROUND(ROUND(AT325*AG325,2),6)</f>
        <v>0</v>
      </c>
      <c r="DD325" t="s">
        <v>3</v>
      </c>
      <c r="DE325" t="s">
        <v>3</v>
      </c>
      <c r="DF325">
        <f>ROUND(ROUND(AE325*AI325,2)*CX325,2)</f>
        <v>1647.9</v>
      </c>
      <c r="DG325">
        <f t="shared" ref="DG325:DG342" si="177">ROUND(ROUND(AF325,2)*CX325,2)</f>
        <v>0</v>
      </c>
      <c r="DH325">
        <f t="shared" ref="DH325:DH342" si="178">ROUND(ROUND(AG325,2)*CX325,2)</f>
        <v>0</v>
      </c>
      <c r="DI325">
        <f t="shared" si="176"/>
        <v>0</v>
      </c>
      <c r="DJ325">
        <f>DF325</f>
        <v>1647.9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ROW(Source!A447)</f>
        <v>447</v>
      </c>
      <c r="B326">
        <v>56959431</v>
      </c>
      <c r="C326">
        <v>56960338</v>
      </c>
      <c r="D326">
        <v>56063129</v>
      </c>
      <c r="E326">
        <v>1</v>
      </c>
      <c r="F326">
        <v>1</v>
      </c>
      <c r="G326">
        <v>1080</v>
      </c>
      <c r="H326">
        <v>3</v>
      </c>
      <c r="I326" t="s">
        <v>514</v>
      </c>
      <c r="J326" t="s">
        <v>515</v>
      </c>
      <c r="K326" t="s">
        <v>516</v>
      </c>
      <c r="L326">
        <v>1348</v>
      </c>
      <c r="N326">
        <v>1009</v>
      </c>
      <c r="O326" t="s">
        <v>291</v>
      </c>
      <c r="P326" t="s">
        <v>291</v>
      </c>
      <c r="Q326">
        <v>1000</v>
      </c>
      <c r="W326">
        <v>0</v>
      </c>
      <c r="X326">
        <v>1224372165</v>
      </c>
      <c r="Y326">
        <f>AT326</f>
        <v>2.6999999999999999E-5</v>
      </c>
      <c r="AA326">
        <v>176389.63</v>
      </c>
      <c r="AB326">
        <v>0</v>
      </c>
      <c r="AC326">
        <v>0</v>
      </c>
      <c r="AD326">
        <v>0</v>
      </c>
      <c r="AE326">
        <v>15568.37</v>
      </c>
      <c r="AF326">
        <v>0</v>
      </c>
      <c r="AG326">
        <v>0</v>
      </c>
      <c r="AH326">
        <v>0</v>
      </c>
      <c r="AI326">
        <v>11.33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2.6999999999999999E-5</v>
      </c>
      <c r="AU326" t="s">
        <v>3</v>
      </c>
      <c r="AV326">
        <v>0</v>
      </c>
      <c r="AW326">
        <v>2</v>
      </c>
      <c r="AX326">
        <v>56961099</v>
      </c>
      <c r="AY326">
        <v>1</v>
      </c>
      <c r="AZ326">
        <v>0</v>
      </c>
      <c r="BA326">
        <v>395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ROUND(Y326*Source!I447,9)</f>
        <v>2.7E-4</v>
      </c>
      <c r="CY326">
        <f>AA326</f>
        <v>176389.63</v>
      </c>
      <c r="CZ326">
        <f>AE326</f>
        <v>15568.37</v>
      </c>
      <c r="DA326">
        <f>AI326</f>
        <v>11.33</v>
      </c>
      <c r="DB326">
        <f>ROUND(ROUND(AT326*CZ326,2),6)</f>
        <v>0.42</v>
      </c>
      <c r="DC326">
        <f>ROUND(ROUND(AT326*AG326,2),6)</f>
        <v>0</v>
      </c>
      <c r="DD326" t="s">
        <v>3</v>
      </c>
      <c r="DE326" t="s">
        <v>3</v>
      </c>
      <c r="DF326">
        <f>ROUND(ROUND(AE326*AI326,2)*CX326,2)</f>
        <v>47.63</v>
      </c>
      <c r="DG326">
        <f t="shared" si="177"/>
        <v>0</v>
      </c>
      <c r="DH326">
        <f t="shared" si="178"/>
        <v>0</v>
      </c>
      <c r="DI326">
        <f t="shared" si="176"/>
        <v>0</v>
      </c>
      <c r="DJ326">
        <f>DF326</f>
        <v>47.63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ROW(Source!A447)</f>
        <v>447</v>
      </c>
      <c r="B327">
        <v>56959431</v>
      </c>
      <c r="C327">
        <v>56960338</v>
      </c>
      <c r="D327">
        <v>56067341</v>
      </c>
      <c r="E327">
        <v>1</v>
      </c>
      <c r="F327">
        <v>1</v>
      </c>
      <c r="G327">
        <v>1080</v>
      </c>
      <c r="H327">
        <v>3</v>
      </c>
      <c r="I327" t="s">
        <v>517</v>
      </c>
      <c r="J327" t="s">
        <v>518</v>
      </c>
      <c r="K327" t="s">
        <v>519</v>
      </c>
      <c r="L327">
        <v>1355</v>
      </c>
      <c r="N327">
        <v>1010</v>
      </c>
      <c r="O327" t="s">
        <v>520</v>
      </c>
      <c r="P327" t="s">
        <v>520</v>
      </c>
      <c r="Q327">
        <v>100</v>
      </c>
      <c r="W327">
        <v>0</v>
      </c>
      <c r="X327">
        <v>-1616851610</v>
      </c>
      <c r="Y327">
        <f>AT327</f>
        <v>0.12</v>
      </c>
      <c r="AA327">
        <v>1542.04</v>
      </c>
      <c r="AB327">
        <v>0</v>
      </c>
      <c r="AC327">
        <v>0</v>
      </c>
      <c r="AD327">
        <v>0</v>
      </c>
      <c r="AE327">
        <v>120.19</v>
      </c>
      <c r="AF327">
        <v>0</v>
      </c>
      <c r="AG327">
        <v>0</v>
      </c>
      <c r="AH327">
        <v>0</v>
      </c>
      <c r="AI327">
        <v>12.83</v>
      </c>
      <c r="AJ327">
        <v>1</v>
      </c>
      <c r="AK327">
        <v>1</v>
      </c>
      <c r="AL327">
        <v>1</v>
      </c>
      <c r="AM327">
        <v>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0.12</v>
      </c>
      <c r="AU327" t="s">
        <v>3</v>
      </c>
      <c r="AV327">
        <v>0</v>
      </c>
      <c r="AW327">
        <v>2</v>
      </c>
      <c r="AX327">
        <v>56961100</v>
      </c>
      <c r="AY327">
        <v>1</v>
      </c>
      <c r="AZ327">
        <v>0</v>
      </c>
      <c r="BA327">
        <v>396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ROUND(Y327*Source!I447,9)</f>
        <v>1.2</v>
      </c>
      <c r="CY327">
        <f>AA327</f>
        <v>1542.04</v>
      </c>
      <c r="CZ327">
        <f>AE327</f>
        <v>120.19</v>
      </c>
      <c r="DA327">
        <f>AI327</f>
        <v>12.83</v>
      </c>
      <c r="DB327">
        <f>ROUND(ROUND(AT327*CZ327,2),6)</f>
        <v>14.42</v>
      </c>
      <c r="DC327">
        <f>ROUND(ROUND(AT327*AG327,2),6)</f>
        <v>0</v>
      </c>
      <c r="DD327" t="s">
        <v>3</v>
      </c>
      <c r="DE327" t="s">
        <v>3</v>
      </c>
      <c r="DF327">
        <f>ROUND(ROUND(AE327*AI327,2)*CX327,2)</f>
        <v>1850.45</v>
      </c>
      <c r="DG327">
        <f t="shared" si="177"/>
        <v>0</v>
      </c>
      <c r="DH327">
        <f t="shared" si="178"/>
        <v>0</v>
      </c>
      <c r="DI327">
        <f t="shared" si="176"/>
        <v>0</v>
      </c>
      <c r="DJ327">
        <f>DF327</f>
        <v>1850.45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ROW(Source!A447)</f>
        <v>447</v>
      </c>
      <c r="B328">
        <v>56959431</v>
      </c>
      <c r="C328">
        <v>56960338</v>
      </c>
      <c r="D328">
        <v>56023168</v>
      </c>
      <c r="E328">
        <v>1080</v>
      </c>
      <c r="F328">
        <v>1</v>
      </c>
      <c r="G328">
        <v>1080</v>
      </c>
      <c r="H328">
        <v>3</v>
      </c>
      <c r="I328" t="s">
        <v>521</v>
      </c>
      <c r="J328" t="s">
        <v>3</v>
      </c>
      <c r="K328" t="s">
        <v>522</v>
      </c>
      <c r="L328">
        <v>1348</v>
      </c>
      <c r="N328">
        <v>1009</v>
      </c>
      <c r="O328" t="s">
        <v>291</v>
      </c>
      <c r="P328" t="s">
        <v>291</v>
      </c>
      <c r="Q328">
        <v>1000</v>
      </c>
      <c r="W328">
        <v>0</v>
      </c>
      <c r="X328">
        <v>-783086922</v>
      </c>
      <c r="Y328">
        <f>AT328</f>
        <v>2.7E-2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9.8800000000000008</v>
      </c>
      <c r="AJ328">
        <v>1</v>
      </c>
      <c r="AK328">
        <v>1</v>
      </c>
      <c r="AL328">
        <v>1</v>
      </c>
      <c r="AM328">
        <v>5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2.7E-2</v>
      </c>
      <c r="AU328" t="s">
        <v>3</v>
      </c>
      <c r="AV328">
        <v>0</v>
      </c>
      <c r="AW328">
        <v>2</v>
      </c>
      <c r="AX328">
        <v>56961102</v>
      </c>
      <c r="AY328">
        <v>1</v>
      </c>
      <c r="AZ328">
        <v>0</v>
      </c>
      <c r="BA328">
        <v>398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ROUND(Y328*Source!I447,9)</f>
        <v>0.27</v>
      </c>
      <c r="CY328">
        <f>AA328</f>
        <v>0</v>
      </c>
      <c r="CZ328">
        <f>AE328</f>
        <v>0</v>
      </c>
      <c r="DA328">
        <f>AI328</f>
        <v>9.8800000000000008</v>
      </c>
      <c r="DB328">
        <f>ROUND(ROUND(AT328*CZ328,2),6)</f>
        <v>0</v>
      </c>
      <c r="DC328">
        <f>ROUND(ROUND(AT328*AG328,2),6)</f>
        <v>0</v>
      </c>
      <c r="DD328" t="s">
        <v>3</v>
      </c>
      <c r="DE328" t="s">
        <v>3</v>
      </c>
      <c r="DF328">
        <f>ROUND(ROUND(AE328*AI328,2)*CX328,2)</f>
        <v>0</v>
      </c>
      <c r="DG328">
        <f t="shared" si="177"/>
        <v>0</v>
      </c>
      <c r="DH328">
        <f t="shared" si="178"/>
        <v>0</v>
      </c>
      <c r="DI328">
        <f t="shared" si="176"/>
        <v>0</v>
      </c>
      <c r="DJ328">
        <f>DF328</f>
        <v>0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ROW(Source!A450)</f>
        <v>450</v>
      </c>
      <c r="B329">
        <v>56959434</v>
      </c>
      <c r="C329">
        <v>56960353</v>
      </c>
      <c r="D329">
        <v>56018166</v>
      </c>
      <c r="E329">
        <v>1080</v>
      </c>
      <c r="F329">
        <v>1</v>
      </c>
      <c r="G329">
        <v>1080</v>
      </c>
      <c r="H329">
        <v>1</v>
      </c>
      <c r="I329" t="s">
        <v>500</v>
      </c>
      <c r="J329" t="s">
        <v>3</v>
      </c>
      <c r="K329" t="s">
        <v>501</v>
      </c>
      <c r="L329">
        <v>1191</v>
      </c>
      <c r="N329">
        <v>1013</v>
      </c>
      <c r="O329" t="s">
        <v>502</v>
      </c>
      <c r="P329" t="s">
        <v>502</v>
      </c>
      <c r="Q329">
        <v>1</v>
      </c>
      <c r="W329">
        <v>0</v>
      </c>
      <c r="X329">
        <v>476480486</v>
      </c>
      <c r="Y329">
        <f>(AT329*1.1)</f>
        <v>16.5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15</v>
      </c>
      <c r="AU329" t="s">
        <v>23</v>
      </c>
      <c r="AV329">
        <v>1</v>
      </c>
      <c r="AW329">
        <v>2</v>
      </c>
      <c r="AX329">
        <v>56961103</v>
      </c>
      <c r="AY329">
        <v>1</v>
      </c>
      <c r="AZ329">
        <v>0</v>
      </c>
      <c r="BA329">
        <v>399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ROUND(AT329*Source!I450*AH329*AL329,2)</f>
        <v>0</v>
      </c>
      <c r="CV329">
        <f>ROUND(Y329*Source!I450,9)</f>
        <v>82.5</v>
      </c>
      <c r="CW329">
        <v>0</v>
      </c>
      <c r="CX329">
        <f>ROUND(Y329*Source!I450,9)</f>
        <v>82.5</v>
      </c>
      <c r="CY329">
        <f>AD329</f>
        <v>0</v>
      </c>
      <c r="CZ329">
        <f>AH329</f>
        <v>0</v>
      </c>
      <c r="DA329">
        <f>AL329</f>
        <v>1</v>
      </c>
      <c r="DB329">
        <f>ROUND((ROUND(AT329*CZ329,2)*1.1),6)</f>
        <v>0</v>
      </c>
      <c r="DC329">
        <f>ROUND((ROUND(AT329*AG329,2)*1.1),6)</f>
        <v>0</v>
      </c>
      <c r="DD329" t="s">
        <v>3</v>
      </c>
      <c r="DE329" t="s">
        <v>3</v>
      </c>
      <c r="DF329">
        <f>ROUND(ROUND(AE329,2)*CX329,2)</f>
        <v>0</v>
      </c>
      <c r="DG329">
        <f t="shared" si="177"/>
        <v>0</v>
      </c>
      <c r="DH329">
        <f t="shared" si="178"/>
        <v>0</v>
      </c>
      <c r="DI329">
        <f t="shared" si="176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ROW(Source!A450)</f>
        <v>450</v>
      </c>
      <c r="B330">
        <v>56959434</v>
      </c>
      <c r="C330">
        <v>56960353</v>
      </c>
      <c r="D330">
        <v>56074647</v>
      </c>
      <c r="E330">
        <v>1</v>
      </c>
      <c r="F330">
        <v>1</v>
      </c>
      <c r="G330">
        <v>1080</v>
      </c>
      <c r="H330">
        <v>3</v>
      </c>
      <c r="I330" t="s">
        <v>82</v>
      </c>
      <c r="J330" t="s">
        <v>85</v>
      </c>
      <c r="K330" t="s">
        <v>83</v>
      </c>
      <c r="L330">
        <v>1301</v>
      </c>
      <c r="N330">
        <v>1003</v>
      </c>
      <c r="O330" t="s">
        <v>84</v>
      </c>
      <c r="P330" t="s">
        <v>84</v>
      </c>
      <c r="Q330">
        <v>1</v>
      </c>
      <c r="W330">
        <v>0</v>
      </c>
      <c r="X330">
        <v>-1305428159</v>
      </c>
      <c r="Y330">
        <f>AT330</f>
        <v>102</v>
      </c>
      <c r="AA330">
        <v>3.45</v>
      </c>
      <c r="AB330">
        <v>0</v>
      </c>
      <c r="AC330">
        <v>0</v>
      </c>
      <c r="AD330">
        <v>0</v>
      </c>
      <c r="AE330">
        <v>3.45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 t="s">
        <v>3</v>
      </c>
      <c r="AT330">
        <v>102</v>
      </c>
      <c r="AU330" t="s">
        <v>3</v>
      </c>
      <c r="AV330">
        <v>0</v>
      </c>
      <c r="AW330">
        <v>1</v>
      </c>
      <c r="AX330">
        <v>-1</v>
      </c>
      <c r="AY330">
        <v>0</v>
      </c>
      <c r="AZ330">
        <v>0</v>
      </c>
      <c r="BA330" t="s">
        <v>3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ROUND(Y330*Source!I450,9)</f>
        <v>510</v>
      </c>
      <c r="CY330">
        <f>AA330</f>
        <v>3.45</v>
      </c>
      <c r="CZ330">
        <f>AE330</f>
        <v>3.45</v>
      </c>
      <c r="DA330">
        <f>AI330</f>
        <v>1</v>
      </c>
      <c r="DB330">
        <f>ROUND(ROUND(AT330*CZ330,2),6)</f>
        <v>351.9</v>
      </c>
      <c r="DC330">
        <f>ROUND(ROUND(AT330*AG330,2),6)</f>
        <v>0</v>
      </c>
      <c r="DD330" t="s">
        <v>3</v>
      </c>
      <c r="DE330" t="s">
        <v>3</v>
      </c>
      <c r="DF330">
        <f>ROUND(ROUND(AE330,2)*CX330,2)</f>
        <v>1759.5</v>
      </c>
      <c r="DG330">
        <f t="shared" si="177"/>
        <v>0</v>
      </c>
      <c r="DH330">
        <f t="shared" si="178"/>
        <v>0</v>
      </c>
      <c r="DI330">
        <f t="shared" si="176"/>
        <v>0</v>
      </c>
      <c r="DJ330">
        <f>DF330</f>
        <v>1759.5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ROW(Source!A451)</f>
        <v>451</v>
      </c>
      <c r="B331">
        <v>56959431</v>
      </c>
      <c r="C331">
        <v>56960353</v>
      </c>
      <c r="D331">
        <v>56018166</v>
      </c>
      <c r="E331">
        <v>1080</v>
      </c>
      <c r="F331">
        <v>1</v>
      </c>
      <c r="G331">
        <v>1080</v>
      </c>
      <c r="H331">
        <v>1</v>
      </c>
      <c r="I331" t="s">
        <v>500</v>
      </c>
      <c r="J331" t="s">
        <v>3</v>
      </c>
      <c r="K331" t="s">
        <v>501</v>
      </c>
      <c r="L331">
        <v>1191</v>
      </c>
      <c r="N331">
        <v>1013</v>
      </c>
      <c r="O331" t="s">
        <v>502</v>
      </c>
      <c r="P331" t="s">
        <v>502</v>
      </c>
      <c r="Q331">
        <v>1</v>
      </c>
      <c r="W331">
        <v>0</v>
      </c>
      <c r="X331">
        <v>476480486</v>
      </c>
      <c r="Y331">
        <f>(AT331*1.1)</f>
        <v>16.5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5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15</v>
      </c>
      <c r="AU331" t="s">
        <v>23</v>
      </c>
      <c r="AV331">
        <v>1</v>
      </c>
      <c r="AW331">
        <v>2</v>
      </c>
      <c r="AX331">
        <v>56961103</v>
      </c>
      <c r="AY331">
        <v>1</v>
      </c>
      <c r="AZ331">
        <v>0</v>
      </c>
      <c r="BA331">
        <v>403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U331">
        <f>ROUND(AT331*Source!I451*AH331*AL331,2)</f>
        <v>0</v>
      </c>
      <c r="CV331">
        <f>ROUND(Y331*Source!I451,9)</f>
        <v>82.5</v>
      </c>
      <c r="CW331">
        <v>0</v>
      </c>
      <c r="CX331">
        <f>ROUND(Y331*Source!I451,9)</f>
        <v>82.5</v>
      </c>
      <c r="CY331">
        <f>AD331</f>
        <v>0</v>
      </c>
      <c r="CZ331">
        <f>AH331</f>
        <v>0</v>
      </c>
      <c r="DA331">
        <f>AL331</f>
        <v>1</v>
      </c>
      <c r="DB331">
        <f>ROUND((ROUND(AT331*CZ331,2)*1.1),6)</f>
        <v>0</v>
      </c>
      <c r="DC331">
        <f>ROUND((ROUND(AT331*AG331,2)*1.1),6)</f>
        <v>0</v>
      </c>
      <c r="DD331" t="s">
        <v>3</v>
      </c>
      <c r="DE331" t="s">
        <v>3</v>
      </c>
      <c r="DF331">
        <f>ROUND(ROUND(AE331,2)*CX331,2)</f>
        <v>0</v>
      </c>
      <c r="DG331">
        <f t="shared" si="177"/>
        <v>0</v>
      </c>
      <c r="DH331">
        <f t="shared" si="178"/>
        <v>0</v>
      </c>
      <c r="DI331">
        <f t="shared" si="176"/>
        <v>0</v>
      </c>
      <c r="DJ331">
        <f>DI331</f>
        <v>0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ROW(Source!A451)</f>
        <v>451</v>
      </c>
      <c r="B332">
        <v>56959431</v>
      </c>
      <c r="C332">
        <v>56960353</v>
      </c>
      <c r="D332">
        <v>56074647</v>
      </c>
      <c r="E332">
        <v>1</v>
      </c>
      <c r="F332">
        <v>1</v>
      </c>
      <c r="G332">
        <v>1080</v>
      </c>
      <c r="H332">
        <v>3</v>
      </c>
      <c r="I332" t="s">
        <v>82</v>
      </c>
      <c r="J332" t="s">
        <v>85</v>
      </c>
      <c r="K332" t="s">
        <v>83</v>
      </c>
      <c r="L332">
        <v>1301</v>
      </c>
      <c r="N332">
        <v>1003</v>
      </c>
      <c r="O332" t="s">
        <v>84</v>
      </c>
      <c r="P332" t="s">
        <v>84</v>
      </c>
      <c r="Q332">
        <v>1</v>
      </c>
      <c r="W332">
        <v>0</v>
      </c>
      <c r="X332">
        <v>-1305428159</v>
      </c>
      <c r="Y332">
        <f>AT332</f>
        <v>102</v>
      </c>
      <c r="AA332">
        <v>13.56</v>
      </c>
      <c r="AB332">
        <v>0</v>
      </c>
      <c r="AC332">
        <v>0</v>
      </c>
      <c r="AD332">
        <v>0</v>
      </c>
      <c r="AE332">
        <v>3.45</v>
      </c>
      <c r="AF332">
        <v>0</v>
      </c>
      <c r="AG332">
        <v>0</v>
      </c>
      <c r="AH332">
        <v>0</v>
      </c>
      <c r="AI332">
        <v>3.93</v>
      </c>
      <c r="AJ332">
        <v>1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 t="s">
        <v>3</v>
      </c>
      <c r="AT332">
        <v>102</v>
      </c>
      <c r="AU332" t="s">
        <v>3</v>
      </c>
      <c r="AV332">
        <v>0</v>
      </c>
      <c r="AW332">
        <v>1</v>
      </c>
      <c r="AX332">
        <v>-1</v>
      </c>
      <c r="AY332">
        <v>0</v>
      </c>
      <c r="AZ332">
        <v>0</v>
      </c>
      <c r="BA332" t="s">
        <v>3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ROUND(Y332*Source!I451,9)</f>
        <v>510</v>
      </c>
      <c r="CY332">
        <f>AA332</f>
        <v>13.56</v>
      </c>
      <c r="CZ332">
        <f>AE332</f>
        <v>3.45</v>
      </c>
      <c r="DA332">
        <f>AI332</f>
        <v>3.93</v>
      </c>
      <c r="DB332">
        <f>ROUND(ROUND(AT332*CZ332,2),6)</f>
        <v>351.9</v>
      </c>
      <c r="DC332">
        <f>ROUND(ROUND(AT332*AG332,2),6)</f>
        <v>0</v>
      </c>
      <c r="DD332" t="s">
        <v>3</v>
      </c>
      <c r="DE332" t="s">
        <v>3</v>
      </c>
      <c r="DF332">
        <f>ROUND(ROUND(AE332*AI332,2)*CX332,2)</f>
        <v>6915.6</v>
      </c>
      <c r="DG332">
        <f t="shared" si="177"/>
        <v>0</v>
      </c>
      <c r="DH332">
        <f t="shared" si="178"/>
        <v>0</v>
      </c>
      <c r="DI332">
        <f t="shared" si="176"/>
        <v>0</v>
      </c>
      <c r="DJ332">
        <f>DF332</f>
        <v>6915.6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ROW(Source!A454)</f>
        <v>454</v>
      </c>
      <c r="B333">
        <v>56959434</v>
      </c>
      <c r="C333">
        <v>56960361</v>
      </c>
      <c r="D333">
        <v>56018166</v>
      </c>
      <c r="E333">
        <v>1080</v>
      </c>
      <c r="F333">
        <v>1</v>
      </c>
      <c r="G333">
        <v>1080</v>
      </c>
      <c r="H333">
        <v>1</v>
      </c>
      <c r="I333" t="s">
        <v>500</v>
      </c>
      <c r="J333" t="s">
        <v>3</v>
      </c>
      <c r="K333" t="s">
        <v>501</v>
      </c>
      <c r="L333">
        <v>1191</v>
      </c>
      <c r="N333">
        <v>1013</v>
      </c>
      <c r="O333" t="s">
        <v>502</v>
      </c>
      <c r="P333" t="s">
        <v>502</v>
      </c>
      <c r="Q333">
        <v>1</v>
      </c>
      <c r="W333">
        <v>0</v>
      </c>
      <c r="X333">
        <v>476480486</v>
      </c>
      <c r="Y333">
        <f>(AT333*1.1)</f>
        <v>6.9190000000000005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6.29</v>
      </c>
      <c r="AU333" t="s">
        <v>23</v>
      </c>
      <c r="AV333">
        <v>1</v>
      </c>
      <c r="AW333">
        <v>2</v>
      </c>
      <c r="AX333">
        <v>56961107</v>
      </c>
      <c r="AY333">
        <v>1</v>
      </c>
      <c r="AZ333">
        <v>0</v>
      </c>
      <c r="BA333">
        <v>407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U333">
        <f>ROUND(AT333*Source!I454*AH333*AL333,2)</f>
        <v>0</v>
      </c>
      <c r="CV333">
        <f>ROUND(Y333*Source!I454,9)</f>
        <v>34.594999999999999</v>
      </c>
      <c r="CW333">
        <v>0</v>
      </c>
      <c r="CX333">
        <f>ROUND(Y333*Source!I454,9)</f>
        <v>34.594999999999999</v>
      </c>
      <c r="CY333">
        <f>AD333</f>
        <v>0</v>
      </c>
      <c r="CZ333">
        <f>AH333</f>
        <v>0</v>
      </c>
      <c r="DA333">
        <f>AL333</f>
        <v>1</v>
      </c>
      <c r="DB333">
        <f>ROUND((ROUND(AT333*CZ333,2)*1.1),6)</f>
        <v>0</v>
      </c>
      <c r="DC333">
        <f>ROUND((ROUND(AT333*AG333,2)*1.1),6)</f>
        <v>0</v>
      </c>
      <c r="DD333" t="s">
        <v>3</v>
      </c>
      <c r="DE333" t="s">
        <v>3</v>
      </c>
      <c r="DF333">
        <f t="shared" ref="DF333:DF344" si="179">ROUND(ROUND(AE333,2)*CX333,2)</f>
        <v>0</v>
      </c>
      <c r="DG333">
        <f t="shared" si="177"/>
        <v>0</v>
      </c>
      <c r="DH333">
        <f t="shared" si="178"/>
        <v>0</v>
      </c>
      <c r="DI333">
        <f t="shared" si="176"/>
        <v>0</v>
      </c>
      <c r="DJ333">
        <f>DI333</f>
        <v>0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ROW(Source!A454)</f>
        <v>454</v>
      </c>
      <c r="B334">
        <v>56959434</v>
      </c>
      <c r="C334">
        <v>56960361</v>
      </c>
      <c r="D334">
        <v>56092340</v>
      </c>
      <c r="E334">
        <v>1</v>
      </c>
      <c r="F334">
        <v>1</v>
      </c>
      <c r="G334">
        <v>1080</v>
      </c>
      <c r="H334">
        <v>2</v>
      </c>
      <c r="I334" t="s">
        <v>503</v>
      </c>
      <c r="J334" t="s">
        <v>504</v>
      </c>
      <c r="K334" t="s">
        <v>505</v>
      </c>
      <c r="L334">
        <v>1368</v>
      </c>
      <c r="N334">
        <v>1011</v>
      </c>
      <c r="O334" t="s">
        <v>506</v>
      </c>
      <c r="P334" t="s">
        <v>506</v>
      </c>
      <c r="Q334">
        <v>1</v>
      </c>
      <c r="W334">
        <v>0</v>
      </c>
      <c r="X334">
        <v>-1985943078</v>
      </c>
      <c r="Y334">
        <f>(AT334*1.1)</f>
        <v>3.3000000000000002E-2</v>
      </c>
      <c r="AA334">
        <v>0</v>
      </c>
      <c r="AB334">
        <v>87.01</v>
      </c>
      <c r="AC334">
        <v>13.21</v>
      </c>
      <c r="AD334">
        <v>0</v>
      </c>
      <c r="AE334">
        <v>0</v>
      </c>
      <c r="AF334">
        <v>83.1</v>
      </c>
      <c r="AG334">
        <v>12.62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0.03</v>
      </c>
      <c r="AU334" t="s">
        <v>23</v>
      </c>
      <c r="AV334">
        <v>0</v>
      </c>
      <c r="AW334">
        <v>2</v>
      </c>
      <c r="AX334">
        <v>56961108</v>
      </c>
      <c r="AY334">
        <v>1</v>
      </c>
      <c r="AZ334">
        <v>0</v>
      </c>
      <c r="BA334">
        <v>408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f>ROUND(Y334*Source!I454*DO334,9)</f>
        <v>2.0823</v>
      </c>
      <c r="CX334">
        <f>ROUND(Y334*Source!I454,9)</f>
        <v>0.16500000000000001</v>
      </c>
      <c r="CY334">
        <f>AB334</f>
        <v>87.01</v>
      </c>
      <c r="CZ334">
        <f>AF334</f>
        <v>83.1</v>
      </c>
      <c r="DA334">
        <f>AJ334</f>
        <v>1</v>
      </c>
      <c r="DB334">
        <f>ROUND((ROUND(AT334*CZ334,2)*1.1),6)</f>
        <v>2.7389999999999999</v>
      </c>
      <c r="DC334">
        <f>ROUND((ROUND(AT334*AG334,2)*1.1),6)</f>
        <v>0.41799999999999998</v>
      </c>
      <c r="DD334" t="s">
        <v>3</v>
      </c>
      <c r="DE334" t="s">
        <v>3</v>
      </c>
      <c r="DF334">
        <f t="shared" si="179"/>
        <v>0</v>
      </c>
      <c r="DG334">
        <f t="shared" si="177"/>
        <v>13.71</v>
      </c>
      <c r="DH334">
        <f t="shared" si="178"/>
        <v>2.08</v>
      </c>
      <c r="DI334">
        <f t="shared" si="176"/>
        <v>0</v>
      </c>
      <c r="DJ334">
        <f>DG334</f>
        <v>13.71</v>
      </c>
      <c r="DK334">
        <v>0</v>
      </c>
      <c r="DL334" t="s">
        <v>507</v>
      </c>
      <c r="DM334">
        <v>0</v>
      </c>
      <c r="DN334" t="s">
        <v>502</v>
      </c>
      <c r="DO334">
        <v>12.62</v>
      </c>
    </row>
    <row r="335" spans="1:119" x14ac:dyDescent="0.2">
      <c r="A335">
        <f>ROW(Source!A454)</f>
        <v>454</v>
      </c>
      <c r="B335">
        <v>56959434</v>
      </c>
      <c r="C335">
        <v>56960361</v>
      </c>
      <c r="D335">
        <v>56091576</v>
      </c>
      <c r="E335">
        <v>1</v>
      </c>
      <c r="F335">
        <v>1</v>
      </c>
      <c r="G335">
        <v>1080</v>
      </c>
      <c r="H335">
        <v>2</v>
      </c>
      <c r="I335" t="s">
        <v>529</v>
      </c>
      <c r="J335" t="s">
        <v>530</v>
      </c>
      <c r="K335" t="s">
        <v>531</v>
      </c>
      <c r="L335">
        <v>1368</v>
      </c>
      <c r="N335">
        <v>1011</v>
      </c>
      <c r="O335" t="s">
        <v>506</v>
      </c>
      <c r="P335" t="s">
        <v>506</v>
      </c>
      <c r="Q335">
        <v>1</v>
      </c>
      <c r="W335">
        <v>0</v>
      </c>
      <c r="X335">
        <v>1087580389</v>
      </c>
      <c r="Y335">
        <f>(AT335*1.1)</f>
        <v>3.3000000000000002E-2</v>
      </c>
      <c r="AA335">
        <v>0</v>
      </c>
      <c r="AB335">
        <v>187.59</v>
      </c>
      <c r="AC335">
        <v>17.73</v>
      </c>
      <c r="AD335">
        <v>0</v>
      </c>
      <c r="AE335">
        <v>0</v>
      </c>
      <c r="AF335">
        <v>179.17</v>
      </c>
      <c r="AG335">
        <v>16.93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0.03</v>
      </c>
      <c r="AU335" t="s">
        <v>23</v>
      </c>
      <c r="AV335">
        <v>0</v>
      </c>
      <c r="AW335">
        <v>2</v>
      </c>
      <c r="AX335">
        <v>56961109</v>
      </c>
      <c r="AY335">
        <v>1</v>
      </c>
      <c r="AZ335">
        <v>0</v>
      </c>
      <c r="BA335">
        <v>409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f>ROUND(Y335*Source!I454*DO335,9)</f>
        <v>2.79345</v>
      </c>
      <c r="CX335">
        <f>ROUND(Y335*Source!I454,9)</f>
        <v>0.16500000000000001</v>
      </c>
      <c r="CY335">
        <f>AB335</f>
        <v>187.59</v>
      </c>
      <c r="CZ335">
        <f>AF335</f>
        <v>179.17</v>
      </c>
      <c r="DA335">
        <f>AJ335</f>
        <v>1</v>
      </c>
      <c r="DB335">
        <f>ROUND((ROUND(AT335*CZ335,2)*1.1),6)</f>
        <v>5.9180000000000001</v>
      </c>
      <c r="DC335">
        <f>ROUND((ROUND(AT335*AG335,2)*1.1),6)</f>
        <v>0.56100000000000005</v>
      </c>
      <c r="DD335" t="s">
        <v>3</v>
      </c>
      <c r="DE335" t="s">
        <v>3</v>
      </c>
      <c r="DF335">
        <f t="shared" si="179"/>
        <v>0</v>
      </c>
      <c r="DG335">
        <f t="shared" si="177"/>
        <v>29.56</v>
      </c>
      <c r="DH335">
        <f t="shared" si="178"/>
        <v>2.79</v>
      </c>
      <c r="DI335">
        <f t="shared" si="176"/>
        <v>0</v>
      </c>
      <c r="DJ335">
        <f>DG335</f>
        <v>29.56</v>
      </c>
      <c r="DK335">
        <v>0</v>
      </c>
      <c r="DL335" t="s">
        <v>507</v>
      </c>
      <c r="DM335">
        <v>0</v>
      </c>
      <c r="DN335" t="s">
        <v>502</v>
      </c>
      <c r="DO335">
        <v>16.93</v>
      </c>
    </row>
    <row r="336" spans="1:119" x14ac:dyDescent="0.2">
      <c r="A336">
        <f>ROW(Source!A454)</f>
        <v>454</v>
      </c>
      <c r="B336">
        <v>56959434</v>
      </c>
      <c r="C336">
        <v>56960361</v>
      </c>
      <c r="D336">
        <v>56061373</v>
      </c>
      <c r="E336">
        <v>1</v>
      </c>
      <c r="F336">
        <v>1</v>
      </c>
      <c r="G336">
        <v>1080</v>
      </c>
      <c r="H336">
        <v>3</v>
      </c>
      <c r="I336" t="s">
        <v>532</v>
      </c>
      <c r="J336" t="s">
        <v>533</v>
      </c>
      <c r="K336" t="s">
        <v>534</v>
      </c>
      <c r="L336">
        <v>1346</v>
      </c>
      <c r="N336">
        <v>1009</v>
      </c>
      <c r="O336" t="s">
        <v>249</v>
      </c>
      <c r="P336" t="s">
        <v>249</v>
      </c>
      <c r="Q336">
        <v>1</v>
      </c>
      <c r="W336">
        <v>0</v>
      </c>
      <c r="X336">
        <v>1770006655</v>
      </c>
      <c r="Y336">
        <f t="shared" ref="Y336:Y341" si="180">AT336</f>
        <v>1.05</v>
      </c>
      <c r="AA336">
        <v>1.38</v>
      </c>
      <c r="AB336">
        <v>0</v>
      </c>
      <c r="AC336">
        <v>0</v>
      </c>
      <c r="AD336">
        <v>0</v>
      </c>
      <c r="AE336">
        <v>1.38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1.05</v>
      </c>
      <c r="AU336" t="s">
        <v>3</v>
      </c>
      <c r="AV336">
        <v>0</v>
      </c>
      <c r="AW336">
        <v>2</v>
      </c>
      <c r="AX336">
        <v>56961110</v>
      </c>
      <c r="AY336">
        <v>1</v>
      </c>
      <c r="AZ336">
        <v>0</v>
      </c>
      <c r="BA336">
        <v>410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ROUND(Y336*Source!I454,9)</f>
        <v>5.25</v>
      </c>
      <c r="CY336">
        <f t="shared" ref="CY336:CY341" si="181">AA336</f>
        <v>1.38</v>
      </c>
      <c r="CZ336">
        <f t="shared" ref="CZ336:CZ341" si="182">AE336</f>
        <v>1.38</v>
      </c>
      <c r="DA336">
        <f t="shared" ref="DA336:DA341" si="183">AI336</f>
        <v>1</v>
      </c>
      <c r="DB336">
        <f t="shared" ref="DB336:DB341" si="184">ROUND(ROUND(AT336*CZ336,2),6)</f>
        <v>1.45</v>
      </c>
      <c r="DC336">
        <f t="shared" ref="DC336:DC341" si="185">ROUND(ROUND(AT336*AG336,2),6)</f>
        <v>0</v>
      </c>
      <c r="DD336" t="s">
        <v>3</v>
      </c>
      <c r="DE336" t="s">
        <v>3</v>
      </c>
      <c r="DF336">
        <f t="shared" si="179"/>
        <v>7.25</v>
      </c>
      <c r="DG336">
        <f t="shared" si="177"/>
        <v>0</v>
      </c>
      <c r="DH336">
        <f t="shared" si="178"/>
        <v>0</v>
      </c>
      <c r="DI336">
        <f t="shared" si="176"/>
        <v>0</v>
      </c>
      <c r="DJ336">
        <f t="shared" ref="DJ336:DJ341" si="186">DF336</f>
        <v>7.25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ROW(Source!A454)</f>
        <v>454</v>
      </c>
      <c r="B337">
        <v>56959434</v>
      </c>
      <c r="C337">
        <v>56960361</v>
      </c>
      <c r="D337">
        <v>56061764</v>
      </c>
      <c r="E337">
        <v>1</v>
      </c>
      <c r="F337">
        <v>1</v>
      </c>
      <c r="G337">
        <v>1080</v>
      </c>
      <c r="H337">
        <v>3</v>
      </c>
      <c r="I337" t="s">
        <v>535</v>
      </c>
      <c r="J337" t="s">
        <v>536</v>
      </c>
      <c r="K337" t="s">
        <v>537</v>
      </c>
      <c r="L337">
        <v>1346</v>
      </c>
      <c r="N337">
        <v>1009</v>
      </c>
      <c r="O337" t="s">
        <v>249</v>
      </c>
      <c r="P337" t="s">
        <v>249</v>
      </c>
      <c r="Q337">
        <v>1</v>
      </c>
      <c r="W337">
        <v>0</v>
      </c>
      <c r="X337">
        <v>-878159893</v>
      </c>
      <c r="Y337">
        <f t="shared" si="180"/>
        <v>0.32</v>
      </c>
      <c r="AA337">
        <v>159.06</v>
      </c>
      <c r="AB337">
        <v>0</v>
      </c>
      <c r="AC337">
        <v>0</v>
      </c>
      <c r="AD337">
        <v>0</v>
      </c>
      <c r="AE337">
        <v>159.06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0.32</v>
      </c>
      <c r="AU337" t="s">
        <v>3</v>
      </c>
      <c r="AV337">
        <v>0</v>
      </c>
      <c r="AW337">
        <v>2</v>
      </c>
      <c r="AX337">
        <v>56961111</v>
      </c>
      <c r="AY337">
        <v>1</v>
      </c>
      <c r="AZ337">
        <v>0</v>
      </c>
      <c r="BA337">
        <v>411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ROUND(Y337*Source!I454,9)</f>
        <v>1.6</v>
      </c>
      <c r="CY337">
        <f t="shared" si="181"/>
        <v>159.06</v>
      </c>
      <c r="CZ337">
        <f t="shared" si="182"/>
        <v>159.06</v>
      </c>
      <c r="DA337">
        <f t="shared" si="183"/>
        <v>1</v>
      </c>
      <c r="DB337">
        <f t="shared" si="184"/>
        <v>50.9</v>
      </c>
      <c r="DC337">
        <f t="shared" si="185"/>
        <v>0</v>
      </c>
      <c r="DD337" t="s">
        <v>3</v>
      </c>
      <c r="DE337" t="s">
        <v>3</v>
      </c>
      <c r="DF337">
        <f t="shared" si="179"/>
        <v>254.5</v>
      </c>
      <c r="DG337">
        <f t="shared" si="177"/>
        <v>0</v>
      </c>
      <c r="DH337">
        <f t="shared" si="178"/>
        <v>0</v>
      </c>
      <c r="DI337">
        <f t="shared" si="176"/>
        <v>0</v>
      </c>
      <c r="DJ337">
        <f t="shared" si="186"/>
        <v>254.5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ROW(Source!A454)</f>
        <v>454</v>
      </c>
      <c r="B338">
        <v>56959434</v>
      </c>
      <c r="C338">
        <v>56960361</v>
      </c>
      <c r="D338">
        <v>56084709</v>
      </c>
      <c r="E338">
        <v>1</v>
      </c>
      <c r="F338">
        <v>1</v>
      </c>
      <c r="G338">
        <v>1080</v>
      </c>
      <c r="H338">
        <v>3</v>
      </c>
      <c r="I338" t="s">
        <v>626</v>
      </c>
      <c r="J338" t="s">
        <v>627</v>
      </c>
      <c r="K338" t="s">
        <v>628</v>
      </c>
      <c r="L338">
        <v>1355</v>
      </c>
      <c r="N338">
        <v>1010</v>
      </c>
      <c r="O338" t="s">
        <v>520</v>
      </c>
      <c r="P338" t="s">
        <v>520</v>
      </c>
      <c r="Q338">
        <v>100</v>
      </c>
      <c r="W338">
        <v>0</v>
      </c>
      <c r="X338">
        <v>97581033</v>
      </c>
      <c r="Y338">
        <f t="shared" si="180"/>
        <v>0.05</v>
      </c>
      <c r="AA338">
        <v>238.37</v>
      </c>
      <c r="AB338">
        <v>0</v>
      </c>
      <c r="AC338">
        <v>0</v>
      </c>
      <c r="AD338">
        <v>0</v>
      </c>
      <c r="AE338">
        <v>238.37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0.05</v>
      </c>
      <c r="AU338" t="s">
        <v>3</v>
      </c>
      <c r="AV338">
        <v>0</v>
      </c>
      <c r="AW338">
        <v>2</v>
      </c>
      <c r="AX338">
        <v>56961112</v>
      </c>
      <c r="AY338">
        <v>1</v>
      </c>
      <c r="AZ338">
        <v>0</v>
      </c>
      <c r="BA338">
        <v>412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ROUND(Y338*Source!I454,9)</f>
        <v>0.25</v>
      </c>
      <c r="CY338">
        <f t="shared" si="181"/>
        <v>238.37</v>
      </c>
      <c r="CZ338">
        <f t="shared" si="182"/>
        <v>238.37</v>
      </c>
      <c r="DA338">
        <f t="shared" si="183"/>
        <v>1</v>
      </c>
      <c r="DB338">
        <f t="shared" si="184"/>
        <v>11.92</v>
      </c>
      <c r="DC338">
        <f t="shared" si="185"/>
        <v>0</v>
      </c>
      <c r="DD338" t="s">
        <v>3</v>
      </c>
      <c r="DE338" t="s">
        <v>3</v>
      </c>
      <c r="DF338">
        <f t="shared" si="179"/>
        <v>59.59</v>
      </c>
      <c r="DG338">
        <f t="shared" si="177"/>
        <v>0</v>
      </c>
      <c r="DH338">
        <f t="shared" si="178"/>
        <v>0</v>
      </c>
      <c r="DI338">
        <f t="shared" si="176"/>
        <v>0</v>
      </c>
      <c r="DJ338">
        <f t="shared" si="186"/>
        <v>59.59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ROW(Source!A454)</f>
        <v>454</v>
      </c>
      <c r="B339">
        <v>56959434</v>
      </c>
      <c r="C339">
        <v>56960361</v>
      </c>
      <c r="D339">
        <v>56084720</v>
      </c>
      <c r="E339">
        <v>1</v>
      </c>
      <c r="F339">
        <v>1</v>
      </c>
      <c r="G339">
        <v>1080</v>
      </c>
      <c r="H339">
        <v>3</v>
      </c>
      <c r="I339" t="s">
        <v>629</v>
      </c>
      <c r="J339" t="s">
        <v>630</v>
      </c>
      <c r="K339" t="s">
        <v>631</v>
      </c>
      <c r="L339">
        <v>1356</v>
      </c>
      <c r="N339">
        <v>1010</v>
      </c>
      <c r="O339" t="s">
        <v>544</v>
      </c>
      <c r="P339" t="s">
        <v>544</v>
      </c>
      <c r="Q339">
        <v>1000</v>
      </c>
      <c r="W339">
        <v>0</v>
      </c>
      <c r="X339">
        <v>-1258641491</v>
      </c>
      <c r="Y339">
        <f t="shared" si="180"/>
        <v>1.2200000000000001E-2</v>
      </c>
      <c r="AA339">
        <v>393.56</v>
      </c>
      <c r="AB339">
        <v>0</v>
      </c>
      <c r="AC339">
        <v>0</v>
      </c>
      <c r="AD339">
        <v>0</v>
      </c>
      <c r="AE339">
        <v>393.56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1.2200000000000001E-2</v>
      </c>
      <c r="AU339" t="s">
        <v>3</v>
      </c>
      <c r="AV339">
        <v>0</v>
      </c>
      <c r="AW339">
        <v>2</v>
      </c>
      <c r="AX339">
        <v>56961113</v>
      </c>
      <c r="AY339">
        <v>1</v>
      </c>
      <c r="AZ339">
        <v>0</v>
      </c>
      <c r="BA339">
        <v>413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ROUND(Y339*Source!I454,9)</f>
        <v>6.0999999999999999E-2</v>
      </c>
      <c r="CY339">
        <f t="shared" si="181"/>
        <v>393.56</v>
      </c>
      <c r="CZ339">
        <f t="shared" si="182"/>
        <v>393.56</v>
      </c>
      <c r="DA339">
        <f t="shared" si="183"/>
        <v>1</v>
      </c>
      <c r="DB339">
        <f t="shared" si="184"/>
        <v>4.8</v>
      </c>
      <c r="DC339">
        <f t="shared" si="185"/>
        <v>0</v>
      </c>
      <c r="DD339" t="s">
        <v>3</v>
      </c>
      <c r="DE339" t="s">
        <v>3</v>
      </c>
      <c r="DF339">
        <f t="shared" si="179"/>
        <v>24.01</v>
      </c>
      <c r="DG339">
        <f t="shared" si="177"/>
        <v>0</v>
      </c>
      <c r="DH339">
        <f t="shared" si="178"/>
        <v>0</v>
      </c>
      <c r="DI339">
        <f t="shared" si="176"/>
        <v>0</v>
      </c>
      <c r="DJ339">
        <f t="shared" si="186"/>
        <v>24.01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ROW(Source!A454)</f>
        <v>454</v>
      </c>
      <c r="B340">
        <v>56959434</v>
      </c>
      <c r="C340">
        <v>56960361</v>
      </c>
      <c r="D340">
        <v>56084044</v>
      </c>
      <c r="E340">
        <v>1</v>
      </c>
      <c r="F340">
        <v>1</v>
      </c>
      <c r="G340">
        <v>1080</v>
      </c>
      <c r="H340">
        <v>3</v>
      </c>
      <c r="I340" t="s">
        <v>545</v>
      </c>
      <c r="J340" t="s">
        <v>546</v>
      </c>
      <c r="K340" t="s">
        <v>547</v>
      </c>
      <c r="L340">
        <v>1354</v>
      </c>
      <c r="N340">
        <v>1010</v>
      </c>
      <c r="O340" t="s">
        <v>31</v>
      </c>
      <c r="P340" t="s">
        <v>31</v>
      </c>
      <c r="Q340">
        <v>1</v>
      </c>
      <c r="W340">
        <v>0</v>
      </c>
      <c r="X340">
        <v>145081611</v>
      </c>
      <c r="Y340">
        <f t="shared" si="180"/>
        <v>3.1</v>
      </c>
      <c r="AA340">
        <v>6.94</v>
      </c>
      <c r="AB340">
        <v>0</v>
      </c>
      <c r="AC340">
        <v>0</v>
      </c>
      <c r="AD340">
        <v>0</v>
      </c>
      <c r="AE340">
        <v>6.94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3.1</v>
      </c>
      <c r="AU340" t="s">
        <v>3</v>
      </c>
      <c r="AV340">
        <v>0</v>
      </c>
      <c r="AW340">
        <v>2</v>
      </c>
      <c r="AX340">
        <v>56961114</v>
      </c>
      <c r="AY340">
        <v>1</v>
      </c>
      <c r="AZ340">
        <v>0</v>
      </c>
      <c r="BA340">
        <v>414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ROUND(Y340*Source!I454,9)</f>
        <v>15.5</v>
      </c>
      <c r="CY340">
        <f t="shared" si="181"/>
        <v>6.94</v>
      </c>
      <c r="CZ340">
        <f t="shared" si="182"/>
        <v>6.94</v>
      </c>
      <c r="DA340">
        <f t="shared" si="183"/>
        <v>1</v>
      </c>
      <c r="DB340">
        <f t="shared" si="184"/>
        <v>21.51</v>
      </c>
      <c r="DC340">
        <f t="shared" si="185"/>
        <v>0</v>
      </c>
      <c r="DD340" t="s">
        <v>3</v>
      </c>
      <c r="DE340" t="s">
        <v>3</v>
      </c>
      <c r="DF340">
        <f t="shared" si="179"/>
        <v>107.57</v>
      </c>
      <c r="DG340">
        <f t="shared" si="177"/>
        <v>0</v>
      </c>
      <c r="DH340">
        <f t="shared" si="178"/>
        <v>0</v>
      </c>
      <c r="DI340">
        <f t="shared" si="176"/>
        <v>0</v>
      </c>
      <c r="DJ340">
        <f t="shared" si="186"/>
        <v>107.57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ROW(Source!A454)</f>
        <v>454</v>
      </c>
      <c r="B341">
        <v>56959434</v>
      </c>
      <c r="C341">
        <v>56960361</v>
      </c>
      <c r="D341">
        <v>56089130</v>
      </c>
      <c r="E341">
        <v>1</v>
      </c>
      <c r="F341">
        <v>1</v>
      </c>
      <c r="G341">
        <v>1080</v>
      </c>
      <c r="H341">
        <v>3</v>
      </c>
      <c r="I341" t="s">
        <v>451</v>
      </c>
      <c r="J341" t="s">
        <v>452</v>
      </c>
      <c r="K341" t="s">
        <v>676</v>
      </c>
      <c r="L341">
        <v>1303</v>
      </c>
      <c r="N341">
        <v>1003</v>
      </c>
      <c r="O341" t="s">
        <v>108</v>
      </c>
      <c r="P341" t="s">
        <v>108</v>
      </c>
      <c r="Q341">
        <v>1000</v>
      </c>
      <c r="W341">
        <v>0</v>
      </c>
      <c r="X341">
        <v>-1201834950</v>
      </c>
      <c r="Y341">
        <f t="shared" si="180"/>
        <v>0.10199999999999999</v>
      </c>
      <c r="AA341">
        <v>19510.68</v>
      </c>
      <c r="AB341">
        <v>0</v>
      </c>
      <c r="AC341">
        <v>0</v>
      </c>
      <c r="AD341">
        <v>0</v>
      </c>
      <c r="AE341">
        <v>19510.68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 t="s">
        <v>3</v>
      </c>
      <c r="AT341">
        <v>0.10199999999999999</v>
      </c>
      <c r="AU341" t="s">
        <v>3</v>
      </c>
      <c r="AV341">
        <v>0</v>
      </c>
      <c r="AW341">
        <v>1</v>
      </c>
      <c r="AX341">
        <v>-1</v>
      </c>
      <c r="AY341">
        <v>0</v>
      </c>
      <c r="AZ341">
        <v>0</v>
      </c>
      <c r="BA341" t="s">
        <v>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ROUND(Y341*Source!I454,9)</f>
        <v>0.51</v>
      </c>
      <c r="CY341">
        <f t="shared" si="181"/>
        <v>19510.68</v>
      </c>
      <c r="CZ341">
        <f t="shared" si="182"/>
        <v>19510.68</v>
      </c>
      <c r="DA341">
        <f t="shared" si="183"/>
        <v>1</v>
      </c>
      <c r="DB341">
        <f t="shared" si="184"/>
        <v>1990.09</v>
      </c>
      <c r="DC341">
        <f t="shared" si="185"/>
        <v>0</v>
      </c>
      <c r="DD341" t="s">
        <v>3</v>
      </c>
      <c r="DE341" t="s">
        <v>3</v>
      </c>
      <c r="DF341">
        <f t="shared" si="179"/>
        <v>9950.4500000000007</v>
      </c>
      <c r="DG341">
        <f t="shared" si="177"/>
        <v>0</v>
      </c>
      <c r="DH341">
        <f t="shared" si="178"/>
        <v>0</v>
      </c>
      <c r="DI341">
        <f t="shared" si="176"/>
        <v>0</v>
      </c>
      <c r="DJ341">
        <f t="shared" si="186"/>
        <v>9950.4500000000007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ROW(Source!A455)</f>
        <v>455</v>
      </c>
      <c r="B342">
        <v>56959431</v>
      </c>
      <c r="C342">
        <v>56960361</v>
      </c>
      <c r="D342">
        <v>56018166</v>
      </c>
      <c r="E342">
        <v>1080</v>
      </c>
      <c r="F342">
        <v>1</v>
      </c>
      <c r="G342">
        <v>1080</v>
      </c>
      <c r="H342">
        <v>1</v>
      </c>
      <c r="I342" t="s">
        <v>500</v>
      </c>
      <c r="J342" t="s">
        <v>3</v>
      </c>
      <c r="K342" t="s">
        <v>501</v>
      </c>
      <c r="L342">
        <v>1191</v>
      </c>
      <c r="N342">
        <v>1013</v>
      </c>
      <c r="O342" t="s">
        <v>502</v>
      </c>
      <c r="P342" t="s">
        <v>502</v>
      </c>
      <c r="Q342">
        <v>1</v>
      </c>
      <c r="W342">
        <v>0</v>
      </c>
      <c r="X342">
        <v>476480486</v>
      </c>
      <c r="Y342">
        <f>(AT342*1.1)</f>
        <v>6.9190000000000005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5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6.29</v>
      </c>
      <c r="AU342" t="s">
        <v>23</v>
      </c>
      <c r="AV342">
        <v>1</v>
      </c>
      <c r="AW342">
        <v>2</v>
      </c>
      <c r="AX342">
        <v>56961107</v>
      </c>
      <c r="AY342">
        <v>1</v>
      </c>
      <c r="AZ342">
        <v>0</v>
      </c>
      <c r="BA342">
        <v>416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U342">
        <f>ROUND(AT342*Source!I455*AH342*AL342,2)</f>
        <v>0</v>
      </c>
      <c r="CV342">
        <f>ROUND(Y342*Source!I455,9)</f>
        <v>34.594999999999999</v>
      </c>
      <c r="CW342">
        <v>0</v>
      </c>
      <c r="CX342">
        <f>ROUND(Y342*Source!I455,9)</f>
        <v>34.594999999999999</v>
      </c>
      <c r="CY342">
        <f>AD342</f>
        <v>0</v>
      </c>
      <c r="CZ342">
        <f>AH342</f>
        <v>0</v>
      </c>
      <c r="DA342">
        <f>AL342</f>
        <v>1</v>
      </c>
      <c r="DB342">
        <f>ROUND((ROUND(AT342*CZ342,2)*1.1),6)</f>
        <v>0</v>
      </c>
      <c r="DC342">
        <f>ROUND((ROUND(AT342*AG342,2)*1.1),6)</f>
        <v>0</v>
      </c>
      <c r="DD342" t="s">
        <v>3</v>
      </c>
      <c r="DE342" t="s">
        <v>3</v>
      </c>
      <c r="DF342">
        <f t="shared" si="179"/>
        <v>0</v>
      </c>
      <c r="DG342">
        <f t="shared" si="177"/>
        <v>0</v>
      </c>
      <c r="DH342">
        <f t="shared" si="178"/>
        <v>0</v>
      </c>
      <c r="DI342">
        <f t="shared" si="176"/>
        <v>0</v>
      </c>
      <c r="DJ342">
        <f>DI342</f>
        <v>0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ROW(Source!A455)</f>
        <v>455</v>
      </c>
      <c r="B343">
        <v>56959431</v>
      </c>
      <c r="C343">
        <v>56960361</v>
      </c>
      <c r="D343">
        <v>56092340</v>
      </c>
      <c r="E343">
        <v>1</v>
      </c>
      <c r="F343">
        <v>1</v>
      </c>
      <c r="G343">
        <v>1080</v>
      </c>
      <c r="H343">
        <v>2</v>
      </c>
      <c r="I343" t="s">
        <v>503</v>
      </c>
      <c r="J343" t="s">
        <v>504</v>
      </c>
      <c r="K343" t="s">
        <v>505</v>
      </c>
      <c r="L343">
        <v>1368</v>
      </c>
      <c r="N343">
        <v>1011</v>
      </c>
      <c r="O343" t="s">
        <v>506</v>
      </c>
      <c r="P343" t="s">
        <v>506</v>
      </c>
      <c r="Q343">
        <v>1</v>
      </c>
      <c r="W343">
        <v>0</v>
      </c>
      <c r="X343">
        <v>-1985943078</v>
      </c>
      <c r="Y343">
        <f>(AT343*1.1)</f>
        <v>3.3000000000000002E-2</v>
      </c>
      <c r="AA343">
        <v>0</v>
      </c>
      <c r="AB343">
        <v>1418.19</v>
      </c>
      <c r="AC343">
        <v>726.59</v>
      </c>
      <c r="AD343">
        <v>0</v>
      </c>
      <c r="AE343">
        <v>0</v>
      </c>
      <c r="AF343">
        <v>83.1</v>
      </c>
      <c r="AG343">
        <v>12.62</v>
      </c>
      <c r="AH343">
        <v>0</v>
      </c>
      <c r="AI343">
        <v>1</v>
      </c>
      <c r="AJ343">
        <v>16.3</v>
      </c>
      <c r="AK343">
        <v>54.99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0.03</v>
      </c>
      <c r="AU343" t="s">
        <v>23</v>
      </c>
      <c r="AV343">
        <v>0</v>
      </c>
      <c r="AW343">
        <v>2</v>
      </c>
      <c r="AX343">
        <v>56961108</v>
      </c>
      <c r="AY343">
        <v>1</v>
      </c>
      <c r="AZ343">
        <v>0</v>
      </c>
      <c r="BA343">
        <v>417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f>ROUND(Y343*Source!I455*DO343,9)</f>
        <v>2.0823</v>
      </c>
      <c r="CX343">
        <f>ROUND(Y343*Source!I455,9)</f>
        <v>0.16500000000000001</v>
      </c>
      <c r="CY343">
        <f>AB343</f>
        <v>1418.19</v>
      </c>
      <c r="CZ343">
        <f>AF343</f>
        <v>83.1</v>
      </c>
      <c r="DA343">
        <f>AJ343</f>
        <v>16.3</v>
      </c>
      <c r="DB343">
        <f>ROUND((ROUND(AT343*CZ343,2)*1.1),6)</f>
        <v>2.7389999999999999</v>
      </c>
      <c r="DC343">
        <f>ROUND((ROUND(AT343*AG343,2)*1.1),6)</f>
        <v>0.41799999999999998</v>
      </c>
      <c r="DD343" t="s">
        <v>3</v>
      </c>
      <c r="DE343" t="s">
        <v>3</v>
      </c>
      <c r="DF343">
        <f t="shared" si="179"/>
        <v>0</v>
      </c>
      <c r="DG343">
        <f>ROUND(ROUND(AF343*AJ343,2)*CX343,2)</f>
        <v>223.5</v>
      </c>
      <c r="DH343">
        <f>ROUND(ROUND(AG343*AK343,2)*CX343,2)</f>
        <v>114.51</v>
      </c>
      <c r="DI343">
        <f t="shared" si="176"/>
        <v>0</v>
      </c>
      <c r="DJ343">
        <f>DG343</f>
        <v>223.5</v>
      </c>
      <c r="DK343">
        <v>0</v>
      </c>
      <c r="DL343" t="s">
        <v>507</v>
      </c>
      <c r="DM343">
        <v>0</v>
      </c>
      <c r="DN343" t="s">
        <v>502</v>
      </c>
      <c r="DO343">
        <v>12.62</v>
      </c>
    </row>
    <row r="344" spans="1:119" x14ac:dyDescent="0.2">
      <c r="A344">
        <f>ROW(Source!A455)</f>
        <v>455</v>
      </c>
      <c r="B344">
        <v>56959431</v>
      </c>
      <c r="C344">
        <v>56960361</v>
      </c>
      <c r="D344">
        <v>56091576</v>
      </c>
      <c r="E344">
        <v>1</v>
      </c>
      <c r="F344">
        <v>1</v>
      </c>
      <c r="G344">
        <v>1080</v>
      </c>
      <c r="H344">
        <v>2</v>
      </c>
      <c r="I344" t="s">
        <v>529</v>
      </c>
      <c r="J344" t="s">
        <v>530</v>
      </c>
      <c r="K344" t="s">
        <v>531</v>
      </c>
      <c r="L344">
        <v>1368</v>
      </c>
      <c r="N344">
        <v>1011</v>
      </c>
      <c r="O344" t="s">
        <v>506</v>
      </c>
      <c r="P344" t="s">
        <v>506</v>
      </c>
      <c r="Q344">
        <v>1</v>
      </c>
      <c r="W344">
        <v>0</v>
      </c>
      <c r="X344">
        <v>1087580389</v>
      </c>
      <c r="Y344">
        <f>(AT344*1.1)</f>
        <v>3.3000000000000002E-2</v>
      </c>
      <c r="AA344">
        <v>0</v>
      </c>
      <c r="AB344">
        <v>2579.38</v>
      </c>
      <c r="AC344">
        <v>974.74</v>
      </c>
      <c r="AD344">
        <v>0</v>
      </c>
      <c r="AE344">
        <v>0</v>
      </c>
      <c r="AF344">
        <v>179.17</v>
      </c>
      <c r="AG344">
        <v>16.93</v>
      </c>
      <c r="AH344">
        <v>0</v>
      </c>
      <c r="AI344">
        <v>1</v>
      </c>
      <c r="AJ344">
        <v>13.75</v>
      </c>
      <c r="AK344">
        <v>54.99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0.03</v>
      </c>
      <c r="AU344" t="s">
        <v>23</v>
      </c>
      <c r="AV344">
        <v>0</v>
      </c>
      <c r="AW344">
        <v>2</v>
      </c>
      <c r="AX344">
        <v>56961109</v>
      </c>
      <c r="AY344">
        <v>1</v>
      </c>
      <c r="AZ344">
        <v>0</v>
      </c>
      <c r="BA344">
        <v>418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ROUND(Y344*Source!I455*DO344,9)</f>
        <v>2.79345</v>
      </c>
      <c r="CX344">
        <f>ROUND(Y344*Source!I455,9)</f>
        <v>0.16500000000000001</v>
      </c>
      <c r="CY344">
        <f>AB344</f>
        <v>2579.38</v>
      </c>
      <c r="CZ344">
        <f>AF344</f>
        <v>179.17</v>
      </c>
      <c r="DA344">
        <f>AJ344</f>
        <v>13.75</v>
      </c>
      <c r="DB344">
        <f>ROUND((ROUND(AT344*CZ344,2)*1.1),6)</f>
        <v>5.9180000000000001</v>
      </c>
      <c r="DC344">
        <f>ROUND((ROUND(AT344*AG344,2)*1.1),6)</f>
        <v>0.56100000000000005</v>
      </c>
      <c r="DD344" t="s">
        <v>3</v>
      </c>
      <c r="DE344" t="s">
        <v>3</v>
      </c>
      <c r="DF344">
        <f t="shared" si="179"/>
        <v>0</v>
      </c>
      <c r="DG344">
        <f>ROUND(ROUND(AF344*AJ344,2)*CX344,2)</f>
        <v>406.49</v>
      </c>
      <c r="DH344">
        <f>ROUND(ROUND(AG344*AK344,2)*CX344,2)</f>
        <v>153.61000000000001</v>
      </c>
      <c r="DI344">
        <f t="shared" si="176"/>
        <v>0</v>
      </c>
      <c r="DJ344">
        <f>DG344</f>
        <v>406.49</v>
      </c>
      <c r="DK344">
        <v>0</v>
      </c>
      <c r="DL344" t="s">
        <v>507</v>
      </c>
      <c r="DM344">
        <v>0</v>
      </c>
      <c r="DN344" t="s">
        <v>502</v>
      </c>
      <c r="DO344">
        <v>16.93</v>
      </c>
    </row>
    <row r="345" spans="1:119" x14ac:dyDescent="0.2">
      <c r="A345">
        <f>ROW(Source!A455)</f>
        <v>455</v>
      </c>
      <c r="B345">
        <v>56959431</v>
      </c>
      <c r="C345">
        <v>56960361</v>
      </c>
      <c r="D345">
        <v>56061373</v>
      </c>
      <c r="E345">
        <v>1</v>
      </c>
      <c r="F345">
        <v>1</v>
      </c>
      <c r="G345">
        <v>1080</v>
      </c>
      <c r="H345">
        <v>3</v>
      </c>
      <c r="I345" t="s">
        <v>532</v>
      </c>
      <c r="J345" t="s">
        <v>533</v>
      </c>
      <c r="K345" t="s">
        <v>534</v>
      </c>
      <c r="L345">
        <v>1346</v>
      </c>
      <c r="N345">
        <v>1009</v>
      </c>
      <c r="O345" t="s">
        <v>249</v>
      </c>
      <c r="P345" t="s">
        <v>249</v>
      </c>
      <c r="Q345">
        <v>1</v>
      </c>
      <c r="W345">
        <v>0</v>
      </c>
      <c r="X345">
        <v>1770006655</v>
      </c>
      <c r="Y345">
        <f t="shared" ref="Y345:Y350" si="187">AT345</f>
        <v>1.05</v>
      </c>
      <c r="AA345">
        <v>29.73</v>
      </c>
      <c r="AB345">
        <v>0</v>
      </c>
      <c r="AC345">
        <v>0</v>
      </c>
      <c r="AD345">
        <v>0</v>
      </c>
      <c r="AE345">
        <v>1.38</v>
      </c>
      <c r="AF345">
        <v>0</v>
      </c>
      <c r="AG345">
        <v>0</v>
      </c>
      <c r="AH345">
        <v>0</v>
      </c>
      <c r="AI345">
        <v>21.54</v>
      </c>
      <c r="AJ345">
        <v>1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1.05</v>
      </c>
      <c r="AU345" t="s">
        <v>3</v>
      </c>
      <c r="AV345">
        <v>0</v>
      </c>
      <c r="AW345">
        <v>2</v>
      </c>
      <c r="AX345">
        <v>56961110</v>
      </c>
      <c r="AY345">
        <v>1</v>
      </c>
      <c r="AZ345">
        <v>0</v>
      </c>
      <c r="BA345">
        <v>419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ROUND(Y345*Source!I455,9)</f>
        <v>5.25</v>
      </c>
      <c r="CY345">
        <f t="shared" ref="CY345:CY350" si="188">AA345</f>
        <v>29.73</v>
      </c>
      <c r="CZ345">
        <f t="shared" ref="CZ345:CZ350" si="189">AE345</f>
        <v>1.38</v>
      </c>
      <c r="DA345">
        <f t="shared" ref="DA345:DA350" si="190">AI345</f>
        <v>21.54</v>
      </c>
      <c r="DB345">
        <f t="shared" ref="DB345:DB350" si="191">ROUND(ROUND(AT345*CZ345,2),6)</f>
        <v>1.45</v>
      </c>
      <c r="DC345">
        <f t="shared" ref="DC345:DC350" si="192">ROUND(ROUND(AT345*AG345,2),6)</f>
        <v>0</v>
      </c>
      <c r="DD345" t="s">
        <v>3</v>
      </c>
      <c r="DE345" t="s">
        <v>3</v>
      </c>
      <c r="DF345">
        <f t="shared" ref="DF345:DF350" si="193">ROUND(ROUND(AE345*AI345,2)*CX345,2)</f>
        <v>156.08000000000001</v>
      </c>
      <c r="DG345">
        <f t="shared" ref="DG345:DG358" si="194">ROUND(ROUND(AF345,2)*CX345,2)</f>
        <v>0</v>
      </c>
      <c r="DH345">
        <f t="shared" ref="DH345:DH358" si="195">ROUND(ROUND(AG345,2)*CX345,2)</f>
        <v>0</v>
      </c>
      <c r="DI345">
        <f t="shared" si="176"/>
        <v>0</v>
      </c>
      <c r="DJ345">
        <f t="shared" ref="DJ345:DJ350" si="196">DF345</f>
        <v>156.08000000000001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ROW(Source!A455)</f>
        <v>455</v>
      </c>
      <c r="B346">
        <v>56959431</v>
      </c>
      <c r="C346">
        <v>56960361</v>
      </c>
      <c r="D346">
        <v>56061764</v>
      </c>
      <c r="E346">
        <v>1</v>
      </c>
      <c r="F346">
        <v>1</v>
      </c>
      <c r="G346">
        <v>1080</v>
      </c>
      <c r="H346">
        <v>3</v>
      </c>
      <c r="I346" t="s">
        <v>535</v>
      </c>
      <c r="J346" t="s">
        <v>536</v>
      </c>
      <c r="K346" t="s">
        <v>537</v>
      </c>
      <c r="L346">
        <v>1346</v>
      </c>
      <c r="N346">
        <v>1009</v>
      </c>
      <c r="O346" t="s">
        <v>249</v>
      </c>
      <c r="P346" t="s">
        <v>249</v>
      </c>
      <c r="Q346">
        <v>1</v>
      </c>
      <c r="W346">
        <v>0</v>
      </c>
      <c r="X346">
        <v>-878159893</v>
      </c>
      <c r="Y346">
        <f t="shared" si="187"/>
        <v>0.32</v>
      </c>
      <c r="AA346">
        <v>286.31</v>
      </c>
      <c r="AB346">
        <v>0</v>
      </c>
      <c r="AC346">
        <v>0</v>
      </c>
      <c r="AD346">
        <v>0</v>
      </c>
      <c r="AE346">
        <v>159.06</v>
      </c>
      <c r="AF346">
        <v>0</v>
      </c>
      <c r="AG346">
        <v>0</v>
      </c>
      <c r="AH346">
        <v>0</v>
      </c>
      <c r="AI346">
        <v>1.8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0.32</v>
      </c>
      <c r="AU346" t="s">
        <v>3</v>
      </c>
      <c r="AV346">
        <v>0</v>
      </c>
      <c r="AW346">
        <v>2</v>
      </c>
      <c r="AX346">
        <v>56961111</v>
      </c>
      <c r="AY346">
        <v>1</v>
      </c>
      <c r="AZ346">
        <v>0</v>
      </c>
      <c r="BA346">
        <v>420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ROUND(Y346*Source!I455,9)</f>
        <v>1.6</v>
      </c>
      <c r="CY346">
        <f t="shared" si="188"/>
        <v>286.31</v>
      </c>
      <c r="CZ346">
        <f t="shared" si="189"/>
        <v>159.06</v>
      </c>
      <c r="DA346">
        <f t="shared" si="190"/>
        <v>1.8</v>
      </c>
      <c r="DB346">
        <f t="shared" si="191"/>
        <v>50.9</v>
      </c>
      <c r="DC346">
        <f t="shared" si="192"/>
        <v>0</v>
      </c>
      <c r="DD346" t="s">
        <v>3</v>
      </c>
      <c r="DE346" t="s">
        <v>3</v>
      </c>
      <c r="DF346">
        <f t="shared" si="193"/>
        <v>458.1</v>
      </c>
      <c r="DG346">
        <f t="shared" si="194"/>
        <v>0</v>
      </c>
      <c r="DH346">
        <f t="shared" si="195"/>
        <v>0</v>
      </c>
      <c r="DI346">
        <f t="shared" si="176"/>
        <v>0</v>
      </c>
      <c r="DJ346">
        <f t="shared" si="196"/>
        <v>458.1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ROW(Source!A455)</f>
        <v>455</v>
      </c>
      <c r="B347">
        <v>56959431</v>
      </c>
      <c r="C347">
        <v>56960361</v>
      </c>
      <c r="D347">
        <v>56084709</v>
      </c>
      <c r="E347">
        <v>1</v>
      </c>
      <c r="F347">
        <v>1</v>
      </c>
      <c r="G347">
        <v>1080</v>
      </c>
      <c r="H347">
        <v>3</v>
      </c>
      <c r="I347" t="s">
        <v>626</v>
      </c>
      <c r="J347" t="s">
        <v>627</v>
      </c>
      <c r="K347" t="s">
        <v>628</v>
      </c>
      <c r="L347">
        <v>1355</v>
      </c>
      <c r="N347">
        <v>1010</v>
      </c>
      <c r="O347" t="s">
        <v>520</v>
      </c>
      <c r="P347" t="s">
        <v>520</v>
      </c>
      <c r="Q347">
        <v>100</v>
      </c>
      <c r="W347">
        <v>0</v>
      </c>
      <c r="X347">
        <v>97581033</v>
      </c>
      <c r="Y347">
        <f t="shared" si="187"/>
        <v>0.05</v>
      </c>
      <c r="AA347">
        <v>3017.76</v>
      </c>
      <c r="AB347">
        <v>0</v>
      </c>
      <c r="AC347">
        <v>0</v>
      </c>
      <c r="AD347">
        <v>0</v>
      </c>
      <c r="AE347">
        <v>238.37</v>
      </c>
      <c r="AF347">
        <v>0</v>
      </c>
      <c r="AG347">
        <v>0</v>
      </c>
      <c r="AH347">
        <v>0</v>
      </c>
      <c r="AI347">
        <v>12.66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0.05</v>
      </c>
      <c r="AU347" t="s">
        <v>3</v>
      </c>
      <c r="AV347">
        <v>0</v>
      </c>
      <c r="AW347">
        <v>2</v>
      </c>
      <c r="AX347">
        <v>56961112</v>
      </c>
      <c r="AY347">
        <v>1</v>
      </c>
      <c r="AZ347">
        <v>0</v>
      </c>
      <c r="BA347">
        <v>421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ROUND(Y347*Source!I455,9)</f>
        <v>0.25</v>
      </c>
      <c r="CY347">
        <f t="shared" si="188"/>
        <v>3017.76</v>
      </c>
      <c r="CZ347">
        <f t="shared" si="189"/>
        <v>238.37</v>
      </c>
      <c r="DA347">
        <f t="shared" si="190"/>
        <v>12.66</v>
      </c>
      <c r="DB347">
        <f t="shared" si="191"/>
        <v>11.92</v>
      </c>
      <c r="DC347">
        <f t="shared" si="192"/>
        <v>0</v>
      </c>
      <c r="DD347" t="s">
        <v>3</v>
      </c>
      <c r="DE347" t="s">
        <v>3</v>
      </c>
      <c r="DF347">
        <f t="shared" si="193"/>
        <v>754.44</v>
      </c>
      <c r="DG347">
        <f t="shared" si="194"/>
        <v>0</v>
      </c>
      <c r="DH347">
        <f t="shared" si="195"/>
        <v>0</v>
      </c>
      <c r="DI347">
        <f t="shared" si="176"/>
        <v>0</v>
      </c>
      <c r="DJ347">
        <f t="shared" si="196"/>
        <v>754.44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ROW(Source!A455)</f>
        <v>455</v>
      </c>
      <c r="B348">
        <v>56959431</v>
      </c>
      <c r="C348">
        <v>56960361</v>
      </c>
      <c r="D348">
        <v>56084720</v>
      </c>
      <c r="E348">
        <v>1</v>
      </c>
      <c r="F348">
        <v>1</v>
      </c>
      <c r="G348">
        <v>1080</v>
      </c>
      <c r="H348">
        <v>3</v>
      </c>
      <c r="I348" t="s">
        <v>629</v>
      </c>
      <c r="J348" t="s">
        <v>630</v>
      </c>
      <c r="K348" t="s">
        <v>631</v>
      </c>
      <c r="L348">
        <v>1356</v>
      </c>
      <c r="N348">
        <v>1010</v>
      </c>
      <c r="O348" t="s">
        <v>544</v>
      </c>
      <c r="P348" t="s">
        <v>544</v>
      </c>
      <c r="Q348">
        <v>1000</v>
      </c>
      <c r="W348">
        <v>0</v>
      </c>
      <c r="X348">
        <v>-1258641491</v>
      </c>
      <c r="Y348">
        <f t="shared" si="187"/>
        <v>1.2200000000000001E-2</v>
      </c>
      <c r="AA348">
        <v>2353.4899999999998</v>
      </c>
      <c r="AB348">
        <v>0</v>
      </c>
      <c r="AC348">
        <v>0</v>
      </c>
      <c r="AD348">
        <v>0</v>
      </c>
      <c r="AE348">
        <v>393.56</v>
      </c>
      <c r="AF348">
        <v>0</v>
      </c>
      <c r="AG348">
        <v>0</v>
      </c>
      <c r="AH348">
        <v>0</v>
      </c>
      <c r="AI348">
        <v>5.98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1.2200000000000001E-2</v>
      </c>
      <c r="AU348" t="s">
        <v>3</v>
      </c>
      <c r="AV348">
        <v>0</v>
      </c>
      <c r="AW348">
        <v>2</v>
      </c>
      <c r="AX348">
        <v>56961113</v>
      </c>
      <c r="AY348">
        <v>1</v>
      </c>
      <c r="AZ348">
        <v>0</v>
      </c>
      <c r="BA348">
        <v>422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ROUND(Y348*Source!I455,9)</f>
        <v>6.0999999999999999E-2</v>
      </c>
      <c r="CY348">
        <f t="shared" si="188"/>
        <v>2353.4899999999998</v>
      </c>
      <c r="CZ348">
        <f t="shared" si="189"/>
        <v>393.56</v>
      </c>
      <c r="DA348">
        <f t="shared" si="190"/>
        <v>5.98</v>
      </c>
      <c r="DB348">
        <f t="shared" si="191"/>
        <v>4.8</v>
      </c>
      <c r="DC348">
        <f t="shared" si="192"/>
        <v>0</v>
      </c>
      <c r="DD348" t="s">
        <v>3</v>
      </c>
      <c r="DE348" t="s">
        <v>3</v>
      </c>
      <c r="DF348">
        <f t="shared" si="193"/>
        <v>143.56</v>
      </c>
      <c r="DG348">
        <f t="shared" si="194"/>
        <v>0</v>
      </c>
      <c r="DH348">
        <f t="shared" si="195"/>
        <v>0</v>
      </c>
      <c r="DI348">
        <f t="shared" si="176"/>
        <v>0</v>
      </c>
      <c r="DJ348">
        <f t="shared" si="196"/>
        <v>143.56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ROW(Source!A455)</f>
        <v>455</v>
      </c>
      <c r="B349">
        <v>56959431</v>
      </c>
      <c r="C349">
        <v>56960361</v>
      </c>
      <c r="D349">
        <v>56084044</v>
      </c>
      <c r="E349">
        <v>1</v>
      </c>
      <c r="F349">
        <v>1</v>
      </c>
      <c r="G349">
        <v>1080</v>
      </c>
      <c r="H349">
        <v>3</v>
      </c>
      <c r="I349" t="s">
        <v>545</v>
      </c>
      <c r="J349" t="s">
        <v>546</v>
      </c>
      <c r="K349" t="s">
        <v>547</v>
      </c>
      <c r="L349">
        <v>1354</v>
      </c>
      <c r="N349">
        <v>1010</v>
      </c>
      <c r="O349" t="s">
        <v>31</v>
      </c>
      <c r="P349" t="s">
        <v>31</v>
      </c>
      <c r="Q349">
        <v>1</v>
      </c>
      <c r="W349">
        <v>0</v>
      </c>
      <c r="X349">
        <v>145081611</v>
      </c>
      <c r="Y349">
        <f t="shared" si="187"/>
        <v>3.1</v>
      </c>
      <c r="AA349">
        <v>25.47</v>
      </c>
      <c r="AB349">
        <v>0</v>
      </c>
      <c r="AC349">
        <v>0</v>
      </c>
      <c r="AD349">
        <v>0</v>
      </c>
      <c r="AE349">
        <v>6.94</v>
      </c>
      <c r="AF349">
        <v>0</v>
      </c>
      <c r="AG349">
        <v>0</v>
      </c>
      <c r="AH349">
        <v>0</v>
      </c>
      <c r="AI349">
        <v>3.67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3.1</v>
      </c>
      <c r="AU349" t="s">
        <v>3</v>
      </c>
      <c r="AV349">
        <v>0</v>
      </c>
      <c r="AW349">
        <v>2</v>
      </c>
      <c r="AX349">
        <v>56961114</v>
      </c>
      <c r="AY349">
        <v>1</v>
      </c>
      <c r="AZ349">
        <v>0</v>
      </c>
      <c r="BA349">
        <v>423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ROUND(Y349*Source!I455,9)</f>
        <v>15.5</v>
      </c>
      <c r="CY349">
        <f t="shared" si="188"/>
        <v>25.47</v>
      </c>
      <c r="CZ349">
        <f t="shared" si="189"/>
        <v>6.94</v>
      </c>
      <c r="DA349">
        <f t="shared" si="190"/>
        <v>3.67</v>
      </c>
      <c r="DB349">
        <f t="shared" si="191"/>
        <v>21.51</v>
      </c>
      <c r="DC349">
        <f t="shared" si="192"/>
        <v>0</v>
      </c>
      <c r="DD349" t="s">
        <v>3</v>
      </c>
      <c r="DE349" t="s">
        <v>3</v>
      </c>
      <c r="DF349">
        <f t="shared" si="193"/>
        <v>394.79</v>
      </c>
      <c r="DG349">
        <f t="shared" si="194"/>
        <v>0</v>
      </c>
      <c r="DH349">
        <f t="shared" si="195"/>
        <v>0</v>
      </c>
      <c r="DI349">
        <f t="shared" si="176"/>
        <v>0</v>
      </c>
      <c r="DJ349">
        <f t="shared" si="196"/>
        <v>394.79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ROW(Source!A455)</f>
        <v>455</v>
      </c>
      <c r="B350">
        <v>56959431</v>
      </c>
      <c r="C350">
        <v>56960361</v>
      </c>
      <c r="D350">
        <v>56089130</v>
      </c>
      <c r="E350">
        <v>1</v>
      </c>
      <c r="F350">
        <v>1</v>
      </c>
      <c r="G350">
        <v>1080</v>
      </c>
      <c r="H350">
        <v>3</v>
      </c>
      <c r="I350" t="s">
        <v>451</v>
      </c>
      <c r="J350" t="s">
        <v>452</v>
      </c>
      <c r="K350" t="s">
        <v>676</v>
      </c>
      <c r="L350">
        <v>1303</v>
      </c>
      <c r="N350">
        <v>1003</v>
      </c>
      <c r="O350" t="s">
        <v>108</v>
      </c>
      <c r="P350" t="s">
        <v>108</v>
      </c>
      <c r="Q350">
        <v>1000</v>
      </c>
      <c r="W350">
        <v>0</v>
      </c>
      <c r="X350">
        <v>-1201834950</v>
      </c>
      <c r="Y350">
        <f t="shared" si="187"/>
        <v>0.10199999999999999</v>
      </c>
      <c r="AA350">
        <v>88188.27</v>
      </c>
      <c r="AB350">
        <v>0</v>
      </c>
      <c r="AC350">
        <v>0</v>
      </c>
      <c r="AD350">
        <v>0</v>
      </c>
      <c r="AE350">
        <v>19510.68</v>
      </c>
      <c r="AF350">
        <v>0</v>
      </c>
      <c r="AG350">
        <v>0</v>
      </c>
      <c r="AH350">
        <v>0</v>
      </c>
      <c r="AI350">
        <v>4.5199999999999996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3</v>
      </c>
      <c r="AT350">
        <v>0.10199999999999999</v>
      </c>
      <c r="AU350" t="s">
        <v>3</v>
      </c>
      <c r="AV350">
        <v>0</v>
      </c>
      <c r="AW350">
        <v>1</v>
      </c>
      <c r="AX350">
        <v>-1</v>
      </c>
      <c r="AY350">
        <v>0</v>
      </c>
      <c r="AZ350">
        <v>0</v>
      </c>
      <c r="BA350" t="s">
        <v>3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ROUND(Y350*Source!I455,9)</f>
        <v>0.51</v>
      </c>
      <c r="CY350">
        <f t="shared" si="188"/>
        <v>88188.27</v>
      </c>
      <c r="CZ350">
        <f t="shared" si="189"/>
        <v>19510.68</v>
      </c>
      <c r="DA350">
        <f t="shared" si="190"/>
        <v>4.5199999999999996</v>
      </c>
      <c r="DB350">
        <f t="shared" si="191"/>
        <v>1990.09</v>
      </c>
      <c r="DC350">
        <f t="shared" si="192"/>
        <v>0</v>
      </c>
      <c r="DD350" t="s">
        <v>3</v>
      </c>
      <c r="DE350" t="s">
        <v>3</v>
      </c>
      <c r="DF350">
        <f t="shared" si="193"/>
        <v>44976.02</v>
      </c>
      <c r="DG350">
        <f t="shared" si="194"/>
        <v>0</v>
      </c>
      <c r="DH350">
        <f t="shared" si="195"/>
        <v>0</v>
      </c>
      <c r="DI350">
        <f t="shared" si="176"/>
        <v>0</v>
      </c>
      <c r="DJ350">
        <f t="shared" si="196"/>
        <v>44976.02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ROW(Source!A493)</f>
        <v>493</v>
      </c>
      <c r="B351">
        <v>56959434</v>
      </c>
      <c r="C351">
        <v>56960437</v>
      </c>
      <c r="D351">
        <v>56018166</v>
      </c>
      <c r="E351">
        <v>1080</v>
      </c>
      <c r="F351">
        <v>1</v>
      </c>
      <c r="G351">
        <v>1080</v>
      </c>
      <c r="H351">
        <v>1</v>
      </c>
      <c r="I351" t="s">
        <v>500</v>
      </c>
      <c r="J351" t="s">
        <v>3</v>
      </c>
      <c r="K351" t="s">
        <v>501</v>
      </c>
      <c r="L351">
        <v>1191</v>
      </c>
      <c r="N351">
        <v>1013</v>
      </c>
      <c r="O351" t="s">
        <v>502</v>
      </c>
      <c r="P351" t="s">
        <v>502</v>
      </c>
      <c r="Q351">
        <v>1</v>
      </c>
      <c r="W351">
        <v>0</v>
      </c>
      <c r="X351">
        <v>476480486</v>
      </c>
      <c r="Y351">
        <f>(AT351*1.1)</f>
        <v>2.2000000000000002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2</v>
      </c>
      <c r="AU351" t="s">
        <v>23</v>
      </c>
      <c r="AV351">
        <v>1</v>
      </c>
      <c r="AW351">
        <v>2</v>
      </c>
      <c r="AX351">
        <v>56961116</v>
      </c>
      <c r="AY351">
        <v>1</v>
      </c>
      <c r="AZ351">
        <v>0</v>
      </c>
      <c r="BA351">
        <v>425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U351">
        <f>ROUND(AT351*Source!I493*AH351*AL351,2)</f>
        <v>0</v>
      </c>
      <c r="CV351">
        <f>ROUND(Y351*Source!I493,9)</f>
        <v>2.2000000000000002</v>
      </c>
      <c r="CW351">
        <v>0</v>
      </c>
      <c r="CX351">
        <f>ROUND(Y351*Source!I493,9)</f>
        <v>2.2000000000000002</v>
      </c>
      <c r="CY351">
        <f>AD351</f>
        <v>0</v>
      </c>
      <c r="CZ351">
        <f>AH351</f>
        <v>0</v>
      </c>
      <c r="DA351">
        <f>AL351</f>
        <v>1</v>
      </c>
      <c r="DB351">
        <f>ROUND((ROUND(AT351*CZ351,2)*1.1),6)</f>
        <v>0</v>
      </c>
      <c r="DC351">
        <f>ROUND((ROUND(AT351*AG351,2)*1.1),6)</f>
        <v>0</v>
      </c>
      <c r="DD351" t="s">
        <v>3</v>
      </c>
      <c r="DE351" t="s">
        <v>3</v>
      </c>
      <c r="DF351">
        <f t="shared" ref="DF351:DF359" si="197">ROUND(ROUND(AE351,2)*CX351,2)</f>
        <v>0</v>
      </c>
      <c r="DG351">
        <f t="shared" si="194"/>
        <v>0</v>
      </c>
      <c r="DH351">
        <f t="shared" si="195"/>
        <v>0</v>
      </c>
      <c r="DI351">
        <f t="shared" si="176"/>
        <v>0</v>
      </c>
      <c r="DJ351">
        <f>DI351</f>
        <v>0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ROW(Source!A493)</f>
        <v>493</v>
      </c>
      <c r="B352">
        <v>56959434</v>
      </c>
      <c r="C352">
        <v>56960437</v>
      </c>
      <c r="D352">
        <v>56092342</v>
      </c>
      <c r="E352">
        <v>1</v>
      </c>
      <c r="F352">
        <v>1</v>
      </c>
      <c r="G352">
        <v>1080</v>
      </c>
      <c r="H352">
        <v>2</v>
      </c>
      <c r="I352" t="s">
        <v>508</v>
      </c>
      <c r="J352" t="s">
        <v>509</v>
      </c>
      <c r="K352" t="s">
        <v>510</v>
      </c>
      <c r="L352">
        <v>1368</v>
      </c>
      <c r="N352">
        <v>1011</v>
      </c>
      <c r="O352" t="s">
        <v>506</v>
      </c>
      <c r="P352" t="s">
        <v>506</v>
      </c>
      <c r="Q352">
        <v>1</v>
      </c>
      <c r="W352">
        <v>0</v>
      </c>
      <c r="X352">
        <v>1346534067</v>
      </c>
      <c r="Y352">
        <f>(AT352*1.1)</f>
        <v>2.2000000000000002E-2</v>
      </c>
      <c r="AA352">
        <v>0</v>
      </c>
      <c r="AB352">
        <v>124.67</v>
      </c>
      <c r="AC352">
        <v>13.21</v>
      </c>
      <c r="AD352">
        <v>0</v>
      </c>
      <c r="AE352">
        <v>0</v>
      </c>
      <c r="AF352">
        <v>119.07</v>
      </c>
      <c r="AG352">
        <v>12.62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0.02</v>
      </c>
      <c r="AU352" t="s">
        <v>23</v>
      </c>
      <c r="AV352">
        <v>0</v>
      </c>
      <c r="AW352">
        <v>2</v>
      </c>
      <c r="AX352">
        <v>56961117</v>
      </c>
      <c r="AY352">
        <v>1</v>
      </c>
      <c r="AZ352">
        <v>0</v>
      </c>
      <c r="BA352">
        <v>426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f>ROUND(Y352*Source!I493*DO352,9)</f>
        <v>0.27764</v>
      </c>
      <c r="CX352">
        <f>ROUND(Y352*Source!I493,9)</f>
        <v>2.1999999999999999E-2</v>
      </c>
      <c r="CY352">
        <f>AB352</f>
        <v>124.67</v>
      </c>
      <c r="CZ352">
        <f>AF352</f>
        <v>119.07</v>
      </c>
      <c r="DA352">
        <f>AJ352</f>
        <v>1</v>
      </c>
      <c r="DB352">
        <f>ROUND((ROUND(AT352*CZ352,2)*1.1),6)</f>
        <v>2.6179999999999999</v>
      </c>
      <c r="DC352">
        <f>ROUND((ROUND(AT352*AG352,2)*1.1),6)</f>
        <v>0.27500000000000002</v>
      </c>
      <c r="DD352" t="s">
        <v>3</v>
      </c>
      <c r="DE352" t="s">
        <v>3</v>
      </c>
      <c r="DF352">
        <f t="shared" si="197"/>
        <v>0</v>
      </c>
      <c r="DG352">
        <f t="shared" si="194"/>
        <v>2.62</v>
      </c>
      <c r="DH352">
        <f t="shared" si="195"/>
        <v>0.28000000000000003</v>
      </c>
      <c r="DI352">
        <f t="shared" si="176"/>
        <v>0</v>
      </c>
      <c r="DJ352">
        <f>DG352</f>
        <v>2.62</v>
      </c>
      <c r="DK352">
        <v>0</v>
      </c>
      <c r="DL352" t="s">
        <v>507</v>
      </c>
      <c r="DM352">
        <v>0</v>
      </c>
      <c r="DN352" t="s">
        <v>502</v>
      </c>
      <c r="DO352">
        <v>12.62</v>
      </c>
    </row>
    <row r="353" spans="1:119" x14ac:dyDescent="0.2">
      <c r="A353">
        <f>ROW(Source!A493)</f>
        <v>493</v>
      </c>
      <c r="B353">
        <v>56959434</v>
      </c>
      <c r="C353">
        <v>56960437</v>
      </c>
      <c r="D353">
        <v>56061656</v>
      </c>
      <c r="E353">
        <v>1</v>
      </c>
      <c r="F353">
        <v>1</v>
      </c>
      <c r="G353">
        <v>1080</v>
      </c>
      <c r="H353">
        <v>3</v>
      </c>
      <c r="I353" t="s">
        <v>511</v>
      </c>
      <c r="J353" t="s">
        <v>512</v>
      </c>
      <c r="K353" t="s">
        <v>513</v>
      </c>
      <c r="L353">
        <v>1346</v>
      </c>
      <c r="N353">
        <v>1009</v>
      </c>
      <c r="O353" t="s">
        <v>249</v>
      </c>
      <c r="P353" t="s">
        <v>249</v>
      </c>
      <c r="Q353">
        <v>1</v>
      </c>
      <c r="W353">
        <v>0</v>
      </c>
      <c r="X353">
        <v>444134433</v>
      </c>
      <c r="Y353">
        <f>AT353</f>
        <v>0.9</v>
      </c>
      <c r="AA353">
        <v>104.63</v>
      </c>
      <c r="AB353">
        <v>0</v>
      </c>
      <c r="AC353">
        <v>0</v>
      </c>
      <c r="AD353">
        <v>0</v>
      </c>
      <c r="AE353">
        <v>104.63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0.9</v>
      </c>
      <c r="AU353" t="s">
        <v>3</v>
      </c>
      <c r="AV353">
        <v>0</v>
      </c>
      <c r="AW353">
        <v>2</v>
      </c>
      <c r="AX353">
        <v>56961118</v>
      </c>
      <c r="AY353">
        <v>1</v>
      </c>
      <c r="AZ353">
        <v>0</v>
      </c>
      <c r="BA353">
        <v>427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ROUND(Y353*Source!I493,9)</f>
        <v>0.9</v>
      </c>
      <c r="CY353">
        <f>AA353</f>
        <v>104.63</v>
      </c>
      <c r="CZ353">
        <f>AE353</f>
        <v>104.63</v>
      </c>
      <c r="DA353">
        <f>AI353</f>
        <v>1</v>
      </c>
      <c r="DB353">
        <f>ROUND(ROUND(AT353*CZ353,2),6)</f>
        <v>94.17</v>
      </c>
      <c r="DC353">
        <f>ROUND(ROUND(AT353*AG353,2),6)</f>
        <v>0</v>
      </c>
      <c r="DD353" t="s">
        <v>3</v>
      </c>
      <c r="DE353" t="s">
        <v>3</v>
      </c>
      <c r="DF353">
        <f t="shared" si="197"/>
        <v>94.17</v>
      </c>
      <c r="DG353">
        <f t="shared" si="194"/>
        <v>0</v>
      </c>
      <c r="DH353">
        <f t="shared" si="195"/>
        <v>0</v>
      </c>
      <c r="DI353">
        <f t="shared" si="176"/>
        <v>0</v>
      </c>
      <c r="DJ353">
        <f>DF353</f>
        <v>94.17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ROW(Source!A493)</f>
        <v>493</v>
      </c>
      <c r="B354">
        <v>56959434</v>
      </c>
      <c r="C354">
        <v>56960437</v>
      </c>
      <c r="D354">
        <v>56063129</v>
      </c>
      <c r="E354">
        <v>1</v>
      </c>
      <c r="F354">
        <v>1</v>
      </c>
      <c r="G354">
        <v>1080</v>
      </c>
      <c r="H354">
        <v>3</v>
      </c>
      <c r="I354" t="s">
        <v>514</v>
      </c>
      <c r="J354" t="s">
        <v>515</v>
      </c>
      <c r="K354" t="s">
        <v>516</v>
      </c>
      <c r="L354">
        <v>1348</v>
      </c>
      <c r="N354">
        <v>1009</v>
      </c>
      <c r="O354" t="s">
        <v>291</v>
      </c>
      <c r="P354" t="s">
        <v>291</v>
      </c>
      <c r="Q354">
        <v>1000</v>
      </c>
      <c r="W354">
        <v>0</v>
      </c>
      <c r="X354">
        <v>1224372165</v>
      </c>
      <c r="Y354">
        <f>AT354</f>
        <v>2.6999999999999999E-5</v>
      </c>
      <c r="AA354">
        <v>15568.37</v>
      </c>
      <c r="AB354">
        <v>0</v>
      </c>
      <c r="AC354">
        <v>0</v>
      </c>
      <c r="AD354">
        <v>0</v>
      </c>
      <c r="AE354">
        <v>15568.37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2.6999999999999999E-5</v>
      </c>
      <c r="AU354" t="s">
        <v>3</v>
      </c>
      <c r="AV354">
        <v>0</v>
      </c>
      <c r="AW354">
        <v>2</v>
      </c>
      <c r="AX354">
        <v>56961119</v>
      </c>
      <c r="AY354">
        <v>1</v>
      </c>
      <c r="AZ354">
        <v>0</v>
      </c>
      <c r="BA354">
        <v>428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ROUND(Y354*Source!I493,9)</f>
        <v>2.6999999999999999E-5</v>
      </c>
      <c r="CY354">
        <f>AA354</f>
        <v>15568.37</v>
      </c>
      <c r="CZ354">
        <f>AE354</f>
        <v>15568.37</v>
      </c>
      <c r="DA354">
        <f>AI354</f>
        <v>1</v>
      </c>
      <c r="DB354">
        <f>ROUND(ROUND(AT354*CZ354,2),6)</f>
        <v>0.42</v>
      </c>
      <c r="DC354">
        <f>ROUND(ROUND(AT354*AG354,2),6)</f>
        <v>0</v>
      </c>
      <c r="DD354" t="s">
        <v>3</v>
      </c>
      <c r="DE354" t="s">
        <v>3</v>
      </c>
      <c r="DF354">
        <f t="shared" si="197"/>
        <v>0.42</v>
      </c>
      <c r="DG354">
        <f t="shared" si="194"/>
        <v>0</v>
      </c>
      <c r="DH354">
        <f t="shared" si="195"/>
        <v>0</v>
      </c>
      <c r="DI354">
        <f t="shared" si="176"/>
        <v>0</v>
      </c>
      <c r="DJ354">
        <f>DF354</f>
        <v>0.42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ROW(Source!A493)</f>
        <v>493</v>
      </c>
      <c r="B355">
        <v>56959434</v>
      </c>
      <c r="C355">
        <v>56960437</v>
      </c>
      <c r="D355">
        <v>56067341</v>
      </c>
      <c r="E355">
        <v>1</v>
      </c>
      <c r="F355">
        <v>1</v>
      </c>
      <c r="G355">
        <v>1080</v>
      </c>
      <c r="H355">
        <v>3</v>
      </c>
      <c r="I355" t="s">
        <v>517</v>
      </c>
      <c r="J355" t="s">
        <v>518</v>
      </c>
      <c r="K355" t="s">
        <v>519</v>
      </c>
      <c r="L355">
        <v>1355</v>
      </c>
      <c r="N355">
        <v>1010</v>
      </c>
      <c r="O355" t="s">
        <v>520</v>
      </c>
      <c r="P355" t="s">
        <v>520</v>
      </c>
      <c r="Q355">
        <v>100</v>
      </c>
      <c r="W355">
        <v>0</v>
      </c>
      <c r="X355">
        <v>-1616851610</v>
      </c>
      <c r="Y355">
        <f>AT355</f>
        <v>0.12</v>
      </c>
      <c r="AA355">
        <v>120.19</v>
      </c>
      <c r="AB355">
        <v>0</v>
      </c>
      <c r="AC355">
        <v>0</v>
      </c>
      <c r="AD355">
        <v>0</v>
      </c>
      <c r="AE355">
        <v>120.19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0.12</v>
      </c>
      <c r="AU355" t="s">
        <v>3</v>
      </c>
      <c r="AV355">
        <v>0</v>
      </c>
      <c r="AW355">
        <v>2</v>
      </c>
      <c r="AX355">
        <v>56961120</v>
      </c>
      <c r="AY355">
        <v>1</v>
      </c>
      <c r="AZ355">
        <v>0</v>
      </c>
      <c r="BA355">
        <v>429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ROUND(Y355*Source!I493,9)</f>
        <v>0.12</v>
      </c>
      <c r="CY355">
        <f>AA355</f>
        <v>120.19</v>
      </c>
      <c r="CZ355">
        <f>AE355</f>
        <v>120.19</v>
      </c>
      <c r="DA355">
        <f>AI355</f>
        <v>1</v>
      </c>
      <c r="DB355">
        <f>ROUND(ROUND(AT355*CZ355,2),6)</f>
        <v>14.42</v>
      </c>
      <c r="DC355">
        <f>ROUND(ROUND(AT355*AG355,2),6)</f>
        <v>0</v>
      </c>
      <c r="DD355" t="s">
        <v>3</v>
      </c>
      <c r="DE355" t="s">
        <v>3</v>
      </c>
      <c r="DF355">
        <f t="shared" si="197"/>
        <v>14.42</v>
      </c>
      <c r="DG355">
        <f t="shared" si="194"/>
        <v>0</v>
      </c>
      <c r="DH355">
        <f t="shared" si="195"/>
        <v>0</v>
      </c>
      <c r="DI355">
        <f t="shared" si="176"/>
        <v>0</v>
      </c>
      <c r="DJ355">
        <f>DF355</f>
        <v>14.42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ROW(Source!A493)</f>
        <v>493</v>
      </c>
      <c r="B356">
        <v>56959434</v>
      </c>
      <c r="C356">
        <v>56960437</v>
      </c>
      <c r="D356">
        <v>56083520</v>
      </c>
      <c r="E356">
        <v>1</v>
      </c>
      <c r="F356">
        <v>1</v>
      </c>
      <c r="G356">
        <v>1080</v>
      </c>
      <c r="H356">
        <v>3</v>
      </c>
      <c r="I356" t="s">
        <v>44</v>
      </c>
      <c r="J356" t="s">
        <v>46</v>
      </c>
      <c r="K356" t="s">
        <v>45</v>
      </c>
      <c r="L356">
        <v>1354</v>
      </c>
      <c r="N356">
        <v>1010</v>
      </c>
      <c r="O356" t="s">
        <v>31</v>
      </c>
      <c r="P356" t="s">
        <v>31</v>
      </c>
      <c r="Q356">
        <v>1</v>
      </c>
      <c r="W356">
        <v>0</v>
      </c>
      <c r="X356">
        <v>672353504</v>
      </c>
      <c r="Y356">
        <f>AT356</f>
        <v>1</v>
      </c>
      <c r="AA356">
        <v>1975.19</v>
      </c>
      <c r="AB356">
        <v>0</v>
      </c>
      <c r="AC356">
        <v>0</v>
      </c>
      <c r="AD356">
        <v>0</v>
      </c>
      <c r="AE356">
        <v>1975.19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1</v>
      </c>
      <c r="AU356" t="s">
        <v>3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ROUND(Y356*Source!I493,9)</f>
        <v>1</v>
      </c>
      <c r="CY356">
        <f>AA356</f>
        <v>1975.19</v>
      </c>
      <c r="CZ356">
        <f>AE356</f>
        <v>1975.19</v>
      </c>
      <c r="DA356">
        <f>AI356</f>
        <v>1</v>
      </c>
      <c r="DB356">
        <f>ROUND(ROUND(AT356*CZ356,2),6)</f>
        <v>1975.19</v>
      </c>
      <c r="DC356">
        <f>ROUND(ROUND(AT356*AG356,2),6)</f>
        <v>0</v>
      </c>
      <c r="DD356" t="s">
        <v>3</v>
      </c>
      <c r="DE356" t="s">
        <v>3</v>
      </c>
      <c r="DF356">
        <f t="shared" si="197"/>
        <v>1975.19</v>
      </c>
      <c r="DG356">
        <f t="shared" si="194"/>
        <v>0</v>
      </c>
      <c r="DH356">
        <f t="shared" si="195"/>
        <v>0</v>
      </c>
      <c r="DI356">
        <f t="shared" si="176"/>
        <v>0</v>
      </c>
      <c r="DJ356">
        <f>DF356</f>
        <v>1975.19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ROW(Source!A493)</f>
        <v>493</v>
      </c>
      <c r="B357">
        <v>56959434</v>
      </c>
      <c r="C357">
        <v>56960437</v>
      </c>
      <c r="D357">
        <v>56023168</v>
      </c>
      <c r="E357">
        <v>1080</v>
      </c>
      <c r="F357">
        <v>1</v>
      </c>
      <c r="G357">
        <v>1080</v>
      </c>
      <c r="H357">
        <v>3</v>
      </c>
      <c r="I357" t="s">
        <v>521</v>
      </c>
      <c r="J357" t="s">
        <v>3</v>
      </c>
      <c r="K357" t="s">
        <v>522</v>
      </c>
      <c r="L357">
        <v>1348</v>
      </c>
      <c r="N357">
        <v>1009</v>
      </c>
      <c r="O357" t="s">
        <v>291</v>
      </c>
      <c r="P357" t="s">
        <v>291</v>
      </c>
      <c r="Q357">
        <v>1000</v>
      </c>
      <c r="W357">
        <v>0</v>
      </c>
      <c r="X357">
        <v>-783086922</v>
      </c>
      <c r="Y357">
        <f>AT357</f>
        <v>2.7E-2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2.7E-2</v>
      </c>
      <c r="AU357" t="s">
        <v>3</v>
      </c>
      <c r="AV357">
        <v>0</v>
      </c>
      <c r="AW357">
        <v>2</v>
      </c>
      <c r="AX357">
        <v>56961122</v>
      </c>
      <c r="AY357">
        <v>1</v>
      </c>
      <c r="AZ357">
        <v>0</v>
      </c>
      <c r="BA357">
        <v>431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ROUND(Y357*Source!I493,9)</f>
        <v>2.7E-2</v>
      </c>
      <c r="CY357">
        <f>AA357</f>
        <v>0</v>
      </c>
      <c r="CZ357">
        <f>AE357</f>
        <v>0</v>
      </c>
      <c r="DA357">
        <f>AI357</f>
        <v>1</v>
      </c>
      <c r="DB357">
        <f>ROUND(ROUND(AT357*CZ357,2),6)</f>
        <v>0</v>
      </c>
      <c r="DC357">
        <f>ROUND(ROUND(AT357*AG357,2),6)</f>
        <v>0</v>
      </c>
      <c r="DD357" t="s">
        <v>3</v>
      </c>
      <c r="DE357" t="s">
        <v>3</v>
      </c>
      <c r="DF357">
        <f t="shared" si="197"/>
        <v>0</v>
      </c>
      <c r="DG357">
        <f t="shared" si="194"/>
        <v>0</v>
      </c>
      <c r="DH357">
        <f t="shared" si="195"/>
        <v>0</v>
      </c>
      <c r="DI357">
        <f t="shared" si="176"/>
        <v>0</v>
      </c>
      <c r="DJ357">
        <f>DF357</f>
        <v>0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ROW(Source!A494)</f>
        <v>494</v>
      </c>
      <c r="B358">
        <v>56959431</v>
      </c>
      <c r="C358">
        <v>56960437</v>
      </c>
      <c r="D358">
        <v>56018166</v>
      </c>
      <c r="E358">
        <v>1080</v>
      </c>
      <c r="F358">
        <v>1</v>
      </c>
      <c r="G358">
        <v>1080</v>
      </c>
      <c r="H358">
        <v>1</v>
      </c>
      <c r="I358" t="s">
        <v>500</v>
      </c>
      <c r="J358" t="s">
        <v>3</v>
      </c>
      <c r="K358" t="s">
        <v>501</v>
      </c>
      <c r="L358">
        <v>1191</v>
      </c>
      <c r="N358">
        <v>1013</v>
      </c>
      <c r="O358" t="s">
        <v>502</v>
      </c>
      <c r="P358" t="s">
        <v>502</v>
      </c>
      <c r="Q358">
        <v>1</v>
      </c>
      <c r="W358">
        <v>0</v>
      </c>
      <c r="X358">
        <v>476480486</v>
      </c>
      <c r="Y358">
        <f>(AT358*1.1)</f>
        <v>2.2000000000000002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5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2</v>
      </c>
      <c r="AU358" t="s">
        <v>23</v>
      </c>
      <c r="AV358">
        <v>1</v>
      </c>
      <c r="AW358">
        <v>2</v>
      </c>
      <c r="AX358">
        <v>56961116</v>
      </c>
      <c r="AY358">
        <v>1</v>
      </c>
      <c r="AZ358">
        <v>0</v>
      </c>
      <c r="BA358">
        <v>432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U358">
        <f>ROUND(AT358*Source!I494*AH358*AL358,2)</f>
        <v>0</v>
      </c>
      <c r="CV358">
        <f>ROUND(Y358*Source!I494,9)</f>
        <v>2.2000000000000002</v>
      </c>
      <c r="CW358">
        <v>0</v>
      </c>
      <c r="CX358">
        <f>ROUND(Y358*Source!I494,9)</f>
        <v>2.2000000000000002</v>
      </c>
      <c r="CY358">
        <f>AD358</f>
        <v>0</v>
      </c>
      <c r="CZ358">
        <f>AH358</f>
        <v>0</v>
      </c>
      <c r="DA358">
        <f>AL358</f>
        <v>1</v>
      </c>
      <c r="DB358">
        <f>ROUND((ROUND(AT358*CZ358,2)*1.1),6)</f>
        <v>0</v>
      </c>
      <c r="DC358">
        <f>ROUND((ROUND(AT358*AG358,2)*1.1),6)</f>
        <v>0</v>
      </c>
      <c r="DD358" t="s">
        <v>3</v>
      </c>
      <c r="DE358" t="s">
        <v>3</v>
      </c>
      <c r="DF358">
        <f t="shared" si="197"/>
        <v>0</v>
      </c>
      <c r="DG358">
        <f t="shared" si="194"/>
        <v>0</v>
      </c>
      <c r="DH358">
        <f t="shared" si="195"/>
        <v>0</v>
      </c>
      <c r="DI358">
        <f t="shared" si="176"/>
        <v>0</v>
      </c>
      <c r="DJ358">
        <f>DI358</f>
        <v>0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ROW(Source!A494)</f>
        <v>494</v>
      </c>
      <c r="B359">
        <v>56959431</v>
      </c>
      <c r="C359">
        <v>56960437</v>
      </c>
      <c r="D359">
        <v>56092342</v>
      </c>
      <c r="E359">
        <v>1</v>
      </c>
      <c r="F359">
        <v>1</v>
      </c>
      <c r="G359">
        <v>1080</v>
      </c>
      <c r="H359">
        <v>2</v>
      </c>
      <c r="I359" t="s">
        <v>508</v>
      </c>
      <c r="J359" t="s">
        <v>509</v>
      </c>
      <c r="K359" t="s">
        <v>510</v>
      </c>
      <c r="L359">
        <v>1368</v>
      </c>
      <c r="N359">
        <v>1011</v>
      </c>
      <c r="O359" t="s">
        <v>506</v>
      </c>
      <c r="P359" t="s">
        <v>506</v>
      </c>
      <c r="Q359">
        <v>1</v>
      </c>
      <c r="W359">
        <v>0</v>
      </c>
      <c r="X359">
        <v>1346534067</v>
      </c>
      <c r="Y359">
        <f>(AT359*1.1)</f>
        <v>2.2000000000000002E-2</v>
      </c>
      <c r="AA359">
        <v>0</v>
      </c>
      <c r="AB359">
        <v>1742.83</v>
      </c>
      <c r="AC359">
        <v>726.59</v>
      </c>
      <c r="AD359">
        <v>0</v>
      </c>
      <c r="AE359">
        <v>0</v>
      </c>
      <c r="AF359">
        <v>119.07</v>
      </c>
      <c r="AG359">
        <v>12.62</v>
      </c>
      <c r="AH359">
        <v>0</v>
      </c>
      <c r="AI359">
        <v>1</v>
      </c>
      <c r="AJ359">
        <v>13.98</v>
      </c>
      <c r="AK359">
        <v>54.99</v>
      </c>
      <c r="AL359">
        <v>1</v>
      </c>
      <c r="AM359">
        <v>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0.02</v>
      </c>
      <c r="AU359" t="s">
        <v>23</v>
      </c>
      <c r="AV359">
        <v>0</v>
      </c>
      <c r="AW359">
        <v>2</v>
      </c>
      <c r="AX359">
        <v>56961117</v>
      </c>
      <c r="AY359">
        <v>1</v>
      </c>
      <c r="AZ359">
        <v>0</v>
      </c>
      <c r="BA359">
        <v>433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f>ROUND(Y359*Source!I494*DO359,9)</f>
        <v>0.27764</v>
      </c>
      <c r="CX359">
        <f>ROUND(Y359*Source!I494,9)</f>
        <v>2.1999999999999999E-2</v>
      </c>
      <c r="CY359">
        <f>AB359</f>
        <v>1742.83</v>
      </c>
      <c r="CZ359">
        <f>AF359</f>
        <v>119.07</v>
      </c>
      <c r="DA359">
        <f>AJ359</f>
        <v>13.98</v>
      </c>
      <c r="DB359">
        <f>ROUND((ROUND(AT359*CZ359,2)*1.1),6)</f>
        <v>2.6179999999999999</v>
      </c>
      <c r="DC359">
        <f>ROUND((ROUND(AT359*AG359,2)*1.1),6)</f>
        <v>0.27500000000000002</v>
      </c>
      <c r="DD359" t="s">
        <v>3</v>
      </c>
      <c r="DE359" t="s">
        <v>3</v>
      </c>
      <c r="DF359">
        <f t="shared" si="197"/>
        <v>0</v>
      </c>
      <c r="DG359">
        <f>ROUND(ROUND(AF359*AJ359,2)*CX359,2)</f>
        <v>36.619999999999997</v>
      </c>
      <c r="DH359">
        <f>ROUND(ROUND(AG359*AK359,2)*CX359,2)</f>
        <v>15.27</v>
      </c>
      <c r="DI359">
        <f t="shared" si="176"/>
        <v>0</v>
      </c>
      <c r="DJ359">
        <f>DG359</f>
        <v>36.619999999999997</v>
      </c>
      <c r="DK359">
        <v>0</v>
      </c>
      <c r="DL359" t="s">
        <v>507</v>
      </c>
      <c r="DM359">
        <v>0</v>
      </c>
      <c r="DN359" t="s">
        <v>502</v>
      </c>
      <c r="DO359">
        <v>12.62</v>
      </c>
    </row>
    <row r="360" spans="1:119" x14ac:dyDescent="0.2">
      <c r="A360">
        <f>ROW(Source!A494)</f>
        <v>494</v>
      </c>
      <c r="B360">
        <v>56959431</v>
      </c>
      <c r="C360">
        <v>56960437</v>
      </c>
      <c r="D360">
        <v>56061656</v>
      </c>
      <c r="E360">
        <v>1</v>
      </c>
      <c r="F360">
        <v>1</v>
      </c>
      <c r="G360">
        <v>1080</v>
      </c>
      <c r="H360">
        <v>3</v>
      </c>
      <c r="I360" t="s">
        <v>511</v>
      </c>
      <c r="J360" t="s">
        <v>512</v>
      </c>
      <c r="K360" t="s">
        <v>513</v>
      </c>
      <c r="L360">
        <v>1346</v>
      </c>
      <c r="N360">
        <v>1009</v>
      </c>
      <c r="O360" t="s">
        <v>249</v>
      </c>
      <c r="P360" t="s">
        <v>249</v>
      </c>
      <c r="Q360">
        <v>1</v>
      </c>
      <c r="W360">
        <v>0</v>
      </c>
      <c r="X360">
        <v>444134433</v>
      </c>
      <c r="Y360">
        <f>AT360</f>
        <v>0.9</v>
      </c>
      <c r="AA360">
        <v>183.1</v>
      </c>
      <c r="AB360">
        <v>0</v>
      </c>
      <c r="AC360">
        <v>0</v>
      </c>
      <c r="AD360">
        <v>0</v>
      </c>
      <c r="AE360">
        <v>104.63</v>
      </c>
      <c r="AF360">
        <v>0</v>
      </c>
      <c r="AG360">
        <v>0</v>
      </c>
      <c r="AH360">
        <v>0</v>
      </c>
      <c r="AI360">
        <v>1.75</v>
      </c>
      <c r="AJ360">
        <v>1</v>
      </c>
      <c r="AK360">
        <v>1</v>
      </c>
      <c r="AL360">
        <v>1</v>
      </c>
      <c r="AM360">
        <v>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0.9</v>
      </c>
      <c r="AU360" t="s">
        <v>3</v>
      </c>
      <c r="AV360">
        <v>0</v>
      </c>
      <c r="AW360">
        <v>2</v>
      </c>
      <c r="AX360">
        <v>56961118</v>
      </c>
      <c r="AY360">
        <v>1</v>
      </c>
      <c r="AZ360">
        <v>0</v>
      </c>
      <c r="BA360">
        <v>434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ROUND(Y360*Source!I494,9)</f>
        <v>0.9</v>
      </c>
      <c r="CY360">
        <f>AA360</f>
        <v>183.1</v>
      </c>
      <c r="CZ360">
        <f>AE360</f>
        <v>104.63</v>
      </c>
      <c r="DA360">
        <f>AI360</f>
        <v>1.75</v>
      </c>
      <c r="DB360">
        <f>ROUND(ROUND(AT360*CZ360,2),6)</f>
        <v>94.17</v>
      </c>
      <c r="DC360">
        <f>ROUND(ROUND(AT360*AG360,2),6)</f>
        <v>0</v>
      </c>
      <c r="DD360" t="s">
        <v>3</v>
      </c>
      <c r="DE360" t="s">
        <v>3</v>
      </c>
      <c r="DF360">
        <f>ROUND(ROUND(AE360*AI360,2)*CX360,2)</f>
        <v>164.79</v>
      </c>
      <c r="DG360">
        <f t="shared" ref="DG360:DG369" si="198">ROUND(ROUND(AF360,2)*CX360,2)</f>
        <v>0</v>
      </c>
      <c r="DH360">
        <f t="shared" ref="DH360:DH369" si="199">ROUND(ROUND(AG360,2)*CX360,2)</f>
        <v>0</v>
      </c>
      <c r="DI360">
        <f t="shared" si="176"/>
        <v>0</v>
      </c>
      <c r="DJ360">
        <f>DF360</f>
        <v>164.79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ROW(Source!A494)</f>
        <v>494</v>
      </c>
      <c r="B361">
        <v>56959431</v>
      </c>
      <c r="C361">
        <v>56960437</v>
      </c>
      <c r="D361">
        <v>56063129</v>
      </c>
      <c r="E361">
        <v>1</v>
      </c>
      <c r="F361">
        <v>1</v>
      </c>
      <c r="G361">
        <v>1080</v>
      </c>
      <c r="H361">
        <v>3</v>
      </c>
      <c r="I361" t="s">
        <v>514</v>
      </c>
      <c r="J361" t="s">
        <v>515</v>
      </c>
      <c r="K361" t="s">
        <v>516</v>
      </c>
      <c r="L361">
        <v>1348</v>
      </c>
      <c r="N361">
        <v>1009</v>
      </c>
      <c r="O361" t="s">
        <v>291</v>
      </c>
      <c r="P361" t="s">
        <v>291</v>
      </c>
      <c r="Q361">
        <v>1000</v>
      </c>
      <c r="W361">
        <v>0</v>
      </c>
      <c r="X361">
        <v>1224372165</v>
      </c>
      <c r="Y361">
        <f>AT361</f>
        <v>2.6999999999999999E-5</v>
      </c>
      <c r="AA361">
        <v>176389.63</v>
      </c>
      <c r="AB361">
        <v>0</v>
      </c>
      <c r="AC361">
        <v>0</v>
      </c>
      <c r="AD361">
        <v>0</v>
      </c>
      <c r="AE361">
        <v>15568.37</v>
      </c>
      <c r="AF361">
        <v>0</v>
      </c>
      <c r="AG361">
        <v>0</v>
      </c>
      <c r="AH361">
        <v>0</v>
      </c>
      <c r="AI361">
        <v>11.33</v>
      </c>
      <c r="AJ361">
        <v>1</v>
      </c>
      <c r="AK361">
        <v>1</v>
      </c>
      <c r="AL361">
        <v>1</v>
      </c>
      <c r="AM361">
        <v>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2.6999999999999999E-5</v>
      </c>
      <c r="AU361" t="s">
        <v>3</v>
      </c>
      <c r="AV361">
        <v>0</v>
      </c>
      <c r="AW361">
        <v>2</v>
      </c>
      <c r="AX361">
        <v>56961119</v>
      </c>
      <c r="AY361">
        <v>1</v>
      </c>
      <c r="AZ361">
        <v>0</v>
      </c>
      <c r="BA361">
        <v>435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ROUND(Y361*Source!I494,9)</f>
        <v>2.6999999999999999E-5</v>
      </c>
      <c r="CY361">
        <f>AA361</f>
        <v>176389.63</v>
      </c>
      <c r="CZ361">
        <f>AE361</f>
        <v>15568.37</v>
      </c>
      <c r="DA361">
        <f>AI361</f>
        <v>11.33</v>
      </c>
      <c r="DB361">
        <f>ROUND(ROUND(AT361*CZ361,2),6)</f>
        <v>0.42</v>
      </c>
      <c r="DC361">
        <f>ROUND(ROUND(AT361*AG361,2),6)</f>
        <v>0</v>
      </c>
      <c r="DD361" t="s">
        <v>3</v>
      </c>
      <c r="DE361" t="s">
        <v>3</v>
      </c>
      <c r="DF361">
        <f>ROUND(ROUND(AE361*AI361,2)*CX361,2)</f>
        <v>4.76</v>
      </c>
      <c r="DG361">
        <f t="shared" si="198"/>
        <v>0</v>
      </c>
      <c r="DH361">
        <f t="shared" si="199"/>
        <v>0</v>
      </c>
      <c r="DI361">
        <f t="shared" si="176"/>
        <v>0</v>
      </c>
      <c r="DJ361">
        <f>DF361</f>
        <v>4.76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ROW(Source!A494)</f>
        <v>494</v>
      </c>
      <c r="B362">
        <v>56959431</v>
      </c>
      <c r="C362">
        <v>56960437</v>
      </c>
      <c r="D362">
        <v>56067341</v>
      </c>
      <c r="E362">
        <v>1</v>
      </c>
      <c r="F362">
        <v>1</v>
      </c>
      <c r="G362">
        <v>1080</v>
      </c>
      <c r="H362">
        <v>3</v>
      </c>
      <c r="I362" t="s">
        <v>517</v>
      </c>
      <c r="J362" t="s">
        <v>518</v>
      </c>
      <c r="K362" t="s">
        <v>519</v>
      </c>
      <c r="L362">
        <v>1355</v>
      </c>
      <c r="N362">
        <v>1010</v>
      </c>
      <c r="O362" t="s">
        <v>520</v>
      </c>
      <c r="P362" t="s">
        <v>520</v>
      </c>
      <c r="Q362">
        <v>100</v>
      </c>
      <c r="W362">
        <v>0</v>
      </c>
      <c r="X362">
        <v>-1616851610</v>
      </c>
      <c r="Y362">
        <f>AT362</f>
        <v>0.12</v>
      </c>
      <c r="AA362">
        <v>1542.04</v>
      </c>
      <c r="AB362">
        <v>0</v>
      </c>
      <c r="AC362">
        <v>0</v>
      </c>
      <c r="AD362">
        <v>0</v>
      </c>
      <c r="AE362">
        <v>120.19</v>
      </c>
      <c r="AF362">
        <v>0</v>
      </c>
      <c r="AG362">
        <v>0</v>
      </c>
      <c r="AH362">
        <v>0</v>
      </c>
      <c r="AI362">
        <v>12.83</v>
      </c>
      <c r="AJ362">
        <v>1</v>
      </c>
      <c r="AK362">
        <v>1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0.12</v>
      </c>
      <c r="AU362" t="s">
        <v>3</v>
      </c>
      <c r="AV362">
        <v>0</v>
      </c>
      <c r="AW362">
        <v>2</v>
      </c>
      <c r="AX362">
        <v>56961120</v>
      </c>
      <c r="AY362">
        <v>1</v>
      </c>
      <c r="AZ362">
        <v>0</v>
      </c>
      <c r="BA362">
        <v>436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ROUND(Y362*Source!I494,9)</f>
        <v>0.12</v>
      </c>
      <c r="CY362">
        <f>AA362</f>
        <v>1542.04</v>
      </c>
      <c r="CZ362">
        <f>AE362</f>
        <v>120.19</v>
      </c>
      <c r="DA362">
        <f>AI362</f>
        <v>12.83</v>
      </c>
      <c r="DB362">
        <f>ROUND(ROUND(AT362*CZ362,2),6)</f>
        <v>14.42</v>
      </c>
      <c r="DC362">
        <f>ROUND(ROUND(AT362*AG362,2),6)</f>
        <v>0</v>
      </c>
      <c r="DD362" t="s">
        <v>3</v>
      </c>
      <c r="DE362" t="s">
        <v>3</v>
      </c>
      <c r="DF362">
        <f>ROUND(ROUND(AE362*AI362,2)*CX362,2)</f>
        <v>185.04</v>
      </c>
      <c r="DG362">
        <f t="shared" si="198"/>
        <v>0</v>
      </c>
      <c r="DH362">
        <f t="shared" si="199"/>
        <v>0</v>
      </c>
      <c r="DI362">
        <f t="shared" si="176"/>
        <v>0</v>
      </c>
      <c r="DJ362">
        <f>DF362</f>
        <v>185.04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ROW(Source!A494)</f>
        <v>494</v>
      </c>
      <c r="B363">
        <v>56959431</v>
      </c>
      <c r="C363">
        <v>56960437</v>
      </c>
      <c r="D363">
        <v>56083520</v>
      </c>
      <c r="E363">
        <v>1</v>
      </c>
      <c r="F363">
        <v>1</v>
      </c>
      <c r="G363">
        <v>1080</v>
      </c>
      <c r="H363">
        <v>3</v>
      </c>
      <c r="I363" t="s">
        <v>44</v>
      </c>
      <c r="J363" t="s">
        <v>46</v>
      </c>
      <c r="K363" t="s">
        <v>45</v>
      </c>
      <c r="L363">
        <v>1354</v>
      </c>
      <c r="N363">
        <v>1010</v>
      </c>
      <c r="O363" t="s">
        <v>31</v>
      </c>
      <c r="P363" t="s">
        <v>31</v>
      </c>
      <c r="Q363">
        <v>1</v>
      </c>
      <c r="W363">
        <v>0</v>
      </c>
      <c r="X363">
        <v>672353504</v>
      </c>
      <c r="Y363">
        <f>AT363</f>
        <v>1</v>
      </c>
      <c r="AA363">
        <v>13549.8</v>
      </c>
      <c r="AB363">
        <v>0</v>
      </c>
      <c r="AC363">
        <v>0</v>
      </c>
      <c r="AD363">
        <v>0</v>
      </c>
      <c r="AE363">
        <v>1975.19</v>
      </c>
      <c r="AF363">
        <v>0</v>
      </c>
      <c r="AG363">
        <v>0</v>
      </c>
      <c r="AH363">
        <v>0</v>
      </c>
      <c r="AI363">
        <v>6.86</v>
      </c>
      <c r="AJ363">
        <v>1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 t="s">
        <v>3</v>
      </c>
      <c r="AT363">
        <v>1</v>
      </c>
      <c r="AU363" t="s">
        <v>3</v>
      </c>
      <c r="AV363">
        <v>0</v>
      </c>
      <c r="AW363">
        <v>1</v>
      </c>
      <c r="AX363">
        <v>-1</v>
      </c>
      <c r="AY363">
        <v>0</v>
      </c>
      <c r="AZ363">
        <v>0</v>
      </c>
      <c r="BA363" t="s">
        <v>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ROUND(Y363*Source!I494,9)</f>
        <v>1</v>
      </c>
      <c r="CY363">
        <f>AA363</f>
        <v>13549.8</v>
      </c>
      <c r="CZ363">
        <f>AE363</f>
        <v>1975.19</v>
      </c>
      <c r="DA363">
        <f>AI363</f>
        <v>6.86</v>
      </c>
      <c r="DB363">
        <f>ROUND(ROUND(AT363*CZ363,2),6)</f>
        <v>1975.19</v>
      </c>
      <c r="DC363">
        <f>ROUND(ROUND(AT363*AG363,2),6)</f>
        <v>0</v>
      </c>
      <c r="DD363" t="s">
        <v>3</v>
      </c>
      <c r="DE363" t="s">
        <v>3</v>
      </c>
      <c r="DF363">
        <f>ROUND(ROUND(AE363*AI363,2)*CX363,2)</f>
        <v>13549.8</v>
      </c>
      <c r="DG363">
        <f t="shared" si="198"/>
        <v>0</v>
      </c>
      <c r="DH363">
        <f t="shared" si="199"/>
        <v>0</v>
      </c>
      <c r="DI363">
        <f t="shared" si="176"/>
        <v>0</v>
      </c>
      <c r="DJ363">
        <f>DF363</f>
        <v>13549.8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ROW(Source!A494)</f>
        <v>494</v>
      </c>
      <c r="B364">
        <v>56959431</v>
      </c>
      <c r="C364">
        <v>56960437</v>
      </c>
      <c r="D364">
        <v>56023168</v>
      </c>
      <c r="E364">
        <v>1080</v>
      </c>
      <c r="F364">
        <v>1</v>
      </c>
      <c r="G364">
        <v>1080</v>
      </c>
      <c r="H364">
        <v>3</v>
      </c>
      <c r="I364" t="s">
        <v>521</v>
      </c>
      <c r="J364" t="s">
        <v>3</v>
      </c>
      <c r="K364" t="s">
        <v>522</v>
      </c>
      <c r="L364">
        <v>1348</v>
      </c>
      <c r="N364">
        <v>1009</v>
      </c>
      <c r="O364" t="s">
        <v>291</v>
      </c>
      <c r="P364" t="s">
        <v>291</v>
      </c>
      <c r="Q364">
        <v>1000</v>
      </c>
      <c r="W364">
        <v>0</v>
      </c>
      <c r="X364">
        <v>-783086922</v>
      </c>
      <c r="Y364">
        <f>AT364</f>
        <v>2.7E-2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9.8800000000000008</v>
      </c>
      <c r="AJ364">
        <v>1</v>
      </c>
      <c r="AK364">
        <v>1</v>
      </c>
      <c r="AL364">
        <v>1</v>
      </c>
      <c r="AM364">
        <v>5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2.7E-2</v>
      </c>
      <c r="AU364" t="s">
        <v>3</v>
      </c>
      <c r="AV364">
        <v>0</v>
      </c>
      <c r="AW364">
        <v>2</v>
      </c>
      <c r="AX364">
        <v>56961122</v>
      </c>
      <c r="AY364">
        <v>1</v>
      </c>
      <c r="AZ364">
        <v>0</v>
      </c>
      <c r="BA364">
        <v>438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ROUND(Y364*Source!I494,9)</f>
        <v>2.7E-2</v>
      </c>
      <c r="CY364">
        <f>AA364</f>
        <v>0</v>
      </c>
      <c r="CZ364">
        <f>AE364</f>
        <v>0</v>
      </c>
      <c r="DA364">
        <f>AI364</f>
        <v>9.8800000000000008</v>
      </c>
      <c r="DB364">
        <f>ROUND(ROUND(AT364*CZ364,2),6)</f>
        <v>0</v>
      </c>
      <c r="DC364">
        <f>ROUND(ROUND(AT364*AG364,2),6)</f>
        <v>0</v>
      </c>
      <c r="DD364" t="s">
        <v>3</v>
      </c>
      <c r="DE364" t="s">
        <v>3</v>
      </c>
      <c r="DF364">
        <f>ROUND(ROUND(AE364*AI364,2)*CX364,2)</f>
        <v>0</v>
      </c>
      <c r="DG364">
        <f t="shared" si="198"/>
        <v>0</v>
      </c>
      <c r="DH364">
        <f t="shared" si="199"/>
        <v>0</v>
      </c>
      <c r="DI364">
        <f t="shared" si="176"/>
        <v>0</v>
      </c>
      <c r="DJ364">
        <f>DF364</f>
        <v>0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ROW(Source!A497)</f>
        <v>497</v>
      </c>
      <c r="B365">
        <v>56959434</v>
      </c>
      <c r="C365">
        <v>56960453</v>
      </c>
      <c r="D365">
        <v>56018166</v>
      </c>
      <c r="E365">
        <v>1080</v>
      </c>
      <c r="F365">
        <v>1</v>
      </c>
      <c r="G365">
        <v>1080</v>
      </c>
      <c r="H365">
        <v>1</v>
      </c>
      <c r="I365" t="s">
        <v>500</v>
      </c>
      <c r="J365" t="s">
        <v>3</v>
      </c>
      <c r="K365" t="s">
        <v>501</v>
      </c>
      <c r="L365">
        <v>1191</v>
      </c>
      <c r="N365">
        <v>1013</v>
      </c>
      <c r="O365" t="s">
        <v>502</v>
      </c>
      <c r="P365" t="s">
        <v>502</v>
      </c>
      <c r="Q365">
        <v>1</v>
      </c>
      <c r="W365">
        <v>0</v>
      </c>
      <c r="X365">
        <v>476480486</v>
      </c>
      <c r="Y365">
        <f>(AT365*1.1)</f>
        <v>32.956000000000003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29.96</v>
      </c>
      <c r="AU365" t="s">
        <v>23</v>
      </c>
      <c r="AV365">
        <v>1</v>
      </c>
      <c r="AW365">
        <v>2</v>
      </c>
      <c r="AX365">
        <v>56961123</v>
      </c>
      <c r="AY365">
        <v>1</v>
      </c>
      <c r="AZ365">
        <v>0</v>
      </c>
      <c r="BA365">
        <v>439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U365">
        <f>ROUND(AT365*Source!I497*AH365*AL365,2)</f>
        <v>0</v>
      </c>
      <c r="CV365">
        <f>ROUND(Y365*Source!I497,9)</f>
        <v>6.5911999999999997</v>
      </c>
      <c r="CW365">
        <v>0</v>
      </c>
      <c r="CX365">
        <f>ROUND(Y365*Source!I497,9)</f>
        <v>6.5911999999999997</v>
      </c>
      <c r="CY365">
        <f>AD365</f>
        <v>0</v>
      </c>
      <c r="CZ365">
        <f>AH365</f>
        <v>0</v>
      </c>
      <c r="DA365">
        <f>AL365</f>
        <v>1</v>
      </c>
      <c r="DB365">
        <f>ROUND((ROUND(AT365*CZ365,2)*1.1),6)</f>
        <v>0</v>
      </c>
      <c r="DC365">
        <f>ROUND((ROUND(AT365*AG365,2)*1.1),6)</f>
        <v>0</v>
      </c>
      <c r="DD365" t="s">
        <v>3</v>
      </c>
      <c r="DE365" t="s">
        <v>3</v>
      </c>
      <c r="DF365">
        <f t="shared" ref="DF365:DF371" si="200">ROUND(ROUND(AE365,2)*CX365,2)</f>
        <v>0</v>
      </c>
      <c r="DG365">
        <f t="shared" si="198"/>
        <v>0</v>
      </c>
      <c r="DH365">
        <f t="shared" si="199"/>
        <v>0</v>
      </c>
      <c r="DI365">
        <f t="shared" si="176"/>
        <v>0</v>
      </c>
      <c r="DJ365">
        <f>DI365</f>
        <v>0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ROW(Source!A497)</f>
        <v>497</v>
      </c>
      <c r="B366">
        <v>56959434</v>
      </c>
      <c r="C366">
        <v>56960453</v>
      </c>
      <c r="D366">
        <v>56092340</v>
      </c>
      <c r="E366">
        <v>1</v>
      </c>
      <c r="F366">
        <v>1</v>
      </c>
      <c r="G366">
        <v>1080</v>
      </c>
      <c r="H366">
        <v>2</v>
      </c>
      <c r="I366" t="s">
        <v>503</v>
      </c>
      <c r="J366" t="s">
        <v>504</v>
      </c>
      <c r="K366" t="s">
        <v>505</v>
      </c>
      <c r="L366">
        <v>1368</v>
      </c>
      <c r="N366">
        <v>1011</v>
      </c>
      <c r="O366" t="s">
        <v>506</v>
      </c>
      <c r="P366" t="s">
        <v>506</v>
      </c>
      <c r="Q366">
        <v>1</v>
      </c>
      <c r="W366">
        <v>0</v>
      </c>
      <c r="X366">
        <v>-1985943078</v>
      </c>
      <c r="Y366">
        <f>(AT366*1.1)</f>
        <v>1.1000000000000001E-2</v>
      </c>
      <c r="AA366">
        <v>0</v>
      </c>
      <c r="AB366">
        <v>87.01</v>
      </c>
      <c r="AC366">
        <v>13.21</v>
      </c>
      <c r="AD366">
        <v>0</v>
      </c>
      <c r="AE366">
        <v>0</v>
      </c>
      <c r="AF366">
        <v>83.1</v>
      </c>
      <c r="AG366">
        <v>12.62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0.01</v>
      </c>
      <c r="AU366" t="s">
        <v>23</v>
      </c>
      <c r="AV366">
        <v>0</v>
      </c>
      <c r="AW366">
        <v>2</v>
      </c>
      <c r="AX366">
        <v>56961124</v>
      </c>
      <c r="AY366">
        <v>1</v>
      </c>
      <c r="AZ366">
        <v>0</v>
      </c>
      <c r="BA366">
        <v>440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f>ROUND(Y366*Source!I497*DO366,9)</f>
        <v>2.7764E-2</v>
      </c>
      <c r="CX366">
        <f>ROUND(Y366*Source!I497,9)</f>
        <v>2.2000000000000001E-3</v>
      </c>
      <c r="CY366">
        <f>AB366</f>
        <v>87.01</v>
      </c>
      <c r="CZ366">
        <f>AF366</f>
        <v>83.1</v>
      </c>
      <c r="DA366">
        <f>AJ366</f>
        <v>1</v>
      </c>
      <c r="DB366">
        <f>ROUND((ROUND(AT366*CZ366,2)*1.1),6)</f>
        <v>0.91300000000000003</v>
      </c>
      <c r="DC366">
        <f>ROUND((ROUND(AT366*AG366,2)*1.1),6)</f>
        <v>0.14299999999999999</v>
      </c>
      <c r="DD366" t="s">
        <v>3</v>
      </c>
      <c r="DE366" t="s">
        <v>3</v>
      </c>
      <c r="DF366">
        <f t="shared" si="200"/>
        <v>0</v>
      </c>
      <c r="DG366">
        <f t="shared" si="198"/>
        <v>0.18</v>
      </c>
      <c r="DH366">
        <f t="shared" si="199"/>
        <v>0.03</v>
      </c>
      <c r="DI366">
        <f t="shared" si="176"/>
        <v>0</v>
      </c>
      <c r="DJ366">
        <f>DG366</f>
        <v>0.18</v>
      </c>
      <c r="DK366">
        <v>0</v>
      </c>
      <c r="DL366" t="s">
        <v>507</v>
      </c>
      <c r="DM366">
        <v>0</v>
      </c>
      <c r="DN366" t="s">
        <v>502</v>
      </c>
      <c r="DO366">
        <v>12.62</v>
      </c>
    </row>
    <row r="367" spans="1:119" x14ac:dyDescent="0.2">
      <c r="A367">
        <f>ROW(Source!A497)</f>
        <v>497</v>
      </c>
      <c r="B367">
        <v>56959434</v>
      </c>
      <c r="C367">
        <v>56960453</v>
      </c>
      <c r="D367">
        <v>56092425</v>
      </c>
      <c r="E367">
        <v>1</v>
      </c>
      <c r="F367">
        <v>1</v>
      </c>
      <c r="G367">
        <v>1080</v>
      </c>
      <c r="H367">
        <v>2</v>
      </c>
      <c r="I367" t="s">
        <v>523</v>
      </c>
      <c r="J367" t="s">
        <v>524</v>
      </c>
      <c r="K367" t="s">
        <v>525</v>
      </c>
      <c r="L367">
        <v>1368</v>
      </c>
      <c r="N367">
        <v>1011</v>
      </c>
      <c r="O367" t="s">
        <v>506</v>
      </c>
      <c r="P367" t="s">
        <v>506</v>
      </c>
      <c r="Q367">
        <v>1</v>
      </c>
      <c r="W367">
        <v>0</v>
      </c>
      <c r="X367">
        <v>1645565003</v>
      </c>
      <c r="Y367">
        <f>(AT367*1.1)</f>
        <v>0.63800000000000001</v>
      </c>
      <c r="AA367">
        <v>0</v>
      </c>
      <c r="AB367">
        <v>0.49</v>
      </c>
      <c r="AC367">
        <v>0</v>
      </c>
      <c r="AD367">
        <v>0</v>
      </c>
      <c r="AE367">
        <v>0</v>
      </c>
      <c r="AF367">
        <v>0.47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0.57999999999999996</v>
      </c>
      <c r="AU367" t="s">
        <v>23</v>
      </c>
      <c r="AV367">
        <v>0</v>
      </c>
      <c r="AW367">
        <v>2</v>
      </c>
      <c r="AX367">
        <v>56961125</v>
      </c>
      <c r="AY367">
        <v>1</v>
      </c>
      <c r="AZ367">
        <v>0</v>
      </c>
      <c r="BA367">
        <v>441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ROUND(Y367*Source!I497*DO367,9)</f>
        <v>0</v>
      </c>
      <c r="CX367">
        <f>ROUND(Y367*Source!I497,9)</f>
        <v>0.12759999999999999</v>
      </c>
      <c r="CY367">
        <f>AB367</f>
        <v>0.49</v>
      </c>
      <c r="CZ367">
        <f>AF367</f>
        <v>0.47</v>
      </c>
      <c r="DA367">
        <f>AJ367</f>
        <v>1</v>
      </c>
      <c r="DB367">
        <f>ROUND((ROUND(AT367*CZ367,2)*1.1),6)</f>
        <v>0.29699999999999999</v>
      </c>
      <c r="DC367">
        <f>ROUND((ROUND(AT367*AG367,2)*1.1),6)</f>
        <v>0</v>
      </c>
      <c r="DD367" t="s">
        <v>3</v>
      </c>
      <c r="DE367" t="s">
        <v>3</v>
      </c>
      <c r="DF367">
        <f t="shared" si="200"/>
        <v>0</v>
      </c>
      <c r="DG367">
        <f t="shared" si="198"/>
        <v>0.06</v>
      </c>
      <c r="DH367">
        <f t="shared" si="199"/>
        <v>0</v>
      </c>
      <c r="DI367">
        <f t="shared" si="176"/>
        <v>0</v>
      </c>
      <c r="DJ367">
        <f>DG367</f>
        <v>0.06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ROW(Source!A497)</f>
        <v>497</v>
      </c>
      <c r="B368">
        <v>56959434</v>
      </c>
      <c r="C368">
        <v>56960453</v>
      </c>
      <c r="D368">
        <v>56062222</v>
      </c>
      <c r="E368">
        <v>1</v>
      </c>
      <c r="F368">
        <v>1</v>
      </c>
      <c r="G368">
        <v>1080</v>
      </c>
      <c r="H368">
        <v>3</v>
      </c>
      <c r="I368" t="s">
        <v>526</v>
      </c>
      <c r="J368" t="s">
        <v>527</v>
      </c>
      <c r="K368" t="s">
        <v>528</v>
      </c>
      <c r="L368">
        <v>1348</v>
      </c>
      <c r="N368">
        <v>1009</v>
      </c>
      <c r="O368" t="s">
        <v>291</v>
      </c>
      <c r="P368" t="s">
        <v>291</v>
      </c>
      <c r="Q368">
        <v>1000</v>
      </c>
      <c r="W368">
        <v>0</v>
      </c>
      <c r="X368">
        <v>1854293486</v>
      </c>
      <c r="Y368">
        <f>AT368</f>
        <v>9.0000000000000006E-5</v>
      </c>
      <c r="AA368">
        <v>14327.51</v>
      </c>
      <c r="AB368">
        <v>0</v>
      </c>
      <c r="AC368">
        <v>0</v>
      </c>
      <c r="AD368">
        <v>0</v>
      </c>
      <c r="AE368">
        <v>14327.51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9.0000000000000006E-5</v>
      </c>
      <c r="AU368" t="s">
        <v>3</v>
      </c>
      <c r="AV368">
        <v>0</v>
      </c>
      <c r="AW368">
        <v>2</v>
      </c>
      <c r="AX368">
        <v>56961126</v>
      </c>
      <c r="AY368">
        <v>1</v>
      </c>
      <c r="AZ368">
        <v>0</v>
      </c>
      <c r="BA368">
        <v>442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ROUND(Y368*Source!I497,9)</f>
        <v>1.8E-5</v>
      </c>
      <c r="CY368">
        <f>AA368</f>
        <v>14327.51</v>
      </c>
      <c r="CZ368">
        <f>AE368</f>
        <v>14327.51</v>
      </c>
      <c r="DA368">
        <f>AI368</f>
        <v>1</v>
      </c>
      <c r="DB368">
        <f>ROUND(ROUND(AT368*CZ368,2),6)</f>
        <v>1.29</v>
      </c>
      <c r="DC368">
        <f>ROUND(ROUND(AT368*AG368,2),6)</f>
        <v>0</v>
      </c>
      <c r="DD368" t="s">
        <v>3</v>
      </c>
      <c r="DE368" t="s">
        <v>3</v>
      </c>
      <c r="DF368">
        <f t="shared" si="200"/>
        <v>0.26</v>
      </c>
      <c r="DG368">
        <f t="shared" si="198"/>
        <v>0</v>
      </c>
      <c r="DH368">
        <f t="shared" si="199"/>
        <v>0</v>
      </c>
      <c r="DI368">
        <f t="shared" si="176"/>
        <v>0</v>
      </c>
      <c r="DJ368">
        <f>DF368</f>
        <v>0.26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ROW(Source!A498)</f>
        <v>498</v>
      </c>
      <c r="B369">
        <v>56959431</v>
      </c>
      <c r="C369">
        <v>56960453</v>
      </c>
      <c r="D369">
        <v>56018166</v>
      </c>
      <c r="E369">
        <v>1080</v>
      </c>
      <c r="F369">
        <v>1</v>
      </c>
      <c r="G369">
        <v>1080</v>
      </c>
      <c r="H369">
        <v>1</v>
      </c>
      <c r="I369" t="s">
        <v>500</v>
      </c>
      <c r="J369" t="s">
        <v>3</v>
      </c>
      <c r="K369" t="s">
        <v>501</v>
      </c>
      <c r="L369">
        <v>1191</v>
      </c>
      <c r="N369">
        <v>1013</v>
      </c>
      <c r="O369" t="s">
        <v>502</v>
      </c>
      <c r="P369" t="s">
        <v>502</v>
      </c>
      <c r="Q369">
        <v>1</v>
      </c>
      <c r="W369">
        <v>0</v>
      </c>
      <c r="X369">
        <v>476480486</v>
      </c>
      <c r="Y369">
        <f>(AT369*1.1)</f>
        <v>32.956000000000003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5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29.96</v>
      </c>
      <c r="AU369" t="s">
        <v>23</v>
      </c>
      <c r="AV369">
        <v>1</v>
      </c>
      <c r="AW369">
        <v>2</v>
      </c>
      <c r="AX369">
        <v>56961123</v>
      </c>
      <c r="AY369">
        <v>1</v>
      </c>
      <c r="AZ369">
        <v>0</v>
      </c>
      <c r="BA369">
        <v>444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U369">
        <f>ROUND(AT369*Source!I498*AH369*AL369,2)</f>
        <v>0</v>
      </c>
      <c r="CV369">
        <f>ROUND(Y369*Source!I498,9)</f>
        <v>6.5911999999999997</v>
      </c>
      <c r="CW369">
        <v>0</v>
      </c>
      <c r="CX369">
        <f>ROUND(Y369*Source!I498,9)</f>
        <v>6.5911999999999997</v>
      </c>
      <c r="CY369">
        <f>AD369</f>
        <v>0</v>
      </c>
      <c r="CZ369">
        <f>AH369</f>
        <v>0</v>
      </c>
      <c r="DA369">
        <f>AL369</f>
        <v>1</v>
      </c>
      <c r="DB369">
        <f>ROUND((ROUND(AT369*CZ369,2)*1.1),6)</f>
        <v>0</v>
      </c>
      <c r="DC369">
        <f>ROUND((ROUND(AT369*AG369,2)*1.1),6)</f>
        <v>0</v>
      </c>
      <c r="DD369" t="s">
        <v>3</v>
      </c>
      <c r="DE369" t="s">
        <v>3</v>
      </c>
      <c r="DF369">
        <f t="shared" si="200"/>
        <v>0</v>
      </c>
      <c r="DG369">
        <f t="shared" si="198"/>
        <v>0</v>
      </c>
      <c r="DH369">
        <f t="shared" si="199"/>
        <v>0</v>
      </c>
      <c r="DI369">
        <f t="shared" si="176"/>
        <v>0</v>
      </c>
      <c r="DJ369">
        <f>DI369</f>
        <v>0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ROW(Source!A498)</f>
        <v>498</v>
      </c>
      <c r="B370">
        <v>56959431</v>
      </c>
      <c r="C370">
        <v>56960453</v>
      </c>
      <c r="D370">
        <v>56092340</v>
      </c>
      <c r="E370">
        <v>1</v>
      </c>
      <c r="F370">
        <v>1</v>
      </c>
      <c r="G370">
        <v>1080</v>
      </c>
      <c r="H370">
        <v>2</v>
      </c>
      <c r="I370" t="s">
        <v>503</v>
      </c>
      <c r="J370" t="s">
        <v>504</v>
      </c>
      <c r="K370" t="s">
        <v>505</v>
      </c>
      <c r="L370">
        <v>1368</v>
      </c>
      <c r="N370">
        <v>1011</v>
      </c>
      <c r="O370" t="s">
        <v>506</v>
      </c>
      <c r="P370" t="s">
        <v>506</v>
      </c>
      <c r="Q370">
        <v>1</v>
      </c>
      <c r="W370">
        <v>0</v>
      </c>
      <c r="X370">
        <v>-1985943078</v>
      </c>
      <c r="Y370">
        <f>(AT370*1.1)</f>
        <v>1.1000000000000001E-2</v>
      </c>
      <c r="AA370">
        <v>0</v>
      </c>
      <c r="AB370">
        <v>1418.19</v>
      </c>
      <c r="AC370">
        <v>726.59</v>
      </c>
      <c r="AD370">
        <v>0</v>
      </c>
      <c r="AE370">
        <v>0</v>
      </c>
      <c r="AF370">
        <v>83.1</v>
      </c>
      <c r="AG370">
        <v>12.62</v>
      </c>
      <c r="AH370">
        <v>0</v>
      </c>
      <c r="AI370">
        <v>1</v>
      </c>
      <c r="AJ370">
        <v>16.3</v>
      </c>
      <c r="AK370">
        <v>54.99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0.01</v>
      </c>
      <c r="AU370" t="s">
        <v>23</v>
      </c>
      <c r="AV370">
        <v>0</v>
      </c>
      <c r="AW370">
        <v>2</v>
      </c>
      <c r="AX370">
        <v>56961124</v>
      </c>
      <c r="AY370">
        <v>1</v>
      </c>
      <c r="AZ370">
        <v>0</v>
      </c>
      <c r="BA370">
        <v>445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f>ROUND(Y370*Source!I498*DO370,9)</f>
        <v>2.7764E-2</v>
      </c>
      <c r="CX370">
        <f>ROUND(Y370*Source!I498,9)</f>
        <v>2.2000000000000001E-3</v>
      </c>
      <c r="CY370">
        <f>AB370</f>
        <v>1418.19</v>
      </c>
      <c r="CZ370">
        <f>AF370</f>
        <v>83.1</v>
      </c>
      <c r="DA370">
        <f>AJ370</f>
        <v>16.3</v>
      </c>
      <c r="DB370">
        <f>ROUND((ROUND(AT370*CZ370,2)*1.1),6)</f>
        <v>0.91300000000000003</v>
      </c>
      <c r="DC370">
        <f>ROUND((ROUND(AT370*AG370,2)*1.1),6)</f>
        <v>0.14299999999999999</v>
      </c>
      <c r="DD370" t="s">
        <v>3</v>
      </c>
      <c r="DE370" t="s">
        <v>3</v>
      </c>
      <c r="DF370">
        <f t="shared" si="200"/>
        <v>0</v>
      </c>
      <c r="DG370">
        <f>ROUND(ROUND(AF370*AJ370,2)*CX370,2)</f>
        <v>2.98</v>
      </c>
      <c r="DH370">
        <f>ROUND(ROUND(AG370*AK370,2)*CX370,2)</f>
        <v>1.53</v>
      </c>
      <c r="DI370">
        <f t="shared" si="176"/>
        <v>0</v>
      </c>
      <c r="DJ370">
        <f>DG370</f>
        <v>2.98</v>
      </c>
      <c r="DK370">
        <v>0</v>
      </c>
      <c r="DL370" t="s">
        <v>507</v>
      </c>
      <c r="DM370">
        <v>0</v>
      </c>
      <c r="DN370" t="s">
        <v>502</v>
      </c>
      <c r="DO370">
        <v>12.62</v>
      </c>
    </row>
    <row r="371" spans="1:119" x14ac:dyDescent="0.2">
      <c r="A371">
        <f>ROW(Source!A498)</f>
        <v>498</v>
      </c>
      <c r="B371">
        <v>56959431</v>
      </c>
      <c r="C371">
        <v>56960453</v>
      </c>
      <c r="D371">
        <v>56092425</v>
      </c>
      <c r="E371">
        <v>1</v>
      </c>
      <c r="F371">
        <v>1</v>
      </c>
      <c r="G371">
        <v>1080</v>
      </c>
      <c r="H371">
        <v>2</v>
      </c>
      <c r="I371" t="s">
        <v>523</v>
      </c>
      <c r="J371" t="s">
        <v>524</v>
      </c>
      <c r="K371" t="s">
        <v>525</v>
      </c>
      <c r="L371">
        <v>1368</v>
      </c>
      <c r="N371">
        <v>1011</v>
      </c>
      <c r="O371" t="s">
        <v>506</v>
      </c>
      <c r="P371" t="s">
        <v>506</v>
      </c>
      <c r="Q371">
        <v>1</v>
      </c>
      <c r="W371">
        <v>0</v>
      </c>
      <c r="X371">
        <v>1645565003</v>
      </c>
      <c r="Y371">
        <f>(AT371*1.1)</f>
        <v>0.63800000000000001</v>
      </c>
      <c r="AA371">
        <v>0</v>
      </c>
      <c r="AB371">
        <v>4.3</v>
      </c>
      <c r="AC371">
        <v>0</v>
      </c>
      <c r="AD371">
        <v>0</v>
      </c>
      <c r="AE371">
        <v>0</v>
      </c>
      <c r="AF371">
        <v>0.47</v>
      </c>
      <c r="AG371">
        <v>0</v>
      </c>
      <c r="AH371">
        <v>0</v>
      </c>
      <c r="AI371">
        <v>1</v>
      </c>
      <c r="AJ371">
        <v>8.74</v>
      </c>
      <c r="AK371">
        <v>54.99</v>
      </c>
      <c r="AL371">
        <v>1</v>
      </c>
      <c r="AM371">
        <v>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0.57999999999999996</v>
      </c>
      <c r="AU371" t="s">
        <v>23</v>
      </c>
      <c r="AV371">
        <v>0</v>
      </c>
      <c r="AW371">
        <v>2</v>
      </c>
      <c r="AX371">
        <v>56961125</v>
      </c>
      <c r="AY371">
        <v>1</v>
      </c>
      <c r="AZ371">
        <v>0</v>
      </c>
      <c r="BA371">
        <v>446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f>ROUND(Y371*Source!I498*DO371,9)</f>
        <v>0</v>
      </c>
      <c r="CX371">
        <f>ROUND(Y371*Source!I498,9)</f>
        <v>0.12759999999999999</v>
      </c>
      <c r="CY371">
        <f>AB371</f>
        <v>4.3</v>
      </c>
      <c r="CZ371">
        <f>AF371</f>
        <v>0.47</v>
      </c>
      <c r="DA371">
        <f>AJ371</f>
        <v>8.74</v>
      </c>
      <c r="DB371">
        <f>ROUND((ROUND(AT371*CZ371,2)*1.1),6)</f>
        <v>0.29699999999999999</v>
      </c>
      <c r="DC371">
        <f>ROUND((ROUND(AT371*AG371,2)*1.1),6)</f>
        <v>0</v>
      </c>
      <c r="DD371" t="s">
        <v>3</v>
      </c>
      <c r="DE371" t="s">
        <v>3</v>
      </c>
      <c r="DF371">
        <f t="shared" si="200"/>
        <v>0</v>
      </c>
      <c r="DG371">
        <f>ROUND(ROUND(AF371*AJ371,2)*CX371,2)</f>
        <v>0.52</v>
      </c>
      <c r="DH371">
        <f>ROUND(ROUND(AG371*AK371,2)*CX371,2)</f>
        <v>0</v>
      </c>
      <c r="DI371">
        <f t="shared" si="176"/>
        <v>0</v>
      </c>
      <c r="DJ371">
        <f>DG371</f>
        <v>0.52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ROW(Source!A498)</f>
        <v>498</v>
      </c>
      <c r="B372">
        <v>56959431</v>
      </c>
      <c r="C372">
        <v>56960453</v>
      </c>
      <c r="D372">
        <v>56062222</v>
      </c>
      <c r="E372">
        <v>1</v>
      </c>
      <c r="F372">
        <v>1</v>
      </c>
      <c r="G372">
        <v>1080</v>
      </c>
      <c r="H372">
        <v>3</v>
      </c>
      <c r="I372" t="s">
        <v>526</v>
      </c>
      <c r="J372" t="s">
        <v>527</v>
      </c>
      <c r="K372" t="s">
        <v>528</v>
      </c>
      <c r="L372">
        <v>1348</v>
      </c>
      <c r="N372">
        <v>1009</v>
      </c>
      <c r="O372" t="s">
        <v>291</v>
      </c>
      <c r="P372" t="s">
        <v>291</v>
      </c>
      <c r="Q372">
        <v>1000</v>
      </c>
      <c r="W372">
        <v>0</v>
      </c>
      <c r="X372">
        <v>1854293486</v>
      </c>
      <c r="Y372">
        <f>AT372</f>
        <v>9.0000000000000006E-5</v>
      </c>
      <c r="AA372">
        <v>103874.45</v>
      </c>
      <c r="AB372">
        <v>0</v>
      </c>
      <c r="AC372">
        <v>0</v>
      </c>
      <c r="AD372">
        <v>0</v>
      </c>
      <c r="AE372">
        <v>14327.51</v>
      </c>
      <c r="AF372">
        <v>0</v>
      </c>
      <c r="AG372">
        <v>0</v>
      </c>
      <c r="AH372">
        <v>0</v>
      </c>
      <c r="AI372">
        <v>7.25</v>
      </c>
      <c r="AJ372">
        <v>1</v>
      </c>
      <c r="AK372">
        <v>1</v>
      </c>
      <c r="AL372">
        <v>1</v>
      </c>
      <c r="AM372">
        <v>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9.0000000000000006E-5</v>
      </c>
      <c r="AU372" t="s">
        <v>3</v>
      </c>
      <c r="AV372">
        <v>0</v>
      </c>
      <c r="AW372">
        <v>2</v>
      </c>
      <c r="AX372">
        <v>56961126</v>
      </c>
      <c r="AY372">
        <v>1</v>
      </c>
      <c r="AZ372">
        <v>0</v>
      </c>
      <c r="BA372">
        <v>447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ROUND(Y372*Source!I498,9)</f>
        <v>1.8E-5</v>
      </c>
      <c r="CY372">
        <f>AA372</f>
        <v>103874.45</v>
      </c>
      <c r="CZ372">
        <f>AE372</f>
        <v>14327.51</v>
      </c>
      <c r="DA372">
        <f>AI372</f>
        <v>7.25</v>
      </c>
      <c r="DB372">
        <f>ROUND(ROUND(AT372*CZ372,2),6)</f>
        <v>1.29</v>
      </c>
      <c r="DC372">
        <f>ROUND(ROUND(AT372*AG372,2),6)</f>
        <v>0</v>
      </c>
      <c r="DD372" t="s">
        <v>3</v>
      </c>
      <c r="DE372" t="s">
        <v>3</v>
      </c>
      <c r="DF372">
        <f>ROUND(ROUND(AE372*AI372,2)*CX372,2)</f>
        <v>1.87</v>
      </c>
      <c r="DG372">
        <f t="shared" ref="DG372:DG387" si="201">ROUND(ROUND(AF372,2)*CX372,2)</f>
        <v>0</v>
      </c>
      <c r="DH372">
        <f t="shared" ref="DH372:DH387" si="202">ROUND(ROUND(AG372,2)*CX372,2)</f>
        <v>0</v>
      </c>
      <c r="DI372">
        <f t="shared" si="176"/>
        <v>0</v>
      </c>
      <c r="DJ372">
        <f>DF372</f>
        <v>1.87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ROW(Source!A501)</f>
        <v>501</v>
      </c>
      <c r="B373">
        <v>56959434</v>
      </c>
      <c r="C373">
        <v>56960464</v>
      </c>
      <c r="D373">
        <v>56018166</v>
      </c>
      <c r="E373">
        <v>1080</v>
      </c>
      <c r="F373">
        <v>1</v>
      </c>
      <c r="G373">
        <v>1080</v>
      </c>
      <c r="H373">
        <v>1</v>
      </c>
      <c r="I373" t="s">
        <v>500</v>
      </c>
      <c r="J373" t="s">
        <v>3</v>
      </c>
      <c r="K373" t="s">
        <v>501</v>
      </c>
      <c r="L373">
        <v>1191</v>
      </c>
      <c r="N373">
        <v>1013</v>
      </c>
      <c r="O373" t="s">
        <v>502</v>
      </c>
      <c r="P373" t="s">
        <v>502</v>
      </c>
      <c r="Q373">
        <v>1</v>
      </c>
      <c r="W373">
        <v>0</v>
      </c>
      <c r="X373">
        <v>476480486</v>
      </c>
      <c r="Y373">
        <f>(AT373*1.1)</f>
        <v>16.5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15</v>
      </c>
      <c r="AU373" t="s">
        <v>23</v>
      </c>
      <c r="AV373">
        <v>1</v>
      </c>
      <c r="AW373">
        <v>2</v>
      </c>
      <c r="AX373">
        <v>56961128</v>
      </c>
      <c r="AY373">
        <v>1</v>
      </c>
      <c r="AZ373">
        <v>0</v>
      </c>
      <c r="BA373">
        <v>449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U373">
        <f>ROUND(AT373*Source!I501*AH373*AL373,2)</f>
        <v>0</v>
      </c>
      <c r="CV373">
        <f>ROUND(Y373*Source!I501,9)</f>
        <v>82.5</v>
      </c>
      <c r="CW373">
        <v>0</v>
      </c>
      <c r="CX373">
        <f>ROUND(Y373*Source!I501,9)</f>
        <v>82.5</v>
      </c>
      <c r="CY373">
        <f>AD373</f>
        <v>0</v>
      </c>
      <c r="CZ373">
        <f>AH373</f>
        <v>0</v>
      </c>
      <c r="DA373">
        <f>AL373</f>
        <v>1</v>
      </c>
      <c r="DB373">
        <f>ROUND((ROUND(AT373*CZ373,2)*1.1),6)</f>
        <v>0</v>
      </c>
      <c r="DC373">
        <f>ROUND((ROUND(AT373*AG373,2)*1.1),6)</f>
        <v>0</v>
      </c>
      <c r="DD373" t="s">
        <v>3</v>
      </c>
      <c r="DE373" t="s">
        <v>3</v>
      </c>
      <c r="DF373">
        <f>ROUND(ROUND(AE373,2)*CX373,2)</f>
        <v>0</v>
      </c>
      <c r="DG373">
        <f t="shared" si="201"/>
        <v>0</v>
      </c>
      <c r="DH373">
        <f t="shared" si="202"/>
        <v>0</v>
      </c>
      <c r="DI373">
        <f t="shared" si="176"/>
        <v>0</v>
      </c>
      <c r="DJ373">
        <f>DI373</f>
        <v>0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ROW(Source!A501)</f>
        <v>501</v>
      </c>
      <c r="B374">
        <v>56959434</v>
      </c>
      <c r="C374">
        <v>56960464</v>
      </c>
      <c r="D374">
        <v>56074647</v>
      </c>
      <c r="E374">
        <v>1</v>
      </c>
      <c r="F374">
        <v>1</v>
      </c>
      <c r="G374">
        <v>1080</v>
      </c>
      <c r="H374">
        <v>3</v>
      </c>
      <c r="I374" t="s">
        <v>82</v>
      </c>
      <c r="J374" t="s">
        <v>85</v>
      </c>
      <c r="K374" t="s">
        <v>83</v>
      </c>
      <c r="L374">
        <v>1301</v>
      </c>
      <c r="N374">
        <v>1003</v>
      </c>
      <c r="O374" t="s">
        <v>84</v>
      </c>
      <c r="P374" t="s">
        <v>84</v>
      </c>
      <c r="Q374">
        <v>1</v>
      </c>
      <c r="W374">
        <v>0</v>
      </c>
      <c r="X374">
        <v>-1305428159</v>
      </c>
      <c r="Y374">
        <f>AT374</f>
        <v>102</v>
      </c>
      <c r="AA374">
        <v>3.45</v>
      </c>
      <c r="AB374">
        <v>0</v>
      </c>
      <c r="AC374">
        <v>0</v>
      </c>
      <c r="AD374">
        <v>0</v>
      </c>
      <c r="AE374">
        <v>3.45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 t="s">
        <v>3</v>
      </c>
      <c r="AT374">
        <v>102</v>
      </c>
      <c r="AU374" t="s">
        <v>3</v>
      </c>
      <c r="AV374">
        <v>0</v>
      </c>
      <c r="AW374">
        <v>1</v>
      </c>
      <c r="AX374">
        <v>-1</v>
      </c>
      <c r="AY374">
        <v>0</v>
      </c>
      <c r="AZ374">
        <v>0</v>
      </c>
      <c r="BA374" t="s">
        <v>3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ROUND(Y374*Source!I501,9)</f>
        <v>510</v>
      </c>
      <c r="CY374">
        <f>AA374</f>
        <v>3.45</v>
      </c>
      <c r="CZ374">
        <f>AE374</f>
        <v>3.45</v>
      </c>
      <c r="DA374">
        <f>AI374</f>
        <v>1</v>
      </c>
      <c r="DB374">
        <f>ROUND(ROUND(AT374*CZ374,2),6)</f>
        <v>351.9</v>
      </c>
      <c r="DC374">
        <f>ROUND(ROUND(AT374*AG374,2),6)</f>
        <v>0</v>
      </c>
      <c r="DD374" t="s">
        <v>3</v>
      </c>
      <c r="DE374" t="s">
        <v>3</v>
      </c>
      <c r="DF374">
        <f>ROUND(ROUND(AE374,2)*CX374,2)</f>
        <v>1759.5</v>
      </c>
      <c r="DG374">
        <f t="shared" si="201"/>
        <v>0</v>
      </c>
      <c r="DH374">
        <f t="shared" si="202"/>
        <v>0</v>
      </c>
      <c r="DI374">
        <f t="shared" si="176"/>
        <v>0</v>
      </c>
      <c r="DJ374">
        <f>DF374</f>
        <v>1759.5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ROW(Source!A502)</f>
        <v>502</v>
      </c>
      <c r="B375">
        <v>56959431</v>
      </c>
      <c r="C375">
        <v>56960464</v>
      </c>
      <c r="D375">
        <v>56018166</v>
      </c>
      <c r="E375">
        <v>1080</v>
      </c>
      <c r="F375">
        <v>1</v>
      </c>
      <c r="G375">
        <v>1080</v>
      </c>
      <c r="H375">
        <v>1</v>
      </c>
      <c r="I375" t="s">
        <v>500</v>
      </c>
      <c r="J375" t="s">
        <v>3</v>
      </c>
      <c r="K375" t="s">
        <v>501</v>
      </c>
      <c r="L375">
        <v>1191</v>
      </c>
      <c r="N375">
        <v>1013</v>
      </c>
      <c r="O375" t="s">
        <v>502</v>
      </c>
      <c r="P375" t="s">
        <v>502</v>
      </c>
      <c r="Q375">
        <v>1</v>
      </c>
      <c r="W375">
        <v>0</v>
      </c>
      <c r="X375">
        <v>476480486</v>
      </c>
      <c r="Y375">
        <f>(AT375*1.1)</f>
        <v>16.5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5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15</v>
      </c>
      <c r="AU375" t="s">
        <v>23</v>
      </c>
      <c r="AV375">
        <v>1</v>
      </c>
      <c r="AW375">
        <v>2</v>
      </c>
      <c r="AX375">
        <v>56961128</v>
      </c>
      <c r="AY375">
        <v>1</v>
      </c>
      <c r="AZ375">
        <v>0</v>
      </c>
      <c r="BA375">
        <v>453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U375">
        <f>ROUND(AT375*Source!I502*AH375*AL375,2)</f>
        <v>0</v>
      </c>
      <c r="CV375">
        <f>ROUND(Y375*Source!I502,9)</f>
        <v>82.5</v>
      </c>
      <c r="CW375">
        <v>0</v>
      </c>
      <c r="CX375">
        <f>ROUND(Y375*Source!I502,9)</f>
        <v>82.5</v>
      </c>
      <c r="CY375">
        <f>AD375</f>
        <v>0</v>
      </c>
      <c r="CZ375">
        <f>AH375</f>
        <v>0</v>
      </c>
      <c r="DA375">
        <f>AL375</f>
        <v>1</v>
      </c>
      <c r="DB375">
        <f>ROUND((ROUND(AT375*CZ375,2)*1.1),6)</f>
        <v>0</v>
      </c>
      <c r="DC375">
        <f>ROUND((ROUND(AT375*AG375,2)*1.1),6)</f>
        <v>0</v>
      </c>
      <c r="DD375" t="s">
        <v>3</v>
      </c>
      <c r="DE375" t="s">
        <v>3</v>
      </c>
      <c r="DF375">
        <f>ROUND(ROUND(AE375,2)*CX375,2)</f>
        <v>0</v>
      </c>
      <c r="DG375">
        <f t="shared" si="201"/>
        <v>0</v>
      </c>
      <c r="DH375">
        <f t="shared" si="202"/>
        <v>0</v>
      </c>
      <c r="DI375">
        <f t="shared" si="176"/>
        <v>0</v>
      </c>
      <c r="DJ375">
        <f>DI375</f>
        <v>0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ROW(Source!A502)</f>
        <v>502</v>
      </c>
      <c r="B376">
        <v>56959431</v>
      </c>
      <c r="C376">
        <v>56960464</v>
      </c>
      <c r="D376">
        <v>56074647</v>
      </c>
      <c r="E376">
        <v>1</v>
      </c>
      <c r="F376">
        <v>1</v>
      </c>
      <c r="G376">
        <v>1080</v>
      </c>
      <c r="H376">
        <v>3</v>
      </c>
      <c r="I376" t="s">
        <v>82</v>
      </c>
      <c r="J376" t="s">
        <v>85</v>
      </c>
      <c r="K376" t="s">
        <v>83</v>
      </c>
      <c r="L376">
        <v>1301</v>
      </c>
      <c r="N376">
        <v>1003</v>
      </c>
      <c r="O376" t="s">
        <v>84</v>
      </c>
      <c r="P376" t="s">
        <v>84</v>
      </c>
      <c r="Q376">
        <v>1</v>
      </c>
      <c r="W376">
        <v>0</v>
      </c>
      <c r="X376">
        <v>-1305428159</v>
      </c>
      <c r="Y376">
        <f>AT376</f>
        <v>102</v>
      </c>
      <c r="AA376">
        <v>13.56</v>
      </c>
      <c r="AB376">
        <v>0</v>
      </c>
      <c r="AC376">
        <v>0</v>
      </c>
      <c r="AD376">
        <v>0</v>
      </c>
      <c r="AE376">
        <v>3.45</v>
      </c>
      <c r="AF376">
        <v>0</v>
      </c>
      <c r="AG376">
        <v>0</v>
      </c>
      <c r="AH376">
        <v>0</v>
      </c>
      <c r="AI376">
        <v>3.93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102</v>
      </c>
      <c r="AU376" t="s">
        <v>3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ROUND(Y376*Source!I502,9)</f>
        <v>510</v>
      </c>
      <c r="CY376">
        <f>AA376</f>
        <v>13.56</v>
      </c>
      <c r="CZ376">
        <f>AE376</f>
        <v>3.45</v>
      </c>
      <c r="DA376">
        <f>AI376</f>
        <v>3.93</v>
      </c>
      <c r="DB376">
        <f>ROUND(ROUND(AT376*CZ376,2),6)</f>
        <v>351.9</v>
      </c>
      <c r="DC376">
        <f>ROUND(ROUND(AT376*AG376,2),6)</f>
        <v>0</v>
      </c>
      <c r="DD376" t="s">
        <v>3</v>
      </c>
      <c r="DE376" t="s">
        <v>3</v>
      </c>
      <c r="DF376">
        <f>ROUND(ROUND(AE376*AI376,2)*CX376,2)</f>
        <v>6915.6</v>
      </c>
      <c r="DG376">
        <f t="shared" si="201"/>
        <v>0</v>
      </c>
      <c r="DH376">
        <f t="shared" si="202"/>
        <v>0</v>
      </c>
      <c r="DI376">
        <f t="shared" si="176"/>
        <v>0</v>
      </c>
      <c r="DJ376">
        <f>DF376</f>
        <v>6915.6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ROW(Source!A505)</f>
        <v>505</v>
      </c>
      <c r="B377">
        <v>56959434</v>
      </c>
      <c r="C377">
        <v>56960472</v>
      </c>
      <c r="D377">
        <v>56018166</v>
      </c>
      <c r="E377">
        <v>1080</v>
      </c>
      <c r="F377">
        <v>1</v>
      </c>
      <c r="G377">
        <v>1080</v>
      </c>
      <c r="H377">
        <v>1</v>
      </c>
      <c r="I377" t="s">
        <v>500</v>
      </c>
      <c r="J377" t="s">
        <v>3</v>
      </c>
      <c r="K377" t="s">
        <v>501</v>
      </c>
      <c r="L377">
        <v>1191</v>
      </c>
      <c r="N377">
        <v>1013</v>
      </c>
      <c r="O377" t="s">
        <v>502</v>
      </c>
      <c r="P377" t="s">
        <v>502</v>
      </c>
      <c r="Q377">
        <v>1</v>
      </c>
      <c r="W377">
        <v>0</v>
      </c>
      <c r="X377">
        <v>476480486</v>
      </c>
      <c r="Y377">
        <f>(AT377*1.1)</f>
        <v>4.9390000000000009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4.49</v>
      </c>
      <c r="AU377" t="s">
        <v>23</v>
      </c>
      <c r="AV377">
        <v>1</v>
      </c>
      <c r="AW377">
        <v>2</v>
      </c>
      <c r="AX377">
        <v>56961132</v>
      </c>
      <c r="AY377">
        <v>1</v>
      </c>
      <c r="AZ377">
        <v>0</v>
      </c>
      <c r="BA377">
        <v>457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U377">
        <f>ROUND(AT377*Source!I505*AH377*AL377,2)</f>
        <v>0</v>
      </c>
      <c r="CV377">
        <f>ROUND(Y377*Source!I505,9)</f>
        <v>24.695</v>
      </c>
      <c r="CW377">
        <v>0</v>
      </c>
      <c r="CX377">
        <f>ROUND(Y377*Source!I505,9)</f>
        <v>24.695</v>
      </c>
      <c r="CY377">
        <f>AD377</f>
        <v>0</v>
      </c>
      <c r="CZ377">
        <f>AH377</f>
        <v>0</v>
      </c>
      <c r="DA377">
        <f>AL377</f>
        <v>1</v>
      </c>
      <c r="DB377">
        <f>ROUND((ROUND(AT377*CZ377,2)*1.1),6)</f>
        <v>0</v>
      </c>
      <c r="DC377">
        <f>ROUND((ROUND(AT377*AG377,2)*1.1),6)</f>
        <v>0</v>
      </c>
      <c r="DD377" t="s">
        <v>3</v>
      </c>
      <c r="DE377" t="s">
        <v>3</v>
      </c>
      <c r="DF377">
        <f t="shared" ref="DF377:DF389" si="203">ROUND(ROUND(AE377,2)*CX377,2)</f>
        <v>0</v>
      </c>
      <c r="DG377">
        <f t="shared" si="201"/>
        <v>0</v>
      </c>
      <c r="DH377">
        <f t="shared" si="202"/>
        <v>0</v>
      </c>
      <c r="DI377">
        <f t="shared" si="176"/>
        <v>0</v>
      </c>
      <c r="DJ377">
        <f>DI377</f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ROW(Source!A505)</f>
        <v>505</v>
      </c>
      <c r="B378">
        <v>56959434</v>
      </c>
      <c r="C378">
        <v>56960472</v>
      </c>
      <c r="D378">
        <v>56092340</v>
      </c>
      <c r="E378">
        <v>1</v>
      </c>
      <c r="F378">
        <v>1</v>
      </c>
      <c r="G378">
        <v>1080</v>
      </c>
      <c r="H378">
        <v>2</v>
      </c>
      <c r="I378" t="s">
        <v>503</v>
      </c>
      <c r="J378" t="s">
        <v>504</v>
      </c>
      <c r="K378" t="s">
        <v>505</v>
      </c>
      <c r="L378">
        <v>1368</v>
      </c>
      <c r="N378">
        <v>1011</v>
      </c>
      <c r="O378" t="s">
        <v>506</v>
      </c>
      <c r="P378" t="s">
        <v>506</v>
      </c>
      <c r="Q378">
        <v>1</v>
      </c>
      <c r="W378">
        <v>0</v>
      </c>
      <c r="X378">
        <v>-1985943078</v>
      </c>
      <c r="Y378">
        <f>(AT378*1.1)</f>
        <v>1.1000000000000001E-2</v>
      </c>
      <c r="AA378">
        <v>0</v>
      </c>
      <c r="AB378">
        <v>87.01</v>
      </c>
      <c r="AC378">
        <v>13.21</v>
      </c>
      <c r="AD378">
        <v>0</v>
      </c>
      <c r="AE378">
        <v>0</v>
      </c>
      <c r="AF378">
        <v>83.1</v>
      </c>
      <c r="AG378">
        <v>12.62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0.01</v>
      </c>
      <c r="AU378" t="s">
        <v>23</v>
      </c>
      <c r="AV378">
        <v>0</v>
      </c>
      <c r="AW378">
        <v>2</v>
      </c>
      <c r="AX378">
        <v>56961133</v>
      </c>
      <c r="AY378">
        <v>1</v>
      </c>
      <c r="AZ378">
        <v>0</v>
      </c>
      <c r="BA378">
        <v>458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f>ROUND(Y378*Source!I505*DO378,9)</f>
        <v>0.69410000000000005</v>
      </c>
      <c r="CX378">
        <f>ROUND(Y378*Source!I505,9)</f>
        <v>5.5E-2</v>
      </c>
      <c r="CY378">
        <f>AB378</f>
        <v>87.01</v>
      </c>
      <c r="CZ378">
        <f>AF378</f>
        <v>83.1</v>
      </c>
      <c r="DA378">
        <f>AJ378</f>
        <v>1</v>
      </c>
      <c r="DB378">
        <f>ROUND((ROUND(AT378*CZ378,2)*1.1),6)</f>
        <v>0.91300000000000003</v>
      </c>
      <c r="DC378">
        <f>ROUND((ROUND(AT378*AG378,2)*1.1),6)</f>
        <v>0.14299999999999999</v>
      </c>
      <c r="DD378" t="s">
        <v>3</v>
      </c>
      <c r="DE378" t="s">
        <v>3</v>
      </c>
      <c r="DF378">
        <f t="shared" si="203"/>
        <v>0</v>
      </c>
      <c r="DG378">
        <f t="shared" si="201"/>
        <v>4.57</v>
      </c>
      <c r="DH378">
        <f t="shared" si="202"/>
        <v>0.69</v>
      </c>
      <c r="DI378">
        <f t="shared" si="176"/>
        <v>0</v>
      </c>
      <c r="DJ378">
        <f>DG378</f>
        <v>4.57</v>
      </c>
      <c r="DK378">
        <v>0</v>
      </c>
      <c r="DL378" t="s">
        <v>507</v>
      </c>
      <c r="DM378">
        <v>0</v>
      </c>
      <c r="DN378" t="s">
        <v>502</v>
      </c>
      <c r="DO378">
        <v>12.62</v>
      </c>
    </row>
    <row r="379" spans="1:119" x14ac:dyDescent="0.2">
      <c r="A379">
        <f>ROW(Source!A505)</f>
        <v>505</v>
      </c>
      <c r="B379">
        <v>56959434</v>
      </c>
      <c r="C379">
        <v>56960472</v>
      </c>
      <c r="D379">
        <v>56091576</v>
      </c>
      <c r="E379">
        <v>1</v>
      </c>
      <c r="F379">
        <v>1</v>
      </c>
      <c r="G379">
        <v>1080</v>
      </c>
      <c r="H379">
        <v>2</v>
      </c>
      <c r="I379" t="s">
        <v>529</v>
      </c>
      <c r="J379" t="s">
        <v>530</v>
      </c>
      <c r="K379" t="s">
        <v>531</v>
      </c>
      <c r="L379">
        <v>1368</v>
      </c>
      <c r="N379">
        <v>1011</v>
      </c>
      <c r="O379" t="s">
        <v>506</v>
      </c>
      <c r="P379" t="s">
        <v>506</v>
      </c>
      <c r="Q379">
        <v>1</v>
      </c>
      <c r="W379">
        <v>0</v>
      </c>
      <c r="X379">
        <v>1087580389</v>
      </c>
      <c r="Y379">
        <f>(AT379*1.1)</f>
        <v>1.1000000000000001E-2</v>
      </c>
      <c r="AA379">
        <v>0</v>
      </c>
      <c r="AB379">
        <v>187.59</v>
      </c>
      <c r="AC379">
        <v>17.73</v>
      </c>
      <c r="AD379">
        <v>0</v>
      </c>
      <c r="AE379">
        <v>0</v>
      </c>
      <c r="AF379">
        <v>179.17</v>
      </c>
      <c r="AG379">
        <v>16.93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0.01</v>
      </c>
      <c r="AU379" t="s">
        <v>23</v>
      </c>
      <c r="AV379">
        <v>0</v>
      </c>
      <c r="AW379">
        <v>2</v>
      </c>
      <c r="AX379">
        <v>56961134</v>
      </c>
      <c r="AY379">
        <v>1</v>
      </c>
      <c r="AZ379">
        <v>0</v>
      </c>
      <c r="BA379">
        <v>459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f>ROUND(Y379*Source!I505*DO379,9)</f>
        <v>0.93115000000000003</v>
      </c>
      <c r="CX379">
        <f>ROUND(Y379*Source!I505,9)</f>
        <v>5.5E-2</v>
      </c>
      <c r="CY379">
        <f>AB379</f>
        <v>187.59</v>
      </c>
      <c r="CZ379">
        <f>AF379</f>
        <v>179.17</v>
      </c>
      <c r="DA379">
        <f>AJ379</f>
        <v>1</v>
      </c>
      <c r="DB379">
        <f>ROUND((ROUND(AT379*CZ379,2)*1.1),6)</f>
        <v>1.9690000000000001</v>
      </c>
      <c r="DC379">
        <f>ROUND((ROUND(AT379*AG379,2)*1.1),6)</f>
        <v>0.187</v>
      </c>
      <c r="DD379" t="s">
        <v>3</v>
      </c>
      <c r="DE379" t="s">
        <v>3</v>
      </c>
      <c r="DF379">
        <f t="shared" si="203"/>
        <v>0</v>
      </c>
      <c r="DG379">
        <f t="shared" si="201"/>
        <v>9.85</v>
      </c>
      <c r="DH379">
        <f t="shared" si="202"/>
        <v>0.93</v>
      </c>
      <c r="DI379">
        <f t="shared" si="176"/>
        <v>0</v>
      </c>
      <c r="DJ379">
        <f>DG379</f>
        <v>9.85</v>
      </c>
      <c r="DK379">
        <v>0</v>
      </c>
      <c r="DL379" t="s">
        <v>507</v>
      </c>
      <c r="DM379">
        <v>0</v>
      </c>
      <c r="DN379" t="s">
        <v>502</v>
      </c>
      <c r="DO379">
        <v>16.93</v>
      </c>
    </row>
    <row r="380" spans="1:119" x14ac:dyDescent="0.2">
      <c r="A380">
        <f>ROW(Source!A505)</f>
        <v>505</v>
      </c>
      <c r="B380">
        <v>56959434</v>
      </c>
      <c r="C380">
        <v>56960472</v>
      </c>
      <c r="D380">
        <v>56061373</v>
      </c>
      <c r="E380">
        <v>1</v>
      </c>
      <c r="F380">
        <v>1</v>
      </c>
      <c r="G380">
        <v>1080</v>
      </c>
      <c r="H380">
        <v>3</v>
      </c>
      <c r="I380" t="s">
        <v>532</v>
      </c>
      <c r="J380" t="s">
        <v>533</v>
      </c>
      <c r="K380" t="s">
        <v>534</v>
      </c>
      <c r="L380">
        <v>1346</v>
      </c>
      <c r="N380">
        <v>1009</v>
      </c>
      <c r="O380" t="s">
        <v>249</v>
      </c>
      <c r="P380" t="s">
        <v>249</v>
      </c>
      <c r="Q380">
        <v>1</v>
      </c>
      <c r="W380">
        <v>0</v>
      </c>
      <c r="X380">
        <v>1770006655</v>
      </c>
      <c r="Y380">
        <f t="shared" ref="Y380:Y386" si="204">AT380</f>
        <v>0.43</v>
      </c>
      <c r="AA380">
        <v>1.38</v>
      </c>
      <c r="AB380">
        <v>0</v>
      </c>
      <c r="AC380">
        <v>0</v>
      </c>
      <c r="AD380">
        <v>0</v>
      </c>
      <c r="AE380">
        <v>1.38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0.43</v>
      </c>
      <c r="AU380" t="s">
        <v>3</v>
      </c>
      <c r="AV380">
        <v>0</v>
      </c>
      <c r="AW380">
        <v>2</v>
      </c>
      <c r="AX380">
        <v>56961135</v>
      </c>
      <c r="AY380">
        <v>1</v>
      </c>
      <c r="AZ380">
        <v>0</v>
      </c>
      <c r="BA380">
        <v>460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ROUND(Y380*Source!I505,9)</f>
        <v>2.15</v>
      </c>
      <c r="CY380">
        <f t="shared" ref="CY380:CY386" si="205">AA380</f>
        <v>1.38</v>
      </c>
      <c r="CZ380">
        <f t="shared" ref="CZ380:CZ386" si="206">AE380</f>
        <v>1.38</v>
      </c>
      <c r="DA380">
        <f t="shared" ref="DA380:DA386" si="207">AI380</f>
        <v>1</v>
      </c>
      <c r="DB380">
        <f t="shared" ref="DB380:DB386" si="208">ROUND(ROUND(AT380*CZ380,2),6)</f>
        <v>0.59</v>
      </c>
      <c r="DC380">
        <f t="shared" ref="DC380:DC386" si="209">ROUND(ROUND(AT380*AG380,2),6)</f>
        <v>0</v>
      </c>
      <c r="DD380" t="s">
        <v>3</v>
      </c>
      <c r="DE380" t="s">
        <v>3</v>
      </c>
      <c r="DF380">
        <f t="shared" si="203"/>
        <v>2.97</v>
      </c>
      <c r="DG380">
        <f t="shared" si="201"/>
        <v>0</v>
      </c>
      <c r="DH380">
        <f t="shared" si="202"/>
        <v>0</v>
      </c>
      <c r="DI380">
        <f t="shared" si="176"/>
        <v>0</v>
      </c>
      <c r="DJ380">
        <f t="shared" ref="DJ380:DJ386" si="210">DF380</f>
        <v>2.97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ROW(Source!A505)</f>
        <v>505</v>
      </c>
      <c r="B381">
        <v>56959434</v>
      </c>
      <c r="C381">
        <v>56960472</v>
      </c>
      <c r="D381">
        <v>56061764</v>
      </c>
      <c r="E381">
        <v>1</v>
      </c>
      <c r="F381">
        <v>1</v>
      </c>
      <c r="G381">
        <v>1080</v>
      </c>
      <c r="H381">
        <v>3</v>
      </c>
      <c r="I381" t="s">
        <v>535</v>
      </c>
      <c r="J381" t="s">
        <v>536</v>
      </c>
      <c r="K381" t="s">
        <v>537</v>
      </c>
      <c r="L381">
        <v>1346</v>
      </c>
      <c r="N381">
        <v>1009</v>
      </c>
      <c r="O381" t="s">
        <v>249</v>
      </c>
      <c r="P381" t="s">
        <v>249</v>
      </c>
      <c r="Q381">
        <v>1</v>
      </c>
      <c r="W381">
        <v>0</v>
      </c>
      <c r="X381">
        <v>-878159893</v>
      </c>
      <c r="Y381">
        <f t="shared" si="204"/>
        <v>0.16</v>
      </c>
      <c r="AA381">
        <v>159.06</v>
      </c>
      <c r="AB381">
        <v>0</v>
      </c>
      <c r="AC381">
        <v>0</v>
      </c>
      <c r="AD381">
        <v>0</v>
      </c>
      <c r="AE381">
        <v>159.06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0.16</v>
      </c>
      <c r="AU381" t="s">
        <v>3</v>
      </c>
      <c r="AV381">
        <v>0</v>
      </c>
      <c r="AW381">
        <v>2</v>
      </c>
      <c r="AX381">
        <v>56961136</v>
      </c>
      <c r="AY381">
        <v>1</v>
      </c>
      <c r="AZ381">
        <v>0</v>
      </c>
      <c r="BA381">
        <v>461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ROUND(Y381*Source!I505,9)</f>
        <v>0.8</v>
      </c>
      <c r="CY381">
        <f t="shared" si="205"/>
        <v>159.06</v>
      </c>
      <c r="CZ381">
        <f t="shared" si="206"/>
        <v>159.06</v>
      </c>
      <c r="DA381">
        <f t="shared" si="207"/>
        <v>1</v>
      </c>
      <c r="DB381">
        <f t="shared" si="208"/>
        <v>25.45</v>
      </c>
      <c r="DC381">
        <f t="shared" si="209"/>
        <v>0</v>
      </c>
      <c r="DD381" t="s">
        <v>3</v>
      </c>
      <c r="DE381" t="s">
        <v>3</v>
      </c>
      <c r="DF381">
        <f t="shared" si="203"/>
        <v>127.25</v>
      </c>
      <c r="DG381">
        <f t="shared" si="201"/>
        <v>0</v>
      </c>
      <c r="DH381">
        <f t="shared" si="202"/>
        <v>0</v>
      </c>
      <c r="DI381">
        <f t="shared" si="176"/>
        <v>0</v>
      </c>
      <c r="DJ381">
        <f t="shared" si="210"/>
        <v>127.25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ROW(Source!A505)</f>
        <v>505</v>
      </c>
      <c r="B382">
        <v>56959434</v>
      </c>
      <c r="C382">
        <v>56960472</v>
      </c>
      <c r="D382">
        <v>56084707</v>
      </c>
      <c r="E382">
        <v>1</v>
      </c>
      <c r="F382">
        <v>1</v>
      </c>
      <c r="G382">
        <v>1080</v>
      </c>
      <c r="H382">
        <v>3</v>
      </c>
      <c r="I382" t="s">
        <v>538</v>
      </c>
      <c r="J382" t="s">
        <v>539</v>
      </c>
      <c r="K382" t="s">
        <v>540</v>
      </c>
      <c r="L382">
        <v>1355</v>
      </c>
      <c r="N382">
        <v>1010</v>
      </c>
      <c r="O382" t="s">
        <v>520</v>
      </c>
      <c r="P382" t="s">
        <v>520</v>
      </c>
      <c r="Q382">
        <v>100</v>
      </c>
      <c r="W382">
        <v>0</v>
      </c>
      <c r="X382">
        <v>-456781043</v>
      </c>
      <c r="Y382">
        <f t="shared" si="204"/>
        <v>0.05</v>
      </c>
      <c r="AA382">
        <v>68.819999999999993</v>
      </c>
      <c r="AB382">
        <v>0</v>
      </c>
      <c r="AC382">
        <v>0</v>
      </c>
      <c r="AD382">
        <v>0</v>
      </c>
      <c r="AE382">
        <v>68.819999999999993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-2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0.05</v>
      </c>
      <c r="AU382" t="s">
        <v>3</v>
      </c>
      <c r="AV382">
        <v>0</v>
      </c>
      <c r="AW382">
        <v>2</v>
      </c>
      <c r="AX382">
        <v>56961137</v>
      </c>
      <c r="AY382">
        <v>1</v>
      </c>
      <c r="AZ382">
        <v>0</v>
      </c>
      <c r="BA382">
        <v>462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ROUND(Y382*Source!I505,9)</f>
        <v>0.25</v>
      </c>
      <c r="CY382">
        <f t="shared" si="205"/>
        <v>68.819999999999993</v>
      </c>
      <c r="CZ382">
        <f t="shared" si="206"/>
        <v>68.819999999999993</v>
      </c>
      <c r="DA382">
        <f t="shared" si="207"/>
        <v>1</v>
      </c>
      <c r="DB382">
        <f t="shared" si="208"/>
        <v>3.44</v>
      </c>
      <c r="DC382">
        <f t="shared" si="209"/>
        <v>0</v>
      </c>
      <c r="DD382" t="s">
        <v>3</v>
      </c>
      <c r="DE382" t="s">
        <v>3</v>
      </c>
      <c r="DF382">
        <f t="shared" si="203"/>
        <v>17.21</v>
      </c>
      <c r="DG382">
        <f t="shared" si="201"/>
        <v>0</v>
      </c>
      <c r="DH382">
        <f t="shared" si="202"/>
        <v>0</v>
      </c>
      <c r="DI382">
        <f t="shared" si="176"/>
        <v>0</v>
      </c>
      <c r="DJ382">
        <f t="shared" si="210"/>
        <v>17.21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ROW(Source!A505)</f>
        <v>505</v>
      </c>
      <c r="B383">
        <v>56959434</v>
      </c>
      <c r="C383">
        <v>56960472</v>
      </c>
      <c r="D383">
        <v>56084718</v>
      </c>
      <c r="E383">
        <v>1</v>
      </c>
      <c r="F383">
        <v>1</v>
      </c>
      <c r="G383">
        <v>1080</v>
      </c>
      <c r="H383">
        <v>3</v>
      </c>
      <c r="I383" t="s">
        <v>541</v>
      </c>
      <c r="J383" t="s">
        <v>542</v>
      </c>
      <c r="K383" t="s">
        <v>543</v>
      </c>
      <c r="L383">
        <v>1356</v>
      </c>
      <c r="N383">
        <v>1010</v>
      </c>
      <c r="O383" t="s">
        <v>544</v>
      </c>
      <c r="P383" t="s">
        <v>544</v>
      </c>
      <c r="Q383">
        <v>1000</v>
      </c>
      <c r="W383">
        <v>0</v>
      </c>
      <c r="X383">
        <v>1726193810</v>
      </c>
      <c r="Y383">
        <f t="shared" si="204"/>
        <v>1.2200000000000001E-2</v>
      </c>
      <c r="AA383">
        <v>183.4</v>
      </c>
      <c r="AB383">
        <v>0</v>
      </c>
      <c r="AC383">
        <v>0</v>
      </c>
      <c r="AD383">
        <v>0</v>
      </c>
      <c r="AE383">
        <v>183.4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1.2200000000000001E-2</v>
      </c>
      <c r="AU383" t="s">
        <v>3</v>
      </c>
      <c r="AV383">
        <v>0</v>
      </c>
      <c r="AW383">
        <v>2</v>
      </c>
      <c r="AX383">
        <v>56961138</v>
      </c>
      <c r="AY383">
        <v>1</v>
      </c>
      <c r="AZ383">
        <v>0</v>
      </c>
      <c r="BA383">
        <v>463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ROUND(Y383*Source!I505,9)</f>
        <v>6.0999999999999999E-2</v>
      </c>
      <c r="CY383">
        <f t="shared" si="205"/>
        <v>183.4</v>
      </c>
      <c r="CZ383">
        <f t="shared" si="206"/>
        <v>183.4</v>
      </c>
      <c r="DA383">
        <f t="shared" si="207"/>
        <v>1</v>
      </c>
      <c r="DB383">
        <f t="shared" si="208"/>
        <v>2.2400000000000002</v>
      </c>
      <c r="DC383">
        <f t="shared" si="209"/>
        <v>0</v>
      </c>
      <c r="DD383" t="s">
        <v>3</v>
      </c>
      <c r="DE383" t="s">
        <v>3</v>
      </c>
      <c r="DF383">
        <f t="shared" si="203"/>
        <v>11.19</v>
      </c>
      <c r="DG383">
        <f t="shared" si="201"/>
        <v>0</v>
      </c>
      <c r="DH383">
        <f t="shared" si="202"/>
        <v>0</v>
      </c>
      <c r="DI383">
        <f t="shared" si="176"/>
        <v>0</v>
      </c>
      <c r="DJ383">
        <f t="shared" si="210"/>
        <v>11.19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ROW(Source!A505)</f>
        <v>505</v>
      </c>
      <c r="B384">
        <v>56959434</v>
      </c>
      <c r="C384">
        <v>56960472</v>
      </c>
      <c r="D384">
        <v>56084044</v>
      </c>
      <c r="E384">
        <v>1</v>
      </c>
      <c r="F384">
        <v>1</v>
      </c>
      <c r="G384">
        <v>1080</v>
      </c>
      <c r="H384">
        <v>3</v>
      </c>
      <c r="I384" t="s">
        <v>545</v>
      </c>
      <c r="J384" t="s">
        <v>546</v>
      </c>
      <c r="K384" t="s">
        <v>547</v>
      </c>
      <c r="L384">
        <v>1354</v>
      </c>
      <c r="N384">
        <v>1010</v>
      </c>
      <c r="O384" t="s">
        <v>31</v>
      </c>
      <c r="P384" t="s">
        <v>31</v>
      </c>
      <c r="Q384">
        <v>1</v>
      </c>
      <c r="W384">
        <v>0</v>
      </c>
      <c r="X384">
        <v>145081611</v>
      </c>
      <c r="Y384">
        <f t="shared" si="204"/>
        <v>3.1</v>
      </c>
      <c r="AA384">
        <v>6.94</v>
      </c>
      <c r="AB384">
        <v>0</v>
      </c>
      <c r="AC384">
        <v>0</v>
      </c>
      <c r="AD384">
        <v>0</v>
      </c>
      <c r="AE384">
        <v>6.94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-2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3.1</v>
      </c>
      <c r="AU384" t="s">
        <v>3</v>
      </c>
      <c r="AV384">
        <v>0</v>
      </c>
      <c r="AW384">
        <v>2</v>
      </c>
      <c r="AX384">
        <v>56961139</v>
      </c>
      <c r="AY384">
        <v>1</v>
      </c>
      <c r="AZ384">
        <v>0</v>
      </c>
      <c r="BA384">
        <v>464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ROUND(Y384*Source!I505,9)</f>
        <v>15.5</v>
      </c>
      <c r="CY384">
        <f t="shared" si="205"/>
        <v>6.94</v>
      </c>
      <c r="CZ384">
        <f t="shared" si="206"/>
        <v>6.94</v>
      </c>
      <c r="DA384">
        <f t="shared" si="207"/>
        <v>1</v>
      </c>
      <c r="DB384">
        <f t="shared" si="208"/>
        <v>21.51</v>
      </c>
      <c r="DC384">
        <f t="shared" si="209"/>
        <v>0</v>
      </c>
      <c r="DD384" t="s">
        <v>3</v>
      </c>
      <c r="DE384" t="s">
        <v>3</v>
      </c>
      <c r="DF384">
        <f t="shared" si="203"/>
        <v>107.57</v>
      </c>
      <c r="DG384">
        <f t="shared" si="201"/>
        <v>0</v>
      </c>
      <c r="DH384">
        <f t="shared" si="202"/>
        <v>0</v>
      </c>
      <c r="DI384">
        <f t="shared" si="176"/>
        <v>0</v>
      </c>
      <c r="DJ384">
        <f t="shared" si="210"/>
        <v>107.57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ROW(Source!A505)</f>
        <v>505</v>
      </c>
      <c r="B385">
        <v>56959434</v>
      </c>
      <c r="C385">
        <v>56960472</v>
      </c>
      <c r="D385">
        <v>56084051</v>
      </c>
      <c r="E385">
        <v>1</v>
      </c>
      <c r="F385">
        <v>1</v>
      </c>
      <c r="G385">
        <v>1080</v>
      </c>
      <c r="H385">
        <v>3</v>
      </c>
      <c r="I385" t="s">
        <v>548</v>
      </c>
      <c r="J385" t="s">
        <v>549</v>
      </c>
      <c r="K385" t="s">
        <v>550</v>
      </c>
      <c r="L385">
        <v>1356</v>
      </c>
      <c r="N385">
        <v>1010</v>
      </c>
      <c r="O385" t="s">
        <v>544</v>
      </c>
      <c r="P385" t="s">
        <v>544</v>
      </c>
      <c r="Q385">
        <v>1000</v>
      </c>
      <c r="W385">
        <v>0</v>
      </c>
      <c r="X385">
        <v>-1715273674</v>
      </c>
      <c r="Y385">
        <f t="shared" si="204"/>
        <v>8.0000000000000002E-3</v>
      </c>
      <c r="AA385">
        <v>614.09</v>
      </c>
      <c r="AB385">
        <v>0</v>
      </c>
      <c r="AC385">
        <v>0</v>
      </c>
      <c r="AD385">
        <v>0</v>
      </c>
      <c r="AE385">
        <v>614.09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8.0000000000000002E-3</v>
      </c>
      <c r="AU385" t="s">
        <v>3</v>
      </c>
      <c r="AV385">
        <v>0</v>
      </c>
      <c r="AW385">
        <v>2</v>
      </c>
      <c r="AX385">
        <v>56961140</v>
      </c>
      <c r="AY385">
        <v>1</v>
      </c>
      <c r="AZ385">
        <v>0</v>
      </c>
      <c r="BA385">
        <v>465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ROUND(Y385*Source!I505,9)</f>
        <v>0.04</v>
      </c>
      <c r="CY385">
        <f t="shared" si="205"/>
        <v>614.09</v>
      </c>
      <c r="CZ385">
        <f t="shared" si="206"/>
        <v>614.09</v>
      </c>
      <c r="DA385">
        <f t="shared" si="207"/>
        <v>1</v>
      </c>
      <c r="DB385">
        <f t="shared" si="208"/>
        <v>4.91</v>
      </c>
      <c r="DC385">
        <f t="shared" si="209"/>
        <v>0</v>
      </c>
      <c r="DD385" t="s">
        <v>3</v>
      </c>
      <c r="DE385" t="s">
        <v>3</v>
      </c>
      <c r="DF385">
        <f t="shared" si="203"/>
        <v>24.56</v>
      </c>
      <c r="DG385">
        <f t="shared" si="201"/>
        <v>0</v>
      </c>
      <c r="DH385">
        <f t="shared" si="202"/>
        <v>0</v>
      </c>
      <c r="DI385">
        <f t="shared" ref="DI385:DI446" si="211">ROUND(ROUND(AH385,2)*CX385,2)</f>
        <v>0</v>
      </c>
      <c r="DJ385">
        <f t="shared" si="210"/>
        <v>24.56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ROW(Source!A505)</f>
        <v>505</v>
      </c>
      <c r="B386">
        <v>56959434</v>
      </c>
      <c r="C386">
        <v>56960472</v>
      </c>
      <c r="D386">
        <v>0</v>
      </c>
      <c r="E386">
        <v>1080</v>
      </c>
      <c r="F386">
        <v>1</v>
      </c>
      <c r="G386">
        <v>1080</v>
      </c>
      <c r="H386">
        <v>3</v>
      </c>
      <c r="I386" t="s">
        <v>99</v>
      </c>
      <c r="J386" t="s">
        <v>3</v>
      </c>
      <c r="K386" t="s">
        <v>100</v>
      </c>
      <c r="L386">
        <v>2698</v>
      </c>
      <c r="N386">
        <v>1013</v>
      </c>
      <c r="O386" t="s">
        <v>101</v>
      </c>
      <c r="P386" t="s">
        <v>101</v>
      </c>
      <c r="Q386">
        <v>1</v>
      </c>
      <c r="W386">
        <v>0</v>
      </c>
      <c r="X386">
        <v>1285757954</v>
      </c>
      <c r="Y386">
        <f t="shared" si="204"/>
        <v>102</v>
      </c>
      <c r="AA386">
        <v>5.08</v>
      </c>
      <c r="AB386">
        <v>0</v>
      </c>
      <c r="AC386">
        <v>0</v>
      </c>
      <c r="AD386">
        <v>0</v>
      </c>
      <c r="AE386">
        <v>5.08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 t="s">
        <v>3</v>
      </c>
      <c r="AT386">
        <v>102</v>
      </c>
      <c r="AU386" t="s">
        <v>3</v>
      </c>
      <c r="AV386">
        <v>0</v>
      </c>
      <c r="AW386">
        <v>1</v>
      </c>
      <c r="AX386">
        <v>-1</v>
      </c>
      <c r="AY386">
        <v>0</v>
      </c>
      <c r="AZ386">
        <v>0</v>
      </c>
      <c r="BA386" t="s">
        <v>3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ROUND(Y386*Source!I505,9)</f>
        <v>510</v>
      </c>
      <c r="CY386">
        <f t="shared" si="205"/>
        <v>5.08</v>
      </c>
      <c r="CZ386">
        <f t="shared" si="206"/>
        <v>5.08</v>
      </c>
      <c r="DA386">
        <f t="shared" si="207"/>
        <v>1</v>
      </c>
      <c r="DB386">
        <f t="shared" si="208"/>
        <v>518.16</v>
      </c>
      <c r="DC386">
        <f t="shared" si="209"/>
        <v>0</v>
      </c>
      <c r="DD386" t="s">
        <v>3</v>
      </c>
      <c r="DE386" t="s">
        <v>3</v>
      </c>
      <c r="DF386">
        <f t="shared" si="203"/>
        <v>2590.8000000000002</v>
      </c>
      <c r="DG386">
        <f t="shared" si="201"/>
        <v>0</v>
      </c>
      <c r="DH386">
        <f t="shared" si="202"/>
        <v>0</v>
      </c>
      <c r="DI386">
        <f t="shared" si="211"/>
        <v>0</v>
      </c>
      <c r="DJ386">
        <f t="shared" si="210"/>
        <v>2590.8000000000002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ROW(Source!A506)</f>
        <v>506</v>
      </c>
      <c r="B387">
        <v>56959431</v>
      </c>
      <c r="C387">
        <v>56960472</v>
      </c>
      <c r="D387">
        <v>56018166</v>
      </c>
      <c r="E387">
        <v>1080</v>
      </c>
      <c r="F387">
        <v>1</v>
      </c>
      <c r="G387">
        <v>1080</v>
      </c>
      <c r="H387">
        <v>1</v>
      </c>
      <c r="I387" t="s">
        <v>500</v>
      </c>
      <c r="J387" t="s">
        <v>3</v>
      </c>
      <c r="K387" t="s">
        <v>501</v>
      </c>
      <c r="L387">
        <v>1191</v>
      </c>
      <c r="N387">
        <v>1013</v>
      </c>
      <c r="O387" t="s">
        <v>502</v>
      </c>
      <c r="P387" t="s">
        <v>502</v>
      </c>
      <c r="Q387">
        <v>1</v>
      </c>
      <c r="W387">
        <v>0</v>
      </c>
      <c r="X387">
        <v>476480486</v>
      </c>
      <c r="Y387">
        <f>(AT387*1.1)</f>
        <v>4.9390000000000009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5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4.49</v>
      </c>
      <c r="AU387" t="s">
        <v>23</v>
      </c>
      <c r="AV387">
        <v>1</v>
      </c>
      <c r="AW387">
        <v>2</v>
      </c>
      <c r="AX387">
        <v>56961132</v>
      </c>
      <c r="AY387">
        <v>1</v>
      </c>
      <c r="AZ387">
        <v>0</v>
      </c>
      <c r="BA387">
        <v>467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U387">
        <f>ROUND(AT387*Source!I506*AH387*AL387,2)</f>
        <v>0</v>
      </c>
      <c r="CV387">
        <f>ROUND(Y387*Source!I506,9)</f>
        <v>24.695</v>
      </c>
      <c r="CW387">
        <v>0</v>
      </c>
      <c r="CX387">
        <f>ROUND(Y387*Source!I506,9)</f>
        <v>24.695</v>
      </c>
      <c r="CY387">
        <f>AD387</f>
        <v>0</v>
      </c>
      <c r="CZ387">
        <f>AH387</f>
        <v>0</v>
      </c>
      <c r="DA387">
        <f>AL387</f>
        <v>1</v>
      </c>
      <c r="DB387">
        <f>ROUND((ROUND(AT387*CZ387,2)*1.1),6)</f>
        <v>0</v>
      </c>
      <c r="DC387">
        <f>ROUND((ROUND(AT387*AG387,2)*1.1),6)</f>
        <v>0</v>
      </c>
      <c r="DD387" t="s">
        <v>3</v>
      </c>
      <c r="DE387" t="s">
        <v>3</v>
      </c>
      <c r="DF387">
        <f t="shared" si="203"/>
        <v>0</v>
      </c>
      <c r="DG387">
        <f t="shared" si="201"/>
        <v>0</v>
      </c>
      <c r="DH387">
        <f t="shared" si="202"/>
        <v>0</v>
      </c>
      <c r="DI387">
        <f t="shared" si="211"/>
        <v>0</v>
      </c>
      <c r="DJ387">
        <f>DI387</f>
        <v>0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ROW(Source!A506)</f>
        <v>506</v>
      </c>
      <c r="B388">
        <v>56959431</v>
      </c>
      <c r="C388">
        <v>56960472</v>
      </c>
      <c r="D388">
        <v>56092340</v>
      </c>
      <c r="E388">
        <v>1</v>
      </c>
      <c r="F388">
        <v>1</v>
      </c>
      <c r="G388">
        <v>1080</v>
      </c>
      <c r="H388">
        <v>2</v>
      </c>
      <c r="I388" t="s">
        <v>503</v>
      </c>
      <c r="J388" t="s">
        <v>504</v>
      </c>
      <c r="K388" t="s">
        <v>505</v>
      </c>
      <c r="L388">
        <v>1368</v>
      </c>
      <c r="N388">
        <v>1011</v>
      </c>
      <c r="O388" t="s">
        <v>506</v>
      </c>
      <c r="P388" t="s">
        <v>506</v>
      </c>
      <c r="Q388">
        <v>1</v>
      </c>
      <c r="W388">
        <v>0</v>
      </c>
      <c r="X388">
        <v>-1985943078</v>
      </c>
      <c r="Y388">
        <f>(AT388*1.1)</f>
        <v>1.1000000000000001E-2</v>
      </c>
      <c r="AA388">
        <v>0</v>
      </c>
      <c r="AB388">
        <v>1418.19</v>
      </c>
      <c r="AC388">
        <v>726.59</v>
      </c>
      <c r="AD388">
        <v>0</v>
      </c>
      <c r="AE388">
        <v>0</v>
      </c>
      <c r="AF388">
        <v>83.1</v>
      </c>
      <c r="AG388">
        <v>12.62</v>
      </c>
      <c r="AH388">
        <v>0</v>
      </c>
      <c r="AI388">
        <v>1</v>
      </c>
      <c r="AJ388">
        <v>16.3</v>
      </c>
      <c r="AK388">
        <v>54.99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0.01</v>
      </c>
      <c r="AU388" t="s">
        <v>23</v>
      </c>
      <c r="AV388">
        <v>0</v>
      </c>
      <c r="AW388">
        <v>2</v>
      </c>
      <c r="AX388">
        <v>56961133</v>
      </c>
      <c r="AY388">
        <v>1</v>
      </c>
      <c r="AZ388">
        <v>0</v>
      </c>
      <c r="BA388">
        <v>468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f>ROUND(Y388*Source!I506*DO388,9)</f>
        <v>0.69410000000000005</v>
      </c>
      <c r="CX388">
        <f>ROUND(Y388*Source!I506,9)</f>
        <v>5.5E-2</v>
      </c>
      <c r="CY388">
        <f>AB388</f>
        <v>1418.19</v>
      </c>
      <c r="CZ388">
        <f>AF388</f>
        <v>83.1</v>
      </c>
      <c r="DA388">
        <f>AJ388</f>
        <v>16.3</v>
      </c>
      <c r="DB388">
        <f>ROUND((ROUND(AT388*CZ388,2)*1.1),6)</f>
        <v>0.91300000000000003</v>
      </c>
      <c r="DC388">
        <f>ROUND((ROUND(AT388*AG388,2)*1.1),6)</f>
        <v>0.14299999999999999</v>
      </c>
      <c r="DD388" t="s">
        <v>3</v>
      </c>
      <c r="DE388" t="s">
        <v>3</v>
      </c>
      <c r="DF388">
        <f t="shared" si="203"/>
        <v>0</v>
      </c>
      <c r="DG388">
        <f>ROUND(ROUND(AF388*AJ388,2)*CX388,2)</f>
        <v>74.5</v>
      </c>
      <c r="DH388">
        <f>ROUND(ROUND(AG388*AK388,2)*CX388,2)</f>
        <v>38.17</v>
      </c>
      <c r="DI388">
        <f t="shared" si="211"/>
        <v>0</v>
      </c>
      <c r="DJ388">
        <f>DG388</f>
        <v>74.5</v>
      </c>
      <c r="DK388">
        <v>0</v>
      </c>
      <c r="DL388" t="s">
        <v>507</v>
      </c>
      <c r="DM388">
        <v>0</v>
      </c>
      <c r="DN388" t="s">
        <v>502</v>
      </c>
      <c r="DO388">
        <v>12.62</v>
      </c>
    </row>
    <row r="389" spans="1:119" x14ac:dyDescent="0.2">
      <c r="A389">
        <f>ROW(Source!A506)</f>
        <v>506</v>
      </c>
      <c r="B389">
        <v>56959431</v>
      </c>
      <c r="C389">
        <v>56960472</v>
      </c>
      <c r="D389">
        <v>56091576</v>
      </c>
      <c r="E389">
        <v>1</v>
      </c>
      <c r="F389">
        <v>1</v>
      </c>
      <c r="G389">
        <v>1080</v>
      </c>
      <c r="H389">
        <v>2</v>
      </c>
      <c r="I389" t="s">
        <v>529</v>
      </c>
      <c r="J389" t="s">
        <v>530</v>
      </c>
      <c r="K389" t="s">
        <v>531</v>
      </c>
      <c r="L389">
        <v>1368</v>
      </c>
      <c r="N389">
        <v>1011</v>
      </c>
      <c r="O389" t="s">
        <v>506</v>
      </c>
      <c r="P389" t="s">
        <v>506</v>
      </c>
      <c r="Q389">
        <v>1</v>
      </c>
      <c r="W389">
        <v>0</v>
      </c>
      <c r="X389">
        <v>1087580389</v>
      </c>
      <c r="Y389">
        <f>(AT389*1.1)</f>
        <v>1.1000000000000001E-2</v>
      </c>
      <c r="AA389">
        <v>0</v>
      </c>
      <c r="AB389">
        <v>2579.38</v>
      </c>
      <c r="AC389">
        <v>974.74</v>
      </c>
      <c r="AD389">
        <v>0</v>
      </c>
      <c r="AE389">
        <v>0</v>
      </c>
      <c r="AF389">
        <v>179.17</v>
      </c>
      <c r="AG389">
        <v>16.93</v>
      </c>
      <c r="AH389">
        <v>0</v>
      </c>
      <c r="AI389">
        <v>1</v>
      </c>
      <c r="AJ389">
        <v>13.75</v>
      </c>
      <c r="AK389">
        <v>54.99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0.01</v>
      </c>
      <c r="AU389" t="s">
        <v>23</v>
      </c>
      <c r="AV389">
        <v>0</v>
      </c>
      <c r="AW389">
        <v>2</v>
      </c>
      <c r="AX389">
        <v>56961134</v>
      </c>
      <c r="AY389">
        <v>1</v>
      </c>
      <c r="AZ389">
        <v>0</v>
      </c>
      <c r="BA389">
        <v>469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f>ROUND(Y389*Source!I506*DO389,9)</f>
        <v>0.93115000000000003</v>
      </c>
      <c r="CX389">
        <f>ROUND(Y389*Source!I506,9)</f>
        <v>5.5E-2</v>
      </c>
      <c r="CY389">
        <f>AB389</f>
        <v>2579.38</v>
      </c>
      <c r="CZ389">
        <f>AF389</f>
        <v>179.17</v>
      </c>
      <c r="DA389">
        <f>AJ389</f>
        <v>13.75</v>
      </c>
      <c r="DB389">
        <f>ROUND((ROUND(AT389*CZ389,2)*1.1),6)</f>
        <v>1.9690000000000001</v>
      </c>
      <c r="DC389">
        <f>ROUND((ROUND(AT389*AG389,2)*1.1),6)</f>
        <v>0.187</v>
      </c>
      <c r="DD389" t="s">
        <v>3</v>
      </c>
      <c r="DE389" t="s">
        <v>3</v>
      </c>
      <c r="DF389">
        <f t="shared" si="203"/>
        <v>0</v>
      </c>
      <c r="DG389">
        <f>ROUND(ROUND(AF389*AJ389,2)*CX389,2)</f>
        <v>135.5</v>
      </c>
      <c r="DH389">
        <f>ROUND(ROUND(AG389*AK389,2)*CX389,2)</f>
        <v>51.2</v>
      </c>
      <c r="DI389">
        <f t="shared" si="211"/>
        <v>0</v>
      </c>
      <c r="DJ389">
        <f>DG389</f>
        <v>135.5</v>
      </c>
      <c r="DK389">
        <v>0</v>
      </c>
      <c r="DL389" t="s">
        <v>507</v>
      </c>
      <c r="DM389">
        <v>0</v>
      </c>
      <c r="DN389" t="s">
        <v>502</v>
      </c>
      <c r="DO389">
        <v>16.93</v>
      </c>
    </row>
    <row r="390" spans="1:119" x14ac:dyDescent="0.2">
      <c r="A390">
        <f>ROW(Source!A506)</f>
        <v>506</v>
      </c>
      <c r="B390">
        <v>56959431</v>
      </c>
      <c r="C390">
        <v>56960472</v>
      </c>
      <c r="D390">
        <v>56061373</v>
      </c>
      <c r="E390">
        <v>1</v>
      </c>
      <c r="F390">
        <v>1</v>
      </c>
      <c r="G390">
        <v>1080</v>
      </c>
      <c r="H390">
        <v>3</v>
      </c>
      <c r="I390" t="s">
        <v>532</v>
      </c>
      <c r="J390" t="s">
        <v>533</v>
      </c>
      <c r="K390" t="s">
        <v>534</v>
      </c>
      <c r="L390">
        <v>1346</v>
      </c>
      <c r="N390">
        <v>1009</v>
      </c>
      <c r="O390" t="s">
        <v>249</v>
      </c>
      <c r="P390" t="s">
        <v>249</v>
      </c>
      <c r="Q390">
        <v>1</v>
      </c>
      <c r="W390">
        <v>0</v>
      </c>
      <c r="X390">
        <v>1770006655</v>
      </c>
      <c r="Y390">
        <f t="shared" ref="Y390:Y396" si="212">AT390</f>
        <v>0.43</v>
      </c>
      <c r="AA390">
        <v>29.73</v>
      </c>
      <c r="AB390">
        <v>0</v>
      </c>
      <c r="AC390">
        <v>0</v>
      </c>
      <c r="AD390">
        <v>0</v>
      </c>
      <c r="AE390">
        <v>1.38</v>
      </c>
      <c r="AF390">
        <v>0</v>
      </c>
      <c r="AG390">
        <v>0</v>
      </c>
      <c r="AH390">
        <v>0</v>
      </c>
      <c r="AI390">
        <v>21.54</v>
      </c>
      <c r="AJ390">
        <v>1</v>
      </c>
      <c r="AK390">
        <v>1</v>
      </c>
      <c r="AL390">
        <v>1</v>
      </c>
      <c r="AM390">
        <v>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0.43</v>
      </c>
      <c r="AU390" t="s">
        <v>3</v>
      </c>
      <c r="AV390">
        <v>0</v>
      </c>
      <c r="AW390">
        <v>2</v>
      </c>
      <c r="AX390">
        <v>56961135</v>
      </c>
      <c r="AY390">
        <v>1</v>
      </c>
      <c r="AZ390">
        <v>0</v>
      </c>
      <c r="BA390">
        <v>470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ROUND(Y390*Source!I506,9)</f>
        <v>2.15</v>
      </c>
      <c r="CY390">
        <f t="shared" ref="CY390:CY396" si="213">AA390</f>
        <v>29.73</v>
      </c>
      <c r="CZ390">
        <f t="shared" ref="CZ390:CZ396" si="214">AE390</f>
        <v>1.38</v>
      </c>
      <c r="DA390">
        <f t="shared" ref="DA390:DA396" si="215">AI390</f>
        <v>21.54</v>
      </c>
      <c r="DB390">
        <f t="shared" ref="DB390:DB396" si="216">ROUND(ROUND(AT390*CZ390,2),6)</f>
        <v>0.59</v>
      </c>
      <c r="DC390">
        <f t="shared" ref="DC390:DC396" si="217">ROUND(ROUND(AT390*AG390,2),6)</f>
        <v>0</v>
      </c>
      <c r="DD390" t="s">
        <v>3</v>
      </c>
      <c r="DE390" t="s">
        <v>3</v>
      </c>
      <c r="DF390">
        <f t="shared" ref="DF390:DF396" si="218">ROUND(ROUND(AE390*AI390,2)*CX390,2)</f>
        <v>63.92</v>
      </c>
      <c r="DG390">
        <f t="shared" ref="DG390:DG404" si="219">ROUND(ROUND(AF390,2)*CX390,2)</f>
        <v>0</v>
      </c>
      <c r="DH390">
        <f t="shared" ref="DH390:DH404" si="220">ROUND(ROUND(AG390,2)*CX390,2)</f>
        <v>0</v>
      </c>
      <c r="DI390">
        <f t="shared" si="211"/>
        <v>0</v>
      </c>
      <c r="DJ390">
        <f t="shared" ref="DJ390:DJ396" si="221">DF390</f>
        <v>63.92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ROW(Source!A506)</f>
        <v>506</v>
      </c>
      <c r="B391">
        <v>56959431</v>
      </c>
      <c r="C391">
        <v>56960472</v>
      </c>
      <c r="D391">
        <v>56061764</v>
      </c>
      <c r="E391">
        <v>1</v>
      </c>
      <c r="F391">
        <v>1</v>
      </c>
      <c r="G391">
        <v>1080</v>
      </c>
      <c r="H391">
        <v>3</v>
      </c>
      <c r="I391" t="s">
        <v>535</v>
      </c>
      <c r="J391" t="s">
        <v>536</v>
      </c>
      <c r="K391" t="s">
        <v>537</v>
      </c>
      <c r="L391">
        <v>1346</v>
      </c>
      <c r="N391">
        <v>1009</v>
      </c>
      <c r="O391" t="s">
        <v>249</v>
      </c>
      <c r="P391" t="s">
        <v>249</v>
      </c>
      <c r="Q391">
        <v>1</v>
      </c>
      <c r="W391">
        <v>0</v>
      </c>
      <c r="X391">
        <v>-878159893</v>
      </c>
      <c r="Y391">
        <f t="shared" si="212"/>
        <v>0.16</v>
      </c>
      <c r="AA391">
        <v>286.31</v>
      </c>
      <c r="AB391">
        <v>0</v>
      </c>
      <c r="AC391">
        <v>0</v>
      </c>
      <c r="AD391">
        <v>0</v>
      </c>
      <c r="AE391">
        <v>159.06</v>
      </c>
      <c r="AF391">
        <v>0</v>
      </c>
      <c r="AG391">
        <v>0</v>
      </c>
      <c r="AH391">
        <v>0</v>
      </c>
      <c r="AI391">
        <v>1.8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0.16</v>
      </c>
      <c r="AU391" t="s">
        <v>3</v>
      </c>
      <c r="AV391">
        <v>0</v>
      </c>
      <c r="AW391">
        <v>2</v>
      </c>
      <c r="AX391">
        <v>56961136</v>
      </c>
      <c r="AY391">
        <v>1</v>
      </c>
      <c r="AZ391">
        <v>0</v>
      </c>
      <c r="BA391">
        <v>471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ROUND(Y391*Source!I506,9)</f>
        <v>0.8</v>
      </c>
      <c r="CY391">
        <f t="shared" si="213"/>
        <v>286.31</v>
      </c>
      <c r="CZ391">
        <f t="shared" si="214"/>
        <v>159.06</v>
      </c>
      <c r="DA391">
        <f t="shared" si="215"/>
        <v>1.8</v>
      </c>
      <c r="DB391">
        <f t="shared" si="216"/>
        <v>25.45</v>
      </c>
      <c r="DC391">
        <f t="shared" si="217"/>
        <v>0</v>
      </c>
      <c r="DD391" t="s">
        <v>3</v>
      </c>
      <c r="DE391" t="s">
        <v>3</v>
      </c>
      <c r="DF391">
        <f t="shared" si="218"/>
        <v>229.05</v>
      </c>
      <c r="DG391">
        <f t="shared" si="219"/>
        <v>0</v>
      </c>
      <c r="DH391">
        <f t="shared" si="220"/>
        <v>0</v>
      </c>
      <c r="DI391">
        <f t="shared" si="211"/>
        <v>0</v>
      </c>
      <c r="DJ391">
        <f t="shared" si="221"/>
        <v>229.05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ROW(Source!A506)</f>
        <v>506</v>
      </c>
      <c r="B392">
        <v>56959431</v>
      </c>
      <c r="C392">
        <v>56960472</v>
      </c>
      <c r="D392">
        <v>56084707</v>
      </c>
      <c r="E392">
        <v>1</v>
      </c>
      <c r="F392">
        <v>1</v>
      </c>
      <c r="G392">
        <v>1080</v>
      </c>
      <c r="H392">
        <v>3</v>
      </c>
      <c r="I392" t="s">
        <v>538</v>
      </c>
      <c r="J392" t="s">
        <v>539</v>
      </c>
      <c r="K392" t="s">
        <v>540</v>
      </c>
      <c r="L392">
        <v>1355</v>
      </c>
      <c r="N392">
        <v>1010</v>
      </c>
      <c r="O392" t="s">
        <v>520</v>
      </c>
      <c r="P392" t="s">
        <v>520</v>
      </c>
      <c r="Q392">
        <v>100</v>
      </c>
      <c r="W392">
        <v>0</v>
      </c>
      <c r="X392">
        <v>-456781043</v>
      </c>
      <c r="Y392">
        <f t="shared" si="212"/>
        <v>0.05</v>
      </c>
      <c r="AA392">
        <v>1102.5</v>
      </c>
      <c r="AB392">
        <v>0</v>
      </c>
      <c r="AC392">
        <v>0</v>
      </c>
      <c r="AD392">
        <v>0</v>
      </c>
      <c r="AE392">
        <v>68.819999999999993</v>
      </c>
      <c r="AF392">
        <v>0</v>
      </c>
      <c r="AG392">
        <v>0</v>
      </c>
      <c r="AH392">
        <v>0</v>
      </c>
      <c r="AI392">
        <v>16.02</v>
      </c>
      <c r="AJ392">
        <v>1</v>
      </c>
      <c r="AK392">
        <v>1</v>
      </c>
      <c r="AL392">
        <v>1</v>
      </c>
      <c r="AM392">
        <v>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0.05</v>
      </c>
      <c r="AU392" t="s">
        <v>3</v>
      </c>
      <c r="AV392">
        <v>0</v>
      </c>
      <c r="AW392">
        <v>2</v>
      </c>
      <c r="AX392">
        <v>56961137</v>
      </c>
      <c r="AY392">
        <v>1</v>
      </c>
      <c r="AZ392">
        <v>0</v>
      </c>
      <c r="BA392">
        <v>472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ROUND(Y392*Source!I506,9)</f>
        <v>0.25</v>
      </c>
      <c r="CY392">
        <f t="shared" si="213"/>
        <v>1102.5</v>
      </c>
      <c r="CZ392">
        <f t="shared" si="214"/>
        <v>68.819999999999993</v>
      </c>
      <c r="DA392">
        <f t="shared" si="215"/>
        <v>16.02</v>
      </c>
      <c r="DB392">
        <f t="shared" si="216"/>
        <v>3.44</v>
      </c>
      <c r="DC392">
        <f t="shared" si="217"/>
        <v>0</v>
      </c>
      <c r="DD392" t="s">
        <v>3</v>
      </c>
      <c r="DE392" t="s">
        <v>3</v>
      </c>
      <c r="DF392">
        <f t="shared" si="218"/>
        <v>275.63</v>
      </c>
      <c r="DG392">
        <f t="shared" si="219"/>
        <v>0</v>
      </c>
      <c r="DH392">
        <f t="shared" si="220"/>
        <v>0</v>
      </c>
      <c r="DI392">
        <f t="shared" si="211"/>
        <v>0</v>
      </c>
      <c r="DJ392">
        <f t="shared" si="221"/>
        <v>275.63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ROW(Source!A506)</f>
        <v>506</v>
      </c>
      <c r="B393">
        <v>56959431</v>
      </c>
      <c r="C393">
        <v>56960472</v>
      </c>
      <c r="D393">
        <v>56084718</v>
      </c>
      <c r="E393">
        <v>1</v>
      </c>
      <c r="F393">
        <v>1</v>
      </c>
      <c r="G393">
        <v>1080</v>
      </c>
      <c r="H393">
        <v>3</v>
      </c>
      <c r="I393" t="s">
        <v>541</v>
      </c>
      <c r="J393" t="s">
        <v>542</v>
      </c>
      <c r="K393" t="s">
        <v>543</v>
      </c>
      <c r="L393">
        <v>1356</v>
      </c>
      <c r="N393">
        <v>1010</v>
      </c>
      <c r="O393" t="s">
        <v>544</v>
      </c>
      <c r="P393" t="s">
        <v>544</v>
      </c>
      <c r="Q393">
        <v>1000</v>
      </c>
      <c r="W393">
        <v>0</v>
      </c>
      <c r="X393">
        <v>1726193810</v>
      </c>
      <c r="Y393">
        <f t="shared" si="212"/>
        <v>1.2200000000000001E-2</v>
      </c>
      <c r="AA393">
        <v>1318.65</v>
      </c>
      <c r="AB393">
        <v>0</v>
      </c>
      <c r="AC393">
        <v>0</v>
      </c>
      <c r="AD393">
        <v>0</v>
      </c>
      <c r="AE393">
        <v>183.4</v>
      </c>
      <c r="AF393">
        <v>0</v>
      </c>
      <c r="AG393">
        <v>0</v>
      </c>
      <c r="AH393">
        <v>0</v>
      </c>
      <c r="AI393">
        <v>7.19</v>
      </c>
      <c r="AJ393">
        <v>1</v>
      </c>
      <c r="AK393">
        <v>1</v>
      </c>
      <c r="AL393">
        <v>1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1.2200000000000001E-2</v>
      </c>
      <c r="AU393" t="s">
        <v>3</v>
      </c>
      <c r="AV393">
        <v>0</v>
      </c>
      <c r="AW393">
        <v>2</v>
      </c>
      <c r="AX393">
        <v>56961138</v>
      </c>
      <c r="AY393">
        <v>1</v>
      </c>
      <c r="AZ393">
        <v>0</v>
      </c>
      <c r="BA393">
        <v>473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ROUND(Y393*Source!I506,9)</f>
        <v>6.0999999999999999E-2</v>
      </c>
      <c r="CY393">
        <f t="shared" si="213"/>
        <v>1318.65</v>
      </c>
      <c r="CZ393">
        <f t="shared" si="214"/>
        <v>183.4</v>
      </c>
      <c r="DA393">
        <f t="shared" si="215"/>
        <v>7.19</v>
      </c>
      <c r="DB393">
        <f t="shared" si="216"/>
        <v>2.2400000000000002</v>
      </c>
      <c r="DC393">
        <f t="shared" si="217"/>
        <v>0</v>
      </c>
      <c r="DD393" t="s">
        <v>3</v>
      </c>
      <c r="DE393" t="s">
        <v>3</v>
      </c>
      <c r="DF393">
        <f t="shared" si="218"/>
        <v>80.44</v>
      </c>
      <c r="DG393">
        <f t="shared" si="219"/>
        <v>0</v>
      </c>
      <c r="DH393">
        <f t="shared" si="220"/>
        <v>0</v>
      </c>
      <c r="DI393">
        <f t="shared" si="211"/>
        <v>0</v>
      </c>
      <c r="DJ393">
        <f t="shared" si="221"/>
        <v>80.44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ROW(Source!A506)</f>
        <v>506</v>
      </c>
      <c r="B394">
        <v>56959431</v>
      </c>
      <c r="C394">
        <v>56960472</v>
      </c>
      <c r="D394">
        <v>56084044</v>
      </c>
      <c r="E394">
        <v>1</v>
      </c>
      <c r="F394">
        <v>1</v>
      </c>
      <c r="G394">
        <v>1080</v>
      </c>
      <c r="H394">
        <v>3</v>
      </c>
      <c r="I394" t="s">
        <v>545</v>
      </c>
      <c r="J394" t="s">
        <v>546</v>
      </c>
      <c r="K394" t="s">
        <v>547</v>
      </c>
      <c r="L394">
        <v>1354</v>
      </c>
      <c r="N394">
        <v>1010</v>
      </c>
      <c r="O394" t="s">
        <v>31</v>
      </c>
      <c r="P394" t="s">
        <v>31</v>
      </c>
      <c r="Q394">
        <v>1</v>
      </c>
      <c r="W394">
        <v>0</v>
      </c>
      <c r="X394">
        <v>145081611</v>
      </c>
      <c r="Y394">
        <f t="shared" si="212"/>
        <v>3.1</v>
      </c>
      <c r="AA394">
        <v>25.47</v>
      </c>
      <c r="AB394">
        <v>0</v>
      </c>
      <c r="AC394">
        <v>0</v>
      </c>
      <c r="AD394">
        <v>0</v>
      </c>
      <c r="AE394">
        <v>6.94</v>
      </c>
      <c r="AF394">
        <v>0</v>
      </c>
      <c r="AG394">
        <v>0</v>
      </c>
      <c r="AH394">
        <v>0</v>
      </c>
      <c r="AI394">
        <v>3.67</v>
      </c>
      <c r="AJ394">
        <v>1</v>
      </c>
      <c r="AK394">
        <v>1</v>
      </c>
      <c r="AL394">
        <v>1</v>
      </c>
      <c r="AM394">
        <v>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3.1</v>
      </c>
      <c r="AU394" t="s">
        <v>3</v>
      </c>
      <c r="AV394">
        <v>0</v>
      </c>
      <c r="AW394">
        <v>2</v>
      </c>
      <c r="AX394">
        <v>56961139</v>
      </c>
      <c r="AY394">
        <v>1</v>
      </c>
      <c r="AZ394">
        <v>0</v>
      </c>
      <c r="BA394">
        <v>474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ROUND(Y394*Source!I506,9)</f>
        <v>15.5</v>
      </c>
      <c r="CY394">
        <f t="shared" si="213"/>
        <v>25.47</v>
      </c>
      <c r="CZ394">
        <f t="shared" si="214"/>
        <v>6.94</v>
      </c>
      <c r="DA394">
        <f t="shared" si="215"/>
        <v>3.67</v>
      </c>
      <c r="DB394">
        <f t="shared" si="216"/>
        <v>21.51</v>
      </c>
      <c r="DC394">
        <f t="shared" si="217"/>
        <v>0</v>
      </c>
      <c r="DD394" t="s">
        <v>3</v>
      </c>
      <c r="DE394" t="s">
        <v>3</v>
      </c>
      <c r="DF394">
        <f t="shared" si="218"/>
        <v>394.79</v>
      </c>
      <c r="DG394">
        <f t="shared" si="219"/>
        <v>0</v>
      </c>
      <c r="DH394">
        <f t="shared" si="220"/>
        <v>0</v>
      </c>
      <c r="DI394">
        <f t="shared" si="211"/>
        <v>0</v>
      </c>
      <c r="DJ394">
        <f t="shared" si="221"/>
        <v>394.79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ROW(Source!A506)</f>
        <v>506</v>
      </c>
      <c r="B395">
        <v>56959431</v>
      </c>
      <c r="C395">
        <v>56960472</v>
      </c>
      <c r="D395">
        <v>56084051</v>
      </c>
      <c r="E395">
        <v>1</v>
      </c>
      <c r="F395">
        <v>1</v>
      </c>
      <c r="G395">
        <v>1080</v>
      </c>
      <c r="H395">
        <v>3</v>
      </c>
      <c r="I395" t="s">
        <v>548</v>
      </c>
      <c r="J395" t="s">
        <v>549</v>
      </c>
      <c r="K395" t="s">
        <v>550</v>
      </c>
      <c r="L395">
        <v>1356</v>
      </c>
      <c r="N395">
        <v>1010</v>
      </c>
      <c r="O395" t="s">
        <v>544</v>
      </c>
      <c r="P395" t="s">
        <v>544</v>
      </c>
      <c r="Q395">
        <v>1000</v>
      </c>
      <c r="W395">
        <v>0</v>
      </c>
      <c r="X395">
        <v>-1715273674</v>
      </c>
      <c r="Y395">
        <f t="shared" si="212"/>
        <v>8.0000000000000002E-3</v>
      </c>
      <c r="AA395">
        <v>786.04</v>
      </c>
      <c r="AB395">
        <v>0</v>
      </c>
      <c r="AC395">
        <v>0</v>
      </c>
      <c r="AD395">
        <v>0</v>
      </c>
      <c r="AE395">
        <v>614.09</v>
      </c>
      <c r="AF395">
        <v>0</v>
      </c>
      <c r="AG395">
        <v>0</v>
      </c>
      <c r="AH395">
        <v>0</v>
      </c>
      <c r="AI395">
        <v>1.28</v>
      </c>
      <c r="AJ395">
        <v>1</v>
      </c>
      <c r="AK395">
        <v>1</v>
      </c>
      <c r="AL395">
        <v>1</v>
      </c>
      <c r="AM395">
        <v>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8.0000000000000002E-3</v>
      </c>
      <c r="AU395" t="s">
        <v>3</v>
      </c>
      <c r="AV395">
        <v>0</v>
      </c>
      <c r="AW395">
        <v>2</v>
      </c>
      <c r="AX395">
        <v>56961140</v>
      </c>
      <c r="AY395">
        <v>1</v>
      </c>
      <c r="AZ395">
        <v>0</v>
      </c>
      <c r="BA395">
        <v>475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ROUND(Y395*Source!I506,9)</f>
        <v>0.04</v>
      </c>
      <c r="CY395">
        <f t="shared" si="213"/>
        <v>786.04</v>
      </c>
      <c r="CZ395">
        <f t="shared" si="214"/>
        <v>614.09</v>
      </c>
      <c r="DA395">
        <f t="shared" si="215"/>
        <v>1.28</v>
      </c>
      <c r="DB395">
        <f t="shared" si="216"/>
        <v>4.91</v>
      </c>
      <c r="DC395">
        <f t="shared" si="217"/>
        <v>0</v>
      </c>
      <c r="DD395" t="s">
        <v>3</v>
      </c>
      <c r="DE395" t="s">
        <v>3</v>
      </c>
      <c r="DF395">
        <f t="shared" si="218"/>
        <v>31.44</v>
      </c>
      <c r="DG395">
        <f t="shared" si="219"/>
        <v>0</v>
      </c>
      <c r="DH395">
        <f t="shared" si="220"/>
        <v>0</v>
      </c>
      <c r="DI395">
        <f t="shared" si="211"/>
        <v>0</v>
      </c>
      <c r="DJ395">
        <f t="shared" si="221"/>
        <v>31.44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ROW(Source!A506)</f>
        <v>506</v>
      </c>
      <c r="B396">
        <v>56959431</v>
      </c>
      <c r="C396">
        <v>56960472</v>
      </c>
      <c r="D396">
        <v>0</v>
      </c>
      <c r="E396">
        <v>1080</v>
      </c>
      <c r="F396">
        <v>1</v>
      </c>
      <c r="G396">
        <v>1080</v>
      </c>
      <c r="H396">
        <v>3</v>
      </c>
      <c r="I396" t="s">
        <v>99</v>
      </c>
      <c r="J396" t="s">
        <v>3</v>
      </c>
      <c r="K396" t="s">
        <v>100</v>
      </c>
      <c r="L396">
        <v>2698</v>
      </c>
      <c r="N396">
        <v>1013</v>
      </c>
      <c r="O396" t="s">
        <v>101</v>
      </c>
      <c r="P396" t="s">
        <v>101</v>
      </c>
      <c r="Q396">
        <v>1</v>
      </c>
      <c r="W396">
        <v>0</v>
      </c>
      <c r="X396">
        <v>1285757954</v>
      </c>
      <c r="Y396">
        <f t="shared" si="212"/>
        <v>102</v>
      </c>
      <c r="AA396">
        <v>50.19</v>
      </c>
      <c r="AB396">
        <v>0</v>
      </c>
      <c r="AC396">
        <v>0</v>
      </c>
      <c r="AD396">
        <v>0</v>
      </c>
      <c r="AE396">
        <v>5.08</v>
      </c>
      <c r="AF396">
        <v>0</v>
      </c>
      <c r="AG396">
        <v>0</v>
      </c>
      <c r="AH396">
        <v>0</v>
      </c>
      <c r="AI396">
        <v>9.8800000000000008</v>
      </c>
      <c r="AJ396">
        <v>1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 t="s">
        <v>3</v>
      </c>
      <c r="AT396">
        <v>102</v>
      </c>
      <c r="AU396" t="s">
        <v>3</v>
      </c>
      <c r="AV396">
        <v>0</v>
      </c>
      <c r="AW396">
        <v>1</v>
      </c>
      <c r="AX396">
        <v>-1</v>
      </c>
      <c r="AY396">
        <v>0</v>
      </c>
      <c r="AZ396">
        <v>0</v>
      </c>
      <c r="BA396" t="s">
        <v>3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ROUND(Y396*Source!I506,9)</f>
        <v>510</v>
      </c>
      <c r="CY396">
        <f t="shared" si="213"/>
        <v>50.19</v>
      </c>
      <c r="CZ396">
        <f t="shared" si="214"/>
        <v>5.08</v>
      </c>
      <c r="DA396">
        <f t="shared" si="215"/>
        <v>9.8800000000000008</v>
      </c>
      <c r="DB396">
        <f t="shared" si="216"/>
        <v>518.16</v>
      </c>
      <c r="DC396">
        <f t="shared" si="217"/>
        <v>0</v>
      </c>
      <c r="DD396" t="s">
        <v>3</v>
      </c>
      <c r="DE396" t="s">
        <v>3</v>
      </c>
      <c r="DF396">
        <f t="shared" si="218"/>
        <v>25596.9</v>
      </c>
      <c r="DG396">
        <f t="shared" si="219"/>
        <v>0</v>
      </c>
      <c r="DH396">
        <f t="shared" si="220"/>
        <v>0</v>
      </c>
      <c r="DI396">
        <f t="shared" si="211"/>
        <v>0</v>
      </c>
      <c r="DJ396">
        <f t="shared" si="221"/>
        <v>25596.9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ROW(Source!A544)</f>
        <v>544</v>
      </c>
      <c r="B397">
        <v>56959434</v>
      </c>
      <c r="C397">
        <v>56960550</v>
      </c>
      <c r="D397">
        <v>56018166</v>
      </c>
      <c r="E397">
        <v>1080</v>
      </c>
      <c r="F397">
        <v>1</v>
      </c>
      <c r="G397">
        <v>1080</v>
      </c>
      <c r="H397">
        <v>1</v>
      </c>
      <c r="I397" t="s">
        <v>500</v>
      </c>
      <c r="J397" t="s">
        <v>3</v>
      </c>
      <c r="K397" t="s">
        <v>501</v>
      </c>
      <c r="L397">
        <v>1191</v>
      </c>
      <c r="N397">
        <v>1013</v>
      </c>
      <c r="O397" t="s">
        <v>502</v>
      </c>
      <c r="P397" t="s">
        <v>502</v>
      </c>
      <c r="Q397">
        <v>1</v>
      </c>
      <c r="W397">
        <v>0</v>
      </c>
      <c r="X397">
        <v>476480486</v>
      </c>
      <c r="Y397">
        <f>(AT397*1.1)</f>
        <v>2.2000000000000002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2</v>
      </c>
      <c r="AU397" t="s">
        <v>23</v>
      </c>
      <c r="AV397">
        <v>1</v>
      </c>
      <c r="AW397">
        <v>2</v>
      </c>
      <c r="AX397">
        <v>56961142</v>
      </c>
      <c r="AY397">
        <v>1</v>
      </c>
      <c r="AZ397">
        <v>0</v>
      </c>
      <c r="BA397">
        <v>477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U397">
        <f>ROUND(AT397*Source!I544*AH397*AL397,2)</f>
        <v>0</v>
      </c>
      <c r="CV397">
        <f>ROUND(Y397*Source!I544,9)</f>
        <v>4.4000000000000004</v>
      </c>
      <c r="CW397">
        <v>0</v>
      </c>
      <c r="CX397">
        <f>ROUND(Y397*Source!I544,9)</f>
        <v>4.4000000000000004</v>
      </c>
      <c r="CY397">
        <f>AD397</f>
        <v>0</v>
      </c>
      <c r="CZ397">
        <f>AH397</f>
        <v>0</v>
      </c>
      <c r="DA397">
        <f>AL397</f>
        <v>1</v>
      </c>
      <c r="DB397">
        <f>ROUND((ROUND(AT397*CZ397,2)*1.1),6)</f>
        <v>0</v>
      </c>
      <c r="DC397">
        <f>ROUND((ROUND(AT397*AG397,2)*1.1),6)</f>
        <v>0</v>
      </c>
      <c r="DD397" t="s">
        <v>3</v>
      </c>
      <c r="DE397" t="s">
        <v>3</v>
      </c>
      <c r="DF397">
        <f t="shared" ref="DF397:DF405" si="222">ROUND(ROUND(AE397,2)*CX397,2)</f>
        <v>0</v>
      </c>
      <c r="DG397">
        <f t="shared" si="219"/>
        <v>0</v>
      </c>
      <c r="DH397">
        <f t="shared" si="220"/>
        <v>0</v>
      </c>
      <c r="DI397">
        <f t="shared" si="211"/>
        <v>0</v>
      </c>
      <c r="DJ397">
        <f>DI397</f>
        <v>0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ROW(Source!A544)</f>
        <v>544</v>
      </c>
      <c r="B398">
        <v>56959434</v>
      </c>
      <c r="C398">
        <v>56960550</v>
      </c>
      <c r="D398">
        <v>56092342</v>
      </c>
      <c r="E398">
        <v>1</v>
      </c>
      <c r="F398">
        <v>1</v>
      </c>
      <c r="G398">
        <v>1080</v>
      </c>
      <c r="H398">
        <v>2</v>
      </c>
      <c r="I398" t="s">
        <v>508</v>
      </c>
      <c r="J398" t="s">
        <v>509</v>
      </c>
      <c r="K398" t="s">
        <v>510</v>
      </c>
      <c r="L398">
        <v>1368</v>
      </c>
      <c r="N398">
        <v>1011</v>
      </c>
      <c r="O398" t="s">
        <v>506</v>
      </c>
      <c r="P398" t="s">
        <v>506</v>
      </c>
      <c r="Q398">
        <v>1</v>
      </c>
      <c r="W398">
        <v>0</v>
      </c>
      <c r="X398">
        <v>1346534067</v>
      </c>
      <c r="Y398">
        <f>(AT398*1.1)</f>
        <v>2.2000000000000002E-2</v>
      </c>
      <c r="AA398">
        <v>0</v>
      </c>
      <c r="AB398">
        <v>124.67</v>
      </c>
      <c r="AC398">
        <v>13.21</v>
      </c>
      <c r="AD398">
        <v>0</v>
      </c>
      <c r="AE398">
        <v>0</v>
      </c>
      <c r="AF398">
        <v>119.07</v>
      </c>
      <c r="AG398">
        <v>12.62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0.02</v>
      </c>
      <c r="AU398" t="s">
        <v>23</v>
      </c>
      <c r="AV398">
        <v>0</v>
      </c>
      <c r="AW398">
        <v>2</v>
      </c>
      <c r="AX398">
        <v>56961143</v>
      </c>
      <c r="AY398">
        <v>1</v>
      </c>
      <c r="AZ398">
        <v>0</v>
      </c>
      <c r="BA398">
        <v>478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f>ROUND(Y398*Source!I544*DO398,9)</f>
        <v>0.55528</v>
      </c>
      <c r="CX398">
        <f>ROUND(Y398*Source!I544,9)</f>
        <v>4.3999999999999997E-2</v>
      </c>
      <c r="CY398">
        <f>AB398</f>
        <v>124.67</v>
      </c>
      <c r="CZ398">
        <f>AF398</f>
        <v>119.07</v>
      </c>
      <c r="DA398">
        <f>AJ398</f>
        <v>1</v>
      </c>
      <c r="DB398">
        <f>ROUND((ROUND(AT398*CZ398,2)*1.1),6)</f>
        <v>2.6179999999999999</v>
      </c>
      <c r="DC398">
        <f>ROUND((ROUND(AT398*AG398,2)*1.1),6)</f>
        <v>0.27500000000000002</v>
      </c>
      <c r="DD398" t="s">
        <v>3</v>
      </c>
      <c r="DE398" t="s">
        <v>3</v>
      </c>
      <c r="DF398">
        <f t="shared" si="222"/>
        <v>0</v>
      </c>
      <c r="DG398">
        <f t="shared" si="219"/>
        <v>5.24</v>
      </c>
      <c r="DH398">
        <f t="shared" si="220"/>
        <v>0.56000000000000005</v>
      </c>
      <c r="DI398">
        <f t="shared" si="211"/>
        <v>0</v>
      </c>
      <c r="DJ398">
        <f>DG398</f>
        <v>5.24</v>
      </c>
      <c r="DK398">
        <v>0</v>
      </c>
      <c r="DL398" t="s">
        <v>507</v>
      </c>
      <c r="DM398">
        <v>0</v>
      </c>
      <c r="DN398" t="s">
        <v>502</v>
      </c>
      <c r="DO398">
        <v>12.62</v>
      </c>
    </row>
    <row r="399" spans="1:119" x14ac:dyDescent="0.2">
      <c r="A399">
        <f>ROW(Source!A544)</f>
        <v>544</v>
      </c>
      <c r="B399">
        <v>56959434</v>
      </c>
      <c r="C399">
        <v>56960550</v>
      </c>
      <c r="D399">
        <v>56061656</v>
      </c>
      <c r="E399">
        <v>1</v>
      </c>
      <c r="F399">
        <v>1</v>
      </c>
      <c r="G399">
        <v>1080</v>
      </c>
      <c r="H399">
        <v>3</v>
      </c>
      <c r="I399" t="s">
        <v>511</v>
      </c>
      <c r="J399" t="s">
        <v>512</v>
      </c>
      <c r="K399" t="s">
        <v>513</v>
      </c>
      <c r="L399">
        <v>1346</v>
      </c>
      <c r="N399">
        <v>1009</v>
      </c>
      <c r="O399" t="s">
        <v>249</v>
      </c>
      <c r="P399" t="s">
        <v>249</v>
      </c>
      <c r="Q399">
        <v>1</v>
      </c>
      <c r="W399">
        <v>0</v>
      </c>
      <c r="X399">
        <v>444134433</v>
      </c>
      <c r="Y399">
        <f>AT399</f>
        <v>0.9</v>
      </c>
      <c r="AA399">
        <v>104.63</v>
      </c>
      <c r="AB399">
        <v>0</v>
      </c>
      <c r="AC399">
        <v>0</v>
      </c>
      <c r="AD399">
        <v>0</v>
      </c>
      <c r="AE399">
        <v>104.63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0.9</v>
      </c>
      <c r="AU399" t="s">
        <v>3</v>
      </c>
      <c r="AV399">
        <v>0</v>
      </c>
      <c r="AW399">
        <v>2</v>
      </c>
      <c r="AX399">
        <v>56961144</v>
      </c>
      <c r="AY399">
        <v>1</v>
      </c>
      <c r="AZ399">
        <v>0</v>
      </c>
      <c r="BA399">
        <v>479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ROUND(Y399*Source!I544,9)</f>
        <v>1.8</v>
      </c>
      <c r="CY399">
        <f>AA399</f>
        <v>104.63</v>
      </c>
      <c r="CZ399">
        <f>AE399</f>
        <v>104.63</v>
      </c>
      <c r="DA399">
        <f>AI399</f>
        <v>1</v>
      </c>
      <c r="DB399">
        <f>ROUND(ROUND(AT399*CZ399,2),6)</f>
        <v>94.17</v>
      </c>
      <c r="DC399">
        <f>ROUND(ROUND(AT399*AG399,2),6)</f>
        <v>0</v>
      </c>
      <c r="DD399" t="s">
        <v>3</v>
      </c>
      <c r="DE399" t="s">
        <v>3</v>
      </c>
      <c r="DF399">
        <f t="shared" si="222"/>
        <v>188.33</v>
      </c>
      <c r="DG399">
        <f t="shared" si="219"/>
        <v>0</v>
      </c>
      <c r="DH399">
        <f t="shared" si="220"/>
        <v>0</v>
      </c>
      <c r="DI399">
        <f t="shared" si="211"/>
        <v>0</v>
      </c>
      <c r="DJ399">
        <f>DF399</f>
        <v>188.33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ROW(Source!A544)</f>
        <v>544</v>
      </c>
      <c r="B400">
        <v>56959434</v>
      </c>
      <c r="C400">
        <v>56960550</v>
      </c>
      <c r="D400">
        <v>56063129</v>
      </c>
      <c r="E400">
        <v>1</v>
      </c>
      <c r="F400">
        <v>1</v>
      </c>
      <c r="G400">
        <v>1080</v>
      </c>
      <c r="H400">
        <v>3</v>
      </c>
      <c r="I400" t="s">
        <v>514</v>
      </c>
      <c r="J400" t="s">
        <v>515</v>
      </c>
      <c r="K400" t="s">
        <v>516</v>
      </c>
      <c r="L400">
        <v>1348</v>
      </c>
      <c r="N400">
        <v>1009</v>
      </c>
      <c r="O400" t="s">
        <v>291</v>
      </c>
      <c r="P400" t="s">
        <v>291</v>
      </c>
      <c r="Q400">
        <v>1000</v>
      </c>
      <c r="W400">
        <v>0</v>
      </c>
      <c r="X400">
        <v>1224372165</v>
      </c>
      <c r="Y400">
        <f>AT400</f>
        <v>2.6999999999999999E-5</v>
      </c>
      <c r="AA400">
        <v>15568.37</v>
      </c>
      <c r="AB400">
        <v>0</v>
      </c>
      <c r="AC400">
        <v>0</v>
      </c>
      <c r="AD400">
        <v>0</v>
      </c>
      <c r="AE400">
        <v>15568.37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2.6999999999999999E-5</v>
      </c>
      <c r="AU400" t="s">
        <v>3</v>
      </c>
      <c r="AV400">
        <v>0</v>
      </c>
      <c r="AW400">
        <v>2</v>
      </c>
      <c r="AX400">
        <v>56961145</v>
      </c>
      <c r="AY400">
        <v>1</v>
      </c>
      <c r="AZ400">
        <v>0</v>
      </c>
      <c r="BA400">
        <v>480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ROUND(Y400*Source!I544,9)</f>
        <v>5.3999999999999998E-5</v>
      </c>
      <c r="CY400">
        <f>AA400</f>
        <v>15568.37</v>
      </c>
      <c r="CZ400">
        <f>AE400</f>
        <v>15568.37</v>
      </c>
      <c r="DA400">
        <f>AI400</f>
        <v>1</v>
      </c>
      <c r="DB400">
        <f>ROUND(ROUND(AT400*CZ400,2),6)</f>
        <v>0.42</v>
      </c>
      <c r="DC400">
        <f>ROUND(ROUND(AT400*AG400,2),6)</f>
        <v>0</v>
      </c>
      <c r="DD400" t="s">
        <v>3</v>
      </c>
      <c r="DE400" t="s">
        <v>3</v>
      </c>
      <c r="DF400">
        <f t="shared" si="222"/>
        <v>0.84</v>
      </c>
      <c r="DG400">
        <f t="shared" si="219"/>
        <v>0</v>
      </c>
      <c r="DH400">
        <f t="shared" si="220"/>
        <v>0</v>
      </c>
      <c r="DI400">
        <f t="shared" si="211"/>
        <v>0</v>
      </c>
      <c r="DJ400">
        <f>DF400</f>
        <v>0.84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ROW(Source!A544)</f>
        <v>544</v>
      </c>
      <c r="B401">
        <v>56959434</v>
      </c>
      <c r="C401">
        <v>56960550</v>
      </c>
      <c r="D401">
        <v>56067341</v>
      </c>
      <c r="E401">
        <v>1</v>
      </c>
      <c r="F401">
        <v>1</v>
      </c>
      <c r="G401">
        <v>1080</v>
      </c>
      <c r="H401">
        <v>3</v>
      </c>
      <c r="I401" t="s">
        <v>517</v>
      </c>
      <c r="J401" t="s">
        <v>518</v>
      </c>
      <c r="K401" t="s">
        <v>519</v>
      </c>
      <c r="L401">
        <v>1355</v>
      </c>
      <c r="N401">
        <v>1010</v>
      </c>
      <c r="O401" t="s">
        <v>520</v>
      </c>
      <c r="P401" t="s">
        <v>520</v>
      </c>
      <c r="Q401">
        <v>100</v>
      </c>
      <c r="W401">
        <v>0</v>
      </c>
      <c r="X401">
        <v>-1616851610</v>
      </c>
      <c r="Y401">
        <f>AT401</f>
        <v>0.12</v>
      </c>
      <c r="AA401">
        <v>120.19</v>
      </c>
      <c r="AB401">
        <v>0</v>
      </c>
      <c r="AC401">
        <v>0</v>
      </c>
      <c r="AD401">
        <v>0</v>
      </c>
      <c r="AE401">
        <v>120.19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0.12</v>
      </c>
      <c r="AU401" t="s">
        <v>3</v>
      </c>
      <c r="AV401">
        <v>0</v>
      </c>
      <c r="AW401">
        <v>2</v>
      </c>
      <c r="AX401">
        <v>56961146</v>
      </c>
      <c r="AY401">
        <v>1</v>
      </c>
      <c r="AZ401">
        <v>0</v>
      </c>
      <c r="BA401">
        <v>481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ROUND(Y401*Source!I544,9)</f>
        <v>0.24</v>
      </c>
      <c r="CY401">
        <f>AA401</f>
        <v>120.19</v>
      </c>
      <c r="CZ401">
        <f>AE401</f>
        <v>120.19</v>
      </c>
      <c r="DA401">
        <f>AI401</f>
        <v>1</v>
      </c>
      <c r="DB401">
        <f>ROUND(ROUND(AT401*CZ401,2),6)</f>
        <v>14.42</v>
      </c>
      <c r="DC401">
        <f>ROUND(ROUND(AT401*AG401,2),6)</f>
        <v>0</v>
      </c>
      <c r="DD401" t="s">
        <v>3</v>
      </c>
      <c r="DE401" t="s">
        <v>3</v>
      </c>
      <c r="DF401">
        <f t="shared" si="222"/>
        <v>28.85</v>
      </c>
      <c r="DG401">
        <f t="shared" si="219"/>
        <v>0</v>
      </c>
      <c r="DH401">
        <f t="shared" si="220"/>
        <v>0</v>
      </c>
      <c r="DI401">
        <f t="shared" si="211"/>
        <v>0</v>
      </c>
      <c r="DJ401">
        <f>DF401</f>
        <v>28.85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ROW(Source!A544)</f>
        <v>544</v>
      </c>
      <c r="B402">
        <v>56959434</v>
      </c>
      <c r="C402">
        <v>56960550</v>
      </c>
      <c r="D402">
        <v>56083520</v>
      </c>
      <c r="E402">
        <v>1</v>
      </c>
      <c r="F402">
        <v>1</v>
      </c>
      <c r="G402">
        <v>1080</v>
      </c>
      <c r="H402">
        <v>3</v>
      </c>
      <c r="I402" t="s">
        <v>44</v>
      </c>
      <c r="J402" t="s">
        <v>46</v>
      </c>
      <c r="K402" t="s">
        <v>45</v>
      </c>
      <c r="L402">
        <v>1354</v>
      </c>
      <c r="N402">
        <v>1010</v>
      </c>
      <c r="O402" t="s">
        <v>31</v>
      </c>
      <c r="P402" t="s">
        <v>31</v>
      </c>
      <c r="Q402">
        <v>1</v>
      </c>
      <c r="W402">
        <v>0</v>
      </c>
      <c r="X402">
        <v>672353504</v>
      </c>
      <c r="Y402">
        <f>AT402</f>
        <v>1</v>
      </c>
      <c r="AA402">
        <v>1975.19</v>
      </c>
      <c r="AB402">
        <v>0</v>
      </c>
      <c r="AC402">
        <v>0</v>
      </c>
      <c r="AD402">
        <v>0</v>
      </c>
      <c r="AE402">
        <v>1975.19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3</v>
      </c>
      <c r="AT402">
        <v>1</v>
      </c>
      <c r="AU402" t="s">
        <v>3</v>
      </c>
      <c r="AV402">
        <v>0</v>
      </c>
      <c r="AW402">
        <v>1</v>
      </c>
      <c r="AX402">
        <v>-1</v>
      </c>
      <c r="AY402">
        <v>0</v>
      </c>
      <c r="AZ402">
        <v>0</v>
      </c>
      <c r="BA402" t="s">
        <v>3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ROUND(Y402*Source!I544,9)</f>
        <v>2</v>
      </c>
      <c r="CY402">
        <f>AA402</f>
        <v>1975.19</v>
      </c>
      <c r="CZ402">
        <f>AE402</f>
        <v>1975.19</v>
      </c>
      <c r="DA402">
        <f>AI402</f>
        <v>1</v>
      </c>
      <c r="DB402">
        <f>ROUND(ROUND(AT402*CZ402,2),6)</f>
        <v>1975.19</v>
      </c>
      <c r="DC402">
        <f>ROUND(ROUND(AT402*AG402,2),6)</f>
        <v>0</v>
      </c>
      <c r="DD402" t="s">
        <v>3</v>
      </c>
      <c r="DE402" t="s">
        <v>3</v>
      </c>
      <c r="DF402">
        <f t="shared" si="222"/>
        <v>3950.38</v>
      </c>
      <c r="DG402">
        <f t="shared" si="219"/>
        <v>0</v>
      </c>
      <c r="DH402">
        <f t="shared" si="220"/>
        <v>0</v>
      </c>
      <c r="DI402">
        <f t="shared" si="211"/>
        <v>0</v>
      </c>
      <c r="DJ402">
        <f>DF402</f>
        <v>3950.38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ROW(Source!A544)</f>
        <v>544</v>
      </c>
      <c r="B403">
        <v>56959434</v>
      </c>
      <c r="C403">
        <v>56960550</v>
      </c>
      <c r="D403">
        <v>56023168</v>
      </c>
      <c r="E403">
        <v>1080</v>
      </c>
      <c r="F403">
        <v>1</v>
      </c>
      <c r="G403">
        <v>1080</v>
      </c>
      <c r="H403">
        <v>3</v>
      </c>
      <c r="I403" t="s">
        <v>521</v>
      </c>
      <c r="J403" t="s">
        <v>3</v>
      </c>
      <c r="K403" t="s">
        <v>522</v>
      </c>
      <c r="L403">
        <v>1348</v>
      </c>
      <c r="N403">
        <v>1009</v>
      </c>
      <c r="O403" t="s">
        <v>291</v>
      </c>
      <c r="P403" t="s">
        <v>291</v>
      </c>
      <c r="Q403">
        <v>1000</v>
      </c>
      <c r="W403">
        <v>0</v>
      </c>
      <c r="X403">
        <v>-783086922</v>
      </c>
      <c r="Y403">
        <f>AT403</f>
        <v>2.7E-2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2.7E-2</v>
      </c>
      <c r="AU403" t="s">
        <v>3</v>
      </c>
      <c r="AV403">
        <v>0</v>
      </c>
      <c r="AW403">
        <v>2</v>
      </c>
      <c r="AX403">
        <v>56961148</v>
      </c>
      <c r="AY403">
        <v>1</v>
      </c>
      <c r="AZ403">
        <v>0</v>
      </c>
      <c r="BA403">
        <v>483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ROUND(Y403*Source!I544,9)</f>
        <v>5.3999999999999999E-2</v>
      </c>
      <c r="CY403">
        <f>AA403</f>
        <v>0</v>
      </c>
      <c r="CZ403">
        <f>AE403</f>
        <v>0</v>
      </c>
      <c r="DA403">
        <f>AI403</f>
        <v>1</v>
      </c>
      <c r="DB403">
        <f>ROUND(ROUND(AT403*CZ403,2),6)</f>
        <v>0</v>
      </c>
      <c r="DC403">
        <f>ROUND(ROUND(AT403*AG403,2),6)</f>
        <v>0</v>
      </c>
      <c r="DD403" t="s">
        <v>3</v>
      </c>
      <c r="DE403" t="s">
        <v>3</v>
      </c>
      <c r="DF403">
        <f t="shared" si="222"/>
        <v>0</v>
      </c>
      <c r="DG403">
        <f t="shared" si="219"/>
        <v>0</v>
      </c>
      <c r="DH403">
        <f t="shared" si="220"/>
        <v>0</v>
      </c>
      <c r="DI403">
        <f t="shared" si="211"/>
        <v>0</v>
      </c>
      <c r="DJ403">
        <f>DF403</f>
        <v>0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ROW(Source!A545)</f>
        <v>545</v>
      </c>
      <c r="B404">
        <v>56959431</v>
      </c>
      <c r="C404">
        <v>56960550</v>
      </c>
      <c r="D404">
        <v>56018166</v>
      </c>
      <c r="E404">
        <v>1080</v>
      </c>
      <c r="F404">
        <v>1</v>
      </c>
      <c r="G404">
        <v>1080</v>
      </c>
      <c r="H404">
        <v>1</v>
      </c>
      <c r="I404" t="s">
        <v>500</v>
      </c>
      <c r="J404" t="s">
        <v>3</v>
      </c>
      <c r="K404" t="s">
        <v>501</v>
      </c>
      <c r="L404">
        <v>1191</v>
      </c>
      <c r="N404">
        <v>1013</v>
      </c>
      <c r="O404" t="s">
        <v>502</v>
      </c>
      <c r="P404" t="s">
        <v>502</v>
      </c>
      <c r="Q404">
        <v>1</v>
      </c>
      <c r="W404">
        <v>0</v>
      </c>
      <c r="X404">
        <v>476480486</v>
      </c>
      <c r="Y404">
        <f>(AT404*1.1)</f>
        <v>2.2000000000000002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5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2</v>
      </c>
      <c r="AU404" t="s">
        <v>23</v>
      </c>
      <c r="AV404">
        <v>1</v>
      </c>
      <c r="AW404">
        <v>2</v>
      </c>
      <c r="AX404">
        <v>56961142</v>
      </c>
      <c r="AY404">
        <v>1</v>
      </c>
      <c r="AZ404">
        <v>0</v>
      </c>
      <c r="BA404">
        <v>484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U404">
        <f>ROUND(AT404*Source!I545*AH404*AL404,2)</f>
        <v>0</v>
      </c>
      <c r="CV404">
        <f>ROUND(Y404*Source!I545,9)</f>
        <v>4.4000000000000004</v>
      </c>
      <c r="CW404">
        <v>0</v>
      </c>
      <c r="CX404">
        <f>ROUND(Y404*Source!I545,9)</f>
        <v>4.4000000000000004</v>
      </c>
      <c r="CY404">
        <f>AD404</f>
        <v>0</v>
      </c>
      <c r="CZ404">
        <f>AH404</f>
        <v>0</v>
      </c>
      <c r="DA404">
        <f>AL404</f>
        <v>1</v>
      </c>
      <c r="DB404">
        <f>ROUND((ROUND(AT404*CZ404,2)*1.1),6)</f>
        <v>0</v>
      </c>
      <c r="DC404">
        <f>ROUND((ROUND(AT404*AG404,2)*1.1),6)</f>
        <v>0</v>
      </c>
      <c r="DD404" t="s">
        <v>3</v>
      </c>
      <c r="DE404" t="s">
        <v>3</v>
      </c>
      <c r="DF404">
        <f t="shared" si="222"/>
        <v>0</v>
      </c>
      <c r="DG404">
        <f t="shared" si="219"/>
        <v>0</v>
      </c>
      <c r="DH404">
        <f t="shared" si="220"/>
        <v>0</v>
      </c>
      <c r="DI404">
        <f t="shared" si="211"/>
        <v>0</v>
      </c>
      <c r="DJ404">
        <f>DI404</f>
        <v>0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ROW(Source!A545)</f>
        <v>545</v>
      </c>
      <c r="B405">
        <v>56959431</v>
      </c>
      <c r="C405">
        <v>56960550</v>
      </c>
      <c r="D405">
        <v>56092342</v>
      </c>
      <c r="E405">
        <v>1</v>
      </c>
      <c r="F405">
        <v>1</v>
      </c>
      <c r="G405">
        <v>1080</v>
      </c>
      <c r="H405">
        <v>2</v>
      </c>
      <c r="I405" t="s">
        <v>508</v>
      </c>
      <c r="J405" t="s">
        <v>509</v>
      </c>
      <c r="K405" t="s">
        <v>510</v>
      </c>
      <c r="L405">
        <v>1368</v>
      </c>
      <c r="N405">
        <v>1011</v>
      </c>
      <c r="O405" t="s">
        <v>506</v>
      </c>
      <c r="P405" t="s">
        <v>506</v>
      </c>
      <c r="Q405">
        <v>1</v>
      </c>
      <c r="W405">
        <v>0</v>
      </c>
      <c r="X405">
        <v>1346534067</v>
      </c>
      <c r="Y405">
        <f>(AT405*1.1)</f>
        <v>2.2000000000000002E-2</v>
      </c>
      <c r="AA405">
        <v>0</v>
      </c>
      <c r="AB405">
        <v>1742.83</v>
      </c>
      <c r="AC405">
        <v>726.59</v>
      </c>
      <c r="AD405">
        <v>0</v>
      </c>
      <c r="AE405">
        <v>0</v>
      </c>
      <c r="AF405">
        <v>119.07</v>
      </c>
      <c r="AG405">
        <v>12.62</v>
      </c>
      <c r="AH405">
        <v>0</v>
      </c>
      <c r="AI405">
        <v>1</v>
      </c>
      <c r="AJ405">
        <v>13.98</v>
      </c>
      <c r="AK405">
        <v>54.99</v>
      </c>
      <c r="AL405">
        <v>1</v>
      </c>
      <c r="AM405">
        <v>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0.02</v>
      </c>
      <c r="AU405" t="s">
        <v>23</v>
      </c>
      <c r="AV405">
        <v>0</v>
      </c>
      <c r="AW405">
        <v>2</v>
      </c>
      <c r="AX405">
        <v>56961143</v>
      </c>
      <c r="AY405">
        <v>1</v>
      </c>
      <c r="AZ405">
        <v>0</v>
      </c>
      <c r="BA405">
        <v>485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f>ROUND(Y405*Source!I545*DO405,9)</f>
        <v>0.55528</v>
      </c>
      <c r="CX405">
        <f>ROUND(Y405*Source!I545,9)</f>
        <v>4.3999999999999997E-2</v>
      </c>
      <c r="CY405">
        <f>AB405</f>
        <v>1742.83</v>
      </c>
      <c r="CZ405">
        <f>AF405</f>
        <v>119.07</v>
      </c>
      <c r="DA405">
        <f>AJ405</f>
        <v>13.98</v>
      </c>
      <c r="DB405">
        <f>ROUND((ROUND(AT405*CZ405,2)*1.1),6)</f>
        <v>2.6179999999999999</v>
      </c>
      <c r="DC405">
        <f>ROUND((ROUND(AT405*AG405,2)*1.1),6)</f>
        <v>0.27500000000000002</v>
      </c>
      <c r="DD405" t="s">
        <v>3</v>
      </c>
      <c r="DE405" t="s">
        <v>3</v>
      </c>
      <c r="DF405">
        <f t="shared" si="222"/>
        <v>0</v>
      </c>
      <c r="DG405">
        <f>ROUND(ROUND(AF405*AJ405,2)*CX405,2)</f>
        <v>73.239999999999995</v>
      </c>
      <c r="DH405">
        <f>ROUND(ROUND(AG405*AK405,2)*CX405,2)</f>
        <v>30.53</v>
      </c>
      <c r="DI405">
        <f t="shared" si="211"/>
        <v>0</v>
      </c>
      <c r="DJ405">
        <f>DG405</f>
        <v>73.239999999999995</v>
      </c>
      <c r="DK405">
        <v>0</v>
      </c>
      <c r="DL405" t="s">
        <v>507</v>
      </c>
      <c r="DM405">
        <v>0</v>
      </c>
      <c r="DN405" t="s">
        <v>502</v>
      </c>
      <c r="DO405">
        <v>12.62</v>
      </c>
    </row>
    <row r="406" spans="1:119" x14ac:dyDescent="0.2">
      <c r="A406">
        <f>ROW(Source!A545)</f>
        <v>545</v>
      </c>
      <c r="B406">
        <v>56959431</v>
      </c>
      <c r="C406">
        <v>56960550</v>
      </c>
      <c r="D406">
        <v>56061656</v>
      </c>
      <c r="E406">
        <v>1</v>
      </c>
      <c r="F406">
        <v>1</v>
      </c>
      <c r="G406">
        <v>1080</v>
      </c>
      <c r="H406">
        <v>3</v>
      </c>
      <c r="I406" t="s">
        <v>511</v>
      </c>
      <c r="J406" t="s">
        <v>512</v>
      </c>
      <c r="K406" t="s">
        <v>513</v>
      </c>
      <c r="L406">
        <v>1346</v>
      </c>
      <c r="N406">
        <v>1009</v>
      </c>
      <c r="O406" t="s">
        <v>249</v>
      </c>
      <c r="P406" t="s">
        <v>249</v>
      </c>
      <c r="Q406">
        <v>1</v>
      </c>
      <c r="W406">
        <v>0</v>
      </c>
      <c r="X406">
        <v>444134433</v>
      </c>
      <c r="Y406">
        <f>AT406</f>
        <v>0.9</v>
      </c>
      <c r="AA406">
        <v>183.1</v>
      </c>
      <c r="AB406">
        <v>0</v>
      </c>
      <c r="AC406">
        <v>0</v>
      </c>
      <c r="AD406">
        <v>0</v>
      </c>
      <c r="AE406">
        <v>104.63</v>
      </c>
      <c r="AF406">
        <v>0</v>
      </c>
      <c r="AG406">
        <v>0</v>
      </c>
      <c r="AH406">
        <v>0</v>
      </c>
      <c r="AI406">
        <v>1.75</v>
      </c>
      <c r="AJ406">
        <v>1</v>
      </c>
      <c r="AK406">
        <v>1</v>
      </c>
      <c r="AL406">
        <v>1</v>
      </c>
      <c r="AM406">
        <v>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0.9</v>
      </c>
      <c r="AU406" t="s">
        <v>3</v>
      </c>
      <c r="AV406">
        <v>0</v>
      </c>
      <c r="AW406">
        <v>2</v>
      </c>
      <c r="AX406">
        <v>56961144</v>
      </c>
      <c r="AY406">
        <v>1</v>
      </c>
      <c r="AZ406">
        <v>0</v>
      </c>
      <c r="BA406">
        <v>486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ROUND(Y406*Source!I545,9)</f>
        <v>1.8</v>
      </c>
      <c r="CY406">
        <f>AA406</f>
        <v>183.1</v>
      </c>
      <c r="CZ406">
        <f>AE406</f>
        <v>104.63</v>
      </c>
      <c r="DA406">
        <f>AI406</f>
        <v>1.75</v>
      </c>
      <c r="DB406">
        <f>ROUND(ROUND(AT406*CZ406,2),6)</f>
        <v>94.17</v>
      </c>
      <c r="DC406">
        <f>ROUND(ROUND(AT406*AG406,2),6)</f>
        <v>0</v>
      </c>
      <c r="DD406" t="s">
        <v>3</v>
      </c>
      <c r="DE406" t="s">
        <v>3</v>
      </c>
      <c r="DF406">
        <f>ROUND(ROUND(AE406*AI406,2)*CX406,2)</f>
        <v>329.58</v>
      </c>
      <c r="DG406">
        <f t="shared" ref="DG406:DG415" si="223">ROUND(ROUND(AF406,2)*CX406,2)</f>
        <v>0</v>
      </c>
      <c r="DH406">
        <f t="shared" ref="DH406:DH415" si="224">ROUND(ROUND(AG406,2)*CX406,2)</f>
        <v>0</v>
      </c>
      <c r="DI406">
        <f t="shared" si="211"/>
        <v>0</v>
      </c>
      <c r="DJ406">
        <f>DF406</f>
        <v>329.58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ROW(Source!A545)</f>
        <v>545</v>
      </c>
      <c r="B407">
        <v>56959431</v>
      </c>
      <c r="C407">
        <v>56960550</v>
      </c>
      <c r="D407">
        <v>56063129</v>
      </c>
      <c r="E407">
        <v>1</v>
      </c>
      <c r="F407">
        <v>1</v>
      </c>
      <c r="G407">
        <v>1080</v>
      </c>
      <c r="H407">
        <v>3</v>
      </c>
      <c r="I407" t="s">
        <v>514</v>
      </c>
      <c r="J407" t="s">
        <v>515</v>
      </c>
      <c r="K407" t="s">
        <v>516</v>
      </c>
      <c r="L407">
        <v>1348</v>
      </c>
      <c r="N407">
        <v>1009</v>
      </c>
      <c r="O407" t="s">
        <v>291</v>
      </c>
      <c r="P407" t="s">
        <v>291</v>
      </c>
      <c r="Q407">
        <v>1000</v>
      </c>
      <c r="W407">
        <v>0</v>
      </c>
      <c r="X407">
        <v>1224372165</v>
      </c>
      <c r="Y407">
        <f>AT407</f>
        <v>2.6999999999999999E-5</v>
      </c>
      <c r="AA407">
        <v>176389.63</v>
      </c>
      <c r="AB407">
        <v>0</v>
      </c>
      <c r="AC407">
        <v>0</v>
      </c>
      <c r="AD407">
        <v>0</v>
      </c>
      <c r="AE407">
        <v>15568.37</v>
      </c>
      <c r="AF407">
        <v>0</v>
      </c>
      <c r="AG407">
        <v>0</v>
      </c>
      <c r="AH407">
        <v>0</v>
      </c>
      <c r="AI407">
        <v>11.33</v>
      </c>
      <c r="AJ407">
        <v>1</v>
      </c>
      <c r="AK407">
        <v>1</v>
      </c>
      <c r="AL407">
        <v>1</v>
      </c>
      <c r="AM407">
        <v>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2.6999999999999999E-5</v>
      </c>
      <c r="AU407" t="s">
        <v>3</v>
      </c>
      <c r="AV407">
        <v>0</v>
      </c>
      <c r="AW407">
        <v>2</v>
      </c>
      <c r="AX407">
        <v>56961145</v>
      </c>
      <c r="AY407">
        <v>1</v>
      </c>
      <c r="AZ407">
        <v>0</v>
      </c>
      <c r="BA407">
        <v>487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ROUND(Y407*Source!I545,9)</f>
        <v>5.3999999999999998E-5</v>
      </c>
      <c r="CY407">
        <f>AA407</f>
        <v>176389.63</v>
      </c>
      <c r="CZ407">
        <f>AE407</f>
        <v>15568.37</v>
      </c>
      <c r="DA407">
        <f>AI407</f>
        <v>11.33</v>
      </c>
      <c r="DB407">
        <f>ROUND(ROUND(AT407*CZ407,2),6)</f>
        <v>0.42</v>
      </c>
      <c r="DC407">
        <f>ROUND(ROUND(AT407*AG407,2),6)</f>
        <v>0</v>
      </c>
      <c r="DD407" t="s">
        <v>3</v>
      </c>
      <c r="DE407" t="s">
        <v>3</v>
      </c>
      <c r="DF407">
        <f>ROUND(ROUND(AE407*AI407,2)*CX407,2)</f>
        <v>9.5299999999999994</v>
      </c>
      <c r="DG407">
        <f t="shared" si="223"/>
        <v>0</v>
      </c>
      <c r="DH407">
        <f t="shared" si="224"/>
        <v>0</v>
      </c>
      <c r="DI407">
        <f t="shared" si="211"/>
        <v>0</v>
      </c>
      <c r="DJ407">
        <f>DF407</f>
        <v>9.5299999999999994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ROW(Source!A545)</f>
        <v>545</v>
      </c>
      <c r="B408">
        <v>56959431</v>
      </c>
      <c r="C408">
        <v>56960550</v>
      </c>
      <c r="D408">
        <v>56067341</v>
      </c>
      <c r="E408">
        <v>1</v>
      </c>
      <c r="F408">
        <v>1</v>
      </c>
      <c r="G408">
        <v>1080</v>
      </c>
      <c r="H408">
        <v>3</v>
      </c>
      <c r="I408" t="s">
        <v>517</v>
      </c>
      <c r="J408" t="s">
        <v>518</v>
      </c>
      <c r="K408" t="s">
        <v>519</v>
      </c>
      <c r="L408">
        <v>1355</v>
      </c>
      <c r="N408">
        <v>1010</v>
      </c>
      <c r="O408" t="s">
        <v>520</v>
      </c>
      <c r="P408" t="s">
        <v>520</v>
      </c>
      <c r="Q408">
        <v>100</v>
      </c>
      <c r="W408">
        <v>0</v>
      </c>
      <c r="X408">
        <v>-1616851610</v>
      </c>
      <c r="Y408">
        <f>AT408</f>
        <v>0.12</v>
      </c>
      <c r="AA408">
        <v>1542.04</v>
      </c>
      <c r="AB408">
        <v>0</v>
      </c>
      <c r="AC408">
        <v>0</v>
      </c>
      <c r="AD408">
        <v>0</v>
      </c>
      <c r="AE408">
        <v>120.19</v>
      </c>
      <c r="AF408">
        <v>0</v>
      </c>
      <c r="AG408">
        <v>0</v>
      </c>
      <c r="AH408">
        <v>0</v>
      </c>
      <c r="AI408">
        <v>12.83</v>
      </c>
      <c r="AJ408">
        <v>1</v>
      </c>
      <c r="AK408">
        <v>1</v>
      </c>
      <c r="AL408">
        <v>1</v>
      </c>
      <c r="AM408">
        <v>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0.12</v>
      </c>
      <c r="AU408" t="s">
        <v>3</v>
      </c>
      <c r="AV408">
        <v>0</v>
      </c>
      <c r="AW408">
        <v>2</v>
      </c>
      <c r="AX408">
        <v>56961146</v>
      </c>
      <c r="AY408">
        <v>1</v>
      </c>
      <c r="AZ408">
        <v>0</v>
      </c>
      <c r="BA408">
        <v>488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ROUND(Y408*Source!I545,9)</f>
        <v>0.24</v>
      </c>
      <c r="CY408">
        <f>AA408</f>
        <v>1542.04</v>
      </c>
      <c r="CZ408">
        <f>AE408</f>
        <v>120.19</v>
      </c>
      <c r="DA408">
        <f>AI408</f>
        <v>12.83</v>
      </c>
      <c r="DB408">
        <f>ROUND(ROUND(AT408*CZ408,2),6)</f>
        <v>14.42</v>
      </c>
      <c r="DC408">
        <f>ROUND(ROUND(AT408*AG408,2),6)</f>
        <v>0</v>
      </c>
      <c r="DD408" t="s">
        <v>3</v>
      </c>
      <c r="DE408" t="s">
        <v>3</v>
      </c>
      <c r="DF408">
        <f>ROUND(ROUND(AE408*AI408,2)*CX408,2)</f>
        <v>370.09</v>
      </c>
      <c r="DG408">
        <f t="shared" si="223"/>
        <v>0</v>
      </c>
      <c r="DH408">
        <f t="shared" si="224"/>
        <v>0</v>
      </c>
      <c r="DI408">
        <f t="shared" si="211"/>
        <v>0</v>
      </c>
      <c r="DJ408">
        <f>DF408</f>
        <v>370.09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ROW(Source!A545)</f>
        <v>545</v>
      </c>
      <c r="B409">
        <v>56959431</v>
      </c>
      <c r="C409">
        <v>56960550</v>
      </c>
      <c r="D409">
        <v>56083520</v>
      </c>
      <c r="E409">
        <v>1</v>
      </c>
      <c r="F409">
        <v>1</v>
      </c>
      <c r="G409">
        <v>1080</v>
      </c>
      <c r="H409">
        <v>3</v>
      </c>
      <c r="I409" t="s">
        <v>44</v>
      </c>
      <c r="J409" t="s">
        <v>46</v>
      </c>
      <c r="K409" t="s">
        <v>45</v>
      </c>
      <c r="L409">
        <v>1354</v>
      </c>
      <c r="N409">
        <v>1010</v>
      </c>
      <c r="O409" t="s">
        <v>31</v>
      </c>
      <c r="P409" t="s">
        <v>31</v>
      </c>
      <c r="Q409">
        <v>1</v>
      </c>
      <c r="W409">
        <v>0</v>
      </c>
      <c r="X409">
        <v>672353504</v>
      </c>
      <c r="Y409">
        <f>AT409</f>
        <v>1</v>
      </c>
      <c r="AA409">
        <v>13549.8</v>
      </c>
      <c r="AB409">
        <v>0</v>
      </c>
      <c r="AC409">
        <v>0</v>
      </c>
      <c r="AD409">
        <v>0</v>
      </c>
      <c r="AE409">
        <v>1975.19</v>
      </c>
      <c r="AF409">
        <v>0</v>
      </c>
      <c r="AG409">
        <v>0</v>
      </c>
      <c r="AH409">
        <v>0</v>
      </c>
      <c r="AI409">
        <v>6.86</v>
      </c>
      <c r="AJ409">
        <v>1</v>
      </c>
      <c r="AK409">
        <v>1</v>
      </c>
      <c r="AL409">
        <v>1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 t="s">
        <v>3</v>
      </c>
      <c r="AT409">
        <v>1</v>
      </c>
      <c r="AU409" t="s">
        <v>3</v>
      </c>
      <c r="AV409">
        <v>0</v>
      </c>
      <c r="AW409">
        <v>1</v>
      </c>
      <c r="AX409">
        <v>-1</v>
      </c>
      <c r="AY409">
        <v>0</v>
      </c>
      <c r="AZ409">
        <v>0</v>
      </c>
      <c r="BA409" t="s">
        <v>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ROUND(Y409*Source!I545,9)</f>
        <v>2</v>
      </c>
      <c r="CY409">
        <f>AA409</f>
        <v>13549.8</v>
      </c>
      <c r="CZ409">
        <f>AE409</f>
        <v>1975.19</v>
      </c>
      <c r="DA409">
        <f>AI409</f>
        <v>6.86</v>
      </c>
      <c r="DB409">
        <f>ROUND(ROUND(AT409*CZ409,2),6)</f>
        <v>1975.19</v>
      </c>
      <c r="DC409">
        <f>ROUND(ROUND(AT409*AG409,2),6)</f>
        <v>0</v>
      </c>
      <c r="DD409" t="s">
        <v>3</v>
      </c>
      <c r="DE409" t="s">
        <v>3</v>
      </c>
      <c r="DF409">
        <f>ROUND(ROUND(AE409*AI409,2)*CX409,2)</f>
        <v>27099.599999999999</v>
      </c>
      <c r="DG409">
        <f t="shared" si="223"/>
        <v>0</v>
      </c>
      <c r="DH409">
        <f t="shared" si="224"/>
        <v>0</v>
      </c>
      <c r="DI409">
        <f t="shared" si="211"/>
        <v>0</v>
      </c>
      <c r="DJ409">
        <f>DF409</f>
        <v>27099.599999999999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ROW(Source!A545)</f>
        <v>545</v>
      </c>
      <c r="B410">
        <v>56959431</v>
      </c>
      <c r="C410">
        <v>56960550</v>
      </c>
      <c r="D410">
        <v>56023168</v>
      </c>
      <c r="E410">
        <v>1080</v>
      </c>
      <c r="F410">
        <v>1</v>
      </c>
      <c r="G410">
        <v>1080</v>
      </c>
      <c r="H410">
        <v>3</v>
      </c>
      <c r="I410" t="s">
        <v>521</v>
      </c>
      <c r="J410" t="s">
        <v>3</v>
      </c>
      <c r="K410" t="s">
        <v>522</v>
      </c>
      <c r="L410">
        <v>1348</v>
      </c>
      <c r="N410">
        <v>1009</v>
      </c>
      <c r="O410" t="s">
        <v>291</v>
      </c>
      <c r="P410" t="s">
        <v>291</v>
      </c>
      <c r="Q410">
        <v>1000</v>
      </c>
      <c r="W410">
        <v>0</v>
      </c>
      <c r="X410">
        <v>-783086922</v>
      </c>
      <c r="Y410">
        <f>AT410</f>
        <v>2.7E-2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9.8800000000000008</v>
      </c>
      <c r="AJ410">
        <v>1</v>
      </c>
      <c r="AK410">
        <v>1</v>
      </c>
      <c r="AL410">
        <v>1</v>
      </c>
      <c r="AM410">
        <v>5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2.7E-2</v>
      </c>
      <c r="AU410" t="s">
        <v>3</v>
      </c>
      <c r="AV410">
        <v>0</v>
      </c>
      <c r="AW410">
        <v>2</v>
      </c>
      <c r="AX410">
        <v>56961148</v>
      </c>
      <c r="AY410">
        <v>1</v>
      </c>
      <c r="AZ410">
        <v>0</v>
      </c>
      <c r="BA410">
        <v>490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ROUND(Y410*Source!I545,9)</f>
        <v>5.3999999999999999E-2</v>
      </c>
      <c r="CY410">
        <f>AA410</f>
        <v>0</v>
      </c>
      <c r="CZ410">
        <f>AE410</f>
        <v>0</v>
      </c>
      <c r="DA410">
        <f>AI410</f>
        <v>9.8800000000000008</v>
      </c>
      <c r="DB410">
        <f>ROUND(ROUND(AT410*CZ410,2),6)</f>
        <v>0</v>
      </c>
      <c r="DC410">
        <f>ROUND(ROUND(AT410*AG410,2),6)</f>
        <v>0</v>
      </c>
      <c r="DD410" t="s">
        <v>3</v>
      </c>
      <c r="DE410" t="s">
        <v>3</v>
      </c>
      <c r="DF410">
        <f>ROUND(ROUND(AE410*AI410,2)*CX410,2)</f>
        <v>0</v>
      </c>
      <c r="DG410">
        <f t="shared" si="223"/>
        <v>0</v>
      </c>
      <c r="DH410">
        <f t="shared" si="224"/>
        <v>0</v>
      </c>
      <c r="DI410">
        <f t="shared" si="211"/>
        <v>0</v>
      </c>
      <c r="DJ410">
        <f>DF410</f>
        <v>0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ROW(Source!A548)</f>
        <v>548</v>
      </c>
      <c r="B411">
        <v>56959434</v>
      </c>
      <c r="C411">
        <v>56960566</v>
      </c>
      <c r="D411">
        <v>56018166</v>
      </c>
      <c r="E411">
        <v>1080</v>
      </c>
      <c r="F411">
        <v>1</v>
      </c>
      <c r="G411">
        <v>1080</v>
      </c>
      <c r="H411">
        <v>1</v>
      </c>
      <c r="I411" t="s">
        <v>500</v>
      </c>
      <c r="J411" t="s">
        <v>3</v>
      </c>
      <c r="K411" t="s">
        <v>501</v>
      </c>
      <c r="L411">
        <v>1191</v>
      </c>
      <c r="N411">
        <v>1013</v>
      </c>
      <c r="O411" t="s">
        <v>502</v>
      </c>
      <c r="P411" t="s">
        <v>502</v>
      </c>
      <c r="Q411">
        <v>1</v>
      </c>
      <c r="W411">
        <v>0</v>
      </c>
      <c r="X411">
        <v>476480486</v>
      </c>
      <c r="Y411">
        <f>(AT411*1.1)</f>
        <v>32.956000000000003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-2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29.96</v>
      </c>
      <c r="AU411" t="s">
        <v>23</v>
      </c>
      <c r="AV411">
        <v>1</v>
      </c>
      <c r="AW411">
        <v>2</v>
      </c>
      <c r="AX411">
        <v>56961149</v>
      </c>
      <c r="AY411">
        <v>1</v>
      </c>
      <c r="AZ411">
        <v>0</v>
      </c>
      <c r="BA411">
        <v>491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U411">
        <f>ROUND(AT411*Source!I548*AH411*AL411,2)</f>
        <v>0</v>
      </c>
      <c r="CV411">
        <f>ROUND(Y411*Source!I548,9)</f>
        <v>6.5911999999999997</v>
      </c>
      <c r="CW411">
        <v>0</v>
      </c>
      <c r="CX411">
        <f>ROUND(Y411*Source!I548,9)</f>
        <v>6.5911999999999997</v>
      </c>
      <c r="CY411">
        <f>AD411</f>
        <v>0</v>
      </c>
      <c r="CZ411">
        <f>AH411</f>
        <v>0</v>
      </c>
      <c r="DA411">
        <f>AL411</f>
        <v>1</v>
      </c>
      <c r="DB411">
        <f>ROUND((ROUND(AT411*CZ411,2)*1.1),6)</f>
        <v>0</v>
      </c>
      <c r="DC411">
        <f>ROUND((ROUND(AT411*AG411,2)*1.1),6)</f>
        <v>0</v>
      </c>
      <c r="DD411" t="s">
        <v>3</v>
      </c>
      <c r="DE411" t="s">
        <v>3</v>
      </c>
      <c r="DF411">
        <f t="shared" ref="DF411:DF417" si="225">ROUND(ROUND(AE411,2)*CX411,2)</f>
        <v>0</v>
      </c>
      <c r="DG411">
        <f t="shared" si="223"/>
        <v>0</v>
      </c>
      <c r="DH411">
        <f t="shared" si="224"/>
        <v>0</v>
      </c>
      <c r="DI411">
        <f t="shared" si="211"/>
        <v>0</v>
      </c>
      <c r="DJ411">
        <f>DI411</f>
        <v>0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ROW(Source!A548)</f>
        <v>548</v>
      </c>
      <c r="B412">
        <v>56959434</v>
      </c>
      <c r="C412">
        <v>56960566</v>
      </c>
      <c r="D412">
        <v>56092340</v>
      </c>
      <c r="E412">
        <v>1</v>
      </c>
      <c r="F412">
        <v>1</v>
      </c>
      <c r="G412">
        <v>1080</v>
      </c>
      <c r="H412">
        <v>2</v>
      </c>
      <c r="I412" t="s">
        <v>503</v>
      </c>
      <c r="J412" t="s">
        <v>504</v>
      </c>
      <c r="K412" t="s">
        <v>505</v>
      </c>
      <c r="L412">
        <v>1368</v>
      </c>
      <c r="N412">
        <v>1011</v>
      </c>
      <c r="O412" t="s">
        <v>506</v>
      </c>
      <c r="P412" t="s">
        <v>506</v>
      </c>
      <c r="Q412">
        <v>1</v>
      </c>
      <c r="W412">
        <v>0</v>
      </c>
      <c r="X412">
        <v>-1985943078</v>
      </c>
      <c r="Y412">
        <f>(AT412*1.1)</f>
        <v>1.1000000000000001E-2</v>
      </c>
      <c r="AA412">
        <v>0</v>
      </c>
      <c r="AB412">
        <v>87.01</v>
      </c>
      <c r="AC412">
        <v>13.21</v>
      </c>
      <c r="AD412">
        <v>0</v>
      </c>
      <c r="AE412">
        <v>0</v>
      </c>
      <c r="AF412">
        <v>83.1</v>
      </c>
      <c r="AG412">
        <v>12.62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-2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0.01</v>
      </c>
      <c r="AU412" t="s">
        <v>23</v>
      </c>
      <c r="AV412">
        <v>0</v>
      </c>
      <c r="AW412">
        <v>2</v>
      </c>
      <c r="AX412">
        <v>56961150</v>
      </c>
      <c r="AY412">
        <v>1</v>
      </c>
      <c r="AZ412">
        <v>0</v>
      </c>
      <c r="BA412">
        <v>492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ROUND(Y412*Source!I548*DO412,9)</f>
        <v>2.7764E-2</v>
      </c>
      <c r="CX412">
        <f>ROUND(Y412*Source!I548,9)</f>
        <v>2.2000000000000001E-3</v>
      </c>
      <c r="CY412">
        <f>AB412</f>
        <v>87.01</v>
      </c>
      <c r="CZ412">
        <f>AF412</f>
        <v>83.1</v>
      </c>
      <c r="DA412">
        <f>AJ412</f>
        <v>1</v>
      </c>
      <c r="DB412">
        <f>ROUND((ROUND(AT412*CZ412,2)*1.1),6)</f>
        <v>0.91300000000000003</v>
      </c>
      <c r="DC412">
        <f>ROUND((ROUND(AT412*AG412,2)*1.1),6)</f>
        <v>0.14299999999999999</v>
      </c>
      <c r="DD412" t="s">
        <v>3</v>
      </c>
      <c r="DE412" t="s">
        <v>3</v>
      </c>
      <c r="DF412">
        <f t="shared" si="225"/>
        <v>0</v>
      </c>
      <c r="DG412">
        <f t="shared" si="223"/>
        <v>0.18</v>
      </c>
      <c r="DH412">
        <f t="shared" si="224"/>
        <v>0.03</v>
      </c>
      <c r="DI412">
        <f t="shared" si="211"/>
        <v>0</v>
      </c>
      <c r="DJ412">
        <f>DG412</f>
        <v>0.18</v>
      </c>
      <c r="DK412">
        <v>0</v>
      </c>
      <c r="DL412" t="s">
        <v>507</v>
      </c>
      <c r="DM412">
        <v>0</v>
      </c>
      <c r="DN412" t="s">
        <v>502</v>
      </c>
      <c r="DO412">
        <v>12.62</v>
      </c>
    </row>
    <row r="413" spans="1:119" x14ac:dyDescent="0.2">
      <c r="A413">
        <f>ROW(Source!A548)</f>
        <v>548</v>
      </c>
      <c r="B413">
        <v>56959434</v>
      </c>
      <c r="C413">
        <v>56960566</v>
      </c>
      <c r="D413">
        <v>56092425</v>
      </c>
      <c r="E413">
        <v>1</v>
      </c>
      <c r="F413">
        <v>1</v>
      </c>
      <c r="G413">
        <v>1080</v>
      </c>
      <c r="H413">
        <v>2</v>
      </c>
      <c r="I413" t="s">
        <v>523</v>
      </c>
      <c r="J413" t="s">
        <v>524</v>
      </c>
      <c r="K413" t="s">
        <v>525</v>
      </c>
      <c r="L413">
        <v>1368</v>
      </c>
      <c r="N413">
        <v>1011</v>
      </c>
      <c r="O413" t="s">
        <v>506</v>
      </c>
      <c r="P413" t="s">
        <v>506</v>
      </c>
      <c r="Q413">
        <v>1</v>
      </c>
      <c r="W413">
        <v>0</v>
      </c>
      <c r="X413">
        <v>1645565003</v>
      </c>
      <c r="Y413">
        <f>(AT413*1.1)</f>
        <v>0.63800000000000001</v>
      </c>
      <c r="AA413">
        <v>0</v>
      </c>
      <c r="AB413">
        <v>0.49</v>
      </c>
      <c r="AC413">
        <v>0</v>
      </c>
      <c r="AD413">
        <v>0</v>
      </c>
      <c r="AE413">
        <v>0</v>
      </c>
      <c r="AF413">
        <v>0.47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0.57999999999999996</v>
      </c>
      <c r="AU413" t="s">
        <v>23</v>
      </c>
      <c r="AV413">
        <v>0</v>
      </c>
      <c r="AW413">
        <v>2</v>
      </c>
      <c r="AX413">
        <v>56961151</v>
      </c>
      <c r="AY413">
        <v>1</v>
      </c>
      <c r="AZ413">
        <v>0</v>
      </c>
      <c r="BA413">
        <v>493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f>ROUND(Y413*Source!I548*DO413,9)</f>
        <v>0</v>
      </c>
      <c r="CX413">
        <f>ROUND(Y413*Source!I548,9)</f>
        <v>0.12759999999999999</v>
      </c>
      <c r="CY413">
        <f>AB413</f>
        <v>0.49</v>
      </c>
      <c r="CZ413">
        <f>AF413</f>
        <v>0.47</v>
      </c>
      <c r="DA413">
        <f>AJ413</f>
        <v>1</v>
      </c>
      <c r="DB413">
        <f>ROUND((ROUND(AT413*CZ413,2)*1.1),6)</f>
        <v>0.29699999999999999</v>
      </c>
      <c r="DC413">
        <f>ROUND((ROUND(AT413*AG413,2)*1.1),6)</f>
        <v>0</v>
      </c>
      <c r="DD413" t="s">
        <v>3</v>
      </c>
      <c r="DE413" t="s">
        <v>3</v>
      </c>
      <c r="DF413">
        <f t="shared" si="225"/>
        <v>0</v>
      </c>
      <c r="DG413">
        <f t="shared" si="223"/>
        <v>0.06</v>
      </c>
      <c r="DH413">
        <f t="shared" si="224"/>
        <v>0</v>
      </c>
      <c r="DI413">
        <f t="shared" si="211"/>
        <v>0</v>
      </c>
      <c r="DJ413">
        <f>DG413</f>
        <v>0.06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ROW(Source!A548)</f>
        <v>548</v>
      </c>
      <c r="B414">
        <v>56959434</v>
      </c>
      <c r="C414">
        <v>56960566</v>
      </c>
      <c r="D414">
        <v>56062222</v>
      </c>
      <c r="E414">
        <v>1</v>
      </c>
      <c r="F414">
        <v>1</v>
      </c>
      <c r="G414">
        <v>1080</v>
      </c>
      <c r="H414">
        <v>3</v>
      </c>
      <c r="I414" t="s">
        <v>526</v>
      </c>
      <c r="J414" t="s">
        <v>527</v>
      </c>
      <c r="K414" t="s">
        <v>528</v>
      </c>
      <c r="L414">
        <v>1348</v>
      </c>
      <c r="N414">
        <v>1009</v>
      </c>
      <c r="O414" t="s">
        <v>291</v>
      </c>
      <c r="P414" t="s">
        <v>291</v>
      </c>
      <c r="Q414">
        <v>1000</v>
      </c>
      <c r="W414">
        <v>0</v>
      </c>
      <c r="X414">
        <v>1854293486</v>
      </c>
      <c r="Y414">
        <f>AT414</f>
        <v>9.0000000000000006E-5</v>
      </c>
      <c r="AA414">
        <v>14327.51</v>
      </c>
      <c r="AB414">
        <v>0</v>
      </c>
      <c r="AC414">
        <v>0</v>
      </c>
      <c r="AD414">
        <v>0</v>
      </c>
      <c r="AE414">
        <v>14327.51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-2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9.0000000000000006E-5</v>
      </c>
      <c r="AU414" t="s">
        <v>3</v>
      </c>
      <c r="AV414">
        <v>0</v>
      </c>
      <c r="AW414">
        <v>2</v>
      </c>
      <c r="AX414">
        <v>56961152</v>
      </c>
      <c r="AY414">
        <v>1</v>
      </c>
      <c r="AZ414">
        <v>0</v>
      </c>
      <c r="BA414">
        <v>494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ROUND(Y414*Source!I548,9)</f>
        <v>1.8E-5</v>
      </c>
      <c r="CY414">
        <f>AA414</f>
        <v>14327.51</v>
      </c>
      <c r="CZ414">
        <f>AE414</f>
        <v>14327.51</v>
      </c>
      <c r="DA414">
        <f>AI414</f>
        <v>1</v>
      </c>
      <c r="DB414">
        <f>ROUND(ROUND(AT414*CZ414,2),6)</f>
        <v>1.29</v>
      </c>
      <c r="DC414">
        <f>ROUND(ROUND(AT414*AG414,2),6)</f>
        <v>0</v>
      </c>
      <c r="DD414" t="s">
        <v>3</v>
      </c>
      <c r="DE414" t="s">
        <v>3</v>
      </c>
      <c r="DF414">
        <f t="shared" si="225"/>
        <v>0.26</v>
      </c>
      <c r="DG414">
        <f t="shared" si="223"/>
        <v>0</v>
      </c>
      <c r="DH414">
        <f t="shared" si="224"/>
        <v>0</v>
      </c>
      <c r="DI414">
        <f t="shared" si="211"/>
        <v>0</v>
      </c>
      <c r="DJ414">
        <f>DF414</f>
        <v>0.26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ROW(Source!A549)</f>
        <v>549</v>
      </c>
      <c r="B415">
        <v>56959431</v>
      </c>
      <c r="C415">
        <v>56960566</v>
      </c>
      <c r="D415">
        <v>56018166</v>
      </c>
      <c r="E415">
        <v>1080</v>
      </c>
      <c r="F415">
        <v>1</v>
      </c>
      <c r="G415">
        <v>1080</v>
      </c>
      <c r="H415">
        <v>1</v>
      </c>
      <c r="I415" t="s">
        <v>500</v>
      </c>
      <c r="J415" t="s">
        <v>3</v>
      </c>
      <c r="K415" t="s">
        <v>501</v>
      </c>
      <c r="L415">
        <v>1191</v>
      </c>
      <c r="N415">
        <v>1013</v>
      </c>
      <c r="O415" t="s">
        <v>502</v>
      </c>
      <c r="P415" t="s">
        <v>502</v>
      </c>
      <c r="Q415">
        <v>1</v>
      </c>
      <c r="W415">
        <v>0</v>
      </c>
      <c r="X415">
        <v>476480486</v>
      </c>
      <c r="Y415">
        <f>(AT415*1.1)</f>
        <v>32.956000000000003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5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29.96</v>
      </c>
      <c r="AU415" t="s">
        <v>23</v>
      </c>
      <c r="AV415">
        <v>1</v>
      </c>
      <c r="AW415">
        <v>2</v>
      </c>
      <c r="AX415">
        <v>56961149</v>
      </c>
      <c r="AY415">
        <v>1</v>
      </c>
      <c r="AZ415">
        <v>0</v>
      </c>
      <c r="BA415">
        <v>496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U415">
        <f>ROUND(AT415*Source!I549*AH415*AL415,2)</f>
        <v>0</v>
      </c>
      <c r="CV415">
        <f>ROUND(Y415*Source!I549,9)</f>
        <v>6.5911999999999997</v>
      </c>
      <c r="CW415">
        <v>0</v>
      </c>
      <c r="CX415">
        <f>ROUND(Y415*Source!I549,9)</f>
        <v>6.5911999999999997</v>
      </c>
      <c r="CY415">
        <f>AD415</f>
        <v>0</v>
      </c>
      <c r="CZ415">
        <f>AH415</f>
        <v>0</v>
      </c>
      <c r="DA415">
        <f>AL415</f>
        <v>1</v>
      </c>
      <c r="DB415">
        <f>ROUND((ROUND(AT415*CZ415,2)*1.1),6)</f>
        <v>0</v>
      </c>
      <c r="DC415">
        <f>ROUND((ROUND(AT415*AG415,2)*1.1),6)</f>
        <v>0</v>
      </c>
      <c r="DD415" t="s">
        <v>3</v>
      </c>
      <c r="DE415" t="s">
        <v>3</v>
      </c>
      <c r="DF415">
        <f t="shared" si="225"/>
        <v>0</v>
      </c>
      <c r="DG415">
        <f t="shared" si="223"/>
        <v>0</v>
      </c>
      <c r="DH415">
        <f t="shared" si="224"/>
        <v>0</v>
      </c>
      <c r="DI415">
        <f t="shared" si="211"/>
        <v>0</v>
      </c>
      <c r="DJ415">
        <f>DI415</f>
        <v>0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ROW(Source!A549)</f>
        <v>549</v>
      </c>
      <c r="B416">
        <v>56959431</v>
      </c>
      <c r="C416">
        <v>56960566</v>
      </c>
      <c r="D416">
        <v>56092340</v>
      </c>
      <c r="E416">
        <v>1</v>
      </c>
      <c r="F416">
        <v>1</v>
      </c>
      <c r="G416">
        <v>1080</v>
      </c>
      <c r="H416">
        <v>2</v>
      </c>
      <c r="I416" t="s">
        <v>503</v>
      </c>
      <c r="J416" t="s">
        <v>504</v>
      </c>
      <c r="K416" t="s">
        <v>505</v>
      </c>
      <c r="L416">
        <v>1368</v>
      </c>
      <c r="N416">
        <v>1011</v>
      </c>
      <c r="O416" t="s">
        <v>506</v>
      </c>
      <c r="P416" t="s">
        <v>506</v>
      </c>
      <c r="Q416">
        <v>1</v>
      </c>
      <c r="W416">
        <v>0</v>
      </c>
      <c r="X416">
        <v>-1985943078</v>
      </c>
      <c r="Y416">
        <f>(AT416*1.1)</f>
        <v>1.1000000000000001E-2</v>
      </c>
      <c r="AA416">
        <v>0</v>
      </c>
      <c r="AB416">
        <v>1418.19</v>
      </c>
      <c r="AC416">
        <v>726.59</v>
      </c>
      <c r="AD416">
        <v>0</v>
      </c>
      <c r="AE416">
        <v>0</v>
      </c>
      <c r="AF416">
        <v>83.1</v>
      </c>
      <c r="AG416">
        <v>12.62</v>
      </c>
      <c r="AH416">
        <v>0</v>
      </c>
      <c r="AI416">
        <v>1</v>
      </c>
      <c r="AJ416">
        <v>16.3</v>
      </c>
      <c r="AK416">
        <v>54.99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0.01</v>
      </c>
      <c r="AU416" t="s">
        <v>23</v>
      </c>
      <c r="AV416">
        <v>0</v>
      </c>
      <c r="AW416">
        <v>2</v>
      </c>
      <c r="AX416">
        <v>56961150</v>
      </c>
      <c r="AY416">
        <v>1</v>
      </c>
      <c r="AZ416">
        <v>0</v>
      </c>
      <c r="BA416">
        <v>497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f>ROUND(Y416*Source!I549*DO416,9)</f>
        <v>2.7764E-2</v>
      </c>
      <c r="CX416">
        <f>ROUND(Y416*Source!I549,9)</f>
        <v>2.2000000000000001E-3</v>
      </c>
      <c r="CY416">
        <f>AB416</f>
        <v>1418.19</v>
      </c>
      <c r="CZ416">
        <f>AF416</f>
        <v>83.1</v>
      </c>
      <c r="DA416">
        <f>AJ416</f>
        <v>16.3</v>
      </c>
      <c r="DB416">
        <f>ROUND((ROUND(AT416*CZ416,2)*1.1),6)</f>
        <v>0.91300000000000003</v>
      </c>
      <c r="DC416">
        <f>ROUND((ROUND(AT416*AG416,2)*1.1),6)</f>
        <v>0.14299999999999999</v>
      </c>
      <c r="DD416" t="s">
        <v>3</v>
      </c>
      <c r="DE416" t="s">
        <v>3</v>
      </c>
      <c r="DF416">
        <f t="shared" si="225"/>
        <v>0</v>
      </c>
      <c r="DG416">
        <f>ROUND(ROUND(AF416*AJ416,2)*CX416,2)</f>
        <v>2.98</v>
      </c>
      <c r="DH416">
        <f>ROUND(ROUND(AG416*AK416,2)*CX416,2)</f>
        <v>1.53</v>
      </c>
      <c r="DI416">
        <f t="shared" si="211"/>
        <v>0</v>
      </c>
      <c r="DJ416">
        <f>DG416</f>
        <v>2.98</v>
      </c>
      <c r="DK416">
        <v>0</v>
      </c>
      <c r="DL416" t="s">
        <v>507</v>
      </c>
      <c r="DM416">
        <v>0</v>
      </c>
      <c r="DN416" t="s">
        <v>502</v>
      </c>
      <c r="DO416">
        <v>12.62</v>
      </c>
    </row>
    <row r="417" spans="1:119" x14ac:dyDescent="0.2">
      <c r="A417">
        <f>ROW(Source!A549)</f>
        <v>549</v>
      </c>
      <c r="B417">
        <v>56959431</v>
      </c>
      <c r="C417">
        <v>56960566</v>
      </c>
      <c r="D417">
        <v>56092425</v>
      </c>
      <c r="E417">
        <v>1</v>
      </c>
      <c r="F417">
        <v>1</v>
      </c>
      <c r="G417">
        <v>1080</v>
      </c>
      <c r="H417">
        <v>2</v>
      </c>
      <c r="I417" t="s">
        <v>523</v>
      </c>
      <c r="J417" t="s">
        <v>524</v>
      </c>
      <c r="K417" t="s">
        <v>525</v>
      </c>
      <c r="L417">
        <v>1368</v>
      </c>
      <c r="N417">
        <v>1011</v>
      </c>
      <c r="O417" t="s">
        <v>506</v>
      </c>
      <c r="P417" t="s">
        <v>506</v>
      </c>
      <c r="Q417">
        <v>1</v>
      </c>
      <c r="W417">
        <v>0</v>
      </c>
      <c r="X417">
        <v>1645565003</v>
      </c>
      <c r="Y417">
        <f>(AT417*1.1)</f>
        <v>0.63800000000000001</v>
      </c>
      <c r="AA417">
        <v>0</v>
      </c>
      <c r="AB417">
        <v>4.3</v>
      </c>
      <c r="AC417">
        <v>0</v>
      </c>
      <c r="AD417">
        <v>0</v>
      </c>
      <c r="AE417">
        <v>0</v>
      </c>
      <c r="AF417">
        <v>0.47</v>
      </c>
      <c r="AG417">
        <v>0</v>
      </c>
      <c r="AH417">
        <v>0</v>
      </c>
      <c r="AI417">
        <v>1</v>
      </c>
      <c r="AJ417">
        <v>8.74</v>
      </c>
      <c r="AK417">
        <v>54.99</v>
      </c>
      <c r="AL417">
        <v>1</v>
      </c>
      <c r="AM417">
        <v>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0.57999999999999996</v>
      </c>
      <c r="AU417" t="s">
        <v>23</v>
      </c>
      <c r="AV417">
        <v>0</v>
      </c>
      <c r="AW417">
        <v>2</v>
      </c>
      <c r="AX417">
        <v>56961151</v>
      </c>
      <c r="AY417">
        <v>1</v>
      </c>
      <c r="AZ417">
        <v>0</v>
      </c>
      <c r="BA417">
        <v>498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f>ROUND(Y417*Source!I549*DO417,9)</f>
        <v>0</v>
      </c>
      <c r="CX417">
        <f>ROUND(Y417*Source!I549,9)</f>
        <v>0.12759999999999999</v>
      </c>
      <c r="CY417">
        <f>AB417</f>
        <v>4.3</v>
      </c>
      <c r="CZ417">
        <f>AF417</f>
        <v>0.47</v>
      </c>
      <c r="DA417">
        <f>AJ417</f>
        <v>8.74</v>
      </c>
      <c r="DB417">
        <f>ROUND((ROUND(AT417*CZ417,2)*1.1),6)</f>
        <v>0.29699999999999999</v>
      </c>
      <c r="DC417">
        <f>ROUND((ROUND(AT417*AG417,2)*1.1),6)</f>
        <v>0</v>
      </c>
      <c r="DD417" t="s">
        <v>3</v>
      </c>
      <c r="DE417" t="s">
        <v>3</v>
      </c>
      <c r="DF417">
        <f t="shared" si="225"/>
        <v>0</v>
      </c>
      <c r="DG417">
        <f>ROUND(ROUND(AF417*AJ417,2)*CX417,2)</f>
        <v>0.52</v>
      </c>
      <c r="DH417">
        <f>ROUND(ROUND(AG417*AK417,2)*CX417,2)</f>
        <v>0</v>
      </c>
      <c r="DI417">
        <f t="shared" si="211"/>
        <v>0</v>
      </c>
      <c r="DJ417">
        <f>DG417</f>
        <v>0.52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ROW(Source!A549)</f>
        <v>549</v>
      </c>
      <c r="B418">
        <v>56959431</v>
      </c>
      <c r="C418">
        <v>56960566</v>
      </c>
      <c r="D418">
        <v>56062222</v>
      </c>
      <c r="E418">
        <v>1</v>
      </c>
      <c r="F418">
        <v>1</v>
      </c>
      <c r="G418">
        <v>1080</v>
      </c>
      <c r="H418">
        <v>3</v>
      </c>
      <c r="I418" t="s">
        <v>526</v>
      </c>
      <c r="J418" t="s">
        <v>527</v>
      </c>
      <c r="K418" t="s">
        <v>528</v>
      </c>
      <c r="L418">
        <v>1348</v>
      </c>
      <c r="N418">
        <v>1009</v>
      </c>
      <c r="O418" t="s">
        <v>291</v>
      </c>
      <c r="P418" t="s">
        <v>291</v>
      </c>
      <c r="Q418">
        <v>1000</v>
      </c>
      <c r="W418">
        <v>0</v>
      </c>
      <c r="X418">
        <v>1854293486</v>
      </c>
      <c r="Y418">
        <f>AT418</f>
        <v>9.0000000000000006E-5</v>
      </c>
      <c r="AA418">
        <v>103874.45</v>
      </c>
      <c r="AB418">
        <v>0</v>
      </c>
      <c r="AC418">
        <v>0</v>
      </c>
      <c r="AD418">
        <v>0</v>
      </c>
      <c r="AE418">
        <v>14327.51</v>
      </c>
      <c r="AF418">
        <v>0</v>
      </c>
      <c r="AG418">
        <v>0</v>
      </c>
      <c r="AH418">
        <v>0</v>
      </c>
      <c r="AI418">
        <v>7.25</v>
      </c>
      <c r="AJ418">
        <v>1</v>
      </c>
      <c r="AK418">
        <v>1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9.0000000000000006E-5</v>
      </c>
      <c r="AU418" t="s">
        <v>3</v>
      </c>
      <c r="AV418">
        <v>0</v>
      </c>
      <c r="AW418">
        <v>2</v>
      </c>
      <c r="AX418">
        <v>56961152</v>
      </c>
      <c r="AY418">
        <v>1</v>
      </c>
      <c r="AZ418">
        <v>0</v>
      </c>
      <c r="BA418">
        <v>499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ROUND(Y418*Source!I549,9)</f>
        <v>1.8E-5</v>
      </c>
      <c r="CY418">
        <f>AA418</f>
        <v>103874.45</v>
      </c>
      <c r="CZ418">
        <f>AE418</f>
        <v>14327.51</v>
      </c>
      <c r="DA418">
        <f>AI418</f>
        <v>7.25</v>
      </c>
      <c r="DB418">
        <f>ROUND(ROUND(AT418*CZ418,2),6)</f>
        <v>1.29</v>
      </c>
      <c r="DC418">
        <f>ROUND(ROUND(AT418*AG418,2),6)</f>
        <v>0</v>
      </c>
      <c r="DD418" t="s">
        <v>3</v>
      </c>
      <c r="DE418" t="s">
        <v>3</v>
      </c>
      <c r="DF418">
        <f>ROUND(ROUND(AE418*AI418,2)*CX418,2)</f>
        <v>1.87</v>
      </c>
      <c r="DG418">
        <f t="shared" ref="DG418:DG437" si="226">ROUND(ROUND(AF418,2)*CX418,2)</f>
        <v>0</v>
      </c>
      <c r="DH418">
        <f t="shared" ref="DH418:DH437" si="227">ROUND(ROUND(AG418,2)*CX418,2)</f>
        <v>0</v>
      </c>
      <c r="DI418">
        <f t="shared" si="211"/>
        <v>0</v>
      </c>
      <c r="DJ418">
        <f>DF418</f>
        <v>1.87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ROW(Source!A552)</f>
        <v>552</v>
      </c>
      <c r="B419">
        <v>56959434</v>
      </c>
      <c r="C419">
        <v>56960577</v>
      </c>
      <c r="D419">
        <v>56018166</v>
      </c>
      <c r="E419">
        <v>1080</v>
      </c>
      <c r="F419">
        <v>1</v>
      </c>
      <c r="G419">
        <v>1080</v>
      </c>
      <c r="H419">
        <v>1</v>
      </c>
      <c r="I419" t="s">
        <v>500</v>
      </c>
      <c r="J419" t="s">
        <v>3</v>
      </c>
      <c r="K419" t="s">
        <v>501</v>
      </c>
      <c r="L419">
        <v>1191</v>
      </c>
      <c r="N419">
        <v>1013</v>
      </c>
      <c r="O419" t="s">
        <v>502</v>
      </c>
      <c r="P419" t="s">
        <v>502</v>
      </c>
      <c r="Q419">
        <v>1</v>
      </c>
      <c r="W419">
        <v>0</v>
      </c>
      <c r="X419">
        <v>476480486</v>
      </c>
      <c r="Y419">
        <f>(AT419*1.1)</f>
        <v>1.1000000000000001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-2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</v>
      </c>
      <c r="AU419" t="s">
        <v>23</v>
      </c>
      <c r="AV419">
        <v>1</v>
      </c>
      <c r="AW419">
        <v>2</v>
      </c>
      <c r="AX419">
        <v>56961154</v>
      </c>
      <c r="AY419">
        <v>1</v>
      </c>
      <c r="AZ419">
        <v>0</v>
      </c>
      <c r="BA419">
        <v>501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ROUND(AT419*Source!I552*AH419*AL419,2)</f>
        <v>0</v>
      </c>
      <c r="CV419">
        <f>ROUND(Y419*Source!I552,9)</f>
        <v>12.1</v>
      </c>
      <c r="CW419">
        <v>0</v>
      </c>
      <c r="CX419">
        <f>ROUND(Y419*Source!I552,9)</f>
        <v>12.1</v>
      </c>
      <c r="CY419">
        <f>AD419</f>
        <v>0</v>
      </c>
      <c r="CZ419">
        <f>AH419</f>
        <v>0</v>
      </c>
      <c r="DA419">
        <f>AL419</f>
        <v>1</v>
      </c>
      <c r="DB419">
        <f>ROUND((ROUND(AT419*CZ419,2)*1.1),6)</f>
        <v>0</v>
      </c>
      <c r="DC419">
        <f>ROUND((ROUND(AT419*AG419,2)*1.1),6)</f>
        <v>0</v>
      </c>
      <c r="DD419" t="s">
        <v>3</v>
      </c>
      <c r="DE419" t="s">
        <v>3</v>
      </c>
      <c r="DF419">
        <f>ROUND(ROUND(AE419,2)*CX419,2)</f>
        <v>0</v>
      </c>
      <c r="DG419">
        <f t="shared" si="226"/>
        <v>0</v>
      </c>
      <c r="DH419">
        <f t="shared" si="227"/>
        <v>0</v>
      </c>
      <c r="DI419">
        <f t="shared" si="211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ROW(Source!A552)</f>
        <v>552</v>
      </c>
      <c r="B420">
        <v>56959434</v>
      </c>
      <c r="C420">
        <v>56960577</v>
      </c>
      <c r="D420">
        <v>56023168</v>
      </c>
      <c r="E420">
        <v>1080</v>
      </c>
      <c r="F420">
        <v>1</v>
      </c>
      <c r="G420">
        <v>1080</v>
      </c>
      <c r="H420">
        <v>3</v>
      </c>
      <c r="I420" t="s">
        <v>521</v>
      </c>
      <c r="J420" t="s">
        <v>3</v>
      </c>
      <c r="K420" t="s">
        <v>522</v>
      </c>
      <c r="L420">
        <v>1348</v>
      </c>
      <c r="N420">
        <v>1009</v>
      </c>
      <c r="O420" t="s">
        <v>291</v>
      </c>
      <c r="P420" t="s">
        <v>291</v>
      </c>
      <c r="Q420">
        <v>1000</v>
      </c>
      <c r="W420">
        <v>0</v>
      </c>
      <c r="X420">
        <v>-783086922</v>
      </c>
      <c r="Y420">
        <f>AT420</f>
        <v>5.9999999999999995E-4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-2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5.9999999999999995E-4</v>
      </c>
      <c r="AU420" t="s">
        <v>3</v>
      </c>
      <c r="AV420">
        <v>0</v>
      </c>
      <c r="AW420">
        <v>2</v>
      </c>
      <c r="AX420">
        <v>56961156</v>
      </c>
      <c r="AY420">
        <v>1</v>
      </c>
      <c r="AZ420">
        <v>0</v>
      </c>
      <c r="BA420">
        <v>503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ROUND(Y420*Source!I552,9)</f>
        <v>6.6E-3</v>
      </c>
      <c r="CY420">
        <f>AA420</f>
        <v>0</v>
      </c>
      <c r="CZ420">
        <f>AE420</f>
        <v>0</v>
      </c>
      <c r="DA420">
        <f>AI420</f>
        <v>1</v>
      </c>
      <c r="DB420">
        <f>ROUND(ROUND(AT420*CZ420,2),6)</f>
        <v>0</v>
      </c>
      <c r="DC420">
        <f>ROUND(ROUND(AT420*AG420,2),6)</f>
        <v>0</v>
      </c>
      <c r="DD420" t="s">
        <v>3</v>
      </c>
      <c r="DE420" t="s">
        <v>3</v>
      </c>
      <c r="DF420">
        <f>ROUND(ROUND(AE420,2)*CX420,2)</f>
        <v>0</v>
      </c>
      <c r="DG420">
        <f t="shared" si="226"/>
        <v>0</v>
      </c>
      <c r="DH420">
        <f t="shared" si="227"/>
        <v>0</v>
      </c>
      <c r="DI420">
        <f t="shared" si="211"/>
        <v>0</v>
      </c>
      <c r="DJ420">
        <f>DF420</f>
        <v>0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ROW(Source!A553)</f>
        <v>553</v>
      </c>
      <c r="B421">
        <v>56959431</v>
      </c>
      <c r="C421">
        <v>56960577</v>
      </c>
      <c r="D421">
        <v>56018166</v>
      </c>
      <c r="E421">
        <v>1080</v>
      </c>
      <c r="F421">
        <v>1</v>
      </c>
      <c r="G421">
        <v>1080</v>
      </c>
      <c r="H421">
        <v>1</v>
      </c>
      <c r="I421" t="s">
        <v>500</v>
      </c>
      <c r="J421" t="s">
        <v>3</v>
      </c>
      <c r="K421" t="s">
        <v>501</v>
      </c>
      <c r="L421">
        <v>1191</v>
      </c>
      <c r="N421">
        <v>1013</v>
      </c>
      <c r="O421" t="s">
        <v>502</v>
      </c>
      <c r="P421" t="s">
        <v>502</v>
      </c>
      <c r="Q421">
        <v>1</v>
      </c>
      <c r="W421">
        <v>0</v>
      </c>
      <c r="X421">
        <v>476480486</v>
      </c>
      <c r="Y421">
        <f>(AT421*1.1)</f>
        <v>1.1000000000000001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5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1</v>
      </c>
      <c r="AU421" t="s">
        <v>23</v>
      </c>
      <c r="AV421">
        <v>1</v>
      </c>
      <c r="AW421">
        <v>2</v>
      </c>
      <c r="AX421">
        <v>56961154</v>
      </c>
      <c r="AY421">
        <v>1</v>
      </c>
      <c r="AZ421">
        <v>0</v>
      </c>
      <c r="BA421">
        <v>504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U421">
        <f>ROUND(AT421*Source!I553*AH421*AL421,2)</f>
        <v>0</v>
      </c>
      <c r="CV421">
        <f>ROUND(Y421*Source!I553,9)</f>
        <v>12.1</v>
      </c>
      <c r="CW421">
        <v>0</v>
      </c>
      <c r="CX421">
        <f>ROUND(Y421*Source!I553,9)</f>
        <v>12.1</v>
      </c>
      <c r="CY421">
        <f>AD421</f>
        <v>0</v>
      </c>
      <c r="CZ421">
        <f>AH421</f>
        <v>0</v>
      </c>
      <c r="DA421">
        <f>AL421</f>
        <v>1</v>
      </c>
      <c r="DB421">
        <f>ROUND((ROUND(AT421*CZ421,2)*1.1),6)</f>
        <v>0</v>
      </c>
      <c r="DC421">
        <f>ROUND((ROUND(AT421*AG421,2)*1.1),6)</f>
        <v>0</v>
      </c>
      <c r="DD421" t="s">
        <v>3</v>
      </c>
      <c r="DE421" t="s">
        <v>3</v>
      </c>
      <c r="DF421">
        <f>ROUND(ROUND(AE421,2)*CX421,2)</f>
        <v>0</v>
      </c>
      <c r="DG421">
        <f t="shared" si="226"/>
        <v>0</v>
      </c>
      <c r="DH421">
        <f t="shared" si="227"/>
        <v>0</v>
      </c>
      <c r="DI421">
        <f t="shared" si="211"/>
        <v>0</v>
      </c>
      <c r="DJ421">
        <f>DI421</f>
        <v>0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ROW(Source!A553)</f>
        <v>553</v>
      </c>
      <c r="B422">
        <v>56959431</v>
      </c>
      <c r="C422">
        <v>56960577</v>
      </c>
      <c r="D422">
        <v>56023168</v>
      </c>
      <c r="E422">
        <v>1080</v>
      </c>
      <c r="F422">
        <v>1</v>
      </c>
      <c r="G422">
        <v>1080</v>
      </c>
      <c r="H422">
        <v>3</v>
      </c>
      <c r="I422" t="s">
        <v>521</v>
      </c>
      <c r="J422" t="s">
        <v>3</v>
      </c>
      <c r="K422" t="s">
        <v>522</v>
      </c>
      <c r="L422">
        <v>1348</v>
      </c>
      <c r="N422">
        <v>1009</v>
      </c>
      <c r="O422" t="s">
        <v>291</v>
      </c>
      <c r="P422" t="s">
        <v>291</v>
      </c>
      <c r="Q422">
        <v>1000</v>
      </c>
      <c r="W422">
        <v>0</v>
      </c>
      <c r="X422">
        <v>-783086922</v>
      </c>
      <c r="Y422">
        <f>AT422</f>
        <v>5.9999999999999995E-4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9.8800000000000008</v>
      </c>
      <c r="AJ422">
        <v>1</v>
      </c>
      <c r="AK422">
        <v>1</v>
      </c>
      <c r="AL422">
        <v>1</v>
      </c>
      <c r="AM422">
        <v>5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5.9999999999999995E-4</v>
      </c>
      <c r="AU422" t="s">
        <v>3</v>
      </c>
      <c r="AV422">
        <v>0</v>
      </c>
      <c r="AW422">
        <v>2</v>
      </c>
      <c r="AX422">
        <v>56961156</v>
      </c>
      <c r="AY422">
        <v>1</v>
      </c>
      <c r="AZ422">
        <v>0</v>
      </c>
      <c r="BA422">
        <v>506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ROUND(Y422*Source!I553,9)</f>
        <v>6.6E-3</v>
      </c>
      <c r="CY422">
        <f>AA422</f>
        <v>0</v>
      </c>
      <c r="CZ422">
        <f>AE422</f>
        <v>0</v>
      </c>
      <c r="DA422">
        <f>AI422</f>
        <v>9.8800000000000008</v>
      </c>
      <c r="DB422">
        <f>ROUND(ROUND(AT422*CZ422,2),6)</f>
        <v>0</v>
      </c>
      <c r="DC422">
        <f>ROUND(ROUND(AT422*AG422,2),6)</f>
        <v>0</v>
      </c>
      <c r="DD422" t="s">
        <v>3</v>
      </c>
      <c r="DE422" t="s">
        <v>3</v>
      </c>
      <c r="DF422">
        <f>ROUND(ROUND(AE422*AI422,2)*CX422,2)</f>
        <v>0</v>
      </c>
      <c r="DG422">
        <f t="shared" si="226"/>
        <v>0</v>
      </c>
      <c r="DH422">
        <f t="shared" si="227"/>
        <v>0</v>
      </c>
      <c r="DI422">
        <f t="shared" si="211"/>
        <v>0</v>
      </c>
      <c r="DJ422">
        <f>DF422</f>
        <v>0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ROW(Source!A556)</f>
        <v>556</v>
      </c>
      <c r="B423">
        <v>56959434</v>
      </c>
      <c r="C423">
        <v>56960584</v>
      </c>
      <c r="D423">
        <v>56018166</v>
      </c>
      <c r="E423">
        <v>1080</v>
      </c>
      <c r="F423">
        <v>1</v>
      </c>
      <c r="G423">
        <v>1080</v>
      </c>
      <c r="H423">
        <v>1</v>
      </c>
      <c r="I423" t="s">
        <v>500</v>
      </c>
      <c r="J423" t="s">
        <v>3</v>
      </c>
      <c r="K423" t="s">
        <v>501</v>
      </c>
      <c r="L423">
        <v>1191</v>
      </c>
      <c r="N423">
        <v>1013</v>
      </c>
      <c r="O423" t="s">
        <v>502</v>
      </c>
      <c r="P423" t="s">
        <v>502</v>
      </c>
      <c r="Q423">
        <v>1</v>
      </c>
      <c r="W423">
        <v>0</v>
      </c>
      <c r="X423">
        <v>476480486</v>
      </c>
      <c r="Y423">
        <f>(AT423*1.1)</f>
        <v>16.5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-2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15</v>
      </c>
      <c r="AU423" t="s">
        <v>23</v>
      </c>
      <c r="AV423">
        <v>1</v>
      </c>
      <c r="AW423">
        <v>2</v>
      </c>
      <c r="AX423">
        <v>56961157</v>
      </c>
      <c r="AY423">
        <v>1</v>
      </c>
      <c r="AZ423">
        <v>0</v>
      </c>
      <c r="BA423">
        <v>507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U423">
        <f>ROUND(AT423*Source!I556*AH423*AL423,2)</f>
        <v>0</v>
      </c>
      <c r="CV423">
        <f>ROUND(Y423*Source!I556,9)</f>
        <v>49.5</v>
      </c>
      <c r="CW423">
        <v>0</v>
      </c>
      <c r="CX423">
        <f>ROUND(Y423*Source!I556,9)</f>
        <v>49.5</v>
      </c>
      <c r="CY423">
        <f>AD423</f>
        <v>0</v>
      </c>
      <c r="CZ423">
        <f>AH423</f>
        <v>0</v>
      </c>
      <c r="DA423">
        <f>AL423</f>
        <v>1</v>
      </c>
      <c r="DB423">
        <f>ROUND((ROUND(AT423*CZ423,2)*1.1),6)</f>
        <v>0</v>
      </c>
      <c r="DC423">
        <f>ROUND((ROUND(AT423*AG423,2)*1.1),6)</f>
        <v>0</v>
      </c>
      <c r="DD423" t="s">
        <v>3</v>
      </c>
      <c r="DE423" t="s">
        <v>3</v>
      </c>
      <c r="DF423">
        <f>ROUND(ROUND(AE423,2)*CX423,2)</f>
        <v>0</v>
      </c>
      <c r="DG423">
        <f t="shared" si="226"/>
        <v>0</v>
      </c>
      <c r="DH423">
        <f t="shared" si="227"/>
        <v>0</v>
      </c>
      <c r="DI423">
        <f t="shared" si="211"/>
        <v>0</v>
      </c>
      <c r="DJ423">
        <f>DI423</f>
        <v>0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ROW(Source!A556)</f>
        <v>556</v>
      </c>
      <c r="B424">
        <v>56959434</v>
      </c>
      <c r="C424">
        <v>56960584</v>
      </c>
      <c r="D424">
        <v>56074647</v>
      </c>
      <c r="E424">
        <v>1</v>
      </c>
      <c r="F424">
        <v>1</v>
      </c>
      <c r="G424">
        <v>1080</v>
      </c>
      <c r="H424">
        <v>3</v>
      </c>
      <c r="I424" t="s">
        <v>82</v>
      </c>
      <c r="J424" t="s">
        <v>85</v>
      </c>
      <c r="K424" t="s">
        <v>83</v>
      </c>
      <c r="L424">
        <v>1301</v>
      </c>
      <c r="N424">
        <v>1003</v>
      </c>
      <c r="O424" t="s">
        <v>84</v>
      </c>
      <c r="P424" t="s">
        <v>84</v>
      </c>
      <c r="Q424">
        <v>1</v>
      </c>
      <c r="W424">
        <v>0</v>
      </c>
      <c r="X424">
        <v>-1305428159</v>
      </c>
      <c r="Y424">
        <f>AT424</f>
        <v>102</v>
      </c>
      <c r="AA424">
        <v>3.45</v>
      </c>
      <c r="AB424">
        <v>0</v>
      </c>
      <c r="AC424">
        <v>0</v>
      </c>
      <c r="AD424">
        <v>0</v>
      </c>
      <c r="AE424">
        <v>3.45</v>
      </c>
      <c r="AF424">
        <v>0</v>
      </c>
      <c r="AG424">
        <v>0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102</v>
      </c>
      <c r="AU424" t="s">
        <v>3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ROUND(Y424*Source!I556,9)</f>
        <v>306</v>
      </c>
      <c r="CY424">
        <f>AA424</f>
        <v>3.45</v>
      </c>
      <c r="CZ424">
        <f>AE424</f>
        <v>3.45</v>
      </c>
      <c r="DA424">
        <f>AI424</f>
        <v>1</v>
      </c>
      <c r="DB424">
        <f>ROUND(ROUND(AT424*CZ424,2),6)</f>
        <v>351.9</v>
      </c>
      <c r="DC424">
        <f>ROUND(ROUND(AT424*AG424,2),6)</f>
        <v>0</v>
      </c>
      <c r="DD424" t="s">
        <v>3</v>
      </c>
      <c r="DE424" t="s">
        <v>3</v>
      </c>
      <c r="DF424">
        <f>ROUND(ROUND(AE424,2)*CX424,2)</f>
        <v>1055.7</v>
      </c>
      <c r="DG424">
        <f t="shared" si="226"/>
        <v>0</v>
      </c>
      <c r="DH424">
        <f t="shared" si="227"/>
        <v>0</v>
      </c>
      <c r="DI424">
        <f t="shared" si="211"/>
        <v>0</v>
      </c>
      <c r="DJ424">
        <f>DF424</f>
        <v>1055.7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ROW(Source!A557)</f>
        <v>557</v>
      </c>
      <c r="B425">
        <v>56959431</v>
      </c>
      <c r="C425">
        <v>56960584</v>
      </c>
      <c r="D425">
        <v>56018166</v>
      </c>
      <c r="E425">
        <v>1080</v>
      </c>
      <c r="F425">
        <v>1</v>
      </c>
      <c r="G425">
        <v>1080</v>
      </c>
      <c r="H425">
        <v>1</v>
      </c>
      <c r="I425" t="s">
        <v>500</v>
      </c>
      <c r="J425" t="s">
        <v>3</v>
      </c>
      <c r="K425" t="s">
        <v>501</v>
      </c>
      <c r="L425">
        <v>1191</v>
      </c>
      <c r="N425">
        <v>1013</v>
      </c>
      <c r="O425" t="s">
        <v>502</v>
      </c>
      <c r="P425" t="s">
        <v>502</v>
      </c>
      <c r="Q425">
        <v>1</v>
      </c>
      <c r="W425">
        <v>0</v>
      </c>
      <c r="X425">
        <v>476480486</v>
      </c>
      <c r="Y425">
        <f>(AT425*1.1)</f>
        <v>16.5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5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15</v>
      </c>
      <c r="AU425" t="s">
        <v>23</v>
      </c>
      <c r="AV425">
        <v>1</v>
      </c>
      <c r="AW425">
        <v>2</v>
      </c>
      <c r="AX425">
        <v>56961157</v>
      </c>
      <c r="AY425">
        <v>1</v>
      </c>
      <c r="AZ425">
        <v>0</v>
      </c>
      <c r="BA425">
        <v>511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ROUND(AT425*Source!I557*AH425*AL425,2)</f>
        <v>0</v>
      </c>
      <c r="CV425">
        <f>ROUND(Y425*Source!I557,9)</f>
        <v>49.5</v>
      </c>
      <c r="CW425">
        <v>0</v>
      </c>
      <c r="CX425">
        <f>ROUND(Y425*Source!I557,9)</f>
        <v>49.5</v>
      </c>
      <c r="CY425">
        <f>AD425</f>
        <v>0</v>
      </c>
      <c r="CZ425">
        <f>AH425</f>
        <v>0</v>
      </c>
      <c r="DA425">
        <f>AL425</f>
        <v>1</v>
      </c>
      <c r="DB425">
        <f>ROUND((ROUND(AT425*CZ425,2)*1.1),6)</f>
        <v>0</v>
      </c>
      <c r="DC425">
        <f>ROUND((ROUND(AT425*AG425,2)*1.1),6)</f>
        <v>0</v>
      </c>
      <c r="DD425" t="s">
        <v>3</v>
      </c>
      <c r="DE425" t="s">
        <v>3</v>
      </c>
      <c r="DF425">
        <f>ROUND(ROUND(AE425,2)*CX425,2)</f>
        <v>0</v>
      </c>
      <c r="DG425">
        <f t="shared" si="226"/>
        <v>0</v>
      </c>
      <c r="DH425">
        <f t="shared" si="227"/>
        <v>0</v>
      </c>
      <c r="DI425">
        <f t="shared" si="211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ROW(Source!A557)</f>
        <v>557</v>
      </c>
      <c r="B426">
        <v>56959431</v>
      </c>
      <c r="C426">
        <v>56960584</v>
      </c>
      <c r="D426">
        <v>56074647</v>
      </c>
      <c r="E426">
        <v>1</v>
      </c>
      <c r="F426">
        <v>1</v>
      </c>
      <c r="G426">
        <v>1080</v>
      </c>
      <c r="H426">
        <v>3</v>
      </c>
      <c r="I426" t="s">
        <v>82</v>
      </c>
      <c r="J426" t="s">
        <v>85</v>
      </c>
      <c r="K426" t="s">
        <v>83</v>
      </c>
      <c r="L426">
        <v>1301</v>
      </c>
      <c r="N426">
        <v>1003</v>
      </c>
      <c r="O426" t="s">
        <v>84</v>
      </c>
      <c r="P426" t="s">
        <v>84</v>
      </c>
      <c r="Q426">
        <v>1</v>
      </c>
      <c r="W426">
        <v>0</v>
      </c>
      <c r="X426">
        <v>-1305428159</v>
      </c>
      <c r="Y426">
        <f>AT426</f>
        <v>102</v>
      </c>
      <c r="AA426">
        <v>13.56</v>
      </c>
      <c r="AB426">
        <v>0</v>
      </c>
      <c r="AC426">
        <v>0</v>
      </c>
      <c r="AD426">
        <v>0</v>
      </c>
      <c r="AE426">
        <v>3.45</v>
      </c>
      <c r="AF426">
        <v>0</v>
      </c>
      <c r="AG426">
        <v>0</v>
      </c>
      <c r="AH426">
        <v>0</v>
      </c>
      <c r="AI426">
        <v>3.93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 t="s">
        <v>3</v>
      </c>
      <c r="AT426">
        <v>102</v>
      </c>
      <c r="AU426" t="s">
        <v>3</v>
      </c>
      <c r="AV426">
        <v>0</v>
      </c>
      <c r="AW426">
        <v>1</v>
      </c>
      <c r="AX426">
        <v>-1</v>
      </c>
      <c r="AY426">
        <v>0</v>
      </c>
      <c r="AZ426">
        <v>0</v>
      </c>
      <c r="BA426" t="s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ROUND(Y426*Source!I557,9)</f>
        <v>306</v>
      </c>
      <c r="CY426">
        <f>AA426</f>
        <v>13.56</v>
      </c>
      <c r="CZ426">
        <f>AE426</f>
        <v>3.45</v>
      </c>
      <c r="DA426">
        <f>AI426</f>
        <v>3.93</v>
      </c>
      <c r="DB426">
        <f>ROUND(ROUND(AT426*CZ426,2),6)</f>
        <v>351.9</v>
      </c>
      <c r="DC426">
        <f>ROUND(ROUND(AT426*AG426,2),6)</f>
        <v>0</v>
      </c>
      <c r="DD426" t="s">
        <v>3</v>
      </c>
      <c r="DE426" t="s">
        <v>3</v>
      </c>
      <c r="DF426">
        <f>ROUND(ROUND(AE426*AI426,2)*CX426,2)</f>
        <v>4149.3599999999997</v>
      </c>
      <c r="DG426">
        <f t="shared" si="226"/>
        <v>0</v>
      </c>
      <c r="DH426">
        <f t="shared" si="227"/>
        <v>0</v>
      </c>
      <c r="DI426">
        <f t="shared" si="211"/>
        <v>0</v>
      </c>
      <c r="DJ426">
        <f>DF426</f>
        <v>4149.3599999999997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ROW(Source!A560)</f>
        <v>560</v>
      </c>
      <c r="B427">
        <v>56959434</v>
      </c>
      <c r="C427">
        <v>56960592</v>
      </c>
      <c r="D427">
        <v>56018166</v>
      </c>
      <c r="E427">
        <v>1080</v>
      </c>
      <c r="F427">
        <v>1</v>
      </c>
      <c r="G427">
        <v>1080</v>
      </c>
      <c r="H427">
        <v>1</v>
      </c>
      <c r="I427" t="s">
        <v>500</v>
      </c>
      <c r="J427" t="s">
        <v>3</v>
      </c>
      <c r="K427" t="s">
        <v>501</v>
      </c>
      <c r="L427">
        <v>1191</v>
      </c>
      <c r="N427">
        <v>1013</v>
      </c>
      <c r="O427" t="s">
        <v>502</v>
      </c>
      <c r="P427" t="s">
        <v>502</v>
      </c>
      <c r="Q427">
        <v>1</v>
      </c>
      <c r="W427">
        <v>0</v>
      </c>
      <c r="X427">
        <v>476480486</v>
      </c>
      <c r="Y427">
        <f>(AT427*1.1)</f>
        <v>4.9390000000000009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4.49</v>
      </c>
      <c r="AU427" t="s">
        <v>23</v>
      </c>
      <c r="AV427">
        <v>1</v>
      </c>
      <c r="AW427">
        <v>2</v>
      </c>
      <c r="AX427">
        <v>56961161</v>
      </c>
      <c r="AY427">
        <v>1</v>
      </c>
      <c r="AZ427">
        <v>0</v>
      </c>
      <c r="BA427">
        <v>515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U427">
        <f>ROUND(AT427*Source!I560*AH427*AL427,2)</f>
        <v>0</v>
      </c>
      <c r="CV427">
        <f>ROUND(Y427*Source!I560,9)</f>
        <v>14.817</v>
      </c>
      <c r="CW427">
        <v>0</v>
      </c>
      <c r="CX427">
        <f>ROUND(Y427*Source!I560,9)</f>
        <v>14.817</v>
      </c>
      <c r="CY427">
        <f>AD427</f>
        <v>0</v>
      </c>
      <c r="CZ427">
        <f>AH427</f>
        <v>0</v>
      </c>
      <c r="DA427">
        <f>AL427</f>
        <v>1</v>
      </c>
      <c r="DB427">
        <f>ROUND((ROUND(AT427*CZ427,2)*1.1),6)</f>
        <v>0</v>
      </c>
      <c r="DC427">
        <f>ROUND((ROUND(AT427*AG427,2)*1.1),6)</f>
        <v>0</v>
      </c>
      <c r="DD427" t="s">
        <v>3</v>
      </c>
      <c r="DE427" t="s">
        <v>3</v>
      </c>
      <c r="DF427">
        <f t="shared" ref="DF427:DF439" si="228">ROUND(ROUND(AE427,2)*CX427,2)</f>
        <v>0</v>
      </c>
      <c r="DG427">
        <f t="shared" si="226"/>
        <v>0</v>
      </c>
      <c r="DH427">
        <f t="shared" si="227"/>
        <v>0</v>
      </c>
      <c r="DI427">
        <f t="shared" si="211"/>
        <v>0</v>
      </c>
      <c r="DJ427">
        <f>DI427</f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ROW(Source!A560)</f>
        <v>560</v>
      </c>
      <c r="B428">
        <v>56959434</v>
      </c>
      <c r="C428">
        <v>56960592</v>
      </c>
      <c r="D428">
        <v>56092340</v>
      </c>
      <c r="E428">
        <v>1</v>
      </c>
      <c r="F428">
        <v>1</v>
      </c>
      <c r="G428">
        <v>1080</v>
      </c>
      <c r="H428">
        <v>2</v>
      </c>
      <c r="I428" t="s">
        <v>503</v>
      </c>
      <c r="J428" t="s">
        <v>504</v>
      </c>
      <c r="K428" t="s">
        <v>505</v>
      </c>
      <c r="L428">
        <v>1368</v>
      </c>
      <c r="N428">
        <v>1011</v>
      </c>
      <c r="O428" t="s">
        <v>506</v>
      </c>
      <c r="P428" t="s">
        <v>506</v>
      </c>
      <c r="Q428">
        <v>1</v>
      </c>
      <c r="W428">
        <v>0</v>
      </c>
      <c r="X428">
        <v>-1985943078</v>
      </c>
      <c r="Y428">
        <f>(AT428*1.1)</f>
        <v>1.1000000000000001E-2</v>
      </c>
      <c r="AA428">
        <v>0</v>
      </c>
      <c r="AB428">
        <v>87.01</v>
      </c>
      <c r="AC428">
        <v>13.21</v>
      </c>
      <c r="AD428">
        <v>0</v>
      </c>
      <c r="AE428">
        <v>0</v>
      </c>
      <c r="AF428">
        <v>83.1</v>
      </c>
      <c r="AG428">
        <v>12.62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0.01</v>
      </c>
      <c r="AU428" t="s">
        <v>23</v>
      </c>
      <c r="AV428">
        <v>0</v>
      </c>
      <c r="AW428">
        <v>2</v>
      </c>
      <c r="AX428">
        <v>56961162</v>
      </c>
      <c r="AY428">
        <v>1</v>
      </c>
      <c r="AZ428">
        <v>0</v>
      </c>
      <c r="BA428">
        <v>516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ROUND(Y428*Source!I560*DO428,9)</f>
        <v>0.41646</v>
      </c>
      <c r="CX428">
        <f>ROUND(Y428*Source!I560,9)</f>
        <v>3.3000000000000002E-2</v>
      </c>
      <c r="CY428">
        <f>AB428</f>
        <v>87.01</v>
      </c>
      <c r="CZ428">
        <f>AF428</f>
        <v>83.1</v>
      </c>
      <c r="DA428">
        <f>AJ428</f>
        <v>1</v>
      </c>
      <c r="DB428">
        <f>ROUND((ROUND(AT428*CZ428,2)*1.1),6)</f>
        <v>0.91300000000000003</v>
      </c>
      <c r="DC428">
        <f>ROUND((ROUND(AT428*AG428,2)*1.1),6)</f>
        <v>0.14299999999999999</v>
      </c>
      <c r="DD428" t="s">
        <v>3</v>
      </c>
      <c r="DE428" t="s">
        <v>3</v>
      </c>
      <c r="DF428">
        <f t="shared" si="228"/>
        <v>0</v>
      </c>
      <c r="DG428">
        <f t="shared" si="226"/>
        <v>2.74</v>
      </c>
      <c r="DH428">
        <f t="shared" si="227"/>
        <v>0.42</v>
      </c>
      <c r="DI428">
        <f t="shared" si="211"/>
        <v>0</v>
      </c>
      <c r="DJ428">
        <f>DG428</f>
        <v>2.74</v>
      </c>
      <c r="DK428">
        <v>0</v>
      </c>
      <c r="DL428" t="s">
        <v>507</v>
      </c>
      <c r="DM428">
        <v>0</v>
      </c>
      <c r="DN428" t="s">
        <v>502</v>
      </c>
      <c r="DO428">
        <v>12.62</v>
      </c>
    </row>
    <row r="429" spans="1:119" x14ac:dyDescent="0.2">
      <c r="A429">
        <f>ROW(Source!A560)</f>
        <v>560</v>
      </c>
      <c r="B429">
        <v>56959434</v>
      </c>
      <c r="C429">
        <v>56960592</v>
      </c>
      <c r="D429">
        <v>56091576</v>
      </c>
      <c r="E429">
        <v>1</v>
      </c>
      <c r="F429">
        <v>1</v>
      </c>
      <c r="G429">
        <v>1080</v>
      </c>
      <c r="H429">
        <v>2</v>
      </c>
      <c r="I429" t="s">
        <v>529</v>
      </c>
      <c r="J429" t="s">
        <v>530</v>
      </c>
      <c r="K429" t="s">
        <v>531</v>
      </c>
      <c r="L429">
        <v>1368</v>
      </c>
      <c r="N429">
        <v>1011</v>
      </c>
      <c r="O429" t="s">
        <v>506</v>
      </c>
      <c r="P429" t="s">
        <v>506</v>
      </c>
      <c r="Q429">
        <v>1</v>
      </c>
      <c r="W429">
        <v>0</v>
      </c>
      <c r="X429">
        <v>1087580389</v>
      </c>
      <c r="Y429">
        <f>(AT429*1.1)</f>
        <v>1.1000000000000001E-2</v>
      </c>
      <c r="AA429">
        <v>0</v>
      </c>
      <c r="AB429">
        <v>187.59</v>
      </c>
      <c r="AC429">
        <v>17.73</v>
      </c>
      <c r="AD429">
        <v>0</v>
      </c>
      <c r="AE429">
        <v>0</v>
      </c>
      <c r="AF429">
        <v>179.17</v>
      </c>
      <c r="AG429">
        <v>16.93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0.01</v>
      </c>
      <c r="AU429" t="s">
        <v>23</v>
      </c>
      <c r="AV429">
        <v>0</v>
      </c>
      <c r="AW429">
        <v>2</v>
      </c>
      <c r="AX429">
        <v>56961163</v>
      </c>
      <c r="AY429">
        <v>1</v>
      </c>
      <c r="AZ429">
        <v>0</v>
      </c>
      <c r="BA429">
        <v>517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f>ROUND(Y429*Source!I560*DO429,9)</f>
        <v>0.55869000000000002</v>
      </c>
      <c r="CX429">
        <f>ROUND(Y429*Source!I560,9)</f>
        <v>3.3000000000000002E-2</v>
      </c>
      <c r="CY429">
        <f>AB429</f>
        <v>187.59</v>
      </c>
      <c r="CZ429">
        <f>AF429</f>
        <v>179.17</v>
      </c>
      <c r="DA429">
        <f>AJ429</f>
        <v>1</v>
      </c>
      <c r="DB429">
        <f>ROUND((ROUND(AT429*CZ429,2)*1.1),6)</f>
        <v>1.9690000000000001</v>
      </c>
      <c r="DC429">
        <f>ROUND((ROUND(AT429*AG429,2)*1.1),6)</f>
        <v>0.187</v>
      </c>
      <c r="DD429" t="s">
        <v>3</v>
      </c>
      <c r="DE429" t="s">
        <v>3</v>
      </c>
      <c r="DF429">
        <f t="shared" si="228"/>
        <v>0</v>
      </c>
      <c r="DG429">
        <f t="shared" si="226"/>
        <v>5.91</v>
      </c>
      <c r="DH429">
        <f t="shared" si="227"/>
        <v>0.56000000000000005</v>
      </c>
      <c r="DI429">
        <f t="shared" si="211"/>
        <v>0</v>
      </c>
      <c r="DJ429">
        <f>DG429</f>
        <v>5.91</v>
      </c>
      <c r="DK429">
        <v>0</v>
      </c>
      <c r="DL429" t="s">
        <v>507</v>
      </c>
      <c r="DM429">
        <v>0</v>
      </c>
      <c r="DN429" t="s">
        <v>502</v>
      </c>
      <c r="DO429">
        <v>16.93</v>
      </c>
    </row>
    <row r="430" spans="1:119" x14ac:dyDescent="0.2">
      <c r="A430">
        <f>ROW(Source!A560)</f>
        <v>560</v>
      </c>
      <c r="B430">
        <v>56959434</v>
      </c>
      <c r="C430">
        <v>56960592</v>
      </c>
      <c r="D430">
        <v>56061373</v>
      </c>
      <c r="E430">
        <v>1</v>
      </c>
      <c r="F430">
        <v>1</v>
      </c>
      <c r="G430">
        <v>1080</v>
      </c>
      <c r="H430">
        <v>3</v>
      </c>
      <c r="I430" t="s">
        <v>532</v>
      </c>
      <c r="J430" t="s">
        <v>533</v>
      </c>
      <c r="K430" t="s">
        <v>534</v>
      </c>
      <c r="L430">
        <v>1346</v>
      </c>
      <c r="N430">
        <v>1009</v>
      </c>
      <c r="O430" t="s">
        <v>249</v>
      </c>
      <c r="P430" t="s">
        <v>249</v>
      </c>
      <c r="Q430">
        <v>1</v>
      </c>
      <c r="W430">
        <v>0</v>
      </c>
      <c r="X430">
        <v>1770006655</v>
      </c>
      <c r="Y430">
        <f t="shared" ref="Y430:Y436" si="229">AT430</f>
        <v>0.43</v>
      </c>
      <c r="AA430">
        <v>1.38</v>
      </c>
      <c r="AB430">
        <v>0</v>
      </c>
      <c r="AC430">
        <v>0</v>
      </c>
      <c r="AD430">
        <v>0</v>
      </c>
      <c r="AE430">
        <v>1.38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0.43</v>
      </c>
      <c r="AU430" t="s">
        <v>3</v>
      </c>
      <c r="AV430">
        <v>0</v>
      </c>
      <c r="AW430">
        <v>2</v>
      </c>
      <c r="AX430">
        <v>56961164</v>
      </c>
      <c r="AY430">
        <v>1</v>
      </c>
      <c r="AZ430">
        <v>0</v>
      </c>
      <c r="BA430">
        <v>518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ROUND(Y430*Source!I560,9)</f>
        <v>1.29</v>
      </c>
      <c r="CY430">
        <f t="shared" ref="CY430:CY436" si="230">AA430</f>
        <v>1.38</v>
      </c>
      <c r="CZ430">
        <f t="shared" ref="CZ430:CZ436" si="231">AE430</f>
        <v>1.38</v>
      </c>
      <c r="DA430">
        <f t="shared" ref="DA430:DA436" si="232">AI430</f>
        <v>1</v>
      </c>
      <c r="DB430">
        <f t="shared" ref="DB430:DB436" si="233">ROUND(ROUND(AT430*CZ430,2),6)</f>
        <v>0.59</v>
      </c>
      <c r="DC430">
        <f t="shared" ref="DC430:DC436" si="234">ROUND(ROUND(AT430*AG430,2),6)</f>
        <v>0</v>
      </c>
      <c r="DD430" t="s">
        <v>3</v>
      </c>
      <c r="DE430" t="s">
        <v>3</v>
      </c>
      <c r="DF430">
        <f t="shared" si="228"/>
        <v>1.78</v>
      </c>
      <c r="DG430">
        <f t="shared" si="226"/>
        <v>0</v>
      </c>
      <c r="DH430">
        <f t="shared" si="227"/>
        <v>0</v>
      </c>
      <c r="DI430">
        <f t="shared" si="211"/>
        <v>0</v>
      </c>
      <c r="DJ430">
        <f t="shared" ref="DJ430:DJ436" si="235">DF430</f>
        <v>1.78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ROW(Source!A560)</f>
        <v>560</v>
      </c>
      <c r="B431">
        <v>56959434</v>
      </c>
      <c r="C431">
        <v>56960592</v>
      </c>
      <c r="D431">
        <v>56061764</v>
      </c>
      <c r="E431">
        <v>1</v>
      </c>
      <c r="F431">
        <v>1</v>
      </c>
      <c r="G431">
        <v>1080</v>
      </c>
      <c r="H431">
        <v>3</v>
      </c>
      <c r="I431" t="s">
        <v>535</v>
      </c>
      <c r="J431" t="s">
        <v>536</v>
      </c>
      <c r="K431" t="s">
        <v>537</v>
      </c>
      <c r="L431">
        <v>1346</v>
      </c>
      <c r="N431">
        <v>1009</v>
      </c>
      <c r="O431" t="s">
        <v>249</v>
      </c>
      <c r="P431" t="s">
        <v>249</v>
      </c>
      <c r="Q431">
        <v>1</v>
      </c>
      <c r="W431">
        <v>0</v>
      </c>
      <c r="X431">
        <v>-878159893</v>
      </c>
      <c r="Y431">
        <f t="shared" si="229"/>
        <v>0.16</v>
      </c>
      <c r="AA431">
        <v>159.06</v>
      </c>
      <c r="AB431">
        <v>0</v>
      </c>
      <c r="AC431">
        <v>0</v>
      </c>
      <c r="AD431">
        <v>0</v>
      </c>
      <c r="AE431">
        <v>159.06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0.16</v>
      </c>
      <c r="AU431" t="s">
        <v>3</v>
      </c>
      <c r="AV431">
        <v>0</v>
      </c>
      <c r="AW431">
        <v>2</v>
      </c>
      <c r="AX431">
        <v>56961165</v>
      </c>
      <c r="AY431">
        <v>1</v>
      </c>
      <c r="AZ431">
        <v>0</v>
      </c>
      <c r="BA431">
        <v>519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ROUND(Y431*Source!I560,9)</f>
        <v>0.48</v>
      </c>
      <c r="CY431">
        <f t="shared" si="230"/>
        <v>159.06</v>
      </c>
      <c r="CZ431">
        <f t="shared" si="231"/>
        <v>159.06</v>
      </c>
      <c r="DA431">
        <f t="shared" si="232"/>
        <v>1</v>
      </c>
      <c r="DB431">
        <f t="shared" si="233"/>
        <v>25.45</v>
      </c>
      <c r="DC431">
        <f t="shared" si="234"/>
        <v>0</v>
      </c>
      <c r="DD431" t="s">
        <v>3</v>
      </c>
      <c r="DE431" t="s">
        <v>3</v>
      </c>
      <c r="DF431">
        <f t="shared" si="228"/>
        <v>76.349999999999994</v>
      </c>
      <c r="DG431">
        <f t="shared" si="226"/>
        <v>0</v>
      </c>
      <c r="DH431">
        <f t="shared" si="227"/>
        <v>0</v>
      </c>
      <c r="DI431">
        <f t="shared" si="211"/>
        <v>0</v>
      </c>
      <c r="DJ431">
        <f t="shared" si="235"/>
        <v>76.349999999999994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ROW(Source!A560)</f>
        <v>560</v>
      </c>
      <c r="B432">
        <v>56959434</v>
      </c>
      <c r="C432">
        <v>56960592</v>
      </c>
      <c r="D432">
        <v>56084707</v>
      </c>
      <c r="E432">
        <v>1</v>
      </c>
      <c r="F432">
        <v>1</v>
      </c>
      <c r="G432">
        <v>1080</v>
      </c>
      <c r="H432">
        <v>3</v>
      </c>
      <c r="I432" t="s">
        <v>538</v>
      </c>
      <c r="J432" t="s">
        <v>539</v>
      </c>
      <c r="K432" t="s">
        <v>540</v>
      </c>
      <c r="L432">
        <v>1355</v>
      </c>
      <c r="N432">
        <v>1010</v>
      </c>
      <c r="O432" t="s">
        <v>520</v>
      </c>
      <c r="P432" t="s">
        <v>520</v>
      </c>
      <c r="Q432">
        <v>100</v>
      </c>
      <c r="W432">
        <v>0</v>
      </c>
      <c r="X432">
        <v>-456781043</v>
      </c>
      <c r="Y432">
        <f t="shared" si="229"/>
        <v>0.05</v>
      </c>
      <c r="AA432">
        <v>68.819999999999993</v>
      </c>
      <c r="AB432">
        <v>0</v>
      </c>
      <c r="AC432">
        <v>0</v>
      </c>
      <c r="AD432">
        <v>0</v>
      </c>
      <c r="AE432">
        <v>68.819999999999993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0.05</v>
      </c>
      <c r="AU432" t="s">
        <v>3</v>
      </c>
      <c r="AV432">
        <v>0</v>
      </c>
      <c r="AW432">
        <v>2</v>
      </c>
      <c r="AX432">
        <v>56961166</v>
      </c>
      <c r="AY432">
        <v>1</v>
      </c>
      <c r="AZ432">
        <v>0</v>
      </c>
      <c r="BA432">
        <v>520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ROUND(Y432*Source!I560,9)</f>
        <v>0.15</v>
      </c>
      <c r="CY432">
        <f t="shared" si="230"/>
        <v>68.819999999999993</v>
      </c>
      <c r="CZ432">
        <f t="shared" si="231"/>
        <v>68.819999999999993</v>
      </c>
      <c r="DA432">
        <f t="shared" si="232"/>
        <v>1</v>
      </c>
      <c r="DB432">
        <f t="shared" si="233"/>
        <v>3.44</v>
      </c>
      <c r="DC432">
        <f t="shared" si="234"/>
        <v>0</v>
      </c>
      <c r="DD432" t="s">
        <v>3</v>
      </c>
      <c r="DE432" t="s">
        <v>3</v>
      </c>
      <c r="DF432">
        <f t="shared" si="228"/>
        <v>10.32</v>
      </c>
      <c r="DG432">
        <f t="shared" si="226"/>
        <v>0</v>
      </c>
      <c r="DH432">
        <f t="shared" si="227"/>
        <v>0</v>
      </c>
      <c r="DI432">
        <f t="shared" si="211"/>
        <v>0</v>
      </c>
      <c r="DJ432">
        <f t="shared" si="235"/>
        <v>10.32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ROW(Source!A560)</f>
        <v>560</v>
      </c>
      <c r="B433">
        <v>56959434</v>
      </c>
      <c r="C433">
        <v>56960592</v>
      </c>
      <c r="D433">
        <v>56084718</v>
      </c>
      <c r="E433">
        <v>1</v>
      </c>
      <c r="F433">
        <v>1</v>
      </c>
      <c r="G433">
        <v>1080</v>
      </c>
      <c r="H433">
        <v>3</v>
      </c>
      <c r="I433" t="s">
        <v>541</v>
      </c>
      <c r="J433" t="s">
        <v>542</v>
      </c>
      <c r="K433" t="s">
        <v>543</v>
      </c>
      <c r="L433">
        <v>1356</v>
      </c>
      <c r="N433">
        <v>1010</v>
      </c>
      <c r="O433" t="s">
        <v>544</v>
      </c>
      <c r="P433" t="s">
        <v>544</v>
      </c>
      <c r="Q433">
        <v>1000</v>
      </c>
      <c r="W433">
        <v>0</v>
      </c>
      <c r="X433">
        <v>1726193810</v>
      </c>
      <c r="Y433">
        <f t="shared" si="229"/>
        <v>1.2200000000000001E-2</v>
      </c>
      <c r="AA433">
        <v>183.4</v>
      </c>
      <c r="AB433">
        <v>0</v>
      </c>
      <c r="AC433">
        <v>0</v>
      </c>
      <c r="AD433">
        <v>0</v>
      </c>
      <c r="AE433">
        <v>183.4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1.2200000000000001E-2</v>
      </c>
      <c r="AU433" t="s">
        <v>3</v>
      </c>
      <c r="AV433">
        <v>0</v>
      </c>
      <c r="AW433">
        <v>2</v>
      </c>
      <c r="AX433">
        <v>56961167</v>
      </c>
      <c r="AY433">
        <v>1</v>
      </c>
      <c r="AZ433">
        <v>0</v>
      </c>
      <c r="BA433">
        <v>521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ROUND(Y433*Source!I560,9)</f>
        <v>3.6600000000000001E-2</v>
      </c>
      <c r="CY433">
        <f t="shared" si="230"/>
        <v>183.4</v>
      </c>
      <c r="CZ433">
        <f t="shared" si="231"/>
        <v>183.4</v>
      </c>
      <c r="DA433">
        <f t="shared" si="232"/>
        <v>1</v>
      </c>
      <c r="DB433">
        <f t="shared" si="233"/>
        <v>2.2400000000000002</v>
      </c>
      <c r="DC433">
        <f t="shared" si="234"/>
        <v>0</v>
      </c>
      <c r="DD433" t="s">
        <v>3</v>
      </c>
      <c r="DE433" t="s">
        <v>3</v>
      </c>
      <c r="DF433">
        <f t="shared" si="228"/>
        <v>6.71</v>
      </c>
      <c r="DG433">
        <f t="shared" si="226"/>
        <v>0</v>
      </c>
      <c r="DH433">
        <f t="shared" si="227"/>
        <v>0</v>
      </c>
      <c r="DI433">
        <f t="shared" si="211"/>
        <v>0</v>
      </c>
      <c r="DJ433">
        <f t="shared" si="235"/>
        <v>6.71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ROW(Source!A560)</f>
        <v>560</v>
      </c>
      <c r="B434">
        <v>56959434</v>
      </c>
      <c r="C434">
        <v>56960592</v>
      </c>
      <c r="D434">
        <v>56084044</v>
      </c>
      <c r="E434">
        <v>1</v>
      </c>
      <c r="F434">
        <v>1</v>
      </c>
      <c r="G434">
        <v>1080</v>
      </c>
      <c r="H434">
        <v>3</v>
      </c>
      <c r="I434" t="s">
        <v>545</v>
      </c>
      <c r="J434" t="s">
        <v>546</v>
      </c>
      <c r="K434" t="s">
        <v>547</v>
      </c>
      <c r="L434">
        <v>1354</v>
      </c>
      <c r="N434">
        <v>1010</v>
      </c>
      <c r="O434" t="s">
        <v>31</v>
      </c>
      <c r="P434" t="s">
        <v>31</v>
      </c>
      <c r="Q434">
        <v>1</v>
      </c>
      <c r="W434">
        <v>0</v>
      </c>
      <c r="X434">
        <v>145081611</v>
      </c>
      <c r="Y434">
        <f t="shared" si="229"/>
        <v>3.1</v>
      </c>
      <c r="AA434">
        <v>6.94</v>
      </c>
      <c r="AB434">
        <v>0</v>
      </c>
      <c r="AC434">
        <v>0</v>
      </c>
      <c r="AD434">
        <v>0</v>
      </c>
      <c r="AE434">
        <v>6.94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3.1</v>
      </c>
      <c r="AU434" t="s">
        <v>3</v>
      </c>
      <c r="AV434">
        <v>0</v>
      </c>
      <c r="AW434">
        <v>2</v>
      </c>
      <c r="AX434">
        <v>56961168</v>
      </c>
      <c r="AY434">
        <v>1</v>
      </c>
      <c r="AZ434">
        <v>0</v>
      </c>
      <c r="BA434">
        <v>522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ROUND(Y434*Source!I560,9)</f>
        <v>9.3000000000000007</v>
      </c>
      <c r="CY434">
        <f t="shared" si="230"/>
        <v>6.94</v>
      </c>
      <c r="CZ434">
        <f t="shared" si="231"/>
        <v>6.94</v>
      </c>
      <c r="DA434">
        <f t="shared" si="232"/>
        <v>1</v>
      </c>
      <c r="DB434">
        <f t="shared" si="233"/>
        <v>21.51</v>
      </c>
      <c r="DC434">
        <f t="shared" si="234"/>
        <v>0</v>
      </c>
      <c r="DD434" t="s">
        <v>3</v>
      </c>
      <c r="DE434" t="s">
        <v>3</v>
      </c>
      <c r="DF434">
        <f t="shared" si="228"/>
        <v>64.540000000000006</v>
      </c>
      <c r="DG434">
        <f t="shared" si="226"/>
        <v>0</v>
      </c>
      <c r="DH434">
        <f t="shared" si="227"/>
        <v>0</v>
      </c>
      <c r="DI434">
        <f t="shared" si="211"/>
        <v>0</v>
      </c>
      <c r="DJ434">
        <f t="shared" si="235"/>
        <v>64.540000000000006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ROW(Source!A560)</f>
        <v>560</v>
      </c>
      <c r="B435">
        <v>56959434</v>
      </c>
      <c r="C435">
        <v>56960592</v>
      </c>
      <c r="D435">
        <v>56084051</v>
      </c>
      <c r="E435">
        <v>1</v>
      </c>
      <c r="F435">
        <v>1</v>
      </c>
      <c r="G435">
        <v>1080</v>
      </c>
      <c r="H435">
        <v>3</v>
      </c>
      <c r="I435" t="s">
        <v>548</v>
      </c>
      <c r="J435" t="s">
        <v>549</v>
      </c>
      <c r="K435" t="s">
        <v>550</v>
      </c>
      <c r="L435">
        <v>1356</v>
      </c>
      <c r="N435">
        <v>1010</v>
      </c>
      <c r="O435" t="s">
        <v>544</v>
      </c>
      <c r="P435" t="s">
        <v>544</v>
      </c>
      <c r="Q435">
        <v>1000</v>
      </c>
      <c r="W435">
        <v>0</v>
      </c>
      <c r="X435">
        <v>-1715273674</v>
      </c>
      <c r="Y435">
        <f t="shared" si="229"/>
        <v>8.0000000000000002E-3</v>
      </c>
      <c r="AA435">
        <v>614.09</v>
      </c>
      <c r="AB435">
        <v>0</v>
      </c>
      <c r="AC435">
        <v>0</v>
      </c>
      <c r="AD435">
        <v>0</v>
      </c>
      <c r="AE435">
        <v>614.09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8.0000000000000002E-3</v>
      </c>
      <c r="AU435" t="s">
        <v>3</v>
      </c>
      <c r="AV435">
        <v>0</v>
      </c>
      <c r="AW435">
        <v>2</v>
      </c>
      <c r="AX435">
        <v>56961169</v>
      </c>
      <c r="AY435">
        <v>1</v>
      </c>
      <c r="AZ435">
        <v>0</v>
      </c>
      <c r="BA435">
        <v>523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ROUND(Y435*Source!I560,9)</f>
        <v>2.4E-2</v>
      </c>
      <c r="CY435">
        <f t="shared" si="230"/>
        <v>614.09</v>
      </c>
      <c r="CZ435">
        <f t="shared" si="231"/>
        <v>614.09</v>
      </c>
      <c r="DA435">
        <f t="shared" si="232"/>
        <v>1</v>
      </c>
      <c r="DB435">
        <f t="shared" si="233"/>
        <v>4.91</v>
      </c>
      <c r="DC435">
        <f t="shared" si="234"/>
        <v>0</v>
      </c>
      <c r="DD435" t="s">
        <v>3</v>
      </c>
      <c r="DE435" t="s">
        <v>3</v>
      </c>
      <c r="DF435">
        <f t="shared" si="228"/>
        <v>14.74</v>
      </c>
      <c r="DG435">
        <f t="shared" si="226"/>
        <v>0</v>
      </c>
      <c r="DH435">
        <f t="shared" si="227"/>
        <v>0</v>
      </c>
      <c r="DI435">
        <f t="shared" si="211"/>
        <v>0</v>
      </c>
      <c r="DJ435">
        <f t="shared" si="235"/>
        <v>14.74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ROW(Source!A560)</f>
        <v>560</v>
      </c>
      <c r="B436">
        <v>56959434</v>
      </c>
      <c r="C436">
        <v>56960592</v>
      </c>
      <c r="D436">
        <v>0</v>
      </c>
      <c r="E436">
        <v>1080</v>
      </c>
      <c r="F436">
        <v>1</v>
      </c>
      <c r="G436">
        <v>1080</v>
      </c>
      <c r="H436">
        <v>3</v>
      </c>
      <c r="I436" t="s">
        <v>99</v>
      </c>
      <c r="J436" t="s">
        <v>3</v>
      </c>
      <c r="K436" t="s">
        <v>100</v>
      </c>
      <c r="L436">
        <v>2698</v>
      </c>
      <c r="N436">
        <v>1013</v>
      </c>
      <c r="O436" t="s">
        <v>101</v>
      </c>
      <c r="P436" t="s">
        <v>101</v>
      </c>
      <c r="Q436">
        <v>1</v>
      </c>
      <c r="W436">
        <v>0</v>
      </c>
      <c r="X436">
        <v>1285757954</v>
      </c>
      <c r="Y436">
        <f t="shared" si="229"/>
        <v>102</v>
      </c>
      <c r="AA436">
        <v>5.08</v>
      </c>
      <c r="AB436">
        <v>0</v>
      </c>
      <c r="AC436">
        <v>0</v>
      </c>
      <c r="AD436">
        <v>0</v>
      </c>
      <c r="AE436">
        <v>5.08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 t="s">
        <v>3</v>
      </c>
      <c r="AT436">
        <v>102</v>
      </c>
      <c r="AU436" t="s">
        <v>3</v>
      </c>
      <c r="AV436">
        <v>0</v>
      </c>
      <c r="AW436">
        <v>1</v>
      </c>
      <c r="AX436">
        <v>-1</v>
      </c>
      <c r="AY436">
        <v>0</v>
      </c>
      <c r="AZ436">
        <v>0</v>
      </c>
      <c r="BA436" t="s">
        <v>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ROUND(Y436*Source!I560,9)</f>
        <v>306</v>
      </c>
      <c r="CY436">
        <f t="shared" si="230"/>
        <v>5.08</v>
      </c>
      <c r="CZ436">
        <f t="shared" si="231"/>
        <v>5.08</v>
      </c>
      <c r="DA436">
        <f t="shared" si="232"/>
        <v>1</v>
      </c>
      <c r="DB436">
        <f t="shared" si="233"/>
        <v>518.16</v>
      </c>
      <c r="DC436">
        <f t="shared" si="234"/>
        <v>0</v>
      </c>
      <c r="DD436" t="s">
        <v>3</v>
      </c>
      <c r="DE436" t="s">
        <v>3</v>
      </c>
      <c r="DF436">
        <f t="shared" si="228"/>
        <v>1554.48</v>
      </c>
      <c r="DG436">
        <f t="shared" si="226"/>
        <v>0</v>
      </c>
      <c r="DH436">
        <f t="shared" si="227"/>
        <v>0</v>
      </c>
      <c r="DI436">
        <f t="shared" si="211"/>
        <v>0</v>
      </c>
      <c r="DJ436">
        <f t="shared" si="235"/>
        <v>1554.48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ROW(Source!A561)</f>
        <v>561</v>
      </c>
      <c r="B437">
        <v>56959431</v>
      </c>
      <c r="C437">
        <v>56960592</v>
      </c>
      <c r="D437">
        <v>56018166</v>
      </c>
      <c r="E437">
        <v>1080</v>
      </c>
      <c r="F437">
        <v>1</v>
      </c>
      <c r="G437">
        <v>1080</v>
      </c>
      <c r="H437">
        <v>1</v>
      </c>
      <c r="I437" t="s">
        <v>500</v>
      </c>
      <c r="J437" t="s">
        <v>3</v>
      </c>
      <c r="K437" t="s">
        <v>501</v>
      </c>
      <c r="L437">
        <v>1191</v>
      </c>
      <c r="N437">
        <v>1013</v>
      </c>
      <c r="O437" t="s">
        <v>502</v>
      </c>
      <c r="P437" t="s">
        <v>502</v>
      </c>
      <c r="Q437">
        <v>1</v>
      </c>
      <c r="W437">
        <v>0</v>
      </c>
      <c r="X437">
        <v>476480486</v>
      </c>
      <c r="Y437">
        <f>(AT437*1.1)</f>
        <v>4.9390000000000009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5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4.49</v>
      </c>
      <c r="AU437" t="s">
        <v>23</v>
      </c>
      <c r="AV437">
        <v>1</v>
      </c>
      <c r="AW437">
        <v>2</v>
      </c>
      <c r="AX437">
        <v>56961161</v>
      </c>
      <c r="AY437">
        <v>1</v>
      </c>
      <c r="AZ437">
        <v>0</v>
      </c>
      <c r="BA437">
        <v>525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U437">
        <f>ROUND(AT437*Source!I561*AH437*AL437,2)</f>
        <v>0</v>
      </c>
      <c r="CV437">
        <f>ROUND(Y437*Source!I561,9)</f>
        <v>14.817</v>
      </c>
      <c r="CW437">
        <v>0</v>
      </c>
      <c r="CX437">
        <f>ROUND(Y437*Source!I561,9)</f>
        <v>14.817</v>
      </c>
      <c r="CY437">
        <f>AD437</f>
        <v>0</v>
      </c>
      <c r="CZ437">
        <f>AH437</f>
        <v>0</v>
      </c>
      <c r="DA437">
        <f>AL437</f>
        <v>1</v>
      </c>
      <c r="DB437">
        <f>ROUND((ROUND(AT437*CZ437,2)*1.1),6)</f>
        <v>0</v>
      </c>
      <c r="DC437">
        <f>ROUND((ROUND(AT437*AG437,2)*1.1),6)</f>
        <v>0</v>
      </c>
      <c r="DD437" t="s">
        <v>3</v>
      </c>
      <c r="DE437" t="s">
        <v>3</v>
      </c>
      <c r="DF437">
        <f t="shared" si="228"/>
        <v>0</v>
      </c>
      <c r="DG437">
        <f t="shared" si="226"/>
        <v>0</v>
      </c>
      <c r="DH437">
        <f t="shared" si="227"/>
        <v>0</v>
      </c>
      <c r="DI437">
        <f t="shared" si="211"/>
        <v>0</v>
      </c>
      <c r="DJ437">
        <f>DI437</f>
        <v>0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ROW(Source!A561)</f>
        <v>561</v>
      </c>
      <c r="B438">
        <v>56959431</v>
      </c>
      <c r="C438">
        <v>56960592</v>
      </c>
      <c r="D438">
        <v>56092340</v>
      </c>
      <c r="E438">
        <v>1</v>
      </c>
      <c r="F438">
        <v>1</v>
      </c>
      <c r="G438">
        <v>1080</v>
      </c>
      <c r="H438">
        <v>2</v>
      </c>
      <c r="I438" t="s">
        <v>503</v>
      </c>
      <c r="J438" t="s">
        <v>504</v>
      </c>
      <c r="K438" t="s">
        <v>505</v>
      </c>
      <c r="L438">
        <v>1368</v>
      </c>
      <c r="N438">
        <v>1011</v>
      </c>
      <c r="O438" t="s">
        <v>506</v>
      </c>
      <c r="P438" t="s">
        <v>506</v>
      </c>
      <c r="Q438">
        <v>1</v>
      </c>
      <c r="W438">
        <v>0</v>
      </c>
      <c r="X438">
        <v>-1985943078</v>
      </c>
      <c r="Y438">
        <f>(AT438*1.1)</f>
        <v>1.1000000000000001E-2</v>
      </c>
      <c r="AA438">
        <v>0</v>
      </c>
      <c r="AB438">
        <v>1418.19</v>
      </c>
      <c r="AC438">
        <v>726.59</v>
      </c>
      <c r="AD438">
        <v>0</v>
      </c>
      <c r="AE438">
        <v>0</v>
      </c>
      <c r="AF438">
        <v>83.1</v>
      </c>
      <c r="AG438">
        <v>12.62</v>
      </c>
      <c r="AH438">
        <v>0</v>
      </c>
      <c r="AI438">
        <v>1</v>
      </c>
      <c r="AJ438">
        <v>16.3</v>
      </c>
      <c r="AK438">
        <v>54.99</v>
      </c>
      <c r="AL438">
        <v>1</v>
      </c>
      <c r="AM438">
        <v>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0.01</v>
      </c>
      <c r="AU438" t="s">
        <v>23</v>
      </c>
      <c r="AV438">
        <v>0</v>
      </c>
      <c r="AW438">
        <v>2</v>
      </c>
      <c r="AX438">
        <v>56961162</v>
      </c>
      <c r="AY438">
        <v>1</v>
      </c>
      <c r="AZ438">
        <v>0</v>
      </c>
      <c r="BA438">
        <v>526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f>ROUND(Y438*Source!I561*DO438,9)</f>
        <v>0.41646</v>
      </c>
      <c r="CX438">
        <f>ROUND(Y438*Source!I561,9)</f>
        <v>3.3000000000000002E-2</v>
      </c>
      <c r="CY438">
        <f>AB438</f>
        <v>1418.19</v>
      </c>
      <c r="CZ438">
        <f>AF438</f>
        <v>83.1</v>
      </c>
      <c r="DA438">
        <f>AJ438</f>
        <v>16.3</v>
      </c>
      <c r="DB438">
        <f>ROUND((ROUND(AT438*CZ438,2)*1.1),6)</f>
        <v>0.91300000000000003</v>
      </c>
      <c r="DC438">
        <f>ROUND((ROUND(AT438*AG438,2)*1.1),6)</f>
        <v>0.14299999999999999</v>
      </c>
      <c r="DD438" t="s">
        <v>3</v>
      </c>
      <c r="DE438" t="s">
        <v>3</v>
      </c>
      <c r="DF438">
        <f t="shared" si="228"/>
        <v>0</v>
      </c>
      <c r="DG438">
        <f>ROUND(ROUND(AF438*AJ438,2)*CX438,2)</f>
        <v>44.7</v>
      </c>
      <c r="DH438">
        <f>ROUND(ROUND(AG438*AK438,2)*CX438,2)</f>
        <v>22.9</v>
      </c>
      <c r="DI438">
        <f t="shared" si="211"/>
        <v>0</v>
      </c>
      <c r="DJ438">
        <f>DG438</f>
        <v>44.7</v>
      </c>
      <c r="DK438">
        <v>0</v>
      </c>
      <c r="DL438" t="s">
        <v>507</v>
      </c>
      <c r="DM438">
        <v>0</v>
      </c>
      <c r="DN438" t="s">
        <v>502</v>
      </c>
      <c r="DO438">
        <v>12.62</v>
      </c>
    </row>
    <row r="439" spans="1:119" x14ac:dyDescent="0.2">
      <c r="A439">
        <f>ROW(Source!A561)</f>
        <v>561</v>
      </c>
      <c r="B439">
        <v>56959431</v>
      </c>
      <c r="C439">
        <v>56960592</v>
      </c>
      <c r="D439">
        <v>56091576</v>
      </c>
      <c r="E439">
        <v>1</v>
      </c>
      <c r="F439">
        <v>1</v>
      </c>
      <c r="G439">
        <v>1080</v>
      </c>
      <c r="H439">
        <v>2</v>
      </c>
      <c r="I439" t="s">
        <v>529</v>
      </c>
      <c r="J439" t="s">
        <v>530</v>
      </c>
      <c r="K439" t="s">
        <v>531</v>
      </c>
      <c r="L439">
        <v>1368</v>
      </c>
      <c r="N439">
        <v>1011</v>
      </c>
      <c r="O439" t="s">
        <v>506</v>
      </c>
      <c r="P439" t="s">
        <v>506</v>
      </c>
      <c r="Q439">
        <v>1</v>
      </c>
      <c r="W439">
        <v>0</v>
      </c>
      <c r="X439">
        <v>1087580389</v>
      </c>
      <c r="Y439">
        <f>(AT439*1.1)</f>
        <v>1.1000000000000001E-2</v>
      </c>
      <c r="AA439">
        <v>0</v>
      </c>
      <c r="AB439">
        <v>2579.38</v>
      </c>
      <c r="AC439">
        <v>974.74</v>
      </c>
      <c r="AD439">
        <v>0</v>
      </c>
      <c r="AE439">
        <v>0</v>
      </c>
      <c r="AF439">
        <v>179.17</v>
      </c>
      <c r="AG439">
        <v>16.93</v>
      </c>
      <c r="AH439">
        <v>0</v>
      </c>
      <c r="AI439">
        <v>1</v>
      </c>
      <c r="AJ439">
        <v>13.75</v>
      </c>
      <c r="AK439">
        <v>54.99</v>
      </c>
      <c r="AL439">
        <v>1</v>
      </c>
      <c r="AM439">
        <v>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0.01</v>
      </c>
      <c r="AU439" t="s">
        <v>23</v>
      </c>
      <c r="AV439">
        <v>0</v>
      </c>
      <c r="AW439">
        <v>2</v>
      </c>
      <c r="AX439">
        <v>56961163</v>
      </c>
      <c r="AY439">
        <v>1</v>
      </c>
      <c r="AZ439">
        <v>0</v>
      </c>
      <c r="BA439">
        <v>527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f>ROUND(Y439*Source!I561*DO439,9)</f>
        <v>0.55869000000000002</v>
      </c>
      <c r="CX439">
        <f>ROUND(Y439*Source!I561,9)</f>
        <v>3.3000000000000002E-2</v>
      </c>
      <c r="CY439">
        <f>AB439</f>
        <v>2579.38</v>
      </c>
      <c r="CZ439">
        <f>AF439</f>
        <v>179.17</v>
      </c>
      <c r="DA439">
        <f>AJ439</f>
        <v>13.75</v>
      </c>
      <c r="DB439">
        <f>ROUND((ROUND(AT439*CZ439,2)*1.1),6)</f>
        <v>1.9690000000000001</v>
      </c>
      <c r="DC439">
        <f>ROUND((ROUND(AT439*AG439,2)*1.1),6)</f>
        <v>0.187</v>
      </c>
      <c r="DD439" t="s">
        <v>3</v>
      </c>
      <c r="DE439" t="s">
        <v>3</v>
      </c>
      <c r="DF439">
        <f t="shared" si="228"/>
        <v>0</v>
      </c>
      <c r="DG439">
        <f>ROUND(ROUND(AF439*AJ439,2)*CX439,2)</f>
        <v>81.3</v>
      </c>
      <c r="DH439">
        <f>ROUND(ROUND(AG439*AK439,2)*CX439,2)</f>
        <v>30.72</v>
      </c>
      <c r="DI439">
        <f t="shared" si="211"/>
        <v>0</v>
      </c>
      <c r="DJ439">
        <f>DG439</f>
        <v>81.3</v>
      </c>
      <c r="DK439">
        <v>0</v>
      </c>
      <c r="DL439" t="s">
        <v>507</v>
      </c>
      <c r="DM439">
        <v>0</v>
      </c>
      <c r="DN439" t="s">
        <v>502</v>
      </c>
      <c r="DO439">
        <v>16.93</v>
      </c>
    </row>
    <row r="440" spans="1:119" x14ac:dyDescent="0.2">
      <c r="A440">
        <f>ROW(Source!A561)</f>
        <v>561</v>
      </c>
      <c r="B440">
        <v>56959431</v>
      </c>
      <c r="C440">
        <v>56960592</v>
      </c>
      <c r="D440">
        <v>56061373</v>
      </c>
      <c r="E440">
        <v>1</v>
      </c>
      <c r="F440">
        <v>1</v>
      </c>
      <c r="G440">
        <v>1080</v>
      </c>
      <c r="H440">
        <v>3</v>
      </c>
      <c r="I440" t="s">
        <v>532</v>
      </c>
      <c r="J440" t="s">
        <v>533</v>
      </c>
      <c r="K440" t="s">
        <v>534</v>
      </c>
      <c r="L440">
        <v>1346</v>
      </c>
      <c r="N440">
        <v>1009</v>
      </c>
      <c r="O440" t="s">
        <v>249</v>
      </c>
      <c r="P440" t="s">
        <v>249</v>
      </c>
      <c r="Q440">
        <v>1</v>
      </c>
      <c r="W440">
        <v>0</v>
      </c>
      <c r="X440">
        <v>1770006655</v>
      </c>
      <c r="Y440">
        <f t="shared" ref="Y440:Y446" si="236">AT440</f>
        <v>0.43</v>
      </c>
      <c r="AA440">
        <v>29.73</v>
      </c>
      <c r="AB440">
        <v>0</v>
      </c>
      <c r="AC440">
        <v>0</v>
      </c>
      <c r="AD440">
        <v>0</v>
      </c>
      <c r="AE440">
        <v>1.38</v>
      </c>
      <c r="AF440">
        <v>0</v>
      </c>
      <c r="AG440">
        <v>0</v>
      </c>
      <c r="AH440">
        <v>0</v>
      </c>
      <c r="AI440">
        <v>21.54</v>
      </c>
      <c r="AJ440">
        <v>1</v>
      </c>
      <c r="AK440">
        <v>1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0.43</v>
      </c>
      <c r="AU440" t="s">
        <v>3</v>
      </c>
      <c r="AV440">
        <v>0</v>
      </c>
      <c r="AW440">
        <v>2</v>
      </c>
      <c r="AX440">
        <v>56961164</v>
      </c>
      <c r="AY440">
        <v>1</v>
      </c>
      <c r="AZ440">
        <v>0</v>
      </c>
      <c r="BA440">
        <v>528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ROUND(Y440*Source!I561,9)</f>
        <v>1.29</v>
      </c>
      <c r="CY440">
        <f t="shared" ref="CY440:CY446" si="237">AA440</f>
        <v>29.73</v>
      </c>
      <c r="CZ440">
        <f t="shared" ref="CZ440:CZ446" si="238">AE440</f>
        <v>1.38</v>
      </c>
      <c r="DA440">
        <f t="shared" ref="DA440:DA446" si="239">AI440</f>
        <v>21.54</v>
      </c>
      <c r="DB440">
        <f t="shared" ref="DB440:DB446" si="240">ROUND(ROUND(AT440*CZ440,2),6)</f>
        <v>0.59</v>
      </c>
      <c r="DC440">
        <f t="shared" ref="DC440:DC446" si="241">ROUND(ROUND(AT440*AG440,2),6)</f>
        <v>0</v>
      </c>
      <c r="DD440" t="s">
        <v>3</v>
      </c>
      <c r="DE440" t="s">
        <v>3</v>
      </c>
      <c r="DF440">
        <f t="shared" ref="DF440:DF446" si="242">ROUND(ROUND(AE440*AI440,2)*CX440,2)</f>
        <v>38.35</v>
      </c>
      <c r="DG440">
        <f t="shared" ref="DG440:DG446" si="243">ROUND(ROUND(AF440,2)*CX440,2)</f>
        <v>0</v>
      </c>
      <c r="DH440">
        <f t="shared" ref="DH440:DH446" si="244">ROUND(ROUND(AG440,2)*CX440,2)</f>
        <v>0</v>
      </c>
      <c r="DI440">
        <f t="shared" si="211"/>
        <v>0</v>
      </c>
      <c r="DJ440">
        <f t="shared" ref="DJ440:DJ446" si="245">DF440</f>
        <v>38.35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ROW(Source!A561)</f>
        <v>561</v>
      </c>
      <c r="B441">
        <v>56959431</v>
      </c>
      <c r="C441">
        <v>56960592</v>
      </c>
      <c r="D441">
        <v>56061764</v>
      </c>
      <c r="E441">
        <v>1</v>
      </c>
      <c r="F441">
        <v>1</v>
      </c>
      <c r="G441">
        <v>1080</v>
      </c>
      <c r="H441">
        <v>3</v>
      </c>
      <c r="I441" t="s">
        <v>535</v>
      </c>
      <c r="J441" t="s">
        <v>536</v>
      </c>
      <c r="K441" t="s">
        <v>537</v>
      </c>
      <c r="L441">
        <v>1346</v>
      </c>
      <c r="N441">
        <v>1009</v>
      </c>
      <c r="O441" t="s">
        <v>249</v>
      </c>
      <c r="P441" t="s">
        <v>249</v>
      </c>
      <c r="Q441">
        <v>1</v>
      </c>
      <c r="W441">
        <v>0</v>
      </c>
      <c r="X441">
        <v>-878159893</v>
      </c>
      <c r="Y441">
        <f t="shared" si="236"/>
        <v>0.16</v>
      </c>
      <c r="AA441">
        <v>286.31</v>
      </c>
      <c r="AB441">
        <v>0</v>
      </c>
      <c r="AC441">
        <v>0</v>
      </c>
      <c r="AD441">
        <v>0</v>
      </c>
      <c r="AE441">
        <v>159.06</v>
      </c>
      <c r="AF441">
        <v>0</v>
      </c>
      <c r="AG441">
        <v>0</v>
      </c>
      <c r="AH441">
        <v>0</v>
      </c>
      <c r="AI441">
        <v>1.8</v>
      </c>
      <c r="AJ441">
        <v>1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0.16</v>
      </c>
      <c r="AU441" t="s">
        <v>3</v>
      </c>
      <c r="AV441">
        <v>0</v>
      </c>
      <c r="AW441">
        <v>2</v>
      </c>
      <c r="AX441">
        <v>56961165</v>
      </c>
      <c r="AY441">
        <v>1</v>
      </c>
      <c r="AZ441">
        <v>0</v>
      </c>
      <c r="BA441">
        <v>529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ROUND(Y441*Source!I561,9)</f>
        <v>0.48</v>
      </c>
      <c r="CY441">
        <f t="shared" si="237"/>
        <v>286.31</v>
      </c>
      <c r="CZ441">
        <f t="shared" si="238"/>
        <v>159.06</v>
      </c>
      <c r="DA441">
        <f t="shared" si="239"/>
        <v>1.8</v>
      </c>
      <c r="DB441">
        <f t="shared" si="240"/>
        <v>25.45</v>
      </c>
      <c r="DC441">
        <f t="shared" si="241"/>
        <v>0</v>
      </c>
      <c r="DD441" t="s">
        <v>3</v>
      </c>
      <c r="DE441" t="s">
        <v>3</v>
      </c>
      <c r="DF441">
        <f t="shared" si="242"/>
        <v>137.43</v>
      </c>
      <c r="DG441">
        <f t="shared" si="243"/>
        <v>0</v>
      </c>
      <c r="DH441">
        <f t="shared" si="244"/>
        <v>0</v>
      </c>
      <c r="DI441">
        <f t="shared" si="211"/>
        <v>0</v>
      </c>
      <c r="DJ441">
        <f t="shared" si="245"/>
        <v>137.43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ROW(Source!A561)</f>
        <v>561</v>
      </c>
      <c r="B442">
        <v>56959431</v>
      </c>
      <c r="C442">
        <v>56960592</v>
      </c>
      <c r="D442">
        <v>56084707</v>
      </c>
      <c r="E442">
        <v>1</v>
      </c>
      <c r="F442">
        <v>1</v>
      </c>
      <c r="G442">
        <v>1080</v>
      </c>
      <c r="H442">
        <v>3</v>
      </c>
      <c r="I442" t="s">
        <v>538</v>
      </c>
      <c r="J442" t="s">
        <v>539</v>
      </c>
      <c r="K442" t="s">
        <v>540</v>
      </c>
      <c r="L442">
        <v>1355</v>
      </c>
      <c r="N442">
        <v>1010</v>
      </c>
      <c r="O442" t="s">
        <v>520</v>
      </c>
      <c r="P442" t="s">
        <v>520</v>
      </c>
      <c r="Q442">
        <v>100</v>
      </c>
      <c r="W442">
        <v>0</v>
      </c>
      <c r="X442">
        <v>-456781043</v>
      </c>
      <c r="Y442">
        <f t="shared" si="236"/>
        <v>0.05</v>
      </c>
      <c r="AA442">
        <v>1102.5</v>
      </c>
      <c r="AB442">
        <v>0</v>
      </c>
      <c r="AC442">
        <v>0</v>
      </c>
      <c r="AD442">
        <v>0</v>
      </c>
      <c r="AE442">
        <v>68.819999999999993</v>
      </c>
      <c r="AF442">
        <v>0</v>
      </c>
      <c r="AG442">
        <v>0</v>
      </c>
      <c r="AH442">
        <v>0</v>
      </c>
      <c r="AI442">
        <v>16.02</v>
      </c>
      <c r="AJ442">
        <v>1</v>
      </c>
      <c r="AK442">
        <v>1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0.05</v>
      </c>
      <c r="AU442" t="s">
        <v>3</v>
      </c>
      <c r="AV442">
        <v>0</v>
      </c>
      <c r="AW442">
        <v>2</v>
      </c>
      <c r="AX442">
        <v>56961166</v>
      </c>
      <c r="AY442">
        <v>1</v>
      </c>
      <c r="AZ442">
        <v>0</v>
      </c>
      <c r="BA442">
        <v>530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ROUND(Y442*Source!I561,9)</f>
        <v>0.15</v>
      </c>
      <c r="CY442">
        <f t="shared" si="237"/>
        <v>1102.5</v>
      </c>
      <c r="CZ442">
        <f t="shared" si="238"/>
        <v>68.819999999999993</v>
      </c>
      <c r="DA442">
        <f t="shared" si="239"/>
        <v>16.02</v>
      </c>
      <c r="DB442">
        <f t="shared" si="240"/>
        <v>3.44</v>
      </c>
      <c r="DC442">
        <f t="shared" si="241"/>
        <v>0</v>
      </c>
      <c r="DD442" t="s">
        <v>3</v>
      </c>
      <c r="DE442" t="s">
        <v>3</v>
      </c>
      <c r="DF442">
        <f t="shared" si="242"/>
        <v>165.38</v>
      </c>
      <c r="DG442">
        <f t="shared" si="243"/>
        <v>0</v>
      </c>
      <c r="DH442">
        <f t="shared" si="244"/>
        <v>0</v>
      </c>
      <c r="DI442">
        <f t="shared" si="211"/>
        <v>0</v>
      </c>
      <c r="DJ442">
        <f t="shared" si="245"/>
        <v>165.38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ROW(Source!A561)</f>
        <v>561</v>
      </c>
      <c r="B443">
        <v>56959431</v>
      </c>
      <c r="C443">
        <v>56960592</v>
      </c>
      <c r="D443">
        <v>56084718</v>
      </c>
      <c r="E443">
        <v>1</v>
      </c>
      <c r="F443">
        <v>1</v>
      </c>
      <c r="G443">
        <v>1080</v>
      </c>
      <c r="H443">
        <v>3</v>
      </c>
      <c r="I443" t="s">
        <v>541</v>
      </c>
      <c r="J443" t="s">
        <v>542</v>
      </c>
      <c r="K443" t="s">
        <v>543</v>
      </c>
      <c r="L443">
        <v>1356</v>
      </c>
      <c r="N443">
        <v>1010</v>
      </c>
      <c r="O443" t="s">
        <v>544</v>
      </c>
      <c r="P443" t="s">
        <v>544</v>
      </c>
      <c r="Q443">
        <v>1000</v>
      </c>
      <c r="W443">
        <v>0</v>
      </c>
      <c r="X443">
        <v>1726193810</v>
      </c>
      <c r="Y443">
        <f t="shared" si="236"/>
        <v>1.2200000000000001E-2</v>
      </c>
      <c r="AA443">
        <v>1318.65</v>
      </c>
      <c r="AB443">
        <v>0</v>
      </c>
      <c r="AC443">
        <v>0</v>
      </c>
      <c r="AD443">
        <v>0</v>
      </c>
      <c r="AE443">
        <v>183.4</v>
      </c>
      <c r="AF443">
        <v>0</v>
      </c>
      <c r="AG443">
        <v>0</v>
      </c>
      <c r="AH443">
        <v>0</v>
      </c>
      <c r="AI443">
        <v>7.19</v>
      </c>
      <c r="AJ443">
        <v>1</v>
      </c>
      <c r="AK443">
        <v>1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1.2200000000000001E-2</v>
      </c>
      <c r="AU443" t="s">
        <v>3</v>
      </c>
      <c r="AV443">
        <v>0</v>
      </c>
      <c r="AW443">
        <v>2</v>
      </c>
      <c r="AX443">
        <v>56961167</v>
      </c>
      <c r="AY443">
        <v>1</v>
      </c>
      <c r="AZ443">
        <v>0</v>
      </c>
      <c r="BA443">
        <v>531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ROUND(Y443*Source!I561,9)</f>
        <v>3.6600000000000001E-2</v>
      </c>
      <c r="CY443">
        <f t="shared" si="237"/>
        <v>1318.65</v>
      </c>
      <c r="CZ443">
        <f t="shared" si="238"/>
        <v>183.4</v>
      </c>
      <c r="DA443">
        <f t="shared" si="239"/>
        <v>7.19</v>
      </c>
      <c r="DB443">
        <f t="shared" si="240"/>
        <v>2.2400000000000002</v>
      </c>
      <c r="DC443">
        <f t="shared" si="241"/>
        <v>0</v>
      </c>
      <c r="DD443" t="s">
        <v>3</v>
      </c>
      <c r="DE443" t="s">
        <v>3</v>
      </c>
      <c r="DF443">
        <f t="shared" si="242"/>
        <v>48.26</v>
      </c>
      <c r="DG443">
        <f t="shared" si="243"/>
        <v>0</v>
      </c>
      <c r="DH443">
        <f t="shared" si="244"/>
        <v>0</v>
      </c>
      <c r="DI443">
        <f t="shared" si="211"/>
        <v>0</v>
      </c>
      <c r="DJ443">
        <f t="shared" si="245"/>
        <v>48.26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ROW(Source!A561)</f>
        <v>561</v>
      </c>
      <c r="B444">
        <v>56959431</v>
      </c>
      <c r="C444">
        <v>56960592</v>
      </c>
      <c r="D444">
        <v>56084044</v>
      </c>
      <c r="E444">
        <v>1</v>
      </c>
      <c r="F444">
        <v>1</v>
      </c>
      <c r="G444">
        <v>1080</v>
      </c>
      <c r="H444">
        <v>3</v>
      </c>
      <c r="I444" t="s">
        <v>545</v>
      </c>
      <c r="J444" t="s">
        <v>546</v>
      </c>
      <c r="K444" t="s">
        <v>547</v>
      </c>
      <c r="L444">
        <v>1354</v>
      </c>
      <c r="N444">
        <v>1010</v>
      </c>
      <c r="O444" t="s">
        <v>31</v>
      </c>
      <c r="P444" t="s">
        <v>31</v>
      </c>
      <c r="Q444">
        <v>1</v>
      </c>
      <c r="W444">
        <v>0</v>
      </c>
      <c r="X444">
        <v>145081611</v>
      </c>
      <c r="Y444">
        <f t="shared" si="236"/>
        <v>3.1</v>
      </c>
      <c r="AA444">
        <v>25.47</v>
      </c>
      <c r="AB444">
        <v>0</v>
      </c>
      <c r="AC444">
        <v>0</v>
      </c>
      <c r="AD444">
        <v>0</v>
      </c>
      <c r="AE444">
        <v>6.94</v>
      </c>
      <c r="AF444">
        <v>0</v>
      </c>
      <c r="AG444">
        <v>0</v>
      </c>
      <c r="AH444">
        <v>0</v>
      </c>
      <c r="AI444">
        <v>3.67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3.1</v>
      </c>
      <c r="AU444" t="s">
        <v>3</v>
      </c>
      <c r="AV444">
        <v>0</v>
      </c>
      <c r="AW444">
        <v>2</v>
      </c>
      <c r="AX444">
        <v>56961168</v>
      </c>
      <c r="AY444">
        <v>1</v>
      </c>
      <c r="AZ444">
        <v>0</v>
      </c>
      <c r="BA444">
        <v>532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ROUND(Y444*Source!I561,9)</f>
        <v>9.3000000000000007</v>
      </c>
      <c r="CY444">
        <f t="shared" si="237"/>
        <v>25.47</v>
      </c>
      <c r="CZ444">
        <f t="shared" si="238"/>
        <v>6.94</v>
      </c>
      <c r="DA444">
        <f t="shared" si="239"/>
        <v>3.67</v>
      </c>
      <c r="DB444">
        <f t="shared" si="240"/>
        <v>21.51</v>
      </c>
      <c r="DC444">
        <f t="shared" si="241"/>
        <v>0</v>
      </c>
      <c r="DD444" t="s">
        <v>3</v>
      </c>
      <c r="DE444" t="s">
        <v>3</v>
      </c>
      <c r="DF444">
        <f t="shared" si="242"/>
        <v>236.87</v>
      </c>
      <c r="DG444">
        <f t="shared" si="243"/>
        <v>0</v>
      </c>
      <c r="DH444">
        <f t="shared" si="244"/>
        <v>0</v>
      </c>
      <c r="DI444">
        <f t="shared" si="211"/>
        <v>0</v>
      </c>
      <c r="DJ444">
        <f t="shared" si="245"/>
        <v>236.87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ROW(Source!A561)</f>
        <v>561</v>
      </c>
      <c r="B445">
        <v>56959431</v>
      </c>
      <c r="C445">
        <v>56960592</v>
      </c>
      <c r="D445">
        <v>56084051</v>
      </c>
      <c r="E445">
        <v>1</v>
      </c>
      <c r="F445">
        <v>1</v>
      </c>
      <c r="G445">
        <v>1080</v>
      </c>
      <c r="H445">
        <v>3</v>
      </c>
      <c r="I445" t="s">
        <v>548</v>
      </c>
      <c r="J445" t="s">
        <v>549</v>
      </c>
      <c r="K445" t="s">
        <v>550</v>
      </c>
      <c r="L445">
        <v>1356</v>
      </c>
      <c r="N445">
        <v>1010</v>
      </c>
      <c r="O445" t="s">
        <v>544</v>
      </c>
      <c r="P445" t="s">
        <v>544</v>
      </c>
      <c r="Q445">
        <v>1000</v>
      </c>
      <c r="W445">
        <v>0</v>
      </c>
      <c r="X445">
        <v>-1715273674</v>
      </c>
      <c r="Y445">
        <f t="shared" si="236"/>
        <v>8.0000000000000002E-3</v>
      </c>
      <c r="AA445">
        <v>786.04</v>
      </c>
      <c r="AB445">
        <v>0</v>
      </c>
      <c r="AC445">
        <v>0</v>
      </c>
      <c r="AD445">
        <v>0</v>
      </c>
      <c r="AE445">
        <v>614.09</v>
      </c>
      <c r="AF445">
        <v>0</v>
      </c>
      <c r="AG445">
        <v>0</v>
      </c>
      <c r="AH445">
        <v>0</v>
      </c>
      <c r="AI445">
        <v>1.28</v>
      </c>
      <c r="AJ445">
        <v>1</v>
      </c>
      <c r="AK445">
        <v>1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8.0000000000000002E-3</v>
      </c>
      <c r="AU445" t="s">
        <v>3</v>
      </c>
      <c r="AV445">
        <v>0</v>
      </c>
      <c r="AW445">
        <v>2</v>
      </c>
      <c r="AX445">
        <v>56961169</v>
      </c>
      <c r="AY445">
        <v>1</v>
      </c>
      <c r="AZ445">
        <v>0</v>
      </c>
      <c r="BA445">
        <v>533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ROUND(Y445*Source!I561,9)</f>
        <v>2.4E-2</v>
      </c>
      <c r="CY445">
        <f t="shared" si="237"/>
        <v>786.04</v>
      </c>
      <c r="CZ445">
        <f t="shared" si="238"/>
        <v>614.09</v>
      </c>
      <c r="DA445">
        <f t="shared" si="239"/>
        <v>1.28</v>
      </c>
      <c r="DB445">
        <f t="shared" si="240"/>
        <v>4.91</v>
      </c>
      <c r="DC445">
        <f t="shared" si="241"/>
        <v>0</v>
      </c>
      <c r="DD445" t="s">
        <v>3</v>
      </c>
      <c r="DE445" t="s">
        <v>3</v>
      </c>
      <c r="DF445">
        <f t="shared" si="242"/>
        <v>18.86</v>
      </c>
      <c r="DG445">
        <f t="shared" si="243"/>
        <v>0</v>
      </c>
      <c r="DH445">
        <f t="shared" si="244"/>
        <v>0</v>
      </c>
      <c r="DI445">
        <f t="shared" si="211"/>
        <v>0</v>
      </c>
      <c r="DJ445">
        <f t="shared" si="245"/>
        <v>18.86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ROW(Source!A561)</f>
        <v>561</v>
      </c>
      <c r="B446">
        <v>56959431</v>
      </c>
      <c r="C446">
        <v>56960592</v>
      </c>
      <c r="D446">
        <v>0</v>
      </c>
      <c r="E446">
        <v>1080</v>
      </c>
      <c r="F446">
        <v>1</v>
      </c>
      <c r="G446">
        <v>1080</v>
      </c>
      <c r="H446">
        <v>3</v>
      </c>
      <c r="I446" t="s">
        <v>99</v>
      </c>
      <c r="J446" t="s">
        <v>3</v>
      </c>
      <c r="K446" t="s">
        <v>100</v>
      </c>
      <c r="L446">
        <v>2698</v>
      </c>
      <c r="N446">
        <v>1013</v>
      </c>
      <c r="O446" t="s">
        <v>101</v>
      </c>
      <c r="P446" t="s">
        <v>101</v>
      </c>
      <c r="Q446">
        <v>1</v>
      </c>
      <c r="W446">
        <v>0</v>
      </c>
      <c r="X446">
        <v>1285757954</v>
      </c>
      <c r="Y446">
        <f t="shared" si="236"/>
        <v>102</v>
      </c>
      <c r="AA446">
        <v>50.19</v>
      </c>
      <c r="AB446">
        <v>0</v>
      </c>
      <c r="AC446">
        <v>0</v>
      </c>
      <c r="AD446">
        <v>0</v>
      </c>
      <c r="AE446">
        <v>5.08</v>
      </c>
      <c r="AF446">
        <v>0</v>
      </c>
      <c r="AG446">
        <v>0</v>
      </c>
      <c r="AH446">
        <v>0</v>
      </c>
      <c r="AI446">
        <v>9.8800000000000008</v>
      </c>
      <c r="AJ446">
        <v>1</v>
      </c>
      <c r="AK446">
        <v>1</v>
      </c>
      <c r="AL446">
        <v>1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 t="s">
        <v>3</v>
      </c>
      <c r="AT446">
        <v>102</v>
      </c>
      <c r="AU446" t="s">
        <v>3</v>
      </c>
      <c r="AV446">
        <v>0</v>
      </c>
      <c r="AW446">
        <v>1</v>
      </c>
      <c r="AX446">
        <v>-1</v>
      </c>
      <c r="AY446">
        <v>0</v>
      </c>
      <c r="AZ446">
        <v>0</v>
      </c>
      <c r="BA446" t="s">
        <v>3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ROUND(Y446*Source!I561,9)</f>
        <v>306</v>
      </c>
      <c r="CY446">
        <f t="shared" si="237"/>
        <v>50.19</v>
      </c>
      <c r="CZ446">
        <f t="shared" si="238"/>
        <v>5.08</v>
      </c>
      <c r="DA446">
        <f t="shared" si="239"/>
        <v>9.8800000000000008</v>
      </c>
      <c r="DB446">
        <f t="shared" si="240"/>
        <v>518.16</v>
      </c>
      <c r="DC446">
        <f t="shared" si="241"/>
        <v>0</v>
      </c>
      <c r="DD446" t="s">
        <v>3</v>
      </c>
      <c r="DE446" t="s">
        <v>3</v>
      </c>
      <c r="DF446">
        <f t="shared" si="242"/>
        <v>15358.14</v>
      </c>
      <c r="DG446">
        <f t="shared" si="243"/>
        <v>0</v>
      </c>
      <c r="DH446">
        <f t="shared" si="244"/>
        <v>0</v>
      </c>
      <c r="DI446">
        <f t="shared" si="211"/>
        <v>0</v>
      </c>
      <c r="DJ446">
        <f t="shared" si="245"/>
        <v>15358.14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53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56960904</v>
      </c>
      <c r="C1">
        <v>56959548</v>
      </c>
      <c r="D1">
        <v>56018166</v>
      </c>
      <c r="E1">
        <v>1080</v>
      </c>
      <c r="F1">
        <v>1</v>
      </c>
      <c r="G1">
        <v>1080</v>
      </c>
      <c r="H1">
        <v>1</v>
      </c>
      <c r="I1" t="s">
        <v>500</v>
      </c>
      <c r="J1" t="s">
        <v>3</v>
      </c>
      <c r="K1" t="s">
        <v>501</v>
      </c>
      <c r="L1">
        <v>1191</v>
      </c>
      <c r="N1">
        <v>1013</v>
      </c>
      <c r="O1" t="s">
        <v>502</v>
      </c>
      <c r="P1" t="s">
        <v>502</v>
      </c>
      <c r="Q1">
        <v>1</v>
      </c>
      <c r="X1">
        <v>3.09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23</v>
      </c>
      <c r="AG1">
        <v>3.399</v>
      </c>
      <c r="AH1">
        <v>2</v>
      </c>
      <c r="AI1">
        <v>56959549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56960905</v>
      </c>
      <c r="C2">
        <v>56959548</v>
      </c>
      <c r="D2">
        <v>56092340</v>
      </c>
      <c r="E2">
        <v>1</v>
      </c>
      <c r="F2">
        <v>1</v>
      </c>
      <c r="G2">
        <v>1080</v>
      </c>
      <c r="H2">
        <v>2</v>
      </c>
      <c r="I2" t="s">
        <v>503</v>
      </c>
      <c r="J2" t="s">
        <v>504</v>
      </c>
      <c r="K2" t="s">
        <v>505</v>
      </c>
      <c r="L2">
        <v>1368</v>
      </c>
      <c r="N2">
        <v>1011</v>
      </c>
      <c r="O2" t="s">
        <v>506</v>
      </c>
      <c r="P2" t="s">
        <v>506</v>
      </c>
      <c r="Q2">
        <v>1</v>
      </c>
      <c r="X2">
        <v>0.32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23</v>
      </c>
      <c r="AG2">
        <v>0.35200000000000004</v>
      </c>
      <c r="AH2">
        <v>2</v>
      </c>
      <c r="AI2">
        <v>56959550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56960906</v>
      </c>
      <c r="C3">
        <v>56959548</v>
      </c>
      <c r="D3">
        <v>56040038</v>
      </c>
      <c r="E3">
        <v>1080</v>
      </c>
      <c r="F3">
        <v>1</v>
      </c>
      <c r="G3">
        <v>1080</v>
      </c>
      <c r="H3">
        <v>3</v>
      </c>
      <c r="I3" t="s">
        <v>632</v>
      </c>
      <c r="J3" t="s">
        <v>3</v>
      </c>
      <c r="K3" t="s">
        <v>633</v>
      </c>
      <c r="L3">
        <v>1354</v>
      </c>
      <c r="N3">
        <v>1010</v>
      </c>
      <c r="O3" t="s">
        <v>31</v>
      </c>
      <c r="P3" t="s">
        <v>31</v>
      </c>
      <c r="Q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</v>
      </c>
      <c r="AG3">
        <v>1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ROW(Source!A29)</f>
        <v>29</v>
      </c>
      <c r="B4">
        <v>56960904</v>
      </c>
      <c r="C4">
        <v>56959548</v>
      </c>
      <c r="D4">
        <v>56018166</v>
      </c>
      <c r="E4">
        <v>1080</v>
      </c>
      <c r="F4">
        <v>1</v>
      </c>
      <c r="G4">
        <v>1080</v>
      </c>
      <c r="H4">
        <v>1</v>
      </c>
      <c r="I4" t="s">
        <v>500</v>
      </c>
      <c r="J4" t="s">
        <v>3</v>
      </c>
      <c r="K4" t="s">
        <v>501</v>
      </c>
      <c r="L4">
        <v>1191</v>
      </c>
      <c r="N4">
        <v>1013</v>
      </c>
      <c r="O4" t="s">
        <v>502</v>
      </c>
      <c r="P4" t="s">
        <v>502</v>
      </c>
      <c r="Q4">
        <v>1</v>
      </c>
      <c r="X4">
        <v>3.09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23</v>
      </c>
      <c r="AG4">
        <v>3.399</v>
      </c>
      <c r="AH4">
        <v>2</v>
      </c>
      <c r="AI4">
        <v>56959549</v>
      </c>
      <c r="AJ4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ROW(Source!A29)</f>
        <v>29</v>
      </c>
      <c r="B5">
        <v>56960905</v>
      </c>
      <c r="C5">
        <v>56959548</v>
      </c>
      <c r="D5">
        <v>56092340</v>
      </c>
      <c r="E5">
        <v>1</v>
      </c>
      <c r="F5">
        <v>1</v>
      </c>
      <c r="G5">
        <v>1080</v>
      </c>
      <c r="H5">
        <v>2</v>
      </c>
      <c r="I5" t="s">
        <v>503</v>
      </c>
      <c r="J5" t="s">
        <v>504</v>
      </c>
      <c r="K5" t="s">
        <v>505</v>
      </c>
      <c r="L5">
        <v>1368</v>
      </c>
      <c r="N5">
        <v>1011</v>
      </c>
      <c r="O5" t="s">
        <v>506</v>
      </c>
      <c r="P5" t="s">
        <v>506</v>
      </c>
      <c r="Q5">
        <v>1</v>
      </c>
      <c r="X5">
        <v>0.32</v>
      </c>
      <c r="Y5">
        <v>0</v>
      </c>
      <c r="Z5">
        <v>83.1</v>
      </c>
      <c r="AA5">
        <v>12.62</v>
      </c>
      <c r="AB5">
        <v>0</v>
      </c>
      <c r="AC5">
        <v>0</v>
      </c>
      <c r="AD5">
        <v>1</v>
      </c>
      <c r="AE5">
        <v>0</v>
      </c>
      <c r="AF5" t="s">
        <v>23</v>
      </c>
      <c r="AG5">
        <v>0.35200000000000004</v>
      </c>
      <c r="AH5">
        <v>2</v>
      </c>
      <c r="AI5">
        <v>56959550</v>
      </c>
      <c r="AJ5">
        <v>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56960906</v>
      </c>
      <c r="C6">
        <v>56959548</v>
      </c>
      <c r="D6">
        <v>56040038</v>
      </c>
      <c r="E6">
        <v>1080</v>
      </c>
      <c r="F6">
        <v>1</v>
      </c>
      <c r="G6">
        <v>1080</v>
      </c>
      <c r="H6">
        <v>3</v>
      </c>
      <c r="I6" t="s">
        <v>632</v>
      </c>
      <c r="J6" t="s">
        <v>3</v>
      </c>
      <c r="K6" t="s">
        <v>633</v>
      </c>
      <c r="L6">
        <v>1354</v>
      </c>
      <c r="N6">
        <v>1010</v>
      </c>
      <c r="O6" t="s">
        <v>31</v>
      </c>
      <c r="P6" t="s">
        <v>31</v>
      </c>
      <c r="Q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</v>
      </c>
      <c r="AG6">
        <v>1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ROW(Source!A32)</f>
        <v>32</v>
      </c>
      <c r="B7">
        <v>56960907</v>
      </c>
      <c r="C7">
        <v>56959555</v>
      </c>
      <c r="D7">
        <v>56018166</v>
      </c>
      <c r="E7">
        <v>1080</v>
      </c>
      <c r="F7">
        <v>1</v>
      </c>
      <c r="G7">
        <v>1080</v>
      </c>
      <c r="H7">
        <v>1</v>
      </c>
      <c r="I7" t="s">
        <v>500</v>
      </c>
      <c r="J7" t="s">
        <v>3</v>
      </c>
      <c r="K7" t="s">
        <v>501</v>
      </c>
      <c r="L7">
        <v>1191</v>
      </c>
      <c r="N7">
        <v>1013</v>
      </c>
      <c r="O7" t="s">
        <v>502</v>
      </c>
      <c r="P7" t="s">
        <v>502</v>
      </c>
      <c r="Q7">
        <v>1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23</v>
      </c>
      <c r="AG7">
        <v>2.2000000000000002</v>
      </c>
      <c r="AH7">
        <v>2</v>
      </c>
      <c r="AI7">
        <v>56959556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ROW(Source!A32)</f>
        <v>32</v>
      </c>
      <c r="B8">
        <v>56960908</v>
      </c>
      <c r="C8">
        <v>56959555</v>
      </c>
      <c r="D8">
        <v>56092342</v>
      </c>
      <c r="E8">
        <v>1</v>
      </c>
      <c r="F8">
        <v>1</v>
      </c>
      <c r="G8">
        <v>1080</v>
      </c>
      <c r="H8">
        <v>2</v>
      </c>
      <c r="I8" t="s">
        <v>508</v>
      </c>
      <c r="J8" t="s">
        <v>509</v>
      </c>
      <c r="K8" t="s">
        <v>510</v>
      </c>
      <c r="L8">
        <v>1368</v>
      </c>
      <c r="N8">
        <v>1011</v>
      </c>
      <c r="O8" t="s">
        <v>506</v>
      </c>
      <c r="P8" t="s">
        <v>506</v>
      </c>
      <c r="Q8">
        <v>1</v>
      </c>
      <c r="X8">
        <v>0.02</v>
      </c>
      <c r="Y8">
        <v>0</v>
      </c>
      <c r="Z8">
        <v>119.07</v>
      </c>
      <c r="AA8">
        <v>12.62</v>
      </c>
      <c r="AB8">
        <v>0</v>
      </c>
      <c r="AC8">
        <v>0</v>
      </c>
      <c r="AD8">
        <v>1</v>
      </c>
      <c r="AE8">
        <v>0</v>
      </c>
      <c r="AF8" t="s">
        <v>23</v>
      </c>
      <c r="AG8">
        <v>2.2000000000000002E-2</v>
      </c>
      <c r="AH8">
        <v>2</v>
      </c>
      <c r="AI8">
        <v>56959557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56960909</v>
      </c>
      <c r="C9">
        <v>56959555</v>
      </c>
      <c r="D9">
        <v>56061656</v>
      </c>
      <c r="E9">
        <v>1</v>
      </c>
      <c r="F9">
        <v>1</v>
      </c>
      <c r="G9">
        <v>1080</v>
      </c>
      <c r="H9">
        <v>3</v>
      </c>
      <c r="I9" t="s">
        <v>511</v>
      </c>
      <c r="J9" t="s">
        <v>512</v>
      </c>
      <c r="K9" t="s">
        <v>513</v>
      </c>
      <c r="L9">
        <v>1346</v>
      </c>
      <c r="N9">
        <v>1009</v>
      </c>
      <c r="O9" t="s">
        <v>249</v>
      </c>
      <c r="P9" t="s">
        <v>249</v>
      </c>
      <c r="Q9">
        <v>1</v>
      </c>
      <c r="X9">
        <v>0.9</v>
      </c>
      <c r="Y9">
        <v>104.63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0.9</v>
      </c>
      <c r="AH9">
        <v>2</v>
      </c>
      <c r="AI9">
        <v>56959558</v>
      </c>
      <c r="AJ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56960910</v>
      </c>
      <c r="C10">
        <v>56959555</v>
      </c>
      <c r="D10">
        <v>56063129</v>
      </c>
      <c r="E10">
        <v>1</v>
      </c>
      <c r="F10">
        <v>1</v>
      </c>
      <c r="G10">
        <v>1080</v>
      </c>
      <c r="H10">
        <v>3</v>
      </c>
      <c r="I10" t="s">
        <v>514</v>
      </c>
      <c r="J10" t="s">
        <v>515</v>
      </c>
      <c r="K10" t="s">
        <v>516</v>
      </c>
      <c r="L10">
        <v>1348</v>
      </c>
      <c r="N10">
        <v>1009</v>
      </c>
      <c r="O10" t="s">
        <v>291</v>
      </c>
      <c r="P10" t="s">
        <v>291</v>
      </c>
      <c r="Q10">
        <v>1000</v>
      </c>
      <c r="X10">
        <v>2.6999999999999999E-5</v>
      </c>
      <c r="Y10">
        <v>15568.37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2.6999999999999999E-5</v>
      </c>
      <c r="AH10">
        <v>2</v>
      </c>
      <c r="AI10">
        <v>56959559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ROW(Source!A32)</f>
        <v>32</v>
      </c>
      <c r="B11">
        <v>56960911</v>
      </c>
      <c r="C11">
        <v>56959555</v>
      </c>
      <c r="D11">
        <v>56067341</v>
      </c>
      <c r="E11">
        <v>1</v>
      </c>
      <c r="F11">
        <v>1</v>
      </c>
      <c r="G11">
        <v>1080</v>
      </c>
      <c r="H11">
        <v>3</v>
      </c>
      <c r="I11" t="s">
        <v>517</v>
      </c>
      <c r="J11" t="s">
        <v>518</v>
      </c>
      <c r="K11" t="s">
        <v>519</v>
      </c>
      <c r="L11">
        <v>1355</v>
      </c>
      <c r="N11">
        <v>1010</v>
      </c>
      <c r="O11" t="s">
        <v>520</v>
      </c>
      <c r="P11" t="s">
        <v>520</v>
      </c>
      <c r="Q11">
        <v>100</v>
      </c>
      <c r="X11">
        <v>0.12</v>
      </c>
      <c r="Y11">
        <v>120.19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0.12</v>
      </c>
      <c r="AH11">
        <v>2</v>
      </c>
      <c r="AI11">
        <v>56959560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ROW(Source!A32)</f>
        <v>32</v>
      </c>
      <c r="B12">
        <v>56960912</v>
      </c>
      <c r="C12">
        <v>56959555</v>
      </c>
      <c r="D12">
        <v>56048882</v>
      </c>
      <c r="E12">
        <v>1080</v>
      </c>
      <c r="F12">
        <v>1</v>
      </c>
      <c r="G12">
        <v>1080</v>
      </c>
      <c r="H12">
        <v>3</v>
      </c>
      <c r="I12" t="s">
        <v>634</v>
      </c>
      <c r="J12" t="s">
        <v>3</v>
      </c>
      <c r="K12" t="s">
        <v>635</v>
      </c>
      <c r="L12">
        <v>1354</v>
      </c>
      <c r="N12">
        <v>1010</v>
      </c>
      <c r="O12" t="s">
        <v>31</v>
      </c>
      <c r="P12" t="s">
        <v>31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</v>
      </c>
      <c r="AG12">
        <v>1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ROW(Source!A32)</f>
        <v>32</v>
      </c>
      <c r="B13">
        <v>56960913</v>
      </c>
      <c r="C13">
        <v>56959555</v>
      </c>
      <c r="D13">
        <v>56023168</v>
      </c>
      <c r="E13">
        <v>1080</v>
      </c>
      <c r="F13">
        <v>1</v>
      </c>
      <c r="G13">
        <v>1080</v>
      </c>
      <c r="H13">
        <v>3</v>
      </c>
      <c r="I13" t="s">
        <v>521</v>
      </c>
      <c r="J13" t="s">
        <v>3</v>
      </c>
      <c r="K13" t="s">
        <v>522</v>
      </c>
      <c r="L13">
        <v>1348</v>
      </c>
      <c r="N13">
        <v>1009</v>
      </c>
      <c r="O13" t="s">
        <v>291</v>
      </c>
      <c r="P13" t="s">
        <v>291</v>
      </c>
      <c r="Q13">
        <v>1000</v>
      </c>
      <c r="X13">
        <v>2.7E-2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</v>
      </c>
      <c r="AG13">
        <v>2.7E-2</v>
      </c>
      <c r="AH13">
        <v>2</v>
      </c>
      <c r="AI13">
        <v>56959561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ROW(Source!A33)</f>
        <v>33</v>
      </c>
      <c r="B14">
        <v>56960907</v>
      </c>
      <c r="C14">
        <v>56959555</v>
      </c>
      <c r="D14">
        <v>56018166</v>
      </c>
      <c r="E14">
        <v>1080</v>
      </c>
      <c r="F14">
        <v>1</v>
      </c>
      <c r="G14">
        <v>1080</v>
      </c>
      <c r="H14">
        <v>1</v>
      </c>
      <c r="I14" t="s">
        <v>500</v>
      </c>
      <c r="J14" t="s">
        <v>3</v>
      </c>
      <c r="K14" t="s">
        <v>501</v>
      </c>
      <c r="L14">
        <v>1191</v>
      </c>
      <c r="N14">
        <v>1013</v>
      </c>
      <c r="O14" t="s">
        <v>502</v>
      </c>
      <c r="P14" t="s">
        <v>502</v>
      </c>
      <c r="Q14">
        <v>1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23</v>
      </c>
      <c r="AG14">
        <v>2.2000000000000002</v>
      </c>
      <c r="AH14">
        <v>2</v>
      </c>
      <c r="AI14">
        <v>56959556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ROW(Source!A33)</f>
        <v>33</v>
      </c>
      <c r="B15">
        <v>56960908</v>
      </c>
      <c r="C15">
        <v>56959555</v>
      </c>
      <c r="D15">
        <v>56092342</v>
      </c>
      <c r="E15">
        <v>1</v>
      </c>
      <c r="F15">
        <v>1</v>
      </c>
      <c r="G15">
        <v>1080</v>
      </c>
      <c r="H15">
        <v>2</v>
      </c>
      <c r="I15" t="s">
        <v>508</v>
      </c>
      <c r="J15" t="s">
        <v>509</v>
      </c>
      <c r="K15" t="s">
        <v>510</v>
      </c>
      <c r="L15">
        <v>1368</v>
      </c>
      <c r="N15">
        <v>1011</v>
      </c>
      <c r="O15" t="s">
        <v>506</v>
      </c>
      <c r="P15" t="s">
        <v>506</v>
      </c>
      <c r="Q15">
        <v>1</v>
      </c>
      <c r="X15">
        <v>0.02</v>
      </c>
      <c r="Y15">
        <v>0</v>
      </c>
      <c r="Z15">
        <v>119.07</v>
      </c>
      <c r="AA15">
        <v>12.62</v>
      </c>
      <c r="AB15">
        <v>0</v>
      </c>
      <c r="AC15">
        <v>0</v>
      </c>
      <c r="AD15">
        <v>1</v>
      </c>
      <c r="AE15">
        <v>0</v>
      </c>
      <c r="AF15" t="s">
        <v>23</v>
      </c>
      <c r="AG15">
        <v>2.2000000000000002E-2</v>
      </c>
      <c r="AH15">
        <v>2</v>
      </c>
      <c r="AI15">
        <v>56959557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ROW(Source!A33)</f>
        <v>33</v>
      </c>
      <c r="B16">
        <v>56960909</v>
      </c>
      <c r="C16">
        <v>56959555</v>
      </c>
      <c r="D16">
        <v>56061656</v>
      </c>
      <c r="E16">
        <v>1</v>
      </c>
      <c r="F16">
        <v>1</v>
      </c>
      <c r="G16">
        <v>1080</v>
      </c>
      <c r="H16">
        <v>3</v>
      </c>
      <c r="I16" t="s">
        <v>511</v>
      </c>
      <c r="J16" t="s">
        <v>512</v>
      </c>
      <c r="K16" t="s">
        <v>513</v>
      </c>
      <c r="L16">
        <v>1346</v>
      </c>
      <c r="N16">
        <v>1009</v>
      </c>
      <c r="O16" t="s">
        <v>249</v>
      </c>
      <c r="P16" t="s">
        <v>249</v>
      </c>
      <c r="Q16">
        <v>1</v>
      </c>
      <c r="X16">
        <v>0.9</v>
      </c>
      <c r="Y16">
        <v>104.63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3</v>
      </c>
      <c r="AG16">
        <v>0.9</v>
      </c>
      <c r="AH16">
        <v>2</v>
      </c>
      <c r="AI16">
        <v>56959558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ROW(Source!A33)</f>
        <v>33</v>
      </c>
      <c r="B17">
        <v>56960910</v>
      </c>
      <c r="C17">
        <v>56959555</v>
      </c>
      <c r="D17">
        <v>56063129</v>
      </c>
      <c r="E17">
        <v>1</v>
      </c>
      <c r="F17">
        <v>1</v>
      </c>
      <c r="G17">
        <v>1080</v>
      </c>
      <c r="H17">
        <v>3</v>
      </c>
      <c r="I17" t="s">
        <v>514</v>
      </c>
      <c r="J17" t="s">
        <v>515</v>
      </c>
      <c r="K17" t="s">
        <v>516</v>
      </c>
      <c r="L17">
        <v>1348</v>
      </c>
      <c r="N17">
        <v>1009</v>
      </c>
      <c r="O17" t="s">
        <v>291</v>
      </c>
      <c r="P17" t="s">
        <v>291</v>
      </c>
      <c r="Q17">
        <v>1000</v>
      </c>
      <c r="X17">
        <v>2.6999999999999999E-5</v>
      </c>
      <c r="Y17">
        <v>15568.37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2.6999999999999999E-5</v>
      </c>
      <c r="AH17">
        <v>2</v>
      </c>
      <c r="AI17">
        <v>56959559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ROW(Source!A33)</f>
        <v>33</v>
      </c>
      <c r="B18">
        <v>56960911</v>
      </c>
      <c r="C18">
        <v>56959555</v>
      </c>
      <c r="D18">
        <v>56067341</v>
      </c>
      <c r="E18">
        <v>1</v>
      </c>
      <c r="F18">
        <v>1</v>
      </c>
      <c r="G18">
        <v>1080</v>
      </c>
      <c r="H18">
        <v>3</v>
      </c>
      <c r="I18" t="s">
        <v>517</v>
      </c>
      <c r="J18" t="s">
        <v>518</v>
      </c>
      <c r="K18" t="s">
        <v>519</v>
      </c>
      <c r="L18">
        <v>1355</v>
      </c>
      <c r="N18">
        <v>1010</v>
      </c>
      <c r="O18" t="s">
        <v>520</v>
      </c>
      <c r="P18" t="s">
        <v>520</v>
      </c>
      <c r="Q18">
        <v>100</v>
      </c>
      <c r="X18">
        <v>0.12</v>
      </c>
      <c r="Y18">
        <v>120.19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0.12</v>
      </c>
      <c r="AH18">
        <v>2</v>
      </c>
      <c r="AI18">
        <v>56959560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ROW(Source!A33)</f>
        <v>33</v>
      </c>
      <c r="B19">
        <v>56960912</v>
      </c>
      <c r="C19">
        <v>56959555</v>
      </c>
      <c r="D19">
        <v>56048882</v>
      </c>
      <c r="E19">
        <v>1080</v>
      </c>
      <c r="F19">
        <v>1</v>
      </c>
      <c r="G19">
        <v>1080</v>
      </c>
      <c r="H19">
        <v>3</v>
      </c>
      <c r="I19" t="s">
        <v>634</v>
      </c>
      <c r="J19" t="s">
        <v>3</v>
      </c>
      <c r="K19" t="s">
        <v>635</v>
      </c>
      <c r="L19">
        <v>1354</v>
      </c>
      <c r="N19">
        <v>1010</v>
      </c>
      <c r="O19" t="s">
        <v>31</v>
      </c>
      <c r="P19" t="s">
        <v>31</v>
      </c>
      <c r="Q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3</v>
      </c>
      <c r="AG19">
        <v>1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ROW(Source!A33)</f>
        <v>33</v>
      </c>
      <c r="B20">
        <v>56960913</v>
      </c>
      <c r="C20">
        <v>56959555</v>
      </c>
      <c r="D20">
        <v>56023168</v>
      </c>
      <c r="E20">
        <v>1080</v>
      </c>
      <c r="F20">
        <v>1</v>
      </c>
      <c r="G20">
        <v>1080</v>
      </c>
      <c r="H20">
        <v>3</v>
      </c>
      <c r="I20" t="s">
        <v>521</v>
      </c>
      <c r="J20" t="s">
        <v>3</v>
      </c>
      <c r="K20" t="s">
        <v>522</v>
      </c>
      <c r="L20">
        <v>1348</v>
      </c>
      <c r="N20">
        <v>1009</v>
      </c>
      <c r="O20" t="s">
        <v>291</v>
      </c>
      <c r="P20" t="s">
        <v>291</v>
      </c>
      <c r="Q20">
        <v>1000</v>
      </c>
      <c r="X20">
        <v>2.7E-2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2.7E-2</v>
      </c>
      <c r="AH20">
        <v>2</v>
      </c>
      <c r="AI20">
        <v>56959561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ROW(Source!A36)</f>
        <v>36</v>
      </c>
      <c r="B21">
        <v>56960914</v>
      </c>
      <c r="C21">
        <v>56959571</v>
      </c>
      <c r="D21">
        <v>56018166</v>
      </c>
      <c r="E21">
        <v>1080</v>
      </c>
      <c r="F21">
        <v>1</v>
      </c>
      <c r="G21">
        <v>1080</v>
      </c>
      <c r="H21">
        <v>1</v>
      </c>
      <c r="I21" t="s">
        <v>500</v>
      </c>
      <c r="J21" t="s">
        <v>3</v>
      </c>
      <c r="K21" t="s">
        <v>501</v>
      </c>
      <c r="L21">
        <v>1191</v>
      </c>
      <c r="N21">
        <v>1013</v>
      </c>
      <c r="O21" t="s">
        <v>502</v>
      </c>
      <c r="P21" t="s">
        <v>502</v>
      </c>
      <c r="Q21">
        <v>1</v>
      </c>
      <c r="X21">
        <v>1.03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23</v>
      </c>
      <c r="AG21">
        <v>1.1330000000000002</v>
      </c>
      <c r="AH21">
        <v>2</v>
      </c>
      <c r="AI21">
        <v>56959572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ROW(Source!A36)</f>
        <v>36</v>
      </c>
      <c r="B22">
        <v>56960915</v>
      </c>
      <c r="C22">
        <v>56959571</v>
      </c>
      <c r="D22">
        <v>56092340</v>
      </c>
      <c r="E22">
        <v>1</v>
      </c>
      <c r="F22">
        <v>1</v>
      </c>
      <c r="G22">
        <v>1080</v>
      </c>
      <c r="H22">
        <v>2</v>
      </c>
      <c r="I22" t="s">
        <v>503</v>
      </c>
      <c r="J22" t="s">
        <v>504</v>
      </c>
      <c r="K22" t="s">
        <v>505</v>
      </c>
      <c r="L22">
        <v>1368</v>
      </c>
      <c r="N22">
        <v>1011</v>
      </c>
      <c r="O22" t="s">
        <v>506</v>
      </c>
      <c r="P22" t="s">
        <v>506</v>
      </c>
      <c r="Q22">
        <v>1</v>
      </c>
      <c r="X22">
        <v>6.0000000000000001E-3</v>
      </c>
      <c r="Y22">
        <v>0</v>
      </c>
      <c r="Z22">
        <v>83.1</v>
      </c>
      <c r="AA22">
        <v>12.62</v>
      </c>
      <c r="AB22">
        <v>0</v>
      </c>
      <c r="AC22">
        <v>0</v>
      </c>
      <c r="AD22">
        <v>1</v>
      </c>
      <c r="AE22">
        <v>0</v>
      </c>
      <c r="AF22" t="s">
        <v>23</v>
      </c>
      <c r="AG22">
        <v>6.6000000000000008E-3</v>
      </c>
      <c r="AH22">
        <v>2</v>
      </c>
      <c r="AI22">
        <v>56959573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ROW(Source!A36)</f>
        <v>36</v>
      </c>
      <c r="B23">
        <v>56960916</v>
      </c>
      <c r="C23">
        <v>56959571</v>
      </c>
      <c r="D23">
        <v>56040043</v>
      </c>
      <c r="E23">
        <v>1080</v>
      </c>
      <c r="F23">
        <v>1</v>
      </c>
      <c r="G23">
        <v>1080</v>
      </c>
      <c r="H23">
        <v>3</v>
      </c>
      <c r="I23" t="s">
        <v>632</v>
      </c>
      <c r="J23" t="s">
        <v>3</v>
      </c>
      <c r="K23" t="s">
        <v>636</v>
      </c>
      <c r="L23">
        <v>1354</v>
      </c>
      <c r="N23">
        <v>1010</v>
      </c>
      <c r="O23" t="s">
        <v>31</v>
      </c>
      <c r="P23" t="s">
        <v>31</v>
      </c>
      <c r="Q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</v>
      </c>
      <c r="AG23">
        <v>1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ROW(Source!A37)</f>
        <v>37</v>
      </c>
      <c r="B24">
        <v>56960914</v>
      </c>
      <c r="C24">
        <v>56959571</v>
      </c>
      <c r="D24">
        <v>56018166</v>
      </c>
      <c r="E24">
        <v>1080</v>
      </c>
      <c r="F24">
        <v>1</v>
      </c>
      <c r="G24">
        <v>1080</v>
      </c>
      <c r="H24">
        <v>1</v>
      </c>
      <c r="I24" t="s">
        <v>500</v>
      </c>
      <c r="J24" t="s">
        <v>3</v>
      </c>
      <c r="K24" t="s">
        <v>501</v>
      </c>
      <c r="L24">
        <v>1191</v>
      </c>
      <c r="N24">
        <v>1013</v>
      </c>
      <c r="O24" t="s">
        <v>502</v>
      </c>
      <c r="P24" t="s">
        <v>502</v>
      </c>
      <c r="Q24">
        <v>1</v>
      </c>
      <c r="X24">
        <v>1.03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 t="s">
        <v>23</v>
      </c>
      <c r="AG24">
        <v>1.1330000000000002</v>
      </c>
      <c r="AH24">
        <v>2</v>
      </c>
      <c r="AI24">
        <v>56959572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ROW(Source!A37)</f>
        <v>37</v>
      </c>
      <c r="B25">
        <v>56960915</v>
      </c>
      <c r="C25">
        <v>56959571</v>
      </c>
      <c r="D25">
        <v>56092340</v>
      </c>
      <c r="E25">
        <v>1</v>
      </c>
      <c r="F25">
        <v>1</v>
      </c>
      <c r="G25">
        <v>1080</v>
      </c>
      <c r="H25">
        <v>2</v>
      </c>
      <c r="I25" t="s">
        <v>503</v>
      </c>
      <c r="J25" t="s">
        <v>504</v>
      </c>
      <c r="K25" t="s">
        <v>505</v>
      </c>
      <c r="L25">
        <v>1368</v>
      </c>
      <c r="N25">
        <v>1011</v>
      </c>
      <c r="O25" t="s">
        <v>506</v>
      </c>
      <c r="P25" t="s">
        <v>506</v>
      </c>
      <c r="Q25">
        <v>1</v>
      </c>
      <c r="X25">
        <v>6.0000000000000001E-3</v>
      </c>
      <c r="Y25">
        <v>0</v>
      </c>
      <c r="Z25">
        <v>83.1</v>
      </c>
      <c r="AA25">
        <v>12.62</v>
      </c>
      <c r="AB25">
        <v>0</v>
      </c>
      <c r="AC25">
        <v>0</v>
      </c>
      <c r="AD25">
        <v>1</v>
      </c>
      <c r="AE25">
        <v>0</v>
      </c>
      <c r="AF25" t="s">
        <v>23</v>
      </c>
      <c r="AG25">
        <v>6.6000000000000008E-3</v>
      </c>
      <c r="AH25">
        <v>2</v>
      </c>
      <c r="AI25">
        <v>56959573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ROW(Source!A37)</f>
        <v>37</v>
      </c>
      <c r="B26">
        <v>56960916</v>
      </c>
      <c r="C26">
        <v>56959571</v>
      </c>
      <c r="D26">
        <v>56040043</v>
      </c>
      <c r="E26">
        <v>1080</v>
      </c>
      <c r="F26">
        <v>1</v>
      </c>
      <c r="G26">
        <v>1080</v>
      </c>
      <c r="H26">
        <v>3</v>
      </c>
      <c r="I26" t="s">
        <v>632</v>
      </c>
      <c r="J26" t="s">
        <v>3</v>
      </c>
      <c r="K26" t="s">
        <v>636</v>
      </c>
      <c r="L26">
        <v>1354</v>
      </c>
      <c r="N26">
        <v>1010</v>
      </c>
      <c r="O26" t="s">
        <v>31</v>
      </c>
      <c r="P26" t="s">
        <v>31</v>
      </c>
      <c r="Q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</v>
      </c>
      <c r="AG26">
        <v>1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ROW(Source!A40)</f>
        <v>40</v>
      </c>
      <c r="B27">
        <v>56960917</v>
      </c>
      <c r="C27">
        <v>56959578</v>
      </c>
      <c r="D27">
        <v>56018166</v>
      </c>
      <c r="E27">
        <v>1080</v>
      </c>
      <c r="F27">
        <v>1</v>
      </c>
      <c r="G27">
        <v>1080</v>
      </c>
      <c r="H27">
        <v>1</v>
      </c>
      <c r="I27" t="s">
        <v>500</v>
      </c>
      <c r="J27" t="s">
        <v>3</v>
      </c>
      <c r="K27" t="s">
        <v>501</v>
      </c>
      <c r="L27">
        <v>1191</v>
      </c>
      <c r="N27">
        <v>1013</v>
      </c>
      <c r="O27" t="s">
        <v>502</v>
      </c>
      <c r="P27" t="s">
        <v>502</v>
      </c>
      <c r="Q27">
        <v>1</v>
      </c>
      <c r="X27">
        <v>29.96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23</v>
      </c>
      <c r="AG27">
        <v>32.956000000000003</v>
      </c>
      <c r="AH27">
        <v>2</v>
      </c>
      <c r="AI27">
        <v>56959579</v>
      </c>
      <c r="AJ27">
        <v>23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ROW(Source!A40)</f>
        <v>40</v>
      </c>
      <c r="B28">
        <v>56960918</v>
      </c>
      <c r="C28">
        <v>56959578</v>
      </c>
      <c r="D28">
        <v>56092340</v>
      </c>
      <c r="E28">
        <v>1</v>
      </c>
      <c r="F28">
        <v>1</v>
      </c>
      <c r="G28">
        <v>1080</v>
      </c>
      <c r="H28">
        <v>2</v>
      </c>
      <c r="I28" t="s">
        <v>503</v>
      </c>
      <c r="J28" t="s">
        <v>504</v>
      </c>
      <c r="K28" t="s">
        <v>505</v>
      </c>
      <c r="L28">
        <v>1368</v>
      </c>
      <c r="N28">
        <v>1011</v>
      </c>
      <c r="O28" t="s">
        <v>506</v>
      </c>
      <c r="P28" t="s">
        <v>506</v>
      </c>
      <c r="Q28">
        <v>1</v>
      </c>
      <c r="X28">
        <v>0.01</v>
      </c>
      <c r="Y28">
        <v>0</v>
      </c>
      <c r="Z28">
        <v>83.1</v>
      </c>
      <c r="AA28">
        <v>12.62</v>
      </c>
      <c r="AB28">
        <v>0</v>
      </c>
      <c r="AC28">
        <v>0</v>
      </c>
      <c r="AD28">
        <v>1</v>
      </c>
      <c r="AE28">
        <v>0</v>
      </c>
      <c r="AF28" t="s">
        <v>23</v>
      </c>
      <c r="AG28">
        <v>1.1000000000000001E-2</v>
      </c>
      <c r="AH28">
        <v>2</v>
      </c>
      <c r="AI28">
        <v>56959580</v>
      </c>
      <c r="AJ28">
        <v>24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ROW(Source!A40)</f>
        <v>40</v>
      </c>
      <c r="B29">
        <v>56960919</v>
      </c>
      <c r="C29">
        <v>56959578</v>
      </c>
      <c r="D29">
        <v>56092425</v>
      </c>
      <c r="E29">
        <v>1</v>
      </c>
      <c r="F29">
        <v>1</v>
      </c>
      <c r="G29">
        <v>1080</v>
      </c>
      <c r="H29">
        <v>2</v>
      </c>
      <c r="I29" t="s">
        <v>523</v>
      </c>
      <c r="J29" t="s">
        <v>524</v>
      </c>
      <c r="K29" t="s">
        <v>525</v>
      </c>
      <c r="L29">
        <v>1368</v>
      </c>
      <c r="N29">
        <v>1011</v>
      </c>
      <c r="O29" t="s">
        <v>506</v>
      </c>
      <c r="P29" t="s">
        <v>506</v>
      </c>
      <c r="Q29">
        <v>1</v>
      </c>
      <c r="X29">
        <v>0.57999999999999996</v>
      </c>
      <c r="Y29">
        <v>0</v>
      </c>
      <c r="Z29">
        <v>0.47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23</v>
      </c>
      <c r="AG29">
        <v>0.63800000000000001</v>
      </c>
      <c r="AH29">
        <v>2</v>
      </c>
      <c r="AI29">
        <v>56959581</v>
      </c>
      <c r="AJ29">
        <v>25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ROW(Source!A40)</f>
        <v>40</v>
      </c>
      <c r="B30">
        <v>56960920</v>
      </c>
      <c r="C30">
        <v>56959578</v>
      </c>
      <c r="D30">
        <v>56062222</v>
      </c>
      <c r="E30">
        <v>1</v>
      </c>
      <c r="F30">
        <v>1</v>
      </c>
      <c r="G30">
        <v>1080</v>
      </c>
      <c r="H30">
        <v>3</v>
      </c>
      <c r="I30" t="s">
        <v>526</v>
      </c>
      <c r="J30" t="s">
        <v>527</v>
      </c>
      <c r="K30" t="s">
        <v>528</v>
      </c>
      <c r="L30">
        <v>1348</v>
      </c>
      <c r="N30">
        <v>1009</v>
      </c>
      <c r="O30" t="s">
        <v>291</v>
      </c>
      <c r="P30" t="s">
        <v>291</v>
      </c>
      <c r="Q30">
        <v>1000</v>
      </c>
      <c r="X30">
        <v>9.0000000000000006E-5</v>
      </c>
      <c r="Y30">
        <v>14327.51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9.0000000000000006E-5</v>
      </c>
      <c r="AH30">
        <v>2</v>
      </c>
      <c r="AI30">
        <v>56959582</v>
      </c>
      <c r="AJ30">
        <v>26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ROW(Source!A40)</f>
        <v>40</v>
      </c>
      <c r="B31">
        <v>56960921</v>
      </c>
      <c r="C31">
        <v>56959578</v>
      </c>
      <c r="D31">
        <v>56040227</v>
      </c>
      <c r="E31">
        <v>1080</v>
      </c>
      <c r="F31">
        <v>1</v>
      </c>
      <c r="G31">
        <v>1080</v>
      </c>
      <c r="H31">
        <v>3</v>
      </c>
      <c r="I31" t="s">
        <v>637</v>
      </c>
      <c r="J31" t="s">
        <v>3</v>
      </c>
      <c r="K31" t="s">
        <v>638</v>
      </c>
      <c r="L31">
        <v>1358</v>
      </c>
      <c r="N31">
        <v>1010</v>
      </c>
      <c r="O31" t="s">
        <v>58</v>
      </c>
      <c r="P31" t="s">
        <v>58</v>
      </c>
      <c r="Q31">
        <v>10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</v>
      </c>
      <c r="AG31">
        <v>1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ROW(Source!A41)</f>
        <v>41</v>
      </c>
      <c r="B32">
        <v>56960917</v>
      </c>
      <c r="C32">
        <v>56959578</v>
      </c>
      <c r="D32">
        <v>56018166</v>
      </c>
      <c r="E32">
        <v>1080</v>
      </c>
      <c r="F32">
        <v>1</v>
      </c>
      <c r="G32">
        <v>1080</v>
      </c>
      <c r="H32">
        <v>1</v>
      </c>
      <c r="I32" t="s">
        <v>500</v>
      </c>
      <c r="J32" t="s">
        <v>3</v>
      </c>
      <c r="K32" t="s">
        <v>501</v>
      </c>
      <c r="L32">
        <v>1191</v>
      </c>
      <c r="N32">
        <v>1013</v>
      </c>
      <c r="O32" t="s">
        <v>502</v>
      </c>
      <c r="P32" t="s">
        <v>502</v>
      </c>
      <c r="Q32">
        <v>1</v>
      </c>
      <c r="X32">
        <v>29.96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23</v>
      </c>
      <c r="AG32">
        <v>32.956000000000003</v>
      </c>
      <c r="AH32">
        <v>2</v>
      </c>
      <c r="AI32">
        <v>56959579</v>
      </c>
      <c r="AJ32">
        <v>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ROW(Source!A41)</f>
        <v>41</v>
      </c>
      <c r="B33">
        <v>56960918</v>
      </c>
      <c r="C33">
        <v>56959578</v>
      </c>
      <c r="D33">
        <v>56092340</v>
      </c>
      <c r="E33">
        <v>1</v>
      </c>
      <c r="F33">
        <v>1</v>
      </c>
      <c r="G33">
        <v>1080</v>
      </c>
      <c r="H33">
        <v>2</v>
      </c>
      <c r="I33" t="s">
        <v>503</v>
      </c>
      <c r="J33" t="s">
        <v>504</v>
      </c>
      <c r="K33" t="s">
        <v>505</v>
      </c>
      <c r="L33">
        <v>1368</v>
      </c>
      <c r="N33">
        <v>1011</v>
      </c>
      <c r="O33" t="s">
        <v>506</v>
      </c>
      <c r="P33" t="s">
        <v>506</v>
      </c>
      <c r="Q33">
        <v>1</v>
      </c>
      <c r="X33">
        <v>0.01</v>
      </c>
      <c r="Y33">
        <v>0</v>
      </c>
      <c r="Z33">
        <v>83.1</v>
      </c>
      <c r="AA33">
        <v>12.62</v>
      </c>
      <c r="AB33">
        <v>0</v>
      </c>
      <c r="AC33">
        <v>0</v>
      </c>
      <c r="AD33">
        <v>1</v>
      </c>
      <c r="AE33">
        <v>0</v>
      </c>
      <c r="AF33" t="s">
        <v>23</v>
      </c>
      <c r="AG33">
        <v>1.1000000000000001E-2</v>
      </c>
      <c r="AH33">
        <v>2</v>
      </c>
      <c r="AI33">
        <v>56959580</v>
      </c>
      <c r="AJ33">
        <v>28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ROW(Source!A41)</f>
        <v>41</v>
      </c>
      <c r="B34">
        <v>56960919</v>
      </c>
      <c r="C34">
        <v>56959578</v>
      </c>
      <c r="D34">
        <v>56092425</v>
      </c>
      <c r="E34">
        <v>1</v>
      </c>
      <c r="F34">
        <v>1</v>
      </c>
      <c r="G34">
        <v>1080</v>
      </c>
      <c r="H34">
        <v>2</v>
      </c>
      <c r="I34" t="s">
        <v>523</v>
      </c>
      <c r="J34" t="s">
        <v>524</v>
      </c>
      <c r="K34" t="s">
        <v>525</v>
      </c>
      <c r="L34">
        <v>1368</v>
      </c>
      <c r="N34">
        <v>1011</v>
      </c>
      <c r="O34" t="s">
        <v>506</v>
      </c>
      <c r="P34" t="s">
        <v>506</v>
      </c>
      <c r="Q34">
        <v>1</v>
      </c>
      <c r="X34">
        <v>0.57999999999999996</v>
      </c>
      <c r="Y34">
        <v>0</v>
      </c>
      <c r="Z34">
        <v>0.47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23</v>
      </c>
      <c r="AG34">
        <v>0.63800000000000001</v>
      </c>
      <c r="AH34">
        <v>2</v>
      </c>
      <c r="AI34">
        <v>56959581</v>
      </c>
      <c r="AJ34">
        <v>29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ROW(Source!A41)</f>
        <v>41</v>
      </c>
      <c r="B35">
        <v>56960920</v>
      </c>
      <c r="C35">
        <v>56959578</v>
      </c>
      <c r="D35">
        <v>56062222</v>
      </c>
      <c r="E35">
        <v>1</v>
      </c>
      <c r="F35">
        <v>1</v>
      </c>
      <c r="G35">
        <v>1080</v>
      </c>
      <c r="H35">
        <v>3</v>
      </c>
      <c r="I35" t="s">
        <v>526</v>
      </c>
      <c r="J35" t="s">
        <v>527</v>
      </c>
      <c r="K35" t="s">
        <v>528</v>
      </c>
      <c r="L35">
        <v>1348</v>
      </c>
      <c r="N35">
        <v>1009</v>
      </c>
      <c r="O35" t="s">
        <v>291</v>
      </c>
      <c r="P35" t="s">
        <v>291</v>
      </c>
      <c r="Q35">
        <v>1000</v>
      </c>
      <c r="X35">
        <v>9.0000000000000006E-5</v>
      </c>
      <c r="Y35">
        <v>14327.51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</v>
      </c>
      <c r="AG35">
        <v>9.0000000000000006E-5</v>
      </c>
      <c r="AH35">
        <v>2</v>
      </c>
      <c r="AI35">
        <v>56959582</v>
      </c>
      <c r="AJ35">
        <v>30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ROW(Source!A41)</f>
        <v>41</v>
      </c>
      <c r="B36">
        <v>56960921</v>
      </c>
      <c r="C36">
        <v>56959578</v>
      </c>
      <c r="D36">
        <v>56040227</v>
      </c>
      <c r="E36">
        <v>1080</v>
      </c>
      <c r="F36">
        <v>1</v>
      </c>
      <c r="G36">
        <v>1080</v>
      </c>
      <c r="H36">
        <v>3</v>
      </c>
      <c r="I36" t="s">
        <v>637</v>
      </c>
      <c r="J36" t="s">
        <v>3</v>
      </c>
      <c r="K36" t="s">
        <v>638</v>
      </c>
      <c r="L36">
        <v>1358</v>
      </c>
      <c r="N36">
        <v>1010</v>
      </c>
      <c r="O36" t="s">
        <v>58</v>
      </c>
      <c r="P36" t="s">
        <v>58</v>
      </c>
      <c r="Q36">
        <v>10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</v>
      </c>
      <c r="AG36">
        <v>1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ROW(Source!A44)</f>
        <v>44</v>
      </c>
      <c r="B37">
        <v>56960922</v>
      </c>
      <c r="C37">
        <v>56959589</v>
      </c>
      <c r="D37">
        <v>56018166</v>
      </c>
      <c r="E37">
        <v>1080</v>
      </c>
      <c r="F37">
        <v>1</v>
      </c>
      <c r="G37">
        <v>1080</v>
      </c>
      <c r="H37">
        <v>1</v>
      </c>
      <c r="I37" t="s">
        <v>500</v>
      </c>
      <c r="J37" t="s">
        <v>3</v>
      </c>
      <c r="K37" t="s">
        <v>501</v>
      </c>
      <c r="L37">
        <v>1191</v>
      </c>
      <c r="N37">
        <v>1013</v>
      </c>
      <c r="O37" t="s">
        <v>502</v>
      </c>
      <c r="P37" t="s">
        <v>502</v>
      </c>
      <c r="Q37">
        <v>1</v>
      </c>
      <c r="X37">
        <v>1.03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23</v>
      </c>
      <c r="AG37">
        <v>1.1330000000000002</v>
      </c>
      <c r="AH37">
        <v>2</v>
      </c>
      <c r="AI37">
        <v>56959590</v>
      </c>
      <c r="AJ37">
        <v>31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ROW(Source!A44)</f>
        <v>44</v>
      </c>
      <c r="B38">
        <v>56960923</v>
      </c>
      <c r="C38">
        <v>56959589</v>
      </c>
      <c r="D38">
        <v>56092340</v>
      </c>
      <c r="E38">
        <v>1</v>
      </c>
      <c r="F38">
        <v>1</v>
      </c>
      <c r="G38">
        <v>1080</v>
      </c>
      <c r="H38">
        <v>2</v>
      </c>
      <c r="I38" t="s">
        <v>503</v>
      </c>
      <c r="J38" t="s">
        <v>504</v>
      </c>
      <c r="K38" t="s">
        <v>505</v>
      </c>
      <c r="L38">
        <v>1368</v>
      </c>
      <c r="N38">
        <v>1011</v>
      </c>
      <c r="O38" t="s">
        <v>506</v>
      </c>
      <c r="P38" t="s">
        <v>506</v>
      </c>
      <c r="Q38">
        <v>1</v>
      </c>
      <c r="X38">
        <v>6.0000000000000001E-3</v>
      </c>
      <c r="Y38">
        <v>0</v>
      </c>
      <c r="Z38">
        <v>83.1</v>
      </c>
      <c r="AA38">
        <v>12.62</v>
      </c>
      <c r="AB38">
        <v>0</v>
      </c>
      <c r="AC38">
        <v>0</v>
      </c>
      <c r="AD38">
        <v>1</v>
      </c>
      <c r="AE38">
        <v>0</v>
      </c>
      <c r="AF38" t="s">
        <v>23</v>
      </c>
      <c r="AG38">
        <v>6.6000000000000008E-3</v>
      </c>
      <c r="AH38">
        <v>2</v>
      </c>
      <c r="AI38">
        <v>56959591</v>
      </c>
      <c r="AJ38">
        <v>32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ROW(Source!A44)</f>
        <v>44</v>
      </c>
      <c r="B39">
        <v>56960924</v>
      </c>
      <c r="C39">
        <v>56959589</v>
      </c>
      <c r="D39">
        <v>56040043</v>
      </c>
      <c r="E39">
        <v>1080</v>
      </c>
      <c r="F39">
        <v>1</v>
      </c>
      <c r="G39">
        <v>1080</v>
      </c>
      <c r="H39">
        <v>3</v>
      </c>
      <c r="I39" t="s">
        <v>632</v>
      </c>
      <c r="J39" t="s">
        <v>3</v>
      </c>
      <c r="K39" t="s">
        <v>636</v>
      </c>
      <c r="L39">
        <v>1354</v>
      </c>
      <c r="N39">
        <v>1010</v>
      </c>
      <c r="O39" t="s">
        <v>31</v>
      </c>
      <c r="P39" t="s">
        <v>31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3</v>
      </c>
      <c r="AG39">
        <v>1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ROW(Source!A45)</f>
        <v>45</v>
      </c>
      <c r="B40">
        <v>56960922</v>
      </c>
      <c r="C40">
        <v>56959589</v>
      </c>
      <c r="D40">
        <v>56018166</v>
      </c>
      <c r="E40">
        <v>1080</v>
      </c>
      <c r="F40">
        <v>1</v>
      </c>
      <c r="G40">
        <v>1080</v>
      </c>
      <c r="H40">
        <v>1</v>
      </c>
      <c r="I40" t="s">
        <v>500</v>
      </c>
      <c r="J40" t="s">
        <v>3</v>
      </c>
      <c r="K40" t="s">
        <v>501</v>
      </c>
      <c r="L40">
        <v>1191</v>
      </c>
      <c r="N40">
        <v>1013</v>
      </c>
      <c r="O40" t="s">
        <v>502</v>
      </c>
      <c r="P40" t="s">
        <v>502</v>
      </c>
      <c r="Q40">
        <v>1</v>
      </c>
      <c r="X40">
        <v>1.03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23</v>
      </c>
      <c r="AG40">
        <v>1.1330000000000002</v>
      </c>
      <c r="AH40">
        <v>2</v>
      </c>
      <c r="AI40">
        <v>56959590</v>
      </c>
      <c r="AJ40">
        <v>33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ROW(Source!A45)</f>
        <v>45</v>
      </c>
      <c r="B41">
        <v>56960923</v>
      </c>
      <c r="C41">
        <v>56959589</v>
      </c>
      <c r="D41">
        <v>56092340</v>
      </c>
      <c r="E41">
        <v>1</v>
      </c>
      <c r="F41">
        <v>1</v>
      </c>
      <c r="G41">
        <v>1080</v>
      </c>
      <c r="H41">
        <v>2</v>
      </c>
      <c r="I41" t="s">
        <v>503</v>
      </c>
      <c r="J41" t="s">
        <v>504</v>
      </c>
      <c r="K41" t="s">
        <v>505</v>
      </c>
      <c r="L41">
        <v>1368</v>
      </c>
      <c r="N41">
        <v>1011</v>
      </c>
      <c r="O41" t="s">
        <v>506</v>
      </c>
      <c r="P41" t="s">
        <v>506</v>
      </c>
      <c r="Q41">
        <v>1</v>
      </c>
      <c r="X41">
        <v>6.0000000000000001E-3</v>
      </c>
      <c r="Y41">
        <v>0</v>
      </c>
      <c r="Z41">
        <v>83.1</v>
      </c>
      <c r="AA41">
        <v>12.62</v>
      </c>
      <c r="AB41">
        <v>0</v>
      </c>
      <c r="AC41">
        <v>0</v>
      </c>
      <c r="AD41">
        <v>1</v>
      </c>
      <c r="AE41">
        <v>0</v>
      </c>
      <c r="AF41" t="s">
        <v>23</v>
      </c>
      <c r="AG41">
        <v>6.6000000000000008E-3</v>
      </c>
      <c r="AH41">
        <v>2</v>
      </c>
      <c r="AI41">
        <v>56959591</v>
      </c>
      <c r="AJ41">
        <v>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ROW(Source!A45)</f>
        <v>45</v>
      </c>
      <c r="B42">
        <v>56960924</v>
      </c>
      <c r="C42">
        <v>56959589</v>
      </c>
      <c r="D42">
        <v>56040043</v>
      </c>
      <c r="E42">
        <v>1080</v>
      </c>
      <c r="F42">
        <v>1</v>
      </c>
      <c r="G42">
        <v>1080</v>
      </c>
      <c r="H42">
        <v>3</v>
      </c>
      <c r="I42" t="s">
        <v>632</v>
      </c>
      <c r="J42" t="s">
        <v>3</v>
      </c>
      <c r="K42" t="s">
        <v>636</v>
      </c>
      <c r="L42">
        <v>1354</v>
      </c>
      <c r="N42">
        <v>1010</v>
      </c>
      <c r="O42" t="s">
        <v>31</v>
      </c>
      <c r="P42" t="s">
        <v>31</v>
      </c>
      <c r="Q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</v>
      </c>
      <c r="AG42">
        <v>1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ROW(Source!A48)</f>
        <v>48</v>
      </c>
      <c r="B43">
        <v>56960925</v>
      </c>
      <c r="C43">
        <v>56959596</v>
      </c>
      <c r="D43">
        <v>56018166</v>
      </c>
      <c r="E43">
        <v>1080</v>
      </c>
      <c r="F43">
        <v>1</v>
      </c>
      <c r="G43">
        <v>1080</v>
      </c>
      <c r="H43">
        <v>1</v>
      </c>
      <c r="I43" t="s">
        <v>500</v>
      </c>
      <c r="J43" t="s">
        <v>3</v>
      </c>
      <c r="K43" t="s">
        <v>501</v>
      </c>
      <c r="L43">
        <v>1191</v>
      </c>
      <c r="N43">
        <v>1013</v>
      </c>
      <c r="O43" t="s">
        <v>502</v>
      </c>
      <c r="P43" t="s">
        <v>502</v>
      </c>
      <c r="Q43">
        <v>1</v>
      </c>
      <c r="X43">
        <v>1.03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23</v>
      </c>
      <c r="AG43">
        <v>1.1330000000000002</v>
      </c>
      <c r="AH43">
        <v>2</v>
      </c>
      <c r="AI43">
        <v>56959597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ROW(Source!A48)</f>
        <v>48</v>
      </c>
      <c r="B44">
        <v>56960926</v>
      </c>
      <c r="C44">
        <v>56959596</v>
      </c>
      <c r="D44">
        <v>56092340</v>
      </c>
      <c r="E44">
        <v>1</v>
      </c>
      <c r="F44">
        <v>1</v>
      </c>
      <c r="G44">
        <v>1080</v>
      </c>
      <c r="H44">
        <v>2</v>
      </c>
      <c r="I44" t="s">
        <v>503</v>
      </c>
      <c r="J44" t="s">
        <v>504</v>
      </c>
      <c r="K44" t="s">
        <v>505</v>
      </c>
      <c r="L44">
        <v>1368</v>
      </c>
      <c r="N44">
        <v>1011</v>
      </c>
      <c r="O44" t="s">
        <v>506</v>
      </c>
      <c r="P44" t="s">
        <v>506</v>
      </c>
      <c r="Q44">
        <v>1</v>
      </c>
      <c r="X44">
        <v>6.0000000000000001E-3</v>
      </c>
      <c r="Y44">
        <v>0</v>
      </c>
      <c r="Z44">
        <v>83.1</v>
      </c>
      <c r="AA44">
        <v>12.62</v>
      </c>
      <c r="AB44">
        <v>0</v>
      </c>
      <c r="AC44">
        <v>0</v>
      </c>
      <c r="AD44">
        <v>1</v>
      </c>
      <c r="AE44">
        <v>0</v>
      </c>
      <c r="AF44" t="s">
        <v>23</v>
      </c>
      <c r="AG44">
        <v>6.6000000000000008E-3</v>
      </c>
      <c r="AH44">
        <v>2</v>
      </c>
      <c r="AI44">
        <v>56959598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ROW(Source!A48)</f>
        <v>48</v>
      </c>
      <c r="B45">
        <v>56960927</v>
      </c>
      <c r="C45">
        <v>56959596</v>
      </c>
      <c r="D45">
        <v>56040043</v>
      </c>
      <c r="E45">
        <v>1080</v>
      </c>
      <c r="F45">
        <v>1</v>
      </c>
      <c r="G45">
        <v>1080</v>
      </c>
      <c r="H45">
        <v>3</v>
      </c>
      <c r="I45" t="s">
        <v>632</v>
      </c>
      <c r="J45" t="s">
        <v>3</v>
      </c>
      <c r="K45" t="s">
        <v>636</v>
      </c>
      <c r="L45">
        <v>1354</v>
      </c>
      <c r="N45">
        <v>1010</v>
      </c>
      <c r="O45" t="s">
        <v>31</v>
      </c>
      <c r="P45" t="s">
        <v>31</v>
      </c>
      <c r="Q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3</v>
      </c>
      <c r="AG45">
        <v>1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ROW(Source!A49)</f>
        <v>49</v>
      </c>
      <c r="B46">
        <v>56960925</v>
      </c>
      <c r="C46">
        <v>56959596</v>
      </c>
      <c r="D46">
        <v>56018166</v>
      </c>
      <c r="E46">
        <v>1080</v>
      </c>
      <c r="F46">
        <v>1</v>
      </c>
      <c r="G46">
        <v>1080</v>
      </c>
      <c r="H46">
        <v>1</v>
      </c>
      <c r="I46" t="s">
        <v>500</v>
      </c>
      <c r="J46" t="s">
        <v>3</v>
      </c>
      <c r="K46" t="s">
        <v>501</v>
      </c>
      <c r="L46">
        <v>1191</v>
      </c>
      <c r="N46">
        <v>1013</v>
      </c>
      <c r="O46" t="s">
        <v>502</v>
      </c>
      <c r="P46" t="s">
        <v>502</v>
      </c>
      <c r="Q46">
        <v>1</v>
      </c>
      <c r="X46">
        <v>1.03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23</v>
      </c>
      <c r="AG46">
        <v>1.1330000000000002</v>
      </c>
      <c r="AH46">
        <v>2</v>
      </c>
      <c r="AI46">
        <v>56959597</v>
      </c>
      <c r="AJ46">
        <v>37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ROW(Source!A49)</f>
        <v>49</v>
      </c>
      <c r="B47">
        <v>56960926</v>
      </c>
      <c r="C47">
        <v>56959596</v>
      </c>
      <c r="D47">
        <v>56092340</v>
      </c>
      <c r="E47">
        <v>1</v>
      </c>
      <c r="F47">
        <v>1</v>
      </c>
      <c r="G47">
        <v>1080</v>
      </c>
      <c r="H47">
        <v>2</v>
      </c>
      <c r="I47" t="s">
        <v>503</v>
      </c>
      <c r="J47" t="s">
        <v>504</v>
      </c>
      <c r="K47" t="s">
        <v>505</v>
      </c>
      <c r="L47">
        <v>1368</v>
      </c>
      <c r="N47">
        <v>1011</v>
      </c>
      <c r="O47" t="s">
        <v>506</v>
      </c>
      <c r="P47" t="s">
        <v>506</v>
      </c>
      <c r="Q47">
        <v>1</v>
      </c>
      <c r="X47">
        <v>6.0000000000000001E-3</v>
      </c>
      <c r="Y47">
        <v>0</v>
      </c>
      <c r="Z47">
        <v>83.1</v>
      </c>
      <c r="AA47">
        <v>12.62</v>
      </c>
      <c r="AB47">
        <v>0</v>
      </c>
      <c r="AC47">
        <v>0</v>
      </c>
      <c r="AD47">
        <v>1</v>
      </c>
      <c r="AE47">
        <v>0</v>
      </c>
      <c r="AF47" t="s">
        <v>23</v>
      </c>
      <c r="AG47">
        <v>6.6000000000000008E-3</v>
      </c>
      <c r="AH47">
        <v>2</v>
      </c>
      <c r="AI47">
        <v>56959598</v>
      </c>
      <c r="AJ47">
        <v>38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ROW(Source!A49)</f>
        <v>49</v>
      </c>
      <c r="B48">
        <v>56960927</v>
      </c>
      <c r="C48">
        <v>56959596</v>
      </c>
      <c r="D48">
        <v>56040043</v>
      </c>
      <c r="E48">
        <v>1080</v>
      </c>
      <c r="F48">
        <v>1</v>
      </c>
      <c r="G48">
        <v>1080</v>
      </c>
      <c r="H48">
        <v>3</v>
      </c>
      <c r="I48" t="s">
        <v>632</v>
      </c>
      <c r="J48" t="s">
        <v>3</v>
      </c>
      <c r="K48" t="s">
        <v>636</v>
      </c>
      <c r="L48">
        <v>1354</v>
      </c>
      <c r="N48">
        <v>1010</v>
      </c>
      <c r="O48" t="s">
        <v>31</v>
      </c>
      <c r="P48" t="s">
        <v>31</v>
      </c>
      <c r="Q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3</v>
      </c>
      <c r="AG48">
        <v>1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ROW(Source!A52)</f>
        <v>52</v>
      </c>
      <c r="B49">
        <v>56960928</v>
      </c>
      <c r="C49">
        <v>56959603</v>
      </c>
      <c r="D49">
        <v>56018166</v>
      </c>
      <c r="E49">
        <v>1080</v>
      </c>
      <c r="F49">
        <v>1</v>
      </c>
      <c r="G49">
        <v>1080</v>
      </c>
      <c r="H49">
        <v>1</v>
      </c>
      <c r="I49" t="s">
        <v>500</v>
      </c>
      <c r="J49" t="s">
        <v>3</v>
      </c>
      <c r="K49" t="s">
        <v>501</v>
      </c>
      <c r="L49">
        <v>1191</v>
      </c>
      <c r="N49">
        <v>1013</v>
      </c>
      <c r="O49" t="s">
        <v>502</v>
      </c>
      <c r="P49" t="s">
        <v>502</v>
      </c>
      <c r="Q49">
        <v>1</v>
      </c>
      <c r="X49">
        <v>15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23</v>
      </c>
      <c r="AG49">
        <v>16.5</v>
      </c>
      <c r="AH49">
        <v>2</v>
      </c>
      <c r="AI49">
        <v>56959604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ROW(Source!A52)</f>
        <v>52</v>
      </c>
      <c r="B50">
        <v>56960929</v>
      </c>
      <c r="C50">
        <v>56959603</v>
      </c>
      <c r="D50">
        <v>56027568</v>
      </c>
      <c r="E50">
        <v>1080</v>
      </c>
      <c r="F50">
        <v>1</v>
      </c>
      <c r="G50">
        <v>1080</v>
      </c>
      <c r="H50">
        <v>3</v>
      </c>
      <c r="I50" t="s">
        <v>639</v>
      </c>
      <c r="J50" t="s">
        <v>3</v>
      </c>
      <c r="K50" t="s">
        <v>640</v>
      </c>
      <c r="L50">
        <v>1301</v>
      </c>
      <c r="N50">
        <v>1003</v>
      </c>
      <c r="O50" t="s">
        <v>84</v>
      </c>
      <c r="P50" t="s">
        <v>84</v>
      </c>
      <c r="Q50">
        <v>1</v>
      </c>
      <c r="X50">
        <v>102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3</v>
      </c>
      <c r="AG50">
        <v>102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ROW(Source!A52)</f>
        <v>52</v>
      </c>
      <c r="B51">
        <v>56960930</v>
      </c>
      <c r="C51">
        <v>56959603</v>
      </c>
      <c r="D51">
        <v>56030735</v>
      </c>
      <c r="E51">
        <v>1080</v>
      </c>
      <c r="F51">
        <v>1</v>
      </c>
      <c r="G51">
        <v>1080</v>
      </c>
      <c r="H51">
        <v>3</v>
      </c>
      <c r="I51" t="s">
        <v>641</v>
      </c>
      <c r="J51" t="s">
        <v>3</v>
      </c>
      <c r="K51" t="s">
        <v>642</v>
      </c>
      <c r="L51">
        <v>1354</v>
      </c>
      <c r="N51">
        <v>1010</v>
      </c>
      <c r="O51" t="s">
        <v>31</v>
      </c>
      <c r="P51" t="s">
        <v>31</v>
      </c>
      <c r="Q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3</v>
      </c>
      <c r="AG51">
        <v>0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ROW(Source!A52)</f>
        <v>52</v>
      </c>
      <c r="B52">
        <v>56960931</v>
      </c>
      <c r="C52">
        <v>56959603</v>
      </c>
      <c r="D52">
        <v>56031307</v>
      </c>
      <c r="E52">
        <v>1080</v>
      </c>
      <c r="F52">
        <v>1</v>
      </c>
      <c r="G52">
        <v>1080</v>
      </c>
      <c r="H52">
        <v>3</v>
      </c>
      <c r="I52" t="s">
        <v>643</v>
      </c>
      <c r="J52" t="s">
        <v>3</v>
      </c>
      <c r="K52" t="s">
        <v>644</v>
      </c>
      <c r="L52">
        <v>1354</v>
      </c>
      <c r="N52">
        <v>1010</v>
      </c>
      <c r="O52" t="s">
        <v>31</v>
      </c>
      <c r="P52" t="s">
        <v>31</v>
      </c>
      <c r="Q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ROW(Source!A53)</f>
        <v>53</v>
      </c>
      <c r="B53">
        <v>56960928</v>
      </c>
      <c r="C53">
        <v>56959603</v>
      </c>
      <c r="D53">
        <v>56018166</v>
      </c>
      <c r="E53">
        <v>1080</v>
      </c>
      <c r="F53">
        <v>1</v>
      </c>
      <c r="G53">
        <v>1080</v>
      </c>
      <c r="H53">
        <v>1</v>
      </c>
      <c r="I53" t="s">
        <v>500</v>
      </c>
      <c r="J53" t="s">
        <v>3</v>
      </c>
      <c r="K53" t="s">
        <v>501</v>
      </c>
      <c r="L53">
        <v>1191</v>
      </c>
      <c r="N53">
        <v>1013</v>
      </c>
      <c r="O53" t="s">
        <v>502</v>
      </c>
      <c r="P53" t="s">
        <v>502</v>
      </c>
      <c r="Q53">
        <v>1</v>
      </c>
      <c r="X53">
        <v>15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23</v>
      </c>
      <c r="AG53">
        <v>16.5</v>
      </c>
      <c r="AH53">
        <v>2</v>
      </c>
      <c r="AI53">
        <v>56959604</v>
      </c>
      <c r="AJ53">
        <v>41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ROW(Source!A53)</f>
        <v>53</v>
      </c>
      <c r="B54">
        <v>56960929</v>
      </c>
      <c r="C54">
        <v>56959603</v>
      </c>
      <c r="D54">
        <v>56027568</v>
      </c>
      <c r="E54">
        <v>1080</v>
      </c>
      <c r="F54">
        <v>1</v>
      </c>
      <c r="G54">
        <v>1080</v>
      </c>
      <c r="H54">
        <v>3</v>
      </c>
      <c r="I54" t="s">
        <v>639</v>
      </c>
      <c r="J54" t="s">
        <v>3</v>
      </c>
      <c r="K54" t="s">
        <v>640</v>
      </c>
      <c r="L54">
        <v>1301</v>
      </c>
      <c r="N54">
        <v>1003</v>
      </c>
      <c r="O54" t="s">
        <v>84</v>
      </c>
      <c r="P54" t="s">
        <v>84</v>
      </c>
      <c r="Q54">
        <v>1</v>
      </c>
      <c r="X54">
        <v>102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</v>
      </c>
      <c r="AG54">
        <v>102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ROW(Source!A53)</f>
        <v>53</v>
      </c>
      <c r="B55">
        <v>56960930</v>
      </c>
      <c r="C55">
        <v>56959603</v>
      </c>
      <c r="D55">
        <v>56030735</v>
      </c>
      <c r="E55">
        <v>1080</v>
      </c>
      <c r="F55">
        <v>1</v>
      </c>
      <c r="G55">
        <v>1080</v>
      </c>
      <c r="H55">
        <v>3</v>
      </c>
      <c r="I55" t="s">
        <v>641</v>
      </c>
      <c r="J55" t="s">
        <v>3</v>
      </c>
      <c r="K55" t="s">
        <v>642</v>
      </c>
      <c r="L55">
        <v>1354</v>
      </c>
      <c r="N55">
        <v>1010</v>
      </c>
      <c r="O55" t="s">
        <v>31</v>
      </c>
      <c r="P55" t="s">
        <v>31</v>
      </c>
      <c r="Q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3</v>
      </c>
      <c r="AG55">
        <v>0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ROW(Source!A53)</f>
        <v>53</v>
      </c>
      <c r="B56">
        <v>56960931</v>
      </c>
      <c r="C56">
        <v>56959603</v>
      </c>
      <c r="D56">
        <v>56031307</v>
      </c>
      <c r="E56">
        <v>1080</v>
      </c>
      <c r="F56">
        <v>1</v>
      </c>
      <c r="G56">
        <v>1080</v>
      </c>
      <c r="H56">
        <v>3</v>
      </c>
      <c r="I56" t="s">
        <v>643</v>
      </c>
      <c r="J56" t="s">
        <v>3</v>
      </c>
      <c r="K56" t="s">
        <v>644</v>
      </c>
      <c r="L56">
        <v>1354</v>
      </c>
      <c r="N56">
        <v>1010</v>
      </c>
      <c r="O56" t="s">
        <v>31</v>
      </c>
      <c r="P56" t="s">
        <v>31</v>
      </c>
      <c r="Q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3</v>
      </c>
      <c r="AG56">
        <v>0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ROW(Source!A56)</f>
        <v>56</v>
      </c>
      <c r="B57">
        <v>56960932</v>
      </c>
      <c r="C57">
        <v>56959611</v>
      </c>
      <c r="D57">
        <v>56018166</v>
      </c>
      <c r="E57">
        <v>1080</v>
      </c>
      <c r="F57">
        <v>1</v>
      </c>
      <c r="G57">
        <v>1080</v>
      </c>
      <c r="H57">
        <v>1</v>
      </c>
      <c r="I57" t="s">
        <v>500</v>
      </c>
      <c r="J57" t="s">
        <v>3</v>
      </c>
      <c r="K57" t="s">
        <v>501</v>
      </c>
      <c r="L57">
        <v>1191</v>
      </c>
      <c r="N57">
        <v>1013</v>
      </c>
      <c r="O57" t="s">
        <v>502</v>
      </c>
      <c r="P57" t="s">
        <v>502</v>
      </c>
      <c r="Q57">
        <v>1</v>
      </c>
      <c r="X57">
        <v>33.79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23</v>
      </c>
      <c r="AG57">
        <v>37.169000000000004</v>
      </c>
      <c r="AH57">
        <v>2</v>
      </c>
      <c r="AI57">
        <v>56959612</v>
      </c>
      <c r="AJ57">
        <v>43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ROW(Source!A56)</f>
        <v>56</v>
      </c>
      <c r="B58">
        <v>56960933</v>
      </c>
      <c r="C58">
        <v>56959611</v>
      </c>
      <c r="D58">
        <v>56053938</v>
      </c>
      <c r="E58">
        <v>1080</v>
      </c>
      <c r="F58">
        <v>1</v>
      </c>
      <c r="G58">
        <v>1080</v>
      </c>
      <c r="H58">
        <v>3</v>
      </c>
      <c r="I58" t="s">
        <v>645</v>
      </c>
      <c r="J58" t="s">
        <v>3</v>
      </c>
      <c r="K58" t="s">
        <v>646</v>
      </c>
      <c r="L58">
        <v>1301</v>
      </c>
      <c r="N58">
        <v>1003</v>
      </c>
      <c r="O58" t="s">
        <v>84</v>
      </c>
      <c r="P58" t="s">
        <v>84</v>
      </c>
      <c r="Q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</v>
      </c>
      <c r="AG58">
        <v>0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ROW(Source!A56)</f>
        <v>56</v>
      </c>
      <c r="B59">
        <v>56960934</v>
      </c>
      <c r="C59">
        <v>56959611</v>
      </c>
      <c r="D59">
        <v>56053940</v>
      </c>
      <c r="E59">
        <v>1080</v>
      </c>
      <c r="F59">
        <v>1</v>
      </c>
      <c r="G59">
        <v>1080</v>
      </c>
      <c r="H59">
        <v>3</v>
      </c>
      <c r="I59" t="s">
        <v>645</v>
      </c>
      <c r="J59" t="s">
        <v>3</v>
      </c>
      <c r="K59" t="s">
        <v>647</v>
      </c>
      <c r="L59">
        <v>1301</v>
      </c>
      <c r="N59">
        <v>1003</v>
      </c>
      <c r="O59" t="s">
        <v>84</v>
      </c>
      <c r="P59" t="s">
        <v>84</v>
      </c>
      <c r="Q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3</v>
      </c>
      <c r="AG59">
        <v>0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ROW(Source!A56)</f>
        <v>56</v>
      </c>
      <c r="B60">
        <v>56960935</v>
      </c>
      <c r="C60">
        <v>56959611</v>
      </c>
      <c r="D60">
        <v>56053937</v>
      </c>
      <c r="E60">
        <v>1080</v>
      </c>
      <c r="F60">
        <v>1</v>
      </c>
      <c r="G60">
        <v>1080</v>
      </c>
      <c r="H60">
        <v>3</v>
      </c>
      <c r="I60" t="s">
        <v>645</v>
      </c>
      <c r="J60" t="s">
        <v>3</v>
      </c>
      <c r="K60" t="s">
        <v>648</v>
      </c>
      <c r="L60">
        <v>1354</v>
      </c>
      <c r="N60">
        <v>1010</v>
      </c>
      <c r="O60" t="s">
        <v>31</v>
      </c>
      <c r="P60" t="s">
        <v>31</v>
      </c>
      <c r="Q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3</v>
      </c>
      <c r="AG60">
        <v>0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ROW(Source!A56)</f>
        <v>56</v>
      </c>
      <c r="B61">
        <v>56960936</v>
      </c>
      <c r="C61">
        <v>56959611</v>
      </c>
      <c r="D61">
        <v>56053945</v>
      </c>
      <c r="E61">
        <v>1080</v>
      </c>
      <c r="F61">
        <v>1</v>
      </c>
      <c r="G61">
        <v>1080</v>
      </c>
      <c r="H61">
        <v>3</v>
      </c>
      <c r="I61" t="s">
        <v>645</v>
      </c>
      <c r="J61" t="s">
        <v>3</v>
      </c>
      <c r="K61" t="s">
        <v>649</v>
      </c>
      <c r="L61">
        <v>1354</v>
      </c>
      <c r="N61">
        <v>1010</v>
      </c>
      <c r="O61" t="s">
        <v>31</v>
      </c>
      <c r="P61" t="s">
        <v>31</v>
      </c>
      <c r="Q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</v>
      </c>
      <c r="AG61">
        <v>0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ROW(Source!A56)</f>
        <v>56</v>
      </c>
      <c r="B62">
        <v>56960937</v>
      </c>
      <c r="C62">
        <v>56959611</v>
      </c>
      <c r="D62">
        <v>56053939</v>
      </c>
      <c r="E62">
        <v>1080</v>
      </c>
      <c r="F62">
        <v>1</v>
      </c>
      <c r="G62">
        <v>1080</v>
      </c>
      <c r="H62">
        <v>3</v>
      </c>
      <c r="I62" t="s">
        <v>645</v>
      </c>
      <c r="J62" t="s">
        <v>3</v>
      </c>
      <c r="K62" t="s">
        <v>650</v>
      </c>
      <c r="L62">
        <v>1354</v>
      </c>
      <c r="N62">
        <v>1010</v>
      </c>
      <c r="O62" t="s">
        <v>31</v>
      </c>
      <c r="P62" t="s">
        <v>31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3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ROW(Source!A56)</f>
        <v>56</v>
      </c>
      <c r="B63">
        <v>56960938</v>
      </c>
      <c r="C63">
        <v>56959611</v>
      </c>
      <c r="D63">
        <v>56053946</v>
      </c>
      <c r="E63">
        <v>1080</v>
      </c>
      <c r="F63">
        <v>1</v>
      </c>
      <c r="G63">
        <v>1080</v>
      </c>
      <c r="H63">
        <v>3</v>
      </c>
      <c r="I63" t="s">
        <v>645</v>
      </c>
      <c r="J63" t="s">
        <v>3</v>
      </c>
      <c r="K63" t="s">
        <v>651</v>
      </c>
      <c r="L63">
        <v>1354</v>
      </c>
      <c r="N63">
        <v>1010</v>
      </c>
      <c r="O63" t="s">
        <v>31</v>
      </c>
      <c r="P63" t="s">
        <v>31</v>
      </c>
      <c r="Q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3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ROW(Source!A56)</f>
        <v>56</v>
      </c>
      <c r="B64">
        <v>56960939</v>
      </c>
      <c r="C64">
        <v>56959611</v>
      </c>
      <c r="D64">
        <v>56053947</v>
      </c>
      <c r="E64">
        <v>1080</v>
      </c>
      <c r="F64">
        <v>1</v>
      </c>
      <c r="G64">
        <v>1080</v>
      </c>
      <c r="H64">
        <v>3</v>
      </c>
      <c r="I64" t="s">
        <v>645</v>
      </c>
      <c r="J64" t="s">
        <v>3</v>
      </c>
      <c r="K64" t="s">
        <v>652</v>
      </c>
      <c r="L64">
        <v>1354</v>
      </c>
      <c r="N64">
        <v>1010</v>
      </c>
      <c r="O64" t="s">
        <v>31</v>
      </c>
      <c r="P64" t="s">
        <v>31</v>
      </c>
      <c r="Q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ROW(Source!A57)</f>
        <v>57</v>
      </c>
      <c r="B65">
        <v>56960932</v>
      </c>
      <c r="C65">
        <v>56959611</v>
      </c>
      <c r="D65">
        <v>56018166</v>
      </c>
      <c r="E65">
        <v>1080</v>
      </c>
      <c r="F65">
        <v>1</v>
      </c>
      <c r="G65">
        <v>1080</v>
      </c>
      <c r="H65">
        <v>1</v>
      </c>
      <c r="I65" t="s">
        <v>500</v>
      </c>
      <c r="J65" t="s">
        <v>3</v>
      </c>
      <c r="K65" t="s">
        <v>501</v>
      </c>
      <c r="L65">
        <v>1191</v>
      </c>
      <c r="N65">
        <v>1013</v>
      </c>
      <c r="O65" t="s">
        <v>502</v>
      </c>
      <c r="P65" t="s">
        <v>502</v>
      </c>
      <c r="Q65">
        <v>1</v>
      </c>
      <c r="X65">
        <v>33.79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23</v>
      </c>
      <c r="AG65">
        <v>37.169000000000004</v>
      </c>
      <c r="AH65">
        <v>2</v>
      </c>
      <c r="AI65">
        <v>56959612</v>
      </c>
      <c r="AJ65">
        <v>45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ROW(Source!A57)</f>
        <v>57</v>
      </c>
      <c r="B66">
        <v>56960933</v>
      </c>
      <c r="C66">
        <v>56959611</v>
      </c>
      <c r="D66">
        <v>56053938</v>
      </c>
      <c r="E66">
        <v>1080</v>
      </c>
      <c r="F66">
        <v>1</v>
      </c>
      <c r="G66">
        <v>1080</v>
      </c>
      <c r="H66">
        <v>3</v>
      </c>
      <c r="I66" t="s">
        <v>645</v>
      </c>
      <c r="J66" t="s">
        <v>3</v>
      </c>
      <c r="K66" t="s">
        <v>646</v>
      </c>
      <c r="L66">
        <v>1301</v>
      </c>
      <c r="N66">
        <v>1003</v>
      </c>
      <c r="O66" t="s">
        <v>84</v>
      </c>
      <c r="P66" t="s">
        <v>84</v>
      </c>
      <c r="Q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3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ROW(Source!A57)</f>
        <v>57</v>
      </c>
      <c r="B67">
        <v>56960934</v>
      </c>
      <c r="C67">
        <v>56959611</v>
      </c>
      <c r="D67">
        <v>56053940</v>
      </c>
      <c r="E67">
        <v>1080</v>
      </c>
      <c r="F67">
        <v>1</v>
      </c>
      <c r="G67">
        <v>1080</v>
      </c>
      <c r="H67">
        <v>3</v>
      </c>
      <c r="I67" t="s">
        <v>645</v>
      </c>
      <c r="J67" t="s">
        <v>3</v>
      </c>
      <c r="K67" t="s">
        <v>647</v>
      </c>
      <c r="L67">
        <v>1301</v>
      </c>
      <c r="N67">
        <v>1003</v>
      </c>
      <c r="O67" t="s">
        <v>84</v>
      </c>
      <c r="P67" t="s">
        <v>84</v>
      </c>
      <c r="Q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3</v>
      </c>
      <c r="AG67">
        <v>0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ROW(Source!A57)</f>
        <v>57</v>
      </c>
      <c r="B68">
        <v>56960935</v>
      </c>
      <c r="C68">
        <v>56959611</v>
      </c>
      <c r="D68">
        <v>56053937</v>
      </c>
      <c r="E68">
        <v>1080</v>
      </c>
      <c r="F68">
        <v>1</v>
      </c>
      <c r="G68">
        <v>1080</v>
      </c>
      <c r="H68">
        <v>3</v>
      </c>
      <c r="I68" t="s">
        <v>645</v>
      </c>
      <c r="J68" t="s">
        <v>3</v>
      </c>
      <c r="K68" t="s">
        <v>648</v>
      </c>
      <c r="L68">
        <v>1354</v>
      </c>
      <c r="N68">
        <v>1010</v>
      </c>
      <c r="O68" t="s">
        <v>31</v>
      </c>
      <c r="P68" t="s">
        <v>31</v>
      </c>
      <c r="Q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</v>
      </c>
      <c r="AG68">
        <v>0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ROW(Source!A57)</f>
        <v>57</v>
      </c>
      <c r="B69">
        <v>56960936</v>
      </c>
      <c r="C69">
        <v>56959611</v>
      </c>
      <c r="D69">
        <v>56053945</v>
      </c>
      <c r="E69">
        <v>1080</v>
      </c>
      <c r="F69">
        <v>1</v>
      </c>
      <c r="G69">
        <v>1080</v>
      </c>
      <c r="H69">
        <v>3</v>
      </c>
      <c r="I69" t="s">
        <v>645</v>
      </c>
      <c r="J69" t="s">
        <v>3</v>
      </c>
      <c r="K69" t="s">
        <v>649</v>
      </c>
      <c r="L69">
        <v>1354</v>
      </c>
      <c r="N69">
        <v>1010</v>
      </c>
      <c r="O69" t="s">
        <v>31</v>
      </c>
      <c r="P69" t="s">
        <v>31</v>
      </c>
      <c r="Q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3</v>
      </c>
      <c r="AG69">
        <v>0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ROW(Source!A57)</f>
        <v>57</v>
      </c>
      <c r="B70">
        <v>56960937</v>
      </c>
      <c r="C70">
        <v>56959611</v>
      </c>
      <c r="D70">
        <v>56053939</v>
      </c>
      <c r="E70">
        <v>1080</v>
      </c>
      <c r="F70">
        <v>1</v>
      </c>
      <c r="G70">
        <v>1080</v>
      </c>
      <c r="H70">
        <v>3</v>
      </c>
      <c r="I70" t="s">
        <v>645</v>
      </c>
      <c r="J70" t="s">
        <v>3</v>
      </c>
      <c r="K70" t="s">
        <v>650</v>
      </c>
      <c r="L70">
        <v>1354</v>
      </c>
      <c r="N70">
        <v>1010</v>
      </c>
      <c r="O70" t="s">
        <v>31</v>
      </c>
      <c r="P70" t="s">
        <v>31</v>
      </c>
      <c r="Q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ROW(Source!A57)</f>
        <v>57</v>
      </c>
      <c r="B71">
        <v>56960938</v>
      </c>
      <c r="C71">
        <v>56959611</v>
      </c>
      <c r="D71">
        <v>56053946</v>
      </c>
      <c r="E71">
        <v>1080</v>
      </c>
      <c r="F71">
        <v>1</v>
      </c>
      <c r="G71">
        <v>1080</v>
      </c>
      <c r="H71">
        <v>3</v>
      </c>
      <c r="I71" t="s">
        <v>645</v>
      </c>
      <c r="J71" t="s">
        <v>3</v>
      </c>
      <c r="K71" t="s">
        <v>651</v>
      </c>
      <c r="L71">
        <v>1354</v>
      </c>
      <c r="N71">
        <v>1010</v>
      </c>
      <c r="O71" t="s">
        <v>31</v>
      </c>
      <c r="P71" t="s">
        <v>31</v>
      </c>
      <c r="Q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</v>
      </c>
      <c r="AG71">
        <v>0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ROW(Source!A57)</f>
        <v>57</v>
      </c>
      <c r="B72">
        <v>56960939</v>
      </c>
      <c r="C72">
        <v>56959611</v>
      </c>
      <c r="D72">
        <v>56053947</v>
      </c>
      <c r="E72">
        <v>1080</v>
      </c>
      <c r="F72">
        <v>1</v>
      </c>
      <c r="G72">
        <v>1080</v>
      </c>
      <c r="H72">
        <v>3</v>
      </c>
      <c r="I72" t="s">
        <v>645</v>
      </c>
      <c r="J72" t="s">
        <v>3</v>
      </c>
      <c r="K72" t="s">
        <v>652</v>
      </c>
      <c r="L72">
        <v>1354</v>
      </c>
      <c r="N72">
        <v>1010</v>
      </c>
      <c r="O72" t="s">
        <v>31</v>
      </c>
      <c r="P72" t="s">
        <v>31</v>
      </c>
      <c r="Q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3</v>
      </c>
      <c r="AG72">
        <v>0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ROW(Source!A60)</f>
        <v>60</v>
      </c>
      <c r="B73">
        <v>56960940</v>
      </c>
      <c r="C73">
        <v>56959623</v>
      </c>
      <c r="D73">
        <v>56018166</v>
      </c>
      <c r="E73">
        <v>1080</v>
      </c>
      <c r="F73">
        <v>1</v>
      </c>
      <c r="G73">
        <v>1080</v>
      </c>
      <c r="H73">
        <v>1</v>
      </c>
      <c r="I73" t="s">
        <v>500</v>
      </c>
      <c r="J73" t="s">
        <v>3</v>
      </c>
      <c r="K73" t="s">
        <v>501</v>
      </c>
      <c r="L73">
        <v>1191</v>
      </c>
      <c r="N73">
        <v>1013</v>
      </c>
      <c r="O73" t="s">
        <v>502</v>
      </c>
      <c r="P73" t="s">
        <v>502</v>
      </c>
      <c r="Q73">
        <v>1</v>
      </c>
      <c r="X73">
        <v>4.49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23</v>
      </c>
      <c r="AG73">
        <v>4.9390000000000009</v>
      </c>
      <c r="AH73">
        <v>2</v>
      </c>
      <c r="AI73">
        <v>56959624</v>
      </c>
      <c r="AJ73">
        <v>47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ROW(Source!A60)</f>
        <v>60</v>
      </c>
      <c r="B74">
        <v>56960941</v>
      </c>
      <c r="C74">
        <v>56959623</v>
      </c>
      <c r="D74">
        <v>56092340</v>
      </c>
      <c r="E74">
        <v>1</v>
      </c>
      <c r="F74">
        <v>1</v>
      </c>
      <c r="G74">
        <v>1080</v>
      </c>
      <c r="H74">
        <v>2</v>
      </c>
      <c r="I74" t="s">
        <v>503</v>
      </c>
      <c r="J74" t="s">
        <v>504</v>
      </c>
      <c r="K74" t="s">
        <v>505</v>
      </c>
      <c r="L74">
        <v>1368</v>
      </c>
      <c r="N74">
        <v>1011</v>
      </c>
      <c r="O74" t="s">
        <v>506</v>
      </c>
      <c r="P74" t="s">
        <v>506</v>
      </c>
      <c r="Q74">
        <v>1</v>
      </c>
      <c r="X74">
        <v>0.01</v>
      </c>
      <c r="Y74">
        <v>0</v>
      </c>
      <c r="Z74">
        <v>83.1</v>
      </c>
      <c r="AA74">
        <v>12.62</v>
      </c>
      <c r="AB74">
        <v>0</v>
      </c>
      <c r="AC74">
        <v>0</v>
      </c>
      <c r="AD74">
        <v>1</v>
      </c>
      <c r="AE74">
        <v>0</v>
      </c>
      <c r="AF74" t="s">
        <v>23</v>
      </c>
      <c r="AG74">
        <v>1.1000000000000001E-2</v>
      </c>
      <c r="AH74">
        <v>2</v>
      </c>
      <c r="AI74">
        <v>56959625</v>
      </c>
      <c r="AJ74">
        <v>48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ROW(Source!A60)</f>
        <v>60</v>
      </c>
      <c r="B75">
        <v>56960942</v>
      </c>
      <c r="C75">
        <v>56959623</v>
      </c>
      <c r="D75">
        <v>56091576</v>
      </c>
      <c r="E75">
        <v>1</v>
      </c>
      <c r="F75">
        <v>1</v>
      </c>
      <c r="G75">
        <v>1080</v>
      </c>
      <c r="H75">
        <v>2</v>
      </c>
      <c r="I75" t="s">
        <v>529</v>
      </c>
      <c r="J75" t="s">
        <v>530</v>
      </c>
      <c r="K75" t="s">
        <v>531</v>
      </c>
      <c r="L75">
        <v>1368</v>
      </c>
      <c r="N75">
        <v>1011</v>
      </c>
      <c r="O75" t="s">
        <v>506</v>
      </c>
      <c r="P75" t="s">
        <v>506</v>
      </c>
      <c r="Q75">
        <v>1</v>
      </c>
      <c r="X75">
        <v>0.01</v>
      </c>
      <c r="Y75">
        <v>0</v>
      </c>
      <c r="Z75">
        <v>179.17</v>
      </c>
      <c r="AA75">
        <v>16.93</v>
      </c>
      <c r="AB75">
        <v>0</v>
      </c>
      <c r="AC75">
        <v>0</v>
      </c>
      <c r="AD75">
        <v>1</v>
      </c>
      <c r="AE75">
        <v>0</v>
      </c>
      <c r="AF75" t="s">
        <v>23</v>
      </c>
      <c r="AG75">
        <v>1.1000000000000001E-2</v>
      </c>
      <c r="AH75">
        <v>2</v>
      </c>
      <c r="AI75">
        <v>56959626</v>
      </c>
      <c r="AJ75">
        <v>49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ROW(Source!A60)</f>
        <v>60</v>
      </c>
      <c r="B76">
        <v>56960943</v>
      </c>
      <c r="C76">
        <v>56959623</v>
      </c>
      <c r="D76">
        <v>56061373</v>
      </c>
      <c r="E76">
        <v>1</v>
      </c>
      <c r="F76">
        <v>1</v>
      </c>
      <c r="G76">
        <v>1080</v>
      </c>
      <c r="H76">
        <v>3</v>
      </c>
      <c r="I76" t="s">
        <v>532</v>
      </c>
      <c r="J76" t="s">
        <v>533</v>
      </c>
      <c r="K76" t="s">
        <v>534</v>
      </c>
      <c r="L76">
        <v>1346</v>
      </c>
      <c r="N76">
        <v>1009</v>
      </c>
      <c r="O76" t="s">
        <v>249</v>
      </c>
      <c r="P76" t="s">
        <v>249</v>
      </c>
      <c r="Q76">
        <v>1</v>
      </c>
      <c r="X76">
        <v>0.43</v>
      </c>
      <c r="Y76">
        <v>1.38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0.43</v>
      </c>
      <c r="AH76">
        <v>2</v>
      </c>
      <c r="AI76">
        <v>56959627</v>
      </c>
      <c r="AJ76">
        <v>50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ROW(Source!A60)</f>
        <v>60</v>
      </c>
      <c r="B77">
        <v>56960944</v>
      </c>
      <c r="C77">
        <v>56959623</v>
      </c>
      <c r="D77">
        <v>56061764</v>
      </c>
      <c r="E77">
        <v>1</v>
      </c>
      <c r="F77">
        <v>1</v>
      </c>
      <c r="G77">
        <v>1080</v>
      </c>
      <c r="H77">
        <v>3</v>
      </c>
      <c r="I77" t="s">
        <v>535</v>
      </c>
      <c r="J77" t="s">
        <v>536</v>
      </c>
      <c r="K77" t="s">
        <v>537</v>
      </c>
      <c r="L77">
        <v>1346</v>
      </c>
      <c r="N77">
        <v>1009</v>
      </c>
      <c r="O77" t="s">
        <v>249</v>
      </c>
      <c r="P77" t="s">
        <v>249</v>
      </c>
      <c r="Q77">
        <v>1</v>
      </c>
      <c r="X77">
        <v>0.16</v>
      </c>
      <c r="Y77">
        <v>159.06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3</v>
      </c>
      <c r="AG77">
        <v>0.16</v>
      </c>
      <c r="AH77">
        <v>2</v>
      </c>
      <c r="AI77">
        <v>56959628</v>
      </c>
      <c r="AJ77">
        <v>51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ROW(Source!A60)</f>
        <v>60</v>
      </c>
      <c r="B78">
        <v>56960945</v>
      </c>
      <c r="C78">
        <v>56959623</v>
      </c>
      <c r="D78">
        <v>56084707</v>
      </c>
      <c r="E78">
        <v>1</v>
      </c>
      <c r="F78">
        <v>1</v>
      </c>
      <c r="G78">
        <v>1080</v>
      </c>
      <c r="H78">
        <v>3</v>
      </c>
      <c r="I78" t="s">
        <v>538</v>
      </c>
      <c r="J78" t="s">
        <v>539</v>
      </c>
      <c r="K78" t="s">
        <v>540</v>
      </c>
      <c r="L78">
        <v>1355</v>
      </c>
      <c r="N78">
        <v>1010</v>
      </c>
      <c r="O78" t="s">
        <v>520</v>
      </c>
      <c r="P78" t="s">
        <v>520</v>
      </c>
      <c r="Q78">
        <v>100</v>
      </c>
      <c r="X78">
        <v>0.05</v>
      </c>
      <c r="Y78">
        <v>68.819999999999993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0.05</v>
      </c>
      <c r="AH78">
        <v>2</v>
      </c>
      <c r="AI78">
        <v>56959629</v>
      </c>
      <c r="AJ78">
        <v>52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ROW(Source!A60)</f>
        <v>60</v>
      </c>
      <c r="B79">
        <v>56960946</v>
      </c>
      <c r="C79">
        <v>56959623</v>
      </c>
      <c r="D79">
        <v>56084718</v>
      </c>
      <c r="E79">
        <v>1</v>
      </c>
      <c r="F79">
        <v>1</v>
      </c>
      <c r="G79">
        <v>1080</v>
      </c>
      <c r="H79">
        <v>3</v>
      </c>
      <c r="I79" t="s">
        <v>541</v>
      </c>
      <c r="J79" t="s">
        <v>542</v>
      </c>
      <c r="K79" t="s">
        <v>543</v>
      </c>
      <c r="L79">
        <v>1356</v>
      </c>
      <c r="N79">
        <v>1010</v>
      </c>
      <c r="O79" t="s">
        <v>544</v>
      </c>
      <c r="P79" t="s">
        <v>544</v>
      </c>
      <c r="Q79">
        <v>1000</v>
      </c>
      <c r="X79">
        <v>1.2200000000000001E-2</v>
      </c>
      <c r="Y79">
        <v>183.4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1.2200000000000001E-2</v>
      </c>
      <c r="AH79">
        <v>2</v>
      </c>
      <c r="AI79">
        <v>56959630</v>
      </c>
      <c r="AJ79">
        <v>53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ROW(Source!A60)</f>
        <v>60</v>
      </c>
      <c r="B80">
        <v>56960947</v>
      </c>
      <c r="C80">
        <v>56959623</v>
      </c>
      <c r="D80">
        <v>56084044</v>
      </c>
      <c r="E80">
        <v>1</v>
      </c>
      <c r="F80">
        <v>1</v>
      </c>
      <c r="G80">
        <v>1080</v>
      </c>
      <c r="H80">
        <v>3</v>
      </c>
      <c r="I80" t="s">
        <v>545</v>
      </c>
      <c r="J80" t="s">
        <v>546</v>
      </c>
      <c r="K80" t="s">
        <v>547</v>
      </c>
      <c r="L80">
        <v>1354</v>
      </c>
      <c r="N80">
        <v>1010</v>
      </c>
      <c r="O80" t="s">
        <v>31</v>
      </c>
      <c r="P80" t="s">
        <v>31</v>
      </c>
      <c r="Q80">
        <v>1</v>
      </c>
      <c r="X80">
        <v>3.1</v>
      </c>
      <c r="Y80">
        <v>6.94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3.1</v>
      </c>
      <c r="AH80">
        <v>2</v>
      </c>
      <c r="AI80">
        <v>56959631</v>
      </c>
      <c r="AJ80">
        <v>54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ROW(Source!A60)</f>
        <v>60</v>
      </c>
      <c r="B81">
        <v>56960948</v>
      </c>
      <c r="C81">
        <v>56959623</v>
      </c>
      <c r="D81">
        <v>56084051</v>
      </c>
      <c r="E81">
        <v>1</v>
      </c>
      <c r="F81">
        <v>1</v>
      </c>
      <c r="G81">
        <v>1080</v>
      </c>
      <c r="H81">
        <v>3</v>
      </c>
      <c r="I81" t="s">
        <v>548</v>
      </c>
      <c r="J81" t="s">
        <v>549</v>
      </c>
      <c r="K81" t="s">
        <v>550</v>
      </c>
      <c r="L81">
        <v>1356</v>
      </c>
      <c r="N81">
        <v>1010</v>
      </c>
      <c r="O81" t="s">
        <v>544</v>
      </c>
      <c r="P81" t="s">
        <v>544</v>
      </c>
      <c r="Q81">
        <v>1000</v>
      </c>
      <c r="X81">
        <v>8.0000000000000002E-3</v>
      </c>
      <c r="Y81">
        <v>614.09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</v>
      </c>
      <c r="AG81">
        <v>8.0000000000000002E-3</v>
      </c>
      <c r="AH81">
        <v>2</v>
      </c>
      <c r="AI81">
        <v>56959632</v>
      </c>
      <c r="AJ81">
        <v>55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ROW(Source!A60)</f>
        <v>60</v>
      </c>
      <c r="B82">
        <v>56960949</v>
      </c>
      <c r="C82">
        <v>56959623</v>
      </c>
      <c r="D82">
        <v>56033636</v>
      </c>
      <c r="E82">
        <v>1080</v>
      </c>
      <c r="F82">
        <v>1</v>
      </c>
      <c r="G82">
        <v>1080</v>
      </c>
      <c r="H82">
        <v>3</v>
      </c>
      <c r="I82" t="s">
        <v>653</v>
      </c>
      <c r="J82" t="s">
        <v>3</v>
      </c>
      <c r="K82" t="s">
        <v>654</v>
      </c>
      <c r="L82">
        <v>1303</v>
      </c>
      <c r="N82">
        <v>1003</v>
      </c>
      <c r="O82" t="s">
        <v>108</v>
      </c>
      <c r="P82" t="s">
        <v>108</v>
      </c>
      <c r="Q82">
        <v>1000</v>
      </c>
      <c r="X82">
        <v>0.10299999999999999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</v>
      </c>
      <c r="AG82">
        <v>0.10299999999999999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ROW(Source!A61)</f>
        <v>61</v>
      </c>
      <c r="B83">
        <v>56960940</v>
      </c>
      <c r="C83">
        <v>56959623</v>
      </c>
      <c r="D83">
        <v>56018166</v>
      </c>
      <c r="E83">
        <v>1080</v>
      </c>
      <c r="F83">
        <v>1</v>
      </c>
      <c r="G83">
        <v>1080</v>
      </c>
      <c r="H83">
        <v>1</v>
      </c>
      <c r="I83" t="s">
        <v>500</v>
      </c>
      <c r="J83" t="s">
        <v>3</v>
      </c>
      <c r="K83" t="s">
        <v>501</v>
      </c>
      <c r="L83">
        <v>1191</v>
      </c>
      <c r="N83">
        <v>1013</v>
      </c>
      <c r="O83" t="s">
        <v>502</v>
      </c>
      <c r="P83" t="s">
        <v>502</v>
      </c>
      <c r="Q83">
        <v>1</v>
      </c>
      <c r="X83">
        <v>4.49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23</v>
      </c>
      <c r="AG83">
        <v>4.9390000000000009</v>
      </c>
      <c r="AH83">
        <v>2</v>
      </c>
      <c r="AI83">
        <v>56959624</v>
      </c>
      <c r="AJ83">
        <v>57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ROW(Source!A61)</f>
        <v>61</v>
      </c>
      <c r="B84">
        <v>56960941</v>
      </c>
      <c r="C84">
        <v>56959623</v>
      </c>
      <c r="D84">
        <v>56092340</v>
      </c>
      <c r="E84">
        <v>1</v>
      </c>
      <c r="F84">
        <v>1</v>
      </c>
      <c r="G84">
        <v>1080</v>
      </c>
      <c r="H84">
        <v>2</v>
      </c>
      <c r="I84" t="s">
        <v>503</v>
      </c>
      <c r="J84" t="s">
        <v>504</v>
      </c>
      <c r="K84" t="s">
        <v>505</v>
      </c>
      <c r="L84">
        <v>1368</v>
      </c>
      <c r="N84">
        <v>1011</v>
      </c>
      <c r="O84" t="s">
        <v>506</v>
      </c>
      <c r="P84" t="s">
        <v>506</v>
      </c>
      <c r="Q84">
        <v>1</v>
      </c>
      <c r="X84">
        <v>0.01</v>
      </c>
      <c r="Y84">
        <v>0</v>
      </c>
      <c r="Z84">
        <v>83.1</v>
      </c>
      <c r="AA84">
        <v>12.62</v>
      </c>
      <c r="AB84">
        <v>0</v>
      </c>
      <c r="AC84">
        <v>0</v>
      </c>
      <c r="AD84">
        <v>1</v>
      </c>
      <c r="AE84">
        <v>0</v>
      </c>
      <c r="AF84" t="s">
        <v>23</v>
      </c>
      <c r="AG84">
        <v>1.1000000000000001E-2</v>
      </c>
      <c r="AH84">
        <v>2</v>
      </c>
      <c r="AI84">
        <v>56959625</v>
      </c>
      <c r="AJ84">
        <v>58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ROW(Source!A61)</f>
        <v>61</v>
      </c>
      <c r="B85">
        <v>56960942</v>
      </c>
      <c r="C85">
        <v>56959623</v>
      </c>
      <c r="D85">
        <v>56091576</v>
      </c>
      <c r="E85">
        <v>1</v>
      </c>
      <c r="F85">
        <v>1</v>
      </c>
      <c r="G85">
        <v>1080</v>
      </c>
      <c r="H85">
        <v>2</v>
      </c>
      <c r="I85" t="s">
        <v>529</v>
      </c>
      <c r="J85" t="s">
        <v>530</v>
      </c>
      <c r="K85" t="s">
        <v>531</v>
      </c>
      <c r="L85">
        <v>1368</v>
      </c>
      <c r="N85">
        <v>1011</v>
      </c>
      <c r="O85" t="s">
        <v>506</v>
      </c>
      <c r="P85" t="s">
        <v>506</v>
      </c>
      <c r="Q85">
        <v>1</v>
      </c>
      <c r="X85">
        <v>0.01</v>
      </c>
      <c r="Y85">
        <v>0</v>
      </c>
      <c r="Z85">
        <v>179.17</v>
      </c>
      <c r="AA85">
        <v>16.93</v>
      </c>
      <c r="AB85">
        <v>0</v>
      </c>
      <c r="AC85">
        <v>0</v>
      </c>
      <c r="AD85">
        <v>1</v>
      </c>
      <c r="AE85">
        <v>0</v>
      </c>
      <c r="AF85" t="s">
        <v>23</v>
      </c>
      <c r="AG85">
        <v>1.1000000000000001E-2</v>
      </c>
      <c r="AH85">
        <v>2</v>
      </c>
      <c r="AI85">
        <v>56959626</v>
      </c>
      <c r="AJ85">
        <v>59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ROW(Source!A61)</f>
        <v>61</v>
      </c>
      <c r="B86">
        <v>56960943</v>
      </c>
      <c r="C86">
        <v>56959623</v>
      </c>
      <c r="D86">
        <v>56061373</v>
      </c>
      <c r="E86">
        <v>1</v>
      </c>
      <c r="F86">
        <v>1</v>
      </c>
      <c r="G86">
        <v>1080</v>
      </c>
      <c r="H86">
        <v>3</v>
      </c>
      <c r="I86" t="s">
        <v>532</v>
      </c>
      <c r="J86" t="s">
        <v>533</v>
      </c>
      <c r="K86" t="s">
        <v>534</v>
      </c>
      <c r="L86">
        <v>1346</v>
      </c>
      <c r="N86">
        <v>1009</v>
      </c>
      <c r="O86" t="s">
        <v>249</v>
      </c>
      <c r="P86" t="s">
        <v>249</v>
      </c>
      <c r="Q86">
        <v>1</v>
      </c>
      <c r="X86">
        <v>0.43</v>
      </c>
      <c r="Y86">
        <v>1.38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3</v>
      </c>
      <c r="AG86">
        <v>0.43</v>
      </c>
      <c r="AH86">
        <v>2</v>
      </c>
      <c r="AI86">
        <v>56959627</v>
      </c>
      <c r="AJ86">
        <v>60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ROW(Source!A61)</f>
        <v>61</v>
      </c>
      <c r="B87">
        <v>56960944</v>
      </c>
      <c r="C87">
        <v>56959623</v>
      </c>
      <c r="D87">
        <v>56061764</v>
      </c>
      <c r="E87">
        <v>1</v>
      </c>
      <c r="F87">
        <v>1</v>
      </c>
      <c r="G87">
        <v>1080</v>
      </c>
      <c r="H87">
        <v>3</v>
      </c>
      <c r="I87" t="s">
        <v>535</v>
      </c>
      <c r="J87" t="s">
        <v>536</v>
      </c>
      <c r="K87" t="s">
        <v>537</v>
      </c>
      <c r="L87">
        <v>1346</v>
      </c>
      <c r="N87">
        <v>1009</v>
      </c>
      <c r="O87" t="s">
        <v>249</v>
      </c>
      <c r="P87" t="s">
        <v>249</v>
      </c>
      <c r="Q87">
        <v>1</v>
      </c>
      <c r="X87">
        <v>0.16</v>
      </c>
      <c r="Y87">
        <v>159.06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</v>
      </c>
      <c r="AG87">
        <v>0.16</v>
      </c>
      <c r="AH87">
        <v>2</v>
      </c>
      <c r="AI87">
        <v>56959628</v>
      </c>
      <c r="AJ87">
        <v>61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ROW(Source!A61)</f>
        <v>61</v>
      </c>
      <c r="B88">
        <v>56960945</v>
      </c>
      <c r="C88">
        <v>56959623</v>
      </c>
      <c r="D88">
        <v>56084707</v>
      </c>
      <c r="E88">
        <v>1</v>
      </c>
      <c r="F88">
        <v>1</v>
      </c>
      <c r="G88">
        <v>1080</v>
      </c>
      <c r="H88">
        <v>3</v>
      </c>
      <c r="I88" t="s">
        <v>538</v>
      </c>
      <c r="J88" t="s">
        <v>539</v>
      </c>
      <c r="K88" t="s">
        <v>540</v>
      </c>
      <c r="L88">
        <v>1355</v>
      </c>
      <c r="N88">
        <v>1010</v>
      </c>
      <c r="O88" t="s">
        <v>520</v>
      </c>
      <c r="P88" t="s">
        <v>520</v>
      </c>
      <c r="Q88">
        <v>100</v>
      </c>
      <c r="X88">
        <v>0.05</v>
      </c>
      <c r="Y88">
        <v>68.819999999999993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3</v>
      </c>
      <c r="AG88">
        <v>0.05</v>
      </c>
      <c r="AH88">
        <v>2</v>
      </c>
      <c r="AI88">
        <v>56959629</v>
      </c>
      <c r="AJ88">
        <v>62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ROW(Source!A61)</f>
        <v>61</v>
      </c>
      <c r="B89">
        <v>56960946</v>
      </c>
      <c r="C89">
        <v>56959623</v>
      </c>
      <c r="D89">
        <v>56084718</v>
      </c>
      <c r="E89">
        <v>1</v>
      </c>
      <c r="F89">
        <v>1</v>
      </c>
      <c r="G89">
        <v>1080</v>
      </c>
      <c r="H89">
        <v>3</v>
      </c>
      <c r="I89" t="s">
        <v>541</v>
      </c>
      <c r="J89" t="s">
        <v>542</v>
      </c>
      <c r="K89" t="s">
        <v>543</v>
      </c>
      <c r="L89">
        <v>1356</v>
      </c>
      <c r="N89">
        <v>1010</v>
      </c>
      <c r="O89" t="s">
        <v>544</v>
      </c>
      <c r="P89" t="s">
        <v>544</v>
      </c>
      <c r="Q89">
        <v>1000</v>
      </c>
      <c r="X89">
        <v>1.2200000000000001E-2</v>
      </c>
      <c r="Y89">
        <v>183.4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1.2200000000000001E-2</v>
      </c>
      <c r="AH89">
        <v>2</v>
      </c>
      <c r="AI89">
        <v>56959630</v>
      </c>
      <c r="AJ89">
        <v>63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ROW(Source!A61)</f>
        <v>61</v>
      </c>
      <c r="B90">
        <v>56960947</v>
      </c>
      <c r="C90">
        <v>56959623</v>
      </c>
      <c r="D90">
        <v>56084044</v>
      </c>
      <c r="E90">
        <v>1</v>
      </c>
      <c r="F90">
        <v>1</v>
      </c>
      <c r="G90">
        <v>1080</v>
      </c>
      <c r="H90">
        <v>3</v>
      </c>
      <c r="I90" t="s">
        <v>545</v>
      </c>
      <c r="J90" t="s">
        <v>546</v>
      </c>
      <c r="K90" t="s">
        <v>547</v>
      </c>
      <c r="L90">
        <v>1354</v>
      </c>
      <c r="N90">
        <v>1010</v>
      </c>
      <c r="O90" t="s">
        <v>31</v>
      </c>
      <c r="P90" t="s">
        <v>31</v>
      </c>
      <c r="Q90">
        <v>1</v>
      </c>
      <c r="X90">
        <v>3.1</v>
      </c>
      <c r="Y90">
        <v>6.94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3.1</v>
      </c>
      <c r="AH90">
        <v>2</v>
      </c>
      <c r="AI90">
        <v>56959631</v>
      </c>
      <c r="AJ90">
        <v>64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ROW(Source!A61)</f>
        <v>61</v>
      </c>
      <c r="B91">
        <v>56960948</v>
      </c>
      <c r="C91">
        <v>56959623</v>
      </c>
      <c r="D91">
        <v>56084051</v>
      </c>
      <c r="E91">
        <v>1</v>
      </c>
      <c r="F91">
        <v>1</v>
      </c>
      <c r="G91">
        <v>1080</v>
      </c>
      <c r="H91">
        <v>3</v>
      </c>
      <c r="I91" t="s">
        <v>548</v>
      </c>
      <c r="J91" t="s">
        <v>549</v>
      </c>
      <c r="K91" t="s">
        <v>550</v>
      </c>
      <c r="L91">
        <v>1356</v>
      </c>
      <c r="N91">
        <v>1010</v>
      </c>
      <c r="O91" t="s">
        <v>544</v>
      </c>
      <c r="P91" t="s">
        <v>544</v>
      </c>
      <c r="Q91">
        <v>1000</v>
      </c>
      <c r="X91">
        <v>8.0000000000000002E-3</v>
      </c>
      <c r="Y91">
        <v>614.09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8.0000000000000002E-3</v>
      </c>
      <c r="AH91">
        <v>2</v>
      </c>
      <c r="AI91">
        <v>56959632</v>
      </c>
      <c r="AJ91">
        <v>65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ROW(Source!A61)</f>
        <v>61</v>
      </c>
      <c r="B92">
        <v>56960949</v>
      </c>
      <c r="C92">
        <v>56959623</v>
      </c>
      <c r="D92">
        <v>56033636</v>
      </c>
      <c r="E92">
        <v>1080</v>
      </c>
      <c r="F92">
        <v>1</v>
      </c>
      <c r="G92">
        <v>1080</v>
      </c>
      <c r="H92">
        <v>3</v>
      </c>
      <c r="I92" t="s">
        <v>653</v>
      </c>
      <c r="J92" t="s">
        <v>3</v>
      </c>
      <c r="K92" t="s">
        <v>654</v>
      </c>
      <c r="L92">
        <v>1303</v>
      </c>
      <c r="N92">
        <v>1003</v>
      </c>
      <c r="O92" t="s">
        <v>108</v>
      </c>
      <c r="P92" t="s">
        <v>108</v>
      </c>
      <c r="Q92">
        <v>1000</v>
      </c>
      <c r="X92">
        <v>0.10299999999999999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0.10299999999999999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ROW(Source!A64)</f>
        <v>64</v>
      </c>
      <c r="B93">
        <v>56960950</v>
      </c>
      <c r="C93">
        <v>56959645</v>
      </c>
      <c r="D93">
        <v>56018166</v>
      </c>
      <c r="E93">
        <v>1080</v>
      </c>
      <c r="F93">
        <v>1</v>
      </c>
      <c r="G93">
        <v>1080</v>
      </c>
      <c r="H93">
        <v>1</v>
      </c>
      <c r="I93" t="s">
        <v>500</v>
      </c>
      <c r="J93" t="s">
        <v>3</v>
      </c>
      <c r="K93" t="s">
        <v>501</v>
      </c>
      <c r="L93">
        <v>1191</v>
      </c>
      <c r="N93">
        <v>1013</v>
      </c>
      <c r="O93" t="s">
        <v>502</v>
      </c>
      <c r="P93" t="s">
        <v>502</v>
      </c>
      <c r="Q93">
        <v>1</v>
      </c>
      <c r="X93">
        <v>4.49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23</v>
      </c>
      <c r="AG93">
        <v>4.9390000000000009</v>
      </c>
      <c r="AH93">
        <v>2</v>
      </c>
      <c r="AI93">
        <v>56959646</v>
      </c>
      <c r="AJ93">
        <v>67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ROW(Source!A64)</f>
        <v>64</v>
      </c>
      <c r="B94">
        <v>56960951</v>
      </c>
      <c r="C94">
        <v>56959645</v>
      </c>
      <c r="D94">
        <v>56092340</v>
      </c>
      <c r="E94">
        <v>1</v>
      </c>
      <c r="F94">
        <v>1</v>
      </c>
      <c r="G94">
        <v>1080</v>
      </c>
      <c r="H94">
        <v>2</v>
      </c>
      <c r="I94" t="s">
        <v>503</v>
      </c>
      <c r="J94" t="s">
        <v>504</v>
      </c>
      <c r="K94" t="s">
        <v>505</v>
      </c>
      <c r="L94">
        <v>1368</v>
      </c>
      <c r="N94">
        <v>1011</v>
      </c>
      <c r="O94" t="s">
        <v>506</v>
      </c>
      <c r="P94" t="s">
        <v>506</v>
      </c>
      <c r="Q94">
        <v>1</v>
      </c>
      <c r="X94">
        <v>0.01</v>
      </c>
      <c r="Y94">
        <v>0</v>
      </c>
      <c r="Z94">
        <v>83.1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23</v>
      </c>
      <c r="AG94">
        <v>1.1000000000000001E-2</v>
      </c>
      <c r="AH94">
        <v>2</v>
      </c>
      <c r="AI94">
        <v>56959647</v>
      </c>
      <c r="AJ94">
        <v>68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ROW(Source!A64)</f>
        <v>64</v>
      </c>
      <c r="B95">
        <v>56960952</v>
      </c>
      <c r="C95">
        <v>56959645</v>
      </c>
      <c r="D95">
        <v>56091576</v>
      </c>
      <c r="E95">
        <v>1</v>
      </c>
      <c r="F95">
        <v>1</v>
      </c>
      <c r="G95">
        <v>1080</v>
      </c>
      <c r="H95">
        <v>2</v>
      </c>
      <c r="I95" t="s">
        <v>529</v>
      </c>
      <c r="J95" t="s">
        <v>530</v>
      </c>
      <c r="K95" t="s">
        <v>531</v>
      </c>
      <c r="L95">
        <v>1368</v>
      </c>
      <c r="N95">
        <v>1011</v>
      </c>
      <c r="O95" t="s">
        <v>506</v>
      </c>
      <c r="P95" t="s">
        <v>506</v>
      </c>
      <c r="Q95">
        <v>1</v>
      </c>
      <c r="X95">
        <v>0.01</v>
      </c>
      <c r="Y95">
        <v>0</v>
      </c>
      <c r="Z95">
        <v>179.17</v>
      </c>
      <c r="AA95">
        <v>16.93</v>
      </c>
      <c r="AB95">
        <v>0</v>
      </c>
      <c r="AC95">
        <v>0</v>
      </c>
      <c r="AD95">
        <v>1</v>
      </c>
      <c r="AE95">
        <v>0</v>
      </c>
      <c r="AF95" t="s">
        <v>23</v>
      </c>
      <c r="AG95">
        <v>1.1000000000000001E-2</v>
      </c>
      <c r="AH95">
        <v>2</v>
      </c>
      <c r="AI95">
        <v>56959648</v>
      </c>
      <c r="AJ95">
        <v>69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ROW(Source!A64)</f>
        <v>64</v>
      </c>
      <c r="B96">
        <v>56960953</v>
      </c>
      <c r="C96">
        <v>56959645</v>
      </c>
      <c r="D96">
        <v>56061373</v>
      </c>
      <c r="E96">
        <v>1</v>
      </c>
      <c r="F96">
        <v>1</v>
      </c>
      <c r="G96">
        <v>1080</v>
      </c>
      <c r="H96">
        <v>3</v>
      </c>
      <c r="I96" t="s">
        <v>532</v>
      </c>
      <c r="J96" t="s">
        <v>533</v>
      </c>
      <c r="K96" t="s">
        <v>534</v>
      </c>
      <c r="L96">
        <v>1346</v>
      </c>
      <c r="N96">
        <v>1009</v>
      </c>
      <c r="O96" t="s">
        <v>249</v>
      </c>
      <c r="P96" t="s">
        <v>249</v>
      </c>
      <c r="Q96">
        <v>1</v>
      </c>
      <c r="X96">
        <v>0.43</v>
      </c>
      <c r="Y96">
        <v>1.38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0.43</v>
      </c>
      <c r="AH96">
        <v>2</v>
      </c>
      <c r="AI96">
        <v>56959649</v>
      </c>
      <c r="AJ96">
        <v>70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ROW(Source!A64)</f>
        <v>64</v>
      </c>
      <c r="B97">
        <v>56960954</v>
      </c>
      <c r="C97">
        <v>56959645</v>
      </c>
      <c r="D97">
        <v>56061764</v>
      </c>
      <c r="E97">
        <v>1</v>
      </c>
      <c r="F97">
        <v>1</v>
      </c>
      <c r="G97">
        <v>1080</v>
      </c>
      <c r="H97">
        <v>3</v>
      </c>
      <c r="I97" t="s">
        <v>535</v>
      </c>
      <c r="J97" t="s">
        <v>536</v>
      </c>
      <c r="K97" t="s">
        <v>537</v>
      </c>
      <c r="L97">
        <v>1346</v>
      </c>
      <c r="N97">
        <v>1009</v>
      </c>
      <c r="O97" t="s">
        <v>249</v>
      </c>
      <c r="P97" t="s">
        <v>249</v>
      </c>
      <c r="Q97">
        <v>1</v>
      </c>
      <c r="X97">
        <v>0.16</v>
      </c>
      <c r="Y97">
        <v>159.06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3</v>
      </c>
      <c r="AG97">
        <v>0.16</v>
      </c>
      <c r="AH97">
        <v>2</v>
      </c>
      <c r="AI97">
        <v>56959650</v>
      </c>
      <c r="AJ97">
        <v>71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ROW(Source!A64)</f>
        <v>64</v>
      </c>
      <c r="B98">
        <v>56960955</v>
      </c>
      <c r="C98">
        <v>56959645</v>
      </c>
      <c r="D98">
        <v>56084707</v>
      </c>
      <c r="E98">
        <v>1</v>
      </c>
      <c r="F98">
        <v>1</v>
      </c>
      <c r="G98">
        <v>1080</v>
      </c>
      <c r="H98">
        <v>3</v>
      </c>
      <c r="I98" t="s">
        <v>538</v>
      </c>
      <c r="J98" t="s">
        <v>539</v>
      </c>
      <c r="K98" t="s">
        <v>540</v>
      </c>
      <c r="L98">
        <v>1355</v>
      </c>
      <c r="N98">
        <v>1010</v>
      </c>
      <c r="O98" t="s">
        <v>520</v>
      </c>
      <c r="P98" t="s">
        <v>520</v>
      </c>
      <c r="Q98">
        <v>100</v>
      </c>
      <c r="X98">
        <v>0.05</v>
      </c>
      <c r="Y98">
        <v>68.819999999999993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3</v>
      </c>
      <c r="AG98">
        <v>0.05</v>
      </c>
      <c r="AH98">
        <v>2</v>
      </c>
      <c r="AI98">
        <v>56959651</v>
      </c>
      <c r="AJ98">
        <v>72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ROW(Source!A64)</f>
        <v>64</v>
      </c>
      <c r="B99">
        <v>56960956</v>
      </c>
      <c r="C99">
        <v>56959645</v>
      </c>
      <c r="D99">
        <v>56084718</v>
      </c>
      <c r="E99">
        <v>1</v>
      </c>
      <c r="F99">
        <v>1</v>
      </c>
      <c r="G99">
        <v>1080</v>
      </c>
      <c r="H99">
        <v>3</v>
      </c>
      <c r="I99" t="s">
        <v>541</v>
      </c>
      <c r="J99" t="s">
        <v>542</v>
      </c>
      <c r="K99" t="s">
        <v>543</v>
      </c>
      <c r="L99">
        <v>1356</v>
      </c>
      <c r="N99">
        <v>1010</v>
      </c>
      <c r="O99" t="s">
        <v>544</v>
      </c>
      <c r="P99" t="s">
        <v>544</v>
      </c>
      <c r="Q99">
        <v>1000</v>
      </c>
      <c r="X99">
        <v>1.2200000000000001E-2</v>
      </c>
      <c r="Y99">
        <v>183.4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3</v>
      </c>
      <c r="AG99">
        <v>1.2200000000000001E-2</v>
      </c>
      <c r="AH99">
        <v>2</v>
      </c>
      <c r="AI99">
        <v>56959652</v>
      </c>
      <c r="AJ99">
        <v>73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ROW(Source!A64)</f>
        <v>64</v>
      </c>
      <c r="B100">
        <v>56960957</v>
      </c>
      <c r="C100">
        <v>56959645</v>
      </c>
      <c r="D100">
        <v>56084044</v>
      </c>
      <c r="E100">
        <v>1</v>
      </c>
      <c r="F100">
        <v>1</v>
      </c>
      <c r="G100">
        <v>1080</v>
      </c>
      <c r="H100">
        <v>3</v>
      </c>
      <c r="I100" t="s">
        <v>545</v>
      </c>
      <c r="J100" t="s">
        <v>546</v>
      </c>
      <c r="K100" t="s">
        <v>547</v>
      </c>
      <c r="L100">
        <v>1354</v>
      </c>
      <c r="N100">
        <v>1010</v>
      </c>
      <c r="O100" t="s">
        <v>31</v>
      </c>
      <c r="P100" t="s">
        <v>31</v>
      </c>
      <c r="Q100">
        <v>1</v>
      </c>
      <c r="X100">
        <v>3.1</v>
      </c>
      <c r="Y100">
        <v>6.94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</v>
      </c>
      <c r="AG100">
        <v>3.1</v>
      </c>
      <c r="AH100">
        <v>2</v>
      </c>
      <c r="AI100">
        <v>56959653</v>
      </c>
      <c r="AJ100">
        <v>74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ROW(Source!A64)</f>
        <v>64</v>
      </c>
      <c r="B101">
        <v>56960958</v>
      </c>
      <c r="C101">
        <v>56959645</v>
      </c>
      <c r="D101">
        <v>56084051</v>
      </c>
      <c r="E101">
        <v>1</v>
      </c>
      <c r="F101">
        <v>1</v>
      </c>
      <c r="G101">
        <v>1080</v>
      </c>
      <c r="H101">
        <v>3</v>
      </c>
      <c r="I101" t="s">
        <v>548</v>
      </c>
      <c r="J101" t="s">
        <v>549</v>
      </c>
      <c r="K101" t="s">
        <v>550</v>
      </c>
      <c r="L101">
        <v>1356</v>
      </c>
      <c r="N101">
        <v>1010</v>
      </c>
      <c r="O101" t="s">
        <v>544</v>
      </c>
      <c r="P101" t="s">
        <v>544</v>
      </c>
      <c r="Q101">
        <v>1000</v>
      </c>
      <c r="X101">
        <v>8.0000000000000002E-3</v>
      </c>
      <c r="Y101">
        <v>614.09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3</v>
      </c>
      <c r="AG101">
        <v>8.0000000000000002E-3</v>
      </c>
      <c r="AH101">
        <v>2</v>
      </c>
      <c r="AI101">
        <v>56959654</v>
      </c>
      <c r="AJ101">
        <v>75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ROW(Source!A64)</f>
        <v>64</v>
      </c>
      <c r="B102">
        <v>56960959</v>
      </c>
      <c r="C102">
        <v>56959645</v>
      </c>
      <c r="D102">
        <v>56033636</v>
      </c>
      <c r="E102">
        <v>1080</v>
      </c>
      <c r="F102">
        <v>1</v>
      </c>
      <c r="G102">
        <v>1080</v>
      </c>
      <c r="H102">
        <v>3</v>
      </c>
      <c r="I102" t="s">
        <v>653</v>
      </c>
      <c r="J102" t="s">
        <v>3</v>
      </c>
      <c r="K102" t="s">
        <v>654</v>
      </c>
      <c r="L102">
        <v>1303</v>
      </c>
      <c r="N102">
        <v>1003</v>
      </c>
      <c r="O102" t="s">
        <v>108</v>
      </c>
      <c r="P102" t="s">
        <v>108</v>
      </c>
      <c r="Q102">
        <v>1000</v>
      </c>
      <c r="X102">
        <v>0.10299999999999999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</v>
      </c>
      <c r="AG102">
        <v>0.10299999999999999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ROW(Source!A65)</f>
        <v>65</v>
      </c>
      <c r="B103">
        <v>56960950</v>
      </c>
      <c r="C103">
        <v>56959645</v>
      </c>
      <c r="D103">
        <v>56018166</v>
      </c>
      <c r="E103">
        <v>1080</v>
      </c>
      <c r="F103">
        <v>1</v>
      </c>
      <c r="G103">
        <v>1080</v>
      </c>
      <c r="H103">
        <v>1</v>
      </c>
      <c r="I103" t="s">
        <v>500</v>
      </c>
      <c r="J103" t="s">
        <v>3</v>
      </c>
      <c r="K103" t="s">
        <v>501</v>
      </c>
      <c r="L103">
        <v>1191</v>
      </c>
      <c r="N103">
        <v>1013</v>
      </c>
      <c r="O103" t="s">
        <v>502</v>
      </c>
      <c r="P103" t="s">
        <v>502</v>
      </c>
      <c r="Q103">
        <v>1</v>
      </c>
      <c r="X103">
        <v>4.49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23</v>
      </c>
      <c r="AG103">
        <v>4.9390000000000009</v>
      </c>
      <c r="AH103">
        <v>2</v>
      </c>
      <c r="AI103">
        <v>56959646</v>
      </c>
      <c r="AJ103">
        <v>78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ROW(Source!A65)</f>
        <v>65</v>
      </c>
      <c r="B104">
        <v>56960951</v>
      </c>
      <c r="C104">
        <v>56959645</v>
      </c>
      <c r="D104">
        <v>56092340</v>
      </c>
      <c r="E104">
        <v>1</v>
      </c>
      <c r="F104">
        <v>1</v>
      </c>
      <c r="G104">
        <v>1080</v>
      </c>
      <c r="H104">
        <v>2</v>
      </c>
      <c r="I104" t="s">
        <v>503</v>
      </c>
      <c r="J104" t="s">
        <v>504</v>
      </c>
      <c r="K104" t="s">
        <v>505</v>
      </c>
      <c r="L104">
        <v>1368</v>
      </c>
      <c r="N104">
        <v>1011</v>
      </c>
      <c r="O104" t="s">
        <v>506</v>
      </c>
      <c r="P104" t="s">
        <v>506</v>
      </c>
      <c r="Q104">
        <v>1</v>
      </c>
      <c r="X104">
        <v>0.01</v>
      </c>
      <c r="Y104">
        <v>0</v>
      </c>
      <c r="Z104">
        <v>83.1</v>
      </c>
      <c r="AA104">
        <v>12.62</v>
      </c>
      <c r="AB104">
        <v>0</v>
      </c>
      <c r="AC104">
        <v>0</v>
      </c>
      <c r="AD104">
        <v>1</v>
      </c>
      <c r="AE104">
        <v>0</v>
      </c>
      <c r="AF104" t="s">
        <v>23</v>
      </c>
      <c r="AG104">
        <v>1.1000000000000001E-2</v>
      </c>
      <c r="AH104">
        <v>2</v>
      </c>
      <c r="AI104">
        <v>56959647</v>
      </c>
      <c r="AJ104">
        <v>79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ROW(Source!A65)</f>
        <v>65</v>
      </c>
      <c r="B105">
        <v>56960952</v>
      </c>
      <c r="C105">
        <v>56959645</v>
      </c>
      <c r="D105">
        <v>56091576</v>
      </c>
      <c r="E105">
        <v>1</v>
      </c>
      <c r="F105">
        <v>1</v>
      </c>
      <c r="G105">
        <v>1080</v>
      </c>
      <c r="H105">
        <v>2</v>
      </c>
      <c r="I105" t="s">
        <v>529</v>
      </c>
      <c r="J105" t="s">
        <v>530</v>
      </c>
      <c r="K105" t="s">
        <v>531</v>
      </c>
      <c r="L105">
        <v>1368</v>
      </c>
      <c r="N105">
        <v>1011</v>
      </c>
      <c r="O105" t="s">
        <v>506</v>
      </c>
      <c r="P105" t="s">
        <v>506</v>
      </c>
      <c r="Q105">
        <v>1</v>
      </c>
      <c r="X105">
        <v>0.01</v>
      </c>
      <c r="Y105">
        <v>0</v>
      </c>
      <c r="Z105">
        <v>179.17</v>
      </c>
      <c r="AA105">
        <v>16.93</v>
      </c>
      <c r="AB105">
        <v>0</v>
      </c>
      <c r="AC105">
        <v>0</v>
      </c>
      <c r="AD105">
        <v>1</v>
      </c>
      <c r="AE105">
        <v>0</v>
      </c>
      <c r="AF105" t="s">
        <v>23</v>
      </c>
      <c r="AG105">
        <v>1.1000000000000001E-2</v>
      </c>
      <c r="AH105">
        <v>2</v>
      </c>
      <c r="AI105">
        <v>56959648</v>
      </c>
      <c r="AJ105">
        <v>80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ROW(Source!A65)</f>
        <v>65</v>
      </c>
      <c r="B106">
        <v>56960953</v>
      </c>
      <c r="C106">
        <v>56959645</v>
      </c>
      <c r="D106">
        <v>56061373</v>
      </c>
      <c r="E106">
        <v>1</v>
      </c>
      <c r="F106">
        <v>1</v>
      </c>
      <c r="G106">
        <v>1080</v>
      </c>
      <c r="H106">
        <v>3</v>
      </c>
      <c r="I106" t="s">
        <v>532</v>
      </c>
      <c r="J106" t="s">
        <v>533</v>
      </c>
      <c r="K106" t="s">
        <v>534</v>
      </c>
      <c r="L106">
        <v>1346</v>
      </c>
      <c r="N106">
        <v>1009</v>
      </c>
      <c r="O106" t="s">
        <v>249</v>
      </c>
      <c r="P106" t="s">
        <v>249</v>
      </c>
      <c r="Q106">
        <v>1</v>
      </c>
      <c r="X106">
        <v>0.43</v>
      </c>
      <c r="Y106">
        <v>1.38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0.43</v>
      </c>
      <c r="AH106">
        <v>2</v>
      </c>
      <c r="AI106">
        <v>56959649</v>
      </c>
      <c r="AJ106">
        <v>81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ROW(Source!A65)</f>
        <v>65</v>
      </c>
      <c r="B107">
        <v>56960954</v>
      </c>
      <c r="C107">
        <v>56959645</v>
      </c>
      <c r="D107">
        <v>56061764</v>
      </c>
      <c r="E107">
        <v>1</v>
      </c>
      <c r="F107">
        <v>1</v>
      </c>
      <c r="G107">
        <v>1080</v>
      </c>
      <c r="H107">
        <v>3</v>
      </c>
      <c r="I107" t="s">
        <v>535</v>
      </c>
      <c r="J107" t="s">
        <v>536</v>
      </c>
      <c r="K107" t="s">
        <v>537</v>
      </c>
      <c r="L107">
        <v>1346</v>
      </c>
      <c r="N107">
        <v>1009</v>
      </c>
      <c r="O107" t="s">
        <v>249</v>
      </c>
      <c r="P107" t="s">
        <v>249</v>
      </c>
      <c r="Q107">
        <v>1</v>
      </c>
      <c r="X107">
        <v>0.16</v>
      </c>
      <c r="Y107">
        <v>159.06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0.16</v>
      </c>
      <c r="AH107">
        <v>2</v>
      </c>
      <c r="AI107">
        <v>56959650</v>
      </c>
      <c r="AJ107">
        <v>82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ROW(Source!A65)</f>
        <v>65</v>
      </c>
      <c r="B108">
        <v>56960955</v>
      </c>
      <c r="C108">
        <v>56959645</v>
      </c>
      <c r="D108">
        <v>56084707</v>
      </c>
      <c r="E108">
        <v>1</v>
      </c>
      <c r="F108">
        <v>1</v>
      </c>
      <c r="G108">
        <v>1080</v>
      </c>
      <c r="H108">
        <v>3</v>
      </c>
      <c r="I108" t="s">
        <v>538</v>
      </c>
      <c r="J108" t="s">
        <v>539</v>
      </c>
      <c r="K108" t="s">
        <v>540</v>
      </c>
      <c r="L108">
        <v>1355</v>
      </c>
      <c r="N108">
        <v>1010</v>
      </c>
      <c r="O108" t="s">
        <v>520</v>
      </c>
      <c r="P108" t="s">
        <v>520</v>
      </c>
      <c r="Q108">
        <v>100</v>
      </c>
      <c r="X108">
        <v>0.05</v>
      </c>
      <c r="Y108">
        <v>68.819999999999993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3</v>
      </c>
      <c r="AG108">
        <v>0.05</v>
      </c>
      <c r="AH108">
        <v>2</v>
      </c>
      <c r="AI108">
        <v>56959651</v>
      </c>
      <c r="AJ108">
        <v>83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ROW(Source!A65)</f>
        <v>65</v>
      </c>
      <c r="B109">
        <v>56960956</v>
      </c>
      <c r="C109">
        <v>56959645</v>
      </c>
      <c r="D109">
        <v>56084718</v>
      </c>
      <c r="E109">
        <v>1</v>
      </c>
      <c r="F109">
        <v>1</v>
      </c>
      <c r="G109">
        <v>1080</v>
      </c>
      <c r="H109">
        <v>3</v>
      </c>
      <c r="I109" t="s">
        <v>541</v>
      </c>
      <c r="J109" t="s">
        <v>542</v>
      </c>
      <c r="K109" t="s">
        <v>543</v>
      </c>
      <c r="L109">
        <v>1356</v>
      </c>
      <c r="N109">
        <v>1010</v>
      </c>
      <c r="O109" t="s">
        <v>544</v>
      </c>
      <c r="P109" t="s">
        <v>544</v>
      </c>
      <c r="Q109">
        <v>1000</v>
      </c>
      <c r="X109">
        <v>1.2200000000000001E-2</v>
      </c>
      <c r="Y109">
        <v>183.4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3</v>
      </c>
      <c r="AG109">
        <v>1.2200000000000001E-2</v>
      </c>
      <c r="AH109">
        <v>2</v>
      </c>
      <c r="AI109">
        <v>56959652</v>
      </c>
      <c r="AJ109">
        <v>84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ROW(Source!A65)</f>
        <v>65</v>
      </c>
      <c r="B110">
        <v>56960957</v>
      </c>
      <c r="C110">
        <v>56959645</v>
      </c>
      <c r="D110">
        <v>56084044</v>
      </c>
      <c r="E110">
        <v>1</v>
      </c>
      <c r="F110">
        <v>1</v>
      </c>
      <c r="G110">
        <v>1080</v>
      </c>
      <c r="H110">
        <v>3</v>
      </c>
      <c r="I110" t="s">
        <v>545</v>
      </c>
      <c r="J110" t="s">
        <v>546</v>
      </c>
      <c r="K110" t="s">
        <v>547</v>
      </c>
      <c r="L110">
        <v>1354</v>
      </c>
      <c r="N110">
        <v>1010</v>
      </c>
      <c r="O110" t="s">
        <v>31</v>
      </c>
      <c r="P110" t="s">
        <v>31</v>
      </c>
      <c r="Q110">
        <v>1</v>
      </c>
      <c r="X110">
        <v>3.1</v>
      </c>
      <c r="Y110">
        <v>6.94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3</v>
      </c>
      <c r="AG110">
        <v>3.1</v>
      </c>
      <c r="AH110">
        <v>2</v>
      </c>
      <c r="AI110">
        <v>56959653</v>
      </c>
      <c r="AJ110">
        <v>85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ROW(Source!A65)</f>
        <v>65</v>
      </c>
      <c r="B111">
        <v>56960958</v>
      </c>
      <c r="C111">
        <v>56959645</v>
      </c>
      <c r="D111">
        <v>56084051</v>
      </c>
      <c r="E111">
        <v>1</v>
      </c>
      <c r="F111">
        <v>1</v>
      </c>
      <c r="G111">
        <v>1080</v>
      </c>
      <c r="H111">
        <v>3</v>
      </c>
      <c r="I111" t="s">
        <v>548</v>
      </c>
      <c r="J111" t="s">
        <v>549</v>
      </c>
      <c r="K111" t="s">
        <v>550</v>
      </c>
      <c r="L111">
        <v>1356</v>
      </c>
      <c r="N111">
        <v>1010</v>
      </c>
      <c r="O111" t="s">
        <v>544</v>
      </c>
      <c r="P111" t="s">
        <v>544</v>
      </c>
      <c r="Q111">
        <v>1000</v>
      </c>
      <c r="X111">
        <v>8.0000000000000002E-3</v>
      </c>
      <c r="Y111">
        <v>614.09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</v>
      </c>
      <c r="AG111">
        <v>8.0000000000000002E-3</v>
      </c>
      <c r="AH111">
        <v>2</v>
      </c>
      <c r="AI111">
        <v>56959654</v>
      </c>
      <c r="AJ111">
        <v>86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ROW(Source!A65)</f>
        <v>65</v>
      </c>
      <c r="B112">
        <v>56960959</v>
      </c>
      <c r="C112">
        <v>56959645</v>
      </c>
      <c r="D112">
        <v>56033636</v>
      </c>
      <c r="E112">
        <v>1080</v>
      </c>
      <c r="F112">
        <v>1</v>
      </c>
      <c r="G112">
        <v>1080</v>
      </c>
      <c r="H112">
        <v>3</v>
      </c>
      <c r="I112" t="s">
        <v>653</v>
      </c>
      <c r="J112" t="s">
        <v>3</v>
      </c>
      <c r="K112" t="s">
        <v>654</v>
      </c>
      <c r="L112">
        <v>1303</v>
      </c>
      <c r="N112">
        <v>1003</v>
      </c>
      <c r="O112" t="s">
        <v>108</v>
      </c>
      <c r="P112" t="s">
        <v>108</v>
      </c>
      <c r="Q112">
        <v>1000</v>
      </c>
      <c r="X112">
        <v>0.10299999999999999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3</v>
      </c>
      <c r="AG112">
        <v>0.10299999999999999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ROW(Source!A70)</f>
        <v>70</v>
      </c>
      <c r="B113">
        <v>56960960</v>
      </c>
      <c r="C113">
        <v>56959669</v>
      </c>
      <c r="D113">
        <v>56018166</v>
      </c>
      <c r="E113">
        <v>1080</v>
      </c>
      <c r="F113">
        <v>1</v>
      </c>
      <c r="G113">
        <v>1080</v>
      </c>
      <c r="H113">
        <v>1</v>
      </c>
      <c r="I113" t="s">
        <v>500</v>
      </c>
      <c r="J113" t="s">
        <v>3</v>
      </c>
      <c r="K113" t="s">
        <v>501</v>
      </c>
      <c r="L113">
        <v>1191</v>
      </c>
      <c r="N113">
        <v>1013</v>
      </c>
      <c r="O113" t="s">
        <v>502</v>
      </c>
      <c r="P113" t="s">
        <v>502</v>
      </c>
      <c r="Q113">
        <v>1</v>
      </c>
      <c r="X113">
        <v>3.09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23</v>
      </c>
      <c r="AG113">
        <v>3.399</v>
      </c>
      <c r="AH113">
        <v>2</v>
      </c>
      <c r="AI113">
        <v>56959670</v>
      </c>
      <c r="AJ113">
        <v>89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ROW(Source!A70)</f>
        <v>70</v>
      </c>
      <c r="B114">
        <v>56960961</v>
      </c>
      <c r="C114">
        <v>56959669</v>
      </c>
      <c r="D114">
        <v>56092340</v>
      </c>
      <c r="E114">
        <v>1</v>
      </c>
      <c r="F114">
        <v>1</v>
      </c>
      <c r="G114">
        <v>1080</v>
      </c>
      <c r="H114">
        <v>2</v>
      </c>
      <c r="I114" t="s">
        <v>503</v>
      </c>
      <c r="J114" t="s">
        <v>504</v>
      </c>
      <c r="K114" t="s">
        <v>505</v>
      </c>
      <c r="L114">
        <v>1368</v>
      </c>
      <c r="N114">
        <v>1011</v>
      </c>
      <c r="O114" t="s">
        <v>506</v>
      </c>
      <c r="P114" t="s">
        <v>506</v>
      </c>
      <c r="Q114">
        <v>1</v>
      </c>
      <c r="X114">
        <v>0.01</v>
      </c>
      <c r="Y114">
        <v>0</v>
      </c>
      <c r="Z114">
        <v>83.1</v>
      </c>
      <c r="AA114">
        <v>12.62</v>
      </c>
      <c r="AB114">
        <v>0</v>
      </c>
      <c r="AC114">
        <v>0</v>
      </c>
      <c r="AD114">
        <v>1</v>
      </c>
      <c r="AE114">
        <v>0</v>
      </c>
      <c r="AF114" t="s">
        <v>23</v>
      </c>
      <c r="AG114">
        <v>1.1000000000000001E-2</v>
      </c>
      <c r="AH114">
        <v>2</v>
      </c>
      <c r="AI114">
        <v>56959671</v>
      </c>
      <c r="AJ114">
        <v>90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ROW(Source!A70)</f>
        <v>70</v>
      </c>
      <c r="B115">
        <v>56960962</v>
      </c>
      <c r="C115">
        <v>56959669</v>
      </c>
      <c r="D115">
        <v>56084405</v>
      </c>
      <c r="E115">
        <v>1</v>
      </c>
      <c r="F115">
        <v>1</v>
      </c>
      <c r="G115">
        <v>1080</v>
      </c>
      <c r="H115">
        <v>3</v>
      </c>
      <c r="I115" t="s">
        <v>551</v>
      </c>
      <c r="J115" t="s">
        <v>552</v>
      </c>
      <c r="K115" t="s">
        <v>553</v>
      </c>
      <c r="L115">
        <v>1356</v>
      </c>
      <c r="N115">
        <v>1010</v>
      </c>
      <c r="O115" t="s">
        <v>544</v>
      </c>
      <c r="P115" t="s">
        <v>544</v>
      </c>
      <c r="Q115">
        <v>1000</v>
      </c>
      <c r="X115">
        <v>5.0000000000000001E-3</v>
      </c>
      <c r="Y115">
        <v>226.66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</v>
      </c>
      <c r="AG115">
        <v>5.0000000000000001E-3</v>
      </c>
      <c r="AH115">
        <v>2</v>
      </c>
      <c r="AI115">
        <v>56959672</v>
      </c>
      <c r="AJ115">
        <v>91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ROW(Source!A70)</f>
        <v>70</v>
      </c>
      <c r="B116">
        <v>56960963</v>
      </c>
      <c r="C116">
        <v>56959669</v>
      </c>
      <c r="D116">
        <v>56084816</v>
      </c>
      <c r="E116">
        <v>1</v>
      </c>
      <c r="F116">
        <v>1</v>
      </c>
      <c r="G116">
        <v>1080</v>
      </c>
      <c r="H116">
        <v>3</v>
      </c>
      <c r="I116" t="s">
        <v>554</v>
      </c>
      <c r="J116" t="s">
        <v>555</v>
      </c>
      <c r="K116" t="s">
        <v>556</v>
      </c>
      <c r="L116">
        <v>1355</v>
      </c>
      <c r="N116">
        <v>1010</v>
      </c>
      <c r="O116" t="s">
        <v>520</v>
      </c>
      <c r="P116" t="s">
        <v>520</v>
      </c>
      <c r="Q116">
        <v>100</v>
      </c>
      <c r="X116">
        <v>0.26</v>
      </c>
      <c r="Y116">
        <v>323.76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3</v>
      </c>
      <c r="AG116">
        <v>0.26</v>
      </c>
      <c r="AH116">
        <v>2</v>
      </c>
      <c r="AI116">
        <v>56959673</v>
      </c>
      <c r="AJ116">
        <v>92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ROW(Source!A70)</f>
        <v>70</v>
      </c>
      <c r="B117">
        <v>56960964</v>
      </c>
      <c r="C117">
        <v>56959669</v>
      </c>
      <c r="D117">
        <v>56084066</v>
      </c>
      <c r="E117">
        <v>1</v>
      </c>
      <c r="F117">
        <v>1</v>
      </c>
      <c r="G117">
        <v>1080</v>
      </c>
      <c r="H117">
        <v>3</v>
      </c>
      <c r="I117" t="s">
        <v>557</v>
      </c>
      <c r="J117" t="s">
        <v>558</v>
      </c>
      <c r="K117" t="s">
        <v>559</v>
      </c>
      <c r="L117">
        <v>1301</v>
      </c>
      <c r="N117">
        <v>1003</v>
      </c>
      <c r="O117" t="s">
        <v>84</v>
      </c>
      <c r="P117" t="s">
        <v>84</v>
      </c>
      <c r="Q117">
        <v>1</v>
      </c>
      <c r="X117">
        <v>5</v>
      </c>
      <c r="Y117">
        <v>0.7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3</v>
      </c>
      <c r="AG117">
        <v>5</v>
      </c>
      <c r="AH117">
        <v>2</v>
      </c>
      <c r="AI117">
        <v>56959674</v>
      </c>
      <c r="AJ117">
        <v>93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ROW(Source!A70)</f>
        <v>70</v>
      </c>
      <c r="B118">
        <v>56960965</v>
      </c>
      <c r="C118">
        <v>56959669</v>
      </c>
      <c r="D118">
        <v>56084068</v>
      </c>
      <c r="E118">
        <v>1</v>
      </c>
      <c r="F118">
        <v>1</v>
      </c>
      <c r="G118">
        <v>1080</v>
      </c>
      <c r="H118">
        <v>3</v>
      </c>
      <c r="I118" t="s">
        <v>560</v>
      </c>
      <c r="J118" t="s">
        <v>561</v>
      </c>
      <c r="K118" t="s">
        <v>562</v>
      </c>
      <c r="L118">
        <v>1356</v>
      </c>
      <c r="N118">
        <v>1010</v>
      </c>
      <c r="O118" t="s">
        <v>544</v>
      </c>
      <c r="P118" t="s">
        <v>544</v>
      </c>
      <c r="Q118">
        <v>1000</v>
      </c>
      <c r="X118">
        <v>0.02</v>
      </c>
      <c r="Y118">
        <v>6.44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3</v>
      </c>
      <c r="AG118">
        <v>0.02</v>
      </c>
      <c r="AH118">
        <v>2</v>
      </c>
      <c r="AI118">
        <v>56959675</v>
      </c>
      <c r="AJ118">
        <v>94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ROW(Source!A70)</f>
        <v>70</v>
      </c>
      <c r="B119">
        <v>56960966</v>
      </c>
      <c r="C119">
        <v>56959669</v>
      </c>
      <c r="D119">
        <v>56033636</v>
      </c>
      <c r="E119">
        <v>1080</v>
      </c>
      <c r="F119">
        <v>1</v>
      </c>
      <c r="G119">
        <v>1080</v>
      </c>
      <c r="H119">
        <v>3</v>
      </c>
      <c r="I119" t="s">
        <v>653</v>
      </c>
      <c r="J119" t="s">
        <v>3</v>
      </c>
      <c r="K119" t="s">
        <v>654</v>
      </c>
      <c r="L119">
        <v>1303</v>
      </c>
      <c r="N119">
        <v>1003</v>
      </c>
      <c r="O119" t="s">
        <v>108</v>
      </c>
      <c r="P119" t="s">
        <v>108</v>
      </c>
      <c r="Q119">
        <v>1000</v>
      </c>
      <c r="X119">
        <v>0.10299999999999999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3</v>
      </c>
      <c r="AG119">
        <v>0.10299999999999999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ROW(Source!A71)</f>
        <v>71</v>
      </c>
      <c r="B120">
        <v>56960960</v>
      </c>
      <c r="C120">
        <v>56959669</v>
      </c>
      <c r="D120">
        <v>56018166</v>
      </c>
      <c r="E120">
        <v>1080</v>
      </c>
      <c r="F120">
        <v>1</v>
      </c>
      <c r="G120">
        <v>1080</v>
      </c>
      <c r="H120">
        <v>1</v>
      </c>
      <c r="I120" t="s">
        <v>500</v>
      </c>
      <c r="J120" t="s">
        <v>3</v>
      </c>
      <c r="K120" t="s">
        <v>501</v>
      </c>
      <c r="L120">
        <v>1191</v>
      </c>
      <c r="N120">
        <v>1013</v>
      </c>
      <c r="O120" t="s">
        <v>502</v>
      </c>
      <c r="P120" t="s">
        <v>502</v>
      </c>
      <c r="Q120">
        <v>1</v>
      </c>
      <c r="X120">
        <v>3.09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 t="s">
        <v>23</v>
      </c>
      <c r="AG120">
        <v>3.399</v>
      </c>
      <c r="AH120">
        <v>2</v>
      </c>
      <c r="AI120">
        <v>56959670</v>
      </c>
      <c r="AJ120">
        <v>96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ROW(Source!A71)</f>
        <v>71</v>
      </c>
      <c r="B121">
        <v>56960961</v>
      </c>
      <c r="C121">
        <v>56959669</v>
      </c>
      <c r="D121">
        <v>56092340</v>
      </c>
      <c r="E121">
        <v>1</v>
      </c>
      <c r="F121">
        <v>1</v>
      </c>
      <c r="G121">
        <v>1080</v>
      </c>
      <c r="H121">
        <v>2</v>
      </c>
      <c r="I121" t="s">
        <v>503</v>
      </c>
      <c r="J121" t="s">
        <v>504</v>
      </c>
      <c r="K121" t="s">
        <v>505</v>
      </c>
      <c r="L121">
        <v>1368</v>
      </c>
      <c r="N121">
        <v>1011</v>
      </c>
      <c r="O121" t="s">
        <v>506</v>
      </c>
      <c r="P121" t="s">
        <v>506</v>
      </c>
      <c r="Q121">
        <v>1</v>
      </c>
      <c r="X121">
        <v>0.01</v>
      </c>
      <c r="Y121">
        <v>0</v>
      </c>
      <c r="Z121">
        <v>83.1</v>
      </c>
      <c r="AA121">
        <v>12.62</v>
      </c>
      <c r="AB121">
        <v>0</v>
      </c>
      <c r="AC121">
        <v>0</v>
      </c>
      <c r="AD121">
        <v>1</v>
      </c>
      <c r="AE121">
        <v>0</v>
      </c>
      <c r="AF121" t="s">
        <v>23</v>
      </c>
      <c r="AG121">
        <v>1.1000000000000001E-2</v>
      </c>
      <c r="AH121">
        <v>2</v>
      </c>
      <c r="AI121">
        <v>56959671</v>
      </c>
      <c r="AJ121">
        <v>97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ROW(Source!A71)</f>
        <v>71</v>
      </c>
      <c r="B122">
        <v>56960962</v>
      </c>
      <c r="C122">
        <v>56959669</v>
      </c>
      <c r="D122">
        <v>56084405</v>
      </c>
      <c r="E122">
        <v>1</v>
      </c>
      <c r="F122">
        <v>1</v>
      </c>
      <c r="G122">
        <v>1080</v>
      </c>
      <c r="H122">
        <v>3</v>
      </c>
      <c r="I122" t="s">
        <v>551</v>
      </c>
      <c r="J122" t="s">
        <v>552</v>
      </c>
      <c r="K122" t="s">
        <v>553</v>
      </c>
      <c r="L122">
        <v>1356</v>
      </c>
      <c r="N122">
        <v>1010</v>
      </c>
      <c r="O122" t="s">
        <v>544</v>
      </c>
      <c r="P122" t="s">
        <v>544</v>
      </c>
      <c r="Q122">
        <v>1000</v>
      </c>
      <c r="X122">
        <v>5.0000000000000001E-3</v>
      </c>
      <c r="Y122">
        <v>226.66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5.0000000000000001E-3</v>
      </c>
      <c r="AH122">
        <v>2</v>
      </c>
      <c r="AI122">
        <v>56959672</v>
      </c>
      <c r="AJ122">
        <v>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ROW(Source!A71)</f>
        <v>71</v>
      </c>
      <c r="B123">
        <v>56960963</v>
      </c>
      <c r="C123">
        <v>56959669</v>
      </c>
      <c r="D123">
        <v>56084816</v>
      </c>
      <c r="E123">
        <v>1</v>
      </c>
      <c r="F123">
        <v>1</v>
      </c>
      <c r="G123">
        <v>1080</v>
      </c>
      <c r="H123">
        <v>3</v>
      </c>
      <c r="I123" t="s">
        <v>554</v>
      </c>
      <c r="J123" t="s">
        <v>555</v>
      </c>
      <c r="K123" t="s">
        <v>556</v>
      </c>
      <c r="L123">
        <v>1355</v>
      </c>
      <c r="N123">
        <v>1010</v>
      </c>
      <c r="O123" t="s">
        <v>520</v>
      </c>
      <c r="P123" t="s">
        <v>520</v>
      </c>
      <c r="Q123">
        <v>100</v>
      </c>
      <c r="X123">
        <v>0.26</v>
      </c>
      <c r="Y123">
        <v>323.76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0.26</v>
      </c>
      <c r="AH123">
        <v>2</v>
      </c>
      <c r="AI123">
        <v>56959673</v>
      </c>
      <c r="AJ123">
        <v>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ROW(Source!A71)</f>
        <v>71</v>
      </c>
      <c r="B124">
        <v>56960964</v>
      </c>
      <c r="C124">
        <v>56959669</v>
      </c>
      <c r="D124">
        <v>56084066</v>
      </c>
      <c r="E124">
        <v>1</v>
      </c>
      <c r="F124">
        <v>1</v>
      </c>
      <c r="G124">
        <v>1080</v>
      </c>
      <c r="H124">
        <v>3</v>
      </c>
      <c r="I124" t="s">
        <v>557</v>
      </c>
      <c r="J124" t="s">
        <v>558</v>
      </c>
      <c r="K124" t="s">
        <v>559</v>
      </c>
      <c r="L124">
        <v>1301</v>
      </c>
      <c r="N124">
        <v>1003</v>
      </c>
      <c r="O124" t="s">
        <v>84</v>
      </c>
      <c r="P124" t="s">
        <v>84</v>
      </c>
      <c r="Q124">
        <v>1</v>
      </c>
      <c r="X124">
        <v>5</v>
      </c>
      <c r="Y124">
        <v>0.7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5</v>
      </c>
      <c r="AH124">
        <v>2</v>
      </c>
      <c r="AI124">
        <v>56959674</v>
      </c>
      <c r="AJ124">
        <v>100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ROW(Source!A71)</f>
        <v>71</v>
      </c>
      <c r="B125">
        <v>56960965</v>
      </c>
      <c r="C125">
        <v>56959669</v>
      </c>
      <c r="D125">
        <v>56084068</v>
      </c>
      <c r="E125">
        <v>1</v>
      </c>
      <c r="F125">
        <v>1</v>
      </c>
      <c r="G125">
        <v>1080</v>
      </c>
      <c r="H125">
        <v>3</v>
      </c>
      <c r="I125" t="s">
        <v>560</v>
      </c>
      <c r="J125" t="s">
        <v>561</v>
      </c>
      <c r="K125" t="s">
        <v>562</v>
      </c>
      <c r="L125">
        <v>1356</v>
      </c>
      <c r="N125">
        <v>1010</v>
      </c>
      <c r="O125" t="s">
        <v>544</v>
      </c>
      <c r="P125" t="s">
        <v>544</v>
      </c>
      <c r="Q125">
        <v>1000</v>
      </c>
      <c r="X125">
        <v>0.02</v>
      </c>
      <c r="Y125">
        <v>6.44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0.02</v>
      </c>
      <c r="AH125">
        <v>2</v>
      </c>
      <c r="AI125">
        <v>56959675</v>
      </c>
      <c r="AJ125">
        <v>101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ROW(Source!A71)</f>
        <v>71</v>
      </c>
      <c r="B126">
        <v>56960966</v>
      </c>
      <c r="C126">
        <v>56959669</v>
      </c>
      <c r="D126">
        <v>56033636</v>
      </c>
      <c r="E126">
        <v>1080</v>
      </c>
      <c r="F126">
        <v>1</v>
      </c>
      <c r="G126">
        <v>1080</v>
      </c>
      <c r="H126">
        <v>3</v>
      </c>
      <c r="I126" t="s">
        <v>653</v>
      </c>
      <c r="J126" t="s">
        <v>3</v>
      </c>
      <c r="K126" t="s">
        <v>654</v>
      </c>
      <c r="L126">
        <v>1303</v>
      </c>
      <c r="N126">
        <v>1003</v>
      </c>
      <c r="O126" t="s">
        <v>108</v>
      </c>
      <c r="P126" t="s">
        <v>108</v>
      </c>
      <c r="Q126">
        <v>1000</v>
      </c>
      <c r="X126">
        <v>0.10299999999999999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</v>
      </c>
      <c r="AG126">
        <v>0.10299999999999999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ROW(Source!A148)</f>
        <v>148</v>
      </c>
      <c r="B127">
        <v>56960967</v>
      </c>
      <c r="C127">
        <v>56959799</v>
      </c>
      <c r="D127">
        <v>56018166</v>
      </c>
      <c r="E127">
        <v>1080</v>
      </c>
      <c r="F127">
        <v>1</v>
      </c>
      <c r="G127">
        <v>1080</v>
      </c>
      <c r="H127">
        <v>1</v>
      </c>
      <c r="I127" t="s">
        <v>500</v>
      </c>
      <c r="J127" t="s">
        <v>3</v>
      </c>
      <c r="K127" t="s">
        <v>501</v>
      </c>
      <c r="L127">
        <v>1191</v>
      </c>
      <c r="N127">
        <v>1013</v>
      </c>
      <c r="O127" t="s">
        <v>502</v>
      </c>
      <c r="P127" t="s">
        <v>502</v>
      </c>
      <c r="Q127">
        <v>1</v>
      </c>
      <c r="X127">
        <v>0.5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23</v>
      </c>
      <c r="AG127">
        <v>0.55000000000000004</v>
      </c>
      <c r="AH127">
        <v>2</v>
      </c>
      <c r="AI127">
        <v>56959800</v>
      </c>
      <c r="AJ127">
        <v>103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ROW(Source!A148)</f>
        <v>148</v>
      </c>
      <c r="B128">
        <v>56960968</v>
      </c>
      <c r="C128">
        <v>56959799</v>
      </c>
      <c r="D128">
        <v>56056339</v>
      </c>
      <c r="E128">
        <v>1080</v>
      </c>
      <c r="F128">
        <v>1</v>
      </c>
      <c r="G128">
        <v>1080</v>
      </c>
      <c r="H128">
        <v>3</v>
      </c>
      <c r="I128" t="s">
        <v>655</v>
      </c>
      <c r="J128" t="s">
        <v>3</v>
      </c>
      <c r="K128" t="s">
        <v>656</v>
      </c>
      <c r="L128">
        <v>1354</v>
      </c>
      <c r="N128">
        <v>1010</v>
      </c>
      <c r="O128" t="s">
        <v>31</v>
      </c>
      <c r="P128" t="s">
        <v>31</v>
      </c>
      <c r="Q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3</v>
      </c>
      <c r="AG128">
        <v>1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ROW(Source!A148)</f>
        <v>148</v>
      </c>
      <c r="B129">
        <v>56960969</v>
      </c>
      <c r="C129">
        <v>56959799</v>
      </c>
      <c r="D129">
        <v>56023168</v>
      </c>
      <c r="E129">
        <v>1080</v>
      </c>
      <c r="F129">
        <v>1</v>
      </c>
      <c r="G129">
        <v>1080</v>
      </c>
      <c r="H129">
        <v>3</v>
      </c>
      <c r="I129" t="s">
        <v>521</v>
      </c>
      <c r="J129" t="s">
        <v>3</v>
      </c>
      <c r="K129" t="s">
        <v>522</v>
      </c>
      <c r="L129">
        <v>1348</v>
      </c>
      <c r="N129">
        <v>1009</v>
      </c>
      <c r="O129" t="s">
        <v>291</v>
      </c>
      <c r="P129" t="s">
        <v>291</v>
      </c>
      <c r="Q129">
        <v>1000</v>
      </c>
      <c r="X129">
        <v>1E-3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1E-3</v>
      </c>
      <c r="AH129">
        <v>2</v>
      </c>
      <c r="AI129">
        <v>56959801</v>
      </c>
      <c r="AJ129">
        <v>104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ROW(Source!A149)</f>
        <v>149</v>
      </c>
      <c r="B130">
        <v>56960967</v>
      </c>
      <c r="C130">
        <v>56959799</v>
      </c>
      <c r="D130">
        <v>56018166</v>
      </c>
      <c r="E130">
        <v>1080</v>
      </c>
      <c r="F130">
        <v>1</v>
      </c>
      <c r="G130">
        <v>1080</v>
      </c>
      <c r="H130">
        <v>1</v>
      </c>
      <c r="I130" t="s">
        <v>500</v>
      </c>
      <c r="J130" t="s">
        <v>3</v>
      </c>
      <c r="K130" t="s">
        <v>501</v>
      </c>
      <c r="L130">
        <v>1191</v>
      </c>
      <c r="N130">
        <v>1013</v>
      </c>
      <c r="O130" t="s">
        <v>502</v>
      </c>
      <c r="P130" t="s">
        <v>502</v>
      </c>
      <c r="Q130">
        <v>1</v>
      </c>
      <c r="X130">
        <v>0.5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 t="s">
        <v>23</v>
      </c>
      <c r="AG130">
        <v>0.55000000000000004</v>
      </c>
      <c r="AH130">
        <v>2</v>
      </c>
      <c r="AI130">
        <v>56959800</v>
      </c>
      <c r="AJ130">
        <v>105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ROW(Source!A149)</f>
        <v>149</v>
      </c>
      <c r="B131">
        <v>56960968</v>
      </c>
      <c r="C131">
        <v>56959799</v>
      </c>
      <c r="D131">
        <v>56056339</v>
      </c>
      <c r="E131">
        <v>1080</v>
      </c>
      <c r="F131">
        <v>1</v>
      </c>
      <c r="G131">
        <v>1080</v>
      </c>
      <c r="H131">
        <v>3</v>
      </c>
      <c r="I131" t="s">
        <v>655</v>
      </c>
      <c r="J131" t="s">
        <v>3</v>
      </c>
      <c r="K131" t="s">
        <v>656</v>
      </c>
      <c r="L131">
        <v>1354</v>
      </c>
      <c r="N131">
        <v>1010</v>
      </c>
      <c r="O131" t="s">
        <v>31</v>
      </c>
      <c r="P131" t="s">
        <v>31</v>
      </c>
      <c r="Q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3</v>
      </c>
      <c r="AG131">
        <v>1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ROW(Source!A149)</f>
        <v>149</v>
      </c>
      <c r="B132">
        <v>56960969</v>
      </c>
      <c r="C132">
        <v>56959799</v>
      </c>
      <c r="D132">
        <v>56023168</v>
      </c>
      <c r="E132">
        <v>1080</v>
      </c>
      <c r="F132">
        <v>1</v>
      </c>
      <c r="G132">
        <v>1080</v>
      </c>
      <c r="H132">
        <v>3</v>
      </c>
      <c r="I132" t="s">
        <v>521</v>
      </c>
      <c r="J132" t="s">
        <v>3</v>
      </c>
      <c r="K132" t="s">
        <v>522</v>
      </c>
      <c r="L132">
        <v>1348</v>
      </c>
      <c r="N132">
        <v>1009</v>
      </c>
      <c r="O132" t="s">
        <v>291</v>
      </c>
      <c r="P132" t="s">
        <v>291</v>
      </c>
      <c r="Q132">
        <v>1000</v>
      </c>
      <c r="X132">
        <v>1E-3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1E-3</v>
      </c>
      <c r="AH132">
        <v>2</v>
      </c>
      <c r="AI132">
        <v>56959801</v>
      </c>
      <c r="AJ132">
        <v>106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ROW(Source!A152)</f>
        <v>152</v>
      </c>
      <c r="B133">
        <v>56960970</v>
      </c>
      <c r="C133">
        <v>56959806</v>
      </c>
      <c r="D133">
        <v>56018166</v>
      </c>
      <c r="E133">
        <v>1080</v>
      </c>
      <c r="F133">
        <v>1</v>
      </c>
      <c r="G133">
        <v>1080</v>
      </c>
      <c r="H133">
        <v>1</v>
      </c>
      <c r="I133" t="s">
        <v>500</v>
      </c>
      <c r="J133" t="s">
        <v>3</v>
      </c>
      <c r="K133" t="s">
        <v>501</v>
      </c>
      <c r="L133">
        <v>1191</v>
      </c>
      <c r="N133">
        <v>1013</v>
      </c>
      <c r="O133" t="s">
        <v>502</v>
      </c>
      <c r="P133" t="s">
        <v>502</v>
      </c>
      <c r="Q133">
        <v>1</v>
      </c>
      <c r="X133">
        <v>15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</v>
      </c>
      <c r="AG133">
        <v>16.5</v>
      </c>
      <c r="AH133">
        <v>2</v>
      </c>
      <c r="AI133">
        <v>56959807</v>
      </c>
      <c r="AJ133">
        <v>107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ROW(Source!A152)</f>
        <v>152</v>
      </c>
      <c r="B134">
        <v>56960971</v>
      </c>
      <c r="C134">
        <v>56959806</v>
      </c>
      <c r="D134">
        <v>56027568</v>
      </c>
      <c r="E134">
        <v>1080</v>
      </c>
      <c r="F134">
        <v>1</v>
      </c>
      <c r="G134">
        <v>1080</v>
      </c>
      <c r="H134">
        <v>3</v>
      </c>
      <c r="I134" t="s">
        <v>639</v>
      </c>
      <c r="J134" t="s">
        <v>3</v>
      </c>
      <c r="K134" t="s">
        <v>640</v>
      </c>
      <c r="L134">
        <v>1301</v>
      </c>
      <c r="N134">
        <v>1003</v>
      </c>
      <c r="O134" t="s">
        <v>84</v>
      </c>
      <c r="P134" t="s">
        <v>84</v>
      </c>
      <c r="Q134">
        <v>1</v>
      </c>
      <c r="X134">
        <v>102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3</v>
      </c>
      <c r="AG134">
        <v>102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ROW(Source!A152)</f>
        <v>152</v>
      </c>
      <c r="B135">
        <v>56960972</v>
      </c>
      <c r="C135">
        <v>56959806</v>
      </c>
      <c r="D135">
        <v>56030735</v>
      </c>
      <c r="E135">
        <v>1080</v>
      </c>
      <c r="F135">
        <v>1</v>
      </c>
      <c r="G135">
        <v>1080</v>
      </c>
      <c r="H135">
        <v>3</v>
      </c>
      <c r="I135" t="s">
        <v>641</v>
      </c>
      <c r="J135" t="s">
        <v>3</v>
      </c>
      <c r="K135" t="s">
        <v>642</v>
      </c>
      <c r="L135">
        <v>1354</v>
      </c>
      <c r="N135">
        <v>1010</v>
      </c>
      <c r="O135" t="s">
        <v>31</v>
      </c>
      <c r="P135" t="s">
        <v>31</v>
      </c>
      <c r="Q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3</v>
      </c>
      <c r="AG135">
        <v>0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ROW(Source!A152)</f>
        <v>152</v>
      </c>
      <c r="B136">
        <v>56960973</v>
      </c>
      <c r="C136">
        <v>56959806</v>
      </c>
      <c r="D136">
        <v>56031307</v>
      </c>
      <c r="E136">
        <v>1080</v>
      </c>
      <c r="F136">
        <v>1</v>
      </c>
      <c r="G136">
        <v>1080</v>
      </c>
      <c r="H136">
        <v>3</v>
      </c>
      <c r="I136" t="s">
        <v>643</v>
      </c>
      <c r="J136" t="s">
        <v>3</v>
      </c>
      <c r="K136" t="s">
        <v>644</v>
      </c>
      <c r="L136">
        <v>1354</v>
      </c>
      <c r="N136">
        <v>1010</v>
      </c>
      <c r="O136" t="s">
        <v>31</v>
      </c>
      <c r="P136" t="s">
        <v>31</v>
      </c>
      <c r="Q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</v>
      </c>
      <c r="AG136">
        <v>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ROW(Source!A153)</f>
        <v>153</v>
      </c>
      <c r="B137">
        <v>56960970</v>
      </c>
      <c r="C137">
        <v>56959806</v>
      </c>
      <c r="D137">
        <v>56018166</v>
      </c>
      <c r="E137">
        <v>1080</v>
      </c>
      <c r="F137">
        <v>1</v>
      </c>
      <c r="G137">
        <v>1080</v>
      </c>
      <c r="H137">
        <v>1</v>
      </c>
      <c r="I137" t="s">
        <v>500</v>
      </c>
      <c r="J137" t="s">
        <v>3</v>
      </c>
      <c r="K137" t="s">
        <v>501</v>
      </c>
      <c r="L137">
        <v>1191</v>
      </c>
      <c r="N137">
        <v>1013</v>
      </c>
      <c r="O137" t="s">
        <v>502</v>
      </c>
      <c r="P137" t="s">
        <v>502</v>
      </c>
      <c r="Q137">
        <v>1</v>
      </c>
      <c r="X137">
        <v>15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23</v>
      </c>
      <c r="AG137">
        <v>16.5</v>
      </c>
      <c r="AH137">
        <v>2</v>
      </c>
      <c r="AI137">
        <v>56959807</v>
      </c>
      <c r="AJ137">
        <v>109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ROW(Source!A153)</f>
        <v>153</v>
      </c>
      <c r="B138">
        <v>56960971</v>
      </c>
      <c r="C138">
        <v>56959806</v>
      </c>
      <c r="D138">
        <v>56027568</v>
      </c>
      <c r="E138">
        <v>1080</v>
      </c>
      <c r="F138">
        <v>1</v>
      </c>
      <c r="G138">
        <v>1080</v>
      </c>
      <c r="H138">
        <v>3</v>
      </c>
      <c r="I138" t="s">
        <v>639</v>
      </c>
      <c r="J138" t="s">
        <v>3</v>
      </c>
      <c r="K138" t="s">
        <v>640</v>
      </c>
      <c r="L138">
        <v>1301</v>
      </c>
      <c r="N138">
        <v>1003</v>
      </c>
      <c r="O138" t="s">
        <v>84</v>
      </c>
      <c r="P138" t="s">
        <v>84</v>
      </c>
      <c r="Q138">
        <v>1</v>
      </c>
      <c r="X138">
        <v>102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3</v>
      </c>
      <c r="AG138">
        <v>102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ROW(Source!A153)</f>
        <v>153</v>
      </c>
      <c r="B139">
        <v>56960972</v>
      </c>
      <c r="C139">
        <v>56959806</v>
      </c>
      <c r="D139">
        <v>56030735</v>
      </c>
      <c r="E139">
        <v>1080</v>
      </c>
      <c r="F139">
        <v>1</v>
      </c>
      <c r="G139">
        <v>1080</v>
      </c>
      <c r="H139">
        <v>3</v>
      </c>
      <c r="I139" t="s">
        <v>641</v>
      </c>
      <c r="J139" t="s">
        <v>3</v>
      </c>
      <c r="K139" t="s">
        <v>642</v>
      </c>
      <c r="L139">
        <v>1354</v>
      </c>
      <c r="N139">
        <v>1010</v>
      </c>
      <c r="O139" t="s">
        <v>31</v>
      </c>
      <c r="P139" t="s">
        <v>31</v>
      </c>
      <c r="Q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3</v>
      </c>
      <c r="AG139">
        <v>0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ROW(Source!A153)</f>
        <v>153</v>
      </c>
      <c r="B140">
        <v>56960973</v>
      </c>
      <c r="C140">
        <v>56959806</v>
      </c>
      <c r="D140">
        <v>56031307</v>
      </c>
      <c r="E140">
        <v>1080</v>
      </c>
      <c r="F140">
        <v>1</v>
      </c>
      <c r="G140">
        <v>1080</v>
      </c>
      <c r="H140">
        <v>3</v>
      </c>
      <c r="I140" t="s">
        <v>643</v>
      </c>
      <c r="J140" t="s">
        <v>3</v>
      </c>
      <c r="K140" t="s">
        <v>644</v>
      </c>
      <c r="L140">
        <v>1354</v>
      </c>
      <c r="N140">
        <v>1010</v>
      </c>
      <c r="O140" t="s">
        <v>31</v>
      </c>
      <c r="P140" t="s">
        <v>31</v>
      </c>
      <c r="Q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3</v>
      </c>
      <c r="AG140">
        <v>0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ROW(Source!A156)</f>
        <v>156</v>
      </c>
      <c r="B141">
        <v>56960974</v>
      </c>
      <c r="C141">
        <v>56959814</v>
      </c>
      <c r="D141">
        <v>56018166</v>
      </c>
      <c r="E141">
        <v>1080</v>
      </c>
      <c r="F141">
        <v>1</v>
      </c>
      <c r="G141">
        <v>1080</v>
      </c>
      <c r="H141">
        <v>1</v>
      </c>
      <c r="I141" t="s">
        <v>500</v>
      </c>
      <c r="J141" t="s">
        <v>3</v>
      </c>
      <c r="K141" t="s">
        <v>501</v>
      </c>
      <c r="L141">
        <v>1191</v>
      </c>
      <c r="N141">
        <v>1013</v>
      </c>
      <c r="O141" t="s">
        <v>502</v>
      </c>
      <c r="P141" t="s">
        <v>502</v>
      </c>
      <c r="Q141">
        <v>1</v>
      </c>
      <c r="X141">
        <v>4.49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23</v>
      </c>
      <c r="AG141">
        <v>4.9390000000000009</v>
      </c>
      <c r="AH141">
        <v>2</v>
      </c>
      <c r="AI141">
        <v>56959815</v>
      </c>
      <c r="AJ141">
        <v>111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ROW(Source!A156)</f>
        <v>156</v>
      </c>
      <c r="B142">
        <v>56960975</v>
      </c>
      <c r="C142">
        <v>56959814</v>
      </c>
      <c r="D142">
        <v>56092340</v>
      </c>
      <c r="E142">
        <v>1</v>
      </c>
      <c r="F142">
        <v>1</v>
      </c>
      <c r="G142">
        <v>1080</v>
      </c>
      <c r="H142">
        <v>2</v>
      </c>
      <c r="I142" t="s">
        <v>503</v>
      </c>
      <c r="J142" t="s">
        <v>504</v>
      </c>
      <c r="K142" t="s">
        <v>505</v>
      </c>
      <c r="L142">
        <v>1368</v>
      </c>
      <c r="N142">
        <v>1011</v>
      </c>
      <c r="O142" t="s">
        <v>506</v>
      </c>
      <c r="P142" t="s">
        <v>506</v>
      </c>
      <c r="Q142">
        <v>1</v>
      </c>
      <c r="X142">
        <v>0.01</v>
      </c>
      <c r="Y142">
        <v>0</v>
      </c>
      <c r="Z142">
        <v>83.1</v>
      </c>
      <c r="AA142">
        <v>12.62</v>
      </c>
      <c r="AB142">
        <v>0</v>
      </c>
      <c r="AC142">
        <v>0</v>
      </c>
      <c r="AD142">
        <v>1</v>
      </c>
      <c r="AE142">
        <v>0</v>
      </c>
      <c r="AF142" t="s">
        <v>23</v>
      </c>
      <c r="AG142">
        <v>1.1000000000000001E-2</v>
      </c>
      <c r="AH142">
        <v>2</v>
      </c>
      <c r="AI142">
        <v>56959816</v>
      </c>
      <c r="AJ142">
        <v>112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ROW(Source!A156)</f>
        <v>156</v>
      </c>
      <c r="B143">
        <v>56960976</v>
      </c>
      <c r="C143">
        <v>56959814</v>
      </c>
      <c r="D143">
        <v>56091576</v>
      </c>
      <c r="E143">
        <v>1</v>
      </c>
      <c r="F143">
        <v>1</v>
      </c>
      <c r="G143">
        <v>1080</v>
      </c>
      <c r="H143">
        <v>2</v>
      </c>
      <c r="I143" t="s">
        <v>529</v>
      </c>
      <c r="J143" t="s">
        <v>530</v>
      </c>
      <c r="K143" t="s">
        <v>531</v>
      </c>
      <c r="L143">
        <v>1368</v>
      </c>
      <c r="N143">
        <v>1011</v>
      </c>
      <c r="O143" t="s">
        <v>506</v>
      </c>
      <c r="P143" t="s">
        <v>506</v>
      </c>
      <c r="Q143">
        <v>1</v>
      </c>
      <c r="X143">
        <v>0.01</v>
      </c>
      <c r="Y143">
        <v>0</v>
      </c>
      <c r="Z143">
        <v>179.17</v>
      </c>
      <c r="AA143">
        <v>16.93</v>
      </c>
      <c r="AB143">
        <v>0</v>
      </c>
      <c r="AC143">
        <v>0</v>
      </c>
      <c r="AD143">
        <v>1</v>
      </c>
      <c r="AE143">
        <v>0</v>
      </c>
      <c r="AF143" t="s">
        <v>23</v>
      </c>
      <c r="AG143">
        <v>1.1000000000000001E-2</v>
      </c>
      <c r="AH143">
        <v>2</v>
      </c>
      <c r="AI143">
        <v>56959817</v>
      </c>
      <c r="AJ143">
        <v>113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ROW(Source!A156)</f>
        <v>156</v>
      </c>
      <c r="B144">
        <v>56960977</v>
      </c>
      <c r="C144">
        <v>56959814</v>
      </c>
      <c r="D144">
        <v>56061373</v>
      </c>
      <c r="E144">
        <v>1</v>
      </c>
      <c r="F144">
        <v>1</v>
      </c>
      <c r="G144">
        <v>1080</v>
      </c>
      <c r="H144">
        <v>3</v>
      </c>
      <c r="I144" t="s">
        <v>532</v>
      </c>
      <c r="J144" t="s">
        <v>533</v>
      </c>
      <c r="K144" t="s">
        <v>534</v>
      </c>
      <c r="L144">
        <v>1346</v>
      </c>
      <c r="N144">
        <v>1009</v>
      </c>
      <c r="O144" t="s">
        <v>249</v>
      </c>
      <c r="P144" t="s">
        <v>249</v>
      </c>
      <c r="Q144">
        <v>1</v>
      </c>
      <c r="X144">
        <v>0.43</v>
      </c>
      <c r="Y144">
        <v>1.38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0.43</v>
      </c>
      <c r="AH144">
        <v>2</v>
      </c>
      <c r="AI144">
        <v>56959818</v>
      </c>
      <c r="AJ144">
        <v>114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ROW(Source!A156)</f>
        <v>156</v>
      </c>
      <c r="B145">
        <v>56960978</v>
      </c>
      <c r="C145">
        <v>56959814</v>
      </c>
      <c r="D145">
        <v>56061764</v>
      </c>
      <c r="E145">
        <v>1</v>
      </c>
      <c r="F145">
        <v>1</v>
      </c>
      <c r="G145">
        <v>1080</v>
      </c>
      <c r="H145">
        <v>3</v>
      </c>
      <c r="I145" t="s">
        <v>535</v>
      </c>
      <c r="J145" t="s">
        <v>536</v>
      </c>
      <c r="K145" t="s">
        <v>537</v>
      </c>
      <c r="L145">
        <v>1346</v>
      </c>
      <c r="N145">
        <v>1009</v>
      </c>
      <c r="O145" t="s">
        <v>249</v>
      </c>
      <c r="P145" t="s">
        <v>249</v>
      </c>
      <c r="Q145">
        <v>1</v>
      </c>
      <c r="X145">
        <v>0.16</v>
      </c>
      <c r="Y145">
        <v>159.06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0.16</v>
      </c>
      <c r="AH145">
        <v>2</v>
      </c>
      <c r="AI145">
        <v>56959819</v>
      </c>
      <c r="AJ145">
        <v>115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ROW(Source!A156)</f>
        <v>156</v>
      </c>
      <c r="B146">
        <v>56960979</v>
      </c>
      <c r="C146">
        <v>56959814</v>
      </c>
      <c r="D146">
        <v>56084707</v>
      </c>
      <c r="E146">
        <v>1</v>
      </c>
      <c r="F146">
        <v>1</v>
      </c>
      <c r="G146">
        <v>1080</v>
      </c>
      <c r="H146">
        <v>3</v>
      </c>
      <c r="I146" t="s">
        <v>538</v>
      </c>
      <c r="J146" t="s">
        <v>539</v>
      </c>
      <c r="K146" t="s">
        <v>540</v>
      </c>
      <c r="L146">
        <v>1355</v>
      </c>
      <c r="N146">
        <v>1010</v>
      </c>
      <c r="O146" t="s">
        <v>520</v>
      </c>
      <c r="P146" t="s">
        <v>520</v>
      </c>
      <c r="Q146">
        <v>100</v>
      </c>
      <c r="X146">
        <v>0.05</v>
      </c>
      <c r="Y146">
        <v>68.819999999999993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3</v>
      </c>
      <c r="AG146">
        <v>0.05</v>
      </c>
      <c r="AH146">
        <v>2</v>
      </c>
      <c r="AI146">
        <v>56959820</v>
      </c>
      <c r="AJ146">
        <v>116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ROW(Source!A156)</f>
        <v>156</v>
      </c>
      <c r="B147">
        <v>56960980</v>
      </c>
      <c r="C147">
        <v>56959814</v>
      </c>
      <c r="D147">
        <v>56084718</v>
      </c>
      <c r="E147">
        <v>1</v>
      </c>
      <c r="F147">
        <v>1</v>
      </c>
      <c r="G147">
        <v>1080</v>
      </c>
      <c r="H147">
        <v>3</v>
      </c>
      <c r="I147" t="s">
        <v>541</v>
      </c>
      <c r="J147" t="s">
        <v>542</v>
      </c>
      <c r="K147" t="s">
        <v>543</v>
      </c>
      <c r="L147">
        <v>1356</v>
      </c>
      <c r="N147">
        <v>1010</v>
      </c>
      <c r="O147" t="s">
        <v>544</v>
      </c>
      <c r="P147" t="s">
        <v>544</v>
      </c>
      <c r="Q147">
        <v>1000</v>
      </c>
      <c r="X147">
        <v>1.2200000000000001E-2</v>
      </c>
      <c r="Y147">
        <v>183.4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</v>
      </c>
      <c r="AG147">
        <v>1.2200000000000001E-2</v>
      </c>
      <c r="AH147">
        <v>2</v>
      </c>
      <c r="AI147">
        <v>56959821</v>
      </c>
      <c r="AJ147">
        <v>117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ROW(Source!A156)</f>
        <v>156</v>
      </c>
      <c r="B148">
        <v>56960981</v>
      </c>
      <c r="C148">
        <v>56959814</v>
      </c>
      <c r="D148">
        <v>56084044</v>
      </c>
      <c r="E148">
        <v>1</v>
      </c>
      <c r="F148">
        <v>1</v>
      </c>
      <c r="G148">
        <v>1080</v>
      </c>
      <c r="H148">
        <v>3</v>
      </c>
      <c r="I148" t="s">
        <v>545</v>
      </c>
      <c r="J148" t="s">
        <v>546</v>
      </c>
      <c r="K148" t="s">
        <v>547</v>
      </c>
      <c r="L148">
        <v>1354</v>
      </c>
      <c r="N148">
        <v>1010</v>
      </c>
      <c r="O148" t="s">
        <v>31</v>
      </c>
      <c r="P148" t="s">
        <v>31</v>
      </c>
      <c r="Q148">
        <v>1</v>
      </c>
      <c r="X148">
        <v>3.1</v>
      </c>
      <c r="Y148">
        <v>6.94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3</v>
      </c>
      <c r="AG148">
        <v>3.1</v>
      </c>
      <c r="AH148">
        <v>2</v>
      </c>
      <c r="AI148">
        <v>56959822</v>
      </c>
      <c r="AJ148">
        <v>118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ROW(Source!A156)</f>
        <v>156</v>
      </c>
      <c r="B149">
        <v>56960982</v>
      </c>
      <c r="C149">
        <v>56959814</v>
      </c>
      <c r="D149">
        <v>56084051</v>
      </c>
      <c r="E149">
        <v>1</v>
      </c>
      <c r="F149">
        <v>1</v>
      </c>
      <c r="G149">
        <v>1080</v>
      </c>
      <c r="H149">
        <v>3</v>
      </c>
      <c r="I149" t="s">
        <v>548</v>
      </c>
      <c r="J149" t="s">
        <v>549</v>
      </c>
      <c r="K149" t="s">
        <v>550</v>
      </c>
      <c r="L149">
        <v>1356</v>
      </c>
      <c r="N149">
        <v>1010</v>
      </c>
      <c r="O149" t="s">
        <v>544</v>
      </c>
      <c r="P149" t="s">
        <v>544</v>
      </c>
      <c r="Q149">
        <v>1000</v>
      </c>
      <c r="X149">
        <v>8.0000000000000002E-3</v>
      </c>
      <c r="Y149">
        <v>614.09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8.0000000000000002E-3</v>
      </c>
      <c r="AH149">
        <v>2</v>
      </c>
      <c r="AI149">
        <v>56959823</v>
      </c>
      <c r="AJ149">
        <v>119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ROW(Source!A156)</f>
        <v>156</v>
      </c>
      <c r="B150">
        <v>56960983</v>
      </c>
      <c r="C150">
        <v>56959814</v>
      </c>
      <c r="D150">
        <v>56033636</v>
      </c>
      <c r="E150">
        <v>1080</v>
      </c>
      <c r="F150">
        <v>1</v>
      </c>
      <c r="G150">
        <v>1080</v>
      </c>
      <c r="H150">
        <v>3</v>
      </c>
      <c r="I150" t="s">
        <v>653</v>
      </c>
      <c r="J150" t="s">
        <v>3</v>
      </c>
      <c r="K150" t="s">
        <v>654</v>
      </c>
      <c r="L150">
        <v>1303</v>
      </c>
      <c r="N150">
        <v>1003</v>
      </c>
      <c r="O150" t="s">
        <v>108</v>
      </c>
      <c r="P150" t="s">
        <v>108</v>
      </c>
      <c r="Q150">
        <v>1000</v>
      </c>
      <c r="X150">
        <v>0.10299999999999999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3</v>
      </c>
      <c r="AG150">
        <v>0.10299999999999999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ROW(Source!A157)</f>
        <v>157</v>
      </c>
      <c r="B151">
        <v>56960974</v>
      </c>
      <c r="C151">
        <v>56959814</v>
      </c>
      <c r="D151">
        <v>56018166</v>
      </c>
      <c r="E151">
        <v>1080</v>
      </c>
      <c r="F151">
        <v>1</v>
      </c>
      <c r="G151">
        <v>1080</v>
      </c>
      <c r="H151">
        <v>1</v>
      </c>
      <c r="I151" t="s">
        <v>500</v>
      </c>
      <c r="J151" t="s">
        <v>3</v>
      </c>
      <c r="K151" t="s">
        <v>501</v>
      </c>
      <c r="L151">
        <v>1191</v>
      </c>
      <c r="N151">
        <v>1013</v>
      </c>
      <c r="O151" t="s">
        <v>502</v>
      </c>
      <c r="P151" t="s">
        <v>502</v>
      </c>
      <c r="Q151">
        <v>1</v>
      </c>
      <c r="X151">
        <v>4.49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23</v>
      </c>
      <c r="AG151">
        <v>4.9390000000000009</v>
      </c>
      <c r="AH151">
        <v>2</v>
      </c>
      <c r="AI151">
        <v>56959815</v>
      </c>
      <c r="AJ151">
        <v>122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ROW(Source!A157)</f>
        <v>157</v>
      </c>
      <c r="B152">
        <v>56960975</v>
      </c>
      <c r="C152">
        <v>56959814</v>
      </c>
      <c r="D152">
        <v>56092340</v>
      </c>
      <c r="E152">
        <v>1</v>
      </c>
      <c r="F152">
        <v>1</v>
      </c>
      <c r="G152">
        <v>1080</v>
      </c>
      <c r="H152">
        <v>2</v>
      </c>
      <c r="I152" t="s">
        <v>503</v>
      </c>
      <c r="J152" t="s">
        <v>504</v>
      </c>
      <c r="K152" t="s">
        <v>505</v>
      </c>
      <c r="L152">
        <v>1368</v>
      </c>
      <c r="N152">
        <v>1011</v>
      </c>
      <c r="O152" t="s">
        <v>506</v>
      </c>
      <c r="P152" t="s">
        <v>506</v>
      </c>
      <c r="Q152">
        <v>1</v>
      </c>
      <c r="X152">
        <v>0.01</v>
      </c>
      <c r="Y152">
        <v>0</v>
      </c>
      <c r="Z152">
        <v>83.1</v>
      </c>
      <c r="AA152">
        <v>12.62</v>
      </c>
      <c r="AB152">
        <v>0</v>
      </c>
      <c r="AC152">
        <v>0</v>
      </c>
      <c r="AD152">
        <v>1</v>
      </c>
      <c r="AE152">
        <v>0</v>
      </c>
      <c r="AF152" t="s">
        <v>23</v>
      </c>
      <c r="AG152">
        <v>1.1000000000000001E-2</v>
      </c>
      <c r="AH152">
        <v>2</v>
      </c>
      <c r="AI152">
        <v>56959816</v>
      </c>
      <c r="AJ152">
        <v>123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ROW(Source!A157)</f>
        <v>157</v>
      </c>
      <c r="B153">
        <v>56960976</v>
      </c>
      <c r="C153">
        <v>56959814</v>
      </c>
      <c r="D153">
        <v>56091576</v>
      </c>
      <c r="E153">
        <v>1</v>
      </c>
      <c r="F153">
        <v>1</v>
      </c>
      <c r="G153">
        <v>1080</v>
      </c>
      <c r="H153">
        <v>2</v>
      </c>
      <c r="I153" t="s">
        <v>529</v>
      </c>
      <c r="J153" t="s">
        <v>530</v>
      </c>
      <c r="K153" t="s">
        <v>531</v>
      </c>
      <c r="L153">
        <v>1368</v>
      </c>
      <c r="N153">
        <v>1011</v>
      </c>
      <c r="O153" t="s">
        <v>506</v>
      </c>
      <c r="P153" t="s">
        <v>506</v>
      </c>
      <c r="Q153">
        <v>1</v>
      </c>
      <c r="X153">
        <v>0.01</v>
      </c>
      <c r="Y153">
        <v>0</v>
      </c>
      <c r="Z153">
        <v>179.17</v>
      </c>
      <c r="AA153">
        <v>16.93</v>
      </c>
      <c r="AB153">
        <v>0</v>
      </c>
      <c r="AC153">
        <v>0</v>
      </c>
      <c r="AD153">
        <v>1</v>
      </c>
      <c r="AE153">
        <v>0</v>
      </c>
      <c r="AF153" t="s">
        <v>23</v>
      </c>
      <c r="AG153">
        <v>1.1000000000000001E-2</v>
      </c>
      <c r="AH153">
        <v>2</v>
      </c>
      <c r="AI153">
        <v>56959817</v>
      </c>
      <c r="AJ153">
        <v>124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ROW(Source!A157)</f>
        <v>157</v>
      </c>
      <c r="B154">
        <v>56960977</v>
      </c>
      <c r="C154">
        <v>56959814</v>
      </c>
      <c r="D154">
        <v>56061373</v>
      </c>
      <c r="E154">
        <v>1</v>
      </c>
      <c r="F154">
        <v>1</v>
      </c>
      <c r="G154">
        <v>1080</v>
      </c>
      <c r="H154">
        <v>3</v>
      </c>
      <c r="I154" t="s">
        <v>532</v>
      </c>
      <c r="J154" t="s">
        <v>533</v>
      </c>
      <c r="K154" t="s">
        <v>534</v>
      </c>
      <c r="L154">
        <v>1346</v>
      </c>
      <c r="N154">
        <v>1009</v>
      </c>
      <c r="O154" t="s">
        <v>249</v>
      </c>
      <c r="P154" t="s">
        <v>249</v>
      </c>
      <c r="Q154">
        <v>1</v>
      </c>
      <c r="X154">
        <v>0.43</v>
      </c>
      <c r="Y154">
        <v>1.38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0.43</v>
      </c>
      <c r="AH154">
        <v>2</v>
      </c>
      <c r="AI154">
        <v>56959818</v>
      </c>
      <c r="AJ154">
        <v>125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ROW(Source!A157)</f>
        <v>157</v>
      </c>
      <c r="B155">
        <v>56960978</v>
      </c>
      <c r="C155">
        <v>56959814</v>
      </c>
      <c r="D155">
        <v>56061764</v>
      </c>
      <c r="E155">
        <v>1</v>
      </c>
      <c r="F155">
        <v>1</v>
      </c>
      <c r="G155">
        <v>1080</v>
      </c>
      <c r="H155">
        <v>3</v>
      </c>
      <c r="I155" t="s">
        <v>535</v>
      </c>
      <c r="J155" t="s">
        <v>536</v>
      </c>
      <c r="K155" t="s">
        <v>537</v>
      </c>
      <c r="L155">
        <v>1346</v>
      </c>
      <c r="N155">
        <v>1009</v>
      </c>
      <c r="O155" t="s">
        <v>249</v>
      </c>
      <c r="P155" t="s">
        <v>249</v>
      </c>
      <c r="Q155">
        <v>1</v>
      </c>
      <c r="X155">
        <v>0.16</v>
      </c>
      <c r="Y155">
        <v>159.06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0.16</v>
      </c>
      <c r="AH155">
        <v>2</v>
      </c>
      <c r="AI155">
        <v>56959819</v>
      </c>
      <c r="AJ155">
        <v>126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ROW(Source!A157)</f>
        <v>157</v>
      </c>
      <c r="B156">
        <v>56960979</v>
      </c>
      <c r="C156">
        <v>56959814</v>
      </c>
      <c r="D156">
        <v>56084707</v>
      </c>
      <c r="E156">
        <v>1</v>
      </c>
      <c r="F156">
        <v>1</v>
      </c>
      <c r="G156">
        <v>1080</v>
      </c>
      <c r="H156">
        <v>3</v>
      </c>
      <c r="I156" t="s">
        <v>538</v>
      </c>
      <c r="J156" t="s">
        <v>539</v>
      </c>
      <c r="K156" t="s">
        <v>540</v>
      </c>
      <c r="L156">
        <v>1355</v>
      </c>
      <c r="N156">
        <v>1010</v>
      </c>
      <c r="O156" t="s">
        <v>520</v>
      </c>
      <c r="P156" t="s">
        <v>520</v>
      </c>
      <c r="Q156">
        <v>100</v>
      </c>
      <c r="X156">
        <v>0.05</v>
      </c>
      <c r="Y156">
        <v>68.819999999999993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0.05</v>
      </c>
      <c r="AH156">
        <v>2</v>
      </c>
      <c r="AI156">
        <v>56959820</v>
      </c>
      <c r="AJ156">
        <v>127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ROW(Source!A157)</f>
        <v>157</v>
      </c>
      <c r="B157">
        <v>56960980</v>
      </c>
      <c r="C157">
        <v>56959814</v>
      </c>
      <c r="D157">
        <v>56084718</v>
      </c>
      <c r="E157">
        <v>1</v>
      </c>
      <c r="F157">
        <v>1</v>
      </c>
      <c r="G157">
        <v>1080</v>
      </c>
      <c r="H157">
        <v>3</v>
      </c>
      <c r="I157" t="s">
        <v>541</v>
      </c>
      <c r="J157" t="s">
        <v>542</v>
      </c>
      <c r="K157" t="s">
        <v>543</v>
      </c>
      <c r="L157">
        <v>1356</v>
      </c>
      <c r="N157">
        <v>1010</v>
      </c>
      <c r="O157" t="s">
        <v>544</v>
      </c>
      <c r="P157" t="s">
        <v>544</v>
      </c>
      <c r="Q157">
        <v>1000</v>
      </c>
      <c r="X157">
        <v>1.2200000000000001E-2</v>
      </c>
      <c r="Y157">
        <v>183.4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1.2200000000000001E-2</v>
      </c>
      <c r="AH157">
        <v>2</v>
      </c>
      <c r="AI157">
        <v>56959821</v>
      </c>
      <c r="AJ157">
        <v>128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ROW(Source!A157)</f>
        <v>157</v>
      </c>
      <c r="B158">
        <v>56960981</v>
      </c>
      <c r="C158">
        <v>56959814</v>
      </c>
      <c r="D158">
        <v>56084044</v>
      </c>
      <c r="E158">
        <v>1</v>
      </c>
      <c r="F158">
        <v>1</v>
      </c>
      <c r="G158">
        <v>1080</v>
      </c>
      <c r="H158">
        <v>3</v>
      </c>
      <c r="I158" t="s">
        <v>545</v>
      </c>
      <c r="J158" t="s">
        <v>546</v>
      </c>
      <c r="K158" t="s">
        <v>547</v>
      </c>
      <c r="L158">
        <v>1354</v>
      </c>
      <c r="N158">
        <v>1010</v>
      </c>
      <c r="O158" t="s">
        <v>31</v>
      </c>
      <c r="P158" t="s">
        <v>31</v>
      </c>
      <c r="Q158">
        <v>1</v>
      </c>
      <c r="X158">
        <v>3.1</v>
      </c>
      <c r="Y158">
        <v>6.94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</v>
      </c>
      <c r="AG158">
        <v>3.1</v>
      </c>
      <c r="AH158">
        <v>2</v>
      </c>
      <c r="AI158">
        <v>56959822</v>
      </c>
      <c r="AJ158">
        <v>129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ROW(Source!A157)</f>
        <v>157</v>
      </c>
      <c r="B159">
        <v>56960982</v>
      </c>
      <c r="C159">
        <v>56959814</v>
      </c>
      <c r="D159">
        <v>56084051</v>
      </c>
      <c r="E159">
        <v>1</v>
      </c>
      <c r="F159">
        <v>1</v>
      </c>
      <c r="G159">
        <v>1080</v>
      </c>
      <c r="H159">
        <v>3</v>
      </c>
      <c r="I159" t="s">
        <v>548</v>
      </c>
      <c r="J159" t="s">
        <v>549</v>
      </c>
      <c r="K159" t="s">
        <v>550</v>
      </c>
      <c r="L159">
        <v>1356</v>
      </c>
      <c r="N159">
        <v>1010</v>
      </c>
      <c r="O159" t="s">
        <v>544</v>
      </c>
      <c r="P159" t="s">
        <v>544</v>
      </c>
      <c r="Q159">
        <v>1000</v>
      </c>
      <c r="X159">
        <v>8.0000000000000002E-3</v>
      </c>
      <c r="Y159">
        <v>614.09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3</v>
      </c>
      <c r="AG159">
        <v>8.0000000000000002E-3</v>
      </c>
      <c r="AH159">
        <v>2</v>
      </c>
      <c r="AI159">
        <v>56959823</v>
      </c>
      <c r="AJ159">
        <v>130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ROW(Source!A157)</f>
        <v>157</v>
      </c>
      <c r="B160">
        <v>56960983</v>
      </c>
      <c r="C160">
        <v>56959814</v>
      </c>
      <c r="D160">
        <v>56033636</v>
      </c>
      <c r="E160">
        <v>1080</v>
      </c>
      <c r="F160">
        <v>1</v>
      </c>
      <c r="G160">
        <v>1080</v>
      </c>
      <c r="H160">
        <v>3</v>
      </c>
      <c r="I160" t="s">
        <v>653</v>
      </c>
      <c r="J160" t="s">
        <v>3</v>
      </c>
      <c r="K160" t="s">
        <v>654</v>
      </c>
      <c r="L160">
        <v>1303</v>
      </c>
      <c r="N160">
        <v>1003</v>
      </c>
      <c r="O160" t="s">
        <v>108</v>
      </c>
      <c r="P160" t="s">
        <v>108</v>
      </c>
      <c r="Q160">
        <v>1000</v>
      </c>
      <c r="X160">
        <v>0.10299999999999999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</v>
      </c>
      <c r="AG160">
        <v>0.10299999999999999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ROW(Source!A197)</f>
        <v>197</v>
      </c>
      <c r="B161">
        <v>56960984</v>
      </c>
      <c r="C161">
        <v>56959894</v>
      </c>
      <c r="D161">
        <v>56018166</v>
      </c>
      <c r="E161">
        <v>1080</v>
      </c>
      <c r="F161">
        <v>1</v>
      </c>
      <c r="G161">
        <v>1080</v>
      </c>
      <c r="H161">
        <v>1</v>
      </c>
      <c r="I161" t="s">
        <v>500</v>
      </c>
      <c r="J161" t="s">
        <v>3</v>
      </c>
      <c r="K161" t="s">
        <v>501</v>
      </c>
      <c r="L161">
        <v>1191</v>
      </c>
      <c r="N161">
        <v>1013</v>
      </c>
      <c r="O161" t="s">
        <v>502</v>
      </c>
      <c r="P161" t="s">
        <v>502</v>
      </c>
      <c r="Q161">
        <v>1</v>
      </c>
      <c r="X161">
        <v>5.7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23</v>
      </c>
      <c r="AG161">
        <v>6.2700000000000005</v>
      </c>
      <c r="AH161">
        <v>2</v>
      </c>
      <c r="AI161">
        <v>56959895</v>
      </c>
      <c r="AJ161">
        <v>133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ROW(Source!A198)</f>
        <v>198</v>
      </c>
      <c r="B162">
        <v>56960984</v>
      </c>
      <c r="C162">
        <v>56959894</v>
      </c>
      <c r="D162">
        <v>56018166</v>
      </c>
      <c r="E162">
        <v>1080</v>
      </c>
      <c r="F162">
        <v>1</v>
      </c>
      <c r="G162">
        <v>1080</v>
      </c>
      <c r="H162">
        <v>1</v>
      </c>
      <c r="I162" t="s">
        <v>500</v>
      </c>
      <c r="J162" t="s">
        <v>3</v>
      </c>
      <c r="K162" t="s">
        <v>501</v>
      </c>
      <c r="L162">
        <v>1191</v>
      </c>
      <c r="N162">
        <v>1013</v>
      </c>
      <c r="O162" t="s">
        <v>502</v>
      </c>
      <c r="P162" t="s">
        <v>502</v>
      </c>
      <c r="Q162">
        <v>1</v>
      </c>
      <c r="X162">
        <v>5.7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 t="s">
        <v>23</v>
      </c>
      <c r="AG162">
        <v>6.2700000000000005</v>
      </c>
      <c r="AH162">
        <v>2</v>
      </c>
      <c r="AI162">
        <v>56959895</v>
      </c>
      <c r="AJ162">
        <v>134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ROW(Source!A201)</f>
        <v>201</v>
      </c>
      <c r="B163">
        <v>56960985</v>
      </c>
      <c r="C163">
        <v>56959898</v>
      </c>
      <c r="D163">
        <v>56018166</v>
      </c>
      <c r="E163">
        <v>1080</v>
      </c>
      <c r="F163">
        <v>1</v>
      </c>
      <c r="G163">
        <v>1080</v>
      </c>
      <c r="H163">
        <v>1</v>
      </c>
      <c r="I163" t="s">
        <v>500</v>
      </c>
      <c r="J163" t="s">
        <v>3</v>
      </c>
      <c r="K163" t="s">
        <v>501</v>
      </c>
      <c r="L163">
        <v>1191</v>
      </c>
      <c r="N163">
        <v>1013</v>
      </c>
      <c r="O163" t="s">
        <v>502</v>
      </c>
      <c r="P163" t="s">
        <v>502</v>
      </c>
      <c r="Q163">
        <v>1</v>
      </c>
      <c r="X163">
        <v>1.03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 t="s">
        <v>23</v>
      </c>
      <c r="AG163">
        <v>1.1330000000000002</v>
      </c>
      <c r="AH163">
        <v>2</v>
      </c>
      <c r="AI163">
        <v>56959899</v>
      </c>
      <c r="AJ163">
        <v>135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ROW(Source!A201)</f>
        <v>201</v>
      </c>
      <c r="B164">
        <v>56960986</v>
      </c>
      <c r="C164">
        <v>56959898</v>
      </c>
      <c r="D164">
        <v>56092340</v>
      </c>
      <c r="E164">
        <v>1</v>
      </c>
      <c r="F164">
        <v>1</v>
      </c>
      <c r="G164">
        <v>1080</v>
      </c>
      <c r="H164">
        <v>2</v>
      </c>
      <c r="I164" t="s">
        <v>503</v>
      </c>
      <c r="J164" t="s">
        <v>504</v>
      </c>
      <c r="K164" t="s">
        <v>505</v>
      </c>
      <c r="L164">
        <v>1368</v>
      </c>
      <c r="N164">
        <v>1011</v>
      </c>
      <c r="O164" t="s">
        <v>506</v>
      </c>
      <c r="P164" t="s">
        <v>506</v>
      </c>
      <c r="Q164">
        <v>1</v>
      </c>
      <c r="X164">
        <v>6.0000000000000001E-3</v>
      </c>
      <c r="Y164">
        <v>0</v>
      </c>
      <c r="Z164">
        <v>83.1</v>
      </c>
      <c r="AA164">
        <v>12.62</v>
      </c>
      <c r="AB164">
        <v>0</v>
      </c>
      <c r="AC164">
        <v>0</v>
      </c>
      <c r="AD164">
        <v>1</v>
      </c>
      <c r="AE164">
        <v>0</v>
      </c>
      <c r="AF164" t="s">
        <v>23</v>
      </c>
      <c r="AG164">
        <v>6.6000000000000008E-3</v>
      </c>
      <c r="AH164">
        <v>2</v>
      </c>
      <c r="AI164">
        <v>56959900</v>
      </c>
      <c r="AJ164">
        <v>136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ROW(Source!A201)</f>
        <v>201</v>
      </c>
      <c r="B165">
        <v>56960987</v>
      </c>
      <c r="C165">
        <v>56959898</v>
      </c>
      <c r="D165">
        <v>56040043</v>
      </c>
      <c r="E165">
        <v>1080</v>
      </c>
      <c r="F165">
        <v>1</v>
      </c>
      <c r="G165">
        <v>1080</v>
      </c>
      <c r="H165">
        <v>3</v>
      </c>
      <c r="I165" t="s">
        <v>632</v>
      </c>
      <c r="J165" t="s">
        <v>3</v>
      </c>
      <c r="K165" t="s">
        <v>636</v>
      </c>
      <c r="L165">
        <v>1354</v>
      </c>
      <c r="N165">
        <v>1010</v>
      </c>
      <c r="O165" t="s">
        <v>31</v>
      </c>
      <c r="P165" t="s">
        <v>31</v>
      </c>
      <c r="Q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</v>
      </c>
      <c r="AG165">
        <v>1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ROW(Source!A202)</f>
        <v>202</v>
      </c>
      <c r="B166">
        <v>56960985</v>
      </c>
      <c r="C166">
        <v>56959898</v>
      </c>
      <c r="D166">
        <v>56018166</v>
      </c>
      <c r="E166">
        <v>1080</v>
      </c>
      <c r="F166">
        <v>1</v>
      </c>
      <c r="G166">
        <v>1080</v>
      </c>
      <c r="H166">
        <v>1</v>
      </c>
      <c r="I166" t="s">
        <v>500</v>
      </c>
      <c r="J166" t="s">
        <v>3</v>
      </c>
      <c r="K166" t="s">
        <v>501</v>
      </c>
      <c r="L166">
        <v>1191</v>
      </c>
      <c r="N166">
        <v>1013</v>
      </c>
      <c r="O166" t="s">
        <v>502</v>
      </c>
      <c r="P166" t="s">
        <v>502</v>
      </c>
      <c r="Q166">
        <v>1</v>
      </c>
      <c r="X166">
        <v>1.03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23</v>
      </c>
      <c r="AG166">
        <v>1.1330000000000002</v>
      </c>
      <c r="AH166">
        <v>2</v>
      </c>
      <c r="AI166">
        <v>56959899</v>
      </c>
      <c r="AJ166">
        <v>137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ROW(Source!A202)</f>
        <v>202</v>
      </c>
      <c r="B167">
        <v>56960986</v>
      </c>
      <c r="C167">
        <v>56959898</v>
      </c>
      <c r="D167">
        <v>56092340</v>
      </c>
      <c r="E167">
        <v>1</v>
      </c>
      <c r="F167">
        <v>1</v>
      </c>
      <c r="G167">
        <v>1080</v>
      </c>
      <c r="H167">
        <v>2</v>
      </c>
      <c r="I167" t="s">
        <v>503</v>
      </c>
      <c r="J167" t="s">
        <v>504</v>
      </c>
      <c r="K167" t="s">
        <v>505</v>
      </c>
      <c r="L167">
        <v>1368</v>
      </c>
      <c r="N167">
        <v>1011</v>
      </c>
      <c r="O167" t="s">
        <v>506</v>
      </c>
      <c r="P167" t="s">
        <v>506</v>
      </c>
      <c r="Q167">
        <v>1</v>
      </c>
      <c r="X167">
        <v>6.0000000000000001E-3</v>
      </c>
      <c r="Y167">
        <v>0</v>
      </c>
      <c r="Z167">
        <v>83.1</v>
      </c>
      <c r="AA167">
        <v>12.62</v>
      </c>
      <c r="AB167">
        <v>0</v>
      </c>
      <c r="AC167">
        <v>0</v>
      </c>
      <c r="AD167">
        <v>1</v>
      </c>
      <c r="AE167">
        <v>0</v>
      </c>
      <c r="AF167" t="s">
        <v>23</v>
      </c>
      <c r="AG167">
        <v>6.6000000000000008E-3</v>
      </c>
      <c r="AH167">
        <v>2</v>
      </c>
      <c r="AI167">
        <v>56959900</v>
      </c>
      <c r="AJ167">
        <v>138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ROW(Source!A202)</f>
        <v>202</v>
      </c>
      <c r="B168">
        <v>56960987</v>
      </c>
      <c r="C168">
        <v>56959898</v>
      </c>
      <c r="D168">
        <v>56040043</v>
      </c>
      <c r="E168">
        <v>1080</v>
      </c>
      <c r="F168">
        <v>1</v>
      </c>
      <c r="G168">
        <v>1080</v>
      </c>
      <c r="H168">
        <v>3</v>
      </c>
      <c r="I168" t="s">
        <v>632</v>
      </c>
      <c r="J168" t="s">
        <v>3</v>
      </c>
      <c r="K168" t="s">
        <v>636</v>
      </c>
      <c r="L168">
        <v>1354</v>
      </c>
      <c r="N168">
        <v>1010</v>
      </c>
      <c r="O168" t="s">
        <v>31</v>
      </c>
      <c r="P168" t="s">
        <v>31</v>
      </c>
      <c r="Q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</v>
      </c>
      <c r="AG168">
        <v>1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ROW(Source!A205)</f>
        <v>205</v>
      </c>
      <c r="B169">
        <v>56960988</v>
      </c>
      <c r="C169">
        <v>56959905</v>
      </c>
      <c r="D169">
        <v>56018166</v>
      </c>
      <c r="E169">
        <v>1080</v>
      </c>
      <c r="F169">
        <v>1</v>
      </c>
      <c r="G169">
        <v>1080</v>
      </c>
      <c r="H169">
        <v>1</v>
      </c>
      <c r="I169" t="s">
        <v>500</v>
      </c>
      <c r="J169" t="s">
        <v>3</v>
      </c>
      <c r="K169" t="s">
        <v>501</v>
      </c>
      <c r="L169">
        <v>1191</v>
      </c>
      <c r="N169">
        <v>1013</v>
      </c>
      <c r="O169" t="s">
        <v>502</v>
      </c>
      <c r="P169" t="s">
        <v>502</v>
      </c>
      <c r="Q169">
        <v>1</v>
      </c>
      <c r="X169">
        <v>1.2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 t="s">
        <v>23</v>
      </c>
      <c r="AG169">
        <v>1.32</v>
      </c>
      <c r="AH169">
        <v>2</v>
      </c>
      <c r="AI169">
        <v>56959906</v>
      </c>
      <c r="AJ169">
        <v>139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ROW(Source!A206)</f>
        <v>206</v>
      </c>
      <c r="B170">
        <v>56960988</v>
      </c>
      <c r="C170">
        <v>56959905</v>
      </c>
      <c r="D170">
        <v>56018166</v>
      </c>
      <c r="E170">
        <v>1080</v>
      </c>
      <c r="F170">
        <v>1</v>
      </c>
      <c r="G170">
        <v>1080</v>
      </c>
      <c r="H170">
        <v>1</v>
      </c>
      <c r="I170" t="s">
        <v>500</v>
      </c>
      <c r="J170" t="s">
        <v>3</v>
      </c>
      <c r="K170" t="s">
        <v>501</v>
      </c>
      <c r="L170">
        <v>1191</v>
      </c>
      <c r="N170">
        <v>1013</v>
      </c>
      <c r="O170" t="s">
        <v>502</v>
      </c>
      <c r="P170" t="s">
        <v>502</v>
      </c>
      <c r="Q170">
        <v>1</v>
      </c>
      <c r="X170">
        <v>1.2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 t="s">
        <v>23</v>
      </c>
      <c r="AG170">
        <v>1.32</v>
      </c>
      <c r="AH170">
        <v>2</v>
      </c>
      <c r="AI170">
        <v>56959906</v>
      </c>
      <c r="AJ170">
        <v>140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ROW(Source!A211)</f>
        <v>211</v>
      </c>
      <c r="B171">
        <v>56960989</v>
      </c>
      <c r="C171">
        <v>56959910</v>
      </c>
      <c r="D171">
        <v>56018166</v>
      </c>
      <c r="E171">
        <v>1080</v>
      </c>
      <c r="F171">
        <v>1</v>
      </c>
      <c r="G171">
        <v>1080</v>
      </c>
      <c r="H171">
        <v>1</v>
      </c>
      <c r="I171" t="s">
        <v>500</v>
      </c>
      <c r="J171" t="s">
        <v>3</v>
      </c>
      <c r="K171" t="s">
        <v>501</v>
      </c>
      <c r="L171">
        <v>1191</v>
      </c>
      <c r="N171">
        <v>1013</v>
      </c>
      <c r="O171" t="s">
        <v>502</v>
      </c>
      <c r="P171" t="s">
        <v>502</v>
      </c>
      <c r="Q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23</v>
      </c>
      <c r="AG171">
        <v>1.1000000000000001</v>
      </c>
      <c r="AH171">
        <v>2</v>
      </c>
      <c r="AI171">
        <v>56959911</v>
      </c>
      <c r="AJ171">
        <v>141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ROW(Source!A211)</f>
        <v>211</v>
      </c>
      <c r="B172">
        <v>56960990</v>
      </c>
      <c r="C172">
        <v>56959910</v>
      </c>
      <c r="D172">
        <v>56056341</v>
      </c>
      <c r="E172">
        <v>1080</v>
      </c>
      <c r="F172">
        <v>1</v>
      </c>
      <c r="G172">
        <v>1080</v>
      </c>
      <c r="H172">
        <v>3</v>
      </c>
      <c r="I172" t="s">
        <v>657</v>
      </c>
      <c r="J172" t="s">
        <v>3</v>
      </c>
      <c r="K172" t="s">
        <v>658</v>
      </c>
      <c r="L172">
        <v>1354</v>
      </c>
      <c r="N172">
        <v>1010</v>
      </c>
      <c r="O172" t="s">
        <v>31</v>
      </c>
      <c r="P172" t="s">
        <v>31</v>
      </c>
      <c r="Q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</v>
      </c>
      <c r="AG172">
        <v>1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ROW(Source!A211)</f>
        <v>211</v>
      </c>
      <c r="B173">
        <v>56960991</v>
      </c>
      <c r="C173">
        <v>56959910</v>
      </c>
      <c r="D173">
        <v>56023168</v>
      </c>
      <c r="E173">
        <v>1080</v>
      </c>
      <c r="F173">
        <v>1</v>
      </c>
      <c r="G173">
        <v>1080</v>
      </c>
      <c r="H173">
        <v>3</v>
      </c>
      <c r="I173" t="s">
        <v>521</v>
      </c>
      <c r="J173" t="s">
        <v>3</v>
      </c>
      <c r="K173" t="s">
        <v>522</v>
      </c>
      <c r="L173">
        <v>1348</v>
      </c>
      <c r="N173">
        <v>1009</v>
      </c>
      <c r="O173" t="s">
        <v>291</v>
      </c>
      <c r="P173" t="s">
        <v>291</v>
      </c>
      <c r="Q173">
        <v>1000</v>
      </c>
      <c r="X173">
        <v>1.6000000000000001E-4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1.6000000000000001E-4</v>
      </c>
      <c r="AH173">
        <v>2</v>
      </c>
      <c r="AI173">
        <v>56959912</v>
      </c>
      <c r="AJ173">
        <v>142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ROW(Source!A212)</f>
        <v>212</v>
      </c>
      <c r="B174">
        <v>56960989</v>
      </c>
      <c r="C174">
        <v>56959910</v>
      </c>
      <c r="D174">
        <v>56018166</v>
      </c>
      <c r="E174">
        <v>1080</v>
      </c>
      <c r="F174">
        <v>1</v>
      </c>
      <c r="G174">
        <v>1080</v>
      </c>
      <c r="H174">
        <v>1</v>
      </c>
      <c r="I174" t="s">
        <v>500</v>
      </c>
      <c r="J174" t="s">
        <v>3</v>
      </c>
      <c r="K174" t="s">
        <v>501</v>
      </c>
      <c r="L174">
        <v>1191</v>
      </c>
      <c r="N174">
        <v>1013</v>
      </c>
      <c r="O174" t="s">
        <v>502</v>
      </c>
      <c r="P174" t="s">
        <v>502</v>
      </c>
      <c r="Q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 t="s">
        <v>23</v>
      </c>
      <c r="AG174">
        <v>1.1000000000000001</v>
      </c>
      <c r="AH174">
        <v>2</v>
      </c>
      <c r="AI174">
        <v>56959911</v>
      </c>
      <c r="AJ174">
        <v>143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ROW(Source!A212)</f>
        <v>212</v>
      </c>
      <c r="B175">
        <v>56960990</v>
      </c>
      <c r="C175">
        <v>56959910</v>
      </c>
      <c r="D175">
        <v>56056341</v>
      </c>
      <c r="E175">
        <v>1080</v>
      </c>
      <c r="F175">
        <v>1</v>
      </c>
      <c r="G175">
        <v>1080</v>
      </c>
      <c r="H175">
        <v>3</v>
      </c>
      <c r="I175" t="s">
        <v>657</v>
      </c>
      <c r="J175" t="s">
        <v>3</v>
      </c>
      <c r="K175" t="s">
        <v>658</v>
      </c>
      <c r="L175">
        <v>1354</v>
      </c>
      <c r="N175">
        <v>1010</v>
      </c>
      <c r="O175" t="s">
        <v>31</v>
      </c>
      <c r="P175" t="s">
        <v>31</v>
      </c>
      <c r="Q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3</v>
      </c>
      <c r="AG175">
        <v>1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ROW(Source!A212)</f>
        <v>212</v>
      </c>
      <c r="B176">
        <v>56960991</v>
      </c>
      <c r="C176">
        <v>56959910</v>
      </c>
      <c r="D176">
        <v>56023168</v>
      </c>
      <c r="E176">
        <v>1080</v>
      </c>
      <c r="F176">
        <v>1</v>
      </c>
      <c r="G176">
        <v>1080</v>
      </c>
      <c r="H176">
        <v>3</v>
      </c>
      <c r="I176" t="s">
        <v>521</v>
      </c>
      <c r="J176" t="s">
        <v>3</v>
      </c>
      <c r="K176" t="s">
        <v>522</v>
      </c>
      <c r="L176">
        <v>1348</v>
      </c>
      <c r="N176">
        <v>1009</v>
      </c>
      <c r="O176" t="s">
        <v>291</v>
      </c>
      <c r="P176" t="s">
        <v>291</v>
      </c>
      <c r="Q176">
        <v>1000</v>
      </c>
      <c r="X176">
        <v>1.6000000000000001E-4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</v>
      </c>
      <c r="AG176">
        <v>1.6000000000000001E-4</v>
      </c>
      <c r="AH176">
        <v>2</v>
      </c>
      <c r="AI176">
        <v>56959912</v>
      </c>
      <c r="AJ176">
        <v>144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ROW(Source!A215)</f>
        <v>215</v>
      </c>
      <c r="B177">
        <v>56960992</v>
      </c>
      <c r="C177">
        <v>56959917</v>
      </c>
      <c r="D177">
        <v>56018166</v>
      </c>
      <c r="E177">
        <v>1080</v>
      </c>
      <c r="F177">
        <v>1</v>
      </c>
      <c r="G177">
        <v>1080</v>
      </c>
      <c r="H177">
        <v>1</v>
      </c>
      <c r="I177" t="s">
        <v>500</v>
      </c>
      <c r="J177" t="s">
        <v>3</v>
      </c>
      <c r="K177" t="s">
        <v>501</v>
      </c>
      <c r="L177">
        <v>1191</v>
      </c>
      <c r="N177">
        <v>1013</v>
      </c>
      <c r="O177" t="s">
        <v>502</v>
      </c>
      <c r="P177" t="s">
        <v>502</v>
      </c>
      <c r="Q177">
        <v>1</v>
      </c>
      <c r="X177">
        <v>3.18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23</v>
      </c>
      <c r="AG177">
        <v>3.4980000000000007</v>
      </c>
      <c r="AH177">
        <v>2</v>
      </c>
      <c r="AI177">
        <v>56959918</v>
      </c>
      <c r="AJ177">
        <v>145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ROW(Source!A215)</f>
        <v>215</v>
      </c>
      <c r="B178">
        <v>56960993</v>
      </c>
      <c r="C178">
        <v>56959917</v>
      </c>
      <c r="D178">
        <v>56062414</v>
      </c>
      <c r="E178">
        <v>1</v>
      </c>
      <c r="F178">
        <v>1</v>
      </c>
      <c r="G178">
        <v>1080</v>
      </c>
      <c r="H178">
        <v>3</v>
      </c>
      <c r="I178" t="s">
        <v>563</v>
      </c>
      <c r="J178" t="s">
        <v>564</v>
      </c>
      <c r="K178" t="s">
        <v>565</v>
      </c>
      <c r="L178">
        <v>1346</v>
      </c>
      <c r="N178">
        <v>1009</v>
      </c>
      <c r="O178" t="s">
        <v>249</v>
      </c>
      <c r="P178" t="s">
        <v>249</v>
      </c>
      <c r="Q178">
        <v>1</v>
      </c>
      <c r="X178">
        <v>6.2700000000000004E-3</v>
      </c>
      <c r="Y178">
        <v>27.62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</v>
      </c>
      <c r="AG178">
        <v>6.2700000000000004E-3</v>
      </c>
      <c r="AH178">
        <v>2</v>
      </c>
      <c r="AI178">
        <v>56959919</v>
      </c>
      <c r="AJ178">
        <v>146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ROW(Source!A215)</f>
        <v>215</v>
      </c>
      <c r="B179">
        <v>56960994</v>
      </c>
      <c r="C179">
        <v>56959917</v>
      </c>
      <c r="D179">
        <v>56061133</v>
      </c>
      <c r="E179">
        <v>1</v>
      </c>
      <c r="F179">
        <v>1</v>
      </c>
      <c r="G179">
        <v>1080</v>
      </c>
      <c r="H179">
        <v>3</v>
      </c>
      <c r="I179" t="s">
        <v>566</v>
      </c>
      <c r="J179" t="s">
        <v>567</v>
      </c>
      <c r="K179" t="s">
        <v>568</v>
      </c>
      <c r="L179">
        <v>1348</v>
      </c>
      <c r="N179">
        <v>1009</v>
      </c>
      <c r="O179" t="s">
        <v>291</v>
      </c>
      <c r="P179" t="s">
        <v>291</v>
      </c>
      <c r="Q179">
        <v>1000</v>
      </c>
      <c r="X179">
        <v>1.0000000000000001E-5</v>
      </c>
      <c r="Y179">
        <v>64123.05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</v>
      </c>
      <c r="AG179">
        <v>1.0000000000000001E-5</v>
      </c>
      <c r="AH179">
        <v>2</v>
      </c>
      <c r="AI179">
        <v>56959920</v>
      </c>
      <c r="AJ179">
        <v>147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ROW(Source!A215)</f>
        <v>215</v>
      </c>
      <c r="B180">
        <v>56960995</v>
      </c>
      <c r="C180">
        <v>56959917</v>
      </c>
      <c r="D180">
        <v>56071025</v>
      </c>
      <c r="E180">
        <v>1</v>
      </c>
      <c r="F180">
        <v>1</v>
      </c>
      <c r="G180">
        <v>1080</v>
      </c>
      <c r="H180">
        <v>3</v>
      </c>
      <c r="I180" t="s">
        <v>569</v>
      </c>
      <c r="J180" t="s">
        <v>570</v>
      </c>
      <c r="K180" t="s">
        <v>571</v>
      </c>
      <c r="L180">
        <v>1354</v>
      </c>
      <c r="N180">
        <v>1010</v>
      </c>
      <c r="O180" t="s">
        <v>31</v>
      </c>
      <c r="P180" t="s">
        <v>31</v>
      </c>
      <c r="Q180">
        <v>1</v>
      </c>
      <c r="X180">
        <v>0.1</v>
      </c>
      <c r="Y180">
        <v>15.25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0.1</v>
      </c>
      <c r="AH180">
        <v>2</v>
      </c>
      <c r="AI180">
        <v>56959921</v>
      </c>
      <c r="AJ180">
        <v>148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ROW(Source!A215)</f>
        <v>215</v>
      </c>
      <c r="B181">
        <v>56960996</v>
      </c>
      <c r="C181">
        <v>56959917</v>
      </c>
      <c r="D181">
        <v>56040226</v>
      </c>
      <c r="E181">
        <v>1080</v>
      </c>
      <c r="F181">
        <v>1</v>
      </c>
      <c r="G181">
        <v>1080</v>
      </c>
      <c r="H181">
        <v>3</v>
      </c>
      <c r="I181" t="s">
        <v>637</v>
      </c>
      <c r="J181" t="s">
        <v>3</v>
      </c>
      <c r="K181" t="s">
        <v>659</v>
      </c>
      <c r="L181">
        <v>1354</v>
      </c>
      <c r="N181">
        <v>1010</v>
      </c>
      <c r="O181" t="s">
        <v>31</v>
      </c>
      <c r="P181" t="s">
        <v>31</v>
      </c>
      <c r="Q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</v>
      </c>
      <c r="AG181">
        <v>1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ROW(Source!A216)</f>
        <v>216</v>
      </c>
      <c r="B182">
        <v>56960992</v>
      </c>
      <c r="C182">
        <v>56959917</v>
      </c>
      <c r="D182">
        <v>56018166</v>
      </c>
      <c r="E182">
        <v>1080</v>
      </c>
      <c r="F182">
        <v>1</v>
      </c>
      <c r="G182">
        <v>1080</v>
      </c>
      <c r="H182">
        <v>1</v>
      </c>
      <c r="I182" t="s">
        <v>500</v>
      </c>
      <c r="J182" t="s">
        <v>3</v>
      </c>
      <c r="K182" t="s">
        <v>501</v>
      </c>
      <c r="L182">
        <v>1191</v>
      </c>
      <c r="N182">
        <v>1013</v>
      </c>
      <c r="O182" t="s">
        <v>502</v>
      </c>
      <c r="P182" t="s">
        <v>502</v>
      </c>
      <c r="Q182">
        <v>1</v>
      </c>
      <c r="X182">
        <v>3.18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23</v>
      </c>
      <c r="AG182">
        <v>3.4980000000000007</v>
      </c>
      <c r="AH182">
        <v>2</v>
      </c>
      <c r="AI182">
        <v>56959918</v>
      </c>
      <c r="AJ182">
        <v>149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ROW(Source!A216)</f>
        <v>216</v>
      </c>
      <c r="B183">
        <v>56960993</v>
      </c>
      <c r="C183">
        <v>56959917</v>
      </c>
      <c r="D183">
        <v>56062414</v>
      </c>
      <c r="E183">
        <v>1</v>
      </c>
      <c r="F183">
        <v>1</v>
      </c>
      <c r="G183">
        <v>1080</v>
      </c>
      <c r="H183">
        <v>3</v>
      </c>
      <c r="I183" t="s">
        <v>563</v>
      </c>
      <c r="J183" t="s">
        <v>564</v>
      </c>
      <c r="K183" t="s">
        <v>565</v>
      </c>
      <c r="L183">
        <v>1346</v>
      </c>
      <c r="N183">
        <v>1009</v>
      </c>
      <c r="O183" t="s">
        <v>249</v>
      </c>
      <c r="P183" t="s">
        <v>249</v>
      </c>
      <c r="Q183">
        <v>1</v>
      </c>
      <c r="X183">
        <v>6.2700000000000004E-3</v>
      </c>
      <c r="Y183">
        <v>27.62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6.2700000000000004E-3</v>
      </c>
      <c r="AH183">
        <v>2</v>
      </c>
      <c r="AI183">
        <v>56959919</v>
      </c>
      <c r="AJ183">
        <v>150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ROW(Source!A216)</f>
        <v>216</v>
      </c>
      <c r="B184">
        <v>56960994</v>
      </c>
      <c r="C184">
        <v>56959917</v>
      </c>
      <c r="D184">
        <v>56061133</v>
      </c>
      <c r="E184">
        <v>1</v>
      </c>
      <c r="F184">
        <v>1</v>
      </c>
      <c r="G184">
        <v>1080</v>
      </c>
      <c r="H184">
        <v>3</v>
      </c>
      <c r="I184" t="s">
        <v>566</v>
      </c>
      <c r="J184" t="s">
        <v>567</v>
      </c>
      <c r="K184" t="s">
        <v>568</v>
      </c>
      <c r="L184">
        <v>1348</v>
      </c>
      <c r="N184">
        <v>1009</v>
      </c>
      <c r="O184" t="s">
        <v>291</v>
      </c>
      <c r="P184" t="s">
        <v>291</v>
      </c>
      <c r="Q184">
        <v>1000</v>
      </c>
      <c r="X184">
        <v>1.0000000000000001E-5</v>
      </c>
      <c r="Y184">
        <v>64123.05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1.0000000000000001E-5</v>
      </c>
      <c r="AH184">
        <v>2</v>
      </c>
      <c r="AI184">
        <v>56959920</v>
      </c>
      <c r="AJ184">
        <v>151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ROW(Source!A216)</f>
        <v>216</v>
      </c>
      <c r="B185">
        <v>56960995</v>
      </c>
      <c r="C185">
        <v>56959917</v>
      </c>
      <c r="D185">
        <v>56071025</v>
      </c>
      <c r="E185">
        <v>1</v>
      </c>
      <c r="F185">
        <v>1</v>
      </c>
      <c r="G185">
        <v>1080</v>
      </c>
      <c r="H185">
        <v>3</v>
      </c>
      <c r="I185" t="s">
        <v>569</v>
      </c>
      <c r="J185" t="s">
        <v>570</v>
      </c>
      <c r="K185" t="s">
        <v>571</v>
      </c>
      <c r="L185">
        <v>1354</v>
      </c>
      <c r="N185">
        <v>1010</v>
      </c>
      <c r="O185" t="s">
        <v>31</v>
      </c>
      <c r="P185" t="s">
        <v>31</v>
      </c>
      <c r="Q185">
        <v>1</v>
      </c>
      <c r="X185">
        <v>0.1</v>
      </c>
      <c r="Y185">
        <v>15.25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0.1</v>
      </c>
      <c r="AH185">
        <v>2</v>
      </c>
      <c r="AI185">
        <v>56959921</v>
      </c>
      <c r="AJ185">
        <v>152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ROW(Source!A216)</f>
        <v>216</v>
      </c>
      <c r="B186">
        <v>56960996</v>
      </c>
      <c r="C186">
        <v>56959917</v>
      </c>
      <c r="D186">
        <v>56040226</v>
      </c>
      <c r="E186">
        <v>1080</v>
      </c>
      <c r="F186">
        <v>1</v>
      </c>
      <c r="G186">
        <v>1080</v>
      </c>
      <c r="H186">
        <v>3</v>
      </c>
      <c r="I186" t="s">
        <v>637</v>
      </c>
      <c r="J186" t="s">
        <v>3</v>
      </c>
      <c r="K186" t="s">
        <v>659</v>
      </c>
      <c r="L186">
        <v>1354</v>
      </c>
      <c r="N186">
        <v>1010</v>
      </c>
      <c r="O186" t="s">
        <v>31</v>
      </c>
      <c r="P186" t="s">
        <v>31</v>
      </c>
      <c r="Q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</v>
      </c>
      <c r="AG186">
        <v>1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ROW(Source!A219)</f>
        <v>219</v>
      </c>
      <c r="B187">
        <v>56960997</v>
      </c>
      <c r="C187">
        <v>56959928</v>
      </c>
      <c r="D187">
        <v>56018166</v>
      </c>
      <c r="E187">
        <v>1080</v>
      </c>
      <c r="F187">
        <v>1</v>
      </c>
      <c r="G187">
        <v>1080</v>
      </c>
      <c r="H187">
        <v>1</v>
      </c>
      <c r="I187" t="s">
        <v>500</v>
      </c>
      <c r="J187" t="s">
        <v>3</v>
      </c>
      <c r="K187" t="s">
        <v>501</v>
      </c>
      <c r="L187">
        <v>1191</v>
      </c>
      <c r="N187">
        <v>1013</v>
      </c>
      <c r="O187" t="s">
        <v>502</v>
      </c>
      <c r="P187" t="s">
        <v>502</v>
      </c>
      <c r="Q187">
        <v>1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3</v>
      </c>
      <c r="AG187">
        <v>2</v>
      </c>
      <c r="AH187">
        <v>2</v>
      </c>
      <c r="AI187">
        <v>56959929</v>
      </c>
      <c r="AJ187">
        <v>153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ROW(Source!A219)</f>
        <v>219</v>
      </c>
      <c r="B188">
        <v>56960998</v>
      </c>
      <c r="C188">
        <v>56959928</v>
      </c>
      <c r="D188">
        <v>56092342</v>
      </c>
      <c r="E188">
        <v>1</v>
      </c>
      <c r="F188">
        <v>1</v>
      </c>
      <c r="G188">
        <v>1080</v>
      </c>
      <c r="H188">
        <v>2</v>
      </c>
      <c r="I188" t="s">
        <v>508</v>
      </c>
      <c r="J188" t="s">
        <v>509</v>
      </c>
      <c r="K188" t="s">
        <v>510</v>
      </c>
      <c r="L188">
        <v>1368</v>
      </c>
      <c r="N188">
        <v>1011</v>
      </c>
      <c r="O188" t="s">
        <v>506</v>
      </c>
      <c r="P188" t="s">
        <v>506</v>
      </c>
      <c r="Q188">
        <v>1</v>
      </c>
      <c r="X188">
        <v>0.02</v>
      </c>
      <c r="Y188">
        <v>0</v>
      </c>
      <c r="Z188">
        <v>119.07</v>
      </c>
      <c r="AA188">
        <v>12.62</v>
      </c>
      <c r="AB188">
        <v>0</v>
      </c>
      <c r="AC188">
        <v>0</v>
      </c>
      <c r="AD188">
        <v>1</v>
      </c>
      <c r="AE188">
        <v>0</v>
      </c>
      <c r="AF188" t="s">
        <v>3</v>
      </c>
      <c r="AG188">
        <v>0.02</v>
      </c>
      <c r="AH188">
        <v>2</v>
      </c>
      <c r="AI188">
        <v>56959930</v>
      </c>
      <c r="AJ188">
        <v>154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ROW(Source!A219)</f>
        <v>219</v>
      </c>
      <c r="B189">
        <v>56960999</v>
      </c>
      <c r="C189">
        <v>56959928</v>
      </c>
      <c r="D189">
        <v>56061656</v>
      </c>
      <c r="E189">
        <v>1</v>
      </c>
      <c r="F189">
        <v>1</v>
      </c>
      <c r="G189">
        <v>1080</v>
      </c>
      <c r="H189">
        <v>3</v>
      </c>
      <c r="I189" t="s">
        <v>511</v>
      </c>
      <c r="J189" t="s">
        <v>512</v>
      </c>
      <c r="K189" t="s">
        <v>513</v>
      </c>
      <c r="L189">
        <v>1346</v>
      </c>
      <c r="N189">
        <v>1009</v>
      </c>
      <c r="O189" t="s">
        <v>249</v>
      </c>
      <c r="P189" t="s">
        <v>249</v>
      </c>
      <c r="Q189">
        <v>1</v>
      </c>
      <c r="X189">
        <v>0.9</v>
      </c>
      <c r="Y189">
        <v>104.63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</v>
      </c>
      <c r="AG189">
        <v>0.9</v>
      </c>
      <c r="AH189">
        <v>2</v>
      </c>
      <c r="AI189">
        <v>56959931</v>
      </c>
      <c r="AJ189">
        <v>155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ROW(Source!A219)</f>
        <v>219</v>
      </c>
      <c r="B190">
        <v>56961000</v>
      </c>
      <c r="C190">
        <v>56959928</v>
      </c>
      <c r="D190">
        <v>56063129</v>
      </c>
      <c r="E190">
        <v>1</v>
      </c>
      <c r="F190">
        <v>1</v>
      </c>
      <c r="G190">
        <v>1080</v>
      </c>
      <c r="H190">
        <v>3</v>
      </c>
      <c r="I190" t="s">
        <v>514</v>
      </c>
      <c r="J190" t="s">
        <v>515</v>
      </c>
      <c r="K190" t="s">
        <v>516</v>
      </c>
      <c r="L190">
        <v>1348</v>
      </c>
      <c r="N190">
        <v>1009</v>
      </c>
      <c r="O190" t="s">
        <v>291</v>
      </c>
      <c r="P190" t="s">
        <v>291</v>
      </c>
      <c r="Q190">
        <v>1000</v>
      </c>
      <c r="X190">
        <v>2.6999999999999999E-5</v>
      </c>
      <c r="Y190">
        <v>15568.37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</v>
      </c>
      <c r="AG190">
        <v>2.6999999999999999E-5</v>
      </c>
      <c r="AH190">
        <v>2</v>
      </c>
      <c r="AI190">
        <v>56959932</v>
      </c>
      <c r="AJ190">
        <v>156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ROW(Source!A219)</f>
        <v>219</v>
      </c>
      <c r="B191">
        <v>56961001</v>
      </c>
      <c r="C191">
        <v>56959928</v>
      </c>
      <c r="D191">
        <v>56067341</v>
      </c>
      <c r="E191">
        <v>1</v>
      </c>
      <c r="F191">
        <v>1</v>
      </c>
      <c r="G191">
        <v>1080</v>
      </c>
      <c r="H191">
        <v>3</v>
      </c>
      <c r="I191" t="s">
        <v>517</v>
      </c>
      <c r="J191" t="s">
        <v>518</v>
      </c>
      <c r="K191" t="s">
        <v>519</v>
      </c>
      <c r="L191">
        <v>1355</v>
      </c>
      <c r="N191">
        <v>1010</v>
      </c>
      <c r="O191" t="s">
        <v>520</v>
      </c>
      <c r="P191" t="s">
        <v>520</v>
      </c>
      <c r="Q191">
        <v>100</v>
      </c>
      <c r="X191">
        <v>0.12</v>
      </c>
      <c r="Y191">
        <v>120.19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0.12</v>
      </c>
      <c r="AH191">
        <v>2</v>
      </c>
      <c r="AI191">
        <v>56959933</v>
      </c>
      <c r="AJ191">
        <v>157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ROW(Source!A219)</f>
        <v>219</v>
      </c>
      <c r="B192">
        <v>56961002</v>
      </c>
      <c r="C192">
        <v>56959928</v>
      </c>
      <c r="D192">
        <v>56048882</v>
      </c>
      <c r="E192">
        <v>1080</v>
      </c>
      <c r="F192">
        <v>1</v>
      </c>
      <c r="G192">
        <v>1080</v>
      </c>
      <c r="H192">
        <v>3</v>
      </c>
      <c r="I192" t="s">
        <v>634</v>
      </c>
      <c r="J192" t="s">
        <v>3</v>
      </c>
      <c r="K192" t="s">
        <v>635</v>
      </c>
      <c r="L192">
        <v>1354</v>
      </c>
      <c r="N192">
        <v>1010</v>
      </c>
      <c r="O192" t="s">
        <v>31</v>
      </c>
      <c r="P192" t="s">
        <v>31</v>
      </c>
      <c r="Q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3</v>
      </c>
      <c r="AG192">
        <v>1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ROW(Source!A219)</f>
        <v>219</v>
      </c>
      <c r="B193">
        <v>56961003</v>
      </c>
      <c r="C193">
        <v>56959928</v>
      </c>
      <c r="D193">
        <v>56023168</v>
      </c>
      <c r="E193">
        <v>1080</v>
      </c>
      <c r="F193">
        <v>1</v>
      </c>
      <c r="G193">
        <v>1080</v>
      </c>
      <c r="H193">
        <v>3</v>
      </c>
      <c r="I193" t="s">
        <v>521</v>
      </c>
      <c r="J193" t="s">
        <v>3</v>
      </c>
      <c r="K193" t="s">
        <v>522</v>
      </c>
      <c r="L193">
        <v>1348</v>
      </c>
      <c r="N193">
        <v>1009</v>
      </c>
      <c r="O193" t="s">
        <v>291</v>
      </c>
      <c r="P193" t="s">
        <v>291</v>
      </c>
      <c r="Q193">
        <v>1000</v>
      </c>
      <c r="X193">
        <v>2.7E-2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2.7E-2</v>
      </c>
      <c r="AH193">
        <v>2</v>
      </c>
      <c r="AI193">
        <v>56959934</v>
      </c>
      <c r="AJ193">
        <v>158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ROW(Source!A220)</f>
        <v>220</v>
      </c>
      <c r="B194">
        <v>56960997</v>
      </c>
      <c r="C194">
        <v>56959928</v>
      </c>
      <c r="D194">
        <v>56018166</v>
      </c>
      <c r="E194">
        <v>1080</v>
      </c>
      <c r="F194">
        <v>1</v>
      </c>
      <c r="G194">
        <v>1080</v>
      </c>
      <c r="H194">
        <v>1</v>
      </c>
      <c r="I194" t="s">
        <v>500</v>
      </c>
      <c r="J194" t="s">
        <v>3</v>
      </c>
      <c r="K194" t="s">
        <v>501</v>
      </c>
      <c r="L194">
        <v>1191</v>
      </c>
      <c r="N194">
        <v>1013</v>
      </c>
      <c r="O194" t="s">
        <v>502</v>
      </c>
      <c r="P194" t="s">
        <v>502</v>
      </c>
      <c r="Q194">
        <v>1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 t="s">
        <v>3</v>
      </c>
      <c r="AG194">
        <v>2</v>
      </c>
      <c r="AH194">
        <v>2</v>
      </c>
      <c r="AI194">
        <v>56959929</v>
      </c>
      <c r="AJ194">
        <v>159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ROW(Source!A220)</f>
        <v>220</v>
      </c>
      <c r="B195">
        <v>56960998</v>
      </c>
      <c r="C195">
        <v>56959928</v>
      </c>
      <c r="D195">
        <v>56092342</v>
      </c>
      <c r="E195">
        <v>1</v>
      </c>
      <c r="F195">
        <v>1</v>
      </c>
      <c r="G195">
        <v>1080</v>
      </c>
      <c r="H195">
        <v>2</v>
      </c>
      <c r="I195" t="s">
        <v>508</v>
      </c>
      <c r="J195" t="s">
        <v>509</v>
      </c>
      <c r="K195" t="s">
        <v>510</v>
      </c>
      <c r="L195">
        <v>1368</v>
      </c>
      <c r="N195">
        <v>1011</v>
      </c>
      <c r="O195" t="s">
        <v>506</v>
      </c>
      <c r="P195" t="s">
        <v>506</v>
      </c>
      <c r="Q195">
        <v>1</v>
      </c>
      <c r="X195">
        <v>0.02</v>
      </c>
      <c r="Y195">
        <v>0</v>
      </c>
      <c r="Z195">
        <v>119.07</v>
      </c>
      <c r="AA195">
        <v>12.62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0.02</v>
      </c>
      <c r="AH195">
        <v>2</v>
      </c>
      <c r="AI195">
        <v>56959930</v>
      </c>
      <c r="AJ195">
        <v>160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ROW(Source!A220)</f>
        <v>220</v>
      </c>
      <c r="B196">
        <v>56960999</v>
      </c>
      <c r="C196">
        <v>56959928</v>
      </c>
      <c r="D196">
        <v>56061656</v>
      </c>
      <c r="E196">
        <v>1</v>
      </c>
      <c r="F196">
        <v>1</v>
      </c>
      <c r="G196">
        <v>1080</v>
      </c>
      <c r="H196">
        <v>3</v>
      </c>
      <c r="I196" t="s">
        <v>511</v>
      </c>
      <c r="J196" t="s">
        <v>512</v>
      </c>
      <c r="K196" t="s">
        <v>513</v>
      </c>
      <c r="L196">
        <v>1346</v>
      </c>
      <c r="N196">
        <v>1009</v>
      </c>
      <c r="O196" t="s">
        <v>249</v>
      </c>
      <c r="P196" t="s">
        <v>249</v>
      </c>
      <c r="Q196">
        <v>1</v>
      </c>
      <c r="X196">
        <v>0.9</v>
      </c>
      <c r="Y196">
        <v>104.63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0.9</v>
      </c>
      <c r="AH196">
        <v>2</v>
      </c>
      <c r="AI196">
        <v>56959931</v>
      </c>
      <c r="AJ196">
        <v>161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ROW(Source!A220)</f>
        <v>220</v>
      </c>
      <c r="B197">
        <v>56961000</v>
      </c>
      <c r="C197">
        <v>56959928</v>
      </c>
      <c r="D197">
        <v>56063129</v>
      </c>
      <c r="E197">
        <v>1</v>
      </c>
      <c r="F197">
        <v>1</v>
      </c>
      <c r="G197">
        <v>1080</v>
      </c>
      <c r="H197">
        <v>3</v>
      </c>
      <c r="I197" t="s">
        <v>514</v>
      </c>
      <c r="J197" t="s">
        <v>515</v>
      </c>
      <c r="K197" t="s">
        <v>516</v>
      </c>
      <c r="L197">
        <v>1348</v>
      </c>
      <c r="N197">
        <v>1009</v>
      </c>
      <c r="O197" t="s">
        <v>291</v>
      </c>
      <c r="P197" t="s">
        <v>291</v>
      </c>
      <c r="Q197">
        <v>1000</v>
      </c>
      <c r="X197">
        <v>2.6999999999999999E-5</v>
      </c>
      <c r="Y197">
        <v>15568.37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2.6999999999999999E-5</v>
      </c>
      <c r="AH197">
        <v>2</v>
      </c>
      <c r="AI197">
        <v>56959932</v>
      </c>
      <c r="AJ197">
        <v>162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ROW(Source!A220)</f>
        <v>220</v>
      </c>
      <c r="B198">
        <v>56961001</v>
      </c>
      <c r="C198">
        <v>56959928</v>
      </c>
      <c r="D198">
        <v>56067341</v>
      </c>
      <c r="E198">
        <v>1</v>
      </c>
      <c r="F198">
        <v>1</v>
      </c>
      <c r="G198">
        <v>1080</v>
      </c>
      <c r="H198">
        <v>3</v>
      </c>
      <c r="I198" t="s">
        <v>517</v>
      </c>
      <c r="J198" t="s">
        <v>518</v>
      </c>
      <c r="K198" t="s">
        <v>519</v>
      </c>
      <c r="L198">
        <v>1355</v>
      </c>
      <c r="N198">
        <v>1010</v>
      </c>
      <c r="O198" t="s">
        <v>520</v>
      </c>
      <c r="P198" t="s">
        <v>520</v>
      </c>
      <c r="Q198">
        <v>100</v>
      </c>
      <c r="X198">
        <v>0.12</v>
      </c>
      <c r="Y198">
        <v>120.19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0.12</v>
      </c>
      <c r="AH198">
        <v>2</v>
      </c>
      <c r="AI198">
        <v>56959933</v>
      </c>
      <c r="AJ198">
        <v>163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ROW(Source!A220)</f>
        <v>220</v>
      </c>
      <c r="B199">
        <v>56961002</v>
      </c>
      <c r="C199">
        <v>56959928</v>
      </c>
      <c r="D199">
        <v>56048882</v>
      </c>
      <c r="E199">
        <v>1080</v>
      </c>
      <c r="F199">
        <v>1</v>
      </c>
      <c r="G199">
        <v>1080</v>
      </c>
      <c r="H199">
        <v>3</v>
      </c>
      <c r="I199" t="s">
        <v>634</v>
      </c>
      <c r="J199" t="s">
        <v>3</v>
      </c>
      <c r="K199" t="s">
        <v>635</v>
      </c>
      <c r="L199">
        <v>1354</v>
      </c>
      <c r="N199">
        <v>1010</v>
      </c>
      <c r="O199" t="s">
        <v>31</v>
      </c>
      <c r="P199" t="s">
        <v>31</v>
      </c>
      <c r="Q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3</v>
      </c>
      <c r="AG199">
        <v>1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ROW(Source!A220)</f>
        <v>220</v>
      </c>
      <c r="B200">
        <v>56961003</v>
      </c>
      <c r="C200">
        <v>56959928</v>
      </c>
      <c r="D200">
        <v>56023168</v>
      </c>
      <c r="E200">
        <v>1080</v>
      </c>
      <c r="F200">
        <v>1</v>
      </c>
      <c r="G200">
        <v>1080</v>
      </c>
      <c r="H200">
        <v>3</v>
      </c>
      <c r="I200" t="s">
        <v>521</v>
      </c>
      <c r="J200" t="s">
        <v>3</v>
      </c>
      <c r="K200" t="s">
        <v>522</v>
      </c>
      <c r="L200">
        <v>1348</v>
      </c>
      <c r="N200">
        <v>1009</v>
      </c>
      <c r="O200" t="s">
        <v>291</v>
      </c>
      <c r="P200" t="s">
        <v>291</v>
      </c>
      <c r="Q200">
        <v>1000</v>
      </c>
      <c r="X200">
        <v>2.7E-2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</v>
      </c>
      <c r="AG200">
        <v>2.7E-2</v>
      </c>
      <c r="AH200">
        <v>2</v>
      </c>
      <c r="AI200">
        <v>56959934</v>
      </c>
      <c r="AJ200">
        <v>164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ROW(Source!A221)</f>
        <v>221</v>
      </c>
      <c r="B201">
        <v>56961004</v>
      </c>
      <c r="C201">
        <v>56959942</v>
      </c>
      <c r="D201">
        <v>56018166</v>
      </c>
      <c r="E201">
        <v>1080</v>
      </c>
      <c r="F201">
        <v>1</v>
      </c>
      <c r="G201">
        <v>1080</v>
      </c>
      <c r="H201">
        <v>1</v>
      </c>
      <c r="I201" t="s">
        <v>500</v>
      </c>
      <c r="J201" t="s">
        <v>3</v>
      </c>
      <c r="K201" t="s">
        <v>501</v>
      </c>
      <c r="L201">
        <v>1191</v>
      </c>
      <c r="N201">
        <v>1013</v>
      </c>
      <c r="O201" t="s">
        <v>502</v>
      </c>
      <c r="P201" t="s">
        <v>502</v>
      </c>
      <c r="Q201">
        <v>1</v>
      </c>
      <c r="X201">
        <v>2.06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23</v>
      </c>
      <c r="AG201">
        <v>2.2660000000000005</v>
      </c>
      <c r="AH201">
        <v>2</v>
      </c>
      <c r="AI201">
        <v>56959943</v>
      </c>
      <c r="AJ201">
        <v>165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ROW(Source!A221)</f>
        <v>221</v>
      </c>
      <c r="B202">
        <v>56961005</v>
      </c>
      <c r="C202">
        <v>56959942</v>
      </c>
      <c r="D202">
        <v>56091935</v>
      </c>
      <c r="E202">
        <v>1</v>
      </c>
      <c r="F202">
        <v>1</v>
      </c>
      <c r="G202">
        <v>1080</v>
      </c>
      <c r="H202">
        <v>2</v>
      </c>
      <c r="I202" t="s">
        <v>572</v>
      </c>
      <c r="J202" t="s">
        <v>573</v>
      </c>
      <c r="K202" t="s">
        <v>574</v>
      </c>
      <c r="L202">
        <v>1368</v>
      </c>
      <c r="N202">
        <v>1011</v>
      </c>
      <c r="O202" t="s">
        <v>506</v>
      </c>
      <c r="P202" t="s">
        <v>506</v>
      </c>
      <c r="Q202">
        <v>1</v>
      </c>
      <c r="X202">
        <v>0.19</v>
      </c>
      <c r="Y202">
        <v>0</v>
      </c>
      <c r="Z202">
        <v>41.45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23</v>
      </c>
      <c r="AG202">
        <v>0.20900000000000002</v>
      </c>
      <c r="AH202">
        <v>2</v>
      </c>
      <c r="AI202">
        <v>56959944</v>
      </c>
      <c r="AJ202">
        <v>166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ROW(Source!A221)</f>
        <v>221</v>
      </c>
      <c r="B203">
        <v>56961006</v>
      </c>
      <c r="C203">
        <v>56959942</v>
      </c>
      <c r="D203">
        <v>56092041</v>
      </c>
      <c r="E203">
        <v>1</v>
      </c>
      <c r="F203">
        <v>1</v>
      </c>
      <c r="G203">
        <v>1080</v>
      </c>
      <c r="H203">
        <v>2</v>
      </c>
      <c r="I203" t="s">
        <v>575</v>
      </c>
      <c r="J203" t="s">
        <v>576</v>
      </c>
      <c r="K203" t="s">
        <v>577</v>
      </c>
      <c r="L203">
        <v>1368</v>
      </c>
      <c r="N203">
        <v>1011</v>
      </c>
      <c r="O203" t="s">
        <v>506</v>
      </c>
      <c r="P203" t="s">
        <v>506</v>
      </c>
      <c r="Q203">
        <v>1</v>
      </c>
      <c r="X203">
        <v>0.61</v>
      </c>
      <c r="Y203">
        <v>0</v>
      </c>
      <c r="Z203">
        <v>7.11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23</v>
      </c>
      <c r="AG203">
        <v>0.67100000000000004</v>
      </c>
      <c r="AH203">
        <v>2</v>
      </c>
      <c r="AI203">
        <v>56959945</v>
      </c>
      <c r="AJ203">
        <v>167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ROW(Source!A221)</f>
        <v>221</v>
      </c>
      <c r="B204">
        <v>56961007</v>
      </c>
      <c r="C204">
        <v>56959942</v>
      </c>
      <c r="D204">
        <v>56092340</v>
      </c>
      <c r="E204">
        <v>1</v>
      </c>
      <c r="F204">
        <v>1</v>
      </c>
      <c r="G204">
        <v>1080</v>
      </c>
      <c r="H204">
        <v>2</v>
      </c>
      <c r="I204" t="s">
        <v>503</v>
      </c>
      <c r="J204" t="s">
        <v>504</v>
      </c>
      <c r="K204" t="s">
        <v>505</v>
      </c>
      <c r="L204">
        <v>1368</v>
      </c>
      <c r="N204">
        <v>1011</v>
      </c>
      <c r="O204" t="s">
        <v>506</v>
      </c>
      <c r="P204" t="s">
        <v>506</v>
      </c>
      <c r="Q204">
        <v>1</v>
      </c>
      <c r="X204">
        <v>0.06</v>
      </c>
      <c r="Y204">
        <v>0</v>
      </c>
      <c r="Z204">
        <v>83.1</v>
      </c>
      <c r="AA204">
        <v>12.62</v>
      </c>
      <c r="AB204">
        <v>0</v>
      </c>
      <c r="AC204">
        <v>0</v>
      </c>
      <c r="AD204">
        <v>1</v>
      </c>
      <c r="AE204">
        <v>0</v>
      </c>
      <c r="AF204" t="s">
        <v>23</v>
      </c>
      <c r="AG204">
        <v>6.6000000000000003E-2</v>
      </c>
      <c r="AH204">
        <v>2</v>
      </c>
      <c r="AI204">
        <v>56959946</v>
      </c>
      <c r="AJ204">
        <v>168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ROW(Source!A221)</f>
        <v>221</v>
      </c>
      <c r="B205">
        <v>56961008</v>
      </c>
      <c r="C205">
        <v>56959942</v>
      </c>
      <c r="D205">
        <v>56092389</v>
      </c>
      <c r="E205">
        <v>1</v>
      </c>
      <c r="F205">
        <v>1</v>
      </c>
      <c r="G205">
        <v>1080</v>
      </c>
      <c r="H205">
        <v>2</v>
      </c>
      <c r="I205" t="s">
        <v>578</v>
      </c>
      <c r="J205" t="s">
        <v>579</v>
      </c>
      <c r="K205" t="s">
        <v>580</v>
      </c>
      <c r="L205">
        <v>1368</v>
      </c>
      <c r="N205">
        <v>1011</v>
      </c>
      <c r="O205" t="s">
        <v>506</v>
      </c>
      <c r="P205" t="s">
        <v>506</v>
      </c>
      <c r="Q205">
        <v>1</v>
      </c>
      <c r="X205">
        <v>0.19</v>
      </c>
      <c r="Y205">
        <v>0</v>
      </c>
      <c r="Z205">
        <v>1.1499999999999999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23</v>
      </c>
      <c r="AG205">
        <v>0.20900000000000002</v>
      </c>
      <c r="AH205">
        <v>2</v>
      </c>
      <c r="AI205">
        <v>56959947</v>
      </c>
      <c r="AJ205">
        <v>169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ROW(Source!A221)</f>
        <v>221</v>
      </c>
      <c r="B206">
        <v>56961009</v>
      </c>
      <c r="C206">
        <v>56959942</v>
      </c>
      <c r="D206">
        <v>56061650</v>
      </c>
      <c r="E206">
        <v>1</v>
      </c>
      <c r="F206">
        <v>1</v>
      </c>
      <c r="G206">
        <v>1080</v>
      </c>
      <c r="H206">
        <v>3</v>
      </c>
      <c r="I206" t="s">
        <v>581</v>
      </c>
      <c r="J206" t="s">
        <v>582</v>
      </c>
      <c r="K206" t="s">
        <v>583</v>
      </c>
      <c r="L206">
        <v>1346</v>
      </c>
      <c r="N206">
        <v>1009</v>
      </c>
      <c r="O206" t="s">
        <v>249</v>
      </c>
      <c r="P206" t="s">
        <v>249</v>
      </c>
      <c r="Q206">
        <v>1</v>
      </c>
      <c r="X206">
        <v>0.02</v>
      </c>
      <c r="Y206">
        <v>29.89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0.02</v>
      </c>
      <c r="AH206">
        <v>2</v>
      </c>
      <c r="AI206">
        <v>56959948</v>
      </c>
      <c r="AJ206">
        <v>170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ROW(Source!A221)</f>
        <v>221</v>
      </c>
      <c r="B207">
        <v>56961010</v>
      </c>
      <c r="C207">
        <v>56959942</v>
      </c>
      <c r="D207">
        <v>56061720</v>
      </c>
      <c r="E207">
        <v>1</v>
      </c>
      <c r="F207">
        <v>1</v>
      </c>
      <c r="G207">
        <v>1080</v>
      </c>
      <c r="H207">
        <v>3</v>
      </c>
      <c r="I207" t="s">
        <v>584</v>
      </c>
      <c r="J207" t="s">
        <v>585</v>
      </c>
      <c r="K207" t="s">
        <v>586</v>
      </c>
      <c r="L207">
        <v>1348</v>
      </c>
      <c r="N207">
        <v>1009</v>
      </c>
      <c r="O207" t="s">
        <v>291</v>
      </c>
      <c r="P207" t="s">
        <v>291</v>
      </c>
      <c r="Q207">
        <v>1000</v>
      </c>
      <c r="X207">
        <v>1E-4</v>
      </c>
      <c r="Y207">
        <v>8590.86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</v>
      </c>
      <c r="AG207">
        <v>1E-4</v>
      </c>
      <c r="AH207">
        <v>2</v>
      </c>
      <c r="AI207">
        <v>56959949</v>
      </c>
      <c r="AJ207">
        <v>171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ROW(Source!A221)</f>
        <v>221</v>
      </c>
      <c r="B208">
        <v>56961011</v>
      </c>
      <c r="C208">
        <v>56959942</v>
      </c>
      <c r="D208">
        <v>56015394</v>
      </c>
      <c r="E208">
        <v>1080</v>
      </c>
      <c r="F208">
        <v>1</v>
      </c>
      <c r="G208">
        <v>1080</v>
      </c>
      <c r="H208">
        <v>3</v>
      </c>
      <c r="I208" t="s">
        <v>660</v>
      </c>
      <c r="J208" t="s">
        <v>3</v>
      </c>
      <c r="K208" t="s">
        <v>661</v>
      </c>
      <c r="L208">
        <v>1346</v>
      </c>
      <c r="N208">
        <v>1009</v>
      </c>
      <c r="O208" t="s">
        <v>249</v>
      </c>
      <c r="P208" t="s">
        <v>249</v>
      </c>
      <c r="Q208">
        <v>1</v>
      </c>
      <c r="X208">
        <v>0.1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</v>
      </c>
      <c r="AG208">
        <v>0.1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ROW(Source!A221)</f>
        <v>221</v>
      </c>
      <c r="B209">
        <v>56961012</v>
      </c>
      <c r="C209">
        <v>56959942</v>
      </c>
      <c r="D209">
        <v>56030654</v>
      </c>
      <c r="E209">
        <v>1080</v>
      </c>
      <c r="F209">
        <v>1</v>
      </c>
      <c r="G209">
        <v>1080</v>
      </c>
      <c r="H209">
        <v>3</v>
      </c>
      <c r="I209" t="s">
        <v>662</v>
      </c>
      <c r="J209" t="s">
        <v>3</v>
      </c>
      <c r="K209" t="s">
        <v>663</v>
      </c>
      <c r="L209">
        <v>1354</v>
      </c>
      <c r="N209">
        <v>1010</v>
      </c>
      <c r="O209" t="s">
        <v>31</v>
      </c>
      <c r="P209" t="s">
        <v>31</v>
      </c>
      <c r="Q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3</v>
      </c>
      <c r="AG209">
        <v>1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ROW(Source!A222)</f>
        <v>222</v>
      </c>
      <c r="B210">
        <v>56961004</v>
      </c>
      <c r="C210">
        <v>56959942</v>
      </c>
      <c r="D210">
        <v>56018166</v>
      </c>
      <c r="E210">
        <v>1080</v>
      </c>
      <c r="F210">
        <v>1</v>
      </c>
      <c r="G210">
        <v>1080</v>
      </c>
      <c r="H210">
        <v>1</v>
      </c>
      <c r="I210" t="s">
        <v>500</v>
      </c>
      <c r="J210" t="s">
        <v>3</v>
      </c>
      <c r="K210" t="s">
        <v>501</v>
      </c>
      <c r="L210">
        <v>1191</v>
      </c>
      <c r="N210">
        <v>1013</v>
      </c>
      <c r="O210" t="s">
        <v>502</v>
      </c>
      <c r="P210" t="s">
        <v>502</v>
      </c>
      <c r="Q210">
        <v>1</v>
      </c>
      <c r="X210">
        <v>2.06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 t="s">
        <v>23</v>
      </c>
      <c r="AG210">
        <v>2.2660000000000005</v>
      </c>
      <c r="AH210">
        <v>2</v>
      </c>
      <c r="AI210">
        <v>56959943</v>
      </c>
      <c r="AJ210">
        <v>173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ROW(Source!A222)</f>
        <v>222</v>
      </c>
      <c r="B211">
        <v>56961005</v>
      </c>
      <c r="C211">
        <v>56959942</v>
      </c>
      <c r="D211">
        <v>56091935</v>
      </c>
      <c r="E211">
        <v>1</v>
      </c>
      <c r="F211">
        <v>1</v>
      </c>
      <c r="G211">
        <v>1080</v>
      </c>
      <c r="H211">
        <v>2</v>
      </c>
      <c r="I211" t="s">
        <v>572</v>
      </c>
      <c r="J211" t="s">
        <v>573</v>
      </c>
      <c r="K211" t="s">
        <v>574</v>
      </c>
      <c r="L211">
        <v>1368</v>
      </c>
      <c r="N211">
        <v>1011</v>
      </c>
      <c r="O211" t="s">
        <v>506</v>
      </c>
      <c r="P211" t="s">
        <v>506</v>
      </c>
      <c r="Q211">
        <v>1</v>
      </c>
      <c r="X211">
        <v>0.19</v>
      </c>
      <c r="Y211">
        <v>0</v>
      </c>
      <c r="Z211">
        <v>41.45</v>
      </c>
      <c r="AA211">
        <v>12.62</v>
      </c>
      <c r="AB211">
        <v>0</v>
      </c>
      <c r="AC211">
        <v>0</v>
      </c>
      <c r="AD211">
        <v>1</v>
      </c>
      <c r="AE211">
        <v>0</v>
      </c>
      <c r="AF211" t="s">
        <v>23</v>
      </c>
      <c r="AG211">
        <v>0.20900000000000002</v>
      </c>
      <c r="AH211">
        <v>2</v>
      </c>
      <c r="AI211">
        <v>56959944</v>
      </c>
      <c r="AJ211">
        <v>174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ROW(Source!A222)</f>
        <v>222</v>
      </c>
      <c r="B212">
        <v>56961006</v>
      </c>
      <c r="C212">
        <v>56959942</v>
      </c>
      <c r="D212">
        <v>56092041</v>
      </c>
      <c r="E212">
        <v>1</v>
      </c>
      <c r="F212">
        <v>1</v>
      </c>
      <c r="G212">
        <v>1080</v>
      </c>
      <c r="H212">
        <v>2</v>
      </c>
      <c r="I212" t="s">
        <v>575</v>
      </c>
      <c r="J212" t="s">
        <v>576</v>
      </c>
      <c r="K212" t="s">
        <v>577</v>
      </c>
      <c r="L212">
        <v>1368</v>
      </c>
      <c r="N212">
        <v>1011</v>
      </c>
      <c r="O212" t="s">
        <v>506</v>
      </c>
      <c r="P212" t="s">
        <v>506</v>
      </c>
      <c r="Q212">
        <v>1</v>
      </c>
      <c r="X212">
        <v>0.61</v>
      </c>
      <c r="Y212">
        <v>0</v>
      </c>
      <c r="Z212">
        <v>7.11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23</v>
      </c>
      <c r="AG212">
        <v>0.67100000000000004</v>
      </c>
      <c r="AH212">
        <v>2</v>
      </c>
      <c r="AI212">
        <v>56959945</v>
      </c>
      <c r="AJ212">
        <v>175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ROW(Source!A222)</f>
        <v>222</v>
      </c>
      <c r="B213">
        <v>56961007</v>
      </c>
      <c r="C213">
        <v>56959942</v>
      </c>
      <c r="D213">
        <v>56092340</v>
      </c>
      <c r="E213">
        <v>1</v>
      </c>
      <c r="F213">
        <v>1</v>
      </c>
      <c r="G213">
        <v>1080</v>
      </c>
      <c r="H213">
        <v>2</v>
      </c>
      <c r="I213" t="s">
        <v>503</v>
      </c>
      <c r="J213" t="s">
        <v>504</v>
      </c>
      <c r="K213" t="s">
        <v>505</v>
      </c>
      <c r="L213">
        <v>1368</v>
      </c>
      <c r="N213">
        <v>1011</v>
      </c>
      <c r="O213" t="s">
        <v>506</v>
      </c>
      <c r="P213" t="s">
        <v>506</v>
      </c>
      <c r="Q213">
        <v>1</v>
      </c>
      <c r="X213">
        <v>0.06</v>
      </c>
      <c r="Y213">
        <v>0</v>
      </c>
      <c r="Z213">
        <v>83.1</v>
      </c>
      <c r="AA213">
        <v>12.62</v>
      </c>
      <c r="AB213">
        <v>0</v>
      </c>
      <c r="AC213">
        <v>0</v>
      </c>
      <c r="AD213">
        <v>1</v>
      </c>
      <c r="AE213">
        <v>0</v>
      </c>
      <c r="AF213" t="s">
        <v>23</v>
      </c>
      <c r="AG213">
        <v>6.6000000000000003E-2</v>
      </c>
      <c r="AH213">
        <v>2</v>
      </c>
      <c r="AI213">
        <v>56959946</v>
      </c>
      <c r="AJ213">
        <v>176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ROW(Source!A222)</f>
        <v>222</v>
      </c>
      <c r="B214">
        <v>56961008</v>
      </c>
      <c r="C214">
        <v>56959942</v>
      </c>
      <c r="D214">
        <v>56092389</v>
      </c>
      <c r="E214">
        <v>1</v>
      </c>
      <c r="F214">
        <v>1</v>
      </c>
      <c r="G214">
        <v>1080</v>
      </c>
      <c r="H214">
        <v>2</v>
      </c>
      <c r="I214" t="s">
        <v>578</v>
      </c>
      <c r="J214" t="s">
        <v>579</v>
      </c>
      <c r="K214" t="s">
        <v>580</v>
      </c>
      <c r="L214">
        <v>1368</v>
      </c>
      <c r="N214">
        <v>1011</v>
      </c>
      <c r="O214" t="s">
        <v>506</v>
      </c>
      <c r="P214" t="s">
        <v>506</v>
      </c>
      <c r="Q214">
        <v>1</v>
      </c>
      <c r="X214">
        <v>0.19</v>
      </c>
      <c r="Y214">
        <v>0</v>
      </c>
      <c r="Z214">
        <v>1.1499999999999999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23</v>
      </c>
      <c r="AG214">
        <v>0.20900000000000002</v>
      </c>
      <c r="AH214">
        <v>2</v>
      </c>
      <c r="AI214">
        <v>56959947</v>
      </c>
      <c r="AJ214">
        <v>177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ROW(Source!A222)</f>
        <v>222</v>
      </c>
      <c r="B215">
        <v>56961009</v>
      </c>
      <c r="C215">
        <v>56959942</v>
      </c>
      <c r="D215">
        <v>56061650</v>
      </c>
      <c r="E215">
        <v>1</v>
      </c>
      <c r="F215">
        <v>1</v>
      </c>
      <c r="G215">
        <v>1080</v>
      </c>
      <c r="H215">
        <v>3</v>
      </c>
      <c r="I215" t="s">
        <v>581</v>
      </c>
      <c r="J215" t="s">
        <v>582</v>
      </c>
      <c r="K215" t="s">
        <v>583</v>
      </c>
      <c r="L215">
        <v>1346</v>
      </c>
      <c r="N215">
        <v>1009</v>
      </c>
      <c r="O215" t="s">
        <v>249</v>
      </c>
      <c r="P215" t="s">
        <v>249</v>
      </c>
      <c r="Q215">
        <v>1</v>
      </c>
      <c r="X215">
        <v>0.02</v>
      </c>
      <c r="Y215">
        <v>29.89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</v>
      </c>
      <c r="AG215">
        <v>0.02</v>
      </c>
      <c r="AH215">
        <v>2</v>
      </c>
      <c r="AI215">
        <v>56959948</v>
      </c>
      <c r="AJ215">
        <v>178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ROW(Source!A222)</f>
        <v>222</v>
      </c>
      <c r="B216">
        <v>56961010</v>
      </c>
      <c r="C216">
        <v>56959942</v>
      </c>
      <c r="D216">
        <v>56061720</v>
      </c>
      <c r="E216">
        <v>1</v>
      </c>
      <c r="F216">
        <v>1</v>
      </c>
      <c r="G216">
        <v>1080</v>
      </c>
      <c r="H216">
        <v>3</v>
      </c>
      <c r="I216" t="s">
        <v>584</v>
      </c>
      <c r="J216" t="s">
        <v>585</v>
      </c>
      <c r="K216" t="s">
        <v>586</v>
      </c>
      <c r="L216">
        <v>1348</v>
      </c>
      <c r="N216">
        <v>1009</v>
      </c>
      <c r="O216" t="s">
        <v>291</v>
      </c>
      <c r="P216" t="s">
        <v>291</v>
      </c>
      <c r="Q216">
        <v>1000</v>
      </c>
      <c r="X216">
        <v>1E-4</v>
      </c>
      <c r="Y216">
        <v>8590.86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1E-4</v>
      </c>
      <c r="AH216">
        <v>2</v>
      </c>
      <c r="AI216">
        <v>56959949</v>
      </c>
      <c r="AJ216">
        <v>179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ROW(Source!A222)</f>
        <v>222</v>
      </c>
      <c r="B217">
        <v>56961011</v>
      </c>
      <c r="C217">
        <v>56959942</v>
      </c>
      <c r="D217">
        <v>56015394</v>
      </c>
      <c r="E217">
        <v>1080</v>
      </c>
      <c r="F217">
        <v>1</v>
      </c>
      <c r="G217">
        <v>1080</v>
      </c>
      <c r="H217">
        <v>3</v>
      </c>
      <c r="I217" t="s">
        <v>660</v>
      </c>
      <c r="J217" t="s">
        <v>3</v>
      </c>
      <c r="K217" t="s">
        <v>661</v>
      </c>
      <c r="L217">
        <v>1346</v>
      </c>
      <c r="N217">
        <v>1009</v>
      </c>
      <c r="O217" t="s">
        <v>249</v>
      </c>
      <c r="P217" t="s">
        <v>249</v>
      </c>
      <c r="Q217">
        <v>1</v>
      </c>
      <c r="X217">
        <v>0.1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3</v>
      </c>
      <c r="AG217">
        <v>0.1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ROW(Source!A222)</f>
        <v>222</v>
      </c>
      <c r="B218">
        <v>56961012</v>
      </c>
      <c r="C218">
        <v>56959942</v>
      </c>
      <c r="D218">
        <v>56030654</v>
      </c>
      <c r="E218">
        <v>1080</v>
      </c>
      <c r="F218">
        <v>1</v>
      </c>
      <c r="G218">
        <v>1080</v>
      </c>
      <c r="H218">
        <v>3</v>
      </c>
      <c r="I218" t="s">
        <v>662</v>
      </c>
      <c r="J218" t="s">
        <v>3</v>
      </c>
      <c r="K218" t="s">
        <v>663</v>
      </c>
      <c r="L218">
        <v>1354</v>
      </c>
      <c r="N218">
        <v>1010</v>
      </c>
      <c r="O218" t="s">
        <v>31</v>
      </c>
      <c r="P218" t="s">
        <v>31</v>
      </c>
      <c r="Q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</v>
      </c>
      <c r="AG218">
        <v>1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ROW(Source!A235)</f>
        <v>235</v>
      </c>
      <c r="B219">
        <v>56961013</v>
      </c>
      <c r="C219">
        <v>56959966</v>
      </c>
      <c r="D219">
        <v>56018166</v>
      </c>
      <c r="E219">
        <v>1080</v>
      </c>
      <c r="F219">
        <v>1</v>
      </c>
      <c r="G219">
        <v>1080</v>
      </c>
      <c r="H219">
        <v>1</v>
      </c>
      <c r="I219" t="s">
        <v>500</v>
      </c>
      <c r="J219" t="s">
        <v>3</v>
      </c>
      <c r="K219" t="s">
        <v>501</v>
      </c>
      <c r="L219">
        <v>1191</v>
      </c>
      <c r="N219">
        <v>1013</v>
      </c>
      <c r="O219" t="s">
        <v>502</v>
      </c>
      <c r="P219" t="s">
        <v>502</v>
      </c>
      <c r="Q219">
        <v>1</v>
      </c>
      <c r="X219">
        <v>15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 t="s">
        <v>23</v>
      </c>
      <c r="AG219">
        <v>16.5</v>
      </c>
      <c r="AH219">
        <v>2</v>
      </c>
      <c r="AI219">
        <v>56959967</v>
      </c>
      <c r="AJ219">
        <v>181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ROW(Source!A235)</f>
        <v>235</v>
      </c>
      <c r="B220">
        <v>56961014</v>
      </c>
      <c r="C220">
        <v>56959966</v>
      </c>
      <c r="D220">
        <v>56027568</v>
      </c>
      <c r="E220">
        <v>1080</v>
      </c>
      <c r="F220">
        <v>1</v>
      </c>
      <c r="G220">
        <v>1080</v>
      </c>
      <c r="H220">
        <v>3</v>
      </c>
      <c r="I220" t="s">
        <v>639</v>
      </c>
      <c r="J220" t="s">
        <v>3</v>
      </c>
      <c r="K220" t="s">
        <v>640</v>
      </c>
      <c r="L220">
        <v>1301</v>
      </c>
      <c r="N220">
        <v>1003</v>
      </c>
      <c r="O220" t="s">
        <v>84</v>
      </c>
      <c r="P220" t="s">
        <v>84</v>
      </c>
      <c r="Q220">
        <v>1</v>
      </c>
      <c r="X220">
        <v>102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</v>
      </c>
      <c r="AG220">
        <v>102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ROW(Source!A235)</f>
        <v>235</v>
      </c>
      <c r="B221">
        <v>56961015</v>
      </c>
      <c r="C221">
        <v>56959966</v>
      </c>
      <c r="D221">
        <v>56030735</v>
      </c>
      <c r="E221">
        <v>1080</v>
      </c>
      <c r="F221">
        <v>1</v>
      </c>
      <c r="G221">
        <v>1080</v>
      </c>
      <c r="H221">
        <v>3</v>
      </c>
      <c r="I221" t="s">
        <v>641</v>
      </c>
      <c r="J221" t="s">
        <v>3</v>
      </c>
      <c r="K221" t="s">
        <v>642</v>
      </c>
      <c r="L221">
        <v>1354</v>
      </c>
      <c r="N221">
        <v>1010</v>
      </c>
      <c r="O221" t="s">
        <v>31</v>
      </c>
      <c r="P221" t="s">
        <v>31</v>
      </c>
      <c r="Q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</v>
      </c>
      <c r="AG221">
        <v>0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ROW(Source!A235)</f>
        <v>235</v>
      </c>
      <c r="B222">
        <v>56961016</v>
      </c>
      <c r="C222">
        <v>56959966</v>
      </c>
      <c r="D222">
        <v>56031307</v>
      </c>
      <c r="E222">
        <v>1080</v>
      </c>
      <c r="F222">
        <v>1</v>
      </c>
      <c r="G222">
        <v>1080</v>
      </c>
      <c r="H222">
        <v>3</v>
      </c>
      <c r="I222" t="s">
        <v>643</v>
      </c>
      <c r="J222" t="s">
        <v>3</v>
      </c>
      <c r="K222" t="s">
        <v>644</v>
      </c>
      <c r="L222">
        <v>1354</v>
      </c>
      <c r="N222">
        <v>1010</v>
      </c>
      <c r="O222" t="s">
        <v>31</v>
      </c>
      <c r="P222" t="s">
        <v>31</v>
      </c>
      <c r="Q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3</v>
      </c>
      <c r="AG222">
        <v>0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ROW(Source!A236)</f>
        <v>236</v>
      </c>
      <c r="B223">
        <v>56961013</v>
      </c>
      <c r="C223">
        <v>56959966</v>
      </c>
      <c r="D223">
        <v>56018166</v>
      </c>
      <c r="E223">
        <v>1080</v>
      </c>
      <c r="F223">
        <v>1</v>
      </c>
      <c r="G223">
        <v>1080</v>
      </c>
      <c r="H223">
        <v>1</v>
      </c>
      <c r="I223" t="s">
        <v>500</v>
      </c>
      <c r="J223" t="s">
        <v>3</v>
      </c>
      <c r="K223" t="s">
        <v>501</v>
      </c>
      <c r="L223">
        <v>1191</v>
      </c>
      <c r="N223">
        <v>1013</v>
      </c>
      <c r="O223" t="s">
        <v>502</v>
      </c>
      <c r="P223" t="s">
        <v>502</v>
      </c>
      <c r="Q223">
        <v>1</v>
      </c>
      <c r="X223">
        <v>15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23</v>
      </c>
      <c r="AG223">
        <v>16.5</v>
      </c>
      <c r="AH223">
        <v>2</v>
      </c>
      <c r="AI223">
        <v>56959967</v>
      </c>
      <c r="AJ223">
        <v>183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ROW(Source!A236)</f>
        <v>236</v>
      </c>
      <c r="B224">
        <v>56961014</v>
      </c>
      <c r="C224">
        <v>56959966</v>
      </c>
      <c r="D224">
        <v>56027568</v>
      </c>
      <c r="E224">
        <v>1080</v>
      </c>
      <c r="F224">
        <v>1</v>
      </c>
      <c r="G224">
        <v>1080</v>
      </c>
      <c r="H224">
        <v>3</v>
      </c>
      <c r="I224" t="s">
        <v>639</v>
      </c>
      <c r="J224" t="s">
        <v>3</v>
      </c>
      <c r="K224" t="s">
        <v>640</v>
      </c>
      <c r="L224">
        <v>1301</v>
      </c>
      <c r="N224">
        <v>1003</v>
      </c>
      <c r="O224" t="s">
        <v>84</v>
      </c>
      <c r="P224" t="s">
        <v>84</v>
      </c>
      <c r="Q224">
        <v>1</v>
      </c>
      <c r="X224">
        <v>102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3</v>
      </c>
      <c r="AG224">
        <v>102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ROW(Source!A236)</f>
        <v>236</v>
      </c>
      <c r="B225">
        <v>56961015</v>
      </c>
      <c r="C225">
        <v>56959966</v>
      </c>
      <c r="D225">
        <v>56030735</v>
      </c>
      <c r="E225">
        <v>1080</v>
      </c>
      <c r="F225">
        <v>1</v>
      </c>
      <c r="G225">
        <v>1080</v>
      </c>
      <c r="H225">
        <v>3</v>
      </c>
      <c r="I225" t="s">
        <v>641</v>
      </c>
      <c r="J225" t="s">
        <v>3</v>
      </c>
      <c r="K225" t="s">
        <v>642</v>
      </c>
      <c r="L225">
        <v>1354</v>
      </c>
      <c r="N225">
        <v>1010</v>
      </c>
      <c r="O225" t="s">
        <v>31</v>
      </c>
      <c r="P225" t="s">
        <v>31</v>
      </c>
      <c r="Q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3</v>
      </c>
      <c r="AG225">
        <v>0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ROW(Source!A236)</f>
        <v>236</v>
      </c>
      <c r="B226">
        <v>56961016</v>
      </c>
      <c r="C226">
        <v>56959966</v>
      </c>
      <c r="D226">
        <v>56031307</v>
      </c>
      <c r="E226">
        <v>1080</v>
      </c>
      <c r="F226">
        <v>1</v>
      </c>
      <c r="G226">
        <v>1080</v>
      </c>
      <c r="H226">
        <v>3</v>
      </c>
      <c r="I226" t="s">
        <v>643</v>
      </c>
      <c r="J226" t="s">
        <v>3</v>
      </c>
      <c r="K226" t="s">
        <v>644</v>
      </c>
      <c r="L226">
        <v>1354</v>
      </c>
      <c r="N226">
        <v>1010</v>
      </c>
      <c r="O226" t="s">
        <v>31</v>
      </c>
      <c r="P226" t="s">
        <v>31</v>
      </c>
      <c r="Q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3</v>
      </c>
      <c r="AG226">
        <v>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ROW(Source!A239)</f>
        <v>239</v>
      </c>
      <c r="B227">
        <v>56961017</v>
      </c>
      <c r="C227">
        <v>56959974</v>
      </c>
      <c r="D227">
        <v>56018166</v>
      </c>
      <c r="E227">
        <v>1080</v>
      </c>
      <c r="F227">
        <v>1</v>
      </c>
      <c r="G227">
        <v>1080</v>
      </c>
      <c r="H227">
        <v>1</v>
      </c>
      <c r="I227" t="s">
        <v>500</v>
      </c>
      <c r="J227" t="s">
        <v>3</v>
      </c>
      <c r="K227" t="s">
        <v>501</v>
      </c>
      <c r="L227">
        <v>1191</v>
      </c>
      <c r="N227">
        <v>1013</v>
      </c>
      <c r="O227" t="s">
        <v>502</v>
      </c>
      <c r="P227" t="s">
        <v>502</v>
      </c>
      <c r="Q227">
        <v>1</v>
      </c>
      <c r="X227">
        <v>4.49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23</v>
      </c>
      <c r="AG227">
        <v>4.9390000000000009</v>
      </c>
      <c r="AH227">
        <v>2</v>
      </c>
      <c r="AI227">
        <v>56959975</v>
      </c>
      <c r="AJ227">
        <v>185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ROW(Source!A239)</f>
        <v>239</v>
      </c>
      <c r="B228">
        <v>56961018</v>
      </c>
      <c r="C228">
        <v>56959974</v>
      </c>
      <c r="D228">
        <v>56092340</v>
      </c>
      <c r="E228">
        <v>1</v>
      </c>
      <c r="F228">
        <v>1</v>
      </c>
      <c r="G228">
        <v>1080</v>
      </c>
      <c r="H228">
        <v>2</v>
      </c>
      <c r="I228" t="s">
        <v>503</v>
      </c>
      <c r="J228" t="s">
        <v>504</v>
      </c>
      <c r="K228" t="s">
        <v>505</v>
      </c>
      <c r="L228">
        <v>1368</v>
      </c>
      <c r="N228">
        <v>1011</v>
      </c>
      <c r="O228" t="s">
        <v>506</v>
      </c>
      <c r="P228" t="s">
        <v>506</v>
      </c>
      <c r="Q228">
        <v>1</v>
      </c>
      <c r="X228">
        <v>0.01</v>
      </c>
      <c r="Y228">
        <v>0</v>
      </c>
      <c r="Z228">
        <v>83.1</v>
      </c>
      <c r="AA228">
        <v>12.62</v>
      </c>
      <c r="AB228">
        <v>0</v>
      </c>
      <c r="AC228">
        <v>0</v>
      </c>
      <c r="AD228">
        <v>1</v>
      </c>
      <c r="AE228">
        <v>0</v>
      </c>
      <c r="AF228" t="s">
        <v>23</v>
      </c>
      <c r="AG228">
        <v>1.1000000000000001E-2</v>
      </c>
      <c r="AH228">
        <v>2</v>
      </c>
      <c r="AI228">
        <v>56959976</v>
      </c>
      <c r="AJ228">
        <v>186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ROW(Source!A239)</f>
        <v>239</v>
      </c>
      <c r="B229">
        <v>56961019</v>
      </c>
      <c r="C229">
        <v>56959974</v>
      </c>
      <c r="D229">
        <v>56091576</v>
      </c>
      <c r="E229">
        <v>1</v>
      </c>
      <c r="F229">
        <v>1</v>
      </c>
      <c r="G229">
        <v>1080</v>
      </c>
      <c r="H229">
        <v>2</v>
      </c>
      <c r="I229" t="s">
        <v>529</v>
      </c>
      <c r="J229" t="s">
        <v>530</v>
      </c>
      <c r="K229" t="s">
        <v>531</v>
      </c>
      <c r="L229">
        <v>1368</v>
      </c>
      <c r="N229">
        <v>1011</v>
      </c>
      <c r="O229" t="s">
        <v>506</v>
      </c>
      <c r="P229" t="s">
        <v>506</v>
      </c>
      <c r="Q229">
        <v>1</v>
      </c>
      <c r="X229">
        <v>0.01</v>
      </c>
      <c r="Y229">
        <v>0</v>
      </c>
      <c r="Z229">
        <v>179.17</v>
      </c>
      <c r="AA229">
        <v>16.93</v>
      </c>
      <c r="AB229">
        <v>0</v>
      </c>
      <c r="AC229">
        <v>0</v>
      </c>
      <c r="AD229">
        <v>1</v>
      </c>
      <c r="AE229">
        <v>0</v>
      </c>
      <c r="AF229" t="s">
        <v>23</v>
      </c>
      <c r="AG229">
        <v>1.1000000000000001E-2</v>
      </c>
      <c r="AH229">
        <v>2</v>
      </c>
      <c r="AI229">
        <v>56959977</v>
      </c>
      <c r="AJ229">
        <v>187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ROW(Source!A239)</f>
        <v>239</v>
      </c>
      <c r="B230">
        <v>56961020</v>
      </c>
      <c r="C230">
        <v>56959974</v>
      </c>
      <c r="D230">
        <v>56061373</v>
      </c>
      <c r="E230">
        <v>1</v>
      </c>
      <c r="F230">
        <v>1</v>
      </c>
      <c r="G230">
        <v>1080</v>
      </c>
      <c r="H230">
        <v>3</v>
      </c>
      <c r="I230" t="s">
        <v>532</v>
      </c>
      <c r="J230" t="s">
        <v>533</v>
      </c>
      <c r="K230" t="s">
        <v>534</v>
      </c>
      <c r="L230">
        <v>1346</v>
      </c>
      <c r="N230">
        <v>1009</v>
      </c>
      <c r="O230" t="s">
        <v>249</v>
      </c>
      <c r="P230" t="s">
        <v>249</v>
      </c>
      <c r="Q230">
        <v>1</v>
      </c>
      <c r="X230">
        <v>0.43</v>
      </c>
      <c r="Y230">
        <v>1.38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</v>
      </c>
      <c r="AG230">
        <v>0.43</v>
      </c>
      <c r="AH230">
        <v>2</v>
      </c>
      <c r="AI230">
        <v>56959978</v>
      </c>
      <c r="AJ230">
        <v>188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ROW(Source!A239)</f>
        <v>239</v>
      </c>
      <c r="B231">
        <v>56961021</v>
      </c>
      <c r="C231">
        <v>56959974</v>
      </c>
      <c r="D231">
        <v>56061764</v>
      </c>
      <c r="E231">
        <v>1</v>
      </c>
      <c r="F231">
        <v>1</v>
      </c>
      <c r="G231">
        <v>1080</v>
      </c>
      <c r="H231">
        <v>3</v>
      </c>
      <c r="I231" t="s">
        <v>535</v>
      </c>
      <c r="J231" t="s">
        <v>536</v>
      </c>
      <c r="K231" t="s">
        <v>537</v>
      </c>
      <c r="L231">
        <v>1346</v>
      </c>
      <c r="N231">
        <v>1009</v>
      </c>
      <c r="O231" t="s">
        <v>249</v>
      </c>
      <c r="P231" t="s">
        <v>249</v>
      </c>
      <c r="Q231">
        <v>1</v>
      </c>
      <c r="X231">
        <v>0.16</v>
      </c>
      <c r="Y231">
        <v>159.06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</v>
      </c>
      <c r="AG231">
        <v>0.16</v>
      </c>
      <c r="AH231">
        <v>2</v>
      </c>
      <c r="AI231">
        <v>56959979</v>
      </c>
      <c r="AJ231">
        <v>189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ROW(Source!A239)</f>
        <v>239</v>
      </c>
      <c r="B232">
        <v>56961022</v>
      </c>
      <c r="C232">
        <v>56959974</v>
      </c>
      <c r="D232">
        <v>56084707</v>
      </c>
      <c r="E232">
        <v>1</v>
      </c>
      <c r="F232">
        <v>1</v>
      </c>
      <c r="G232">
        <v>1080</v>
      </c>
      <c r="H232">
        <v>3</v>
      </c>
      <c r="I232" t="s">
        <v>538</v>
      </c>
      <c r="J232" t="s">
        <v>539</v>
      </c>
      <c r="K232" t="s">
        <v>540</v>
      </c>
      <c r="L232">
        <v>1355</v>
      </c>
      <c r="N232">
        <v>1010</v>
      </c>
      <c r="O232" t="s">
        <v>520</v>
      </c>
      <c r="P232" t="s">
        <v>520</v>
      </c>
      <c r="Q232">
        <v>100</v>
      </c>
      <c r="X232">
        <v>0.05</v>
      </c>
      <c r="Y232">
        <v>68.819999999999993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3</v>
      </c>
      <c r="AG232">
        <v>0.05</v>
      </c>
      <c r="AH232">
        <v>2</v>
      </c>
      <c r="AI232">
        <v>56959980</v>
      </c>
      <c r="AJ232">
        <v>190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ROW(Source!A239)</f>
        <v>239</v>
      </c>
      <c r="B233">
        <v>56961023</v>
      </c>
      <c r="C233">
        <v>56959974</v>
      </c>
      <c r="D233">
        <v>56084718</v>
      </c>
      <c r="E233">
        <v>1</v>
      </c>
      <c r="F233">
        <v>1</v>
      </c>
      <c r="G233">
        <v>1080</v>
      </c>
      <c r="H233">
        <v>3</v>
      </c>
      <c r="I233" t="s">
        <v>541</v>
      </c>
      <c r="J233" t="s">
        <v>542</v>
      </c>
      <c r="K233" t="s">
        <v>543</v>
      </c>
      <c r="L233">
        <v>1356</v>
      </c>
      <c r="N233">
        <v>1010</v>
      </c>
      <c r="O233" t="s">
        <v>544</v>
      </c>
      <c r="P233" t="s">
        <v>544</v>
      </c>
      <c r="Q233">
        <v>1000</v>
      </c>
      <c r="X233">
        <v>1.2200000000000001E-2</v>
      </c>
      <c r="Y233">
        <v>183.4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3</v>
      </c>
      <c r="AG233">
        <v>1.2200000000000001E-2</v>
      </c>
      <c r="AH233">
        <v>2</v>
      </c>
      <c r="AI233">
        <v>56959981</v>
      </c>
      <c r="AJ233">
        <v>191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ROW(Source!A239)</f>
        <v>239</v>
      </c>
      <c r="B234">
        <v>56961024</v>
      </c>
      <c r="C234">
        <v>56959974</v>
      </c>
      <c r="D234">
        <v>56084044</v>
      </c>
      <c r="E234">
        <v>1</v>
      </c>
      <c r="F234">
        <v>1</v>
      </c>
      <c r="G234">
        <v>1080</v>
      </c>
      <c r="H234">
        <v>3</v>
      </c>
      <c r="I234" t="s">
        <v>545</v>
      </c>
      <c r="J234" t="s">
        <v>546</v>
      </c>
      <c r="K234" t="s">
        <v>547</v>
      </c>
      <c r="L234">
        <v>1354</v>
      </c>
      <c r="N234">
        <v>1010</v>
      </c>
      <c r="O234" t="s">
        <v>31</v>
      </c>
      <c r="P234" t="s">
        <v>31</v>
      </c>
      <c r="Q234">
        <v>1</v>
      </c>
      <c r="X234">
        <v>3.1</v>
      </c>
      <c r="Y234">
        <v>6.94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3</v>
      </c>
      <c r="AG234">
        <v>3.1</v>
      </c>
      <c r="AH234">
        <v>2</v>
      </c>
      <c r="AI234">
        <v>56959982</v>
      </c>
      <c r="AJ234">
        <v>192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ROW(Source!A239)</f>
        <v>239</v>
      </c>
      <c r="B235">
        <v>56961025</v>
      </c>
      <c r="C235">
        <v>56959974</v>
      </c>
      <c r="D235">
        <v>56084051</v>
      </c>
      <c r="E235">
        <v>1</v>
      </c>
      <c r="F235">
        <v>1</v>
      </c>
      <c r="G235">
        <v>1080</v>
      </c>
      <c r="H235">
        <v>3</v>
      </c>
      <c r="I235" t="s">
        <v>548</v>
      </c>
      <c r="J235" t="s">
        <v>549</v>
      </c>
      <c r="K235" t="s">
        <v>550</v>
      </c>
      <c r="L235">
        <v>1356</v>
      </c>
      <c r="N235">
        <v>1010</v>
      </c>
      <c r="O235" t="s">
        <v>544</v>
      </c>
      <c r="P235" t="s">
        <v>544</v>
      </c>
      <c r="Q235">
        <v>1000</v>
      </c>
      <c r="X235">
        <v>8.0000000000000002E-3</v>
      </c>
      <c r="Y235">
        <v>614.09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8.0000000000000002E-3</v>
      </c>
      <c r="AH235">
        <v>2</v>
      </c>
      <c r="AI235">
        <v>56959983</v>
      </c>
      <c r="AJ235">
        <v>193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ROW(Source!A239)</f>
        <v>239</v>
      </c>
      <c r="B236">
        <v>56961026</v>
      </c>
      <c r="C236">
        <v>56959974</v>
      </c>
      <c r="D236">
        <v>56033636</v>
      </c>
      <c r="E236">
        <v>1080</v>
      </c>
      <c r="F236">
        <v>1</v>
      </c>
      <c r="G236">
        <v>1080</v>
      </c>
      <c r="H236">
        <v>3</v>
      </c>
      <c r="I236" t="s">
        <v>653</v>
      </c>
      <c r="J236" t="s">
        <v>3</v>
      </c>
      <c r="K236" t="s">
        <v>654</v>
      </c>
      <c r="L236">
        <v>1303</v>
      </c>
      <c r="N236">
        <v>1003</v>
      </c>
      <c r="O236" t="s">
        <v>108</v>
      </c>
      <c r="P236" t="s">
        <v>108</v>
      </c>
      <c r="Q236">
        <v>1000</v>
      </c>
      <c r="X236">
        <v>0.10299999999999999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3</v>
      </c>
      <c r="AG236">
        <v>0.10299999999999999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ROW(Source!A240)</f>
        <v>240</v>
      </c>
      <c r="B237">
        <v>56961017</v>
      </c>
      <c r="C237">
        <v>56959974</v>
      </c>
      <c r="D237">
        <v>56018166</v>
      </c>
      <c r="E237">
        <v>1080</v>
      </c>
      <c r="F237">
        <v>1</v>
      </c>
      <c r="G237">
        <v>1080</v>
      </c>
      <c r="H237">
        <v>1</v>
      </c>
      <c r="I237" t="s">
        <v>500</v>
      </c>
      <c r="J237" t="s">
        <v>3</v>
      </c>
      <c r="K237" t="s">
        <v>501</v>
      </c>
      <c r="L237">
        <v>1191</v>
      </c>
      <c r="N237">
        <v>1013</v>
      </c>
      <c r="O237" t="s">
        <v>502</v>
      </c>
      <c r="P237" t="s">
        <v>502</v>
      </c>
      <c r="Q237">
        <v>1</v>
      </c>
      <c r="X237">
        <v>4.49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23</v>
      </c>
      <c r="AG237">
        <v>4.9390000000000009</v>
      </c>
      <c r="AH237">
        <v>2</v>
      </c>
      <c r="AI237">
        <v>56959975</v>
      </c>
      <c r="AJ237">
        <v>195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ROW(Source!A240)</f>
        <v>240</v>
      </c>
      <c r="B238">
        <v>56961018</v>
      </c>
      <c r="C238">
        <v>56959974</v>
      </c>
      <c r="D238">
        <v>56092340</v>
      </c>
      <c r="E238">
        <v>1</v>
      </c>
      <c r="F238">
        <v>1</v>
      </c>
      <c r="G238">
        <v>1080</v>
      </c>
      <c r="H238">
        <v>2</v>
      </c>
      <c r="I238" t="s">
        <v>503</v>
      </c>
      <c r="J238" t="s">
        <v>504</v>
      </c>
      <c r="K238" t="s">
        <v>505</v>
      </c>
      <c r="L238">
        <v>1368</v>
      </c>
      <c r="N238">
        <v>1011</v>
      </c>
      <c r="O238" t="s">
        <v>506</v>
      </c>
      <c r="P238" t="s">
        <v>506</v>
      </c>
      <c r="Q238">
        <v>1</v>
      </c>
      <c r="X238">
        <v>0.01</v>
      </c>
      <c r="Y238">
        <v>0</v>
      </c>
      <c r="Z238">
        <v>83.1</v>
      </c>
      <c r="AA238">
        <v>12.62</v>
      </c>
      <c r="AB238">
        <v>0</v>
      </c>
      <c r="AC238">
        <v>0</v>
      </c>
      <c r="AD238">
        <v>1</v>
      </c>
      <c r="AE238">
        <v>0</v>
      </c>
      <c r="AF238" t="s">
        <v>23</v>
      </c>
      <c r="AG238">
        <v>1.1000000000000001E-2</v>
      </c>
      <c r="AH238">
        <v>2</v>
      </c>
      <c r="AI238">
        <v>56959976</v>
      </c>
      <c r="AJ238">
        <v>196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ROW(Source!A240)</f>
        <v>240</v>
      </c>
      <c r="B239">
        <v>56961019</v>
      </c>
      <c r="C239">
        <v>56959974</v>
      </c>
      <c r="D239">
        <v>56091576</v>
      </c>
      <c r="E239">
        <v>1</v>
      </c>
      <c r="F239">
        <v>1</v>
      </c>
      <c r="G239">
        <v>1080</v>
      </c>
      <c r="H239">
        <v>2</v>
      </c>
      <c r="I239" t="s">
        <v>529</v>
      </c>
      <c r="J239" t="s">
        <v>530</v>
      </c>
      <c r="K239" t="s">
        <v>531</v>
      </c>
      <c r="L239">
        <v>1368</v>
      </c>
      <c r="N239">
        <v>1011</v>
      </c>
      <c r="O239" t="s">
        <v>506</v>
      </c>
      <c r="P239" t="s">
        <v>506</v>
      </c>
      <c r="Q239">
        <v>1</v>
      </c>
      <c r="X239">
        <v>0.01</v>
      </c>
      <c r="Y239">
        <v>0</v>
      </c>
      <c r="Z239">
        <v>179.17</v>
      </c>
      <c r="AA239">
        <v>16.93</v>
      </c>
      <c r="AB239">
        <v>0</v>
      </c>
      <c r="AC239">
        <v>0</v>
      </c>
      <c r="AD239">
        <v>1</v>
      </c>
      <c r="AE239">
        <v>0</v>
      </c>
      <c r="AF239" t="s">
        <v>23</v>
      </c>
      <c r="AG239">
        <v>1.1000000000000001E-2</v>
      </c>
      <c r="AH239">
        <v>2</v>
      </c>
      <c r="AI239">
        <v>56959977</v>
      </c>
      <c r="AJ239">
        <v>197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ROW(Source!A240)</f>
        <v>240</v>
      </c>
      <c r="B240">
        <v>56961020</v>
      </c>
      <c r="C240">
        <v>56959974</v>
      </c>
      <c r="D240">
        <v>56061373</v>
      </c>
      <c r="E240">
        <v>1</v>
      </c>
      <c r="F240">
        <v>1</v>
      </c>
      <c r="G240">
        <v>1080</v>
      </c>
      <c r="H240">
        <v>3</v>
      </c>
      <c r="I240" t="s">
        <v>532</v>
      </c>
      <c r="J240" t="s">
        <v>533</v>
      </c>
      <c r="K240" t="s">
        <v>534</v>
      </c>
      <c r="L240">
        <v>1346</v>
      </c>
      <c r="N240">
        <v>1009</v>
      </c>
      <c r="O240" t="s">
        <v>249</v>
      </c>
      <c r="P240" t="s">
        <v>249</v>
      </c>
      <c r="Q240">
        <v>1</v>
      </c>
      <c r="X240">
        <v>0.43</v>
      </c>
      <c r="Y240">
        <v>1.38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</v>
      </c>
      <c r="AG240">
        <v>0.43</v>
      </c>
      <c r="AH240">
        <v>2</v>
      </c>
      <c r="AI240">
        <v>56959978</v>
      </c>
      <c r="AJ240">
        <v>198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ROW(Source!A240)</f>
        <v>240</v>
      </c>
      <c r="B241">
        <v>56961021</v>
      </c>
      <c r="C241">
        <v>56959974</v>
      </c>
      <c r="D241">
        <v>56061764</v>
      </c>
      <c r="E241">
        <v>1</v>
      </c>
      <c r="F241">
        <v>1</v>
      </c>
      <c r="G241">
        <v>1080</v>
      </c>
      <c r="H241">
        <v>3</v>
      </c>
      <c r="I241" t="s">
        <v>535</v>
      </c>
      <c r="J241" t="s">
        <v>536</v>
      </c>
      <c r="K241" t="s">
        <v>537</v>
      </c>
      <c r="L241">
        <v>1346</v>
      </c>
      <c r="N241">
        <v>1009</v>
      </c>
      <c r="O241" t="s">
        <v>249</v>
      </c>
      <c r="P241" t="s">
        <v>249</v>
      </c>
      <c r="Q241">
        <v>1</v>
      </c>
      <c r="X241">
        <v>0.16</v>
      </c>
      <c r="Y241">
        <v>159.06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0.16</v>
      </c>
      <c r="AH241">
        <v>2</v>
      </c>
      <c r="AI241">
        <v>56959979</v>
      </c>
      <c r="AJ241">
        <v>199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ROW(Source!A240)</f>
        <v>240</v>
      </c>
      <c r="B242">
        <v>56961022</v>
      </c>
      <c r="C242">
        <v>56959974</v>
      </c>
      <c r="D242">
        <v>56084707</v>
      </c>
      <c r="E242">
        <v>1</v>
      </c>
      <c r="F242">
        <v>1</v>
      </c>
      <c r="G242">
        <v>1080</v>
      </c>
      <c r="H242">
        <v>3</v>
      </c>
      <c r="I242" t="s">
        <v>538</v>
      </c>
      <c r="J242" t="s">
        <v>539</v>
      </c>
      <c r="K242" t="s">
        <v>540</v>
      </c>
      <c r="L242">
        <v>1355</v>
      </c>
      <c r="N242">
        <v>1010</v>
      </c>
      <c r="O242" t="s">
        <v>520</v>
      </c>
      <c r="P242" t="s">
        <v>520</v>
      </c>
      <c r="Q242">
        <v>100</v>
      </c>
      <c r="X242">
        <v>0.05</v>
      </c>
      <c r="Y242">
        <v>68.819999999999993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3</v>
      </c>
      <c r="AG242">
        <v>0.05</v>
      </c>
      <c r="AH242">
        <v>2</v>
      </c>
      <c r="AI242">
        <v>56959980</v>
      </c>
      <c r="AJ242">
        <v>200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ROW(Source!A240)</f>
        <v>240</v>
      </c>
      <c r="B243">
        <v>56961023</v>
      </c>
      <c r="C243">
        <v>56959974</v>
      </c>
      <c r="D243">
        <v>56084718</v>
      </c>
      <c r="E243">
        <v>1</v>
      </c>
      <c r="F243">
        <v>1</v>
      </c>
      <c r="G243">
        <v>1080</v>
      </c>
      <c r="H243">
        <v>3</v>
      </c>
      <c r="I243" t="s">
        <v>541</v>
      </c>
      <c r="J243" t="s">
        <v>542</v>
      </c>
      <c r="K243" t="s">
        <v>543</v>
      </c>
      <c r="L243">
        <v>1356</v>
      </c>
      <c r="N243">
        <v>1010</v>
      </c>
      <c r="O243" t="s">
        <v>544</v>
      </c>
      <c r="P243" t="s">
        <v>544</v>
      </c>
      <c r="Q243">
        <v>1000</v>
      </c>
      <c r="X243">
        <v>1.2200000000000001E-2</v>
      </c>
      <c r="Y243">
        <v>183.4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</v>
      </c>
      <c r="AG243">
        <v>1.2200000000000001E-2</v>
      </c>
      <c r="AH243">
        <v>2</v>
      </c>
      <c r="AI243">
        <v>56959981</v>
      </c>
      <c r="AJ243">
        <v>201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ROW(Source!A240)</f>
        <v>240</v>
      </c>
      <c r="B244">
        <v>56961024</v>
      </c>
      <c r="C244">
        <v>56959974</v>
      </c>
      <c r="D244">
        <v>56084044</v>
      </c>
      <c r="E244">
        <v>1</v>
      </c>
      <c r="F244">
        <v>1</v>
      </c>
      <c r="G244">
        <v>1080</v>
      </c>
      <c r="H244">
        <v>3</v>
      </c>
      <c r="I244" t="s">
        <v>545</v>
      </c>
      <c r="J244" t="s">
        <v>546</v>
      </c>
      <c r="K244" t="s">
        <v>547</v>
      </c>
      <c r="L244">
        <v>1354</v>
      </c>
      <c r="N244">
        <v>1010</v>
      </c>
      <c r="O244" t="s">
        <v>31</v>
      </c>
      <c r="P244" t="s">
        <v>31</v>
      </c>
      <c r="Q244">
        <v>1</v>
      </c>
      <c r="X244">
        <v>3.1</v>
      </c>
      <c r="Y244">
        <v>6.94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3.1</v>
      </c>
      <c r="AH244">
        <v>2</v>
      </c>
      <c r="AI244">
        <v>56959982</v>
      </c>
      <c r="AJ244">
        <v>202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ROW(Source!A240)</f>
        <v>240</v>
      </c>
      <c r="B245">
        <v>56961025</v>
      </c>
      <c r="C245">
        <v>56959974</v>
      </c>
      <c r="D245">
        <v>56084051</v>
      </c>
      <c r="E245">
        <v>1</v>
      </c>
      <c r="F245">
        <v>1</v>
      </c>
      <c r="G245">
        <v>1080</v>
      </c>
      <c r="H245">
        <v>3</v>
      </c>
      <c r="I245" t="s">
        <v>548</v>
      </c>
      <c r="J245" t="s">
        <v>549</v>
      </c>
      <c r="K245" t="s">
        <v>550</v>
      </c>
      <c r="L245">
        <v>1356</v>
      </c>
      <c r="N245">
        <v>1010</v>
      </c>
      <c r="O245" t="s">
        <v>544</v>
      </c>
      <c r="P245" t="s">
        <v>544</v>
      </c>
      <c r="Q245">
        <v>1000</v>
      </c>
      <c r="X245">
        <v>8.0000000000000002E-3</v>
      </c>
      <c r="Y245">
        <v>614.09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3</v>
      </c>
      <c r="AG245">
        <v>8.0000000000000002E-3</v>
      </c>
      <c r="AH245">
        <v>2</v>
      </c>
      <c r="AI245">
        <v>56959983</v>
      </c>
      <c r="AJ245">
        <v>203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ROW(Source!A240)</f>
        <v>240</v>
      </c>
      <c r="B246">
        <v>56961026</v>
      </c>
      <c r="C246">
        <v>56959974</v>
      </c>
      <c r="D246">
        <v>56033636</v>
      </c>
      <c r="E246">
        <v>1080</v>
      </c>
      <c r="F246">
        <v>1</v>
      </c>
      <c r="G246">
        <v>1080</v>
      </c>
      <c r="H246">
        <v>3</v>
      </c>
      <c r="I246" t="s">
        <v>653</v>
      </c>
      <c r="J246" t="s">
        <v>3</v>
      </c>
      <c r="K246" t="s">
        <v>654</v>
      </c>
      <c r="L246">
        <v>1303</v>
      </c>
      <c r="N246">
        <v>1003</v>
      </c>
      <c r="O246" t="s">
        <v>108</v>
      </c>
      <c r="P246" t="s">
        <v>108</v>
      </c>
      <c r="Q246">
        <v>1000</v>
      </c>
      <c r="X246">
        <v>0.10299999999999999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3</v>
      </c>
      <c r="AG246">
        <v>0.10299999999999999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ROW(Source!A243)</f>
        <v>243</v>
      </c>
      <c r="B247">
        <v>56961027</v>
      </c>
      <c r="C247">
        <v>56959996</v>
      </c>
      <c r="D247">
        <v>56018166</v>
      </c>
      <c r="E247">
        <v>1080</v>
      </c>
      <c r="F247">
        <v>1</v>
      </c>
      <c r="G247">
        <v>1080</v>
      </c>
      <c r="H247">
        <v>1</v>
      </c>
      <c r="I247" t="s">
        <v>500</v>
      </c>
      <c r="J247" t="s">
        <v>3</v>
      </c>
      <c r="K247" t="s">
        <v>501</v>
      </c>
      <c r="L247">
        <v>1191</v>
      </c>
      <c r="N247">
        <v>1013</v>
      </c>
      <c r="O247" t="s">
        <v>502</v>
      </c>
      <c r="P247" t="s">
        <v>502</v>
      </c>
      <c r="Q247">
        <v>1</v>
      </c>
      <c r="X247">
        <v>5.39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 t="s">
        <v>23</v>
      </c>
      <c r="AG247">
        <v>5.9290000000000003</v>
      </c>
      <c r="AH247">
        <v>2</v>
      </c>
      <c r="AI247">
        <v>56959997</v>
      </c>
      <c r="AJ247">
        <v>205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ROW(Source!A243)</f>
        <v>243</v>
      </c>
      <c r="B248">
        <v>56961028</v>
      </c>
      <c r="C248">
        <v>56959996</v>
      </c>
      <c r="D248">
        <v>56092340</v>
      </c>
      <c r="E248">
        <v>1</v>
      </c>
      <c r="F248">
        <v>1</v>
      </c>
      <c r="G248">
        <v>1080</v>
      </c>
      <c r="H248">
        <v>2</v>
      </c>
      <c r="I248" t="s">
        <v>503</v>
      </c>
      <c r="J248" t="s">
        <v>504</v>
      </c>
      <c r="K248" t="s">
        <v>505</v>
      </c>
      <c r="L248">
        <v>1368</v>
      </c>
      <c r="N248">
        <v>1011</v>
      </c>
      <c r="O248" t="s">
        <v>506</v>
      </c>
      <c r="P248" t="s">
        <v>506</v>
      </c>
      <c r="Q248">
        <v>1</v>
      </c>
      <c r="X248">
        <v>0.02</v>
      </c>
      <c r="Y248">
        <v>0</v>
      </c>
      <c r="Z248">
        <v>83.1</v>
      </c>
      <c r="AA248">
        <v>12.62</v>
      </c>
      <c r="AB248">
        <v>0</v>
      </c>
      <c r="AC248">
        <v>0</v>
      </c>
      <c r="AD248">
        <v>1</v>
      </c>
      <c r="AE248">
        <v>0</v>
      </c>
      <c r="AF248" t="s">
        <v>23</v>
      </c>
      <c r="AG248">
        <v>2.2000000000000002E-2</v>
      </c>
      <c r="AH248">
        <v>2</v>
      </c>
      <c r="AI248">
        <v>56959998</v>
      </c>
      <c r="AJ248">
        <v>206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ROW(Source!A243)</f>
        <v>243</v>
      </c>
      <c r="B249">
        <v>56961029</v>
      </c>
      <c r="C249">
        <v>56959996</v>
      </c>
      <c r="D249">
        <v>56091576</v>
      </c>
      <c r="E249">
        <v>1</v>
      </c>
      <c r="F249">
        <v>1</v>
      </c>
      <c r="G249">
        <v>1080</v>
      </c>
      <c r="H249">
        <v>2</v>
      </c>
      <c r="I249" t="s">
        <v>529</v>
      </c>
      <c r="J249" t="s">
        <v>530</v>
      </c>
      <c r="K249" t="s">
        <v>531</v>
      </c>
      <c r="L249">
        <v>1368</v>
      </c>
      <c r="N249">
        <v>1011</v>
      </c>
      <c r="O249" t="s">
        <v>506</v>
      </c>
      <c r="P249" t="s">
        <v>506</v>
      </c>
      <c r="Q249">
        <v>1</v>
      </c>
      <c r="X249">
        <v>0.02</v>
      </c>
      <c r="Y249">
        <v>0</v>
      </c>
      <c r="Z249">
        <v>179.17</v>
      </c>
      <c r="AA249">
        <v>16.93</v>
      </c>
      <c r="AB249">
        <v>0</v>
      </c>
      <c r="AC249">
        <v>0</v>
      </c>
      <c r="AD249">
        <v>1</v>
      </c>
      <c r="AE249">
        <v>0</v>
      </c>
      <c r="AF249" t="s">
        <v>23</v>
      </c>
      <c r="AG249">
        <v>2.2000000000000002E-2</v>
      </c>
      <c r="AH249">
        <v>2</v>
      </c>
      <c r="AI249">
        <v>56959999</v>
      </c>
      <c r="AJ249">
        <v>207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ROW(Source!A243)</f>
        <v>243</v>
      </c>
      <c r="B250">
        <v>56961030</v>
      </c>
      <c r="C250">
        <v>56959996</v>
      </c>
      <c r="D250">
        <v>56061373</v>
      </c>
      <c r="E250">
        <v>1</v>
      </c>
      <c r="F250">
        <v>1</v>
      </c>
      <c r="G250">
        <v>1080</v>
      </c>
      <c r="H250">
        <v>3</v>
      </c>
      <c r="I250" t="s">
        <v>532</v>
      </c>
      <c r="J250" t="s">
        <v>533</v>
      </c>
      <c r="K250" t="s">
        <v>534</v>
      </c>
      <c r="L250">
        <v>1346</v>
      </c>
      <c r="N250">
        <v>1009</v>
      </c>
      <c r="O250" t="s">
        <v>249</v>
      </c>
      <c r="P250" t="s">
        <v>249</v>
      </c>
      <c r="Q250">
        <v>1</v>
      </c>
      <c r="X250">
        <v>0.6</v>
      </c>
      <c r="Y250">
        <v>1.38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3</v>
      </c>
      <c r="AG250">
        <v>0.6</v>
      </c>
      <c r="AH250">
        <v>2</v>
      </c>
      <c r="AI250">
        <v>56960000</v>
      </c>
      <c r="AJ250">
        <v>208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ROW(Source!A243)</f>
        <v>243</v>
      </c>
      <c r="B251">
        <v>56961031</v>
      </c>
      <c r="C251">
        <v>56959996</v>
      </c>
      <c r="D251">
        <v>56061764</v>
      </c>
      <c r="E251">
        <v>1</v>
      </c>
      <c r="F251">
        <v>1</v>
      </c>
      <c r="G251">
        <v>1080</v>
      </c>
      <c r="H251">
        <v>3</v>
      </c>
      <c r="I251" t="s">
        <v>535</v>
      </c>
      <c r="J251" t="s">
        <v>536</v>
      </c>
      <c r="K251" t="s">
        <v>537</v>
      </c>
      <c r="L251">
        <v>1346</v>
      </c>
      <c r="N251">
        <v>1009</v>
      </c>
      <c r="O251" t="s">
        <v>249</v>
      </c>
      <c r="P251" t="s">
        <v>249</v>
      </c>
      <c r="Q251">
        <v>1</v>
      </c>
      <c r="X251">
        <v>0.16</v>
      </c>
      <c r="Y251">
        <v>159.06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3</v>
      </c>
      <c r="AG251">
        <v>0.16</v>
      </c>
      <c r="AH251">
        <v>2</v>
      </c>
      <c r="AI251">
        <v>56960001</v>
      </c>
      <c r="AJ251">
        <v>209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ROW(Source!A243)</f>
        <v>243</v>
      </c>
      <c r="B252">
        <v>56961032</v>
      </c>
      <c r="C252">
        <v>56959996</v>
      </c>
      <c r="D252">
        <v>56084708</v>
      </c>
      <c r="E252">
        <v>1</v>
      </c>
      <c r="F252">
        <v>1</v>
      </c>
      <c r="G252">
        <v>1080</v>
      </c>
      <c r="H252">
        <v>3</v>
      </c>
      <c r="I252" t="s">
        <v>587</v>
      </c>
      <c r="J252" t="s">
        <v>588</v>
      </c>
      <c r="K252" t="s">
        <v>589</v>
      </c>
      <c r="L252">
        <v>1355</v>
      </c>
      <c r="N252">
        <v>1010</v>
      </c>
      <c r="O252" t="s">
        <v>520</v>
      </c>
      <c r="P252" t="s">
        <v>520</v>
      </c>
      <c r="Q252">
        <v>100</v>
      </c>
      <c r="X252">
        <v>0.05</v>
      </c>
      <c r="Y252">
        <v>130.15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0.05</v>
      </c>
      <c r="AH252">
        <v>2</v>
      </c>
      <c r="AI252">
        <v>56960002</v>
      </c>
      <c r="AJ252">
        <v>210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ROW(Source!A243)</f>
        <v>243</v>
      </c>
      <c r="B253">
        <v>56961033</v>
      </c>
      <c r="C253">
        <v>56959996</v>
      </c>
      <c r="D253">
        <v>56084719</v>
      </c>
      <c r="E253">
        <v>1</v>
      </c>
      <c r="F253">
        <v>1</v>
      </c>
      <c r="G253">
        <v>1080</v>
      </c>
      <c r="H253">
        <v>3</v>
      </c>
      <c r="I253" t="s">
        <v>590</v>
      </c>
      <c r="J253" t="s">
        <v>591</v>
      </c>
      <c r="K253" t="s">
        <v>592</v>
      </c>
      <c r="L253">
        <v>1356</v>
      </c>
      <c r="N253">
        <v>1010</v>
      </c>
      <c r="O253" t="s">
        <v>544</v>
      </c>
      <c r="P253" t="s">
        <v>544</v>
      </c>
      <c r="Q253">
        <v>1000</v>
      </c>
      <c r="X253">
        <v>1.2200000000000001E-2</v>
      </c>
      <c r="Y253">
        <v>226.86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1.2200000000000001E-2</v>
      </c>
      <c r="AH253">
        <v>2</v>
      </c>
      <c r="AI253">
        <v>56960003</v>
      </c>
      <c r="AJ253">
        <v>211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ROW(Source!A243)</f>
        <v>243</v>
      </c>
      <c r="B254">
        <v>56961034</v>
      </c>
      <c r="C254">
        <v>56959996</v>
      </c>
      <c r="D254">
        <v>56084044</v>
      </c>
      <c r="E254">
        <v>1</v>
      </c>
      <c r="F254">
        <v>1</v>
      </c>
      <c r="G254">
        <v>1080</v>
      </c>
      <c r="H254">
        <v>3</v>
      </c>
      <c r="I254" t="s">
        <v>545</v>
      </c>
      <c r="J254" t="s">
        <v>546</v>
      </c>
      <c r="K254" t="s">
        <v>547</v>
      </c>
      <c r="L254">
        <v>1354</v>
      </c>
      <c r="N254">
        <v>1010</v>
      </c>
      <c r="O254" t="s">
        <v>31</v>
      </c>
      <c r="P254" t="s">
        <v>31</v>
      </c>
      <c r="Q254">
        <v>1</v>
      </c>
      <c r="X254">
        <v>3.1</v>
      </c>
      <c r="Y254">
        <v>6.94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3.1</v>
      </c>
      <c r="AH254">
        <v>2</v>
      </c>
      <c r="AI254">
        <v>56960004</v>
      </c>
      <c r="AJ254">
        <v>212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ROW(Source!A243)</f>
        <v>243</v>
      </c>
      <c r="B255">
        <v>56961035</v>
      </c>
      <c r="C255">
        <v>56959996</v>
      </c>
      <c r="D255">
        <v>56084052</v>
      </c>
      <c r="E255">
        <v>1</v>
      </c>
      <c r="F255">
        <v>1</v>
      </c>
      <c r="G255">
        <v>1080</v>
      </c>
      <c r="H255">
        <v>3</v>
      </c>
      <c r="I255" t="s">
        <v>593</v>
      </c>
      <c r="J255" t="s">
        <v>594</v>
      </c>
      <c r="K255" t="s">
        <v>595</v>
      </c>
      <c r="L255">
        <v>1356</v>
      </c>
      <c r="N255">
        <v>1010</v>
      </c>
      <c r="O255" t="s">
        <v>544</v>
      </c>
      <c r="P255" t="s">
        <v>544</v>
      </c>
      <c r="Q255">
        <v>1000</v>
      </c>
      <c r="X255">
        <v>8.0000000000000002E-3</v>
      </c>
      <c r="Y255">
        <v>614.09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8.0000000000000002E-3</v>
      </c>
      <c r="AH255">
        <v>2</v>
      </c>
      <c r="AI255">
        <v>56960005</v>
      </c>
      <c r="AJ255">
        <v>213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ROW(Source!A243)</f>
        <v>243</v>
      </c>
      <c r="B256">
        <v>56961036</v>
      </c>
      <c r="C256">
        <v>56959996</v>
      </c>
      <c r="D256">
        <v>56033636</v>
      </c>
      <c r="E256">
        <v>1080</v>
      </c>
      <c r="F256">
        <v>1</v>
      </c>
      <c r="G256">
        <v>1080</v>
      </c>
      <c r="H256">
        <v>3</v>
      </c>
      <c r="I256" t="s">
        <v>653</v>
      </c>
      <c r="J256" t="s">
        <v>3</v>
      </c>
      <c r="K256" t="s">
        <v>654</v>
      </c>
      <c r="L256">
        <v>1303</v>
      </c>
      <c r="N256">
        <v>1003</v>
      </c>
      <c r="O256" t="s">
        <v>108</v>
      </c>
      <c r="P256" t="s">
        <v>108</v>
      </c>
      <c r="Q256">
        <v>1000</v>
      </c>
      <c r="X256">
        <v>0.10299999999999999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</v>
      </c>
      <c r="AG256">
        <v>0.10299999999999999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ROW(Source!A244)</f>
        <v>244</v>
      </c>
      <c r="B257">
        <v>56961027</v>
      </c>
      <c r="C257">
        <v>56959996</v>
      </c>
      <c r="D257">
        <v>56018166</v>
      </c>
      <c r="E257">
        <v>1080</v>
      </c>
      <c r="F257">
        <v>1</v>
      </c>
      <c r="G257">
        <v>1080</v>
      </c>
      <c r="H257">
        <v>1</v>
      </c>
      <c r="I257" t="s">
        <v>500</v>
      </c>
      <c r="J257" t="s">
        <v>3</v>
      </c>
      <c r="K257" t="s">
        <v>501</v>
      </c>
      <c r="L257">
        <v>1191</v>
      </c>
      <c r="N257">
        <v>1013</v>
      </c>
      <c r="O257" t="s">
        <v>502</v>
      </c>
      <c r="P257" t="s">
        <v>502</v>
      </c>
      <c r="Q257">
        <v>1</v>
      </c>
      <c r="X257">
        <v>5.39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23</v>
      </c>
      <c r="AG257">
        <v>5.9290000000000003</v>
      </c>
      <c r="AH257">
        <v>2</v>
      </c>
      <c r="AI257">
        <v>56959997</v>
      </c>
      <c r="AJ257">
        <v>215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ROW(Source!A244)</f>
        <v>244</v>
      </c>
      <c r="B258">
        <v>56961028</v>
      </c>
      <c r="C258">
        <v>56959996</v>
      </c>
      <c r="D258">
        <v>56092340</v>
      </c>
      <c r="E258">
        <v>1</v>
      </c>
      <c r="F258">
        <v>1</v>
      </c>
      <c r="G258">
        <v>1080</v>
      </c>
      <c r="H258">
        <v>2</v>
      </c>
      <c r="I258" t="s">
        <v>503</v>
      </c>
      <c r="J258" t="s">
        <v>504</v>
      </c>
      <c r="K258" t="s">
        <v>505</v>
      </c>
      <c r="L258">
        <v>1368</v>
      </c>
      <c r="N258">
        <v>1011</v>
      </c>
      <c r="O258" t="s">
        <v>506</v>
      </c>
      <c r="P258" t="s">
        <v>506</v>
      </c>
      <c r="Q258">
        <v>1</v>
      </c>
      <c r="X258">
        <v>0.02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23</v>
      </c>
      <c r="AG258">
        <v>2.2000000000000002E-2</v>
      </c>
      <c r="AH258">
        <v>2</v>
      </c>
      <c r="AI258">
        <v>56959998</v>
      </c>
      <c r="AJ258">
        <v>216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ROW(Source!A244)</f>
        <v>244</v>
      </c>
      <c r="B259">
        <v>56961029</v>
      </c>
      <c r="C259">
        <v>56959996</v>
      </c>
      <c r="D259">
        <v>56091576</v>
      </c>
      <c r="E259">
        <v>1</v>
      </c>
      <c r="F259">
        <v>1</v>
      </c>
      <c r="G259">
        <v>1080</v>
      </c>
      <c r="H259">
        <v>2</v>
      </c>
      <c r="I259" t="s">
        <v>529</v>
      </c>
      <c r="J259" t="s">
        <v>530</v>
      </c>
      <c r="K259" t="s">
        <v>531</v>
      </c>
      <c r="L259">
        <v>1368</v>
      </c>
      <c r="N259">
        <v>1011</v>
      </c>
      <c r="O259" t="s">
        <v>506</v>
      </c>
      <c r="P259" t="s">
        <v>506</v>
      </c>
      <c r="Q259">
        <v>1</v>
      </c>
      <c r="X259">
        <v>0.02</v>
      </c>
      <c r="Y259">
        <v>0</v>
      </c>
      <c r="Z259">
        <v>179.17</v>
      </c>
      <c r="AA259">
        <v>16.93</v>
      </c>
      <c r="AB259">
        <v>0</v>
      </c>
      <c r="AC259">
        <v>0</v>
      </c>
      <c r="AD259">
        <v>1</v>
      </c>
      <c r="AE259">
        <v>0</v>
      </c>
      <c r="AF259" t="s">
        <v>23</v>
      </c>
      <c r="AG259">
        <v>2.2000000000000002E-2</v>
      </c>
      <c r="AH259">
        <v>2</v>
      </c>
      <c r="AI259">
        <v>56959999</v>
      </c>
      <c r="AJ259">
        <v>217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ROW(Source!A244)</f>
        <v>244</v>
      </c>
      <c r="B260">
        <v>56961030</v>
      </c>
      <c r="C260">
        <v>56959996</v>
      </c>
      <c r="D260">
        <v>56061373</v>
      </c>
      <c r="E260">
        <v>1</v>
      </c>
      <c r="F260">
        <v>1</v>
      </c>
      <c r="G260">
        <v>1080</v>
      </c>
      <c r="H260">
        <v>3</v>
      </c>
      <c r="I260" t="s">
        <v>532</v>
      </c>
      <c r="J260" t="s">
        <v>533</v>
      </c>
      <c r="K260" t="s">
        <v>534</v>
      </c>
      <c r="L260">
        <v>1346</v>
      </c>
      <c r="N260">
        <v>1009</v>
      </c>
      <c r="O260" t="s">
        <v>249</v>
      </c>
      <c r="P260" t="s">
        <v>249</v>
      </c>
      <c r="Q260">
        <v>1</v>
      </c>
      <c r="X260">
        <v>0.6</v>
      </c>
      <c r="Y260">
        <v>1.38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3</v>
      </c>
      <c r="AG260">
        <v>0.6</v>
      </c>
      <c r="AH260">
        <v>2</v>
      </c>
      <c r="AI260">
        <v>56960000</v>
      </c>
      <c r="AJ260">
        <v>218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ROW(Source!A244)</f>
        <v>244</v>
      </c>
      <c r="B261">
        <v>56961031</v>
      </c>
      <c r="C261">
        <v>56959996</v>
      </c>
      <c r="D261">
        <v>56061764</v>
      </c>
      <c r="E261">
        <v>1</v>
      </c>
      <c r="F261">
        <v>1</v>
      </c>
      <c r="G261">
        <v>1080</v>
      </c>
      <c r="H261">
        <v>3</v>
      </c>
      <c r="I261" t="s">
        <v>535</v>
      </c>
      <c r="J261" t="s">
        <v>536</v>
      </c>
      <c r="K261" t="s">
        <v>537</v>
      </c>
      <c r="L261">
        <v>1346</v>
      </c>
      <c r="N261">
        <v>1009</v>
      </c>
      <c r="O261" t="s">
        <v>249</v>
      </c>
      <c r="P261" t="s">
        <v>249</v>
      </c>
      <c r="Q261">
        <v>1</v>
      </c>
      <c r="X261">
        <v>0.16</v>
      </c>
      <c r="Y261">
        <v>159.06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3</v>
      </c>
      <c r="AG261">
        <v>0.16</v>
      </c>
      <c r="AH261">
        <v>2</v>
      </c>
      <c r="AI261">
        <v>56960001</v>
      </c>
      <c r="AJ261">
        <v>219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ROW(Source!A244)</f>
        <v>244</v>
      </c>
      <c r="B262">
        <v>56961032</v>
      </c>
      <c r="C262">
        <v>56959996</v>
      </c>
      <c r="D262">
        <v>56084708</v>
      </c>
      <c r="E262">
        <v>1</v>
      </c>
      <c r="F262">
        <v>1</v>
      </c>
      <c r="G262">
        <v>1080</v>
      </c>
      <c r="H262">
        <v>3</v>
      </c>
      <c r="I262" t="s">
        <v>587</v>
      </c>
      <c r="J262" t="s">
        <v>588</v>
      </c>
      <c r="K262" t="s">
        <v>589</v>
      </c>
      <c r="L262">
        <v>1355</v>
      </c>
      <c r="N262">
        <v>1010</v>
      </c>
      <c r="O262" t="s">
        <v>520</v>
      </c>
      <c r="P262" t="s">
        <v>520</v>
      </c>
      <c r="Q262">
        <v>100</v>
      </c>
      <c r="X262">
        <v>0.05</v>
      </c>
      <c r="Y262">
        <v>130.15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</v>
      </c>
      <c r="AG262">
        <v>0.05</v>
      </c>
      <c r="AH262">
        <v>2</v>
      </c>
      <c r="AI262">
        <v>56960002</v>
      </c>
      <c r="AJ262">
        <v>220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ROW(Source!A244)</f>
        <v>244</v>
      </c>
      <c r="B263">
        <v>56961033</v>
      </c>
      <c r="C263">
        <v>56959996</v>
      </c>
      <c r="D263">
        <v>56084719</v>
      </c>
      <c r="E263">
        <v>1</v>
      </c>
      <c r="F263">
        <v>1</v>
      </c>
      <c r="G263">
        <v>1080</v>
      </c>
      <c r="H263">
        <v>3</v>
      </c>
      <c r="I263" t="s">
        <v>590</v>
      </c>
      <c r="J263" t="s">
        <v>591</v>
      </c>
      <c r="K263" t="s">
        <v>592</v>
      </c>
      <c r="L263">
        <v>1356</v>
      </c>
      <c r="N263">
        <v>1010</v>
      </c>
      <c r="O263" t="s">
        <v>544</v>
      </c>
      <c r="P263" t="s">
        <v>544</v>
      </c>
      <c r="Q263">
        <v>1000</v>
      </c>
      <c r="X263">
        <v>1.2200000000000001E-2</v>
      </c>
      <c r="Y263">
        <v>226.86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</v>
      </c>
      <c r="AG263">
        <v>1.2200000000000001E-2</v>
      </c>
      <c r="AH263">
        <v>2</v>
      </c>
      <c r="AI263">
        <v>56960003</v>
      </c>
      <c r="AJ263">
        <v>221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ROW(Source!A244)</f>
        <v>244</v>
      </c>
      <c r="B264">
        <v>56961034</v>
      </c>
      <c r="C264">
        <v>56959996</v>
      </c>
      <c r="D264">
        <v>56084044</v>
      </c>
      <c r="E264">
        <v>1</v>
      </c>
      <c r="F264">
        <v>1</v>
      </c>
      <c r="G264">
        <v>1080</v>
      </c>
      <c r="H264">
        <v>3</v>
      </c>
      <c r="I264" t="s">
        <v>545</v>
      </c>
      <c r="J264" t="s">
        <v>546</v>
      </c>
      <c r="K264" t="s">
        <v>547</v>
      </c>
      <c r="L264">
        <v>1354</v>
      </c>
      <c r="N264">
        <v>1010</v>
      </c>
      <c r="O264" t="s">
        <v>31</v>
      </c>
      <c r="P264" t="s">
        <v>31</v>
      </c>
      <c r="Q264">
        <v>1</v>
      </c>
      <c r="X264">
        <v>3.1</v>
      </c>
      <c r="Y264">
        <v>6.94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3.1</v>
      </c>
      <c r="AH264">
        <v>2</v>
      </c>
      <c r="AI264">
        <v>56960004</v>
      </c>
      <c r="AJ264">
        <v>222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ROW(Source!A244)</f>
        <v>244</v>
      </c>
      <c r="B265">
        <v>56961035</v>
      </c>
      <c r="C265">
        <v>56959996</v>
      </c>
      <c r="D265">
        <v>56084052</v>
      </c>
      <c r="E265">
        <v>1</v>
      </c>
      <c r="F265">
        <v>1</v>
      </c>
      <c r="G265">
        <v>1080</v>
      </c>
      <c r="H265">
        <v>3</v>
      </c>
      <c r="I265" t="s">
        <v>593</v>
      </c>
      <c r="J265" t="s">
        <v>594</v>
      </c>
      <c r="K265" t="s">
        <v>595</v>
      </c>
      <c r="L265">
        <v>1356</v>
      </c>
      <c r="N265">
        <v>1010</v>
      </c>
      <c r="O265" t="s">
        <v>544</v>
      </c>
      <c r="P265" t="s">
        <v>544</v>
      </c>
      <c r="Q265">
        <v>1000</v>
      </c>
      <c r="X265">
        <v>8.0000000000000002E-3</v>
      </c>
      <c r="Y265">
        <v>614.09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</v>
      </c>
      <c r="AG265">
        <v>8.0000000000000002E-3</v>
      </c>
      <c r="AH265">
        <v>2</v>
      </c>
      <c r="AI265">
        <v>56960005</v>
      </c>
      <c r="AJ265">
        <v>223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ROW(Source!A244)</f>
        <v>244</v>
      </c>
      <c r="B266">
        <v>56961036</v>
      </c>
      <c r="C266">
        <v>56959996</v>
      </c>
      <c r="D266">
        <v>56033636</v>
      </c>
      <c r="E266">
        <v>1080</v>
      </c>
      <c r="F266">
        <v>1</v>
      </c>
      <c r="G266">
        <v>1080</v>
      </c>
      <c r="H266">
        <v>3</v>
      </c>
      <c r="I266" t="s">
        <v>653</v>
      </c>
      <c r="J266" t="s">
        <v>3</v>
      </c>
      <c r="K266" t="s">
        <v>654</v>
      </c>
      <c r="L266">
        <v>1303</v>
      </c>
      <c r="N266">
        <v>1003</v>
      </c>
      <c r="O266" t="s">
        <v>108</v>
      </c>
      <c r="P266" t="s">
        <v>108</v>
      </c>
      <c r="Q266">
        <v>1000</v>
      </c>
      <c r="X266">
        <v>0.10299999999999999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</v>
      </c>
      <c r="AG266">
        <v>0.10299999999999999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ROW(Source!A282)</f>
        <v>282</v>
      </c>
      <c r="B267">
        <v>56961037</v>
      </c>
      <c r="C267">
        <v>56960074</v>
      </c>
      <c r="D267">
        <v>56018166</v>
      </c>
      <c r="E267">
        <v>1080</v>
      </c>
      <c r="F267">
        <v>1</v>
      </c>
      <c r="G267">
        <v>1080</v>
      </c>
      <c r="H267">
        <v>1</v>
      </c>
      <c r="I267" t="s">
        <v>500</v>
      </c>
      <c r="J267" t="s">
        <v>3</v>
      </c>
      <c r="K267" t="s">
        <v>501</v>
      </c>
      <c r="L267">
        <v>1191</v>
      </c>
      <c r="N267">
        <v>1013</v>
      </c>
      <c r="O267" t="s">
        <v>502</v>
      </c>
      <c r="P267" t="s">
        <v>502</v>
      </c>
      <c r="Q267">
        <v>1</v>
      </c>
      <c r="X267">
        <v>0.52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 t="s">
        <v>23</v>
      </c>
      <c r="AG267">
        <v>0.57200000000000006</v>
      </c>
      <c r="AH267">
        <v>2</v>
      </c>
      <c r="AI267">
        <v>56960075</v>
      </c>
      <c r="AJ267">
        <v>225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ROW(Source!A282)</f>
        <v>282</v>
      </c>
      <c r="B268">
        <v>56961038</v>
      </c>
      <c r="C268">
        <v>56960074</v>
      </c>
      <c r="D268">
        <v>56015394</v>
      </c>
      <c r="E268">
        <v>1080</v>
      </c>
      <c r="F268">
        <v>1</v>
      </c>
      <c r="G268">
        <v>1080</v>
      </c>
      <c r="H268">
        <v>3</v>
      </c>
      <c r="I268" t="s">
        <v>660</v>
      </c>
      <c r="J268" t="s">
        <v>3</v>
      </c>
      <c r="K268" t="s">
        <v>661</v>
      </c>
      <c r="L268">
        <v>1346</v>
      </c>
      <c r="N268">
        <v>1009</v>
      </c>
      <c r="O268" t="s">
        <v>249</v>
      </c>
      <c r="P268" t="s">
        <v>249</v>
      </c>
      <c r="Q268">
        <v>1</v>
      </c>
      <c r="X268">
        <v>3.5000000000000003E-2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</v>
      </c>
      <c r="AG268">
        <v>3.5000000000000003E-2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ROW(Source!A282)</f>
        <v>282</v>
      </c>
      <c r="B269">
        <v>56961039</v>
      </c>
      <c r="C269">
        <v>56960074</v>
      </c>
      <c r="D269">
        <v>56040039</v>
      </c>
      <c r="E269">
        <v>1080</v>
      </c>
      <c r="F269">
        <v>1</v>
      </c>
      <c r="G269">
        <v>1080</v>
      </c>
      <c r="H269">
        <v>3</v>
      </c>
      <c r="I269" t="s">
        <v>632</v>
      </c>
      <c r="J269" t="s">
        <v>3</v>
      </c>
      <c r="K269" t="s">
        <v>664</v>
      </c>
      <c r="L269">
        <v>1354</v>
      </c>
      <c r="N269">
        <v>1010</v>
      </c>
      <c r="O269" t="s">
        <v>31</v>
      </c>
      <c r="P269" t="s">
        <v>31</v>
      </c>
      <c r="Q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3</v>
      </c>
      <c r="AG269">
        <v>1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ROW(Source!A283)</f>
        <v>283</v>
      </c>
      <c r="B270">
        <v>56961037</v>
      </c>
      <c r="C270">
        <v>56960074</v>
      </c>
      <c r="D270">
        <v>56018166</v>
      </c>
      <c r="E270">
        <v>1080</v>
      </c>
      <c r="F270">
        <v>1</v>
      </c>
      <c r="G270">
        <v>1080</v>
      </c>
      <c r="H270">
        <v>1</v>
      </c>
      <c r="I270" t="s">
        <v>500</v>
      </c>
      <c r="J270" t="s">
        <v>3</v>
      </c>
      <c r="K270" t="s">
        <v>501</v>
      </c>
      <c r="L270">
        <v>1191</v>
      </c>
      <c r="N270">
        <v>1013</v>
      </c>
      <c r="O270" t="s">
        <v>502</v>
      </c>
      <c r="P270" t="s">
        <v>502</v>
      </c>
      <c r="Q270">
        <v>1</v>
      </c>
      <c r="X270">
        <v>0.52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23</v>
      </c>
      <c r="AG270">
        <v>0.57200000000000006</v>
      </c>
      <c r="AH270">
        <v>2</v>
      </c>
      <c r="AI270">
        <v>56960075</v>
      </c>
      <c r="AJ270">
        <v>227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ROW(Source!A283)</f>
        <v>283</v>
      </c>
      <c r="B271">
        <v>56961038</v>
      </c>
      <c r="C271">
        <v>56960074</v>
      </c>
      <c r="D271">
        <v>56015394</v>
      </c>
      <c r="E271">
        <v>1080</v>
      </c>
      <c r="F271">
        <v>1</v>
      </c>
      <c r="G271">
        <v>1080</v>
      </c>
      <c r="H271">
        <v>3</v>
      </c>
      <c r="I271" t="s">
        <v>660</v>
      </c>
      <c r="J271" t="s">
        <v>3</v>
      </c>
      <c r="K271" t="s">
        <v>661</v>
      </c>
      <c r="L271">
        <v>1346</v>
      </c>
      <c r="N271">
        <v>1009</v>
      </c>
      <c r="O271" t="s">
        <v>249</v>
      </c>
      <c r="P271" t="s">
        <v>249</v>
      </c>
      <c r="Q271">
        <v>1</v>
      </c>
      <c r="X271">
        <v>3.5000000000000003E-2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3</v>
      </c>
      <c r="AG271">
        <v>3.5000000000000003E-2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ROW(Source!A283)</f>
        <v>283</v>
      </c>
      <c r="B272">
        <v>56961039</v>
      </c>
      <c r="C272">
        <v>56960074</v>
      </c>
      <c r="D272">
        <v>56040039</v>
      </c>
      <c r="E272">
        <v>1080</v>
      </c>
      <c r="F272">
        <v>1</v>
      </c>
      <c r="G272">
        <v>1080</v>
      </c>
      <c r="H272">
        <v>3</v>
      </c>
      <c r="I272" t="s">
        <v>632</v>
      </c>
      <c r="J272" t="s">
        <v>3</v>
      </c>
      <c r="K272" t="s">
        <v>664</v>
      </c>
      <c r="L272">
        <v>1354</v>
      </c>
      <c r="N272">
        <v>1010</v>
      </c>
      <c r="O272" t="s">
        <v>31</v>
      </c>
      <c r="P272" t="s">
        <v>31</v>
      </c>
      <c r="Q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3</v>
      </c>
      <c r="AG272">
        <v>1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ROW(Source!A292)</f>
        <v>292</v>
      </c>
      <c r="B273">
        <v>56961040</v>
      </c>
      <c r="C273">
        <v>56960084</v>
      </c>
      <c r="D273">
        <v>56018166</v>
      </c>
      <c r="E273">
        <v>1080</v>
      </c>
      <c r="F273">
        <v>1</v>
      </c>
      <c r="G273">
        <v>1080</v>
      </c>
      <c r="H273">
        <v>1</v>
      </c>
      <c r="I273" t="s">
        <v>500</v>
      </c>
      <c r="J273" t="s">
        <v>3</v>
      </c>
      <c r="K273" t="s">
        <v>501</v>
      </c>
      <c r="L273">
        <v>1191</v>
      </c>
      <c r="N273">
        <v>1013</v>
      </c>
      <c r="O273" t="s">
        <v>502</v>
      </c>
      <c r="P273" t="s">
        <v>502</v>
      </c>
      <c r="Q273">
        <v>1</v>
      </c>
      <c r="X273">
        <v>0.3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1</v>
      </c>
      <c r="AF273" t="s">
        <v>23</v>
      </c>
      <c r="AG273">
        <v>0.33</v>
      </c>
      <c r="AH273">
        <v>2</v>
      </c>
      <c r="AI273">
        <v>56960085</v>
      </c>
      <c r="AJ273">
        <v>229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ROW(Source!A292)</f>
        <v>292</v>
      </c>
      <c r="B274">
        <v>56961041</v>
      </c>
      <c r="C274">
        <v>56960084</v>
      </c>
      <c r="D274">
        <v>56082169</v>
      </c>
      <c r="E274">
        <v>1</v>
      </c>
      <c r="F274">
        <v>1</v>
      </c>
      <c r="G274">
        <v>1080</v>
      </c>
      <c r="H274">
        <v>3</v>
      </c>
      <c r="I274" t="s">
        <v>596</v>
      </c>
      <c r="J274" t="s">
        <v>597</v>
      </c>
      <c r="K274" t="s">
        <v>598</v>
      </c>
      <c r="L274">
        <v>1346</v>
      </c>
      <c r="N274">
        <v>1009</v>
      </c>
      <c r="O274" t="s">
        <v>249</v>
      </c>
      <c r="P274" t="s">
        <v>249</v>
      </c>
      <c r="Q274">
        <v>1</v>
      </c>
      <c r="X274">
        <v>4.2000000000000003E-2</v>
      </c>
      <c r="Y274">
        <v>19.28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3</v>
      </c>
      <c r="AG274">
        <v>4.2000000000000003E-2</v>
      </c>
      <c r="AH274">
        <v>2</v>
      </c>
      <c r="AI274">
        <v>56960086</v>
      </c>
      <c r="AJ274">
        <v>230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ROW(Source!A292)</f>
        <v>292</v>
      </c>
      <c r="B275">
        <v>56961042</v>
      </c>
      <c r="C275">
        <v>56960084</v>
      </c>
      <c r="D275">
        <v>56040040</v>
      </c>
      <c r="E275">
        <v>1080</v>
      </c>
      <c r="F275">
        <v>1</v>
      </c>
      <c r="G275">
        <v>1080</v>
      </c>
      <c r="H275">
        <v>3</v>
      </c>
      <c r="I275" t="s">
        <v>632</v>
      </c>
      <c r="J275" t="s">
        <v>3</v>
      </c>
      <c r="K275" t="s">
        <v>665</v>
      </c>
      <c r="L275">
        <v>1354</v>
      </c>
      <c r="N275">
        <v>1010</v>
      </c>
      <c r="O275" t="s">
        <v>31</v>
      </c>
      <c r="P275" t="s">
        <v>31</v>
      </c>
      <c r="Q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3</v>
      </c>
      <c r="AG275">
        <v>1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ROW(Source!A292)</f>
        <v>292</v>
      </c>
      <c r="B276">
        <v>56961043</v>
      </c>
      <c r="C276">
        <v>56960084</v>
      </c>
      <c r="D276">
        <v>56023168</v>
      </c>
      <c r="E276">
        <v>1080</v>
      </c>
      <c r="F276">
        <v>1</v>
      </c>
      <c r="G276">
        <v>1080</v>
      </c>
      <c r="H276">
        <v>3</v>
      </c>
      <c r="I276" t="s">
        <v>521</v>
      </c>
      <c r="J276" t="s">
        <v>3</v>
      </c>
      <c r="K276" t="s">
        <v>522</v>
      </c>
      <c r="L276">
        <v>1348</v>
      </c>
      <c r="N276">
        <v>1009</v>
      </c>
      <c r="O276" t="s">
        <v>291</v>
      </c>
      <c r="P276" t="s">
        <v>291</v>
      </c>
      <c r="Q276">
        <v>1000</v>
      </c>
      <c r="X276">
        <v>1.5E-3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</v>
      </c>
      <c r="AG276">
        <v>1.5E-3</v>
      </c>
      <c r="AH276">
        <v>2</v>
      </c>
      <c r="AI276">
        <v>56960087</v>
      </c>
      <c r="AJ276">
        <v>231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ROW(Source!A293)</f>
        <v>293</v>
      </c>
      <c r="B277">
        <v>56961040</v>
      </c>
      <c r="C277">
        <v>56960084</v>
      </c>
      <c r="D277">
        <v>56018166</v>
      </c>
      <c r="E277">
        <v>1080</v>
      </c>
      <c r="F277">
        <v>1</v>
      </c>
      <c r="G277">
        <v>1080</v>
      </c>
      <c r="H277">
        <v>1</v>
      </c>
      <c r="I277" t="s">
        <v>500</v>
      </c>
      <c r="J277" t="s">
        <v>3</v>
      </c>
      <c r="K277" t="s">
        <v>501</v>
      </c>
      <c r="L277">
        <v>1191</v>
      </c>
      <c r="N277">
        <v>1013</v>
      </c>
      <c r="O277" t="s">
        <v>502</v>
      </c>
      <c r="P277" t="s">
        <v>502</v>
      </c>
      <c r="Q277">
        <v>1</v>
      </c>
      <c r="X277">
        <v>0.3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23</v>
      </c>
      <c r="AG277">
        <v>0.33</v>
      </c>
      <c r="AH277">
        <v>2</v>
      </c>
      <c r="AI277">
        <v>56960085</v>
      </c>
      <c r="AJ277">
        <v>232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ROW(Source!A293)</f>
        <v>293</v>
      </c>
      <c r="B278">
        <v>56961041</v>
      </c>
      <c r="C278">
        <v>56960084</v>
      </c>
      <c r="D278">
        <v>56082169</v>
      </c>
      <c r="E278">
        <v>1</v>
      </c>
      <c r="F278">
        <v>1</v>
      </c>
      <c r="G278">
        <v>1080</v>
      </c>
      <c r="H278">
        <v>3</v>
      </c>
      <c r="I278" t="s">
        <v>596</v>
      </c>
      <c r="J278" t="s">
        <v>597</v>
      </c>
      <c r="K278" t="s">
        <v>598</v>
      </c>
      <c r="L278">
        <v>1346</v>
      </c>
      <c r="N278">
        <v>1009</v>
      </c>
      <c r="O278" t="s">
        <v>249</v>
      </c>
      <c r="P278" t="s">
        <v>249</v>
      </c>
      <c r="Q278">
        <v>1</v>
      </c>
      <c r="X278">
        <v>4.2000000000000003E-2</v>
      </c>
      <c r="Y278">
        <v>19.28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</v>
      </c>
      <c r="AG278">
        <v>4.2000000000000003E-2</v>
      </c>
      <c r="AH278">
        <v>2</v>
      </c>
      <c r="AI278">
        <v>56960086</v>
      </c>
      <c r="AJ278">
        <v>233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ROW(Source!A293)</f>
        <v>293</v>
      </c>
      <c r="B279">
        <v>56961042</v>
      </c>
      <c r="C279">
        <v>56960084</v>
      </c>
      <c r="D279">
        <v>56040040</v>
      </c>
      <c r="E279">
        <v>1080</v>
      </c>
      <c r="F279">
        <v>1</v>
      </c>
      <c r="G279">
        <v>1080</v>
      </c>
      <c r="H279">
        <v>3</v>
      </c>
      <c r="I279" t="s">
        <v>632</v>
      </c>
      <c r="J279" t="s">
        <v>3</v>
      </c>
      <c r="K279" t="s">
        <v>665</v>
      </c>
      <c r="L279">
        <v>1354</v>
      </c>
      <c r="N279">
        <v>1010</v>
      </c>
      <c r="O279" t="s">
        <v>31</v>
      </c>
      <c r="P279" t="s">
        <v>31</v>
      </c>
      <c r="Q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3</v>
      </c>
      <c r="AG279">
        <v>1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ROW(Source!A293)</f>
        <v>293</v>
      </c>
      <c r="B280">
        <v>56961043</v>
      </c>
      <c r="C280">
        <v>56960084</v>
      </c>
      <c r="D280">
        <v>56023168</v>
      </c>
      <c r="E280">
        <v>1080</v>
      </c>
      <c r="F280">
        <v>1</v>
      </c>
      <c r="G280">
        <v>1080</v>
      </c>
      <c r="H280">
        <v>3</v>
      </c>
      <c r="I280" t="s">
        <v>521</v>
      </c>
      <c r="J280" t="s">
        <v>3</v>
      </c>
      <c r="K280" t="s">
        <v>522</v>
      </c>
      <c r="L280">
        <v>1348</v>
      </c>
      <c r="N280">
        <v>1009</v>
      </c>
      <c r="O280" t="s">
        <v>291</v>
      </c>
      <c r="P280" t="s">
        <v>291</v>
      </c>
      <c r="Q280">
        <v>1000</v>
      </c>
      <c r="X280">
        <v>1.5E-3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</v>
      </c>
      <c r="AG280">
        <v>1.5E-3</v>
      </c>
      <c r="AH280">
        <v>2</v>
      </c>
      <c r="AI280">
        <v>56960087</v>
      </c>
      <c r="AJ280">
        <v>234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ROW(Source!A308)</f>
        <v>308</v>
      </c>
      <c r="B281">
        <v>56961044</v>
      </c>
      <c r="C281">
        <v>56960099</v>
      </c>
      <c r="D281">
        <v>56018166</v>
      </c>
      <c r="E281">
        <v>1080</v>
      </c>
      <c r="F281">
        <v>1</v>
      </c>
      <c r="G281">
        <v>1080</v>
      </c>
      <c r="H281">
        <v>1</v>
      </c>
      <c r="I281" t="s">
        <v>500</v>
      </c>
      <c r="J281" t="s">
        <v>3</v>
      </c>
      <c r="K281" t="s">
        <v>501</v>
      </c>
      <c r="L281">
        <v>1191</v>
      </c>
      <c r="N281">
        <v>1013</v>
      </c>
      <c r="O281" t="s">
        <v>502</v>
      </c>
      <c r="P281" t="s">
        <v>502</v>
      </c>
      <c r="Q281">
        <v>1</v>
      </c>
      <c r="X281">
        <v>0.52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23</v>
      </c>
      <c r="AG281">
        <v>0.57200000000000006</v>
      </c>
      <c r="AH281">
        <v>2</v>
      </c>
      <c r="AI281">
        <v>56960100</v>
      </c>
      <c r="AJ281">
        <v>235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ROW(Source!A308)</f>
        <v>308</v>
      </c>
      <c r="B282">
        <v>56961045</v>
      </c>
      <c r="C282">
        <v>56960099</v>
      </c>
      <c r="D282">
        <v>56092340</v>
      </c>
      <c r="E282">
        <v>1</v>
      </c>
      <c r="F282">
        <v>1</v>
      </c>
      <c r="G282">
        <v>1080</v>
      </c>
      <c r="H282">
        <v>2</v>
      </c>
      <c r="I282" t="s">
        <v>503</v>
      </c>
      <c r="J282" t="s">
        <v>504</v>
      </c>
      <c r="K282" t="s">
        <v>505</v>
      </c>
      <c r="L282">
        <v>1368</v>
      </c>
      <c r="N282">
        <v>1011</v>
      </c>
      <c r="O282" t="s">
        <v>506</v>
      </c>
      <c r="P282" t="s">
        <v>506</v>
      </c>
      <c r="Q282">
        <v>1</v>
      </c>
      <c r="X282">
        <v>0.02</v>
      </c>
      <c r="Y282">
        <v>0</v>
      </c>
      <c r="Z282">
        <v>83.1</v>
      </c>
      <c r="AA282">
        <v>12.62</v>
      </c>
      <c r="AB282">
        <v>0</v>
      </c>
      <c r="AC282">
        <v>0</v>
      </c>
      <c r="AD282">
        <v>1</v>
      </c>
      <c r="AE282">
        <v>0</v>
      </c>
      <c r="AF282" t="s">
        <v>23</v>
      </c>
      <c r="AG282">
        <v>2.2000000000000002E-2</v>
      </c>
      <c r="AH282">
        <v>2</v>
      </c>
      <c r="AI282">
        <v>56960101</v>
      </c>
      <c r="AJ282">
        <v>236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ROW(Source!A308)</f>
        <v>308</v>
      </c>
      <c r="B283">
        <v>56961046</v>
      </c>
      <c r="C283">
        <v>56960099</v>
      </c>
      <c r="D283">
        <v>56091652</v>
      </c>
      <c r="E283">
        <v>1</v>
      </c>
      <c r="F283">
        <v>1</v>
      </c>
      <c r="G283">
        <v>1080</v>
      </c>
      <c r="H283">
        <v>2</v>
      </c>
      <c r="I283" t="s">
        <v>599</v>
      </c>
      <c r="J283" t="s">
        <v>600</v>
      </c>
      <c r="K283" t="s">
        <v>601</v>
      </c>
      <c r="L283">
        <v>1368</v>
      </c>
      <c r="N283">
        <v>1011</v>
      </c>
      <c r="O283" t="s">
        <v>506</v>
      </c>
      <c r="P283" t="s">
        <v>506</v>
      </c>
      <c r="Q283">
        <v>1</v>
      </c>
      <c r="X283">
        <v>0.2</v>
      </c>
      <c r="Y283">
        <v>0</v>
      </c>
      <c r="Z283">
        <v>132.66</v>
      </c>
      <c r="AA283">
        <v>14.54</v>
      </c>
      <c r="AB283">
        <v>0</v>
      </c>
      <c r="AC283">
        <v>0</v>
      </c>
      <c r="AD283">
        <v>1</v>
      </c>
      <c r="AE283">
        <v>0</v>
      </c>
      <c r="AF283" t="s">
        <v>23</v>
      </c>
      <c r="AG283">
        <v>0.22000000000000003</v>
      </c>
      <c r="AH283">
        <v>2</v>
      </c>
      <c r="AI283">
        <v>56960102</v>
      </c>
      <c r="AJ283">
        <v>237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ROW(Source!A308)</f>
        <v>308</v>
      </c>
      <c r="B284">
        <v>56961047</v>
      </c>
      <c r="C284">
        <v>56960099</v>
      </c>
      <c r="D284">
        <v>56015394</v>
      </c>
      <c r="E284">
        <v>1080</v>
      </c>
      <c r="F284">
        <v>1</v>
      </c>
      <c r="G284">
        <v>1080</v>
      </c>
      <c r="H284">
        <v>3</v>
      </c>
      <c r="I284" t="s">
        <v>660</v>
      </c>
      <c r="J284" t="s">
        <v>3</v>
      </c>
      <c r="K284" t="s">
        <v>661</v>
      </c>
      <c r="L284">
        <v>1346</v>
      </c>
      <c r="N284">
        <v>1009</v>
      </c>
      <c r="O284" t="s">
        <v>249</v>
      </c>
      <c r="P284" t="s">
        <v>249</v>
      </c>
      <c r="Q284">
        <v>1</v>
      </c>
      <c r="X284">
        <v>3.2000000000000003E-4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</v>
      </c>
      <c r="AG284">
        <v>3.2000000000000003E-4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ROW(Source!A308)</f>
        <v>308</v>
      </c>
      <c r="B285">
        <v>56961048</v>
      </c>
      <c r="C285">
        <v>56960099</v>
      </c>
      <c r="D285">
        <v>56040128</v>
      </c>
      <c r="E285">
        <v>1080</v>
      </c>
      <c r="F285">
        <v>1</v>
      </c>
      <c r="G285">
        <v>1080</v>
      </c>
      <c r="H285">
        <v>3</v>
      </c>
      <c r="I285" t="s">
        <v>666</v>
      </c>
      <c r="J285" t="s">
        <v>3</v>
      </c>
      <c r="K285" t="s">
        <v>667</v>
      </c>
      <c r="L285">
        <v>1354</v>
      </c>
      <c r="N285">
        <v>1010</v>
      </c>
      <c r="O285" t="s">
        <v>31</v>
      </c>
      <c r="P285" t="s">
        <v>31</v>
      </c>
      <c r="Q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3</v>
      </c>
      <c r="AG285">
        <v>1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ROW(Source!A309)</f>
        <v>309</v>
      </c>
      <c r="B286">
        <v>56961044</v>
      </c>
      <c r="C286">
        <v>56960099</v>
      </c>
      <c r="D286">
        <v>56018166</v>
      </c>
      <c r="E286">
        <v>1080</v>
      </c>
      <c r="F286">
        <v>1</v>
      </c>
      <c r="G286">
        <v>1080</v>
      </c>
      <c r="H286">
        <v>1</v>
      </c>
      <c r="I286" t="s">
        <v>500</v>
      </c>
      <c r="J286" t="s">
        <v>3</v>
      </c>
      <c r="K286" t="s">
        <v>501</v>
      </c>
      <c r="L286">
        <v>1191</v>
      </c>
      <c r="N286">
        <v>1013</v>
      </c>
      <c r="O286" t="s">
        <v>502</v>
      </c>
      <c r="P286" t="s">
        <v>502</v>
      </c>
      <c r="Q286">
        <v>1</v>
      </c>
      <c r="X286">
        <v>0.52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 t="s">
        <v>23</v>
      </c>
      <c r="AG286">
        <v>0.57200000000000006</v>
      </c>
      <c r="AH286">
        <v>2</v>
      </c>
      <c r="AI286">
        <v>56960100</v>
      </c>
      <c r="AJ286">
        <v>239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ROW(Source!A309)</f>
        <v>309</v>
      </c>
      <c r="B287">
        <v>56961045</v>
      </c>
      <c r="C287">
        <v>56960099</v>
      </c>
      <c r="D287">
        <v>56092340</v>
      </c>
      <c r="E287">
        <v>1</v>
      </c>
      <c r="F287">
        <v>1</v>
      </c>
      <c r="G287">
        <v>1080</v>
      </c>
      <c r="H287">
        <v>2</v>
      </c>
      <c r="I287" t="s">
        <v>503</v>
      </c>
      <c r="J287" t="s">
        <v>504</v>
      </c>
      <c r="K287" t="s">
        <v>505</v>
      </c>
      <c r="L287">
        <v>1368</v>
      </c>
      <c r="N287">
        <v>1011</v>
      </c>
      <c r="O287" t="s">
        <v>506</v>
      </c>
      <c r="P287" t="s">
        <v>506</v>
      </c>
      <c r="Q287">
        <v>1</v>
      </c>
      <c r="X287">
        <v>0.02</v>
      </c>
      <c r="Y287">
        <v>0</v>
      </c>
      <c r="Z287">
        <v>83.1</v>
      </c>
      <c r="AA287">
        <v>12.62</v>
      </c>
      <c r="AB287">
        <v>0</v>
      </c>
      <c r="AC287">
        <v>0</v>
      </c>
      <c r="AD287">
        <v>1</v>
      </c>
      <c r="AE287">
        <v>0</v>
      </c>
      <c r="AF287" t="s">
        <v>23</v>
      </c>
      <c r="AG287">
        <v>2.2000000000000002E-2</v>
      </c>
      <c r="AH287">
        <v>2</v>
      </c>
      <c r="AI287">
        <v>56960101</v>
      </c>
      <c r="AJ287">
        <v>240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ROW(Source!A309)</f>
        <v>309</v>
      </c>
      <c r="B288">
        <v>56961046</v>
      </c>
      <c r="C288">
        <v>56960099</v>
      </c>
      <c r="D288">
        <v>56091652</v>
      </c>
      <c r="E288">
        <v>1</v>
      </c>
      <c r="F288">
        <v>1</v>
      </c>
      <c r="G288">
        <v>1080</v>
      </c>
      <c r="H288">
        <v>2</v>
      </c>
      <c r="I288" t="s">
        <v>599</v>
      </c>
      <c r="J288" t="s">
        <v>600</v>
      </c>
      <c r="K288" t="s">
        <v>601</v>
      </c>
      <c r="L288">
        <v>1368</v>
      </c>
      <c r="N288">
        <v>1011</v>
      </c>
      <c r="O288" t="s">
        <v>506</v>
      </c>
      <c r="P288" t="s">
        <v>506</v>
      </c>
      <c r="Q288">
        <v>1</v>
      </c>
      <c r="X288">
        <v>0.2</v>
      </c>
      <c r="Y288">
        <v>0</v>
      </c>
      <c r="Z288">
        <v>132.66</v>
      </c>
      <c r="AA288">
        <v>14.54</v>
      </c>
      <c r="AB288">
        <v>0</v>
      </c>
      <c r="AC288">
        <v>0</v>
      </c>
      <c r="AD288">
        <v>1</v>
      </c>
      <c r="AE288">
        <v>0</v>
      </c>
      <c r="AF288" t="s">
        <v>23</v>
      </c>
      <c r="AG288">
        <v>0.22000000000000003</v>
      </c>
      <c r="AH288">
        <v>2</v>
      </c>
      <c r="AI288">
        <v>56960102</v>
      </c>
      <c r="AJ288">
        <v>241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ROW(Source!A309)</f>
        <v>309</v>
      </c>
      <c r="B289">
        <v>56961047</v>
      </c>
      <c r="C289">
        <v>56960099</v>
      </c>
      <c r="D289">
        <v>56015394</v>
      </c>
      <c r="E289">
        <v>1080</v>
      </c>
      <c r="F289">
        <v>1</v>
      </c>
      <c r="G289">
        <v>1080</v>
      </c>
      <c r="H289">
        <v>3</v>
      </c>
      <c r="I289" t="s">
        <v>660</v>
      </c>
      <c r="J289" t="s">
        <v>3</v>
      </c>
      <c r="K289" t="s">
        <v>661</v>
      </c>
      <c r="L289">
        <v>1346</v>
      </c>
      <c r="N289">
        <v>1009</v>
      </c>
      <c r="O289" t="s">
        <v>249</v>
      </c>
      <c r="P289" t="s">
        <v>249</v>
      </c>
      <c r="Q289">
        <v>1</v>
      </c>
      <c r="X289">
        <v>3.2000000000000003E-4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3</v>
      </c>
      <c r="AG289">
        <v>3.2000000000000003E-4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ROW(Source!A309)</f>
        <v>309</v>
      </c>
      <c r="B290">
        <v>56961048</v>
      </c>
      <c r="C290">
        <v>56960099</v>
      </c>
      <c r="D290">
        <v>56040128</v>
      </c>
      <c r="E290">
        <v>1080</v>
      </c>
      <c r="F290">
        <v>1</v>
      </c>
      <c r="G290">
        <v>1080</v>
      </c>
      <c r="H290">
        <v>3</v>
      </c>
      <c r="I290" t="s">
        <v>666</v>
      </c>
      <c r="J290" t="s">
        <v>3</v>
      </c>
      <c r="K290" t="s">
        <v>667</v>
      </c>
      <c r="L290">
        <v>1354</v>
      </c>
      <c r="N290">
        <v>1010</v>
      </c>
      <c r="O290" t="s">
        <v>31</v>
      </c>
      <c r="P290" t="s">
        <v>31</v>
      </c>
      <c r="Q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3</v>
      </c>
      <c r="AG290">
        <v>1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ROW(Source!A357)</f>
        <v>357</v>
      </c>
      <c r="B291">
        <v>56961049</v>
      </c>
      <c r="C291">
        <v>56960171</v>
      </c>
      <c r="D291">
        <v>56018166</v>
      </c>
      <c r="E291">
        <v>1080</v>
      </c>
      <c r="F291">
        <v>1</v>
      </c>
      <c r="G291">
        <v>1080</v>
      </c>
      <c r="H291">
        <v>1</v>
      </c>
      <c r="I291" t="s">
        <v>500</v>
      </c>
      <c r="J291" t="s">
        <v>3</v>
      </c>
      <c r="K291" t="s">
        <v>501</v>
      </c>
      <c r="L291">
        <v>1191</v>
      </c>
      <c r="N291">
        <v>1013</v>
      </c>
      <c r="O291" t="s">
        <v>502</v>
      </c>
      <c r="P291" t="s">
        <v>502</v>
      </c>
      <c r="Q291">
        <v>1</v>
      </c>
      <c r="X291">
        <v>5.15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23</v>
      </c>
      <c r="AG291">
        <v>5.6650000000000009</v>
      </c>
      <c r="AH291">
        <v>2</v>
      </c>
      <c r="AI291">
        <v>56960172</v>
      </c>
      <c r="AJ291">
        <v>243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ROW(Source!A357)</f>
        <v>357</v>
      </c>
      <c r="B292">
        <v>56961050</v>
      </c>
      <c r="C292">
        <v>56960171</v>
      </c>
      <c r="D292">
        <v>56092041</v>
      </c>
      <c r="E292">
        <v>1</v>
      </c>
      <c r="F292">
        <v>1</v>
      </c>
      <c r="G292">
        <v>1080</v>
      </c>
      <c r="H292">
        <v>2</v>
      </c>
      <c r="I292" t="s">
        <v>575</v>
      </c>
      <c r="J292" t="s">
        <v>576</v>
      </c>
      <c r="K292" t="s">
        <v>577</v>
      </c>
      <c r="L292">
        <v>1368</v>
      </c>
      <c r="N292">
        <v>1011</v>
      </c>
      <c r="O292" t="s">
        <v>506</v>
      </c>
      <c r="P292" t="s">
        <v>506</v>
      </c>
      <c r="Q292">
        <v>1</v>
      </c>
      <c r="X292">
        <v>0.2</v>
      </c>
      <c r="Y292">
        <v>0</v>
      </c>
      <c r="Z292">
        <v>7.11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23</v>
      </c>
      <c r="AG292">
        <v>0.22000000000000003</v>
      </c>
      <c r="AH292">
        <v>2</v>
      </c>
      <c r="AI292">
        <v>56960173</v>
      </c>
      <c r="AJ292">
        <v>244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ROW(Source!A357)</f>
        <v>357</v>
      </c>
      <c r="B293">
        <v>56961051</v>
      </c>
      <c r="C293">
        <v>56960171</v>
      </c>
      <c r="D293">
        <v>56092340</v>
      </c>
      <c r="E293">
        <v>1</v>
      </c>
      <c r="F293">
        <v>1</v>
      </c>
      <c r="G293">
        <v>1080</v>
      </c>
      <c r="H293">
        <v>2</v>
      </c>
      <c r="I293" t="s">
        <v>503</v>
      </c>
      <c r="J293" t="s">
        <v>504</v>
      </c>
      <c r="K293" t="s">
        <v>505</v>
      </c>
      <c r="L293">
        <v>1368</v>
      </c>
      <c r="N293">
        <v>1011</v>
      </c>
      <c r="O293" t="s">
        <v>506</v>
      </c>
      <c r="P293" t="s">
        <v>506</v>
      </c>
      <c r="Q293">
        <v>1</v>
      </c>
      <c r="X293">
        <v>0.03</v>
      </c>
      <c r="Y293">
        <v>0</v>
      </c>
      <c r="Z293">
        <v>83.1</v>
      </c>
      <c r="AA293">
        <v>12.62</v>
      </c>
      <c r="AB293">
        <v>0</v>
      </c>
      <c r="AC293">
        <v>0</v>
      </c>
      <c r="AD293">
        <v>1</v>
      </c>
      <c r="AE293">
        <v>0</v>
      </c>
      <c r="AF293" t="s">
        <v>23</v>
      </c>
      <c r="AG293">
        <v>3.3000000000000002E-2</v>
      </c>
      <c r="AH293">
        <v>2</v>
      </c>
      <c r="AI293">
        <v>56960174</v>
      </c>
      <c r="AJ293">
        <v>245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ROW(Source!A357)</f>
        <v>357</v>
      </c>
      <c r="B294">
        <v>56961052</v>
      </c>
      <c r="C294">
        <v>56960171</v>
      </c>
      <c r="D294">
        <v>56092414</v>
      </c>
      <c r="E294">
        <v>1</v>
      </c>
      <c r="F294">
        <v>1</v>
      </c>
      <c r="G294">
        <v>1080</v>
      </c>
      <c r="H294">
        <v>2</v>
      </c>
      <c r="I294" t="s">
        <v>602</v>
      </c>
      <c r="J294" t="s">
        <v>603</v>
      </c>
      <c r="K294" t="s">
        <v>604</v>
      </c>
      <c r="L294">
        <v>1368</v>
      </c>
      <c r="N294">
        <v>1011</v>
      </c>
      <c r="O294" t="s">
        <v>506</v>
      </c>
      <c r="P294" t="s">
        <v>506</v>
      </c>
      <c r="Q294">
        <v>1</v>
      </c>
      <c r="X294">
        <v>0.46</v>
      </c>
      <c r="Y294">
        <v>0</v>
      </c>
      <c r="Z294">
        <v>0.78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23</v>
      </c>
      <c r="AG294">
        <v>0.50600000000000012</v>
      </c>
      <c r="AH294">
        <v>2</v>
      </c>
      <c r="AI294">
        <v>56960175</v>
      </c>
      <c r="AJ294">
        <v>246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ROW(Source!A357)</f>
        <v>357</v>
      </c>
      <c r="B295">
        <v>56961053</v>
      </c>
      <c r="C295">
        <v>56960171</v>
      </c>
      <c r="D295">
        <v>56061640</v>
      </c>
      <c r="E295">
        <v>1</v>
      </c>
      <c r="F295">
        <v>1</v>
      </c>
      <c r="G295">
        <v>1080</v>
      </c>
      <c r="H295">
        <v>3</v>
      </c>
      <c r="I295" t="s">
        <v>605</v>
      </c>
      <c r="J295" t="s">
        <v>606</v>
      </c>
      <c r="K295" t="s">
        <v>607</v>
      </c>
      <c r="L295">
        <v>1348</v>
      </c>
      <c r="N295">
        <v>1009</v>
      </c>
      <c r="O295" t="s">
        <v>291</v>
      </c>
      <c r="P295" t="s">
        <v>291</v>
      </c>
      <c r="Q295">
        <v>1000</v>
      </c>
      <c r="X295">
        <v>1.21E-4</v>
      </c>
      <c r="Y295">
        <v>7185.82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3</v>
      </c>
      <c r="AG295">
        <v>1.21E-4</v>
      </c>
      <c r="AH295">
        <v>2</v>
      </c>
      <c r="AI295">
        <v>56960176</v>
      </c>
      <c r="AJ295">
        <v>247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ROW(Source!A357)</f>
        <v>357</v>
      </c>
      <c r="B296">
        <v>56961054</v>
      </c>
      <c r="C296">
        <v>56960171</v>
      </c>
      <c r="D296">
        <v>56061649</v>
      </c>
      <c r="E296">
        <v>1</v>
      </c>
      <c r="F296">
        <v>1</v>
      </c>
      <c r="G296">
        <v>1080</v>
      </c>
      <c r="H296">
        <v>3</v>
      </c>
      <c r="I296" t="s">
        <v>608</v>
      </c>
      <c r="J296" t="s">
        <v>609</v>
      </c>
      <c r="K296" t="s">
        <v>610</v>
      </c>
      <c r="L296">
        <v>1346</v>
      </c>
      <c r="N296">
        <v>1009</v>
      </c>
      <c r="O296" t="s">
        <v>249</v>
      </c>
      <c r="P296" t="s">
        <v>249</v>
      </c>
      <c r="Q296">
        <v>1</v>
      </c>
      <c r="X296">
        <v>2.3E-2</v>
      </c>
      <c r="Y296">
        <v>29.82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2.3E-2</v>
      </c>
      <c r="AH296">
        <v>2</v>
      </c>
      <c r="AI296">
        <v>56960177</v>
      </c>
      <c r="AJ296">
        <v>248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ROW(Source!A357)</f>
        <v>357</v>
      </c>
      <c r="B297">
        <v>56961055</v>
      </c>
      <c r="C297">
        <v>56960171</v>
      </c>
      <c r="D297">
        <v>56060619</v>
      </c>
      <c r="E297">
        <v>1</v>
      </c>
      <c r="F297">
        <v>1</v>
      </c>
      <c r="G297">
        <v>1080</v>
      </c>
      <c r="H297">
        <v>3</v>
      </c>
      <c r="I297" t="s">
        <v>611</v>
      </c>
      <c r="J297" t="s">
        <v>612</v>
      </c>
      <c r="K297" t="s">
        <v>613</v>
      </c>
      <c r="L297">
        <v>1348</v>
      </c>
      <c r="N297">
        <v>1009</v>
      </c>
      <c r="O297" t="s">
        <v>291</v>
      </c>
      <c r="P297" t="s">
        <v>291</v>
      </c>
      <c r="Q297">
        <v>1000</v>
      </c>
      <c r="X297">
        <v>1.8E-5</v>
      </c>
      <c r="Y297">
        <v>18653.07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3</v>
      </c>
      <c r="AG297">
        <v>1.8E-5</v>
      </c>
      <c r="AH297">
        <v>2</v>
      </c>
      <c r="AI297">
        <v>56960178</v>
      </c>
      <c r="AJ297">
        <v>249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ROW(Source!A357)</f>
        <v>357</v>
      </c>
      <c r="B298">
        <v>56961056</v>
      </c>
      <c r="C298">
        <v>56960171</v>
      </c>
      <c r="D298">
        <v>56062409</v>
      </c>
      <c r="E298">
        <v>1</v>
      </c>
      <c r="F298">
        <v>1</v>
      </c>
      <c r="G298">
        <v>1080</v>
      </c>
      <c r="H298">
        <v>3</v>
      </c>
      <c r="I298" t="s">
        <v>614</v>
      </c>
      <c r="J298" t="s">
        <v>615</v>
      </c>
      <c r="K298" t="s">
        <v>616</v>
      </c>
      <c r="L298">
        <v>1348</v>
      </c>
      <c r="N298">
        <v>1009</v>
      </c>
      <c r="O298" t="s">
        <v>291</v>
      </c>
      <c r="P298" t="s">
        <v>291</v>
      </c>
      <c r="Q298">
        <v>1000</v>
      </c>
      <c r="X298">
        <v>2.3780000000000001E-4</v>
      </c>
      <c r="Y298">
        <v>11487.92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3</v>
      </c>
      <c r="AG298">
        <v>2.3780000000000001E-4</v>
      </c>
      <c r="AH298">
        <v>2</v>
      </c>
      <c r="AI298">
        <v>56960179</v>
      </c>
      <c r="AJ298">
        <v>250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ROW(Source!A357)</f>
        <v>357</v>
      </c>
      <c r="B299">
        <v>56961057</v>
      </c>
      <c r="C299">
        <v>56960171</v>
      </c>
      <c r="D299">
        <v>56062973</v>
      </c>
      <c r="E299">
        <v>1</v>
      </c>
      <c r="F299">
        <v>1</v>
      </c>
      <c r="G299">
        <v>1080</v>
      </c>
      <c r="H299">
        <v>3</v>
      </c>
      <c r="I299" t="s">
        <v>617</v>
      </c>
      <c r="J299" t="s">
        <v>618</v>
      </c>
      <c r="K299" t="s">
        <v>619</v>
      </c>
      <c r="L299">
        <v>1348</v>
      </c>
      <c r="N299">
        <v>1009</v>
      </c>
      <c r="O299" t="s">
        <v>291</v>
      </c>
      <c r="P299" t="s">
        <v>291</v>
      </c>
      <c r="Q299">
        <v>1000</v>
      </c>
      <c r="X299">
        <v>7.0000000000000001E-3</v>
      </c>
      <c r="Y299">
        <v>12089.95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3</v>
      </c>
      <c r="AG299">
        <v>7.0000000000000001E-3</v>
      </c>
      <c r="AH299">
        <v>2</v>
      </c>
      <c r="AI299">
        <v>56960180</v>
      </c>
      <c r="AJ299">
        <v>251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ROW(Source!A357)</f>
        <v>357</v>
      </c>
      <c r="B300">
        <v>56961058</v>
      </c>
      <c r="C300">
        <v>56960171</v>
      </c>
      <c r="D300">
        <v>56061171</v>
      </c>
      <c r="E300">
        <v>1</v>
      </c>
      <c r="F300">
        <v>1</v>
      </c>
      <c r="G300">
        <v>1080</v>
      </c>
      <c r="H300">
        <v>3</v>
      </c>
      <c r="I300" t="s">
        <v>620</v>
      </c>
      <c r="J300" t="s">
        <v>621</v>
      </c>
      <c r="K300" t="s">
        <v>622</v>
      </c>
      <c r="L300">
        <v>1348</v>
      </c>
      <c r="N300">
        <v>1009</v>
      </c>
      <c r="O300" t="s">
        <v>291</v>
      </c>
      <c r="P300" t="s">
        <v>291</v>
      </c>
      <c r="Q300">
        <v>1000</v>
      </c>
      <c r="X300">
        <v>1.0000000000000001E-5</v>
      </c>
      <c r="Y300">
        <v>8582.42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</v>
      </c>
      <c r="AG300">
        <v>1.0000000000000001E-5</v>
      </c>
      <c r="AH300">
        <v>2</v>
      </c>
      <c r="AI300">
        <v>56960181</v>
      </c>
      <c r="AJ300">
        <v>252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ROW(Source!A357)</f>
        <v>357</v>
      </c>
      <c r="B301">
        <v>56961059</v>
      </c>
      <c r="C301">
        <v>56960171</v>
      </c>
      <c r="D301">
        <v>56061175</v>
      </c>
      <c r="E301">
        <v>1</v>
      </c>
      <c r="F301">
        <v>1</v>
      </c>
      <c r="G301">
        <v>1080</v>
      </c>
      <c r="H301">
        <v>3</v>
      </c>
      <c r="I301" t="s">
        <v>623</v>
      </c>
      <c r="J301" t="s">
        <v>624</v>
      </c>
      <c r="K301" t="s">
        <v>625</v>
      </c>
      <c r="L301">
        <v>1348</v>
      </c>
      <c r="N301">
        <v>1009</v>
      </c>
      <c r="O301" t="s">
        <v>291</v>
      </c>
      <c r="P301" t="s">
        <v>291</v>
      </c>
      <c r="Q301">
        <v>1000</v>
      </c>
      <c r="X301">
        <v>1.9999999999999999E-6</v>
      </c>
      <c r="Y301">
        <v>12521.99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3</v>
      </c>
      <c r="AG301">
        <v>1.9999999999999999E-6</v>
      </c>
      <c r="AH301">
        <v>2</v>
      </c>
      <c r="AI301">
        <v>56960182</v>
      </c>
      <c r="AJ301">
        <v>253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ROW(Source!A357)</f>
        <v>357</v>
      </c>
      <c r="B302">
        <v>56961060</v>
      </c>
      <c r="C302">
        <v>56960171</v>
      </c>
      <c r="D302">
        <v>56040195</v>
      </c>
      <c r="E302">
        <v>1080</v>
      </c>
      <c r="F302">
        <v>1</v>
      </c>
      <c r="G302">
        <v>1080</v>
      </c>
      <c r="H302">
        <v>3</v>
      </c>
      <c r="I302" t="s">
        <v>668</v>
      </c>
      <c r="J302" t="s">
        <v>3</v>
      </c>
      <c r="K302" t="s">
        <v>669</v>
      </c>
      <c r="L302">
        <v>1354</v>
      </c>
      <c r="N302">
        <v>1010</v>
      </c>
      <c r="O302" t="s">
        <v>31</v>
      </c>
      <c r="P302" t="s">
        <v>31</v>
      </c>
      <c r="Q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3</v>
      </c>
      <c r="AG302">
        <v>1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ROW(Source!A358)</f>
        <v>358</v>
      </c>
      <c r="B303">
        <v>56961049</v>
      </c>
      <c r="C303">
        <v>56960171</v>
      </c>
      <c r="D303">
        <v>56018166</v>
      </c>
      <c r="E303">
        <v>1080</v>
      </c>
      <c r="F303">
        <v>1</v>
      </c>
      <c r="G303">
        <v>1080</v>
      </c>
      <c r="H303">
        <v>1</v>
      </c>
      <c r="I303" t="s">
        <v>500</v>
      </c>
      <c r="J303" t="s">
        <v>3</v>
      </c>
      <c r="K303" t="s">
        <v>501</v>
      </c>
      <c r="L303">
        <v>1191</v>
      </c>
      <c r="N303">
        <v>1013</v>
      </c>
      <c r="O303" t="s">
        <v>502</v>
      </c>
      <c r="P303" t="s">
        <v>502</v>
      </c>
      <c r="Q303">
        <v>1</v>
      </c>
      <c r="X303">
        <v>5.15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23</v>
      </c>
      <c r="AG303">
        <v>5.6650000000000009</v>
      </c>
      <c r="AH303">
        <v>2</v>
      </c>
      <c r="AI303">
        <v>56960172</v>
      </c>
      <c r="AJ303">
        <v>254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ROW(Source!A358)</f>
        <v>358</v>
      </c>
      <c r="B304">
        <v>56961050</v>
      </c>
      <c r="C304">
        <v>56960171</v>
      </c>
      <c r="D304">
        <v>56092041</v>
      </c>
      <c r="E304">
        <v>1</v>
      </c>
      <c r="F304">
        <v>1</v>
      </c>
      <c r="G304">
        <v>1080</v>
      </c>
      <c r="H304">
        <v>2</v>
      </c>
      <c r="I304" t="s">
        <v>575</v>
      </c>
      <c r="J304" t="s">
        <v>576</v>
      </c>
      <c r="K304" t="s">
        <v>577</v>
      </c>
      <c r="L304">
        <v>1368</v>
      </c>
      <c r="N304">
        <v>1011</v>
      </c>
      <c r="O304" t="s">
        <v>506</v>
      </c>
      <c r="P304" t="s">
        <v>506</v>
      </c>
      <c r="Q304">
        <v>1</v>
      </c>
      <c r="X304">
        <v>0.2</v>
      </c>
      <c r="Y304">
        <v>0</v>
      </c>
      <c r="Z304">
        <v>7.11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23</v>
      </c>
      <c r="AG304">
        <v>0.22000000000000003</v>
      </c>
      <c r="AH304">
        <v>2</v>
      </c>
      <c r="AI304">
        <v>56960173</v>
      </c>
      <c r="AJ304">
        <v>255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ROW(Source!A358)</f>
        <v>358</v>
      </c>
      <c r="B305">
        <v>56961051</v>
      </c>
      <c r="C305">
        <v>56960171</v>
      </c>
      <c r="D305">
        <v>56092340</v>
      </c>
      <c r="E305">
        <v>1</v>
      </c>
      <c r="F305">
        <v>1</v>
      </c>
      <c r="G305">
        <v>1080</v>
      </c>
      <c r="H305">
        <v>2</v>
      </c>
      <c r="I305" t="s">
        <v>503</v>
      </c>
      <c r="J305" t="s">
        <v>504</v>
      </c>
      <c r="K305" t="s">
        <v>505</v>
      </c>
      <c r="L305">
        <v>1368</v>
      </c>
      <c r="N305">
        <v>1011</v>
      </c>
      <c r="O305" t="s">
        <v>506</v>
      </c>
      <c r="P305" t="s">
        <v>506</v>
      </c>
      <c r="Q305">
        <v>1</v>
      </c>
      <c r="X305">
        <v>0.03</v>
      </c>
      <c r="Y305">
        <v>0</v>
      </c>
      <c r="Z305">
        <v>83.1</v>
      </c>
      <c r="AA305">
        <v>12.62</v>
      </c>
      <c r="AB305">
        <v>0</v>
      </c>
      <c r="AC305">
        <v>0</v>
      </c>
      <c r="AD305">
        <v>1</v>
      </c>
      <c r="AE305">
        <v>0</v>
      </c>
      <c r="AF305" t="s">
        <v>23</v>
      </c>
      <c r="AG305">
        <v>3.3000000000000002E-2</v>
      </c>
      <c r="AH305">
        <v>2</v>
      </c>
      <c r="AI305">
        <v>56960174</v>
      </c>
      <c r="AJ305">
        <v>256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ROW(Source!A358)</f>
        <v>358</v>
      </c>
      <c r="B306">
        <v>56961052</v>
      </c>
      <c r="C306">
        <v>56960171</v>
      </c>
      <c r="D306">
        <v>56092414</v>
      </c>
      <c r="E306">
        <v>1</v>
      </c>
      <c r="F306">
        <v>1</v>
      </c>
      <c r="G306">
        <v>1080</v>
      </c>
      <c r="H306">
        <v>2</v>
      </c>
      <c r="I306" t="s">
        <v>602</v>
      </c>
      <c r="J306" t="s">
        <v>603</v>
      </c>
      <c r="K306" t="s">
        <v>604</v>
      </c>
      <c r="L306">
        <v>1368</v>
      </c>
      <c r="N306">
        <v>1011</v>
      </c>
      <c r="O306" t="s">
        <v>506</v>
      </c>
      <c r="P306" t="s">
        <v>506</v>
      </c>
      <c r="Q306">
        <v>1</v>
      </c>
      <c r="X306">
        <v>0.46</v>
      </c>
      <c r="Y306">
        <v>0</v>
      </c>
      <c r="Z306">
        <v>0.78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23</v>
      </c>
      <c r="AG306">
        <v>0.50600000000000012</v>
      </c>
      <c r="AH306">
        <v>2</v>
      </c>
      <c r="AI306">
        <v>56960175</v>
      </c>
      <c r="AJ306">
        <v>257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ROW(Source!A358)</f>
        <v>358</v>
      </c>
      <c r="B307">
        <v>56961053</v>
      </c>
      <c r="C307">
        <v>56960171</v>
      </c>
      <c r="D307">
        <v>56061640</v>
      </c>
      <c r="E307">
        <v>1</v>
      </c>
      <c r="F307">
        <v>1</v>
      </c>
      <c r="G307">
        <v>1080</v>
      </c>
      <c r="H307">
        <v>3</v>
      </c>
      <c r="I307" t="s">
        <v>605</v>
      </c>
      <c r="J307" t="s">
        <v>606</v>
      </c>
      <c r="K307" t="s">
        <v>607</v>
      </c>
      <c r="L307">
        <v>1348</v>
      </c>
      <c r="N307">
        <v>1009</v>
      </c>
      <c r="O307" t="s">
        <v>291</v>
      </c>
      <c r="P307" t="s">
        <v>291</v>
      </c>
      <c r="Q307">
        <v>1000</v>
      </c>
      <c r="X307">
        <v>1.21E-4</v>
      </c>
      <c r="Y307">
        <v>7185.82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</v>
      </c>
      <c r="AG307">
        <v>1.21E-4</v>
      </c>
      <c r="AH307">
        <v>2</v>
      </c>
      <c r="AI307">
        <v>56960176</v>
      </c>
      <c r="AJ307">
        <v>258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ROW(Source!A358)</f>
        <v>358</v>
      </c>
      <c r="B308">
        <v>56961054</v>
      </c>
      <c r="C308">
        <v>56960171</v>
      </c>
      <c r="D308">
        <v>56061649</v>
      </c>
      <c r="E308">
        <v>1</v>
      </c>
      <c r="F308">
        <v>1</v>
      </c>
      <c r="G308">
        <v>1080</v>
      </c>
      <c r="H308">
        <v>3</v>
      </c>
      <c r="I308" t="s">
        <v>608</v>
      </c>
      <c r="J308" t="s">
        <v>609</v>
      </c>
      <c r="K308" t="s">
        <v>610</v>
      </c>
      <c r="L308">
        <v>1346</v>
      </c>
      <c r="N308">
        <v>1009</v>
      </c>
      <c r="O308" t="s">
        <v>249</v>
      </c>
      <c r="P308" t="s">
        <v>249</v>
      </c>
      <c r="Q308">
        <v>1</v>
      </c>
      <c r="X308">
        <v>2.3E-2</v>
      </c>
      <c r="Y308">
        <v>29.82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</v>
      </c>
      <c r="AG308">
        <v>2.3E-2</v>
      </c>
      <c r="AH308">
        <v>2</v>
      </c>
      <c r="AI308">
        <v>56960177</v>
      </c>
      <c r="AJ308">
        <v>259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ROW(Source!A358)</f>
        <v>358</v>
      </c>
      <c r="B309">
        <v>56961055</v>
      </c>
      <c r="C309">
        <v>56960171</v>
      </c>
      <c r="D309">
        <v>56060619</v>
      </c>
      <c r="E309">
        <v>1</v>
      </c>
      <c r="F309">
        <v>1</v>
      </c>
      <c r="G309">
        <v>1080</v>
      </c>
      <c r="H309">
        <v>3</v>
      </c>
      <c r="I309" t="s">
        <v>611</v>
      </c>
      <c r="J309" t="s">
        <v>612</v>
      </c>
      <c r="K309" t="s">
        <v>613</v>
      </c>
      <c r="L309">
        <v>1348</v>
      </c>
      <c r="N309">
        <v>1009</v>
      </c>
      <c r="O309" t="s">
        <v>291</v>
      </c>
      <c r="P309" t="s">
        <v>291</v>
      </c>
      <c r="Q309">
        <v>1000</v>
      </c>
      <c r="X309">
        <v>1.8E-5</v>
      </c>
      <c r="Y309">
        <v>18653.07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1.8E-5</v>
      </c>
      <c r="AH309">
        <v>2</v>
      </c>
      <c r="AI309">
        <v>56960178</v>
      </c>
      <c r="AJ309">
        <v>260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ROW(Source!A358)</f>
        <v>358</v>
      </c>
      <c r="B310">
        <v>56961056</v>
      </c>
      <c r="C310">
        <v>56960171</v>
      </c>
      <c r="D310">
        <v>56062409</v>
      </c>
      <c r="E310">
        <v>1</v>
      </c>
      <c r="F310">
        <v>1</v>
      </c>
      <c r="G310">
        <v>1080</v>
      </c>
      <c r="H310">
        <v>3</v>
      </c>
      <c r="I310" t="s">
        <v>614</v>
      </c>
      <c r="J310" t="s">
        <v>615</v>
      </c>
      <c r="K310" t="s">
        <v>616</v>
      </c>
      <c r="L310">
        <v>1348</v>
      </c>
      <c r="N310">
        <v>1009</v>
      </c>
      <c r="O310" t="s">
        <v>291</v>
      </c>
      <c r="P310" t="s">
        <v>291</v>
      </c>
      <c r="Q310">
        <v>1000</v>
      </c>
      <c r="X310">
        <v>2.3780000000000001E-4</v>
      </c>
      <c r="Y310">
        <v>11487.92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2.3780000000000001E-4</v>
      </c>
      <c r="AH310">
        <v>2</v>
      </c>
      <c r="AI310">
        <v>56960179</v>
      </c>
      <c r="AJ310">
        <v>261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ROW(Source!A358)</f>
        <v>358</v>
      </c>
      <c r="B311">
        <v>56961057</v>
      </c>
      <c r="C311">
        <v>56960171</v>
      </c>
      <c r="D311">
        <v>56062973</v>
      </c>
      <c r="E311">
        <v>1</v>
      </c>
      <c r="F311">
        <v>1</v>
      </c>
      <c r="G311">
        <v>1080</v>
      </c>
      <c r="H311">
        <v>3</v>
      </c>
      <c r="I311" t="s">
        <v>617</v>
      </c>
      <c r="J311" t="s">
        <v>618</v>
      </c>
      <c r="K311" t="s">
        <v>619</v>
      </c>
      <c r="L311">
        <v>1348</v>
      </c>
      <c r="N311">
        <v>1009</v>
      </c>
      <c r="O311" t="s">
        <v>291</v>
      </c>
      <c r="P311" t="s">
        <v>291</v>
      </c>
      <c r="Q311">
        <v>1000</v>
      </c>
      <c r="X311">
        <v>7.0000000000000001E-3</v>
      </c>
      <c r="Y311">
        <v>12089.95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</v>
      </c>
      <c r="AG311">
        <v>7.0000000000000001E-3</v>
      </c>
      <c r="AH311">
        <v>2</v>
      </c>
      <c r="AI311">
        <v>56960180</v>
      </c>
      <c r="AJ311">
        <v>262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ROW(Source!A358)</f>
        <v>358</v>
      </c>
      <c r="B312">
        <v>56961058</v>
      </c>
      <c r="C312">
        <v>56960171</v>
      </c>
      <c r="D312">
        <v>56061171</v>
      </c>
      <c r="E312">
        <v>1</v>
      </c>
      <c r="F312">
        <v>1</v>
      </c>
      <c r="G312">
        <v>1080</v>
      </c>
      <c r="H312">
        <v>3</v>
      </c>
      <c r="I312" t="s">
        <v>620</v>
      </c>
      <c r="J312" t="s">
        <v>621</v>
      </c>
      <c r="K312" t="s">
        <v>622</v>
      </c>
      <c r="L312">
        <v>1348</v>
      </c>
      <c r="N312">
        <v>1009</v>
      </c>
      <c r="O312" t="s">
        <v>291</v>
      </c>
      <c r="P312" t="s">
        <v>291</v>
      </c>
      <c r="Q312">
        <v>1000</v>
      </c>
      <c r="X312">
        <v>1.0000000000000001E-5</v>
      </c>
      <c r="Y312">
        <v>8582.42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3</v>
      </c>
      <c r="AG312">
        <v>1.0000000000000001E-5</v>
      </c>
      <c r="AH312">
        <v>2</v>
      </c>
      <c r="AI312">
        <v>56960181</v>
      </c>
      <c r="AJ312">
        <v>263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ROW(Source!A358)</f>
        <v>358</v>
      </c>
      <c r="B313">
        <v>56961059</v>
      </c>
      <c r="C313">
        <v>56960171</v>
      </c>
      <c r="D313">
        <v>56061175</v>
      </c>
      <c r="E313">
        <v>1</v>
      </c>
      <c r="F313">
        <v>1</v>
      </c>
      <c r="G313">
        <v>1080</v>
      </c>
      <c r="H313">
        <v>3</v>
      </c>
      <c r="I313" t="s">
        <v>623</v>
      </c>
      <c r="J313" t="s">
        <v>624</v>
      </c>
      <c r="K313" t="s">
        <v>625</v>
      </c>
      <c r="L313">
        <v>1348</v>
      </c>
      <c r="N313">
        <v>1009</v>
      </c>
      <c r="O313" t="s">
        <v>291</v>
      </c>
      <c r="P313" t="s">
        <v>291</v>
      </c>
      <c r="Q313">
        <v>1000</v>
      </c>
      <c r="X313">
        <v>1.9999999999999999E-6</v>
      </c>
      <c r="Y313">
        <v>12521.99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3</v>
      </c>
      <c r="AG313">
        <v>1.9999999999999999E-6</v>
      </c>
      <c r="AH313">
        <v>2</v>
      </c>
      <c r="AI313">
        <v>56960182</v>
      </c>
      <c r="AJ313">
        <v>264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ROW(Source!A358)</f>
        <v>358</v>
      </c>
      <c r="B314">
        <v>56961060</v>
      </c>
      <c r="C314">
        <v>56960171</v>
      </c>
      <c r="D314">
        <v>56040195</v>
      </c>
      <c r="E314">
        <v>1080</v>
      </c>
      <c r="F314">
        <v>1</v>
      </c>
      <c r="G314">
        <v>1080</v>
      </c>
      <c r="H314">
        <v>3</v>
      </c>
      <c r="I314" t="s">
        <v>668</v>
      </c>
      <c r="J314" t="s">
        <v>3</v>
      </c>
      <c r="K314" t="s">
        <v>669</v>
      </c>
      <c r="L314">
        <v>1354</v>
      </c>
      <c r="N314">
        <v>1010</v>
      </c>
      <c r="O314" t="s">
        <v>31</v>
      </c>
      <c r="P314" t="s">
        <v>31</v>
      </c>
      <c r="Q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3</v>
      </c>
      <c r="AG314">
        <v>1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ROW(Source!A359)</f>
        <v>359</v>
      </c>
      <c r="B315">
        <v>56961061</v>
      </c>
      <c r="C315">
        <v>56960195</v>
      </c>
      <c r="D315">
        <v>56018166</v>
      </c>
      <c r="E315">
        <v>1080</v>
      </c>
      <c r="F315">
        <v>1</v>
      </c>
      <c r="G315">
        <v>1080</v>
      </c>
      <c r="H315">
        <v>1</v>
      </c>
      <c r="I315" t="s">
        <v>500</v>
      </c>
      <c r="J315" t="s">
        <v>3</v>
      </c>
      <c r="K315" t="s">
        <v>501</v>
      </c>
      <c r="L315">
        <v>1191</v>
      </c>
      <c r="N315">
        <v>1013</v>
      </c>
      <c r="O315" t="s">
        <v>502</v>
      </c>
      <c r="P315" t="s">
        <v>502</v>
      </c>
      <c r="Q315">
        <v>1</v>
      </c>
      <c r="X315">
        <v>2.65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3</v>
      </c>
      <c r="AG315">
        <v>2.65</v>
      </c>
      <c r="AH315">
        <v>2</v>
      </c>
      <c r="AI315">
        <v>56960196</v>
      </c>
      <c r="AJ315">
        <v>265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ROW(Source!A359)</f>
        <v>359</v>
      </c>
      <c r="B316">
        <v>56961062</v>
      </c>
      <c r="C316">
        <v>56960195</v>
      </c>
      <c r="D316">
        <v>56062414</v>
      </c>
      <c r="E316">
        <v>1</v>
      </c>
      <c r="F316">
        <v>1</v>
      </c>
      <c r="G316">
        <v>1080</v>
      </c>
      <c r="H316">
        <v>3</v>
      </c>
      <c r="I316" t="s">
        <v>563</v>
      </c>
      <c r="J316" t="s">
        <v>564</v>
      </c>
      <c r="K316" t="s">
        <v>565</v>
      </c>
      <c r="L316">
        <v>1346</v>
      </c>
      <c r="N316">
        <v>1009</v>
      </c>
      <c r="O316" t="s">
        <v>249</v>
      </c>
      <c r="P316" t="s">
        <v>249</v>
      </c>
      <c r="Q316">
        <v>1</v>
      </c>
      <c r="X316">
        <v>6.2700000000000004E-3</v>
      </c>
      <c r="Y316">
        <v>27.62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</v>
      </c>
      <c r="AG316">
        <v>6.2700000000000004E-3</v>
      </c>
      <c r="AH316">
        <v>2</v>
      </c>
      <c r="AI316">
        <v>56960197</v>
      </c>
      <c r="AJ316">
        <v>266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ROW(Source!A359)</f>
        <v>359</v>
      </c>
      <c r="B317">
        <v>56961063</v>
      </c>
      <c r="C317">
        <v>56960195</v>
      </c>
      <c r="D317">
        <v>56061133</v>
      </c>
      <c r="E317">
        <v>1</v>
      </c>
      <c r="F317">
        <v>1</v>
      </c>
      <c r="G317">
        <v>1080</v>
      </c>
      <c r="H317">
        <v>3</v>
      </c>
      <c r="I317" t="s">
        <v>566</v>
      </c>
      <c r="J317" t="s">
        <v>567</v>
      </c>
      <c r="K317" t="s">
        <v>568</v>
      </c>
      <c r="L317">
        <v>1348</v>
      </c>
      <c r="N317">
        <v>1009</v>
      </c>
      <c r="O317" t="s">
        <v>291</v>
      </c>
      <c r="P317" t="s">
        <v>291</v>
      </c>
      <c r="Q317">
        <v>1000</v>
      </c>
      <c r="X317">
        <v>1.0000000000000001E-5</v>
      </c>
      <c r="Y317">
        <v>64123.05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</v>
      </c>
      <c r="AG317">
        <v>1.0000000000000001E-5</v>
      </c>
      <c r="AH317">
        <v>2</v>
      </c>
      <c r="AI317">
        <v>56960198</v>
      </c>
      <c r="AJ317">
        <v>267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ROW(Source!A359)</f>
        <v>359</v>
      </c>
      <c r="B318">
        <v>56961064</v>
      </c>
      <c r="C318">
        <v>56960195</v>
      </c>
      <c r="D318">
        <v>56071025</v>
      </c>
      <c r="E318">
        <v>1</v>
      </c>
      <c r="F318">
        <v>1</v>
      </c>
      <c r="G318">
        <v>1080</v>
      </c>
      <c r="H318">
        <v>3</v>
      </c>
      <c r="I318" t="s">
        <v>569</v>
      </c>
      <c r="J318" t="s">
        <v>570</v>
      </c>
      <c r="K318" t="s">
        <v>571</v>
      </c>
      <c r="L318">
        <v>1354</v>
      </c>
      <c r="N318">
        <v>1010</v>
      </c>
      <c r="O318" t="s">
        <v>31</v>
      </c>
      <c r="P318" t="s">
        <v>31</v>
      </c>
      <c r="Q318">
        <v>1</v>
      </c>
      <c r="X318">
        <v>0.1</v>
      </c>
      <c r="Y318">
        <v>15.25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</v>
      </c>
      <c r="AG318">
        <v>0.1</v>
      </c>
      <c r="AH318">
        <v>2</v>
      </c>
      <c r="AI318">
        <v>56960199</v>
      </c>
      <c r="AJ318">
        <v>268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ROW(Source!A359)</f>
        <v>359</v>
      </c>
      <c r="B319">
        <v>56961065</v>
      </c>
      <c r="C319">
        <v>56960195</v>
      </c>
      <c r="D319">
        <v>56040213</v>
      </c>
      <c r="E319">
        <v>1080</v>
      </c>
      <c r="F319">
        <v>1</v>
      </c>
      <c r="G319">
        <v>1080</v>
      </c>
      <c r="H319">
        <v>3</v>
      </c>
      <c r="I319" t="s">
        <v>670</v>
      </c>
      <c r="J319" t="s">
        <v>3</v>
      </c>
      <c r="K319" t="s">
        <v>671</v>
      </c>
      <c r="L319">
        <v>1354</v>
      </c>
      <c r="N319">
        <v>1010</v>
      </c>
      <c r="O319" t="s">
        <v>31</v>
      </c>
      <c r="P319" t="s">
        <v>31</v>
      </c>
      <c r="Q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3</v>
      </c>
      <c r="AG319">
        <v>1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ROW(Source!A360)</f>
        <v>360</v>
      </c>
      <c r="B320">
        <v>56961061</v>
      </c>
      <c r="C320">
        <v>56960195</v>
      </c>
      <c r="D320">
        <v>56018166</v>
      </c>
      <c r="E320">
        <v>1080</v>
      </c>
      <c r="F320">
        <v>1</v>
      </c>
      <c r="G320">
        <v>1080</v>
      </c>
      <c r="H320">
        <v>1</v>
      </c>
      <c r="I320" t="s">
        <v>500</v>
      </c>
      <c r="J320" t="s">
        <v>3</v>
      </c>
      <c r="K320" t="s">
        <v>501</v>
      </c>
      <c r="L320">
        <v>1191</v>
      </c>
      <c r="N320">
        <v>1013</v>
      </c>
      <c r="O320" t="s">
        <v>502</v>
      </c>
      <c r="P320" t="s">
        <v>502</v>
      </c>
      <c r="Q320">
        <v>1</v>
      </c>
      <c r="X320">
        <v>2.65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 t="s">
        <v>3</v>
      </c>
      <c r="AG320">
        <v>2.65</v>
      </c>
      <c r="AH320">
        <v>2</v>
      </c>
      <c r="AI320">
        <v>56960196</v>
      </c>
      <c r="AJ320">
        <v>269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ROW(Source!A360)</f>
        <v>360</v>
      </c>
      <c r="B321">
        <v>56961062</v>
      </c>
      <c r="C321">
        <v>56960195</v>
      </c>
      <c r="D321">
        <v>56062414</v>
      </c>
      <c r="E321">
        <v>1</v>
      </c>
      <c r="F321">
        <v>1</v>
      </c>
      <c r="G321">
        <v>1080</v>
      </c>
      <c r="H321">
        <v>3</v>
      </c>
      <c r="I321" t="s">
        <v>563</v>
      </c>
      <c r="J321" t="s">
        <v>564</v>
      </c>
      <c r="K321" t="s">
        <v>565</v>
      </c>
      <c r="L321">
        <v>1346</v>
      </c>
      <c r="N321">
        <v>1009</v>
      </c>
      <c r="O321" t="s">
        <v>249</v>
      </c>
      <c r="P321" t="s">
        <v>249</v>
      </c>
      <c r="Q321">
        <v>1</v>
      </c>
      <c r="X321">
        <v>6.2700000000000004E-3</v>
      </c>
      <c r="Y321">
        <v>27.62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</v>
      </c>
      <c r="AG321">
        <v>6.2700000000000004E-3</v>
      </c>
      <c r="AH321">
        <v>2</v>
      </c>
      <c r="AI321">
        <v>56960197</v>
      </c>
      <c r="AJ321">
        <v>270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ROW(Source!A360)</f>
        <v>360</v>
      </c>
      <c r="B322">
        <v>56961063</v>
      </c>
      <c r="C322">
        <v>56960195</v>
      </c>
      <c r="D322">
        <v>56061133</v>
      </c>
      <c r="E322">
        <v>1</v>
      </c>
      <c r="F322">
        <v>1</v>
      </c>
      <c r="G322">
        <v>1080</v>
      </c>
      <c r="H322">
        <v>3</v>
      </c>
      <c r="I322" t="s">
        <v>566</v>
      </c>
      <c r="J322" t="s">
        <v>567</v>
      </c>
      <c r="K322" t="s">
        <v>568</v>
      </c>
      <c r="L322">
        <v>1348</v>
      </c>
      <c r="N322">
        <v>1009</v>
      </c>
      <c r="O322" t="s">
        <v>291</v>
      </c>
      <c r="P322" t="s">
        <v>291</v>
      </c>
      <c r="Q322">
        <v>1000</v>
      </c>
      <c r="X322">
        <v>1.0000000000000001E-5</v>
      </c>
      <c r="Y322">
        <v>64123.05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</v>
      </c>
      <c r="AG322">
        <v>1.0000000000000001E-5</v>
      </c>
      <c r="AH322">
        <v>2</v>
      </c>
      <c r="AI322">
        <v>56960198</v>
      </c>
      <c r="AJ322">
        <v>271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ROW(Source!A360)</f>
        <v>360</v>
      </c>
      <c r="B323">
        <v>56961064</v>
      </c>
      <c r="C323">
        <v>56960195</v>
      </c>
      <c r="D323">
        <v>56071025</v>
      </c>
      <c r="E323">
        <v>1</v>
      </c>
      <c r="F323">
        <v>1</v>
      </c>
      <c r="G323">
        <v>1080</v>
      </c>
      <c r="H323">
        <v>3</v>
      </c>
      <c r="I323" t="s">
        <v>569</v>
      </c>
      <c r="J323" t="s">
        <v>570</v>
      </c>
      <c r="K323" t="s">
        <v>571</v>
      </c>
      <c r="L323">
        <v>1354</v>
      </c>
      <c r="N323">
        <v>1010</v>
      </c>
      <c r="O323" t="s">
        <v>31</v>
      </c>
      <c r="P323" t="s">
        <v>31</v>
      </c>
      <c r="Q323">
        <v>1</v>
      </c>
      <c r="X323">
        <v>0.1</v>
      </c>
      <c r="Y323">
        <v>15.25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</v>
      </c>
      <c r="AG323">
        <v>0.1</v>
      </c>
      <c r="AH323">
        <v>2</v>
      </c>
      <c r="AI323">
        <v>56960199</v>
      </c>
      <c r="AJ323">
        <v>272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ROW(Source!A360)</f>
        <v>360</v>
      </c>
      <c r="B324">
        <v>56961065</v>
      </c>
      <c r="C324">
        <v>56960195</v>
      </c>
      <c r="D324">
        <v>56040213</v>
      </c>
      <c r="E324">
        <v>1080</v>
      </c>
      <c r="F324">
        <v>1</v>
      </c>
      <c r="G324">
        <v>1080</v>
      </c>
      <c r="H324">
        <v>3</v>
      </c>
      <c r="I324" t="s">
        <v>670</v>
      </c>
      <c r="J324" t="s">
        <v>3</v>
      </c>
      <c r="K324" t="s">
        <v>671</v>
      </c>
      <c r="L324">
        <v>1354</v>
      </c>
      <c r="N324">
        <v>1010</v>
      </c>
      <c r="O324" t="s">
        <v>31</v>
      </c>
      <c r="P324" t="s">
        <v>31</v>
      </c>
      <c r="Q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3</v>
      </c>
      <c r="AG324">
        <v>1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ROW(Source!A375)</f>
        <v>375</v>
      </c>
      <c r="B325">
        <v>56961066</v>
      </c>
      <c r="C325">
        <v>56960212</v>
      </c>
      <c r="D325">
        <v>56018166</v>
      </c>
      <c r="E325">
        <v>1080</v>
      </c>
      <c r="F325">
        <v>1</v>
      </c>
      <c r="G325">
        <v>1080</v>
      </c>
      <c r="H325">
        <v>1</v>
      </c>
      <c r="I325" t="s">
        <v>500</v>
      </c>
      <c r="J325" t="s">
        <v>3</v>
      </c>
      <c r="K325" t="s">
        <v>501</v>
      </c>
      <c r="L325">
        <v>1191</v>
      </c>
      <c r="N325">
        <v>1013</v>
      </c>
      <c r="O325" t="s">
        <v>502</v>
      </c>
      <c r="P325" t="s">
        <v>502</v>
      </c>
      <c r="Q325">
        <v>1</v>
      </c>
      <c r="X325">
        <v>0.52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23</v>
      </c>
      <c r="AG325">
        <v>0.57200000000000006</v>
      </c>
      <c r="AH325">
        <v>2</v>
      </c>
      <c r="AI325">
        <v>56960213</v>
      </c>
      <c r="AJ325">
        <v>273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ROW(Source!A375)</f>
        <v>375</v>
      </c>
      <c r="B326">
        <v>56961067</v>
      </c>
      <c r="C326">
        <v>56960212</v>
      </c>
      <c r="D326">
        <v>56015394</v>
      </c>
      <c r="E326">
        <v>1080</v>
      </c>
      <c r="F326">
        <v>1</v>
      </c>
      <c r="G326">
        <v>1080</v>
      </c>
      <c r="H326">
        <v>3</v>
      </c>
      <c r="I326" t="s">
        <v>660</v>
      </c>
      <c r="J326" t="s">
        <v>3</v>
      </c>
      <c r="K326" t="s">
        <v>661</v>
      </c>
      <c r="L326">
        <v>1346</v>
      </c>
      <c r="N326">
        <v>1009</v>
      </c>
      <c r="O326" t="s">
        <v>249</v>
      </c>
      <c r="P326" t="s">
        <v>249</v>
      </c>
      <c r="Q326">
        <v>1</v>
      </c>
      <c r="X326">
        <v>3.5000000000000003E-2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</v>
      </c>
      <c r="AG326">
        <v>3.5000000000000003E-2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ROW(Source!A375)</f>
        <v>375</v>
      </c>
      <c r="B327">
        <v>56961068</v>
      </c>
      <c r="C327">
        <v>56960212</v>
      </c>
      <c r="D327">
        <v>56040039</v>
      </c>
      <c r="E327">
        <v>1080</v>
      </c>
      <c r="F327">
        <v>1</v>
      </c>
      <c r="G327">
        <v>1080</v>
      </c>
      <c r="H327">
        <v>3</v>
      </c>
      <c r="I327" t="s">
        <v>632</v>
      </c>
      <c r="J327" t="s">
        <v>3</v>
      </c>
      <c r="K327" t="s">
        <v>664</v>
      </c>
      <c r="L327">
        <v>1354</v>
      </c>
      <c r="N327">
        <v>1010</v>
      </c>
      <c r="O327" t="s">
        <v>31</v>
      </c>
      <c r="P327" t="s">
        <v>31</v>
      </c>
      <c r="Q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3</v>
      </c>
      <c r="AG327">
        <v>1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ROW(Source!A376)</f>
        <v>376</v>
      </c>
      <c r="B328">
        <v>56961066</v>
      </c>
      <c r="C328">
        <v>56960212</v>
      </c>
      <c r="D328">
        <v>56018166</v>
      </c>
      <c r="E328">
        <v>1080</v>
      </c>
      <c r="F328">
        <v>1</v>
      </c>
      <c r="G328">
        <v>1080</v>
      </c>
      <c r="H328">
        <v>1</v>
      </c>
      <c r="I328" t="s">
        <v>500</v>
      </c>
      <c r="J328" t="s">
        <v>3</v>
      </c>
      <c r="K328" t="s">
        <v>501</v>
      </c>
      <c r="L328">
        <v>1191</v>
      </c>
      <c r="N328">
        <v>1013</v>
      </c>
      <c r="O328" t="s">
        <v>502</v>
      </c>
      <c r="P328" t="s">
        <v>502</v>
      </c>
      <c r="Q328">
        <v>1</v>
      </c>
      <c r="X328">
        <v>0.52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 t="s">
        <v>23</v>
      </c>
      <c r="AG328">
        <v>0.57200000000000006</v>
      </c>
      <c r="AH328">
        <v>2</v>
      </c>
      <c r="AI328">
        <v>56960213</v>
      </c>
      <c r="AJ328">
        <v>275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ROW(Source!A376)</f>
        <v>376</v>
      </c>
      <c r="B329">
        <v>56961067</v>
      </c>
      <c r="C329">
        <v>56960212</v>
      </c>
      <c r="D329">
        <v>56015394</v>
      </c>
      <c r="E329">
        <v>1080</v>
      </c>
      <c r="F329">
        <v>1</v>
      </c>
      <c r="G329">
        <v>1080</v>
      </c>
      <c r="H329">
        <v>3</v>
      </c>
      <c r="I329" t="s">
        <v>660</v>
      </c>
      <c r="J329" t="s">
        <v>3</v>
      </c>
      <c r="K329" t="s">
        <v>661</v>
      </c>
      <c r="L329">
        <v>1346</v>
      </c>
      <c r="N329">
        <v>1009</v>
      </c>
      <c r="O329" t="s">
        <v>249</v>
      </c>
      <c r="P329" t="s">
        <v>249</v>
      </c>
      <c r="Q329">
        <v>1</v>
      </c>
      <c r="X329">
        <v>3.5000000000000003E-2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3</v>
      </c>
      <c r="AG329">
        <v>3.5000000000000003E-2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ROW(Source!A376)</f>
        <v>376</v>
      </c>
      <c r="B330">
        <v>56961068</v>
      </c>
      <c r="C330">
        <v>56960212</v>
      </c>
      <c r="D330">
        <v>56040039</v>
      </c>
      <c r="E330">
        <v>1080</v>
      </c>
      <c r="F330">
        <v>1</v>
      </c>
      <c r="G330">
        <v>1080</v>
      </c>
      <c r="H330">
        <v>3</v>
      </c>
      <c r="I330" t="s">
        <v>632</v>
      </c>
      <c r="J330" t="s">
        <v>3</v>
      </c>
      <c r="K330" t="s">
        <v>664</v>
      </c>
      <c r="L330">
        <v>1354</v>
      </c>
      <c r="N330">
        <v>1010</v>
      </c>
      <c r="O330" t="s">
        <v>31</v>
      </c>
      <c r="P330" t="s">
        <v>31</v>
      </c>
      <c r="Q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3</v>
      </c>
      <c r="AG330">
        <v>1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ROW(Source!A389)</f>
        <v>389</v>
      </c>
      <c r="B331">
        <v>56961069</v>
      </c>
      <c r="C331">
        <v>56960224</v>
      </c>
      <c r="D331">
        <v>56018166</v>
      </c>
      <c r="E331">
        <v>1080</v>
      </c>
      <c r="F331">
        <v>1</v>
      </c>
      <c r="G331">
        <v>1080</v>
      </c>
      <c r="H331">
        <v>1</v>
      </c>
      <c r="I331" t="s">
        <v>500</v>
      </c>
      <c r="J331" t="s">
        <v>3</v>
      </c>
      <c r="K331" t="s">
        <v>501</v>
      </c>
      <c r="L331">
        <v>1191</v>
      </c>
      <c r="N331">
        <v>1013</v>
      </c>
      <c r="O331" t="s">
        <v>502</v>
      </c>
      <c r="P331" t="s">
        <v>502</v>
      </c>
      <c r="Q331">
        <v>1</v>
      </c>
      <c r="X331">
        <v>0.52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 t="s">
        <v>23</v>
      </c>
      <c r="AG331">
        <v>0.57200000000000006</v>
      </c>
      <c r="AH331">
        <v>2</v>
      </c>
      <c r="AI331">
        <v>56960225</v>
      </c>
      <c r="AJ331">
        <v>277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ROW(Source!A389)</f>
        <v>389</v>
      </c>
      <c r="B332">
        <v>56961070</v>
      </c>
      <c r="C332">
        <v>56960224</v>
      </c>
      <c r="D332">
        <v>56015394</v>
      </c>
      <c r="E332">
        <v>1080</v>
      </c>
      <c r="F332">
        <v>1</v>
      </c>
      <c r="G332">
        <v>1080</v>
      </c>
      <c r="H332">
        <v>3</v>
      </c>
      <c r="I332" t="s">
        <v>660</v>
      </c>
      <c r="J332" t="s">
        <v>3</v>
      </c>
      <c r="K332" t="s">
        <v>661</v>
      </c>
      <c r="L332">
        <v>1346</v>
      </c>
      <c r="N332">
        <v>1009</v>
      </c>
      <c r="O332" t="s">
        <v>249</v>
      </c>
      <c r="P332" t="s">
        <v>249</v>
      </c>
      <c r="Q332">
        <v>1</v>
      </c>
      <c r="X332">
        <v>3.5000000000000003E-2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3</v>
      </c>
      <c r="AG332">
        <v>3.5000000000000003E-2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ROW(Source!A389)</f>
        <v>389</v>
      </c>
      <c r="B333">
        <v>56961071</v>
      </c>
      <c r="C333">
        <v>56960224</v>
      </c>
      <c r="D333">
        <v>56040039</v>
      </c>
      <c r="E333">
        <v>1080</v>
      </c>
      <c r="F333">
        <v>1</v>
      </c>
      <c r="G333">
        <v>1080</v>
      </c>
      <c r="H333">
        <v>3</v>
      </c>
      <c r="I333" t="s">
        <v>632</v>
      </c>
      <c r="J333" t="s">
        <v>3</v>
      </c>
      <c r="K333" t="s">
        <v>664</v>
      </c>
      <c r="L333">
        <v>1354</v>
      </c>
      <c r="N333">
        <v>1010</v>
      </c>
      <c r="O333" t="s">
        <v>31</v>
      </c>
      <c r="P333" t="s">
        <v>31</v>
      </c>
      <c r="Q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3</v>
      </c>
      <c r="AG333">
        <v>1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ROW(Source!A390)</f>
        <v>390</v>
      </c>
      <c r="B334">
        <v>56961069</v>
      </c>
      <c r="C334">
        <v>56960224</v>
      </c>
      <c r="D334">
        <v>56018166</v>
      </c>
      <c r="E334">
        <v>1080</v>
      </c>
      <c r="F334">
        <v>1</v>
      </c>
      <c r="G334">
        <v>1080</v>
      </c>
      <c r="H334">
        <v>1</v>
      </c>
      <c r="I334" t="s">
        <v>500</v>
      </c>
      <c r="J334" t="s">
        <v>3</v>
      </c>
      <c r="K334" t="s">
        <v>501</v>
      </c>
      <c r="L334">
        <v>1191</v>
      </c>
      <c r="N334">
        <v>1013</v>
      </c>
      <c r="O334" t="s">
        <v>502</v>
      </c>
      <c r="P334" t="s">
        <v>502</v>
      </c>
      <c r="Q334">
        <v>1</v>
      </c>
      <c r="X334">
        <v>0.52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 t="s">
        <v>23</v>
      </c>
      <c r="AG334">
        <v>0.57200000000000006</v>
      </c>
      <c r="AH334">
        <v>2</v>
      </c>
      <c r="AI334">
        <v>56960225</v>
      </c>
      <c r="AJ334">
        <v>279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ROW(Source!A390)</f>
        <v>390</v>
      </c>
      <c r="B335">
        <v>56961070</v>
      </c>
      <c r="C335">
        <v>56960224</v>
      </c>
      <c r="D335">
        <v>56015394</v>
      </c>
      <c r="E335">
        <v>1080</v>
      </c>
      <c r="F335">
        <v>1</v>
      </c>
      <c r="G335">
        <v>1080</v>
      </c>
      <c r="H335">
        <v>3</v>
      </c>
      <c r="I335" t="s">
        <v>660</v>
      </c>
      <c r="J335" t="s">
        <v>3</v>
      </c>
      <c r="K335" t="s">
        <v>661</v>
      </c>
      <c r="L335">
        <v>1346</v>
      </c>
      <c r="N335">
        <v>1009</v>
      </c>
      <c r="O335" t="s">
        <v>249</v>
      </c>
      <c r="P335" t="s">
        <v>249</v>
      </c>
      <c r="Q335">
        <v>1</v>
      </c>
      <c r="X335">
        <v>3.5000000000000003E-2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3</v>
      </c>
      <c r="AG335">
        <v>3.5000000000000003E-2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ROW(Source!A390)</f>
        <v>390</v>
      </c>
      <c r="B336">
        <v>56961071</v>
      </c>
      <c r="C336">
        <v>56960224</v>
      </c>
      <c r="D336">
        <v>56040039</v>
      </c>
      <c r="E336">
        <v>1080</v>
      </c>
      <c r="F336">
        <v>1</v>
      </c>
      <c r="G336">
        <v>1080</v>
      </c>
      <c r="H336">
        <v>3</v>
      </c>
      <c r="I336" t="s">
        <v>632</v>
      </c>
      <c r="J336" t="s">
        <v>3</v>
      </c>
      <c r="K336" t="s">
        <v>664</v>
      </c>
      <c r="L336">
        <v>1354</v>
      </c>
      <c r="N336">
        <v>1010</v>
      </c>
      <c r="O336" t="s">
        <v>31</v>
      </c>
      <c r="P336" t="s">
        <v>31</v>
      </c>
      <c r="Q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3</v>
      </c>
      <c r="AG336">
        <v>1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ROW(Source!A395)</f>
        <v>395</v>
      </c>
      <c r="B337">
        <v>56961072</v>
      </c>
      <c r="C337">
        <v>56960232</v>
      </c>
      <c r="D337">
        <v>56018166</v>
      </c>
      <c r="E337">
        <v>1080</v>
      </c>
      <c r="F337">
        <v>1</v>
      </c>
      <c r="G337">
        <v>1080</v>
      </c>
      <c r="H337">
        <v>1</v>
      </c>
      <c r="I337" t="s">
        <v>500</v>
      </c>
      <c r="J337" t="s">
        <v>3</v>
      </c>
      <c r="K337" t="s">
        <v>501</v>
      </c>
      <c r="L337">
        <v>1191</v>
      </c>
      <c r="N337">
        <v>1013</v>
      </c>
      <c r="O337" t="s">
        <v>502</v>
      </c>
      <c r="P337" t="s">
        <v>502</v>
      </c>
      <c r="Q337">
        <v>1</v>
      </c>
      <c r="X337">
        <v>15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 t="s">
        <v>23</v>
      </c>
      <c r="AG337">
        <v>16.5</v>
      </c>
      <c r="AH337">
        <v>2</v>
      </c>
      <c r="AI337">
        <v>56960233</v>
      </c>
      <c r="AJ337">
        <v>281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ROW(Source!A395)</f>
        <v>395</v>
      </c>
      <c r="B338">
        <v>56961073</v>
      </c>
      <c r="C338">
        <v>56960232</v>
      </c>
      <c r="D338">
        <v>56027568</v>
      </c>
      <c r="E338">
        <v>1080</v>
      </c>
      <c r="F338">
        <v>1</v>
      </c>
      <c r="G338">
        <v>1080</v>
      </c>
      <c r="H338">
        <v>3</v>
      </c>
      <c r="I338" t="s">
        <v>639</v>
      </c>
      <c r="J338" t="s">
        <v>3</v>
      </c>
      <c r="K338" t="s">
        <v>640</v>
      </c>
      <c r="L338">
        <v>1301</v>
      </c>
      <c r="N338">
        <v>1003</v>
      </c>
      <c r="O338" t="s">
        <v>84</v>
      </c>
      <c r="P338" t="s">
        <v>84</v>
      </c>
      <c r="Q338">
        <v>1</v>
      </c>
      <c r="X338">
        <v>102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3</v>
      </c>
      <c r="AG338">
        <v>102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ROW(Source!A395)</f>
        <v>395</v>
      </c>
      <c r="B339">
        <v>56961074</v>
      </c>
      <c r="C339">
        <v>56960232</v>
      </c>
      <c r="D339">
        <v>56030735</v>
      </c>
      <c r="E339">
        <v>1080</v>
      </c>
      <c r="F339">
        <v>1</v>
      </c>
      <c r="G339">
        <v>1080</v>
      </c>
      <c r="H339">
        <v>3</v>
      </c>
      <c r="I339" t="s">
        <v>641</v>
      </c>
      <c r="J339" t="s">
        <v>3</v>
      </c>
      <c r="K339" t="s">
        <v>642</v>
      </c>
      <c r="L339">
        <v>1354</v>
      </c>
      <c r="N339">
        <v>1010</v>
      </c>
      <c r="O339" t="s">
        <v>31</v>
      </c>
      <c r="P339" t="s">
        <v>31</v>
      </c>
      <c r="Q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3</v>
      </c>
      <c r="AG339">
        <v>0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ROW(Source!A395)</f>
        <v>395</v>
      </c>
      <c r="B340">
        <v>56961075</v>
      </c>
      <c r="C340">
        <v>56960232</v>
      </c>
      <c r="D340">
        <v>56031307</v>
      </c>
      <c r="E340">
        <v>1080</v>
      </c>
      <c r="F340">
        <v>1</v>
      </c>
      <c r="G340">
        <v>1080</v>
      </c>
      <c r="H340">
        <v>3</v>
      </c>
      <c r="I340" t="s">
        <v>643</v>
      </c>
      <c r="J340" t="s">
        <v>3</v>
      </c>
      <c r="K340" t="s">
        <v>644</v>
      </c>
      <c r="L340">
        <v>1354</v>
      </c>
      <c r="N340">
        <v>1010</v>
      </c>
      <c r="O340" t="s">
        <v>31</v>
      </c>
      <c r="P340" t="s">
        <v>31</v>
      </c>
      <c r="Q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</v>
      </c>
      <c r="AG340">
        <v>0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ROW(Source!A396)</f>
        <v>396</v>
      </c>
      <c r="B341">
        <v>56961072</v>
      </c>
      <c r="C341">
        <v>56960232</v>
      </c>
      <c r="D341">
        <v>56018166</v>
      </c>
      <c r="E341">
        <v>1080</v>
      </c>
      <c r="F341">
        <v>1</v>
      </c>
      <c r="G341">
        <v>1080</v>
      </c>
      <c r="H341">
        <v>1</v>
      </c>
      <c r="I341" t="s">
        <v>500</v>
      </c>
      <c r="J341" t="s">
        <v>3</v>
      </c>
      <c r="K341" t="s">
        <v>501</v>
      </c>
      <c r="L341">
        <v>1191</v>
      </c>
      <c r="N341">
        <v>1013</v>
      </c>
      <c r="O341" t="s">
        <v>502</v>
      </c>
      <c r="P341" t="s">
        <v>502</v>
      </c>
      <c r="Q341">
        <v>1</v>
      </c>
      <c r="X341">
        <v>15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23</v>
      </c>
      <c r="AG341">
        <v>16.5</v>
      </c>
      <c r="AH341">
        <v>2</v>
      </c>
      <c r="AI341">
        <v>56960233</v>
      </c>
      <c r="AJ341">
        <v>283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ROW(Source!A396)</f>
        <v>396</v>
      </c>
      <c r="B342">
        <v>56961073</v>
      </c>
      <c r="C342">
        <v>56960232</v>
      </c>
      <c r="D342">
        <v>56027568</v>
      </c>
      <c r="E342">
        <v>1080</v>
      </c>
      <c r="F342">
        <v>1</v>
      </c>
      <c r="G342">
        <v>1080</v>
      </c>
      <c r="H342">
        <v>3</v>
      </c>
      <c r="I342" t="s">
        <v>639</v>
      </c>
      <c r="J342" t="s">
        <v>3</v>
      </c>
      <c r="K342" t="s">
        <v>640</v>
      </c>
      <c r="L342">
        <v>1301</v>
      </c>
      <c r="N342">
        <v>1003</v>
      </c>
      <c r="O342" t="s">
        <v>84</v>
      </c>
      <c r="P342" t="s">
        <v>84</v>
      </c>
      <c r="Q342">
        <v>1</v>
      </c>
      <c r="X342">
        <v>102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3</v>
      </c>
      <c r="AG342">
        <v>102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ROW(Source!A396)</f>
        <v>396</v>
      </c>
      <c r="B343">
        <v>56961074</v>
      </c>
      <c r="C343">
        <v>56960232</v>
      </c>
      <c r="D343">
        <v>56030735</v>
      </c>
      <c r="E343">
        <v>1080</v>
      </c>
      <c r="F343">
        <v>1</v>
      </c>
      <c r="G343">
        <v>1080</v>
      </c>
      <c r="H343">
        <v>3</v>
      </c>
      <c r="I343" t="s">
        <v>641</v>
      </c>
      <c r="J343" t="s">
        <v>3</v>
      </c>
      <c r="K343" t="s">
        <v>642</v>
      </c>
      <c r="L343">
        <v>1354</v>
      </c>
      <c r="N343">
        <v>1010</v>
      </c>
      <c r="O343" t="s">
        <v>31</v>
      </c>
      <c r="P343" t="s">
        <v>31</v>
      </c>
      <c r="Q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3</v>
      </c>
      <c r="AG343">
        <v>0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ROW(Source!A396)</f>
        <v>396</v>
      </c>
      <c r="B344">
        <v>56961075</v>
      </c>
      <c r="C344">
        <v>56960232</v>
      </c>
      <c r="D344">
        <v>56031307</v>
      </c>
      <c r="E344">
        <v>1080</v>
      </c>
      <c r="F344">
        <v>1</v>
      </c>
      <c r="G344">
        <v>1080</v>
      </c>
      <c r="H344">
        <v>3</v>
      </c>
      <c r="I344" t="s">
        <v>643</v>
      </c>
      <c r="J344" t="s">
        <v>3</v>
      </c>
      <c r="K344" t="s">
        <v>644</v>
      </c>
      <c r="L344">
        <v>1354</v>
      </c>
      <c r="N344">
        <v>1010</v>
      </c>
      <c r="O344" t="s">
        <v>31</v>
      </c>
      <c r="P344" t="s">
        <v>31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3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ROW(Source!A399)</f>
        <v>399</v>
      </c>
      <c r="B345">
        <v>56961076</v>
      </c>
      <c r="C345">
        <v>56960240</v>
      </c>
      <c r="D345">
        <v>56018166</v>
      </c>
      <c r="E345">
        <v>1080</v>
      </c>
      <c r="F345">
        <v>1</v>
      </c>
      <c r="G345">
        <v>1080</v>
      </c>
      <c r="H345">
        <v>1</v>
      </c>
      <c r="I345" t="s">
        <v>500</v>
      </c>
      <c r="J345" t="s">
        <v>3</v>
      </c>
      <c r="K345" t="s">
        <v>501</v>
      </c>
      <c r="L345">
        <v>1191</v>
      </c>
      <c r="N345">
        <v>1013</v>
      </c>
      <c r="O345" t="s">
        <v>502</v>
      </c>
      <c r="P345" t="s">
        <v>502</v>
      </c>
      <c r="Q345">
        <v>1</v>
      </c>
      <c r="X345">
        <v>4.49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 t="s">
        <v>23</v>
      </c>
      <c r="AG345">
        <v>4.9390000000000009</v>
      </c>
      <c r="AH345">
        <v>2</v>
      </c>
      <c r="AI345">
        <v>56960241</v>
      </c>
      <c r="AJ345">
        <v>285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ROW(Source!A399)</f>
        <v>399</v>
      </c>
      <c r="B346">
        <v>56961077</v>
      </c>
      <c r="C346">
        <v>56960240</v>
      </c>
      <c r="D346">
        <v>56092340</v>
      </c>
      <c r="E346">
        <v>1</v>
      </c>
      <c r="F346">
        <v>1</v>
      </c>
      <c r="G346">
        <v>1080</v>
      </c>
      <c r="H346">
        <v>2</v>
      </c>
      <c r="I346" t="s">
        <v>503</v>
      </c>
      <c r="J346" t="s">
        <v>504</v>
      </c>
      <c r="K346" t="s">
        <v>505</v>
      </c>
      <c r="L346">
        <v>1368</v>
      </c>
      <c r="N346">
        <v>1011</v>
      </c>
      <c r="O346" t="s">
        <v>506</v>
      </c>
      <c r="P346" t="s">
        <v>506</v>
      </c>
      <c r="Q346">
        <v>1</v>
      </c>
      <c r="X346">
        <v>0.01</v>
      </c>
      <c r="Y346">
        <v>0</v>
      </c>
      <c r="Z346">
        <v>83.1</v>
      </c>
      <c r="AA346">
        <v>12.62</v>
      </c>
      <c r="AB346">
        <v>0</v>
      </c>
      <c r="AC346">
        <v>0</v>
      </c>
      <c r="AD346">
        <v>1</v>
      </c>
      <c r="AE346">
        <v>0</v>
      </c>
      <c r="AF346" t="s">
        <v>23</v>
      </c>
      <c r="AG346">
        <v>1.1000000000000001E-2</v>
      </c>
      <c r="AH346">
        <v>2</v>
      </c>
      <c r="AI346">
        <v>56960242</v>
      </c>
      <c r="AJ346">
        <v>286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ROW(Source!A399)</f>
        <v>399</v>
      </c>
      <c r="B347">
        <v>56961078</v>
      </c>
      <c r="C347">
        <v>56960240</v>
      </c>
      <c r="D347">
        <v>56091576</v>
      </c>
      <c r="E347">
        <v>1</v>
      </c>
      <c r="F347">
        <v>1</v>
      </c>
      <c r="G347">
        <v>1080</v>
      </c>
      <c r="H347">
        <v>2</v>
      </c>
      <c r="I347" t="s">
        <v>529</v>
      </c>
      <c r="J347" t="s">
        <v>530</v>
      </c>
      <c r="K347" t="s">
        <v>531</v>
      </c>
      <c r="L347">
        <v>1368</v>
      </c>
      <c r="N347">
        <v>1011</v>
      </c>
      <c r="O347" t="s">
        <v>506</v>
      </c>
      <c r="P347" t="s">
        <v>506</v>
      </c>
      <c r="Q347">
        <v>1</v>
      </c>
      <c r="X347">
        <v>0.01</v>
      </c>
      <c r="Y347">
        <v>0</v>
      </c>
      <c r="Z347">
        <v>179.17</v>
      </c>
      <c r="AA347">
        <v>16.93</v>
      </c>
      <c r="AB347">
        <v>0</v>
      </c>
      <c r="AC347">
        <v>0</v>
      </c>
      <c r="AD347">
        <v>1</v>
      </c>
      <c r="AE347">
        <v>0</v>
      </c>
      <c r="AF347" t="s">
        <v>23</v>
      </c>
      <c r="AG347">
        <v>1.1000000000000001E-2</v>
      </c>
      <c r="AH347">
        <v>2</v>
      </c>
      <c r="AI347">
        <v>56960243</v>
      </c>
      <c r="AJ347">
        <v>287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ROW(Source!A399)</f>
        <v>399</v>
      </c>
      <c r="B348">
        <v>56961079</v>
      </c>
      <c r="C348">
        <v>56960240</v>
      </c>
      <c r="D348">
        <v>56061373</v>
      </c>
      <c r="E348">
        <v>1</v>
      </c>
      <c r="F348">
        <v>1</v>
      </c>
      <c r="G348">
        <v>1080</v>
      </c>
      <c r="H348">
        <v>3</v>
      </c>
      <c r="I348" t="s">
        <v>532</v>
      </c>
      <c r="J348" t="s">
        <v>533</v>
      </c>
      <c r="K348" t="s">
        <v>534</v>
      </c>
      <c r="L348">
        <v>1346</v>
      </c>
      <c r="N348">
        <v>1009</v>
      </c>
      <c r="O348" t="s">
        <v>249</v>
      </c>
      <c r="P348" t="s">
        <v>249</v>
      </c>
      <c r="Q348">
        <v>1</v>
      </c>
      <c r="X348">
        <v>0.43</v>
      </c>
      <c r="Y348">
        <v>1.38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0.43</v>
      </c>
      <c r="AH348">
        <v>2</v>
      </c>
      <c r="AI348">
        <v>56960244</v>
      </c>
      <c r="AJ348">
        <v>288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ROW(Source!A399)</f>
        <v>399</v>
      </c>
      <c r="B349">
        <v>56961080</v>
      </c>
      <c r="C349">
        <v>56960240</v>
      </c>
      <c r="D349">
        <v>56061764</v>
      </c>
      <c r="E349">
        <v>1</v>
      </c>
      <c r="F349">
        <v>1</v>
      </c>
      <c r="G349">
        <v>1080</v>
      </c>
      <c r="H349">
        <v>3</v>
      </c>
      <c r="I349" t="s">
        <v>535</v>
      </c>
      <c r="J349" t="s">
        <v>536</v>
      </c>
      <c r="K349" t="s">
        <v>537</v>
      </c>
      <c r="L349">
        <v>1346</v>
      </c>
      <c r="N349">
        <v>1009</v>
      </c>
      <c r="O349" t="s">
        <v>249</v>
      </c>
      <c r="P349" t="s">
        <v>249</v>
      </c>
      <c r="Q349">
        <v>1</v>
      </c>
      <c r="X349">
        <v>0.16</v>
      </c>
      <c r="Y349">
        <v>159.06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0.16</v>
      </c>
      <c r="AH349">
        <v>2</v>
      </c>
      <c r="AI349">
        <v>56960245</v>
      </c>
      <c r="AJ349">
        <v>289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ROW(Source!A399)</f>
        <v>399</v>
      </c>
      <c r="B350">
        <v>56961081</v>
      </c>
      <c r="C350">
        <v>56960240</v>
      </c>
      <c r="D350">
        <v>56084707</v>
      </c>
      <c r="E350">
        <v>1</v>
      </c>
      <c r="F350">
        <v>1</v>
      </c>
      <c r="G350">
        <v>1080</v>
      </c>
      <c r="H350">
        <v>3</v>
      </c>
      <c r="I350" t="s">
        <v>538</v>
      </c>
      <c r="J350" t="s">
        <v>539</v>
      </c>
      <c r="K350" t="s">
        <v>540</v>
      </c>
      <c r="L350">
        <v>1355</v>
      </c>
      <c r="N350">
        <v>1010</v>
      </c>
      <c r="O350" t="s">
        <v>520</v>
      </c>
      <c r="P350" t="s">
        <v>520</v>
      </c>
      <c r="Q350">
        <v>100</v>
      </c>
      <c r="X350">
        <v>0.05</v>
      </c>
      <c r="Y350">
        <v>68.819999999999993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0.05</v>
      </c>
      <c r="AH350">
        <v>2</v>
      </c>
      <c r="AI350">
        <v>56960246</v>
      </c>
      <c r="AJ350">
        <v>290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ROW(Source!A399)</f>
        <v>399</v>
      </c>
      <c r="B351">
        <v>56961082</v>
      </c>
      <c r="C351">
        <v>56960240</v>
      </c>
      <c r="D351">
        <v>56084718</v>
      </c>
      <c r="E351">
        <v>1</v>
      </c>
      <c r="F351">
        <v>1</v>
      </c>
      <c r="G351">
        <v>1080</v>
      </c>
      <c r="H351">
        <v>3</v>
      </c>
      <c r="I351" t="s">
        <v>541</v>
      </c>
      <c r="J351" t="s">
        <v>542</v>
      </c>
      <c r="K351" t="s">
        <v>543</v>
      </c>
      <c r="L351">
        <v>1356</v>
      </c>
      <c r="N351">
        <v>1010</v>
      </c>
      <c r="O351" t="s">
        <v>544</v>
      </c>
      <c r="P351" t="s">
        <v>544</v>
      </c>
      <c r="Q351">
        <v>1000</v>
      </c>
      <c r="X351">
        <v>1.2200000000000001E-2</v>
      </c>
      <c r="Y351">
        <v>183.4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1.2200000000000001E-2</v>
      </c>
      <c r="AH351">
        <v>2</v>
      </c>
      <c r="AI351">
        <v>56960247</v>
      </c>
      <c r="AJ351">
        <v>291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ROW(Source!A399)</f>
        <v>399</v>
      </c>
      <c r="B352">
        <v>56961083</v>
      </c>
      <c r="C352">
        <v>56960240</v>
      </c>
      <c r="D352">
        <v>56084044</v>
      </c>
      <c r="E352">
        <v>1</v>
      </c>
      <c r="F352">
        <v>1</v>
      </c>
      <c r="G352">
        <v>1080</v>
      </c>
      <c r="H352">
        <v>3</v>
      </c>
      <c r="I352" t="s">
        <v>545</v>
      </c>
      <c r="J352" t="s">
        <v>546</v>
      </c>
      <c r="K352" t="s">
        <v>547</v>
      </c>
      <c r="L352">
        <v>1354</v>
      </c>
      <c r="N352">
        <v>1010</v>
      </c>
      <c r="O352" t="s">
        <v>31</v>
      </c>
      <c r="P352" t="s">
        <v>31</v>
      </c>
      <c r="Q352">
        <v>1</v>
      </c>
      <c r="X352">
        <v>3.1</v>
      </c>
      <c r="Y352">
        <v>6.94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</v>
      </c>
      <c r="AG352">
        <v>3.1</v>
      </c>
      <c r="AH352">
        <v>2</v>
      </c>
      <c r="AI352">
        <v>56960248</v>
      </c>
      <c r="AJ352">
        <v>292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ROW(Source!A399)</f>
        <v>399</v>
      </c>
      <c r="B353">
        <v>56961084</v>
      </c>
      <c r="C353">
        <v>56960240</v>
      </c>
      <c r="D353">
        <v>56084051</v>
      </c>
      <c r="E353">
        <v>1</v>
      </c>
      <c r="F353">
        <v>1</v>
      </c>
      <c r="G353">
        <v>1080</v>
      </c>
      <c r="H353">
        <v>3</v>
      </c>
      <c r="I353" t="s">
        <v>548</v>
      </c>
      <c r="J353" t="s">
        <v>549</v>
      </c>
      <c r="K353" t="s">
        <v>550</v>
      </c>
      <c r="L353">
        <v>1356</v>
      </c>
      <c r="N353">
        <v>1010</v>
      </c>
      <c r="O353" t="s">
        <v>544</v>
      </c>
      <c r="P353" t="s">
        <v>544</v>
      </c>
      <c r="Q353">
        <v>1000</v>
      </c>
      <c r="X353">
        <v>8.0000000000000002E-3</v>
      </c>
      <c r="Y353">
        <v>614.09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</v>
      </c>
      <c r="AG353">
        <v>8.0000000000000002E-3</v>
      </c>
      <c r="AH353">
        <v>2</v>
      </c>
      <c r="AI353">
        <v>56960249</v>
      </c>
      <c r="AJ353">
        <v>293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ROW(Source!A399)</f>
        <v>399</v>
      </c>
      <c r="B354">
        <v>56961085</v>
      </c>
      <c r="C354">
        <v>56960240</v>
      </c>
      <c r="D354">
        <v>56033636</v>
      </c>
      <c r="E354">
        <v>1080</v>
      </c>
      <c r="F354">
        <v>1</v>
      </c>
      <c r="G354">
        <v>1080</v>
      </c>
      <c r="H354">
        <v>3</v>
      </c>
      <c r="I354" t="s">
        <v>653</v>
      </c>
      <c r="J354" t="s">
        <v>3</v>
      </c>
      <c r="K354" t="s">
        <v>654</v>
      </c>
      <c r="L354">
        <v>1303</v>
      </c>
      <c r="N354">
        <v>1003</v>
      </c>
      <c r="O354" t="s">
        <v>108</v>
      </c>
      <c r="P354" t="s">
        <v>108</v>
      </c>
      <c r="Q354">
        <v>1000</v>
      </c>
      <c r="X354">
        <v>0.10299999999999999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</v>
      </c>
      <c r="AG354">
        <v>0.10299999999999999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ROW(Source!A400)</f>
        <v>400</v>
      </c>
      <c r="B355">
        <v>56961076</v>
      </c>
      <c r="C355">
        <v>56960240</v>
      </c>
      <c r="D355">
        <v>56018166</v>
      </c>
      <c r="E355">
        <v>1080</v>
      </c>
      <c r="F355">
        <v>1</v>
      </c>
      <c r="G355">
        <v>1080</v>
      </c>
      <c r="H355">
        <v>1</v>
      </c>
      <c r="I355" t="s">
        <v>500</v>
      </c>
      <c r="J355" t="s">
        <v>3</v>
      </c>
      <c r="K355" t="s">
        <v>501</v>
      </c>
      <c r="L355">
        <v>1191</v>
      </c>
      <c r="N355">
        <v>1013</v>
      </c>
      <c r="O355" t="s">
        <v>502</v>
      </c>
      <c r="P355" t="s">
        <v>502</v>
      </c>
      <c r="Q355">
        <v>1</v>
      </c>
      <c r="X355">
        <v>4.49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23</v>
      </c>
      <c r="AG355">
        <v>4.9390000000000009</v>
      </c>
      <c r="AH355">
        <v>2</v>
      </c>
      <c r="AI355">
        <v>56960241</v>
      </c>
      <c r="AJ355">
        <v>295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ROW(Source!A400)</f>
        <v>400</v>
      </c>
      <c r="B356">
        <v>56961077</v>
      </c>
      <c r="C356">
        <v>56960240</v>
      </c>
      <c r="D356">
        <v>56092340</v>
      </c>
      <c r="E356">
        <v>1</v>
      </c>
      <c r="F356">
        <v>1</v>
      </c>
      <c r="G356">
        <v>1080</v>
      </c>
      <c r="H356">
        <v>2</v>
      </c>
      <c r="I356" t="s">
        <v>503</v>
      </c>
      <c r="J356" t="s">
        <v>504</v>
      </c>
      <c r="K356" t="s">
        <v>505</v>
      </c>
      <c r="L356">
        <v>1368</v>
      </c>
      <c r="N356">
        <v>1011</v>
      </c>
      <c r="O356" t="s">
        <v>506</v>
      </c>
      <c r="P356" t="s">
        <v>506</v>
      </c>
      <c r="Q356">
        <v>1</v>
      </c>
      <c r="X356">
        <v>0.01</v>
      </c>
      <c r="Y356">
        <v>0</v>
      </c>
      <c r="Z356">
        <v>83.1</v>
      </c>
      <c r="AA356">
        <v>12.62</v>
      </c>
      <c r="AB356">
        <v>0</v>
      </c>
      <c r="AC356">
        <v>0</v>
      </c>
      <c r="AD356">
        <v>1</v>
      </c>
      <c r="AE356">
        <v>0</v>
      </c>
      <c r="AF356" t="s">
        <v>23</v>
      </c>
      <c r="AG356">
        <v>1.1000000000000001E-2</v>
      </c>
      <c r="AH356">
        <v>2</v>
      </c>
      <c r="AI356">
        <v>56960242</v>
      </c>
      <c r="AJ356">
        <v>296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ROW(Source!A400)</f>
        <v>400</v>
      </c>
      <c r="B357">
        <v>56961078</v>
      </c>
      <c r="C357">
        <v>56960240</v>
      </c>
      <c r="D357">
        <v>56091576</v>
      </c>
      <c r="E357">
        <v>1</v>
      </c>
      <c r="F357">
        <v>1</v>
      </c>
      <c r="G357">
        <v>1080</v>
      </c>
      <c r="H357">
        <v>2</v>
      </c>
      <c r="I357" t="s">
        <v>529</v>
      </c>
      <c r="J357" t="s">
        <v>530</v>
      </c>
      <c r="K357" t="s">
        <v>531</v>
      </c>
      <c r="L357">
        <v>1368</v>
      </c>
      <c r="N357">
        <v>1011</v>
      </c>
      <c r="O357" t="s">
        <v>506</v>
      </c>
      <c r="P357" t="s">
        <v>506</v>
      </c>
      <c r="Q357">
        <v>1</v>
      </c>
      <c r="X357">
        <v>0.01</v>
      </c>
      <c r="Y357">
        <v>0</v>
      </c>
      <c r="Z357">
        <v>179.17</v>
      </c>
      <c r="AA357">
        <v>16.93</v>
      </c>
      <c r="AB357">
        <v>0</v>
      </c>
      <c r="AC357">
        <v>0</v>
      </c>
      <c r="AD357">
        <v>1</v>
      </c>
      <c r="AE357">
        <v>0</v>
      </c>
      <c r="AF357" t="s">
        <v>23</v>
      </c>
      <c r="AG357">
        <v>1.1000000000000001E-2</v>
      </c>
      <c r="AH357">
        <v>2</v>
      </c>
      <c r="AI357">
        <v>56960243</v>
      </c>
      <c r="AJ357">
        <v>297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ROW(Source!A400)</f>
        <v>400</v>
      </c>
      <c r="B358">
        <v>56961079</v>
      </c>
      <c r="C358">
        <v>56960240</v>
      </c>
      <c r="D358">
        <v>56061373</v>
      </c>
      <c r="E358">
        <v>1</v>
      </c>
      <c r="F358">
        <v>1</v>
      </c>
      <c r="G358">
        <v>1080</v>
      </c>
      <c r="H358">
        <v>3</v>
      </c>
      <c r="I358" t="s">
        <v>532</v>
      </c>
      <c r="J358" t="s">
        <v>533</v>
      </c>
      <c r="K358" t="s">
        <v>534</v>
      </c>
      <c r="L358">
        <v>1346</v>
      </c>
      <c r="N358">
        <v>1009</v>
      </c>
      <c r="O358" t="s">
        <v>249</v>
      </c>
      <c r="P358" t="s">
        <v>249</v>
      </c>
      <c r="Q358">
        <v>1</v>
      </c>
      <c r="X358">
        <v>0.43</v>
      </c>
      <c r="Y358">
        <v>1.38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3</v>
      </c>
      <c r="AG358">
        <v>0.43</v>
      </c>
      <c r="AH358">
        <v>2</v>
      </c>
      <c r="AI358">
        <v>56960244</v>
      </c>
      <c r="AJ358">
        <v>298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ROW(Source!A400)</f>
        <v>400</v>
      </c>
      <c r="B359">
        <v>56961080</v>
      </c>
      <c r="C359">
        <v>56960240</v>
      </c>
      <c r="D359">
        <v>56061764</v>
      </c>
      <c r="E359">
        <v>1</v>
      </c>
      <c r="F359">
        <v>1</v>
      </c>
      <c r="G359">
        <v>1080</v>
      </c>
      <c r="H359">
        <v>3</v>
      </c>
      <c r="I359" t="s">
        <v>535</v>
      </c>
      <c r="J359" t="s">
        <v>536</v>
      </c>
      <c r="K359" t="s">
        <v>537</v>
      </c>
      <c r="L359">
        <v>1346</v>
      </c>
      <c r="N359">
        <v>1009</v>
      </c>
      <c r="O359" t="s">
        <v>249</v>
      </c>
      <c r="P359" t="s">
        <v>249</v>
      </c>
      <c r="Q359">
        <v>1</v>
      </c>
      <c r="X359">
        <v>0.16</v>
      </c>
      <c r="Y359">
        <v>159.06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</v>
      </c>
      <c r="AG359">
        <v>0.16</v>
      </c>
      <c r="AH359">
        <v>2</v>
      </c>
      <c r="AI359">
        <v>56960245</v>
      </c>
      <c r="AJ359">
        <v>299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ROW(Source!A400)</f>
        <v>400</v>
      </c>
      <c r="B360">
        <v>56961081</v>
      </c>
      <c r="C360">
        <v>56960240</v>
      </c>
      <c r="D360">
        <v>56084707</v>
      </c>
      <c r="E360">
        <v>1</v>
      </c>
      <c r="F360">
        <v>1</v>
      </c>
      <c r="G360">
        <v>1080</v>
      </c>
      <c r="H360">
        <v>3</v>
      </c>
      <c r="I360" t="s">
        <v>538</v>
      </c>
      <c r="J360" t="s">
        <v>539</v>
      </c>
      <c r="K360" t="s">
        <v>540</v>
      </c>
      <c r="L360">
        <v>1355</v>
      </c>
      <c r="N360">
        <v>1010</v>
      </c>
      <c r="O360" t="s">
        <v>520</v>
      </c>
      <c r="P360" t="s">
        <v>520</v>
      </c>
      <c r="Q360">
        <v>100</v>
      </c>
      <c r="X360">
        <v>0.05</v>
      </c>
      <c r="Y360">
        <v>68.819999999999993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3</v>
      </c>
      <c r="AG360">
        <v>0.05</v>
      </c>
      <c r="AH360">
        <v>2</v>
      </c>
      <c r="AI360">
        <v>56960246</v>
      </c>
      <c r="AJ360">
        <v>300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ROW(Source!A400)</f>
        <v>400</v>
      </c>
      <c r="B361">
        <v>56961082</v>
      </c>
      <c r="C361">
        <v>56960240</v>
      </c>
      <c r="D361">
        <v>56084718</v>
      </c>
      <c r="E361">
        <v>1</v>
      </c>
      <c r="F361">
        <v>1</v>
      </c>
      <c r="G361">
        <v>1080</v>
      </c>
      <c r="H361">
        <v>3</v>
      </c>
      <c r="I361" t="s">
        <v>541</v>
      </c>
      <c r="J361" t="s">
        <v>542</v>
      </c>
      <c r="K361" t="s">
        <v>543</v>
      </c>
      <c r="L361">
        <v>1356</v>
      </c>
      <c r="N361">
        <v>1010</v>
      </c>
      <c r="O361" t="s">
        <v>544</v>
      </c>
      <c r="P361" t="s">
        <v>544</v>
      </c>
      <c r="Q361">
        <v>1000</v>
      </c>
      <c r="X361">
        <v>1.2200000000000001E-2</v>
      </c>
      <c r="Y361">
        <v>183.4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3</v>
      </c>
      <c r="AG361">
        <v>1.2200000000000001E-2</v>
      </c>
      <c r="AH361">
        <v>2</v>
      </c>
      <c r="AI361">
        <v>56960247</v>
      </c>
      <c r="AJ361">
        <v>301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ROW(Source!A400)</f>
        <v>400</v>
      </c>
      <c r="B362">
        <v>56961083</v>
      </c>
      <c r="C362">
        <v>56960240</v>
      </c>
      <c r="D362">
        <v>56084044</v>
      </c>
      <c r="E362">
        <v>1</v>
      </c>
      <c r="F362">
        <v>1</v>
      </c>
      <c r="G362">
        <v>1080</v>
      </c>
      <c r="H362">
        <v>3</v>
      </c>
      <c r="I362" t="s">
        <v>545</v>
      </c>
      <c r="J362" t="s">
        <v>546</v>
      </c>
      <c r="K362" t="s">
        <v>547</v>
      </c>
      <c r="L362">
        <v>1354</v>
      </c>
      <c r="N362">
        <v>1010</v>
      </c>
      <c r="O362" t="s">
        <v>31</v>
      </c>
      <c r="P362" t="s">
        <v>31</v>
      </c>
      <c r="Q362">
        <v>1</v>
      </c>
      <c r="X362">
        <v>3.1</v>
      </c>
      <c r="Y362">
        <v>6.94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3</v>
      </c>
      <c r="AG362">
        <v>3.1</v>
      </c>
      <c r="AH362">
        <v>2</v>
      </c>
      <c r="AI362">
        <v>56960248</v>
      </c>
      <c r="AJ362">
        <v>302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ROW(Source!A400)</f>
        <v>400</v>
      </c>
      <c r="B363">
        <v>56961084</v>
      </c>
      <c r="C363">
        <v>56960240</v>
      </c>
      <c r="D363">
        <v>56084051</v>
      </c>
      <c r="E363">
        <v>1</v>
      </c>
      <c r="F363">
        <v>1</v>
      </c>
      <c r="G363">
        <v>1080</v>
      </c>
      <c r="H363">
        <v>3</v>
      </c>
      <c r="I363" t="s">
        <v>548</v>
      </c>
      <c r="J363" t="s">
        <v>549</v>
      </c>
      <c r="K363" t="s">
        <v>550</v>
      </c>
      <c r="L363">
        <v>1356</v>
      </c>
      <c r="N363">
        <v>1010</v>
      </c>
      <c r="O363" t="s">
        <v>544</v>
      </c>
      <c r="P363" t="s">
        <v>544</v>
      </c>
      <c r="Q363">
        <v>1000</v>
      </c>
      <c r="X363">
        <v>8.0000000000000002E-3</v>
      </c>
      <c r="Y363">
        <v>614.09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</v>
      </c>
      <c r="AG363">
        <v>8.0000000000000002E-3</v>
      </c>
      <c r="AH363">
        <v>2</v>
      </c>
      <c r="AI363">
        <v>56960249</v>
      </c>
      <c r="AJ363">
        <v>303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ROW(Source!A400)</f>
        <v>400</v>
      </c>
      <c r="B364">
        <v>56961085</v>
      </c>
      <c r="C364">
        <v>56960240</v>
      </c>
      <c r="D364">
        <v>56033636</v>
      </c>
      <c r="E364">
        <v>1080</v>
      </c>
      <c r="F364">
        <v>1</v>
      </c>
      <c r="G364">
        <v>1080</v>
      </c>
      <c r="H364">
        <v>3</v>
      </c>
      <c r="I364" t="s">
        <v>653</v>
      </c>
      <c r="J364" t="s">
        <v>3</v>
      </c>
      <c r="K364" t="s">
        <v>654</v>
      </c>
      <c r="L364">
        <v>1303</v>
      </c>
      <c r="N364">
        <v>1003</v>
      </c>
      <c r="O364" t="s">
        <v>108</v>
      </c>
      <c r="P364" t="s">
        <v>108</v>
      </c>
      <c r="Q364">
        <v>1000</v>
      </c>
      <c r="X364">
        <v>0.10299999999999999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3</v>
      </c>
      <c r="AG364">
        <v>0.10299999999999999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ROW(Source!A438)</f>
        <v>438</v>
      </c>
      <c r="B365">
        <v>56961086</v>
      </c>
      <c r="C365">
        <v>56960318</v>
      </c>
      <c r="D365">
        <v>56018166</v>
      </c>
      <c r="E365">
        <v>1080</v>
      </c>
      <c r="F365">
        <v>1</v>
      </c>
      <c r="G365">
        <v>1080</v>
      </c>
      <c r="H365">
        <v>1</v>
      </c>
      <c r="I365" t="s">
        <v>500</v>
      </c>
      <c r="J365" t="s">
        <v>3</v>
      </c>
      <c r="K365" t="s">
        <v>501</v>
      </c>
      <c r="L365">
        <v>1191</v>
      </c>
      <c r="N365">
        <v>1013</v>
      </c>
      <c r="O365" t="s">
        <v>502</v>
      </c>
      <c r="P365" t="s">
        <v>502</v>
      </c>
      <c r="Q365">
        <v>1</v>
      </c>
      <c r="X365">
        <v>0.52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 t="s">
        <v>23</v>
      </c>
      <c r="AG365">
        <v>0.57200000000000006</v>
      </c>
      <c r="AH365">
        <v>2</v>
      </c>
      <c r="AI365">
        <v>56960319</v>
      </c>
      <c r="AJ365">
        <v>305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ROW(Source!A438)</f>
        <v>438</v>
      </c>
      <c r="B366">
        <v>56961087</v>
      </c>
      <c r="C366">
        <v>56960318</v>
      </c>
      <c r="D366">
        <v>56092340</v>
      </c>
      <c r="E366">
        <v>1</v>
      </c>
      <c r="F366">
        <v>1</v>
      </c>
      <c r="G366">
        <v>1080</v>
      </c>
      <c r="H366">
        <v>2</v>
      </c>
      <c r="I366" t="s">
        <v>503</v>
      </c>
      <c r="J366" t="s">
        <v>504</v>
      </c>
      <c r="K366" t="s">
        <v>505</v>
      </c>
      <c r="L366">
        <v>1368</v>
      </c>
      <c r="N366">
        <v>1011</v>
      </c>
      <c r="O366" t="s">
        <v>506</v>
      </c>
      <c r="P366" t="s">
        <v>506</v>
      </c>
      <c r="Q366">
        <v>1</v>
      </c>
      <c r="X366">
        <v>0.02</v>
      </c>
      <c r="Y366">
        <v>0</v>
      </c>
      <c r="Z366">
        <v>83.1</v>
      </c>
      <c r="AA366">
        <v>12.62</v>
      </c>
      <c r="AB366">
        <v>0</v>
      </c>
      <c r="AC366">
        <v>0</v>
      </c>
      <c r="AD366">
        <v>1</v>
      </c>
      <c r="AE366">
        <v>0</v>
      </c>
      <c r="AF366" t="s">
        <v>23</v>
      </c>
      <c r="AG366">
        <v>2.2000000000000002E-2</v>
      </c>
      <c r="AH366">
        <v>2</v>
      </c>
      <c r="AI366">
        <v>56960320</v>
      </c>
      <c r="AJ366">
        <v>306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ROW(Source!A438)</f>
        <v>438</v>
      </c>
      <c r="B367">
        <v>56961088</v>
      </c>
      <c r="C367">
        <v>56960318</v>
      </c>
      <c r="D367">
        <v>56091652</v>
      </c>
      <c r="E367">
        <v>1</v>
      </c>
      <c r="F367">
        <v>1</v>
      </c>
      <c r="G367">
        <v>1080</v>
      </c>
      <c r="H367">
        <v>2</v>
      </c>
      <c r="I367" t="s">
        <v>599</v>
      </c>
      <c r="J367" t="s">
        <v>600</v>
      </c>
      <c r="K367" t="s">
        <v>601</v>
      </c>
      <c r="L367">
        <v>1368</v>
      </c>
      <c r="N367">
        <v>1011</v>
      </c>
      <c r="O367" t="s">
        <v>506</v>
      </c>
      <c r="P367" t="s">
        <v>506</v>
      </c>
      <c r="Q367">
        <v>1</v>
      </c>
      <c r="X367">
        <v>0.2</v>
      </c>
      <c r="Y367">
        <v>0</v>
      </c>
      <c r="Z367">
        <v>132.66</v>
      </c>
      <c r="AA367">
        <v>14.54</v>
      </c>
      <c r="AB367">
        <v>0</v>
      </c>
      <c r="AC367">
        <v>0</v>
      </c>
      <c r="AD367">
        <v>1</v>
      </c>
      <c r="AE367">
        <v>0</v>
      </c>
      <c r="AF367" t="s">
        <v>23</v>
      </c>
      <c r="AG367">
        <v>0.22000000000000003</v>
      </c>
      <c r="AH367">
        <v>2</v>
      </c>
      <c r="AI367">
        <v>56960321</v>
      </c>
      <c r="AJ367">
        <v>307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ROW(Source!A438)</f>
        <v>438</v>
      </c>
      <c r="B368">
        <v>56961089</v>
      </c>
      <c r="C368">
        <v>56960318</v>
      </c>
      <c r="D368">
        <v>56015394</v>
      </c>
      <c r="E368">
        <v>1080</v>
      </c>
      <c r="F368">
        <v>1</v>
      </c>
      <c r="G368">
        <v>1080</v>
      </c>
      <c r="H368">
        <v>3</v>
      </c>
      <c r="I368" t="s">
        <v>660</v>
      </c>
      <c r="J368" t="s">
        <v>3</v>
      </c>
      <c r="K368" t="s">
        <v>661</v>
      </c>
      <c r="L368">
        <v>1346</v>
      </c>
      <c r="N368">
        <v>1009</v>
      </c>
      <c r="O368" t="s">
        <v>249</v>
      </c>
      <c r="P368" t="s">
        <v>249</v>
      </c>
      <c r="Q368">
        <v>1</v>
      </c>
      <c r="X368">
        <v>3.2000000000000003E-4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3</v>
      </c>
      <c r="AG368">
        <v>3.2000000000000003E-4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ROW(Source!A438)</f>
        <v>438</v>
      </c>
      <c r="B369">
        <v>56961090</v>
      </c>
      <c r="C369">
        <v>56960318</v>
      </c>
      <c r="D369">
        <v>56040128</v>
      </c>
      <c r="E369">
        <v>1080</v>
      </c>
      <c r="F369">
        <v>1</v>
      </c>
      <c r="G369">
        <v>1080</v>
      </c>
      <c r="H369">
        <v>3</v>
      </c>
      <c r="I369" t="s">
        <v>666</v>
      </c>
      <c r="J369" t="s">
        <v>3</v>
      </c>
      <c r="K369" t="s">
        <v>667</v>
      </c>
      <c r="L369">
        <v>1354</v>
      </c>
      <c r="N369">
        <v>1010</v>
      </c>
      <c r="O369" t="s">
        <v>31</v>
      </c>
      <c r="P369" t="s">
        <v>31</v>
      </c>
      <c r="Q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3</v>
      </c>
      <c r="AG369">
        <v>1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ROW(Source!A439)</f>
        <v>439</v>
      </c>
      <c r="B370">
        <v>56961086</v>
      </c>
      <c r="C370">
        <v>56960318</v>
      </c>
      <c r="D370">
        <v>56018166</v>
      </c>
      <c r="E370">
        <v>1080</v>
      </c>
      <c r="F370">
        <v>1</v>
      </c>
      <c r="G370">
        <v>1080</v>
      </c>
      <c r="H370">
        <v>1</v>
      </c>
      <c r="I370" t="s">
        <v>500</v>
      </c>
      <c r="J370" t="s">
        <v>3</v>
      </c>
      <c r="K370" t="s">
        <v>501</v>
      </c>
      <c r="L370">
        <v>1191</v>
      </c>
      <c r="N370">
        <v>1013</v>
      </c>
      <c r="O370" t="s">
        <v>502</v>
      </c>
      <c r="P370" t="s">
        <v>502</v>
      </c>
      <c r="Q370">
        <v>1</v>
      </c>
      <c r="X370">
        <v>0.52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 t="s">
        <v>23</v>
      </c>
      <c r="AG370">
        <v>0.57200000000000006</v>
      </c>
      <c r="AH370">
        <v>2</v>
      </c>
      <c r="AI370">
        <v>56960319</v>
      </c>
      <c r="AJ370">
        <v>308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ROW(Source!A439)</f>
        <v>439</v>
      </c>
      <c r="B371">
        <v>56961087</v>
      </c>
      <c r="C371">
        <v>56960318</v>
      </c>
      <c r="D371">
        <v>56092340</v>
      </c>
      <c r="E371">
        <v>1</v>
      </c>
      <c r="F371">
        <v>1</v>
      </c>
      <c r="G371">
        <v>1080</v>
      </c>
      <c r="H371">
        <v>2</v>
      </c>
      <c r="I371" t="s">
        <v>503</v>
      </c>
      <c r="J371" t="s">
        <v>504</v>
      </c>
      <c r="K371" t="s">
        <v>505</v>
      </c>
      <c r="L371">
        <v>1368</v>
      </c>
      <c r="N371">
        <v>1011</v>
      </c>
      <c r="O371" t="s">
        <v>506</v>
      </c>
      <c r="P371" t="s">
        <v>506</v>
      </c>
      <c r="Q371">
        <v>1</v>
      </c>
      <c r="X371">
        <v>0.02</v>
      </c>
      <c r="Y371">
        <v>0</v>
      </c>
      <c r="Z371">
        <v>83.1</v>
      </c>
      <c r="AA371">
        <v>12.62</v>
      </c>
      <c r="AB371">
        <v>0</v>
      </c>
      <c r="AC371">
        <v>0</v>
      </c>
      <c r="AD371">
        <v>1</v>
      </c>
      <c r="AE371">
        <v>0</v>
      </c>
      <c r="AF371" t="s">
        <v>23</v>
      </c>
      <c r="AG371">
        <v>2.2000000000000002E-2</v>
      </c>
      <c r="AH371">
        <v>2</v>
      </c>
      <c r="AI371">
        <v>56960320</v>
      </c>
      <c r="AJ371">
        <v>309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ROW(Source!A439)</f>
        <v>439</v>
      </c>
      <c r="B372">
        <v>56961088</v>
      </c>
      <c r="C372">
        <v>56960318</v>
      </c>
      <c r="D372">
        <v>56091652</v>
      </c>
      <c r="E372">
        <v>1</v>
      </c>
      <c r="F372">
        <v>1</v>
      </c>
      <c r="G372">
        <v>1080</v>
      </c>
      <c r="H372">
        <v>2</v>
      </c>
      <c r="I372" t="s">
        <v>599</v>
      </c>
      <c r="J372" t="s">
        <v>600</v>
      </c>
      <c r="K372" t="s">
        <v>601</v>
      </c>
      <c r="L372">
        <v>1368</v>
      </c>
      <c r="N372">
        <v>1011</v>
      </c>
      <c r="O372" t="s">
        <v>506</v>
      </c>
      <c r="P372" t="s">
        <v>506</v>
      </c>
      <c r="Q372">
        <v>1</v>
      </c>
      <c r="X372">
        <v>0.2</v>
      </c>
      <c r="Y372">
        <v>0</v>
      </c>
      <c r="Z372">
        <v>132.66</v>
      </c>
      <c r="AA372">
        <v>14.54</v>
      </c>
      <c r="AB372">
        <v>0</v>
      </c>
      <c r="AC372">
        <v>0</v>
      </c>
      <c r="AD372">
        <v>1</v>
      </c>
      <c r="AE372">
        <v>0</v>
      </c>
      <c r="AF372" t="s">
        <v>23</v>
      </c>
      <c r="AG372">
        <v>0.22000000000000003</v>
      </c>
      <c r="AH372">
        <v>2</v>
      </c>
      <c r="AI372">
        <v>56960321</v>
      </c>
      <c r="AJ372">
        <v>310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ROW(Source!A439)</f>
        <v>439</v>
      </c>
      <c r="B373">
        <v>56961089</v>
      </c>
      <c r="C373">
        <v>56960318</v>
      </c>
      <c r="D373">
        <v>56015394</v>
      </c>
      <c r="E373">
        <v>1080</v>
      </c>
      <c r="F373">
        <v>1</v>
      </c>
      <c r="G373">
        <v>1080</v>
      </c>
      <c r="H373">
        <v>3</v>
      </c>
      <c r="I373" t="s">
        <v>660</v>
      </c>
      <c r="J373" t="s">
        <v>3</v>
      </c>
      <c r="K373" t="s">
        <v>661</v>
      </c>
      <c r="L373">
        <v>1346</v>
      </c>
      <c r="N373">
        <v>1009</v>
      </c>
      <c r="O373" t="s">
        <v>249</v>
      </c>
      <c r="P373" t="s">
        <v>249</v>
      </c>
      <c r="Q373">
        <v>1</v>
      </c>
      <c r="X373">
        <v>3.2000000000000003E-4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3</v>
      </c>
      <c r="AG373">
        <v>3.2000000000000003E-4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ROW(Source!A439)</f>
        <v>439</v>
      </c>
      <c r="B374">
        <v>56961090</v>
      </c>
      <c r="C374">
        <v>56960318</v>
      </c>
      <c r="D374">
        <v>56040128</v>
      </c>
      <c r="E374">
        <v>1080</v>
      </c>
      <c r="F374">
        <v>1</v>
      </c>
      <c r="G374">
        <v>1080</v>
      </c>
      <c r="H374">
        <v>3</v>
      </c>
      <c r="I374" t="s">
        <v>666</v>
      </c>
      <c r="J374" t="s">
        <v>3</v>
      </c>
      <c r="K374" t="s">
        <v>667</v>
      </c>
      <c r="L374">
        <v>1354</v>
      </c>
      <c r="N374">
        <v>1010</v>
      </c>
      <c r="O374" t="s">
        <v>31</v>
      </c>
      <c r="P374" t="s">
        <v>31</v>
      </c>
      <c r="Q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3</v>
      </c>
      <c r="AG374">
        <v>1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ROW(Source!A442)</f>
        <v>442</v>
      </c>
      <c r="B375">
        <v>56961091</v>
      </c>
      <c r="C375">
        <v>56960328</v>
      </c>
      <c r="D375">
        <v>56018166</v>
      </c>
      <c r="E375">
        <v>1080</v>
      </c>
      <c r="F375">
        <v>1</v>
      </c>
      <c r="G375">
        <v>1080</v>
      </c>
      <c r="H375">
        <v>1</v>
      </c>
      <c r="I375" t="s">
        <v>500</v>
      </c>
      <c r="J375" t="s">
        <v>3</v>
      </c>
      <c r="K375" t="s">
        <v>501</v>
      </c>
      <c r="L375">
        <v>1191</v>
      </c>
      <c r="N375">
        <v>1013</v>
      </c>
      <c r="O375" t="s">
        <v>502</v>
      </c>
      <c r="P375" t="s">
        <v>502</v>
      </c>
      <c r="Q375">
        <v>1</v>
      </c>
      <c r="X375">
        <v>0.52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 t="s">
        <v>23</v>
      </c>
      <c r="AG375">
        <v>0.57200000000000006</v>
      </c>
      <c r="AH375">
        <v>2</v>
      </c>
      <c r="AI375">
        <v>56960329</v>
      </c>
      <c r="AJ375">
        <v>311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ROW(Source!A442)</f>
        <v>442</v>
      </c>
      <c r="B376">
        <v>56961092</v>
      </c>
      <c r="C376">
        <v>56960328</v>
      </c>
      <c r="D376">
        <v>56092340</v>
      </c>
      <c r="E376">
        <v>1</v>
      </c>
      <c r="F376">
        <v>1</v>
      </c>
      <c r="G376">
        <v>1080</v>
      </c>
      <c r="H376">
        <v>2</v>
      </c>
      <c r="I376" t="s">
        <v>503</v>
      </c>
      <c r="J376" t="s">
        <v>504</v>
      </c>
      <c r="K376" t="s">
        <v>505</v>
      </c>
      <c r="L376">
        <v>1368</v>
      </c>
      <c r="N376">
        <v>1011</v>
      </c>
      <c r="O376" t="s">
        <v>506</v>
      </c>
      <c r="P376" t="s">
        <v>506</v>
      </c>
      <c r="Q376">
        <v>1</v>
      </c>
      <c r="X376">
        <v>0.02</v>
      </c>
      <c r="Y376">
        <v>0</v>
      </c>
      <c r="Z376">
        <v>83.1</v>
      </c>
      <c r="AA376">
        <v>12.62</v>
      </c>
      <c r="AB376">
        <v>0</v>
      </c>
      <c r="AC376">
        <v>0</v>
      </c>
      <c r="AD376">
        <v>1</v>
      </c>
      <c r="AE376">
        <v>0</v>
      </c>
      <c r="AF376" t="s">
        <v>23</v>
      </c>
      <c r="AG376">
        <v>2.2000000000000002E-2</v>
      </c>
      <c r="AH376">
        <v>2</v>
      </c>
      <c r="AI376">
        <v>56960330</v>
      </c>
      <c r="AJ376">
        <v>312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ROW(Source!A442)</f>
        <v>442</v>
      </c>
      <c r="B377">
        <v>56961093</v>
      </c>
      <c r="C377">
        <v>56960328</v>
      </c>
      <c r="D377">
        <v>56091652</v>
      </c>
      <c r="E377">
        <v>1</v>
      </c>
      <c r="F377">
        <v>1</v>
      </c>
      <c r="G377">
        <v>1080</v>
      </c>
      <c r="H377">
        <v>2</v>
      </c>
      <c r="I377" t="s">
        <v>599</v>
      </c>
      <c r="J377" t="s">
        <v>600</v>
      </c>
      <c r="K377" t="s">
        <v>601</v>
      </c>
      <c r="L377">
        <v>1368</v>
      </c>
      <c r="N377">
        <v>1011</v>
      </c>
      <c r="O377" t="s">
        <v>506</v>
      </c>
      <c r="P377" t="s">
        <v>506</v>
      </c>
      <c r="Q377">
        <v>1</v>
      </c>
      <c r="X377">
        <v>0.2</v>
      </c>
      <c r="Y377">
        <v>0</v>
      </c>
      <c r="Z377">
        <v>132.66</v>
      </c>
      <c r="AA377">
        <v>14.54</v>
      </c>
      <c r="AB377">
        <v>0</v>
      </c>
      <c r="AC377">
        <v>0</v>
      </c>
      <c r="AD377">
        <v>1</v>
      </c>
      <c r="AE377">
        <v>0</v>
      </c>
      <c r="AF377" t="s">
        <v>23</v>
      </c>
      <c r="AG377">
        <v>0.22000000000000003</v>
      </c>
      <c r="AH377">
        <v>2</v>
      </c>
      <c r="AI377">
        <v>56960331</v>
      </c>
      <c r="AJ377">
        <v>313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ROW(Source!A442)</f>
        <v>442</v>
      </c>
      <c r="B378">
        <v>56961094</v>
      </c>
      <c r="C378">
        <v>56960328</v>
      </c>
      <c r="D378">
        <v>56015394</v>
      </c>
      <c r="E378">
        <v>1080</v>
      </c>
      <c r="F378">
        <v>1</v>
      </c>
      <c r="G378">
        <v>1080</v>
      </c>
      <c r="H378">
        <v>3</v>
      </c>
      <c r="I378" t="s">
        <v>660</v>
      </c>
      <c r="J378" t="s">
        <v>3</v>
      </c>
      <c r="K378" t="s">
        <v>661</v>
      </c>
      <c r="L378">
        <v>1346</v>
      </c>
      <c r="N378">
        <v>1009</v>
      </c>
      <c r="O378" t="s">
        <v>249</v>
      </c>
      <c r="P378" t="s">
        <v>249</v>
      </c>
      <c r="Q378">
        <v>1</v>
      </c>
      <c r="X378">
        <v>3.2000000000000003E-4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3</v>
      </c>
      <c r="AG378">
        <v>3.2000000000000003E-4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ROW(Source!A442)</f>
        <v>442</v>
      </c>
      <c r="B379">
        <v>56961095</v>
      </c>
      <c r="C379">
        <v>56960328</v>
      </c>
      <c r="D379">
        <v>56040128</v>
      </c>
      <c r="E379">
        <v>1080</v>
      </c>
      <c r="F379">
        <v>1</v>
      </c>
      <c r="G379">
        <v>1080</v>
      </c>
      <c r="H379">
        <v>3</v>
      </c>
      <c r="I379" t="s">
        <v>666</v>
      </c>
      <c r="J379" t="s">
        <v>3</v>
      </c>
      <c r="K379" t="s">
        <v>667</v>
      </c>
      <c r="L379">
        <v>1354</v>
      </c>
      <c r="N379">
        <v>1010</v>
      </c>
      <c r="O379" t="s">
        <v>31</v>
      </c>
      <c r="P379" t="s">
        <v>31</v>
      </c>
      <c r="Q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3</v>
      </c>
      <c r="AG379">
        <v>1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ROW(Source!A443)</f>
        <v>443</v>
      </c>
      <c r="B380">
        <v>56961091</v>
      </c>
      <c r="C380">
        <v>56960328</v>
      </c>
      <c r="D380">
        <v>56018166</v>
      </c>
      <c r="E380">
        <v>1080</v>
      </c>
      <c r="F380">
        <v>1</v>
      </c>
      <c r="G380">
        <v>1080</v>
      </c>
      <c r="H380">
        <v>1</v>
      </c>
      <c r="I380" t="s">
        <v>500</v>
      </c>
      <c r="J380" t="s">
        <v>3</v>
      </c>
      <c r="K380" t="s">
        <v>501</v>
      </c>
      <c r="L380">
        <v>1191</v>
      </c>
      <c r="N380">
        <v>1013</v>
      </c>
      <c r="O380" t="s">
        <v>502</v>
      </c>
      <c r="P380" t="s">
        <v>502</v>
      </c>
      <c r="Q380">
        <v>1</v>
      </c>
      <c r="X380">
        <v>0.52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 t="s">
        <v>23</v>
      </c>
      <c r="AG380">
        <v>0.57200000000000006</v>
      </c>
      <c r="AH380">
        <v>2</v>
      </c>
      <c r="AI380">
        <v>56960329</v>
      </c>
      <c r="AJ380">
        <v>314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ROW(Source!A443)</f>
        <v>443</v>
      </c>
      <c r="B381">
        <v>56961092</v>
      </c>
      <c r="C381">
        <v>56960328</v>
      </c>
      <c r="D381">
        <v>56092340</v>
      </c>
      <c r="E381">
        <v>1</v>
      </c>
      <c r="F381">
        <v>1</v>
      </c>
      <c r="G381">
        <v>1080</v>
      </c>
      <c r="H381">
        <v>2</v>
      </c>
      <c r="I381" t="s">
        <v>503</v>
      </c>
      <c r="J381" t="s">
        <v>504</v>
      </c>
      <c r="K381" t="s">
        <v>505</v>
      </c>
      <c r="L381">
        <v>1368</v>
      </c>
      <c r="N381">
        <v>1011</v>
      </c>
      <c r="O381" t="s">
        <v>506</v>
      </c>
      <c r="P381" t="s">
        <v>506</v>
      </c>
      <c r="Q381">
        <v>1</v>
      </c>
      <c r="X381">
        <v>0.02</v>
      </c>
      <c r="Y381">
        <v>0</v>
      </c>
      <c r="Z381">
        <v>83.1</v>
      </c>
      <c r="AA381">
        <v>12.62</v>
      </c>
      <c r="AB381">
        <v>0</v>
      </c>
      <c r="AC381">
        <v>0</v>
      </c>
      <c r="AD381">
        <v>1</v>
      </c>
      <c r="AE381">
        <v>0</v>
      </c>
      <c r="AF381" t="s">
        <v>23</v>
      </c>
      <c r="AG381">
        <v>2.2000000000000002E-2</v>
      </c>
      <c r="AH381">
        <v>2</v>
      </c>
      <c r="AI381">
        <v>56960330</v>
      </c>
      <c r="AJ381">
        <v>315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ROW(Source!A443)</f>
        <v>443</v>
      </c>
      <c r="B382">
        <v>56961093</v>
      </c>
      <c r="C382">
        <v>56960328</v>
      </c>
      <c r="D382">
        <v>56091652</v>
      </c>
      <c r="E382">
        <v>1</v>
      </c>
      <c r="F382">
        <v>1</v>
      </c>
      <c r="G382">
        <v>1080</v>
      </c>
      <c r="H382">
        <v>2</v>
      </c>
      <c r="I382" t="s">
        <v>599</v>
      </c>
      <c r="J382" t="s">
        <v>600</v>
      </c>
      <c r="K382" t="s">
        <v>601</v>
      </c>
      <c r="L382">
        <v>1368</v>
      </c>
      <c r="N382">
        <v>1011</v>
      </c>
      <c r="O382" t="s">
        <v>506</v>
      </c>
      <c r="P382" t="s">
        <v>506</v>
      </c>
      <c r="Q382">
        <v>1</v>
      </c>
      <c r="X382">
        <v>0.2</v>
      </c>
      <c r="Y382">
        <v>0</v>
      </c>
      <c r="Z382">
        <v>132.66</v>
      </c>
      <c r="AA382">
        <v>14.54</v>
      </c>
      <c r="AB382">
        <v>0</v>
      </c>
      <c r="AC382">
        <v>0</v>
      </c>
      <c r="AD382">
        <v>1</v>
      </c>
      <c r="AE382">
        <v>0</v>
      </c>
      <c r="AF382" t="s">
        <v>23</v>
      </c>
      <c r="AG382">
        <v>0.22000000000000003</v>
      </c>
      <c r="AH382">
        <v>2</v>
      </c>
      <c r="AI382">
        <v>56960331</v>
      </c>
      <c r="AJ382">
        <v>316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ROW(Source!A443)</f>
        <v>443</v>
      </c>
      <c r="B383">
        <v>56961094</v>
      </c>
      <c r="C383">
        <v>56960328</v>
      </c>
      <c r="D383">
        <v>56015394</v>
      </c>
      <c r="E383">
        <v>1080</v>
      </c>
      <c r="F383">
        <v>1</v>
      </c>
      <c r="G383">
        <v>1080</v>
      </c>
      <c r="H383">
        <v>3</v>
      </c>
      <c r="I383" t="s">
        <v>660</v>
      </c>
      <c r="J383" t="s">
        <v>3</v>
      </c>
      <c r="K383" t="s">
        <v>661</v>
      </c>
      <c r="L383">
        <v>1346</v>
      </c>
      <c r="N383">
        <v>1009</v>
      </c>
      <c r="O383" t="s">
        <v>249</v>
      </c>
      <c r="P383" t="s">
        <v>249</v>
      </c>
      <c r="Q383">
        <v>1</v>
      </c>
      <c r="X383">
        <v>3.2000000000000003E-4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3</v>
      </c>
      <c r="AG383">
        <v>3.2000000000000003E-4</v>
      </c>
      <c r="AH383">
        <v>3</v>
      </c>
      <c r="AI383">
        <v>-1</v>
      </c>
      <c r="AJ383" t="s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ROW(Source!A443)</f>
        <v>443</v>
      </c>
      <c r="B384">
        <v>56961095</v>
      </c>
      <c r="C384">
        <v>56960328</v>
      </c>
      <c r="D384">
        <v>56040128</v>
      </c>
      <c r="E384">
        <v>1080</v>
      </c>
      <c r="F384">
        <v>1</v>
      </c>
      <c r="G384">
        <v>1080</v>
      </c>
      <c r="H384">
        <v>3</v>
      </c>
      <c r="I384" t="s">
        <v>666</v>
      </c>
      <c r="J384" t="s">
        <v>3</v>
      </c>
      <c r="K384" t="s">
        <v>667</v>
      </c>
      <c r="L384">
        <v>1354</v>
      </c>
      <c r="N384">
        <v>1010</v>
      </c>
      <c r="O384" t="s">
        <v>31</v>
      </c>
      <c r="P384" t="s">
        <v>31</v>
      </c>
      <c r="Q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3</v>
      </c>
      <c r="AG384">
        <v>1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ROW(Source!A446)</f>
        <v>446</v>
      </c>
      <c r="B385">
        <v>56961096</v>
      </c>
      <c r="C385">
        <v>56960338</v>
      </c>
      <c r="D385">
        <v>56018166</v>
      </c>
      <c r="E385">
        <v>1080</v>
      </c>
      <c r="F385">
        <v>1</v>
      </c>
      <c r="G385">
        <v>1080</v>
      </c>
      <c r="H385">
        <v>1</v>
      </c>
      <c r="I385" t="s">
        <v>500</v>
      </c>
      <c r="J385" t="s">
        <v>3</v>
      </c>
      <c r="K385" t="s">
        <v>501</v>
      </c>
      <c r="L385">
        <v>1191</v>
      </c>
      <c r="N385">
        <v>1013</v>
      </c>
      <c r="O385" t="s">
        <v>502</v>
      </c>
      <c r="P385" t="s">
        <v>502</v>
      </c>
      <c r="Q385">
        <v>1</v>
      </c>
      <c r="X385">
        <v>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 t="s">
        <v>23</v>
      </c>
      <c r="AG385">
        <v>2.2000000000000002</v>
      </c>
      <c r="AH385">
        <v>2</v>
      </c>
      <c r="AI385">
        <v>56960339</v>
      </c>
      <c r="AJ385">
        <v>317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ROW(Source!A446)</f>
        <v>446</v>
      </c>
      <c r="B386">
        <v>56961097</v>
      </c>
      <c r="C386">
        <v>56960338</v>
      </c>
      <c r="D386">
        <v>56092342</v>
      </c>
      <c r="E386">
        <v>1</v>
      </c>
      <c r="F386">
        <v>1</v>
      </c>
      <c r="G386">
        <v>1080</v>
      </c>
      <c r="H386">
        <v>2</v>
      </c>
      <c r="I386" t="s">
        <v>508</v>
      </c>
      <c r="J386" t="s">
        <v>509</v>
      </c>
      <c r="K386" t="s">
        <v>510</v>
      </c>
      <c r="L386">
        <v>1368</v>
      </c>
      <c r="N386">
        <v>1011</v>
      </c>
      <c r="O386" t="s">
        <v>506</v>
      </c>
      <c r="P386" t="s">
        <v>506</v>
      </c>
      <c r="Q386">
        <v>1</v>
      </c>
      <c r="X386">
        <v>0.02</v>
      </c>
      <c r="Y386">
        <v>0</v>
      </c>
      <c r="Z386">
        <v>119.07</v>
      </c>
      <c r="AA386">
        <v>12.62</v>
      </c>
      <c r="AB386">
        <v>0</v>
      </c>
      <c r="AC386">
        <v>0</v>
      </c>
      <c r="AD386">
        <v>1</v>
      </c>
      <c r="AE386">
        <v>0</v>
      </c>
      <c r="AF386" t="s">
        <v>23</v>
      </c>
      <c r="AG386">
        <v>2.2000000000000002E-2</v>
      </c>
      <c r="AH386">
        <v>2</v>
      </c>
      <c r="AI386">
        <v>56960340</v>
      </c>
      <c r="AJ386">
        <v>318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ROW(Source!A446)</f>
        <v>446</v>
      </c>
      <c r="B387">
        <v>56961098</v>
      </c>
      <c r="C387">
        <v>56960338</v>
      </c>
      <c r="D387">
        <v>56061656</v>
      </c>
      <c r="E387">
        <v>1</v>
      </c>
      <c r="F387">
        <v>1</v>
      </c>
      <c r="G387">
        <v>1080</v>
      </c>
      <c r="H387">
        <v>3</v>
      </c>
      <c r="I387" t="s">
        <v>511</v>
      </c>
      <c r="J387" t="s">
        <v>512</v>
      </c>
      <c r="K387" t="s">
        <v>513</v>
      </c>
      <c r="L387">
        <v>1346</v>
      </c>
      <c r="N387">
        <v>1009</v>
      </c>
      <c r="O387" t="s">
        <v>249</v>
      </c>
      <c r="P387" t="s">
        <v>249</v>
      </c>
      <c r="Q387">
        <v>1</v>
      </c>
      <c r="X387">
        <v>0.9</v>
      </c>
      <c r="Y387">
        <v>104.63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</v>
      </c>
      <c r="AG387">
        <v>0.9</v>
      </c>
      <c r="AH387">
        <v>2</v>
      </c>
      <c r="AI387">
        <v>56960341</v>
      </c>
      <c r="AJ387">
        <v>319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ROW(Source!A446)</f>
        <v>446</v>
      </c>
      <c r="B388">
        <v>56961099</v>
      </c>
      <c r="C388">
        <v>56960338</v>
      </c>
      <c r="D388">
        <v>56063129</v>
      </c>
      <c r="E388">
        <v>1</v>
      </c>
      <c r="F388">
        <v>1</v>
      </c>
      <c r="G388">
        <v>1080</v>
      </c>
      <c r="H388">
        <v>3</v>
      </c>
      <c r="I388" t="s">
        <v>514</v>
      </c>
      <c r="J388" t="s">
        <v>515</v>
      </c>
      <c r="K388" t="s">
        <v>516</v>
      </c>
      <c r="L388">
        <v>1348</v>
      </c>
      <c r="N388">
        <v>1009</v>
      </c>
      <c r="O388" t="s">
        <v>291</v>
      </c>
      <c r="P388" t="s">
        <v>291</v>
      </c>
      <c r="Q388">
        <v>1000</v>
      </c>
      <c r="X388">
        <v>2.6999999999999999E-5</v>
      </c>
      <c r="Y388">
        <v>15568.37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</v>
      </c>
      <c r="AG388">
        <v>2.6999999999999999E-5</v>
      </c>
      <c r="AH388">
        <v>2</v>
      </c>
      <c r="AI388">
        <v>56960342</v>
      </c>
      <c r="AJ388">
        <v>320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ROW(Source!A446)</f>
        <v>446</v>
      </c>
      <c r="B389">
        <v>56961100</v>
      </c>
      <c r="C389">
        <v>56960338</v>
      </c>
      <c r="D389">
        <v>56067341</v>
      </c>
      <c r="E389">
        <v>1</v>
      </c>
      <c r="F389">
        <v>1</v>
      </c>
      <c r="G389">
        <v>1080</v>
      </c>
      <c r="H389">
        <v>3</v>
      </c>
      <c r="I389" t="s">
        <v>517</v>
      </c>
      <c r="J389" t="s">
        <v>518</v>
      </c>
      <c r="K389" t="s">
        <v>519</v>
      </c>
      <c r="L389">
        <v>1355</v>
      </c>
      <c r="N389">
        <v>1010</v>
      </c>
      <c r="O389" t="s">
        <v>520</v>
      </c>
      <c r="P389" t="s">
        <v>520</v>
      </c>
      <c r="Q389">
        <v>100</v>
      </c>
      <c r="X389">
        <v>0.12</v>
      </c>
      <c r="Y389">
        <v>120.19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</v>
      </c>
      <c r="AG389">
        <v>0.12</v>
      </c>
      <c r="AH389">
        <v>2</v>
      </c>
      <c r="AI389">
        <v>56960343</v>
      </c>
      <c r="AJ389">
        <v>321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ROW(Source!A446)</f>
        <v>446</v>
      </c>
      <c r="B390">
        <v>56961101</v>
      </c>
      <c r="C390">
        <v>56960338</v>
      </c>
      <c r="D390">
        <v>56048882</v>
      </c>
      <c r="E390">
        <v>1080</v>
      </c>
      <c r="F390">
        <v>1</v>
      </c>
      <c r="G390">
        <v>1080</v>
      </c>
      <c r="H390">
        <v>3</v>
      </c>
      <c r="I390" t="s">
        <v>634</v>
      </c>
      <c r="J390" t="s">
        <v>3</v>
      </c>
      <c r="K390" t="s">
        <v>635</v>
      </c>
      <c r="L390">
        <v>1354</v>
      </c>
      <c r="N390">
        <v>1010</v>
      </c>
      <c r="O390" t="s">
        <v>31</v>
      </c>
      <c r="P390" t="s">
        <v>31</v>
      </c>
      <c r="Q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</v>
      </c>
      <c r="AG390">
        <v>1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ROW(Source!A446)</f>
        <v>446</v>
      </c>
      <c r="B391">
        <v>56961102</v>
      </c>
      <c r="C391">
        <v>56960338</v>
      </c>
      <c r="D391">
        <v>56023168</v>
      </c>
      <c r="E391">
        <v>1080</v>
      </c>
      <c r="F391">
        <v>1</v>
      </c>
      <c r="G391">
        <v>1080</v>
      </c>
      <c r="H391">
        <v>3</v>
      </c>
      <c r="I391" t="s">
        <v>521</v>
      </c>
      <c r="J391" t="s">
        <v>3</v>
      </c>
      <c r="K391" t="s">
        <v>522</v>
      </c>
      <c r="L391">
        <v>1348</v>
      </c>
      <c r="N391">
        <v>1009</v>
      </c>
      <c r="O391" t="s">
        <v>291</v>
      </c>
      <c r="P391" t="s">
        <v>291</v>
      </c>
      <c r="Q391">
        <v>1000</v>
      </c>
      <c r="X391">
        <v>2.7E-2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</v>
      </c>
      <c r="AG391">
        <v>2.7E-2</v>
      </c>
      <c r="AH391">
        <v>2</v>
      </c>
      <c r="AI391">
        <v>56960344</v>
      </c>
      <c r="AJ391">
        <v>322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ROW(Source!A447)</f>
        <v>447</v>
      </c>
      <c r="B392">
        <v>56961096</v>
      </c>
      <c r="C392">
        <v>56960338</v>
      </c>
      <c r="D392">
        <v>56018166</v>
      </c>
      <c r="E392">
        <v>1080</v>
      </c>
      <c r="F392">
        <v>1</v>
      </c>
      <c r="G392">
        <v>1080</v>
      </c>
      <c r="H392">
        <v>1</v>
      </c>
      <c r="I392" t="s">
        <v>500</v>
      </c>
      <c r="J392" t="s">
        <v>3</v>
      </c>
      <c r="K392" t="s">
        <v>501</v>
      </c>
      <c r="L392">
        <v>1191</v>
      </c>
      <c r="N392">
        <v>1013</v>
      </c>
      <c r="O392" t="s">
        <v>502</v>
      </c>
      <c r="P392" t="s">
        <v>502</v>
      </c>
      <c r="Q392">
        <v>1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 t="s">
        <v>23</v>
      </c>
      <c r="AG392">
        <v>2.2000000000000002</v>
      </c>
      <c r="AH392">
        <v>2</v>
      </c>
      <c r="AI392">
        <v>56960339</v>
      </c>
      <c r="AJ392">
        <v>323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ROW(Source!A447)</f>
        <v>447</v>
      </c>
      <c r="B393">
        <v>56961097</v>
      </c>
      <c r="C393">
        <v>56960338</v>
      </c>
      <c r="D393">
        <v>56092342</v>
      </c>
      <c r="E393">
        <v>1</v>
      </c>
      <c r="F393">
        <v>1</v>
      </c>
      <c r="G393">
        <v>1080</v>
      </c>
      <c r="H393">
        <v>2</v>
      </c>
      <c r="I393" t="s">
        <v>508</v>
      </c>
      <c r="J393" t="s">
        <v>509</v>
      </c>
      <c r="K393" t="s">
        <v>510</v>
      </c>
      <c r="L393">
        <v>1368</v>
      </c>
      <c r="N393">
        <v>1011</v>
      </c>
      <c r="O393" t="s">
        <v>506</v>
      </c>
      <c r="P393" t="s">
        <v>506</v>
      </c>
      <c r="Q393">
        <v>1</v>
      </c>
      <c r="X393">
        <v>0.02</v>
      </c>
      <c r="Y393">
        <v>0</v>
      </c>
      <c r="Z393">
        <v>119.07</v>
      </c>
      <c r="AA393">
        <v>12.62</v>
      </c>
      <c r="AB393">
        <v>0</v>
      </c>
      <c r="AC393">
        <v>0</v>
      </c>
      <c r="AD393">
        <v>1</v>
      </c>
      <c r="AE393">
        <v>0</v>
      </c>
      <c r="AF393" t="s">
        <v>23</v>
      </c>
      <c r="AG393">
        <v>2.2000000000000002E-2</v>
      </c>
      <c r="AH393">
        <v>2</v>
      </c>
      <c r="AI393">
        <v>56960340</v>
      </c>
      <c r="AJ393">
        <v>324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ROW(Source!A447)</f>
        <v>447</v>
      </c>
      <c r="B394">
        <v>56961098</v>
      </c>
      <c r="C394">
        <v>56960338</v>
      </c>
      <c r="D394">
        <v>56061656</v>
      </c>
      <c r="E394">
        <v>1</v>
      </c>
      <c r="F394">
        <v>1</v>
      </c>
      <c r="G394">
        <v>1080</v>
      </c>
      <c r="H394">
        <v>3</v>
      </c>
      <c r="I394" t="s">
        <v>511</v>
      </c>
      <c r="J394" t="s">
        <v>512</v>
      </c>
      <c r="K394" t="s">
        <v>513</v>
      </c>
      <c r="L394">
        <v>1346</v>
      </c>
      <c r="N394">
        <v>1009</v>
      </c>
      <c r="O394" t="s">
        <v>249</v>
      </c>
      <c r="P394" t="s">
        <v>249</v>
      </c>
      <c r="Q394">
        <v>1</v>
      </c>
      <c r="X394">
        <v>0.9</v>
      </c>
      <c r="Y394">
        <v>104.63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</v>
      </c>
      <c r="AG394">
        <v>0.9</v>
      </c>
      <c r="AH394">
        <v>2</v>
      </c>
      <c r="AI394">
        <v>56960341</v>
      </c>
      <c r="AJ394">
        <v>325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ROW(Source!A447)</f>
        <v>447</v>
      </c>
      <c r="B395">
        <v>56961099</v>
      </c>
      <c r="C395">
        <v>56960338</v>
      </c>
      <c r="D395">
        <v>56063129</v>
      </c>
      <c r="E395">
        <v>1</v>
      </c>
      <c r="F395">
        <v>1</v>
      </c>
      <c r="G395">
        <v>1080</v>
      </c>
      <c r="H395">
        <v>3</v>
      </c>
      <c r="I395" t="s">
        <v>514</v>
      </c>
      <c r="J395" t="s">
        <v>515</v>
      </c>
      <c r="K395" t="s">
        <v>516</v>
      </c>
      <c r="L395">
        <v>1348</v>
      </c>
      <c r="N395">
        <v>1009</v>
      </c>
      <c r="O395" t="s">
        <v>291</v>
      </c>
      <c r="P395" t="s">
        <v>291</v>
      </c>
      <c r="Q395">
        <v>1000</v>
      </c>
      <c r="X395">
        <v>2.6999999999999999E-5</v>
      </c>
      <c r="Y395">
        <v>15568.37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2.6999999999999999E-5</v>
      </c>
      <c r="AH395">
        <v>2</v>
      </c>
      <c r="AI395">
        <v>56960342</v>
      </c>
      <c r="AJ395">
        <v>326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ROW(Source!A447)</f>
        <v>447</v>
      </c>
      <c r="B396">
        <v>56961100</v>
      </c>
      <c r="C396">
        <v>56960338</v>
      </c>
      <c r="D396">
        <v>56067341</v>
      </c>
      <c r="E396">
        <v>1</v>
      </c>
      <c r="F396">
        <v>1</v>
      </c>
      <c r="G396">
        <v>1080</v>
      </c>
      <c r="H396">
        <v>3</v>
      </c>
      <c r="I396" t="s">
        <v>517</v>
      </c>
      <c r="J396" t="s">
        <v>518</v>
      </c>
      <c r="K396" t="s">
        <v>519</v>
      </c>
      <c r="L396">
        <v>1355</v>
      </c>
      <c r="N396">
        <v>1010</v>
      </c>
      <c r="O396" t="s">
        <v>520</v>
      </c>
      <c r="P396" t="s">
        <v>520</v>
      </c>
      <c r="Q396">
        <v>100</v>
      </c>
      <c r="X396">
        <v>0.12</v>
      </c>
      <c r="Y396">
        <v>120.19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</v>
      </c>
      <c r="AG396">
        <v>0.12</v>
      </c>
      <c r="AH396">
        <v>2</v>
      </c>
      <c r="AI396">
        <v>56960343</v>
      </c>
      <c r="AJ396">
        <v>327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ROW(Source!A447)</f>
        <v>447</v>
      </c>
      <c r="B397">
        <v>56961101</v>
      </c>
      <c r="C397">
        <v>56960338</v>
      </c>
      <c r="D397">
        <v>56048882</v>
      </c>
      <c r="E397">
        <v>1080</v>
      </c>
      <c r="F397">
        <v>1</v>
      </c>
      <c r="G397">
        <v>1080</v>
      </c>
      <c r="H397">
        <v>3</v>
      </c>
      <c r="I397" t="s">
        <v>634</v>
      </c>
      <c r="J397" t="s">
        <v>3</v>
      </c>
      <c r="K397" t="s">
        <v>635</v>
      </c>
      <c r="L397">
        <v>1354</v>
      </c>
      <c r="N397">
        <v>1010</v>
      </c>
      <c r="O397" t="s">
        <v>31</v>
      </c>
      <c r="P397" t="s">
        <v>31</v>
      </c>
      <c r="Q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3</v>
      </c>
      <c r="AG397">
        <v>1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ROW(Source!A447)</f>
        <v>447</v>
      </c>
      <c r="B398">
        <v>56961102</v>
      </c>
      <c r="C398">
        <v>56960338</v>
      </c>
      <c r="D398">
        <v>56023168</v>
      </c>
      <c r="E398">
        <v>1080</v>
      </c>
      <c r="F398">
        <v>1</v>
      </c>
      <c r="G398">
        <v>1080</v>
      </c>
      <c r="H398">
        <v>3</v>
      </c>
      <c r="I398" t="s">
        <v>521</v>
      </c>
      <c r="J398" t="s">
        <v>3</v>
      </c>
      <c r="K398" t="s">
        <v>522</v>
      </c>
      <c r="L398">
        <v>1348</v>
      </c>
      <c r="N398">
        <v>1009</v>
      </c>
      <c r="O398" t="s">
        <v>291</v>
      </c>
      <c r="P398" t="s">
        <v>291</v>
      </c>
      <c r="Q398">
        <v>1000</v>
      </c>
      <c r="X398">
        <v>2.7E-2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3</v>
      </c>
      <c r="AG398">
        <v>2.7E-2</v>
      </c>
      <c r="AH398">
        <v>2</v>
      </c>
      <c r="AI398">
        <v>56960344</v>
      </c>
      <c r="AJ398">
        <v>328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ROW(Source!A450)</f>
        <v>450</v>
      </c>
      <c r="B399">
        <v>56961103</v>
      </c>
      <c r="C399">
        <v>56960353</v>
      </c>
      <c r="D399">
        <v>56018166</v>
      </c>
      <c r="E399">
        <v>1080</v>
      </c>
      <c r="F399">
        <v>1</v>
      </c>
      <c r="G399">
        <v>1080</v>
      </c>
      <c r="H399">
        <v>1</v>
      </c>
      <c r="I399" t="s">
        <v>500</v>
      </c>
      <c r="J399" t="s">
        <v>3</v>
      </c>
      <c r="K399" t="s">
        <v>501</v>
      </c>
      <c r="L399">
        <v>1191</v>
      </c>
      <c r="N399">
        <v>1013</v>
      </c>
      <c r="O399" t="s">
        <v>502</v>
      </c>
      <c r="P399" t="s">
        <v>502</v>
      </c>
      <c r="Q399">
        <v>1</v>
      </c>
      <c r="X399">
        <v>15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23</v>
      </c>
      <c r="AG399">
        <v>16.5</v>
      </c>
      <c r="AH399">
        <v>2</v>
      </c>
      <c r="AI399">
        <v>56960354</v>
      </c>
      <c r="AJ399">
        <v>329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ROW(Source!A450)</f>
        <v>450</v>
      </c>
      <c r="B400">
        <v>56961104</v>
      </c>
      <c r="C400">
        <v>56960353</v>
      </c>
      <c r="D400">
        <v>56027568</v>
      </c>
      <c r="E400">
        <v>1080</v>
      </c>
      <c r="F400">
        <v>1</v>
      </c>
      <c r="G400">
        <v>1080</v>
      </c>
      <c r="H400">
        <v>3</v>
      </c>
      <c r="I400" t="s">
        <v>639</v>
      </c>
      <c r="J400" t="s">
        <v>3</v>
      </c>
      <c r="K400" t="s">
        <v>640</v>
      </c>
      <c r="L400">
        <v>1301</v>
      </c>
      <c r="N400">
        <v>1003</v>
      </c>
      <c r="O400" t="s">
        <v>84</v>
      </c>
      <c r="P400" t="s">
        <v>84</v>
      </c>
      <c r="Q400">
        <v>1</v>
      </c>
      <c r="X400">
        <v>102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</v>
      </c>
      <c r="AG400">
        <v>102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ROW(Source!A450)</f>
        <v>450</v>
      </c>
      <c r="B401">
        <v>56961105</v>
      </c>
      <c r="C401">
        <v>56960353</v>
      </c>
      <c r="D401">
        <v>56030735</v>
      </c>
      <c r="E401">
        <v>1080</v>
      </c>
      <c r="F401">
        <v>1</v>
      </c>
      <c r="G401">
        <v>1080</v>
      </c>
      <c r="H401">
        <v>3</v>
      </c>
      <c r="I401" t="s">
        <v>641</v>
      </c>
      <c r="J401" t="s">
        <v>3</v>
      </c>
      <c r="K401" t="s">
        <v>642</v>
      </c>
      <c r="L401">
        <v>1354</v>
      </c>
      <c r="N401">
        <v>1010</v>
      </c>
      <c r="O401" t="s">
        <v>31</v>
      </c>
      <c r="P401" t="s">
        <v>31</v>
      </c>
      <c r="Q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3</v>
      </c>
      <c r="AG401">
        <v>0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ROW(Source!A450)</f>
        <v>450</v>
      </c>
      <c r="B402">
        <v>56961106</v>
      </c>
      <c r="C402">
        <v>56960353</v>
      </c>
      <c r="D402">
        <v>56031307</v>
      </c>
      <c r="E402">
        <v>1080</v>
      </c>
      <c r="F402">
        <v>1</v>
      </c>
      <c r="G402">
        <v>1080</v>
      </c>
      <c r="H402">
        <v>3</v>
      </c>
      <c r="I402" t="s">
        <v>643</v>
      </c>
      <c r="J402" t="s">
        <v>3</v>
      </c>
      <c r="K402" t="s">
        <v>644</v>
      </c>
      <c r="L402">
        <v>1354</v>
      </c>
      <c r="N402">
        <v>1010</v>
      </c>
      <c r="O402" t="s">
        <v>31</v>
      </c>
      <c r="P402" t="s">
        <v>31</v>
      </c>
      <c r="Q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</v>
      </c>
      <c r="AG402">
        <v>0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ROW(Source!A451)</f>
        <v>451</v>
      </c>
      <c r="B403">
        <v>56961103</v>
      </c>
      <c r="C403">
        <v>56960353</v>
      </c>
      <c r="D403">
        <v>56018166</v>
      </c>
      <c r="E403">
        <v>1080</v>
      </c>
      <c r="F403">
        <v>1</v>
      </c>
      <c r="G403">
        <v>1080</v>
      </c>
      <c r="H403">
        <v>1</v>
      </c>
      <c r="I403" t="s">
        <v>500</v>
      </c>
      <c r="J403" t="s">
        <v>3</v>
      </c>
      <c r="K403" t="s">
        <v>501</v>
      </c>
      <c r="L403">
        <v>1191</v>
      </c>
      <c r="N403">
        <v>1013</v>
      </c>
      <c r="O403" t="s">
        <v>502</v>
      </c>
      <c r="P403" t="s">
        <v>502</v>
      </c>
      <c r="Q403">
        <v>1</v>
      </c>
      <c r="X403">
        <v>15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23</v>
      </c>
      <c r="AG403">
        <v>16.5</v>
      </c>
      <c r="AH403">
        <v>2</v>
      </c>
      <c r="AI403">
        <v>56960354</v>
      </c>
      <c r="AJ403">
        <v>331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ROW(Source!A451)</f>
        <v>451</v>
      </c>
      <c r="B404">
        <v>56961104</v>
      </c>
      <c r="C404">
        <v>56960353</v>
      </c>
      <c r="D404">
        <v>56027568</v>
      </c>
      <c r="E404">
        <v>1080</v>
      </c>
      <c r="F404">
        <v>1</v>
      </c>
      <c r="G404">
        <v>1080</v>
      </c>
      <c r="H404">
        <v>3</v>
      </c>
      <c r="I404" t="s">
        <v>639</v>
      </c>
      <c r="J404" t="s">
        <v>3</v>
      </c>
      <c r="K404" t="s">
        <v>640</v>
      </c>
      <c r="L404">
        <v>1301</v>
      </c>
      <c r="N404">
        <v>1003</v>
      </c>
      <c r="O404" t="s">
        <v>84</v>
      </c>
      <c r="P404" t="s">
        <v>84</v>
      </c>
      <c r="Q404">
        <v>1</v>
      </c>
      <c r="X404">
        <v>102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3</v>
      </c>
      <c r="AG404">
        <v>102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ROW(Source!A451)</f>
        <v>451</v>
      </c>
      <c r="B405">
        <v>56961105</v>
      </c>
      <c r="C405">
        <v>56960353</v>
      </c>
      <c r="D405">
        <v>56030735</v>
      </c>
      <c r="E405">
        <v>1080</v>
      </c>
      <c r="F405">
        <v>1</v>
      </c>
      <c r="G405">
        <v>1080</v>
      </c>
      <c r="H405">
        <v>3</v>
      </c>
      <c r="I405" t="s">
        <v>641</v>
      </c>
      <c r="J405" t="s">
        <v>3</v>
      </c>
      <c r="K405" t="s">
        <v>642</v>
      </c>
      <c r="L405">
        <v>1354</v>
      </c>
      <c r="N405">
        <v>1010</v>
      </c>
      <c r="O405" t="s">
        <v>31</v>
      </c>
      <c r="P405" t="s">
        <v>31</v>
      </c>
      <c r="Q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3</v>
      </c>
      <c r="AG405">
        <v>0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ROW(Source!A451)</f>
        <v>451</v>
      </c>
      <c r="B406">
        <v>56961106</v>
      </c>
      <c r="C406">
        <v>56960353</v>
      </c>
      <c r="D406">
        <v>56031307</v>
      </c>
      <c r="E406">
        <v>1080</v>
      </c>
      <c r="F406">
        <v>1</v>
      </c>
      <c r="G406">
        <v>1080</v>
      </c>
      <c r="H406">
        <v>3</v>
      </c>
      <c r="I406" t="s">
        <v>643</v>
      </c>
      <c r="J406" t="s">
        <v>3</v>
      </c>
      <c r="K406" t="s">
        <v>644</v>
      </c>
      <c r="L406">
        <v>1354</v>
      </c>
      <c r="N406">
        <v>1010</v>
      </c>
      <c r="O406" t="s">
        <v>31</v>
      </c>
      <c r="P406" t="s">
        <v>31</v>
      </c>
      <c r="Q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</v>
      </c>
      <c r="AG406">
        <v>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ROW(Source!A454)</f>
        <v>454</v>
      </c>
      <c r="B407">
        <v>56961107</v>
      </c>
      <c r="C407">
        <v>56960361</v>
      </c>
      <c r="D407">
        <v>56018166</v>
      </c>
      <c r="E407">
        <v>1080</v>
      </c>
      <c r="F407">
        <v>1</v>
      </c>
      <c r="G407">
        <v>1080</v>
      </c>
      <c r="H407">
        <v>1</v>
      </c>
      <c r="I407" t="s">
        <v>500</v>
      </c>
      <c r="J407" t="s">
        <v>3</v>
      </c>
      <c r="K407" t="s">
        <v>501</v>
      </c>
      <c r="L407">
        <v>1191</v>
      </c>
      <c r="N407">
        <v>1013</v>
      </c>
      <c r="O407" t="s">
        <v>502</v>
      </c>
      <c r="P407" t="s">
        <v>502</v>
      </c>
      <c r="Q407">
        <v>1</v>
      </c>
      <c r="X407">
        <v>6.29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23</v>
      </c>
      <c r="AG407">
        <v>6.9190000000000005</v>
      </c>
      <c r="AH407">
        <v>2</v>
      </c>
      <c r="AI407">
        <v>56960362</v>
      </c>
      <c r="AJ407">
        <v>333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ROW(Source!A454)</f>
        <v>454</v>
      </c>
      <c r="B408">
        <v>56961108</v>
      </c>
      <c r="C408">
        <v>56960361</v>
      </c>
      <c r="D408">
        <v>56092340</v>
      </c>
      <c r="E408">
        <v>1</v>
      </c>
      <c r="F408">
        <v>1</v>
      </c>
      <c r="G408">
        <v>1080</v>
      </c>
      <c r="H408">
        <v>2</v>
      </c>
      <c r="I408" t="s">
        <v>503</v>
      </c>
      <c r="J408" t="s">
        <v>504</v>
      </c>
      <c r="K408" t="s">
        <v>505</v>
      </c>
      <c r="L408">
        <v>1368</v>
      </c>
      <c r="N408">
        <v>1011</v>
      </c>
      <c r="O408" t="s">
        <v>506</v>
      </c>
      <c r="P408" t="s">
        <v>506</v>
      </c>
      <c r="Q408">
        <v>1</v>
      </c>
      <c r="X408">
        <v>0.03</v>
      </c>
      <c r="Y408">
        <v>0</v>
      </c>
      <c r="Z408">
        <v>83.1</v>
      </c>
      <c r="AA408">
        <v>12.62</v>
      </c>
      <c r="AB408">
        <v>0</v>
      </c>
      <c r="AC408">
        <v>0</v>
      </c>
      <c r="AD408">
        <v>1</v>
      </c>
      <c r="AE408">
        <v>0</v>
      </c>
      <c r="AF408" t="s">
        <v>23</v>
      </c>
      <c r="AG408">
        <v>3.3000000000000002E-2</v>
      </c>
      <c r="AH408">
        <v>2</v>
      </c>
      <c r="AI408">
        <v>56960363</v>
      </c>
      <c r="AJ408">
        <v>334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ROW(Source!A454)</f>
        <v>454</v>
      </c>
      <c r="B409">
        <v>56961109</v>
      </c>
      <c r="C409">
        <v>56960361</v>
      </c>
      <c r="D409">
        <v>56091576</v>
      </c>
      <c r="E409">
        <v>1</v>
      </c>
      <c r="F409">
        <v>1</v>
      </c>
      <c r="G409">
        <v>1080</v>
      </c>
      <c r="H409">
        <v>2</v>
      </c>
      <c r="I409" t="s">
        <v>529</v>
      </c>
      <c r="J409" t="s">
        <v>530</v>
      </c>
      <c r="K409" t="s">
        <v>531</v>
      </c>
      <c r="L409">
        <v>1368</v>
      </c>
      <c r="N409">
        <v>1011</v>
      </c>
      <c r="O409" t="s">
        <v>506</v>
      </c>
      <c r="P409" t="s">
        <v>506</v>
      </c>
      <c r="Q409">
        <v>1</v>
      </c>
      <c r="X409">
        <v>0.03</v>
      </c>
      <c r="Y409">
        <v>0</v>
      </c>
      <c r="Z409">
        <v>179.17</v>
      </c>
      <c r="AA409">
        <v>16.93</v>
      </c>
      <c r="AB409">
        <v>0</v>
      </c>
      <c r="AC409">
        <v>0</v>
      </c>
      <c r="AD409">
        <v>1</v>
      </c>
      <c r="AE409">
        <v>0</v>
      </c>
      <c r="AF409" t="s">
        <v>23</v>
      </c>
      <c r="AG409">
        <v>3.3000000000000002E-2</v>
      </c>
      <c r="AH409">
        <v>2</v>
      </c>
      <c r="AI409">
        <v>56960364</v>
      </c>
      <c r="AJ409">
        <v>335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ROW(Source!A454)</f>
        <v>454</v>
      </c>
      <c r="B410">
        <v>56961110</v>
      </c>
      <c r="C410">
        <v>56960361</v>
      </c>
      <c r="D410">
        <v>56061373</v>
      </c>
      <c r="E410">
        <v>1</v>
      </c>
      <c r="F410">
        <v>1</v>
      </c>
      <c r="G410">
        <v>1080</v>
      </c>
      <c r="H410">
        <v>3</v>
      </c>
      <c r="I410" t="s">
        <v>532</v>
      </c>
      <c r="J410" t="s">
        <v>533</v>
      </c>
      <c r="K410" t="s">
        <v>534</v>
      </c>
      <c r="L410">
        <v>1346</v>
      </c>
      <c r="N410">
        <v>1009</v>
      </c>
      <c r="O410" t="s">
        <v>249</v>
      </c>
      <c r="P410" t="s">
        <v>249</v>
      </c>
      <c r="Q410">
        <v>1</v>
      </c>
      <c r="X410">
        <v>1.05</v>
      </c>
      <c r="Y410">
        <v>1.38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</v>
      </c>
      <c r="AG410">
        <v>1.05</v>
      </c>
      <c r="AH410">
        <v>2</v>
      </c>
      <c r="AI410">
        <v>56960365</v>
      </c>
      <c r="AJ410">
        <v>336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ROW(Source!A454)</f>
        <v>454</v>
      </c>
      <c r="B411">
        <v>56961111</v>
      </c>
      <c r="C411">
        <v>56960361</v>
      </c>
      <c r="D411">
        <v>56061764</v>
      </c>
      <c r="E411">
        <v>1</v>
      </c>
      <c r="F411">
        <v>1</v>
      </c>
      <c r="G411">
        <v>1080</v>
      </c>
      <c r="H411">
        <v>3</v>
      </c>
      <c r="I411" t="s">
        <v>535</v>
      </c>
      <c r="J411" t="s">
        <v>536</v>
      </c>
      <c r="K411" t="s">
        <v>537</v>
      </c>
      <c r="L411">
        <v>1346</v>
      </c>
      <c r="N411">
        <v>1009</v>
      </c>
      <c r="O411" t="s">
        <v>249</v>
      </c>
      <c r="P411" t="s">
        <v>249</v>
      </c>
      <c r="Q411">
        <v>1</v>
      </c>
      <c r="X411">
        <v>0.32</v>
      </c>
      <c r="Y411">
        <v>159.06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</v>
      </c>
      <c r="AG411">
        <v>0.32</v>
      </c>
      <c r="AH411">
        <v>2</v>
      </c>
      <c r="AI411">
        <v>56960366</v>
      </c>
      <c r="AJ411">
        <v>337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ROW(Source!A454)</f>
        <v>454</v>
      </c>
      <c r="B412">
        <v>56961112</v>
      </c>
      <c r="C412">
        <v>56960361</v>
      </c>
      <c r="D412">
        <v>56084709</v>
      </c>
      <c r="E412">
        <v>1</v>
      </c>
      <c r="F412">
        <v>1</v>
      </c>
      <c r="G412">
        <v>1080</v>
      </c>
      <c r="H412">
        <v>3</v>
      </c>
      <c r="I412" t="s">
        <v>626</v>
      </c>
      <c r="J412" t="s">
        <v>627</v>
      </c>
      <c r="K412" t="s">
        <v>628</v>
      </c>
      <c r="L412">
        <v>1355</v>
      </c>
      <c r="N412">
        <v>1010</v>
      </c>
      <c r="O412" t="s">
        <v>520</v>
      </c>
      <c r="P412" t="s">
        <v>520</v>
      </c>
      <c r="Q412">
        <v>100</v>
      </c>
      <c r="X412">
        <v>0.05</v>
      </c>
      <c r="Y412">
        <v>238.37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</v>
      </c>
      <c r="AG412">
        <v>0.05</v>
      </c>
      <c r="AH412">
        <v>2</v>
      </c>
      <c r="AI412">
        <v>56960367</v>
      </c>
      <c r="AJ412">
        <v>338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ROW(Source!A454)</f>
        <v>454</v>
      </c>
      <c r="B413">
        <v>56961113</v>
      </c>
      <c r="C413">
        <v>56960361</v>
      </c>
      <c r="D413">
        <v>56084720</v>
      </c>
      <c r="E413">
        <v>1</v>
      </c>
      <c r="F413">
        <v>1</v>
      </c>
      <c r="G413">
        <v>1080</v>
      </c>
      <c r="H413">
        <v>3</v>
      </c>
      <c r="I413" t="s">
        <v>629</v>
      </c>
      <c r="J413" t="s">
        <v>630</v>
      </c>
      <c r="K413" t="s">
        <v>631</v>
      </c>
      <c r="L413">
        <v>1356</v>
      </c>
      <c r="N413">
        <v>1010</v>
      </c>
      <c r="O413" t="s">
        <v>544</v>
      </c>
      <c r="P413" t="s">
        <v>544</v>
      </c>
      <c r="Q413">
        <v>1000</v>
      </c>
      <c r="X413">
        <v>1.2200000000000001E-2</v>
      </c>
      <c r="Y413">
        <v>393.56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3</v>
      </c>
      <c r="AG413">
        <v>1.2200000000000001E-2</v>
      </c>
      <c r="AH413">
        <v>2</v>
      </c>
      <c r="AI413">
        <v>56960368</v>
      </c>
      <c r="AJ413">
        <v>339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ROW(Source!A454)</f>
        <v>454</v>
      </c>
      <c r="B414">
        <v>56961114</v>
      </c>
      <c r="C414">
        <v>56960361</v>
      </c>
      <c r="D414">
        <v>56084044</v>
      </c>
      <c r="E414">
        <v>1</v>
      </c>
      <c r="F414">
        <v>1</v>
      </c>
      <c r="G414">
        <v>1080</v>
      </c>
      <c r="H414">
        <v>3</v>
      </c>
      <c r="I414" t="s">
        <v>545</v>
      </c>
      <c r="J414" t="s">
        <v>546</v>
      </c>
      <c r="K414" t="s">
        <v>547</v>
      </c>
      <c r="L414">
        <v>1354</v>
      </c>
      <c r="N414">
        <v>1010</v>
      </c>
      <c r="O414" t="s">
        <v>31</v>
      </c>
      <c r="P414" t="s">
        <v>31</v>
      </c>
      <c r="Q414">
        <v>1</v>
      </c>
      <c r="X414">
        <v>3.1</v>
      </c>
      <c r="Y414">
        <v>6.94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</v>
      </c>
      <c r="AG414">
        <v>3.1</v>
      </c>
      <c r="AH414">
        <v>2</v>
      </c>
      <c r="AI414">
        <v>56960369</v>
      </c>
      <c r="AJ414">
        <v>340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ROW(Source!A454)</f>
        <v>454</v>
      </c>
      <c r="B415">
        <v>56961115</v>
      </c>
      <c r="C415">
        <v>56960361</v>
      </c>
      <c r="D415">
        <v>56033636</v>
      </c>
      <c r="E415">
        <v>1080</v>
      </c>
      <c r="F415">
        <v>1</v>
      </c>
      <c r="G415">
        <v>1080</v>
      </c>
      <c r="H415">
        <v>3</v>
      </c>
      <c r="I415" t="s">
        <v>653</v>
      </c>
      <c r="J415" t="s">
        <v>3</v>
      </c>
      <c r="K415" t="s">
        <v>654</v>
      </c>
      <c r="L415">
        <v>1303</v>
      </c>
      <c r="N415">
        <v>1003</v>
      </c>
      <c r="O415" t="s">
        <v>108</v>
      </c>
      <c r="P415" t="s">
        <v>108</v>
      </c>
      <c r="Q415">
        <v>1000</v>
      </c>
      <c r="X415">
        <v>0.10199999999999999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</v>
      </c>
      <c r="AG415">
        <v>0.10199999999999999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ROW(Source!A455)</f>
        <v>455</v>
      </c>
      <c r="B416">
        <v>56961107</v>
      </c>
      <c r="C416">
        <v>56960361</v>
      </c>
      <c r="D416">
        <v>56018166</v>
      </c>
      <c r="E416">
        <v>1080</v>
      </c>
      <c r="F416">
        <v>1</v>
      </c>
      <c r="G416">
        <v>1080</v>
      </c>
      <c r="H416">
        <v>1</v>
      </c>
      <c r="I416" t="s">
        <v>500</v>
      </c>
      <c r="J416" t="s">
        <v>3</v>
      </c>
      <c r="K416" t="s">
        <v>501</v>
      </c>
      <c r="L416">
        <v>1191</v>
      </c>
      <c r="N416">
        <v>1013</v>
      </c>
      <c r="O416" t="s">
        <v>502</v>
      </c>
      <c r="P416" t="s">
        <v>502</v>
      </c>
      <c r="Q416">
        <v>1</v>
      </c>
      <c r="X416">
        <v>6.29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1</v>
      </c>
      <c r="AF416" t="s">
        <v>23</v>
      </c>
      <c r="AG416">
        <v>6.9190000000000005</v>
      </c>
      <c r="AH416">
        <v>2</v>
      </c>
      <c r="AI416">
        <v>56960362</v>
      </c>
      <c r="AJ416">
        <v>342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ROW(Source!A455)</f>
        <v>455</v>
      </c>
      <c r="B417">
        <v>56961108</v>
      </c>
      <c r="C417">
        <v>56960361</v>
      </c>
      <c r="D417">
        <v>56092340</v>
      </c>
      <c r="E417">
        <v>1</v>
      </c>
      <c r="F417">
        <v>1</v>
      </c>
      <c r="G417">
        <v>1080</v>
      </c>
      <c r="H417">
        <v>2</v>
      </c>
      <c r="I417" t="s">
        <v>503</v>
      </c>
      <c r="J417" t="s">
        <v>504</v>
      </c>
      <c r="K417" t="s">
        <v>505</v>
      </c>
      <c r="L417">
        <v>1368</v>
      </c>
      <c r="N417">
        <v>1011</v>
      </c>
      <c r="O417" t="s">
        <v>506</v>
      </c>
      <c r="P417" t="s">
        <v>506</v>
      </c>
      <c r="Q417">
        <v>1</v>
      </c>
      <c r="X417">
        <v>0.03</v>
      </c>
      <c r="Y417">
        <v>0</v>
      </c>
      <c r="Z417">
        <v>83.1</v>
      </c>
      <c r="AA417">
        <v>12.62</v>
      </c>
      <c r="AB417">
        <v>0</v>
      </c>
      <c r="AC417">
        <v>0</v>
      </c>
      <c r="AD417">
        <v>1</v>
      </c>
      <c r="AE417">
        <v>0</v>
      </c>
      <c r="AF417" t="s">
        <v>23</v>
      </c>
      <c r="AG417">
        <v>3.3000000000000002E-2</v>
      </c>
      <c r="AH417">
        <v>2</v>
      </c>
      <c r="AI417">
        <v>56960363</v>
      </c>
      <c r="AJ417">
        <v>343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ROW(Source!A455)</f>
        <v>455</v>
      </c>
      <c r="B418">
        <v>56961109</v>
      </c>
      <c r="C418">
        <v>56960361</v>
      </c>
      <c r="D418">
        <v>56091576</v>
      </c>
      <c r="E418">
        <v>1</v>
      </c>
      <c r="F418">
        <v>1</v>
      </c>
      <c r="G418">
        <v>1080</v>
      </c>
      <c r="H418">
        <v>2</v>
      </c>
      <c r="I418" t="s">
        <v>529</v>
      </c>
      <c r="J418" t="s">
        <v>530</v>
      </c>
      <c r="K418" t="s">
        <v>531</v>
      </c>
      <c r="L418">
        <v>1368</v>
      </c>
      <c r="N418">
        <v>1011</v>
      </c>
      <c r="O418" t="s">
        <v>506</v>
      </c>
      <c r="P418" t="s">
        <v>506</v>
      </c>
      <c r="Q418">
        <v>1</v>
      </c>
      <c r="X418">
        <v>0.03</v>
      </c>
      <c r="Y418">
        <v>0</v>
      </c>
      <c r="Z418">
        <v>179.17</v>
      </c>
      <c r="AA418">
        <v>16.93</v>
      </c>
      <c r="AB418">
        <v>0</v>
      </c>
      <c r="AC418">
        <v>0</v>
      </c>
      <c r="AD418">
        <v>1</v>
      </c>
      <c r="AE418">
        <v>0</v>
      </c>
      <c r="AF418" t="s">
        <v>23</v>
      </c>
      <c r="AG418">
        <v>3.3000000000000002E-2</v>
      </c>
      <c r="AH418">
        <v>2</v>
      </c>
      <c r="AI418">
        <v>56960364</v>
      </c>
      <c r="AJ418">
        <v>344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ROW(Source!A455)</f>
        <v>455</v>
      </c>
      <c r="B419">
        <v>56961110</v>
      </c>
      <c r="C419">
        <v>56960361</v>
      </c>
      <c r="D419">
        <v>56061373</v>
      </c>
      <c r="E419">
        <v>1</v>
      </c>
      <c r="F419">
        <v>1</v>
      </c>
      <c r="G419">
        <v>1080</v>
      </c>
      <c r="H419">
        <v>3</v>
      </c>
      <c r="I419" t="s">
        <v>532</v>
      </c>
      <c r="J419" t="s">
        <v>533</v>
      </c>
      <c r="K419" t="s">
        <v>534</v>
      </c>
      <c r="L419">
        <v>1346</v>
      </c>
      <c r="N419">
        <v>1009</v>
      </c>
      <c r="O419" t="s">
        <v>249</v>
      </c>
      <c r="P419" t="s">
        <v>249</v>
      </c>
      <c r="Q419">
        <v>1</v>
      </c>
      <c r="X419">
        <v>1.05</v>
      </c>
      <c r="Y419">
        <v>1.38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3</v>
      </c>
      <c r="AG419">
        <v>1.05</v>
      </c>
      <c r="AH419">
        <v>2</v>
      </c>
      <c r="AI419">
        <v>56960365</v>
      </c>
      <c r="AJ419">
        <v>345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ROW(Source!A455)</f>
        <v>455</v>
      </c>
      <c r="B420">
        <v>56961111</v>
      </c>
      <c r="C420">
        <v>56960361</v>
      </c>
      <c r="D420">
        <v>56061764</v>
      </c>
      <c r="E420">
        <v>1</v>
      </c>
      <c r="F420">
        <v>1</v>
      </c>
      <c r="G420">
        <v>1080</v>
      </c>
      <c r="H420">
        <v>3</v>
      </c>
      <c r="I420" t="s">
        <v>535</v>
      </c>
      <c r="J420" t="s">
        <v>536</v>
      </c>
      <c r="K420" t="s">
        <v>537</v>
      </c>
      <c r="L420">
        <v>1346</v>
      </c>
      <c r="N420">
        <v>1009</v>
      </c>
      <c r="O420" t="s">
        <v>249</v>
      </c>
      <c r="P420" t="s">
        <v>249</v>
      </c>
      <c r="Q420">
        <v>1</v>
      </c>
      <c r="X420">
        <v>0.32</v>
      </c>
      <c r="Y420">
        <v>159.06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3</v>
      </c>
      <c r="AG420">
        <v>0.32</v>
      </c>
      <c r="AH420">
        <v>2</v>
      </c>
      <c r="AI420">
        <v>56960366</v>
      </c>
      <c r="AJ420">
        <v>346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ROW(Source!A455)</f>
        <v>455</v>
      </c>
      <c r="B421">
        <v>56961112</v>
      </c>
      <c r="C421">
        <v>56960361</v>
      </c>
      <c r="D421">
        <v>56084709</v>
      </c>
      <c r="E421">
        <v>1</v>
      </c>
      <c r="F421">
        <v>1</v>
      </c>
      <c r="G421">
        <v>1080</v>
      </c>
      <c r="H421">
        <v>3</v>
      </c>
      <c r="I421" t="s">
        <v>626</v>
      </c>
      <c r="J421" t="s">
        <v>627</v>
      </c>
      <c r="K421" t="s">
        <v>628</v>
      </c>
      <c r="L421">
        <v>1355</v>
      </c>
      <c r="N421">
        <v>1010</v>
      </c>
      <c r="O421" t="s">
        <v>520</v>
      </c>
      <c r="P421" t="s">
        <v>520</v>
      </c>
      <c r="Q421">
        <v>100</v>
      </c>
      <c r="X421">
        <v>0.05</v>
      </c>
      <c r="Y421">
        <v>238.37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</v>
      </c>
      <c r="AG421">
        <v>0.05</v>
      </c>
      <c r="AH421">
        <v>2</v>
      </c>
      <c r="AI421">
        <v>56960367</v>
      </c>
      <c r="AJ421">
        <v>347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ROW(Source!A455)</f>
        <v>455</v>
      </c>
      <c r="B422">
        <v>56961113</v>
      </c>
      <c r="C422">
        <v>56960361</v>
      </c>
      <c r="D422">
        <v>56084720</v>
      </c>
      <c r="E422">
        <v>1</v>
      </c>
      <c r="F422">
        <v>1</v>
      </c>
      <c r="G422">
        <v>1080</v>
      </c>
      <c r="H422">
        <v>3</v>
      </c>
      <c r="I422" t="s">
        <v>629</v>
      </c>
      <c r="J422" t="s">
        <v>630</v>
      </c>
      <c r="K422" t="s">
        <v>631</v>
      </c>
      <c r="L422">
        <v>1356</v>
      </c>
      <c r="N422">
        <v>1010</v>
      </c>
      <c r="O422" t="s">
        <v>544</v>
      </c>
      <c r="P422" t="s">
        <v>544</v>
      </c>
      <c r="Q422">
        <v>1000</v>
      </c>
      <c r="X422">
        <v>1.2200000000000001E-2</v>
      </c>
      <c r="Y422">
        <v>393.56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</v>
      </c>
      <c r="AG422">
        <v>1.2200000000000001E-2</v>
      </c>
      <c r="AH422">
        <v>2</v>
      </c>
      <c r="AI422">
        <v>56960368</v>
      </c>
      <c r="AJ422">
        <v>348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ROW(Source!A455)</f>
        <v>455</v>
      </c>
      <c r="B423">
        <v>56961114</v>
      </c>
      <c r="C423">
        <v>56960361</v>
      </c>
      <c r="D423">
        <v>56084044</v>
      </c>
      <c r="E423">
        <v>1</v>
      </c>
      <c r="F423">
        <v>1</v>
      </c>
      <c r="G423">
        <v>1080</v>
      </c>
      <c r="H423">
        <v>3</v>
      </c>
      <c r="I423" t="s">
        <v>545</v>
      </c>
      <c r="J423" t="s">
        <v>546</v>
      </c>
      <c r="K423" t="s">
        <v>547</v>
      </c>
      <c r="L423">
        <v>1354</v>
      </c>
      <c r="N423">
        <v>1010</v>
      </c>
      <c r="O423" t="s">
        <v>31</v>
      </c>
      <c r="P423" t="s">
        <v>31</v>
      </c>
      <c r="Q423">
        <v>1</v>
      </c>
      <c r="X423">
        <v>3.1</v>
      </c>
      <c r="Y423">
        <v>6.94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</v>
      </c>
      <c r="AG423">
        <v>3.1</v>
      </c>
      <c r="AH423">
        <v>2</v>
      </c>
      <c r="AI423">
        <v>56960369</v>
      </c>
      <c r="AJ423">
        <v>349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ROW(Source!A455)</f>
        <v>455</v>
      </c>
      <c r="B424">
        <v>56961115</v>
      </c>
      <c r="C424">
        <v>56960361</v>
      </c>
      <c r="D424">
        <v>56033636</v>
      </c>
      <c r="E424">
        <v>1080</v>
      </c>
      <c r="F424">
        <v>1</v>
      </c>
      <c r="G424">
        <v>1080</v>
      </c>
      <c r="H424">
        <v>3</v>
      </c>
      <c r="I424" t="s">
        <v>653</v>
      </c>
      <c r="J424" t="s">
        <v>3</v>
      </c>
      <c r="K424" t="s">
        <v>654</v>
      </c>
      <c r="L424">
        <v>1303</v>
      </c>
      <c r="N424">
        <v>1003</v>
      </c>
      <c r="O424" t="s">
        <v>108</v>
      </c>
      <c r="P424" t="s">
        <v>108</v>
      </c>
      <c r="Q424">
        <v>1000</v>
      </c>
      <c r="X424">
        <v>0.10199999999999999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3</v>
      </c>
      <c r="AG424">
        <v>0.10199999999999999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ROW(Source!A493)</f>
        <v>493</v>
      </c>
      <c r="B425">
        <v>56961116</v>
      </c>
      <c r="C425">
        <v>56960437</v>
      </c>
      <c r="D425">
        <v>56018166</v>
      </c>
      <c r="E425">
        <v>1080</v>
      </c>
      <c r="F425">
        <v>1</v>
      </c>
      <c r="G425">
        <v>1080</v>
      </c>
      <c r="H425">
        <v>1</v>
      </c>
      <c r="I425" t="s">
        <v>500</v>
      </c>
      <c r="J425" t="s">
        <v>3</v>
      </c>
      <c r="K425" t="s">
        <v>501</v>
      </c>
      <c r="L425">
        <v>1191</v>
      </c>
      <c r="N425">
        <v>1013</v>
      </c>
      <c r="O425" t="s">
        <v>502</v>
      </c>
      <c r="P425" t="s">
        <v>502</v>
      </c>
      <c r="Q425">
        <v>1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1</v>
      </c>
      <c r="AF425" t="s">
        <v>23</v>
      </c>
      <c r="AG425">
        <v>2.2000000000000002</v>
      </c>
      <c r="AH425">
        <v>2</v>
      </c>
      <c r="AI425">
        <v>56960438</v>
      </c>
      <c r="AJ425">
        <v>351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ROW(Source!A493)</f>
        <v>493</v>
      </c>
      <c r="B426">
        <v>56961117</v>
      </c>
      <c r="C426">
        <v>56960437</v>
      </c>
      <c r="D426">
        <v>56092342</v>
      </c>
      <c r="E426">
        <v>1</v>
      </c>
      <c r="F426">
        <v>1</v>
      </c>
      <c r="G426">
        <v>1080</v>
      </c>
      <c r="H426">
        <v>2</v>
      </c>
      <c r="I426" t="s">
        <v>508</v>
      </c>
      <c r="J426" t="s">
        <v>509</v>
      </c>
      <c r="K426" t="s">
        <v>510</v>
      </c>
      <c r="L426">
        <v>1368</v>
      </c>
      <c r="N426">
        <v>1011</v>
      </c>
      <c r="O426" t="s">
        <v>506</v>
      </c>
      <c r="P426" t="s">
        <v>506</v>
      </c>
      <c r="Q426">
        <v>1</v>
      </c>
      <c r="X426">
        <v>0.02</v>
      </c>
      <c r="Y426">
        <v>0</v>
      </c>
      <c r="Z426">
        <v>119.07</v>
      </c>
      <c r="AA426">
        <v>12.62</v>
      </c>
      <c r="AB426">
        <v>0</v>
      </c>
      <c r="AC426">
        <v>0</v>
      </c>
      <c r="AD426">
        <v>1</v>
      </c>
      <c r="AE426">
        <v>0</v>
      </c>
      <c r="AF426" t="s">
        <v>23</v>
      </c>
      <c r="AG426">
        <v>2.2000000000000002E-2</v>
      </c>
      <c r="AH426">
        <v>2</v>
      </c>
      <c r="AI426">
        <v>56960439</v>
      </c>
      <c r="AJ426">
        <v>352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ROW(Source!A493)</f>
        <v>493</v>
      </c>
      <c r="B427">
        <v>56961118</v>
      </c>
      <c r="C427">
        <v>56960437</v>
      </c>
      <c r="D427">
        <v>56061656</v>
      </c>
      <c r="E427">
        <v>1</v>
      </c>
      <c r="F427">
        <v>1</v>
      </c>
      <c r="G427">
        <v>1080</v>
      </c>
      <c r="H427">
        <v>3</v>
      </c>
      <c r="I427" t="s">
        <v>511</v>
      </c>
      <c r="J427" t="s">
        <v>512</v>
      </c>
      <c r="K427" t="s">
        <v>513</v>
      </c>
      <c r="L427">
        <v>1346</v>
      </c>
      <c r="N427">
        <v>1009</v>
      </c>
      <c r="O427" t="s">
        <v>249</v>
      </c>
      <c r="P427" t="s">
        <v>249</v>
      </c>
      <c r="Q427">
        <v>1</v>
      </c>
      <c r="X427">
        <v>0.9</v>
      </c>
      <c r="Y427">
        <v>104.63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</v>
      </c>
      <c r="AG427">
        <v>0.9</v>
      </c>
      <c r="AH427">
        <v>2</v>
      </c>
      <c r="AI427">
        <v>56960440</v>
      </c>
      <c r="AJ427">
        <v>353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ROW(Source!A493)</f>
        <v>493</v>
      </c>
      <c r="B428">
        <v>56961119</v>
      </c>
      <c r="C428">
        <v>56960437</v>
      </c>
      <c r="D428">
        <v>56063129</v>
      </c>
      <c r="E428">
        <v>1</v>
      </c>
      <c r="F428">
        <v>1</v>
      </c>
      <c r="G428">
        <v>1080</v>
      </c>
      <c r="H428">
        <v>3</v>
      </c>
      <c r="I428" t="s">
        <v>514</v>
      </c>
      <c r="J428" t="s">
        <v>515</v>
      </c>
      <c r="K428" t="s">
        <v>516</v>
      </c>
      <c r="L428">
        <v>1348</v>
      </c>
      <c r="N428">
        <v>1009</v>
      </c>
      <c r="O428" t="s">
        <v>291</v>
      </c>
      <c r="P428" t="s">
        <v>291</v>
      </c>
      <c r="Q428">
        <v>1000</v>
      </c>
      <c r="X428">
        <v>2.6999999999999999E-5</v>
      </c>
      <c r="Y428">
        <v>15568.37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</v>
      </c>
      <c r="AG428">
        <v>2.6999999999999999E-5</v>
      </c>
      <c r="AH428">
        <v>2</v>
      </c>
      <c r="AI428">
        <v>56960441</v>
      </c>
      <c r="AJ428">
        <v>354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ROW(Source!A493)</f>
        <v>493</v>
      </c>
      <c r="B429">
        <v>56961120</v>
      </c>
      <c r="C429">
        <v>56960437</v>
      </c>
      <c r="D429">
        <v>56067341</v>
      </c>
      <c r="E429">
        <v>1</v>
      </c>
      <c r="F429">
        <v>1</v>
      </c>
      <c r="G429">
        <v>1080</v>
      </c>
      <c r="H429">
        <v>3</v>
      </c>
      <c r="I429" t="s">
        <v>517</v>
      </c>
      <c r="J429" t="s">
        <v>518</v>
      </c>
      <c r="K429" t="s">
        <v>519</v>
      </c>
      <c r="L429">
        <v>1355</v>
      </c>
      <c r="N429">
        <v>1010</v>
      </c>
      <c r="O429" t="s">
        <v>520</v>
      </c>
      <c r="P429" t="s">
        <v>520</v>
      </c>
      <c r="Q429">
        <v>100</v>
      </c>
      <c r="X429">
        <v>0.12</v>
      </c>
      <c r="Y429">
        <v>120.19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</v>
      </c>
      <c r="AG429">
        <v>0.12</v>
      </c>
      <c r="AH429">
        <v>2</v>
      </c>
      <c r="AI429">
        <v>56960442</v>
      </c>
      <c r="AJ429">
        <v>355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ROW(Source!A493)</f>
        <v>493</v>
      </c>
      <c r="B430">
        <v>56961121</v>
      </c>
      <c r="C430">
        <v>56960437</v>
      </c>
      <c r="D430">
        <v>56048882</v>
      </c>
      <c r="E430">
        <v>1080</v>
      </c>
      <c r="F430">
        <v>1</v>
      </c>
      <c r="G430">
        <v>1080</v>
      </c>
      <c r="H430">
        <v>3</v>
      </c>
      <c r="I430" t="s">
        <v>634</v>
      </c>
      <c r="J430" t="s">
        <v>3</v>
      </c>
      <c r="K430" t="s">
        <v>635</v>
      </c>
      <c r="L430">
        <v>1354</v>
      </c>
      <c r="N430">
        <v>1010</v>
      </c>
      <c r="O430" t="s">
        <v>31</v>
      </c>
      <c r="P430" t="s">
        <v>31</v>
      </c>
      <c r="Q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3</v>
      </c>
      <c r="AG430">
        <v>1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ROW(Source!A493)</f>
        <v>493</v>
      </c>
      <c r="B431">
        <v>56961122</v>
      </c>
      <c r="C431">
        <v>56960437</v>
      </c>
      <c r="D431">
        <v>56023168</v>
      </c>
      <c r="E431">
        <v>1080</v>
      </c>
      <c r="F431">
        <v>1</v>
      </c>
      <c r="G431">
        <v>1080</v>
      </c>
      <c r="H431">
        <v>3</v>
      </c>
      <c r="I431" t="s">
        <v>521</v>
      </c>
      <c r="J431" t="s">
        <v>3</v>
      </c>
      <c r="K431" t="s">
        <v>522</v>
      </c>
      <c r="L431">
        <v>1348</v>
      </c>
      <c r="N431">
        <v>1009</v>
      </c>
      <c r="O431" t="s">
        <v>291</v>
      </c>
      <c r="P431" t="s">
        <v>291</v>
      </c>
      <c r="Q431">
        <v>1000</v>
      </c>
      <c r="X431">
        <v>2.7E-2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</v>
      </c>
      <c r="AG431">
        <v>2.7E-2</v>
      </c>
      <c r="AH431">
        <v>2</v>
      </c>
      <c r="AI431">
        <v>56960443</v>
      </c>
      <c r="AJ431">
        <v>357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ROW(Source!A494)</f>
        <v>494</v>
      </c>
      <c r="B432">
        <v>56961116</v>
      </c>
      <c r="C432">
        <v>56960437</v>
      </c>
      <c r="D432">
        <v>56018166</v>
      </c>
      <c r="E432">
        <v>1080</v>
      </c>
      <c r="F432">
        <v>1</v>
      </c>
      <c r="G432">
        <v>1080</v>
      </c>
      <c r="H432">
        <v>1</v>
      </c>
      <c r="I432" t="s">
        <v>500</v>
      </c>
      <c r="J432" t="s">
        <v>3</v>
      </c>
      <c r="K432" t="s">
        <v>501</v>
      </c>
      <c r="L432">
        <v>1191</v>
      </c>
      <c r="N432">
        <v>1013</v>
      </c>
      <c r="O432" t="s">
        <v>502</v>
      </c>
      <c r="P432" t="s">
        <v>502</v>
      </c>
      <c r="Q432">
        <v>1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 t="s">
        <v>23</v>
      </c>
      <c r="AG432">
        <v>2.2000000000000002</v>
      </c>
      <c r="AH432">
        <v>2</v>
      </c>
      <c r="AI432">
        <v>56960438</v>
      </c>
      <c r="AJ432">
        <v>358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ROW(Source!A494)</f>
        <v>494</v>
      </c>
      <c r="B433">
        <v>56961117</v>
      </c>
      <c r="C433">
        <v>56960437</v>
      </c>
      <c r="D433">
        <v>56092342</v>
      </c>
      <c r="E433">
        <v>1</v>
      </c>
      <c r="F433">
        <v>1</v>
      </c>
      <c r="G433">
        <v>1080</v>
      </c>
      <c r="H433">
        <v>2</v>
      </c>
      <c r="I433" t="s">
        <v>508</v>
      </c>
      <c r="J433" t="s">
        <v>509</v>
      </c>
      <c r="K433" t="s">
        <v>510</v>
      </c>
      <c r="L433">
        <v>1368</v>
      </c>
      <c r="N433">
        <v>1011</v>
      </c>
      <c r="O433" t="s">
        <v>506</v>
      </c>
      <c r="P433" t="s">
        <v>506</v>
      </c>
      <c r="Q433">
        <v>1</v>
      </c>
      <c r="X433">
        <v>0.02</v>
      </c>
      <c r="Y433">
        <v>0</v>
      </c>
      <c r="Z433">
        <v>119.07</v>
      </c>
      <c r="AA433">
        <v>12.62</v>
      </c>
      <c r="AB433">
        <v>0</v>
      </c>
      <c r="AC433">
        <v>0</v>
      </c>
      <c r="AD433">
        <v>1</v>
      </c>
      <c r="AE433">
        <v>0</v>
      </c>
      <c r="AF433" t="s">
        <v>23</v>
      </c>
      <c r="AG433">
        <v>2.2000000000000002E-2</v>
      </c>
      <c r="AH433">
        <v>2</v>
      </c>
      <c r="AI433">
        <v>56960439</v>
      </c>
      <c r="AJ433">
        <v>359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ROW(Source!A494)</f>
        <v>494</v>
      </c>
      <c r="B434">
        <v>56961118</v>
      </c>
      <c r="C434">
        <v>56960437</v>
      </c>
      <c r="D434">
        <v>56061656</v>
      </c>
      <c r="E434">
        <v>1</v>
      </c>
      <c r="F434">
        <v>1</v>
      </c>
      <c r="G434">
        <v>1080</v>
      </c>
      <c r="H434">
        <v>3</v>
      </c>
      <c r="I434" t="s">
        <v>511</v>
      </c>
      <c r="J434" t="s">
        <v>512</v>
      </c>
      <c r="K434" t="s">
        <v>513</v>
      </c>
      <c r="L434">
        <v>1346</v>
      </c>
      <c r="N434">
        <v>1009</v>
      </c>
      <c r="O434" t="s">
        <v>249</v>
      </c>
      <c r="P434" t="s">
        <v>249</v>
      </c>
      <c r="Q434">
        <v>1</v>
      </c>
      <c r="X434">
        <v>0.9</v>
      </c>
      <c r="Y434">
        <v>104.63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3</v>
      </c>
      <c r="AG434">
        <v>0.9</v>
      </c>
      <c r="AH434">
        <v>2</v>
      </c>
      <c r="AI434">
        <v>56960440</v>
      </c>
      <c r="AJ434">
        <v>360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ROW(Source!A494)</f>
        <v>494</v>
      </c>
      <c r="B435">
        <v>56961119</v>
      </c>
      <c r="C435">
        <v>56960437</v>
      </c>
      <c r="D435">
        <v>56063129</v>
      </c>
      <c r="E435">
        <v>1</v>
      </c>
      <c r="F435">
        <v>1</v>
      </c>
      <c r="G435">
        <v>1080</v>
      </c>
      <c r="H435">
        <v>3</v>
      </c>
      <c r="I435" t="s">
        <v>514</v>
      </c>
      <c r="J435" t="s">
        <v>515</v>
      </c>
      <c r="K435" t="s">
        <v>516</v>
      </c>
      <c r="L435">
        <v>1348</v>
      </c>
      <c r="N435">
        <v>1009</v>
      </c>
      <c r="O435" t="s">
        <v>291</v>
      </c>
      <c r="P435" t="s">
        <v>291</v>
      </c>
      <c r="Q435">
        <v>1000</v>
      </c>
      <c r="X435">
        <v>2.6999999999999999E-5</v>
      </c>
      <c r="Y435">
        <v>15568.37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3</v>
      </c>
      <c r="AG435">
        <v>2.6999999999999999E-5</v>
      </c>
      <c r="AH435">
        <v>2</v>
      </c>
      <c r="AI435">
        <v>56960441</v>
      </c>
      <c r="AJ435">
        <v>361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ROW(Source!A494)</f>
        <v>494</v>
      </c>
      <c r="B436">
        <v>56961120</v>
      </c>
      <c r="C436">
        <v>56960437</v>
      </c>
      <c r="D436">
        <v>56067341</v>
      </c>
      <c r="E436">
        <v>1</v>
      </c>
      <c r="F436">
        <v>1</v>
      </c>
      <c r="G436">
        <v>1080</v>
      </c>
      <c r="H436">
        <v>3</v>
      </c>
      <c r="I436" t="s">
        <v>517</v>
      </c>
      <c r="J436" t="s">
        <v>518</v>
      </c>
      <c r="K436" t="s">
        <v>519</v>
      </c>
      <c r="L436">
        <v>1355</v>
      </c>
      <c r="N436">
        <v>1010</v>
      </c>
      <c r="O436" t="s">
        <v>520</v>
      </c>
      <c r="P436" t="s">
        <v>520</v>
      </c>
      <c r="Q436">
        <v>100</v>
      </c>
      <c r="X436">
        <v>0.12</v>
      </c>
      <c r="Y436">
        <v>120.19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</v>
      </c>
      <c r="AG436">
        <v>0.12</v>
      </c>
      <c r="AH436">
        <v>2</v>
      </c>
      <c r="AI436">
        <v>56960442</v>
      </c>
      <c r="AJ436">
        <v>362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ROW(Source!A494)</f>
        <v>494</v>
      </c>
      <c r="B437">
        <v>56961121</v>
      </c>
      <c r="C437">
        <v>56960437</v>
      </c>
      <c r="D437">
        <v>56048882</v>
      </c>
      <c r="E437">
        <v>1080</v>
      </c>
      <c r="F437">
        <v>1</v>
      </c>
      <c r="G437">
        <v>1080</v>
      </c>
      <c r="H437">
        <v>3</v>
      </c>
      <c r="I437" t="s">
        <v>634</v>
      </c>
      <c r="J437" t="s">
        <v>3</v>
      </c>
      <c r="K437" t="s">
        <v>635</v>
      </c>
      <c r="L437">
        <v>1354</v>
      </c>
      <c r="N437">
        <v>1010</v>
      </c>
      <c r="O437" t="s">
        <v>31</v>
      </c>
      <c r="P437" t="s">
        <v>31</v>
      </c>
      <c r="Q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3</v>
      </c>
      <c r="AG437">
        <v>1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ROW(Source!A494)</f>
        <v>494</v>
      </c>
      <c r="B438">
        <v>56961122</v>
      </c>
      <c r="C438">
        <v>56960437</v>
      </c>
      <c r="D438">
        <v>56023168</v>
      </c>
      <c r="E438">
        <v>1080</v>
      </c>
      <c r="F438">
        <v>1</v>
      </c>
      <c r="G438">
        <v>1080</v>
      </c>
      <c r="H438">
        <v>3</v>
      </c>
      <c r="I438" t="s">
        <v>521</v>
      </c>
      <c r="J438" t="s">
        <v>3</v>
      </c>
      <c r="K438" t="s">
        <v>522</v>
      </c>
      <c r="L438">
        <v>1348</v>
      </c>
      <c r="N438">
        <v>1009</v>
      </c>
      <c r="O438" t="s">
        <v>291</v>
      </c>
      <c r="P438" t="s">
        <v>291</v>
      </c>
      <c r="Q438">
        <v>1000</v>
      </c>
      <c r="X438">
        <v>2.7E-2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3</v>
      </c>
      <c r="AG438">
        <v>2.7E-2</v>
      </c>
      <c r="AH438">
        <v>2</v>
      </c>
      <c r="AI438">
        <v>56960443</v>
      </c>
      <c r="AJ438">
        <v>364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ROW(Source!A497)</f>
        <v>497</v>
      </c>
      <c r="B439">
        <v>56961123</v>
      </c>
      <c r="C439">
        <v>56960453</v>
      </c>
      <c r="D439">
        <v>56018166</v>
      </c>
      <c r="E439">
        <v>1080</v>
      </c>
      <c r="F439">
        <v>1</v>
      </c>
      <c r="G439">
        <v>1080</v>
      </c>
      <c r="H439">
        <v>1</v>
      </c>
      <c r="I439" t="s">
        <v>500</v>
      </c>
      <c r="J439" t="s">
        <v>3</v>
      </c>
      <c r="K439" t="s">
        <v>501</v>
      </c>
      <c r="L439">
        <v>1191</v>
      </c>
      <c r="N439">
        <v>1013</v>
      </c>
      <c r="O439" t="s">
        <v>502</v>
      </c>
      <c r="P439" t="s">
        <v>502</v>
      </c>
      <c r="Q439">
        <v>1</v>
      </c>
      <c r="X439">
        <v>29.96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23</v>
      </c>
      <c r="AG439">
        <v>32.956000000000003</v>
      </c>
      <c r="AH439">
        <v>2</v>
      </c>
      <c r="AI439">
        <v>56960454</v>
      </c>
      <c r="AJ439">
        <v>365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ROW(Source!A497)</f>
        <v>497</v>
      </c>
      <c r="B440">
        <v>56961124</v>
      </c>
      <c r="C440">
        <v>56960453</v>
      </c>
      <c r="D440">
        <v>56092340</v>
      </c>
      <c r="E440">
        <v>1</v>
      </c>
      <c r="F440">
        <v>1</v>
      </c>
      <c r="G440">
        <v>1080</v>
      </c>
      <c r="H440">
        <v>2</v>
      </c>
      <c r="I440" t="s">
        <v>503</v>
      </c>
      <c r="J440" t="s">
        <v>504</v>
      </c>
      <c r="K440" t="s">
        <v>505</v>
      </c>
      <c r="L440">
        <v>1368</v>
      </c>
      <c r="N440">
        <v>1011</v>
      </c>
      <c r="O440" t="s">
        <v>506</v>
      </c>
      <c r="P440" t="s">
        <v>506</v>
      </c>
      <c r="Q440">
        <v>1</v>
      </c>
      <c r="X440">
        <v>0.01</v>
      </c>
      <c r="Y440">
        <v>0</v>
      </c>
      <c r="Z440">
        <v>83.1</v>
      </c>
      <c r="AA440">
        <v>12.62</v>
      </c>
      <c r="AB440">
        <v>0</v>
      </c>
      <c r="AC440">
        <v>0</v>
      </c>
      <c r="AD440">
        <v>1</v>
      </c>
      <c r="AE440">
        <v>0</v>
      </c>
      <c r="AF440" t="s">
        <v>23</v>
      </c>
      <c r="AG440">
        <v>1.1000000000000001E-2</v>
      </c>
      <c r="AH440">
        <v>2</v>
      </c>
      <c r="AI440">
        <v>56960455</v>
      </c>
      <c r="AJ440">
        <v>366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ROW(Source!A497)</f>
        <v>497</v>
      </c>
      <c r="B441">
        <v>56961125</v>
      </c>
      <c r="C441">
        <v>56960453</v>
      </c>
      <c r="D441">
        <v>56092425</v>
      </c>
      <c r="E441">
        <v>1</v>
      </c>
      <c r="F441">
        <v>1</v>
      </c>
      <c r="G441">
        <v>1080</v>
      </c>
      <c r="H441">
        <v>2</v>
      </c>
      <c r="I441" t="s">
        <v>523</v>
      </c>
      <c r="J441" t="s">
        <v>524</v>
      </c>
      <c r="K441" t="s">
        <v>525</v>
      </c>
      <c r="L441">
        <v>1368</v>
      </c>
      <c r="N441">
        <v>1011</v>
      </c>
      <c r="O441" t="s">
        <v>506</v>
      </c>
      <c r="P441" t="s">
        <v>506</v>
      </c>
      <c r="Q441">
        <v>1</v>
      </c>
      <c r="X441">
        <v>0.57999999999999996</v>
      </c>
      <c r="Y441">
        <v>0</v>
      </c>
      <c r="Z441">
        <v>0.47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23</v>
      </c>
      <c r="AG441">
        <v>0.63800000000000001</v>
      </c>
      <c r="AH441">
        <v>2</v>
      </c>
      <c r="AI441">
        <v>56960456</v>
      </c>
      <c r="AJ441">
        <v>367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ROW(Source!A497)</f>
        <v>497</v>
      </c>
      <c r="B442">
        <v>56961126</v>
      </c>
      <c r="C442">
        <v>56960453</v>
      </c>
      <c r="D442">
        <v>56062222</v>
      </c>
      <c r="E442">
        <v>1</v>
      </c>
      <c r="F442">
        <v>1</v>
      </c>
      <c r="G442">
        <v>1080</v>
      </c>
      <c r="H442">
        <v>3</v>
      </c>
      <c r="I442" t="s">
        <v>526</v>
      </c>
      <c r="J442" t="s">
        <v>527</v>
      </c>
      <c r="K442" t="s">
        <v>528</v>
      </c>
      <c r="L442">
        <v>1348</v>
      </c>
      <c r="N442">
        <v>1009</v>
      </c>
      <c r="O442" t="s">
        <v>291</v>
      </c>
      <c r="P442" t="s">
        <v>291</v>
      </c>
      <c r="Q442">
        <v>1000</v>
      </c>
      <c r="X442">
        <v>9.0000000000000006E-5</v>
      </c>
      <c r="Y442">
        <v>14327.51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</v>
      </c>
      <c r="AG442">
        <v>9.0000000000000006E-5</v>
      </c>
      <c r="AH442">
        <v>2</v>
      </c>
      <c r="AI442">
        <v>56960457</v>
      </c>
      <c r="AJ442">
        <v>368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ROW(Source!A497)</f>
        <v>497</v>
      </c>
      <c r="B443">
        <v>56961127</v>
      </c>
      <c r="C443">
        <v>56960453</v>
      </c>
      <c r="D443">
        <v>56040227</v>
      </c>
      <c r="E443">
        <v>1080</v>
      </c>
      <c r="F443">
        <v>1</v>
      </c>
      <c r="G443">
        <v>1080</v>
      </c>
      <c r="H443">
        <v>3</v>
      </c>
      <c r="I443" t="s">
        <v>637</v>
      </c>
      <c r="J443" t="s">
        <v>3</v>
      </c>
      <c r="K443" t="s">
        <v>638</v>
      </c>
      <c r="L443">
        <v>1358</v>
      </c>
      <c r="N443">
        <v>1010</v>
      </c>
      <c r="O443" t="s">
        <v>58</v>
      </c>
      <c r="P443" t="s">
        <v>58</v>
      </c>
      <c r="Q443">
        <v>10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</v>
      </c>
      <c r="AG443">
        <v>1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ROW(Source!A498)</f>
        <v>498</v>
      </c>
      <c r="B444">
        <v>56961123</v>
      </c>
      <c r="C444">
        <v>56960453</v>
      </c>
      <c r="D444">
        <v>56018166</v>
      </c>
      <c r="E444">
        <v>1080</v>
      </c>
      <c r="F444">
        <v>1</v>
      </c>
      <c r="G444">
        <v>1080</v>
      </c>
      <c r="H444">
        <v>1</v>
      </c>
      <c r="I444" t="s">
        <v>500</v>
      </c>
      <c r="J444" t="s">
        <v>3</v>
      </c>
      <c r="K444" t="s">
        <v>501</v>
      </c>
      <c r="L444">
        <v>1191</v>
      </c>
      <c r="N444">
        <v>1013</v>
      </c>
      <c r="O444" t="s">
        <v>502</v>
      </c>
      <c r="P444" t="s">
        <v>502</v>
      </c>
      <c r="Q444">
        <v>1</v>
      </c>
      <c r="X444">
        <v>29.96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 t="s">
        <v>23</v>
      </c>
      <c r="AG444">
        <v>32.956000000000003</v>
      </c>
      <c r="AH444">
        <v>2</v>
      </c>
      <c r="AI444">
        <v>56960454</v>
      </c>
      <c r="AJ444">
        <v>369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ROW(Source!A498)</f>
        <v>498</v>
      </c>
      <c r="B445">
        <v>56961124</v>
      </c>
      <c r="C445">
        <v>56960453</v>
      </c>
      <c r="D445">
        <v>56092340</v>
      </c>
      <c r="E445">
        <v>1</v>
      </c>
      <c r="F445">
        <v>1</v>
      </c>
      <c r="G445">
        <v>1080</v>
      </c>
      <c r="H445">
        <v>2</v>
      </c>
      <c r="I445" t="s">
        <v>503</v>
      </c>
      <c r="J445" t="s">
        <v>504</v>
      </c>
      <c r="K445" t="s">
        <v>505</v>
      </c>
      <c r="L445">
        <v>1368</v>
      </c>
      <c r="N445">
        <v>1011</v>
      </c>
      <c r="O445" t="s">
        <v>506</v>
      </c>
      <c r="P445" t="s">
        <v>506</v>
      </c>
      <c r="Q445">
        <v>1</v>
      </c>
      <c r="X445">
        <v>0.01</v>
      </c>
      <c r="Y445">
        <v>0</v>
      </c>
      <c r="Z445">
        <v>83.1</v>
      </c>
      <c r="AA445">
        <v>12.62</v>
      </c>
      <c r="AB445">
        <v>0</v>
      </c>
      <c r="AC445">
        <v>0</v>
      </c>
      <c r="AD445">
        <v>1</v>
      </c>
      <c r="AE445">
        <v>0</v>
      </c>
      <c r="AF445" t="s">
        <v>23</v>
      </c>
      <c r="AG445">
        <v>1.1000000000000001E-2</v>
      </c>
      <c r="AH445">
        <v>2</v>
      </c>
      <c r="AI445">
        <v>56960455</v>
      </c>
      <c r="AJ445">
        <v>370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ROW(Source!A498)</f>
        <v>498</v>
      </c>
      <c r="B446">
        <v>56961125</v>
      </c>
      <c r="C446">
        <v>56960453</v>
      </c>
      <c r="D446">
        <v>56092425</v>
      </c>
      <c r="E446">
        <v>1</v>
      </c>
      <c r="F446">
        <v>1</v>
      </c>
      <c r="G446">
        <v>1080</v>
      </c>
      <c r="H446">
        <v>2</v>
      </c>
      <c r="I446" t="s">
        <v>523</v>
      </c>
      <c r="J446" t="s">
        <v>524</v>
      </c>
      <c r="K446" t="s">
        <v>525</v>
      </c>
      <c r="L446">
        <v>1368</v>
      </c>
      <c r="N446">
        <v>1011</v>
      </c>
      <c r="O446" t="s">
        <v>506</v>
      </c>
      <c r="P446" t="s">
        <v>506</v>
      </c>
      <c r="Q446">
        <v>1</v>
      </c>
      <c r="X446">
        <v>0.57999999999999996</v>
      </c>
      <c r="Y446">
        <v>0</v>
      </c>
      <c r="Z446">
        <v>0.47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23</v>
      </c>
      <c r="AG446">
        <v>0.63800000000000001</v>
      </c>
      <c r="AH446">
        <v>2</v>
      </c>
      <c r="AI446">
        <v>56960456</v>
      </c>
      <c r="AJ446">
        <v>371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ROW(Source!A498)</f>
        <v>498</v>
      </c>
      <c r="B447">
        <v>56961126</v>
      </c>
      <c r="C447">
        <v>56960453</v>
      </c>
      <c r="D447">
        <v>56062222</v>
      </c>
      <c r="E447">
        <v>1</v>
      </c>
      <c r="F447">
        <v>1</v>
      </c>
      <c r="G447">
        <v>1080</v>
      </c>
      <c r="H447">
        <v>3</v>
      </c>
      <c r="I447" t="s">
        <v>526</v>
      </c>
      <c r="J447" t="s">
        <v>527</v>
      </c>
      <c r="K447" t="s">
        <v>528</v>
      </c>
      <c r="L447">
        <v>1348</v>
      </c>
      <c r="N447">
        <v>1009</v>
      </c>
      <c r="O447" t="s">
        <v>291</v>
      </c>
      <c r="P447" t="s">
        <v>291</v>
      </c>
      <c r="Q447">
        <v>1000</v>
      </c>
      <c r="X447">
        <v>9.0000000000000006E-5</v>
      </c>
      <c r="Y447">
        <v>14327.51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</v>
      </c>
      <c r="AG447">
        <v>9.0000000000000006E-5</v>
      </c>
      <c r="AH447">
        <v>2</v>
      </c>
      <c r="AI447">
        <v>56960457</v>
      </c>
      <c r="AJ447">
        <v>372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ROW(Source!A498)</f>
        <v>498</v>
      </c>
      <c r="B448">
        <v>56961127</v>
      </c>
      <c r="C448">
        <v>56960453</v>
      </c>
      <c r="D448">
        <v>56040227</v>
      </c>
      <c r="E448">
        <v>1080</v>
      </c>
      <c r="F448">
        <v>1</v>
      </c>
      <c r="G448">
        <v>1080</v>
      </c>
      <c r="H448">
        <v>3</v>
      </c>
      <c r="I448" t="s">
        <v>637</v>
      </c>
      <c r="J448" t="s">
        <v>3</v>
      </c>
      <c r="K448" t="s">
        <v>638</v>
      </c>
      <c r="L448">
        <v>1358</v>
      </c>
      <c r="N448">
        <v>1010</v>
      </c>
      <c r="O448" t="s">
        <v>58</v>
      </c>
      <c r="P448" t="s">
        <v>58</v>
      </c>
      <c r="Q448">
        <v>10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3</v>
      </c>
      <c r="AG448">
        <v>1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ROW(Source!A501)</f>
        <v>501</v>
      </c>
      <c r="B449">
        <v>56961128</v>
      </c>
      <c r="C449">
        <v>56960464</v>
      </c>
      <c r="D449">
        <v>56018166</v>
      </c>
      <c r="E449">
        <v>1080</v>
      </c>
      <c r="F449">
        <v>1</v>
      </c>
      <c r="G449">
        <v>1080</v>
      </c>
      <c r="H449">
        <v>1</v>
      </c>
      <c r="I449" t="s">
        <v>500</v>
      </c>
      <c r="J449" t="s">
        <v>3</v>
      </c>
      <c r="K449" t="s">
        <v>501</v>
      </c>
      <c r="L449">
        <v>1191</v>
      </c>
      <c r="N449">
        <v>1013</v>
      </c>
      <c r="O449" t="s">
        <v>502</v>
      </c>
      <c r="P449" t="s">
        <v>502</v>
      </c>
      <c r="Q449">
        <v>1</v>
      </c>
      <c r="X449">
        <v>15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 t="s">
        <v>23</v>
      </c>
      <c r="AG449">
        <v>16.5</v>
      </c>
      <c r="AH449">
        <v>2</v>
      </c>
      <c r="AI449">
        <v>56960465</v>
      </c>
      <c r="AJ449">
        <v>373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ROW(Source!A501)</f>
        <v>501</v>
      </c>
      <c r="B450">
        <v>56961129</v>
      </c>
      <c r="C450">
        <v>56960464</v>
      </c>
      <c r="D450">
        <v>56027568</v>
      </c>
      <c r="E450">
        <v>1080</v>
      </c>
      <c r="F450">
        <v>1</v>
      </c>
      <c r="G450">
        <v>1080</v>
      </c>
      <c r="H450">
        <v>3</v>
      </c>
      <c r="I450" t="s">
        <v>639</v>
      </c>
      <c r="J450" t="s">
        <v>3</v>
      </c>
      <c r="K450" t="s">
        <v>640</v>
      </c>
      <c r="L450">
        <v>1301</v>
      </c>
      <c r="N450">
        <v>1003</v>
      </c>
      <c r="O450" t="s">
        <v>84</v>
      </c>
      <c r="P450" t="s">
        <v>84</v>
      </c>
      <c r="Q450">
        <v>1</v>
      </c>
      <c r="X450">
        <v>102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3</v>
      </c>
      <c r="AG450">
        <v>102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ROW(Source!A501)</f>
        <v>501</v>
      </c>
      <c r="B451">
        <v>56961130</v>
      </c>
      <c r="C451">
        <v>56960464</v>
      </c>
      <c r="D451">
        <v>56030735</v>
      </c>
      <c r="E451">
        <v>1080</v>
      </c>
      <c r="F451">
        <v>1</v>
      </c>
      <c r="G451">
        <v>1080</v>
      </c>
      <c r="H451">
        <v>3</v>
      </c>
      <c r="I451" t="s">
        <v>641</v>
      </c>
      <c r="J451" t="s">
        <v>3</v>
      </c>
      <c r="K451" t="s">
        <v>642</v>
      </c>
      <c r="L451">
        <v>1354</v>
      </c>
      <c r="N451">
        <v>1010</v>
      </c>
      <c r="O451" t="s">
        <v>31</v>
      </c>
      <c r="P451" t="s">
        <v>31</v>
      </c>
      <c r="Q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3</v>
      </c>
      <c r="AG451">
        <v>0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ROW(Source!A501)</f>
        <v>501</v>
      </c>
      <c r="B452">
        <v>56961131</v>
      </c>
      <c r="C452">
        <v>56960464</v>
      </c>
      <c r="D452">
        <v>56031307</v>
      </c>
      <c r="E452">
        <v>1080</v>
      </c>
      <c r="F452">
        <v>1</v>
      </c>
      <c r="G452">
        <v>1080</v>
      </c>
      <c r="H452">
        <v>3</v>
      </c>
      <c r="I452" t="s">
        <v>643</v>
      </c>
      <c r="J452" t="s">
        <v>3</v>
      </c>
      <c r="K452" t="s">
        <v>644</v>
      </c>
      <c r="L452">
        <v>1354</v>
      </c>
      <c r="N452">
        <v>1010</v>
      </c>
      <c r="O452" t="s">
        <v>31</v>
      </c>
      <c r="P452" t="s">
        <v>31</v>
      </c>
      <c r="Q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3</v>
      </c>
      <c r="AG452">
        <v>0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ROW(Source!A502)</f>
        <v>502</v>
      </c>
      <c r="B453">
        <v>56961128</v>
      </c>
      <c r="C453">
        <v>56960464</v>
      </c>
      <c r="D453">
        <v>56018166</v>
      </c>
      <c r="E453">
        <v>1080</v>
      </c>
      <c r="F453">
        <v>1</v>
      </c>
      <c r="G453">
        <v>1080</v>
      </c>
      <c r="H453">
        <v>1</v>
      </c>
      <c r="I453" t="s">
        <v>500</v>
      </c>
      <c r="J453" t="s">
        <v>3</v>
      </c>
      <c r="K453" t="s">
        <v>501</v>
      </c>
      <c r="L453">
        <v>1191</v>
      </c>
      <c r="N453">
        <v>1013</v>
      </c>
      <c r="O453" t="s">
        <v>502</v>
      </c>
      <c r="P453" t="s">
        <v>502</v>
      </c>
      <c r="Q453">
        <v>1</v>
      </c>
      <c r="X453">
        <v>15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23</v>
      </c>
      <c r="AG453">
        <v>16.5</v>
      </c>
      <c r="AH453">
        <v>2</v>
      </c>
      <c r="AI453">
        <v>56960465</v>
      </c>
      <c r="AJ453">
        <v>375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ROW(Source!A502)</f>
        <v>502</v>
      </c>
      <c r="B454">
        <v>56961129</v>
      </c>
      <c r="C454">
        <v>56960464</v>
      </c>
      <c r="D454">
        <v>56027568</v>
      </c>
      <c r="E454">
        <v>1080</v>
      </c>
      <c r="F454">
        <v>1</v>
      </c>
      <c r="G454">
        <v>1080</v>
      </c>
      <c r="H454">
        <v>3</v>
      </c>
      <c r="I454" t="s">
        <v>639</v>
      </c>
      <c r="J454" t="s">
        <v>3</v>
      </c>
      <c r="K454" t="s">
        <v>640</v>
      </c>
      <c r="L454">
        <v>1301</v>
      </c>
      <c r="N454">
        <v>1003</v>
      </c>
      <c r="O454" t="s">
        <v>84</v>
      </c>
      <c r="P454" t="s">
        <v>84</v>
      </c>
      <c r="Q454">
        <v>1</v>
      </c>
      <c r="X454">
        <v>102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3</v>
      </c>
      <c r="AG454">
        <v>102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ROW(Source!A502)</f>
        <v>502</v>
      </c>
      <c r="B455">
        <v>56961130</v>
      </c>
      <c r="C455">
        <v>56960464</v>
      </c>
      <c r="D455">
        <v>56030735</v>
      </c>
      <c r="E455">
        <v>1080</v>
      </c>
      <c r="F455">
        <v>1</v>
      </c>
      <c r="G455">
        <v>1080</v>
      </c>
      <c r="H455">
        <v>3</v>
      </c>
      <c r="I455" t="s">
        <v>641</v>
      </c>
      <c r="J455" t="s">
        <v>3</v>
      </c>
      <c r="K455" t="s">
        <v>642</v>
      </c>
      <c r="L455">
        <v>1354</v>
      </c>
      <c r="N455">
        <v>1010</v>
      </c>
      <c r="O455" t="s">
        <v>31</v>
      </c>
      <c r="P455" t="s">
        <v>31</v>
      </c>
      <c r="Q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3</v>
      </c>
      <c r="AG455">
        <v>0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ROW(Source!A502)</f>
        <v>502</v>
      </c>
      <c r="B456">
        <v>56961131</v>
      </c>
      <c r="C456">
        <v>56960464</v>
      </c>
      <c r="D456">
        <v>56031307</v>
      </c>
      <c r="E456">
        <v>1080</v>
      </c>
      <c r="F456">
        <v>1</v>
      </c>
      <c r="G456">
        <v>1080</v>
      </c>
      <c r="H456">
        <v>3</v>
      </c>
      <c r="I456" t="s">
        <v>643</v>
      </c>
      <c r="J456" t="s">
        <v>3</v>
      </c>
      <c r="K456" t="s">
        <v>644</v>
      </c>
      <c r="L456">
        <v>1354</v>
      </c>
      <c r="N456">
        <v>1010</v>
      </c>
      <c r="O456" t="s">
        <v>31</v>
      </c>
      <c r="P456" t="s">
        <v>31</v>
      </c>
      <c r="Q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3</v>
      </c>
      <c r="AG456">
        <v>0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ROW(Source!A505)</f>
        <v>505</v>
      </c>
      <c r="B457">
        <v>56961132</v>
      </c>
      <c r="C457">
        <v>56960472</v>
      </c>
      <c r="D457">
        <v>56018166</v>
      </c>
      <c r="E457">
        <v>1080</v>
      </c>
      <c r="F457">
        <v>1</v>
      </c>
      <c r="G457">
        <v>1080</v>
      </c>
      <c r="H457">
        <v>1</v>
      </c>
      <c r="I457" t="s">
        <v>500</v>
      </c>
      <c r="J457" t="s">
        <v>3</v>
      </c>
      <c r="K457" t="s">
        <v>501</v>
      </c>
      <c r="L457">
        <v>1191</v>
      </c>
      <c r="N457">
        <v>1013</v>
      </c>
      <c r="O457" t="s">
        <v>502</v>
      </c>
      <c r="P457" t="s">
        <v>502</v>
      </c>
      <c r="Q457">
        <v>1</v>
      </c>
      <c r="X457">
        <v>4.49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 t="s">
        <v>23</v>
      </c>
      <c r="AG457">
        <v>4.9390000000000009</v>
      </c>
      <c r="AH457">
        <v>2</v>
      </c>
      <c r="AI457">
        <v>56960473</v>
      </c>
      <c r="AJ457">
        <v>377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ROW(Source!A505)</f>
        <v>505</v>
      </c>
      <c r="B458">
        <v>56961133</v>
      </c>
      <c r="C458">
        <v>56960472</v>
      </c>
      <c r="D458">
        <v>56092340</v>
      </c>
      <c r="E458">
        <v>1</v>
      </c>
      <c r="F458">
        <v>1</v>
      </c>
      <c r="G458">
        <v>1080</v>
      </c>
      <c r="H458">
        <v>2</v>
      </c>
      <c r="I458" t="s">
        <v>503</v>
      </c>
      <c r="J458" t="s">
        <v>504</v>
      </c>
      <c r="K458" t="s">
        <v>505</v>
      </c>
      <c r="L458">
        <v>1368</v>
      </c>
      <c r="N458">
        <v>1011</v>
      </c>
      <c r="O458" t="s">
        <v>506</v>
      </c>
      <c r="P458" t="s">
        <v>506</v>
      </c>
      <c r="Q458">
        <v>1</v>
      </c>
      <c r="X458">
        <v>0.01</v>
      </c>
      <c r="Y458">
        <v>0</v>
      </c>
      <c r="Z458">
        <v>83.1</v>
      </c>
      <c r="AA458">
        <v>12.62</v>
      </c>
      <c r="AB458">
        <v>0</v>
      </c>
      <c r="AC458">
        <v>0</v>
      </c>
      <c r="AD458">
        <v>1</v>
      </c>
      <c r="AE458">
        <v>0</v>
      </c>
      <c r="AF458" t="s">
        <v>23</v>
      </c>
      <c r="AG458">
        <v>1.1000000000000001E-2</v>
      </c>
      <c r="AH458">
        <v>2</v>
      </c>
      <c r="AI458">
        <v>56960474</v>
      </c>
      <c r="AJ458">
        <v>378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ROW(Source!A505)</f>
        <v>505</v>
      </c>
      <c r="B459">
        <v>56961134</v>
      </c>
      <c r="C459">
        <v>56960472</v>
      </c>
      <c r="D459">
        <v>56091576</v>
      </c>
      <c r="E459">
        <v>1</v>
      </c>
      <c r="F459">
        <v>1</v>
      </c>
      <c r="G459">
        <v>1080</v>
      </c>
      <c r="H459">
        <v>2</v>
      </c>
      <c r="I459" t="s">
        <v>529</v>
      </c>
      <c r="J459" t="s">
        <v>530</v>
      </c>
      <c r="K459" t="s">
        <v>531</v>
      </c>
      <c r="L459">
        <v>1368</v>
      </c>
      <c r="N459">
        <v>1011</v>
      </c>
      <c r="O459" t="s">
        <v>506</v>
      </c>
      <c r="P459" t="s">
        <v>506</v>
      </c>
      <c r="Q459">
        <v>1</v>
      </c>
      <c r="X459">
        <v>0.01</v>
      </c>
      <c r="Y459">
        <v>0</v>
      </c>
      <c r="Z459">
        <v>179.17</v>
      </c>
      <c r="AA459">
        <v>16.93</v>
      </c>
      <c r="AB459">
        <v>0</v>
      </c>
      <c r="AC459">
        <v>0</v>
      </c>
      <c r="AD459">
        <v>1</v>
      </c>
      <c r="AE459">
        <v>0</v>
      </c>
      <c r="AF459" t="s">
        <v>23</v>
      </c>
      <c r="AG459">
        <v>1.1000000000000001E-2</v>
      </c>
      <c r="AH459">
        <v>2</v>
      </c>
      <c r="AI459">
        <v>56960475</v>
      </c>
      <c r="AJ459">
        <v>379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ROW(Source!A505)</f>
        <v>505</v>
      </c>
      <c r="B460">
        <v>56961135</v>
      </c>
      <c r="C460">
        <v>56960472</v>
      </c>
      <c r="D460">
        <v>56061373</v>
      </c>
      <c r="E460">
        <v>1</v>
      </c>
      <c r="F460">
        <v>1</v>
      </c>
      <c r="G460">
        <v>1080</v>
      </c>
      <c r="H460">
        <v>3</v>
      </c>
      <c r="I460" t="s">
        <v>532</v>
      </c>
      <c r="J460" t="s">
        <v>533</v>
      </c>
      <c r="K460" t="s">
        <v>534</v>
      </c>
      <c r="L460">
        <v>1346</v>
      </c>
      <c r="N460">
        <v>1009</v>
      </c>
      <c r="O460" t="s">
        <v>249</v>
      </c>
      <c r="P460" t="s">
        <v>249</v>
      </c>
      <c r="Q460">
        <v>1</v>
      </c>
      <c r="X460">
        <v>0.43</v>
      </c>
      <c r="Y460">
        <v>1.38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3</v>
      </c>
      <c r="AG460">
        <v>0.43</v>
      </c>
      <c r="AH460">
        <v>2</v>
      </c>
      <c r="AI460">
        <v>56960476</v>
      </c>
      <c r="AJ460">
        <v>380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ROW(Source!A505)</f>
        <v>505</v>
      </c>
      <c r="B461">
        <v>56961136</v>
      </c>
      <c r="C461">
        <v>56960472</v>
      </c>
      <c r="D461">
        <v>56061764</v>
      </c>
      <c r="E461">
        <v>1</v>
      </c>
      <c r="F461">
        <v>1</v>
      </c>
      <c r="G461">
        <v>1080</v>
      </c>
      <c r="H461">
        <v>3</v>
      </c>
      <c r="I461" t="s">
        <v>535</v>
      </c>
      <c r="J461" t="s">
        <v>536</v>
      </c>
      <c r="K461" t="s">
        <v>537</v>
      </c>
      <c r="L461">
        <v>1346</v>
      </c>
      <c r="N461">
        <v>1009</v>
      </c>
      <c r="O461" t="s">
        <v>249</v>
      </c>
      <c r="P461" t="s">
        <v>249</v>
      </c>
      <c r="Q461">
        <v>1</v>
      </c>
      <c r="X461">
        <v>0.16</v>
      </c>
      <c r="Y461">
        <v>159.06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3</v>
      </c>
      <c r="AG461">
        <v>0.16</v>
      </c>
      <c r="AH461">
        <v>2</v>
      </c>
      <c r="AI461">
        <v>56960477</v>
      </c>
      <c r="AJ461">
        <v>381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ROW(Source!A505)</f>
        <v>505</v>
      </c>
      <c r="B462">
        <v>56961137</v>
      </c>
      <c r="C462">
        <v>56960472</v>
      </c>
      <c r="D462">
        <v>56084707</v>
      </c>
      <c r="E462">
        <v>1</v>
      </c>
      <c r="F462">
        <v>1</v>
      </c>
      <c r="G462">
        <v>1080</v>
      </c>
      <c r="H462">
        <v>3</v>
      </c>
      <c r="I462" t="s">
        <v>538</v>
      </c>
      <c r="J462" t="s">
        <v>539</v>
      </c>
      <c r="K462" t="s">
        <v>540</v>
      </c>
      <c r="L462">
        <v>1355</v>
      </c>
      <c r="N462">
        <v>1010</v>
      </c>
      <c r="O462" t="s">
        <v>520</v>
      </c>
      <c r="P462" t="s">
        <v>520</v>
      </c>
      <c r="Q462">
        <v>100</v>
      </c>
      <c r="X462">
        <v>0.05</v>
      </c>
      <c r="Y462">
        <v>68.819999999999993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</v>
      </c>
      <c r="AG462">
        <v>0.05</v>
      </c>
      <c r="AH462">
        <v>2</v>
      </c>
      <c r="AI462">
        <v>56960478</v>
      </c>
      <c r="AJ462">
        <v>382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ROW(Source!A505)</f>
        <v>505</v>
      </c>
      <c r="B463">
        <v>56961138</v>
      </c>
      <c r="C463">
        <v>56960472</v>
      </c>
      <c r="D463">
        <v>56084718</v>
      </c>
      <c r="E463">
        <v>1</v>
      </c>
      <c r="F463">
        <v>1</v>
      </c>
      <c r="G463">
        <v>1080</v>
      </c>
      <c r="H463">
        <v>3</v>
      </c>
      <c r="I463" t="s">
        <v>541</v>
      </c>
      <c r="J463" t="s">
        <v>542</v>
      </c>
      <c r="K463" t="s">
        <v>543</v>
      </c>
      <c r="L463">
        <v>1356</v>
      </c>
      <c r="N463">
        <v>1010</v>
      </c>
      <c r="O463" t="s">
        <v>544</v>
      </c>
      <c r="P463" t="s">
        <v>544</v>
      </c>
      <c r="Q463">
        <v>1000</v>
      </c>
      <c r="X463">
        <v>1.2200000000000001E-2</v>
      </c>
      <c r="Y463">
        <v>183.4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</v>
      </c>
      <c r="AG463">
        <v>1.2200000000000001E-2</v>
      </c>
      <c r="AH463">
        <v>2</v>
      </c>
      <c r="AI463">
        <v>56960479</v>
      </c>
      <c r="AJ463">
        <v>383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ROW(Source!A505)</f>
        <v>505</v>
      </c>
      <c r="B464">
        <v>56961139</v>
      </c>
      <c r="C464">
        <v>56960472</v>
      </c>
      <c r="D464">
        <v>56084044</v>
      </c>
      <c r="E464">
        <v>1</v>
      </c>
      <c r="F464">
        <v>1</v>
      </c>
      <c r="G464">
        <v>1080</v>
      </c>
      <c r="H464">
        <v>3</v>
      </c>
      <c r="I464" t="s">
        <v>545</v>
      </c>
      <c r="J464" t="s">
        <v>546</v>
      </c>
      <c r="K464" t="s">
        <v>547</v>
      </c>
      <c r="L464">
        <v>1354</v>
      </c>
      <c r="N464">
        <v>1010</v>
      </c>
      <c r="O464" t="s">
        <v>31</v>
      </c>
      <c r="P464" t="s">
        <v>31</v>
      </c>
      <c r="Q464">
        <v>1</v>
      </c>
      <c r="X464">
        <v>3.1</v>
      </c>
      <c r="Y464">
        <v>6.94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3</v>
      </c>
      <c r="AG464">
        <v>3.1</v>
      </c>
      <c r="AH464">
        <v>2</v>
      </c>
      <c r="AI464">
        <v>56960480</v>
      </c>
      <c r="AJ464">
        <v>384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ROW(Source!A505)</f>
        <v>505</v>
      </c>
      <c r="B465">
        <v>56961140</v>
      </c>
      <c r="C465">
        <v>56960472</v>
      </c>
      <c r="D465">
        <v>56084051</v>
      </c>
      <c r="E465">
        <v>1</v>
      </c>
      <c r="F465">
        <v>1</v>
      </c>
      <c r="G465">
        <v>1080</v>
      </c>
      <c r="H465">
        <v>3</v>
      </c>
      <c r="I465" t="s">
        <v>548</v>
      </c>
      <c r="J465" t="s">
        <v>549</v>
      </c>
      <c r="K465" t="s">
        <v>550</v>
      </c>
      <c r="L465">
        <v>1356</v>
      </c>
      <c r="N465">
        <v>1010</v>
      </c>
      <c r="O465" t="s">
        <v>544</v>
      </c>
      <c r="P465" t="s">
        <v>544</v>
      </c>
      <c r="Q465">
        <v>1000</v>
      </c>
      <c r="X465">
        <v>8.0000000000000002E-3</v>
      </c>
      <c r="Y465">
        <v>614.09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3</v>
      </c>
      <c r="AG465">
        <v>8.0000000000000002E-3</v>
      </c>
      <c r="AH465">
        <v>2</v>
      </c>
      <c r="AI465">
        <v>56960481</v>
      </c>
      <c r="AJ465">
        <v>385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ROW(Source!A505)</f>
        <v>505</v>
      </c>
      <c r="B466">
        <v>56961141</v>
      </c>
      <c r="C466">
        <v>56960472</v>
      </c>
      <c r="D466">
        <v>56033636</v>
      </c>
      <c r="E466">
        <v>1080</v>
      </c>
      <c r="F466">
        <v>1</v>
      </c>
      <c r="G466">
        <v>1080</v>
      </c>
      <c r="H466">
        <v>3</v>
      </c>
      <c r="I466" t="s">
        <v>653</v>
      </c>
      <c r="J466" t="s">
        <v>3</v>
      </c>
      <c r="K466" t="s">
        <v>654</v>
      </c>
      <c r="L466">
        <v>1303</v>
      </c>
      <c r="N466">
        <v>1003</v>
      </c>
      <c r="O466" t="s">
        <v>108</v>
      </c>
      <c r="P466" t="s">
        <v>108</v>
      </c>
      <c r="Q466">
        <v>1000</v>
      </c>
      <c r="X466">
        <v>0.10299999999999999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3</v>
      </c>
      <c r="AG466">
        <v>0.10299999999999999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ROW(Source!A506)</f>
        <v>506</v>
      </c>
      <c r="B467">
        <v>56961132</v>
      </c>
      <c r="C467">
        <v>56960472</v>
      </c>
      <c r="D467">
        <v>56018166</v>
      </c>
      <c r="E467">
        <v>1080</v>
      </c>
      <c r="F467">
        <v>1</v>
      </c>
      <c r="G467">
        <v>1080</v>
      </c>
      <c r="H467">
        <v>1</v>
      </c>
      <c r="I467" t="s">
        <v>500</v>
      </c>
      <c r="J467" t="s">
        <v>3</v>
      </c>
      <c r="K467" t="s">
        <v>501</v>
      </c>
      <c r="L467">
        <v>1191</v>
      </c>
      <c r="N467">
        <v>1013</v>
      </c>
      <c r="O467" t="s">
        <v>502</v>
      </c>
      <c r="P467" t="s">
        <v>502</v>
      </c>
      <c r="Q467">
        <v>1</v>
      </c>
      <c r="X467">
        <v>4.49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 t="s">
        <v>23</v>
      </c>
      <c r="AG467">
        <v>4.9390000000000009</v>
      </c>
      <c r="AH467">
        <v>2</v>
      </c>
      <c r="AI467">
        <v>56960473</v>
      </c>
      <c r="AJ467">
        <v>387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ROW(Source!A506)</f>
        <v>506</v>
      </c>
      <c r="B468">
        <v>56961133</v>
      </c>
      <c r="C468">
        <v>56960472</v>
      </c>
      <c r="D468">
        <v>56092340</v>
      </c>
      <c r="E468">
        <v>1</v>
      </c>
      <c r="F468">
        <v>1</v>
      </c>
      <c r="G468">
        <v>1080</v>
      </c>
      <c r="H468">
        <v>2</v>
      </c>
      <c r="I468" t="s">
        <v>503</v>
      </c>
      <c r="J468" t="s">
        <v>504</v>
      </c>
      <c r="K468" t="s">
        <v>505</v>
      </c>
      <c r="L468">
        <v>1368</v>
      </c>
      <c r="N468">
        <v>1011</v>
      </c>
      <c r="O468" t="s">
        <v>506</v>
      </c>
      <c r="P468" t="s">
        <v>506</v>
      </c>
      <c r="Q468">
        <v>1</v>
      </c>
      <c r="X468">
        <v>0.01</v>
      </c>
      <c r="Y468">
        <v>0</v>
      </c>
      <c r="Z468">
        <v>83.1</v>
      </c>
      <c r="AA468">
        <v>12.62</v>
      </c>
      <c r="AB468">
        <v>0</v>
      </c>
      <c r="AC468">
        <v>0</v>
      </c>
      <c r="AD468">
        <v>1</v>
      </c>
      <c r="AE468">
        <v>0</v>
      </c>
      <c r="AF468" t="s">
        <v>23</v>
      </c>
      <c r="AG468">
        <v>1.1000000000000001E-2</v>
      </c>
      <c r="AH468">
        <v>2</v>
      </c>
      <c r="AI468">
        <v>56960474</v>
      </c>
      <c r="AJ468">
        <v>388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ROW(Source!A506)</f>
        <v>506</v>
      </c>
      <c r="B469">
        <v>56961134</v>
      </c>
      <c r="C469">
        <v>56960472</v>
      </c>
      <c r="D469">
        <v>56091576</v>
      </c>
      <c r="E469">
        <v>1</v>
      </c>
      <c r="F469">
        <v>1</v>
      </c>
      <c r="G469">
        <v>1080</v>
      </c>
      <c r="H469">
        <v>2</v>
      </c>
      <c r="I469" t="s">
        <v>529</v>
      </c>
      <c r="J469" t="s">
        <v>530</v>
      </c>
      <c r="K469" t="s">
        <v>531</v>
      </c>
      <c r="L469">
        <v>1368</v>
      </c>
      <c r="N469">
        <v>1011</v>
      </c>
      <c r="O469" t="s">
        <v>506</v>
      </c>
      <c r="P469" t="s">
        <v>506</v>
      </c>
      <c r="Q469">
        <v>1</v>
      </c>
      <c r="X469">
        <v>0.01</v>
      </c>
      <c r="Y469">
        <v>0</v>
      </c>
      <c r="Z469">
        <v>179.17</v>
      </c>
      <c r="AA469">
        <v>16.93</v>
      </c>
      <c r="AB469">
        <v>0</v>
      </c>
      <c r="AC469">
        <v>0</v>
      </c>
      <c r="AD469">
        <v>1</v>
      </c>
      <c r="AE469">
        <v>0</v>
      </c>
      <c r="AF469" t="s">
        <v>23</v>
      </c>
      <c r="AG469">
        <v>1.1000000000000001E-2</v>
      </c>
      <c r="AH469">
        <v>2</v>
      </c>
      <c r="AI469">
        <v>56960475</v>
      </c>
      <c r="AJ469">
        <v>389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ROW(Source!A506)</f>
        <v>506</v>
      </c>
      <c r="B470">
        <v>56961135</v>
      </c>
      <c r="C470">
        <v>56960472</v>
      </c>
      <c r="D470">
        <v>56061373</v>
      </c>
      <c r="E470">
        <v>1</v>
      </c>
      <c r="F470">
        <v>1</v>
      </c>
      <c r="G470">
        <v>1080</v>
      </c>
      <c r="H470">
        <v>3</v>
      </c>
      <c r="I470" t="s">
        <v>532</v>
      </c>
      <c r="J470" t="s">
        <v>533</v>
      </c>
      <c r="K470" t="s">
        <v>534</v>
      </c>
      <c r="L470">
        <v>1346</v>
      </c>
      <c r="N470">
        <v>1009</v>
      </c>
      <c r="O470" t="s">
        <v>249</v>
      </c>
      <c r="P470" t="s">
        <v>249</v>
      </c>
      <c r="Q470">
        <v>1</v>
      </c>
      <c r="X470">
        <v>0.43</v>
      </c>
      <c r="Y470">
        <v>1.38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</v>
      </c>
      <c r="AG470">
        <v>0.43</v>
      </c>
      <c r="AH470">
        <v>2</v>
      </c>
      <c r="AI470">
        <v>56960476</v>
      </c>
      <c r="AJ470">
        <v>390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ROW(Source!A506)</f>
        <v>506</v>
      </c>
      <c r="B471">
        <v>56961136</v>
      </c>
      <c r="C471">
        <v>56960472</v>
      </c>
      <c r="D471">
        <v>56061764</v>
      </c>
      <c r="E471">
        <v>1</v>
      </c>
      <c r="F471">
        <v>1</v>
      </c>
      <c r="G471">
        <v>1080</v>
      </c>
      <c r="H471">
        <v>3</v>
      </c>
      <c r="I471" t="s">
        <v>535</v>
      </c>
      <c r="J471" t="s">
        <v>536</v>
      </c>
      <c r="K471" t="s">
        <v>537</v>
      </c>
      <c r="L471">
        <v>1346</v>
      </c>
      <c r="N471">
        <v>1009</v>
      </c>
      <c r="O471" t="s">
        <v>249</v>
      </c>
      <c r="P471" t="s">
        <v>249</v>
      </c>
      <c r="Q471">
        <v>1</v>
      </c>
      <c r="X471">
        <v>0.16</v>
      </c>
      <c r="Y471">
        <v>159.06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</v>
      </c>
      <c r="AG471">
        <v>0.16</v>
      </c>
      <c r="AH471">
        <v>2</v>
      </c>
      <c r="AI471">
        <v>56960477</v>
      </c>
      <c r="AJ471">
        <v>391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ROW(Source!A506)</f>
        <v>506</v>
      </c>
      <c r="B472">
        <v>56961137</v>
      </c>
      <c r="C472">
        <v>56960472</v>
      </c>
      <c r="D472">
        <v>56084707</v>
      </c>
      <c r="E472">
        <v>1</v>
      </c>
      <c r="F472">
        <v>1</v>
      </c>
      <c r="G472">
        <v>1080</v>
      </c>
      <c r="H472">
        <v>3</v>
      </c>
      <c r="I472" t="s">
        <v>538</v>
      </c>
      <c r="J472" t="s">
        <v>539</v>
      </c>
      <c r="K472" t="s">
        <v>540</v>
      </c>
      <c r="L472">
        <v>1355</v>
      </c>
      <c r="N472">
        <v>1010</v>
      </c>
      <c r="O472" t="s">
        <v>520</v>
      </c>
      <c r="P472" t="s">
        <v>520</v>
      </c>
      <c r="Q472">
        <v>100</v>
      </c>
      <c r="X472">
        <v>0.05</v>
      </c>
      <c r="Y472">
        <v>68.819999999999993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</v>
      </c>
      <c r="AG472">
        <v>0.05</v>
      </c>
      <c r="AH472">
        <v>2</v>
      </c>
      <c r="AI472">
        <v>56960478</v>
      </c>
      <c r="AJ472">
        <v>392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ROW(Source!A506)</f>
        <v>506</v>
      </c>
      <c r="B473">
        <v>56961138</v>
      </c>
      <c r="C473">
        <v>56960472</v>
      </c>
      <c r="D473">
        <v>56084718</v>
      </c>
      <c r="E473">
        <v>1</v>
      </c>
      <c r="F473">
        <v>1</v>
      </c>
      <c r="G473">
        <v>1080</v>
      </c>
      <c r="H473">
        <v>3</v>
      </c>
      <c r="I473" t="s">
        <v>541</v>
      </c>
      <c r="J473" t="s">
        <v>542</v>
      </c>
      <c r="K473" t="s">
        <v>543</v>
      </c>
      <c r="L473">
        <v>1356</v>
      </c>
      <c r="N473">
        <v>1010</v>
      </c>
      <c r="O473" t="s">
        <v>544</v>
      </c>
      <c r="P473" t="s">
        <v>544</v>
      </c>
      <c r="Q473">
        <v>1000</v>
      </c>
      <c r="X473">
        <v>1.2200000000000001E-2</v>
      </c>
      <c r="Y473">
        <v>183.4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3</v>
      </c>
      <c r="AG473">
        <v>1.2200000000000001E-2</v>
      </c>
      <c r="AH473">
        <v>2</v>
      </c>
      <c r="AI473">
        <v>56960479</v>
      </c>
      <c r="AJ473">
        <v>393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ROW(Source!A506)</f>
        <v>506</v>
      </c>
      <c r="B474">
        <v>56961139</v>
      </c>
      <c r="C474">
        <v>56960472</v>
      </c>
      <c r="D474">
        <v>56084044</v>
      </c>
      <c r="E474">
        <v>1</v>
      </c>
      <c r="F474">
        <v>1</v>
      </c>
      <c r="G474">
        <v>1080</v>
      </c>
      <c r="H474">
        <v>3</v>
      </c>
      <c r="I474" t="s">
        <v>545</v>
      </c>
      <c r="J474" t="s">
        <v>546</v>
      </c>
      <c r="K474" t="s">
        <v>547</v>
      </c>
      <c r="L474">
        <v>1354</v>
      </c>
      <c r="N474">
        <v>1010</v>
      </c>
      <c r="O474" t="s">
        <v>31</v>
      </c>
      <c r="P474" t="s">
        <v>31</v>
      </c>
      <c r="Q474">
        <v>1</v>
      </c>
      <c r="X474">
        <v>3.1</v>
      </c>
      <c r="Y474">
        <v>6.94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3</v>
      </c>
      <c r="AG474">
        <v>3.1</v>
      </c>
      <c r="AH474">
        <v>2</v>
      </c>
      <c r="AI474">
        <v>56960480</v>
      </c>
      <c r="AJ474">
        <v>394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ROW(Source!A506)</f>
        <v>506</v>
      </c>
      <c r="B475">
        <v>56961140</v>
      </c>
      <c r="C475">
        <v>56960472</v>
      </c>
      <c r="D475">
        <v>56084051</v>
      </c>
      <c r="E475">
        <v>1</v>
      </c>
      <c r="F475">
        <v>1</v>
      </c>
      <c r="G475">
        <v>1080</v>
      </c>
      <c r="H475">
        <v>3</v>
      </c>
      <c r="I475" t="s">
        <v>548</v>
      </c>
      <c r="J475" t="s">
        <v>549</v>
      </c>
      <c r="K475" t="s">
        <v>550</v>
      </c>
      <c r="L475">
        <v>1356</v>
      </c>
      <c r="N475">
        <v>1010</v>
      </c>
      <c r="O475" t="s">
        <v>544</v>
      </c>
      <c r="P475" t="s">
        <v>544</v>
      </c>
      <c r="Q475">
        <v>1000</v>
      </c>
      <c r="X475">
        <v>8.0000000000000002E-3</v>
      </c>
      <c r="Y475">
        <v>614.09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3</v>
      </c>
      <c r="AG475">
        <v>8.0000000000000002E-3</v>
      </c>
      <c r="AH475">
        <v>2</v>
      </c>
      <c r="AI475">
        <v>56960481</v>
      </c>
      <c r="AJ475">
        <v>395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ROW(Source!A506)</f>
        <v>506</v>
      </c>
      <c r="B476">
        <v>56961141</v>
      </c>
      <c r="C476">
        <v>56960472</v>
      </c>
      <c r="D476">
        <v>56033636</v>
      </c>
      <c r="E476">
        <v>1080</v>
      </c>
      <c r="F476">
        <v>1</v>
      </c>
      <c r="G476">
        <v>1080</v>
      </c>
      <c r="H476">
        <v>3</v>
      </c>
      <c r="I476" t="s">
        <v>653</v>
      </c>
      <c r="J476" t="s">
        <v>3</v>
      </c>
      <c r="K476" t="s">
        <v>654</v>
      </c>
      <c r="L476">
        <v>1303</v>
      </c>
      <c r="N476">
        <v>1003</v>
      </c>
      <c r="O476" t="s">
        <v>108</v>
      </c>
      <c r="P476" t="s">
        <v>108</v>
      </c>
      <c r="Q476">
        <v>1000</v>
      </c>
      <c r="X476">
        <v>0.10299999999999999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3</v>
      </c>
      <c r="AG476">
        <v>0.10299999999999999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ROW(Source!A544)</f>
        <v>544</v>
      </c>
      <c r="B477">
        <v>56961142</v>
      </c>
      <c r="C477">
        <v>56960550</v>
      </c>
      <c r="D477">
        <v>56018166</v>
      </c>
      <c r="E477">
        <v>1080</v>
      </c>
      <c r="F477">
        <v>1</v>
      </c>
      <c r="G477">
        <v>1080</v>
      </c>
      <c r="H477">
        <v>1</v>
      </c>
      <c r="I477" t="s">
        <v>500</v>
      </c>
      <c r="J477" t="s">
        <v>3</v>
      </c>
      <c r="K477" t="s">
        <v>501</v>
      </c>
      <c r="L477">
        <v>1191</v>
      </c>
      <c r="N477">
        <v>1013</v>
      </c>
      <c r="O477" t="s">
        <v>502</v>
      </c>
      <c r="P477" t="s">
        <v>502</v>
      </c>
      <c r="Q477">
        <v>1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 t="s">
        <v>23</v>
      </c>
      <c r="AG477">
        <v>2.2000000000000002</v>
      </c>
      <c r="AH477">
        <v>2</v>
      </c>
      <c r="AI477">
        <v>56960551</v>
      </c>
      <c r="AJ477">
        <v>397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ROW(Source!A544)</f>
        <v>544</v>
      </c>
      <c r="B478">
        <v>56961143</v>
      </c>
      <c r="C478">
        <v>56960550</v>
      </c>
      <c r="D478">
        <v>56092342</v>
      </c>
      <c r="E478">
        <v>1</v>
      </c>
      <c r="F478">
        <v>1</v>
      </c>
      <c r="G478">
        <v>1080</v>
      </c>
      <c r="H478">
        <v>2</v>
      </c>
      <c r="I478" t="s">
        <v>508</v>
      </c>
      <c r="J478" t="s">
        <v>509</v>
      </c>
      <c r="K478" t="s">
        <v>510</v>
      </c>
      <c r="L478">
        <v>1368</v>
      </c>
      <c r="N478">
        <v>1011</v>
      </c>
      <c r="O478" t="s">
        <v>506</v>
      </c>
      <c r="P478" t="s">
        <v>506</v>
      </c>
      <c r="Q478">
        <v>1</v>
      </c>
      <c r="X478">
        <v>0.02</v>
      </c>
      <c r="Y478">
        <v>0</v>
      </c>
      <c r="Z478">
        <v>119.07</v>
      </c>
      <c r="AA478">
        <v>12.62</v>
      </c>
      <c r="AB478">
        <v>0</v>
      </c>
      <c r="AC478">
        <v>0</v>
      </c>
      <c r="AD478">
        <v>1</v>
      </c>
      <c r="AE478">
        <v>0</v>
      </c>
      <c r="AF478" t="s">
        <v>23</v>
      </c>
      <c r="AG478">
        <v>2.2000000000000002E-2</v>
      </c>
      <c r="AH478">
        <v>2</v>
      </c>
      <c r="AI478">
        <v>56960552</v>
      </c>
      <c r="AJ478">
        <v>398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ROW(Source!A544)</f>
        <v>544</v>
      </c>
      <c r="B479">
        <v>56961144</v>
      </c>
      <c r="C479">
        <v>56960550</v>
      </c>
      <c r="D479">
        <v>56061656</v>
      </c>
      <c r="E479">
        <v>1</v>
      </c>
      <c r="F479">
        <v>1</v>
      </c>
      <c r="G479">
        <v>1080</v>
      </c>
      <c r="H479">
        <v>3</v>
      </c>
      <c r="I479" t="s">
        <v>511</v>
      </c>
      <c r="J479" t="s">
        <v>512</v>
      </c>
      <c r="K479" t="s">
        <v>513</v>
      </c>
      <c r="L479">
        <v>1346</v>
      </c>
      <c r="N479">
        <v>1009</v>
      </c>
      <c r="O479" t="s">
        <v>249</v>
      </c>
      <c r="P479" t="s">
        <v>249</v>
      </c>
      <c r="Q479">
        <v>1</v>
      </c>
      <c r="X479">
        <v>0.9</v>
      </c>
      <c r="Y479">
        <v>104.63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3</v>
      </c>
      <c r="AG479">
        <v>0.9</v>
      </c>
      <c r="AH479">
        <v>2</v>
      </c>
      <c r="AI479">
        <v>56960553</v>
      </c>
      <c r="AJ479">
        <v>399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ROW(Source!A544)</f>
        <v>544</v>
      </c>
      <c r="B480">
        <v>56961145</v>
      </c>
      <c r="C480">
        <v>56960550</v>
      </c>
      <c r="D480">
        <v>56063129</v>
      </c>
      <c r="E480">
        <v>1</v>
      </c>
      <c r="F480">
        <v>1</v>
      </c>
      <c r="G480">
        <v>1080</v>
      </c>
      <c r="H480">
        <v>3</v>
      </c>
      <c r="I480" t="s">
        <v>514</v>
      </c>
      <c r="J480" t="s">
        <v>515</v>
      </c>
      <c r="K480" t="s">
        <v>516</v>
      </c>
      <c r="L480">
        <v>1348</v>
      </c>
      <c r="N480">
        <v>1009</v>
      </c>
      <c r="O480" t="s">
        <v>291</v>
      </c>
      <c r="P480" t="s">
        <v>291</v>
      </c>
      <c r="Q480">
        <v>1000</v>
      </c>
      <c r="X480">
        <v>2.6999999999999999E-5</v>
      </c>
      <c r="Y480">
        <v>15568.37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3</v>
      </c>
      <c r="AG480">
        <v>2.6999999999999999E-5</v>
      </c>
      <c r="AH480">
        <v>2</v>
      </c>
      <c r="AI480">
        <v>56960554</v>
      </c>
      <c r="AJ480">
        <v>400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ROW(Source!A544)</f>
        <v>544</v>
      </c>
      <c r="B481">
        <v>56961146</v>
      </c>
      <c r="C481">
        <v>56960550</v>
      </c>
      <c r="D481">
        <v>56067341</v>
      </c>
      <c r="E481">
        <v>1</v>
      </c>
      <c r="F481">
        <v>1</v>
      </c>
      <c r="G481">
        <v>1080</v>
      </c>
      <c r="H481">
        <v>3</v>
      </c>
      <c r="I481" t="s">
        <v>517</v>
      </c>
      <c r="J481" t="s">
        <v>518</v>
      </c>
      <c r="K481" t="s">
        <v>519</v>
      </c>
      <c r="L481">
        <v>1355</v>
      </c>
      <c r="N481">
        <v>1010</v>
      </c>
      <c r="O481" t="s">
        <v>520</v>
      </c>
      <c r="P481" t="s">
        <v>520</v>
      </c>
      <c r="Q481">
        <v>100</v>
      </c>
      <c r="X481">
        <v>0.12</v>
      </c>
      <c r="Y481">
        <v>120.19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</v>
      </c>
      <c r="AG481">
        <v>0.12</v>
      </c>
      <c r="AH481">
        <v>2</v>
      </c>
      <c r="AI481">
        <v>56960555</v>
      </c>
      <c r="AJ481">
        <v>401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ROW(Source!A544)</f>
        <v>544</v>
      </c>
      <c r="B482">
        <v>56961147</v>
      </c>
      <c r="C482">
        <v>56960550</v>
      </c>
      <c r="D482">
        <v>56048882</v>
      </c>
      <c r="E482">
        <v>1080</v>
      </c>
      <c r="F482">
        <v>1</v>
      </c>
      <c r="G482">
        <v>1080</v>
      </c>
      <c r="H482">
        <v>3</v>
      </c>
      <c r="I482" t="s">
        <v>634</v>
      </c>
      <c r="J482" t="s">
        <v>3</v>
      </c>
      <c r="K482" t="s">
        <v>635</v>
      </c>
      <c r="L482">
        <v>1354</v>
      </c>
      <c r="N482">
        <v>1010</v>
      </c>
      <c r="O482" t="s">
        <v>31</v>
      </c>
      <c r="P482" t="s">
        <v>31</v>
      </c>
      <c r="Q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3</v>
      </c>
      <c r="AG482">
        <v>1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ROW(Source!A544)</f>
        <v>544</v>
      </c>
      <c r="B483">
        <v>56961148</v>
      </c>
      <c r="C483">
        <v>56960550</v>
      </c>
      <c r="D483">
        <v>56023168</v>
      </c>
      <c r="E483">
        <v>1080</v>
      </c>
      <c r="F483">
        <v>1</v>
      </c>
      <c r="G483">
        <v>1080</v>
      </c>
      <c r="H483">
        <v>3</v>
      </c>
      <c r="I483" t="s">
        <v>521</v>
      </c>
      <c r="J483" t="s">
        <v>3</v>
      </c>
      <c r="K483" t="s">
        <v>522</v>
      </c>
      <c r="L483">
        <v>1348</v>
      </c>
      <c r="N483">
        <v>1009</v>
      </c>
      <c r="O483" t="s">
        <v>291</v>
      </c>
      <c r="P483" t="s">
        <v>291</v>
      </c>
      <c r="Q483">
        <v>1000</v>
      </c>
      <c r="X483">
        <v>2.7E-2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</v>
      </c>
      <c r="AG483">
        <v>2.7E-2</v>
      </c>
      <c r="AH483">
        <v>2</v>
      </c>
      <c r="AI483">
        <v>56960556</v>
      </c>
      <c r="AJ483">
        <v>403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ROW(Source!A545)</f>
        <v>545</v>
      </c>
      <c r="B484">
        <v>56961142</v>
      </c>
      <c r="C484">
        <v>56960550</v>
      </c>
      <c r="D484">
        <v>56018166</v>
      </c>
      <c r="E484">
        <v>1080</v>
      </c>
      <c r="F484">
        <v>1</v>
      </c>
      <c r="G484">
        <v>1080</v>
      </c>
      <c r="H484">
        <v>1</v>
      </c>
      <c r="I484" t="s">
        <v>500</v>
      </c>
      <c r="J484" t="s">
        <v>3</v>
      </c>
      <c r="K484" t="s">
        <v>501</v>
      </c>
      <c r="L484">
        <v>1191</v>
      </c>
      <c r="N484">
        <v>1013</v>
      </c>
      <c r="O484" t="s">
        <v>502</v>
      </c>
      <c r="P484" t="s">
        <v>502</v>
      </c>
      <c r="Q484">
        <v>1</v>
      </c>
      <c r="X484">
        <v>2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1</v>
      </c>
      <c r="AF484" t="s">
        <v>23</v>
      </c>
      <c r="AG484">
        <v>2.2000000000000002</v>
      </c>
      <c r="AH484">
        <v>2</v>
      </c>
      <c r="AI484">
        <v>56960551</v>
      </c>
      <c r="AJ484">
        <v>404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ROW(Source!A545)</f>
        <v>545</v>
      </c>
      <c r="B485">
        <v>56961143</v>
      </c>
      <c r="C485">
        <v>56960550</v>
      </c>
      <c r="D485">
        <v>56092342</v>
      </c>
      <c r="E485">
        <v>1</v>
      </c>
      <c r="F485">
        <v>1</v>
      </c>
      <c r="G485">
        <v>1080</v>
      </c>
      <c r="H485">
        <v>2</v>
      </c>
      <c r="I485" t="s">
        <v>508</v>
      </c>
      <c r="J485" t="s">
        <v>509</v>
      </c>
      <c r="K485" t="s">
        <v>510</v>
      </c>
      <c r="L485">
        <v>1368</v>
      </c>
      <c r="N485">
        <v>1011</v>
      </c>
      <c r="O485" t="s">
        <v>506</v>
      </c>
      <c r="P485" t="s">
        <v>506</v>
      </c>
      <c r="Q485">
        <v>1</v>
      </c>
      <c r="X485">
        <v>0.02</v>
      </c>
      <c r="Y485">
        <v>0</v>
      </c>
      <c r="Z485">
        <v>119.07</v>
      </c>
      <c r="AA485">
        <v>12.62</v>
      </c>
      <c r="AB485">
        <v>0</v>
      </c>
      <c r="AC485">
        <v>0</v>
      </c>
      <c r="AD485">
        <v>1</v>
      </c>
      <c r="AE485">
        <v>0</v>
      </c>
      <c r="AF485" t="s">
        <v>23</v>
      </c>
      <c r="AG485">
        <v>2.2000000000000002E-2</v>
      </c>
      <c r="AH485">
        <v>2</v>
      </c>
      <c r="AI485">
        <v>56960552</v>
      </c>
      <c r="AJ485">
        <v>405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ROW(Source!A545)</f>
        <v>545</v>
      </c>
      <c r="B486">
        <v>56961144</v>
      </c>
      <c r="C486">
        <v>56960550</v>
      </c>
      <c r="D486">
        <v>56061656</v>
      </c>
      <c r="E486">
        <v>1</v>
      </c>
      <c r="F486">
        <v>1</v>
      </c>
      <c r="G486">
        <v>1080</v>
      </c>
      <c r="H486">
        <v>3</v>
      </c>
      <c r="I486" t="s">
        <v>511</v>
      </c>
      <c r="J486" t="s">
        <v>512</v>
      </c>
      <c r="K486" t="s">
        <v>513</v>
      </c>
      <c r="L486">
        <v>1346</v>
      </c>
      <c r="N486">
        <v>1009</v>
      </c>
      <c r="O486" t="s">
        <v>249</v>
      </c>
      <c r="P486" t="s">
        <v>249</v>
      </c>
      <c r="Q486">
        <v>1</v>
      </c>
      <c r="X486">
        <v>0.9</v>
      </c>
      <c r="Y486">
        <v>104.63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3</v>
      </c>
      <c r="AG486">
        <v>0.9</v>
      </c>
      <c r="AH486">
        <v>2</v>
      </c>
      <c r="AI486">
        <v>56960553</v>
      </c>
      <c r="AJ486">
        <v>406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ROW(Source!A545)</f>
        <v>545</v>
      </c>
      <c r="B487">
        <v>56961145</v>
      </c>
      <c r="C487">
        <v>56960550</v>
      </c>
      <c r="D487">
        <v>56063129</v>
      </c>
      <c r="E487">
        <v>1</v>
      </c>
      <c r="F487">
        <v>1</v>
      </c>
      <c r="G487">
        <v>1080</v>
      </c>
      <c r="H487">
        <v>3</v>
      </c>
      <c r="I487" t="s">
        <v>514</v>
      </c>
      <c r="J487" t="s">
        <v>515</v>
      </c>
      <c r="K487" t="s">
        <v>516</v>
      </c>
      <c r="L487">
        <v>1348</v>
      </c>
      <c r="N487">
        <v>1009</v>
      </c>
      <c r="O487" t="s">
        <v>291</v>
      </c>
      <c r="P487" t="s">
        <v>291</v>
      </c>
      <c r="Q487">
        <v>1000</v>
      </c>
      <c r="X487">
        <v>2.6999999999999999E-5</v>
      </c>
      <c r="Y487">
        <v>15568.37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3</v>
      </c>
      <c r="AG487">
        <v>2.6999999999999999E-5</v>
      </c>
      <c r="AH487">
        <v>2</v>
      </c>
      <c r="AI487">
        <v>56960554</v>
      </c>
      <c r="AJ487">
        <v>407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ROW(Source!A545)</f>
        <v>545</v>
      </c>
      <c r="B488">
        <v>56961146</v>
      </c>
      <c r="C488">
        <v>56960550</v>
      </c>
      <c r="D488">
        <v>56067341</v>
      </c>
      <c r="E488">
        <v>1</v>
      </c>
      <c r="F488">
        <v>1</v>
      </c>
      <c r="G488">
        <v>1080</v>
      </c>
      <c r="H488">
        <v>3</v>
      </c>
      <c r="I488" t="s">
        <v>517</v>
      </c>
      <c r="J488" t="s">
        <v>518</v>
      </c>
      <c r="K488" t="s">
        <v>519</v>
      </c>
      <c r="L488">
        <v>1355</v>
      </c>
      <c r="N488">
        <v>1010</v>
      </c>
      <c r="O488" t="s">
        <v>520</v>
      </c>
      <c r="P488" t="s">
        <v>520</v>
      </c>
      <c r="Q488">
        <v>100</v>
      </c>
      <c r="X488">
        <v>0.12</v>
      </c>
      <c r="Y488">
        <v>120.19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3</v>
      </c>
      <c r="AG488">
        <v>0.12</v>
      </c>
      <c r="AH488">
        <v>2</v>
      </c>
      <c r="AI488">
        <v>56960555</v>
      </c>
      <c r="AJ488">
        <v>408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ROW(Source!A545)</f>
        <v>545</v>
      </c>
      <c r="B489">
        <v>56961147</v>
      </c>
      <c r="C489">
        <v>56960550</v>
      </c>
      <c r="D489">
        <v>56048882</v>
      </c>
      <c r="E489">
        <v>1080</v>
      </c>
      <c r="F489">
        <v>1</v>
      </c>
      <c r="G489">
        <v>1080</v>
      </c>
      <c r="H489">
        <v>3</v>
      </c>
      <c r="I489" t="s">
        <v>634</v>
      </c>
      <c r="J489" t="s">
        <v>3</v>
      </c>
      <c r="K489" t="s">
        <v>635</v>
      </c>
      <c r="L489">
        <v>1354</v>
      </c>
      <c r="N489">
        <v>1010</v>
      </c>
      <c r="O489" t="s">
        <v>31</v>
      </c>
      <c r="P489" t="s">
        <v>31</v>
      </c>
      <c r="Q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3</v>
      </c>
      <c r="AG489">
        <v>1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ROW(Source!A545)</f>
        <v>545</v>
      </c>
      <c r="B490">
        <v>56961148</v>
      </c>
      <c r="C490">
        <v>56960550</v>
      </c>
      <c r="D490">
        <v>56023168</v>
      </c>
      <c r="E490">
        <v>1080</v>
      </c>
      <c r="F490">
        <v>1</v>
      </c>
      <c r="G490">
        <v>1080</v>
      </c>
      <c r="H490">
        <v>3</v>
      </c>
      <c r="I490" t="s">
        <v>521</v>
      </c>
      <c r="J490" t="s">
        <v>3</v>
      </c>
      <c r="K490" t="s">
        <v>522</v>
      </c>
      <c r="L490">
        <v>1348</v>
      </c>
      <c r="N490">
        <v>1009</v>
      </c>
      <c r="O490" t="s">
        <v>291</v>
      </c>
      <c r="P490" t="s">
        <v>291</v>
      </c>
      <c r="Q490">
        <v>1000</v>
      </c>
      <c r="X490">
        <v>2.7E-2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3</v>
      </c>
      <c r="AG490">
        <v>2.7E-2</v>
      </c>
      <c r="AH490">
        <v>2</v>
      </c>
      <c r="AI490">
        <v>56960556</v>
      </c>
      <c r="AJ490">
        <v>410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ROW(Source!A548)</f>
        <v>548</v>
      </c>
      <c r="B491">
        <v>56961149</v>
      </c>
      <c r="C491">
        <v>56960566</v>
      </c>
      <c r="D491">
        <v>56018166</v>
      </c>
      <c r="E491">
        <v>1080</v>
      </c>
      <c r="F491">
        <v>1</v>
      </c>
      <c r="G491">
        <v>1080</v>
      </c>
      <c r="H491">
        <v>1</v>
      </c>
      <c r="I491" t="s">
        <v>500</v>
      </c>
      <c r="J491" t="s">
        <v>3</v>
      </c>
      <c r="K491" t="s">
        <v>501</v>
      </c>
      <c r="L491">
        <v>1191</v>
      </c>
      <c r="N491">
        <v>1013</v>
      </c>
      <c r="O491" t="s">
        <v>502</v>
      </c>
      <c r="P491" t="s">
        <v>502</v>
      </c>
      <c r="Q491">
        <v>1</v>
      </c>
      <c r="X491">
        <v>29.96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23</v>
      </c>
      <c r="AG491">
        <v>32.956000000000003</v>
      </c>
      <c r="AH491">
        <v>2</v>
      </c>
      <c r="AI491">
        <v>56960567</v>
      </c>
      <c r="AJ491">
        <v>411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ROW(Source!A548)</f>
        <v>548</v>
      </c>
      <c r="B492">
        <v>56961150</v>
      </c>
      <c r="C492">
        <v>56960566</v>
      </c>
      <c r="D492">
        <v>56092340</v>
      </c>
      <c r="E492">
        <v>1</v>
      </c>
      <c r="F492">
        <v>1</v>
      </c>
      <c r="G492">
        <v>1080</v>
      </c>
      <c r="H492">
        <v>2</v>
      </c>
      <c r="I492" t="s">
        <v>503</v>
      </c>
      <c r="J492" t="s">
        <v>504</v>
      </c>
      <c r="K492" t="s">
        <v>505</v>
      </c>
      <c r="L492">
        <v>1368</v>
      </c>
      <c r="N492">
        <v>1011</v>
      </c>
      <c r="O492" t="s">
        <v>506</v>
      </c>
      <c r="P492" t="s">
        <v>506</v>
      </c>
      <c r="Q492">
        <v>1</v>
      </c>
      <c r="X492">
        <v>0.01</v>
      </c>
      <c r="Y492">
        <v>0</v>
      </c>
      <c r="Z492">
        <v>83.1</v>
      </c>
      <c r="AA492">
        <v>12.62</v>
      </c>
      <c r="AB492">
        <v>0</v>
      </c>
      <c r="AC492">
        <v>0</v>
      </c>
      <c r="AD492">
        <v>1</v>
      </c>
      <c r="AE492">
        <v>0</v>
      </c>
      <c r="AF492" t="s">
        <v>23</v>
      </c>
      <c r="AG492">
        <v>1.1000000000000001E-2</v>
      </c>
      <c r="AH492">
        <v>2</v>
      </c>
      <c r="AI492">
        <v>56960568</v>
      </c>
      <c r="AJ492">
        <v>412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ROW(Source!A548)</f>
        <v>548</v>
      </c>
      <c r="B493">
        <v>56961151</v>
      </c>
      <c r="C493">
        <v>56960566</v>
      </c>
      <c r="D493">
        <v>56092425</v>
      </c>
      <c r="E493">
        <v>1</v>
      </c>
      <c r="F493">
        <v>1</v>
      </c>
      <c r="G493">
        <v>1080</v>
      </c>
      <c r="H493">
        <v>2</v>
      </c>
      <c r="I493" t="s">
        <v>523</v>
      </c>
      <c r="J493" t="s">
        <v>524</v>
      </c>
      <c r="K493" t="s">
        <v>525</v>
      </c>
      <c r="L493">
        <v>1368</v>
      </c>
      <c r="N493">
        <v>1011</v>
      </c>
      <c r="O493" t="s">
        <v>506</v>
      </c>
      <c r="P493" t="s">
        <v>506</v>
      </c>
      <c r="Q493">
        <v>1</v>
      </c>
      <c r="X493">
        <v>0.57999999999999996</v>
      </c>
      <c r="Y493">
        <v>0</v>
      </c>
      <c r="Z493">
        <v>0.47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23</v>
      </c>
      <c r="AG493">
        <v>0.63800000000000001</v>
      </c>
      <c r="AH493">
        <v>2</v>
      </c>
      <c r="AI493">
        <v>56960569</v>
      </c>
      <c r="AJ493">
        <v>413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ROW(Source!A548)</f>
        <v>548</v>
      </c>
      <c r="B494">
        <v>56961152</v>
      </c>
      <c r="C494">
        <v>56960566</v>
      </c>
      <c r="D494">
        <v>56062222</v>
      </c>
      <c r="E494">
        <v>1</v>
      </c>
      <c r="F494">
        <v>1</v>
      </c>
      <c r="G494">
        <v>1080</v>
      </c>
      <c r="H494">
        <v>3</v>
      </c>
      <c r="I494" t="s">
        <v>526</v>
      </c>
      <c r="J494" t="s">
        <v>527</v>
      </c>
      <c r="K494" t="s">
        <v>528</v>
      </c>
      <c r="L494">
        <v>1348</v>
      </c>
      <c r="N494">
        <v>1009</v>
      </c>
      <c r="O494" t="s">
        <v>291</v>
      </c>
      <c r="P494" t="s">
        <v>291</v>
      </c>
      <c r="Q494">
        <v>1000</v>
      </c>
      <c r="X494">
        <v>9.0000000000000006E-5</v>
      </c>
      <c r="Y494">
        <v>14327.51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</v>
      </c>
      <c r="AG494">
        <v>9.0000000000000006E-5</v>
      </c>
      <c r="AH494">
        <v>2</v>
      </c>
      <c r="AI494">
        <v>56960570</v>
      </c>
      <c r="AJ494">
        <v>414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ROW(Source!A548)</f>
        <v>548</v>
      </c>
      <c r="B495">
        <v>56961153</v>
      </c>
      <c r="C495">
        <v>56960566</v>
      </c>
      <c r="D495">
        <v>56040227</v>
      </c>
      <c r="E495">
        <v>1080</v>
      </c>
      <c r="F495">
        <v>1</v>
      </c>
      <c r="G495">
        <v>1080</v>
      </c>
      <c r="H495">
        <v>3</v>
      </c>
      <c r="I495" t="s">
        <v>637</v>
      </c>
      <c r="J495" t="s">
        <v>3</v>
      </c>
      <c r="K495" t="s">
        <v>638</v>
      </c>
      <c r="L495">
        <v>1358</v>
      </c>
      <c r="N495">
        <v>1010</v>
      </c>
      <c r="O495" t="s">
        <v>58</v>
      </c>
      <c r="P495" t="s">
        <v>58</v>
      </c>
      <c r="Q495">
        <v>10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3</v>
      </c>
      <c r="AG495">
        <v>1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ROW(Source!A549)</f>
        <v>549</v>
      </c>
      <c r="B496">
        <v>56961149</v>
      </c>
      <c r="C496">
        <v>56960566</v>
      </c>
      <c r="D496">
        <v>56018166</v>
      </c>
      <c r="E496">
        <v>1080</v>
      </c>
      <c r="F496">
        <v>1</v>
      </c>
      <c r="G496">
        <v>1080</v>
      </c>
      <c r="H496">
        <v>1</v>
      </c>
      <c r="I496" t="s">
        <v>500</v>
      </c>
      <c r="J496" t="s">
        <v>3</v>
      </c>
      <c r="K496" t="s">
        <v>501</v>
      </c>
      <c r="L496">
        <v>1191</v>
      </c>
      <c r="N496">
        <v>1013</v>
      </c>
      <c r="O496" t="s">
        <v>502</v>
      </c>
      <c r="P496" t="s">
        <v>502</v>
      </c>
      <c r="Q496">
        <v>1</v>
      </c>
      <c r="X496">
        <v>29.96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23</v>
      </c>
      <c r="AG496">
        <v>32.956000000000003</v>
      </c>
      <c r="AH496">
        <v>2</v>
      </c>
      <c r="AI496">
        <v>56960567</v>
      </c>
      <c r="AJ496">
        <v>415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ROW(Source!A549)</f>
        <v>549</v>
      </c>
      <c r="B497">
        <v>56961150</v>
      </c>
      <c r="C497">
        <v>56960566</v>
      </c>
      <c r="D497">
        <v>56092340</v>
      </c>
      <c r="E497">
        <v>1</v>
      </c>
      <c r="F497">
        <v>1</v>
      </c>
      <c r="G497">
        <v>1080</v>
      </c>
      <c r="H497">
        <v>2</v>
      </c>
      <c r="I497" t="s">
        <v>503</v>
      </c>
      <c r="J497" t="s">
        <v>504</v>
      </c>
      <c r="K497" t="s">
        <v>505</v>
      </c>
      <c r="L497">
        <v>1368</v>
      </c>
      <c r="N497">
        <v>1011</v>
      </c>
      <c r="O497" t="s">
        <v>506</v>
      </c>
      <c r="P497" t="s">
        <v>506</v>
      </c>
      <c r="Q497">
        <v>1</v>
      </c>
      <c r="X497">
        <v>0.01</v>
      </c>
      <c r="Y497">
        <v>0</v>
      </c>
      <c r="Z497">
        <v>83.1</v>
      </c>
      <c r="AA497">
        <v>12.62</v>
      </c>
      <c r="AB497">
        <v>0</v>
      </c>
      <c r="AC497">
        <v>0</v>
      </c>
      <c r="AD497">
        <v>1</v>
      </c>
      <c r="AE497">
        <v>0</v>
      </c>
      <c r="AF497" t="s">
        <v>23</v>
      </c>
      <c r="AG497">
        <v>1.1000000000000001E-2</v>
      </c>
      <c r="AH497">
        <v>2</v>
      </c>
      <c r="AI497">
        <v>56960568</v>
      </c>
      <c r="AJ497">
        <v>416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ROW(Source!A549)</f>
        <v>549</v>
      </c>
      <c r="B498">
        <v>56961151</v>
      </c>
      <c r="C498">
        <v>56960566</v>
      </c>
      <c r="D498">
        <v>56092425</v>
      </c>
      <c r="E498">
        <v>1</v>
      </c>
      <c r="F498">
        <v>1</v>
      </c>
      <c r="G498">
        <v>1080</v>
      </c>
      <c r="H498">
        <v>2</v>
      </c>
      <c r="I498" t="s">
        <v>523</v>
      </c>
      <c r="J498" t="s">
        <v>524</v>
      </c>
      <c r="K498" t="s">
        <v>525</v>
      </c>
      <c r="L498">
        <v>1368</v>
      </c>
      <c r="N498">
        <v>1011</v>
      </c>
      <c r="O498" t="s">
        <v>506</v>
      </c>
      <c r="P498" t="s">
        <v>506</v>
      </c>
      <c r="Q498">
        <v>1</v>
      </c>
      <c r="X498">
        <v>0.57999999999999996</v>
      </c>
      <c r="Y498">
        <v>0</v>
      </c>
      <c r="Z498">
        <v>0.47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23</v>
      </c>
      <c r="AG498">
        <v>0.63800000000000001</v>
      </c>
      <c r="AH498">
        <v>2</v>
      </c>
      <c r="AI498">
        <v>56960569</v>
      </c>
      <c r="AJ498">
        <v>417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ROW(Source!A549)</f>
        <v>549</v>
      </c>
      <c r="B499">
        <v>56961152</v>
      </c>
      <c r="C499">
        <v>56960566</v>
      </c>
      <c r="D499">
        <v>56062222</v>
      </c>
      <c r="E499">
        <v>1</v>
      </c>
      <c r="F499">
        <v>1</v>
      </c>
      <c r="G499">
        <v>1080</v>
      </c>
      <c r="H499">
        <v>3</v>
      </c>
      <c r="I499" t="s">
        <v>526</v>
      </c>
      <c r="J499" t="s">
        <v>527</v>
      </c>
      <c r="K499" t="s">
        <v>528</v>
      </c>
      <c r="L499">
        <v>1348</v>
      </c>
      <c r="N499">
        <v>1009</v>
      </c>
      <c r="O499" t="s">
        <v>291</v>
      </c>
      <c r="P499" t="s">
        <v>291</v>
      </c>
      <c r="Q499">
        <v>1000</v>
      </c>
      <c r="X499">
        <v>9.0000000000000006E-5</v>
      </c>
      <c r="Y499">
        <v>14327.51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3</v>
      </c>
      <c r="AG499">
        <v>9.0000000000000006E-5</v>
      </c>
      <c r="AH499">
        <v>2</v>
      </c>
      <c r="AI499">
        <v>56960570</v>
      </c>
      <c r="AJ499">
        <v>418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ROW(Source!A549)</f>
        <v>549</v>
      </c>
      <c r="B500">
        <v>56961153</v>
      </c>
      <c r="C500">
        <v>56960566</v>
      </c>
      <c r="D500">
        <v>56040227</v>
      </c>
      <c r="E500">
        <v>1080</v>
      </c>
      <c r="F500">
        <v>1</v>
      </c>
      <c r="G500">
        <v>1080</v>
      </c>
      <c r="H500">
        <v>3</v>
      </c>
      <c r="I500" t="s">
        <v>637</v>
      </c>
      <c r="J500" t="s">
        <v>3</v>
      </c>
      <c r="K500" t="s">
        <v>638</v>
      </c>
      <c r="L500">
        <v>1358</v>
      </c>
      <c r="N500">
        <v>1010</v>
      </c>
      <c r="O500" t="s">
        <v>58</v>
      </c>
      <c r="P500" t="s">
        <v>58</v>
      </c>
      <c r="Q500">
        <v>10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3</v>
      </c>
      <c r="AG500">
        <v>1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ROW(Source!A552)</f>
        <v>552</v>
      </c>
      <c r="B501">
        <v>56961154</v>
      </c>
      <c r="C501">
        <v>56960577</v>
      </c>
      <c r="D501">
        <v>56018166</v>
      </c>
      <c r="E501">
        <v>1080</v>
      </c>
      <c r="F501">
        <v>1</v>
      </c>
      <c r="G501">
        <v>1080</v>
      </c>
      <c r="H501">
        <v>1</v>
      </c>
      <c r="I501" t="s">
        <v>500</v>
      </c>
      <c r="J501" t="s">
        <v>3</v>
      </c>
      <c r="K501" t="s">
        <v>501</v>
      </c>
      <c r="L501">
        <v>1191</v>
      </c>
      <c r="N501">
        <v>1013</v>
      </c>
      <c r="O501" t="s">
        <v>502</v>
      </c>
      <c r="P501" t="s">
        <v>502</v>
      </c>
      <c r="Q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1</v>
      </c>
      <c r="AF501" t="s">
        <v>23</v>
      </c>
      <c r="AG501">
        <v>1.1000000000000001</v>
      </c>
      <c r="AH501">
        <v>2</v>
      </c>
      <c r="AI501">
        <v>56960578</v>
      </c>
      <c r="AJ501">
        <v>419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ROW(Source!A552)</f>
        <v>552</v>
      </c>
      <c r="B502">
        <v>56961155</v>
      </c>
      <c r="C502">
        <v>56960577</v>
      </c>
      <c r="D502">
        <v>56056342</v>
      </c>
      <c r="E502">
        <v>1080</v>
      </c>
      <c r="F502">
        <v>1</v>
      </c>
      <c r="G502">
        <v>1080</v>
      </c>
      <c r="H502">
        <v>3</v>
      </c>
      <c r="I502" t="s">
        <v>657</v>
      </c>
      <c r="J502" t="s">
        <v>3</v>
      </c>
      <c r="K502" t="s">
        <v>672</v>
      </c>
      <c r="L502">
        <v>1354</v>
      </c>
      <c r="N502">
        <v>1010</v>
      </c>
      <c r="O502" t="s">
        <v>31</v>
      </c>
      <c r="P502" t="s">
        <v>31</v>
      </c>
      <c r="Q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3</v>
      </c>
      <c r="AG502">
        <v>1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ROW(Source!A552)</f>
        <v>552</v>
      </c>
      <c r="B503">
        <v>56961156</v>
      </c>
      <c r="C503">
        <v>56960577</v>
      </c>
      <c r="D503">
        <v>56023168</v>
      </c>
      <c r="E503">
        <v>1080</v>
      </c>
      <c r="F503">
        <v>1</v>
      </c>
      <c r="G503">
        <v>1080</v>
      </c>
      <c r="H503">
        <v>3</v>
      </c>
      <c r="I503" t="s">
        <v>521</v>
      </c>
      <c r="J503" t="s">
        <v>3</v>
      </c>
      <c r="K503" t="s">
        <v>522</v>
      </c>
      <c r="L503">
        <v>1348</v>
      </c>
      <c r="N503">
        <v>1009</v>
      </c>
      <c r="O503" t="s">
        <v>291</v>
      </c>
      <c r="P503" t="s">
        <v>291</v>
      </c>
      <c r="Q503">
        <v>1000</v>
      </c>
      <c r="X503">
        <v>5.9999999999999995E-4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3</v>
      </c>
      <c r="AG503">
        <v>5.9999999999999995E-4</v>
      </c>
      <c r="AH503">
        <v>2</v>
      </c>
      <c r="AI503">
        <v>56960579</v>
      </c>
      <c r="AJ503">
        <v>420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ROW(Source!A553)</f>
        <v>553</v>
      </c>
      <c r="B504">
        <v>56961154</v>
      </c>
      <c r="C504">
        <v>56960577</v>
      </c>
      <c r="D504">
        <v>56018166</v>
      </c>
      <c r="E504">
        <v>1080</v>
      </c>
      <c r="F504">
        <v>1</v>
      </c>
      <c r="G504">
        <v>1080</v>
      </c>
      <c r="H504">
        <v>1</v>
      </c>
      <c r="I504" t="s">
        <v>500</v>
      </c>
      <c r="J504" t="s">
        <v>3</v>
      </c>
      <c r="K504" t="s">
        <v>501</v>
      </c>
      <c r="L504">
        <v>1191</v>
      </c>
      <c r="N504">
        <v>1013</v>
      </c>
      <c r="O504" t="s">
        <v>502</v>
      </c>
      <c r="P504" t="s">
        <v>502</v>
      </c>
      <c r="Q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 t="s">
        <v>23</v>
      </c>
      <c r="AG504">
        <v>1.1000000000000001</v>
      </c>
      <c r="AH504">
        <v>2</v>
      </c>
      <c r="AI504">
        <v>56960578</v>
      </c>
      <c r="AJ504">
        <v>421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ROW(Source!A553)</f>
        <v>553</v>
      </c>
      <c r="B505">
        <v>56961155</v>
      </c>
      <c r="C505">
        <v>56960577</v>
      </c>
      <c r="D505">
        <v>56056342</v>
      </c>
      <c r="E505">
        <v>1080</v>
      </c>
      <c r="F505">
        <v>1</v>
      </c>
      <c r="G505">
        <v>1080</v>
      </c>
      <c r="H505">
        <v>3</v>
      </c>
      <c r="I505" t="s">
        <v>657</v>
      </c>
      <c r="J505" t="s">
        <v>3</v>
      </c>
      <c r="K505" t="s">
        <v>672</v>
      </c>
      <c r="L505">
        <v>1354</v>
      </c>
      <c r="N505">
        <v>1010</v>
      </c>
      <c r="O505" t="s">
        <v>31</v>
      </c>
      <c r="P505" t="s">
        <v>31</v>
      </c>
      <c r="Q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3</v>
      </c>
      <c r="AG505">
        <v>1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ROW(Source!A553)</f>
        <v>553</v>
      </c>
      <c r="B506">
        <v>56961156</v>
      </c>
      <c r="C506">
        <v>56960577</v>
      </c>
      <c r="D506">
        <v>56023168</v>
      </c>
      <c r="E506">
        <v>1080</v>
      </c>
      <c r="F506">
        <v>1</v>
      </c>
      <c r="G506">
        <v>1080</v>
      </c>
      <c r="H506">
        <v>3</v>
      </c>
      <c r="I506" t="s">
        <v>521</v>
      </c>
      <c r="J506" t="s">
        <v>3</v>
      </c>
      <c r="K506" t="s">
        <v>522</v>
      </c>
      <c r="L506">
        <v>1348</v>
      </c>
      <c r="N506">
        <v>1009</v>
      </c>
      <c r="O506" t="s">
        <v>291</v>
      </c>
      <c r="P506" t="s">
        <v>291</v>
      </c>
      <c r="Q506">
        <v>1000</v>
      </c>
      <c r="X506">
        <v>5.9999999999999995E-4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</v>
      </c>
      <c r="AG506">
        <v>5.9999999999999995E-4</v>
      </c>
      <c r="AH506">
        <v>2</v>
      </c>
      <c r="AI506">
        <v>56960579</v>
      </c>
      <c r="AJ506">
        <v>422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ROW(Source!A556)</f>
        <v>556</v>
      </c>
      <c r="B507">
        <v>56961157</v>
      </c>
      <c r="C507">
        <v>56960584</v>
      </c>
      <c r="D507">
        <v>56018166</v>
      </c>
      <c r="E507">
        <v>1080</v>
      </c>
      <c r="F507">
        <v>1</v>
      </c>
      <c r="G507">
        <v>1080</v>
      </c>
      <c r="H507">
        <v>1</v>
      </c>
      <c r="I507" t="s">
        <v>500</v>
      </c>
      <c r="J507" t="s">
        <v>3</v>
      </c>
      <c r="K507" t="s">
        <v>501</v>
      </c>
      <c r="L507">
        <v>1191</v>
      </c>
      <c r="N507">
        <v>1013</v>
      </c>
      <c r="O507" t="s">
        <v>502</v>
      </c>
      <c r="P507" t="s">
        <v>502</v>
      </c>
      <c r="Q507">
        <v>1</v>
      </c>
      <c r="X507">
        <v>15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 t="s">
        <v>23</v>
      </c>
      <c r="AG507">
        <v>16.5</v>
      </c>
      <c r="AH507">
        <v>2</v>
      </c>
      <c r="AI507">
        <v>56960585</v>
      </c>
      <c r="AJ507">
        <v>423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ROW(Source!A556)</f>
        <v>556</v>
      </c>
      <c r="B508">
        <v>56961158</v>
      </c>
      <c r="C508">
        <v>56960584</v>
      </c>
      <c r="D508">
        <v>56027568</v>
      </c>
      <c r="E508">
        <v>1080</v>
      </c>
      <c r="F508">
        <v>1</v>
      </c>
      <c r="G508">
        <v>1080</v>
      </c>
      <c r="H508">
        <v>3</v>
      </c>
      <c r="I508" t="s">
        <v>639</v>
      </c>
      <c r="J508" t="s">
        <v>3</v>
      </c>
      <c r="K508" t="s">
        <v>640</v>
      </c>
      <c r="L508">
        <v>1301</v>
      </c>
      <c r="N508">
        <v>1003</v>
      </c>
      <c r="O508" t="s">
        <v>84</v>
      </c>
      <c r="P508" t="s">
        <v>84</v>
      </c>
      <c r="Q508">
        <v>1</v>
      </c>
      <c r="X508">
        <v>102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3</v>
      </c>
      <c r="AG508">
        <v>102</v>
      </c>
      <c r="AH508">
        <v>3</v>
      </c>
      <c r="AI508">
        <v>-1</v>
      </c>
      <c r="AJ508" t="s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ROW(Source!A556)</f>
        <v>556</v>
      </c>
      <c r="B509">
        <v>56961159</v>
      </c>
      <c r="C509">
        <v>56960584</v>
      </c>
      <c r="D509">
        <v>56030735</v>
      </c>
      <c r="E509">
        <v>1080</v>
      </c>
      <c r="F509">
        <v>1</v>
      </c>
      <c r="G509">
        <v>1080</v>
      </c>
      <c r="H509">
        <v>3</v>
      </c>
      <c r="I509" t="s">
        <v>641</v>
      </c>
      <c r="J509" t="s">
        <v>3</v>
      </c>
      <c r="K509" t="s">
        <v>642</v>
      </c>
      <c r="L509">
        <v>1354</v>
      </c>
      <c r="N509">
        <v>1010</v>
      </c>
      <c r="O509" t="s">
        <v>31</v>
      </c>
      <c r="P509" t="s">
        <v>31</v>
      </c>
      <c r="Q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3</v>
      </c>
      <c r="AG509">
        <v>0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ROW(Source!A556)</f>
        <v>556</v>
      </c>
      <c r="B510">
        <v>56961160</v>
      </c>
      <c r="C510">
        <v>56960584</v>
      </c>
      <c r="D510">
        <v>56031307</v>
      </c>
      <c r="E510">
        <v>1080</v>
      </c>
      <c r="F510">
        <v>1</v>
      </c>
      <c r="G510">
        <v>1080</v>
      </c>
      <c r="H510">
        <v>3</v>
      </c>
      <c r="I510" t="s">
        <v>643</v>
      </c>
      <c r="J510" t="s">
        <v>3</v>
      </c>
      <c r="K510" t="s">
        <v>644</v>
      </c>
      <c r="L510">
        <v>1354</v>
      </c>
      <c r="N510">
        <v>1010</v>
      </c>
      <c r="O510" t="s">
        <v>31</v>
      </c>
      <c r="P510" t="s">
        <v>31</v>
      </c>
      <c r="Q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3</v>
      </c>
      <c r="AG510">
        <v>0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ROW(Source!A557)</f>
        <v>557</v>
      </c>
      <c r="B511">
        <v>56961157</v>
      </c>
      <c r="C511">
        <v>56960584</v>
      </c>
      <c r="D511">
        <v>56018166</v>
      </c>
      <c r="E511">
        <v>1080</v>
      </c>
      <c r="F511">
        <v>1</v>
      </c>
      <c r="G511">
        <v>1080</v>
      </c>
      <c r="H511">
        <v>1</v>
      </c>
      <c r="I511" t="s">
        <v>500</v>
      </c>
      <c r="J511" t="s">
        <v>3</v>
      </c>
      <c r="K511" t="s">
        <v>501</v>
      </c>
      <c r="L511">
        <v>1191</v>
      </c>
      <c r="N511">
        <v>1013</v>
      </c>
      <c r="O511" t="s">
        <v>502</v>
      </c>
      <c r="P511" t="s">
        <v>502</v>
      </c>
      <c r="Q511">
        <v>1</v>
      </c>
      <c r="X511">
        <v>15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23</v>
      </c>
      <c r="AG511">
        <v>16.5</v>
      </c>
      <c r="AH511">
        <v>2</v>
      </c>
      <c r="AI511">
        <v>56960585</v>
      </c>
      <c r="AJ511">
        <v>425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ROW(Source!A557)</f>
        <v>557</v>
      </c>
      <c r="B512">
        <v>56961158</v>
      </c>
      <c r="C512">
        <v>56960584</v>
      </c>
      <c r="D512">
        <v>56027568</v>
      </c>
      <c r="E512">
        <v>1080</v>
      </c>
      <c r="F512">
        <v>1</v>
      </c>
      <c r="G512">
        <v>1080</v>
      </c>
      <c r="H512">
        <v>3</v>
      </c>
      <c r="I512" t="s">
        <v>639</v>
      </c>
      <c r="J512" t="s">
        <v>3</v>
      </c>
      <c r="K512" t="s">
        <v>640</v>
      </c>
      <c r="L512">
        <v>1301</v>
      </c>
      <c r="N512">
        <v>1003</v>
      </c>
      <c r="O512" t="s">
        <v>84</v>
      </c>
      <c r="P512" t="s">
        <v>84</v>
      </c>
      <c r="Q512">
        <v>1</v>
      </c>
      <c r="X512">
        <v>102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</v>
      </c>
      <c r="AG512">
        <v>102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ROW(Source!A557)</f>
        <v>557</v>
      </c>
      <c r="B513">
        <v>56961159</v>
      </c>
      <c r="C513">
        <v>56960584</v>
      </c>
      <c r="D513">
        <v>56030735</v>
      </c>
      <c r="E513">
        <v>1080</v>
      </c>
      <c r="F513">
        <v>1</v>
      </c>
      <c r="G513">
        <v>1080</v>
      </c>
      <c r="H513">
        <v>3</v>
      </c>
      <c r="I513" t="s">
        <v>641</v>
      </c>
      <c r="J513" t="s">
        <v>3</v>
      </c>
      <c r="K513" t="s">
        <v>642</v>
      </c>
      <c r="L513">
        <v>1354</v>
      </c>
      <c r="N513">
        <v>1010</v>
      </c>
      <c r="O513" t="s">
        <v>31</v>
      </c>
      <c r="P513" t="s">
        <v>31</v>
      </c>
      <c r="Q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</v>
      </c>
      <c r="AG513">
        <v>0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ROW(Source!A557)</f>
        <v>557</v>
      </c>
      <c r="B514">
        <v>56961160</v>
      </c>
      <c r="C514">
        <v>56960584</v>
      </c>
      <c r="D514">
        <v>56031307</v>
      </c>
      <c r="E514">
        <v>1080</v>
      </c>
      <c r="F514">
        <v>1</v>
      </c>
      <c r="G514">
        <v>1080</v>
      </c>
      <c r="H514">
        <v>3</v>
      </c>
      <c r="I514" t="s">
        <v>643</v>
      </c>
      <c r="J514" t="s">
        <v>3</v>
      </c>
      <c r="K514" t="s">
        <v>644</v>
      </c>
      <c r="L514">
        <v>1354</v>
      </c>
      <c r="N514">
        <v>1010</v>
      </c>
      <c r="O514" t="s">
        <v>31</v>
      </c>
      <c r="P514" t="s">
        <v>31</v>
      </c>
      <c r="Q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3</v>
      </c>
      <c r="AG514">
        <v>0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ROW(Source!A560)</f>
        <v>560</v>
      </c>
      <c r="B515">
        <v>56961161</v>
      </c>
      <c r="C515">
        <v>56960592</v>
      </c>
      <c r="D515">
        <v>56018166</v>
      </c>
      <c r="E515">
        <v>1080</v>
      </c>
      <c r="F515">
        <v>1</v>
      </c>
      <c r="G515">
        <v>1080</v>
      </c>
      <c r="H515">
        <v>1</v>
      </c>
      <c r="I515" t="s">
        <v>500</v>
      </c>
      <c r="J515" t="s">
        <v>3</v>
      </c>
      <c r="K515" t="s">
        <v>501</v>
      </c>
      <c r="L515">
        <v>1191</v>
      </c>
      <c r="N515">
        <v>1013</v>
      </c>
      <c r="O515" t="s">
        <v>502</v>
      </c>
      <c r="P515" t="s">
        <v>502</v>
      </c>
      <c r="Q515">
        <v>1</v>
      </c>
      <c r="X515">
        <v>4.49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23</v>
      </c>
      <c r="AG515">
        <v>4.9390000000000009</v>
      </c>
      <c r="AH515">
        <v>2</v>
      </c>
      <c r="AI515">
        <v>56960593</v>
      </c>
      <c r="AJ515">
        <v>427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ROW(Source!A560)</f>
        <v>560</v>
      </c>
      <c r="B516">
        <v>56961162</v>
      </c>
      <c r="C516">
        <v>56960592</v>
      </c>
      <c r="D516">
        <v>56092340</v>
      </c>
      <c r="E516">
        <v>1</v>
      </c>
      <c r="F516">
        <v>1</v>
      </c>
      <c r="G516">
        <v>1080</v>
      </c>
      <c r="H516">
        <v>2</v>
      </c>
      <c r="I516" t="s">
        <v>503</v>
      </c>
      <c r="J516" t="s">
        <v>504</v>
      </c>
      <c r="K516" t="s">
        <v>505</v>
      </c>
      <c r="L516">
        <v>1368</v>
      </c>
      <c r="N516">
        <v>1011</v>
      </c>
      <c r="O516" t="s">
        <v>506</v>
      </c>
      <c r="P516" t="s">
        <v>506</v>
      </c>
      <c r="Q516">
        <v>1</v>
      </c>
      <c r="X516">
        <v>0.01</v>
      </c>
      <c r="Y516">
        <v>0</v>
      </c>
      <c r="Z516">
        <v>83.1</v>
      </c>
      <c r="AA516">
        <v>12.62</v>
      </c>
      <c r="AB516">
        <v>0</v>
      </c>
      <c r="AC516">
        <v>0</v>
      </c>
      <c r="AD516">
        <v>1</v>
      </c>
      <c r="AE516">
        <v>0</v>
      </c>
      <c r="AF516" t="s">
        <v>23</v>
      </c>
      <c r="AG516">
        <v>1.1000000000000001E-2</v>
      </c>
      <c r="AH516">
        <v>2</v>
      </c>
      <c r="AI516">
        <v>56960594</v>
      </c>
      <c r="AJ516">
        <v>428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ROW(Source!A560)</f>
        <v>560</v>
      </c>
      <c r="B517">
        <v>56961163</v>
      </c>
      <c r="C517">
        <v>56960592</v>
      </c>
      <c r="D517">
        <v>56091576</v>
      </c>
      <c r="E517">
        <v>1</v>
      </c>
      <c r="F517">
        <v>1</v>
      </c>
      <c r="G517">
        <v>1080</v>
      </c>
      <c r="H517">
        <v>2</v>
      </c>
      <c r="I517" t="s">
        <v>529</v>
      </c>
      <c r="J517" t="s">
        <v>530</v>
      </c>
      <c r="K517" t="s">
        <v>531</v>
      </c>
      <c r="L517">
        <v>1368</v>
      </c>
      <c r="N517">
        <v>1011</v>
      </c>
      <c r="O517" t="s">
        <v>506</v>
      </c>
      <c r="P517" t="s">
        <v>506</v>
      </c>
      <c r="Q517">
        <v>1</v>
      </c>
      <c r="X517">
        <v>0.01</v>
      </c>
      <c r="Y517">
        <v>0</v>
      </c>
      <c r="Z517">
        <v>179.17</v>
      </c>
      <c r="AA517">
        <v>16.93</v>
      </c>
      <c r="AB517">
        <v>0</v>
      </c>
      <c r="AC517">
        <v>0</v>
      </c>
      <c r="AD517">
        <v>1</v>
      </c>
      <c r="AE517">
        <v>0</v>
      </c>
      <c r="AF517" t="s">
        <v>23</v>
      </c>
      <c r="AG517">
        <v>1.1000000000000001E-2</v>
      </c>
      <c r="AH517">
        <v>2</v>
      </c>
      <c r="AI517">
        <v>56960595</v>
      </c>
      <c r="AJ517">
        <v>429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ROW(Source!A560)</f>
        <v>560</v>
      </c>
      <c r="B518">
        <v>56961164</v>
      </c>
      <c r="C518">
        <v>56960592</v>
      </c>
      <c r="D518">
        <v>56061373</v>
      </c>
      <c r="E518">
        <v>1</v>
      </c>
      <c r="F518">
        <v>1</v>
      </c>
      <c r="G518">
        <v>1080</v>
      </c>
      <c r="H518">
        <v>3</v>
      </c>
      <c r="I518" t="s">
        <v>532</v>
      </c>
      <c r="J518" t="s">
        <v>533</v>
      </c>
      <c r="K518" t="s">
        <v>534</v>
      </c>
      <c r="L518">
        <v>1346</v>
      </c>
      <c r="N518">
        <v>1009</v>
      </c>
      <c r="O518" t="s">
        <v>249</v>
      </c>
      <c r="P518" t="s">
        <v>249</v>
      </c>
      <c r="Q518">
        <v>1</v>
      </c>
      <c r="X518">
        <v>0.43</v>
      </c>
      <c r="Y518">
        <v>1.38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</v>
      </c>
      <c r="AG518">
        <v>0.43</v>
      </c>
      <c r="AH518">
        <v>2</v>
      </c>
      <c r="AI518">
        <v>56960596</v>
      </c>
      <c r="AJ518">
        <v>430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ROW(Source!A560)</f>
        <v>560</v>
      </c>
      <c r="B519">
        <v>56961165</v>
      </c>
      <c r="C519">
        <v>56960592</v>
      </c>
      <c r="D519">
        <v>56061764</v>
      </c>
      <c r="E519">
        <v>1</v>
      </c>
      <c r="F519">
        <v>1</v>
      </c>
      <c r="G519">
        <v>1080</v>
      </c>
      <c r="H519">
        <v>3</v>
      </c>
      <c r="I519" t="s">
        <v>535</v>
      </c>
      <c r="J519" t="s">
        <v>536</v>
      </c>
      <c r="K519" t="s">
        <v>537</v>
      </c>
      <c r="L519">
        <v>1346</v>
      </c>
      <c r="N519">
        <v>1009</v>
      </c>
      <c r="O519" t="s">
        <v>249</v>
      </c>
      <c r="P519" t="s">
        <v>249</v>
      </c>
      <c r="Q519">
        <v>1</v>
      </c>
      <c r="X519">
        <v>0.16</v>
      </c>
      <c r="Y519">
        <v>159.06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</v>
      </c>
      <c r="AG519">
        <v>0.16</v>
      </c>
      <c r="AH519">
        <v>2</v>
      </c>
      <c r="AI519">
        <v>56960597</v>
      </c>
      <c r="AJ519">
        <v>431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ROW(Source!A560)</f>
        <v>560</v>
      </c>
      <c r="B520">
        <v>56961166</v>
      </c>
      <c r="C520">
        <v>56960592</v>
      </c>
      <c r="D520">
        <v>56084707</v>
      </c>
      <c r="E520">
        <v>1</v>
      </c>
      <c r="F520">
        <v>1</v>
      </c>
      <c r="G520">
        <v>1080</v>
      </c>
      <c r="H520">
        <v>3</v>
      </c>
      <c r="I520" t="s">
        <v>538</v>
      </c>
      <c r="J520" t="s">
        <v>539</v>
      </c>
      <c r="K520" t="s">
        <v>540</v>
      </c>
      <c r="L520">
        <v>1355</v>
      </c>
      <c r="N520">
        <v>1010</v>
      </c>
      <c r="O520" t="s">
        <v>520</v>
      </c>
      <c r="P520" t="s">
        <v>520</v>
      </c>
      <c r="Q520">
        <v>100</v>
      </c>
      <c r="X520">
        <v>0.05</v>
      </c>
      <c r="Y520">
        <v>68.819999999999993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</v>
      </c>
      <c r="AG520">
        <v>0.05</v>
      </c>
      <c r="AH520">
        <v>2</v>
      </c>
      <c r="AI520">
        <v>56960598</v>
      </c>
      <c r="AJ520">
        <v>432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ROW(Source!A560)</f>
        <v>560</v>
      </c>
      <c r="B521">
        <v>56961167</v>
      </c>
      <c r="C521">
        <v>56960592</v>
      </c>
      <c r="D521">
        <v>56084718</v>
      </c>
      <c r="E521">
        <v>1</v>
      </c>
      <c r="F521">
        <v>1</v>
      </c>
      <c r="G521">
        <v>1080</v>
      </c>
      <c r="H521">
        <v>3</v>
      </c>
      <c r="I521" t="s">
        <v>541</v>
      </c>
      <c r="J521" t="s">
        <v>542</v>
      </c>
      <c r="K521" t="s">
        <v>543</v>
      </c>
      <c r="L521">
        <v>1356</v>
      </c>
      <c r="N521">
        <v>1010</v>
      </c>
      <c r="O521" t="s">
        <v>544</v>
      </c>
      <c r="P521" t="s">
        <v>544</v>
      </c>
      <c r="Q521">
        <v>1000</v>
      </c>
      <c r="X521">
        <v>1.2200000000000001E-2</v>
      </c>
      <c r="Y521">
        <v>183.4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3</v>
      </c>
      <c r="AG521">
        <v>1.2200000000000001E-2</v>
      </c>
      <c r="AH521">
        <v>2</v>
      </c>
      <c r="AI521">
        <v>56960599</v>
      </c>
      <c r="AJ521">
        <v>433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ROW(Source!A560)</f>
        <v>560</v>
      </c>
      <c r="B522">
        <v>56961168</v>
      </c>
      <c r="C522">
        <v>56960592</v>
      </c>
      <c r="D522">
        <v>56084044</v>
      </c>
      <c r="E522">
        <v>1</v>
      </c>
      <c r="F522">
        <v>1</v>
      </c>
      <c r="G522">
        <v>1080</v>
      </c>
      <c r="H522">
        <v>3</v>
      </c>
      <c r="I522" t="s">
        <v>545</v>
      </c>
      <c r="J522" t="s">
        <v>546</v>
      </c>
      <c r="K522" t="s">
        <v>547</v>
      </c>
      <c r="L522">
        <v>1354</v>
      </c>
      <c r="N522">
        <v>1010</v>
      </c>
      <c r="O522" t="s">
        <v>31</v>
      </c>
      <c r="P522" t="s">
        <v>31</v>
      </c>
      <c r="Q522">
        <v>1</v>
      </c>
      <c r="X522">
        <v>3.1</v>
      </c>
      <c r="Y522">
        <v>6.94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</v>
      </c>
      <c r="AG522">
        <v>3.1</v>
      </c>
      <c r="AH522">
        <v>2</v>
      </c>
      <c r="AI522">
        <v>56960600</v>
      </c>
      <c r="AJ522">
        <v>434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ROW(Source!A560)</f>
        <v>560</v>
      </c>
      <c r="B523">
        <v>56961169</v>
      </c>
      <c r="C523">
        <v>56960592</v>
      </c>
      <c r="D523">
        <v>56084051</v>
      </c>
      <c r="E523">
        <v>1</v>
      </c>
      <c r="F523">
        <v>1</v>
      </c>
      <c r="G523">
        <v>1080</v>
      </c>
      <c r="H523">
        <v>3</v>
      </c>
      <c r="I523" t="s">
        <v>548</v>
      </c>
      <c r="J523" t="s">
        <v>549</v>
      </c>
      <c r="K523" t="s">
        <v>550</v>
      </c>
      <c r="L523">
        <v>1356</v>
      </c>
      <c r="N523">
        <v>1010</v>
      </c>
      <c r="O523" t="s">
        <v>544</v>
      </c>
      <c r="P523" t="s">
        <v>544</v>
      </c>
      <c r="Q523">
        <v>1000</v>
      </c>
      <c r="X523">
        <v>8.0000000000000002E-3</v>
      </c>
      <c r="Y523">
        <v>614.09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</v>
      </c>
      <c r="AG523">
        <v>8.0000000000000002E-3</v>
      </c>
      <c r="AH523">
        <v>2</v>
      </c>
      <c r="AI523">
        <v>56960601</v>
      </c>
      <c r="AJ523">
        <v>435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ROW(Source!A560)</f>
        <v>560</v>
      </c>
      <c r="B524">
        <v>56961170</v>
      </c>
      <c r="C524">
        <v>56960592</v>
      </c>
      <c r="D524">
        <v>56033636</v>
      </c>
      <c r="E524">
        <v>1080</v>
      </c>
      <c r="F524">
        <v>1</v>
      </c>
      <c r="G524">
        <v>1080</v>
      </c>
      <c r="H524">
        <v>3</v>
      </c>
      <c r="I524" t="s">
        <v>653</v>
      </c>
      <c r="J524" t="s">
        <v>3</v>
      </c>
      <c r="K524" t="s">
        <v>654</v>
      </c>
      <c r="L524">
        <v>1303</v>
      </c>
      <c r="N524">
        <v>1003</v>
      </c>
      <c r="O524" t="s">
        <v>108</v>
      </c>
      <c r="P524" t="s">
        <v>108</v>
      </c>
      <c r="Q524">
        <v>1000</v>
      </c>
      <c r="X524">
        <v>0.10299999999999999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3</v>
      </c>
      <c r="AG524">
        <v>0.10299999999999999</v>
      </c>
      <c r="AH524">
        <v>3</v>
      </c>
      <c r="AI524">
        <v>-1</v>
      </c>
      <c r="AJ524" t="s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ROW(Source!A561)</f>
        <v>561</v>
      </c>
      <c r="B525">
        <v>56961161</v>
      </c>
      <c r="C525">
        <v>56960592</v>
      </c>
      <c r="D525">
        <v>56018166</v>
      </c>
      <c r="E525">
        <v>1080</v>
      </c>
      <c r="F525">
        <v>1</v>
      </c>
      <c r="G525">
        <v>1080</v>
      </c>
      <c r="H525">
        <v>1</v>
      </c>
      <c r="I525" t="s">
        <v>500</v>
      </c>
      <c r="J525" t="s">
        <v>3</v>
      </c>
      <c r="K525" t="s">
        <v>501</v>
      </c>
      <c r="L525">
        <v>1191</v>
      </c>
      <c r="N525">
        <v>1013</v>
      </c>
      <c r="O525" t="s">
        <v>502</v>
      </c>
      <c r="P525" t="s">
        <v>502</v>
      </c>
      <c r="Q525">
        <v>1</v>
      </c>
      <c r="X525">
        <v>4.49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 t="s">
        <v>23</v>
      </c>
      <c r="AG525">
        <v>4.9390000000000009</v>
      </c>
      <c r="AH525">
        <v>2</v>
      </c>
      <c r="AI525">
        <v>56960593</v>
      </c>
      <c r="AJ525">
        <v>437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ROW(Source!A561)</f>
        <v>561</v>
      </c>
      <c r="B526">
        <v>56961162</v>
      </c>
      <c r="C526">
        <v>56960592</v>
      </c>
      <c r="D526">
        <v>56092340</v>
      </c>
      <c r="E526">
        <v>1</v>
      </c>
      <c r="F526">
        <v>1</v>
      </c>
      <c r="G526">
        <v>1080</v>
      </c>
      <c r="H526">
        <v>2</v>
      </c>
      <c r="I526" t="s">
        <v>503</v>
      </c>
      <c r="J526" t="s">
        <v>504</v>
      </c>
      <c r="K526" t="s">
        <v>505</v>
      </c>
      <c r="L526">
        <v>1368</v>
      </c>
      <c r="N526">
        <v>1011</v>
      </c>
      <c r="O526" t="s">
        <v>506</v>
      </c>
      <c r="P526" t="s">
        <v>506</v>
      </c>
      <c r="Q526">
        <v>1</v>
      </c>
      <c r="X526">
        <v>0.01</v>
      </c>
      <c r="Y526">
        <v>0</v>
      </c>
      <c r="Z526">
        <v>83.1</v>
      </c>
      <c r="AA526">
        <v>12.62</v>
      </c>
      <c r="AB526">
        <v>0</v>
      </c>
      <c r="AC526">
        <v>0</v>
      </c>
      <c r="AD526">
        <v>1</v>
      </c>
      <c r="AE526">
        <v>0</v>
      </c>
      <c r="AF526" t="s">
        <v>23</v>
      </c>
      <c r="AG526">
        <v>1.1000000000000001E-2</v>
      </c>
      <c r="AH526">
        <v>2</v>
      </c>
      <c r="AI526">
        <v>56960594</v>
      </c>
      <c r="AJ526">
        <v>438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ROW(Source!A561)</f>
        <v>561</v>
      </c>
      <c r="B527">
        <v>56961163</v>
      </c>
      <c r="C527">
        <v>56960592</v>
      </c>
      <c r="D527">
        <v>56091576</v>
      </c>
      <c r="E527">
        <v>1</v>
      </c>
      <c r="F527">
        <v>1</v>
      </c>
      <c r="G527">
        <v>1080</v>
      </c>
      <c r="H527">
        <v>2</v>
      </c>
      <c r="I527" t="s">
        <v>529</v>
      </c>
      <c r="J527" t="s">
        <v>530</v>
      </c>
      <c r="K527" t="s">
        <v>531</v>
      </c>
      <c r="L527">
        <v>1368</v>
      </c>
      <c r="N527">
        <v>1011</v>
      </c>
      <c r="O527" t="s">
        <v>506</v>
      </c>
      <c r="P527" t="s">
        <v>506</v>
      </c>
      <c r="Q527">
        <v>1</v>
      </c>
      <c r="X527">
        <v>0.01</v>
      </c>
      <c r="Y527">
        <v>0</v>
      </c>
      <c r="Z527">
        <v>179.17</v>
      </c>
      <c r="AA527">
        <v>16.93</v>
      </c>
      <c r="AB527">
        <v>0</v>
      </c>
      <c r="AC527">
        <v>0</v>
      </c>
      <c r="AD527">
        <v>1</v>
      </c>
      <c r="AE527">
        <v>0</v>
      </c>
      <c r="AF527" t="s">
        <v>23</v>
      </c>
      <c r="AG527">
        <v>1.1000000000000001E-2</v>
      </c>
      <c r="AH527">
        <v>2</v>
      </c>
      <c r="AI527">
        <v>56960595</v>
      </c>
      <c r="AJ527">
        <v>439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ROW(Source!A561)</f>
        <v>561</v>
      </c>
      <c r="B528">
        <v>56961164</v>
      </c>
      <c r="C528">
        <v>56960592</v>
      </c>
      <c r="D528">
        <v>56061373</v>
      </c>
      <c r="E528">
        <v>1</v>
      </c>
      <c r="F528">
        <v>1</v>
      </c>
      <c r="G528">
        <v>1080</v>
      </c>
      <c r="H528">
        <v>3</v>
      </c>
      <c r="I528" t="s">
        <v>532</v>
      </c>
      <c r="J528" t="s">
        <v>533</v>
      </c>
      <c r="K528" t="s">
        <v>534</v>
      </c>
      <c r="L528">
        <v>1346</v>
      </c>
      <c r="N528">
        <v>1009</v>
      </c>
      <c r="O528" t="s">
        <v>249</v>
      </c>
      <c r="P528" t="s">
        <v>249</v>
      </c>
      <c r="Q528">
        <v>1</v>
      </c>
      <c r="X528">
        <v>0.43</v>
      </c>
      <c r="Y528">
        <v>1.38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</v>
      </c>
      <c r="AG528">
        <v>0.43</v>
      </c>
      <c r="AH528">
        <v>2</v>
      </c>
      <c r="AI528">
        <v>56960596</v>
      </c>
      <c r="AJ528">
        <v>440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ROW(Source!A561)</f>
        <v>561</v>
      </c>
      <c r="B529">
        <v>56961165</v>
      </c>
      <c r="C529">
        <v>56960592</v>
      </c>
      <c r="D529">
        <v>56061764</v>
      </c>
      <c r="E529">
        <v>1</v>
      </c>
      <c r="F529">
        <v>1</v>
      </c>
      <c r="G529">
        <v>1080</v>
      </c>
      <c r="H529">
        <v>3</v>
      </c>
      <c r="I529" t="s">
        <v>535</v>
      </c>
      <c r="J529" t="s">
        <v>536</v>
      </c>
      <c r="K529" t="s">
        <v>537</v>
      </c>
      <c r="L529">
        <v>1346</v>
      </c>
      <c r="N529">
        <v>1009</v>
      </c>
      <c r="O529" t="s">
        <v>249</v>
      </c>
      <c r="P529" t="s">
        <v>249</v>
      </c>
      <c r="Q529">
        <v>1</v>
      </c>
      <c r="X529">
        <v>0.16</v>
      </c>
      <c r="Y529">
        <v>159.06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</v>
      </c>
      <c r="AG529">
        <v>0.16</v>
      </c>
      <c r="AH529">
        <v>2</v>
      </c>
      <c r="AI529">
        <v>56960597</v>
      </c>
      <c r="AJ529">
        <v>441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ROW(Source!A561)</f>
        <v>561</v>
      </c>
      <c r="B530">
        <v>56961166</v>
      </c>
      <c r="C530">
        <v>56960592</v>
      </c>
      <c r="D530">
        <v>56084707</v>
      </c>
      <c r="E530">
        <v>1</v>
      </c>
      <c r="F530">
        <v>1</v>
      </c>
      <c r="G530">
        <v>1080</v>
      </c>
      <c r="H530">
        <v>3</v>
      </c>
      <c r="I530" t="s">
        <v>538</v>
      </c>
      <c r="J530" t="s">
        <v>539</v>
      </c>
      <c r="K530" t="s">
        <v>540</v>
      </c>
      <c r="L530">
        <v>1355</v>
      </c>
      <c r="N530">
        <v>1010</v>
      </c>
      <c r="O530" t="s">
        <v>520</v>
      </c>
      <c r="P530" t="s">
        <v>520</v>
      </c>
      <c r="Q530">
        <v>100</v>
      </c>
      <c r="X530">
        <v>0.05</v>
      </c>
      <c r="Y530">
        <v>68.819999999999993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3</v>
      </c>
      <c r="AG530">
        <v>0.05</v>
      </c>
      <c r="AH530">
        <v>2</v>
      </c>
      <c r="AI530">
        <v>56960598</v>
      </c>
      <c r="AJ530">
        <v>442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ROW(Source!A561)</f>
        <v>561</v>
      </c>
      <c r="B531">
        <v>56961167</v>
      </c>
      <c r="C531">
        <v>56960592</v>
      </c>
      <c r="D531">
        <v>56084718</v>
      </c>
      <c r="E531">
        <v>1</v>
      </c>
      <c r="F531">
        <v>1</v>
      </c>
      <c r="G531">
        <v>1080</v>
      </c>
      <c r="H531">
        <v>3</v>
      </c>
      <c r="I531" t="s">
        <v>541</v>
      </c>
      <c r="J531" t="s">
        <v>542</v>
      </c>
      <c r="K531" t="s">
        <v>543</v>
      </c>
      <c r="L531">
        <v>1356</v>
      </c>
      <c r="N531">
        <v>1010</v>
      </c>
      <c r="O531" t="s">
        <v>544</v>
      </c>
      <c r="P531" t="s">
        <v>544</v>
      </c>
      <c r="Q531">
        <v>1000</v>
      </c>
      <c r="X531">
        <v>1.2200000000000001E-2</v>
      </c>
      <c r="Y531">
        <v>183.4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</v>
      </c>
      <c r="AG531">
        <v>1.2200000000000001E-2</v>
      </c>
      <c r="AH531">
        <v>2</v>
      </c>
      <c r="AI531">
        <v>56960599</v>
      </c>
      <c r="AJ531">
        <v>443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ROW(Source!A561)</f>
        <v>561</v>
      </c>
      <c r="B532">
        <v>56961168</v>
      </c>
      <c r="C532">
        <v>56960592</v>
      </c>
      <c r="D532">
        <v>56084044</v>
      </c>
      <c r="E532">
        <v>1</v>
      </c>
      <c r="F532">
        <v>1</v>
      </c>
      <c r="G532">
        <v>1080</v>
      </c>
      <c r="H532">
        <v>3</v>
      </c>
      <c r="I532" t="s">
        <v>545</v>
      </c>
      <c r="J532" t="s">
        <v>546</v>
      </c>
      <c r="K532" t="s">
        <v>547</v>
      </c>
      <c r="L532">
        <v>1354</v>
      </c>
      <c r="N532">
        <v>1010</v>
      </c>
      <c r="O532" t="s">
        <v>31</v>
      </c>
      <c r="P532" t="s">
        <v>31</v>
      </c>
      <c r="Q532">
        <v>1</v>
      </c>
      <c r="X532">
        <v>3.1</v>
      </c>
      <c r="Y532">
        <v>6.94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3</v>
      </c>
      <c r="AG532">
        <v>3.1</v>
      </c>
      <c r="AH532">
        <v>2</v>
      </c>
      <c r="AI532">
        <v>56960600</v>
      </c>
      <c r="AJ532">
        <v>444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ROW(Source!A561)</f>
        <v>561</v>
      </c>
      <c r="B533">
        <v>56961169</v>
      </c>
      <c r="C533">
        <v>56960592</v>
      </c>
      <c r="D533">
        <v>56084051</v>
      </c>
      <c r="E533">
        <v>1</v>
      </c>
      <c r="F533">
        <v>1</v>
      </c>
      <c r="G533">
        <v>1080</v>
      </c>
      <c r="H533">
        <v>3</v>
      </c>
      <c r="I533" t="s">
        <v>548</v>
      </c>
      <c r="J533" t="s">
        <v>549</v>
      </c>
      <c r="K533" t="s">
        <v>550</v>
      </c>
      <c r="L533">
        <v>1356</v>
      </c>
      <c r="N533">
        <v>1010</v>
      </c>
      <c r="O533" t="s">
        <v>544</v>
      </c>
      <c r="P533" t="s">
        <v>544</v>
      </c>
      <c r="Q533">
        <v>1000</v>
      </c>
      <c r="X533">
        <v>8.0000000000000002E-3</v>
      </c>
      <c r="Y533">
        <v>614.09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3</v>
      </c>
      <c r="AG533">
        <v>8.0000000000000002E-3</v>
      </c>
      <c r="AH533">
        <v>2</v>
      </c>
      <c r="AI533">
        <v>56960601</v>
      </c>
      <c r="AJ533">
        <v>445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ROW(Source!A561)</f>
        <v>561</v>
      </c>
      <c r="B534">
        <v>56961170</v>
      </c>
      <c r="C534">
        <v>56960592</v>
      </c>
      <c r="D534">
        <v>56033636</v>
      </c>
      <c r="E534">
        <v>1080</v>
      </c>
      <c r="F534">
        <v>1</v>
      </c>
      <c r="G534">
        <v>1080</v>
      </c>
      <c r="H534">
        <v>3</v>
      </c>
      <c r="I534" t="s">
        <v>653</v>
      </c>
      <c r="J534" t="s">
        <v>3</v>
      </c>
      <c r="K534" t="s">
        <v>654</v>
      </c>
      <c r="L534">
        <v>1303</v>
      </c>
      <c r="N534">
        <v>1003</v>
      </c>
      <c r="O534" t="s">
        <v>108</v>
      </c>
      <c r="P534" t="s">
        <v>108</v>
      </c>
      <c r="Q534">
        <v>1000</v>
      </c>
      <c r="X534">
        <v>0.10299999999999999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3</v>
      </c>
      <c r="AG534">
        <v>0.10299999999999999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74570</v>
      </c>
      <c r="M1">
        <v>10</v>
      </c>
      <c r="N1">
        <v>11</v>
      </c>
      <c r="O1">
        <v>15</v>
      </c>
      <c r="P1">
        <v>0</v>
      </c>
      <c r="Q1">
        <v>2</v>
      </c>
    </row>
    <row r="12" spans="1:103" x14ac:dyDescent="0.2">
      <c r="F12" t="str">
        <f>Source!F12</f>
        <v>Новый объект (ТСН-2001 (Мосгосэкспертиза))</v>
      </c>
      <c r="G12" t="str">
        <f>Source!G12</f>
        <v>Капитальный ремонт здания ГБОУ города Москвы «Школа №236» по адресу: город Москва, улица Клязьминская, дом 7, корп. 4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02-01-18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'02-01-18'!Заголовки_для_печати</vt:lpstr>
      <vt:lpstr>'Ведомость объемов работ'!Заголовки_для_печати</vt:lpstr>
      <vt:lpstr>'02-01-18'!Область_печати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Жабина Елена Викторовна</cp:lastModifiedBy>
  <dcterms:created xsi:type="dcterms:W3CDTF">2026-02-27T10:07:49Z</dcterms:created>
  <dcterms:modified xsi:type="dcterms:W3CDTF">2026-02-27T10:37:30Z</dcterms:modified>
</cp:coreProperties>
</file>