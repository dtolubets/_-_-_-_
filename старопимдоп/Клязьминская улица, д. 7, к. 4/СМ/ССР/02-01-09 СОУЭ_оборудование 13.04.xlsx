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ПРОЕКТНЫЙ ОТДЕЛ\СМЕТЫ 2025 год\ШКОЛЫ\Клязьминская ул., д.7, к. 4\На загрузку\13.04\"/>
    </mc:Choice>
  </mc:AlternateContent>
  <bookViews>
    <workbookView xWindow="0" yWindow="0" windowWidth="13665" windowHeight="5325"/>
  </bookViews>
  <sheets>
    <sheet name="02-01-09" sheetId="7" r:id="rId1"/>
    <sheet name="Ведомость объемов работ" sheetId="8" r:id="rId2"/>
    <sheet name="Source" sheetId="1" r:id="rId3"/>
    <sheet name="SourceObSm" sheetId="2" r:id="rId4"/>
    <sheet name="SmtRes" sheetId="3" r:id="rId5"/>
    <sheet name="EtalonRes" sheetId="4" r:id="rId6"/>
    <sheet name="SrcPoprs" sheetId="5" r:id="rId7"/>
    <sheet name="SrcKA" sheetId="6" r:id="rId8"/>
  </sheets>
  <definedNames>
    <definedName name="_xlnm.Print_Titles" localSheetId="0">'02-01-09'!$27:$27</definedName>
    <definedName name="_xlnm.Print_Titles" localSheetId="1">'Ведомость объемов работ'!$9:$9</definedName>
    <definedName name="_xlnm.Print_Area" localSheetId="0">'02-01-09'!$A$1:$K$307</definedName>
    <definedName name="_xlnm.Print_Area" localSheetId="1">'Ведомость объемов работ'!$A$1:$H$56</definedName>
  </definedNames>
  <calcPr calcId="162913" iterate="1"/>
</workbook>
</file>

<file path=xl/calcChain.xml><?xml version="1.0" encoding="utf-8"?>
<calcChain xmlns="http://schemas.openxmlformats.org/spreadsheetml/2006/main">
  <c r="D54" i="8" l="1"/>
  <c r="D52" i="8"/>
  <c r="G49" i="8"/>
  <c r="F49" i="8"/>
  <c r="E49" i="8"/>
  <c r="C49" i="8"/>
  <c r="B49" i="8"/>
  <c r="G48" i="8"/>
  <c r="F48" i="8"/>
  <c r="E48" i="8"/>
  <c r="C48" i="8"/>
  <c r="B48" i="8"/>
  <c r="G47" i="8"/>
  <c r="F47" i="8"/>
  <c r="E47" i="8"/>
  <c r="C47" i="8"/>
  <c r="B47" i="8"/>
  <c r="G46" i="8"/>
  <c r="F46" i="8"/>
  <c r="E46" i="8"/>
  <c r="C46" i="8"/>
  <c r="B46" i="8"/>
  <c r="A45" i="8"/>
  <c r="G44" i="8"/>
  <c r="F44" i="8"/>
  <c r="E44" i="8"/>
  <c r="C44" i="8"/>
  <c r="B44" i="8"/>
  <c r="G43" i="8"/>
  <c r="F43" i="8"/>
  <c r="E43" i="8"/>
  <c r="C43" i="8"/>
  <c r="B43" i="8"/>
  <c r="G42" i="8"/>
  <c r="F42" i="8"/>
  <c r="E42" i="8"/>
  <c r="C42" i="8"/>
  <c r="B42" i="8"/>
  <c r="G41" i="8"/>
  <c r="F41" i="8"/>
  <c r="E41" i="8"/>
  <c r="C41" i="8"/>
  <c r="B41" i="8"/>
  <c r="G40" i="8"/>
  <c r="F40" i="8"/>
  <c r="E40" i="8"/>
  <c r="C40" i="8"/>
  <c r="B40" i="8"/>
  <c r="G39" i="8"/>
  <c r="F39" i="8"/>
  <c r="E39" i="8"/>
  <c r="C39" i="8"/>
  <c r="B39" i="8"/>
  <c r="A38" i="8"/>
  <c r="G37" i="8"/>
  <c r="F37" i="8"/>
  <c r="E37" i="8"/>
  <c r="C37" i="8"/>
  <c r="B37" i="8"/>
  <c r="G36" i="8"/>
  <c r="F36" i="8"/>
  <c r="E36" i="8"/>
  <c r="C36" i="8"/>
  <c r="B36" i="8"/>
  <c r="G35" i="8"/>
  <c r="F35" i="8"/>
  <c r="E35" i="8"/>
  <c r="C35" i="8"/>
  <c r="B35" i="8"/>
  <c r="G34" i="8"/>
  <c r="F34" i="8"/>
  <c r="E34" i="8"/>
  <c r="C34" i="8"/>
  <c r="B34" i="8"/>
  <c r="G33" i="8"/>
  <c r="F33" i="8"/>
  <c r="E33" i="8"/>
  <c r="C33" i="8"/>
  <c r="B33" i="8"/>
  <c r="G32" i="8"/>
  <c r="F32" i="8"/>
  <c r="E32" i="8"/>
  <c r="C32" i="8"/>
  <c r="B32" i="8"/>
  <c r="G31" i="8"/>
  <c r="F31" i="8"/>
  <c r="E31" i="8"/>
  <c r="C31" i="8"/>
  <c r="B31" i="8"/>
  <c r="G30" i="8"/>
  <c r="F30" i="8"/>
  <c r="E30" i="8"/>
  <c r="C30" i="8"/>
  <c r="B30" i="8"/>
  <c r="G29" i="8"/>
  <c r="F29" i="8"/>
  <c r="E29" i="8"/>
  <c r="C29" i="8"/>
  <c r="B29" i="8"/>
  <c r="G28" i="8"/>
  <c r="F28" i="8"/>
  <c r="E28" i="8"/>
  <c r="C28" i="8"/>
  <c r="B28" i="8"/>
  <c r="G27" i="8"/>
  <c r="F27" i="8"/>
  <c r="E27" i="8"/>
  <c r="C27" i="8"/>
  <c r="B27" i="8"/>
  <c r="G26" i="8"/>
  <c r="F26" i="8"/>
  <c r="E26" i="8"/>
  <c r="C26" i="8"/>
  <c r="B26" i="8"/>
  <c r="G25" i="8"/>
  <c r="F25" i="8"/>
  <c r="E25" i="8"/>
  <c r="C25" i="8"/>
  <c r="B25" i="8"/>
  <c r="G24" i="8"/>
  <c r="F24" i="8"/>
  <c r="E24" i="8"/>
  <c r="C24" i="8"/>
  <c r="B24" i="8"/>
  <c r="G23" i="8"/>
  <c r="F23" i="8"/>
  <c r="E23" i="8"/>
  <c r="C23" i="8"/>
  <c r="B23" i="8"/>
  <c r="G22" i="8"/>
  <c r="F22" i="8"/>
  <c r="E22" i="8"/>
  <c r="C22" i="8"/>
  <c r="B22" i="8"/>
  <c r="G21" i="8"/>
  <c r="F21" i="8"/>
  <c r="E21" i="8"/>
  <c r="C21" i="8"/>
  <c r="B21" i="8"/>
  <c r="G20" i="8"/>
  <c r="F20" i="8"/>
  <c r="E20" i="8"/>
  <c r="C20" i="8"/>
  <c r="B20" i="8"/>
  <c r="G19" i="8"/>
  <c r="F19" i="8"/>
  <c r="E19" i="8"/>
  <c r="C19" i="8"/>
  <c r="B19" i="8"/>
  <c r="G18" i="8"/>
  <c r="F18" i="8"/>
  <c r="E18" i="8"/>
  <c r="C18" i="8"/>
  <c r="B18" i="8"/>
  <c r="G17" i="8"/>
  <c r="F17" i="8"/>
  <c r="E17" i="8"/>
  <c r="C17" i="8"/>
  <c r="B17" i="8"/>
  <c r="G16" i="8"/>
  <c r="F16" i="8"/>
  <c r="E16" i="8"/>
  <c r="C16" i="8"/>
  <c r="B16" i="8"/>
  <c r="G15" i="8"/>
  <c r="F15" i="8"/>
  <c r="E15" i="8"/>
  <c r="C15" i="8"/>
  <c r="B15" i="8"/>
  <c r="G14" i="8"/>
  <c r="F14" i="8"/>
  <c r="E14" i="8"/>
  <c r="C14" i="8"/>
  <c r="B14" i="8"/>
  <c r="G13" i="8"/>
  <c r="F13" i="8"/>
  <c r="E13" i="8"/>
  <c r="C13" i="8"/>
  <c r="B13" i="8"/>
  <c r="G12" i="8"/>
  <c r="F12" i="8"/>
  <c r="E12" i="8"/>
  <c r="C12" i="8"/>
  <c r="B12" i="8"/>
  <c r="A11" i="8"/>
  <c r="A10" i="8"/>
  <c r="B5" i="8"/>
  <c r="B4" i="8"/>
  <c r="A1" i="8"/>
  <c r="H305" i="7"/>
  <c r="H302" i="7"/>
  <c r="C305" i="7"/>
  <c r="C302" i="7"/>
  <c r="I299" i="7"/>
  <c r="J299" i="7"/>
  <c r="I298" i="7"/>
  <c r="J298" i="7"/>
  <c r="A297" i="7"/>
  <c r="J22" i="7"/>
  <c r="J19" i="7"/>
  <c r="J18" i="7"/>
  <c r="J17" i="7"/>
  <c r="J16" i="7"/>
  <c r="J14" i="7" s="1"/>
  <c r="J15" i="7"/>
  <c r="I22" i="7"/>
  <c r="I20" i="7"/>
  <c r="I19" i="7"/>
  <c r="I18" i="7"/>
  <c r="I17" i="7"/>
  <c r="I16" i="7"/>
  <c r="I14" i="7" s="1"/>
  <c r="I15" i="7"/>
  <c r="I295" i="7"/>
  <c r="J295" i="7"/>
  <c r="I294" i="7"/>
  <c r="J294" i="7"/>
  <c r="AQ293" i="7"/>
  <c r="A293" i="7"/>
  <c r="I291" i="7"/>
  <c r="J291" i="7"/>
  <c r="I290" i="7"/>
  <c r="J290" i="7"/>
  <c r="A289" i="7"/>
  <c r="P286" i="7"/>
  <c r="K285" i="7"/>
  <c r="J286" i="7" s="1"/>
  <c r="J285" i="7"/>
  <c r="I285" i="7"/>
  <c r="H285" i="7"/>
  <c r="F285" i="7"/>
  <c r="V285" i="7"/>
  <c r="T285" i="7"/>
  <c r="R285" i="7"/>
  <c r="U285" i="7"/>
  <c r="S285" i="7"/>
  <c r="Q285" i="7"/>
  <c r="E285" i="7"/>
  <c r="D285" i="7"/>
  <c r="B285" i="7"/>
  <c r="O283" i="7"/>
  <c r="P283" i="7"/>
  <c r="J283" i="7"/>
  <c r="C282" i="7"/>
  <c r="K281" i="7"/>
  <c r="J281" i="7"/>
  <c r="I281" i="7"/>
  <c r="H283" i="7" s="1"/>
  <c r="H281" i="7"/>
  <c r="F281" i="7"/>
  <c r="V281" i="7"/>
  <c r="T281" i="7"/>
  <c r="R281" i="7"/>
  <c r="U281" i="7"/>
  <c r="S281" i="7"/>
  <c r="Q281" i="7"/>
  <c r="E281" i="7"/>
  <c r="D281" i="7"/>
  <c r="B281" i="7"/>
  <c r="H278" i="7"/>
  <c r="J278" i="7"/>
  <c r="I276" i="7"/>
  <c r="H276" i="7"/>
  <c r="E276" i="7"/>
  <c r="J275" i="7"/>
  <c r="I275" i="7"/>
  <c r="E275" i="7"/>
  <c r="J274" i="7"/>
  <c r="E274" i="7"/>
  <c r="K273" i="7"/>
  <c r="J273" i="7"/>
  <c r="H273" i="7"/>
  <c r="I273" i="7"/>
  <c r="F273" i="7"/>
  <c r="V273" i="7"/>
  <c r="T273" i="7"/>
  <c r="R273" i="7"/>
  <c r="U273" i="7"/>
  <c r="S273" i="7"/>
  <c r="Q273" i="7"/>
  <c r="I274" i="7" s="1"/>
  <c r="E273" i="7"/>
  <c r="D273" i="7"/>
  <c r="B273" i="7"/>
  <c r="K272" i="7"/>
  <c r="J272" i="7"/>
  <c r="H272" i="7"/>
  <c r="I272" i="7"/>
  <c r="F272" i="7"/>
  <c r="V272" i="7"/>
  <c r="T272" i="7"/>
  <c r="R272" i="7"/>
  <c r="U272" i="7"/>
  <c r="S272" i="7"/>
  <c r="Q272" i="7"/>
  <c r="E272" i="7"/>
  <c r="D272" i="7"/>
  <c r="B272" i="7"/>
  <c r="K271" i="7"/>
  <c r="J271" i="7"/>
  <c r="I271" i="7"/>
  <c r="H271" i="7"/>
  <c r="F271" i="7"/>
  <c r="K270" i="7"/>
  <c r="J270" i="7"/>
  <c r="I270" i="7"/>
  <c r="H270" i="7"/>
  <c r="F270" i="7"/>
  <c r="K269" i="7"/>
  <c r="J269" i="7"/>
  <c r="I269" i="7"/>
  <c r="H269" i="7"/>
  <c r="F269" i="7"/>
  <c r="C268" i="7"/>
  <c r="V267" i="7"/>
  <c r="T267" i="7"/>
  <c r="R267" i="7"/>
  <c r="K274" i="7" s="1"/>
  <c r="U267" i="7"/>
  <c r="S267" i="7"/>
  <c r="Q267" i="7"/>
  <c r="E267" i="7"/>
  <c r="D267" i="7"/>
  <c r="B267" i="7"/>
  <c r="H264" i="7"/>
  <c r="J264" i="7"/>
  <c r="I262" i="7"/>
  <c r="H262" i="7"/>
  <c r="E262" i="7"/>
  <c r="J261" i="7"/>
  <c r="I261" i="7"/>
  <c r="E261" i="7"/>
  <c r="J260" i="7"/>
  <c r="E260" i="7"/>
  <c r="K259" i="7"/>
  <c r="J259" i="7"/>
  <c r="H259" i="7"/>
  <c r="I259" i="7"/>
  <c r="F259" i="7"/>
  <c r="V259" i="7"/>
  <c r="T259" i="7"/>
  <c r="R259" i="7"/>
  <c r="U259" i="7"/>
  <c r="S259" i="7"/>
  <c r="Q259" i="7"/>
  <c r="E259" i="7"/>
  <c r="D259" i="7"/>
  <c r="B259" i="7"/>
  <c r="K258" i="7"/>
  <c r="J258" i="7"/>
  <c r="H258" i="7"/>
  <c r="I258" i="7"/>
  <c r="F258" i="7"/>
  <c r="V258" i="7"/>
  <c r="T258" i="7"/>
  <c r="R258" i="7"/>
  <c r="U258" i="7"/>
  <c r="S258" i="7"/>
  <c r="Q258" i="7"/>
  <c r="E258" i="7"/>
  <c r="D258" i="7"/>
  <c r="B258" i="7"/>
  <c r="K257" i="7"/>
  <c r="J257" i="7"/>
  <c r="H257" i="7"/>
  <c r="I257" i="7"/>
  <c r="F257" i="7"/>
  <c r="V257" i="7"/>
  <c r="T257" i="7"/>
  <c r="R257" i="7"/>
  <c r="U257" i="7"/>
  <c r="S257" i="7"/>
  <c r="Q257" i="7"/>
  <c r="I260" i="7" s="1"/>
  <c r="H265" i="7" s="1"/>
  <c r="E257" i="7"/>
  <c r="D257" i="7"/>
  <c r="B257" i="7"/>
  <c r="K256" i="7"/>
  <c r="J256" i="7"/>
  <c r="I256" i="7"/>
  <c r="H256" i="7"/>
  <c r="F256" i="7"/>
  <c r="K255" i="7"/>
  <c r="J255" i="7"/>
  <c r="I255" i="7"/>
  <c r="H255" i="7"/>
  <c r="F255" i="7"/>
  <c r="K254" i="7"/>
  <c r="J254" i="7"/>
  <c r="I254" i="7"/>
  <c r="H254" i="7"/>
  <c r="F254" i="7"/>
  <c r="C253" i="7"/>
  <c r="V252" i="7"/>
  <c r="T252" i="7"/>
  <c r="K261" i="7" s="1"/>
  <c r="R252" i="7"/>
  <c r="K260" i="7" s="1"/>
  <c r="U252" i="7"/>
  <c r="S252" i="7"/>
  <c r="Q252" i="7"/>
  <c r="E252" i="7"/>
  <c r="D252" i="7"/>
  <c r="B252" i="7"/>
  <c r="A251" i="7"/>
  <c r="I249" i="7"/>
  <c r="J249" i="7"/>
  <c r="I248" i="7"/>
  <c r="J248" i="7"/>
  <c r="A247" i="7"/>
  <c r="P244" i="7"/>
  <c r="J244" i="7"/>
  <c r="K243" i="7"/>
  <c r="J243" i="7"/>
  <c r="I243" i="7"/>
  <c r="O244" i="7" s="1"/>
  <c r="H243" i="7"/>
  <c r="F243" i="7"/>
  <c r="V243" i="7"/>
  <c r="T243" i="7"/>
  <c r="R243" i="7"/>
  <c r="U243" i="7"/>
  <c r="S243" i="7"/>
  <c r="Q243" i="7"/>
  <c r="E243" i="7"/>
  <c r="D243" i="7"/>
  <c r="B243" i="7"/>
  <c r="H240" i="7"/>
  <c r="J240" i="7"/>
  <c r="I238" i="7"/>
  <c r="H238" i="7"/>
  <c r="E238" i="7"/>
  <c r="J237" i="7"/>
  <c r="I237" i="7"/>
  <c r="E237" i="7"/>
  <c r="J236" i="7"/>
  <c r="I236" i="7"/>
  <c r="E236" i="7"/>
  <c r="K235" i="7"/>
  <c r="J235" i="7"/>
  <c r="I235" i="7"/>
  <c r="O241" i="7" s="1"/>
  <c r="H235" i="7"/>
  <c r="F235" i="7"/>
  <c r="K234" i="7"/>
  <c r="J234" i="7"/>
  <c r="I234" i="7"/>
  <c r="H234" i="7"/>
  <c r="F234" i="7"/>
  <c r="K233" i="7"/>
  <c r="J233" i="7"/>
  <c r="I233" i="7"/>
  <c r="H233" i="7"/>
  <c r="F233" i="7"/>
  <c r="V232" i="7"/>
  <c r="T232" i="7"/>
  <c r="K237" i="7" s="1"/>
  <c r="R232" i="7"/>
  <c r="K236" i="7" s="1"/>
  <c r="U232" i="7"/>
  <c r="S232" i="7"/>
  <c r="Q232" i="7"/>
  <c r="E232" i="7"/>
  <c r="D232" i="7"/>
  <c r="B232" i="7"/>
  <c r="P230" i="7"/>
  <c r="J230" i="7"/>
  <c r="K229" i="7"/>
  <c r="J229" i="7"/>
  <c r="I229" i="7"/>
  <c r="H229" i="7"/>
  <c r="F229" i="7"/>
  <c r="V229" i="7"/>
  <c r="T229" i="7"/>
  <c r="R229" i="7"/>
  <c r="U229" i="7"/>
  <c r="S229" i="7"/>
  <c r="Q229" i="7"/>
  <c r="E229" i="7"/>
  <c r="D229" i="7"/>
  <c r="B229" i="7"/>
  <c r="H226" i="7"/>
  <c r="P227" i="7"/>
  <c r="J226" i="7"/>
  <c r="I224" i="7"/>
  <c r="H224" i="7"/>
  <c r="E224" i="7"/>
  <c r="J223" i="7"/>
  <c r="E223" i="7"/>
  <c r="J222" i="7"/>
  <c r="E222" i="7"/>
  <c r="K221" i="7"/>
  <c r="J221" i="7"/>
  <c r="I221" i="7"/>
  <c r="H221" i="7"/>
  <c r="F221" i="7"/>
  <c r="K220" i="7"/>
  <c r="J220" i="7"/>
  <c r="I220" i="7"/>
  <c r="H220" i="7"/>
  <c r="F220" i="7"/>
  <c r="C219" i="7"/>
  <c r="V218" i="7"/>
  <c r="T218" i="7"/>
  <c r="K223" i="7" s="1"/>
  <c r="R218" i="7"/>
  <c r="K222" i="7" s="1"/>
  <c r="U218" i="7"/>
  <c r="S218" i="7"/>
  <c r="I223" i="7" s="1"/>
  <c r="O227" i="7" s="1"/>
  <c r="Q218" i="7"/>
  <c r="I222" i="7" s="1"/>
  <c r="E218" i="7"/>
  <c r="D218" i="7"/>
  <c r="B218" i="7"/>
  <c r="O216" i="7"/>
  <c r="H216" i="7"/>
  <c r="K215" i="7"/>
  <c r="P216" i="7" s="1"/>
  <c r="J215" i="7"/>
  <c r="I215" i="7"/>
  <c r="H215" i="7"/>
  <c r="F215" i="7"/>
  <c r="V215" i="7"/>
  <c r="T215" i="7"/>
  <c r="R215" i="7"/>
  <c r="U215" i="7"/>
  <c r="S215" i="7"/>
  <c r="Q215" i="7"/>
  <c r="E215" i="7"/>
  <c r="D215" i="7"/>
  <c r="B215" i="7"/>
  <c r="H212" i="7"/>
  <c r="J212" i="7"/>
  <c r="I210" i="7"/>
  <c r="H210" i="7"/>
  <c r="E210" i="7"/>
  <c r="K209" i="7"/>
  <c r="J211" i="7" s="1"/>
  <c r="J209" i="7"/>
  <c r="E209" i="7"/>
  <c r="K208" i="7"/>
  <c r="J208" i="7"/>
  <c r="E208" i="7"/>
  <c r="K207" i="7"/>
  <c r="J207" i="7"/>
  <c r="I207" i="7"/>
  <c r="H207" i="7"/>
  <c r="F207" i="7"/>
  <c r="K206" i="7"/>
  <c r="J206" i="7"/>
  <c r="I206" i="7"/>
  <c r="H206" i="7"/>
  <c r="F206" i="7"/>
  <c r="V205" i="7"/>
  <c r="T205" i="7"/>
  <c r="R205" i="7"/>
  <c r="U205" i="7"/>
  <c r="S205" i="7"/>
  <c r="I209" i="7" s="1"/>
  <c r="H211" i="7" s="1"/>
  <c r="Q205" i="7"/>
  <c r="I208" i="7" s="1"/>
  <c r="E205" i="7"/>
  <c r="D205" i="7"/>
  <c r="B205" i="7"/>
  <c r="A204" i="7"/>
  <c r="I202" i="7"/>
  <c r="J202" i="7"/>
  <c r="I201" i="7"/>
  <c r="J201" i="7"/>
  <c r="A200" i="7"/>
  <c r="O197" i="7"/>
  <c r="H197" i="7"/>
  <c r="K196" i="7"/>
  <c r="P197" i="7" s="1"/>
  <c r="J196" i="7"/>
  <c r="I196" i="7"/>
  <c r="H196" i="7"/>
  <c r="F196" i="7"/>
  <c r="V196" i="7"/>
  <c r="T196" i="7"/>
  <c r="R196" i="7"/>
  <c r="U196" i="7"/>
  <c r="S196" i="7"/>
  <c r="Q196" i="7"/>
  <c r="E196" i="7"/>
  <c r="D196" i="7"/>
  <c r="B196" i="7"/>
  <c r="P194" i="7"/>
  <c r="J194" i="7"/>
  <c r="K193" i="7"/>
  <c r="J193" i="7"/>
  <c r="I193" i="7"/>
  <c r="O194" i="7" s="1"/>
  <c r="H193" i="7"/>
  <c r="F193" i="7"/>
  <c r="V193" i="7"/>
  <c r="T193" i="7"/>
  <c r="R193" i="7"/>
  <c r="U193" i="7"/>
  <c r="S193" i="7"/>
  <c r="Q193" i="7"/>
  <c r="E193" i="7"/>
  <c r="D193" i="7"/>
  <c r="B193" i="7"/>
  <c r="O191" i="7"/>
  <c r="H191" i="7"/>
  <c r="K190" i="7"/>
  <c r="P191" i="7" s="1"/>
  <c r="J190" i="7"/>
  <c r="I190" i="7"/>
  <c r="H190" i="7"/>
  <c r="F190" i="7"/>
  <c r="V190" i="7"/>
  <c r="T190" i="7"/>
  <c r="R190" i="7"/>
  <c r="U190" i="7"/>
  <c r="S190" i="7"/>
  <c r="Q190" i="7"/>
  <c r="E190" i="7"/>
  <c r="D190" i="7"/>
  <c r="B190" i="7"/>
  <c r="H187" i="7"/>
  <c r="J187" i="7"/>
  <c r="I185" i="7"/>
  <c r="H185" i="7"/>
  <c r="E185" i="7"/>
  <c r="K184" i="7"/>
  <c r="J186" i="7" s="1"/>
  <c r="J184" i="7"/>
  <c r="E184" i="7"/>
  <c r="K183" i="7"/>
  <c r="J183" i="7"/>
  <c r="E183" i="7"/>
  <c r="K182" i="7"/>
  <c r="J182" i="7"/>
  <c r="H182" i="7"/>
  <c r="I182" i="7"/>
  <c r="F182" i="7"/>
  <c r="V182" i="7"/>
  <c r="T182" i="7"/>
  <c r="R182" i="7"/>
  <c r="U182" i="7"/>
  <c r="S182" i="7"/>
  <c r="Q182" i="7"/>
  <c r="E182" i="7"/>
  <c r="D182" i="7"/>
  <c r="B182" i="7"/>
  <c r="K181" i="7"/>
  <c r="P188" i="7" s="1"/>
  <c r="J181" i="7"/>
  <c r="I181" i="7"/>
  <c r="H181" i="7"/>
  <c r="F181" i="7"/>
  <c r="V180" i="7"/>
  <c r="T180" i="7"/>
  <c r="R180" i="7"/>
  <c r="U180" i="7"/>
  <c r="S180" i="7"/>
  <c r="I184" i="7" s="1"/>
  <c r="Q180" i="7"/>
  <c r="I183" i="7" s="1"/>
  <c r="E180" i="7"/>
  <c r="D180" i="7"/>
  <c r="B180" i="7"/>
  <c r="O178" i="7"/>
  <c r="K177" i="7"/>
  <c r="J177" i="7"/>
  <c r="I177" i="7"/>
  <c r="H178" i="7" s="1"/>
  <c r="H177" i="7"/>
  <c r="F177" i="7"/>
  <c r="V177" i="7"/>
  <c r="T177" i="7"/>
  <c r="R177" i="7"/>
  <c r="U177" i="7"/>
  <c r="S177" i="7"/>
  <c r="Q177" i="7"/>
  <c r="E177" i="7"/>
  <c r="D177" i="7"/>
  <c r="B177" i="7"/>
  <c r="H174" i="7"/>
  <c r="J174" i="7"/>
  <c r="I172" i="7"/>
  <c r="H172" i="7"/>
  <c r="E172" i="7"/>
  <c r="J171" i="7"/>
  <c r="E171" i="7"/>
  <c r="J170" i="7"/>
  <c r="E170" i="7"/>
  <c r="K169" i="7"/>
  <c r="J169" i="7"/>
  <c r="H169" i="7"/>
  <c r="I169" i="7"/>
  <c r="F169" i="7"/>
  <c r="V169" i="7"/>
  <c r="T169" i="7"/>
  <c r="R169" i="7"/>
  <c r="U169" i="7"/>
  <c r="S169" i="7"/>
  <c r="Q169" i="7"/>
  <c r="I170" i="7" s="1"/>
  <c r="E169" i="7"/>
  <c r="D169" i="7"/>
  <c r="B169" i="7"/>
  <c r="K168" i="7"/>
  <c r="J168" i="7"/>
  <c r="I168" i="7"/>
  <c r="H168" i="7"/>
  <c r="F168" i="7"/>
  <c r="V167" i="7"/>
  <c r="T167" i="7"/>
  <c r="K171" i="7" s="1"/>
  <c r="R167" i="7"/>
  <c r="U167" i="7"/>
  <c r="S167" i="7"/>
  <c r="I171" i="7" s="1"/>
  <c r="Q167" i="7"/>
  <c r="E167" i="7"/>
  <c r="D167" i="7"/>
  <c r="B167" i="7"/>
  <c r="P165" i="7"/>
  <c r="J165" i="7"/>
  <c r="K164" i="7"/>
  <c r="J164" i="7"/>
  <c r="I164" i="7"/>
  <c r="O165" i="7" s="1"/>
  <c r="H164" i="7"/>
  <c r="F164" i="7"/>
  <c r="V164" i="7"/>
  <c r="T164" i="7"/>
  <c r="R164" i="7"/>
  <c r="U164" i="7"/>
  <c r="S164" i="7"/>
  <c r="Q164" i="7"/>
  <c r="E164" i="7"/>
  <c r="D164" i="7"/>
  <c r="B164" i="7"/>
  <c r="H161" i="7"/>
  <c r="J161" i="7"/>
  <c r="I159" i="7"/>
  <c r="H159" i="7"/>
  <c r="E159" i="7"/>
  <c r="J158" i="7"/>
  <c r="I158" i="7"/>
  <c r="E158" i="7"/>
  <c r="J157" i="7"/>
  <c r="E157" i="7"/>
  <c r="K156" i="7"/>
  <c r="J156" i="7"/>
  <c r="H156" i="7"/>
  <c r="I156" i="7"/>
  <c r="F156" i="7"/>
  <c r="V156" i="7"/>
  <c r="T156" i="7"/>
  <c r="R156" i="7"/>
  <c r="U156" i="7"/>
  <c r="S156" i="7"/>
  <c r="Q156" i="7"/>
  <c r="I157" i="7" s="1"/>
  <c r="E156" i="7"/>
  <c r="D156" i="7"/>
  <c r="B156" i="7"/>
  <c r="K155" i="7"/>
  <c r="J155" i="7"/>
  <c r="I155" i="7"/>
  <c r="H155" i="7"/>
  <c r="F155" i="7"/>
  <c r="V154" i="7"/>
  <c r="T154" i="7"/>
  <c r="R154" i="7"/>
  <c r="K157" i="7" s="1"/>
  <c r="U154" i="7"/>
  <c r="S154" i="7"/>
  <c r="Q154" i="7"/>
  <c r="E154" i="7"/>
  <c r="D154" i="7"/>
  <c r="B154" i="7"/>
  <c r="P152" i="7"/>
  <c r="J152" i="7"/>
  <c r="K151" i="7"/>
  <c r="J151" i="7"/>
  <c r="I151" i="7"/>
  <c r="H151" i="7"/>
  <c r="F151" i="7"/>
  <c r="V151" i="7"/>
  <c r="T151" i="7"/>
  <c r="R151" i="7"/>
  <c r="U151" i="7"/>
  <c r="S151" i="7"/>
  <c r="Q151" i="7"/>
  <c r="E151" i="7"/>
  <c r="D151" i="7"/>
  <c r="B151" i="7"/>
  <c r="H148" i="7"/>
  <c r="P149" i="7"/>
  <c r="J148" i="7"/>
  <c r="I146" i="7"/>
  <c r="H146" i="7"/>
  <c r="E146" i="7"/>
  <c r="J145" i="7"/>
  <c r="E145" i="7"/>
  <c r="K144" i="7"/>
  <c r="J144" i="7"/>
  <c r="E144" i="7"/>
  <c r="K143" i="7"/>
  <c r="J143" i="7"/>
  <c r="I143" i="7"/>
  <c r="H143" i="7"/>
  <c r="F143" i="7"/>
  <c r="K142" i="7"/>
  <c r="J142" i="7"/>
  <c r="I142" i="7"/>
  <c r="H142" i="7"/>
  <c r="F142" i="7"/>
  <c r="K141" i="7"/>
  <c r="J141" i="7"/>
  <c r="I141" i="7"/>
  <c r="H141" i="7"/>
  <c r="F141" i="7"/>
  <c r="K140" i="7"/>
  <c r="J140" i="7"/>
  <c r="I140" i="7"/>
  <c r="H140" i="7"/>
  <c r="F140" i="7"/>
  <c r="V139" i="7"/>
  <c r="T139" i="7"/>
  <c r="K145" i="7" s="1"/>
  <c r="R139" i="7"/>
  <c r="U139" i="7"/>
  <c r="S139" i="7"/>
  <c r="I145" i="7" s="1"/>
  <c r="Q139" i="7"/>
  <c r="I144" i="7" s="1"/>
  <c r="E139" i="7"/>
  <c r="D139" i="7"/>
  <c r="B139" i="7"/>
  <c r="O137" i="7"/>
  <c r="K136" i="7"/>
  <c r="J136" i="7"/>
  <c r="I136" i="7"/>
  <c r="H137" i="7" s="1"/>
  <c r="H136" i="7"/>
  <c r="F136" i="7"/>
  <c r="V136" i="7"/>
  <c r="T136" i="7"/>
  <c r="R136" i="7"/>
  <c r="U136" i="7"/>
  <c r="S136" i="7"/>
  <c r="Q136" i="7"/>
  <c r="E136" i="7"/>
  <c r="D136" i="7"/>
  <c r="B136" i="7"/>
  <c r="H133" i="7"/>
  <c r="J133" i="7"/>
  <c r="I131" i="7"/>
  <c r="H131" i="7"/>
  <c r="E131" i="7"/>
  <c r="J130" i="7"/>
  <c r="E130" i="7"/>
  <c r="J129" i="7"/>
  <c r="E129" i="7"/>
  <c r="K128" i="7"/>
  <c r="J128" i="7"/>
  <c r="H128" i="7"/>
  <c r="I128" i="7"/>
  <c r="F128" i="7"/>
  <c r="V128" i="7"/>
  <c r="T128" i="7"/>
  <c r="R128" i="7"/>
  <c r="U128" i="7"/>
  <c r="S128" i="7"/>
  <c r="Q128" i="7"/>
  <c r="I129" i="7" s="1"/>
  <c r="E128" i="7"/>
  <c r="D128" i="7"/>
  <c r="B128" i="7"/>
  <c r="K127" i="7"/>
  <c r="J127" i="7"/>
  <c r="I127" i="7"/>
  <c r="H132" i="7" s="1"/>
  <c r="H127" i="7"/>
  <c r="F127" i="7"/>
  <c r="V126" i="7"/>
  <c r="T126" i="7"/>
  <c r="K130" i="7" s="1"/>
  <c r="R126" i="7"/>
  <c r="K129" i="7" s="1"/>
  <c r="U126" i="7"/>
  <c r="S126" i="7"/>
  <c r="I130" i="7" s="1"/>
  <c r="Q126" i="7"/>
  <c r="E126" i="7"/>
  <c r="D126" i="7"/>
  <c r="B126" i="7"/>
  <c r="P124" i="7"/>
  <c r="J124" i="7"/>
  <c r="K123" i="7"/>
  <c r="J123" i="7"/>
  <c r="I123" i="7"/>
  <c r="O124" i="7" s="1"/>
  <c r="H123" i="7"/>
  <c r="F123" i="7"/>
  <c r="V123" i="7"/>
  <c r="T123" i="7"/>
  <c r="R123" i="7"/>
  <c r="U123" i="7"/>
  <c r="S123" i="7"/>
  <c r="Q123" i="7"/>
  <c r="E123" i="7"/>
  <c r="D123" i="7"/>
  <c r="B123" i="7"/>
  <c r="H120" i="7"/>
  <c r="J120" i="7"/>
  <c r="I118" i="7"/>
  <c r="H118" i="7"/>
  <c r="E118" i="7"/>
  <c r="J117" i="7"/>
  <c r="I117" i="7"/>
  <c r="E117" i="7"/>
  <c r="J116" i="7"/>
  <c r="E116" i="7"/>
  <c r="K115" i="7"/>
  <c r="J115" i="7"/>
  <c r="H115" i="7"/>
  <c r="I115" i="7"/>
  <c r="F115" i="7"/>
  <c r="V115" i="7"/>
  <c r="T115" i="7"/>
  <c r="R115" i="7"/>
  <c r="U115" i="7"/>
  <c r="S115" i="7"/>
  <c r="Q115" i="7"/>
  <c r="I116" i="7" s="1"/>
  <c r="E115" i="7"/>
  <c r="D115" i="7"/>
  <c r="B115" i="7"/>
  <c r="K114" i="7"/>
  <c r="J114" i="7"/>
  <c r="I114" i="7"/>
  <c r="H114" i="7"/>
  <c r="F114" i="7"/>
  <c r="V113" i="7"/>
  <c r="T113" i="7"/>
  <c r="K117" i="7" s="1"/>
  <c r="R113" i="7"/>
  <c r="K116" i="7" s="1"/>
  <c r="U113" i="7"/>
  <c r="S113" i="7"/>
  <c r="Q113" i="7"/>
  <c r="E113" i="7"/>
  <c r="D113" i="7"/>
  <c r="B113" i="7"/>
  <c r="P111" i="7"/>
  <c r="J111" i="7"/>
  <c r="K110" i="7"/>
  <c r="J110" i="7"/>
  <c r="I110" i="7"/>
  <c r="H110" i="7"/>
  <c r="F110" i="7"/>
  <c r="V110" i="7"/>
  <c r="T110" i="7"/>
  <c r="R110" i="7"/>
  <c r="U110" i="7"/>
  <c r="S110" i="7"/>
  <c r="Q110" i="7"/>
  <c r="E110" i="7"/>
  <c r="D110" i="7"/>
  <c r="B110" i="7"/>
  <c r="O108" i="7"/>
  <c r="H107" i="7"/>
  <c r="J107" i="7"/>
  <c r="I105" i="7"/>
  <c r="H105" i="7"/>
  <c r="E105" i="7"/>
  <c r="J104" i="7"/>
  <c r="E104" i="7"/>
  <c r="J103" i="7"/>
  <c r="E103" i="7"/>
  <c r="K102" i="7"/>
  <c r="J102" i="7"/>
  <c r="I102" i="7"/>
  <c r="H102" i="7"/>
  <c r="F102" i="7"/>
  <c r="K101" i="7"/>
  <c r="J101" i="7"/>
  <c r="I101" i="7"/>
  <c r="H101" i="7"/>
  <c r="F101" i="7"/>
  <c r="K100" i="7"/>
  <c r="J100" i="7"/>
  <c r="I100" i="7"/>
  <c r="H100" i="7"/>
  <c r="F100" i="7"/>
  <c r="V99" i="7"/>
  <c r="T99" i="7"/>
  <c r="K104" i="7" s="1"/>
  <c r="R99" i="7"/>
  <c r="K103" i="7" s="1"/>
  <c r="U99" i="7"/>
  <c r="S99" i="7"/>
  <c r="I104" i="7" s="1"/>
  <c r="Q99" i="7"/>
  <c r="I103" i="7" s="1"/>
  <c r="E99" i="7"/>
  <c r="D99" i="7"/>
  <c r="B99" i="7"/>
  <c r="O97" i="7"/>
  <c r="H97" i="7"/>
  <c r="K96" i="7"/>
  <c r="P97" i="7" s="1"/>
  <c r="J96" i="7"/>
  <c r="I96" i="7"/>
  <c r="H96" i="7"/>
  <c r="F96" i="7"/>
  <c r="V96" i="7"/>
  <c r="T96" i="7"/>
  <c r="R96" i="7"/>
  <c r="U96" i="7"/>
  <c r="S96" i="7"/>
  <c r="Q96" i="7"/>
  <c r="E96" i="7"/>
  <c r="D96" i="7"/>
  <c r="B96" i="7"/>
  <c r="H93" i="7"/>
  <c r="J93" i="7"/>
  <c r="I91" i="7"/>
  <c r="H91" i="7"/>
  <c r="E91" i="7"/>
  <c r="J90" i="7"/>
  <c r="E90" i="7"/>
  <c r="K89" i="7"/>
  <c r="J89" i="7"/>
  <c r="E89" i="7"/>
  <c r="K88" i="7"/>
  <c r="J88" i="7"/>
  <c r="H88" i="7"/>
  <c r="I88" i="7"/>
  <c r="F88" i="7"/>
  <c r="V88" i="7"/>
  <c r="T88" i="7"/>
  <c r="R88" i="7"/>
  <c r="U88" i="7"/>
  <c r="S88" i="7"/>
  <c r="Q88" i="7"/>
  <c r="E88" i="7"/>
  <c r="D88" i="7"/>
  <c r="B88" i="7"/>
  <c r="K87" i="7"/>
  <c r="J87" i="7"/>
  <c r="I87" i="7"/>
  <c r="H87" i="7"/>
  <c r="F87" i="7"/>
  <c r="V86" i="7"/>
  <c r="T86" i="7"/>
  <c r="K90" i="7" s="1"/>
  <c r="J92" i="7" s="1"/>
  <c r="R86" i="7"/>
  <c r="U86" i="7"/>
  <c r="S86" i="7"/>
  <c r="I90" i="7" s="1"/>
  <c r="Q86" i="7"/>
  <c r="I89" i="7" s="1"/>
  <c r="E86" i="7"/>
  <c r="D86" i="7"/>
  <c r="B86" i="7"/>
  <c r="O84" i="7"/>
  <c r="K83" i="7"/>
  <c r="J83" i="7"/>
  <c r="I83" i="7"/>
  <c r="H84" i="7" s="1"/>
  <c r="H83" i="7"/>
  <c r="F83" i="7"/>
  <c r="V83" i="7"/>
  <c r="T83" i="7"/>
  <c r="R83" i="7"/>
  <c r="U83" i="7"/>
  <c r="S83" i="7"/>
  <c r="Q83" i="7"/>
  <c r="E83" i="7"/>
  <c r="D83" i="7"/>
  <c r="B83" i="7"/>
  <c r="H80" i="7"/>
  <c r="J80" i="7"/>
  <c r="I78" i="7"/>
  <c r="H78" i="7"/>
  <c r="E78" i="7"/>
  <c r="J77" i="7"/>
  <c r="E77" i="7"/>
  <c r="J76" i="7"/>
  <c r="I76" i="7"/>
  <c r="E76" i="7"/>
  <c r="K75" i="7"/>
  <c r="J75" i="7"/>
  <c r="I75" i="7"/>
  <c r="H75" i="7"/>
  <c r="F75" i="7"/>
  <c r="K74" i="7"/>
  <c r="J74" i="7"/>
  <c r="I74" i="7"/>
  <c r="H74" i="7"/>
  <c r="F74" i="7"/>
  <c r="K73" i="7"/>
  <c r="J79" i="7" s="1"/>
  <c r="J73" i="7"/>
  <c r="I73" i="7"/>
  <c r="H73" i="7"/>
  <c r="F73" i="7"/>
  <c r="V72" i="7"/>
  <c r="T72" i="7"/>
  <c r="K77" i="7" s="1"/>
  <c r="R72" i="7"/>
  <c r="K76" i="7" s="1"/>
  <c r="U72" i="7"/>
  <c r="S72" i="7"/>
  <c r="I77" i="7" s="1"/>
  <c r="Q72" i="7"/>
  <c r="E72" i="7"/>
  <c r="D72" i="7"/>
  <c r="B72" i="7"/>
  <c r="P70" i="7"/>
  <c r="J70" i="7"/>
  <c r="K69" i="7"/>
  <c r="J69" i="7"/>
  <c r="I69" i="7"/>
  <c r="O70" i="7" s="1"/>
  <c r="H69" i="7"/>
  <c r="F69" i="7"/>
  <c r="V69" i="7"/>
  <c r="T69" i="7"/>
  <c r="R69" i="7"/>
  <c r="U69" i="7"/>
  <c r="S69" i="7"/>
  <c r="Q69" i="7"/>
  <c r="E69" i="7"/>
  <c r="D69" i="7"/>
  <c r="B69" i="7"/>
  <c r="H66" i="7"/>
  <c r="J66" i="7"/>
  <c r="I64" i="7"/>
  <c r="H64" i="7"/>
  <c r="E64" i="7"/>
  <c r="J63" i="7"/>
  <c r="I63" i="7"/>
  <c r="E63" i="7"/>
  <c r="J62" i="7"/>
  <c r="I62" i="7"/>
  <c r="O67" i="7" s="1"/>
  <c r="E62" i="7"/>
  <c r="K61" i="7"/>
  <c r="J61" i="7"/>
  <c r="I61" i="7"/>
  <c r="H61" i="7"/>
  <c r="F61" i="7"/>
  <c r="K60" i="7"/>
  <c r="J60" i="7"/>
  <c r="I60" i="7"/>
  <c r="H60" i="7"/>
  <c r="F60" i="7"/>
  <c r="K59" i="7"/>
  <c r="J59" i="7"/>
  <c r="I59" i="7"/>
  <c r="H59" i="7"/>
  <c r="F59" i="7"/>
  <c r="V58" i="7"/>
  <c r="T58" i="7"/>
  <c r="K63" i="7" s="1"/>
  <c r="R58" i="7"/>
  <c r="K62" i="7" s="1"/>
  <c r="U58" i="7"/>
  <c r="S58" i="7"/>
  <c r="Q58" i="7"/>
  <c r="E58" i="7"/>
  <c r="D58" i="7"/>
  <c r="B58" i="7"/>
  <c r="P56" i="7"/>
  <c r="J56" i="7"/>
  <c r="K55" i="7"/>
  <c r="J55" i="7"/>
  <c r="I55" i="7"/>
  <c r="O56" i="7" s="1"/>
  <c r="H55" i="7"/>
  <c r="F55" i="7"/>
  <c r="V55" i="7"/>
  <c r="T55" i="7"/>
  <c r="R55" i="7"/>
  <c r="U55" i="7"/>
  <c r="S55" i="7"/>
  <c r="Q55" i="7"/>
  <c r="E55" i="7"/>
  <c r="D55" i="7"/>
  <c r="B55" i="7"/>
  <c r="H52" i="7"/>
  <c r="J52" i="7"/>
  <c r="I50" i="7"/>
  <c r="H50" i="7"/>
  <c r="E50" i="7"/>
  <c r="K49" i="7"/>
  <c r="J51" i="7" s="1"/>
  <c r="J49" i="7"/>
  <c r="E49" i="7"/>
  <c r="K48" i="7"/>
  <c r="J48" i="7"/>
  <c r="E48" i="7"/>
  <c r="K47" i="7"/>
  <c r="J47" i="7"/>
  <c r="I47" i="7"/>
  <c r="H47" i="7"/>
  <c r="F47" i="7"/>
  <c r="K46" i="7"/>
  <c r="J46" i="7"/>
  <c r="I46" i="7"/>
  <c r="H46" i="7"/>
  <c r="F46" i="7"/>
  <c r="V45" i="7"/>
  <c r="T45" i="7"/>
  <c r="R45" i="7"/>
  <c r="U45" i="7"/>
  <c r="S45" i="7"/>
  <c r="I49" i="7" s="1"/>
  <c r="O53" i="7" s="1"/>
  <c r="Q45" i="7"/>
  <c r="I48" i="7" s="1"/>
  <c r="H51" i="7" s="1"/>
  <c r="E45" i="7"/>
  <c r="D45" i="7"/>
  <c r="B45" i="7"/>
  <c r="P43" i="7"/>
  <c r="J43" i="7"/>
  <c r="K42" i="7"/>
  <c r="J42" i="7"/>
  <c r="I42" i="7"/>
  <c r="O43" i="7" s="1"/>
  <c r="H42" i="7"/>
  <c r="F42" i="7"/>
  <c r="V42" i="7"/>
  <c r="T42" i="7"/>
  <c r="R42" i="7"/>
  <c r="U42" i="7"/>
  <c r="S42" i="7"/>
  <c r="Q42" i="7"/>
  <c r="E42" i="7"/>
  <c r="D42" i="7"/>
  <c r="B42" i="7"/>
  <c r="H39" i="7"/>
  <c r="H38" i="7"/>
  <c r="J39" i="7"/>
  <c r="I37" i="7"/>
  <c r="H37" i="7"/>
  <c r="E37" i="7"/>
  <c r="K36" i="7"/>
  <c r="J38" i="7" s="1"/>
  <c r="J36" i="7"/>
  <c r="E36" i="7"/>
  <c r="K35" i="7"/>
  <c r="J35" i="7"/>
  <c r="E35" i="7"/>
  <c r="K34" i="7"/>
  <c r="P40" i="7" s="1"/>
  <c r="J34" i="7"/>
  <c r="I34" i="7"/>
  <c r="H34" i="7"/>
  <c r="F34" i="7"/>
  <c r="K33" i="7"/>
  <c r="J33" i="7"/>
  <c r="I33" i="7"/>
  <c r="H33" i="7"/>
  <c r="F33" i="7"/>
  <c r="K32" i="7"/>
  <c r="J32" i="7"/>
  <c r="I32" i="7"/>
  <c r="H32" i="7"/>
  <c r="F32" i="7"/>
  <c r="K31" i="7"/>
  <c r="J40" i="7" s="1"/>
  <c r="J31" i="7"/>
  <c r="I31" i="7"/>
  <c r="H31" i="7"/>
  <c r="F31" i="7"/>
  <c r="V30" i="7"/>
  <c r="T30" i="7"/>
  <c r="R30" i="7"/>
  <c r="U30" i="7"/>
  <c r="S30" i="7"/>
  <c r="I36" i="7" s="1"/>
  <c r="Q30" i="7"/>
  <c r="I35" i="7" s="1"/>
  <c r="E30" i="7"/>
  <c r="D30" i="7"/>
  <c r="B30" i="7"/>
  <c r="A29" i="7"/>
  <c r="A11" i="7"/>
  <c r="A8" i="7"/>
  <c r="A6" i="7"/>
  <c r="A1" i="7"/>
  <c r="O121" i="7" l="1"/>
  <c r="H121" i="7"/>
  <c r="O162" i="7"/>
  <c r="H162" i="7"/>
  <c r="J65" i="7"/>
  <c r="P67" i="7"/>
  <c r="H81" i="7"/>
  <c r="O94" i="7"/>
  <c r="H94" i="7"/>
  <c r="H92" i="7"/>
  <c r="J106" i="7"/>
  <c r="H111" i="7"/>
  <c r="O111" i="7"/>
  <c r="H119" i="7"/>
  <c r="J137" i="7"/>
  <c r="P137" i="7"/>
  <c r="H227" i="7"/>
  <c r="J239" i="7"/>
  <c r="P241" i="7"/>
  <c r="J263" i="7"/>
  <c r="O279" i="7"/>
  <c r="J53" i="7"/>
  <c r="J67" i="7"/>
  <c r="H108" i="7"/>
  <c r="H149" i="7"/>
  <c r="H147" i="7"/>
  <c r="J173" i="7"/>
  <c r="H175" i="7"/>
  <c r="P213" i="7"/>
  <c r="J241" i="7"/>
  <c r="K275" i="7"/>
  <c r="J277" i="7" s="1"/>
  <c r="J279" i="7"/>
  <c r="O286" i="7"/>
  <c r="H286" i="7"/>
  <c r="H40" i="7"/>
  <c r="O40" i="7"/>
  <c r="P53" i="7"/>
  <c r="H56" i="7"/>
  <c r="H65" i="7"/>
  <c r="P94" i="7"/>
  <c r="P108" i="7"/>
  <c r="P121" i="7"/>
  <c r="J119" i="7"/>
  <c r="J147" i="7"/>
  <c r="O149" i="7"/>
  <c r="O152" i="7"/>
  <c r="H152" i="7"/>
  <c r="K158" i="7"/>
  <c r="P162" i="7" s="1"/>
  <c r="H160" i="7"/>
  <c r="K170" i="7"/>
  <c r="P178" i="7"/>
  <c r="J178" i="7"/>
  <c r="J227" i="7"/>
  <c r="J225" i="7"/>
  <c r="O230" i="7"/>
  <c r="H230" i="7"/>
  <c r="H239" i="7"/>
  <c r="O265" i="7"/>
  <c r="H263" i="7"/>
  <c r="P265" i="7"/>
  <c r="H277" i="7"/>
  <c r="H43" i="7"/>
  <c r="H53" i="7"/>
  <c r="H67" i="7"/>
  <c r="H79" i="7"/>
  <c r="J84" i="7"/>
  <c r="P84" i="7"/>
  <c r="J108" i="7"/>
  <c r="J121" i="7"/>
  <c r="J132" i="7"/>
  <c r="H134" i="7"/>
  <c r="J149" i="7"/>
  <c r="H173" i="7"/>
  <c r="O188" i="7"/>
  <c r="H188" i="7"/>
  <c r="H186" i="7"/>
  <c r="O213" i="7"/>
  <c r="H225" i="7"/>
  <c r="H241" i="7"/>
  <c r="J265" i="7"/>
  <c r="H279" i="7"/>
  <c r="J175" i="7"/>
  <c r="H70" i="7"/>
  <c r="P81" i="7"/>
  <c r="J200" i="7" s="1"/>
  <c r="O81" i="7"/>
  <c r="J94" i="7"/>
  <c r="J97" i="7"/>
  <c r="H124" i="7"/>
  <c r="P134" i="7"/>
  <c r="O134" i="7"/>
  <c r="H165" i="7"/>
  <c r="P175" i="7"/>
  <c r="O175" i="7"/>
  <c r="J188" i="7"/>
  <c r="J191" i="7"/>
  <c r="H194" i="7"/>
  <c r="J197" i="7"/>
  <c r="J213" i="7"/>
  <c r="H213" i="7"/>
  <c r="J216" i="7"/>
  <c r="H244" i="7"/>
  <c r="J81" i="7"/>
  <c r="H106" i="7"/>
  <c r="J134" i="7"/>
  <c r="A1" i="4"/>
  <c r="A2" i="4"/>
  <c r="A3" i="4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72" i="4"/>
  <c r="A73" i="4"/>
  <c r="A74" i="4"/>
  <c r="A75" i="4"/>
  <c r="A76" i="4"/>
  <c r="A77" i="4"/>
  <c r="A78" i="4"/>
  <c r="A79" i="4"/>
  <c r="A80" i="4"/>
  <c r="A81" i="4"/>
  <c r="A82" i="4"/>
  <c r="A83" i="4"/>
  <c r="A84" i="4"/>
  <c r="A85" i="4"/>
  <c r="A86" i="4"/>
  <c r="A87" i="4"/>
  <c r="A88" i="4"/>
  <c r="A89" i="4"/>
  <c r="A90" i="4"/>
  <c r="A91" i="4"/>
  <c r="A92" i="4"/>
  <c r="A93" i="4"/>
  <c r="A94" i="4"/>
  <c r="A95" i="4"/>
  <c r="A96" i="4"/>
  <c r="A97" i="4"/>
  <c r="A98" i="4"/>
  <c r="A99" i="4"/>
  <c r="A100" i="4"/>
  <c r="A101" i="4"/>
  <c r="A102" i="4"/>
  <c r="A103" i="4"/>
  <c r="A104" i="4"/>
  <c r="A105" i="4"/>
  <c r="A106" i="4"/>
  <c r="A107" i="4"/>
  <c r="A108" i="4"/>
  <c r="A109" i="4"/>
  <c r="A110" i="4"/>
  <c r="A111" i="4"/>
  <c r="A112" i="4"/>
  <c r="A113" i="4"/>
  <c r="A114" i="4"/>
  <c r="A115" i="4"/>
  <c r="A116" i="4"/>
  <c r="A117" i="4"/>
  <c r="A118" i="4"/>
  <c r="A119" i="4"/>
  <c r="A120" i="4"/>
  <c r="A121" i="4"/>
  <c r="A122" i="4"/>
  <c r="A123" i="4"/>
  <c r="A124" i="4"/>
  <c r="A125" i="4"/>
  <c r="A126" i="4"/>
  <c r="A127" i="4"/>
  <c r="A128" i="4"/>
  <c r="A129" i="4"/>
  <c r="A130" i="4"/>
  <c r="A131" i="4"/>
  <c r="A132" i="4"/>
  <c r="A133" i="4"/>
  <c r="A134" i="4"/>
  <c r="A135" i="4"/>
  <c r="A136" i="4"/>
  <c r="A137" i="4"/>
  <c r="A138" i="4"/>
  <c r="A139" i="4"/>
  <c r="A140" i="4"/>
  <c r="A141" i="4"/>
  <c r="A142" i="4"/>
  <c r="A143" i="4"/>
  <c r="A144" i="4"/>
  <c r="A145" i="4"/>
  <c r="A146" i="4"/>
  <c r="A147" i="4"/>
  <c r="A148" i="4"/>
  <c r="A149" i="4"/>
  <c r="A150" i="4"/>
  <c r="A151" i="4"/>
  <c r="A152" i="4"/>
  <c r="A153" i="4"/>
  <c r="A154" i="4"/>
  <c r="A155" i="4"/>
  <c r="A156" i="4"/>
  <c r="A157" i="4"/>
  <c r="A158" i="4"/>
  <c r="A159" i="4"/>
  <c r="A160" i="4"/>
  <c r="A1" i="3"/>
  <c r="Y1" i="3"/>
  <c r="CX1" i="3" s="1"/>
  <c r="CU1" i="3"/>
  <c r="CV1" i="3"/>
  <c r="CY1" i="3"/>
  <c r="CZ1" i="3"/>
  <c r="DB1" i="3" s="1"/>
  <c r="DA1" i="3"/>
  <c r="DC1" i="3"/>
  <c r="DG1" i="3"/>
  <c r="A2" i="3"/>
  <c r="Y2" i="3"/>
  <c r="CW2" i="3"/>
  <c r="CX2" i="3"/>
  <c r="CY2" i="3"/>
  <c r="CZ2" i="3"/>
  <c r="DA2" i="3"/>
  <c r="DB2" i="3"/>
  <c r="DC2" i="3"/>
  <c r="DH2" i="3"/>
  <c r="DI2" i="3"/>
  <c r="A3" i="3"/>
  <c r="Y3" i="3"/>
  <c r="CX3" i="3"/>
  <c r="DG3" i="3" s="1"/>
  <c r="CY3" i="3"/>
  <c r="CZ3" i="3"/>
  <c r="DA3" i="3"/>
  <c r="DB3" i="3"/>
  <c r="DC3" i="3"/>
  <c r="A4" i="3"/>
  <c r="Y4" i="3"/>
  <c r="CX4" i="3" s="1"/>
  <c r="DF4" i="3" s="1"/>
  <c r="DJ4" i="3" s="1"/>
  <c r="CY4" i="3"/>
  <c r="CZ4" i="3"/>
  <c r="DB4" i="3" s="1"/>
  <c r="DA4" i="3"/>
  <c r="DC4" i="3"/>
  <c r="A5" i="3"/>
  <c r="Y5" i="3"/>
  <c r="CX5" i="3"/>
  <c r="DG5" i="3" s="1"/>
  <c r="CY5" i="3"/>
  <c r="CZ5" i="3"/>
  <c r="DB5" i="3" s="1"/>
  <c r="DA5" i="3"/>
  <c r="DC5" i="3"/>
  <c r="DF5" i="3"/>
  <c r="DJ5" i="3" s="1"/>
  <c r="DH5" i="3"/>
  <c r="DI5" i="3"/>
  <c r="A6" i="3"/>
  <c r="Y6" i="3"/>
  <c r="CX6" i="3"/>
  <c r="CY6" i="3"/>
  <c r="CZ6" i="3"/>
  <c r="DA6" i="3"/>
  <c r="DB6" i="3"/>
  <c r="DC6" i="3"/>
  <c r="DH6" i="3"/>
  <c r="DI6" i="3"/>
  <c r="A7" i="3"/>
  <c r="Y7" i="3"/>
  <c r="CX7" i="3"/>
  <c r="DG7" i="3" s="1"/>
  <c r="CY7" i="3"/>
  <c r="CZ7" i="3"/>
  <c r="DA7" i="3"/>
  <c r="DB7" i="3"/>
  <c r="DC7" i="3"/>
  <c r="A8" i="3"/>
  <c r="Y8" i="3"/>
  <c r="CV8" i="3" s="1"/>
  <c r="CU8" i="3"/>
  <c r="CY8" i="3"/>
  <c r="CZ8" i="3"/>
  <c r="DA8" i="3"/>
  <c r="DB8" i="3"/>
  <c r="DC8" i="3"/>
  <c r="A9" i="3"/>
  <c r="Y9" i="3"/>
  <c r="CX9" i="3" s="1"/>
  <c r="DF9" i="3" s="1"/>
  <c r="CY9" i="3"/>
  <c r="CZ9" i="3"/>
  <c r="DB9" i="3" s="1"/>
  <c r="DA9" i="3"/>
  <c r="DC9" i="3"/>
  <c r="A10" i="3"/>
  <c r="Y10" i="3"/>
  <c r="CX10" i="3"/>
  <c r="DG10" i="3" s="1"/>
  <c r="CY10" i="3"/>
  <c r="CZ10" i="3"/>
  <c r="DB10" i="3" s="1"/>
  <c r="DA10" i="3"/>
  <c r="DC10" i="3"/>
  <c r="DF10" i="3"/>
  <c r="DJ10" i="3" s="1"/>
  <c r="DH10" i="3"/>
  <c r="DI10" i="3"/>
  <c r="A11" i="3"/>
  <c r="Y11" i="3"/>
  <c r="CX11" i="3"/>
  <c r="CY11" i="3"/>
  <c r="CZ11" i="3"/>
  <c r="DA11" i="3"/>
  <c r="DB11" i="3"/>
  <c r="DC11" i="3"/>
  <c r="DH11" i="3"/>
  <c r="DI11" i="3"/>
  <c r="A12" i="3"/>
  <c r="Y12" i="3"/>
  <c r="CX12" i="3"/>
  <c r="DG12" i="3" s="1"/>
  <c r="CY12" i="3"/>
  <c r="CZ12" i="3"/>
  <c r="DA12" i="3"/>
  <c r="DB12" i="3"/>
  <c r="DC12" i="3"/>
  <c r="A13" i="3"/>
  <c r="Y13" i="3"/>
  <c r="CX13" i="3" s="1"/>
  <c r="DF13" i="3" s="1"/>
  <c r="DJ13" i="3" s="1"/>
  <c r="CY13" i="3"/>
  <c r="CZ13" i="3"/>
  <c r="DB13" i="3" s="1"/>
  <c r="DA13" i="3"/>
  <c r="DC13" i="3"/>
  <c r="A14" i="3"/>
  <c r="Y14" i="3"/>
  <c r="CX14" i="3"/>
  <c r="DG14" i="3" s="1"/>
  <c r="CY14" i="3"/>
  <c r="CZ14" i="3"/>
  <c r="DB14" i="3" s="1"/>
  <c r="DA14" i="3"/>
  <c r="DC14" i="3"/>
  <c r="DF14" i="3"/>
  <c r="DJ14" i="3" s="1"/>
  <c r="DH14" i="3"/>
  <c r="DI14" i="3"/>
  <c r="A15" i="3"/>
  <c r="Y15" i="3"/>
  <c r="CX15" i="3" s="1"/>
  <c r="CU15" i="3"/>
  <c r="CV15" i="3"/>
  <c r="CY15" i="3"/>
  <c r="CZ15" i="3"/>
  <c r="DB15" i="3" s="1"/>
  <c r="DA15" i="3"/>
  <c r="DC15" i="3"/>
  <c r="DF15" i="3"/>
  <c r="DG15" i="3"/>
  <c r="A16" i="3"/>
  <c r="Y16" i="3"/>
  <c r="CX16" i="3"/>
  <c r="DG16" i="3" s="1"/>
  <c r="CY16" i="3"/>
  <c r="CZ16" i="3"/>
  <c r="DB16" i="3" s="1"/>
  <c r="DA16" i="3"/>
  <c r="DC16" i="3"/>
  <c r="DF16" i="3"/>
  <c r="DH16" i="3"/>
  <c r="DI16" i="3"/>
  <c r="DJ16" i="3"/>
  <c r="A17" i="3"/>
  <c r="Y17" i="3"/>
  <c r="CX17" i="3"/>
  <c r="DH17" i="3" s="1"/>
  <c r="CY17" i="3"/>
  <c r="CZ17" i="3"/>
  <c r="DA17" i="3"/>
  <c r="DB17" i="3"/>
  <c r="DC17" i="3"/>
  <c r="A18" i="3"/>
  <c r="Y18" i="3"/>
  <c r="CX18" i="3" s="1"/>
  <c r="CY18" i="3"/>
  <c r="CZ18" i="3"/>
  <c r="DA18" i="3"/>
  <c r="DB18" i="3"/>
  <c r="DC18" i="3"/>
  <c r="A19" i="3"/>
  <c r="Y19" i="3"/>
  <c r="CV19" i="3" s="1"/>
  <c r="CU19" i="3"/>
  <c r="CX19" i="3"/>
  <c r="DH19" i="3" s="1"/>
  <c r="CY19" i="3"/>
  <c r="CZ19" i="3"/>
  <c r="DA19" i="3"/>
  <c r="DB19" i="3"/>
  <c r="DC19" i="3"/>
  <c r="DI19" i="3"/>
  <c r="DJ19" i="3" s="1"/>
  <c r="A20" i="3"/>
  <c r="Y20" i="3"/>
  <c r="CX20" i="3"/>
  <c r="CY20" i="3"/>
  <c r="CZ20" i="3"/>
  <c r="DA20" i="3"/>
  <c r="DB20" i="3"/>
  <c r="DC20" i="3"/>
  <c r="DG20" i="3"/>
  <c r="A21" i="3"/>
  <c r="Y21" i="3"/>
  <c r="CX21" i="3" s="1"/>
  <c r="DF21" i="3" s="1"/>
  <c r="DJ21" i="3" s="1"/>
  <c r="CY21" i="3"/>
  <c r="CZ21" i="3"/>
  <c r="DB21" i="3" s="1"/>
  <c r="DA21" i="3"/>
  <c r="DC21" i="3"/>
  <c r="A22" i="3"/>
  <c r="Y22" i="3"/>
  <c r="CX22" i="3"/>
  <c r="DG22" i="3" s="1"/>
  <c r="CY22" i="3"/>
  <c r="CZ22" i="3"/>
  <c r="DB22" i="3" s="1"/>
  <c r="DA22" i="3"/>
  <c r="DC22" i="3"/>
  <c r="DF22" i="3"/>
  <c r="DJ22" i="3" s="1"/>
  <c r="DH22" i="3"/>
  <c r="DI22" i="3"/>
  <c r="A23" i="3"/>
  <c r="Y23" i="3"/>
  <c r="CX23" i="3" s="1"/>
  <c r="DF23" i="3" s="1"/>
  <c r="CU23" i="3"/>
  <c r="CV23" i="3"/>
  <c r="CY23" i="3"/>
  <c r="CZ23" i="3"/>
  <c r="DB23" i="3" s="1"/>
  <c r="DA23" i="3"/>
  <c r="DC23" i="3"/>
  <c r="DG23" i="3"/>
  <c r="A24" i="3"/>
  <c r="Y24" i="3"/>
  <c r="CW24" i="3"/>
  <c r="CX24" i="3"/>
  <c r="DH24" i="3" s="1"/>
  <c r="CY24" i="3"/>
  <c r="CZ24" i="3"/>
  <c r="DA24" i="3"/>
  <c r="DB24" i="3"/>
  <c r="DC24" i="3"/>
  <c r="DI24" i="3"/>
  <c r="A25" i="3"/>
  <c r="Y25" i="3"/>
  <c r="CU25" i="3"/>
  <c r="CY25" i="3"/>
  <c r="CZ25" i="3"/>
  <c r="DB25" i="3" s="1"/>
  <c r="DA25" i="3"/>
  <c r="DC25" i="3"/>
  <c r="A26" i="3"/>
  <c r="Y26" i="3"/>
  <c r="CW26" i="3"/>
  <c r="CX26" i="3"/>
  <c r="CY26" i="3"/>
  <c r="CZ26" i="3"/>
  <c r="DA26" i="3"/>
  <c r="DB26" i="3"/>
  <c r="DC26" i="3"/>
  <c r="DG26" i="3"/>
  <c r="DJ26" i="3" s="1"/>
  <c r="DH26" i="3"/>
  <c r="A27" i="3"/>
  <c r="Y27" i="3"/>
  <c r="CV27" i="3" s="1"/>
  <c r="CU27" i="3"/>
  <c r="CX27" i="3"/>
  <c r="DH27" i="3" s="1"/>
  <c r="CY27" i="3"/>
  <c r="CZ27" i="3"/>
  <c r="DA27" i="3"/>
  <c r="DB27" i="3"/>
  <c r="DC27" i="3"/>
  <c r="DI27" i="3"/>
  <c r="DJ27" i="3" s="1"/>
  <c r="A28" i="3"/>
  <c r="Y28" i="3"/>
  <c r="CX28" i="3" s="1"/>
  <c r="CW28" i="3"/>
  <c r="CY28" i="3"/>
  <c r="CZ28" i="3"/>
  <c r="DB28" i="3" s="1"/>
  <c r="DA28" i="3"/>
  <c r="DC28" i="3"/>
  <c r="DF28" i="3"/>
  <c r="DG28" i="3"/>
  <c r="DJ28" i="3" s="1"/>
  <c r="A29" i="3"/>
  <c r="Y29" i="3"/>
  <c r="CU29" i="3"/>
  <c r="CV29" i="3"/>
  <c r="CX29" i="3"/>
  <c r="CY29" i="3"/>
  <c r="CZ29" i="3"/>
  <c r="DA29" i="3"/>
  <c r="DB29" i="3"/>
  <c r="DC29" i="3"/>
  <c r="DG29" i="3"/>
  <c r="A30" i="3"/>
  <c r="Y30" i="3"/>
  <c r="CY30" i="3"/>
  <c r="CZ30" i="3"/>
  <c r="DB30" i="3" s="1"/>
  <c r="DA30" i="3"/>
  <c r="DC30" i="3"/>
  <c r="A31" i="3"/>
  <c r="Y31" i="3"/>
  <c r="CX31" i="3" s="1"/>
  <c r="CU31" i="3"/>
  <c r="CV31" i="3"/>
  <c r="CY31" i="3"/>
  <c r="CZ31" i="3"/>
  <c r="DB31" i="3" s="1"/>
  <c r="DA31" i="3"/>
  <c r="DC31" i="3"/>
  <c r="DF31" i="3"/>
  <c r="DG31" i="3"/>
  <c r="A32" i="3"/>
  <c r="Y32" i="3"/>
  <c r="CX32" i="3"/>
  <c r="DG32" i="3" s="1"/>
  <c r="CY32" i="3"/>
  <c r="CZ32" i="3"/>
  <c r="DB32" i="3" s="1"/>
  <c r="DA32" i="3"/>
  <c r="DC32" i="3"/>
  <c r="DF32" i="3"/>
  <c r="DH32" i="3"/>
  <c r="DI32" i="3"/>
  <c r="DJ32" i="3"/>
  <c r="A33" i="3"/>
  <c r="Y33" i="3"/>
  <c r="CX33" i="3" s="1"/>
  <c r="CU33" i="3"/>
  <c r="CV33" i="3"/>
  <c r="CY33" i="3"/>
  <c r="CZ33" i="3"/>
  <c r="DB33" i="3" s="1"/>
  <c r="DA33" i="3"/>
  <c r="DC33" i="3"/>
  <c r="DG33" i="3"/>
  <c r="A34" i="3"/>
  <c r="Y34" i="3"/>
  <c r="CX34" i="3"/>
  <c r="DG34" i="3" s="1"/>
  <c r="CY34" i="3"/>
  <c r="CZ34" i="3"/>
  <c r="DB34" i="3" s="1"/>
  <c r="DA34" i="3"/>
  <c r="DC34" i="3"/>
  <c r="DF34" i="3"/>
  <c r="DJ34" i="3" s="1"/>
  <c r="DH34" i="3"/>
  <c r="DI34" i="3"/>
  <c r="A35" i="3"/>
  <c r="Y35" i="3"/>
  <c r="CX35" i="3" s="1"/>
  <c r="CU35" i="3"/>
  <c r="CV35" i="3"/>
  <c r="CY35" i="3"/>
  <c r="CZ35" i="3"/>
  <c r="DB35" i="3" s="1"/>
  <c r="DA35" i="3"/>
  <c r="DC35" i="3"/>
  <c r="DF35" i="3"/>
  <c r="DG35" i="3"/>
  <c r="A36" i="3"/>
  <c r="Y36" i="3"/>
  <c r="CW36" i="3"/>
  <c r="CX36" i="3"/>
  <c r="CY36" i="3"/>
  <c r="CZ36" i="3"/>
  <c r="DA36" i="3"/>
  <c r="DB36" i="3"/>
  <c r="DC36" i="3"/>
  <c r="DH36" i="3"/>
  <c r="DI36" i="3"/>
  <c r="A37" i="3"/>
  <c r="Y37" i="3"/>
  <c r="CX37" i="3" s="1"/>
  <c r="CW37" i="3"/>
  <c r="CY37" i="3"/>
  <c r="CZ37" i="3"/>
  <c r="DB37" i="3" s="1"/>
  <c r="DA37" i="3"/>
  <c r="DC37" i="3"/>
  <c r="DF37" i="3"/>
  <c r="A38" i="3"/>
  <c r="Y38" i="3"/>
  <c r="CX38" i="3" s="1"/>
  <c r="DF38" i="3" s="1"/>
  <c r="DJ38" i="3" s="1"/>
  <c r="CY38" i="3"/>
  <c r="CZ38" i="3"/>
  <c r="DB38" i="3" s="1"/>
  <c r="DA38" i="3"/>
  <c r="DC38" i="3"/>
  <c r="A39" i="3"/>
  <c r="Y39" i="3"/>
  <c r="CX39" i="3"/>
  <c r="CY39" i="3"/>
  <c r="CZ39" i="3"/>
  <c r="DA39" i="3"/>
  <c r="DB39" i="3"/>
  <c r="DC39" i="3"/>
  <c r="DH39" i="3"/>
  <c r="A40" i="3"/>
  <c r="Y40" i="3"/>
  <c r="CX40" i="3" s="1"/>
  <c r="CY40" i="3"/>
  <c r="CZ40" i="3"/>
  <c r="DA40" i="3"/>
  <c r="DB40" i="3"/>
  <c r="DC40" i="3"/>
  <c r="A41" i="3"/>
  <c r="Y41" i="3"/>
  <c r="CV41" i="3" s="1"/>
  <c r="CU41" i="3"/>
  <c r="CY41" i="3"/>
  <c r="CZ41" i="3"/>
  <c r="DA41" i="3"/>
  <c r="DB41" i="3"/>
  <c r="DC41" i="3"/>
  <c r="A42" i="3"/>
  <c r="Y42" i="3"/>
  <c r="CX42" i="3" s="1"/>
  <c r="DH42" i="3" s="1"/>
  <c r="CY42" i="3"/>
  <c r="CZ42" i="3"/>
  <c r="DB42" i="3" s="1"/>
  <c r="DA42" i="3"/>
  <c r="DC42" i="3"/>
  <c r="DG42" i="3"/>
  <c r="DJ42" i="3" s="1"/>
  <c r="DI42" i="3"/>
  <c r="A43" i="3"/>
  <c r="Y43" i="3"/>
  <c r="CW43" i="3"/>
  <c r="CX43" i="3"/>
  <c r="DF43" i="3" s="1"/>
  <c r="CY43" i="3"/>
  <c r="CZ43" i="3"/>
  <c r="DA43" i="3"/>
  <c r="DB43" i="3"/>
  <c r="DC43" i="3"/>
  <c r="DG43" i="3"/>
  <c r="DJ43" i="3" s="1"/>
  <c r="DH43" i="3"/>
  <c r="DI43" i="3"/>
  <c r="A44" i="3"/>
  <c r="Y44" i="3"/>
  <c r="CX44" i="3" s="1"/>
  <c r="CY44" i="3"/>
  <c r="CZ44" i="3"/>
  <c r="DA44" i="3"/>
  <c r="DB44" i="3"/>
  <c r="DC44" i="3"/>
  <c r="A45" i="3"/>
  <c r="Y45" i="3"/>
  <c r="CX45" i="3" s="1"/>
  <c r="DF45" i="3" s="1"/>
  <c r="DJ45" i="3" s="1"/>
  <c r="CY45" i="3"/>
  <c r="CZ45" i="3"/>
  <c r="DA45" i="3"/>
  <c r="DB45" i="3"/>
  <c r="DC45" i="3"/>
  <c r="DH45" i="3"/>
  <c r="DI45" i="3"/>
  <c r="A46" i="3"/>
  <c r="Y46" i="3"/>
  <c r="CX46" i="3" s="1"/>
  <c r="CY46" i="3"/>
  <c r="CZ46" i="3"/>
  <c r="DA46" i="3"/>
  <c r="DB46" i="3"/>
  <c r="DC46" i="3"/>
  <c r="A47" i="3"/>
  <c r="Y47" i="3"/>
  <c r="CX47" i="3" s="1"/>
  <c r="CU47" i="3"/>
  <c r="CY47" i="3"/>
  <c r="CZ47" i="3"/>
  <c r="DA47" i="3"/>
  <c r="DB47" i="3"/>
  <c r="DC47" i="3"/>
  <c r="A48" i="3"/>
  <c r="Y48" i="3"/>
  <c r="CX48" i="3" s="1"/>
  <c r="CY48" i="3"/>
  <c r="CZ48" i="3"/>
  <c r="DA48" i="3"/>
  <c r="DB48" i="3"/>
  <c r="DC48" i="3"/>
  <c r="A49" i="3"/>
  <c r="Y49" i="3"/>
  <c r="CX49" i="3" s="1"/>
  <c r="CU49" i="3"/>
  <c r="CY49" i="3"/>
  <c r="CZ49" i="3"/>
  <c r="DA49" i="3"/>
  <c r="DB49" i="3"/>
  <c r="DC49" i="3"/>
  <c r="A50" i="3"/>
  <c r="Y50" i="3"/>
  <c r="CX50" i="3"/>
  <c r="DG50" i="3" s="1"/>
  <c r="CY50" i="3"/>
  <c r="CZ50" i="3"/>
  <c r="DA50" i="3"/>
  <c r="DB50" i="3"/>
  <c r="DC50" i="3"/>
  <c r="DH50" i="3"/>
  <c r="A51" i="3"/>
  <c r="Y51" i="3"/>
  <c r="CX51" i="3" s="1"/>
  <c r="CU51" i="3"/>
  <c r="CY51" i="3"/>
  <c r="CZ51" i="3"/>
  <c r="DA51" i="3"/>
  <c r="DB51" i="3"/>
  <c r="DC51" i="3"/>
  <c r="A52" i="3"/>
  <c r="Y52" i="3"/>
  <c r="CX52" i="3"/>
  <c r="DG52" i="3" s="1"/>
  <c r="CY52" i="3"/>
  <c r="CZ52" i="3"/>
  <c r="DA52" i="3"/>
  <c r="DB52" i="3"/>
  <c r="DC52" i="3"/>
  <c r="DH52" i="3"/>
  <c r="A53" i="3"/>
  <c r="Y53" i="3"/>
  <c r="CX53" i="3" s="1"/>
  <c r="CU53" i="3"/>
  <c r="CY53" i="3"/>
  <c r="CZ53" i="3"/>
  <c r="DA53" i="3"/>
  <c r="DB53" i="3"/>
  <c r="DC53" i="3"/>
  <c r="A54" i="3"/>
  <c r="Y54" i="3"/>
  <c r="CX54" i="3"/>
  <c r="DG54" i="3" s="1"/>
  <c r="CY54" i="3"/>
  <c r="CZ54" i="3"/>
  <c r="DA54" i="3"/>
  <c r="DB54" i="3"/>
  <c r="DC54" i="3"/>
  <c r="DH54" i="3"/>
  <c r="A55" i="3"/>
  <c r="Y55" i="3"/>
  <c r="CX55" i="3" s="1"/>
  <c r="CU55" i="3"/>
  <c r="CY55" i="3"/>
  <c r="CZ55" i="3"/>
  <c r="DA55" i="3"/>
  <c r="DB55" i="3"/>
  <c r="DC55" i="3"/>
  <c r="A56" i="3"/>
  <c r="Y56" i="3"/>
  <c r="CV56" i="3" s="1"/>
  <c r="CU56" i="3"/>
  <c r="CY56" i="3"/>
  <c r="CZ56" i="3"/>
  <c r="DB56" i="3" s="1"/>
  <c r="DA56" i="3"/>
  <c r="DC56" i="3"/>
  <c r="A57" i="3"/>
  <c r="Y57" i="3"/>
  <c r="CU57" i="3"/>
  <c r="CV57" i="3"/>
  <c r="CX57" i="3"/>
  <c r="CY57" i="3"/>
  <c r="CZ57" i="3"/>
  <c r="DB57" i="3" s="1"/>
  <c r="DA57" i="3"/>
  <c r="DC57" i="3"/>
  <c r="DF57" i="3"/>
  <c r="DG57" i="3"/>
  <c r="DH57" i="3"/>
  <c r="DI57" i="3"/>
  <c r="DJ57" i="3"/>
  <c r="A58" i="3"/>
  <c r="Y58" i="3"/>
  <c r="CX58" i="3" s="1"/>
  <c r="CY58" i="3"/>
  <c r="CZ58" i="3"/>
  <c r="DB58" i="3" s="1"/>
  <c r="DA58" i="3"/>
  <c r="DC58" i="3"/>
  <c r="A59" i="3"/>
  <c r="Y59" i="3"/>
  <c r="CU59" i="3"/>
  <c r="CV59" i="3"/>
  <c r="CX59" i="3"/>
  <c r="CY59" i="3"/>
  <c r="CZ59" i="3"/>
  <c r="DB59" i="3" s="1"/>
  <c r="DA59" i="3"/>
  <c r="DC59" i="3"/>
  <c r="DF59" i="3"/>
  <c r="DG59" i="3"/>
  <c r="DH59" i="3"/>
  <c r="DI59" i="3"/>
  <c r="DJ59" i="3"/>
  <c r="A60" i="3"/>
  <c r="Y60" i="3"/>
  <c r="CX60" i="3" s="1"/>
  <c r="CY60" i="3"/>
  <c r="CZ60" i="3"/>
  <c r="DB60" i="3" s="1"/>
  <c r="DA60" i="3"/>
  <c r="DC60" i="3"/>
  <c r="A61" i="3"/>
  <c r="Y61" i="3"/>
  <c r="CU61" i="3"/>
  <c r="CV61" i="3"/>
  <c r="CX61" i="3"/>
  <c r="CY61" i="3"/>
  <c r="CZ61" i="3"/>
  <c r="DB61" i="3" s="1"/>
  <c r="DA61" i="3"/>
  <c r="DC61" i="3"/>
  <c r="DF61" i="3"/>
  <c r="DG61" i="3"/>
  <c r="DH61" i="3"/>
  <c r="DI61" i="3"/>
  <c r="DJ61" i="3"/>
  <c r="A62" i="3"/>
  <c r="Y62" i="3"/>
  <c r="CX62" i="3" s="1"/>
  <c r="DI62" i="3" s="1"/>
  <c r="CY62" i="3"/>
  <c r="CZ62" i="3"/>
  <c r="DB62" i="3" s="1"/>
  <c r="DA62" i="3"/>
  <c r="DC62" i="3"/>
  <c r="A63" i="3"/>
  <c r="Y63" i="3"/>
  <c r="CX63" i="3" s="1"/>
  <c r="CU63" i="3"/>
  <c r="CV63" i="3"/>
  <c r="CY63" i="3"/>
  <c r="CZ63" i="3"/>
  <c r="DB63" i="3" s="1"/>
  <c r="DA63" i="3"/>
  <c r="DC63" i="3"/>
  <c r="DF63" i="3"/>
  <c r="DG63" i="3"/>
  <c r="A64" i="3"/>
  <c r="Y64" i="3"/>
  <c r="CX64" i="3" s="1"/>
  <c r="CY64" i="3"/>
  <c r="CZ64" i="3"/>
  <c r="DB64" i="3" s="1"/>
  <c r="DA64" i="3"/>
  <c r="DC64" i="3"/>
  <c r="DI64" i="3"/>
  <c r="A65" i="3"/>
  <c r="Y65" i="3"/>
  <c r="CX65" i="3" s="1"/>
  <c r="CU65" i="3"/>
  <c r="CV65" i="3"/>
  <c r="CY65" i="3"/>
  <c r="CZ65" i="3"/>
  <c r="DB65" i="3" s="1"/>
  <c r="DA65" i="3"/>
  <c r="DC65" i="3"/>
  <c r="DF65" i="3"/>
  <c r="DG65" i="3"/>
  <c r="A66" i="3"/>
  <c r="Y66" i="3"/>
  <c r="CX66" i="3"/>
  <c r="CY66" i="3"/>
  <c r="CZ66" i="3"/>
  <c r="DB66" i="3" s="1"/>
  <c r="DA66" i="3"/>
  <c r="DC66" i="3"/>
  <c r="DF66" i="3"/>
  <c r="DG66" i="3"/>
  <c r="DH66" i="3"/>
  <c r="DI66" i="3"/>
  <c r="DJ66" i="3"/>
  <c r="A67" i="3"/>
  <c r="Y67" i="3"/>
  <c r="CX67" i="3" s="1"/>
  <c r="CU67" i="3"/>
  <c r="CV67" i="3"/>
  <c r="CY67" i="3"/>
  <c r="CZ67" i="3"/>
  <c r="DB67" i="3" s="1"/>
  <c r="DA67" i="3"/>
  <c r="DC67" i="3"/>
  <c r="A68" i="3"/>
  <c r="Y68" i="3"/>
  <c r="CX68" i="3"/>
  <c r="DG68" i="3" s="1"/>
  <c r="CY68" i="3"/>
  <c r="CZ68" i="3"/>
  <c r="DB68" i="3" s="1"/>
  <c r="DA68" i="3"/>
  <c r="DC68" i="3"/>
  <c r="DF68" i="3"/>
  <c r="DH68" i="3"/>
  <c r="DI68" i="3"/>
  <c r="DJ68" i="3"/>
  <c r="A69" i="3"/>
  <c r="Y69" i="3"/>
  <c r="CX69" i="3" s="1"/>
  <c r="CU69" i="3"/>
  <c r="CV69" i="3"/>
  <c r="CY69" i="3"/>
  <c r="CZ69" i="3"/>
  <c r="DB69" i="3" s="1"/>
  <c r="DA69" i="3"/>
  <c r="DC69" i="3"/>
  <c r="A70" i="3"/>
  <c r="Y70" i="3"/>
  <c r="CX70" i="3"/>
  <c r="DG70" i="3" s="1"/>
  <c r="CY70" i="3"/>
  <c r="CZ70" i="3"/>
  <c r="DB70" i="3" s="1"/>
  <c r="DA70" i="3"/>
  <c r="DC70" i="3"/>
  <c r="DF70" i="3"/>
  <c r="DH70" i="3"/>
  <c r="DI70" i="3"/>
  <c r="DJ70" i="3"/>
  <c r="A71" i="3"/>
  <c r="Y71" i="3"/>
  <c r="CX71" i="3"/>
  <c r="DH71" i="3" s="1"/>
  <c r="CY71" i="3"/>
  <c r="CZ71" i="3"/>
  <c r="DA71" i="3"/>
  <c r="DB71" i="3"/>
  <c r="DC71" i="3"/>
  <c r="DI71" i="3"/>
  <c r="A72" i="3"/>
  <c r="Y72" i="3"/>
  <c r="CX72" i="3" s="1"/>
  <c r="CY72" i="3"/>
  <c r="CZ72" i="3"/>
  <c r="DA72" i="3"/>
  <c r="DB72" i="3"/>
  <c r="DC72" i="3"/>
  <c r="DH72" i="3"/>
  <c r="A73" i="3"/>
  <c r="Y73" i="3"/>
  <c r="CV73" i="3" s="1"/>
  <c r="CU73" i="3"/>
  <c r="CX73" i="3"/>
  <c r="DH73" i="3" s="1"/>
  <c r="CY73" i="3"/>
  <c r="CZ73" i="3"/>
  <c r="DA73" i="3"/>
  <c r="DB73" i="3"/>
  <c r="DC73" i="3"/>
  <c r="A74" i="3"/>
  <c r="Y74" i="3"/>
  <c r="CX74" i="3"/>
  <c r="DG74" i="3" s="1"/>
  <c r="CY74" i="3"/>
  <c r="CZ74" i="3"/>
  <c r="DA74" i="3"/>
  <c r="DB74" i="3"/>
  <c r="DC74" i="3"/>
  <c r="A75" i="3"/>
  <c r="Y75" i="3"/>
  <c r="CX75" i="3" s="1"/>
  <c r="DG75" i="3" s="1"/>
  <c r="CY75" i="3"/>
  <c r="CZ75" i="3"/>
  <c r="DB75" i="3" s="1"/>
  <c r="DA75" i="3"/>
  <c r="DC75" i="3"/>
  <c r="DF75" i="3"/>
  <c r="DJ75" i="3" s="1"/>
  <c r="A76" i="3"/>
  <c r="Y76" i="3"/>
  <c r="CX76" i="3"/>
  <c r="DG76" i="3" s="1"/>
  <c r="CY76" i="3"/>
  <c r="CZ76" i="3"/>
  <c r="DB76" i="3" s="1"/>
  <c r="DA76" i="3"/>
  <c r="DC76" i="3"/>
  <c r="DF76" i="3"/>
  <c r="DJ76" i="3" s="1"/>
  <c r="DH76" i="3"/>
  <c r="DI76" i="3"/>
  <c r="A77" i="3"/>
  <c r="Y77" i="3"/>
  <c r="CY77" i="3"/>
  <c r="CZ77" i="3"/>
  <c r="DB77" i="3" s="1"/>
  <c r="DA77" i="3"/>
  <c r="DC77" i="3"/>
  <c r="A78" i="3"/>
  <c r="Y78" i="3"/>
  <c r="CY78" i="3"/>
  <c r="CZ78" i="3"/>
  <c r="DB78" i="3" s="1"/>
  <c r="DA78" i="3"/>
  <c r="DC78" i="3"/>
  <c r="A79" i="3"/>
  <c r="Y79" i="3"/>
  <c r="CY79" i="3"/>
  <c r="CZ79" i="3"/>
  <c r="DB79" i="3" s="1"/>
  <c r="DA79" i="3"/>
  <c r="DC79" i="3"/>
  <c r="A80" i="3"/>
  <c r="Y80" i="3"/>
  <c r="CY80" i="3"/>
  <c r="CZ80" i="3"/>
  <c r="DA80" i="3"/>
  <c r="DB80" i="3"/>
  <c r="DC80" i="3"/>
  <c r="A81" i="3"/>
  <c r="Y81" i="3"/>
  <c r="CY81" i="3"/>
  <c r="CZ81" i="3"/>
  <c r="DA81" i="3"/>
  <c r="DB81" i="3"/>
  <c r="DC81" i="3"/>
  <c r="A82" i="3"/>
  <c r="Y82" i="3"/>
  <c r="CY82" i="3"/>
  <c r="CZ82" i="3"/>
  <c r="DA82" i="3"/>
  <c r="DB82" i="3"/>
  <c r="DC82" i="3"/>
  <c r="A83" i="3"/>
  <c r="Y83" i="3"/>
  <c r="CY83" i="3"/>
  <c r="CZ83" i="3"/>
  <c r="DA83" i="3"/>
  <c r="DB83" i="3"/>
  <c r="DC83" i="3"/>
  <c r="A84" i="3"/>
  <c r="Y84" i="3"/>
  <c r="CY84" i="3"/>
  <c r="CZ84" i="3"/>
  <c r="DB84" i="3" s="1"/>
  <c r="DA84" i="3"/>
  <c r="DC84" i="3"/>
  <c r="A85" i="3"/>
  <c r="Y85" i="3"/>
  <c r="CY85" i="3"/>
  <c r="CZ85" i="3"/>
  <c r="DB85" i="3" s="1"/>
  <c r="DA85" i="3"/>
  <c r="DC85" i="3"/>
  <c r="A86" i="3"/>
  <c r="Y86" i="3"/>
  <c r="CY86" i="3"/>
  <c r="CZ86" i="3"/>
  <c r="DA86" i="3"/>
  <c r="DB86" i="3"/>
  <c r="DC86" i="3"/>
  <c r="A87" i="3"/>
  <c r="Y87" i="3"/>
  <c r="CX87" i="3" s="1"/>
  <c r="DH87" i="3" s="1"/>
  <c r="CU87" i="3"/>
  <c r="CY87" i="3"/>
  <c r="CZ87" i="3"/>
  <c r="DB87" i="3" s="1"/>
  <c r="DA87" i="3"/>
  <c r="DC87" i="3"/>
  <c r="DG87" i="3"/>
  <c r="DI87" i="3"/>
  <c r="DJ87" i="3" s="1"/>
  <c r="A88" i="3"/>
  <c r="Y88" i="3"/>
  <c r="CW88" i="3"/>
  <c r="CX88" i="3"/>
  <c r="DF88" i="3" s="1"/>
  <c r="CY88" i="3"/>
  <c r="CZ88" i="3"/>
  <c r="DA88" i="3"/>
  <c r="DB88" i="3"/>
  <c r="DC88" i="3"/>
  <c r="DG88" i="3"/>
  <c r="DJ88" i="3" s="1"/>
  <c r="DH88" i="3"/>
  <c r="DI88" i="3"/>
  <c r="A89" i="3"/>
  <c r="Y89" i="3"/>
  <c r="CX89" i="3"/>
  <c r="DI89" i="3" s="1"/>
  <c r="CY89" i="3"/>
  <c r="CZ89" i="3"/>
  <c r="DA89" i="3"/>
  <c r="DB89" i="3"/>
  <c r="DC89" i="3"/>
  <c r="DH89" i="3"/>
  <c r="A90" i="3"/>
  <c r="Y90" i="3"/>
  <c r="CV90" i="3" s="1"/>
  <c r="CU90" i="3"/>
  <c r="CY90" i="3"/>
  <c r="CZ90" i="3"/>
  <c r="DA90" i="3"/>
  <c r="DB90" i="3"/>
  <c r="DC90" i="3"/>
  <c r="A91" i="3"/>
  <c r="Y91" i="3"/>
  <c r="CX91" i="3" s="1"/>
  <c r="DH91" i="3" s="1"/>
  <c r="CY91" i="3"/>
  <c r="CZ91" i="3"/>
  <c r="DB91" i="3" s="1"/>
  <c r="DA91" i="3"/>
  <c r="DC91" i="3"/>
  <c r="DI91" i="3"/>
  <c r="A92" i="3"/>
  <c r="Y92" i="3"/>
  <c r="CX92" i="3"/>
  <c r="DG92" i="3" s="1"/>
  <c r="CY92" i="3"/>
  <c r="CZ92" i="3"/>
  <c r="DA92" i="3"/>
  <c r="DB92" i="3"/>
  <c r="DC92" i="3"/>
  <c r="DI92" i="3"/>
  <c r="A93" i="3"/>
  <c r="Y93" i="3"/>
  <c r="CY93" i="3"/>
  <c r="CZ93" i="3"/>
  <c r="DB93" i="3" s="1"/>
  <c r="DA93" i="3"/>
  <c r="DC93" i="3"/>
  <c r="A94" i="3"/>
  <c r="Y94" i="3"/>
  <c r="CY94" i="3"/>
  <c r="CZ94" i="3"/>
  <c r="DA94" i="3"/>
  <c r="DB94" i="3"/>
  <c r="DC94" i="3"/>
  <c r="A95" i="3"/>
  <c r="Y95" i="3"/>
  <c r="CY95" i="3"/>
  <c r="CZ95" i="3"/>
  <c r="DB95" i="3" s="1"/>
  <c r="DA95" i="3"/>
  <c r="DC95" i="3"/>
  <c r="A96" i="3"/>
  <c r="Y96" i="3"/>
  <c r="CY96" i="3"/>
  <c r="CZ96" i="3"/>
  <c r="DA96" i="3"/>
  <c r="DB96" i="3"/>
  <c r="DC96" i="3"/>
  <c r="A97" i="3"/>
  <c r="Y97" i="3"/>
  <c r="CY97" i="3"/>
  <c r="CZ97" i="3"/>
  <c r="DA97" i="3"/>
  <c r="DB97" i="3"/>
  <c r="DC97" i="3"/>
  <c r="A98" i="3"/>
  <c r="Y98" i="3"/>
  <c r="CY98" i="3"/>
  <c r="CZ98" i="3"/>
  <c r="DB98" i="3" s="1"/>
  <c r="DA98" i="3"/>
  <c r="DC98" i="3"/>
  <c r="A99" i="3"/>
  <c r="Y99" i="3"/>
  <c r="CY99" i="3"/>
  <c r="CZ99" i="3"/>
  <c r="DB99" i="3" s="1"/>
  <c r="DA99" i="3"/>
  <c r="DC99" i="3"/>
  <c r="A100" i="3"/>
  <c r="Y100" i="3"/>
  <c r="CY100" i="3"/>
  <c r="CZ100" i="3"/>
  <c r="DA100" i="3"/>
  <c r="DB100" i="3"/>
  <c r="DC100" i="3"/>
  <c r="A101" i="3"/>
  <c r="Y101" i="3"/>
  <c r="CY101" i="3"/>
  <c r="CZ101" i="3"/>
  <c r="DA101" i="3"/>
  <c r="DB101" i="3"/>
  <c r="DC101" i="3"/>
  <c r="A102" i="3"/>
  <c r="Y102" i="3"/>
  <c r="CY102" i="3"/>
  <c r="CZ102" i="3"/>
  <c r="DA102" i="3"/>
  <c r="DB102" i="3"/>
  <c r="DC102" i="3"/>
  <c r="A103" i="3"/>
  <c r="Y103" i="3"/>
  <c r="CY103" i="3"/>
  <c r="CZ103" i="3"/>
  <c r="DB103" i="3" s="1"/>
  <c r="DA103" i="3"/>
  <c r="DC103" i="3"/>
  <c r="A104" i="3"/>
  <c r="Y104" i="3"/>
  <c r="CY104" i="3"/>
  <c r="CZ104" i="3"/>
  <c r="DB104" i="3" s="1"/>
  <c r="DA104" i="3"/>
  <c r="DC104" i="3"/>
  <c r="A105" i="3"/>
  <c r="Y105" i="3"/>
  <c r="CY105" i="3"/>
  <c r="CZ105" i="3"/>
  <c r="DA105" i="3"/>
  <c r="DB105" i="3"/>
  <c r="DC105" i="3"/>
  <c r="A106" i="3"/>
  <c r="Y106" i="3"/>
  <c r="CY106" i="3"/>
  <c r="CZ106" i="3"/>
  <c r="DA106" i="3"/>
  <c r="DB106" i="3"/>
  <c r="DC106" i="3"/>
  <c r="A107" i="3"/>
  <c r="Y107" i="3"/>
  <c r="CY107" i="3"/>
  <c r="CZ107" i="3"/>
  <c r="DB107" i="3" s="1"/>
  <c r="DA107" i="3"/>
  <c r="DC107" i="3"/>
  <c r="A108" i="3"/>
  <c r="Y108" i="3"/>
  <c r="CY108" i="3"/>
  <c r="CZ108" i="3"/>
  <c r="DB108" i="3" s="1"/>
  <c r="DA108" i="3"/>
  <c r="DC108" i="3"/>
  <c r="A109" i="3"/>
  <c r="Y109" i="3"/>
  <c r="CY109" i="3"/>
  <c r="CZ109" i="3"/>
  <c r="DA109" i="3"/>
  <c r="DB109" i="3"/>
  <c r="DC109" i="3"/>
  <c r="A110" i="3"/>
  <c r="Y110" i="3"/>
  <c r="CY110" i="3"/>
  <c r="CZ110" i="3"/>
  <c r="DB110" i="3" s="1"/>
  <c r="DA110" i="3"/>
  <c r="DC110" i="3"/>
  <c r="A111" i="3"/>
  <c r="Y111" i="3"/>
  <c r="CY111" i="3"/>
  <c r="CZ111" i="3"/>
  <c r="DA111" i="3"/>
  <c r="DB111" i="3"/>
  <c r="DC111" i="3"/>
  <c r="A112" i="3"/>
  <c r="Y112" i="3"/>
  <c r="CY112" i="3"/>
  <c r="CZ112" i="3"/>
  <c r="DB112" i="3" s="1"/>
  <c r="DA112" i="3"/>
  <c r="DC112" i="3"/>
  <c r="A113" i="3"/>
  <c r="Y113" i="3"/>
  <c r="CY113" i="3"/>
  <c r="CZ113" i="3"/>
  <c r="DA113" i="3"/>
  <c r="DB113" i="3"/>
  <c r="DC113" i="3"/>
  <c r="A114" i="3"/>
  <c r="Y114" i="3"/>
  <c r="CY114" i="3"/>
  <c r="CZ114" i="3"/>
  <c r="DA114" i="3"/>
  <c r="DB114" i="3"/>
  <c r="DC114" i="3"/>
  <c r="A115" i="3"/>
  <c r="Y115" i="3"/>
  <c r="CY115" i="3"/>
  <c r="CZ115" i="3"/>
  <c r="DA115" i="3"/>
  <c r="DB115" i="3"/>
  <c r="DC115" i="3"/>
  <c r="A116" i="3"/>
  <c r="Y116" i="3"/>
  <c r="CY116" i="3"/>
  <c r="CZ116" i="3"/>
  <c r="DA116" i="3"/>
  <c r="DB116" i="3"/>
  <c r="DC116" i="3"/>
  <c r="A117" i="3"/>
  <c r="Y117" i="3"/>
  <c r="CY117" i="3"/>
  <c r="CZ117" i="3"/>
  <c r="DB117" i="3" s="1"/>
  <c r="DA117" i="3"/>
  <c r="DC117" i="3"/>
  <c r="A118" i="3"/>
  <c r="Y118" i="3"/>
  <c r="CY118" i="3"/>
  <c r="CZ118" i="3"/>
  <c r="DB118" i="3" s="1"/>
  <c r="DA118" i="3"/>
  <c r="DC118" i="3"/>
  <c r="A119" i="3"/>
  <c r="Y119" i="3"/>
  <c r="CY119" i="3"/>
  <c r="CZ119" i="3"/>
  <c r="DB119" i="3" s="1"/>
  <c r="DA119" i="3"/>
  <c r="DC119" i="3"/>
  <c r="A120" i="3"/>
  <c r="Y120" i="3"/>
  <c r="CY120" i="3"/>
  <c r="CZ120" i="3"/>
  <c r="DA120" i="3"/>
  <c r="DB120" i="3"/>
  <c r="DC120" i="3"/>
  <c r="A121" i="3"/>
  <c r="Y121" i="3"/>
  <c r="CY121" i="3"/>
  <c r="CZ121" i="3"/>
  <c r="DB121" i="3" s="1"/>
  <c r="DA121" i="3"/>
  <c r="DC121" i="3"/>
  <c r="A122" i="3"/>
  <c r="Y122" i="3"/>
  <c r="CY122" i="3"/>
  <c r="CZ122" i="3"/>
  <c r="DB122" i="3" s="1"/>
  <c r="DA122" i="3"/>
  <c r="DC122" i="3"/>
  <c r="A123" i="3"/>
  <c r="Y123" i="3"/>
  <c r="CY123" i="3"/>
  <c r="CZ123" i="3"/>
  <c r="DA123" i="3"/>
  <c r="DB123" i="3"/>
  <c r="DC123" i="3"/>
  <c r="A124" i="3"/>
  <c r="Y124" i="3"/>
  <c r="CY124" i="3"/>
  <c r="CZ124" i="3"/>
  <c r="DA124" i="3"/>
  <c r="DB124" i="3"/>
  <c r="DC124" i="3"/>
  <c r="A125" i="3"/>
  <c r="Y125" i="3"/>
  <c r="CY125" i="3"/>
  <c r="CZ125" i="3"/>
  <c r="DB125" i="3" s="1"/>
  <c r="DA125" i="3"/>
  <c r="DC125" i="3"/>
  <c r="A126" i="3"/>
  <c r="Y126" i="3"/>
  <c r="CY126" i="3"/>
  <c r="CZ126" i="3"/>
  <c r="DB126" i="3" s="1"/>
  <c r="DA126" i="3"/>
  <c r="DC126" i="3"/>
  <c r="D12" i="1"/>
  <c r="E18" i="1"/>
  <c r="Z18" i="1"/>
  <c r="AA18" i="1"/>
  <c r="AB18" i="1"/>
  <c r="AC18" i="1"/>
  <c r="AD18" i="1"/>
  <c r="AE18" i="1"/>
  <c r="AF18" i="1"/>
  <c r="AG18" i="1"/>
  <c r="AH18" i="1"/>
  <c r="AI18" i="1"/>
  <c r="AJ18" i="1"/>
  <c r="AK18" i="1"/>
  <c r="AL18" i="1"/>
  <c r="AM18" i="1"/>
  <c r="AN18" i="1"/>
  <c r="BE18" i="1"/>
  <c r="BF18" i="1"/>
  <c r="BG18" i="1"/>
  <c r="BH18" i="1"/>
  <c r="BI18" i="1"/>
  <c r="BJ18" i="1"/>
  <c r="BK18" i="1"/>
  <c r="BL18" i="1"/>
  <c r="BM18" i="1"/>
  <c r="BN18" i="1"/>
  <c r="BO18" i="1"/>
  <c r="BP18" i="1"/>
  <c r="BQ18" i="1"/>
  <c r="BR18" i="1"/>
  <c r="BS18" i="1"/>
  <c r="BT18" i="1"/>
  <c r="BU18" i="1"/>
  <c r="BV18" i="1"/>
  <c r="BW18" i="1"/>
  <c r="BX18" i="1"/>
  <c r="BY18" i="1"/>
  <c r="BZ18" i="1"/>
  <c r="CA18" i="1"/>
  <c r="CB18" i="1"/>
  <c r="CC18" i="1"/>
  <c r="CD18" i="1"/>
  <c r="CE18" i="1"/>
  <c r="CF18" i="1"/>
  <c r="CG18" i="1"/>
  <c r="CH18" i="1"/>
  <c r="CI18" i="1"/>
  <c r="CJ18" i="1"/>
  <c r="CK18" i="1"/>
  <c r="CL18" i="1"/>
  <c r="CM18" i="1"/>
  <c r="CN18" i="1"/>
  <c r="CO18" i="1"/>
  <c r="CP18" i="1"/>
  <c r="CQ18" i="1"/>
  <c r="CR18" i="1"/>
  <c r="CS18" i="1"/>
  <c r="CT18" i="1"/>
  <c r="CU18" i="1"/>
  <c r="CV18" i="1"/>
  <c r="CW18" i="1"/>
  <c r="CX18" i="1"/>
  <c r="CY18" i="1"/>
  <c r="CZ18" i="1"/>
  <c r="DA18" i="1"/>
  <c r="DB18" i="1"/>
  <c r="DC18" i="1"/>
  <c r="DD18" i="1"/>
  <c r="DE18" i="1"/>
  <c r="DF18" i="1"/>
  <c r="DR18" i="1"/>
  <c r="DS18" i="1"/>
  <c r="DT18" i="1"/>
  <c r="DU18" i="1"/>
  <c r="DV18" i="1"/>
  <c r="DW18" i="1"/>
  <c r="DX18" i="1"/>
  <c r="DY18" i="1"/>
  <c r="DZ18" i="1"/>
  <c r="EA18" i="1"/>
  <c r="EB18" i="1"/>
  <c r="EC18" i="1"/>
  <c r="ED18" i="1"/>
  <c r="EE18" i="1"/>
  <c r="EF18" i="1"/>
  <c r="EW18" i="1"/>
  <c r="EX18" i="1"/>
  <c r="EY18" i="1"/>
  <c r="EZ18" i="1"/>
  <c r="FA18" i="1"/>
  <c r="FB18" i="1"/>
  <c r="FC18" i="1"/>
  <c r="FD18" i="1"/>
  <c r="FE18" i="1"/>
  <c r="FF18" i="1"/>
  <c r="FG18" i="1"/>
  <c r="FH18" i="1"/>
  <c r="FI18" i="1"/>
  <c r="FJ18" i="1"/>
  <c r="FK18" i="1"/>
  <c r="FL18" i="1"/>
  <c r="FM18" i="1"/>
  <c r="FN18" i="1"/>
  <c r="FO18" i="1"/>
  <c r="FP18" i="1"/>
  <c r="FQ18" i="1"/>
  <c r="FR18" i="1"/>
  <c r="FS18" i="1"/>
  <c r="FT18" i="1"/>
  <c r="FU18" i="1"/>
  <c r="FV18" i="1"/>
  <c r="FW18" i="1"/>
  <c r="FX18" i="1"/>
  <c r="FY18" i="1"/>
  <c r="FZ18" i="1"/>
  <c r="GA18" i="1"/>
  <c r="GB18" i="1"/>
  <c r="GC18" i="1"/>
  <c r="GD18" i="1"/>
  <c r="GE18" i="1"/>
  <c r="GF18" i="1"/>
  <c r="GG18" i="1"/>
  <c r="GH18" i="1"/>
  <c r="GI18" i="1"/>
  <c r="GJ18" i="1"/>
  <c r="GK18" i="1"/>
  <c r="GL18" i="1"/>
  <c r="GM18" i="1"/>
  <c r="GN18" i="1"/>
  <c r="GO18" i="1"/>
  <c r="GP18" i="1"/>
  <c r="GQ18" i="1"/>
  <c r="GR18" i="1"/>
  <c r="GS18" i="1"/>
  <c r="GT18" i="1"/>
  <c r="GU18" i="1"/>
  <c r="GV18" i="1"/>
  <c r="GW18" i="1"/>
  <c r="GX18" i="1"/>
  <c r="D20" i="1"/>
  <c r="E22" i="1"/>
  <c r="Z22" i="1"/>
  <c r="AA22" i="1"/>
  <c r="AB22" i="1"/>
  <c r="AC22" i="1"/>
  <c r="AD22" i="1"/>
  <c r="AE22" i="1"/>
  <c r="AF22" i="1"/>
  <c r="AG22" i="1"/>
  <c r="AH22" i="1"/>
  <c r="AI22" i="1"/>
  <c r="AJ22" i="1"/>
  <c r="AK22" i="1"/>
  <c r="AL22" i="1"/>
  <c r="AM22" i="1"/>
  <c r="AN22" i="1"/>
  <c r="BE22" i="1"/>
  <c r="BF22" i="1"/>
  <c r="BG22" i="1"/>
  <c r="BH22" i="1"/>
  <c r="BI22" i="1"/>
  <c r="BJ22" i="1"/>
  <c r="BK22" i="1"/>
  <c r="BL22" i="1"/>
  <c r="BM22" i="1"/>
  <c r="BN22" i="1"/>
  <c r="BO22" i="1"/>
  <c r="BP22" i="1"/>
  <c r="BQ22" i="1"/>
  <c r="BR22" i="1"/>
  <c r="BS22" i="1"/>
  <c r="BT22" i="1"/>
  <c r="BU22" i="1"/>
  <c r="BV22" i="1"/>
  <c r="BW22" i="1"/>
  <c r="BX22" i="1"/>
  <c r="BY22" i="1"/>
  <c r="BZ22" i="1"/>
  <c r="CA22" i="1"/>
  <c r="CB22" i="1"/>
  <c r="CC22" i="1"/>
  <c r="CD22" i="1"/>
  <c r="CE22" i="1"/>
  <c r="CF22" i="1"/>
  <c r="CG22" i="1"/>
  <c r="CH22" i="1"/>
  <c r="CI22" i="1"/>
  <c r="CJ22" i="1"/>
  <c r="CK22" i="1"/>
  <c r="CL22" i="1"/>
  <c r="CM22" i="1"/>
  <c r="CN22" i="1"/>
  <c r="CO22" i="1"/>
  <c r="CP22" i="1"/>
  <c r="CQ22" i="1"/>
  <c r="CR22" i="1"/>
  <c r="CS22" i="1"/>
  <c r="CT22" i="1"/>
  <c r="CU22" i="1"/>
  <c r="CV22" i="1"/>
  <c r="CW22" i="1"/>
  <c r="CX22" i="1"/>
  <c r="CY22" i="1"/>
  <c r="CZ22" i="1"/>
  <c r="DA22" i="1"/>
  <c r="DB22" i="1"/>
  <c r="DC22" i="1"/>
  <c r="DD22" i="1"/>
  <c r="DE22" i="1"/>
  <c r="DF22" i="1"/>
  <c r="DR22" i="1"/>
  <c r="DS22" i="1"/>
  <c r="DT22" i="1"/>
  <c r="DU22" i="1"/>
  <c r="DV22" i="1"/>
  <c r="DW22" i="1"/>
  <c r="DX22" i="1"/>
  <c r="DY22" i="1"/>
  <c r="DZ22" i="1"/>
  <c r="EA22" i="1"/>
  <c r="EB22" i="1"/>
  <c r="EC22" i="1"/>
  <c r="ED22" i="1"/>
  <c r="EE22" i="1"/>
  <c r="EF22" i="1"/>
  <c r="EW22" i="1"/>
  <c r="EX22" i="1"/>
  <c r="EY22" i="1"/>
  <c r="EZ22" i="1"/>
  <c r="FA22" i="1"/>
  <c r="FB22" i="1"/>
  <c r="FC22" i="1"/>
  <c r="FD22" i="1"/>
  <c r="FE22" i="1"/>
  <c r="FF22" i="1"/>
  <c r="FG22" i="1"/>
  <c r="FH22" i="1"/>
  <c r="FI22" i="1"/>
  <c r="FJ22" i="1"/>
  <c r="FK22" i="1"/>
  <c r="FL22" i="1"/>
  <c r="FM22" i="1"/>
  <c r="FN22" i="1"/>
  <c r="FO22" i="1"/>
  <c r="FP22" i="1"/>
  <c r="FQ22" i="1"/>
  <c r="FR22" i="1"/>
  <c r="FS22" i="1"/>
  <c r="FT22" i="1"/>
  <c r="FU22" i="1"/>
  <c r="FV22" i="1"/>
  <c r="FW22" i="1"/>
  <c r="FX22" i="1"/>
  <c r="FY22" i="1"/>
  <c r="FZ22" i="1"/>
  <c r="GA22" i="1"/>
  <c r="GB22" i="1"/>
  <c r="GC22" i="1"/>
  <c r="GD22" i="1"/>
  <c r="GE22" i="1"/>
  <c r="GF22" i="1"/>
  <c r="GG22" i="1"/>
  <c r="GH22" i="1"/>
  <c r="GI22" i="1"/>
  <c r="GJ22" i="1"/>
  <c r="GK22" i="1"/>
  <c r="GL22" i="1"/>
  <c r="GM22" i="1"/>
  <c r="GN22" i="1"/>
  <c r="GO22" i="1"/>
  <c r="GP22" i="1"/>
  <c r="GQ22" i="1"/>
  <c r="GR22" i="1"/>
  <c r="GS22" i="1"/>
  <c r="GT22" i="1"/>
  <c r="GU22" i="1"/>
  <c r="GV22" i="1"/>
  <c r="GW22" i="1"/>
  <c r="GX22" i="1"/>
  <c r="D24" i="1"/>
  <c r="E26" i="1"/>
  <c r="Z26" i="1"/>
  <c r="AA26" i="1"/>
  <c r="AM26" i="1"/>
  <c r="AN26" i="1"/>
  <c r="BE26" i="1"/>
  <c r="BF26" i="1"/>
  <c r="BG26" i="1"/>
  <c r="BH26" i="1"/>
  <c r="BI26" i="1"/>
  <c r="BJ26" i="1"/>
  <c r="BK26" i="1"/>
  <c r="BL26" i="1"/>
  <c r="BM26" i="1"/>
  <c r="BN26" i="1"/>
  <c r="BO26" i="1"/>
  <c r="BP26" i="1"/>
  <c r="BQ26" i="1"/>
  <c r="BR26" i="1"/>
  <c r="BS26" i="1"/>
  <c r="BT26" i="1"/>
  <c r="BU26" i="1"/>
  <c r="BV26" i="1"/>
  <c r="BW26" i="1"/>
  <c r="CN26" i="1"/>
  <c r="CO26" i="1"/>
  <c r="CP26" i="1"/>
  <c r="CQ26" i="1"/>
  <c r="CR26" i="1"/>
  <c r="CS26" i="1"/>
  <c r="CT26" i="1"/>
  <c r="CU26" i="1"/>
  <c r="CV26" i="1"/>
  <c r="CW26" i="1"/>
  <c r="CX26" i="1"/>
  <c r="CY26" i="1"/>
  <c r="CZ26" i="1"/>
  <c r="DA26" i="1"/>
  <c r="DB26" i="1"/>
  <c r="DC26" i="1"/>
  <c r="DD26" i="1"/>
  <c r="DE26" i="1"/>
  <c r="DF26" i="1"/>
  <c r="DR26" i="1"/>
  <c r="DS26" i="1"/>
  <c r="EE26" i="1"/>
  <c r="EF26" i="1"/>
  <c r="EW26" i="1"/>
  <c r="EX26" i="1"/>
  <c r="EY26" i="1"/>
  <c r="EZ26" i="1"/>
  <c r="FA26" i="1"/>
  <c r="FB26" i="1"/>
  <c r="FC26" i="1"/>
  <c r="FD26" i="1"/>
  <c r="FE26" i="1"/>
  <c r="FF26" i="1"/>
  <c r="FG26" i="1"/>
  <c r="FH26" i="1"/>
  <c r="FI26" i="1"/>
  <c r="FJ26" i="1"/>
  <c r="FK26" i="1"/>
  <c r="FL26" i="1"/>
  <c r="FM26" i="1"/>
  <c r="FN26" i="1"/>
  <c r="FO26" i="1"/>
  <c r="GF26" i="1"/>
  <c r="GG26" i="1"/>
  <c r="GH26" i="1"/>
  <c r="GI26" i="1"/>
  <c r="GJ26" i="1"/>
  <c r="GK26" i="1"/>
  <c r="GL26" i="1"/>
  <c r="GM26" i="1"/>
  <c r="GN26" i="1"/>
  <c r="GO26" i="1"/>
  <c r="GP26" i="1"/>
  <c r="GQ26" i="1"/>
  <c r="GR26" i="1"/>
  <c r="GS26" i="1"/>
  <c r="GT26" i="1"/>
  <c r="GU26" i="1"/>
  <c r="GV26" i="1"/>
  <c r="GW26" i="1"/>
  <c r="GX26" i="1"/>
  <c r="C28" i="1"/>
  <c r="D28" i="1"/>
  <c r="R28" i="1"/>
  <c r="S28" i="1"/>
  <c r="AC28" i="1"/>
  <c r="AB28" i="1" s="1"/>
  <c r="AD28" i="1"/>
  <c r="AE28" i="1"/>
  <c r="Q28" i="1" s="1"/>
  <c r="AF28" i="1"/>
  <c r="AG28" i="1"/>
  <c r="CU28" i="1" s="1"/>
  <c r="T28" i="1" s="1"/>
  <c r="AH28" i="1"/>
  <c r="CV28" i="1" s="1"/>
  <c r="U28" i="1" s="1"/>
  <c r="AI28" i="1"/>
  <c r="AJ28" i="1"/>
  <c r="CX28" i="1" s="1"/>
  <c r="W28" i="1" s="1"/>
  <c r="CR28" i="1"/>
  <c r="CS28" i="1"/>
  <c r="CT28" i="1"/>
  <c r="CW28" i="1"/>
  <c r="V28" i="1" s="1"/>
  <c r="GL28" i="1"/>
  <c r="GN28" i="1"/>
  <c r="GP28" i="1"/>
  <c r="GV28" i="1"/>
  <c r="HC28" i="1" s="1"/>
  <c r="GX28" i="1" s="1"/>
  <c r="C29" i="1"/>
  <c r="D29" i="1"/>
  <c r="AC29" i="1"/>
  <c r="P29" i="1" s="1"/>
  <c r="AE29" i="1"/>
  <c r="AD29" i="1" s="1"/>
  <c r="AB29" i="1" s="1"/>
  <c r="AF29" i="1"/>
  <c r="AG29" i="1"/>
  <c r="CU29" i="1" s="1"/>
  <c r="T29" i="1" s="1"/>
  <c r="AH29" i="1"/>
  <c r="AI29" i="1"/>
  <c r="CW29" i="1" s="1"/>
  <c r="V29" i="1" s="1"/>
  <c r="AJ29" i="1"/>
  <c r="CX29" i="1" s="1"/>
  <c r="W29" i="1" s="1"/>
  <c r="CV29" i="1"/>
  <c r="U29" i="1" s="1"/>
  <c r="GL29" i="1"/>
  <c r="GN29" i="1"/>
  <c r="GP29" i="1"/>
  <c r="GV29" i="1"/>
  <c r="HC29" i="1"/>
  <c r="GX29" i="1" s="1"/>
  <c r="R30" i="1"/>
  <c r="S30" i="1"/>
  <c r="CY30" i="1" s="1"/>
  <c r="W30" i="1"/>
  <c r="X30" i="1"/>
  <c r="AC30" i="1"/>
  <c r="AB30" i="1" s="1"/>
  <c r="AD30" i="1"/>
  <c r="AE30" i="1"/>
  <c r="Q30" i="1" s="1"/>
  <c r="AF30" i="1"/>
  <c r="AG30" i="1"/>
  <c r="AH30" i="1"/>
  <c r="CV30" i="1" s="1"/>
  <c r="U30" i="1" s="1"/>
  <c r="AI30" i="1"/>
  <c r="AJ30" i="1"/>
  <c r="CQ30" i="1"/>
  <c r="CR30" i="1"/>
  <c r="CS30" i="1"/>
  <c r="CT30" i="1"/>
  <c r="CU30" i="1"/>
  <c r="T30" i="1" s="1"/>
  <c r="CW30" i="1"/>
  <c r="V30" i="1" s="1"/>
  <c r="CX30" i="1"/>
  <c r="GL30" i="1"/>
  <c r="GN30" i="1"/>
  <c r="GP30" i="1"/>
  <c r="GV30" i="1"/>
  <c r="HC30" i="1" s="1"/>
  <c r="GX30" i="1"/>
  <c r="S31" i="1"/>
  <c r="Y31" i="1" s="1"/>
  <c r="AC31" i="1"/>
  <c r="AE31" i="1"/>
  <c r="Q31" i="1" s="1"/>
  <c r="AF31" i="1"/>
  <c r="AG31" i="1"/>
  <c r="AH31" i="1"/>
  <c r="AI31" i="1"/>
  <c r="CW31" i="1" s="1"/>
  <c r="V31" i="1" s="1"/>
  <c r="AJ31" i="1"/>
  <c r="CQ31" i="1"/>
  <c r="CR31" i="1"/>
  <c r="CT31" i="1"/>
  <c r="CU31" i="1"/>
  <c r="T31" i="1" s="1"/>
  <c r="CV31" i="1"/>
  <c r="U31" i="1" s="1"/>
  <c r="CX31" i="1"/>
  <c r="W31" i="1" s="1"/>
  <c r="GL31" i="1"/>
  <c r="GN31" i="1"/>
  <c r="GP31" i="1"/>
  <c r="GV31" i="1"/>
  <c r="HC31" i="1" s="1"/>
  <c r="GX31" i="1" s="1"/>
  <c r="C32" i="1"/>
  <c r="D32" i="1"/>
  <c r="P32" i="1"/>
  <c r="R32" i="1"/>
  <c r="AC32" i="1"/>
  <c r="AE32" i="1"/>
  <c r="AD32" i="1" s="1"/>
  <c r="AB32" i="1" s="1"/>
  <c r="AF32" i="1"/>
  <c r="S32" i="1" s="1"/>
  <c r="AG32" i="1"/>
  <c r="AH32" i="1"/>
  <c r="AI32" i="1"/>
  <c r="AJ32" i="1"/>
  <c r="CX32" i="1" s="1"/>
  <c r="W32" i="1" s="1"/>
  <c r="CQ32" i="1"/>
  <c r="CR32" i="1"/>
  <c r="CS32" i="1"/>
  <c r="CU32" i="1"/>
  <c r="T32" i="1" s="1"/>
  <c r="CV32" i="1"/>
  <c r="U32" i="1" s="1"/>
  <c r="CW32" i="1"/>
  <c r="V32" i="1" s="1"/>
  <c r="GL32" i="1"/>
  <c r="GN32" i="1"/>
  <c r="GP32" i="1"/>
  <c r="GV32" i="1"/>
  <c r="HC32" i="1"/>
  <c r="GX32" i="1" s="1"/>
  <c r="C33" i="1"/>
  <c r="D33" i="1"/>
  <c r="S33" i="1"/>
  <c r="AC33" i="1"/>
  <c r="AE33" i="1"/>
  <c r="Q33" i="1" s="1"/>
  <c r="AF33" i="1"/>
  <c r="AG33" i="1"/>
  <c r="AH33" i="1"/>
  <c r="AI33" i="1"/>
  <c r="CW33" i="1" s="1"/>
  <c r="V33" i="1" s="1"/>
  <c r="AJ33" i="1"/>
  <c r="CQ33" i="1"/>
  <c r="CR33" i="1"/>
  <c r="CT33" i="1"/>
  <c r="CU33" i="1"/>
  <c r="T33" i="1" s="1"/>
  <c r="CV33" i="1"/>
  <c r="U33" i="1" s="1"/>
  <c r="CX33" i="1"/>
  <c r="W33" i="1" s="1"/>
  <c r="CZ33" i="1"/>
  <c r="GL33" i="1"/>
  <c r="GN33" i="1"/>
  <c r="GP33" i="1"/>
  <c r="GV33" i="1"/>
  <c r="HC33" i="1"/>
  <c r="GX33" i="1" s="1"/>
  <c r="P34" i="1"/>
  <c r="R34" i="1"/>
  <c r="AC34" i="1"/>
  <c r="AE34" i="1"/>
  <c r="AD34" i="1" s="1"/>
  <c r="AB34" i="1" s="1"/>
  <c r="AF34" i="1"/>
  <c r="S34" i="1" s="1"/>
  <c r="AG34" i="1"/>
  <c r="AH34" i="1"/>
  <c r="AI34" i="1"/>
  <c r="AJ34" i="1"/>
  <c r="CX34" i="1" s="1"/>
  <c r="W34" i="1" s="1"/>
  <c r="CQ34" i="1"/>
  <c r="CR34" i="1"/>
  <c r="CS34" i="1"/>
  <c r="CU34" i="1"/>
  <c r="T34" i="1" s="1"/>
  <c r="CV34" i="1"/>
  <c r="U34" i="1" s="1"/>
  <c r="CW34" i="1"/>
  <c r="V34" i="1" s="1"/>
  <c r="FR34" i="1"/>
  <c r="GL34" i="1"/>
  <c r="GN34" i="1"/>
  <c r="GO34" i="1"/>
  <c r="GP34" i="1"/>
  <c r="GV34" i="1"/>
  <c r="HC34" i="1"/>
  <c r="GX34" i="1" s="1"/>
  <c r="P35" i="1"/>
  <c r="R35" i="1"/>
  <c r="AC35" i="1"/>
  <c r="AE35" i="1"/>
  <c r="AD35" i="1" s="1"/>
  <c r="AB35" i="1" s="1"/>
  <c r="AF35" i="1"/>
  <c r="S35" i="1" s="1"/>
  <c r="AG35" i="1"/>
  <c r="AH35" i="1"/>
  <c r="AI35" i="1"/>
  <c r="AJ35" i="1"/>
  <c r="CX35" i="1" s="1"/>
  <c r="W35" i="1" s="1"/>
  <c r="CQ35" i="1"/>
  <c r="CR35" i="1"/>
  <c r="CS35" i="1"/>
  <c r="CU35" i="1"/>
  <c r="T35" i="1" s="1"/>
  <c r="CV35" i="1"/>
  <c r="U35" i="1" s="1"/>
  <c r="CW35" i="1"/>
  <c r="V35" i="1" s="1"/>
  <c r="FR35" i="1"/>
  <c r="GL35" i="1"/>
  <c r="GN35" i="1"/>
  <c r="GO35" i="1"/>
  <c r="GP35" i="1"/>
  <c r="GV35" i="1"/>
  <c r="HC35" i="1"/>
  <c r="GX35" i="1" s="1"/>
  <c r="C36" i="1"/>
  <c r="D36" i="1"/>
  <c r="P36" i="1"/>
  <c r="R36" i="1"/>
  <c r="AC36" i="1"/>
  <c r="AD36" i="1"/>
  <c r="AB36" i="1" s="1"/>
  <c r="AE36" i="1"/>
  <c r="Q36" i="1" s="1"/>
  <c r="AF36" i="1"/>
  <c r="S36" i="1" s="1"/>
  <c r="AG36" i="1"/>
  <c r="AH36" i="1"/>
  <c r="CV36" i="1" s="1"/>
  <c r="U36" i="1" s="1"/>
  <c r="AI36" i="1"/>
  <c r="AJ36" i="1"/>
  <c r="CX36" i="1" s="1"/>
  <c r="W36" i="1" s="1"/>
  <c r="CQ36" i="1"/>
  <c r="CR36" i="1"/>
  <c r="CS36" i="1"/>
  <c r="CU36" i="1"/>
  <c r="T36" i="1" s="1"/>
  <c r="CW36" i="1"/>
  <c r="V36" i="1" s="1"/>
  <c r="GL36" i="1"/>
  <c r="GN36" i="1"/>
  <c r="GP36" i="1"/>
  <c r="GV36" i="1"/>
  <c r="HC36" i="1" s="1"/>
  <c r="GX36" i="1" s="1"/>
  <c r="C37" i="1"/>
  <c r="D37" i="1"/>
  <c r="S37" i="1"/>
  <c r="X37" i="1" s="1"/>
  <c r="AC37" i="1"/>
  <c r="P37" i="1" s="1"/>
  <c r="AE37" i="1"/>
  <c r="AD37" i="1" s="1"/>
  <c r="AF37" i="1"/>
  <c r="AG37" i="1"/>
  <c r="CU37" i="1" s="1"/>
  <c r="T37" i="1" s="1"/>
  <c r="AH37" i="1"/>
  <c r="AI37" i="1"/>
  <c r="CW37" i="1" s="1"/>
  <c r="V37" i="1" s="1"/>
  <c r="AJ37" i="1"/>
  <c r="CR37" i="1"/>
  <c r="CT37" i="1"/>
  <c r="CV37" i="1"/>
  <c r="U37" i="1" s="1"/>
  <c r="CX37" i="1"/>
  <c r="W37" i="1" s="1"/>
  <c r="GL37" i="1"/>
  <c r="GN37" i="1"/>
  <c r="GP37" i="1"/>
  <c r="GV37" i="1"/>
  <c r="HC37" i="1" s="1"/>
  <c r="GX37" i="1" s="1"/>
  <c r="P38" i="1"/>
  <c r="FR38" i="1" s="1"/>
  <c r="R38" i="1"/>
  <c r="AC38" i="1"/>
  <c r="AD38" i="1"/>
  <c r="AB38" i="1" s="1"/>
  <c r="AE38" i="1"/>
  <c r="Q38" i="1" s="1"/>
  <c r="AF38" i="1"/>
  <c r="S38" i="1" s="1"/>
  <c r="AG38" i="1"/>
  <c r="AH38" i="1"/>
  <c r="CV38" i="1" s="1"/>
  <c r="U38" i="1" s="1"/>
  <c r="AI38" i="1"/>
  <c r="AJ38" i="1"/>
  <c r="CX38" i="1" s="1"/>
  <c r="W38" i="1" s="1"/>
  <c r="CQ38" i="1"/>
  <c r="CR38" i="1"/>
  <c r="CS38" i="1"/>
  <c r="CU38" i="1"/>
  <c r="T38" i="1" s="1"/>
  <c r="CW38" i="1"/>
  <c r="V38" i="1" s="1"/>
  <c r="GL38" i="1"/>
  <c r="GN38" i="1"/>
  <c r="GO38" i="1"/>
  <c r="GP38" i="1"/>
  <c r="GV38" i="1"/>
  <c r="HC38" i="1" s="1"/>
  <c r="GX38" i="1" s="1"/>
  <c r="P39" i="1"/>
  <c r="FR39" i="1" s="1"/>
  <c r="R39" i="1"/>
  <c r="AC39" i="1"/>
  <c r="AD39" i="1"/>
  <c r="AB39" i="1" s="1"/>
  <c r="AE39" i="1"/>
  <c r="Q39" i="1" s="1"/>
  <c r="AF39" i="1"/>
  <c r="S39" i="1" s="1"/>
  <c r="AG39" i="1"/>
  <c r="AH39" i="1"/>
  <c r="CV39" i="1" s="1"/>
  <c r="U39" i="1" s="1"/>
  <c r="AI39" i="1"/>
  <c r="AJ39" i="1"/>
  <c r="CX39" i="1" s="1"/>
  <c r="W39" i="1" s="1"/>
  <c r="CQ39" i="1"/>
  <c r="CR39" i="1"/>
  <c r="CS39" i="1"/>
  <c r="CU39" i="1"/>
  <c r="T39" i="1" s="1"/>
  <c r="CW39" i="1"/>
  <c r="V39" i="1" s="1"/>
  <c r="GL39" i="1"/>
  <c r="GN39" i="1"/>
  <c r="GO39" i="1"/>
  <c r="GP39" i="1"/>
  <c r="GV39" i="1"/>
  <c r="HC39" i="1" s="1"/>
  <c r="GX39" i="1" s="1"/>
  <c r="C40" i="1"/>
  <c r="D40" i="1"/>
  <c r="P40" i="1"/>
  <c r="R40" i="1"/>
  <c r="AC40" i="1"/>
  <c r="AD40" i="1"/>
  <c r="AE40" i="1"/>
  <c r="Q40" i="1" s="1"/>
  <c r="AF40" i="1"/>
  <c r="AB40" i="1" s="1"/>
  <c r="AG40" i="1"/>
  <c r="AH40" i="1"/>
  <c r="CV40" i="1" s="1"/>
  <c r="U40" i="1" s="1"/>
  <c r="AI40" i="1"/>
  <c r="AJ40" i="1"/>
  <c r="CX40" i="1" s="1"/>
  <c r="W40" i="1" s="1"/>
  <c r="CQ40" i="1"/>
  <c r="CR40" i="1"/>
  <c r="CS40" i="1"/>
  <c r="CU40" i="1"/>
  <c r="T40" i="1" s="1"/>
  <c r="CW40" i="1"/>
  <c r="V40" i="1" s="1"/>
  <c r="GL40" i="1"/>
  <c r="GN40" i="1"/>
  <c r="GP40" i="1"/>
  <c r="GV40" i="1"/>
  <c r="GX40" i="1"/>
  <c r="HC40" i="1"/>
  <c r="C41" i="1"/>
  <c r="D41" i="1"/>
  <c r="S41" i="1"/>
  <c r="X41" i="1" s="1"/>
  <c r="AC41" i="1"/>
  <c r="AE41" i="1"/>
  <c r="Q41" i="1" s="1"/>
  <c r="AF41" i="1"/>
  <c r="AG41" i="1"/>
  <c r="CU41" i="1" s="1"/>
  <c r="T41" i="1" s="1"/>
  <c r="AH41" i="1"/>
  <c r="AI41" i="1"/>
  <c r="CW41" i="1" s="1"/>
  <c r="V41" i="1" s="1"/>
  <c r="AJ41" i="1"/>
  <c r="CR41" i="1"/>
  <c r="CT41" i="1"/>
  <c r="CV41" i="1"/>
  <c r="U41" i="1" s="1"/>
  <c r="CX41" i="1"/>
  <c r="W41" i="1" s="1"/>
  <c r="CZ41" i="1"/>
  <c r="GL41" i="1"/>
  <c r="GN41" i="1"/>
  <c r="GP41" i="1"/>
  <c r="GV41" i="1"/>
  <c r="HC41" i="1"/>
  <c r="GX41" i="1" s="1"/>
  <c r="P42" i="1"/>
  <c r="R42" i="1"/>
  <c r="AC42" i="1"/>
  <c r="AD42" i="1"/>
  <c r="AE42" i="1"/>
  <c r="Q42" i="1" s="1"/>
  <c r="AF42" i="1"/>
  <c r="AG42" i="1"/>
  <c r="AH42" i="1"/>
  <c r="CV42" i="1" s="1"/>
  <c r="U42" i="1" s="1"/>
  <c r="AI42" i="1"/>
  <c r="AJ42" i="1"/>
  <c r="CX42" i="1" s="1"/>
  <c r="W42" i="1" s="1"/>
  <c r="CQ42" i="1"/>
  <c r="CR42" i="1"/>
  <c r="CS42" i="1"/>
  <c r="CU42" i="1"/>
  <c r="T42" i="1" s="1"/>
  <c r="CW42" i="1"/>
  <c r="V42" i="1" s="1"/>
  <c r="FR42" i="1"/>
  <c r="GL42" i="1"/>
  <c r="GN42" i="1"/>
  <c r="GO42" i="1"/>
  <c r="GP42" i="1"/>
  <c r="GV42" i="1"/>
  <c r="HC42" i="1"/>
  <c r="GX42" i="1" s="1"/>
  <c r="P43" i="1"/>
  <c r="R43" i="1"/>
  <c r="AC43" i="1"/>
  <c r="AD43" i="1"/>
  <c r="AE43" i="1"/>
  <c r="Q43" i="1" s="1"/>
  <c r="AF43" i="1"/>
  <c r="AG43" i="1"/>
  <c r="AH43" i="1"/>
  <c r="CV43" i="1" s="1"/>
  <c r="U43" i="1" s="1"/>
  <c r="AI43" i="1"/>
  <c r="AJ43" i="1"/>
  <c r="CX43" i="1" s="1"/>
  <c r="W43" i="1" s="1"/>
  <c r="CQ43" i="1"/>
  <c r="CR43" i="1"/>
  <c r="CS43" i="1"/>
  <c r="CU43" i="1"/>
  <c r="T43" i="1" s="1"/>
  <c r="CW43" i="1"/>
  <c r="V43" i="1" s="1"/>
  <c r="FR43" i="1"/>
  <c r="GL43" i="1"/>
  <c r="GN43" i="1"/>
  <c r="GO43" i="1"/>
  <c r="GP43" i="1"/>
  <c r="GV43" i="1"/>
  <c r="HC43" i="1"/>
  <c r="GX43" i="1" s="1"/>
  <c r="C44" i="1"/>
  <c r="D44" i="1"/>
  <c r="P44" i="1"/>
  <c r="R44" i="1"/>
  <c r="AC44" i="1"/>
  <c r="AD44" i="1"/>
  <c r="AB44" i="1" s="1"/>
  <c r="AE44" i="1"/>
  <c r="Q44" i="1" s="1"/>
  <c r="AF44" i="1"/>
  <c r="S44" i="1" s="1"/>
  <c r="CY44" i="1" s="1"/>
  <c r="AG44" i="1"/>
  <c r="AH44" i="1"/>
  <c r="CV44" i="1" s="1"/>
  <c r="U44" i="1" s="1"/>
  <c r="AI44" i="1"/>
  <c r="AJ44" i="1"/>
  <c r="CX44" i="1" s="1"/>
  <c r="W44" i="1" s="1"/>
  <c r="CQ44" i="1"/>
  <c r="CR44" i="1"/>
  <c r="CS44" i="1"/>
  <c r="CU44" i="1"/>
  <c r="T44" i="1" s="1"/>
  <c r="CW44" i="1"/>
  <c r="V44" i="1" s="1"/>
  <c r="GL44" i="1"/>
  <c r="GN44" i="1"/>
  <c r="GP44" i="1"/>
  <c r="GV44" i="1"/>
  <c r="HC44" i="1" s="1"/>
  <c r="GX44" i="1"/>
  <c r="C45" i="1"/>
  <c r="D45" i="1"/>
  <c r="S45" i="1"/>
  <c r="AC45" i="1"/>
  <c r="AE45" i="1"/>
  <c r="AD45" i="1" s="1"/>
  <c r="AF45" i="1"/>
  <c r="AG45" i="1"/>
  <c r="CU45" i="1" s="1"/>
  <c r="T45" i="1" s="1"/>
  <c r="AH45" i="1"/>
  <c r="AI45" i="1"/>
  <c r="CW45" i="1" s="1"/>
  <c r="V45" i="1" s="1"/>
  <c r="AJ45" i="1"/>
  <c r="CR45" i="1"/>
  <c r="CT45" i="1"/>
  <c r="CV45" i="1"/>
  <c r="U45" i="1" s="1"/>
  <c r="CX45" i="1"/>
  <c r="W45" i="1" s="1"/>
  <c r="GL45" i="1"/>
  <c r="GN45" i="1"/>
  <c r="GP45" i="1"/>
  <c r="GV45" i="1"/>
  <c r="HC45" i="1" s="1"/>
  <c r="GX45" i="1" s="1"/>
  <c r="I46" i="1"/>
  <c r="S46" i="1"/>
  <c r="AC46" i="1"/>
  <c r="AE46" i="1"/>
  <c r="AD46" i="1" s="1"/>
  <c r="AF46" i="1"/>
  <c r="AG46" i="1"/>
  <c r="CU46" i="1" s="1"/>
  <c r="T46" i="1" s="1"/>
  <c r="AH46" i="1"/>
  <c r="AI46" i="1"/>
  <c r="CW46" i="1" s="1"/>
  <c r="V46" i="1" s="1"/>
  <c r="AJ46" i="1"/>
  <c r="CR46" i="1"/>
  <c r="CT46" i="1"/>
  <c r="CV46" i="1"/>
  <c r="U46" i="1" s="1"/>
  <c r="CX46" i="1"/>
  <c r="W46" i="1" s="1"/>
  <c r="GL46" i="1"/>
  <c r="GN46" i="1"/>
  <c r="GP46" i="1"/>
  <c r="GV46" i="1"/>
  <c r="HC46" i="1" s="1"/>
  <c r="GX46" i="1" s="1"/>
  <c r="I47" i="1"/>
  <c r="S47" i="1"/>
  <c r="AC47" i="1"/>
  <c r="AE47" i="1"/>
  <c r="AD47" i="1" s="1"/>
  <c r="AF47" i="1"/>
  <c r="AG47" i="1"/>
  <c r="CU47" i="1" s="1"/>
  <c r="T47" i="1" s="1"/>
  <c r="AH47" i="1"/>
  <c r="AI47" i="1"/>
  <c r="CW47" i="1" s="1"/>
  <c r="V47" i="1" s="1"/>
  <c r="AJ47" i="1"/>
  <c r="CR47" i="1"/>
  <c r="CT47" i="1"/>
  <c r="CV47" i="1"/>
  <c r="U47" i="1" s="1"/>
  <c r="CX47" i="1"/>
  <c r="W47" i="1" s="1"/>
  <c r="GL47" i="1"/>
  <c r="GN47" i="1"/>
  <c r="GP47" i="1"/>
  <c r="GV47" i="1"/>
  <c r="HC47" i="1" s="1"/>
  <c r="GX47" i="1" s="1"/>
  <c r="P48" i="1"/>
  <c r="R48" i="1"/>
  <c r="AC48" i="1"/>
  <c r="AD48" i="1"/>
  <c r="AB48" i="1" s="1"/>
  <c r="AE48" i="1"/>
  <c r="Q48" i="1" s="1"/>
  <c r="AF48" i="1"/>
  <c r="S48" i="1" s="1"/>
  <c r="CY48" i="1" s="1"/>
  <c r="AG48" i="1"/>
  <c r="AH48" i="1"/>
  <c r="CV48" i="1" s="1"/>
  <c r="U48" i="1" s="1"/>
  <c r="AI48" i="1"/>
  <c r="AJ48" i="1"/>
  <c r="CX48" i="1" s="1"/>
  <c r="W48" i="1" s="1"/>
  <c r="CQ48" i="1"/>
  <c r="CR48" i="1"/>
  <c r="CS48" i="1"/>
  <c r="CU48" i="1"/>
  <c r="T48" i="1" s="1"/>
  <c r="CW48" i="1"/>
  <c r="V48" i="1" s="1"/>
  <c r="GL48" i="1"/>
  <c r="GN48" i="1"/>
  <c r="GO48" i="1"/>
  <c r="GP48" i="1"/>
  <c r="GV48" i="1"/>
  <c r="HC48" i="1"/>
  <c r="GX48" i="1" s="1"/>
  <c r="P49" i="1"/>
  <c r="R49" i="1"/>
  <c r="T49" i="1"/>
  <c r="V49" i="1"/>
  <c r="AC49" i="1"/>
  <c r="AD49" i="1"/>
  <c r="AB49" i="1" s="1"/>
  <c r="AE49" i="1"/>
  <c r="Q49" i="1" s="1"/>
  <c r="AF49" i="1"/>
  <c r="AG49" i="1"/>
  <c r="AH49" i="1"/>
  <c r="CV49" i="1" s="1"/>
  <c r="U49" i="1" s="1"/>
  <c r="AI49" i="1"/>
  <c r="AJ49" i="1"/>
  <c r="CX49" i="1" s="1"/>
  <c r="W49" i="1" s="1"/>
  <c r="CQ49" i="1"/>
  <c r="CR49" i="1"/>
  <c r="CS49" i="1"/>
  <c r="CU49" i="1"/>
  <c r="CW49" i="1"/>
  <c r="FR49" i="1"/>
  <c r="GL49" i="1"/>
  <c r="GN49" i="1"/>
  <c r="GO49" i="1"/>
  <c r="GP49" i="1"/>
  <c r="GV49" i="1"/>
  <c r="HC49" i="1"/>
  <c r="GX49" i="1" s="1"/>
  <c r="C50" i="1"/>
  <c r="D50" i="1"/>
  <c r="P50" i="1"/>
  <c r="R50" i="1"/>
  <c r="AC50" i="1"/>
  <c r="AD50" i="1"/>
  <c r="AE50" i="1"/>
  <c r="Q50" i="1" s="1"/>
  <c r="AF50" i="1"/>
  <c r="AG50" i="1"/>
  <c r="AH50" i="1"/>
  <c r="CV50" i="1" s="1"/>
  <c r="U50" i="1" s="1"/>
  <c r="AI50" i="1"/>
  <c r="AJ50" i="1"/>
  <c r="CX50" i="1" s="1"/>
  <c r="W50" i="1" s="1"/>
  <c r="CQ50" i="1"/>
  <c r="CR50" i="1"/>
  <c r="CS50" i="1"/>
  <c r="CU50" i="1"/>
  <c r="T50" i="1" s="1"/>
  <c r="CW50" i="1"/>
  <c r="V50" i="1" s="1"/>
  <c r="GL50" i="1"/>
  <c r="GN50" i="1"/>
  <c r="GP50" i="1"/>
  <c r="GV50" i="1"/>
  <c r="GX50" i="1"/>
  <c r="HC50" i="1"/>
  <c r="C51" i="1"/>
  <c r="D51" i="1"/>
  <c r="Q51" i="1"/>
  <c r="S51" i="1"/>
  <c r="Y51" i="1"/>
  <c r="AC51" i="1"/>
  <c r="AE51" i="1"/>
  <c r="AF51" i="1"/>
  <c r="AG51" i="1"/>
  <c r="CU51" i="1" s="1"/>
  <c r="T51" i="1" s="1"/>
  <c r="AH51" i="1"/>
  <c r="AI51" i="1"/>
  <c r="CW51" i="1" s="1"/>
  <c r="V51" i="1" s="1"/>
  <c r="AJ51" i="1"/>
  <c r="CR51" i="1"/>
  <c r="CT51" i="1"/>
  <c r="CV51" i="1"/>
  <c r="U51" i="1" s="1"/>
  <c r="CX51" i="1"/>
  <c r="W51" i="1" s="1"/>
  <c r="CZ51" i="1"/>
  <c r="GL51" i="1"/>
  <c r="GN51" i="1"/>
  <c r="GP51" i="1"/>
  <c r="GV51" i="1"/>
  <c r="HC51" i="1"/>
  <c r="GX51" i="1" s="1"/>
  <c r="P52" i="1"/>
  <c r="R52" i="1"/>
  <c r="T52" i="1"/>
  <c r="V52" i="1"/>
  <c r="AC52" i="1"/>
  <c r="AD52" i="1"/>
  <c r="AB52" i="1" s="1"/>
  <c r="AE52" i="1"/>
  <c r="Q52" i="1" s="1"/>
  <c r="AF52" i="1"/>
  <c r="AG52" i="1"/>
  <c r="AH52" i="1"/>
  <c r="CV52" i="1" s="1"/>
  <c r="U52" i="1" s="1"/>
  <c r="AI52" i="1"/>
  <c r="AJ52" i="1"/>
  <c r="CX52" i="1" s="1"/>
  <c r="W52" i="1" s="1"/>
  <c r="CQ52" i="1"/>
  <c r="CR52" i="1"/>
  <c r="CS52" i="1"/>
  <c r="CU52" i="1"/>
  <c r="CW52" i="1"/>
  <c r="FR52" i="1"/>
  <c r="GL52" i="1"/>
  <c r="GN52" i="1"/>
  <c r="GO52" i="1"/>
  <c r="GP52" i="1"/>
  <c r="GV52" i="1"/>
  <c r="HC52" i="1" s="1"/>
  <c r="GX52" i="1" s="1"/>
  <c r="Q53" i="1"/>
  <c r="R53" i="1"/>
  <c r="AC53" i="1"/>
  <c r="AB53" i="1" s="1"/>
  <c r="AD53" i="1"/>
  <c r="AE53" i="1"/>
  <c r="AF53" i="1"/>
  <c r="S53" i="1" s="1"/>
  <c r="X53" i="1" s="1"/>
  <c r="AG53" i="1"/>
  <c r="CU53" i="1" s="1"/>
  <c r="T53" i="1" s="1"/>
  <c r="AH53" i="1"/>
  <c r="CV53" i="1" s="1"/>
  <c r="U53" i="1" s="1"/>
  <c r="AI53" i="1"/>
  <c r="AJ53" i="1"/>
  <c r="CR53" i="1"/>
  <c r="CS53" i="1"/>
  <c r="CT53" i="1"/>
  <c r="CW53" i="1"/>
  <c r="V53" i="1" s="1"/>
  <c r="CX53" i="1"/>
  <c r="W53" i="1" s="1"/>
  <c r="GL53" i="1"/>
  <c r="GN53" i="1"/>
  <c r="GO53" i="1"/>
  <c r="GP53" i="1"/>
  <c r="GV53" i="1"/>
  <c r="HC53" i="1"/>
  <c r="GX53" i="1" s="1"/>
  <c r="C54" i="1"/>
  <c r="D54" i="1"/>
  <c r="P54" i="1"/>
  <c r="AC54" i="1"/>
  <c r="AE54" i="1"/>
  <c r="AD54" i="1" s="1"/>
  <c r="AB54" i="1" s="1"/>
  <c r="AF54" i="1"/>
  <c r="S54" i="1" s="1"/>
  <c r="AG54" i="1"/>
  <c r="AH54" i="1"/>
  <c r="AI54" i="1"/>
  <c r="CW54" i="1" s="1"/>
  <c r="V54" i="1" s="1"/>
  <c r="AJ54" i="1"/>
  <c r="CX54" i="1" s="1"/>
  <c r="W54" i="1" s="1"/>
  <c r="CQ54" i="1"/>
  <c r="CR54" i="1"/>
  <c r="CU54" i="1"/>
  <c r="T54" i="1" s="1"/>
  <c r="CV54" i="1"/>
  <c r="U54" i="1" s="1"/>
  <c r="GL54" i="1"/>
  <c r="GN54" i="1"/>
  <c r="GP54" i="1"/>
  <c r="GV54" i="1"/>
  <c r="HC54" i="1"/>
  <c r="GX54" i="1" s="1"/>
  <c r="C55" i="1"/>
  <c r="D55" i="1"/>
  <c r="P55" i="1"/>
  <c r="S55" i="1"/>
  <c r="Y55" i="1" s="1"/>
  <c r="X55" i="1"/>
  <c r="AC55" i="1"/>
  <c r="AB55" i="1" s="1"/>
  <c r="AD55" i="1"/>
  <c r="AE55" i="1"/>
  <c r="Q55" i="1" s="1"/>
  <c r="AF55" i="1"/>
  <c r="AG55" i="1"/>
  <c r="AH55" i="1"/>
  <c r="CV55" i="1" s="1"/>
  <c r="U55" i="1" s="1"/>
  <c r="AI55" i="1"/>
  <c r="CW55" i="1" s="1"/>
  <c r="V55" i="1" s="1"/>
  <c r="AJ55" i="1"/>
  <c r="CQ55" i="1"/>
  <c r="CR55" i="1"/>
  <c r="CT55" i="1"/>
  <c r="CU55" i="1"/>
  <c r="T55" i="1" s="1"/>
  <c r="CX55" i="1"/>
  <c r="W55" i="1" s="1"/>
  <c r="CY55" i="1"/>
  <c r="GL55" i="1"/>
  <c r="GN55" i="1"/>
  <c r="GP55" i="1"/>
  <c r="GV55" i="1"/>
  <c r="HC55" i="1" s="1"/>
  <c r="GX55" i="1" s="1"/>
  <c r="I56" i="1"/>
  <c r="P56" i="1"/>
  <c r="S56" i="1"/>
  <c r="Y56" i="1" s="1"/>
  <c r="X56" i="1"/>
  <c r="AC56" i="1"/>
  <c r="AB56" i="1" s="1"/>
  <c r="AD56" i="1"/>
  <c r="AE56" i="1"/>
  <c r="Q56" i="1" s="1"/>
  <c r="AF56" i="1"/>
  <c r="AG56" i="1"/>
  <c r="AH56" i="1"/>
  <c r="CV56" i="1" s="1"/>
  <c r="U56" i="1" s="1"/>
  <c r="AI56" i="1"/>
  <c r="CW56" i="1" s="1"/>
  <c r="V56" i="1" s="1"/>
  <c r="AJ56" i="1"/>
  <c r="CQ56" i="1"/>
  <c r="CR56" i="1"/>
  <c r="CT56" i="1"/>
  <c r="CU56" i="1"/>
  <c r="T56" i="1" s="1"/>
  <c r="CX56" i="1"/>
  <c r="W56" i="1" s="1"/>
  <c r="CY56" i="1"/>
  <c r="GL56" i="1"/>
  <c r="GN56" i="1"/>
  <c r="GP56" i="1"/>
  <c r="GV56" i="1"/>
  <c r="HC56" i="1" s="1"/>
  <c r="GX56" i="1" s="1"/>
  <c r="I57" i="1"/>
  <c r="P57" i="1"/>
  <c r="S57" i="1"/>
  <c r="Y57" i="1" s="1"/>
  <c r="X57" i="1"/>
  <c r="AC57" i="1"/>
  <c r="AB57" i="1" s="1"/>
  <c r="AD57" i="1"/>
  <c r="AE57" i="1"/>
  <c r="Q57" i="1" s="1"/>
  <c r="AF57" i="1"/>
  <c r="AG57" i="1"/>
  <c r="AH57" i="1"/>
  <c r="CV57" i="1" s="1"/>
  <c r="U57" i="1" s="1"/>
  <c r="AI57" i="1"/>
  <c r="CW57" i="1" s="1"/>
  <c r="V57" i="1" s="1"/>
  <c r="AJ57" i="1"/>
  <c r="CQ57" i="1"/>
  <c r="CR57" i="1"/>
  <c r="CT57" i="1"/>
  <c r="CU57" i="1"/>
  <c r="T57" i="1" s="1"/>
  <c r="CX57" i="1"/>
  <c r="W57" i="1" s="1"/>
  <c r="CY57" i="1"/>
  <c r="GL57" i="1"/>
  <c r="GN57" i="1"/>
  <c r="GP57" i="1"/>
  <c r="GV57" i="1"/>
  <c r="HC57" i="1" s="1"/>
  <c r="GX57" i="1" s="1"/>
  <c r="P58" i="1"/>
  <c r="FR58" i="1" s="1"/>
  <c r="AC58" i="1"/>
  <c r="AE58" i="1"/>
  <c r="AD58" i="1" s="1"/>
  <c r="AB58" i="1" s="1"/>
  <c r="AF58" i="1"/>
  <c r="S58" i="1" s="1"/>
  <c r="AG58" i="1"/>
  <c r="AH58" i="1"/>
  <c r="AI58" i="1"/>
  <c r="CW58" i="1" s="1"/>
  <c r="V58" i="1" s="1"/>
  <c r="AJ58" i="1"/>
  <c r="CX58" i="1" s="1"/>
  <c r="W58" i="1" s="1"/>
  <c r="CQ58" i="1"/>
  <c r="CR58" i="1"/>
  <c r="CU58" i="1"/>
  <c r="T58" i="1" s="1"/>
  <c r="CV58" i="1"/>
  <c r="U58" i="1" s="1"/>
  <c r="GL58" i="1"/>
  <c r="GN58" i="1"/>
  <c r="GO58" i="1"/>
  <c r="GP58" i="1"/>
  <c r="GV58" i="1"/>
  <c r="HC58" i="1" s="1"/>
  <c r="GX58" i="1" s="1"/>
  <c r="P59" i="1"/>
  <c r="FR59" i="1" s="1"/>
  <c r="AC59" i="1"/>
  <c r="AE59" i="1"/>
  <c r="AD59" i="1" s="1"/>
  <c r="AB59" i="1" s="1"/>
  <c r="AF59" i="1"/>
  <c r="S59" i="1" s="1"/>
  <c r="AG59" i="1"/>
  <c r="AH59" i="1"/>
  <c r="AI59" i="1"/>
  <c r="CW59" i="1" s="1"/>
  <c r="V59" i="1" s="1"/>
  <c r="AJ59" i="1"/>
  <c r="CX59" i="1" s="1"/>
  <c r="W59" i="1" s="1"/>
  <c r="CQ59" i="1"/>
  <c r="CR59" i="1"/>
  <c r="CU59" i="1"/>
  <c r="T59" i="1" s="1"/>
  <c r="CV59" i="1"/>
  <c r="U59" i="1" s="1"/>
  <c r="GL59" i="1"/>
  <c r="GN59" i="1"/>
  <c r="GO59" i="1"/>
  <c r="GP59" i="1"/>
  <c r="GV59" i="1"/>
  <c r="HC59" i="1" s="1"/>
  <c r="GX59" i="1" s="1"/>
  <c r="C60" i="1"/>
  <c r="D60" i="1"/>
  <c r="R60" i="1"/>
  <c r="S60" i="1"/>
  <c r="X60" i="1" s="1"/>
  <c r="AC60" i="1"/>
  <c r="AB60" i="1" s="1"/>
  <c r="AD60" i="1"/>
  <c r="AE60" i="1"/>
  <c r="Q60" i="1" s="1"/>
  <c r="AF60" i="1"/>
  <c r="AG60" i="1"/>
  <c r="CU60" i="1" s="1"/>
  <c r="T60" i="1" s="1"/>
  <c r="AH60" i="1"/>
  <c r="CV60" i="1" s="1"/>
  <c r="U60" i="1" s="1"/>
  <c r="AI60" i="1"/>
  <c r="AJ60" i="1"/>
  <c r="CR60" i="1"/>
  <c r="CS60" i="1"/>
  <c r="CT60" i="1"/>
  <c r="CW60" i="1"/>
  <c r="V60" i="1" s="1"/>
  <c r="CX60" i="1"/>
  <c r="W60" i="1" s="1"/>
  <c r="GL60" i="1"/>
  <c r="GN60" i="1"/>
  <c r="GP60" i="1"/>
  <c r="GV60" i="1"/>
  <c r="HC60" i="1" s="1"/>
  <c r="GX60" i="1" s="1"/>
  <c r="C61" i="1"/>
  <c r="D61" i="1"/>
  <c r="R61" i="1"/>
  <c r="AC61" i="1"/>
  <c r="P61" i="1" s="1"/>
  <c r="AE61" i="1"/>
  <c r="Q61" i="1" s="1"/>
  <c r="AF61" i="1"/>
  <c r="AG61" i="1"/>
  <c r="CU61" i="1" s="1"/>
  <c r="T61" i="1" s="1"/>
  <c r="AH61" i="1"/>
  <c r="AI61" i="1"/>
  <c r="AJ61" i="1"/>
  <c r="CX61" i="1" s="1"/>
  <c r="W61" i="1" s="1"/>
  <c r="CR61" i="1"/>
  <c r="CS61" i="1"/>
  <c r="CV61" i="1"/>
  <c r="U61" i="1" s="1"/>
  <c r="CW61" i="1"/>
  <c r="V61" i="1" s="1"/>
  <c r="GL61" i="1"/>
  <c r="GN61" i="1"/>
  <c r="GP61" i="1"/>
  <c r="GV61" i="1"/>
  <c r="HC61" i="1"/>
  <c r="GX61" i="1" s="1"/>
  <c r="I62" i="1"/>
  <c r="Q62" i="1" s="1"/>
  <c r="R62" i="1"/>
  <c r="AB62" i="1"/>
  <c r="AC62" i="1"/>
  <c r="P62" i="1" s="1"/>
  <c r="AE62" i="1"/>
  <c r="AD62" i="1" s="1"/>
  <c r="AF62" i="1"/>
  <c r="AG62" i="1"/>
  <c r="CU62" i="1" s="1"/>
  <c r="T62" i="1" s="1"/>
  <c r="AH62" i="1"/>
  <c r="AI62" i="1"/>
  <c r="AJ62" i="1"/>
  <c r="CX62" i="1" s="1"/>
  <c r="W62" i="1" s="1"/>
  <c r="CR62" i="1"/>
  <c r="CS62" i="1"/>
  <c r="CV62" i="1"/>
  <c r="U62" i="1" s="1"/>
  <c r="CW62" i="1"/>
  <c r="V62" i="1" s="1"/>
  <c r="GL62" i="1"/>
  <c r="GN62" i="1"/>
  <c r="GP62" i="1"/>
  <c r="GV62" i="1"/>
  <c r="HC62" i="1"/>
  <c r="GX62" i="1" s="1"/>
  <c r="I63" i="1"/>
  <c r="Q63" i="1" s="1"/>
  <c r="R63" i="1"/>
  <c r="AB63" i="1"/>
  <c r="AC63" i="1"/>
  <c r="P63" i="1" s="1"/>
  <c r="AE63" i="1"/>
  <c r="AD63" i="1" s="1"/>
  <c r="AF63" i="1"/>
  <c r="AG63" i="1"/>
  <c r="CU63" i="1" s="1"/>
  <c r="T63" i="1" s="1"/>
  <c r="AH63" i="1"/>
  <c r="AI63" i="1"/>
  <c r="AJ63" i="1"/>
  <c r="CX63" i="1" s="1"/>
  <c r="CR63" i="1"/>
  <c r="CS63" i="1"/>
  <c r="CV63" i="1"/>
  <c r="U63" i="1" s="1"/>
  <c r="CW63" i="1"/>
  <c r="V63" i="1" s="1"/>
  <c r="GL63" i="1"/>
  <c r="GN63" i="1"/>
  <c r="GP63" i="1"/>
  <c r="GV63" i="1"/>
  <c r="HC63" i="1"/>
  <c r="GX63" i="1" s="1"/>
  <c r="R64" i="1"/>
  <c r="S64" i="1"/>
  <c r="W64" i="1"/>
  <c r="AC64" i="1"/>
  <c r="AD64" i="1"/>
  <c r="AE64" i="1"/>
  <c r="Q64" i="1" s="1"/>
  <c r="AF64" i="1"/>
  <c r="AG64" i="1"/>
  <c r="CU64" i="1" s="1"/>
  <c r="T64" i="1" s="1"/>
  <c r="AH64" i="1"/>
  <c r="CV64" i="1" s="1"/>
  <c r="U64" i="1" s="1"/>
  <c r="AI64" i="1"/>
  <c r="AJ64" i="1"/>
  <c r="CR64" i="1"/>
  <c r="CS64" i="1"/>
  <c r="CT64" i="1"/>
  <c r="CW64" i="1"/>
  <c r="V64" i="1" s="1"/>
  <c r="CX64" i="1"/>
  <c r="GL64" i="1"/>
  <c r="GN64" i="1"/>
  <c r="GO64" i="1"/>
  <c r="GP64" i="1"/>
  <c r="GV64" i="1"/>
  <c r="HC64" i="1"/>
  <c r="GX64" i="1" s="1"/>
  <c r="R65" i="1"/>
  <c r="S65" i="1"/>
  <c r="W65" i="1"/>
  <c r="AC65" i="1"/>
  <c r="AD65" i="1"/>
  <c r="AE65" i="1"/>
  <c r="Q65" i="1" s="1"/>
  <c r="AF65" i="1"/>
  <c r="AG65" i="1"/>
  <c r="CU65" i="1" s="1"/>
  <c r="T65" i="1" s="1"/>
  <c r="AH65" i="1"/>
  <c r="CV65" i="1" s="1"/>
  <c r="U65" i="1" s="1"/>
  <c r="AI65" i="1"/>
  <c r="AJ65" i="1"/>
  <c r="CR65" i="1"/>
  <c r="CS65" i="1"/>
  <c r="CT65" i="1"/>
  <c r="CW65" i="1"/>
  <c r="V65" i="1" s="1"/>
  <c r="CX65" i="1"/>
  <c r="GL65" i="1"/>
  <c r="GN65" i="1"/>
  <c r="GO65" i="1"/>
  <c r="GP65" i="1"/>
  <c r="GV65" i="1"/>
  <c r="HC65" i="1"/>
  <c r="GX65" i="1" s="1"/>
  <c r="C66" i="1"/>
  <c r="D66" i="1"/>
  <c r="P66" i="1"/>
  <c r="AC66" i="1"/>
  <c r="AE66" i="1"/>
  <c r="CR66" i="1" s="1"/>
  <c r="AF66" i="1"/>
  <c r="S66" i="1" s="1"/>
  <c r="Y66" i="1" s="1"/>
  <c r="AG66" i="1"/>
  <c r="AH66" i="1"/>
  <c r="AI66" i="1"/>
  <c r="CW66" i="1" s="1"/>
  <c r="V66" i="1" s="1"/>
  <c r="AJ66" i="1"/>
  <c r="CX66" i="1" s="1"/>
  <c r="W66" i="1" s="1"/>
  <c r="CQ66" i="1"/>
  <c r="CU66" i="1"/>
  <c r="T66" i="1" s="1"/>
  <c r="CV66" i="1"/>
  <c r="U66" i="1" s="1"/>
  <c r="GL66" i="1"/>
  <c r="GN66" i="1"/>
  <c r="GP66" i="1"/>
  <c r="GV66" i="1"/>
  <c r="HC66" i="1"/>
  <c r="GX66" i="1" s="1"/>
  <c r="C67" i="1"/>
  <c r="D67" i="1"/>
  <c r="P67" i="1"/>
  <c r="S67" i="1"/>
  <c r="Y67" i="1" s="1"/>
  <c r="T67" i="1"/>
  <c r="X67" i="1"/>
  <c r="AC67" i="1"/>
  <c r="AD67" i="1"/>
  <c r="AE67" i="1"/>
  <c r="Q67" i="1" s="1"/>
  <c r="AF67" i="1"/>
  <c r="AG67" i="1"/>
  <c r="AH67" i="1"/>
  <c r="CV67" i="1" s="1"/>
  <c r="U67" i="1" s="1"/>
  <c r="AI67" i="1"/>
  <c r="CW67" i="1" s="1"/>
  <c r="V67" i="1" s="1"/>
  <c r="AJ67" i="1"/>
  <c r="CQ67" i="1"/>
  <c r="CR67" i="1"/>
  <c r="CT67" i="1"/>
  <c r="CU67" i="1"/>
  <c r="CX67" i="1"/>
  <c r="W67" i="1" s="1"/>
  <c r="CY67" i="1"/>
  <c r="GL67" i="1"/>
  <c r="GN67" i="1"/>
  <c r="GP67" i="1"/>
  <c r="GV67" i="1"/>
  <c r="HC67" i="1" s="1"/>
  <c r="GX67" i="1" s="1"/>
  <c r="P68" i="1"/>
  <c r="Q68" i="1"/>
  <c r="T68" i="1"/>
  <c r="AC68" i="1"/>
  <c r="AD68" i="1"/>
  <c r="AB68" i="1" s="1"/>
  <c r="AE68" i="1"/>
  <c r="AF68" i="1"/>
  <c r="S68" i="1" s="1"/>
  <c r="Y68" i="1" s="1"/>
  <c r="AG68" i="1"/>
  <c r="AH68" i="1"/>
  <c r="AI68" i="1"/>
  <c r="CW68" i="1" s="1"/>
  <c r="V68" i="1" s="1"/>
  <c r="AJ68" i="1"/>
  <c r="CX68" i="1" s="1"/>
  <c r="W68" i="1" s="1"/>
  <c r="CQ68" i="1"/>
  <c r="CR68" i="1"/>
  <c r="CU68" i="1"/>
  <c r="CV68" i="1"/>
  <c r="U68" i="1" s="1"/>
  <c r="GL68" i="1"/>
  <c r="GN68" i="1"/>
  <c r="GO68" i="1"/>
  <c r="GP68" i="1"/>
  <c r="GV68" i="1"/>
  <c r="HC68" i="1" s="1"/>
  <c r="GX68" i="1" s="1"/>
  <c r="P69" i="1"/>
  <c r="T69" i="1"/>
  <c r="AC69" i="1"/>
  <c r="AD69" i="1"/>
  <c r="AB69" i="1" s="1"/>
  <c r="AE69" i="1"/>
  <c r="Q69" i="1" s="1"/>
  <c r="AF69" i="1"/>
  <c r="S69" i="1" s="1"/>
  <c r="Y69" i="1" s="1"/>
  <c r="AG69" i="1"/>
  <c r="AH69" i="1"/>
  <c r="CV69" i="1" s="1"/>
  <c r="U69" i="1" s="1"/>
  <c r="AI69" i="1"/>
  <c r="CW69" i="1" s="1"/>
  <c r="V69" i="1" s="1"/>
  <c r="AJ69" i="1"/>
  <c r="CX69" i="1" s="1"/>
  <c r="W69" i="1" s="1"/>
  <c r="CQ69" i="1"/>
  <c r="CR69" i="1"/>
  <c r="CU69" i="1"/>
  <c r="CY69" i="1"/>
  <c r="CZ69" i="1"/>
  <c r="GL69" i="1"/>
  <c r="GN69" i="1"/>
  <c r="GO69" i="1"/>
  <c r="GP69" i="1"/>
  <c r="GV69" i="1"/>
  <c r="HC69" i="1" s="1"/>
  <c r="GX69" i="1"/>
  <c r="C70" i="1"/>
  <c r="D70" i="1"/>
  <c r="R70" i="1"/>
  <c r="AC70" i="1"/>
  <c r="AD70" i="1"/>
  <c r="AE70" i="1"/>
  <c r="Q70" i="1" s="1"/>
  <c r="AF70" i="1"/>
  <c r="AB70" i="1" s="1"/>
  <c r="AG70" i="1"/>
  <c r="CU70" i="1" s="1"/>
  <c r="T70" i="1" s="1"/>
  <c r="AH70" i="1"/>
  <c r="CV70" i="1" s="1"/>
  <c r="U70" i="1" s="1"/>
  <c r="AI70" i="1"/>
  <c r="AJ70" i="1"/>
  <c r="CX70" i="1" s="1"/>
  <c r="W70" i="1" s="1"/>
  <c r="CR70" i="1"/>
  <c r="CS70" i="1"/>
  <c r="CT70" i="1"/>
  <c r="CW70" i="1"/>
  <c r="V70" i="1" s="1"/>
  <c r="GL70" i="1"/>
  <c r="GN70" i="1"/>
  <c r="GP70" i="1"/>
  <c r="GV70" i="1"/>
  <c r="HC70" i="1" s="1"/>
  <c r="GX70" i="1" s="1"/>
  <c r="C71" i="1"/>
  <c r="D71" i="1"/>
  <c r="U71" i="1"/>
  <c r="AC71" i="1"/>
  <c r="P71" i="1" s="1"/>
  <c r="AE71" i="1"/>
  <c r="AD71" i="1" s="1"/>
  <c r="AB71" i="1" s="1"/>
  <c r="AF71" i="1"/>
  <c r="AG71" i="1"/>
  <c r="CU71" i="1" s="1"/>
  <c r="T71" i="1" s="1"/>
  <c r="AH71" i="1"/>
  <c r="AI71" i="1"/>
  <c r="CW71" i="1" s="1"/>
  <c r="V71" i="1" s="1"/>
  <c r="AJ71" i="1"/>
  <c r="CX71" i="1" s="1"/>
  <c r="W71" i="1" s="1"/>
  <c r="CS71" i="1"/>
  <c r="CV71" i="1"/>
  <c r="GL71" i="1"/>
  <c r="GN71" i="1"/>
  <c r="GP71" i="1"/>
  <c r="GV71" i="1"/>
  <c r="HC71" i="1"/>
  <c r="GX71" i="1" s="1"/>
  <c r="I72" i="1"/>
  <c r="Q72" i="1" s="1"/>
  <c r="R72" i="1"/>
  <c r="U72" i="1"/>
  <c r="AB72" i="1"/>
  <c r="AC72" i="1"/>
  <c r="P72" i="1" s="1"/>
  <c r="AE72" i="1"/>
  <c r="AD72" i="1" s="1"/>
  <c r="AF72" i="1"/>
  <c r="AG72" i="1"/>
  <c r="CU72" i="1" s="1"/>
  <c r="T72" i="1" s="1"/>
  <c r="AH72" i="1"/>
  <c r="AI72" i="1"/>
  <c r="CW72" i="1" s="1"/>
  <c r="V72" i="1" s="1"/>
  <c r="AJ72" i="1"/>
  <c r="CX72" i="1" s="1"/>
  <c r="CR72" i="1"/>
  <c r="CS72" i="1"/>
  <c r="CV72" i="1"/>
  <c r="GL72" i="1"/>
  <c r="GN72" i="1"/>
  <c r="GP72" i="1"/>
  <c r="GV72" i="1"/>
  <c r="HC72" i="1"/>
  <c r="GX72" i="1" s="1"/>
  <c r="I73" i="1"/>
  <c r="Q73" i="1"/>
  <c r="R73" i="1"/>
  <c r="U73" i="1"/>
  <c r="AC73" i="1"/>
  <c r="P73" i="1" s="1"/>
  <c r="AE73" i="1"/>
  <c r="AD73" i="1" s="1"/>
  <c r="AF73" i="1"/>
  <c r="AB73" i="1" s="1"/>
  <c r="AG73" i="1"/>
  <c r="CU73" i="1" s="1"/>
  <c r="T73" i="1" s="1"/>
  <c r="AH73" i="1"/>
  <c r="AI73" i="1"/>
  <c r="AJ73" i="1"/>
  <c r="CX73" i="1" s="1"/>
  <c r="W73" i="1" s="1"/>
  <c r="CR73" i="1"/>
  <c r="CS73" i="1"/>
  <c r="CV73" i="1"/>
  <c r="CW73" i="1"/>
  <c r="V73" i="1" s="1"/>
  <c r="GL73" i="1"/>
  <c r="GN73" i="1"/>
  <c r="GP73" i="1"/>
  <c r="GV73" i="1"/>
  <c r="HC73" i="1"/>
  <c r="GX73" i="1" s="1"/>
  <c r="R74" i="1"/>
  <c r="AC74" i="1"/>
  <c r="AD74" i="1"/>
  <c r="AE74" i="1"/>
  <c r="Q74" i="1" s="1"/>
  <c r="AF74" i="1"/>
  <c r="AB74" i="1" s="1"/>
  <c r="AG74" i="1"/>
  <c r="CU74" i="1" s="1"/>
  <c r="T74" i="1" s="1"/>
  <c r="AH74" i="1"/>
  <c r="CV74" i="1" s="1"/>
  <c r="U74" i="1" s="1"/>
  <c r="AI74" i="1"/>
  <c r="AJ74" i="1"/>
  <c r="CX74" i="1" s="1"/>
  <c r="W74" i="1" s="1"/>
  <c r="CR74" i="1"/>
  <c r="CS74" i="1"/>
  <c r="CT74" i="1"/>
  <c r="CW74" i="1"/>
  <c r="V74" i="1" s="1"/>
  <c r="GL74" i="1"/>
  <c r="GN74" i="1"/>
  <c r="GP74" i="1"/>
  <c r="GV74" i="1"/>
  <c r="HC74" i="1" s="1"/>
  <c r="GX74" i="1" s="1"/>
  <c r="P75" i="1"/>
  <c r="CP75" i="1" s="1"/>
  <c r="O75" i="1" s="1"/>
  <c r="GM75" i="1" s="1"/>
  <c r="GO75" i="1" s="1"/>
  <c r="S75" i="1"/>
  <c r="Y75" i="1" s="1"/>
  <c r="T75" i="1"/>
  <c r="X75" i="1"/>
  <c r="AC75" i="1"/>
  <c r="AD75" i="1"/>
  <c r="AE75" i="1"/>
  <c r="Q75" i="1" s="1"/>
  <c r="AF75" i="1"/>
  <c r="AG75" i="1"/>
  <c r="AH75" i="1"/>
  <c r="CV75" i="1" s="1"/>
  <c r="U75" i="1" s="1"/>
  <c r="AI75" i="1"/>
  <c r="CW75" i="1" s="1"/>
  <c r="V75" i="1" s="1"/>
  <c r="AJ75" i="1"/>
  <c r="CQ75" i="1"/>
  <c r="CR75" i="1"/>
  <c r="CT75" i="1"/>
  <c r="CU75" i="1"/>
  <c r="CX75" i="1"/>
  <c r="W75" i="1" s="1"/>
  <c r="CY75" i="1"/>
  <c r="CZ75" i="1"/>
  <c r="GL75" i="1"/>
  <c r="GN75" i="1"/>
  <c r="GP75" i="1"/>
  <c r="GV75" i="1"/>
  <c r="HC75" i="1" s="1"/>
  <c r="GX75" i="1" s="1"/>
  <c r="C76" i="1"/>
  <c r="D76" i="1"/>
  <c r="S76" i="1"/>
  <c r="X76" i="1" s="1"/>
  <c r="AC76" i="1"/>
  <c r="CQ76" i="1" s="1"/>
  <c r="AD76" i="1"/>
  <c r="AE76" i="1"/>
  <c r="Q76" i="1" s="1"/>
  <c r="AF76" i="1"/>
  <c r="AG76" i="1"/>
  <c r="CU76" i="1" s="1"/>
  <c r="T76" i="1" s="1"/>
  <c r="AH76" i="1"/>
  <c r="CV76" i="1" s="1"/>
  <c r="U76" i="1" s="1"/>
  <c r="AI76" i="1"/>
  <c r="CW76" i="1" s="1"/>
  <c r="V76" i="1" s="1"/>
  <c r="AJ76" i="1"/>
  <c r="CR76" i="1"/>
  <c r="CT76" i="1"/>
  <c r="CX76" i="1"/>
  <c r="W76" i="1" s="1"/>
  <c r="GL76" i="1"/>
  <c r="GN76" i="1"/>
  <c r="GP76" i="1"/>
  <c r="GV76" i="1"/>
  <c r="HC76" i="1" s="1"/>
  <c r="GX76" i="1" s="1"/>
  <c r="C77" i="1"/>
  <c r="D77" i="1"/>
  <c r="R77" i="1"/>
  <c r="AC77" i="1"/>
  <c r="P77" i="1" s="1"/>
  <c r="AD77" i="1"/>
  <c r="AE77" i="1"/>
  <c r="Q77" i="1" s="1"/>
  <c r="AF77" i="1"/>
  <c r="AB77" i="1" s="1"/>
  <c r="AG77" i="1"/>
  <c r="CU77" i="1" s="1"/>
  <c r="T77" i="1" s="1"/>
  <c r="AH77" i="1"/>
  <c r="CV77" i="1" s="1"/>
  <c r="U77" i="1" s="1"/>
  <c r="AI77" i="1"/>
  <c r="AJ77" i="1"/>
  <c r="CX77" i="1" s="1"/>
  <c r="W77" i="1" s="1"/>
  <c r="CR77" i="1"/>
  <c r="CS77" i="1"/>
  <c r="CW77" i="1"/>
  <c r="V77" i="1" s="1"/>
  <c r="GL77" i="1"/>
  <c r="GN77" i="1"/>
  <c r="GP77" i="1"/>
  <c r="GV77" i="1"/>
  <c r="HC77" i="1" s="1"/>
  <c r="GX77" i="1" s="1"/>
  <c r="I78" i="1"/>
  <c r="Q78" i="1" s="1"/>
  <c r="R78" i="1"/>
  <c r="AC78" i="1"/>
  <c r="P78" i="1" s="1"/>
  <c r="AD78" i="1"/>
  <c r="AE78" i="1"/>
  <c r="AF78" i="1"/>
  <c r="AB78" i="1" s="1"/>
  <c r="AG78" i="1"/>
  <c r="CU78" i="1" s="1"/>
  <c r="T78" i="1" s="1"/>
  <c r="AH78" i="1"/>
  <c r="CV78" i="1" s="1"/>
  <c r="U78" i="1" s="1"/>
  <c r="AI78" i="1"/>
  <c r="AJ78" i="1"/>
  <c r="CX78" i="1" s="1"/>
  <c r="W78" i="1" s="1"/>
  <c r="CR78" i="1"/>
  <c r="CS78" i="1"/>
  <c r="CW78" i="1"/>
  <c r="V78" i="1" s="1"/>
  <c r="GL78" i="1"/>
  <c r="GN78" i="1"/>
  <c r="GP78" i="1"/>
  <c r="GV78" i="1"/>
  <c r="HC78" i="1" s="1"/>
  <c r="GX78" i="1" s="1"/>
  <c r="I79" i="1"/>
  <c r="Q79" i="1" s="1"/>
  <c r="R79" i="1"/>
  <c r="AC79" i="1"/>
  <c r="P79" i="1" s="1"/>
  <c r="AD79" i="1"/>
  <c r="AE79" i="1"/>
  <c r="AF79" i="1"/>
  <c r="AB79" i="1" s="1"/>
  <c r="AG79" i="1"/>
  <c r="CU79" i="1" s="1"/>
  <c r="T79" i="1" s="1"/>
  <c r="AH79" i="1"/>
  <c r="CV79" i="1" s="1"/>
  <c r="U79" i="1" s="1"/>
  <c r="AI79" i="1"/>
  <c r="AJ79" i="1"/>
  <c r="CX79" i="1" s="1"/>
  <c r="W79" i="1" s="1"/>
  <c r="CR79" i="1"/>
  <c r="CS79" i="1"/>
  <c r="CW79" i="1"/>
  <c r="V79" i="1" s="1"/>
  <c r="GL79" i="1"/>
  <c r="GN79" i="1"/>
  <c r="GP79" i="1"/>
  <c r="GV79" i="1"/>
  <c r="HC79" i="1" s="1"/>
  <c r="GX79" i="1" s="1"/>
  <c r="S80" i="1"/>
  <c r="X80" i="1" s="1"/>
  <c r="AC80" i="1"/>
  <c r="P80" i="1" s="1"/>
  <c r="AD80" i="1"/>
  <c r="AE80" i="1"/>
  <c r="Q80" i="1" s="1"/>
  <c r="AF80" i="1"/>
  <c r="AG80" i="1"/>
  <c r="CU80" i="1" s="1"/>
  <c r="T80" i="1" s="1"/>
  <c r="AH80" i="1"/>
  <c r="CV80" i="1" s="1"/>
  <c r="U80" i="1" s="1"/>
  <c r="AI80" i="1"/>
  <c r="CW80" i="1" s="1"/>
  <c r="V80" i="1" s="1"/>
  <c r="AJ80" i="1"/>
  <c r="CR80" i="1"/>
  <c r="CT80" i="1"/>
  <c r="CX80" i="1"/>
  <c r="W80" i="1" s="1"/>
  <c r="GL80" i="1"/>
  <c r="GN80" i="1"/>
  <c r="GP80" i="1"/>
  <c r="GV80" i="1"/>
  <c r="HC80" i="1" s="1"/>
  <c r="GX80" i="1" s="1"/>
  <c r="P81" i="1"/>
  <c r="AC81" i="1"/>
  <c r="AD81" i="1"/>
  <c r="AB81" i="1" s="1"/>
  <c r="AE81" i="1"/>
  <c r="Q81" i="1" s="1"/>
  <c r="AF81" i="1"/>
  <c r="S81" i="1" s="1"/>
  <c r="AG81" i="1"/>
  <c r="AH81" i="1"/>
  <c r="CV81" i="1" s="1"/>
  <c r="U81" i="1" s="1"/>
  <c r="AI81" i="1"/>
  <c r="CW81" i="1" s="1"/>
  <c r="V81" i="1" s="1"/>
  <c r="AJ81" i="1"/>
  <c r="CX81" i="1" s="1"/>
  <c r="W81" i="1" s="1"/>
  <c r="CQ81" i="1"/>
  <c r="CR81" i="1"/>
  <c r="CU81" i="1"/>
  <c r="T81" i="1" s="1"/>
  <c r="GL81" i="1"/>
  <c r="GN81" i="1"/>
  <c r="GP81" i="1"/>
  <c r="GV81" i="1"/>
  <c r="GX81" i="1"/>
  <c r="HC81" i="1"/>
  <c r="C82" i="1"/>
  <c r="D82" i="1"/>
  <c r="S82" i="1"/>
  <c r="X82" i="1" s="1"/>
  <c r="AC82" i="1"/>
  <c r="P82" i="1" s="1"/>
  <c r="AD82" i="1"/>
  <c r="AE82" i="1"/>
  <c r="Q82" i="1" s="1"/>
  <c r="AF82" i="1"/>
  <c r="AG82" i="1"/>
  <c r="CU82" i="1" s="1"/>
  <c r="T82" i="1" s="1"/>
  <c r="AH82" i="1"/>
  <c r="CV82" i="1" s="1"/>
  <c r="U82" i="1" s="1"/>
  <c r="AI82" i="1"/>
  <c r="CW82" i="1" s="1"/>
  <c r="V82" i="1" s="1"/>
  <c r="AJ82" i="1"/>
  <c r="CR82" i="1"/>
  <c r="CT82" i="1"/>
  <c r="CX82" i="1"/>
  <c r="W82" i="1" s="1"/>
  <c r="GL82" i="1"/>
  <c r="GN82" i="1"/>
  <c r="GP82" i="1"/>
  <c r="GV82" i="1"/>
  <c r="HC82" i="1" s="1"/>
  <c r="GX82" i="1" s="1"/>
  <c r="C83" i="1"/>
  <c r="D83" i="1"/>
  <c r="R83" i="1"/>
  <c r="AC83" i="1"/>
  <c r="P83" i="1" s="1"/>
  <c r="AD83" i="1"/>
  <c r="AE83" i="1"/>
  <c r="Q83" i="1" s="1"/>
  <c r="AF83" i="1"/>
  <c r="AB83" i="1" s="1"/>
  <c r="AG83" i="1"/>
  <c r="AH83" i="1"/>
  <c r="CV83" i="1" s="1"/>
  <c r="U83" i="1" s="1"/>
  <c r="AI83" i="1"/>
  <c r="AJ83" i="1"/>
  <c r="CX83" i="1" s="1"/>
  <c r="W83" i="1" s="1"/>
  <c r="CQ83" i="1"/>
  <c r="CR83" i="1"/>
  <c r="CS83" i="1"/>
  <c r="CU83" i="1"/>
  <c r="T83" i="1" s="1"/>
  <c r="CW83" i="1"/>
  <c r="V83" i="1" s="1"/>
  <c r="GL83" i="1"/>
  <c r="GN83" i="1"/>
  <c r="GP83" i="1"/>
  <c r="GV83" i="1"/>
  <c r="HC83" i="1" s="1"/>
  <c r="GX83" i="1" s="1"/>
  <c r="I84" i="1"/>
  <c r="Q84" i="1" s="1"/>
  <c r="R84" i="1"/>
  <c r="AC84" i="1"/>
  <c r="P84" i="1" s="1"/>
  <c r="AD84" i="1"/>
  <c r="AE84" i="1"/>
  <c r="AF84" i="1"/>
  <c r="AB84" i="1" s="1"/>
  <c r="AG84" i="1"/>
  <c r="AH84" i="1"/>
  <c r="CV84" i="1" s="1"/>
  <c r="U84" i="1" s="1"/>
  <c r="AI84" i="1"/>
  <c r="AJ84" i="1"/>
  <c r="CX84" i="1" s="1"/>
  <c r="W84" i="1" s="1"/>
  <c r="CQ84" i="1"/>
  <c r="CR84" i="1"/>
  <c r="CS84" i="1"/>
  <c r="CU84" i="1"/>
  <c r="T84" i="1" s="1"/>
  <c r="CW84" i="1"/>
  <c r="V84" i="1" s="1"/>
  <c r="GL84" i="1"/>
  <c r="GN84" i="1"/>
  <c r="GP84" i="1"/>
  <c r="GV84" i="1"/>
  <c r="HC84" i="1" s="1"/>
  <c r="GX84" i="1" s="1"/>
  <c r="I85" i="1"/>
  <c r="P85" i="1" s="1"/>
  <c r="R85" i="1"/>
  <c r="AC85" i="1"/>
  <c r="AD85" i="1"/>
  <c r="AE85" i="1"/>
  <c r="AF85" i="1"/>
  <c r="AB85" i="1" s="1"/>
  <c r="AG85" i="1"/>
  <c r="AH85" i="1"/>
  <c r="CV85" i="1" s="1"/>
  <c r="U85" i="1" s="1"/>
  <c r="AI85" i="1"/>
  <c r="AJ85" i="1"/>
  <c r="CX85" i="1" s="1"/>
  <c r="W85" i="1" s="1"/>
  <c r="CQ85" i="1"/>
  <c r="CR85" i="1"/>
  <c r="CS85" i="1"/>
  <c r="CU85" i="1"/>
  <c r="T85" i="1" s="1"/>
  <c r="CW85" i="1"/>
  <c r="V85" i="1" s="1"/>
  <c r="GL85" i="1"/>
  <c r="GN85" i="1"/>
  <c r="GP85" i="1"/>
  <c r="GV85" i="1"/>
  <c r="HC85" i="1" s="1"/>
  <c r="GX85" i="1" s="1"/>
  <c r="S86" i="1"/>
  <c r="X86" i="1" s="1"/>
  <c r="AC86" i="1"/>
  <c r="P86" i="1" s="1"/>
  <c r="AE86" i="1"/>
  <c r="AD86" i="1" s="1"/>
  <c r="AF86" i="1"/>
  <c r="AG86" i="1"/>
  <c r="CU86" i="1" s="1"/>
  <c r="T86" i="1" s="1"/>
  <c r="AH86" i="1"/>
  <c r="AI86" i="1"/>
  <c r="CW86" i="1" s="1"/>
  <c r="V86" i="1" s="1"/>
  <c r="AJ86" i="1"/>
  <c r="CR86" i="1"/>
  <c r="CT86" i="1"/>
  <c r="CV86" i="1"/>
  <c r="U86" i="1" s="1"/>
  <c r="CX86" i="1"/>
  <c r="W86" i="1" s="1"/>
  <c r="GL86" i="1"/>
  <c r="GN86" i="1"/>
  <c r="GP86" i="1"/>
  <c r="GV86" i="1"/>
  <c r="HC86" i="1" s="1"/>
  <c r="GX86" i="1" s="1"/>
  <c r="P87" i="1"/>
  <c r="R87" i="1"/>
  <c r="AC87" i="1"/>
  <c r="AD87" i="1"/>
  <c r="AB87" i="1" s="1"/>
  <c r="AE87" i="1"/>
  <c r="Q87" i="1" s="1"/>
  <c r="AF87" i="1"/>
  <c r="S87" i="1" s="1"/>
  <c r="AG87" i="1"/>
  <c r="AH87" i="1"/>
  <c r="CV87" i="1" s="1"/>
  <c r="U87" i="1" s="1"/>
  <c r="AI87" i="1"/>
  <c r="AJ87" i="1"/>
  <c r="CX87" i="1" s="1"/>
  <c r="W87" i="1" s="1"/>
  <c r="CQ87" i="1"/>
  <c r="CR87" i="1"/>
  <c r="CS87" i="1"/>
  <c r="CU87" i="1"/>
  <c r="T87" i="1" s="1"/>
  <c r="CW87" i="1"/>
  <c r="V87" i="1" s="1"/>
  <c r="GL87" i="1"/>
  <c r="GN87" i="1"/>
  <c r="GP87" i="1"/>
  <c r="GV87" i="1"/>
  <c r="GX87" i="1"/>
  <c r="HC87" i="1"/>
  <c r="S88" i="1"/>
  <c r="X88" i="1" s="1"/>
  <c r="AC88" i="1"/>
  <c r="AE88" i="1"/>
  <c r="Q88" i="1" s="1"/>
  <c r="AF88" i="1"/>
  <c r="AG88" i="1"/>
  <c r="CU88" i="1" s="1"/>
  <c r="T88" i="1" s="1"/>
  <c r="AH88" i="1"/>
  <c r="AI88" i="1"/>
  <c r="CW88" i="1" s="1"/>
  <c r="V88" i="1" s="1"/>
  <c r="AJ88" i="1"/>
  <c r="CR88" i="1"/>
  <c r="CT88" i="1"/>
  <c r="CV88" i="1"/>
  <c r="U88" i="1" s="1"/>
  <c r="CX88" i="1"/>
  <c r="W88" i="1" s="1"/>
  <c r="CZ88" i="1"/>
  <c r="GL88" i="1"/>
  <c r="GN88" i="1"/>
  <c r="GP88" i="1"/>
  <c r="GV88" i="1"/>
  <c r="HC88" i="1"/>
  <c r="GX88" i="1" s="1"/>
  <c r="P89" i="1"/>
  <c r="R89" i="1"/>
  <c r="AC89" i="1"/>
  <c r="AD89" i="1"/>
  <c r="AE89" i="1"/>
  <c r="Q89" i="1" s="1"/>
  <c r="AF89" i="1"/>
  <c r="AB89" i="1" s="1"/>
  <c r="AG89" i="1"/>
  <c r="AH89" i="1"/>
  <c r="CV89" i="1" s="1"/>
  <c r="U89" i="1" s="1"/>
  <c r="AI89" i="1"/>
  <c r="AJ89" i="1"/>
  <c r="CX89" i="1" s="1"/>
  <c r="W89" i="1" s="1"/>
  <c r="CQ89" i="1"/>
  <c r="CR89" i="1"/>
  <c r="CS89" i="1"/>
  <c r="CU89" i="1"/>
  <c r="T89" i="1" s="1"/>
  <c r="CW89" i="1"/>
  <c r="V89" i="1" s="1"/>
  <c r="GL89" i="1"/>
  <c r="GN89" i="1"/>
  <c r="GP89" i="1"/>
  <c r="GV89" i="1"/>
  <c r="HC89" i="1" s="1"/>
  <c r="GX89" i="1" s="1"/>
  <c r="S90" i="1"/>
  <c r="X90" i="1" s="1"/>
  <c r="AC90" i="1"/>
  <c r="P90" i="1" s="1"/>
  <c r="AE90" i="1"/>
  <c r="AD90" i="1" s="1"/>
  <c r="AF90" i="1"/>
  <c r="AG90" i="1"/>
  <c r="CU90" i="1" s="1"/>
  <c r="T90" i="1" s="1"/>
  <c r="AH90" i="1"/>
  <c r="AI90" i="1"/>
  <c r="CW90" i="1" s="1"/>
  <c r="V90" i="1" s="1"/>
  <c r="AJ90" i="1"/>
  <c r="CR90" i="1"/>
  <c r="CT90" i="1"/>
  <c r="CV90" i="1"/>
  <c r="U90" i="1" s="1"/>
  <c r="CX90" i="1"/>
  <c r="W90" i="1" s="1"/>
  <c r="GL90" i="1"/>
  <c r="GN90" i="1"/>
  <c r="GO90" i="1"/>
  <c r="GP90" i="1"/>
  <c r="GV90" i="1"/>
  <c r="GX90" i="1"/>
  <c r="HC90" i="1"/>
  <c r="S91" i="1"/>
  <c r="X91" i="1" s="1"/>
  <c r="AC91" i="1"/>
  <c r="P91" i="1" s="1"/>
  <c r="AE91" i="1"/>
  <c r="AD91" i="1" s="1"/>
  <c r="AF91" i="1"/>
  <c r="AG91" i="1"/>
  <c r="CU91" i="1" s="1"/>
  <c r="T91" i="1" s="1"/>
  <c r="AH91" i="1"/>
  <c r="AI91" i="1"/>
  <c r="CW91" i="1" s="1"/>
  <c r="V91" i="1" s="1"/>
  <c r="AJ91" i="1"/>
  <c r="CR91" i="1"/>
  <c r="CT91" i="1"/>
  <c r="CV91" i="1"/>
  <c r="U91" i="1" s="1"/>
  <c r="CX91" i="1"/>
  <c r="W91" i="1" s="1"/>
  <c r="GL91" i="1"/>
  <c r="GN91" i="1"/>
  <c r="GO91" i="1"/>
  <c r="GP91" i="1"/>
  <c r="GV91" i="1"/>
  <c r="GX91" i="1"/>
  <c r="HC91" i="1"/>
  <c r="B93" i="1"/>
  <c r="B26" i="1" s="1"/>
  <c r="C93" i="1"/>
  <c r="C26" i="1" s="1"/>
  <c r="D93" i="1"/>
  <c r="D26" i="1" s="1"/>
  <c r="F93" i="1"/>
  <c r="F26" i="1" s="1"/>
  <c r="G93" i="1"/>
  <c r="G26" i="1" s="1"/>
  <c r="BX93" i="1"/>
  <c r="BX26" i="1" s="1"/>
  <c r="BZ93" i="1"/>
  <c r="BZ26" i="1" s="1"/>
  <c r="CB93" i="1"/>
  <c r="CB26" i="1" s="1"/>
  <c r="CD93" i="1"/>
  <c r="CD26" i="1" s="1"/>
  <c r="CK93" i="1"/>
  <c r="CK26" i="1" s="1"/>
  <c r="CL93" i="1"/>
  <c r="CL26" i="1" s="1"/>
  <c r="CM93" i="1"/>
  <c r="CM26" i="1" s="1"/>
  <c r="FP93" i="1"/>
  <c r="FP26" i="1" s="1"/>
  <c r="FR93" i="1"/>
  <c r="FR26" i="1" s="1"/>
  <c r="FT93" i="1"/>
  <c r="FT26" i="1" s="1"/>
  <c r="FV93" i="1"/>
  <c r="FV26" i="1" s="1"/>
  <c r="GC93" i="1"/>
  <c r="GC26" i="1" s="1"/>
  <c r="GD93" i="1"/>
  <c r="GD26" i="1" s="1"/>
  <c r="GE93" i="1"/>
  <c r="GE26" i="1" s="1"/>
  <c r="D123" i="1"/>
  <c r="E125" i="1"/>
  <c r="Z125" i="1"/>
  <c r="AA125" i="1"/>
  <c r="AM125" i="1"/>
  <c r="AN125" i="1"/>
  <c r="BE125" i="1"/>
  <c r="BF125" i="1"/>
  <c r="BG125" i="1"/>
  <c r="BH125" i="1"/>
  <c r="BI125" i="1"/>
  <c r="BJ125" i="1"/>
  <c r="BK125" i="1"/>
  <c r="BL125" i="1"/>
  <c r="BM125" i="1"/>
  <c r="BN125" i="1"/>
  <c r="BO125" i="1"/>
  <c r="BP125" i="1"/>
  <c r="BQ125" i="1"/>
  <c r="BR125" i="1"/>
  <c r="BS125" i="1"/>
  <c r="BT125" i="1"/>
  <c r="BU125" i="1"/>
  <c r="BV125" i="1"/>
  <c r="BW125" i="1"/>
  <c r="CN125" i="1"/>
  <c r="CO125" i="1"/>
  <c r="CP125" i="1"/>
  <c r="CQ125" i="1"/>
  <c r="CR125" i="1"/>
  <c r="CS125" i="1"/>
  <c r="CT125" i="1"/>
  <c r="CU125" i="1"/>
  <c r="CV125" i="1"/>
  <c r="CW125" i="1"/>
  <c r="CX125" i="1"/>
  <c r="CY125" i="1"/>
  <c r="CZ125" i="1"/>
  <c r="DA125" i="1"/>
  <c r="DB125" i="1"/>
  <c r="DC125" i="1"/>
  <c r="DD125" i="1"/>
  <c r="DE125" i="1"/>
  <c r="DF125" i="1"/>
  <c r="DR125" i="1"/>
  <c r="DS125" i="1"/>
  <c r="EE125" i="1"/>
  <c r="EF125" i="1"/>
  <c r="EW125" i="1"/>
  <c r="EX125" i="1"/>
  <c r="EY125" i="1"/>
  <c r="EZ125" i="1"/>
  <c r="FA125" i="1"/>
  <c r="FB125" i="1"/>
  <c r="FC125" i="1"/>
  <c r="FD125" i="1"/>
  <c r="FE125" i="1"/>
  <c r="FF125" i="1"/>
  <c r="FG125" i="1"/>
  <c r="FH125" i="1"/>
  <c r="FI125" i="1"/>
  <c r="FJ125" i="1"/>
  <c r="FK125" i="1"/>
  <c r="FL125" i="1"/>
  <c r="FM125" i="1"/>
  <c r="FN125" i="1"/>
  <c r="FO125" i="1"/>
  <c r="GF125" i="1"/>
  <c r="GG125" i="1"/>
  <c r="GH125" i="1"/>
  <c r="GI125" i="1"/>
  <c r="GJ125" i="1"/>
  <c r="GK125" i="1"/>
  <c r="GL125" i="1"/>
  <c r="GM125" i="1"/>
  <c r="GN125" i="1"/>
  <c r="GO125" i="1"/>
  <c r="GP125" i="1"/>
  <c r="GQ125" i="1"/>
  <c r="GR125" i="1"/>
  <c r="GS125" i="1"/>
  <c r="GT125" i="1"/>
  <c r="GU125" i="1"/>
  <c r="GV125" i="1"/>
  <c r="GW125" i="1"/>
  <c r="GX125" i="1"/>
  <c r="C127" i="1"/>
  <c r="D127" i="1"/>
  <c r="P127" i="1"/>
  <c r="R127" i="1"/>
  <c r="T127" i="1"/>
  <c r="V127" i="1"/>
  <c r="AC127" i="1"/>
  <c r="AD127" i="1"/>
  <c r="AB127" i="1" s="1"/>
  <c r="AE127" i="1"/>
  <c r="Q127" i="1" s="1"/>
  <c r="AF127" i="1"/>
  <c r="AG127" i="1"/>
  <c r="AH127" i="1"/>
  <c r="CV127" i="1" s="1"/>
  <c r="U127" i="1" s="1"/>
  <c r="AI127" i="1"/>
  <c r="AJ127" i="1"/>
  <c r="CX127" i="1" s="1"/>
  <c r="W127" i="1" s="1"/>
  <c r="CQ127" i="1"/>
  <c r="CR127" i="1"/>
  <c r="CS127" i="1"/>
  <c r="CU127" i="1"/>
  <c r="CW127" i="1"/>
  <c r="GL127" i="1"/>
  <c r="GN127" i="1"/>
  <c r="GP127" i="1"/>
  <c r="GV127" i="1"/>
  <c r="HC127" i="1" s="1"/>
  <c r="GX127" i="1"/>
  <c r="C128" i="1"/>
  <c r="D128" i="1"/>
  <c r="Q128" i="1"/>
  <c r="S128" i="1"/>
  <c r="Y128" i="1"/>
  <c r="AC128" i="1"/>
  <c r="AE128" i="1"/>
  <c r="AF128" i="1"/>
  <c r="AG128" i="1"/>
  <c r="CU128" i="1" s="1"/>
  <c r="T128" i="1" s="1"/>
  <c r="AH128" i="1"/>
  <c r="AI128" i="1"/>
  <c r="CW128" i="1" s="1"/>
  <c r="V128" i="1" s="1"/>
  <c r="AJ128" i="1"/>
  <c r="CT128" i="1"/>
  <c r="CV128" i="1"/>
  <c r="U128" i="1" s="1"/>
  <c r="CX128" i="1"/>
  <c r="W128" i="1" s="1"/>
  <c r="GL128" i="1"/>
  <c r="GN128" i="1"/>
  <c r="GP128" i="1"/>
  <c r="GV128" i="1"/>
  <c r="HC128" i="1" s="1"/>
  <c r="GX128" i="1" s="1"/>
  <c r="P129" i="1"/>
  <c r="FR129" i="1" s="1"/>
  <c r="S129" i="1"/>
  <c r="AC129" i="1"/>
  <c r="AE129" i="1"/>
  <c r="X129" i="1" s="1"/>
  <c r="AF129" i="1"/>
  <c r="AG129" i="1"/>
  <c r="AH129" i="1"/>
  <c r="AI129" i="1"/>
  <c r="CW129" i="1" s="1"/>
  <c r="V129" i="1" s="1"/>
  <c r="AJ129" i="1"/>
  <c r="CQ129" i="1"/>
  <c r="CR129" i="1"/>
  <c r="CT129" i="1"/>
  <c r="CU129" i="1"/>
  <c r="T129" i="1" s="1"/>
  <c r="CV129" i="1"/>
  <c r="U129" i="1" s="1"/>
  <c r="CX129" i="1"/>
  <c r="W129" i="1" s="1"/>
  <c r="CZ129" i="1"/>
  <c r="GL129" i="1"/>
  <c r="GN129" i="1"/>
  <c r="GO129" i="1"/>
  <c r="GP129" i="1"/>
  <c r="GV129" i="1"/>
  <c r="HC129" i="1" s="1"/>
  <c r="GX129" i="1" s="1"/>
  <c r="CJ140" i="1" s="1"/>
  <c r="P130" i="1"/>
  <c r="FR130" i="1" s="1"/>
  <c r="S130" i="1"/>
  <c r="AC130" i="1"/>
  <c r="AE130" i="1"/>
  <c r="X130" i="1" s="1"/>
  <c r="AF130" i="1"/>
  <c r="AG130" i="1"/>
  <c r="AH130" i="1"/>
  <c r="AI130" i="1"/>
  <c r="CW130" i="1" s="1"/>
  <c r="V130" i="1" s="1"/>
  <c r="AJ130" i="1"/>
  <c r="CQ130" i="1"/>
  <c r="CR130" i="1"/>
  <c r="CT130" i="1"/>
  <c r="CU130" i="1"/>
  <c r="T130" i="1" s="1"/>
  <c r="CV130" i="1"/>
  <c r="U130" i="1" s="1"/>
  <c r="CX130" i="1"/>
  <c r="W130" i="1" s="1"/>
  <c r="CZ130" i="1"/>
  <c r="GL130" i="1"/>
  <c r="GN130" i="1"/>
  <c r="GO130" i="1"/>
  <c r="GP130" i="1"/>
  <c r="GV130" i="1"/>
  <c r="HC130" i="1" s="1"/>
  <c r="GX130" i="1" s="1"/>
  <c r="C131" i="1"/>
  <c r="D131" i="1"/>
  <c r="I131" i="1"/>
  <c r="R131" i="1" s="1"/>
  <c r="K131" i="1"/>
  <c r="AC131" i="1"/>
  <c r="AE131" i="1"/>
  <c r="AD131" i="1" s="1"/>
  <c r="AF131" i="1"/>
  <c r="AG131" i="1"/>
  <c r="AH131" i="1"/>
  <c r="AI131" i="1"/>
  <c r="CW131" i="1" s="1"/>
  <c r="V131" i="1" s="1"/>
  <c r="AJ131" i="1"/>
  <c r="CQ131" i="1"/>
  <c r="CR131" i="1"/>
  <c r="CT131" i="1"/>
  <c r="CU131" i="1"/>
  <c r="T131" i="1" s="1"/>
  <c r="CV131" i="1"/>
  <c r="U131" i="1" s="1"/>
  <c r="CX131" i="1"/>
  <c r="W131" i="1" s="1"/>
  <c r="GL131" i="1"/>
  <c r="GN131" i="1"/>
  <c r="GP131" i="1"/>
  <c r="GV131" i="1"/>
  <c r="HC131" i="1"/>
  <c r="GX131" i="1" s="1"/>
  <c r="C132" i="1"/>
  <c r="D132" i="1"/>
  <c r="I132" i="1"/>
  <c r="P132" i="1" s="1"/>
  <c r="K132" i="1"/>
  <c r="R132" i="1"/>
  <c r="AC132" i="1"/>
  <c r="AE132" i="1"/>
  <c r="Q132" i="1" s="1"/>
  <c r="AF132" i="1"/>
  <c r="S132" i="1" s="1"/>
  <c r="AG132" i="1"/>
  <c r="AH132" i="1"/>
  <c r="AI132" i="1"/>
  <c r="AJ132" i="1"/>
  <c r="CX132" i="1" s="1"/>
  <c r="W132" i="1" s="1"/>
  <c r="CQ132" i="1"/>
  <c r="CR132" i="1"/>
  <c r="CS132" i="1"/>
  <c r="CU132" i="1"/>
  <c r="T132" i="1" s="1"/>
  <c r="CV132" i="1"/>
  <c r="U132" i="1" s="1"/>
  <c r="CW132" i="1"/>
  <c r="V132" i="1" s="1"/>
  <c r="GL132" i="1"/>
  <c r="FR140" i="1" s="1"/>
  <c r="GN132" i="1"/>
  <c r="GP132" i="1"/>
  <c r="FV140" i="1" s="1"/>
  <c r="GV132" i="1"/>
  <c r="HC132" i="1"/>
  <c r="GX132" i="1" s="1"/>
  <c r="R133" i="1"/>
  <c r="S133" i="1"/>
  <c r="X133" i="1" s="1"/>
  <c r="AC133" i="1"/>
  <c r="AB133" i="1" s="1"/>
  <c r="AE133" i="1"/>
  <c r="AD133" i="1" s="1"/>
  <c r="AF133" i="1"/>
  <c r="AG133" i="1"/>
  <c r="CU133" i="1" s="1"/>
  <c r="T133" i="1" s="1"/>
  <c r="AH133" i="1"/>
  <c r="AI133" i="1"/>
  <c r="AJ133" i="1"/>
  <c r="CR133" i="1"/>
  <c r="CS133" i="1"/>
  <c r="CT133" i="1"/>
  <c r="CV133" i="1"/>
  <c r="U133" i="1" s="1"/>
  <c r="CW133" i="1"/>
  <c r="V133" i="1" s="1"/>
  <c r="CX133" i="1"/>
  <c r="W133" i="1" s="1"/>
  <c r="GL133" i="1"/>
  <c r="GN133" i="1"/>
  <c r="GO133" i="1"/>
  <c r="GP133" i="1"/>
  <c r="GV133" i="1"/>
  <c r="HC133" i="1"/>
  <c r="GX133" i="1" s="1"/>
  <c r="R134" i="1"/>
  <c r="S134" i="1"/>
  <c r="X134" i="1" s="1"/>
  <c r="AC134" i="1"/>
  <c r="AB134" i="1" s="1"/>
  <c r="AE134" i="1"/>
  <c r="AD134" i="1" s="1"/>
  <c r="AF134" i="1"/>
  <c r="AG134" i="1"/>
  <c r="CU134" i="1" s="1"/>
  <c r="T134" i="1" s="1"/>
  <c r="AH134" i="1"/>
  <c r="AI134" i="1"/>
  <c r="AJ134" i="1"/>
  <c r="CR134" i="1"/>
  <c r="CS134" i="1"/>
  <c r="CT134" i="1"/>
  <c r="CV134" i="1"/>
  <c r="U134" i="1" s="1"/>
  <c r="CW134" i="1"/>
  <c r="V134" i="1" s="1"/>
  <c r="CX134" i="1"/>
  <c r="W134" i="1" s="1"/>
  <c r="GL134" i="1"/>
  <c r="GN134" i="1"/>
  <c r="GO134" i="1"/>
  <c r="GP134" i="1"/>
  <c r="GV134" i="1"/>
  <c r="HC134" i="1"/>
  <c r="GX134" i="1" s="1"/>
  <c r="C135" i="1"/>
  <c r="D135" i="1"/>
  <c r="P135" i="1"/>
  <c r="S135" i="1"/>
  <c r="AC135" i="1"/>
  <c r="AE135" i="1"/>
  <c r="X135" i="1" s="1"/>
  <c r="AF135" i="1"/>
  <c r="AG135" i="1"/>
  <c r="AH135" i="1"/>
  <c r="AI135" i="1"/>
  <c r="CW135" i="1" s="1"/>
  <c r="V135" i="1" s="1"/>
  <c r="AJ135" i="1"/>
  <c r="CQ135" i="1"/>
  <c r="CR135" i="1"/>
  <c r="CT135" i="1"/>
  <c r="CU135" i="1"/>
  <c r="T135" i="1" s="1"/>
  <c r="CV135" i="1"/>
  <c r="U135" i="1" s="1"/>
  <c r="CX135" i="1"/>
  <c r="W135" i="1" s="1"/>
  <c r="CZ135" i="1"/>
  <c r="GL135" i="1"/>
  <c r="GN135" i="1"/>
  <c r="CB140" i="1" s="1"/>
  <c r="GP135" i="1"/>
  <c r="GV135" i="1"/>
  <c r="HC135" i="1"/>
  <c r="GX135" i="1" s="1"/>
  <c r="C136" i="1"/>
  <c r="D136" i="1"/>
  <c r="P136" i="1"/>
  <c r="R136" i="1"/>
  <c r="S136" i="1"/>
  <c r="Y136" i="1" s="1"/>
  <c r="X136" i="1"/>
  <c r="AC136" i="1"/>
  <c r="AB136" i="1" s="1"/>
  <c r="AD136" i="1"/>
  <c r="AE136" i="1"/>
  <c r="Q136" i="1" s="1"/>
  <c r="AF136" i="1"/>
  <c r="AG136" i="1"/>
  <c r="AH136" i="1"/>
  <c r="CV136" i="1" s="1"/>
  <c r="U136" i="1" s="1"/>
  <c r="AI136" i="1"/>
  <c r="AJ136" i="1"/>
  <c r="CQ136" i="1"/>
  <c r="CR136" i="1"/>
  <c r="CS136" i="1"/>
  <c r="CT136" i="1"/>
  <c r="CU136" i="1"/>
  <c r="T136" i="1" s="1"/>
  <c r="CW136" i="1"/>
  <c r="V136" i="1" s="1"/>
  <c r="CX136" i="1"/>
  <c r="W136" i="1" s="1"/>
  <c r="CY136" i="1"/>
  <c r="GL136" i="1"/>
  <c r="GN136" i="1"/>
  <c r="GP136" i="1"/>
  <c r="GV136" i="1"/>
  <c r="HC136" i="1" s="1"/>
  <c r="GX136" i="1" s="1"/>
  <c r="P137" i="1"/>
  <c r="FR137" i="1" s="1"/>
  <c r="S137" i="1"/>
  <c r="AC137" i="1"/>
  <c r="AE137" i="1"/>
  <c r="X137" i="1" s="1"/>
  <c r="AF137" i="1"/>
  <c r="AG137" i="1"/>
  <c r="AH137" i="1"/>
  <c r="AI137" i="1"/>
  <c r="CW137" i="1" s="1"/>
  <c r="V137" i="1" s="1"/>
  <c r="AJ137" i="1"/>
  <c r="CQ137" i="1"/>
  <c r="CR137" i="1"/>
  <c r="CT137" i="1"/>
  <c r="CU137" i="1"/>
  <c r="T137" i="1" s="1"/>
  <c r="CV137" i="1"/>
  <c r="U137" i="1" s="1"/>
  <c r="CX137" i="1"/>
  <c r="W137" i="1" s="1"/>
  <c r="CZ137" i="1"/>
  <c r="GL137" i="1"/>
  <c r="GN137" i="1"/>
  <c r="GO137" i="1"/>
  <c r="GP137" i="1"/>
  <c r="GV137" i="1"/>
  <c r="HC137" i="1" s="1"/>
  <c r="GX137" i="1" s="1"/>
  <c r="P138" i="1"/>
  <c r="FR138" i="1" s="1"/>
  <c r="S138" i="1"/>
  <c r="AC138" i="1"/>
  <c r="AE138" i="1"/>
  <c r="X138" i="1" s="1"/>
  <c r="AF138" i="1"/>
  <c r="AG138" i="1"/>
  <c r="AH138" i="1"/>
  <c r="AI138" i="1"/>
  <c r="CW138" i="1" s="1"/>
  <c r="V138" i="1" s="1"/>
  <c r="AJ138" i="1"/>
  <c r="CQ138" i="1"/>
  <c r="CR138" i="1"/>
  <c r="CT138" i="1"/>
  <c r="CU138" i="1"/>
  <c r="T138" i="1" s="1"/>
  <c r="CV138" i="1"/>
  <c r="U138" i="1" s="1"/>
  <c r="CX138" i="1"/>
  <c r="W138" i="1" s="1"/>
  <c r="CZ138" i="1"/>
  <c r="GL138" i="1"/>
  <c r="GN138" i="1"/>
  <c r="GO138" i="1"/>
  <c r="GP138" i="1"/>
  <c r="GV138" i="1"/>
  <c r="HC138" i="1" s="1"/>
  <c r="GX138" i="1" s="1"/>
  <c r="B140" i="1"/>
  <c r="B125" i="1" s="1"/>
  <c r="C140" i="1"/>
  <c r="C125" i="1" s="1"/>
  <c r="D140" i="1"/>
  <c r="D125" i="1" s="1"/>
  <c r="F140" i="1"/>
  <c r="F125" i="1" s="1"/>
  <c r="G140" i="1"/>
  <c r="G125" i="1" s="1"/>
  <c r="BX140" i="1"/>
  <c r="AO140" i="1" s="1"/>
  <c r="BZ140" i="1"/>
  <c r="BZ125" i="1" s="1"/>
  <c r="CD140" i="1"/>
  <c r="AU140" i="1" s="1"/>
  <c r="CK140" i="1"/>
  <c r="CK125" i="1" s="1"/>
  <c r="CL140" i="1"/>
  <c r="BC140" i="1" s="1"/>
  <c r="CM140" i="1"/>
  <c r="CM125" i="1" s="1"/>
  <c r="FP140" i="1"/>
  <c r="FP125" i="1" s="1"/>
  <c r="FT140" i="1"/>
  <c r="EK140" i="1" s="1"/>
  <c r="GC140" i="1"/>
  <c r="GC125" i="1" s="1"/>
  <c r="GD140" i="1"/>
  <c r="EU140" i="1" s="1"/>
  <c r="GE140" i="1"/>
  <c r="GE125" i="1" s="1"/>
  <c r="D170" i="1"/>
  <c r="E172" i="1"/>
  <c r="Z172" i="1"/>
  <c r="AA172" i="1"/>
  <c r="AM172" i="1"/>
  <c r="AN172" i="1"/>
  <c r="BE172" i="1"/>
  <c r="BF172" i="1"/>
  <c r="BG172" i="1"/>
  <c r="BH172" i="1"/>
  <c r="BI172" i="1"/>
  <c r="BJ172" i="1"/>
  <c r="BK172" i="1"/>
  <c r="BL172" i="1"/>
  <c r="BM172" i="1"/>
  <c r="BN172" i="1"/>
  <c r="BO172" i="1"/>
  <c r="BP172" i="1"/>
  <c r="BQ172" i="1"/>
  <c r="BR172" i="1"/>
  <c r="BS172" i="1"/>
  <c r="BT172" i="1"/>
  <c r="BU172" i="1"/>
  <c r="BV172" i="1"/>
  <c r="BW172" i="1"/>
  <c r="CN172" i="1"/>
  <c r="CO172" i="1"/>
  <c r="CP172" i="1"/>
  <c r="CQ172" i="1"/>
  <c r="CR172" i="1"/>
  <c r="CS172" i="1"/>
  <c r="CT172" i="1"/>
  <c r="CU172" i="1"/>
  <c r="CV172" i="1"/>
  <c r="CW172" i="1"/>
  <c r="CX172" i="1"/>
  <c r="CY172" i="1"/>
  <c r="CZ172" i="1"/>
  <c r="DA172" i="1"/>
  <c r="DB172" i="1"/>
  <c r="DC172" i="1"/>
  <c r="DD172" i="1"/>
  <c r="DE172" i="1"/>
  <c r="DF172" i="1"/>
  <c r="DR172" i="1"/>
  <c r="DS172" i="1"/>
  <c r="EE172" i="1"/>
  <c r="EF172" i="1"/>
  <c r="EW172" i="1"/>
  <c r="EX172" i="1"/>
  <c r="EY172" i="1"/>
  <c r="EZ172" i="1"/>
  <c r="FA172" i="1"/>
  <c r="FB172" i="1"/>
  <c r="FC172" i="1"/>
  <c r="FD172" i="1"/>
  <c r="FE172" i="1"/>
  <c r="FF172" i="1"/>
  <c r="FG172" i="1"/>
  <c r="FH172" i="1"/>
  <c r="FI172" i="1"/>
  <c r="FJ172" i="1"/>
  <c r="FK172" i="1"/>
  <c r="FL172" i="1"/>
  <c r="FM172" i="1"/>
  <c r="FN172" i="1"/>
  <c r="FO172" i="1"/>
  <c r="GF172" i="1"/>
  <c r="GG172" i="1"/>
  <c r="GH172" i="1"/>
  <c r="GI172" i="1"/>
  <c r="GJ172" i="1"/>
  <c r="GK172" i="1"/>
  <c r="GL172" i="1"/>
  <c r="GM172" i="1"/>
  <c r="GN172" i="1"/>
  <c r="GO172" i="1"/>
  <c r="GP172" i="1"/>
  <c r="GQ172" i="1"/>
  <c r="GR172" i="1"/>
  <c r="GS172" i="1"/>
  <c r="GT172" i="1"/>
  <c r="GU172" i="1"/>
  <c r="GV172" i="1"/>
  <c r="GW172" i="1"/>
  <c r="GX172" i="1"/>
  <c r="C174" i="1"/>
  <c r="D174" i="1"/>
  <c r="I174" i="1"/>
  <c r="K174" i="1"/>
  <c r="R174" i="1"/>
  <c r="S174" i="1"/>
  <c r="X174" i="1" s="1"/>
  <c r="AC174" i="1"/>
  <c r="AE174" i="1"/>
  <c r="AD174" i="1" s="1"/>
  <c r="AF174" i="1"/>
  <c r="AG174" i="1"/>
  <c r="CU174" i="1" s="1"/>
  <c r="T174" i="1" s="1"/>
  <c r="AH174" i="1"/>
  <c r="AI174" i="1"/>
  <c r="AJ174" i="1"/>
  <c r="CR174" i="1"/>
  <c r="CS174" i="1"/>
  <c r="CT174" i="1"/>
  <c r="CV174" i="1"/>
  <c r="U174" i="1" s="1"/>
  <c r="CW174" i="1"/>
  <c r="V174" i="1" s="1"/>
  <c r="CX174" i="1"/>
  <c r="W174" i="1" s="1"/>
  <c r="GL174" i="1"/>
  <c r="GN174" i="1"/>
  <c r="GP174" i="1"/>
  <c r="GV174" i="1"/>
  <c r="HC174" i="1" s="1"/>
  <c r="GX174" i="1" s="1"/>
  <c r="C175" i="1"/>
  <c r="D175" i="1"/>
  <c r="I175" i="1"/>
  <c r="K175" i="1"/>
  <c r="P175" i="1"/>
  <c r="CP175" i="1" s="1"/>
  <c r="O175" i="1" s="1"/>
  <c r="GM175" i="1" s="1"/>
  <c r="GO175" i="1" s="1"/>
  <c r="R175" i="1"/>
  <c r="S175" i="1"/>
  <c r="Y175" i="1" s="1"/>
  <c r="X175" i="1"/>
  <c r="AC175" i="1"/>
  <c r="AB175" i="1" s="1"/>
  <c r="AD175" i="1"/>
  <c r="AE175" i="1"/>
  <c r="Q175" i="1" s="1"/>
  <c r="AF175" i="1"/>
  <c r="AG175" i="1"/>
  <c r="AH175" i="1"/>
  <c r="CV175" i="1" s="1"/>
  <c r="U175" i="1" s="1"/>
  <c r="AI175" i="1"/>
  <c r="AJ175" i="1"/>
  <c r="CQ175" i="1"/>
  <c r="CR175" i="1"/>
  <c r="CS175" i="1"/>
  <c r="CT175" i="1"/>
  <c r="CU175" i="1"/>
  <c r="T175" i="1" s="1"/>
  <c r="CW175" i="1"/>
  <c r="V175" i="1" s="1"/>
  <c r="CX175" i="1"/>
  <c r="W175" i="1" s="1"/>
  <c r="CY175" i="1"/>
  <c r="GL175" i="1"/>
  <c r="GN175" i="1"/>
  <c r="GP175" i="1"/>
  <c r="GV175" i="1"/>
  <c r="HC175" i="1" s="1"/>
  <c r="GX175" i="1" s="1"/>
  <c r="I176" i="1"/>
  <c r="Q176" i="1" s="1"/>
  <c r="P176" i="1"/>
  <c r="R176" i="1"/>
  <c r="S176" i="1"/>
  <c r="Y176" i="1" s="1"/>
  <c r="X176" i="1"/>
  <c r="AC176" i="1"/>
  <c r="AB176" i="1" s="1"/>
  <c r="AD176" i="1"/>
  <c r="AE176" i="1"/>
  <c r="AF176" i="1"/>
  <c r="AG176" i="1"/>
  <c r="AH176" i="1"/>
  <c r="CV176" i="1" s="1"/>
  <c r="U176" i="1" s="1"/>
  <c r="AI176" i="1"/>
  <c r="AJ176" i="1"/>
  <c r="CQ176" i="1"/>
  <c r="CR176" i="1"/>
  <c r="CS176" i="1"/>
  <c r="CT176" i="1"/>
  <c r="CU176" i="1"/>
  <c r="T176" i="1" s="1"/>
  <c r="CW176" i="1"/>
  <c r="V176" i="1" s="1"/>
  <c r="CX176" i="1"/>
  <c r="W176" i="1" s="1"/>
  <c r="CY176" i="1"/>
  <c r="GL176" i="1"/>
  <c r="GN176" i="1"/>
  <c r="GP176" i="1"/>
  <c r="GV176" i="1"/>
  <c r="HC176" i="1" s="1"/>
  <c r="GX176" i="1" s="1"/>
  <c r="I177" i="1"/>
  <c r="Q177" i="1" s="1"/>
  <c r="P177" i="1"/>
  <c r="CP177" i="1" s="1"/>
  <c r="O177" i="1" s="1"/>
  <c r="R177" i="1"/>
  <c r="S177" i="1"/>
  <c r="Y177" i="1" s="1"/>
  <c r="X177" i="1"/>
  <c r="AC177" i="1"/>
  <c r="AB177" i="1" s="1"/>
  <c r="AD177" i="1"/>
  <c r="AE177" i="1"/>
  <c r="AF177" i="1"/>
  <c r="AG177" i="1"/>
  <c r="AH177" i="1"/>
  <c r="CV177" i="1" s="1"/>
  <c r="U177" i="1" s="1"/>
  <c r="AI177" i="1"/>
  <c r="AJ177" i="1"/>
  <c r="CQ177" i="1"/>
  <c r="CR177" i="1"/>
  <c r="CS177" i="1"/>
  <c r="CT177" i="1"/>
  <c r="CU177" i="1"/>
  <c r="T177" i="1" s="1"/>
  <c r="CW177" i="1"/>
  <c r="V177" i="1" s="1"/>
  <c r="CX177" i="1"/>
  <c r="W177" i="1" s="1"/>
  <c r="CY177" i="1"/>
  <c r="GL177" i="1"/>
  <c r="GN177" i="1"/>
  <c r="GP177" i="1"/>
  <c r="GV177" i="1"/>
  <c r="HC177" i="1" s="1"/>
  <c r="GX177" i="1"/>
  <c r="I178" i="1"/>
  <c r="Q178" i="1" s="1"/>
  <c r="P178" i="1"/>
  <c r="R178" i="1"/>
  <c r="S178" i="1"/>
  <c r="Y178" i="1" s="1"/>
  <c r="X178" i="1"/>
  <c r="AC178" i="1"/>
  <c r="AD178" i="1"/>
  <c r="AE178" i="1"/>
  <c r="AF178" i="1"/>
  <c r="AG178" i="1"/>
  <c r="AH178" i="1"/>
  <c r="CV178" i="1" s="1"/>
  <c r="U178" i="1" s="1"/>
  <c r="AI178" i="1"/>
  <c r="AJ178" i="1"/>
  <c r="CQ178" i="1"/>
  <c r="CR178" i="1"/>
  <c r="CS178" i="1"/>
  <c r="CT178" i="1"/>
  <c r="CU178" i="1"/>
  <c r="T178" i="1" s="1"/>
  <c r="CW178" i="1"/>
  <c r="V178" i="1" s="1"/>
  <c r="CX178" i="1"/>
  <c r="W178" i="1" s="1"/>
  <c r="CY178" i="1"/>
  <c r="GL178" i="1"/>
  <c r="GN178" i="1"/>
  <c r="GP178" i="1"/>
  <c r="GV178" i="1"/>
  <c r="HC178" i="1" s="1"/>
  <c r="GX178" i="1"/>
  <c r="I179" i="1"/>
  <c r="Q179" i="1" s="1"/>
  <c r="P179" i="1"/>
  <c r="R179" i="1"/>
  <c r="S179" i="1"/>
  <c r="Y179" i="1" s="1"/>
  <c r="T179" i="1"/>
  <c r="X179" i="1"/>
  <c r="AC179" i="1"/>
  <c r="AD179" i="1"/>
  <c r="AE179" i="1"/>
  <c r="AF179" i="1"/>
  <c r="AG179" i="1"/>
  <c r="AH179" i="1"/>
  <c r="CV179" i="1" s="1"/>
  <c r="U179" i="1" s="1"/>
  <c r="AI179" i="1"/>
  <c r="AJ179" i="1"/>
  <c r="CQ179" i="1"/>
  <c r="CR179" i="1"/>
  <c r="CS179" i="1"/>
  <c r="CT179" i="1"/>
  <c r="CU179" i="1"/>
  <c r="CW179" i="1"/>
  <c r="V179" i="1" s="1"/>
  <c r="CX179" i="1"/>
  <c r="W179" i="1" s="1"/>
  <c r="CY179" i="1"/>
  <c r="GL179" i="1"/>
  <c r="GN179" i="1"/>
  <c r="GP179" i="1"/>
  <c r="GV179" i="1"/>
  <c r="HC179" i="1" s="1"/>
  <c r="GX179" i="1" s="1"/>
  <c r="I180" i="1"/>
  <c r="Q180" i="1" s="1"/>
  <c r="P180" i="1"/>
  <c r="CP180" i="1" s="1"/>
  <c r="O180" i="1" s="1"/>
  <c r="R180" i="1"/>
  <c r="S180" i="1"/>
  <c r="Y180" i="1" s="1"/>
  <c r="T180" i="1"/>
  <c r="X180" i="1"/>
  <c r="AC180" i="1"/>
  <c r="AB180" i="1" s="1"/>
  <c r="AD180" i="1"/>
  <c r="AE180" i="1"/>
  <c r="AF180" i="1"/>
  <c r="AG180" i="1"/>
  <c r="AH180" i="1"/>
  <c r="CV180" i="1" s="1"/>
  <c r="U180" i="1" s="1"/>
  <c r="AI180" i="1"/>
  <c r="AJ180" i="1"/>
  <c r="CQ180" i="1"/>
  <c r="CR180" i="1"/>
  <c r="CS180" i="1"/>
  <c r="CT180" i="1"/>
  <c r="CU180" i="1"/>
  <c r="CW180" i="1"/>
  <c r="V180" i="1" s="1"/>
  <c r="CX180" i="1"/>
  <c r="W180" i="1" s="1"/>
  <c r="CY180" i="1"/>
  <c r="GL180" i="1"/>
  <c r="GN180" i="1"/>
  <c r="GP180" i="1"/>
  <c r="GV180" i="1"/>
  <c r="HC180" i="1" s="1"/>
  <c r="GX180" i="1" s="1"/>
  <c r="I181" i="1"/>
  <c r="Q181" i="1" s="1"/>
  <c r="P181" i="1"/>
  <c r="CP181" i="1" s="1"/>
  <c r="O181" i="1" s="1"/>
  <c r="R181" i="1"/>
  <c r="S181" i="1"/>
  <c r="Y181" i="1" s="1"/>
  <c r="X181" i="1"/>
  <c r="AC181" i="1"/>
  <c r="AB181" i="1" s="1"/>
  <c r="AD181" i="1"/>
  <c r="AE181" i="1"/>
  <c r="AF181" i="1"/>
  <c r="AG181" i="1"/>
  <c r="AH181" i="1"/>
  <c r="CV181" i="1" s="1"/>
  <c r="U181" i="1" s="1"/>
  <c r="AI181" i="1"/>
  <c r="AJ181" i="1"/>
  <c r="CQ181" i="1"/>
  <c r="CR181" i="1"/>
  <c r="CS181" i="1"/>
  <c r="CT181" i="1"/>
  <c r="CU181" i="1"/>
  <c r="T181" i="1" s="1"/>
  <c r="CW181" i="1"/>
  <c r="V181" i="1" s="1"/>
  <c r="CX181" i="1"/>
  <c r="W181" i="1" s="1"/>
  <c r="CY181" i="1"/>
  <c r="GL181" i="1"/>
  <c r="GN181" i="1"/>
  <c r="GP181" i="1"/>
  <c r="GV181" i="1"/>
  <c r="HC181" i="1" s="1"/>
  <c r="GX181" i="1"/>
  <c r="C182" i="1"/>
  <c r="D182" i="1"/>
  <c r="I182" i="1"/>
  <c r="Q182" i="1" s="1"/>
  <c r="K182" i="1"/>
  <c r="AC182" i="1"/>
  <c r="AE182" i="1"/>
  <c r="AF182" i="1"/>
  <c r="AG182" i="1"/>
  <c r="AH182" i="1"/>
  <c r="AI182" i="1"/>
  <c r="CW182" i="1" s="1"/>
  <c r="AJ182" i="1"/>
  <c r="CQ182" i="1"/>
  <c r="CR182" i="1"/>
  <c r="CT182" i="1"/>
  <c r="CU182" i="1"/>
  <c r="CV182" i="1"/>
  <c r="U182" i="1" s="1"/>
  <c r="CX182" i="1"/>
  <c r="W182" i="1" s="1"/>
  <c r="GL182" i="1"/>
  <c r="GN182" i="1"/>
  <c r="GP182" i="1"/>
  <c r="GV182" i="1"/>
  <c r="HC182" i="1"/>
  <c r="GX182" i="1" s="1"/>
  <c r="C183" i="1"/>
  <c r="D183" i="1"/>
  <c r="I183" i="1"/>
  <c r="P183" i="1" s="1"/>
  <c r="K183" i="1"/>
  <c r="R183" i="1"/>
  <c r="AC183" i="1"/>
  <c r="AE183" i="1"/>
  <c r="Q183" i="1" s="1"/>
  <c r="AF183" i="1"/>
  <c r="AG183" i="1"/>
  <c r="AH183" i="1"/>
  <c r="AI183" i="1"/>
  <c r="AJ183" i="1"/>
  <c r="CX183" i="1" s="1"/>
  <c r="W183" i="1" s="1"/>
  <c r="CQ183" i="1"/>
  <c r="CR183" i="1"/>
  <c r="CS183" i="1"/>
  <c r="CU183" i="1"/>
  <c r="T183" i="1" s="1"/>
  <c r="CV183" i="1"/>
  <c r="U183" i="1" s="1"/>
  <c r="CW183" i="1"/>
  <c r="V183" i="1" s="1"/>
  <c r="GL183" i="1"/>
  <c r="GN183" i="1"/>
  <c r="GP183" i="1"/>
  <c r="GV183" i="1"/>
  <c r="HC183" i="1"/>
  <c r="GX183" i="1" s="1"/>
  <c r="AC184" i="1"/>
  <c r="AE184" i="1"/>
  <c r="AD184" i="1" s="1"/>
  <c r="AB184" i="1" s="1"/>
  <c r="AF184" i="1"/>
  <c r="AG184" i="1"/>
  <c r="AH184" i="1"/>
  <c r="AI184" i="1"/>
  <c r="CW184" i="1" s="1"/>
  <c r="AJ184" i="1"/>
  <c r="CX184" i="1" s="1"/>
  <c r="CQ184" i="1"/>
  <c r="CS184" i="1"/>
  <c r="CU184" i="1"/>
  <c r="CV184" i="1"/>
  <c r="GL184" i="1"/>
  <c r="GN184" i="1"/>
  <c r="GP184" i="1"/>
  <c r="GV184" i="1"/>
  <c r="HC184" i="1"/>
  <c r="I185" i="1"/>
  <c r="P185" i="1" s="1"/>
  <c r="Q185" i="1"/>
  <c r="AC185" i="1"/>
  <c r="AE185" i="1"/>
  <c r="AD185" i="1" s="1"/>
  <c r="AB185" i="1" s="1"/>
  <c r="AF185" i="1"/>
  <c r="AG185" i="1"/>
  <c r="AH185" i="1"/>
  <c r="AI185" i="1"/>
  <c r="CW185" i="1" s="1"/>
  <c r="V185" i="1" s="1"/>
  <c r="AJ185" i="1"/>
  <c r="CX185" i="1" s="1"/>
  <c r="W185" i="1" s="1"/>
  <c r="CQ185" i="1"/>
  <c r="CS185" i="1"/>
  <c r="CU185" i="1"/>
  <c r="T185" i="1" s="1"/>
  <c r="CV185" i="1"/>
  <c r="U185" i="1" s="1"/>
  <c r="DZ193" i="1" s="1"/>
  <c r="GL185" i="1"/>
  <c r="FR193" i="1" s="1"/>
  <c r="GN185" i="1"/>
  <c r="GP185" i="1"/>
  <c r="GV185" i="1"/>
  <c r="HC185" i="1"/>
  <c r="AB186" i="1"/>
  <c r="AC186" i="1"/>
  <c r="AE186" i="1"/>
  <c r="AD186" i="1" s="1"/>
  <c r="AF186" i="1"/>
  <c r="AG186" i="1"/>
  <c r="AH186" i="1"/>
  <c r="AI186" i="1"/>
  <c r="AJ186" i="1"/>
  <c r="CX186" i="1" s="1"/>
  <c r="CQ186" i="1"/>
  <c r="CR186" i="1"/>
  <c r="CS186" i="1"/>
  <c r="CU186" i="1"/>
  <c r="CV186" i="1"/>
  <c r="CW186" i="1"/>
  <c r="GL186" i="1"/>
  <c r="GN186" i="1"/>
  <c r="GP186" i="1"/>
  <c r="GV186" i="1"/>
  <c r="HC186" i="1"/>
  <c r="I187" i="1"/>
  <c r="Q187" i="1" s="1"/>
  <c r="P187" i="1"/>
  <c r="U187" i="1"/>
  <c r="AC187" i="1"/>
  <c r="AE187" i="1"/>
  <c r="AD187" i="1" s="1"/>
  <c r="AB187" i="1" s="1"/>
  <c r="AF187" i="1"/>
  <c r="AG187" i="1"/>
  <c r="AH187" i="1"/>
  <c r="AI187" i="1"/>
  <c r="CW187" i="1" s="1"/>
  <c r="V187" i="1" s="1"/>
  <c r="AJ187" i="1"/>
  <c r="CX187" i="1" s="1"/>
  <c r="W187" i="1" s="1"/>
  <c r="CQ187" i="1"/>
  <c r="CS187" i="1"/>
  <c r="CU187" i="1"/>
  <c r="T187" i="1" s="1"/>
  <c r="CV187" i="1"/>
  <c r="GL187" i="1"/>
  <c r="GN187" i="1"/>
  <c r="GP187" i="1"/>
  <c r="FV193" i="1" s="1"/>
  <c r="GV187" i="1"/>
  <c r="HC187" i="1"/>
  <c r="GX187" i="1" s="1"/>
  <c r="I188" i="1"/>
  <c r="R188" i="1" s="1"/>
  <c r="K188" i="1"/>
  <c r="Q188" i="1"/>
  <c r="W188" i="1"/>
  <c r="AC188" i="1"/>
  <c r="AD188" i="1"/>
  <c r="AE188" i="1"/>
  <c r="CS188" i="1" s="1"/>
  <c r="AF188" i="1"/>
  <c r="AG188" i="1"/>
  <c r="AH188" i="1"/>
  <c r="AI188" i="1"/>
  <c r="CW188" i="1" s="1"/>
  <c r="AJ188" i="1"/>
  <c r="CQ188" i="1"/>
  <c r="CR188" i="1"/>
  <c r="CT188" i="1"/>
  <c r="CU188" i="1"/>
  <c r="T188" i="1" s="1"/>
  <c r="CV188" i="1"/>
  <c r="U188" i="1" s="1"/>
  <c r="CX188" i="1"/>
  <c r="GL188" i="1"/>
  <c r="GN188" i="1"/>
  <c r="GP188" i="1"/>
  <c r="GV188" i="1"/>
  <c r="HC188" i="1"/>
  <c r="GX188" i="1" s="1"/>
  <c r="I189" i="1"/>
  <c r="K189" i="1"/>
  <c r="R189" i="1"/>
  <c r="S189" i="1"/>
  <c r="V189" i="1"/>
  <c r="W189" i="1"/>
  <c r="X189" i="1"/>
  <c r="AC189" i="1"/>
  <c r="P189" i="1" s="1"/>
  <c r="CP189" i="1" s="1"/>
  <c r="O189" i="1" s="1"/>
  <c r="AD189" i="1"/>
  <c r="AE189" i="1"/>
  <c r="Q189" i="1" s="1"/>
  <c r="AF189" i="1"/>
  <c r="AG189" i="1"/>
  <c r="AH189" i="1"/>
  <c r="CV189" i="1" s="1"/>
  <c r="U189" i="1" s="1"/>
  <c r="AI189" i="1"/>
  <c r="AJ189" i="1"/>
  <c r="CQ189" i="1"/>
  <c r="CR189" i="1"/>
  <c r="CS189" i="1"/>
  <c r="CT189" i="1"/>
  <c r="CU189" i="1"/>
  <c r="T189" i="1" s="1"/>
  <c r="CW189" i="1"/>
  <c r="CX189" i="1"/>
  <c r="CY189" i="1"/>
  <c r="GL189" i="1"/>
  <c r="GN189" i="1"/>
  <c r="GP189" i="1"/>
  <c r="GV189" i="1"/>
  <c r="HC189" i="1" s="1"/>
  <c r="GX189" i="1" s="1"/>
  <c r="Q190" i="1"/>
  <c r="S190" i="1"/>
  <c r="Y190" i="1" s="1"/>
  <c r="W190" i="1"/>
  <c r="AC190" i="1"/>
  <c r="AD190" i="1"/>
  <c r="AE190" i="1"/>
  <c r="AF190" i="1"/>
  <c r="AG190" i="1"/>
  <c r="AH190" i="1"/>
  <c r="AI190" i="1"/>
  <c r="CW190" i="1" s="1"/>
  <c r="V190" i="1" s="1"/>
  <c r="AJ190" i="1"/>
  <c r="CQ190" i="1"/>
  <c r="CR190" i="1"/>
  <c r="CT190" i="1"/>
  <c r="CU190" i="1"/>
  <c r="T190" i="1" s="1"/>
  <c r="CV190" i="1"/>
  <c r="U190" i="1" s="1"/>
  <c r="CX190" i="1"/>
  <c r="CZ190" i="1"/>
  <c r="GL190" i="1"/>
  <c r="GN190" i="1"/>
  <c r="GP190" i="1"/>
  <c r="GV190" i="1"/>
  <c r="HC190" i="1"/>
  <c r="GX190" i="1" s="1"/>
  <c r="P191" i="1"/>
  <c r="S191" i="1"/>
  <c r="Y191" i="1" s="1"/>
  <c r="X191" i="1"/>
  <c r="AC191" i="1"/>
  <c r="AB191" i="1" s="1"/>
  <c r="AD191" i="1"/>
  <c r="AE191" i="1"/>
  <c r="Q191" i="1" s="1"/>
  <c r="AF191" i="1"/>
  <c r="AG191" i="1"/>
  <c r="AH191" i="1"/>
  <c r="CV191" i="1" s="1"/>
  <c r="U191" i="1" s="1"/>
  <c r="AI191" i="1"/>
  <c r="CW191" i="1" s="1"/>
  <c r="V191" i="1" s="1"/>
  <c r="AJ191" i="1"/>
  <c r="CQ191" i="1"/>
  <c r="CR191" i="1"/>
  <c r="CT191" i="1"/>
  <c r="CU191" i="1"/>
  <c r="T191" i="1" s="1"/>
  <c r="CX191" i="1"/>
  <c r="W191" i="1" s="1"/>
  <c r="EB193" i="1" s="1"/>
  <c r="CY191" i="1"/>
  <c r="GL191" i="1"/>
  <c r="GN191" i="1"/>
  <c r="FT193" i="1" s="1"/>
  <c r="GP191" i="1"/>
  <c r="GV191" i="1"/>
  <c r="HC191" i="1" s="1"/>
  <c r="GX191" i="1" s="1"/>
  <c r="B193" i="1"/>
  <c r="B172" i="1" s="1"/>
  <c r="C193" i="1"/>
  <c r="C172" i="1" s="1"/>
  <c r="D193" i="1"/>
  <c r="D172" i="1" s="1"/>
  <c r="F193" i="1"/>
  <c r="F172" i="1" s="1"/>
  <c r="G193" i="1"/>
  <c r="G172" i="1" s="1"/>
  <c r="BX193" i="1"/>
  <c r="BX172" i="1" s="1"/>
  <c r="BY193" i="1"/>
  <c r="BY172" i="1" s="1"/>
  <c r="BZ193" i="1"/>
  <c r="BZ172" i="1" s="1"/>
  <c r="CB193" i="1"/>
  <c r="CB172" i="1" s="1"/>
  <c r="CD193" i="1"/>
  <c r="CD172" i="1" s="1"/>
  <c r="CI193" i="1"/>
  <c r="CI172" i="1" s="1"/>
  <c r="CK193" i="1"/>
  <c r="CK172" i="1" s="1"/>
  <c r="CL193" i="1"/>
  <c r="CL172" i="1" s="1"/>
  <c r="CM193" i="1"/>
  <c r="CM172" i="1" s="1"/>
  <c r="FP193" i="1"/>
  <c r="FP172" i="1" s="1"/>
  <c r="FQ193" i="1"/>
  <c r="FQ172" i="1" s="1"/>
  <c r="GC193" i="1"/>
  <c r="GC172" i="1" s="1"/>
  <c r="GD193" i="1"/>
  <c r="GD172" i="1" s="1"/>
  <c r="GE193" i="1"/>
  <c r="GE172" i="1" s="1"/>
  <c r="B223" i="1"/>
  <c r="B22" i="1" s="1"/>
  <c r="C223" i="1"/>
  <c r="C22" i="1" s="1"/>
  <c r="D223" i="1"/>
  <c r="D22" i="1" s="1"/>
  <c r="F223" i="1"/>
  <c r="F22" i="1" s="1"/>
  <c r="G223" i="1"/>
  <c r="G22" i="1" s="1"/>
  <c r="B253" i="1"/>
  <c r="B18" i="1" s="1"/>
  <c r="C253" i="1"/>
  <c r="C18" i="1" s="1"/>
  <c r="D253" i="1"/>
  <c r="D18" i="1" s="1"/>
  <c r="F253" i="1"/>
  <c r="F18" i="1" s="1"/>
  <c r="G253" i="1"/>
  <c r="G18" i="1" s="1"/>
  <c r="F12" i="6"/>
  <c r="G12" i="6"/>
  <c r="H297" i="7" l="1"/>
  <c r="H200" i="7"/>
  <c r="H293" i="7"/>
  <c r="J160" i="7"/>
  <c r="P279" i="7"/>
  <c r="J293" i="7" s="1"/>
  <c r="J297" i="7"/>
  <c r="H289" i="7"/>
  <c r="J162" i="7"/>
  <c r="H247" i="7"/>
  <c r="J247" i="7"/>
  <c r="EB172" i="1"/>
  <c r="DO193" i="1"/>
  <c r="DU193" i="1"/>
  <c r="EA193" i="1"/>
  <c r="DY193" i="1"/>
  <c r="CP191" i="1"/>
  <c r="O191" i="1" s="1"/>
  <c r="GM191" i="1" s="1"/>
  <c r="GO191" i="1" s="1"/>
  <c r="FV172" i="1"/>
  <c r="EM193" i="1"/>
  <c r="FR172" i="1"/>
  <c r="FY193" i="1"/>
  <c r="EI193" i="1"/>
  <c r="DZ172" i="1"/>
  <c r="DM193" i="1"/>
  <c r="FT172" i="1"/>
  <c r="EK193" i="1"/>
  <c r="DV193" i="1"/>
  <c r="EG193" i="1"/>
  <c r="BC193" i="1"/>
  <c r="AU193" i="1"/>
  <c r="AQ193" i="1"/>
  <c r="GA193" i="1"/>
  <c r="EV193" i="1"/>
  <c r="CG193" i="1"/>
  <c r="BB193" i="1"/>
  <c r="AP193" i="1"/>
  <c r="CS191" i="1"/>
  <c r="R191" i="1"/>
  <c r="CY190" i="1"/>
  <c r="AB189" i="1"/>
  <c r="CR187" i="1"/>
  <c r="R187" i="1"/>
  <c r="I186" i="1"/>
  <c r="U186" i="1" s="1"/>
  <c r="CR185" i="1"/>
  <c r="T182" i="1"/>
  <c r="AB179" i="1"/>
  <c r="CP178" i="1"/>
  <c r="O178" i="1" s="1"/>
  <c r="GM178" i="1" s="1"/>
  <c r="GO178" i="1" s="1"/>
  <c r="AU125" i="1"/>
  <c r="F159" i="1"/>
  <c r="Y132" i="1"/>
  <c r="CZ132" i="1"/>
  <c r="DX140" i="1"/>
  <c r="X132" i="1"/>
  <c r="CY132" i="1"/>
  <c r="AI140" i="1"/>
  <c r="GB140" i="1"/>
  <c r="EB140" i="1"/>
  <c r="EU193" i="1"/>
  <c r="AS193" i="1"/>
  <c r="AO193" i="1"/>
  <c r="CZ191" i="1"/>
  <c r="R190" i="1"/>
  <c r="CS190" i="1"/>
  <c r="X190" i="1"/>
  <c r="Y189" i="1"/>
  <c r="GM189" i="1" s="1"/>
  <c r="GO189" i="1" s="1"/>
  <c r="CZ189" i="1"/>
  <c r="V188" i="1"/>
  <c r="S188" i="1"/>
  <c r="GX185" i="1"/>
  <c r="GB193" i="1" s="1"/>
  <c r="R185" i="1"/>
  <c r="DW193" i="1" s="1"/>
  <c r="S184" i="1"/>
  <c r="CT184" i="1"/>
  <c r="I184" i="1"/>
  <c r="W184" i="1" s="1"/>
  <c r="AJ193" i="1" s="1"/>
  <c r="S183" i="1"/>
  <c r="CP183" i="1" s="1"/>
  <c r="O183" i="1" s="1"/>
  <c r="CT183" i="1"/>
  <c r="V182" i="1"/>
  <c r="AD182" i="1"/>
  <c r="CS182" i="1"/>
  <c r="CP179" i="1"/>
  <c r="O179" i="1" s="1"/>
  <c r="CP176" i="1"/>
  <c r="O176" i="1" s="1"/>
  <c r="GM176" i="1" s="1"/>
  <c r="GO176" i="1" s="1"/>
  <c r="EU125" i="1"/>
  <c r="P156" i="1"/>
  <c r="CP136" i="1"/>
  <c r="O136" i="1" s="1"/>
  <c r="GM136" i="1" s="1"/>
  <c r="GO136" i="1" s="1"/>
  <c r="FR125" i="1"/>
  <c r="FY140" i="1"/>
  <c r="EI140" i="1"/>
  <c r="CP132" i="1"/>
  <c r="O132" i="1" s="1"/>
  <c r="GM132" i="1" s="1"/>
  <c r="GO132" i="1" s="1"/>
  <c r="AB131" i="1"/>
  <c r="AJ140" i="1"/>
  <c r="DZ140" i="1"/>
  <c r="ET193" i="1"/>
  <c r="BD193" i="1"/>
  <c r="AZ193" i="1"/>
  <c r="S187" i="1"/>
  <c r="CT187" i="1"/>
  <c r="S185" i="1"/>
  <c r="CT185" i="1"/>
  <c r="AB182" i="1"/>
  <c r="GM180" i="1"/>
  <c r="GO180" i="1" s="1"/>
  <c r="BC125" i="1"/>
  <c r="F156" i="1"/>
  <c r="AO125" i="1"/>
  <c r="F144" i="1"/>
  <c r="DY140" i="1"/>
  <c r="AH140" i="1"/>
  <c r="EH193" i="1"/>
  <c r="AB190" i="1"/>
  <c r="P190" i="1"/>
  <c r="CP190" i="1" s="1"/>
  <c r="O190" i="1" s="1"/>
  <c r="GM190" i="1" s="1"/>
  <c r="GO190" i="1" s="1"/>
  <c r="AB188" i="1"/>
  <c r="P188" i="1"/>
  <c r="CP188" i="1" s="1"/>
  <c r="O188" i="1" s="1"/>
  <c r="T186" i="1"/>
  <c r="W186" i="1"/>
  <c r="S186" i="1"/>
  <c r="CT186" i="1"/>
  <c r="CP185" i="1"/>
  <c r="O185" i="1" s="1"/>
  <c r="CR184" i="1"/>
  <c r="CU111" i="3"/>
  <c r="CW113" i="3"/>
  <c r="CX114" i="3"/>
  <c r="CX116" i="3"/>
  <c r="CX113" i="3"/>
  <c r="P182" i="1"/>
  <c r="CP182" i="1" s="1"/>
  <c r="O182" i="1" s="1"/>
  <c r="R182" i="1"/>
  <c r="S182" i="1"/>
  <c r="GM181" i="1"/>
  <c r="GO181" i="1" s="1"/>
  <c r="AB178" i="1"/>
  <c r="GM177" i="1"/>
  <c r="AB174" i="1"/>
  <c r="EK125" i="1"/>
  <c r="P157" i="1"/>
  <c r="CB125" i="1"/>
  <c r="AS140" i="1"/>
  <c r="EM140" i="1"/>
  <c r="FV125" i="1"/>
  <c r="EA140" i="1"/>
  <c r="CJ125" i="1"/>
  <c r="BA140" i="1"/>
  <c r="AG140" i="1"/>
  <c r="AD183" i="1"/>
  <c r="AB183" i="1" s="1"/>
  <c r="CZ174" i="1"/>
  <c r="Y174" i="1"/>
  <c r="Q174" i="1"/>
  <c r="CX96" i="3"/>
  <c r="CX97" i="3"/>
  <c r="CU93" i="3"/>
  <c r="CW94" i="3"/>
  <c r="CW95" i="3"/>
  <c r="CX100" i="3"/>
  <c r="CX101" i="3"/>
  <c r="CX94" i="3"/>
  <c r="EV140" i="1"/>
  <c r="CG140" i="1"/>
  <c r="BB140" i="1"/>
  <c r="CZ134" i="1"/>
  <c r="Y134" i="1"/>
  <c r="Q134" i="1"/>
  <c r="CZ133" i="1"/>
  <c r="Y133" i="1"/>
  <c r="Q133" i="1"/>
  <c r="AD132" i="1"/>
  <c r="AB132" i="1" s="1"/>
  <c r="S131" i="1"/>
  <c r="R128" i="1"/>
  <c r="CS128" i="1"/>
  <c r="AD128" i="1"/>
  <c r="GD125" i="1"/>
  <c r="BX125" i="1"/>
  <c r="FR90" i="1"/>
  <c r="CP82" i="1"/>
  <c r="O82" i="1" s="1"/>
  <c r="CP80" i="1"/>
  <c r="O80" i="1" s="1"/>
  <c r="AG93" i="1"/>
  <c r="DZ93" i="1"/>
  <c r="CJ93" i="1"/>
  <c r="GB93" i="1"/>
  <c r="CZ181" i="1"/>
  <c r="CZ180" i="1"/>
  <c r="CZ179" i="1"/>
  <c r="CZ178" i="1"/>
  <c r="CZ177" i="1"/>
  <c r="CZ176" i="1"/>
  <c r="CZ175" i="1"/>
  <c r="CU102" i="3"/>
  <c r="CX102" i="3"/>
  <c r="CW103" i="3"/>
  <c r="CX106" i="3"/>
  <c r="CX108" i="3"/>
  <c r="CY174" i="1"/>
  <c r="CQ174" i="1"/>
  <c r="P174" i="1"/>
  <c r="CS138" i="1"/>
  <c r="R138" i="1"/>
  <c r="CS137" i="1"/>
  <c r="R137" i="1"/>
  <c r="CZ136" i="1"/>
  <c r="CS135" i="1"/>
  <c r="R135" i="1"/>
  <c r="CY134" i="1"/>
  <c r="CQ134" i="1"/>
  <c r="P134" i="1"/>
  <c r="CY133" i="1"/>
  <c r="CQ133" i="1"/>
  <c r="P133" i="1"/>
  <c r="CT132" i="1"/>
  <c r="CS131" i="1"/>
  <c r="CS130" i="1"/>
  <c r="R130" i="1"/>
  <c r="CS129" i="1"/>
  <c r="R129" i="1"/>
  <c r="CZ128" i="1"/>
  <c r="CR128" i="1"/>
  <c r="AB128" i="1"/>
  <c r="P128" i="1"/>
  <c r="CQ128" i="1"/>
  <c r="X128" i="1"/>
  <c r="EC140" i="1" s="1"/>
  <c r="CY128" i="1"/>
  <c r="S127" i="1"/>
  <c r="CT127" i="1"/>
  <c r="FT125" i="1"/>
  <c r="CL125" i="1"/>
  <c r="CD125" i="1"/>
  <c r="FR91" i="1"/>
  <c r="X81" i="1"/>
  <c r="CY81" i="1"/>
  <c r="Y81" i="1"/>
  <c r="CZ81" i="1"/>
  <c r="CP81" i="1"/>
  <c r="O81" i="1" s="1"/>
  <c r="AH93" i="1"/>
  <c r="ET140" i="1"/>
  <c r="BD140" i="1"/>
  <c r="Y138" i="1"/>
  <c r="Q138" i="1"/>
  <c r="CP138" i="1" s="1"/>
  <c r="O138" i="1" s="1"/>
  <c r="GM138" i="1" s="1"/>
  <c r="Y137" i="1"/>
  <c r="Q137" i="1"/>
  <c r="CP137" i="1" s="1"/>
  <c r="O137" i="1" s="1"/>
  <c r="GM137" i="1" s="1"/>
  <c r="Y135" i="1"/>
  <c r="Q135" i="1"/>
  <c r="CP135" i="1" s="1"/>
  <c r="O135" i="1" s="1"/>
  <c r="GM135" i="1" s="1"/>
  <c r="GO135" i="1" s="1"/>
  <c r="Q131" i="1"/>
  <c r="CV77" i="3"/>
  <c r="CU77" i="3"/>
  <c r="CX80" i="3"/>
  <c r="CX81" i="3"/>
  <c r="Y130" i="1"/>
  <c r="Q130" i="1"/>
  <c r="Y129" i="1"/>
  <c r="Q129" i="1"/>
  <c r="CP129" i="1" s="1"/>
  <c r="O129" i="1" s="1"/>
  <c r="GM129" i="1" s="1"/>
  <c r="CP127" i="1"/>
  <c r="O127" i="1" s="1"/>
  <c r="X87" i="1"/>
  <c r="CY87" i="1"/>
  <c r="Y87" i="1"/>
  <c r="CZ87" i="1"/>
  <c r="DY93" i="1"/>
  <c r="AI93" i="1"/>
  <c r="CU119" i="3"/>
  <c r="CX120" i="3"/>
  <c r="CX123" i="3"/>
  <c r="CV119" i="3"/>
  <c r="CW121" i="3"/>
  <c r="CX124" i="3"/>
  <c r="CX119" i="3"/>
  <c r="EG140" i="1"/>
  <c r="AQ140" i="1"/>
  <c r="CY138" i="1"/>
  <c r="AD138" i="1"/>
  <c r="AB138" i="1" s="1"/>
  <c r="CY137" i="1"/>
  <c r="AD137" i="1"/>
  <c r="AB137" i="1" s="1"/>
  <c r="CY135" i="1"/>
  <c r="AD135" i="1"/>
  <c r="AB135" i="1" s="1"/>
  <c r="CX82" i="3"/>
  <c r="CX83" i="3"/>
  <c r="CX86" i="3"/>
  <c r="CU82" i="3"/>
  <c r="P131" i="1"/>
  <c r="CY130" i="1"/>
  <c r="AD130" i="1"/>
  <c r="AB130" i="1" s="1"/>
  <c r="CY129" i="1"/>
  <c r="AD129" i="1"/>
  <c r="AB129" i="1" s="1"/>
  <c r="CP87" i="1"/>
  <c r="O87" i="1" s="1"/>
  <c r="GM87" i="1" s="1"/>
  <c r="GO87" i="1" s="1"/>
  <c r="EA93" i="1"/>
  <c r="EU93" i="1"/>
  <c r="EM93" i="1"/>
  <c r="EI93" i="1"/>
  <c r="AS93" i="1"/>
  <c r="AO93" i="1"/>
  <c r="CS91" i="1"/>
  <c r="AB91" i="1"/>
  <c r="R91" i="1"/>
  <c r="CS90" i="1"/>
  <c r="AB90" i="1"/>
  <c r="R90" i="1"/>
  <c r="CY88" i="1"/>
  <c r="CQ88" i="1"/>
  <c r="AD88" i="1"/>
  <c r="AB88" i="1" s="1"/>
  <c r="P88" i="1"/>
  <c r="CP88" i="1" s="1"/>
  <c r="O88" i="1" s="1"/>
  <c r="CT87" i="1"/>
  <c r="CS86" i="1"/>
  <c r="AB86" i="1"/>
  <c r="R86" i="1"/>
  <c r="Q85" i="1"/>
  <c r="CP85" i="1" s="1"/>
  <c r="O85" i="1" s="1"/>
  <c r="CS82" i="1"/>
  <c r="AB82" i="1"/>
  <c r="R82" i="1"/>
  <c r="CT81" i="1"/>
  <c r="CS80" i="1"/>
  <c r="AB80" i="1"/>
  <c r="R80" i="1"/>
  <c r="CS76" i="1"/>
  <c r="AB76" i="1"/>
  <c r="R76" i="1"/>
  <c r="AB75" i="1"/>
  <c r="W72" i="1"/>
  <c r="AJ93" i="1" s="1"/>
  <c r="S72" i="1"/>
  <c r="CT72" i="1"/>
  <c r="CR71" i="1"/>
  <c r="R71" i="1"/>
  <c r="R68" i="1"/>
  <c r="CS68" i="1"/>
  <c r="X68" i="1"/>
  <c r="FR68" i="1"/>
  <c r="CP68" i="1"/>
  <c r="O68" i="1" s="1"/>
  <c r="GM68" i="1" s="1"/>
  <c r="AB67" i="1"/>
  <c r="CP67" i="1"/>
  <c r="O67" i="1" s="1"/>
  <c r="GM67" i="1" s="1"/>
  <c r="GO67" i="1" s="1"/>
  <c r="X65" i="1"/>
  <c r="CY65" i="1"/>
  <c r="Y65" i="1"/>
  <c r="CZ65" i="1"/>
  <c r="X64" i="1"/>
  <c r="CY64" i="1"/>
  <c r="Y64" i="1"/>
  <c r="CZ64" i="1"/>
  <c r="W63" i="1"/>
  <c r="EB93" i="1" s="1"/>
  <c r="S63" i="1"/>
  <c r="CT63" i="1"/>
  <c r="S62" i="1"/>
  <c r="CT62" i="1"/>
  <c r="S61" i="1"/>
  <c r="CT61" i="1"/>
  <c r="CP56" i="1"/>
  <c r="O56" i="1" s="1"/>
  <c r="GM56" i="1" s="1"/>
  <c r="GO56" i="1" s="1"/>
  <c r="FY93" i="1"/>
  <c r="ET93" i="1"/>
  <c r="BD93" i="1"/>
  <c r="CZ91" i="1"/>
  <c r="Y91" i="1"/>
  <c r="Q91" i="1"/>
  <c r="CP91" i="1" s="1"/>
  <c r="O91" i="1" s="1"/>
  <c r="GM91" i="1" s="1"/>
  <c r="CZ90" i="1"/>
  <c r="Y90" i="1"/>
  <c r="Q90" i="1"/>
  <c r="CP90" i="1" s="1"/>
  <c r="O90" i="1" s="1"/>
  <c r="GM90" i="1" s="1"/>
  <c r="CZ86" i="1"/>
  <c r="Y86" i="1"/>
  <c r="Q86" i="1"/>
  <c r="CP86" i="1" s="1"/>
  <c r="O86" i="1" s="1"/>
  <c r="GM86" i="1" s="1"/>
  <c r="GO86" i="1" s="1"/>
  <c r="CZ82" i="1"/>
  <c r="Y82" i="1"/>
  <c r="CS81" i="1"/>
  <c r="R81" i="1"/>
  <c r="CZ80" i="1"/>
  <c r="Y80" i="1"/>
  <c r="CQ79" i="1"/>
  <c r="CQ78" i="1"/>
  <c r="CQ77" i="1"/>
  <c r="CZ76" i="1"/>
  <c r="Y76" i="1"/>
  <c r="P76" i="1"/>
  <c r="CP76" i="1" s="1"/>
  <c r="O76" i="1" s="1"/>
  <c r="GM76" i="1" s="1"/>
  <c r="GO76" i="1" s="1"/>
  <c r="P74" i="1"/>
  <c r="CP74" i="1" s="1"/>
  <c r="O74" i="1" s="1"/>
  <c r="CQ74" i="1"/>
  <c r="S74" i="1"/>
  <c r="S71" i="1"/>
  <c r="CT71" i="1"/>
  <c r="Q71" i="1"/>
  <c r="R69" i="1"/>
  <c r="CS69" i="1"/>
  <c r="X69" i="1"/>
  <c r="FR69" i="1"/>
  <c r="CP69" i="1"/>
  <c r="O69" i="1" s="1"/>
  <c r="GM69" i="1" s="1"/>
  <c r="CZ68" i="1"/>
  <c r="CZ66" i="1"/>
  <c r="X59" i="1"/>
  <c r="CY59" i="1"/>
  <c r="Y59" i="1"/>
  <c r="CZ59" i="1"/>
  <c r="EK93" i="1"/>
  <c r="EG93" i="1"/>
  <c r="BC93" i="1"/>
  <c r="AU93" i="1"/>
  <c r="AQ93" i="1"/>
  <c r="CY91" i="1"/>
  <c r="CQ91" i="1"/>
  <c r="CY90" i="1"/>
  <c r="CQ90" i="1"/>
  <c r="CT89" i="1"/>
  <c r="S89" i="1"/>
  <c r="CP89" i="1" s="1"/>
  <c r="O89" i="1" s="1"/>
  <c r="CS88" i="1"/>
  <c r="R88" i="1"/>
  <c r="CY86" i="1"/>
  <c r="CQ86" i="1"/>
  <c r="CT85" i="1"/>
  <c r="S85" i="1"/>
  <c r="CT84" i="1"/>
  <c r="S84" i="1"/>
  <c r="CP84" i="1" s="1"/>
  <c r="O84" i="1" s="1"/>
  <c r="CT83" i="1"/>
  <c r="S83" i="1"/>
  <c r="CY82" i="1"/>
  <c r="CQ82" i="1"/>
  <c r="CY80" i="1"/>
  <c r="CQ80" i="1"/>
  <c r="CT79" i="1"/>
  <c r="S79" i="1"/>
  <c r="CP79" i="1" s="1"/>
  <c r="O79" i="1" s="1"/>
  <c r="CT78" i="1"/>
  <c r="S78" i="1"/>
  <c r="CT77" i="1"/>
  <c r="S77" i="1"/>
  <c r="CP77" i="1" s="1"/>
  <c r="O77" i="1" s="1"/>
  <c r="CY76" i="1"/>
  <c r="CP72" i="1"/>
  <c r="O72" i="1" s="1"/>
  <c r="P70" i="1"/>
  <c r="CP70" i="1" s="1"/>
  <c r="O70" i="1" s="1"/>
  <c r="CQ70" i="1"/>
  <c r="S70" i="1"/>
  <c r="CY68" i="1"/>
  <c r="X66" i="1"/>
  <c r="CY66" i="1"/>
  <c r="AB65" i="1"/>
  <c r="P65" i="1"/>
  <c r="CQ65" i="1"/>
  <c r="AB64" i="1"/>
  <c r="P64" i="1"/>
  <c r="CQ64" i="1"/>
  <c r="CP63" i="1"/>
  <c r="O63" i="1" s="1"/>
  <c r="CP62" i="1"/>
  <c r="O62" i="1" s="1"/>
  <c r="CP61" i="1"/>
  <c r="O61" i="1" s="1"/>
  <c r="X58" i="1"/>
  <c r="CY58" i="1"/>
  <c r="Y58" i="1"/>
  <c r="CZ58" i="1"/>
  <c r="CP57" i="1"/>
  <c r="O57" i="1" s="1"/>
  <c r="GM57" i="1" s="1"/>
  <c r="GO57" i="1" s="1"/>
  <c r="CP55" i="1"/>
  <c r="O55" i="1" s="1"/>
  <c r="GM55" i="1" s="1"/>
  <c r="GO55" i="1" s="1"/>
  <c r="X54" i="1"/>
  <c r="CY54" i="1"/>
  <c r="Y54" i="1"/>
  <c r="CZ54" i="1"/>
  <c r="EV93" i="1"/>
  <c r="CG93" i="1"/>
  <c r="BB93" i="1"/>
  <c r="Y88" i="1"/>
  <c r="S73" i="1"/>
  <c r="CP73" i="1" s="1"/>
  <c r="O73" i="1" s="1"/>
  <c r="CT73" i="1"/>
  <c r="CP71" i="1"/>
  <c r="O71" i="1" s="1"/>
  <c r="AD66" i="1"/>
  <c r="AB66" i="1" s="1"/>
  <c r="R66" i="1"/>
  <c r="CS66" i="1"/>
  <c r="Q66" i="1"/>
  <c r="CP66" i="1" s="1"/>
  <c r="O66" i="1" s="1"/>
  <c r="GM66" i="1" s="1"/>
  <c r="GO66" i="1" s="1"/>
  <c r="CS75" i="1"/>
  <c r="R75" i="1"/>
  <c r="CQ73" i="1"/>
  <c r="CQ72" i="1"/>
  <c r="CQ71" i="1"/>
  <c r="CT69" i="1"/>
  <c r="CT68" i="1"/>
  <c r="CS67" i="1"/>
  <c r="R67" i="1"/>
  <c r="CT66" i="1"/>
  <c r="CQ63" i="1"/>
  <c r="CQ62" i="1"/>
  <c r="CQ61" i="1"/>
  <c r="AD61" i="1"/>
  <c r="AB61" i="1" s="1"/>
  <c r="CZ60" i="1"/>
  <c r="Y60" i="1"/>
  <c r="CT59" i="1"/>
  <c r="CT58" i="1"/>
  <c r="CS57" i="1"/>
  <c r="R57" i="1"/>
  <c r="CS56" i="1"/>
  <c r="R56" i="1"/>
  <c r="CS55" i="1"/>
  <c r="R55" i="1"/>
  <c r="CT54" i="1"/>
  <c r="CZ53" i="1"/>
  <c r="Y53" i="1"/>
  <c r="P53" i="1"/>
  <c r="S52" i="1"/>
  <c r="CT52" i="1"/>
  <c r="R51" i="1"/>
  <c r="CS51" i="1"/>
  <c r="AD51" i="1"/>
  <c r="S49" i="1"/>
  <c r="CT49" i="1"/>
  <c r="P46" i="1"/>
  <c r="CQ46" i="1"/>
  <c r="AB46" i="1"/>
  <c r="S43" i="1"/>
  <c r="CT43" i="1"/>
  <c r="AB43" i="1"/>
  <c r="S42" i="1"/>
  <c r="CT42" i="1"/>
  <c r="AB42" i="1"/>
  <c r="CZ67" i="1"/>
  <c r="CY60" i="1"/>
  <c r="CQ60" i="1"/>
  <c r="P60" i="1"/>
  <c r="CP60" i="1" s="1"/>
  <c r="O60" i="1" s="1"/>
  <c r="GM60" i="1" s="1"/>
  <c r="GO60" i="1" s="1"/>
  <c r="CS59" i="1"/>
  <c r="R59" i="1"/>
  <c r="CS58" i="1"/>
  <c r="R58" i="1"/>
  <c r="CZ57" i="1"/>
  <c r="CZ56" i="1"/>
  <c r="CZ55" i="1"/>
  <c r="CS54" i="1"/>
  <c r="R54" i="1"/>
  <c r="CY53" i="1"/>
  <c r="CQ53" i="1"/>
  <c r="CP52" i="1"/>
  <c r="O52" i="1" s="1"/>
  <c r="AB51" i="1"/>
  <c r="P51" i="1"/>
  <c r="CP51" i="1" s="1"/>
  <c r="O51" i="1" s="1"/>
  <c r="CQ51" i="1"/>
  <c r="X51" i="1"/>
  <c r="CY51" i="1"/>
  <c r="X47" i="1"/>
  <c r="CY47" i="1"/>
  <c r="Y47" i="1"/>
  <c r="CZ47" i="1"/>
  <c r="P45" i="1"/>
  <c r="CQ45" i="1"/>
  <c r="AB45" i="1"/>
  <c r="CP44" i="1"/>
  <c r="O44" i="1" s="1"/>
  <c r="X39" i="1"/>
  <c r="CY39" i="1"/>
  <c r="Y39" i="1"/>
  <c r="CZ39" i="1"/>
  <c r="X38" i="1"/>
  <c r="CY38" i="1"/>
  <c r="Y38" i="1"/>
  <c r="CZ38" i="1"/>
  <c r="X34" i="1"/>
  <c r="CY34" i="1"/>
  <c r="Y34" i="1"/>
  <c r="CZ34" i="1"/>
  <c r="CP34" i="1"/>
  <c r="O34" i="1" s="1"/>
  <c r="GM34" i="1" s="1"/>
  <c r="Q59" i="1"/>
  <c r="CP59" i="1" s="1"/>
  <c r="O59" i="1" s="1"/>
  <c r="GM59" i="1" s="1"/>
  <c r="Q58" i="1"/>
  <c r="CP58" i="1" s="1"/>
  <c r="O58" i="1" s="1"/>
  <c r="GM58" i="1" s="1"/>
  <c r="Q54" i="1"/>
  <c r="CP54" i="1" s="1"/>
  <c r="O54" i="1" s="1"/>
  <c r="GM54" i="1" s="1"/>
  <c r="GO54" i="1" s="1"/>
  <c r="S50" i="1"/>
  <c r="CT50" i="1"/>
  <c r="AB50" i="1"/>
  <c r="FR48" i="1"/>
  <c r="CP48" i="1"/>
  <c r="O48" i="1" s="1"/>
  <c r="GM48" i="1" s="1"/>
  <c r="X46" i="1"/>
  <c r="CY46" i="1"/>
  <c r="Y46" i="1"/>
  <c r="CZ46" i="1"/>
  <c r="Y44" i="1"/>
  <c r="CZ44" i="1"/>
  <c r="X44" i="1"/>
  <c r="X36" i="1"/>
  <c r="CY36" i="1"/>
  <c r="Y36" i="1"/>
  <c r="CZ36" i="1"/>
  <c r="CP50" i="1"/>
  <c r="O50" i="1" s="1"/>
  <c r="Y48" i="1"/>
  <c r="CZ48" i="1"/>
  <c r="X48" i="1"/>
  <c r="P47" i="1"/>
  <c r="CQ47" i="1"/>
  <c r="AB47" i="1"/>
  <c r="X45" i="1"/>
  <c r="CY45" i="1"/>
  <c r="Y45" i="1"/>
  <c r="CZ45" i="1"/>
  <c r="CP43" i="1"/>
  <c r="O43" i="1" s="1"/>
  <c r="CP42" i="1"/>
  <c r="O42" i="1" s="1"/>
  <c r="CP36" i="1"/>
  <c r="O36" i="1" s="1"/>
  <c r="X35" i="1"/>
  <c r="CY35" i="1"/>
  <c r="Y35" i="1"/>
  <c r="CZ35" i="1"/>
  <c r="X32" i="1"/>
  <c r="CY32" i="1"/>
  <c r="Y32" i="1"/>
  <c r="CZ32" i="1"/>
  <c r="CP32" i="1"/>
  <c r="O32" i="1" s="1"/>
  <c r="GM32" i="1" s="1"/>
  <c r="GO32" i="1" s="1"/>
  <c r="CT48" i="1"/>
  <c r="CS47" i="1"/>
  <c r="R47" i="1"/>
  <c r="CS46" i="1"/>
  <c r="R46" i="1"/>
  <c r="AE93" i="1" s="1"/>
  <c r="CS45" i="1"/>
  <c r="R45" i="1"/>
  <c r="CT44" i="1"/>
  <c r="CY41" i="1"/>
  <c r="CQ41" i="1"/>
  <c r="AD41" i="1"/>
  <c r="AB41" i="1" s="1"/>
  <c r="P41" i="1"/>
  <c r="CP41" i="1" s="1"/>
  <c r="O41" i="1" s="1"/>
  <c r="CT39" i="1"/>
  <c r="CP39" i="1"/>
  <c r="O39" i="1" s="1"/>
  <c r="GM39" i="1" s="1"/>
  <c r="CT38" i="1"/>
  <c r="CP38" i="1"/>
  <c r="O38" i="1" s="1"/>
  <c r="GM38" i="1" s="1"/>
  <c r="CS37" i="1"/>
  <c r="AB37" i="1"/>
  <c r="R37" i="1"/>
  <c r="CT36" i="1"/>
  <c r="Q35" i="1"/>
  <c r="CP35" i="1" s="1"/>
  <c r="O35" i="1" s="1"/>
  <c r="GM35" i="1" s="1"/>
  <c r="Q34" i="1"/>
  <c r="CY33" i="1"/>
  <c r="AD33" i="1"/>
  <c r="AB33" i="1" s="1"/>
  <c r="X33" i="1"/>
  <c r="P33" i="1"/>
  <c r="CP33" i="1" s="1"/>
  <c r="O33" i="1" s="1"/>
  <c r="Q32" i="1"/>
  <c r="AD31" i="1"/>
  <c r="CS29" i="1"/>
  <c r="CW120" i="3"/>
  <c r="CX118" i="3"/>
  <c r="CW112" i="3"/>
  <c r="CX109" i="3"/>
  <c r="CX104" i="3"/>
  <c r="CV93" i="3"/>
  <c r="Q47" i="1"/>
  <c r="Q46" i="1"/>
  <c r="Q45" i="1"/>
  <c r="CZ37" i="1"/>
  <c r="Y37" i="1"/>
  <c r="Q37" i="1"/>
  <c r="CP37" i="1" s="1"/>
  <c r="O37" i="1" s="1"/>
  <c r="GM37" i="1" s="1"/>
  <c r="GO37" i="1" s="1"/>
  <c r="CZ31" i="1"/>
  <c r="AB31" i="1"/>
  <c r="P31" i="1"/>
  <c r="P30" i="1"/>
  <c r="CP30" i="1" s="1"/>
  <c r="O30" i="1" s="1"/>
  <c r="CR29" i="1"/>
  <c r="R29" i="1"/>
  <c r="CX126" i="3"/>
  <c r="CX121" i="3"/>
  <c r="CX110" i="3"/>
  <c r="CX84" i="3"/>
  <c r="CX78" i="3"/>
  <c r="CS41" i="1"/>
  <c r="R41" i="1"/>
  <c r="CT40" i="1"/>
  <c r="S40" i="1"/>
  <c r="CY37" i="1"/>
  <c r="CQ37" i="1"/>
  <c r="CT35" i="1"/>
  <c r="CT34" i="1"/>
  <c r="CS33" i="1"/>
  <c r="R33" i="1"/>
  <c r="CT32" i="1"/>
  <c r="CY31" i="1"/>
  <c r="S29" i="1"/>
  <c r="CT29" i="1"/>
  <c r="Q29" i="1"/>
  <c r="CX117" i="3"/>
  <c r="CX105" i="3"/>
  <c r="CX103" i="3"/>
  <c r="Y41" i="1"/>
  <c r="Y33" i="1"/>
  <c r="R31" i="1"/>
  <c r="CS31" i="1"/>
  <c r="X31" i="1"/>
  <c r="Y30" i="1"/>
  <c r="CZ30" i="1"/>
  <c r="P28" i="1"/>
  <c r="CQ28" i="1"/>
  <c r="X28" i="1"/>
  <c r="CY28" i="1"/>
  <c r="Y28" i="1"/>
  <c r="CZ28" i="1"/>
  <c r="CX125" i="3"/>
  <c r="CX122" i="3"/>
  <c r="CV111" i="3"/>
  <c r="CX98" i="3"/>
  <c r="CQ29" i="1"/>
  <c r="CX111" i="3"/>
  <c r="CV102" i="3"/>
  <c r="DF92" i="3"/>
  <c r="DJ92" i="3" s="1"/>
  <c r="DF91" i="3"/>
  <c r="CX90" i="3"/>
  <c r="DF89" i="3"/>
  <c r="DJ89" i="3" s="1"/>
  <c r="DF87" i="3"/>
  <c r="CX77" i="3"/>
  <c r="DG64" i="3"/>
  <c r="DH64" i="3"/>
  <c r="DF64" i="3"/>
  <c r="DJ64" i="3" s="1"/>
  <c r="DI58" i="3"/>
  <c r="DG58" i="3"/>
  <c r="DH58" i="3"/>
  <c r="DF58" i="3"/>
  <c r="DJ58" i="3" s="1"/>
  <c r="CX99" i="3"/>
  <c r="CW91" i="3"/>
  <c r="CV87" i="3"/>
  <c r="CX85" i="3"/>
  <c r="CV82" i="3"/>
  <c r="DI72" i="3"/>
  <c r="DF72" i="3"/>
  <c r="DJ72" i="3" s="1"/>
  <c r="DG72" i="3"/>
  <c r="CX112" i="3"/>
  <c r="CW104" i="3"/>
  <c r="CX79" i="3"/>
  <c r="DI74" i="3"/>
  <c r="DF74" i="3"/>
  <c r="DJ74" i="3" s="1"/>
  <c r="DH74" i="3"/>
  <c r="DH69" i="3"/>
  <c r="DI69" i="3"/>
  <c r="DJ69" i="3" s="1"/>
  <c r="DF69" i="3"/>
  <c r="DH67" i="3"/>
  <c r="DI67" i="3"/>
  <c r="DJ67" i="3" s="1"/>
  <c r="DF67" i="3"/>
  <c r="DG62" i="3"/>
  <c r="DH62" i="3"/>
  <c r="DF62" i="3"/>
  <c r="DJ62" i="3" s="1"/>
  <c r="CX115" i="3"/>
  <c r="CX107" i="3"/>
  <c r="CX95" i="3"/>
  <c r="CX93" i="3"/>
  <c r="DH92" i="3"/>
  <c r="DG91" i="3"/>
  <c r="DJ91" i="3" s="1"/>
  <c r="DG89" i="3"/>
  <c r="DF73" i="3"/>
  <c r="DG73" i="3"/>
  <c r="DI73" i="3"/>
  <c r="DJ73" i="3" s="1"/>
  <c r="DG69" i="3"/>
  <c r="DG67" i="3"/>
  <c r="DI60" i="3"/>
  <c r="DG60" i="3"/>
  <c r="DH60" i="3"/>
  <c r="DF60" i="3"/>
  <c r="DJ60" i="3" s="1"/>
  <c r="DH53" i="3"/>
  <c r="DI53" i="3"/>
  <c r="DJ53" i="3" s="1"/>
  <c r="DF53" i="3"/>
  <c r="DG53" i="3"/>
  <c r="DG46" i="3"/>
  <c r="DH46" i="3"/>
  <c r="DI46" i="3"/>
  <c r="DF46" i="3"/>
  <c r="DJ46" i="3" s="1"/>
  <c r="DH51" i="3"/>
  <c r="DI51" i="3"/>
  <c r="DJ51" i="3" s="1"/>
  <c r="DF51" i="3"/>
  <c r="DG51" i="3"/>
  <c r="DG48" i="3"/>
  <c r="DH48" i="3"/>
  <c r="DI48" i="3"/>
  <c r="DF48" i="3"/>
  <c r="DJ48" i="3" s="1"/>
  <c r="DH47" i="3"/>
  <c r="DI47" i="3"/>
  <c r="DJ47" i="3" s="1"/>
  <c r="DF47" i="3"/>
  <c r="DG47" i="3"/>
  <c r="DH49" i="3"/>
  <c r="DI49" i="3"/>
  <c r="DJ49" i="3" s="1"/>
  <c r="DF49" i="3"/>
  <c r="DG49" i="3"/>
  <c r="DI18" i="3"/>
  <c r="DF18" i="3"/>
  <c r="DJ18" i="3" s="1"/>
  <c r="DG18" i="3"/>
  <c r="DH18" i="3"/>
  <c r="DH75" i="3"/>
  <c r="DI75" i="3"/>
  <c r="DF71" i="3"/>
  <c r="DJ71" i="3" s="1"/>
  <c r="DG71" i="3"/>
  <c r="DH65" i="3"/>
  <c r="DI65" i="3"/>
  <c r="DJ65" i="3" s="1"/>
  <c r="DH63" i="3"/>
  <c r="DI63" i="3"/>
  <c r="DJ63" i="3" s="1"/>
  <c r="DH55" i="3"/>
  <c r="DI55" i="3"/>
  <c r="DJ55" i="3" s="1"/>
  <c r="DF55" i="3"/>
  <c r="DG55" i="3"/>
  <c r="DI40" i="3"/>
  <c r="DG40" i="3"/>
  <c r="DH40" i="3"/>
  <c r="DF40" i="3"/>
  <c r="DJ40" i="3" s="1"/>
  <c r="DI44" i="3"/>
  <c r="DG44" i="3"/>
  <c r="DH44" i="3"/>
  <c r="DF44" i="3"/>
  <c r="DJ44" i="3" s="1"/>
  <c r="CX56" i="3"/>
  <c r="CV55" i="3"/>
  <c r="DF54" i="3"/>
  <c r="DJ54" i="3" s="1"/>
  <c r="CV53" i="3"/>
  <c r="DF52" i="3"/>
  <c r="DJ52" i="3" s="1"/>
  <c r="CV51" i="3"/>
  <c r="DF50" i="3"/>
  <c r="DJ50" i="3" s="1"/>
  <c r="CV49" i="3"/>
  <c r="CV47" i="3"/>
  <c r="DG45" i="3"/>
  <c r="DF42" i="3"/>
  <c r="CX41" i="3"/>
  <c r="DF39" i="3"/>
  <c r="DJ39" i="3" s="1"/>
  <c r="DG39" i="3"/>
  <c r="DI38" i="3"/>
  <c r="DH37" i="3"/>
  <c r="DI37" i="3"/>
  <c r="DH33" i="3"/>
  <c r="DI33" i="3"/>
  <c r="DJ33" i="3" s="1"/>
  <c r="DI29" i="3"/>
  <c r="DJ29" i="3" s="1"/>
  <c r="DF29" i="3"/>
  <c r="DI20" i="3"/>
  <c r="DF20" i="3"/>
  <c r="DJ20" i="3" s="1"/>
  <c r="DI17" i="3"/>
  <c r="DG13" i="3"/>
  <c r="DH12" i="3"/>
  <c r="DG9" i="3"/>
  <c r="DJ9" i="3" s="1"/>
  <c r="CX8" i="3"/>
  <c r="DH7" i="3"/>
  <c r="DG4" i="3"/>
  <c r="DH3" i="3"/>
  <c r="DI54" i="3"/>
  <c r="DI52" i="3"/>
  <c r="DI50" i="3"/>
  <c r="CW42" i="3"/>
  <c r="DI39" i="3"/>
  <c r="DG37" i="3"/>
  <c r="DJ37" i="3" s="1"/>
  <c r="DF36" i="3"/>
  <c r="DG36" i="3"/>
  <c r="DJ36" i="3" s="1"/>
  <c r="DF33" i="3"/>
  <c r="DH29" i="3"/>
  <c r="DH28" i="3"/>
  <c r="DI28" i="3"/>
  <c r="DI26" i="3"/>
  <c r="DF26" i="3"/>
  <c r="CV25" i="3"/>
  <c r="CX25" i="3"/>
  <c r="DG21" i="3"/>
  <c r="DH20" i="3"/>
  <c r="DF11" i="3"/>
  <c r="DJ11" i="3" s="1"/>
  <c r="DG11" i="3"/>
  <c r="DF6" i="3"/>
  <c r="DJ6" i="3" s="1"/>
  <c r="DG6" i="3"/>
  <c r="DF2" i="3"/>
  <c r="DG2" i="3"/>
  <c r="DJ2" i="3" s="1"/>
  <c r="DG38" i="3"/>
  <c r="DH38" i="3"/>
  <c r="DH35" i="3"/>
  <c r="DI35" i="3"/>
  <c r="DJ35" i="3" s="1"/>
  <c r="DH31" i="3"/>
  <c r="DI31" i="3"/>
  <c r="DJ31" i="3" s="1"/>
  <c r="DF27" i="3"/>
  <c r="DG27" i="3"/>
  <c r="DF24" i="3"/>
  <c r="DG24" i="3"/>
  <c r="DJ24" i="3" s="1"/>
  <c r="DF19" i="3"/>
  <c r="DG19" i="3"/>
  <c r="DH15" i="3"/>
  <c r="DI15" i="3"/>
  <c r="DJ15" i="3" s="1"/>
  <c r="DH13" i="3"/>
  <c r="DI13" i="3"/>
  <c r="CW9" i="3"/>
  <c r="DH4" i="3"/>
  <c r="DI4" i="3"/>
  <c r="DH1" i="3"/>
  <c r="DI1" i="3"/>
  <c r="DJ1" i="3" s="1"/>
  <c r="CW30" i="3"/>
  <c r="CX30" i="3"/>
  <c r="DH23" i="3"/>
  <c r="DI23" i="3"/>
  <c r="DJ23" i="3" s="1"/>
  <c r="DH21" i="3"/>
  <c r="DI21" i="3"/>
  <c r="DF17" i="3"/>
  <c r="DJ17" i="3" s="1"/>
  <c r="DG17" i="3"/>
  <c r="DI12" i="3"/>
  <c r="DF12" i="3"/>
  <c r="DJ12" i="3" s="1"/>
  <c r="DH9" i="3"/>
  <c r="DI9" i="3"/>
  <c r="DI7" i="3"/>
  <c r="DF7" i="3"/>
  <c r="DJ7" i="3" s="1"/>
  <c r="DI3" i="3"/>
  <c r="DF3" i="3"/>
  <c r="DJ3" i="3" s="1"/>
  <c r="DF1" i="3"/>
  <c r="J289" i="7" l="1"/>
  <c r="AJ26" i="1"/>
  <c r="W93" i="1"/>
  <c r="AJ172" i="1"/>
  <c r="W193" i="1"/>
  <c r="GB172" i="1"/>
  <c r="ES193" i="1"/>
  <c r="DG30" i="3"/>
  <c r="DJ30" i="3" s="1"/>
  <c r="DH30" i="3"/>
  <c r="DF30" i="3"/>
  <c r="DI30" i="3"/>
  <c r="CP31" i="1"/>
  <c r="O31" i="1" s="1"/>
  <c r="GM31" i="1" s="1"/>
  <c r="GO31" i="1" s="1"/>
  <c r="DU93" i="1"/>
  <c r="AE26" i="1"/>
  <c r="R93" i="1"/>
  <c r="CP47" i="1"/>
  <c r="O47" i="1" s="1"/>
  <c r="GM47" i="1" s="1"/>
  <c r="GO47" i="1" s="1"/>
  <c r="Y50" i="1"/>
  <c r="CZ50" i="1"/>
  <c r="X50" i="1"/>
  <c r="GM50" i="1" s="1"/>
  <c r="GO50" i="1" s="1"/>
  <c r="CY50" i="1"/>
  <c r="X43" i="1"/>
  <c r="CY43" i="1"/>
  <c r="Y43" i="1"/>
  <c r="CZ43" i="1"/>
  <c r="EG26" i="1"/>
  <c r="P97" i="1"/>
  <c r="EG223" i="1"/>
  <c r="X71" i="1"/>
  <c r="CY71" i="1"/>
  <c r="Y71" i="1"/>
  <c r="CZ71" i="1"/>
  <c r="FY26" i="1"/>
  <c r="EP93" i="1"/>
  <c r="EB26" i="1"/>
  <c r="DO93" i="1"/>
  <c r="X72" i="1"/>
  <c r="CY72" i="1"/>
  <c r="CZ72" i="1"/>
  <c r="Y72" i="1"/>
  <c r="AO26" i="1"/>
  <c r="F97" i="1"/>
  <c r="AO223" i="1"/>
  <c r="EU26" i="1"/>
  <c r="P109" i="1"/>
  <c r="EU223" i="1"/>
  <c r="AC140" i="1"/>
  <c r="CP131" i="1"/>
  <c r="O131" i="1" s="1"/>
  <c r="DG82" i="3"/>
  <c r="DI82" i="3"/>
  <c r="DJ82" i="3" s="1"/>
  <c r="DF82" i="3"/>
  <c r="DH82" i="3"/>
  <c r="EG125" i="1"/>
  <c r="P144" i="1"/>
  <c r="AI26" i="1"/>
  <c r="V93" i="1"/>
  <c r="DG80" i="3"/>
  <c r="DI80" i="3"/>
  <c r="DF80" i="3"/>
  <c r="DJ80" i="3" s="1"/>
  <c r="DH80" i="3"/>
  <c r="AH26" i="1"/>
  <c r="U93" i="1"/>
  <c r="EC125" i="1"/>
  <c r="DP140" i="1"/>
  <c r="FR133" i="1"/>
  <c r="BY140" i="1" s="1"/>
  <c r="CP133" i="1"/>
  <c r="O133" i="1" s="1"/>
  <c r="GM133" i="1" s="1"/>
  <c r="DG108" i="3"/>
  <c r="DF108" i="3"/>
  <c r="DJ108" i="3" s="1"/>
  <c r="DH108" i="3"/>
  <c r="DI108" i="3"/>
  <c r="GB26" i="1"/>
  <c r="ES93" i="1"/>
  <c r="AG26" i="1"/>
  <c r="T93" i="1"/>
  <c r="BB125" i="1"/>
  <c r="F153" i="1"/>
  <c r="DF101" i="3"/>
  <c r="DJ101" i="3" s="1"/>
  <c r="DH101" i="3"/>
  <c r="DI101" i="3"/>
  <c r="DG101" i="3"/>
  <c r="AG125" i="1"/>
  <c r="T140" i="1"/>
  <c r="GO177" i="1"/>
  <c r="DI114" i="3"/>
  <c r="DG114" i="3"/>
  <c r="DH114" i="3"/>
  <c r="DF114" i="3"/>
  <c r="DJ114" i="3" s="1"/>
  <c r="DY125" i="1"/>
  <c r="DL140" i="1"/>
  <c r="ET172" i="1"/>
  <c r="P206" i="1"/>
  <c r="DW172" i="1"/>
  <c r="DJ193" i="1"/>
  <c r="EU172" i="1"/>
  <c r="P209" i="1"/>
  <c r="CG172" i="1"/>
  <c r="AX193" i="1"/>
  <c r="AU172" i="1"/>
  <c r="F212" i="1"/>
  <c r="DV172" i="1"/>
  <c r="DI193" i="1"/>
  <c r="DM172" i="1"/>
  <c r="P215" i="1"/>
  <c r="EI172" i="1"/>
  <c r="P203" i="1"/>
  <c r="DH112" i="3"/>
  <c r="DG112" i="3"/>
  <c r="DJ112" i="3" s="1"/>
  <c r="DI112" i="3"/>
  <c r="DF112" i="3"/>
  <c r="DH99" i="3"/>
  <c r="DG99" i="3"/>
  <c r="DI99" i="3"/>
  <c r="DF99" i="3"/>
  <c r="DJ99" i="3" s="1"/>
  <c r="DF125" i="3"/>
  <c r="DJ125" i="3" s="1"/>
  <c r="DG125" i="3"/>
  <c r="DH125" i="3"/>
  <c r="DI125" i="3"/>
  <c r="DF117" i="3"/>
  <c r="DJ117" i="3" s="1"/>
  <c r="DG117" i="3"/>
  <c r="DH117" i="3"/>
  <c r="DI117" i="3"/>
  <c r="X40" i="1"/>
  <c r="CY40" i="1"/>
  <c r="Y40" i="1"/>
  <c r="CZ40" i="1"/>
  <c r="AF93" i="1"/>
  <c r="DH115" i="3"/>
  <c r="DI115" i="3"/>
  <c r="DF115" i="3"/>
  <c r="DJ115" i="3" s="1"/>
  <c r="DG115" i="3"/>
  <c r="DH85" i="3"/>
  <c r="DG85" i="3"/>
  <c r="DI85" i="3"/>
  <c r="DF85" i="3"/>
  <c r="DJ85" i="3" s="1"/>
  <c r="DI98" i="3"/>
  <c r="DF98" i="3"/>
  <c r="DJ98" i="3" s="1"/>
  <c r="DG98" i="3"/>
  <c r="DH98" i="3"/>
  <c r="DV93" i="1"/>
  <c r="DI84" i="3"/>
  <c r="DF84" i="3"/>
  <c r="DJ84" i="3" s="1"/>
  <c r="DG84" i="3"/>
  <c r="DH84" i="3"/>
  <c r="DW93" i="1"/>
  <c r="DI118" i="3"/>
  <c r="DF118" i="3"/>
  <c r="DJ118" i="3" s="1"/>
  <c r="DG118" i="3"/>
  <c r="DH118" i="3"/>
  <c r="GM41" i="1"/>
  <c r="GO41" i="1" s="1"/>
  <c r="GM43" i="1"/>
  <c r="CP45" i="1"/>
  <c r="O45" i="1" s="1"/>
  <c r="GM45" i="1" s="1"/>
  <c r="GO45" i="1" s="1"/>
  <c r="CP40" i="1"/>
  <c r="O40" i="1" s="1"/>
  <c r="GM40" i="1" s="1"/>
  <c r="GO40" i="1" s="1"/>
  <c r="X42" i="1"/>
  <c r="GM42" i="1" s="1"/>
  <c r="CY42" i="1"/>
  <c r="Y42" i="1"/>
  <c r="CZ42" i="1"/>
  <c r="Y49" i="1"/>
  <c r="CZ49" i="1"/>
  <c r="CY49" i="1"/>
  <c r="X49" i="1"/>
  <c r="GM71" i="1"/>
  <c r="GO71" i="1" s="1"/>
  <c r="BB26" i="1"/>
  <c r="F106" i="1"/>
  <c r="BB223" i="1"/>
  <c r="FR65" i="1"/>
  <c r="CP65" i="1"/>
  <c r="O65" i="1" s="1"/>
  <c r="GM65" i="1" s="1"/>
  <c r="GM72" i="1"/>
  <c r="GO72" i="1" s="1"/>
  <c r="X78" i="1"/>
  <c r="CY78" i="1"/>
  <c r="Y78" i="1"/>
  <c r="CZ78" i="1"/>
  <c r="X83" i="1"/>
  <c r="CY83" i="1"/>
  <c r="Y83" i="1"/>
  <c r="CZ83" i="1"/>
  <c r="X85" i="1"/>
  <c r="GM85" i="1" s="1"/>
  <c r="GO85" i="1" s="1"/>
  <c r="CY85" i="1"/>
  <c r="Y85" i="1"/>
  <c r="CZ85" i="1"/>
  <c r="AQ26" i="1"/>
  <c r="F103" i="1"/>
  <c r="AQ223" i="1"/>
  <c r="EK26" i="1"/>
  <c r="P110" i="1"/>
  <c r="EK223" i="1"/>
  <c r="Y62" i="1"/>
  <c r="CZ62" i="1"/>
  <c r="X62" i="1"/>
  <c r="CY62" i="1"/>
  <c r="AS26" i="1"/>
  <c r="F110" i="1"/>
  <c r="AS223" i="1"/>
  <c r="EA26" i="1"/>
  <c r="DN93" i="1"/>
  <c r="DF119" i="3"/>
  <c r="DG119" i="3"/>
  <c r="DH119" i="3"/>
  <c r="DI119" i="3"/>
  <c r="DJ119" i="3" s="1"/>
  <c r="DH123" i="3"/>
  <c r="DI123" i="3"/>
  <c r="DF123" i="3"/>
  <c r="DJ123" i="3" s="1"/>
  <c r="DG123" i="3"/>
  <c r="DV140" i="1"/>
  <c r="CP78" i="1"/>
  <c r="O78" i="1" s="1"/>
  <c r="GM78" i="1" s="1"/>
  <c r="GO78" i="1" s="1"/>
  <c r="CP174" i="1"/>
  <c r="O174" i="1" s="1"/>
  <c r="DI106" i="3"/>
  <c r="DG106" i="3"/>
  <c r="DH106" i="3"/>
  <c r="DF106" i="3"/>
  <c r="DJ106" i="3" s="1"/>
  <c r="CJ26" i="1"/>
  <c r="BA93" i="1"/>
  <c r="CP130" i="1"/>
  <c r="O130" i="1" s="1"/>
  <c r="GM130" i="1" s="1"/>
  <c r="CG125" i="1"/>
  <c r="AX140" i="1"/>
  <c r="DG100" i="3"/>
  <c r="DH100" i="3"/>
  <c r="DI100" i="3"/>
  <c r="DF100" i="3"/>
  <c r="DJ100" i="3" s="1"/>
  <c r="DF97" i="3"/>
  <c r="DJ97" i="3" s="1"/>
  <c r="DI97" i="3"/>
  <c r="DG97" i="3"/>
  <c r="DH97" i="3"/>
  <c r="BA125" i="1"/>
  <c r="F160" i="1"/>
  <c r="EM125" i="1"/>
  <c r="P159" i="1"/>
  <c r="EH172" i="1"/>
  <c r="P202" i="1"/>
  <c r="Y187" i="1"/>
  <c r="CY187" i="1"/>
  <c r="CZ187" i="1"/>
  <c r="X187" i="1"/>
  <c r="DZ125" i="1"/>
  <c r="DM140" i="1"/>
  <c r="GM179" i="1"/>
  <c r="GO179" i="1" s="1"/>
  <c r="X184" i="1"/>
  <c r="CY184" i="1"/>
  <c r="CZ184" i="1"/>
  <c r="Y184" i="1"/>
  <c r="EB125" i="1"/>
  <c r="DO140" i="1"/>
  <c r="GX184" i="1"/>
  <c r="EV172" i="1"/>
  <c r="P218" i="1"/>
  <c r="BC172" i="1"/>
  <c r="F209" i="1"/>
  <c r="V186" i="1"/>
  <c r="FY172" i="1"/>
  <c r="EP193" i="1"/>
  <c r="EA172" i="1"/>
  <c r="DN193" i="1"/>
  <c r="DH107" i="3"/>
  <c r="DF107" i="3"/>
  <c r="DJ107" i="3" s="1"/>
  <c r="DG107" i="3"/>
  <c r="DI107" i="3"/>
  <c r="DH77" i="3"/>
  <c r="DF77" i="3"/>
  <c r="DG77" i="3"/>
  <c r="DI77" i="3"/>
  <c r="DJ77" i="3" s="1"/>
  <c r="DI78" i="3"/>
  <c r="DF78" i="3"/>
  <c r="DJ78" i="3" s="1"/>
  <c r="DG78" i="3"/>
  <c r="DH78" i="3"/>
  <c r="DI56" i="3"/>
  <c r="DJ56" i="3" s="1"/>
  <c r="DG56" i="3"/>
  <c r="DH56" i="3"/>
  <c r="DF56" i="3"/>
  <c r="DF8" i="3"/>
  <c r="DG8" i="3"/>
  <c r="DH8" i="3"/>
  <c r="DI8" i="3"/>
  <c r="DJ8" i="3" s="1"/>
  <c r="DF41" i="3"/>
  <c r="DG41" i="3"/>
  <c r="DH41" i="3"/>
  <c r="DI41" i="3"/>
  <c r="DJ41" i="3" s="1"/>
  <c r="DH93" i="3"/>
  <c r="DG93" i="3"/>
  <c r="DI93" i="3"/>
  <c r="DJ93" i="3" s="1"/>
  <c r="DF93" i="3"/>
  <c r="DH79" i="3"/>
  <c r="DI79" i="3"/>
  <c r="DF79" i="3"/>
  <c r="DJ79" i="3" s="1"/>
  <c r="DG79" i="3"/>
  <c r="CP28" i="1"/>
  <c r="O28" i="1" s="1"/>
  <c r="AC93" i="1"/>
  <c r="DI103" i="3"/>
  <c r="DF103" i="3"/>
  <c r="DG103" i="3"/>
  <c r="DJ103" i="3" s="1"/>
  <c r="DH103" i="3"/>
  <c r="DI110" i="3"/>
  <c r="DF110" i="3"/>
  <c r="DJ110" i="3" s="1"/>
  <c r="DG110" i="3"/>
  <c r="DH110" i="3"/>
  <c r="DG104" i="3"/>
  <c r="DJ104" i="3" s="1"/>
  <c r="DF104" i="3"/>
  <c r="DH104" i="3"/>
  <c r="DI104" i="3"/>
  <c r="AD93" i="1"/>
  <c r="GM44" i="1"/>
  <c r="GO44" i="1" s="1"/>
  <c r="CP49" i="1"/>
  <c r="O49" i="1" s="1"/>
  <c r="GM49" i="1" s="1"/>
  <c r="GM51" i="1"/>
  <c r="GO51" i="1" s="1"/>
  <c r="Y52" i="1"/>
  <c r="CZ52" i="1"/>
  <c r="CY52" i="1"/>
  <c r="X52" i="1"/>
  <c r="GM52" i="1" s="1"/>
  <c r="CG26" i="1"/>
  <c r="AX93" i="1"/>
  <c r="FR64" i="1"/>
  <c r="BY93" i="1" s="1"/>
  <c r="CP64" i="1"/>
  <c r="O64" i="1" s="1"/>
  <c r="GM64" i="1" s="1"/>
  <c r="X70" i="1"/>
  <c r="GM70" i="1" s="1"/>
  <c r="GO70" i="1" s="1"/>
  <c r="CY70" i="1"/>
  <c r="Y70" i="1"/>
  <c r="CZ70" i="1"/>
  <c r="AU26" i="1"/>
  <c r="F112" i="1"/>
  <c r="AU223" i="1"/>
  <c r="X74" i="1"/>
  <c r="GM74" i="1" s="1"/>
  <c r="GO74" i="1" s="1"/>
  <c r="CY74" i="1"/>
  <c r="Y74" i="1"/>
  <c r="CZ74" i="1"/>
  <c r="BD26" i="1"/>
  <c r="F118" i="1"/>
  <c r="BD223" i="1"/>
  <c r="GM88" i="1"/>
  <c r="GO88" i="1" s="1"/>
  <c r="EI26" i="1"/>
  <c r="P103" i="1"/>
  <c r="EI223" i="1"/>
  <c r="DG86" i="3"/>
  <c r="DH86" i="3"/>
  <c r="DI86" i="3"/>
  <c r="DF86" i="3"/>
  <c r="DJ86" i="3" s="1"/>
  <c r="DG124" i="3"/>
  <c r="DH124" i="3"/>
  <c r="DI124" i="3"/>
  <c r="DF124" i="3"/>
  <c r="DJ124" i="3" s="1"/>
  <c r="DH120" i="3"/>
  <c r="DI120" i="3"/>
  <c r="DF120" i="3"/>
  <c r="DG120" i="3"/>
  <c r="DJ120" i="3" s="1"/>
  <c r="DY26" i="1"/>
  <c r="DL93" i="1"/>
  <c r="GM127" i="1"/>
  <c r="AB140" i="1"/>
  <c r="ED140" i="1"/>
  <c r="F165" i="1"/>
  <c r="BD125" i="1"/>
  <c r="GM81" i="1"/>
  <c r="GO81" i="1" s="1"/>
  <c r="Y127" i="1"/>
  <c r="AL140" i="1" s="1"/>
  <c r="CZ127" i="1"/>
  <c r="CY127" i="1"/>
  <c r="X127" i="1"/>
  <c r="AF140" i="1"/>
  <c r="CP128" i="1"/>
  <c r="O128" i="1" s="1"/>
  <c r="DU140" i="1"/>
  <c r="AE140" i="1"/>
  <c r="DZ26" i="1"/>
  <c r="DM93" i="1"/>
  <c r="GM80" i="1"/>
  <c r="GO80" i="1" s="1"/>
  <c r="X131" i="1"/>
  <c r="CY131" i="1"/>
  <c r="Y131" i="1"/>
  <c r="CZ131" i="1"/>
  <c r="EV125" i="1"/>
  <c r="P165" i="1"/>
  <c r="DG96" i="3"/>
  <c r="DI96" i="3"/>
  <c r="DF96" i="3"/>
  <c r="DJ96" i="3" s="1"/>
  <c r="DH96" i="3"/>
  <c r="AS125" i="1"/>
  <c r="F157" i="1"/>
  <c r="DF113" i="3"/>
  <c r="DG113" i="3"/>
  <c r="DJ113" i="3" s="1"/>
  <c r="DH113" i="3"/>
  <c r="DI113" i="3"/>
  <c r="X186" i="1"/>
  <c r="Y186" i="1"/>
  <c r="CZ186" i="1"/>
  <c r="CY186" i="1"/>
  <c r="U140" i="1"/>
  <c r="AH125" i="1"/>
  <c r="X185" i="1"/>
  <c r="GM185" i="1" s="1"/>
  <c r="GO185" i="1" s="1"/>
  <c r="CY185" i="1"/>
  <c r="CZ185" i="1"/>
  <c r="Y185" i="1"/>
  <c r="AZ172" i="1"/>
  <c r="F204" i="1"/>
  <c r="EI125" i="1"/>
  <c r="P150" i="1"/>
  <c r="Y183" i="1"/>
  <c r="CZ183" i="1"/>
  <c r="X183" i="1"/>
  <c r="GM183" i="1" s="1"/>
  <c r="GO183" i="1" s="1"/>
  <c r="CY183" i="1"/>
  <c r="DX193" i="1"/>
  <c r="CZ188" i="1"/>
  <c r="X188" i="1"/>
  <c r="GM188" i="1" s="1"/>
  <c r="GO188" i="1" s="1"/>
  <c r="Y188" i="1"/>
  <c r="CY188" i="1"/>
  <c r="AO172" i="1"/>
  <c r="F197" i="1"/>
  <c r="ES140" i="1"/>
  <c r="GB125" i="1"/>
  <c r="AP172" i="1"/>
  <c r="F202" i="1"/>
  <c r="GA172" i="1"/>
  <c r="ER193" i="1"/>
  <c r="EG172" i="1"/>
  <c r="P197" i="1"/>
  <c r="EK172" i="1"/>
  <c r="P210" i="1"/>
  <c r="DY172" i="1"/>
  <c r="DL193" i="1"/>
  <c r="DO172" i="1"/>
  <c r="P217" i="1"/>
  <c r="AK93" i="1"/>
  <c r="DI126" i="3"/>
  <c r="DF126" i="3"/>
  <c r="DJ126" i="3" s="1"/>
  <c r="DG126" i="3"/>
  <c r="DH126" i="3"/>
  <c r="DG25" i="3"/>
  <c r="DH25" i="3"/>
  <c r="DF25" i="3"/>
  <c r="DI25" i="3"/>
  <c r="DJ25" i="3" s="1"/>
  <c r="DH95" i="3"/>
  <c r="DI95" i="3"/>
  <c r="DF95" i="3"/>
  <c r="DG95" i="3"/>
  <c r="DJ95" i="3" s="1"/>
  <c r="DF90" i="3"/>
  <c r="DG90" i="3"/>
  <c r="DH90" i="3"/>
  <c r="DI90" i="3"/>
  <c r="DJ90" i="3" s="1"/>
  <c r="DF111" i="3"/>
  <c r="DG111" i="3"/>
  <c r="DH111" i="3"/>
  <c r="DI111" i="3"/>
  <c r="DJ111" i="3" s="1"/>
  <c r="DI122" i="3"/>
  <c r="DF122" i="3"/>
  <c r="DJ122" i="3" s="1"/>
  <c r="DG122" i="3"/>
  <c r="DH122" i="3"/>
  <c r="DF105" i="3"/>
  <c r="DJ105" i="3" s="1"/>
  <c r="DG105" i="3"/>
  <c r="DH105" i="3"/>
  <c r="DI105" i="3"/>
  <c r="X29" i="1"/>
  <c r="CY29" i="1"/>
  <c r="Y29" i="1"/>
  <c r="CZ29" i="1"/>
  <c r="DX93" i="1"/>
  <c r="DF121" i="3"/>
  <c r="DG121" i="3"/>
  <c r="DJ121" i="3" s="1"/>
  <c r="DH121" i="3"/>
  <c r="DI121" i="3"/>
  <c r="GM30" i="1"/>
  <c r="GO30" i="1" s="1"/>
  <c r="DF109" i="3"/>
  <c r="DJ109" i="3" s="1"/>
  <c r="DG109" i="3"/>
  <c r="DH109" i="3"/>
  <c r="DI109" i="3"/>
  <c r="CP29" i="1"/>
  <c r="O29" i="1" s="1"/>
  <c r="GM33" i="1"/>
  <c r="GO33" i="1" s="1"/>
  <c r="GM36" i="1"/>
  <c r="GO36" i="1" s="1"/>
  <c r="CP46" i="1"/>
  <c r="O46" i="1" s="1"/>
  <c r="GM46" i="1" s="1"/>
  <c r="GO46" i="1" s="1"/>
  <c r="FR53" i="1"/>
  <c r="FQ93" i="1" s="1"/>
  <c r="CP53" i="1"/>
  <c r="O53" i="1" s="1"/>
  <c r="GM53" i="1" s="1"/>
  <c r="X73" i="1"/>
  <c r="GM73" i="1" s="1"/>
  <c r="GO73" i="1" s="1"/>
  <c r="CY73" i="1"/>
  <c r="Y73" i="1"/>
  <c r="CZ73" i="1"/>
  <c r="EV26" i="1"/>
  <c r="P118" i="1"/>
  <c r="EV223" i="1"/>
  <c r="GM62" i="1"/>
  <c r="GO62" i="1" s="1"/>
  <c r="X77" i="1"/>
  <c r="GM77" i="1" s="1"/>
  <c r="GO77" i="1" s="1"/>
  <c r="CY77" i="1"/>
  <c r="Y77" i="1"/>
  <c r="CZ77" i="1"/>
  <c r="X79" i="1"/>
  <c r="GM79" i="1" s="1"/>
  <c r="GO79" i="1" s="1"/>
  <c r="CY79" i="1"/>
  <c r="Y79" i="1"/>
  <c r="CZ79" i="1"/>
  <c r="X84" i="1"/>
  <c r="GM84" i="1" s="1"/>
  <c r="GO84" i="1" s="1"/>
  <c r="CY84" i="1"/>
  <c r="Y84" i="1"/>
  <c r="AL93" i="1" s="1"/>
  <c r="CZ84" i="1"/>
  <c r="X89" i="1"/>
  <c r="GM89" i="1" s="1"/>
  <c r="GO89" i="1" s="1"/>
  <c r="CY89" i="1"/>
  <c r="Y89" i="1"/>
  <c r="CZ89" i="1"/>
  <c r="BC26" i="1"/>
  <c r="F109" i="1"/>
  <c r="BC223" i="1"/>
  <c r="ET26" i="1"/>
  <c r="P106" i="1"/>
  <c r="ET223" i="1"/>
  <c r="Y61" i="1"/>
  <c r="CZ61" i="1"/>
  <c r="X61" i="1"/>
  <c r="GM61" i="1" s="1"/>
  <c r="GO61" i="1" s="1"/>
  <c r="CY61" i="1"/>
  <c r="Y63" i="1"/>
  <c r="CZ63" i="1"/>
  <c r="X63" i="1"/>
  <c r="GM63" i="1" s="1"/>
  <c r="GO63" i="1" s="1"/>
  <c r="CY63" i="1"/>
  <c r="EM26" i="1"/>
  <c r="P112" i="1"/>
  <c r="EM223" i="1"/>
  <c r="DF83" i="3"/>
  <c r="DJ83" i="3" s="1"/>
  <c r="DI83" i="3"/>
  <c r="DG83" i="3"/>
  <c r="DH83" i="3"/>
  <c r="AQ125" i="1"/>
  <c r="F150" i="1"/>
  <c r="CP83" i="1"/>
  <c r="O83" i="1" s="1"/>
  <c r="GM83" i="1" s="1"/>
  <c r="GO83" i="1" s="1"/>
  <c r="AD140" i="1"/>
  <c r="DF81" i="3"/>
  <c r="DJ81" i="3" s="1"/>
  <c r="DI81" i="3"/>
  <c r="DG81" i="3"/>
  <c r="DH81" i="3"/>
  <c r="ET125" i="1"/>
  <c r="P153" i="1"/>
  <c r="FR134" i="1"/>
  <c r="FQ140" i="1" s="1"/>
  <c r="CP134" i="1"/>
  <c r="O134" i="1" s="1"/>
  <c r="GM134" i="1" s="1"/>
  <c r="DG102" i="3"/>
  <c r="DH102" i="3"/>
  <c r="DI102" i="3"/>
  <c r="DJ102" i="3" s="1"/>
  <c r="DF102" i="3"/>
  <c r="GM82" i="1"/>
  <c r="GO82" i="1" s="1"/>
  <c r="DW140" i="1"/>
  <c r="DF94" i="3"/>
  <c r="DG94" i="3"/>
  <c r="DJ94" i="3" s="1"/>
  <c r="DH94" i="3"/>
  <c r="DI94" i="3"/>
  <c r="AD193" i="1"/>
  <c r="EA125" i="1"/>
  <c r="DN140" i="1"/>
  <c r="X182" i="1"/>
  <c r="AK193" i="1" s="1"/>
  <c r="CY182" i="1"/>
  <c r="Y182" i="1"/>
  <c r="AL193" i="1" s="1"/>
  <c r="CZ182" i="1"/>
  <c r="AF193" i="1"/>
  <c r="DG116" i="3"/>
  <c r="DH116" i="3"/>
  <c r="DI116" i="3"/>
  <c r="DF116" i="3"/>
  <c r="DJ116" i="3" s="1"/>
  <c r="CP187" i="1"/>
  <c r="O187" i="1" s="1"/>
  <c r="GM187" i="1" s="1"/>
  <c r="GO187" i="1" s="1"/>
  <c r="BD172" i="1"/>
  <c r="F218" i="1"/>
  <c r="AJ125" i="1"/>
  <c r="W140" i="1"/>
  <c r="FY125" i="1"/>
  <c r="EP140" i="1"/>
  <c r="Q184" i="1"/>
  <c r="P184" i="1"/>
  <c r="CP184" i="1" s="1"/>
  <c r="O184" i="1" s="1"/>
  <c r="GM184" i="1" s="1"/>
  <c r="GO184" i="1" s="1"/>
  <c r="U184" i="1"/>
  <c r="AH193" i="1" s="1"/>
  <c r="R184" i="1"/>
  <c r="AE193" i="1" s="1"/>
  <c r="T184" i="1"/>
  <c r="AG193" i="1" s="1"/>
  <c r="AS172" i="1"/>
  <c r="F210" i="1"/>
  <c r="AI125" i="1"/>
  <c r="V140" i="1"/>
  <c r="DK140" i="1"/>
  <c r="DX125" i="1"/>
  <c r="P186" i="1"/>
  <c r="Q186" i="1"/>
  <c r="R186" i="1"/>
  <c r="GX186" i="1"/>
  <c r="BB172" i="1"/>
  <c r="F206" i="1"/>
  <c r="AQ172" i="1"/>
  <c r="F203" i="1"/>
  <c r="V184" i="1"/>
  <c r="AI193" i="1" s="1"/>
  <c r="EM172" i="1"/>
  <c r="P212" i="1"/>
  <c r="DU172" i="1"/>
  <c r="FZ193" i="1"/>
  <c r="DH193" i="1"/>
  <c r="FW193" i="1"/>
  <c r="FX193" i="1"/>
  <c r="AL172" i="1" l="1"/>
  <c r="Y193" i="1"/>
  <c r="AG172" i="1"/>
  <c r="T193" i="1"/>
  <c r="AL26" i="1"/>
  <c r="Y93" i="1"/>
  <c r="AI172" i="1"/>
  <c r="V193" i="1"/>
  <c r="AE172" i="1"/>
  <c r="R193" i="1"/>
  <c r="BY26" i="1"/>
  <c r="AP93" i="1"/>
  <c r="CI93" i="1"/>
  <c r="DK125" i="1"/>
  <c r="P155" i="1"/>
  <c r="FZ172" i="1"/>
  <c r="EQ193" i="1"/>
  <c r="EP125" i="1"/>
  <c r="P147" i="1"/>
  <c r="DN125" i="1"/>
  <c r="P163" i="1"/>
  <c r="ET22" i="1"/>
  <c r="ET253" i="1"/>
  <c r="P236" i="1"/>
  <c r="ES125" i="1"/>
  <c r="P160" i="1"/>
  <c r="S140" i="1"/>
  <c r="AF125" i="1"/>
  <c r="AL125" i="1"/>
  <c r="Y140" i="1"/>
  <c r="DQ140" i="1"/>
  <c r="ED125" i="1"/>
  <c r="AU22" i="1"/>
  <c r="AU253" i="1"/>
  <c r="F242" i="1"/>
  <c r="AC26" i="1"/>
  <c r="CH93" i="1"/>
  <c r="P93" i="1"/>
  <c r="CE93" i="1"/>
  <c r="CF93" i="1"/>
  <c r="CJ193" i="1"/>
  <c r="AC193" i="1"/>
  <c r="DN26" i="1"/>
  <c r="P116" i="1"/>
  <c r="DN223" i="1"/>
  <c r="AQ22" i="1"/>
  <c r="F233" i="1"/>
  <c r="AQ253" i="1"/>
  <c r="DV26" i="1"/>
  <c r="DI93" i="1"/>
  <c r="FU193" i="1"/>
  <c r="ES26" i="1"/>
  <c r="P113" i="1"/>
  <c r="ES223" i="1"/>
  <c r="P166" i="1"/>
  <c r="DP125" i="1"/>
  <c r="V26" i="1"/>
  <c r="F116" i="1"/>
  <c r="V223" i="1"/>
  <c r="GM131" i="1"/>
  <c r="GO131" i="1" s="1"/>
  <c r="DO26" i="1"/>
  <c r="P117" i="1"/>
  <c r="DO223" i="1"/>
  <c r="DU26" i="1"/>
  <c r="DH93" i="1"/>
  <c r="FW93" i="1"/>
  <c r="FX93" i="1"/>
  <c r="FZ93" i="1"/>
  <c r="ES172" i="1"/>
  <c r="P213" i="1"/>
  <c r="AD172" i="1"/>
  <c r="Q193" i="1"/>
  <c r="DH172" i="1"/>
  <c r="P196" i="1"/>
  <c r="V125" i="1"/>
  <c r="F163" i="1"/>
  <c r="AF172" i="1"/>
  <c r="S193" i="1"/>
  <c r="CP186" i="1"/>
  <c r="O186" i="1" s="1"/>
  <c r="GM186" i="1" s="1"/>
  <c r="GO186" i="1" s="1"/>
  <c r="FX172" i="1"/>
  <c r="EO193" i="1"/>
  <c r="AH172" i="1"/>
  <c r="U193" i="1"/>
  <c r="AD125" i="1"/>
  <c r="Q140" i="1"/>
  <c r="EM22" i="1"/>
  <c r="EM253" i="1"/>
  <c r="P242" i="1"/>
  <c r="DX26" i="1"/>
  <c r="DK93" i="1"/>
  <c r="EC93" i="1"/>
  <c r="DL172" i="1"/>
  <c r="P214" i="1"/>
  <c r="EC193" i="1"/>
  <c r="U125" i="1"/>
  <c r="F162" i="1"/>
  <c r="AE125" i="1"/>
  <c r="R140" i="1"/>
  <c r="R223" i="1" s="1"/>
  <c r="AK140" i="1"/>
  <c r="O140" i="1"/>
  <c r="AB125" i="1"/>
  <c r="EI22" i="1"/>
  <c r="P233" i="1"/>
  <c r="EI253" i="1"/>
  <c r="BD22" i="1"/>
  <c r="BD253" i="1"/>
  <c r="F248" i="1"/>
  <c r="GM28" i="1"/>
  <c r="AB93" i="1"/>
  <c r="EP172" i="1"/>
  <c r="P200" i="1"/>
  <c r="DO125" i="1"/>
  <c r="P164" i="1"/>
  <c r="DM125" i="1"/>
  <c r="P162" i="1"/>
  <c r="GM174" i="1"/>
  <c r="AB193" i="1"/>
  <c r="EK22" i="1"/>
  <c r="P240" i="1"/>
  <c r="E16" i="2" s="1"/>
  <c r="EK253" i="1"/>
  <c r="AF26" i="1"/>
  <c r="S93" i="1"/>
  <c r="T125" i="1"/>
  <c r="F161" i="1"/>
  <c r="AC125" i="1"/>
  <c r="CH140" i="1"/>
  <c r="P140" i="1"/>
  <c r="CE140" i="1"/>
  <c r="CF140" i="1"/>
  <c r="AO22" i="1"/>
  <c r="AO253" i="1"/>
  <c r="F227" i="1"/>
  <c r="EG22" i="1"/>
  <c r="P227" i="1"/>
  <c r="EG253" i="1"/>
  <c r="W125" i="1"/>
  <c r="F164" i="1"/>
  <c r="AK26" i="1"/>
  <c r="X93" i="1"/>
  <c r="DU125" i="1"/>
  <c r="FX140" i="1"/>
  <c r="FZ140" i="1"/>
  <c r="DH140" i="1"/>
  <c r="FW140" i="1"/>
  <c r="GO127" i="1"/>
  <c r="CC140" i="1" s="1"/>
  <c r="CA140" i="1"/>
  <c r="AX26" i="1"/>
  <c r="F100" i="1"/>
  <c r="AX223" i="1"/>
  <c r="GM182" i="1"/>
  <c r="GO182" i="1" s="1"/>
  <c r="BA26" i="1"/>
  <c r="F113" i="1"/>
  <c r="AS22" i="1"/>
  <c r="F240" i="1"/>
  <c r="T16" i="2" s="1"/>
  <c r="AS253" i="1"/>
  <c r="BB22" i="1"/>
  <c r="BB253" i="1"/>
  <c r="F236" i="1"/>
  <c r="DI172" i="1"/>
  <c r="P205" i="1"/>
  <c r="AX172" i="1"/>
  <c r="F200" i="1"/>
  <c r="DJ172" i="1"/>
  <c r="P207" i="1"/>
  <c r="T26" i="1"/>
  <c r="F114" i="1"/>
  <c r="T223" i="1"/>
  <c r="U26" i="1"/>
  <c r="F115" i="1"/>
  <c r="U223" i="1"/>
  <c r="EU22" i="1"/>
  <c r="P239" i="1"/>
  <c r="EU253" i="1"/>
  <c r="EP26" i="1"/>
  <c r="P100" i="1"/>
  <c r="EP223" i="1"/>
  <c r="R26" i="1"/>
  <c r="F107" i="1"/>
  <c r="W172" i="1"/>
  <c r="F217" i="1"/>
  <c r="W26" i="1"/>
  <c r="F117" i="1"/>
  <c r="W223" i="1"/>
  <c r="FW172" i="1"/>
  <c r="EN193" i="1"/>
  <c r="FQ125" i="1"/>
  <c r="EH140" i="1"/>
  <c r="GA140" i="1"/>
  <c r="AK172" i="1"/>
  <c r="X193" i="1"/>
  <c r="DW125" i="1"/>
  <c r="DJ140" i="1"/>
  <c r="BC22" i="1"/>
  <c r="F239" i="1"/>
  <c r="BC253" i="1"/>
  <c r="EV22" i="1"/>
  <c r="P248" i="1"/>
  <c r="EV253" i="1"/>
  <c r="FQ26" i="1"/>
  <c r="GA93" i="1"/>
  <c r="EH93" i="1"/>
  <c r="GM29" i="1"/>
  <c r="DT93" i="1"/>
  <c r="ED93" i="1"/>
  <c r="ER172" i="1"/>
  <c r="P204" i="1"/>
  <c r="DX172" i="1"/>
  <c r="DK193" i="1"/>
  <c r="ED193" i="1"/>
  <c r="DM26" i="1"/>
  <c r="P115" i="1"/>
  <c r="DM223" i="1"/>
  <c r="GM128" i="1"/>
  <c r="DT140" i="1"/>
  <c r="DL26" i="1"/>
  <c r="P114" i="1"/>
  <c r="DL223" i="1"/>
  <c r="AD26" i="1"/>
  <c r="Q93" i="1"/>
  <c r="DN172" i="1"/>
  <c r="P216" i="1"/>
  <c r="DT193" i="1"/>
  <c r="AX125" i="1"/>
  <c r="F147" i="1"/>
  <c r="DI140" i="1"/>
  <c r="DV125" i="1"/>
  <c r="DW26" i="1"/>
  <c r="DJ93" i="1"/>
  <c r="DL125" i="1"/>
  <c r="P161" i="1"/>
  <c r="FS193" i="1"/>
  <c r="BY125" i="1"/>
  <c r="CI140" i="1"/>
  <c r="AP140" i="1"/>
  <c r="R22" i="1" l="1"/>
  <c r="R253" i="1"/>
  <c r="F237" i="1"/>
  <c r="DT26" i="1"/>
  <c r="DG93" i="1"/>
  <c r="W22" i="1"/>
  <c r="F247" i="1"/>
  <c r="W253" i="1"/>
  <c r="EP22" i="1"/>
  <c r="P230" i="1"/>
  <c r="EP253" i="1"/>
  <c r="AX22" i="1"/>
  <c r="AX253" i="1"/>
  <c r="F230" i="1"/>
  <c r="AW140" i="1"/>
  <c r="CF125" i="1"/>
  <c r="AP125" i="1"/>
  <c r="F149" i="1"/>
  <c r="DT172" i="1"/>
  <c r="DG193" i="1"/>
  <c r="DT125" i="1"/>
  <c r="DG140" i="1"/>
  <c r="GO29" i="1"/>
  <c r="FU93" i="1" s="1"/>
  <c r="FS93" i="1"/>
  <c r="EV18" i="1"/>
  <c r="P278" i="1"/>
  <c r="X172" i="1"/>
  <c r="F219" i="1"/>
  <c r="T22" i="1"/>
  <c r="T253" i="1"/>
  <c r="F244" i="1"/>
  <c r="AS18" i="1"/>
  <c r="F270" i="1"/>
  <c r="FW125" i="1"/>
  <c r="EN140" i="1"/>
  <c r="CE125" i="1"/>
  <c r="AV140" i="1"/>
  <c r="EK18" i="1"/>
  <c r="P270" i="1"/>
  <c r="GO174" i="1"/>
  <c r="CC193" i="1" s="1"/>
  <c r="CA193" i="1"/>
  <c r="GO28" i="1"/>
  <c r="CC93" i="1" s="1"/>
  <c r="CA93" i="1"/>
  <c r="EI18" i="1"/>
  <c r="P263" i="1"/>
  <c r="O125" i="1"/>
  <c r="F142" i="1"/>
  <c r="Q172" i="1"/>
  <c r="F205" i="1"/>
  <c r="FZ26" i="1"/>
  <c r="EQ93" i="1"/>
  <c r="AQ18" i="1"/>
  <c r="F263" i="1"/>
  <c r="CF26" i="1"/>
  <c r="AW93" i="1"/>
  <c r="AP26" i="1"/>
  <c r="F102" i="1"/>
  <c r="AP223" i="1"/>
  <c r="V172" i="1"/>
  <c r="F216" i="1"/>
  <c r="T172" i="1"/>
  <c r="F214" i="1"/>
  <c r="ED172" i="1"/>
  <c r="DQ193" i="1"/>
  <c r="EH26" i="1"/>
  <c r="P102" i="1"/>
  <c r="EH223" i="1"/>
  <c r="EN172" i="1"/>
  <c r="P198" i="1"/>
  <c r="U22" i="1"/>
  <c r="U253" i="1"/>
  <c r="F245" i="1"/>
  <c r="DH125" i="1"/>
  <c r="P143" i="1"/>
  <c r="X26" i="1"/>
  <c r="F119" i="1"/>
  <c r="X223" i="1"/>
  <c r="EG18" i="1"/>
  <c r="P257" i="1"/>
  <c r="AO18" i="1"/>
  <c r="F257" i="1"/>
  <c r="P125" i="1"/>
  <c r="F143" i="1"/>
  <c r="AK125" i="1"/>
  <c r="X140" i="1"/>
  <c r="EC26" i="1"/>
  <c r="DP93" i="1"/>
  <c r="EM18" i="1"/>
  <c r="P272" i="1"/>
  <c r="U172" i="1"/>
  <c r="F215" i="1"/>
  <c r="FX26" i="1"/>
  <c r="EO93" i="1"/>
  <c r="DO22" i="1"/>
  <c r="P247" i="1"/>
  <c r="DO253" i="1"/>
  <c r="V22" i="1"/>
  <c r="F246" i="1"/>
  <c r="V253" i="1"/>
  <c r="FU172" i="1"/>
  <c r="EL193" i="1"/>
  <c r="CE26" i="1"/>
  <c r="AV93" i="1"/>
  <c r="DQ125" i="1"/>
  <c r="P167" i="1"/>
  <c r="S125" i="1"/>
  <c r="F155" i="1"/>
  <c r="ET18" i="1"/>
  <c r="P266" i="1"/>
  <c r="DI125" i="1"/>
  <c r="P152" i="1"/>
  <c r="DL22" i="1"/>
  <c r="P244" i="1"/>
  <c r="DL253" i="1"/>
  <c r="GO128" i="1"/>
  <c r="FU140" i="1" s="1"/>
  <c r="FS140" i="1"/>
  <c r="DJ26" i="1"/>
  <c r="P107" i="1"/>
  <c r="DJ223" i="1"/>
  <c r="DM22" i="1"/>
  <c r="P245" i="1"/>
  <c r="DM253" i="1"/>
  <c r="DK172" i="1"/>
  <c r="P208" i="1"/>
  <c r="ED26" i="1"/>
  <c r="DQ93" i="1"/>
  <c r="GA26" i="1"/>
  <c r="ER93" i="1"/>
  <c r="P154" i="1"/>
  <c r="DJ125" i="1"/>
  <c r="GA125" i="1"/>
  <c r="ER140" i="1"/>
  <c r="EU18" i="1"/>
  <c r="P269" i="1"/>
  <c r="BB18" i="1"/>
  <c r="F266" i="1"/>
  <c r="CA125" i="1"/>
  <c r="AR140" i="1"/>
  <c r="FZ125" i="1"/>
  <c r="EQ140" i="1"/>
  <c r="CH125" i="1"/>
  <c r="AY140" i="1"/>
  <c r="S26" i="1"/>
  <c r="F108" i="1"/>
  <c r="S223" i="1"/>
  <c r="BD18" i="1"/>
  <c r="F278" i="1"/>
  <c r="R125" i="1"/>
  <c r="F154" i="1"/>
  <c r="EC172" i="1"/>
  <c r="DP193" i="1"/>
  <c r="DK26" i="1"/>
  <c r="P108" i="1"/>
  <c r="DK223" i="1"/>
  <c r="S172" i="1"/>
  <c r="F208" i="1"/>
  <c r="FW26" i="1"/>
  <c r="EN93" i="1"/>
  <c r="ES22" i="1"/>
  <c r="P243" i="1"/>
  <c r="H16" i="2" s="1"/>
  <c r="ES253" i="1"/>
  <c r="DI26" i="1"/>
  <c r="P105" i="1"/>
  <c r="DI223" i="1"/>
  <c r="AC172" i="1"/>
  <c r="CH193" i="1"/>
  <c r="P193" i="1"/>
  <c r="P223" i="1" s="1"/>
  <c r="CE193" i="1"/>
  <c r="CF193" i="1"/>
  <c r="P26" i="1"/>
  <c r="F96" i="1"/>
  <c r="AU18" i="1"/>
  <c r="F272" i="1"/>
  <c r="Y125" i="1"/>
  <c r="F167" i="1"/>
  <c r="R172" i="1"/>
  <c r="F207" i="1"/>
  <c r="Y26" i="1"/>
  <c r="F120" i="1"/>
  <c r="Y223" i="1"/>
  <c r="Y172" i="1"/>
  <c r="F220" i="1"/>
  <c r="CI125" i="1"/>
  <c r="AZ140" i="1"/>
  <c r="FS172" i="1"/>
  <c r="EJ193" i="1"/>
  <c r="Q26" i="1"/>
  <c r="F105" i="1"/>
  <c r="Q223" i="1"/>
  <c r="BC18" i="1"/>
  <c r="F269" i="1"/>
  <c r="EH125" i="1"/>
  <c r="P149" i="1"/>
  <c r="CC125" i="1"/>
  <c r="AT140" i="1"/>
  <c r="FX125" i="1"/>
  <c r="EO140" i="1"/>
  <c r="AB172" i="1"/>
  <c r="O193" i="1"/>
  <c r="AB26" i="1"/>
  <c r="O93" i="1"/>
  <c r="Q125" i="1"/>
  <c r="F152" i="1"/>
  <c r="EO172" i="1"/>
  <c r="P199" i="1"/>
  <c r="DH26" i="1"/>
  <c r="P96" i="1"/>
  <c r="DH223" i="1"/>
  <c r="DN22" i="1"/>
  <c r="DN253" i="1"/>
  <c r="P246" i="1"/>
  <c r="CJ172" i="1"/>
  <c r="BA193" i="1"/>
  <c r="CH26" i="1"/>
  <c r="AY93" i="1"/>
  <c r="EQ172" i="1"/>
  <c r="P201" i="1"/>
  <c r="CI26" i="1"/>
  <c r="AZ93" i="1"/>
  <c r="P22" i="1" l="1"/>
  <c r="F226" i="1"/>
  <c r="P253" i="1"/>
  <c r="CE172" i="1"/>
  <c r="AV193" i="1"/>
  <c r="DI22" i="1"/>
  <c r="DI253" i="1"/>
  <c r="P235" i="1"/>
  <c r="EQ125" i="1"/>
  <c r="P148" i="1"/>
  <c r="ER125" i="1"/>
  <c r="P151" i="1"/>
  <c r="ER26" i="1"/>
  <c r="P104" i="1"/>
  <c r="ER223" i="1"/>
  <c r="FS125" i="1"/>
  <c r="EJ140" i="1"/>
  <c r="EL172" i="1"/>
  <c r="P211" i="1"/>
  <c r="EO26" i="1"/>
  <c r="P99" i="1"/>
  <c r="EO223" i="1"/>
  <c r="F166" i="1"/>
  <c r="X125" i="1"/>
  <c r="U18" i="1"/>
  <c r="F275" i="1"/>
  <c r="EH22" i="1"/>
  <c r="EH253" i="1"/>
  <c r="P232" i="1"/>
  <c r="G16" i="2" s="1"/>
  <c r="AW26" i="1"/>
  <c r="F99" i="1"/>
  <c r="EQ26" i="1"/>
  <c r="P101" i="1"/>
  <c r="EQ223" i="1"/>
  <c r="CC172" i="1"/>
  <c r="AT193" i="1"/>
  <c r="FS26" i="1"/>
  <c r="EJ93" i="1"/>
  <c r="DG172" i="1"/>
  <c r="P195" i="1"/>
  <c r="W18" i="1"/>
  <c r="F277" i="1"/>
  <c r="AZ26" i="1"/>
  <c r="F104" i="1"/>
  <c r="AZ223" i="1"/>
  <c r="DN18" i="1"/>
  <c r="P276" i="1"/>
  <c r="DJ22" i="1"/>
  <c r="P237" i="1"/>
  <c r="DJ253" i="1"/>
  <c r="FU125" i="1"/>
  <c r="EL140" i="1"/>
  <c r="DO18" i="1"/>
  <c r="P277" i="1"/>
  <c r="X22" i="1"/>
  <c r="F249" i="1"/>
  <c r="X253" i="1"/>
  <c r="AP22" i="1"/>
  <c r="AP253" i="1"/>
  <c r="F232" i="1"/>
  <c r="V16" i="2" s="1"/>
  <c r="CA26" i="1"/>
  <c r="AR93" i="1"/>
  <c r="EN125" i="1"/>
  <c r="P145" i="1"/>
  <c r="FU26" i="1"/>
  <c r="EL93" i="1"/>
  <c r="AW125" i="1"/>
  <c r="F146" i="1"/>
  <c r="EP18" i="1"/>
  <c r="P260" i="1"/>
  <c r="AY26" i="1"/>
  <c r="F101" i="1"/>
  <c r="AY223" i="1"/>
  <c r="O172" i="1"/>
  <c r="F195" i="1"/>
  <c r="DP172" i="1"/>
  <c r="P219" i="1"/>
  <c r="BA172" i="1"/>
  <c r="F213" i="1"/>
  <c r="BA223" i="1"/>
  <c r="O26" i="1"/>
  <c r="F95" i="1"/>
  <c r="O223" i="1"/>
  <c r="EN26" i="1"/>
  <c r="P98" i="1"/>
  <c r="EN223" i="1"/>
  <c r="AY125" i="1"/>
  <c r="F148" i="1"/>
  <c r="DL18" i="1"/>
  <c r="P274" i="1"/>
  <c r="AV26" i="1"/>
  <c r="F98" i="1"/>
  <c r="V18" i="1"/>
  <c r="F276" i="1"/>
  <c r="DP26" i="1"/>
  <c r="P119" i="1"/>
  <c r="DP223" i="1"/>
  <c r="CC26" i="1"/>
  <c r="AT93" i="1"/>
  <c r="T18" i="1"/>
  <c r="F274" i="1"/>
  <c r="DG125" i="1"/>
  <c r="P142" i="1"/>
  <c r="R18" i="1"/>
  <c r="F267" i="1"/>
  <c r="F158" i="1"/>
  <c r="AT125" i="1"/>
  <c r="EJ172" i="1"/>
  <c r="P221" i="1"/>
  <c r="P172" i="1"/>
  <c r="F196" i="1"/>
  <c r="EO125" i="1"/>
  <c r="P146" i="1"/>
  <c r="Q22" i="1"/>
  <c r="F235" i="1"/>
  <c r="Q253" i="1"/>
  <c r="CH172" i="1"/>
  <c r="AY193" i="1"/>
  <c r="DK22" i="1"/>
  <c r="P238" i="1"/>
  <c r="J16" i="2" s="1"/>
  <c r="DK253" i="1"/>
  <c r="F168" i="1"/>
  <c r="AR125" i="1"/>
  <c r="DQ26" i="1"/>
  <c r="P120" i="1"/>
  <c r="DQ223" i="1"/>
  <c r="DM18" i="1"/>
  <c r="P275" i="1"/>
  <c r="DH22" i="1"/>
  <c r="P226" i="1"/>
  <c r="DH253" i="1"/>
  <c r="AZ125" i="1"/>
  <c r="F151" i="1"/>
  <c r="Y22" i="1"/>
  <c r="Y253" i="1"/>
  <c r="F250" i="1"/>
  <c r="CF172" i="1"/>
  <c r="AW193" i="1"/>
  <c r="ES18" i="1"/>
  <c r="P273" i="1"/>
  <c r="S22" i="1"/>
  <c r="S253" i="1"/>
  <c r="F238" i="1"/>
  <c r="Y16" i="2" s="1"/>
  <c r="DQ172" i="1"/>
  <c r="P220" i="1"/>
  <c r="CA172" i="1"/>
  <c r="AR193" i="1"/>
  <c r="F145" i="1"/>
  <c r="AV125" i="1"/>
  <c r="AX18" i="1"/>
  <c r="F260" i="1"/>
  <c r="DG26" i="1"/>
  <c r="P95" i="1"/>
  <c r="DG223" i="1"/>
  <c r="P158" i="1" l="1"/>
  <c r="EL125" i="1"/>
  <c r="AT172" i="1"/>
  <c r="F211" i="1"/>
  <c r="P168" i="1"/>
  <c r="EJ125" i="1"/>
  <c r="AV172" i="1"/>
  <c r="F198" i="1"/>
  <c r="DG22" i="1"/>
  <c r="P225" i="1"/>
  <c r="DG253" i="1"/>
  <c r="S18" i="1"/>
  <c r="F268" i="1"/>
  <c r="AW172" i="1"/>
  <c r="F199" i="1"/>
  <c r="DQ22" i="1"/>
  <c r="P250" i="1"/>
  <c r="DQ253" i="1"/>
  <c r="AY172" i="1"/>
  <c r="F201" i="1"/>
  <c r="O22" i="1"/>
  <c r="F225" i="1"/>
  <c r="O253" i="1"/>
  <c r="AP18" i="1"/>
  <c r="F262" i="1"/>
  <c r="AW223" i="1"/>
  <c r="EH18" i="1"/>
  <c r="P262" i="1"/>
  <c r="Y18" i="1"/>
  <c r="F280" i="1"/>
  <c r="DK18" i="1"/>
  <c r="P268" i="1"/>
  <c r="DP22" i="1"/>
  <c r="DP253" i="1"/>
  <c r="P249" i="1"/>
  <c r="EN22" i="1"/>
  <c r="P228" i="1"/>
  <c r="EN253" i="1"/>
  <c r="EL26" i="1"/>
  <c r="P111" i="1"/>
  <c r="EL223" i="1"/>
  <c r="AR26" i="1"/>
  <c r="F121" i="1"/>
  <c r="AR223" i="1"/>
  <c r="DJ18" i="1"/>
  <c r="P267" i="1"/>
  <c r="EJ26" i="1"/>
  <c r="P121" i="1"/>
  <c r="EJ223" i="1"/>
  <c r="EQ22" i="1"/>
  <c r="P231" i="1"/>
  <c r="EQ253" i="1"/>
  <c r="ER22" i="1"/>
  <c r="ER253" i="1"/>
  <c r="P234" i="1"/>
  <c r="DI18" i="1"/>
  <c r="P265" i="1"/>
  <c r="P18" i="1"/>
  <c r="F256" i="1"/>
  <c r="AR172" i="1"/>
  <c r="F221" i="1"/>
  <c r="DH18" i="1"/>
  <c r="P256" i="1"/>
  <c r="BA22" i="1"/>
  <c r="F243" i="1"/>
  <c r="W16" i="2" s="1"/>
  <c r="BA253" i="1"/>
  <c r="Q18" i="1"/>
  <c r="F265" i="1"/>
  <c r="AV223" i="1"/>
  <c r="AY22" i="1"/>
  <c r="F231" i="1"/>
  <c r="AY253" i="1"/>
  <c r="X18" i="1"/>
  <c r="F279" i="1"/>
  <c r="AZ22" i="1"/>
  <c r="AZ253" i="1"/>
  <c r="F234" i="1"/>
  <c r="EO22" i="1"/>
  <c r="P229" i="1"/>
  <c r="EO253" i="1"/>
  <c r="AT26" i="1"/>
  <c r="F111" i="1"/>
  <c r="AT223" i="1"/>
  <c r="DP18" i="1" l="1"/>
  <c r="P279" i="1"/>
  <c r="EO18" i="1"/>
  <c r="P259" i="1"/>
  <c r="AZ18" i="1"/>
  <c r="F264" i="1"/>
  <c r="AY18" i="1"/>
  <c r="F261" i="1"/>
  <c r="EQ18" i="1"/>
  <c r="P261" i="1"/>
  <c r="AR22" i="1"/>
  <c r="AR253" i="1"/>
  <c r="F251" i="1"/>
  <c r="ER18" i="1"/>
  <c r="P264" i="1"/>
  <c r="DQ18" i="1"/>
  <c r="P280" i="1"/>
  <c r="AV22" i="1"/>
  <c r="AV253" i="1"/>
  <c r="F228" i="1"/>
  <c r="AT22" i="1"/>
  <c r="F241" i="1"/>
  <c r="U16" i="2" s="1"/>
  <c r="X16" i="2" s="1"/>
  <c r="AC16" i="2" s="1"/>
  <c r="AT253" i="1"/>
  <c r="O18" i="1"/>
  <c r="F255" i="1"/>
  <c r="DG18" i="1"/>
  <c r="P255" i="1"/>
  <c r="BA18" i="1"/>
  <c r="F273" i="1"/>
  <c r="EN18" i="1"/>
  <c r="P258" i="1"/>
  <c r="AW22" i="1"/>
  <c r="F229" i="1"/>
  <c r="AW253" i="1"/>
  <c r="EJ22" i="1"/>
  <c r="EJ253" i="1"/>
  <c r="P251" i="1"/>
  <c r="EL22" i="1"/>
  <c r="P241" i="1"/>
  <c r="F16" i="2" s="1"/>
  <c r="I16" i="2" s="1"/>
  <c r="N16" i="2" s="1"/>
  <c r="EL253" i="1"/>
  <c r="EL18" i="1" l="1"/>
  <c r="P271" i="1"/>
  <c r="EJ18" i="1"/>
  <c r="P281" i="1"/>
  <c r="AR18" i="1"/>
  <c r="F281" i="1"/>
  <c r="AW18" i="1"/>
  <c r="F259" i="1"/>
  <c r="AT18" i="1"/>
  <c r="F271" i="1"/>
  <c r="AV18" i="1"/>
  <c r="F258" i="1"/>
</calcChain>
</file>

<file path=xl/sharedStrings.xml><?xml version="1.0" encoding="utf-8"?>
<sst xmlns="http://schemas.openxmlformats.org/spreadsheetml/2006/main" count="8470" uniqueCount="446">
  <si>
    <t>Smeta.RU  (495) 974-1589</t>
  </si>
  <si>
    <t>_PS_</t>
  </si>
  <si>
    <t>Smeta.RU</t>
  </si>
  <si>
    <t/>
  </si>
  <si>
    <t>Капитальный ремонт здания Государственного бюджетного общеобразовательного учреждения города Москвы "Школа №236"  по адресу: г. Москва, улица Клязьминская, дом 7, корпус 4</t>
  </si>
  <si>
    <t>02-01-09 СОУЭ</t>
  </si>
  <si>
    <t>2024-00272-010-ИОС5.2</t>
  </si>
  <si>
    <t>Соколова И.Н.</t>
  </si>
  <si>
    <t>Сметные нормы списания</t>
  </si>
  <si>
    <t>Коды ОКП для ТСН-2001 МГЭ Дополнение 80</t>
  </si>
  <si>
    <t>Типовой расчет для ТСН-2001 МГЭ, Дополнение 80, строительство  (1)</t>
  </si>
  <si>
    <t>Территориальные сметные нормативы для Москвы ТСН-2001 (МГЭ), дополнение 80</t>
  </si>
  <si>
    <t>Поправки для ТСН-2001 от 28.11.2025 г. доп.79</t>
  </si>
  <si>
    <t>Территориальные сметные нормативы для Москвы (ТСН-2001)</t>
  </si>
  <si>
    <t>ТЕР</t>
  </si>
  <si>
    <t>02-01-09</t>
  </si>
  <si>
    <t>Система оповещения управления эвакуацией</t>
  </si>
  <si>
    <t>2024-00272-01-0-ИОС5.2</t>
  </si>
  <si>
    <t>Оборудование</t>
  </si>
  <si>
    <t>1</t>
  </si>
  <si>
    <t>4.10-118-1</t>
  </si>
  <si>
    <t>Установка для трубных проводок шкафа напольного размерами до 600х600 мм</t>
  </si>
  <si>
    <t>1  ШТ.</t>
  </si>
  <si>
    <t>ТСН-2001.4 Доп. 79, Сб. 10, т. 118, поз. 1</t>
  </si>
  <si>
    <t>*1</t>
  </si>
  <si>
    <t>*1,1</t>
  </si>
  <si>
    <t>Монтаж оборудования</t>
  </si>
  <si>
    <t>ТСН-2001.4-10. Прокладка и монтаж сетей связи</t>
  </si>
  <si>
    <t>ТСН-2001.4-10-1</t>
  </si>
  <si>
    <t>Поправка: Гл.12.Прил.8.п.8. 5_12.00.01.11.003</t>
  </si>
  <si>
    <t>2</t>
  </si>
  <si>
    <t>КА-1</t>
  </si>
  <si>
    <t>Шкаф настенный LINEA W 18U 600x600 мм дверь стекло RAL9005 LWR5-18U66-GF</t>
  </si>
  <si>
    <t>шт.</t>
  </si>
  <si>
    <t>[22 698,04 / 1,2 /  9,88] +  2% Заг.скл</t>
  </si>
  <si>
    <t>0</t>
  </si>
  <si>
    <t>3</t>
  </si>
  <si>
    <t>4.10-170-2</t>
  </si>
  <si>
    <t>Монтаж блока информационно-управляющего (БИУ) в диспетчерской</t>
  </si>
  <si>
    <t>ТСН-2001.4 Доп. 67, Сб. 10, т. 170, поз. 2</t>
  </si>
  <si>
    <t>4</t>
  </si>
  <si>
    <t>КА-2</t>
  </si>
  <si>
    <t>Прибор управления оповещением пожарной Sonar SPM, мощность850 Вт, 20 зон/20 линий оповещения, прием сигнала от ОПС по АЛС, установка в стойку Sonar SPM-C20085-AR</t>
  </si>
  <si>
    <t>Сметная стоимость оборудования</t>
  </si>
  <si>
    <t>ТСН-2001.13. Сметная стоимость оборудования</t>
  </si>
  <si>
    <t>ТСН-2001.13</t>
  </si>
  <si>
    <t>[283 140 / 1,2 /  7,66] +  3% Трансп +  1,2% Заг.скл</t>
  </si>
  <si>
    <t>1,2</t>
  </si>
  <si>
    <t>5</t>
  </si>
  <si>
    <t>4.11-12-1</t>
  </si>
  <si>
    <t>Установка съемных и выдвижных блоков (модулей, ячеек, ТЭЗ) массой до 5 кг</t>
  </si>
  <si>
    <t>ТСН-2001.4 Доп. 68, Сб. 11, т. 12, поз. 1</t>
  </si>
  <si>
    <t>ТСН-2001.4-11. Приборы и средства автоматизации и вычислительной техники</t>
  </si>
  <si>
    <t>ТСН-2001.4-11-1</t>
  </si>
  <si>
    <t>6</t>
  </si>
  <si>
    <t>КА-3</t>
  </si>
  <si>
    <t>Конвертер DAP-IP для объединения приборов Sonar SPM  в сеть Ethernet Sonar SNCA-8002</t>
  </si>
  <si>
    <t>[60 500 / 1,2 /  7,66] +  3% Трансп +  1,2% Заг.скл</t>
  </si>
  <si>
    <t>7</t>
  </si>
  <si>
    <t>8</t>
  </si>
  <si>
    <t>КА-4</t>
  </si>
  <si>
    <t>Комплект программируемого таймера Sonar STM-1004+GPS-2500 комплект</t>
  </si>
  <si>
    <t>[70 564 / 1,2 /  7,66] +  3% Трансп +  1,2% Заг.скл</t>
  </si>
  <si>
    <t>9</t>
  </si>
  <si>
    <t>4.11-3-1</t>
  </si>
  <si>
    <t>Установка прибора массой до 5 кг на металлоконструкциях или щитах</t>
  </si>
  <si>
    <t>ТСН-2001.4 Доп. 67, Сб. 11, т. 3, поз. 1</t>
  </si>
  <si>
    <t>9,1</t>
  </si>
  <si>
    <t>1.1-1-8146</t>
  </si>
  <si>
    <t>Болты стальные оцинкованные с шестигранной головкой, с полной резьбой, с гайкой оцинкованной, М6, длина от 12 до 60 мм</t>
  </si>
  <si>
    <t>кг</t>
  </si>
  <si>
    <t>ТСН-2001.1 Доп. 79, Р. 1, о. 1, поз. 8146</t>
  </si>
  <si>
    <t>10</t>
  </si>
  <si>
    <t>КА-5</t>
  </si>
  <si>
    <t>Силовой блок рапределения питания по стойке оповещения, максимальный ток 50А Sonar RDIP-50A</t>
  </si>
  <si>
    <t>[26 547 / 1,2 /  7,66] +  3% Трансп +  1,2% Заг.скл</t>
  </si>
  <si>
    <t>11</t>
  </si>
  <si>
    <t>4.10-167-1</t>
  </si>
  <si>
    <t>Монтаж блока питания сети (БПС) в диспетчерской</t>
  </si>
  <si>
    <t>ТСН-2001.4 Доп. 69, Сб. 10, т. 167, поз. 1</t>
  </si>
  <si>
    <t>12</t>
  </si>
  <si>
    <t>КА-6</t>
  </si>
  <si>
    <t>Зарядное устройство Sonar SBC-3250</t>
  </si>
  <si>
    <t>[49 701 / 1,2 /  7,66] +  3% Трансп +  1,2% Заг.скл</t>
  </si>
  <si>
    <t>13</t>
  </si>
  <si>
    <t>13,1</t>
  </si>
  <si>
    <t>14</t>
  </si>
  <si>
    <t>КА-7</t>
  </si>
  <si>
    <t>Блок АКБ 24В. Заменяемые АКБ 12В, 5Ач, количество элементов в корпусе - 10 шт. Sonar SBB-2425</t>
  </si>
  <si>
    <t>[49 500 / 1,2 /  7,66] +  3% Трансп +  1,2% Заг.скл</t>
  </si>
  <si>
    <t>15</t>
  </si>
  <si>
    <t>15,1</t>
  </si>
  <si>
    <t>16</t>
  </si>
  <si>
    <t>КА-8</t>
  </si>
  <si>
    <t>Блок АКБ 24В. Заменяемые АКБ 12В, 5Ач, количество элементов в корпусе - 18 шт. Sonar SBB-2450</t>
  </si>
  <si>
    <t>[77 000 / 1,2 /  7,66] +  3% Трансп +  1,2% Заг.скл</t>
  </si>
  <si>
    <t>17</t>
  </si>
  <si>
    <t>4.10-80-13</t>
  </si>
  <si>
    <t>Аппараты приемные, устройства промежуточные на 1 луч</t>
  </si>
  <si>
    <t>ТСН-2001.4. Доп. 1-42. Сб. 10, т. 80, поз. 13</t>
  </si>
  <si>
    <t>18</t>
  </si>
  <si>
    <t>КА-9</t>
  </si>
  <si>
    <t>Изолятор шлейфа ИЗ-1-R3</t>
  </si>
  <si>
    <t>[681 / 1,2 /  7,66] +  3% Трансп +  1,2% Заг.скл</t>
  </si>
  <si>
    <t>19</t>
  </si>
  <si>
    <t>19,1</t>
  </si>
  <si>
    <t>20</t>
  </si>
  <si>
    <t>КА-10</t>
  </si>
  <si>
    <t>Кабельный органайзер 10" 1U 4 кольца для шкафа 10" серии LINEA WS  черный CO05-1M4R-LWS</t>
  </si>
  <si>
    <t>Материалы</t>
  </si>
  <si>
    <t>Материалы, изделия и конструкции</t>
  </si>
  <si>
    <t>[516 / 1,2 /  9,88] +  2% Заг.скл</t>
  </si>
  <si>
    <t>21</t>
  </si>
  <si>
    <t>21,1</t>
  </si>
  <si>
    <t>22</t>
  </si>
  <si>
    <t>КА-11</t>
  </si>
  <si>
    <t>Панель 19" с DIN-рейкой регулируемая по глубине STK-RACKMNT-704KA</t>
  </si>
  <si>
    <t>[3 562 / 1,2 /  9,88] +  2% Заг.скл</t>
  </si>
  <si>
    <t>23</t>
  </si>
  <si>
    <t>23,1</t>
  </si>
  <si>
    <t>24</t>
  </si>
  <si>
    <t>КА-12</t>
  </si>
  <si>
    <t>Шина заземления 483х25х3 мм медь ШМТ М1 12 точек подключения М6 ER-12-325-M1</t>
  </si>
  <si>
    <t>[1 816,1 / 1,2 /  9,88] +  2% Заг.скл</t>
  </si>
  <si>
    <t>25</t>
  </si>
  <si>
    <t>КА-13</t>
  </si>
  <si>
    <t>Коннектор powerCON (in) Sonar SPC-20B</t>
  </si>
  <si>
    <t>[3 493 / 1,2 /  9,88] +  2% Заг.скл</t>
  </si>
  <si>
    <t>26</t>
  </si>
  <si>
    <t>КА-14</t>
  </si>
  <si>
    <t>Аккумулятор 12В, 5А*ч Delta</t>
  </si>
  <si>
    <t>[2 033 / 1,2 /  7,66] +  3% Трансп +  1,2% Заг.скл</t>
  </si>
  <si>
    <t>ПЗ</t>
  </si>
  <si>
    <t>Прямые затраты</t>
  </si>
  <si>
    <t>СтМатОб</t>
  </si>
  <si>
    <t>Стоимость материальных ресурсов (всего)</t>
  </si>
  <si>
    <t>СтМатОбЗак</t>
  </si>
  <si>
    <t>Стоимость материалов и оборудования заказчика</t>
  </si>
  <si>
    <t>СтМатОбПод</t>
  </si>
  <si>
    <t>Стоимость материалов и оборудования подрядчика</t>
  </si>
  <si>
    <t>СтМат</t>
  </si>
  <si>
    <t>Стоимость материалов (всего)</t>
  </si>
  <si>
    <t>СтМатЗак</t>
  </si>
  <si>
    <t>Стоимость материалов заказчика</t>
  </si>
  <si>
    <t>СтМатПод</t>
  </si>
  <si>
    <t>Стоимость материалов подрядчика</t>
  </si>
  <si>
    <t>Оборуд</t>
  </si>
  <si>
    <t>Стоимость оборудования (всего)</t>
  </si>
  <si>
    <t>ОборудЗак</t>
  </si>
  <si>
    <t>Стоимость оборудования заказчика</t>
  </si>
  <si>
    <t>ОборудПод</t>
  </si>
  <si>
    <t>Стоимость оборудования подрядчика</t>
  </si>
  <si>
    <t>ЭММ</t>
  </si>
  <si>
    <t>Эксплуатация машин</t>
  </si>
  <si>
    <t>ЭММсНРиСП</t>
  </si>
  <si>
    <t>Эксплуатация машин по ТСН-2001.16</t>
  </si>
  <si>
    <t>ЗПМ</t>
  </si>
  <si>
    <t>ЗП машинистов</t>
  </si>
  <si>
    <t>ОЗП</t>
  </si>
  <si>
    <t>Основная ЗП рабочих</t>
  </si>
  <si>
    <t>ОЗПсНРиСП</t>
  </si>
  <si>
    <t>Основная ЗП рабочих по ТСН-2001.16</t>
  </si>
  <si>
    <t>Строит</t>
  </si>
  <si>
    <t>Строительные работы с НР и СП</t>
  </si>
  <si>
    <t>Монтаж</t>
  </si>
  <si>
    <t>Монтажные работы с НР и СП</t>
  </si>
  <si>
    <t>Прочие</t>
  </si>
  <si>
    <t>Прочие работы с НР и СП</t>
  </si>
  <si>
    <t>ПрочиеЗатр</t>
  </si>
  <si>
    <t>Прочие затраты по ТСН-2001.16</t>
  </si>
  <si>
    <t>ВозврМат</t>
  </si>
  <si>
    <t>Возврат материалов</t>
  </si>
  <si>
    <t>ТрудСтр</t>
  </si>
  <si>
    <t>Трудозатраты строителей</t>
  </si>
  <si>
    <t>ТрудМаш</t>
  </si>
  <si>
    <t>Трудозатраты машинистов</t>
  </si>
  <si>
    <t>ТранспМат</t>
  </si>
  <si>
    <t>Транспорт материалов</t>
  </si>
  <si>
    <t>Перевозка</t>
  </si>
  <si>
    <t>Перевозка грузов</t>
  </si>
  <si>
    <t>НР</t>
  </si>
  <si>
    <t>Накладные расходы</t>
  </si>
  <si>
    <t>СмПриб</t>
  </si>
  <si>
    <t>Сметная прибыль</t>
  </si>
  <si>
    <t>Всего</t>
  </si>
  <si>
    <t>Всего с НР и СП</t>
  </si>
  <si>
    <t>Оборудование оповещения</t>
  </si>
  <si>
    <t>27</t>
  </si>
  <si>
    <t>4.10-76-7</t>
  </si>
  <si>
    <t>Монтаж громкоговорителя или звуковой колонки в помещении</t>
  </si>
  <si>
    <t>ТСН-2001.4 Доп. 67, Сб. 10, т. 76, поз. 7</t>
  </si>
  <si>
    <t>ТСН-2001.4-10. Монтаж радиотелевизионного и электронного оборудования</t>
  </si>
  <si>
    <t>ТСН-2001.4-10-2</t>
  </si>
  <si>
    <t>28</t>
  </si>
  <si>
    <t>КА-15</t>
  </si>
  <si>
    <t>Громкоговоритель трансляционный настенный, 100В, мощность 6/3/1,5Вт Sonar SWS-106-103</t>
  </si>
  <si>
    <t>[2 695 / 1,2 /  7,66] +  3% Трансп +  1,2% Заг.скл</t>
  </si>
  <si>
    <t>29</t>
  </si>
  <si>
    <t>4.10-118-12</t>
  </si>
  <si>
    <t>Установка для трубных проводок коробки оконечной</t>
  </si>
  <si>
    <t>100 шт.</t>
  </si>
  <si>
    <t>ТСН-2001.4 Доп. 79, Сб. 10, т. 118, поз. 12</t>
  </si>
  <si>
    <t>30</t>
  </si>
  <si>
    <t>КА-16</t>
  </si>
  <si>
    <t>Фильтр оконечный для трансляционной линии при контроле линии переменным током Sonar SFT-2300-M</t>
  </si>
  <si>
    <t>[5 238 / 1,2 /  7,66] +  3% Трансп +  1,2% Заг.скл</t>
  </si>
  <si>
    <t>31</t>
  </si>
  <si>
    <t>4.10-151-4</t>
  </si>
  <si>
    <t>Установка пульта или табло вызывной сигнализации с количеством сигналов до 20</t>
  </si>
  <si>
    <t>ТСН-2001.4 Доп. 68, Сб. 10, т. 151, поз. 4</t>
  </si>
  <si>
    <t>32</t>
  </si>
  <si>
    <t>КА-17</t>
  </si>
  <si>
    <t>Пульт микрофонный Sonar SRM-7020C</t>
  </si>
  <si>
    <t>[35 393 / 1,2 /  7,66] +  3% Трансп +  1,2% Заг.скл</t>
  </si>
  <si>
    <t>Кабельные изделия</t>
  </si>
  <si>
    <t>33</t>
  </si>
  <si>
    <t>4.10-185-3</t>
  </si>
  <si>
    <t>Прокладка кабеля связи огнестойкого в трубах гофрированных с использованием скобы СМО: по бетонным поверхностям</t>
  </si>
  <si>
    <t>100 м</t>
  </si>
  <si>
    <t>ТСН-2001.4 Доп. 80, Сб. 10, т. 185, поз. 3</t>
  </si>
  <si>
    <t>33,1</t>
  </si>
  <si>
    <t>1.12-5-372</t>
  </si>
  <si>
    <t>Трубы электротехнические, гофрированные, из ПВХ, негорючие, с зондом, наружный диаметр 20 мм</t>
  </si>
  <si>
    <t>м</t>
  </si>
  <si>
    <t>ТСН-2001.1 Доп. 67, Р. 12, о. 5, поз. 372</t>
  </si>
  <si>
    <t>33,2</t>
  </si>
  <si>
    <t>1.21-5-1469</t>
  </si>
  <si>
    <t>Скоба однолапковая стальная оцинкованная, для кабелей диаметром от 19 до 20 мм</t>
  </si>
  <si>
    <t>1000 шт.</t>
  </si>
  <si>
    <t>ТСН-2001.1 Доп. 79, Р. 21, о. 5, поз. 1469</t>
  </si>
  <si>
    <t>33,3</t>
  </si>
  <si>
    <t>КА-18</t>
  </si>
  <si>
    <t>Кабель Лоутокс 20нг(А)-FRLSLTx 1x2x1,5</t>
  </si>
  <si>
    <t>км</t>
  </si>
  <si>
    <t>[142 130 / 1,2 /  9,88] +  2% Заг.скл</t>
  </si>
  <si>
    <t>34</t>
  </si>
  <si>
    <t>Поправка: О.П. п.3.4.30.в</t>
  </si>
  <si>
    <t>34,1</t>
  </si>
  <si>
    <t>34,2</t>
  </si>
  <si>
    <t>35</t>
  </si>
  <si>
    <t>КА-19</t>
  </si>
  <si>
    <t>Кабель ParLan U/UTP Cat5e PVCLSнг(А)-FRLSLTx 4x2x0,52</t>
  </si>
  <si>
    <t>ТСН-2001.4-8. Электротехнические установки</t>
  </si>
  <si>
    <t>ТСН-2001.4-8-1</t>
  </si>
  <si>
    <t>[129 040 / 1,2 /  9,88] +  2% Заг.скл</t>
  </si>
  <si>
    <t>36</t>
  </si>
  <si>
    <t>1.1-1-8069</t>
  </si>
  <si>
    <t>ТСН-2001.1 Доп. 79, Р. 1, о. 1, поз. 8069</t>
  </si>
  <si>
    <t>Материалы строительные</t>
  </si>
  <si>
    <t>ТСН-2001.1 Материалы строительные</t>
  </si>
  <si>
    <t>ТСН-2001.1-1</t>
  </si>
  <si>
    <t>ОБ_ПР</t>
  </si>
  <si>
    <t>Объект производственного назначения</t>
  </si>
  <si>
    <t>ОБ_НПР</t>
  </si>
  <si>
    <t>Объект непроизводственного назначения</t>
  </si>
  <si>
    <t>3.27_АВТО</t>
  </si>
  <si>
    <t>{вкл} - НР и СП по п.18.1 "Автомобильные дороги"  {выкл} - НР и СП по п.18.2 "Устройство покрытий дорожек, тротуаров, мостовых и площадок и прочее"  3.27 Табл. 3.27-121, расценки 3.27-26-1...4</t>
  </si>
  <si>
    <t>3.29_ЗАКР</t>
  </si>
  <si>
    <t>{вкл} - Тоннели и метрополитены: закрытый способ работ  {выкл} - Тоннели и метрополитены: открытый способ работ  3.29 Отдел 1.5; табл. 3.29-1905...1906</t>
  </si>
  <si>
    <t>4.10_МЕЖГ</t>
  </si>
  <si>
    <t>{вкл} - Прокладка и монтаж междугородных линий связи  {выкл} - Прокладка и монтаж сетей связи  4.10 Раздел 1.7.3...1.7.5</t>
  </si>
  <si>
    <t>Текущий уровень цен</t>
  </si>
  <si>
    <t>Сборник индексов</t>
  </si>
  <si>
    <t>Коэффициенты к ТСН-2001 МГЭ Дополнение 80, строительство</t>
  </si>
  <si>
    <t>217/80</t>
  </si>
  <si>
    <t>Коэффициенты к ТСН-2001.13-2 Дополнение 46</t>
  </si>
  <si>
    <t>62/46</t>
  </si>
  <si>
    <t>Базовый уровень цен</t>
  </si>
  <si>
    <t>_OBSM_</t>
  </si>
  <si>
    <t>9999990008</t>
  </si>
  <si>
    <t>Трудозатраты рабочих</t>
  </si>
  <si>
    <t>чел.-ч.</t>
  </si>
  <si>
    <t>2.1-18-9</t>
  </si>
  <si>
    <t>ТСН-2001.2. Доп. 68. п.1-18-9 (183003)</t>
  </si>
  <si>
    <t>Автомобили грузовые бортовые, грузоподъемность до 8 т</t>
  </si>
  <si>
    <t>маш.-ч</t>
  </si>
  <si>
    <t>9999990009</t>
  </si>
  <si>
    <t>1.1-1-1583</t>
  </si>
  <si>
    <t>ТСН-2001.1 Доп. 79, Р. 1, о. 1, поз. 1583</t>
  </si>
  <si>
    <t>Эмаль эпоксидная, белая или цветная, типа ЭП-140</t>
  </si>
  <si>
    <t>1.1-1-2622</t>
  </si>
  <si>
    <t>ТСН-2001.1 Доп. 79, Р. 1, о. 1, поз. 2622</t>
  </si>
  <si>
    <t>Болты строительные с шестигранной головкой, М8</t>
  </si>
  <si>
    <t>т</t>
  </si>
  <si>
    <t>1.1-1-3654</t>
  </si>
  <si>
    <t>ТСН-2001.1 Доп. 79, Р. 1, о. 1, поз. 3654</t>
  </si>
  <si>
    <t>Гайки шестигранные стальные, М8</t>
  </si>
  <si>
    <t>1.1-1-3655</t>
  </si>
  <si>
    <t>ТСН-2001.1 Доп. 79, Р. 1, о. 1, поз. 3655</t>
  </si>
  <si>
    <t>Шайбы стальные, М8</t>
  </si>
  <si>
    <t>9999990002</t>
  </si>
  <si>
    <t>Масса оборудования</t>
  </si>
  <si>
    <t>1.1-1-2628</t>
  </si>
  <si>
    <t>ТСН-2001.1 Доп. 79, Р. 1, о. 1, поз. 2628</t>
  </si>
  <si>
    <t>Винты самонарезающие, оцинкованные, для металла, диаметр 4 мм, длина 35 мм</t>
  </si>
  <si>
    <t>1.1-1-945</t>
  </si>
  <si>
    <t>ТСН-2001.1 Доп. 79, Р. 1, о. 1, поз. 945</t>
  </si>
  <si>
    <t>Припой оловянно-свинцовый, в прутках, диаметр 8 мм, типа ПОС-40</t>
  </si>
  <si>
    <t>1.7-3-112</t>
  </si>
  <si>
    <t>ТСН-2001.1 Доп. 67, Р. 7, о. 3, поз. 112</t>
  </si>
  <si>
    <t>Сверло спиральное HSS, для сверления алюминия, нержавеющей стали, углеродистой стали и чугуна, диаметр 4 мм, длина 75 мм</t>
  </si>
  <si>
    <t>2.1-18-7</t>
  </si>
  <si>
    <t>ТСН-2001.2. Доп. 68. п.1-18-7 (183001)</t>
  </si>
  <si>
    <t>Автомобили грузовые бортовые, грузоподъемность до 5 т</t>
  </si>
  <si>
    <t>2.1-30-102</t>
  </si>
  <si>
    <t>ТСН-2001.2. Доп. 68. п.1-30-102 (303704)</t>
  </si>
  <si>
    <t>Дрели, мощность до 800 Вт</t>
  </si>
  <si>
    <t>2.1-30-56</t>
  </si>
  <si>
    <t>ТСН-2001.2. Доп. 68. п.1-30-56 (309101)</t>
  </si>
  <si>
    <t>Шуруповерты</t>
  </si>
  <si>
    <t>1.1-1-1502</t>
  </si>
  <si>
    <t>ТСН-2001.1 Доп. 79, Р. 1, о. 1, поз. 1502</t>
  </si>
  <si>
    <t>Шурупы с потайной головкой, черные, диаметр 8 мм, длина 100 мм</t>
  </si>
  <si>
    <t>1.21-5-1229</t>
  </si>
  <si>
    <t>ТСН-2001.1 Доп. 67, Р. 21, о. 5, поз. 1229</t>
  </si>
  <si>
    <t>Лента электроизоляционная, термостойкая, ширина 26 мм, толщина от 0,5 до 0,8 мм, типа ЛЭТСАР</t>
  </si>
  <si>
    <t>1.23-13-260</t>
  </si>
  <si>
    <t>ТСН-2001.1 Доп. 79, Р. 23, о. 13, поз. 260</t>
  </si>
  <si>
    <t>Провод силовой с медной жилой, марка ПРТО, напряжение 660 В, число жил и сечение 1х1,5 мм2</t>
  </si>
  <si>
    <t>1.1-1-1092</t>
  </si>
  <si>
    <t>ТСН-2001.1 Доп. 79, Р. 1, о. 1, поз. 1092</t>
  </si>
  <si>
    <t>Полоса из стали углеродистой обыкновенного качества, спокойной</t>
  </si>
  <si>
    <t>1.1-1-3693</t>
  </si>
  <si>
    <t>ТСН-2001.1 Доп. 80, Р. 1, о. 1, поз. 3693</t>
  </si>
  <si>
    <t>Дюбель распорный пластмассовый, диаметр 6 мм, длина 40 мм</t>
  </si>
  <si>
    <t>1.1-1-238</t>
  </si>
  <si>
    <t>ТСН-2001.1 Доп. 80, Р. 1, о. 1, поз. 238</t>
  </si>
  <si>
    <t>Дюбель пластмассовый</t>
  </si>
  <si>
    <t>2.1-30-10</t>
  </si>
  <si>
    <t>ТСН-2001.2. Доп. 68. п.1-30-10 (304101)</t>
  </si>
  <si>
    <t>Перфораторы, мощность до 800 Вт</t>
  </si>
  <si>
    <t>1.21-5-1180</t>
  </si>
  <si>
    <t>ТСН-2001.1 Доп. 79, Р. 21, о. 5, поз. 1180</t>
  </si>
  <si>
    <t>Бирка маркировочная для кабелей и проводов, типа У134 У3,5</t>
  </si>
  <si>
    <t>1.21-5-926</t>
  </si>
  <si>
    <t>ТСН-2001.1 Доп. 67, Р. 21, о. 5, поз. 926</t>
  </si>
  <si>
    <t>Хомут (стяжка) кабельный из полиамида, размеры 3,6х200 мм</t>
  </si>
  <si>
    <t>1.7-3-122</t>
  </si>
  <si>
    <t>ТСН-2001.1 Доп. 79, Р. 7, о. 3, поз. 122</t>
  </si>
  <si>
    <t>Бур с наконечником из твердого сплава, с хвостовиком SDS-plus, диаметр 10 мм, длина 260 мм</t>
  </si>
  <si>
    <t>5296250000</t>
  </si>
  <si>
    <t>Шкафы напольные размерами до 600х600 мм</t>
  </si>
  <si>
    <t>4372420000</t>
  </si>
  <si>
    <t>Блоки информационно-управляющие (БИУ)</t>
  </si>
  <si>
    <t>4200000000</t>
  </si>
  <si>
    <t>Съемные и выдвижные блоки, ячейки, модули, типовые элементы замены (4300000000)</t>
  </si>
  <si>
    <t>1297020000</t>
  </si>
  <si>
    <t>Болты строительные с гайками и шайбами (1297030000, 1610000000, 1620000000, 1680000000)</t>
  </si>
  <si>
    <t>Приборы, устанавливаемые на металлоконструкциях или щитах</t>
  </si>
  <si>
    <t>4372900000</t>
  </si>
  <si>
    <t>Блоки питания сети (БПС)</t>
  </si>
  <si>
    <t>6652300000</t>
  </si>
  <si>
    <t>Громкоговорители, звуковые колонки</t>
  </si>
  <si>
    <t>5296220000</t>
  </si>
  <si>
    <t>Коробки оконечные</t>
  </si>
  <si>
    <t>6652000000</t>
  </si>
  <si>
    <t>Пульты или табло вызывной сигнализации</t>
  </si>
  <si>
    <t>2248200000</t>
  </si>
  <si>
    <t>Трубы электротехнические гофрированные (2248100000)</t>
  </si>
  <si>
    <t>3449953000</t>
  </si>
  <si>
    <t>Скобы для крепления кабеля</t>
  </si>
  <si>
    <t>3574000000</t>
  </si>
  <si>
    <t>Кабели связи огнестойкие</t>
  </si>
  <si>
    <t>5285920000</t>
  </si>
  <si>
    <t>Анкеры клиновые</t>
  </si>
  <si>
    <t>Гл.12.Прил.8.п.8. 5_12.00.01.11.003</t>
  </si>
  <si>
    <t>Глава 12</t>
  </si>
  <si>
    <t>О.П. п.3.4.30.в</t>
  </si>
  <si>
    <t>При наличии усложненных условий производства работ (стесненность, сложность складирования и транспортной логистики, наличие в зоне производства работ действующего технологического оборудования или движения технологического транспорта и т.п.) для объектов, расположенных за пределами территории круговой магистральной системы улиц "Садовое кольцо" и за пределами Третьего транспортного кольца города Москвы пунктов "а" и "б", но в пределах Московской кольцевой автомобильной дороги</t>
  </si>
  <si>
    <t>Поправка: Гл.12.Прил.8.п.8. 5_12.00.01.11.003
Наименование: При наличии усложненных условий производства работ (стесненность, сложность складирования и транспортной логистики, наличие в зоне производства работ действующего технологического оборудования или движения технологического транспорта и т.п.) для объектов, расположенных за пределами территории круговой магистральной системы улиц "Садовое кольцо" и за пределами Третьего транспортного кольца города Москвы пунктов "а" и "б", но в пределах Московской кольцевой автомобильной дороги</t>
  </si>
  <si>
    <t>При применении территориальных сметных нормативов для города Москвы затраты, учитывающие напряженные и стесненные условия производства работ (стесненность, сложность складирования и транспортной логистики и т.п.), исчисляются с применением коэффициентов к затратам труда и заработной плате рабочих, машинистов, времени эксплуатации машин и механизмов, стоимости эксплуатации машин в размере: для объектов, расположенных за пределами Третьего транспортного кольца города Москвы, но в пределах Московской кольцевой автомобильной дороги</t>
  </si>
  <si>
    <t>Поправка: О.П. п.3.4.30.в
Наименование: При применении территориальных сметных нормативов для города Москвы затраты, учитывающие напряженные и стесненные условия производства работ (стесненность, сложность складирования и транспортной логистики и т.п.), исчисляются с применением коэффициентов к затратам труда и заработной плате рабочих, машинистов, времени эксплуатации машин и механизмов, стоимости эксплуатации машин в размере: для объектов, расположенных за пределами Третьего транспортного кольца города Москвы, но в пределах Московской кольцевой автомобильной дороги</t>
  </si>
  <si>
    <t>Мастика огнезащитная, однокомпонентная, терморасширяющаяся, на основе водных дисперсий акрилатов и наполнителей, для механизированного и ручного нанесения, плотность от 1150 до 1350 кг/м3, расход 1,1 кг/м2, массовая доля нелетучих веществ 65%, для защиты от распространения горения по кабельным линиям</t>
  </si>
  <si>
    <t>(наименование стройки и/или объекта)</t>
  </si>
  <si>
    <t>(наименование работ и затрат)</t>
  </si>
  <si>
    <t>В
базисном
уровне
цен</t>
  </si>
  <si>
    <t>В
текущем
уровне
цен</t>
  </si>
  <si>
    <t>Сметная стоимость</t>
  </si>
  <si>
    <t>Строительные работы</t>
  </si>
  <si>
    <t>Работы по монтажу оборудования</t>
  </si>
  <si>
    <t>Прочие работы и затраты</t>
  </si>
  <si>
    <t>Средства на оплату труда</t>
  </si>
  <si>
    <t>Затраты труда</t>
  </si>
  <si>
    <t xml:space="preserve">Кроме того: </t>
  </si>
  <si>
    <t>№ п/п</t>
  </si>
  <si>
    <t>Шифр расценки и коды ресурсов</t>
  </si>
  <si>
    <t>Наименование работ и затрат</t>
  </si>
  <si>
    <t>Ед. изм.</t>
  </si>
  <si>
    <t>Кол-во
единиц</t>
  </si>
  <si>
    <t>Цена на
ед. изм.,
руб.</t>
  </si>
  <si>
    <t>Попра-
вочные
коэффи-
циенты</t>
  </si>
  <si>
    <t>Коэффи-
циенты
зимних
удорожа-
ний</t>
  </si>
  <si>
    <t>Коэффи-
циенты
(индек-
сы) пере-
счета,
нормы
НР и СП</t>
  </si>
  <si>
    <t>ВСЕГО
затрат в
текущем
уровне цен,
руб.</t>
  </si>
  <si>
    <t>Форма № 4б</t>
  </si>
  <si>
    <t>Капитальный ремонт здания Государственного бюджетного общеобразовательного учреждения города Москвы "Школа №236"  по адресу: г. Москва, улица Клязьминская, дом 7, корпус 4. 02-01-09 СОУЭ</t>
  </si>
  <si>
    <t>Составлен(а) по ТСН-2001 с учетом Дополнения №: 80</t>
  </si>
  <si>
    <t>№ и период сборника коэффициентов (индексов) пересчета: Коэффициенты к ТСН-2001 МГЭ Дополнение 80, строительство №217/80 III квартал 2025 года и Коэффициенты к ТСН-2001.13-2 Дополнение 46 №62/46 III квартал 2025 года</t>
  </si>
  <si>
    <t>Всего в
ценах на
январь 2000 года,
руб.</t>
  </si>
  <si>
    <t>ЗП</t>
  </si>
  <si>
    <t>1,1</t>
  </si>
  <si>
    <t>ЭМ</t>
  </si>
  <si>
    <t>в т.ч. ЗПМ</t>
  </si>
  <si>
    <t>МР</t>
  </si>
  <si>
    <t>НР от ФОТ</t>
  </si>
  <si>
    <t>%</t>
  </si>
  <si>
    <t>СП от ФОТ</t>
  </si>
  <si>
    <t>ЗТР</t>
  </si>
  <si>
    <t>чел-ч</t>
  </si>
  <si>
    <t>ВСЕГО работ по позиции:</t>
  </si>
  <si>
    <t>ВСЕГО оборудование по позиции:</t>
  </si>
  <si>
    <t>ВСЕГО по позиции:</t>
  </si>
  <si>
    <r>
      <t>Шкаф настенный LINEA W 18U 600x600 мм дверь стекло RAL9005 LWR5-18U66-GF</t>
    </r>
    <r>
      <rPr>
        <i/>
        <sz val="10"/>
        <rFont val="Arial"/>
        <family val="2"/>
        <charset val="204"/>
      </rPr>
      <t xml:space="preserve">
1 952,77 = [22 698,04 / 1,2 /  9,88] +  2% Заг.скл</t>
    </r>
  </si>
  <si>
    <r>
      <t>ОБОРУДОВАНИЕ:_x000D_
Прибор управления оповещением пожарной Sonar SPM, мощность850 Вт, 20 зон/20 линий оповещения, прием сигнала от ОПС по АЛС, установка в стойку Sonar SPM-C20085-AR</t>
    </r>
    <r>
      <rPr>
        <i/>
        <sz val="10"/>
        <color rgb="FF821E82"/>
        <rFont val="Arial"/>
        <family val="2"/>
        <charset val="204"/>
      </rPr>
      <t xml:space="preserve">
32 107,68 = [283 140 / 1,2 /  7,66] +  3% Трансп +  1,2% Заг.скл</t>
    </r>
  </si>
  <si>
    <r>
      <t>ОБОРУДОВАНИЕ:_x000D_
Конвертер DAP-IP для объединения приборов Sonar SPM  в сеть Ethernet Sonar SNCA-8002</t>
    </r>
    <r>
      <rPr>
        <i/>
        <sz val="10"/>
        <color rgb="FF821E82"/>
        <rFont val="Arial"/>
        <family val="2"/>
        <charset val="204"/>
      </rPr>
      <t xml:space="preserve">
6 860,61 = [60 500 / 1,2 /  7,66] +  3% Трансп +  1,2% Заг.скл</t>
    </r>
  </si>
  <si>
    <r>
      <t>ОБОРУДОВАНИЕ:_x000D_
Комплект программируемого таймера Sonar STM-1004+GPS-2500 комплект</t>
    </r>
    <r>
      <rPr>
        <i/>
        <sz val="10"/>
        <color rgb="FF821E82"/>
        <rFont val="Arial"/>
        <family val="2"/>
        <charset val="204"/>
      </rPr>
      <t xml:space="preserve">
8 001,86 = [70 564 / 1,2 /  7,66] +  3% Трансп +  1,2% Заг.скл</t>
    </r>
  </si>
  <si>
    <r>
      <t>ОБОРУДОВАНИЕ:_x000D_
Силовой блок рапределения питания по стойке оповещения, максимальный ток 50А Sonar RDIP-50A</t>
    </r>
    <r>
      <rPr>
        <i/>
        <sz val="10"/>
        <color rgb="FF821E82"/>
        <rFont val="Arial"/>
        <family val="2"/>
        <charset val="204"/>
      </rPr>
      <t xml:space="preserve">
3 010,39 = [26 547 / 1,2 /  7,66] +  3% Трансп +  1,2% Заг.скл</t>
    </r>
  </si>
  <si>
    <r>
      <t>ОБОРУДОВАНИЕ:_x000D_
Зарядное устройство Sonar SBC-3250</t>
    </r>
    <r>
      <rPr>
        <i/>
        <sz val="10"/>
        <color rgb="FF821E82"/>
        <rFont val="Arial"/>
        <family val="2"/>
        <charset val="204"/>
      </rPr>
      <t xml:space="preserve">
5 636,02 = [49 701 / 1,2 /  7,66] +  3% Трансп +  1,2% Заг.скл</t>
    </r>
  </si>
  <si>
    <r>
      <t>ОБОРУДОВАНИЕ:_x000D_
Блок АКБ 24В. Заменяемые АКБ 12В, 5Ач, количество элементов в корпусе - 10 шт. Sonar SBB-2425</t>
    </r>
    <r>
      <rPr>
        <i/>
        <sz val="10"/>
        <color rgb="FF821E82"/>
        <rFont val="Arial"/>
        <family val="2"/>
        <charset val="204"/>
      </rPr>
      <t xml:space="preserve">
5 613,23 = [49 500 / 1,2 /  7,66] +  3% Трансп +  1,2% Заг.скл</t>
    </r>
  </si>
  <si>
    <r>
      <t>ОБОРУДОВАНИЕ:_x000D_
Блок АКБ 24В. Заменяемые АКБ 12В, 5Ач, количество элементов в корпусе - 18 шт. Sonar SBB-2450</t>
    </r>
    <r>
      <rPr>
        <i/>
        <sz val="10"/>
        <color rgb="FF821E82"/>
        <rFont val="Arial"/>
        <family val="2"/>
        <charset val="204"/>
      </rPr>
      <t xml:space="preserve">
8 731,70 = [77 000 / 1,2 /  7,66] +  3% Трансп +  1,2% Заг.скл</t>
    </r>
  </si>
  <si>
    <r>
      <t>ОБОРУДОВАНИЕ:_x000D_
Изолятор шлейфа ИЗ-1-R3</t>
    </r>
    <r>
      <rPr>
        <i/>
        <sz val="10"/>
        <color rgb="FF821E82"/>
        <rFont val="Arial"/>
        <family val="2"/>
        <charset val="204"/>
      </rPr>
      <t xml:space="preserve">
77,23 = [681 / 1,2 /  7,66] +  3% Трансп +  1,2% Заг.скл</t>
    </r>
  </si>
  <si>
    <r>
      <t>Кабельный органайзер 10" 1U 4 кольца для шкафа 10" серии LINEA WS  черный CO05-1M4R-LWS</t>
    </r>
    <r>
      <rPr>
        <i/>
        <sz val="10"/>
        <rFont val="Arial"/>
        <family val="2"/>
        <charset val="204"/>
      </rPr>
      <t xml:space="preserve">
44,39 = [516 / 1,2 /  9,88] +  2% Заг.скл</t>
    </r>
  </si>
  <si>
    <r>
      <t>Панель 19" с DIN-рейкой регулируемая по глубине STK-RACKMNT-704KA</t>
    </r>
    <r>
      <rPr>
        <i/>
        <sz val="10"/>
        <rFont val="Arial"/>
        <family val="2"/>
        <charset val="204"/>
      </rPr>
      <t xml:space="preserve">
306,45 = [3 562 / 1,2 /  9,88] +  2% Заг.скл</t>
    </r>
  </si>
  <si>
    <r>
      <t>Шина заземления 483х25х3 мм медь ШМТ М1 12 точек подключения М6 ER-12-325-M1</t>
    </r>
    <r>
      <rPr>
        <i/>
        <sz val="10"/>
        <rFont val="Arial"/>
        <family val="2"/>
        <charset val="204"/>
      </rPr>
      <t xml:space="preserve">
156,24 = [1 816,1 / 1,2 /  9,88] +  2% Заг.скл</t>
    </r>
  </si>
  <si>
    <r>
      <t>Коннектор powerCON (in) Sonar SPC-20B</t>
    </r>
    <r>
      <rPr>
        <i/>
        <sz val="10"/>
        <rFont val="Arial"/>
        <family val="2"/>
        <charset val="204"/>
      </rPr>
      <t xml:space="preserve">
300,51 = [3 493 / 1,2 /  9,88] +  2% Заг.скл</t>
    </r>
  </si>
  <si>
    <r>
      <t>ОБОРУДОВАНИЕ:_x000D_
Аккумулятор 12В, 5А*ч Delta</t>
    </r>
    <r>
      <rPr>
        <i/>
        <sz val="10"/>
        <color rgb="FF821E82"/>
        <rFont val="Arial"/>
        <family val="2"/>
        <charset val="204"/>
      </rPr>
      <t xml:space="preserve">
230,54 = [2 033 / 1,2 /  7,66] +  3% Трансп +  1,2% Заг.скл</t>
    </r>
  </si>
  <si>
    <t xml:space="preserve">   Итого по ТСН-2001.16</t>
  </si>
  <si>
    <t xml:space="preserve">   Итого возвратных сумм</t>
  </si>
  <si>
    <r>
      <t>ОБОРУДОВАНИЕ:_x000D_
Громкоговоритель трансляционный настенный, 100В, мощность 6/3/1,5Вт Sonar SWS-106-103</t>
    </r>
    <r>
      <rPr>
        <i/>
        <sz val="10"/>
        <color rgb="FF821E82"/>
        <rFont val="Arial"/>
        <family val="2"/>
        <charset val="204"/>
      </rPr>
      <t xml:space="preserve">
305,61 = [2 695 / 1,2 /  7,66] +  3% Трансп +  1,2% Заг.скл</t>
    </r>
  </si>
  <si>
    <r>
      <t>ОБОРУДОВАНИЕ:_x000D_
Фильтр оконечный для трансляционной линии при контроле линии переменным током Sonar SFT-2300-M</t>
    </r>
    <r>
      <rPr>
        <i/>
        <sz val="10"/>
        <color rgb="FF821E82"/>
        <rFont val="Arial"/>
        <family val="2"/>
        <charset val="204"/>
      </rPr>
      <t xml:space="preserve">
593,98 = [5 238 / 1,2 /  7,66] +  3% Трансп +  1,2% Заг.скл</t>
    </r>
  </si>
  <si>
    <r>
      <t>ОБОРУДОВАНИЕ:_x000D_
Пульт микрофонный Sonar SRM-7020C</t>
    </r>
    <r>
      <rPr>
        <i/>
        <sz val="10"/>
        <color rgb="FF821E82"/>
        <rFont val="Arial"/>
        <family val="2"/>
        <charset val="204"/>
      </rPr>
      <t xml:space="preserve">
4 013,51 = [35 393 / 1,2 /  7,66] +  3% Трансп +  1,2% Заг.скл</t>
    </r>
  </si>
  <si>
    <r>
      <t>Кабель Лоутокс 20нг(А)-FRLSLTx 1x2x1,5</t>
    </r>
    <r>
      <rPr>
        <i/>
        <sz val="10"/>
        <rFont val="Arial"/>
        <family val="2"/>
        <charset val="204"/>
      </rPr>
      <t xml:space="preserve">
12 227,78 = [142 130 / 1,2 /  9,88] +  2% Заг.скл</t>
    </r>
  </si>
  <si>
    <r>
      <t>Кабель ParLan U/UTP Cat5e PVCLSнг(А)-FRLSLTx 4x2x0,52</t>
    </r>
    <r>
      <rPr>
        <i/>
        <sz val="10"/>
        <rFont val="Arial"/>
        <family val="2"/>
        <charset val="204"/>
      </rPr>
      <t xml:space="preserve">
11 101,62 = [129 040 / 1,2 /  9,88] +  2% Заг.скл</t>
    </r>
  </si>
  <si>
    <t xml:space="preserve"> тыс.руб.</t>
  </si>
  <si>
    <t xml:space="preserve">Составил   </t>
  </si>
  <si>
    <t>(должность, подпись, инициалы, фамилия)</t>
  </si>
  <si>
    <t xml:space="preserve">Проверил   </t>
  </si>
  <si>
    <t>№ в ЛСР</t>
  </si>
  <si>
    <t>Единица измерения</t>
  </si>
  <si>
    <t>Количество</t>
  </si>
  <si>
    <t>Ссылка на чертежи, спецификации</t>
  </si>
  <si>
    <t>Формула расчета, расчет объемов работ и расхода материалов</t>
  </si>
  <si>
    <t>Примечание</t>
  </si>
  <si>
    <t>Главный инженер проекта _________________</t>
  </si>
  <si>
    <t>Составил _________________</t>
  </si>
  <si>
    <t>Капитальный ремонт здания Государственного бюджетного общеобразовательного учреждения города Москвы "Школа №236"  по адресу: г. Москва, улица Клязьминская, дом 7, корпус 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</si>
</sst>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;[Red]\-\ #,##0.00"/>
  </numFmts>
  <fonts count="25" x14ac:knownFonts="1">
    <font>
      <sz val="10"/>
      <name val="Arial"/>
      <charset val="204"/>
    </font>
    <font>
      <b/>
      <sz val="10"/>
      <color indexed="12"/>
      <name val="Arial"/>
      <charset val="204"/>
    </font>
    <font>
      <sz val="10"/>
      <color indexed="18"/>
      <name val="Arial"/>
      <charset val="204"/>
    </font>
    <font>
      <b/>
      <sz val="10"/>
      <color indexed="16"/>
      <name val="Arial"/>
      <charset val="204"/>
    </font>
    <font>
      <b/>
      <sz val="10"/>
      <color indexed="20"/>
      <name val="Arial"/>
      <charset val="204"/>
    </font>
    <font>
      <b/>
      <sz val="10"/>
      <color indexed="17"/>
      <name val="Arial"/>
      <charset val="204"/>
    </font>
    <font>
      <sz val="10"/>
      <color indexed="17"/>
      <name val="Arial"/>
      <charset val="204"/>
    </font>
    <font>
      <sz val="10"/>
      <color indexed="12"/>
      <name val="Arial"/>
      <charset val="204"/>
    </font>
    <font>
      <sz val="10"/>
      <color indexed="14"/>
      <name val="Arial"/>
      <charset val="204"/>
    </font>
    <font>
      <sz val="10"/>
      <color indexed="16"/>
      <name val="Arial"/>
      <charset val="204"/>
    </font>
    <font>
      <sz val="10"/>
      <name val="Arial"/>
      <family val="2"/>
      <charset val="204"/>
    </font>
    <font>
      <sz val="9"/>
      <name val="Arial"/>
      <family val="2"/>
      <charset val="204"/>
    </font>
    <font>
      <sz val="11"/>
      <name val="Arial"/>
      <family val="2"/>
      <charset val="204"/>
    </font>
    <font>
      <b/>
      <sz val="12"/>
      <name val="Arial"/>
      <family val="2"/>
      <charset val="204"/>
    </font>
    <font>
      <sz val="12"/>
      <name val="Arial"/>
      <family val="2"/>
      <charset val="204"/>
    </font>
    <font>
      <b/>
      <sz val="14"/>
      <name val="Arial"/>
      <family val="2"/>
      <charset val="204"/>
    </font>
    <font>
      <b/>
      <sz val="11"/>
      <name val="Arial"/>
      <family val="2"/>
      <charset val="204"/>
    </font>
    <font>
      <b/>
      <sz val="13"/>
      <name val="Arial"/>
      <family val="2"/>
      <charset val="204"/>
    </font>
    <font>
      <i/>
      <sz val="11"/>
      <name val="Arial"/>
      <family val="2"/>
      <charset val="204"/>
    </font>
    <font>
      <i/>
      <sz val="10"/>
      <name val="Arial"/>
      <family val="2"/>
      <charset val="204"/>
    </font>
    <font>
      <sz val="11"/>
      <color rgb="FF821E82"/>
      <name val="Arial"/>
      <family val="2"/>
      <charset val="204"/>
    </font>
    <font>
      <i/>
      <sz val="11"/>
      <color rgb="FF821E82"/>
      <name val="Arial"/>
      <family val="2"/>
      <charset val="204"/>
    </font>
    <font>
      <i/>
      <sz val="10"/>
      <color rgb="FF821E82"/>
      <name val="Arial"/>
      <family val="2"/>
      <charset val="204"/>
    </font>
    <font>
      <sz val="10"/>
      <color rgb="FF821E82"/>
      <name val="Arial"/>
      <family val="2"/>
      <charset val="204"/>
    </font>
    <font>
      <b/>
      <sz val="11"/>
      <color rgb="FF821E82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0" fillId="0" borderId="0"/>
  </cellStyleXfs>
  <cellXfs count="82">
    <xf numFmtId="0" fontId="0" fillId="0" borderId="0" xfId="0"/>
    <xf numFmtId="0" fontId="1" fillId="0" borderId="0" xfId="0" applyFont="1"/>
    <xf numFmtId="0" fontId="2" fillId="0" borderId="0" xfId="0" applyFont="1" applyAlignment="1"/>
    <xf numFmtId="0" fontId="0" fillId="0" borderId="0" xfId="0" applyAlignme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" fillId="0" borderId="0" xfId="0" applyFont="1" applyAlignment="1"/>
    <xf numFmtId="0" fontId="3" fillId="0" borderId="0" xfId="0" applyFont="1" applyAlignment="1"/>
    <xf numFmtId="0" fontId="4" fillId="0" borderId="0" xfId="0" applyFont="1" applyAlignment="1"/>
    <xf numFmtId="0" fontId="5" fillId="0" borderId="0" xfId="0" applyFont="1" applyAlignment="1"/>
    <xf numFmtId="0" fontId="6" fillId="0" borderId="0" xfId="0" applyFont="1" applyAlignment="1"/>
    <xf numFmtId="0" fontId="11" fillId="0" borderId="0" xfId="0" applyFont="1"/>
    <xf numFmtId="0" fontId="12" fillId="0" borderId="0" xfId="0" applyFont="1"/>
    <xf numFmtId="0" fontId="12" fillId="0" borderId="0" xfId="0" applyFont="1" applyBorder="1" applyAlignment="1">
      <alignment horizontal="left" wrapText="1"/>
    </xf>
    <xf numFmtId="0" fontId="12" fillId="0" borderId="0" xfId="0" applyFont="1" applyAlignment="1">
      <alignment horizontal="center" vertical="center" wrapText="1"/>
    </xf>
    <xf numFmtId="164" fontId="16" fillId="0" borderId="0" xfId="0" applyNumberFormat="1" applyFont="1"/>
    <xf numFmtId="0" fontId="16" fillId="0" borderId="0" xfId="0" applyFont="1"/>
    <xf numFmtId="164" fontId="12" fillId="0" borderId="0" xfId="0" applyNumberFormat="1" applyFont="1"/>
    <xf numFmtId="0" fontId="12" fillId="0" borderId="0" xfId="0" applyFont="1" applyAlignment="1">
      <alignment horizontal="left"/>
    </xf>
    <xf numFmtId="0" fontId="12" fillId="0" borderId="3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wrapText="1"/>
    </xf>
    <xf numFmtId="0" fontId="12" fillId="0" borderId="1" xfId="0" applyFont="1" applyBorder="1" applyAlignment="1">
      <alignment horizontal="left" wrapText="1"/>
    </xf>
    <xf numFmtId="0" fontId="12" fillId="0" borderId="0" xfId="0" applyFont="1" applyAlignment="1">
      <alignment horizontal="left" vertical="top" wrapText="1"/>
    </xf>
    <xf numFmtId="0" fontId="12" fillId="0" borderId="0" xfId="0" applyFont="1" applyAlignment="1">
      <alignment horizontal="right" vertical="top"/>
    </xf>
    <xf numFmtId="0" fontId="18" fillId="0" borderId="0" xfId="0" applyFont="1" applyAlignment="1">
      <alignment horizontal="right" vertical="top" wrapText="1"/>
    </xf>
    <xf numFmtId="0" fontId="12" fillId="0" borderId="0" xfId="0" applyFont="1" applyAlignment="1">
      <alignment horizontal="right" vertical="top" wrapText="1"/>
    </xf>
    <xf numFmtId="164" fontId="12" fillId="0" borderId="0" xfId="0" applyNumberFormat="1" applyFont="1" applyAlignment="1">
      <alignment horizontal="right" vertical="top"/>
    </xf>
    <xf numFmtId="164" fontId="18" fillId="0" borderId="0" xfId="0" applyNumberFormat="1" applyFont="1" applyAlignment="1">
      <alignment horizontal="right" vertical="top"/>
    </xf>
    <xf numFmtId="0" fontId="12" fillId="0" borderId="1" xfId="0" applyFont="1" applyBorder="1" applyAlignment="1">
      <alignment horizontal="left" vertical="top" wrapText="1"/>
    </xf>
    <xf numFmtId="0" fontId="18" fillId="0" borderId="1" xfId="0" applyFont="1" applyBorder="1" applyAlignment="1">
      <alignment horizontal="right" vertical="top" wrapText="1"/>
    </xf>
    <xf numFmtId="0" fontId="12" fillId="0" borderId="1" xfId="0" applyFont="1" applyBorder="1" applyAlignment="1">
      <alignment horizontal="right" vertical="top"/>
    </xf>
    <xf numFmtId="164" fontId="12" fillId="0" borderId="1" xfId="0" applyNumberFormat="1" applyFont="1" applyBorder="1" applyAlignment="1">
      <alignment horizontal="right" vertical="top"/>
    </xf>
    <xf numFmtId="0" fontId="12" fillId="0" borderId="1" xfId="0" applyFont="1" applyBorder="1" applyAlignment="1">
      <alignment horizontal="right" vertical="top" wrapText="1"/>
    </xf>
    <xf numFmtId="0" fontId="16" fillId="0" borderId="0" xfId="0" applyFont="1" applyAlignment="1">
      <alignment vertical="top"/>
    </xf>
    <xf numFmtId="164" fontId="0" fillId="0" borderId="0" xfId="0" applyNumberFormat="1"/>
    <xf numFmtId="0" fontId="20" fillId="0" borderId="1" xfId="0" applyFont="1" applyBorder="1" applyAlignment="1">
      <alignment horizontal="left" vertical="top" wrapText="1"/>
    </xf>
    <xf numFmtId="0" fontId="21" fillId="0" borderId="1" xfId="0" applyFont="1" applyBorder="1" applyAlignment="1">
      <alignment horizontal="right" vertical="top" wrapText="1"/>
    </xf>
    <xf numFmtId="0" fontId="20" fillId="0" borderId="1" xfId="0" applyFont="1" applyBorder="1" applyAlignment="1">
      <alignment horizontal="right" vertical="top"/>
    </xf>
    <xf numFmtId="164" fontId="20" fillId="0" borderId="1" xfId="0" applyNumberFormat="1" applyFont="1" applyBorder="1" applyAlignment="1">
      <alignment horizontal="right" vertical="top"/>
    </xf>
    <xf numFmtId="0" fontId="20" fillId="0" borderId="1" xfId="0" applyFont="1" applyBorder="1" applyAlignment="1">
      <alignment horizontal="right" vertical="top" wrapText="1"/>
    </xf>
    <xf numFmtId="0" fontId="23" fillId="0" borderId="0" xfId="0" applyFont="1"/>
    <xf numFmtId="0" fontId="24" fillId="0" borderId="0" xfId="0" applyFont="1" applyAlignment="1">
      <alignment vertical="top"/>
    </xf>
    <xf numFmtId="0" fontId="12" fillId="0" borderId="0" xfId="0" quotePrefix="1" applyFont="1" applyAlignment="1">
      <alignment horizontal="right" vertical="top" wrapText="1"/>
    </xf>
    <xf numFmtId="0" fontId="10" fillId="0" borderId="0" xfId="0" applyFont="1" applyAlignment="1">
      <alignment vertical="top" wrapText="1"/>
    </xf>
    <xf numFmtId="0" fontId="0" fillId="0" borderId="1" xfId="0" applyBorder="1"/>
    <xf numFmtId="0" fontId="10" fillId="0" borderId="1" xfId="0" applyFont="1" applyBorder="1" applyAlignment="1">
      <alignment vertical="top" wrapText="1"/>
    </xf>
    <xf numFmtId="0" fontId="16" fillId="0" borderId="0" xfId="0" applyFont="1" applyAlignment="1">
      <alignment horizontal="left" wrapText="1"/>
    </xf>
    <xf numFmtId="0" fontId="12" fillId="0" borderId="1" xfId="0" applyFont="1" applyBorder="1"/>
    <xf numFmtId="0" fontId="12" fillId="0" borderId="3" xfId="0" applyFont="1" applyBorder="1" applyAlignment="1">
      <alignment horizontal="left" vertical="center" wrapText="1"/>
    </xf>
    <xf numFmtId="0" fontId="12" fillId="0" borderId="3" xfId="0" applyFont="1" applyBorder="1" applyAlignment="1">
      <alignment horizontal="center" vertical="center"/>
    </xf>
    <xf numFmtId="0" fontId="12" fillId="0" borderId="4" xfId="0" applyFont="1" applyBorder="1" applyAlignment="1">
      <alignment horizontal="left" vertical="center" wrapText="1"/>
    </xf>
    <xf numFmtId="0" fontId="12" fillId="0" borderId="4" xfId="0" applyFont="1" applyBorder="1" applyAlignment="1">
      <alignment horizontal="center" vertical="center"/>
    </xf>
    <xf numFmtId="0" fontId="16" fillId="0" borderId="0" xfId="0" applyFont="1" applyAlignment="1">
      <alignment horizontal="left"/>
    </xf>
    <xf numFmtId="0" fontId="16" fillId="0" borderId="0" xfId="0" applyFont="1" applyBorder="1"/>
    <xf numFmtId="0" fontId="16" fillId="0" borderId="0" xfId="0" applyFont="1" applyBorder="1" applyAlignment="1">
      <alignment horizontal="left"/>
    </xf>
    <xf numFmtId="0" fontId="12" fillId="0" borderId="0" xfId="0" applyFont="1" applyAlignment="1">
      <alignment horizontal="right" vertical="center"/>
    </xf>
    <xf numFmtId="0" fontId="12" fillId="0" borderId="0" xfId="0" applyFont="1" applyAlignment="1">
      <alignment horizontal="left"/>
    </xf>
    <xf numFmtId="0" fontId="11" fillId="0" borderId="2" xfId="0" applyFont="1" applyBorder="1" applyAlignment="1">
      <alignment horizontal="center"/>
    </xf>
    <xf numFmtId="0" fontId="16" fillId="0" borderId="0" xfId="0" applyFont="1" applyAlignment="1">
      <alignment horizontal="left" wrapText="1"/>
    </xf>
    <xf numFmtId="164" fontId="16" fillId="0" borderId="0" xfId="0" applyNumberFormat="1" applyFont="1" applyAlignment="1">
      <alignment horizontal="right" vertical="top"/>
    </xf>
    <xf numFmtId="0" fontId="16" fillId="0" borderId="0" xfId="0" applyFont="1" applyAlignment="1">
      <alignment horizontal="right" vertical="top"/>
    </xf>
    <xf numFmtId="164" fontId="16" fillId="0" borderId="2" xfId="0" applyNumberFormat="1" applyFont="1" applyBorder="1" applyAlignment="1">
      <alignment horizontal="right" vertical="top"/>
    </xf>
    <xf numFmtId="164" fontId="24" fillId="0" borderId="2" xfId="0" applyNumberFormat="1" applyFont="1" applyBorder="1" applyAlignment="1">
      <alignment horizontal="right" vertical="top"/>
    </xf>
    <xf numFmtId="0" fontId="17" fillId="0" borderId="0" xfId="0" applyFont="1" applyAlignment="1">
      <alignment horizontal="center" vertical="top" wrapText="1"/>
    </xf>
    <xf numFmtId="0" fontId="12" fillId="0" borderId="0" xfId="0" applyFont="1" applyFill="1" applyAlignment="1">
      <alignment horizontal="left"/>
    </xf>
    <xf numFmtId="0" fontId="12" fillId="0" borderId="0" xfId="1" applyFont="1" applyFill="1" applyAlignment="1">
      <alignment horizontal="left"/>
    </xf>
    <xf numFmtId="0" fontId="12" fillId="0" borderId="1" xfId="0" applyFont="1" applyBorder="1" applyAlignment="1">
      <alignment horizontal="left" wrapText="1"/>
    </xf>
    <xf numFmtId="0" fontId="12" fillId="0" borderId="0" xfId="0" applyFont="1" applyAlignment="1">
      <alignment horizontal="right"/>
    </xf>
    <xf numFmtId="0" fontId="16" fillId="0" borderId="0" xfId="0" applyFont="1" applyAlignment="1">
      <alignment horizontal="left"/>
    </xf>
    <xf numFmtId="0" fontId="13" fillId="0" borderId="1" xfId="0" applyFont="1" applyBorder="1" applyAlignment="1">
      <alignment horizontal="center" wrapText="1"/>
    </xf>
    <xf numFmtId="0" fontId="14" fillId="0" borderId="1" xfId="0" applyFont="1" applyBorder="1" applyAlignment="1">
      <alignment horizontal="center" wrapText="1"/>
    </xf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center" wrapText="1"/>
    </xf>
    <xf numFmtId="0" fontId="0" fillId="0" borderId="0" xfId="0" applyAlignment="1"/>
    <xf numFmtId="0" fontId="17" fillId="0" borderId="4" xfId="0" applyFont="1" applyBorder="1" applyAlignment="1">
      <alignment horizontal="center" wrapText="1"/>
    </xf>
    <xf numFmtId="0" fontId="13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</cellXfs>
  <cellStyles count="2">
    <cellStyle name="Обычный" xfId="0" builtinId="0"/>
    <cellStyle name="Обычный 4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Q306"/>
  <sheetViews>
    <sheetView tabSelected="1" topLeftCell="A13" zoomScaleNormal="100" workbookViewId="0">
      <selection activeCell="AX28" sqref="AX28"/>
    </sheetView>
  </sheetViews>
  <sheetFormatPr defaultRowHeight="12.75" x14ac:dyDescent="0.2"/>
  <cols>
    <col min="1" max="1" width="5.7109375" customWidth="1"/>
    <col min="2" max="2" width="11.7109375" customWidth="1"/>
    <col min="3" max="3" width="40.7109375" customWidth="1"/>
    <col min="4" max="4" width="11.7109375" customWidth="1"/>
    <col min="5" max="5" width="8.140625" bestFit="1" customWidth="1"/>
    <col min="6" max="6" width="10.140625" bestFit="1" customWidth="1"/>
    <col min="7" max="7" width="8.5703125" bestFit="1" customWidth="1"/>
    <col min="9" max="9" width="10.140625" bestFit="1" customWidth="1"/>
    <col min="11" max="11" width="11.28515625" bestFit="1" customWidth="1"/>
    <col min="15" max="41" width="0" hidden="1" customWidth="1"/>
    <col min="42" max="42" width="129.7109375" hidden="1" customWidth="1"/>
    <col min="43" max="43" width="96" hidden="1" customWidth="1"/>
    <col min="44" max="47" width="0" hidden="1" customWidth="1"/>
  </cols>
  <sheetData>
    <row r="1" spans="1:42" x14ac:dyDescent="0.2">
      <c r="A1" s="15" t="str">
        <f>Source!B1</f>
        <v>Smeta.RU  (495) 974-1589</v>
      </c>
    </row>
    <row r="2" spans="1:42" ht="14.25" x14ac:dyDescent="0.2">
      <c r="A2" s="16"/>
      <c r="B2" s="16"/>
      <c r="C2" s="16"/>
      <c r="D2" s="16"/>
      <c r="E2" s="16"/>
      <c r="F2" s="16"/>
      <c r="G2" s="16"/>
      <c r="H2" s="16"/>
      <c r="I2" s="16"/>
      <c r="J2" s="72" t="s">
        <v>394</v>
      </c>
      <c r="K2" s="72"/>
    </row>
    <row r="3" spans="1:42" ht="31.5" x14ac:dyDescent="0.25">
      <c r="A3" s="74" t="s">
        <v>445</v>
      </c>
      <c r="B3" s="74"/>
      <c r="C3" s="74"/>
      <c r="D3" s="74"/>
      <c r="E3" s="74"/>
      <c r="F3" s="74"/>
      <c r="G3" s="74"/>
      <c r="H3" s="74"/>
      <c r="I3" s="74"/>
      <c r="J3" s="74"/>
      <c r="K3" s="74"/>
      <c r="AP3" s="25" t="s">
        <v>395</v>
      </c>
    </row>
    <row r="4" spans="1:42" x14ac:dyDescent="0.2">
      <c r="A4" s="62" t="s">
        <v>373</v>
      </c>
      <c r="B4" s="62"/>
      <c r="C4" s="62"/>
      <c r="D4" s="62"/>
      <c r="E4" s="62"/>
      <c r="F4" s="62"/>
      <c r="G4" s="62"/>
      <c r="H4" s="62"/>
      <c r="I4" s="62"/>
      <c r="J4" s="62"/>
      <c r="K4" s="62"/>
    </row>
    <row r="5" spans="1:42" ht="14.25" x14ac:dyDescent="0.2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</row>
    <row r="6" spans="1:42" ht="15.75" x14ac:dyDescent="0.25">
      <c r="A6" s="74" t="str">
        <f>CONCATENATE( "ЛОКАЛЬНАЯ СМЕТА № ",IF(Source!F20&lt;&gt;"Новая локальная смета", Source!F20, ""))</f>
        <v>ЛОКАЛЬНАЯ СМЕТА № 02-01-09</v>
      </c>
      <c r="B6" s="75"/>
      <c r="C6" s="75"/>
      <c r="D6" s="75"/>
      <c r="E6" s="75"/>
      <c r="F6" s="75"/>
      <c r="G6" s="75"/>
      <c r="H6" s="75"/>
      <c r="I6" s="75"/>
      <c r="J6" s="75"/>
      <c r="K6" s="75"/>
    </row>
    <row r="7" spans="1:42" ht="14.25" x14ac:dyDescent="0.2">
      <c r="A7" s="16"/>
      <c r="B7" s="16"/>
      <c r="C7" s="16"/>
      <c r="D7" s="16"/>
      <c r="E7" s="16"/>
      <c r="F7" s="16"/>
      <c r="G7" s="16"/>
      <c r="H7" s="16"/>
      <c r="I7" s="16"/>
      <c r="J7" s="16"/>
      <c r="K7" s="16"/>
    </row>
    <row r="8" spans="1:42" ht="18" x14ac:dyDescent="0.25">
      <c r="A8" s="76" t="str">
        <f>IF(Source!G20&lt;&gt;"Новая локальная смета", Source!G20, "")</f>
        <v>Система оповещения управления эвакуацией</v>
      </c>
      <c r="B8" s="76"/>
      <c r="C8" s="76"/>
      <c r="D8" s="76"/>
      <c r="E8" s="76"/>
      <c r="F8" s="76"/>
      <c r="G8" s="76"/>
      <c r="H8" s="76"/>
      <c r="I8" s="76"/>
      <c r="J8" s="76"/>
      <c r="K8" s="76"/>
    </row>
    <row r="9" spans="1:42" x14ac:dyDescent="0.2">
      <c r="A9" s="77" t="s">
        <v>374</v>
      </c>
      <c r="B9" s="78"/>
      <c r="C9" s="78"/>
      <c r="D9" s="78"/>
      <c r="E9" s="78"/>
      <c r="F9" s="78"/>
      <c r="G9" s="78"/>
      <c r="H9" s="78"/>
      <c r="I9" s="78"/>
      <c r="J9" s="78"/>
      <c r="K9" s="78"/>
    </row>
    <row r="10" spans="1:42" ht="14.25" x14ac:dyDescent="0.2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</row>
    <row r="11" spans="1:42" ht="14.25" x14ac:dyDescent="0.2">
      <c r="A11" s="71" t="str">
        <f>CONCATENATE( "Основание: чертежи № ", Source!J20)</f>
        <v>Основание: чертежи № 2024-00272-01-0-ИОС5.2</v>
      </c>
      <c r="B11" s="71"/>
      <c r="C11" s="71"/>
      <c r="D11" s="71"/>
      <c r="E11" s="71"/>
      <c r="F11" s="71"/>
      <c r="G11" s="71"/>
      <c r="H11" s="71"/>
      <c r="I11" s="71"/>
      <c r="J11" s="71"/>
      <c r="K11" s="71"/>
    </row>
    <row r="12" spans="1:42" ht="14.25" x14ac:dyDescent="0.2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</row>
    <row r="13" spans="1:42" ht="71.25" x14ac:dyDescent="0.2">
      <c r="A13" s="16"/>
      <c r="B13" s="16"/>
      <c r="C13" s="16"/>
      <c r="D13" s="16"/>
      <c r="E13" s="16"/>
      <c r="F13" s="16"/>
      <c r="G13" s="16"/>
      <c r="H13" s="16"/>
      <c r="I13" s="18" t="s">
        <v>375</v>
      </c>
      <c r="J13" s="18" t="s">
        <v>376</v>
      </c>
      <c r="K13" s="16"/>
    </row>
    <row r="14" spans="1:42" ht="15" x14ac:dyDescent="0.25">
      <c r="A14" s="16"/>
      <c r="B14" s="16"/>
      <c r="C14" s="16"/>
      <c r="D14" s="16"/>
      <c r="E14" s="73" t="s">
        <v>377</v>
      </c>
      <c r="F14" s="73"/>
      <c r="G14" s="73"/>
      <c r="H14" s="73"/>
      <c r="I14" s="19">
        <f>I15+I16+I17+I18</f>
        <v>213.64</v>
      </c>
      <c r="J14" s="19">
        <f>J15+J16+J17+J18</f>
        <v>3017.09</v>
      </c>
      <c r="K14" s="20" t="s">
        <v>433</v>
      </c>
    </row>
    <row r="15" spans="1:42" ht="14.25" x14ac:dyDescent="0.2">
      <c r="A15" s="16"/>
      <c r="B15" s="16"/>
      <c r="C15" s="16"/>
      <c r="D15" s="16"/>
      <c r="E15" s="61" t="s">
        <v>378</v>
      </c>
      <c r="F15" s="61"/>
      <c r="G15" s="61"/>
      <c r="H15" s="61"/>
      <c r="I15" s="21">
        <f>ROUND((Source!F240)/1000, 2)</f>
        <v>0</v>
      </c>
      <c r="J15" s="21">
        <f>ROUND((Source!P240)/1000, 2)</f>
        <v>0</v>
      </c>
      <c r="K15" s="16" t="s">
        <v>433</v>
      </c>
    </row>
    <row r="16" spans="1:42" ht="14.25" x14ac:dyDescent="0.2">
      <c r="A16" s="16"/>
      <c r="B16" s="16"/>
      <c r="C16" s="16"/>
      <c r="D16" s="16"/>
      <c r="E16" s="61" t="s">
        <v>379</v>
      </c>
      <c r="F16" s="61"/>
      <c r="G16" s="61"/>
      <c r="H16" s="61"/>
      <c r="I16" s="21">
        <f>ROUND((Source!F241)/1000, 2)</f>
        <v>65.58</v>
      </c>
      <c r="J16" s="21">
        <f>ROUND((Source!P241)/1000, 2)</f>
        <v>1882.99</v>
      </c>
      <c r="K16" s="16" t="s">
        <v>433</v>
      </c>
    </row>
    <row r="17" spans="1:42" ht="14.25" x14ac:dyDescent="0.2">
      <c r="A17" s="16"/>
      <c r="B17" s="16"/>
      <c r="C17" s="16"/>
      <c r="D17" s="16"/>
      <c r="E17" s="61" t="s">
        <v>18</v>
      </c>
      <c r="F17" s="61"/>
      <c r="G17" s="61"/>
      <c r="H17" s="61"/>
      <c r="I17" s="21">
        <f>ROUND((Source!F232)/1000, 2)</f>
        <v>148.06</v>
      </c>
      <c r="J17" s="21">
        <f>ROUND((Source!P232)/1000, 2)</f>
        <v>1134.0999999999999</v>
      </c>
      <c r="K17" s="16" t="s">
        <v>433</v>
      </c>
    </row>
    <row r="18" spans="1:42" ht="14.25" x14ac:dyDescent="0.2">
      <c r="A18" s="16"/>
      <c r="B18" s="16"/>
      <c r="C18" s="16"/>
      <c r="D18" s="16"/>
      <c r="E18" s="61" t="s">
        <v>380</v>
      </c>
      <c r="F18" s="61"/>
      <c r="G18" s="61"/>
      <c r="H18" s="61"/>
      <c r="I18" s="21">
        <f>ROUND((Source!F242+Source!F243)/1000, 2)</f>
        <v>0</v>
      </c>
      <c r="J18" s="21">
        <f>ROUND((Source!P242+Source!P243)/1000, 2)</f>
        <v>0</v>
      </c>
      <c r="K18" s="16" t="s">
        <v>433</v>
      </c>
    </row>
    <row r="19" spans="1:42" ht="14.25" x14ac:dyDescent="0.2">
      <c r="A19" s="16"/>
      <c r="B19" s="16"/>
      <c r="C19" s="16"/>
      <c r="D19" s="16"/>
      <c r="E19" s="61" t="s">
        <v>381</v>
      </c>
      <c r="F19" s="61"/>
      <c r="G19" s="61"/>
      <c r="H19" s="61"/>
      <c r="I19" s="21">
        <f>(Source!F238+ Source!F237)/1000</f>
        <v>11.667479999999999</v>
      </c>
      <c r="J19" s="21">
        <f>((Source!P238 + Source!P237)/1000)</f>
        <v>641.59470999999996</v>
      </c>
      <c r="K19" s="16" t="s">
        <v>433</v>
      </c>
    </row>
    <row r="20" spans="1:42" ht="14.25" x14ac:dyDescent="0.2">
      <c r="A20" s="16"/>
      <c r="B20" s="16"/>
      <c r="C20" s="16"/>
      <c r="D20" s="16"/>
      <c r="E20" s="61" t="s">
        <v>382</v>
      </c>
      <c r="F20" s="61"/>
      <c r="G20" s="61"/>
      <c r="H20" s="61"/>
      <c r="I20" s="21">
        <f>Source!F245</f>
        <v>980.90519340000003</v>
      </c>
      <c r="J20" s="21"/>
      <c r="K20" s="16" t="s">
        <v>271</v>
      </c>
    </row>
    <row r="21" spans="1:42" ht="14.25" hidden="1" x14ac:dyDescent="0.2">
      <c r="A21" s="16"/>
      <c r="B21" s="16"/>
      <c r="C21" s="16"/>
      <c r="D21" s="16"/>
      <c r="E21" s="69" t="s">
        <v>383</v>
      </c>
      <c r="F21" s="69"/>
      <c r="G21" s="69"/>
      <c r="H21" s="69"/>
      <c r="I21" s="21"/>
      <c r="J21" s="21"/>
      <c r="K21" s="16"/>
    </row>
    <row r="22" spans="1:42" ht="14.25" hidden="1" x14ac:dyDescent="0.2">
      <c r="A22" s="16"/>
      <c r="B22" s="16"/>
      <c r="C22" s="16"/>
      <c r="D22" s="16"/>
      <c r="E22" s="70" t="s">
        <v>171</v>
      </c>
      <c r="F22" s="70"/>
      <c r="G22" s="70"/>
      <c r="H22" s="70"/>
      <c r="I22" s="21">
        <f>SUM(Y28:Y295)/1000</f>
        <v>0</v>
      </c>
      <c r="J22" s="21">
        <f>SUM(Z28:Z295)/1000</f>
        <v>0</v>
      </c>
      <c r="K22" s="16" t="s">
        <v>433</v>
      </c>
    </row>
    <row r="23" spans="1:42" ht="14.25" x14ac:dyDescent="0.2">
      <c r="A23" s="16"/>
      <c r="B23" s="16"/>
      <c r="C23" s="16"/>
      <c r="D23" s="16"/>
      <c r="E23" s="16"/>
      <c r="F23" s="22"/>
      <c r="G23" s="22"/>
      <c r="H23" s="22"/>
      <c r="I23" s="21"/>
      <c r="J23" s="21"/>
      <c r="K23" s="16"/>
    </row>
    <row r="24" spans="1:42" ht="14.25" x14ac:dyDescent="0.2">
      <c r="A24" s="16" t="s">
        <v>396</v>
      </c>
      <c r="B24" s="16"/>
      <c r="C24" s="16"/>
      <c r="D24" s="16"/>
      <c r="E24" s="16"/>
      <c r="F24" s="22"/>
      <c r="G24" s="22"/>
      <c r="H24" s="22"/>
      <c r="I24" s="21"/>
      <c r="J24" s="21"/>
      <c r="K24" s="16"/>
    </row>
    <row r="25" spans="1:42" ht="28.5" x14ac:dyDescent="0.2">
      <c r="A25" s="71" t="s">
        <v>397</v>
      </c>
      <c r="B25" s="71"/>
      <c r="C25" s="71"/>
      <c r="D25" s="71"/>
      <c r="E25" s="71"/>
      <c r="F25" s="71"/>
      <c r="G25" s="71"/>
      <c r="H25" s="71"/>
      <c r="I25" s="71"/>
      <c r="J25" s="71"/>
      <c r="K25" s="71"/>
      <c r="AP25" s="26" t="s">
        <v>397</v>
      </c>
    </row>
    <row r="26" spans="1:42" ht="114" x14ac:dyDescent="0.2">
      <c r="A26" s="23" t="s">
        <v>384</v>
      </c>
      <c r="B26" s="23" t="s">
        <v>385</v>
      </c>
      <c r="C26" s="23" t="s">
        <v>386</v>
      </c>
      <c r="D26" s="23" t="s">
        <v>387</v>
      </c>
      <c r="E26" s="23" t="s">
        <v>388</v>
      </c>
      <c r="F26" s="23" t="s">
        <v>389</v>
      </c>
      <c r="G26" s="24" t="s">
        <v>390</v>
      </c>
      <c r="H26" s="24" t="s">
        <v>391</v>
      </c>
      <c r="I26" s="23" t="s">
        <v>398</v>
      </c>
      <c r="J26" s="23" t="s">
        <v>392</v>
      </c>
      <c r="K26" s="23" t="s">
        <v>393</v>
      </c>
    </row>
    <row r="27" spans="1:42" ht="14.25" x14ac:dyDescent="0.2">
      <c r="A27" s="23">
        <v>1</v>
      </c>
      <c r="B27" s="23">
        <v>2</v>
      </c>
      <c r="C27" s="23">
        <v>3</v>
      </c>
      <c r="D27" s="23">
        <v>4</v>
      </c>
      <c r="E27" s="23">
        <v>5</v>
      </c>
      <c r="F27" s="23">
        <v>6</v>
      </c>
      <c r="G27" s="23">
        <v>7</v>
      </c>
      <c r="H27" s="23">
        <v>8</v>
      </c>
      <c r="I27" s="23">
        <v>9</v>
      </c>
      <c r="J27" s="23">
        <v>10</v>
      </c>
      <c r="K27" s="23">
        <v>11</v>
      </c>
    </row>
    <row r="29" spans="1:42" ht="16.5" x14ac:dyDescent="0.2">
      <c r="A29" s="68" t="str">
        <f>CONCATENATE("Раздел: ",IF(Source!G24&lt;&gt;"Новый раздел", Source!G24, ""))</f>
        <v>Раздел: Оборудование</v>
      </c>
      <c r="B29" s="68"/>
      <c r="C29" s="68"/>
      <c r="D29" s="68"/>
      <c r="E29" s="68"/>
      <c r="F29" s="68"/>
      <c r="G29" s="68"/>
      <c r="H29" s="68"/>
      <c r="I29" s="68"/>
      <c r="J29" s="68"/>
      <c r="K29" s="68"/>
    </row>
    <row r="30" spans="1:42" ht="42.75" x14ac:dyDescent="0.2">
      <c r="A30" s="27">
        <v>1</v>
      </c>
      <c r="B30" s="27" t="str">
        <f>Source!F28</f>
        <v>4.10-118-1</v>
      </c>
      <c r="C30" s="27" t="s">
        <v>21</v>
      </c>
      <c r="D30" s="29" t="str">
        <f>Source!H28</f>
        <v>1  ШТ.</v>
      </c>
      <c r="E30" s="28">
        <f>Source!I28</f>
        <v>1</v>
      </c>
      <c r="F30" s="31"/>
      <c r="G30" s="30"/>
      <c r="H30" s="28"/>
      <c r="I30" s="31"/>
      <c r="J30" s="28"/>
      <c r="K30" s="31"/>
      <c r="Q30">
        <f>Source!X28</f>
        <v>22.45</v>
      </c>
      <c r="R30">
        <f>Source!X29</f>
        <v>1234.31</v>
      </c>
      <c r="S30">
        <f>Source!Y28</f>
        <v>11.47</v>
      </c>
      <c r="T30">
        <f>Source!Y29</f>
        <v>630.87</v>
      </c>
      <c r="U30">
        <f>ROUND((175/100)*ROUND(Source!R28, 2), 2)</f>
        <v>0.51</v>
      </c>
      <c r="V30">
        <f>ROUND((0/100)*ROUND(Source!R29, 2), 2)</f>
        <v>0</v>
      </c>
      <c r="AC30">
        <v>0</v>
      </c>
    </row>
    <row r="31" spans="1:42" ht="14.25" x14ac:dyDescent="0.2">
      <c r="A31" s="27"/>
      <c r="B31" s="27"/>
      <c r="C31" s="27" t="s">
        <v>399</v>
      </c>
      <c r="D31" s="29"/>
      <c r="E31" s="28"/>
      <c r="F31" s="31">
        <f>Source!AO28</f>
        <v>21.4</v>
      </c>
      <c r="G31" s="30" t="s">
        <v>400</v>
      </c>
      <c r="H31" s="28">
        <f>Source!AV29</f>
        <v>1.0469999999999999</v>
      </c>
      <c r="I31" s="31">
        <f>Source!S28</f>
        <v>24.65</v>
      </c>
      <c r="J31" s="28">
        <f>IF(Source!BA29&lt;&gt; 0, Source!BA29, 1)</f>
        <v>54.99</v>
      </c>
      <c r="K31" s="31">
        <f>Source!S29</f>
        <v>1355.5</v>
      </c>
    </row>
    <row r="32" spans="1:42" ht="14.25" x14ac:dyDescent="0.2">
      <c r="A32" s="27"/>
      <c r="B32" s="27"/>
      <c r="C32" s="27" t="s">
        <v>401</v>
      </c>
      <c r="D32" s="29"/>
      <c r="E32" s="28"/>
      <c r="F32" s="31">
        <f>Source!AM28</f>
        <v>2.38</v>
      </c>
      <c r="G32" s="30" t="s">
        <v>400</v>
      </c>
      <c r="H32" s="28">
        <f>Source!AV29</f>
        <v>1.0469999999999999</v>
      </c>
      <c r="I32" s="31">
        <f>Source!Q28</f>
        <v>2.74</v>
      </c>
      <c r="J32" s="28">
        <f>IF(Source!BB29&lt;&gt; 0, Source!BB29, 1)</f>
        <v>13.99</v>
      </c>
      <c r="K32" s="31">
        <f>Source!Q29</f>
        <v>38.33</v>
      </c>
    </row>
    <row r="33" spans="1:29" ht="14.25" x14ac:dyDescent="0.2">
      <c r="A33" s="27"/>
      <c r="B33" s="27"/>
      <c r="C33" s="27" t="s">
        <v>402</v>
      </c>
      <c r="D33" s="29"/>
      <c r="E33" s="28"/>
      <c r="F33" s="31">
        <f>Source!AN28</f>
        <v>0.25</v>
      </c>
      <c r="G33" s="30" t="s">
        <v>400</v>
      </c>
      <c r="H33" s="28">
        <f>Source!AV29</f>
        <v>1.0469999999999999</v>
      </c>
      <c r="I33" s="32">
        <f>Source!R28</f>
        <v>0.28999999999999998</v>
      </c>
      <c r="J33" s="28">
        <f>IF(Source!BS29&lt;&gt; 0, Source!BS29, 1)</f>
        <v>54.99</v>
      </c>
      <c r="K33" s="32">
        <f>Source!R29</f>
        <v>15.95</v>
      </c>
    </row>
    <row r="34" spans="1:29" ht="14.25" x14ac:dyDescent="0.2">
      <c r="A34" s="27"/>
      <c r="B34" s="27"/>
      <c r="C34" s="27" t="s">
        <v>403</v>
      </c>
      <c r="D34" s="29"/>
      <c r="E34" s="28"/>
      <c r="F34" s="31">
        <f>Source!AL28</f>
        <v>70.17</v>
      </c>
      <c r="G34" s="30"/>
      <c r="H34" s="28">
        <f>Source!AW29</f>
        <v>1</v>
      </c>
      <c r="I34" s="31">
        <f>Source!P28</f>
        <v>70.17</v>
      </c>
      <c r="J34" s="28">
        <f>IF(Source!BC29&lt;&gt; 0, Source!BC29, 1)</f>
        <v>1.86</v>
      </c>
      <c r="K34" s="31">
        <f>Source!P29</f>
        <v>130.52000000000001</v>
      </c>
    </row>
    <row r="35" spans="1:29" ht="14.25" x14ac:dyDescent="0.2">
      <c r="A35" s="27"/>
      <c r="B35" s="27"/>
      <c r="C35" s="27" t="s">
        <v>404</v>
      </c>
      <c r="D35" s="29" t="s">
        <v>405</v>
      </c>
      <c r="E35" s="28">
        <f>Source!BZ29</f>
        <v>90</v>
      </c>
      <c r="F35" s="31"/>
      <c r="G35" s="30"/>
      <c r="H35" s="28"/>
      <c r="I35" s="31">
        <f>SUM(Q30:Q34)</f>
        <v>22.45</v>
      </c>
      <c r="J35" s="28">
        <f>Source!AT29</f>
        <v>90</v>
      </c>
      <c r="K35" s="31">
        <f>SUM(R30:R34)</f>
        <v>1234.31</v>
      </c>
    </row>
    <row r="36" spans="1:29" ht="14.25" x14ac:dyDescent="0.2">
      <c r="A36" s="27"/>
      <c r="B36" s="27"/>
      <c r="C36" s="27" t="s">
        <v>406</v>
      </c>
      <c r="D36" s="29" t="s">
        <v>405</v>
      </c>
      <c r="E36" s="28">
        <f>Source!CA29</f>
        <v>46</v>
      </c>
      <c r="F36" s="31"/>
      <c r="G36" s="30"/>
      <c r="H36" s="28"/>
      <c r="I36" s="31">
        <f>SUM(S30:S35)</f>
        <v>11.47</v>
      </c>
      <c r="J36" s="28">
        <f>Source!AU29</f>
        <v>46</v>
      </c>
      <c r="K36" s="31">
        <f>SUM(T30:T35)</f>
        <v>630.87</v>
      </c>
    </row>
    <row r="37" spans="1:29" ht="14.25" x14ac:dyDescent="0.2">
      <c r="A37" s="33"/>
      <c r="B37" s="33"/>
      <c r="C37" s="33" t="s">
        <v>407</v>
      </c>
      <c r="D37" s="34" t="s">
        <v>408</v>
      </c>
      <c r="E37" s="35">
        <f>Source!AQ28</f>
        <v>2</v>
      </c>
      <c r="F37" s="36"/>
      <c r="G37" s="37" t="s">
        <v>400</v>
      </c>
      <c r="H37" s="35">
        <f>Source!AV29</f>
        <v>1.0469999999999999</v>
      </c>
      <c r="I37" s="36">
        <f>Source!U28</f>
        <v>2.3033999999999999</v>
      </c>
      <c r="J37" s="35"/>
      <c r="K37" s="36"/>
    </row>
    <row r="38" spans="1:29" ht="15" x14ac:dyDescent="0.2">
      <c r="C38" s="38" t="s">
        <v>409</v>
      </c>
      <c r="H38" s="66">
        <f>I31+I32+I34+I35+I36+0-0-0</f>
        <v>131.48000000000002</v>
      </c>
      <c r="I38" s="66"/>
      <c r="J38" s="66">
        <f>K31+K32+K34+K35+K36+0-0-0</f>
        <v>3389.5299999999997</v>
      </c>
      <c r="K38" s="66"/>
    </row>
    <row r="39" spans="1:29" ht="15" hidden="1" x14ac:dyDescent="0.2">
      <c r="C39" s="38" t="s">
        <v>410</v>
      </c>
      <c r="H39" s="64">
        <f>0+0</f>
        <v>0</v>
      </c>
      <c r="I39" s="64"/>
      <c r="J39" s="64">
        <f>0+0</f>
        <v>0</v>
      </c>
      <c r="K39" s="64"/>
    </row>
    <row r="40" spans="1:29" ht="15" x14ac:dyDescent="0.2">
      <c r="C40" s="38" t="s">
        <v>411</v>
      </c>
      <c r="H40" s="64">
        <f>I31+I32+I34+I35+I36+0</f>
        <v>131.48000000000002</v>
      </c>
      <c r="I40" s="64"/>
      <c r="J40" s="64">
        <f>K31+K32+K34+K35+K36+0</f>
        <v>3389.5299999999997</v>
      </c>
      <c r="K40" s="64"/>
      <c r="O40" s="39">
        <f>I31+I32+I34+I35+I36+0</f>
        <v>131.48000000000002</v>
      </c>
      <c r="P40" s="39">
        <f>K31+K32+K34+K35+K36+0</f>
        <v>3389.5299999999997</v>
      </c>
    </row>
    <row r="42" spans="1:29" ht="68.25" x14ac:dyDescent="0.2">
      <c r="A42" s="33">
        <v>2</v>
      </c>
      <c r="B42" s="33" t="str">
        <f>Source!F30</f>
        <v>КА-1</v>
      </c>
      <c r="C42" s="33" t="s">
        <v>412</v>
      </c>
      <c r="D42" s="34" t="str">
        <f>Source!H30</f>
        <v>шт.</v>
      </c>
      <c r="E42" s="35">
        <f>Source!I30</f>
        <v>1</v>
      </c>
      <c r="F42" s="36">
        <f>Source!AL30</f>
        <v>1952.77</v>
      </c>
      <c r="G42" s="37"/>
      <c r="H42" s="35">
        <f>Source!AW31</f>
        <v>1</v>
      </c>
      <c r="I42" s="36">
        <f>Source!P30</f>
        <v>1952.77</v>
      </c>
      <c r="J42" s="35">
        <f>IF(Source!BC31&lt;&gt; 0, Source!BC31, 1)</f>
        <v>9.8800000000000008</v>
      </c>
      <c r="K42" s="36">
        <f>Source!P31</f>
        <v>19293.37</v>
      </c>
      <c r="Q42">
        <f>Source!X30</f>
        <v>0</v>
      </c>
      <c r="R42">
        <f>Source!X31</f>
        <v>0</v>
      </c>
      <c r="S42">
        <f>Source!Y30</f>
        <v>0</v>
      </c>
      <c r="T42">
        <f>Source!Y31</f>
        <v>0</v>
      </c>
      <c r="U42">
        <f>ROUND((175/100)*ROUND(Source!R30, 2), 2)</f>
        <v>0</v>
      </c>
      <c r="V42">
        <f>ROUND((0/100)*ROUND(Source!R31, 2), 2)</f>
        <v>0</v>
      </c>
      <c r="AC42">
        <v>3</v>
      </c>
    </row>
    <row r="43" spans="1:29" ht="15" x14ac:dyDescent="0.2">
      <c r="C43" s="38" t="s">
        <v>411</v>
      </c>
      <c r="H43" s="66">
        <f>I42+0</f>
        <v>1952.77</v>
      </c>
      <c r="I43" s="66"/>
      <c r="J43" s="66">
        <f>K42+0</f>
        <v>19293.37</v>
      </c>
      <c r="K43" s="66"/>
      <c r="O43" s="39">
        <f>I42+0</f>
        <v>1952.77</v>
      </c>
      <c r="P43" s="39">
        <f>K42+0</f>
        <v>19293.37</v>
      </c>
    </row>
    <row r="45" spans="1:29" ht="28.5" x14ac:dyDescent="0.2">
      <c r="A45" s="27">
        <v>3</v>
      </c>
      <c r="B45" s="27" t="str">
        <f>Source!F32</f>
        <v>4.10-170-2</v>
      </c>
      <c r="C45" s="27" t="s">
        <v>38</v>
      </c>
      <c r="D45" s="29" t="str">
        <f>Source!H32</f>
        <v>1  ШТ.</v>
      </c>
      <c r="E45" s="28">
        <f>Source!I32</f>
        <v>1</v>
      </c>
      <c r="F45" s="31"/>
      <c r="G45" s="30"/>
      <c r="H45" s="28"/>
      <c r="I45" s="31"/>
      <c r="J45" s="28"/>
      <c r="K45" s="31"/>
      <c r="Q45">
        <f>Source!X32</f>
        <v>34.700000000000003</v>
      </c>
      <c r="R45">
        <f>Source!X33</f>
        <v>1907.87</v>
      </c>
      <c r="S45">
        <f>Source!Y32</f>
        <v>17.73</v>
      </c>
      <c r="T45">
        <f>Source!Y33</f>
        <v>975.14</v>
      </c>
      <c r="U45">
        <f>ROUND((175/100)*ROUND(Source!R32, 2), 2)</f>
        <v>0</v>
      </c>
      <c r="V45">
        <f>ROUND((0/100)*ROUND(Source!R33, 2), 2)</f>
        <v>0</v>
      </c>
      <c r="AC45">
        <v>0</v>
      </c>
    </row>
    <row r="46" spans="1:29" ht="14.25" x14ac:dyDescent="0.2">
      <c r="A46" s="27"/>
      <c r="B46" s="27"/>
      <c r="C46" s="27" t="s">
        <v>399</v>
      </c>
      <c r="D46" s="29"/>
      <c r="E46" s="28"/>
      <c r="F46" s="31">
        <f>Source!AO32</f>
        <v>33.47</v>
      </c>
      <c r="G46" s="30" t="s">
        <v>400</v>
      </c>
      <c r="H46" s="28">
        <f>Source!AV33</f>
        <v>1.0469999999999999</v>
      </c>
      <c r="I46" s="31">
        <f>Source!S32</f>
        <v>38.549999999999997</v>
      </c>
      <c r="J46" s="28">
        <f>IF(Source!BA33&lt;&gt; 0, Source!BA33, 1)</f>
        <v>54.99</v>
      </c>
      <c r="K46" s="31">
        <f>Source!S33</f>
        <v>2119.86</v>
      </c>
    </row>
    <row r="47" spans="1:29" ht="14.25" x14ac:dyDescent="0.2">
      <c r="A47" s="27"/>
      <c r="B47" s="27"/>
      <c r="C47" s="27" t="s">
        <v>403</v>
      </c>
      <c r="D47" s="29"/>
      <c r="E47" s="28"/>
      <c r="F47" s="31">
        <f>Source!AL32</f>
        <v>2.34</v>
      </c>
      <c r="G47" s="30"/>
      <c r="H47" s="28">
        <f>Source!AW33</f>
        <v>1</v>
      </c>
      <c r="I47" s="31">
        <f>Source!P32</f>
        <v>2.34</v>
      </c>
      <c r="J47" s="28">
        <f>IF(Source!BC33&lt;&gt; 0, Source!BC33, 1)</f>
        <v>10.26</v>
      </c>
      <c r="K47" s="31">
        <f>Source!P33</f>
        <v>24.01</v>
      </c>
    </row>
    <row r="48" spans="1:29" ht="14.25" x14ac:dyDescent="0.2">
      <c r="A48" s="27"/>
      <c r="B48" s="27"/>
      <c r="C48" s="27" t="s">
        <v>404</v>
      </c>
      <c r="D48" s="29" t="s">
        <v>405</v>
      </c>
      <c r="E48" s="28">
        <f>Source!BZ33</f>
        <v>90</v>
      </c>
      <c r="F48" s="31"/>
      <c r="G48" s="30"/>
      <c r="H48" s="28"/>
      <c r="I48" s="31">
        <f>SUM(Q45:Q47)</f>
        <v>34.700000000000003</v>
      </c>
      <c r="J48" s="28">
        <f>Source!AT33</f>
        <v>90</v>
      </c>
      <c r="K48" s="31">
        <f>SUM(R45:R47)</f>
        <v>1907.87</v>
      </c>
    </row>
    <row r="49" spans="1:29" ht="14.25" x14ac:dyDescent="0.2">
      <c r="A49" s="27"/>
      <c r="B49" s="27"/>
      <c r="C49" s="27" t="s">
        <v>406</v>
      </c>
      <c r="D49" s="29" t="s">
        <v>405</v>
      </c>
      <c r="E49" s="28">
        <f>Source!CA33</f>
        <v>46</v>
      </c>
      <c r="F49" s="31"/>
      <c r="G49" s="30"/>
      <c r="H49" s="28"/>
      <c r="I49" s="31">
        <f>SUM(S45:S48)</f>
        <v>17.73</v>
      </c>
      <c r="J49" s="28">
        <f>Source!AU33</f>
        <v>46</v>
      </c>
      <c r="K49" s="31">
        <f>SUM(T45:T48)</f>
        <v>975.14</v>
      </c>
    </row>
    <row r="50" spans="1:29" ht="14.25" x14ac:dyDescent="0.2">
      <c r="A50" s="33"/>
      <c r="B50" s="33"/>
      <c r="C50" s="33" t="s">
        <v>407</v>
      </c>
      <c r="D50" s="34" t="s">
        <v>408</v>
      </c>
      <c r="E50" s="35">
        <f>Source!AQ32</f>
        <v>2.65</v>
      </c>
      <c r="F50" s="36"/>
      <c r="G50" s="37" t="s">
        <v>400</v>
      </c>
      <c r="H50" s="35">
        <f>Source!AV33</f>
        <v>1.0469999999999999</v>
      </c>
      <c r="I50" s="36">
        <f>Source!U32</f>
        <v>3.0520049999999999</v>
      </c>
      <c r="J50" s="35"/>
      <c r="K50" s="36"/>
    </row>
    <row r="51" spans="1:29" ht="15" x14ac:dyDescent="0.2">
      <c r="C51" s="38" t="s">
        <v>409</v>
      </c>
      <c r="H51" s="66">
        <f>I46+I47+I48+I49+0-0-0</f>
        <v>93.320000000000007</v>
      </c>
      <c r="I51" s="66"/>
      <c r="J51" s="66">
        <f>K46+K47+K48+K49+0-0-0</f>
        <v>5026.88</v>
      </c>
      <c r="K51" s="66"/>
    </row>
    <row r="52" spans="1:29" ht="15" hidden="1" x14ac:dyDescent="0.2">
      <c r="C52" s="38" t="s">
        <v>410</v>
      </c>
      <c r="H52" s="64">
        <f>0+0</f>
        <v>0</v>
      </c>
      <c r="I52" s="64"/>
      <c r="J52" s="64">
        <f>0+0</f>
        <v>0</v>
      </c>
      <c r="K52" s="64"/>
    </row>
    <row r="53" spans="1:29" ht="15" x14ac:dyDescent="0.2">
      <c r="C53" s="38" t="s">
        <v>411</v>
      </c>
      <c r="H53" s="64">
        <f>I46+I47+I48+I49+0</f>
        <v>93.320000000000007</v>
      </c>
      <c r="I53" s="64"/>
      <c r="J53" s="64">
        <f>K46+K47+K48+K49+0</f>
        <v>5026.88</v>
      </c>
      <c r="K53" s="64"/>
      <c r="O53" s="39">
        <f>I46+I47+I48+I49+0</f>
        <v>93.320000000000007</v>
      </c>
      <c r="P53" s="39">
        <f>K46+K47+K48+K49+0</f>
        <v>5026.88</v>
      </c>
    </row>
    <row r="55" spans="1:29" ht="111" x14ac:dyDescent="0.2">
      <c r="A55" s="40">
        <v>4</v>
      </c>
      <c r="B55" s="40" t="str">
        <f>Source!F34</f>
        <v>КА-2</v>
      </c>
      <c r="C55" s="40" t="s">
        <v>413</v>
      </c>
      <c r="D55" s="41" t="str">
        <f>Source!H34</f>
        <v>шт.</v>
      </c>
      <c r="E55" s="42">
        <f>Source!I34</f>
        <v>1</v>
      </c>
      <c r="F55" s="43">
        <f>Source!AL34</f>
        <v>32107.68</v>
      </c>
      <c r="G55" s="44"/>
      <c r="H55" s="42">
        <f>Source!AW35</f>
        <v>1</v>
      </c>
      <c r="I55" s="43">
        <f>Source!P34</f>
        <v>32107.68</v>
      </c>
      <c r="J55" s="42">
        <f>IF(Source!BC35&lt;&gt; 0, Source!BC35, 1)</f>
        <v>7.66</v>
      </c>
      <c r="K55" s="43">
        <f>Source!P35</f>
        <v>245944.83</v>
      </c>
      <c r="Q55">
        <f>Source!X34</f>
        <v>0</v>
      </c>
      <c r="R55">
        <f>Source!X35</f>
        <v>0</v>
      </c>
      <c r="S55">
        <f>Source!Y34</f>
        <v>0</v>
      </c>
      <c r="T55">
        <f>Source!Y35</f>
        <v>0</v>
      </c>
      <c r="U55">
        <f>ROUND((175/100)*ROUND(Source!R34, 2), 2)</f>
        <v>0</v>
      </c>
      <c r="V55">
        <f>ROUND((0/100)*ROUND(Source!R35, 2), 2)</f>
        <v>0</v>
      </c>
      <c r="AC55">
        <v>5</v>
      </c>
    </row>
    <row r="56" spans="1:29" ht="15" x14ac:dyDescent="0.2">
      <c r="A56" s="45"/>
      <c r="B56" s="45"/>
      <c r="C56" s="46" t="s">
        <v>411</v>
      </c>
      <c r="D56" s="45"/>
      <c r="E56" s="45"/>
      <c r="F56" s="45"/>
      <c r="G56" s="45"/>
      <c r="H56" s="67">
        <f>I55+0</f>
        <v>32107.68</v>
      </c>
      <c r="I56" s="67"/>
      <c r="J56" s="67">
        <f>K55+0</f>
        <v>245944.83</v>
      </c>
      <c r="K56" s="67"/>
      <c r="O56" s="39">
        <f>I55+0</f>
        <v>32107.68</v>
      </c>
      <c r="P56" s="39">
        <f>K55+0</f>
        <v>245944.83</v>
      </c>
    </row>
    <row r="58" spans="1:29" ht="42.75" x14ac:dyDescent="0.2">
      <c r="A58" s="27">
        <v>5</v>
      </c>
      <c r="B58" s="27" t="str">
        <f>Source!F36</f>
        <v>4.11-12-1</v>
      </c>
      <c r="C58" s="27" t="s">
        <v>50</v>
      </c>
      <c r="D58" s="29" t="str">
        <f>Source!H36</f>
        <v>1  ШТ.</v>
      </c>
      <c r="E58" s="28">
        <f>Source!I36</f>
        <v>1</v>
      </c>
      <c r="F58" s="31"/>
      <c r="G58" s="30"/>
      <c r="H58" s="28"/>
      <c r="I58" s="31"/>
      <c r="J58" s="28"/>
      <c r="K58" s="31"/>
      <c r="Q58">
        <f>Source!X36</f>
        <v>12.16</v>
      </c>
      <c r="R58">
        <f>Source!X37</f>
        <v>668.63</v>
      </c>
      <c r="S58">
        <f>Source!Y36</f>
        <v>6.21</v>
      </c>
      <c r="T58">
        <f>Source!Y37</f>
        <v>341.74</v>
      </c>
      <c r="U58">
        <f>ROUND((175/100)*ROUND(Source!R36, 2), 2)</f>
        <v>0.16</v>
      </c>
      <c r="V58">
        <f>ROUND((0/100)*ROUND(Source!R37, 2), 2)</f>
        <v>0</v>
      </c>
      <c r="AC58">
        <v>0</v>
      </c>
    </row>
    <row r="59" spans="1:29" ht="14.25" x14ac:dyDescent="0.2">
      <c r="A59" s="27"/>
      <c r="B59" s="27"/>
      <c r="C59" s="27" t="s">
        <v>399</v>
      </c>
      <c r="D59" s="29"/>
      <c r="E59" s="28"/>
      <c r="F59" s="31">
        <f>Source!AO36</f>
        <v>11.65</v>
      </c>
      <c r="G59" s="30" t="s">
        <v>400</v>
      </c>
      <c r="H59" s="28">
        <f>Source!AV37</f>
        <v>1.0469999999999999</v>
      </c>
      <c r="I59" s="31">
        <f>Source!S36</f>
        <v>13.42</v>
      </c>
      <c r="J59" s="28">
        <f>IF(Source!BA37&lt;&gt; 0, Source!BA37, 1)</f>
        <v>54.99</v>
      </c>
      <c r="K59" s="31">
        <f>Source!S37</f>
        <v>737.97</v>
      </c>
    </row>
    <row r="60" spans="1:29" ht="14.25" x14ac:dyDescent="0.2">
      <c r="A60" s="27"/>
      <c r="B60" s="27"/>
      <c r="C60" s="27" t="s">
        <v>401</v>
      </c>
      <c r="D60" s="29"/>
      <c r="E60" s="28"/>
      <c r="F60" s="31">
        <f>Source!AM36</f>
        <v>0.5</v>
      </c>
      <c r="G60" s="30" t="s">
        <v>400</v>
      </c>
      <c r="H60" s="28">
        <f>Source!AV37</f>
        <v>1.0469999999999999</v>
      </c>
      <c r="I60" s="31">
        <f>Source!Q36</f>
        <v>0.57999999999999996</v>
      </c>
      <c r="J60" s="28">
        <f>IF(Source!BB37&lt;&gt; 0, Source!BB37, 1)</f>
        <v>16.260000000000002</v>
      </c>
      <c r="K60" s="31">
        <f>Source!Q37</f>
        <v>9.43</v>
      </c>
    </row>
    <row r="61" spans="1:29" ht="14.25" x14ac:dyDescent="0.2">
      <c r="A61" s="27"/>
      <c r="B61" s="27"/>
      <c r="C61" s="27" t="s">
        <v>402</v>
      </c>
      <c r="D61" s="29"/>
      <c r="E61" s="28"/>
      <c r="F61" s="31">
        <f>Source!AN36</f>
        <v>0.08</v>
      </c>
      <c r="G61" s="30" t="s">
        <v>400</v>
      </c>
      <c r="H61" s="28">
        <f>Source!AV37</f>
        <v>1.0469999999999999</v>
      </c>
      <c r="I61" s="32">
        <f>Source!R36</f>
        <v>0.09</v>
      </c>
      <c r="J61" s="28">
        <f>IF(Source!BS37&lt;&gt; 0, Source!BS37, 1)</f>
        <v>54.99</v>
      </c>
      <c r="K61" s="32">
        <f>Source!R37</f>
        <v>4.95</v>
      </c>
    </row>
    <row r="62" spans="1:29" ht="14.25" x14ac:dyDescent="0.2">
      <c r="A62" s="27"/>
      <c r="B62" s="27"/>
      <c r="C62" s="27" t="s">
        <v>404</v>
      </c>
      <c r="D62" s="29" t="s">
        <v>405</v>
      </c>
      <c r="E62" s="28">
        <f>Source!BZ37</f>
        <v>90</v>
      </c>
      <c r="F62" s="31"/>
      <c r="G62" s="30"/>
      <c r="H62" s="28"/>
      <c r="I62" s="31">
        <f>SUM(Q58:Q61)</f>
        <v>12.16</v>
      </c>
      <c r="J62" s="28">
        <f>Source!AT37</f>
        <v>90</v>
      </c>
      <c r="K62" s="31">
        <f>SUM(R58:R61)</f>
        <v>668.63</v>
      </c>
    </row>
    <row r="63" spans="1:29" ht="14.25" x14ac:dyDescent="0.2">
      <c r="A63" s="27"/>
      <c r="B63" s="27"/>
      <c r="C63" s="27" t="s">
        <v>406</v>
      </c>
      <c r="D63" s="29" t="s">
        <v>405</v>
      </c>
      <c r="E63" s="28">
        <f>Source!CA37</f>
        <v>46</v>
      </c>
      <c r="F63" s="31"/>
      <c r="G63" s="30"/>
      <c r="H63" s="28"/>
      <c r="I63" s="31">
        <f>SUM(S58:S62)</f>
        <v>6.21</v>
      </c>
      <c r="J63" s="28">
        <f>Source!AU37</f>
        <v>46</v>
      </c>
      <c r="K63" s="31">
        <f>SUM(T58:T62)</f>
        <v>341.74</v>
      </c>
    </row>
    <row r="64" spans="1:29" ht="14.25" x14ac:dyDescent="0.2">
      <c r="A64" s="33"/>
      <c r="B64" s="33"/>
      <c r="C64" s="33" t="s">
        <v>407</v>
      </c>
      <c r="D64" s="34" t="s">
        <v>408</v>
      </c>
      <c r="E64" s="35">
        <f>Source!AQ36</f>
        <v>1.03</v>
      </c>
      <c r="F64" s="36"/>
      <c r="G64" s="37" t="s">
        <v>400</v>
      </c>
      <c r="H64" s="35">
        <f>Source!AV37</f>
        <v>1.0469999999999999</v>
      </c>
      <c r="I64" s="36">
        <f>Source!U36</f>
        <v>1.1862510000000002</v>
      </c>
      <c r="J64" s="35"/>
      <c r="K64" s="36"/>
    </row>
    <row r="65" spans="1:29" ht="15" x14ac:dyDescent="0.2">
      <c r="C65" s="38" t="s">
        <v>409</v>
      </c>
      <c r="H65" s="66">
        <f>I59+I60+I62+I63+0-0-0</f>
        <v>32.369999999999997</v>
      </c>
      <c r="I65" s="66"/>
      <c r="J65" s="66">
        <f>K59+K60+K62+K63+0-0-0</f>
        <v>1757.77</v>
      </c>
      <c r="K65" s="66"/>
    </row>
    <row r="66" spans="1:29" ht="15" hidden="1" x14ac:dyDescent="0.2">
      <c r="C66" s="38" t="s">
        <v>410</v>
      </c>
      <c r="H66" s="64">
        <f>0+0</f>
        <v>0</v>
      </c>
      <c r="I66" s="64"/>
      <c r="J66" s="64">
        <f>0+0</f>
        <v>0</v>
      </c>
      <c r="K66" s="64"/>
    </row>
    <row r="67" spans="1:29" ht="15" x14ac:dyDescent="0.2">
      <c r="C67" s="38" t="s">
        <v>411</v>
      </c>
      <c r="H67" s="64">
        <f>I59+I60+I62+I63+0</f>
        <v>32.369999999999997</v>
      </c>
      <c r="I67" s="64"/>
      <c r="J67" s="64">
        <f>K59+K60+K62+K63+0</f>
        <v>1757.77</v>
      </c>
      <c r="K67" s="64"/>
      <c r="O67" s="39">
        <f>I59+I60+I62+I63+0</f>
        <v>32.369999999999997</v>
      </c>
      <c r="P67" s="39">
        <f>K59+K60+K62+K63+0</f>
        <v>1757.77</v>
      </c>
    </row>
    <row r="69" spans="1:29" ht="82.5" x14ac:dyDescent="0.2">
      <c r="A69" s="40">
        <v>6</v>
      </c>
      <c r="B69" s="40" t="str">
        <f>Source!F38</f>
        <v>КА-3</v>
      </c>
      <c r="C69" s="40" t="s">
        <v>414</v>
      </c>
      <c r="D69" s="41" t="str">
        <f>Source!H38</f>
        <v>шт.</v>
      </c>
      <c r="E69" s="42">
        <f>Source!I38</f>
        <v>1</v>
      </c>
      <c r="F69" s="43">
        <f>Source!AL38</f>
        <v>6860.6100000000006</v>
      </c>
      <c r="G69" s="44"/>
      <c r="H69" s="42">
        <f>Source!AW39</f>
        <v>1</v>
      </c>
      <c r="I69" s="43">
        <f>Source!P38</f>
        <v>6860.61</v>
      </c>
      <c r="J69" s="42">
        <f>IF(Source!BC39&lt;&gt; 0, Source!BC39, 1)</f>
        <v>7.66</v>
      </c>
      <c r="K69" s="43">
        <f>Source!P39</f>
        <v>52552.27</v>
      </c>
      <c r="Q69">
        <f>Source!X38</f>
        <v>0</v>
      </c>
      <c r="R69">
        <f>Source!X39</f>
        <v>0</v>
      </c>
      <c r="S69">
        <f>Source!Y38</f>
        <v>0</v>
      </c>
      <c r="T69">
        <f>Source!Y39</f>
        <v>0</v>
      </c>
      <c r="U69">
        <f>ROUND((175/100)*ROUND(Source!R38, 2), 2)</f>
        <v>0</v>
      </c>
      <c r="V69">
        <f>ROUND((0/100)*ROUND(Source!R39, 2), 2)</f>
        <v>0</v>
      </c>
      <c r="AC69">
        <v>5</v>
      </c>
    </row>
    <row r="70" spans="1:29" ht="15" x14ac:dyDescent="0.2">
      <c r="A70" s="45"/>
      <c r="B70" s="45"/>
      <c r="C70" s="46" t="s">
        <v>411</v>
      </c>
      <c r="D70" s="45"/>
      <c r="E70" s="45"/>
      <c r="F70" s="45"/>
      <c r="G70" s="45"/>
      <c r="H70" s="67">
        <f>I69+0</f>
        <v>6860.61</v>
      </c>
      <c r="I70" s="67"/>
      <c r="J70" s="67">
        <f>K69+0</f>
        <v>52552.27</v>
      </c>
      <c r="K70" s="67"/>
      <c r="O70" s="39">
        <f>I69+0</f>
        <v>6860.61</v>
      </c>
      <c r="P70" s="39">
        <f>K69+0</f>
        <v>52552.27</v>
      </c>
    </row>
    <row r="72" spans="1:29" ht="42.75" x14ac:dyDescent="0.2">
      <c r="A72" s="27">
        <v>7</v>
      </c>
      <c r="B72" s="27" t="str">
        <f>Source!F40</f>
        <v>4.11-12-1</v>
      </c>
      <c r="C72" s="27" t="s">
        <v>50</v>
      </c>
      <c r="D72" s="29" t="str">
        <f>Source!H40</f>
        <v>1  ШТ.</v>
      </c>
      <c r="E72" s="28">
        <f>Source!I40</f>
        <v>1</v>
      </c>
      <c r="F72" s="31"/>
      <c r="G72" s="30"/>
      <c r="H72" s="28"/>
      <c r="I72" s="31"/>
      <c r="J72" s="28"/>
      <c r="K72" s="31"/>
      <c r="Q72">
        <f>Source!X40</f>
        <v>12.16</v>
      </c>
      <c r="R72">
        <f>Source!X41</f>
        <v>668.63</v>
      </c>
      <c r="S72">
        <f>Source!Y40</f>
        <v>6.21</v>
      </c>
      <c r="T72">
        <f>Source!Y41</f>
        <v>341.74</v>
      </c>
      <c r="U72">
        <f>ROUND((175/100)*ROUND(Source!R40, 2), 2)</f>
        <v>0.16</v>
      </c>
      <c r="V72">
        <f>ROUND((0/100)*ROUND(Source!R41, 2), 2)</f>
        <v>0</v>
      </c>
      <c r="AC72">
        <v>0</v>
      </c>
    </row>
    <row r="73" spans="1:29" ht="14.25" x14ac:dyDescent="0.2">
      <c r="A73" s="27"/>
      <c r="B73" s="27"/>
      <c r="C73" s="27" t="s">
        <v>399</v>
      </c>
      <c r="D73" s="29"/>
      <c r="E73" s="28"/>
      <c r="F73" s="31">
        <f>Source!AO40</f>
        <v>11.65</v>
      </c>
      <c r="G73" s="30" t="s">
        <v>400</v>
      </c>
      <c r="H73" s="28">
        <f>Source!AV41</f>
        <v>1.0469999999999999</v>
      </c>
      <c r="I73" s="31">
        <f>Source!S40</f>
        <v>13.42</v>
      </c>
      <c r="J73" s="28">
        <f>IF(Source!BA41&lt;&gt; 0, Source!BA41, 1)</f>
        <v>54.99</v>
      </c>
      <c r="K73" s="31">
        <f>Source!S41</f>
        <v>737.97</v>
      </c>
    </row>
    <row r="74" spans="1:29" ht="14.25" x14ac:dyDescent="0.2">
      <c r="A74" s="27"/>
      <c r="B74" s="27"/>
      <c r="C74" s="27" t="s">
        <v>401</v>
      </c>
      <c r="D74" s="29"/>
      <c r="E74" s="28"/>
      <c r="F74" s="31">
        <f>Source!AM40</f>
        <v>0.5</v>
      </c>
      <c r="G74" s="30" t="s">
        <v>400</v>
      </c>
      <c r="H74" s="28">
        <f>Source!AV41</f>
        <v>1.0469999999999999</v>
      </c>
      <c r="I74" s="31">
        <f>Source!Q40</f>
        <v>0.57999999999999996</v>
      </c>
      <c r="J74" s="28">
        <f>IF(Source!BB41&lt;&gt; 0, Source!BB41, 1)</f>
        <v>16.260000000000002</v>
      </c>
      <c r="K74" s="31">
        <f>Source!Q41</f>
        <v>9.43</v>
      </c>
    </row>
    <row r="75" spans="1:29" ht="14.25" x14ac:dyDescent="0.2">
      <c r="A75" s="27"/>
      <c r="B75" s="27"/>
      <c r="C75" s="27" t="s">
        <v>402</v>
      </c>
      <c r="D75" s="29"/>
      <c r="E75" s="28"/>
      <c r="F75" s="31">
        <f>Source!AN40</f>
        <v>0.08</v>
      </c>
      <c r="G75" s="30" t="s">
        <v>400</v>
      </c>
      <c r="H75" s="28">
        <f>Source!AV41</f>
        <v>1.0469999999999999</v>
      </c>
      <c r="I75" s="32">
        <f>Source!R40</f>
        <v>0.09</v>
      </c>
      <c r="J75" s="28">
        <f>IF(Source!BS41&lt;&gt; 0, Source!BS41, 1)</f>
        <v>54.99</v>
      </c>
      <c r="K75" s="32">
        <f>Source!R41</f>
        <v>4.95</v>
      </c>
    </row>
    <row r="76" spans="1:29" ht="14.25" x14ac:dyDescent="0.2">
      <c r="A76" s="27"/>
      <c r="B76" s="27"/>
      <c r="C76" s="27" t="s">
        <v>404</v>
      </c>
      <c r="D76" s="29" t="s">
        <v>405</v>
      </c>
      <c r="E76" s="28">
        <f>Source!BZ41</f>
        <v>90</v>
      </c>
      <c r="F76" s="31"/>
      <c r="G76" s="30"/>
      <c r="H76" s="28"/>
      <c r="I76" s="31">
        <f>SUM(Q72:Q75)</f>
        <v>12.16</v>
      </c>
      <c r="J76" s="28">
        <f>Source!AT41</f>
        <v>90</v>
      </c>
      <c r="K76" s="31">
        <f>SUM(R72:R75)</f>
        <v>668.63</v>
      </c>
    </row>
    <row r="77" spans="1:29" ht="14.25" x14ac:dyDescent="0.2">
      <c r="A77" s="27"/>
      <c r="B77" s="27"/>
      <c r="C77" s="27" t="s">
        <v>406</v>
      </c>
      <c r="D77" s="29" t="s">
        <v>405</v>
      </c>
      <c r="E77" s="28">
        <f>Source!CA41</f>
        <v>46</v>
      </c>
      <c r="F77" s="31"/>
      <c r="G77" s="30"/>
      <c r="H77" s="28"/>
      <c r="I77" s="31">
        <f>SUM(S72:S76)</f>
        <v>6.21</v>
      </c>
      <c r="J77" s="28">
        <f>Source!AU41</f>
        <v>46</v>
      </c>
      <c r="K77" s="31">
        <f>SUM(T72:T76)</f>
        <v>341.74</v>
      </c>
    </row>
    <row r="78" spans="1:29" ht="14.25" x14ac:dyDescent="0.2">
      <c r="A78" s="33"/>
      <c r="B78" s="33"/>
      <c r="C78" s="33" t="s">
        <v>407</v>
      </c>
      <c r="D78" s="34" t="s">
        <v>408</v>
      </c>
      <c r="E78" s="35">
        <f>Source!AQ40</f>
        <v>1.03</v>
      </c>
      <c r="F78" s="36"/>
      <c r="G78" s="37" t="s">
        <v>400</v>
      </c>
      <c r="H78" s="35">
        <f>Source!AV41</f>
        <v>1.0469999999999999</v>
      </c>
      <c r="I78" s="36">
        <f>Source!U40</f>
        <v>1.1862510000000002</v>
      </c>
      <c r="J78" s="35"/>
      <c r="K78" s="36"/>
    </row>
    <row r="79" spans="1:29" ht="15" x14ac:dyDescent="0.2">
      <c r="C79" s="38" t="s">
        <v>409</v>
      </c>
      <c r="H79" s="66">
        <f>I73+I74+I76+I77+0-0-0</f>
        <v>32.369999999999997</v>
      </c>
      <c r="I79" s="66"/>
      <c r="J79" s="66">
        <f>K73+K74+K76+K77+0-0-0</f>
        <v>1757.77</v>
      </c>
      <c r="K79" s="66"/>
    </row>
    <row r="80" spans="1:29" ht="15" hidden="1" x14ac:dyDescent="0.2">
      <c r="C80" s="38" t="s">
        <v>410</v>
      </c>
      <c r="H80" s="64">
        <f>0+0</f>
        <v>0</v>
      </c>
      <c r="I80" s="64"/>
      <c r="J80" s="64">
        <f>0+0</f>
        <v>0</v>
      </c>
      <c r="K80" s="64"/>
    </row>
    <row r="81" spans="1:29" ht="15" x14ac:dyDescent="0.2">
      <c r="C81" s="38" t="s">
        <v>411</v>
      </c>
      <c r="H81" s="64">
        <f>I73+I74+I76+I77+0</f>
        <v>32.369999999999997</v>
      </c>
      <c r="I81" s="64"/>
      <c r="J81" s="64">
        <f>K73+K74+K76+K77+0</f>
        <v>1757.77</v>
      </c>
      <c r="K81" s="64"/>
      <c r="O81" s="39">
        <f>I73+I74+I76+I77+0</f>
        <v>32.369999999999997</v>
      </c>
      <c r="P81" s="39">
        <f>K73+K74+K76+K77+0</f>
        <v>1757.77</v>
      </c>
    </row>
    <row r="83" spans="1:29" ht="68.25" x14ac:dyDescent="0.2">
      <c r="A83" s="40">
        <v>8</v>
      </c>
      <c r="B83" s="40" t="str">
        <f>Source!F42</f>
        <v>КА-4</v>
      </c>
      <c r="C83" s="40" t="s">
        <v>415</v>
      </c>
      <c r="D83" s="41" t="str">
        <f>Source!H42</f>
        <v>шт.</v>
      </c>
      <c r="E83" s="42">
        <f>Source!I42</f>
        <v>1</v>
      </c>
      <c r="F83" s="43">
        <f>Source!AL42</f>
        <v>8001.8600000000006</v>
      </c>
      <c r="G83" s="44"/>
      <c r="H83" s="42">
        <f>Source!AW43</f>
        <v>1</v>
      </c>
      <c r="I83" s="43">
        <f>Source!P42</f>
        <v>8001.86</v>
      </c>
      <c r="J83" s="42">
        <f>IF(Source!BC43&lt;&gt; 0, Source!BC43, 1)</f>
        <v>7.66</v>
      </c>
      <c r="K83" s="43">
        <f>Source!P43</f>
        <v>61294.25</v>
      </c>
      <c r="Q83">
        <f>Source!X42</f>
        <v>0</v>
      </c>
      <c r="R83">
        <f>Source!X43</f>
        <v>0</v>
      </c>
      <c r="S83">
        <f>Source!Y42</f>
        <v>0</v>
      </c>
      <c r="T83">
        <f>Source!Y43</f>
        <v>0</v>
      </c>
      <c r="U83">
        <f>ROUND((175/100)*ROUND(Source!R42, 2), 2)</f>
        <v>0</v>
      </c>
      <c r="V83">
        <f>ROUND((0/100)*ROUND(Source!R43, 2), 2)</f>
        <v>0</v>
      </c>
      <c r="AC83">
        <v>5</v>
      </c>
    </row>
    <row r="84" spans="1:29" ht="15" x14ac:dyDescent="0.2">
      <c r="A84" s="45"/>
      <c r="B84" s="45"/>
      <c r="C84" s="46" t="s">
        <v>411</v>
      </c>
      <c r="D84" s="45"/>
      <c r="E84" s="45"/>
      <c r="F84" s="45"/>
      <c r="G84" s="45"/>
      <c r="H84" s="67">
        <f>I83+0</f>
        <v>8001.86</v>
      </c>
      <c r="I84" s="67"/>
      <c r="J84" s="67">
        <f>K83+0</f>
        <v>61294.25</v>
      </c>
      <c r="K84" s="67"/>
      <c r="O84" s="39">
        <f>I83+0</f>
        <v>8001.86</v>
      </c>
      <c r="P84" s="39">
        <f>K83+0</f>
        <v>61294.25</v>
      </c>
    </row>
    <row r="86" spans="1:29" ht="28.5" x14ac:dyDescent="0.2">
      <c r="A86" s="27">
        <v>9</v>
      </c>
      <c r="B86" s="27" t="str">
        <f>Source!F44</f>
        <v>4.11-3-1</v>
      </c>
      <c r="C86" s="27" t="s">
        <v>65</v>
      </c>
      <c r="D86" s="29" t="str">
        <f>Source!H44</f>
        <v>1  ШТ.</v>
      </c>
      <c r="E86" s="28">
        <f>Source!I44</f>
        <v>1</v>
      </c>
      <c r="F86" s="31"/>
      <c r="G86" s="30"/>
      <c r="H86" s="28"/>
      <c r="I86" s="31"/>
      <c r="J86" s="28"/>
      <c r="K86" s="31"/>
      <c r="Q86">
        <f>Source!X44</f>
        <v>6.99</v>
      </c>
      <c r="R86">
        <f>Source!X45</f>
        <v>384.54</v>
      </c>
      <c r="S86">
        <f>Source!Y44</f>
        <v>3.57</v>
      </c>
      <c r="T86">
        <f>Source!Y45</f>
        <v>196.54</v>
      </c>
      <c r="U86">
        <f>ROUND((175/100)*ROUND(Source!R44, 2), 2)</f>
        <v>0</v>
      </c>
      <c r="V86">
        <f>ROUND((0/100)*ROUND(Source!R45, 2), 2)</f>
        <v>0</v>
      </c>
      <c r="AC86">
        <v>0</v>
      </c>
    </row>
    <row r="87" spans="1:29" ht="14.25" x14ac:dyDescent="0.2">
      <c r="A87" s="27"/>
      <c r="B87" s="27"/>
      <c r="C87" s="27" t="s">
        <v>399</v>
      </c>
      <c r="D87" s="29"/>
      <c r="E87" s="28"/>
      <c r="F87" s="31">
        <f>Source!AO44</f>
        <v>6.75</v>
      </c>
      <c r="G87" s="30" t="s">
        <v>400</v>
      </c>
      <c r="H87" s="28">
        <f>Source!AV45</f>
        <v>1.0469999999999999</v>
      </c>
      <c r="I87" s="31">
        <f>Source!S44</f>
        <v>7.77</v>
      </c>
      <c r="J87" s="28">
        <f>IF(Source!BA45&lt;&gt; 0, Source!BA45, 1)</f>
        <v>54.99</v>
      </c>
      <c r="K87" s="31">
        <f>Source!S45</f>
        <v>427.27</v>
      </c>
    </row>
    <row r="88" spans="1:29" ht="57" x14ac:dyDescent="0.2">
      <c r="A88" s="27" t="s">
        <v>67</v>
      </c>
      <c r="B88" s="27" t="str">
        <f>Source!F46</f>
        <v>1.1-1-8146</v>
      </c>
      <c r="C88" s="27" t="s">
        <v>69</v>
      </c>
      <c r="D88" s="29" t="str">
        <f>Source!H46</f>
        <v>кг</v>
      </c>
      <c r="E88" s="28">
        <f>Source!I46</f>
        <v>3.5000000000000003E-2</v>
      </c>
      <c r="F88" s="31">
        <f>Source!AK46</f>
        <v>31.08</v>
      </c>
      <c r="G88" s="47" t="s">
        <v>3</v>
      </c>
      <c r="H88" s="28">
        <f>Source!AW47</f>
        <v>1</v>
      </c>
      <c r="I88" s="31">
        <f>Source!O46</f>
        <v>1.0900000000000001</v>
      </c>
      <c r="J88" s="28">
        <f>IF(Source!BC47&lt;&gt; 0, Source!BC47, 1)</f>
        <v>5.12</v>
      </c>
      <c r="K88" s="31">
        <f>Source!O47</f>
        <v>5.58</v>
      </c>
      <c r="Q88">
        <f>Source!X46</f>
        <v>0</v>
      </c>
      <c r="R88">
        <f>Source!X47</f>
        <v>0</v>
      </c>
      <c r="S88">
        <f>Source!Y46</f>
        <v>0</v>
      </c>
      <c r="T88">
        <f>Source!Y47</f>
        <v>0</v>
      </c>
      <c r="U88">
        <f>ROUND((175/100)*ROUND(Source!R46, 2), 2)</f>
        <v>0</v>
      </c>
      <c r="V88">
        <f>ROUND((0/100)*ROUND(Source!R47, 2), 2)</f>
        <v>0</v>
      </c>
      <c r="AC88">
        <v>3</v>
      </c>
    </row>
    <row r="89" spans="1:29" ht="14.25" x14ac:dyDescent="0.2">
      <c r="A89" s="27"/>
      <c r="B89" s="27"/>
      <c r="C89" s="27" t="s">
        <v>404</v>
      </c>
      <c r="D89" s="29" t="s">
        <v>405</v>
      </c>
      <c r="E89" s="28">
        <f>Source!BZ45</f>
        <v>90</v>
      </c>
      <c r="F89" s="31"/>
      <c r="G89" s="30"/>
      <c r="H89" s="28"/>
      <c r="I89" s="31">
        <f>SUM(Q86:Q88)</f>
        <v>6.99</v>
      </c>
      <c r="J89" s="28">
        <f>Source!AT45</f>
        <v>90</v>
      </c>
      <c r="K89" s="31">
        <f>SUM(R86:R88)</f>
        <v>384.54</v>
      </c>
    </row>
    <row r="90" spans="1:29" ht="14.25" x14ac:dyDescent="0.2">
      <c r="A90" s="27"/>
      <c r="B90" s="27"/>
      <c r="C90" s="27" t="s">
        <v>406</v>
      </c>
      <c r="D90" s="29" t="s">
        <v>405</v>
      </c>
      <c r="E90" s="28">
        <f>Source!CA45</f>
        <v>46</v>
      </c>
      <c r="F90" s="31"/>
      <c r="G90" s="30"/>
      <c r="H90" s="28"/>
      <c r="I90" s="31">
        <f>SUM(S86:S89)</f>
        <v>3.57</v>
      </c>
      <c r="J90" s="28">
        <f>Source!AU45</f>
        <v>46</v>
      </c>
      <c r="K90" s="31">
        <f>SUM(T86:T89)</f>
        <v>196.54</v>
      </c>
    </row>
    <row r="91" spans="1:29" ht="14.25" x14ac:dyDescent="0.2">
      <c r="A91" s="33"/>
      <c r="B91" s="33"/>
      <c r="C91" s="33" t="s">
        <v>407</v>
      </c>
      <c r="D91" s="34" t="s">
        <v>408</v>
      </c>
      <c r="E91" s="35">
        <f>Source!AQ44</f>
        <v>0.52</v>
      </c>
      <c r="F91" s="36"/>
      <c r="G91" s="37" t="s">
        <v>400</v>
      </c>
      <c r="H91" s="35">
        <f>Source!AV45</f>
        <v>1.0469999999999999</v>
      </c>
      <c r="I91" s="36">
        <f>Source!U44</f>
        <v>0.59888399999999997</v>
      </c>
      <c r="J91" s="35"/>
      <c r="K91" s="36"/>
    </row>
    <row r="92" spans="1:29" ht="15" x14ac:dyDescent="0.2">
      <c r="C92" s="38" t="s">
        <v>409</v>
      </c>
      <c r="H92" s="66">
        <f>I87+I89+I90+SUM(I88:I88)-SUMIF(AC88:AC88, 5, I88:I88)-SUMIF(AC88:AC88, 6, I88:I88)</f>
        <v>19.419999999999998</v>
      </c>
      <c r="I92" s="66"/>
      <c r="J92" s="66">
        <f>K87+K89+K90+SUM(K88:K88)-SUMIF(AC88:AC88, 5, K88:K88)-SUMIF(AC88:AC88, 6, K88:K88)</f>
        <v>1013.93</v>
      </c>
      <c r="K92" s="66"/>
    </row>
    <row r="93" spans="1:29" ht="15" hidden="1" x14ac:dyDescent="0.2">
      <c r="C93" s="38" t="s">
        <v>410</v>
      </c>
      <c r="H93" s="64">
        <f>SUMIF(AC88:AC88, 5, I88:I88)+SUMIF(AC88:AC88, 6, I88:I88)</f>
        <v>0</v>
      </c>
      <c r="I93" s="64"/>
      <c r="J93" s="64">
        <f>SUMIF(AC88:AC88, 5, K88:K88)+SUMIF(AC88:AC88, 6, K88:K88)</f>
        <v>0</v>
      </c>
      <c r="K93" s="64"/>
    </row>
    <row r="94" spans="1:29" ht="15" x14ac:dyDescent="0.2">
      <c r="C94" s="38" t="s">
        <v>411</v>
      </c>
      <c r="H94" s="64">
        <f>I87+I89+I90+SUM(I88:I88)</f>
        <v>19.419999999999998</v>
      </c>
      <c r="I94" s="64"/>
      <c r="J94" s="64">
        <f>K87+K89+K90+SUM(K88:K88)</f>
        <v>1013.93</v>
      </c>
      <c r="K94" s="64"/>
      <c r="O94" s="39">
        <f>I87+I89+I90+SUM(I88:I88)</f>
        <v>19.419999999999998</v>
      </c>
      <c r="P94" s="39">
        <f>K87+K89+K90+SUM(K88:K88)</f>
        <v>1013.93</v>
      </c>
    </row>
    <row r="96" spans="1:29" ht="82.5" x14ac:dyDescent="0.2">
      <c r="A96" s="40">
        <v>10</v>
      </c>
      <c r="B96" s="40" t="str">
        <f>Source!F48</f>
        <v>КА-5</v>
      </c>
      <c r="C96" s="40" t="s">
        <v>416</v>
      </c>
      <c r="D96" s="41" t="str">
        <f>Source!H48</f>
        <v>шт.</v>
      </c>
      <c r="E96" s="42">
        <f>Source!I48</f>
        <v>1</v>
      </c>
      <c r="F96" s="43">
        <f>Source!AL48</f>
        <v>3010.39</v>
      </c>
      <c r="G96" s="44"/>
      <c r="H96" s="42">
        <f>Source!AW49</f>
        <v>1</v>
      </c>
      <c r="I96" s="43">
        <f>Source!P48</f>
        <v>3010.39</v>
      </c>
      <c r="J96" s="42">
        <f>IF(Source!BC49&lt;&gt; 0, Source!BC49, 1)</f>
        <v>7.66</v>
      </c>
      <c r="K96" s="43">
        <f>Source!P49</f>
        <v>23059.59</v>
      </c>
      <c r="Q96">
        <f>Source!X48</f>
        <v>0</v>
      </c>
      <c r="R96">
        <f>Source!X49</f>
        <v>0</v>
      </c>
      <c r="S96">
        <f>Source!Y48</f>
        <v>0</v>
      </c>
      <c r="T96">
        <f>Source!Y49</f>
        <v>0</v>
      </c>
      <c r="U96">
        <f>ROUND((175/100)*ROUND(Source!R48, 2), 2)</f>
        <v>0</v>
      </c>
      <c r="V96">
        <f>ROUND((0/100)*ROUND(Source!R49, 2), 2)</f>
        <v>0</v>
      </c>
      <c r="AC96">
        <v>5</v>
      </c>
    </row>
    <row r="97" spans="1:29" ht="15" x14ac:dyDescent="0.2">
      <c r="A97" s="45"/>
      <c r="B97" s="45"/>
      <c r="C97" s="46" t="s">
        <v>411</v>
      </c>
      <c r="D97" s="45"/>
      <c r="E97" s="45"/>
      <c r="F97" s="45"/>
      <c r="G97" s="45"/>
      <c r="H97" s="67">
        <f>I96+0</f>
        <v>3010.39</v>
      </c>
      <c r="I97" s="67"/>
      <c r="J97" s="67">
        <f>K96+0</f>
        <v>23059.59</v>
      </c>
      <c r="K97" s="67"/>
      <c r="O97" s="39">
        <f>I96+0</f>
        <v>3010.39</v>
      </c>
      <c r="P97" s="39">
        <f>K96+0</f>
        <v>23059.59</v>
      </c>
    </row>
    <row r="99" spans="1:29" ht="28.5" x14ac:dyDescent="0.2">
      <c r="A99" s="27">
        <v>11</v>
      </c>
      <c r="B99" s="27" t="str">
        <f>Source!F50</f>
        <v>4.10-167-1</v>
      </c>
      <c r="C99" s="27" t="s">
        <v>78</v>
      </c>
      <c r="D99" s="29" t="str">
        <f>Source!H50</f>
        <v>1  ШТ.</v>
      </c>
      <c r="E99" s="28">
        <f>Source!I50</f>
        <v>1</v>
      </c>
      <c r="F99" s="31"/>
      <c r="G99" s="30"/>
      <c r="H99" s="28"/>
      <c r="I99" s="31"/>
      <c r="J99" s="28"/>
      <c r="K99" s="31"/>
      <c r="Q99">
        <f>Source!X50</f>
        <v>19.63</v>
      </c>
      <c r="R99">
        <f>Source!X51</f>
        <v>1079.4000000000001</v>
      </c>
      <c r="S99">
        <f>Source!Y50</f>
        <v>10.029999999999999</v>
      </c>
      <c r="T99">
        <f>Source!Y51</f>
        <v>551.69000000000005</v>
      </c>
      <c r="U99">
        <f>ROUND((175/100)*ROUND(Source!R50, 2), 2)</f>
        <v>0</v>
      </c>
      <c r="V99">
        <f>ROUND((0/100)*ROUND(Source!R51, 2), 2)</f>
        <v>0</v>
      </c>
      <c r="AC99">
        <v>0</v>
      </c>
    </row>
    <row r="100" spans="1:29" ht="14.25" x14ac:dyDescent="0.2">
      <c r="A100" s="27"/>
      <c r="B100" s="27"/>
      <c r="C100" s="27" t="s">
        <v>399</v>
      </c>
      <c r="D100" s="29"/>
      <c r="E100" s="28"/>
      <c r="F100" s="31">
        <f>Source!AO50</f>
        <v>18.940000000000001</v>
      </c>
      <c r="G100" s="30" t="s">
        <v>400</v>
      </c>
      <c r="H100" s="28">
        <f>Source!AV51</f>
        <v>1.0469999999999999</v>
      </c>
      <c r="I100" s="31">
        <f>Source!S50</f>
        <v>21.81</v>
      </c>
      <c r="J100" s="28">
        <f>IF(Source!BA51&lt;&gt; 0, Source!BA51, 1)</f>
        <v>54.99</v>
      </c>
      <c r="K100" s="31">
        <f>Source!S51</f>
        <v>1199.33</v>
      </c>
    </row>
    <row r="101" spans="1:29" ht="14.25" x14ac:dyDescent="0.2">
      <c r="A101" s="27"/>
      <c r="B101" s="27"/>
      <c r="C101" s="27" t="s">
        <v>401</v>
      </c>
      <c r="D101" s="29"/>
      <c r="E101" s="28"/>
      <c r="F101" s="31">
        <f>Source!AM50</f>
        <v>0.02</v>
      </c>
      <c r="G101" s="30" t="s">
        <v>400</v>
      </c>
      <c r="H101" s="28">
        <f>Source!AV51</f>
        <v>1.0469999999999999</v>
      </c>
      <c r="I101" s="31">
        <f>Source!Q50</f>
        <v>0.02</v>
      </c>
      <c r="J101" s="28">
        <f>IF(Source!BB51&lt;&gt; 0, Source!BB51, 1)</f>
        <v>10</v>
      </c>
      <c r="K101" s="31">
        <f>Source!Q51</f>
        <v>0.2</v>
      </c>
    </row>
    <row r="102" spans="1:29" ht="14.25" x14ac:dyDescent="0.2">
      <c r="A102" s="27"/>
      <c r="B102" s="27"/>
      <c r="C102" s="27" t="s">
        <v>403</v>
      </c>
      <c r="D102" s="29"/>
      <c r="E102" s="28"/>
      <c r="F102" s="31">
        <f>Source!AL50</f>
        <v>2.34</v>
      </c>
      <c r="G102" s="30"/>
      <c r="H102" s="28">
        <f>Source!AW51</f>
        <v>1</v>
      </c>
      <c r="I102" s="31">
        <f>Source!P50</f>
        <v>2.34</v>
      </c>
      <c r="J102" s="28">
        <f>IF(Source!BC51&lt;&gt; 0, Source!BC51, 1)</f>
        <v>10.26</v>
      </c>
      <c r="K102" s="31">
        <f>Source!P51</f>
        <v>24.01</v>
      </c>
    </row>
    <row r="103" spans="1:29" ht="14.25" x14ac:dyDescent="0.2">
      <c r="A103" s="27"/>
      <c r="B103" s="27"/>
      <c r="C103" s="27" t="s">
        <v>404</v>
      </c>
      <c r="D103" s="29" t="s">
        <v>405</v>
      </c>
      <c r="E103" s="28">
        <f>Source!BZ51</f>
        <v>90</v>
      </c>
      <c r="F103" s="31"/>
      <c r="G103" s="30"/>
      <c r="H103" s="28"/>
      <c r="I103" s="31">
        <f>SUM(Q99:Q102)</f>
        <v>19.63</v>
      </c>
      <c r="J103" s="28">
        <f>Source!AT51</f>
        <v>90</v>
      </c>
      <c r="K103" s="31">
        <f>SUM(R99:R102)</f>
        <v>1079.4000000000001</v>
      </c>
    </row>
    <row r="104" spans="1:29" ht="14.25" x14ac:dyDescent="0.2">
      <c r="A104" s="27"/>
      <c r="B104" s="27"/>
      <c r="C104" s="27" t="s">
        <v>406</v>
      </c>
      <c r="D104" s="29" t="s">
        <v>405</v>
      </c>
      <c r="E104" s="28">
        <f>Source!CA51</f>
        <v>46</v>
      </c>
      <c r="F104" s="31"/>
      <c r="G104" s="30"/>
      <c r="H104" s="28"/>
      <c r="I104" s="31">
        <f>SUM(S99:S103)</f>
        <v>10.029999999999999</v>
      </c>
      <c r="J104" s="28">
        <f>Source!AU51</f>
        <v>46</v>
      </c>
      <c r="K104" s="31">
        <f>SUM(T99:T103)</f>
        <v>551.69000000000005</v>
      </c>
    </row>
    <row r="105" spans="1:29" ht="14.25" x14ac:dyDescent="0.2">
      <c r="A105" s="33"/>
      <c r="B105" s="33"/>
      <c r="C105" s="33" t="s">
        <v>407</v>
      </c>
      <c r="D105" s="34" t="s">
        <v>408</v>
      </c>
      <c r="E105" s="35">
        <f>Source!AQ50</f>
        <v>1.36</v>
      </c>
      <c r="F105" s="36"/>
      <c r="G105" s="37" t="s">
        <v>400</v>
      </c>
      <c r="H105" s="35">
        <f>Source!AV51</f>
        <v>1.0469999999999999</v>
      </c>
      <c r="I105" s="36">
        <f>Source!U50</f>
        <v>1.5663120000000001</v>
      </c>
      <c r="J105" s="35"/>
      <c r="K105" s="36"/>
    </row>
    <row r="106" spans="1:29" ht="15" x14ac:dyDescent="0.2">
      <c r="C106" s="38" t="s">
        <v>409</v>
      </c>
      <c r="H106" s="66">
        <f>I100+I101+I102+I103+I104+0-0-0</f>
        <v>53.83</v>
      </c>
      <c r="I106" s="66"/>
      <c r="J106" s="66">
        <f>K100+K101+K102+K103+K104+0-0-0</f>
        <v>2854.63</v>
      </c>
      <c r="K106" s="66"/>
    </row>
    <row r="107" spans="1:29" ht="15" hidden="1" x14ac:dyDescent="0.2">
      <c r="C107" s="38" t="s">
        <v>410</v>
      </c>
      <c r="H107" s="64">
        <f>0+0</f>
        <v>0</v>
      </c>
      <c r="I107" s="64"/>
      <c r="J107" s="64">
        <f>0+0</f>
        <v>0</v>
      </c>
      <c r="K107" s="64"/>
    </row>
    <row r="108" spans="1:29" ht="15" x14ac:dyDescent="0.2">
      <c r="C108" s="38" t="s">
        <v>411</v>
      </c>
      <c r="H108" s="64">
        <f>I100+I101+I102+I103+I104+0</f>
        <v>53.83</v>
      </c>
      <c r="I108" s="64"/>
      <c r="J108" s="64">
        <f>K100+K101+K102+K103+K104+0</f>
        <v>2854.63</v>
      </c>
      <c r="K108" s="64"/>
      <c r="O108" s="39">
        <f>I100+I101+I102+I103+I104+0</f>
        <v>53.83</v>
      </c>
      <c r="P108" s="39">
        <f>K100+K101+K102+K103+K104+0</f>
        <v>2854.63</v>
      </c>
    </row>
    <row r="110" spans="1:29" ht="54" x14ac:dyDescent="0.2">
      <c r="A110" s="40">
        <v>12</v>
      </c>
      <c r="B110" s="40" t="str">
        <f>Source!F52</f>
        <v>КА-6</v>
      </c>
      <c r="C110" s="40" t="s">
        <v>417</v>
      </c>
      <c r="D110" s="41" t="str">
        <f>Source!H52</f>
        <v>шт.</v>
      </c>
      <c r="E110" s="42">
        <f>Source!I52</f>
        <v>1</v>
      </c>
      <c r="F110" s="43">
        <f>Source!AL52</f>
        <v>5636.0199999999995</v>
      </c>
      <c r="G110" s="44"/>
      <c r="H110" s="42">
        <f>Source!AW53</f>
        <v>1</v>
      </c>
      <c r="I110" s="43">
        <f>Source!P52</f>
        <v>5636.02</v>
      </c>
      <c r="J110" s="42">
        <f>IF(Source!BC53&lt;&gt; 0, Source!BC53, 1)</f>
        <v>7.66</v>
      </c>
      <c r="K110" s="43">
        <f>Source!P53</f>
        <v>43171.91</v>
      </c>
      <c r="Q110">
        <f>Source!X52</f>
        <v>0</v>
      </c>
      <c r="R110">
        <f>Source!X53</f>
        <v>0</v>
      </c>
      <c r="S110">
        <f>Source!Y52</f>
        <v>0</v>
      </c>
      <c r="T110">
        <f>Source!Y53</f>
        <v>0</v>
      </c>
      <c r="U110">
        <f>ROUND((175/100)*ROUND(Source!R52, 2), 2)</f>
        <v>0</v>
      </c>
      <c r="V110">
        <f>ROUND((0/100)*ROUND(Source!R53, 2), 2)</f>
        <v>0</v>
      </c>
      <c r="AC110">
        <v>5</v>
      </c>
    </row>
    <row r="111" spans="1:29" ht="15" x14ac:dyDescent="0.2">
      <c r="A111" s="45"/>
      <c r="B111" s="45"/>
      <c r="C111" s="46" t="s">
        <v>411</v>
      </c>
      <c r="D111" s="45"/>
      <c r="E111" s="45"/>
      <c r="F111" s="45"/>
      <c r="G111" s="45"/>
      <c r="H111" s="67">
        <f>I110+0</f>
        <v>5636.02</v>
      </c>
      <c r="I111" s="67"/>
      <c r="J111" s="67">
        <f>K110+0</f>
        <v>43171.91</v>
      </c>
      <c r="K111" s="67"/>
      <c r="O111" s="39">
        <f>I110+0</f>
        <v>5636.02</v>
      </c>
      <c r="P111" s="39">
        <f>K110+0</f>
        <v>43171.91</v>
      </c>
    </row>
    <row r="113" spans="1:29" ht="28.5" x14ac:dyDescent="0.2">
      <c r="A113" s="27">
        <v>13</v>
      </c>
      <c r="B113" s="27" t="str">
        <f>Source!F54</f>
        <v>4.11-3-1</v>
      </c>
      <c r="C113" s="27" t="s">
        <v>65</v>
      </c>
      <c r="D113" s="29" t="str">
        <f>Source!H54</f>
        <v>1  ШТ.</v>
      </c>
      <c r="E113" s="28">
        <f>Source!I54</f>
        <v>1</v>
      </c>
      <c r="F113" s="31"/>
      <c r="G113" s="30"/>
      <c r="H113" s="28"/>
      <c r="I113" s="31"/>
      <c r="J113" s="28"/>
      <c r="K113" s="31"/>
      <c r="Q113">
        <f>Source!X54</f>
        <v>6.99</v>
      </c>
      <c r="R113">
        <f>Source!X55</f>
        <v>384.54</v>
      </c>
      <c r="S113">
        <f>Source!Y54</f>
        <v>3.57</v>
      </c>
      <c r="T113">
        <f>Source!Y55</f>
        <v>196.54</v>
      </c>
      <c r="U113">
        <f>ROUND((175/100)*ROUND(Source!R54, 2), 2)</f>
        <v>0</v>
      </c>
      <c r="V113">
        <f>ROUND((0/100)*ROUND(Source!R55, 2), 2)</f>
        <v>0</v>
      </c>
      <c r="AC113">
        <v>0</v>
      </c>
    </row>
    <row r="114" spans="1:29" ht="14.25" x14ac:dyDescent="0.2">
      <c r="A114" s="27"/>
      <c r="B114" s="27"/>
      <c r="C114" s="27" t="s">
        <v>399</v>
      </c>
      <c r="D114" s="29"/>
      <c r="E114" s="28"/>
      <c r="F114" s="31">
        <f>Source!AO54</f>
        <v>6.75</v>
      </c>
      <c r="G114" s="30" t="s">
        <v>400</v>
      </c>
      <c r="H114" s="28">
        <f>Source!AV55</f>
        <v>1.0469999999999999</v>
      </c>
      <c r="I114" s="31">
        <f>Source!S54</f>
        <v>7.77</v>
      </c>
      <c r="J114" s="28">
        <f>IF(Source!BA55&lt;&gt; 0, Source!BA55, 1)</f>
        <v>54.99</v>
      </c>
      <c r="K114" s="31">
        <f>Source!S55</f>
        <v>427.27</v>
      </c>
    </row>
    <row r="115" spans="1:29" ht="57" x14ac:dyDescent="0.2">
      <c r="A115" s="27" t="s">
        <v>85</v>
      </c>
      <c r="B115" s="27" t="str">
        <f>Source!F56</f>
        <v>1.1-1-8146</v>
      </c>
      <c r="C115" s="27" t="s">
        <v>69</v>
      </c>
      <c r="D115" s="29" t="str">
        <f>Source!H56</f>
        <v>кг</v>
      </c>
      <c r="E115" s="28">
        <f>Source!I56</f>
        <v>3.5000000000000003E-2</v>
      </c>
      <c r="F115" s="31">
        <f>Source!AK56</f>
        <v>31.08</v>
      </c>
      <c r="G115" s="47" t="s">
        <v>3</v>
      </c>
      <c r="H115" s="28">
        <f>Source!AW57</f>
        <v>1</v>
      </c>
      <c r="I115" s="31">
        <f>Source!O56</f>
        <v>1.0900000000000001</v>
      </c>
      <c r="J115" s="28">
        <f>IF(Source!BC57&lt;&gt; 0, Source!BC57, 1)</f>
        <v>5.12</v>
      </c>
      <c r="K115" s="31">
        <f>Source!O57</f>
        <v>5.58</v>
      </c>
      <c r="Q115">
        <f>Source!X56</f>
        <v>0</v>
      </c>
      <c r="R115">
        <f>Source!X57</f>
        <v>0</v>
      </c>
      <c r="S115">
        <f>Source!Y56</f>
        <v>0</v>
      </c>
      <c r="T115">
        <f>Source!Y57</f>
        <v>0</v>
      </c>
      <c r="U115">
        <f>ROUND((175/100)*ROUND(Source!R56, 2), 2)</f>
        <v>0</v>
      </c>
      <c r="V115">
        <f>ROUND((0/100)*ROUND(Source!R57, 2), 2)</f>
        <v>0</v>
      </c>
      <c r="AC115">
        <v>3</v>
      </c>
    </row>
    <row r="116" spans="1:29" ht="14.25" x14ac:dyDescent="0.2">
      <c r="A116" s="27"/>
      <c r="B116" s="27"/>
      <c r="C116" s="27" t="s">
        <v>404</v>
      </c>
      <c r="D116" s="29" t="s">
        <v>405</v>
      </c>
      <c r="E116" s="28">
        <f>Source!BZ55</f>
        <v>90</v>
      </c>
      <c r="F116" s="31"/>
      <c r="G116" s="30"/>
      <c r="H116" s="28"/>
      <c r="I116" s="31">
        <f>SUM(Q113:Q115)</f>
        <v>6.99</v>
      </c>
      <c r="J116" s="28">
        <f>Source!AT55</f>
        <v>90</v>
      </c>
      <c r="K116" s="31">
        <f>SUM(R113:R115)</f>
        <v>384.54</v>
      </c>
    </row>
    <row r="117" spans="1:29" ht="14.25" x14ac:dyDescent="0.2">
      <c r="A117" s="27"/>
      <c r="B117" s="27"/>
      <c r="C117" s="27" t="s">
        <v>406</v>
      </c>
      <c r="D117" s="29" t="s">
        <v>405</v>
      </c>
      <c r="E117" s="28">
        <f>Source!CA55</f>
        <v>46</v>
      </c>
      <c r="F117" s="31"/>
      <c r="G117" s="30"/>
      <c r="H117" s="28"/>
      <c r="I117" s="31">
        <f>SUM(S113:S116)</f>
        <v>3.57</v>
      </c>
      <c r="J117" s="28">
        <f>Source!AU55</f>
        <v>46</v>
      </c>
      <c r="K117" s="31">
        <f>SUM(T113:T116)</f>
        <v>196.54</v>
      </c>
    </row>
    <row r="118" spans="1:29" ht="14.25" x14ac:dyDescent="0.2">
      <c r="A118" s="33"/>
      <c r="B118" s="33"/>
      <c r="C118" s="33" t="s">
        <v>407</v>
      </c>
      <c r="D118" s="34" t="s">
        <v>408</v>
      </c>
      <c r="E118" s="35">
        <f>Source!AQ54</f>
        <v>0.52</v>
      </c>
      <c r="F118" s="36"/>
      <c r="G118" s="37" t="s">
        <v>400</v>
      </c>
      <c r="H118" s="35">
        <f>Source!AV55</f>
        <v>1.0469999999999999</v>
      </c>
      <c r="I118" s="36">
        <f>Source!U54</f>
        <v>0.59888399999999997</v>
      </c>
      <c r="J118" s="35"/>
      <c r="K118" s="36"/>
    </row>
    <row r="119" spans="1:29" ht="15" x14ac:dyDescent="0.2">
      <c r="C119" s="38" t="s">
        <v>409</v>
      </c>
      <c r="H119" s="66">
        <f>I114+I116+I117+SUM(I115:I115)-SUMIF(AC115:AC115, 5, I115:I115)-SUMIF(AC115:AC115, 6, I115:I115)</f>
        <v>19.419999999999998</v>
      </c>
      <c r="I119" s="66"/>
      <c r="J119" s="66">
        <f>K114+K116+K117+SUM(K115:K115)-SUMIF(AC115:AC115, 5, K115:K115)-SUMIF(AC115:AC115, 6, K115:K115)</f>
        <v>1013.93</v>
      </c>
      <c r="K119" s="66"/>
    </row>
    <row r="120" spans="1:29" ht="15" hidden="1" x14ac:dyDescent="0.2">
      <c r="C120" s="38" t="s">
        <v>410</v>
      </c>
      <c r="H120" s="64">
        <f>SUMIF(AC115:AC115, 5, I115:I115)+SUMIF(AC115:AC115, 6, I115:I115)</f>
        <v>0</v>
      </c>
      <c r="I120" s="64"/>
      <c r="J120" s="64">
        <f>SUMIF(AC115:AC115, 5, K115:K115)+SUMIF(AC115:AC115, 6, K115:K115)</f>
        <v>0</v>
      </c>
      <c r="K120" s="64"/>
    </row>
    <row r="121" spans="1:29" ht="15" x14ac:dyDescent="0.2">
      <c r="C121" s="38" t="s">
        <v>411</v>
      </c>
      <c r="H121" s="64">
        <f>I114+I116+I117+SUM(I115:I115)</f>
        <v>19.419999999999998</v>
      </c>
      <c r="I121" s="64"/>
      <c r="J121" s="64">
        <f>K114+K116+K117+SUM(K115:K115)</f>
        <v>1013.93</v>
      </c>
      <c r="K121" s="64"/>
      <c r="O121" s="39">
        <f>I114+I116+I117+SUM(I115:I115)</f>
        <v>19.419999999999998</v>
      </c>
      <c r="P121" s="39">
        <f>K114+K116+K117+SUM(K115:K115)</f>
        <v>1013.93</v>
      </c>
    </row>
    <row r="123" spans="1:29" ht="82.5" x14ac:dyDescent="0.2">
      <c r="A123" s="40">
        <v>14</v>
      </c>
      <c r="B123" s="40" t="str">
        <f>Source!F58</f>
        <v>КА-7</v>
      </c>
      <c r="C123" s="40" t="s">
        <v>418</v>
      </c>
      <c r="D123" s="41" t="str">
        <f>Source!H58</f>
        <v>шт.</v>
      </c>
      <c r="E123" s="42">
        <f>Source!I58</f>
        <v>1</v>
      </c>
      <c r="F123" s="43">
        <f>Source!AL58</f>
        <v>5613.2300000000005</v>
      </c>
      <c r="G123" s="44"/>
      <c r="H123" s="42">
        <f>Source!AW59</f>
        <v>1</v>
      </c>
      <c r="I123" s="43">
        <f>Source!P58</f>
        <v>5613.23</v>
      </c>
      <c r="J123" s="42">
        <f>IF(Source!BC59&lt;&gt; 0, Source!BC59, 1)</f>
        <v>7.66</v>
      </c>
      <c r="K123" s="43">
        <f>Source!P59</f>
        <v>42997.34</v>
      </c>
      <c r="Q123">
        <f>Source!X58</f>
        <v>0</v>
      </c>
      <c r="R123">
        <f>Source!X59</f>
        <v>0</v>
      </c>
      <c r="S123">
        <f>Source!Y58</f>
        <v>0</v>
      </c>
      <c r="T123">
        <f>Source!Y59</f>
        <v>0</v>
      </c>
      <c r="U123">
        <f>ROUND((175/100)*ROUND(Source!R58, 2), 2)</f>
        <v>0</v>
      </c>
      <c r="V123">
        <f>ROUND((0/100)*ROUND(Source!R59, 2), 2)</f>
        <v>0</v>
      </c>
      <c r="AC123">
        <v>5</v>
      </c>
    </row>
    <row r="124" spans="1:29" ht="15" x14ac:dyDescent="0.2">
      <c r="A124" s="45"/>
      <c r="B124" s="45"/>
      <c r="C124" s="46" t="s">
        <v>411</v>
      </c>
      <c r="D124" s="45"/>
      <c r="E124" s="45"/>
      <c r="F124" s="45"/>
      <c r="G124" s="45"/>
      <c r="H124" s="67">
        <f>I123+0</f>
        <v>5613.23</v>
      </c>
      <c r="I124" s="67"/>
      <c r="J124" s="67">
        <f>K123+0</f>
        <v>42997.34</v>
      </c>
      <c r="K124" s="67"/>
      <c r="O124" s="39">
        <f>I123+0</f>
        <v>5613.23</v>
      </c>
      <c r="P124" s="39">
        <f>K123+0</f>
        <v>42997.34</v>
      </c>
    </row>
    <row r="126" spans="1:29" ht="28.5" x14ac:dyDescent="0.2">
      <c r="A126" s="27">
        <v>15</v>
      </c>
      <c r="B126" s="27" t="str">
        <f>Source!F60</f>
        <v>4.11-3-1</v>
      </c>
      <c r="C126" s="27" t="s">
        <v>65</v>
      </c>
      <c r="D126" s="29" t="str">
        <f>Source!H60</f>
        <v>1  ШТ.</v>
      </c>
      <c r="E126" s="28">
        <f>Source!I60</f>
        <v>1</v>
      </c>
      <c r="F126" s="31"/>
      <c r="G126" s="30"/>
      <c r="H126" s="28"/>
      <c r="I126" s="31"/>
      <c r="J126" s="28"/>
      <c r="K126" s="31"/>
      <c r="Q126">
        <f>Source!X60</f>
        <v>6.99</v>
      </c>
      <c r="R126">
        <f>Source!X61</f>
        <v>384.54</v>
      </c>
      <c r="S126">
        <f>Source!Y60</f>
        <v>3.57</v>
      </c>
      <c r="T126">
        <f>Source!Y61</f>
        <v>196.54</v>
      </c>
      <c r="U126">
        <f>ROUND((175/100)*ROUND(Source!R60, 2), 2)</f>
        <v>0</v>
      </c>
      <c r="V126">
        <f>ROUND((0/100)*ROUND(Source!R61, 2), 2)</f>
        <v>0</v>
      </c>
      <c r="AC126">
        <v>0</v>
      </c>
    </row>
    <row r="127" spans="1:29" ht="14.25" x14ac:dyDescent="0.2">
      <c r="A127" s="27"/>
      <c r="B127" s="27"/>
      <c r="C127" s="27" t="s">
        <v>399</v>
      </c>
      <c r="D127" s="29"/>
      <c r="E127" s="28"/>
      <c r="F127" s="31">
        <f>Source!AO60</f>
        <v>6.75</v>
      </c>
      <c r="G127" s="30" t="s">
        <v>400</v>
      </c>
      <c r="H127" s="28">
        <f>Source!AV61</f>
        <v>1.0469999999999999</v>
      </c>
      <c r="I127" s="31">
        <f>Source!S60</f>
        <v>7.77</v>
      </c>
      <c r="J127" s="28">
        <f>IF(Source!BA61&lt;&gt; 0, Source!BA61, 1)</f>
        <v>54.99</v>
      </c>
      <c r="K127" s="31">
        <f>Source!S61</f>
        <v>427.27</v>
      </c>
    </row>
    <row r="128" spans="1:29" ht="57" x14ac:dyDescent="0.2">
      <c r="A128" s="27" t="s">
        <v>91</v>
      </c>
      <c r="B128" s="27" t="str">
        <f>Source!F62</f>
        <v>1.1-1-8146</v>
      </c>
      <c r="C128" s="27" t="s">
        <v>69</v>
      </c>
      <c r="D128" s="29" t="str">
        <f>Source!H62</f>
        <v>кг</v>
      </c>
      <c r="E128" s="28">
        <f>Source!I62</f>
        <v>3.5000000000000003E-2</v>
      </c>
      <c r="F128" s="31">
        <f>Source!AK62</f>
        <v>31.08</v>
      </c>
      <c r="G128" s="47" t="s">
        <v>3</v>
      </c>
      <c r="H128" s="28">
        <f>Source!AW63</f>
        <v>1</v>
      </c>
      <c r="I128" s="31">
        <f>Source!O62</f>
        <v>1.0900000000000001</v>
      </c>
      <c r="J128" s="28">
        <f>IF(Source!BC63&lt;&gt; 0, Source!BC63, 1)</f>
        <v>5.12</v>
      </c>
      <c r="K128" s="31">
        <f>Source!O63</f>
        <v>5.58</v>
      </c>
      <c r="Q128">
        <f>Source!X62</f>
        <v>0</v>
      </c>
      <c r="R128">
        <f>Source!X63</f>
        <v>0</v>
      </c>
      <c r="S128">
        <f>Source!Y62</f>
        <v>0</v>
      </c>
      <c r="T128">
        <f>Source!Y63</f>
        <v>0</v>
      </c>
      <c r="U128">
        <f>ROUND((175/100)*ROUND(Source!R62, 2), 2)</f>
        <v>0</v>
      </c>
      <c r="V128">
        <f>ROUND((0/100)*ROUND(Source!R63, 2), 2)</f>
        <v>0</v>
      </c>
      <c r="AC128">
        <v>3</v>
      </c>
    </row>
    <row r="129" spans="1:29" ht="14.25" x14ac:dyDescent="0.2">
      <c r="A129" s="27"/>
      <c r="B129" s="27"/>
      <c r="C129" s="27" t="s">
        <v>404</v>
      </c>
      <c r="D129" s="29" t="s">
        <v>405</v>
      </c>
      <c r="E129" s="28">
        <f>Source!BZ61</f>
        <v>90</v>
      </c>
      <c r="F129" s="31"/>
      <c r="G129" s="30"/>
      <c r="H129" s="28"/>
      <c r="I129" s="31">
        <f>SUM(Q126:Q128)</f>
        <v>6.99</v>
      </c>
      <c r="J129" s="28">
        <f>Source!AT61</f>
        <v>90</v>
      </c>
      <c r="K129" s="31">
        <f>SUM(R126:R128)</f>
        <v>384.54</v>
      </c>
    </row>
    <row r="130" spans="1:29" ht="14.25" x14ac:dyDescent="0.2">
      <c r="A130" s="27"/>
      <c r="B130" s="27"/>
      <c r="C130" s="27" t="s">
        <v>406</v>
      </c>
      <c r="D130" s="29" t="s">
        <v>405</v>
      </c>
      <c r="E130" s="28">
        <f>Source!CA61</f>
        <v>46</v>
      </c>
      <c r="F130" s="31"/>
      <c r="G130" s="30"/>
      <c r="H130" s="28"/>
      <c r="I130" s="31">
        <f>SUM(S126:S129)</f>
        <v>3.57</v>
      </c>
      <c r="J130" s="28">
        <f>Source!AU61</f>
        <v>46</v>
      </c>
      <c r="K130" s="31">
        <f>SUM(T126:T129)</f>
        <v>196.54</v>
      </c>
    </row>
    <row r="131" spans="1:29" ht="14.25" x14ac:dyDescent="0.2">
      <c r="A131" s="33"/>
      <c r="B131" s="33"/>
      <c r="C131" s="33" t="s">
        <v>407</v>
      </c>
      <c r="D131" s="34" t="s">
        <v>408</v>
      </c>
      <c r="E131" s="35">
        <f>Source!AQ60</f>
        <v>0.52</v>
      </c>
      <c r="F131" s="36"/>
      <c r="G131" s="37" t="s">
        <v>400</v>
      </c>
      <c r="H131" s="35">
        <f>Source!AV61</f>
        <v>1.0469999999999999</v>
      </c>
      <c r="I131" s="36">
        <f>Source!U60</f>
        <v>0.59888399999999997</v>
      </c>
      <c r="J131" s="35"/>
      <c r="K131" s="36"/>
    </row>
    <row r="132" spans="1:29" ht="15" x14ac:dyDescent="0.2">
      <c r="C132" s="38" t="s">
        <v>409</v>
      </c>
      <c r="H132" s="66">
        <f>I127+I129+I130+SUM(I128:I128)-SUMIF(AC128:AC128, 5, I128:I128)-SUMIF(AC128:AC128, 6, I128:I128)</f>
        <v>19.419999999999998</v>
      </c>
      <c r="I132" s="66"/>
      <c r="J132" s="66">
        <f>K127+K129+K130+SUM(K128:K128)-SUMIF(AC128:AC128, 5, K128:K128)-SUMIF(AC128:AC128, 6, K128:K128)</f>
        <v>1013.93</v>
      </c>
      <c r="K132" s="66"/>
    </row>
    <row r="133" spans="1:29" ht="15" hidden="1" x14ac:dyDescent="0.2">
      <c r="C133" s="38" t="s">
        <v>410</v>
      </c>
      <c r="H133" s="64">
        <f>SUMIF(AC128:AC128, 5, I128:I128)+SUMIF(AC128:AC128, 6, I128:I128)</f>
        <v>0</v>
      </c>
      <c r="I133" s="64"/>
      <c r="J133" s="64">
        <f>SUMIF(AC128:AC128, 5, K128:K128)+SUMIF(AC128:AC128, 6, K128:K128)</f>
        <v>0</v>
      </c>
      <c r="K133" s="64"/>
    </row>
    <row r="134" spans="1:29" ht="15" x14ac:dyDescent="0.2">
      <c r="C134" s="38" t="s">
        <v>411</v>
      </c>
      <c r="H134" s="64">
        <f>I127+I129+I130+SUM(I128:I128)</f>
        <v>19.419999999999998</v>
      </c>
      <c r="I134" s="64"/>
      <c r="J134" s="64">
        <f>K127+K129+K130+SUM(K128:K128)</f>
        <v>1013.93</v>
      </c>
      <c r="K134" s="64"/>
      <c r="O134" s="39">
        <f>I127+I129+I130+SUM(I128:I128)</f>
        <v>19.419999999999998</v>
      </c>
      <c r="P134" s="39">
        <f>K127+K129+K130+SUM(K128:K128)</f>
        <v>1013.93</v>
      </c>
    </row>
    <row r="136" spans="1:29" ht="82.5" x14ac:dyDescent="0.2">
      <c r="A136" s="40">
        <v>16</v>
      </c>
      <c r="B136" s="40" t="str">
        <f>Source!F64</f>
        <v>КА-8</v>
      </c>
      <c r="C136" s="40" t="s">
        <v>419</v>
      </c>
      <c r="D136" s="41" t="str">
        <f>Source!H64</f>
        <v>шт.</v>
      </c>
      <c r="E136" s="42">
        <f>Source!I64</f>
        <v>1</v>
      </c>
      <c r="F136" s="43">
        <f>Source!AL64</f>
        <v>8731.7000000000007</v>
      </c>
      <c r="G136" s="44"/>
      <c r="H136" s="42">
        <f>Source!AW65</f>
        <v>1</v>
      </c>
      <c r="I136" s="43">
        <f>Source!P64</f>
        <v>8731.7000000000007</v>
      </c>
      <c r="J136" s="42">
        <f>IF(Source!BC65&lt;&gt; 0, Source!BC65, 1)</f>
        <v>7.66</v>
      </c>
      <c r="K136" s="43">
        <f>Source!P65</f>
        <v>66884.820000000007</v>
      </c>
      <c r="Q136">
        <f>Source!X64</f>
        <v>0</v>
      </c>
      <c r="R136">
        <f>Source!X65</f>
        <v>0</v>
      </c>
      <c r="S136">
        <f>Source!Y64</f>
        <v>0</v>
      </c>
      <c r="T136">
        <f>Source!Y65</f>
        <v>0</v>
      </c>
      <c r="U136">
        <f>ROUND((175/100)*ROUND(Source!R64, 2), 2)</f>
        <v>0</v>
      </c>
      <c r="V136">
        <f>ROUND((0/100)*ROUND(Source!R65, 2), 2)</f>
        <v>0</v>
      </c>
      <c r="AC136">
        <v>5</v>
      </c>
    </row>
    <row r="137" spans="1:29" ht="15" x14ac:dyDescent="0.2">
      <c r="A137" s="45"/>
      <c r="B137" s="45"/>
      <c r="C137" s="46" t="s">
        <v>411</v>
      </c>
      <c r="D137" s="45"/>
      <c r="E137" s="45"/>
      <c r="F137" s="45"/>
      <c r="G137" s="45"/>
      <c r="H137" s="67">
        <f>I136+0</f>
        <v>8731.7000000000007</v>
      </c>
      <c r="I137" s="67"/>
      <c r="J137" s="67">
        <f>K136+0</f>
        <v>66884.820000000007</v>
      </c>
      <c r="K137" s="67"/>
      <c r="O137" s="39">
        <f>I136+0</f>
        <v>8731.7000000000007</v>
      </c>
      <c r="P137" s="39">
        <f>K136+0</f>
        <v>66884.820000000007</v>
      </c>
    </row>
    <row r="139" spans="1:29" ht="28.5" x14ac:dyDescent="0.2">
      <c r="A139" s="27">
        <v>17</v>
      </c>
      <c r="B139" s="27" t="str">
        <f>Source!F66</f>
        <v>4.10-80-13</v>
      </c>
      <c r="C139" s="27" t="s">
        <v>98</v>
      </c>
      <c r="D139" s="29" t="str">
        <f>Source!H66</f>
        <v>1  ШТ.</v>
      </c>
      <c r="E139" s="28">
        <f>Source!I66</f>
        <v>2</v>
      </c>
      <c r="F139" s="31"/>
      <c r="G139" s="30"/>
      <c r="H139" s="28"/>
      <c r="I139" s="31"/>
      <c r="J139" s="28"/>
      <c r="K139" s="31"/>
      <c r="Q139">
        <f>Source!X66</f>
        <v>33.340000000000003</v>
      </c>
      <c r="R139">
        <f>Source!X67</f>
        <v>1833.15</v>
      </c>
      <c r="S139">
        <f>Source!Y66</f>
        <v>17.04</v>
      </c>
      <c r="T139">
        <f>Source!Y67</f>
        <v>936.94</v>
      </c>
      <c r="U139">
        <f>ROUND((175/100)*ROUND(Source!R66, 2), 2)</f>
        <v>0.04</v>
      </c>
      <c r="V139">
        <f>ROUND((0/100)*ROUND(Source!R67, 2), 2)</f>
        <v>0</v>
      </c>
      <c r="AC139">
        <v>0</v>
      </c>
    </row>
    <row r="140" spans="1:29" ht="14.25" x14ac:dyDescent="0.2">
      <c r="A140" s="27"/>
      <c r="B140" s="27"/>
      <c r="C140" s="27" t="s">
        <v>399</v>
      </c>
      <c r="D140" s="29"/>
      <c r="E140" s="28"/>
      <c r="F140" s="31">
        <f>Source!AO66</f>
        <v>16.07</v>
      </c>
      <c r="G140" s="30" t="s">
        <v>400</v>
      </c>
      <c r="H140" s="28">
        <f>Source!AV67</f>
        <v>1.0469999999999999</v>
      </c>
      <c r="I140" s="31">
        <f>Source!S66</f>
        <v>37.020000000000003</v>
      </c>
      <c r="J140" s="28">
        <f>IF(Source!BA67&lt;&gt; 0, Source!BA67, 1)</f>
        <v>54.99</v>
      </c>
      <c r="K140" s="31">
        <f>Source!S67</f>
        <v>2035.73</v>
      </c>
    </row>
    <row r="141" spans="1:29" ht="14.25" x14ac:dyDescent="0.2">
      <c r="A141" s="27"/>
      <c r="B141" s="27"/>
      <c r="C141" s="27" t="s">
        <v>401</v>
      </c>
      <c r="D141" s="29"/>
      <c r="E141" s="28"/>
      <c r="F141" s="31">
        <f>Source!AM66</f>
        <v>0.05</v>
      </c>
      <c r="G141" s="30" t="s">
        <v>400</v>
      </c>
      <c r="H141" s="28">
        <f>Source!AV67</f>
        <v>1.0469999999999999</v>
      </c>
      <c r="I141" s="31">
        <f>Source!Q66</f>
        <v>0.12</v>
      </c>
      <c r="J141" s="28">
        <f>IF(Source!BB67&lt;&gt; 0, Source!BB67, 1)</f>
        <v>19</v>
      </c>
      <c r="K141" s="31">
        <f>Source!Q67</f>
        <v>2.2799999999999998</v>
      </c>
    </row>
    <row r="142" spans="1:29" ht="14.25" x14ac:dyDescent="0.2">
      <c r="A142" s="27"/>
      <c r="B142" s="27"/>
      <c r="C142" s="27" t="s">
        <v>402</v>
      </c>
      <c r="D142" s="29"/>
      <c r="E142" s="28"/>
      <c r="F142" s="31">
        <f>Source!AN66</f>
        <v>0.01</v>
      </c>
      <c r="G142" s="30" t="s">
        <v>400</v>
      </c>
      <c r="H142" s="28">
        <f>Source!AV67</f>
        <v>1.0469999999999999</v>
      </c>
      <c r="I142" s="32">
        <f>Source!R66</f>
        <v>0.02</v>
      </c>
      <c r="J142" s="28">
        <f>IF(Source!BS67&lt;&gt; 0, Source!BS67, 1)</f>
        <v>54.99</v>
      </c>
      <c r="K142" s="32">
        <f>Source!R67</f>
        <v>1.1000000000000001</v>
      </c>
    </row>
    <row r="143" spans="1:29" ht="14.25" x14ac:dyDescent="0.2">
      <c r="A143" s="27"/>
      <c r="B143" s="27"/>
      <c r="C143" s="27" t="s">
        <v>403</v>
      </c>
      <c r="D143" s="29"/>
      <c r="E143" s="28"/>
      <c r="F143" s="31">
        <f>Source!AL66</f>
        <v>1.96</v>
      </c>
      <c r="G143" s="30"/>
      <c r="H143" s="28">
        <f>Source!AW67</f>
        <v>1</v>
      </c>
      <c r="I143" s="31">
        <f>Source!P66</f>
        <v>3.92</v>
      </c>
      <c r="J143" s="28">
        <f>IF(Source!BC67&lt;&gt; 0, Source!BC67, 1)</f>
        <v>9.89</v>
      </c>
      <c r="K143" s="31">
        <f>Source!P67</f>
        <v>38.770000000000003</v>
      </c>
    </row>
    <row r="144" spans="1:29" ht="14.25" x14ac:dyDescent="0.2">
      <c r="A144" s="27"/>
      <c r="B144" s="27"/>
      <c r="C144" s="27" t="s">
        <v>404</v>
      </c>
      <c r="D144" s="29" t="s">
        <v>405</v>
      </c>
      <c r="E144" s="28">
        <f>Source!BZ67</f>
        <v>90</v>
      </c>
      <c r="F144" s="31"/>
      <c r="G144" s="30"/>
      <c r="H144" s="28"/>
      <c r="I144" s="31">
        <f>SUM(Q139:Q143)</f>
        <v>33.340000000000003</v>
      </c>
      <c r="J144" s="28">
        <f>Source!AT67</f>
        <v>90</v>
      </c>
      <c r="K144" s="31">
        <f>SUM(R139:R143)</f>
        <v>1833.15</v>
      </c>
    </row>
    <row r="145" spans="1:29" ht="14.25" x14ac:dyDescent="0.2">
      <c r="A145" s="27"/>
      <c r="B145" s="27"/>
      <c r="C145" s="27" t="s">
        <v>406</v>
      </c>
      <c r="D145" s="29" t="s">
        <v>405</v>
      </c>
      <c r="E145" s="28">
        <f>Source!CA67</f>
        <v>46</v>
      </c>
      <c r="F145" s="31"/>
      <c r="G145" s="30"/>
      <c r="H145" s="28"/>
      <c r="I145" s="31">
        <f>SUM(S139:S144)</f>
        <v>17.04</v>
      </c>
      <c r="J145" s="28">
        <f>Source!AU67</f>
        <v>46</v>
      </c>
      <c r="K145" s="31">
        <f>SUM(T139:T144)</f>
        <v>936.94</v>
      </c>
    </row>
    <row r="146" spans="1:29" ht="14.25" x14ac:dyDescent="0.2">
      <c r="A146" s="33"/>
      <c r="B146" s="33"/>
      <c r="C146" s="33" t="s">
        <v>407</v>
      </c>
      <c r="D146" s="34" t="s">
        <v>408</v>
      </c>
      <c r="E146" s="35">
        <f>Source!AQ66</f>
        <v>1.2</v>
      </c>
      <c r="F146" s="36"/>
      <c r="G146" s="37" t="s">
        <v>400</v>
      </c>
      <c r="H146" s="35">
        <f>Source!AV67</f>
        <v>1.0469999999999999</v>
      </c>
      <c r="I146" s="36">
        <f>Source!U66</f>
        <v>2.7640799999999999</v>
      </c>
      <c r="J146" s="35"/>
      <c r="K146" s="36"/>
    </row>
    <row r="147" spans="1:29" ht="15" x14ac:dyDescent="0.2">
      <c r="C147" s="38" t="s">
        <v>409</v>
      </c>
      <c r="H147" s="66">
        <f>I140+I141+I143+I144+I145+0-0-0</f>
        <v>91.44</v>
      </c>
      <c r="I147" s="66"/>
      <c r="J147" s="66">
        <f>K140+K141+K143+K144+K145+0-0-0</f>
        <v>4846.8700000000008</v>
      </c>
      <c r="K147" s="66"/>
    </row>
    <row r="148" spans="1:29" ht="15" hidden="1" x14ac:dyDescent="0.2">
      <c r="C148" s="38" t="s">
        <v>410</v>
      </c>
      <c r="H148" s="64">
        <f>0+0</f>
        <v>0</v>
      </c>
      <c r="I148" s="64"/>
      <c r="J148" s="64">
        <f>0+0</f>
        <v>0</v>
      </c>
      <c r="K148" s="64"/>
    </row>
    <row r="149" spans="1:29" ht="15" x14ac:dyDescent="0.2">
      <c r="C149" s="38" t="s">
        <v>411</v>
      </c>
      <c r="H149" s="64">
        <f>I140+I141+I143+I144+I145+0</f>
        <v>91.44</v>
      </c>
      <c r="I149" s="64"/>
      <c r="J149" s="64">
        <f>K140+K141+K143+K144+K145+0</f>
        <v>4846.8700000000008</v>
      </c>
      <c r="K149" s="64"/>
      <c r="O149" s="39">
        <f>I140+I141+I143+I144+I145+0</f>
        <v>91.44</v>
      </c>
      <c r="P149" s="39">
        <f>K140+K141+K143+K144+K145+0</f>
        <v>4846.8700000000008</v>
      </c>
    </row>
    <row r="151" spans="1:29" ht="54" x14ac:dyDescent="0.2">
      <c r="A151" s="40">
        <v>18</v>
      </c>
      <c r="B151" s="40" t="str">
        <f>Source!F68</f>
        <v>КА-9</v>
      </c>
      <c r="C151" s="40" t="s">
        <v>420</v>
      </c>
      <c r="D151" s="41" t="str">
        <f>Source!H68</f>
        <v>шт.</v>
      </c>
      <c r="E151" s="42">
        <f>Source!I68</f>
        <v>2</v>
      </c>
      <c r="F151" s="43">
        <f>Source!AL68</f>
        <v>77.23</v>
      </c>
      <c r="G151" s="44"/>
      <c r="H151" s="42">
        <f>Source!AW69</f>
        <v>1</v>
      </c>
      <c r="I151" s="43">
        <f>Source!P68</f>
        <v>154.46</v>
      </c>
      <c r="J151" s="42">
        <f>IF(Source!BC69&lt;&gt; 0, Source!BC69, 1)</f>
        <v>7.66</v>
      </c>
      <c r="K151" s="43">
        <f>Source!P69</f>
        <v>1183.1600000000001</v>
      </c>
      <c r="Q151">
        <f>Source!X68</f>
        <v>0</v>
      </c>
      <c r="R151">
        <f>Source!X69</f>
        <v>0</v>
      </c>
      <c r="S151">
        <f>Source!Y68</f>
        <v>0</v>
      </c>
      <c r="T151">
        <f>Source!Y69</f>
        <v>0</v>
      </c>
      <c r="U151">
        <f>ROUND((175/100)*ROUND(Source!R68, 2), 2)</f>
        <v>0</v>
      </c>
      <c r="V151">
        <f>ROUND((0/100)*ROUND(Source!R69, 2), 2)</f>
        <v>0</v>
      </c>
      <c r="AC151">
        <v>5</v>
      </c>
    </row>
    <row r="152" spans="1:29" ht="15" x14ac:dyDescent="0.2">
      <c r="A152" s="45"/>
      <c r="B152" s="45"/>
      <c r="C152" s="46" t="s">
        <v>411</v>
      </c>
      <c r="D152" s="45"/>
      <c r="E152" s="45"/>
      <c r="F152" s="45"/>
      <c r="G152" s="45"/>
      <c r="H152" s="67">
        <f>I151+0</f>
        <v>154.46</v>
      </c>
      <c r="I152" s="67"/>
      <c r="J152" s="67">
        <f>K151+0</f>
        <v>1183.1600000000001</v>
      </c>
      <c r="K152" s="67"/>
      <c r="O152" s="39">
        <f>I151+0</f>
        <v>154.46</v>
      </c>
      <c r="P152" s="39">
        <f>K151+0</f>
        <v>1183.1600000000001</v>
      </c>
    </row>
    <row r="154" spans="1:29" ht="28.5" x14ac:dyDescent="0.2">
      <c r="A154" s="27">
        <v>19</v>
      </c>
      <c r="B154" s="27" t="str">
        <f>Source!F70</f>
        <v>4.11-3-1</v>
      </c>
      <c r="C154" s="27" t="s">
        <v>65</v>
      </c>
      <c r="D154" s="29" t="str">
        <f>Source!H70</f>
        <v>1  ШТ.</v>
      </c>
      <c r="E154" s="28">
        <f>Source!I70</f>
        <v>2</v>
      </c>
      <c r="F154" s="31"/>
      <c r="G154" s="30"/>
      <c r="H154" s="28"/>
      <c r="I154" s="31"/>
      <c r="J154" s="28"/>
      <c r="K154" s="31"/>
      <c r="Q154">
        <f>Source!X70</f>
        <v>14</v>
      </c>
      <c r="R154">
        <f>Source!X71</f>
        <v>769.58</v>
      </c>
      <c r="S154">
        <f>Source!Y70</f>
        <v>7.15</v>
      </c>
      <c r="T154">
        <f>Source!Y71</f>
        <v>393.34</v>
      </c>
      <c r="U154">
        <f>ROUND((175/100)*ROUND(Source!R70, 2), 2)</f>
        <v>0</v>
      </c>
      <c r="V154">
        <f>ROUND((0/100)*ROUND(Source!R71, 2), 2)</f>
        <v>0</v>
      </c>
      <c r="AC154">
        <v>0</v>
      </c>
    </row>
    <row r="155" spans="1:29" ht="14.25" x14ac:dyDescent="0.2">
      <c r="A155" s="27"/>
      <c r="B155" s="27"/>
      <c r="C155" s="27" t="s">
        <v>399</v>
      </c>
      <c r="D155" s="29"/>
      <c r="E155" s="28"/>
      <c r="F155" s="31">
        <f>Source!AO70</f>
        <v>6.75</v>
      </c>
      <c r="G155" s="30" t="s">
        <v>400</v>
      </c>
      <c r="H155" s="28">
        <f>Source!AV71</f>
        <v>1.0469999999999999</v>
      </c>
      <c r="I155" s="31">
        <f>Source!S70</f>
        <v>15.55</v>
      </c>
      <c r="J155" s="28">
        <f>IF(Source!BA71&lt;&gt; 0, Source!BA71, 1)</f>
        <v>54.99</v>
      </c>
      <c r="K155" s="31">
        <f>Source!S71</f>
        <v>855.09</v>
      </c>
    </row>
    <row r="156" spans="1:29" ht="57" x14ac:dyDescent="0.2">
      <c r="A156" s="27" t="s">
        <v>105</v>
      </c>
      <c r="B156" s="27" t="str">
        <f>Source!F72</f>
        <v>1.1-1-8146</v>
      </c>
      <c r="C156" s="27" t="s">
        <v>69</v>
      </c>
      <c r="D156" s="29" t="str">
        <f>Source!H72</f>
        <v>кг</v>
      </c>
      <c r="E156" s="28">
        <f>Source!I72</f>
        <v>7.0000000000000007E-2</v>
      </c>
      <c r="F156" s="31">
        <f>Source!AK72</f>
        <v>31.08</v>
      </c>
      <c r="G156" s="47" t="s">
        <v>3</v>
      </c>
      <c r="H156" s="28">
        <f>Source!AW73</f>
        <v>1</v>
      </c>
      <c r="I156" s="31">
        <f>Source!O72</f>
        <v>2.1800000000000002</v>
      </c>
      <c r="J156" s="28">
        <f>IF(Source!BC73&lt;&gt; 0, Source!BC73, 1)</f>
        <v>5.12</v>
      </c>
      <c r="K156" s="31">
        <f>Source!O73</f>
        <v>11.16</v>
      </c>
      <c r="Q156">
        <f>Source!X72</f>
        <v>0</v>
      </c>
      <c r="R156">
        <f>Source!X73</f>
        <v>0</v>
      </c>
      <c r="S156">
        <f>Source!Y72</f>
        <v>0</v>
      </c>
      <c r="T156">
        <f>Source!Y73</f>
        <v>0</v>
      </c>
      <c r="U156">
        <f>ROUND((175/100)*ROUND(Source!R72, 2), 2)</f>
        <v>0</v>
      </c>
      <c r="V156">
        <f>ROUND((0/100)*ROUND(Source!R73, 2), 2)</f>
        <v>0</v>
      </c>
      <c r="AC156">
        <v>3</v>
      </c>
    </row>
    <row r="157" spans="1:29" ht="14.25" x14ac:dyDescent="0.2">
      <c r="A157" s="27"/>
      <c r="B157" s="27"/>
      <c r="C157" s="27" t="s">
        <v>404</v>
      </c>
      <c r="D157" s="29" t="s">
        <v>405</v>
      </c>
      <c r="E157" s="28">
        <f>Source!BZ71</f>
        <v>90</v>
      </c>
      <c r="F157" s="31"/>
      <c r="G157" s="30"/>
      <c r="H157" s="28"/>
      <c r="I157" s="31">
        <f>SUM(Q154:Q156)</f>
        <v>14</v>
      </c>
      <c r="J157" s="28">
        <f>Source!AT71</f>
        <v>90</v>
      </c>
      <c r="K157" s="31">
        <f>SUM(R154:R156)</f>
        <v>769.58</v>
      </c>
    </row>
    <row r="158" spans="1:29" ht="14.25" x14ac:dyDescent="0.2">
      <c r="A158" s="27"/>
      <c r="B158" s="27"/>
      <c r="C158" s="27" t="s">
        <v>406</v>
      </c>
      <c r="D158" s="29" t="s">
        <v>405</v>
      </c>
      <c r="E158" s="28">
        <f>Source!CA71</f>
        <v>46</v>
      </c>
      <c r="F158" s="31"/>
      <c r="G158" s="30"/>
      <c r="H158" s="28"/>
      <c r="I158" s="31">
        <f>SUM(S154:S157)</f>
        <v>7.15</v>
      </c>
      <c r="J158" s="28">
        <f>Source!AU71</f>
        <v>46</v>
      </c>
      <c r="K158" s="31">
        <f>SUM(T154:T157)</f>
        <v>393.34</v>
      </c>
    </row>
    <row r="159" spans="1:29" ht="14.25" x14ac:dyDescent="0.2">
      <c r="A159" s="33"/>
      <c r="B159" s="33"/>
      <c r="C159" s="33" t="s">
        <v>407</v>
      </c>
      <c r="D159" s="34" t="s">
        <v>408</v>
      </c>
      <c r="E159" s="35">
        <f>Source!AQ70</f>
        <v>0.52</v>
      </c>
      <c r="F159" s="36"/>
      <c r="G159" s="37" t="s">
        <v>400</v>
      </c>
      <c r="H159" s="35">
        <f>Source!AV71</f>
        <v>1.0469999999999999</v>
      </c>
      <c r="I159" s="36">
        <f>Source!U70</f>
        <v>1.1977679999999999</v>
      </c>
      <c r="J159" s="35"/>
      <c r="K159" s="36"/>
    </row>
    <row r="160" spans="1:29" ht="15" x14ac:dyDescent="0.2">
      <c r="C160" s="38" t="s">
        <v>409</v>
      </c>
      <c r="H160" s="66">
        <f>I155+I157+I158+SUM(I156:I156)-SUMIF(AC156:AC156, 5, I156:I156)-SUMIF(AC156:AC156, 6, I156:I156)</f>
        <v>38.880000000000003</v>
      </c>
      <c r="I160" s="66"/>
      <c r="J160" s="66">
        <f>K155+K157+K158+SUM(K156:K156)-SUMIF(AC156:AC156, 5, K156:K156)-SUMIF(AC156:AC156, 6, K156:K156)</f>
        <v>2029.17</v>
      </c>
      <c r="K160" s="66"/>
    </row>
    <row r="161" spans="1:29" ht="15" hidden="1" x14ac:dyDescent="0.2">
      <c r="C161" s="38" t="s">
        <v>410</v>
      </c>
      <c r="H161" s="64">
        <f>SUMIF(AC156:AC156, 5, I156:I156)+SUMIF(AC156:AC156, 6, I156:I156)</f>
        <v>0</v>
      </c>
      <c r="I161" s="64"/>
      <c r="J161" s="64">
        <f>SUMIF(AC156:AC156, 5, K156:K156)+SUMIF(AC156:AC156, 6, K156:K156)</f>
        <v>0</v>
      </c>
      <c r="K161" s="64"/>
    </row>
    <row r="162" spans="1:29" ht="15" x14ac:dyDescent="0.2">
      <c r="C162" s="38" t="s">
        <v>411</v>
      </c>
      <c r="H162" s="64">
        <f>I155+I157+I158+SUM(I156:I156)</f>
        <v>38.880000000000003</v>
      </c>
      <c r="I162" s="64"/>
      <c r="J162" s="64">
        <f>K155+K157+K158+SUM(K156:K156)</f>
        <v>2029.17</v>
      </c>
      <c r="K162" s="64"/>
      <c r="O162" s="39">
        <f>I155+I157+I158+SUM(I156:I156)</f>
        <v>38.880000000000003</v>
      </c>
      <c r="P162" s="39">
        <f>K155+K157+K158+SUM(K156:K156)</f>
        <v>2029.17</v>
      </c>
    </row>
    <row r="164" spans="1:29" ht="55.5" x14ac:dyDescent="0.2">
      <c r="A164" s="33">
        <v>20</v>
      </c>
      <c r="B164" s="33" t="str">
        <f>Source!F74</f>
        <v>КА-10</v>
      </c>
      <c r="C164" s="33" t="s">
        <v>421</v>
      </c>
      <c r="D164" s="34" t="str">
        <f>Source!H74</f>
        <v>шт.</v>
      </c>
      <c r="E164" s="35">
        <f>Source!I74</f>
        <v>2</v>
      </c>
      <c r="F164" s="36">
        <f>Source!AL74</f>
        <v>44.39</v>
      </c>
      <c r="G164" s="37"/>
      <c r="H164" s="35">
        <f>Source!AW75</f>
        <v>1</v>
      </c>
      <c r="I164" s="36">
        <f>Source!P74</f>
        <v>88.78</v>
      </c>
      <c r="J164" s="35">
        <f>IF(Source!BC75&lt;&gt; 0, Source!BC75, 1)</f>
        <v>9.8800000000000008</v>
      </c>
      <c r="K164" s="36">
        <f>Source!P75</f>
        <v>877.15</v>
      </c>
      <c r="Q164">
        <f>Source!X74</f>
        <v>0</v>
      </c>
      <c r="R164">
        <f>Source!X75</f>
        <v>0</v>
      </c>
      <c r="S164">
        <f>Source!Y74</f>
        <v>0</v>
      </c>
      <c r="T164">
        <f>Source!Y75</f>
        <v>0</v>
      </c>
      <c r="U164">
        <f>ROUND((175/100)*ROUND(Source!R74, 2), 2)</f>
        <v>0</v>
      </c>
      <c r="V164">
        <f>ROUND((0/100)*ROUND(Source!R75, 2), 2)</f>
        <v>0</v>
      </c>
      <c r="AC164">
        <v>3</v>
      </c>
    </row>
    <row r="165" spans="1:29" ht="15" x14ac:dyDescent="0.2">
      <c r="C165" s="38" t="s">
        <v>411</v>
      </c>
      <c r="H165" s="66">
        <f>I164+0</f>
        <v>88.78</v>
      </c>
      <c r="I165" s="66"/>
      <c r="J165" s="66">
        <f>K164+0</f>
        <v>877.15</v>
      </c>
      <c r="K165" s="66"/>
      <c r="O165" s="39">
        <f>I164+0</f>
        <v>88.78</v>
      </c>
      <c r="P165" s="39">
        <f>K164+0</f>
        <v>877.15</v>
      </c>
    </row>
    <row r="167" spans="1:29" ht="28.5" x14ac:dyDescent="0.2">
      <c r="A167" s="27">
        <v>21</v>
      </c>
      <c r="B167" s="27" t="str">
        <f>Source!F76</f>
        <v>4.11-3-1</v>
      </c>
      <c r="C167" s="27" t="s">
        <v>65</v>
      </c>
      <c r="D167" s="29" t="str">
        <f>Source!H76</f>
        <v>1  ШТ.</v>
      </c>
      <c r="E167" s="28">
        <f>Source!I76</f>
        <v>1</v>
      </c>
      <c r="F167" s="31"/>
      <c r="G167" s="30"/>
      <c r="H167" s="28"/>
      <c r="I167" s="31"/>
      <c r="J167" s="28"/>
      <c r="K167" s="31"/>
      <c r="Q167">
        <f>Source!X76</f>
        <v>6.99</v>
      </c>
      <c r="R167">
        <f>Source!X77</f>
        <v>384.54</v>
      </c>
      <c r="S167">
        <f>Source!Y76</f>
        <v>3.57</v>
      </c>
      <c r="T167">
        <f>Source!Y77</f>
        <v>196.54</v>
      </c>
      <c r="U167">
        <f>ROUND((175/100)*ROUND(Source!R76, 2), 2)</f>
        <v>0</v>
      </c>
      <c r="V167">
        <f>ROUND((0/100)*ROUND(Source!R77, 2), 2)</f>
        <v>0</v>
      </c>
      <c r="AC167">
        <v>0</v>
      </c>
    </row>
    <row r="168" spans="1:29" ht="14.25" x14ac:dyDescent="0.2">
      <c r="A168" s="27"/>
      <c r="B168" s="27"/>
      <c r="C168" s="27" t="s">
        <v>399</v>
      </c>
      <c r="D168" s="29"/>
      <c r="E168" s="28"/>
      <c r="F168" s="31">
        <f>Source!AO76</f>
        <v>6.75</v>
      </c>
      <c r="G168" s="30" t="s">
        <v>400</v>
      </c>
      <c r="H168" s="28">
        <f>Source!AV77</f>
        <v>1.0469999999999999</v>
      </c>
      <c r="I168" s="31">
        <f>Source!S76</f>
        <v>7.77</v>
      </c>
      <c r="J168" s="28">
        <f>IF(Source!BA77&lt;&gt; 0, Source!BA77, 1)</f>
        <v>54.99</v>
      </c>
      <c r="K168" s="31">
        <f>Source!S77</f>
        <v>427.27</v>
      </c>
    </row>
    <row r="169" spans="1:29" ht="57" x14ac:dyDescent="0.2">
      <c r="A169" s="27" t="s">
        <v>113</v>
      </c>
      <c r="B169" s="27" t="str">
        <f>Source!F78</f>
        <v>1.1-1-8146</v>
      </c>
      <c r="C169" s="27" t="s">
        <v>69</v>
      </c>
      <c r="D169" s="29" t="str">
        <f>Source!H78</f>
        <v>кг</v>
      </c>
      <c r="E169" s="28">
        <f>Source!I78</f>
        <v>3.5000000000000003E-2</v>
      </c>
      <c r="F169" s="31">
        <f>Source!AK78</f>
        <v>31.08</v>
      </c>
      <c r="G169" s="47" t="s">
        <v>3</v>
      </c>
      <c r="H169" s="28">
        <f>Source!AW79</f>
        <v>1</v>
      </c>
      <c r="I169" s="31">
        <f>Source!O78</f>
        <v>1.0900000000000001</v>
      </c>
      <c r="J169" s="28">
        <f>IF(Source!BC79&lt;&gt; 0, Source!BC79, 1)</f>
        <v>5.12</v>
      </c>
      <c r="K169" s="31">
        <f>Source!O79</f>
        <v>5.58</v>
      </c>
      <c r="Q169">
        <f>Source!X78</f>
        <v>0</v>
      </c>
      <c r="R169">
        <f>Source!X79</f>
        <v>0</v>
      </c>
      <c r="S169">
        <f>Source!Y78</f>
        <v>0</v>
      </c>
      <c r="T169">
        <f>Source!Y79</f>
        <v>0</v>
      </c>
      <c r="U169">
        <f>ROUND((175/100)*ROUND(Source!R78, 2), 2)</f>
        <v>0</v>
      </c>
      <c r="V169">
        <f>ROUND((0/100)*ROUND(Source!R79, 2), 2)</f>
        <v>0</v>
      </c>
      <c r="AC169">
        <v>3</v>
      </c>
    </row>
    <row r="170" spans="1:29" ht="14.25" x14ac:dyDescent="0.2">
      <c r="A170" s="27"/>
      <c r="B170" s="27"/>
      <c r="C170" s="27" t="s">
        <v>404</v>
      </c>
      <c r="D170" s="29" t="s">
        <v>405</v>
      </c>
      <c r="E170" s="28">
        <f>Source!BZ77</f>
        <v>90</v>
      </c>
      <c r="F170" s="31"/>
      <c r="G170" s="30"/>
      <c r="H170" s="28"/>
      <c r="I170" s="31">
        <f>SUM(Q167:Q169)</f>
        <v>6.99</v>
      </c>
      <c r="J170" s="28">
        <f>Source!AT77</f>
        <v>90</v>
      </c>
      <c r="K170" s="31">
        <f>SUM(R167:R169)</f>
        <v>384.54</v>
      </c>
    </row>
    <row r="171" spans="1:29" ht="14.25" x14ac:dyDescent="0.2">
      <c r="A171" s="27"/>
      <c r="B171" s="27"/>
      <c r="C171" s="27" t="s">
        <v>406</v>
      </c>
      <c r="D171" s="29" t="s">
        <v>405</v>
      </c>
      <c r="E171" s="28">
        <f>Source!CA77</f>
        <v>46</v>
      </c>
      <c r="F171" s="31"/>
      <c r="G171" s="30"/>
      <c r="H171" s="28"/>
      <c r="I171" s="31">
        <f>SUM(S167:S170)</f>
        <v>3.57</v>
      </c>
      <c r="J171" s="28">
        <f>Source!AU77</f>
        <v>46</v>
      </c>
      <c r="K171" s="31">
        <f>SUM(T167:T170)</f>
        <v>196.54</v>
      </c>
    </row>
    <row r="172" spans="1:29" ht="14.25" x14ac:dyDescent="0.2">
      <c r="A172" s="33"/>
      <c r="B172" s="33"/>
      <c r="C172" s="33" t="s">
        <v>407</v>
      </c>
      <c r="D172" s="34" t="s">
        <v>408</v>
      </c>
      <c r="E172" s="35">
        <f>Source!AQ76</f>
        <v>0.52</v>
      </c>
      <c r="F172" s="36"/>
      <c r="G172" s="37" t="s">
        <v>400</v>
      </c>
      <c r="H172" s="35">
        <f>Source!AV77</f>
        <v>1.0469999999999999</v>
      </c>
      <c r="I172" s="36">
        <f>Source!U76</f>
        <v>0.59888399999999997</v>
      </c>
      <c r="J172" s="35"/>
      <c r="K172" s="36"/>
    </row>
    <row r="173" spans="1:29" ht="15" x14ac:dyDescent="0.2">
      <c r="C173" s="38" t="s">
        <v>409</v>
      </c>
      <c r="H173" s="66">
        <f>I168+I170+I171+SUM(I169:I169)-SUMIF(AC169:AC169, 5, I169:I169)-SUMIF(AC169:AC169, 6, I169:I169)</f>
        <v>19.419999999999998</v>
      </c>
      <c r="I173" s="66"/>
      <c r="J173" s="66">
        <f>K168+K170+K171+SUM(K169:K169)-SUMIF(AC169:AC169, 5, K169:K169)-SUMIF(AC169:AC169, 6, K169:K169)</f>
        <v>1013.93</v>
      </c>
      <c r="K173" s="66"/>
    </row>
    <row r="174" spans="1:29" ht="15" hidden="1" x14ac:dyDescent="0.2">
      <c r="C174" s="38" t="s">
        <v>410</v>
      </c>
      <c r="H174" s="64">
        <f>SUMIF(AC169:AC169, 5, I169:I169)+SUMIF(AC169:AC169, 6, I169:I169)</f>
        <v>0</v>
      </c>
      <c r="I174" s="64"/>
      <c r="J174" s="64">
        <f>SUMIF(AC169:AC169, 5, K169:K169)+SUMIF(AC169:AC169, 6, K169:K169)</f>
        <v>0</v>
      </c>
      <c r="K174" s="64"/>
    </row>
    <row r="175" spans="1:29" ht="15" x14ac:dyDescent="0.2">
      <c r="C175" s="38" t="s">
        <v>411</v>
      </c>
      <c r="H175" s="64">
        <f>I168+I170+I171+SUM(I169:I169)</f>
        <v>19.419999999999998</v>
      </c>
      <c r="I175" s="64"/>
      <c r="J175" s="64">
        <f>K168+K170+K171+SUM(K169:K169)</f>
        <v>1013.93</v>
      </c>
      <c r="K175" s="64"/>
      <c r="O175" s="39">
        <f>I168+I170+I171+SUM(I169:I169)</f>
        <v>19.419999999999998</v>
      </c>
      <c r="P175" s="39">
        <f>K168+K170+K171+SUM(K169:K169)</f>
        <v>1013.93</v>
      </c>
    </row>
    <row r="177" spans="1:29" ht="41.25" x14ac:dyDescent="0.2">
      <c r="A177" s="33">
        <v>22</v>
      </c>
      <c r="B177" s="33" t="str">
        <f>Source!F80</f>
        <v>КА-11</v>
      </c>
      <c r="C177" s="33" t="s">
        <v>422</v>
      </c>
      <c r="D177" s="34" t="str">
        <f>Source!H80</f>
        <v>шт.</v>
      </c>
      <c r="E177" s="35">
        <f>Source!I80</f>
        <v>1</v>
      </c>
      <c r="F177" s="36">
        <f>Source!AL80</f>
        <v>306.45</v>
      </c>
      <c r="G177" s="37"/>
      <c r="H177" s="35">
        <f>Source!AW81</f>
        <v>1</v>
      </c>
      <c r="I177" s="36">
        <f>Source!P80</f>
        <v>306.45</v>
      </c>
      <c r="J177" s="35">
        <f>IF(Source!BC81&lt;&gt; 0, Source!BC81, 1)</f>
        <v>9.8800000000000008</v>
      </c>
      <c r="K177" s="36">
        <f>Source!P81</f>
        <v>3027.73</v>
      </c>
      <c r="Q177">
        <f>Source!X80</f>
        <v>0</v>
      </c>
      <c r="R177">
        <f>Source!X81</f>
        <v>0</v>
      </c>
      <c r="S177">
        <f>Source!Y80</f>
        <v>0</v>
      </c>
      <c r="T177">
        <f>Source!Y81</f>
        <v>0</v>
      </c>
      <c r="U177">
        <f>ROUND((175/100)*ROUND(Source!R80, 2), 2)</f>
        <v>0</v>
      </c>
      <c r="V177">
        <f>ROUND((0/100)*ROUND(Source!R81, 2), 2)</f>
        <v>0</v>
      </c>
      <c r="AC177">
        <v>3</v>
      </c>
    </row>
    <row r="178" spans="1:29" ht="15" x14ac:dyDescent="0.2">
      <c r="C178" s="38" t="s">
        <v>411</v>
      </c>
      <c r="H178" s="66">
        <f>I177+0</f>
        <v>306.45</v>
      </c>
      <c r="I178" s="66"/>
      <c r="J178" s="66">
        <f>K177+0</f>
        <v>3027.73</v>
      </c>
      <c r="K178" s="66"/>
      <c r="O178" s="39">
        <f>I177+0</f>
        <v>306.45</v>
      </c>
      <c r="P178" s="39">
        <f>K177+0</f>
        <v>3027.73</v>
      </c>
    </row>
    <row r="180" spans="1:29" ht="28.5" x14ac:dyDescent="0.2">
      <c r="A180" s="27">
        <v>23</v>
      </c>
      <c r="B180" s="27" t="str">
        <f>Source!F82</f>
        <v>4.11-3-1</v>
      </c>
      <c r="C180" s="27" t="s">
        <v>65</v>
      </c>
      <c r="D180" s="29" t="str">
        <f>Source!H82</f>
        <v>1  ШТ.</v>
      </c>
      <c r="E180" s="28">
        <f>Source!I82</f>
        <v>2</v>
      </c>
      <c r="F180" s="31"/>
      <c r="G180" s="30"/>
      <c r="H180" s="28"/>
      <c r="I180" s="31"/>
      <c r="J180" s="28"/>
      <c r="K180" s="31"/>
      <c r="Q180">
        <f>Source!X82</f>
        <v>14</v>
      </c>
      <c r="R180">
        <f>Source!X83</f>
        <v>769.58</v>
      </c>
      <c r="S180">
        <f>Source!Y82</f>
        <v>7.15</v>
      </c>
      <c r="T180">
        <f>Source!Y83</f>
        <v>393.34</v>
      </c>
      <c r="U180">
        <f>ROUND((175/100)*ROUND(Source!R82, 2), 2)</f>
        <v>0</v>
      </c>
      <c r="V180">
        <f>ROUND((0/100)*ROUND(Source!R83, 2), 2)</f>
        <v>0</v>
      </c>
      <c r="AC180">
        <v>0</v>
      </c>
    </row>
    <row r="181" spans="1:29" ht="14.25" x14ac:dyDescent="0.2">
      <c r="A181" s="27"/>
      <c r="B181" s="27"/>
      <c r="C181" s="27" t="s">
        <v>399</v>
      </c>
      <c r="D181" s="29"/>
      <c r="E181" s="28"/>
      <c r="F181" s="31">
        <f>Source!AO82</f>
        <v>6.75</v>
      </c>
      <c r="G181" s="30" t="s">
        <v>400</v>
      </c>
      <c r="H181" s="28">
        <f>Source!AV83</f>
        <v>1.0469999999999999</v>
      </c>
      <c r="I181" s="31">
        <f>Source!S82</f>
        <v>15.55</v>
      </c>
      <c r="J181" s="28">
        <f>IF(Source!BA83&lt;&gt; 0, Source!BA83, 1)</f>
        <v>54.99</v>
      </c>
      <c r="K181" s="31">
        <f>Source!S83</f>
        <v>855.09</v>
      </c>
    </row>
    <row r="182" spans="1:29" ht="57" x14ac:dyDescent="0.2">
      <c r="A182" s="27" t="s">
        <v>119</v>
      </c>
      <c r="B182" s="27" t="str">
        <f>Source!F84</f>
        <v>1.1-1-8146</v>
      </c>
      <c r="C182" s="27" t="s">
        <v>69</v>
      </c>
      <c r="D182" s="29" t="str">
        <f>Source!H84</f>
        <v>кг</v>
      </c>
      <c r="E182" s="28">
        <f>Source!I84</f>
        <v>7.0000000000000007E-2</v>
      </c>
      <c r="F182" s="31">
        <f>Source!AK84</f>
        <v>31.08</v>
      </c>
      <c r="G182" s="47" t="s">
        <v>3</v>
      </c>
      <c r="H182" s="28">
        <f>Source!AW85</f>
        <v>1</v>
      </c>
      <c r="I182" s="31">
        <f>Source!O84</f>
        <v>2.1800000000000002</v>
      </c>
      <c r="J182" s="28">
        <f>IF(Source!BC85&lt;&gt; 0, Source!BC85, 1)</f>
        <v>5.12</v>
      </c>
      <c r="K182" s="31">
        <f>Source!O85</f>
        <v>11.16</v>
      </c>
      <c r="Q182">
        <f>Source!X84</f>
        <v>0</v>
      </c>
      <c r="R182">
        <f>Source!X85</f>
        <v>0</v>
      </c>
      <c r="S182">
        <f>Source!Y84</f>
        <v>0</v>
      </c>
      <c r="T182">
        <f>Source!Y85</f>
        <v>0</v>
      </c>
      <c r="U182">
        <f>ROUND((175/100)*ROUND(Source!R84, 2), 2)</f>
        <v>0</v>
      </c>
      <c r="V182">
        <f>ROUND((0/100)*ROUND(Source!R85, 2), 2)</f>
        <v>0</v>
      </c>
      <c r="AC182">
        <v>3</v>
      </c>
    </row>
    <row r="183" spans="1:29" ht="14.25" x14ac:dyDescent="0.2">
      <c r="A183" s="27"/>
      <c r="B183" s="27"/>
      <c r="C183" s="27" t="s">
        <v>404</v>
      </c>
      <c r="D183" s="29" t="s">
        <v>405</v>
      </c>
      <c r="E183" s="28">
        <f>Source!BZ83</f>
        <v>90</v>
      </c>
      <c r="F183" s="31"/>
      <c r="G183" s="30"/>
      <c r="H183" s="28"/>
      <c r="I183" s="31">
        <f>SUM(Q180:Q182)</f>
        <v>14</v>
      </c>
      <c r="J183" s="28">
        <f>Source!AT83</f>
        <v>90</v>
      </c>
      <c r="K183" s="31">
        <f>SUM(R180:R182)</f>
        <v>769.58</v>
      </c>
    </row>
    <row r="184" spans="1:29" ht="14.25" x14ac:dyDescent="0.2">
      <c r="A184" s="27"/>
      <c r="B184" s="27"/>
      <c r="C184" s="27" t="s">
        <v>406</v>
      </c>
      <c r="D184" s="29" t="s">
        <v>405</v>
      </c>
      <c r="E184" s="28">
        <f>Source!CA83</f>
        <v>46</v>
      </c>
      <c r="F184" s="31"/>
      <c r="G184" s="30"/>
      <c r="H184" s="28"/>
      <c r="I184" s="31">
        <f>SUM(S180:S183)</f>
        <v>7.15</v>
      </c>
      <c r="J184" s="28">
        <f>Source!AU83</f>
        <v>46</v>
      </c>
      <c r="K184" s="31">
        <f>SUM(T180:T183)</f>
        <v>393.34</v>
      </c>
    </row>
    <row r="185" spans="1:29" ht="14.25" x14ac:dyDescent="0.2">
      <c r="A185" s="33"/>
      <c r="B185" s="33"/>
      <c r="C185" s="33" t="s">
        <v>407</v>
      </c>
      <c r="D185" s="34" t="s">
        <v>408</v>
      </c>
      <c r="E185" s="35">
        <f>Source!AQ82</f>
        <v>0.52</v>
      </c>
      <c r="F185" s="36"/>
      <c r="G185" s="37" t="s">
        <v>400</v>
      </c>
      <c r="H185" s="35">
        <f>Source!AV83</f>
        <v>1.0469999999999999</v>
      </c>
      <c r="I185" s="36">
        <f>Source!U82</f>
        <v>1.1977679999999999</v>
      </c>
      <c r="J185" s="35"/>
      <c r="K185" s="36"/>
    </row>
    <row r="186" spans="1:29" ht="15" x14ac:dyDescent="0.2">
      <c r="C186" s="38" t="s">
        <v>409</v>
      </c>
      <c r="H186" s="66">
        <f>I181+I183+I184+SUM(I182:I182)-SUMIF(AC182:AC182, 5, I182:I182)-SUMIF(AC182:AC182, 6, I182:I182)</f>
        <v>38.880000000000003</v>
      </c>
      <c r="I186" s="66"/>
      <c r="J186" s="66">
        <f>K181+K183+K184+SUM(K182:K182)-SUMIF(AC182:AC182, 5, K182:K182)-SUMIF(AC182:AC182, 6, K182:K182)</f>
        <v>2029.17</v>
      </c>
      <c r="K186" s="66"/>
    </row>
    <row r="187" spans="1:29" ht="15" hidden="1" x14ac:dyDescent="0.2">
      <c r="C187" s="38" t="s">
        <v>410</v>
      </c>
      <c r="H187" s="64">
        <f>SUMIF(AC182:AC182, 5, I182:I182)+SUMIF(AC182:AC182, 6, I182:I182)</f>
        <v>0</v>
      </c>
      <c r="I187" s="64"/>
      <c r="J187" s="64">
        <f>SUMIF(AC182:AC182, 5, K182:K182)+SUMIF(AC182:AC182, 6, K182:K182)</f>
        <v>0</v>
      </c>
      <c r="K187" s="64"/>
    </row>
    <row r="188" spans="1:29" ht="15" x14ac:dyDescent="0.2">
      <c r="C188" s="38" t="s">
        <v>411</v>
      </c>
      <c r="H188" s="64">
        <f>I181+I183+I184+SUM(I182:I182)</f>
        <v>38.880000000000003</v>
      </c>
      <c r="I188" s="64"/>
      <c r="J188" s="64">
        <f>K181+K183+K184+SUM(K182:K182)</f>
        <v>2029.17</v>
      </c>
      <c r="K188" s="64"/>
      <c r="O188" s="39">
        <f>I181+I183+I184+SUM(I182:I182)</f>
        <v>38.880000000000003</v>
      </c>
      <c r="P188" s="39">
        <f>K181+K183+K184+SUM(K182:K182)</f>
        <v>2029.17</v>
      </c>
    </row>
    <row r="190" spans="1:29" ht="55.5" x14ac:dyDescent="0.2">
      <c r="A190" s="33">
        <v>24</v>
      </c>
      <c r="B190" s="33" t="str">
        <f>Source!F86</f>
        <v>КА-12</v>
      </c>
      <c r="C190" s="33" t="s">
        <v>423</v>
      </c>
      <c r="D190" s="34" t="str">
        <f>Source!H86</f>
        <v>шт.</v>
      </c>
      <c r="E190" s="35">
        <f>Source!I86</f>
        <v>2</v>
      </c>
      <c r="F190" s="36">
        <f>Source!AL86</f>
        <v>156.24</v>
      </c>
      <c r="G190" s="37"/>
      <c r="H190" s="35">
        <f>Source!AW87</f>
        <v>1</v>
      </c>
      <c r="I190" s="36">
        <f>Source!P86</f>
        <v>312.48</v>
      </c>
      <c r="J190" s="35">
        <f>IF(Source!BC87&lt;&gt; 0, Source!BC87, 1)</f>
        <v>9.8800000000000008</v>
      </c>
      <c r="K190" s="36">
        <f>Source!P87</f>
        <v>3087.3</v>
      </c>
      <c r="Q190">
        <f>Source!X86</f>
        <v>0</v>
      </c>
      <c r="R190">
        <f>Source!X87</f>
        <v>0</v>
      </c>
      <c r="S190">
        <f>Source!Y86</f>
        <v>0</v>
      </c>
      <c r="T190">
        <f>Source!Y87</f>
        <v>0</v>
      </c>
      <c r="U190">
        <f>ROUND((175/100)*ROUND(Source!R86, 2), 2)</f>
        <v>0</v>
      </c>
      <c r="V190">
        <f>ROUND((0/100)*ROUND(Source!R87, 2), 2)</f>
        <v>0</v>
      </c>
      <c r="AC190">
        <v>3</v>
      </c>
    </row>
    <row r="191" spans="1:29" ht="15" x14ac:dyDescent="0.2">
      <c r="C191" s="38" t="s">
        <v>411</v>
      </c>
      <c r="H191" s="66">
        <f>I190+0</f>
        <v>312.48</v>
      </c>
      <c r="I191" s="66"/>
      <c r="J191" s="66">
        <f>K190+0</f>
        <v>3087.3</v>
      </c>
      <c r="K191" s="66"/>
      <c r="O191" s="39">
        <f>I190+0</f>
        <v>312.48</v>
      </c>
      <c r="P191" s="39">
        <f>K190+0</f>
        <v>3087.3</v>
      </c>
    </row>
    <row r="193" spans="1:29" ht="41.25" x14ac:dyDescent="0.2">
      <c r="A193" s="33">
        <v>25</v>
      </c>
      <c r="B193" s="33" t="str">
        <f>Source!F88</f>
        <v>КА-13</v>
      </c>
      <c r="C193" s="33" t="s">
        <v>424</v>
      </c>
      <c r="D193" s="34" t="str">
        <f>Source!H88</f>
        <v>шт.</v>
      </c>
      <c r="E193" s="35">
        <f>Source!I88</f>
        <v>3</v>
      </c>
      <c r="F193" s="36">
        <f>Source!AL88</f>
        <v>300.51</v>
      </c>
      <c r="G193" s="37"/>
      <c r="H193" s="35">
        <f>Source!AW89</f>
        <v>1</v>
      </c>
      <c r="I193" s="36">
        <f>Source!P88</f>
        <v>901.53</v>
      </c>
      <c r="J193" s="35">
        <f>IF(Source!BC89&lt;&gt; 0, Source!BC89, 1)</f>
        <v>9.8800000000000008</v>
      </c>
      <c r="K193" s="36">
        <f>Source!P89</f>
        <v>8907.1200000000008</v>
      </c>
      <c r="Q193">
        <f>Source!X88</f>
        <v>0</v>
      </c>
      <c r="R193">
        <f>Source!X89</f>
        <v>0</v>
      </c>
      <c r="S193">
        <f>Source!Y88</f>
        <v>0</v>
      </c>
      <c r="T193">
        <f>Source!Y89</f>
        <v>0</v>
      </c>
      <c r="U193">
        <f>ROUND((175/100)*ROUND(Source!R88, 2), 2)</f>
        <v>0</v>
      </c>
      <c r="V193">
        <f>ROUND((0/100)*ROUND(Source!R89, 2), 2)</f>
        <v>0</v>
      </c>
      <c r="AC193">
        <v>3</v>
      </c>
    </row>
    <row r="194" spans="1:29" ht="15" x14ac:dyDescent="0.2">
      <c r="C194" s="38" t="s">
        <v>411</v>
      </c>
      <c r="H194" s="66">
        <f>I193+0</f>
        <v>901.53</v>
      </c>
      <c r="I194" s="66"/>
      <c r="J194" s="66">
        <f>K193+0</f>
        <v>8907.1200000000008</v>
      </c>
      <c r="K194" s="66"/>
      <c r="O194" s="39">
        <f>I193+0</f>
        <v>901.53</v>
      </c>
      <c r="P194" s="39">
        <f>K193+0</f>
        <v>8907.1200000000008</v>
      </c>
    </row>
    <row r="196" spans="1:29" ht="54" x14ac:dyDescent="0.2">
      <c r="A196" s="40">
        <v>26</v>
      </c>
      <c r="B196" s="40" t="str">
        <f>Source!F90</f>
        <v>КА-14</v>
      </c>
      <c r="C196" s="40" t="s">
        <v>425</v>
      </c>
      <c r="D196" s="41" t="str">
        <f>Source!H90</f>
        <v>шт.</v>
      </c>
      <c r="E196" s="42">
        <f>Source!I90</f>
        <v>28</v>
      </c>
      <c r="F196" s="43">
        <f>Source!AL90</f>
        <v>230.53999999999996</v>
      </c>
      <c r="G196" s="44"/>
      <c r="H196" s="42">
        <f>Source!AW91</f>
        <v>1</v>
      </c>
      <c r="I196" s="43">
        <f>Source!P90</f>
        <v>6455.12</v>
      </c>
      <c r="J196" s="42">
        <f>IF(Source!BC91&lt;&gt; 0, Source!BC91, 1)</f>
        <v>7.66</v>
      </c>
      <c r="K196" s="43">
        <f>Source!P91</f>
        <v>49446.22</v>
      </c>
      <c r="Q196">
        <f>Source!X90</f>
        <v>0</v>
      </c>
      <c r="R196">
        <f>Source!X91</f>
        <v>0</v>
      </c>
      <c r="S196">
        <f>Source!Y90</f>
        <v>0</v>
      </c>
      <c r="T196">
        <f>Source!Y91</f>
        <v>0</v>
      </c>
      <c r="U196">
        <f>ROUND((175/100)*ROUND(Source!R90, 2), 2)</f>
        <v>0</v>
      </c>
      <c r="V196">
        <f>ROUND((0/100)*ROUND(Source!R91, 2), 2)</f>
        <v>0</v>
      </c>
      <c r="AC196">
        <v>5</v>
      </c>
    </row>
    <row r="197" spans="1:29" ht="15" x14ac:dyDescent="0.2">
      <c r="A197" s="45"/>
      <c r="B197" s="45"/>
      <c r="C197" s="46" t="s">
        <v>411</v>
      </c>
      <c r="D197" s="45"/>
      <c r="E197" s="45"/>
      <c r="F197" s="45"/>
      <c r="G197" s="45"/>
      <c r="H197" s="67">
        <f>I196+0</f>
        <v>6455.12</v>
      </c>
      <c r="I197" s="67"/>
      <c r="J197" s="67">
        <f>K196+0</f>
        <v>49446.22</v>
      </c>
      <c r="K197" s="67"/>
      <c r="O197" s="39">
        <f>I196+0</f>
        <v>6455.12</v>
      </c>
      <c r="P197" s="39">
        <f>K196+0</f>
        <v>49446.22</v>
      </c>
    </row>
    <row r="200" spans="1:29" ht="15" x14ac:dyDescent="0.25">
      <c r="A200" s="63" t="str">
        <f>CONCATENATE("Итого по разделу: ",IF(Source!G93&lt;&gt;"Новый раздел", Source!G93, ""))</f>
        <v>Итого по разделу: Оборудование</v>
      </c>
      <c r="B200" s="63"/>
      <c r="C200" s="63"/>
      <c r="D200" s="63"/>
      <c r="E200" s="63"/>
      <c r="F200" s="63"/>
      <c r="G200" s="63"/>
      <c r="H200" s="64">
        <f>SUM(O29:O199)</f>
        <v>80723.33</v>
      </c>
      <c r="I200" s="65"/>
      <c r="J200" s="64">
        <f>SUM(P29:P199)</f>
        <v>649474.5700000003</v>
      </c>
      <c r="K200" s="65"/>
    </row>
    <row r="201" spans="1:29" hidden="1" x14ac:dyDescent="0.2">
      <c r="A201" t="s">
        <v>426</v>
      </c>
      <c r="I201">
        <f>SUM(W29:W200)</f>
        <v>0</v>
      </c>
      <c r="J201">
        <f>SUM(X29:X200)</f>
        <v>0</v>
      </c>
    </row>
    <row r="202" spans="1:29" hidden="1" x14ac:dyDescent="0.2">
      <c r="A202" t="s">
        <v>427</v>
      </c>
      <c r="I202">
        <f>SUM(Y29:Y201)</f>
        <v>0</v>
      </c>
      <c r="J202">
        <f>SUM(Z29:Z201)</f>
        <v>0</v>
      </c>
    </row>
    <row r="204" spans="1:29" ht="16.5" x14ac:dyDescent="0.2">
      <c r="A204" s="68" t="str">
        <f>CONCATENATE("Раздел: ",IF(Source!G123&lt;&gt;"Новый раздел", Source!G123, ""))</f>
        <v>Раздел: Оборудование оповещения</v>
      </c>
      <c r="B204" s="68"/>
      <c r="C204" s="68"/>
      <c r="D204" s="68"/>
      <c r="E204" s="68"/>
      <c r="F204" s="68"/>
      <c r="G204" s="68"/>
      <c r="H204" s="68"/>
      <c r="I204" s="68"/>
      <c r="J204" s="68"/>
      <c r="K204" s="68"/>
    </row>
    <row r="205" spans="1:29" ht="28.5" x14ac:dyDescent="0.2">
      <c r="A205" s="27">
        <v>27</v>
      </c>
      <c r="B205" s="27" t="str">
        <f>Source!F127</f>
        <v>4.10-76-7</v>
      </c>
      <c r="C205" s="27" t="s">
        <v>189</v>
      </c>
      <c r="D205" s="29" t="str">
        <f>Source!H127</f>
        <v>1  ШТ.</v>
      </c>
      <c r="E205" s="28">
        <f>Source!I127</f>
        <v>213</v>
      </c>
      <c r="F205" s="31"/>
      <c r="G205" s="30"/>
      <c r="H205" s="28"/>
      <c r="I205" s="31"/>
      <c r="J205" s="28"/>
      <c r="K205" s="31"/>
      <c r="Q205">
        <f>Source!X127</f>
        <v>5541.84</v>
      </c>
      <c r="R205">
        <f>Source!X128</f>
        <v>304746</v>
      </c>
      <c r="S205">
        <f>Source!Y127</f>
        <v>3091.77</v>
      </c>
      <c r="T205">
        <f>Source!Y128</f>
        <v>170016.19</v>
      </c>
      <c r="U205">
        <f>ROUND((175/100)*ROUND(Source!R127, 2), 2)</f>
        <v>0</v>
      </c>
      <c r="V205">
        <f>ROUND((0/100)*ROUND(Source!R128, 2), 2)</f>
        <v>0</v>
      </c>
      <c r="AC205">
        <v>0</v>
      </c>
    </row>
    <row r="206" spans="1:29" ht="14.25" x14ac:dyDescent="0.2">
      <c r="A206" s="27"/>
      <c r="B206" s="27"/>
      <c r="C206" s="27" t="s">
        <v>399</v>
      </c>
      <c r="D206" s="29"/>
      <c r="E206" s="28"/>
      <c r="F206" s="31">
        <f>Source!AO127</f>
        <v>23.78</v>
      </c>
      <c r="G206" s="30" t="s">
        <v>400</v>
      </c>
      <c r="H206" s="28">
        <f>Source!AV128</f>
        <v>1.0469999999999999</v>
      </c>
      <c r="I206" s="31">
        <f>Source!S127</f>
        <v>5833.52</v>
      </c>
      <c r="J206" s="28">
        <f>IF(Source!BA128&lt;&gt; 0, Source!BA128, 1)</f>
        <v>54.99</v>
      </c>
      <c r="K206" s="31">
        <f>Source!S128</f>
        <v>320785.26</v>
      </c>
    </row>
    <row r="207" spans="1:29" ht="14.25" x14ac:dyDescent="0.2">
      <c r="A207" s="27"/>
      <c r="B207" s="27"/>
      <c r="C207" s="27" t="s">
        <v>403</v>
      </c>
      <c r="D207" s="29"/>
      <c r="E207" s="28"/>
      <c r="F207" s="31">
        <f>Source!AL127</f>
        <v>24.46</v>
      </c>
      <c r="G207" s="30"/>
      <c r="H207" s="28">
        <f>Source!AW128</f>
        <v>1</v>
      </c>
      <c r="I207" s="31">
        <f>Source!P127</f>
        <v>5209.9799999999996</v>
      </c>
      <c r="J207" s="28">
        <f>IF(Source!BC128&lt;&gt; 0, Source!BC128, 1)</f>
        <v>10.93</v>
      </c>
      <c r="K207" s="31">
        <f>Source!P128</f>
        <v>56945.08</v>
      </c>
    </row>
    <row r="208" spans="1:29" ht="14.25" x14ac:dyDescent="0.2">
      <c r="A208" s="27"/>
      <c r="B208" s="27"/>
      <c r="C208" s="27" t="s">
        <v>404</v>
      </c>
      <c r="D208" s="29" t="s">
        <v>405</v>
      </c>
      <c r="E208" s="28">
        <f>Source!BZ128</f>
        <v>95</v>
      </c>
      <c r="F208" s="31"/>
      <c r="G208" s="30"/>
      <c r="H208" s="28"/>
      <c r="I208" s="31">
        <f>SUM(Q205:Q207)</f>
        <v>5541.84</v>
      </c>
      <c r="J208" s="28">
        <f>Source!AT128</f>
        <v>95</v>
      </c>
      <c r="K208" s="31">
        <f>SUM(R205:R207)</f>
        <v>304746</v>
      </c>
    </row>
    <row r="209" spans="1:29" ht="14.25" x14ac:dyDescent="0.2">
      <c r="A209" s="27"/>
      <c r="B209" s="27"/>
      <c r="C209" s="27" t="s">
        <v>406</v>
      </c>
      <c r="D209" s="29" t="s">
        <v>405</v>
      </c>
      <c r="E209" s="28">
        <f>Source!CA128</f>
        <v>53</v>
      </c>
      <c r="F209" s="31"/>
      <c r="G209" s="30"/>
      <c r="H209" s="28"/>
      <c r="I209" s="31">
        <f>SUM(S205:S208)</f>
        <v>3091.77</v>
      </c>
      <c r="J209" s="28">
        <f>Source!AU128</f>
        <v>53</v>
      </c>
      <c r="K209" s="31">
        <f>SUM(T205:T208)</f>
        <v>170016.19</v>
      </c>
    </row>
    <row r="210" spans="1:29" ht="14.25" x14ac:dyDescent="0.2">
      <c r="A210" s="33"/>
      <c r="B210" s="33"/>
      <c r="C210" s="33" t="s">
        <v>407</v>
      </c>
      <c r="D210" s="34" t="s">
        <v>408</v>
      </c>
      <c r="E210" s="35">
        <f>Source!AQ127</f>
        <v>2</v>
      </c>
      <c r="F210" s="36"/>
      <c r="G210" s="37" t="s">
        <v>400</v>
      </c>
      <c r="H210" s="35">
        <f>Source!AV128</f>
        <v>1.0469999999999999</v>
      </c>
      <c r="I210" s="36">
        <f>Source!U127</f>
        <v>490.62419999999997</v>
      </c>
      <c r="J210" s="35"/>
      <c r="K210" s="36"/>
    </row>
    <row r="211" spans="1:29" ht="15" x14ac:dyDescent="0.2">
      <c r="C211" s="38" t="s">
        <v>409</v>
      </c>
      <c r="H211" s="66">
        <f>I206+I207+I208+I209+0-0-0</f>
        <v>19677.11</v>
      </c>
      <c r="I211" s="66"/>
      <c r="J211" s="66">
        <f>K206+K207+K208+K209+0-0-0</f>
        <v>852492.53</v>
      </c>
      <c r="K211" s="66"/>
    </row>
    <row r="212" spans="1:29" ht="15" hidden="1" x14ac:dyDescent="0.2">
      <c r="C212" s="38" t="s">
        <v>410</v>
      </c>
      <c r="H212" s="64">
        <f>0+0</f>
        <v>0</v>
      </c>
      <c r="I212" s="64"/>
      <c r="J212" s="64">
        <f>0+0</f>
        <v>0</v>
      </c>
      <c r="K212" s="64"/>
    </row>
    <row r="213" spans="1:29" ht="15" x14ac:dyDescent="0.2">
      <c r="C213" s="38" t="s">
        <v>411</v>
      </c>
      <c r="H213" s="64">
        <f>I206+I207+I208+I209+0</f>
        <v>19677.11</v>
      </c>
      <c r="I213" s="64"/>
      <c r="J213" s="64">
        <f>K206+K207+K208+K209+0</f>
        <v>852492.53</v>
      </c>
      <c r="K213" s="64"/>
      <c r="O213" s="39">
        <f>I206+I207+I208+I209+0</f>
        <v>19677.11</v>
      </c>
      <c r="P213" s="39">
        <f>K206+K207+K208+K209+0</f>
        <v>852492.53</v>
      </c>
    </row>
    <row r="215" spans="1:29" ht="82.5" x14ac:dyDescent="0.2">
      <c r="A215" s="40">
        <v>28</v>
      </c>
      <c r="B215" s="40" t="str">
        <f>Source!F129</f>
        <v>КА-15</v>
      </c>
      <c r="C215" s="40" t="s">
        <v>428</v>
      </c>
      <c r="D215" s="41" t="str">
        <f>Source!H129</f>
        <v>шт.</v>
      </c>
      <c r="E215" s="42">
        <f>Source!I129</f>
        <v>213</v>
      </c>
      <c r="F215" s="43">
        <f>Source!AL129</f>
        <v>305.61</v>
      </c>
      <c r="G215" s="44"/>
      <c r="H215" s="42">
        <f>Source!AW130</f>
        <v>1</v>
      </c>
      <c r="I215" s="43">
        <f>Source!P129</f>
        <v>65094.93</v>
      </c>
      <c r="J215" s="42">
        <f>IF(Source!BC130&lt;&gt; 0, Source!BC130, 1)</f>
        <v>7.66</v>
      </c>
      <c r="K215" s="43">
        <f>Source!P130</f>
        <v>498627.16</v>
      </c>
      <c r="Q215">
        <f>Source!X129</f>
        <v>0</v>
      </c>
      <c r="R215">
        <f>Source!X130</f>
        <v>0</v>
      </c>
      <c r="S215">
        <f>Source!Y129</f>
        <v>0</v>
      </c>
      <c r="T215">
        <f>Source!Y130</f>
        <v>0</v>
      </c>
      <c r="U215">
        <f>ROUND((175/100)*ROUND(Source!R129, 2), 2)</f>
        <v>0</v>
      </c>
      <c r="V215">
        <f>ROUND((0/100)*ROUND(Source!R130, 2), 2)</f>
        <v>0</v>
      </c>
      <c r="AC215">
        <v>5</v>
      </c>
    </row>
    <row r="216" spans="1:29" ht="15" x14ac:dyDescent="0.2">
      <c r="A216" s="45"/>
      <c r="B216" s="45"/>
      <c r="C216" s="46" t="s">
        <v>411</v>
      </c>
      <c r="D216" s="45"/>
      <c r="E216" s="45"/>
      <c r="F216" s="45"/>
      <c r="G216" s="45"/>
      <c r="H216" s="67">
        <f>I215+0</f>
        <v>65094.93</v>
      </c>
      <c r="I216" s="67"/>
      <c r="J216" s="67">
        <f>K215+0</f>
        <v>498627.16</v>
      </c>
      <c r="K216" s="67"/>
      <c r="O216" s="39">
        <f>I215+0</f>
        <v>65094.93</v>
      </c>
      <c r="P216" s="39">
        <f>K215+0</f>
        <v>498627.16</v>
      </c>
    </row>
    <row r="218" spans="1:29" ht="28.5" x14ac:dyDescent="0.2">
      <c r="A218" s="27">
        <v>29</v>
      </c>
      <c r="B218" s="27" t="str">
        <f>Source!F131</f>
        <v>4.10-118-12</v>
      </c>
      <c r="C218" s="27" t="s">
        <v>199</v>
      </c>
      <c r="D218" s="29" t="str">
        <f>Source!H131</f>
        <v>100 шт.</v>
      </c>
      <c r="E218" s="28">
        <f>Source!I131</f>
        <v>0.04</v>
      </c>
      <c r="F218" s="31"/>
      <c r="G218" s="30"/>
      <c r="H218" s="28"/>
      <c r="I218" s="31"/>
      <c r="J218" s="28"/>
      <c r="K218" s="31"/>
      <c r="Q218">
        <f>Source!X131</f>
        <v>11.56</v>
      </c>
      <c r="R218">
        <f>Source!X132</f>
        <v>635.46</v>
      </c>
      <c r="S218">
        <f>Source!Y131</f>
        <v>5.91</v>
      </c>
      <c r="T218">
        <f>Source!Y132</f>
        <v>324.79000000000002</v>
      </c>
      <c r="U218">
        <f>ROUND((175/100)*ROUND(Source!R131, 2), 2)</f>
        <v>0</v>
      </c>
      <c r="V218">
        <f>ROUND((0/100)*ROUND(Source!R132, 2), 2)</f>
        <v>0</v>
      </c>
      <c r="AC218">
        <v>0</v>
      </c>
    </row>
    <row r="219" spans="1:29" x14ac:dyDescent="0.2">
      <c r="C219" s="48" t="str">
        <f>"Объем: "&amp;Source!I131&amp;"=4/"&amp;"100"</f>
        <v>Объем: 0,04=4/100</v>
      </c>
    </row>
    <row r="220" spans="1:29" ht="14.25" x14ac:dyDescent="0.2">
      <c r="A220" s="27"/>
      <c r="B220" s="27"/>
      <c r="C220" s="27" t="s">
        <v>399</v>
      </c>
      <c r="D220" s="29"/>
      <c r="E220" s="28"/>
      <c r="F220" s="31">
        <f>Source!AO131</f>
        <v>278.64</v>
      </c>
      <c r="G220" s="30" t="s">
        <v>400</v>
      </c>
      <c r="H220" s="28">
        <f>Source!AV132</f>
        <v>1.0469999999999999</v>
      </c>
      <c r="I220" s="31">
        <f>Source!S131</f>
        <v>12.84</v>
      </c>
      <c r="J220" s="28">
        <f>IF(Source!BA132&lt;&gt; 0, Source!BA132, 1)</f>
        <v>54.99</v>
      </c>
      <c r="K220" s="31">
        <f>Source!S132</f>
        <v>706.07</v>
      </c>
    </row>
    <row r="221" spans="1:29" ht="14.25" x14ac:dyDescent="0.2">
      <c r="A221" s="27"/>
      <c r="B221" s="27"/>
      <c r="C221" s="27" t="s">
        <v>403</v>
      </c>
      <c r="D221" s="29"/>
      <c r="E221" s="28"/>
      <c r="F221" s="31">
        <f>Source!AL131</f>
        <v>85.6</v>
      </c>
      <c r="G221" s="30"/>
      <c r="H221" s="28">
        <f>Source!AW132</f>
        <v>1</v>
      </c>
      <c r="I221" s="31">
        <f>Source!P131</f>
        <v>3.42</v>
      </c>
      <c r="J221" s="28">
        <f>IF(Source!BC132&lt;&gt; 0, Source!BC132, 1)</f>
        <v>5.49</v>
      </c>
      <c r="K221" s="31">
        <f>Source!P132</f>
        <v>18.78</v>
      </c>
    </row>
    <row r="222" spans="1:29" ht="14.25" x14ac:dyDescent="0.2">
      <c r="A222" s="27"/>
      <c r="B222" s="27"/>
      <c r="C222" s="27" t="s">
        <v>404</v>
      </c>
      <c r="D222" s="29" t="s">
        <v>405</v>
      </c>
      <c r="E222" s="28">
        <f>Source!BZ132</f>
        <v>90</v>
      </c>
      <c r="F222" s="31"/>
      <c r="G222" s="30"/>
      <c r="H222" s="28"/>
      <c r="I222" s="31">
        <f>SUM(Q218:Q221)</f>
        <v>11.56</v>
      </c>
      <c r="J222" s="28">
        <f>Source!AT132</f>
        <v>90</v>
      </c>
      <c r="K222" s="31">
        <f>SUM(R218:R221)</f>
        <v>635.46</v>
      </c>
    </row>
    <row r="223" spans="1:29" ht="14.25" x14ac:dyDescent="0.2">
      <c r="A223" s="27"/>
      <c r="B223" s="27"/>
      <c r="C223" s="27" t="s">
        <v>406</v>
      </c>
      <c r="D223" s="29" t="s">
        <v>405</v>
      </c>
      <c r="E223" s="28">
        <f>Source!CA132</f>
        <v>46</v>
      </c>
      <c r="F223" s="31"/>
      <c r="G223" s="30"/>
      <c r="H223" s="28"/>
      <c r="I223" s="31">
        <f>SUM(S218:S222)</f>
        <v>5.91</v>
      </c>
      <c r="J223" s="28">
        <f>Source!AU132</f>
        <v>46</v>
      </c>
      <c r="K223" s="31">
        <f>SUM(T218:T222)</f>
        <v>324.79000000000002</v>
      </c>
    </row>
    <row r="224" spans="1:29" ht="14.25" x14ac:dyDescent="0.2">
      <c r="A224" s="33"/>
      <c r="B224" s="33"/>
      <c r="C224" s="33" t="s">
        <v>407</v>
      </c>
      <c r="D224" s="34" t="s">
        <v>408</v>
      </c>
      <c r="E224" s="35">
        <f>Source!AQ131</f>
        <v>24</v>
      </c>
      <c r="F224" s="36"/>
      <c r="G224" s="37" t="s">
        <v>400</v>
      </c>
      <c r="H224" s="35">
        <f>Source!AV132</f>
        <v>1.0469999999999999</v>
      </c>
      <c r="I224" s="36">
        <f>Source!U131</f>
        <v>1.1056319999999999</v>
      </c>
      <c r="J224" s="35"/>
      <c r="K224" s="36"/>
    </row>
    <row r="225" spans="1:29" ht="15" x14ac:dyDescent="0.2">
      <c r="C225" s="38" t="s">
        <v>409</v>
      </c>
      <c r="H225" s="66">
        <f>I220+I221+I222+I223+0-0-0</f>
        <v>33.730000000000004</v>
      </c>
      <c r="I225" s="66"/>
      <c r="J225" s="66">
        <f>K220+K221+K222+K223+0-0-0</f>
        <v>1685.1</v>
      </c>
      <c r="K225" s="66"/>
    </row>
    <row r="226" spans="1:29" ht="15" hidden="1" x14ac:dyDescent="0.2">
      <c r="C226" s="38" t="s">
        <v>410</v>
      </c>
      <c r="H226" s="64">
        <f>0+0</f>
        <v>0</v>
      </c>
      <c r="I226" s="64"/>
      <c r="J226" s="64">
        <f>0+0</f>
        <v>0</v>
      </c>
      <c r="K226" s="64"/>
    </row>
    <row r="227" spans="1:29" ht="15" x14ac:dyDescent="0.2">
      <c r="C227" s="38" t="s">
        <v>411</v>
      </c>
      <c r="H227" s="64">
        <f>I220+I221+I222+I223+0</f>
        <v>33.730000000000004</v>
      </c>
      <c r="I227" s="64"/>
      <c r="J227" s="64">
        <f>K220+K221+K222+K223+0</f>
        <v>1685.1</v>
      </c>
      <c r="K227" s="64"/>
      <c r="O227" s="39">
        <f>I220+I221+I222+I223+0</f>
        <v>33.730000000000004</v>
      </c>
      <c r="P227" s="39">
        <f>K220+K221+K222+K223+0</f>
        <v>1685.1</v>
      </c>
    </row>
    <row r="229" spans="1:29" ht="96.75" x14ac:dyDescent="0.2">
      <c r="A229" s="40">
        <v>30</v>
      </c>
      <c r="B229" s="40" t="str">
        <f>Source!F133</f>
        <v>КА-16</v>
      </c>
      <c r="C229" s="40" t="s">
        <v>429</v>
      </c>
      <c r="D229" s="41" t="str">
        <f>Source!H133</f>
        <v>шт.</v>
      </c>
      <c r="E229" s="42">
        <f>Source!I133</f>
        <v>4</v>
      </c>
      <c r="F229" s="43">
        <f>Source!AL133</f>
        <v>593.98</v>
      </c>
      <c r="G229" s="44"/>
      <c r="H229" s="42">
        <f>Source!AW134</f>
        <v>1</v>
      </c>
      <c r="I229" s="43">
        <f>Source!P133</f>
        <v>2375.92</v>
      </c>
      <c r="J229" s="42">
        <f>IF(Source!BC134&lt;&gt; 0, Source!BC134, 1)</f>
        <v>7.66</v>
      </c>
      <c r="K229" s="43">
        <f>Source!P134</f>
        <v>18199.55</v>
      </c>
      <c r="Q229">
        <f>Source!X133</f>
        <v>0</v>
      </c>
      <c r="R229">
        <f>Source!X134</f>
        <v>0</v>
      </c>
      <c r="S229">
        <f>Source!Y133</f>
        <v>0</v>
      </c>
      <c r="T229">
        <f>Source!Y134</f>
        <v>0</v>
      </c>
      <c r="U229">
        <f>ROUND((175/100)*ROUND(Source!R133, 2), 2)</f>
        <v>0</v>
      </c>
      <c r="V229">
        <f>ROUND((0/100)*ROUND(Source!R134, 2), 2)</f>
        <v>0</v>
      </c>
      <c r="AC229">
        <v>5</v>
      </c>
    </row>
    <row r="230" spans="1:29" ht="15" x14ac:dyDescent="0.2">
      <c r="A230" s="45"/>
      <c r="B230" s="45"/>
      <c r="C230" s="46" t="s">
        <v>411</v>
      </c>
      <c r="D230" s="45"/>
      <c r="E230" s="45"/>
      <c r="F230" s="45"/>
      <c r="G230" s="45"/>
      <c r="H230" s="67">
        <f>I229+0</f>
        <v>2375.92</v>
      </c>
      <c r="I230" s="67"/>
      <c r="J230" s="67">
        <f>K229+0</f>
        <v>18199.55</v>
      </c>
      <c r="K230" s="67"/>
      <c r="O230" s="39">
        <f>I229+0</f>
        <v>2375.92</v>
      </c>
      <c r="P230" s="39">
        <f>K229+0</f>
        <v>18199.55</v>
      </c>
    </row>
    <row r="232" spans="1:29" ht="42.75" x14ac:dyDescent="0.2">
      <c r="A232" s="27">
        <v>31</v>
      </c>
      <c r="B232" s="27" t="str">
        <f>Source!F135</f>
        <v>4.10-151-4</v>
      </c>
      <c r="C232" s="27" t="s">
        <v>208</v>
      </c>
      <c r="D232" s="29" t="str">
        <f>Source!H135</f>
        <v>1  ШТ.</v>
      </c>
      <c r="E232" s="28">
        <f>Source!I135</f>
        <v>1</v>
      </c>
      <c r="F232" s="31"/>
      <c r="G232" s="30"/>
      <c r="H232" s="28"/>
      <c r="I232" s="31"/>
      <c r="J232" s="28"/>
      <c r="K232" s="31"/>
      <c r="Q232">
        <f>Source!X135</f>
        <v>108.31</v>
      </c>
      <c r="R232">
        <f>Source!X136</f>
        <v>5955.75</v>
      </c>
      <c r="S232">
        <f>Source!Y135</f>
        <v>55.36</v>
      </c>
      <c r="T232">
        <f>Source!Y136</f>
        <v>3044.05</v>
      </c>
      <c r="U232">
        <f>ROUND((175/100)*ROUND(Source!R135, 2), 2)</f>
        <v>0</v>
      </c>
      <c r="V232">
        <f>ROUND((0/100)*ROUND(Source!R136, 2), 2)</f>
        <v>0</v>
      </c>
      <c r="AC232">
        <v>0</v>
      </c>
    </row>
    <row r="233" spans="1:29" ht="14.25" x14ac:dyDescent="0.2">
      <c r="A233" s="27"/>
      <c r="B233" s="27"/>
      <c r="C233" s="27" t="s">
        <v>399</v>
      </c>
      <c r="D233" s="29"/>
      <c r="E233" s="28"/>
      <c r="F233" s="31">
        <f>Source!AO135</f>
        <v>104.49</v>
      </c>
      <c r="G233" s="30" t="s">
        <v>400</v>
      </c>
      <c r="H233" s="28">
        <f>Source!AV136</f>
        <v>1.0469999999999999</v>
      </c>
      <c r="I233" s="31">
        <f>Source!S135</f>
        <v>120.34</v>
      </c>
      <c r="J233" s="28">
        <f>IF(Source!BA136&lt;&gt; 0, Source!BA136, 1)</f>
        <v>54.99</v>
      </c>
      <c r="K233" s="31">
        <f>Source!S136</f>
        <v>6617.5</v>
      </c>
    </row>
    <row r="234" spans="1:29" ht="14.25" x14ac:dyDescent="0.2">
      <c r="A234" s="27"/>
      <c r="B234" s="27"/>
      <c r="C234" s="27" t="s">
        <v>401</v>
      </c>
      <c r="D234" s="29"/>
      <c r="E234" s="28"/>
      <c r="F234" s="31">
        <f>Source!AM135</f>
        <v>0.18</v>
      </c>
      <c r="G234" s="30" t="s">
        <v>400</v>
      </c>
      <c r="H234" s="28">
        <f>Source!AV136</f>
        <v>1.0469999999999999</v>
      </c>
      <c r="I234" s="31">
        <f>Source!Q135</f>
        <v>0.21</v>
      </c>
      <c r="J234" s="28">
        <f>IF(Source!BB136&lt;&gt; 0, Source!BB136, 1)</f>
        <v>8.39</v>
      </c>
      <c r="K234" s="31">
        <f>Source!Q136</f>
        <v>1.76</v>
      </c>
    </row>
    <row r="235" spans="1:29" ht="14.25" x14ac:dyDescent="0.2">
      <c r="A235" s="27"/>
      <c r="B235" s="27"/>
      <c r="C235" s="27" t="s">
        <v>403</v>
      </c>
      <c r="D235" s="29"/>
      <c r="E235" s="28"/>
      <c r="F235" s="31">
        <f>Source!AL135</f>
        <v>4.45</v>
      </c>
      <c r="G235" s="30"/>
      <c r="H235" s="28">
        <f>Source!AW136</f>
        <v>1</v>
      </c>
      <c r="I235" s="31">
        <f>Source!P135</f>
        <v>4.45</v>
      </c>
      <c r="J235" s="28">
        <f>IF(Source!BC136&lt;&gt; 0, Source!BC136, 1)</f>
        <v>0.9</v>
      </c>
      <c r="K235" s="31">
        <f>Source!P136</f>
        <v>4.01</v>
      </c>
    </row>
    <row r="236" spans="1:29" ht="14.25" x14ac:dyDescent="0.2">
      <c r="A236" s="27"/>
      <c r="B236" s="27"/>
      <c r="C236" s="27" t="s">
        <v>404</v>
      </c>
      <c r="D236" s="29" t="s">
        <v>405</v>
      </c>
      <c r="E236" s="28">
        <f>Source!BZ136</f>
        <v>90</v>
      </c>
      <c r="F236" s="31"/>
      <c r="G236" s="30"/>
      <c r="H236" s="28"/>
      <c r="I236" s="31">
        <f>SUM(Q232:Q235)</f>
        <v>108.31</v>
      </c>
      <c r="J236" s="28">
        <f>Source!AT136</f>
        <v>90</v>
      </c>
      <c r="K236" s="31">
        <f>SUM(R232:R235)</f>
        <v>5955.75</v>
      </c>
    </row>
    <row r="237" spans="1:29" ht="14.25" x14ac:dyDescent="0.2">
      <c r="A237" s="27"/>
      <c r="B237" s="27"/>
      <c r="C237" s="27" t="s">
        <v>406</v>
      </c>
      <c r="D237" s="29" t="s">
        <v>405</v>
      </c>
      <c r="E237" s="28">
        <f>Source!CA136</f>
        <v>46</v>
      </c>
      <c r="F237" s="31"/>
      <c r="G237" s="30"/>
      <c r="H237" s="28"/>
      <c r="I237" s="31">
        <f>SUM(S232:S236)</f>
        <v>55.36</v>
      </c>
      <c r="J237" s="28">
        <f>Source!AU136</f>
        <v>46</v>
      </c>
      <c r="K237" s="31">
        <f>SUM(T232:T236)</f>
        <v>3044.05</v>
      </c>
    </row>
    <row r="238" spans="1:29" ht="14.25" x14ac:dyDescent="0.2">
      <c r="A238" s="33"/>
      <c r="B238" s="33"/>
      <c r="C238" s="33" t="s">
        <v>407</v>
      </c>
      <c r="D238" s="34" t="s">
        <v>408</v>
      </c>
      <c r="E238" s="35">
        <f>Source!AQ135</f>
        <v>9</v>
      </c>
      <c r="F238" s="36"/>
      <c r="G238" s="37" t="s">
        <v>400</v>
      </c>
      <c r="H238" s="35">
        <f>Source!AV136</f>
        <v>1.0469999999999999</v>
      </c>
      <c r="I238" s="36">
        <f>Source!U135</f>
        <v>10.3653</v>
      </c>
      <c r="J238" s="35"/>
      <c r="K238" s="36"/>
    </row>
    <row r="239" spans="1:29" ht="15" x14ac:dyDescent="0.2">
      <c r="C239" s="38" t="s">
        <v>409</v>
      </c>
      <c r="H239" s="66">
        <f>I233+I234+I235+I236+I237+0-0-0</f>
        <v>288.67</v>
      </c>
      <c r="I239" s="66"/>
      <c r="J239" s="66">
        <f>K233+K234+K235+K236+K237+0-0-0</f>
        <v>15623.07</v>
      </c>
      <c r="K239" s="66"/>
    </row>
    <row r="240" spans="1:29" ht="15" hidden="1" x14ac:dyDescent="0.2">
      <c r="C240" s="38" t="s">
        <v>410</v>
      </c>
      <c r="H240" s="64">
        <f>0+0</f>
        <v>0</v>
      </c>
      <c r="I240" s="64"/>
      <c r="J240" s="64">
        <f>0+0</f>
        <v>0</v>
      </c>
      <c r="K240" s="64"/>
    </row>
    <row r="241" spans="1:29" ht="15" x14ac:dyDescent="0.2">
      <c r="C241" s="38" t="s">
        <v>411</v>
      </c>
      <c r="H241" s="64">
        <f>I233+I234+I235+I236+I237+0</f>
        <v>288.67</v>
      </c>
      <c r="I241" s="64"/>
      <c r="J241" s="64">
        <f>K233+K234+K235+K236+K237+0</f>
        <v>15623.07</v>
      </c>
      <c r="K241" s="64"/>
      <c r="O241" s="39">
        <f>I233+I234+I235+I236+I237+0</f>
        <v>288.67</v>
      </c>
      <c r="P241" s="39">
        <f>K233+K234+K235+K236+K237+0</f>
        <v>15623.07</v>
      </c>
    </row>
    <row r="243" spans="1:29" ht="54" x14ac:dyDescent="0.2">
      <c r="A243" s="40">
        <v>32</v>
      </c>
      <c r="B243" s="40" t="str">
        <f>Source!F137</f>
        <v>КА-17</v>
      </c>
      <c r="C243" s="40" t="s">
        <v>430</v>
      </c>
      <c r="D243" s="41" t="str">
        <f>Source!H137</f>
        <v>шт.</v>
      </c>
      <c r="E243" s="42">
        <f>Source!I137</f>
        <v>1</v>
      </c>
      <c r="F243" s="43">
        <f>Source!AL137</f>
        <v>4013.51</v>
      </c>
      <c r="G243" s="44"/>
      <c r="H243" s="42">
        <f>Source!AW138</f>
        <v>1</v>
      </c>
      <c r="I243" s="43">
        <f>Source!P137</f>
        <v>4013.51</v>
      </c>
      <c r="J243" s="42">
        <f>IF(Source!BC138&lt;&gt; 0, Source!BC138, 1)</f>
        <v>7.66</v>
      </c>
      <c r="K243" s="43">
        <f>Source!P138</f>
        <v>30743.49</v>
      </c>
      <c r="Q243">
        <f>Source!X137</f>
        <v>0</v>
      </c>
      <c r="R243">
        <f>Source!X138</f>
        <v>0</v>
      </c>
      <c r="S243">
        <f>Source!Y137</f>
        <v>0</v>
      </c>
      <c r="T243">
        <f>Source!Y138</f>
        <v>0</v>
      </c>
      <c r="U243">
        <f>ROUND((175/100)*ROUND(Source!R137, 2), 2)</f>
        <v>0</v>
      </c>
      <c r="V243">
        <f>ROUND((0/100)*ROUND(Source!R138, 2), 2)</f>
        <v>0</v>
      </c>
      <c r="AC243">
        <v>5</v>
      </c>
    </row>
    <row r="244" spans="1:29" ht="15" x14ac:dyDescent="0.2">
      <c r="A244" s="45"/>
      <c r="B244" s="45"/>
      <c r="C244" s="46" t="s">
        <v>411</v>
      </c>
      <c r="D244" s="45"/>
      <c r="E244" s="45"/>
      <c r="F244" s="45"/>
      <c r="G244" s="45"/>
      <c r="H244" s="67">
        <f>I243+0</f>
        <v>4013.51</v>
      </c>
      <c r="I244" s="67"/>
      <c r="J244" s="67">
        <f>K243+0</f>
        <v>30743.49</v>
      </c>
      <c r="K244" s="67"/>
      <c r="O244" s="39">
        <f>I243+0</f>
        <v>4013.51</v>
      </c>
      <c r="P244" s="39">
        <f>K243+0</f>
        <v>30743.49</v>
      </c>
    </row>
    <row r="247" spans="1:29" ht="15" x14ac:dyDescent="0.25">
      <c r="A247" s="63" t="str">
        <f>CONCATENATE("Итого по разделу: ",IF(Source!G140&lt;&gt;"Новый раздел", Source!G140, ""))</f>
        <v>Итого по разделу: Оборудование оповещения</v>
      </c>
      <c r="B247" s="63"/>
      <c r="C247" s="63"/>
      <c r="D247" s="63"/>
      <c r="E247" s="63"/>
      <c r="F247" s="63"/>
      <c r="G247" s="63"/>
      <c r="H247" s="64">
        <f>SUM(O204:O246)</f>
        <v>91483.87</v>
      </c>
      <c r="I247" s="65"/>
      <c r="J247" s="64">
        <f>SUM(P204:P246)</f>
        <v>1417370.9000000001</v>
      </c>
      <c r="K247" s="65"/>
    </row>
    <row r="248" spans="1:29" hidden="1" x14ac:dyDescent="0.2">
      <c r="A248" t="s">
        <v>426</v>
      </c>
      <c r="I248">
        <f>SUM(W204:W247)</f>
        <v>0</v>
      </c>
      <c r="J248">
        <f>SUM(X204:X247)</f>
        <v>0</v>
      </c>
    </row>
    <row r="249" spans="1:29" hidden="1" x14ac:dyDescent="0.2">
      <c r="A249" t="s">
        <v>427</v>
      </c>
      <c r="I249">
        <f>SUM(Y204:Y248)</f>
        <v>0</v>
      </c>
      <c r="J249">
        <f>SUM(Z204:Z248)</f>
        <v>0</v>
      </c>
    </row>
    <row r="251" spans="1:29" ht="16.5" x14ac:dyDescent="0.2">
      <c r="A251" s="68" t="str">
        <f>CONCATENATE("Раздел: ",IF(Source!G170&lt;&gt;"Новый раздел", Source!G170, ""))</f>
        <v>Раздел: Кабельные изделия</v>
      </c>
      <c r="B251" s="68"/>
      <c r="C251" s="68"/>
      <c r="D251" s="68"/>
      <c r="E251" s="68"/>
      <c r="F251" s="68"/>
      <c r="G251" s="68"/>
      <c r="H251" s="68"/>
      <c r="I251" s="68"/>
      <c r="J251" s="68"/>
      <c r="K251" s="68"/>
    </row>
    <row r="252" spans="1:29" ht="57" x14ac:dyDescent="0.2">
      <c r="A252" s="27">
        <v>33</v>
      </c>
      <c r="B252" s="27" t="str">
        <f>Source!F174</f>
        <v>4.10-185-3</v>
      </c>
      <c r="C252" s="27" t="s">
        <v>217</v>
      </c>
      <c r="D252" s="29" t="str">
        <f>Source!H174</f>
        <v>100 м</v>
      </c>
      <c r="E252" s="28">
        <f>Source!I174</f>
        <v>16</v>
      </c>
      <c r="F252" s="31"/>
      <c r="G252" s="30"/>
      <c r="H252" s="28"/>
      <c r="I252" s="31"/>
      <c r="J252" s="28"/>
      <c r="K252" s="31"/>
      <c r="Q252">
        <f>Source!X174</f>
        <v>4879.32</v>
      </c>
      <c r="R252">
        <f>Source!X175</f>
        <v>268313.98</v>
      </c>
      <c r="S252">
        <f>Source!Y174</f>
        <v>2493.88</v>
      </c>
      <c r="T252">
        <f>Source!Y175</f>
        <v>137138.25</v>
      </c>
      <c r="U252">
        <f>ROUND((175/100)*ROUND(Source!R174, 2), 2)</f>
        <v>0</v>
      </c>
      <c r="V252">
        <f>ROUND((0/100)*ROUND(Source!R175, 2), 2)</f>
        <v>0</v>
      </c>
      <c r="AC252">
        <v>0</v>
      </c>
    </row>
    <row r="253" spans="1:29" x14ac:dyDescent="0.2">
      <c r="C253" s="48" t="str">
        <f>"Объем: "&amp;Source!I174&amp;"=1600/"&amp;"100"</f>
        <v>Объем: 16=1600/100</v>
      </c>
    </row>
    <row r="254" spans="1:29" ht="14.25" x14ac:dyDescent="0.2">
      <c r="A254" s="27"/>
      <c r="B254" s="27"/>
      <c r="C254" s="27" t="s">
        <v>399</v>
      </c>
      <c r="D254" s="29"/>
      <c r="E254" s="28"/>
      <c r="F254" s="31">
        <f>Source!AO174</f>
        <v>294.20999999999998</v>
      </c>
      <c r="G254" s="30" t="s">
        <v>400</v>
      </c>
      <c r="H254" s="28">
        <f>Source!AV175</f>
        <v>1.0469999999999999</v>
      </c>
      <c r="I254" s="31">
        <f>Source!S174</f>
        <v>5421.47</v>
      </c>
      <c r="J254" s="28">
        <f>IF(Source!BA175&lt;&gt; 0, Source!BA175, 1)</f>
        <v>54.99</v>
      </c>
      <c r="K254" s="31">
        <f>Source!S175</f>
        <v>298126.64</v>
      </c>
    </row>
    <row r="255" spans="1:29" ht="14.25" x14ac:dyDescent="0.2">
      <c r="A255" s="27"/>
      <c r="B255" s="27"/>
      <c r="C255" s="27" t="s">
        <v>401</v>
      </c>
      <c r="D255" s="29"/>
      <c r="E255" s="28"/>
      <c r="F255" s="31">
        <f>Source!AM174</f>
        <v>4.05</v>
      </c>
      <c r="G255" s="30" t="s">
        <v>400</v>
      </c>
      <c r="H255" s="28">
        <f>Source!AV175</f>
        <v>1.0469999999999999</v>
      </c>
      <c r="I255" s="31">
        <f>Source!Q174</f>
        <v>74.63</v>
      </c>
      <c r="J255" s="28">
        <f>IF(Source!BB175&lt;&gt; 0, Source!BB175, 1)</f>
        <v>8.7200000000000006</v>
      </c>
      <c r="K255" s="31">
        <f>Source!Q175</f>
        <v>650.77</v>
      </c>
    </row>
    <row r="256" spans="1:29" ht="14.25" x14ac:dyDescent="0.2">
      <c r="A256" s="27"/>
      <c r="B256" s="27"/>
      <c r="C256" s="27" t="s">
        <v>403</v>
      </c>
      <c r="D256" s="29"/>
      <c r="E256" s="28"/>
      <c r="F256" s="31">
        <f>Source!AL174</f>
        <v>19.420000000000002</v>
      </c>
      <c r="G256" s="30"/>
      <c r="H256" s="28">
        <f>Source!AW175</f>
        <v>1</v>
      </c>
      <c r="I256" s="31">
        <f>Source!P174</f>
        <v>310.72000000000003</v>
      </c>
      <c r="J256" s="28">
        <f>IF(Source!BC175&lt;&gt; 0, Source!BC175, 1)</f>
        <v>6.66</v>
      </c>
      <c r="K256" s="31">
        <f>Source!P175</f>
        <v>2069.4</v>
      </c>
    </row>
    <row r="257" spans="1:29" ht="42.75" x14ac:dyDescent="0.2">
      <c r="A257" s="27" t="s">
        <v>220</v>
      </c>
      <c r="B257" s="27" t="str">
        <f>Source!F176</f>
        <v>1.12-5-372</v>
      </c>
      <c r="C257" s="27" t="s">
        <v>222</v>
      </c>
      <c r="D257" s="29" t="str">
        <f>Source!H176</f>
        <v>м</v>
      </c>
      <c r="E257" s="28">
        <f>Source!I176</f>
        <v>1632</v>
      </c>
      <c r="F257" s="31">
        <f>Source!AK176</f>
        <v>3.45</v>
      </c>
      <c r="G257" s="47" t="s">
        <v>3</v>
      </c>
      <c r="H257" s="28">
        <f>Source!AW177</f>
        <v>1</v>
      </c>
      <c r="I257" s="31">
        <f>Source!O176</f>
        <v>5630.4</v>
      </c>
      <c r="J257" s="28">
        <f>IF(Source!BC177&lt;&gt; 0, Source!BC177, 1)</f>
        <v>3.93</v>
      </c>
      <c r="K257" s="31">
        <f>Source!O177</f>
        <v>22127.47</v>
      </c>
      <c r="Q257">
        <f>Source!X176</f>
        <v>0</v>
      </c>
      <c r="R257">
        <f>Source!X177</f>
        <v>0</v>
      </c>
      <c r="S257">
        <f>Source!Y176</f>
        <v>0</v>
      </c>
      <c r="T257">
        <f>Source!Y177</f>
        <v>0</v>
      </c>
      <c r="U257">
        <f>ROUND((175/100)*ROUND(Source!R176, 2), 2)</f>
        <v>0</v>
      </c>
      <c r="V257">
        <f>ROUND((0/100)*ROUND(Source!R177, 2), 2)</f>
        <v>0</v>
      </c>
      <c r="AC257">
        <v>3</v>
      </c>
    </row>
    <row r="258" spans="1:29" ht="42.75" x14ac:dyDescent="0.2">
      <c r="A258" s="27" t="s">
        <v>225</v>
      </c>
      <c r="B258" s="27" t="str">
        <f>Source!F178</f>
        <v>1.21-5-1469</v>
      </c>
      <c r="C258" s="27" t="s">
        <v>227</v>
      </c>
      <c r="D258" s="29" t="str">
        <f>Source!H178</f>
        <v>1000 шт.</v>
      </c>
      <c r="E258" s="28">
        <f>Source!I178</f>
        <v>3.8079999999999998</v>
      </c>
      <c r="F258" s="31">
        <f>Source!AK178</f>
        <v>396.59</v>
      </c>
      <c r="G258" s="47" t="s">
        <v>3</v>
      </c>
      <c r="H258" s="28">
        <f>Source!AW179</f>
        <v>1</v>
      </c>
      <c r="I258" s="31">
        <f>Source!O178</f>
        <v>1510.21</v>
      </c>
      <c r="J258" s="28">
        <f>IF(Source!BC179&lt;&gt; 0, Source!BC179, 1)</f>
        <v>4.63</v>
      </c>
      <c r="K258" s="31">
        <f>Source!O179</f>
        <v>6992.27</v>
      </c>
      <c r="Q258">
        <f>Source!X178</f>
        <v>0</v>
      </c>
      <c r="R258">
        <f>Source!X179</f>
        <v>0</v>
      </c>
      <c r="S258">
        <f>Source!Y178</f>
        <v>0</v>
      </c>
      <c r="T258">
        <f>Source!Y179</f>
        <v>0</v>
      </c>
      <c r="U258">
        <f>ROUND((175/100)*ROUND(Source!R178, 2), 2)</f>
        <v>0</v>
      </c>
      <c r="V258">
        <f>ROUND((0/100)*ROUND(Source!R179, 2), 2)</f>
        <v>0</v>
      </c>
      <c r="AC258">
        <v>3</v>
      </c>
    </row>
    <row r="259" spans="1:29" ht="54" x14ac:dyDescent="0.2">
      <c r="A259" s="27" t="s">
        <v>230</v>
      </c>
      <c r="B259" s="27" t="str">
        <f>Source!F180</f>
        <v>КА-18</v>
      </c>
      <c r="C259" s="27" t="s">
        <v>431</v>
      </c>
      <c r="D259" s="29" t="str">
        <f>Source!H180</f>
        <v>км</v>
      </c>
      <c r="E259" s="28">
        <f>Source!I180</f>
        <v>1.6319999999999999</v>
      </c>
      <c r="F259" s="31">
        <f>Source!AK180</f>
        <v>12227.78</v>
      </c>
      <c r="G259" s="47" t="s">
        <v>3</v>
      </c>
      <c r="H259" s="28">
        <f>Source!AW181</f>
        <v>1</v>
      </c>
      <c r="I259" s="31">
        <f>Source!O180</f>
        <v>19955.740000000002</v>
      </c>
      <c r="J259" s="28">
        <f>IF(Source!BC181&lt;&gt; 0, Source!BC181, 1)</f>
        <v>9.8800000000000008</v>
      </c>
      <c r="K259" s="31">
        <f>Source!O181</f>
        <v>197162.71</v>
      </c>
      <c r="Q259">
        <f>Source!X180</f>
        <v>0</v>
      </c>
      <c r="R259">
        <f>Source!X181</f>
        <v>0</v>
      </c>
      <c r="S259">
        <f>Source!Y180</f>
        <v>0</v>
      </c>
      <c r="T259">
        <f>Source!Y181</f>
        <v>0</v>
      </c>
      <c r="U259">
        <f>ROUND((175/100)*ROUND(Source!R180, 2), 2)</f>
        <v>0</v>
      </c>
      <c r="V259">
        <f>ROUND((0/100)*ROUND(Source!R181, 2), 2)</f>
        <v>0</v>
      </c>
      <c r="AC259">
        <v>3</v>
      </c>
    </row>
    <row r="260" spans="1:29" ht="14.25" x14ac:dyDescent="0.2">
      <c r="A260" s="27"/>
      <c r="B260" s="27"/>
      <c r="C260" s="27" t="s">
        <v>404</v>
      </c>
      <c r="D260" s="29" t="s">
        <v>405</v>
      </c>
      <c r="E260" s="28">
        <f>Source!BZ175</f>
        <v>90</v>
      </c>
      <c r="F260" s="31"/>
      <c r="G260" s="30"/>
      <c r="H260" s="28"/>
      <c r="I260" s="31">
        <f>SUM(Q252:Q259)</f>
        <v>4879.32</v>
      </c>
      <c r="J260" s="28">
        <f>Source!AT175</f>
        <v>90</v>
      </c>
      <c r="K260" s="31">
        <f>SUM(R252:R259)</f>
        <v>268313.98</v>
      </c>
    </row>
    <row r="261" spans="1:29" ht="14.25" x14ac:dyDescent="0.2">
      <c r="A261" s="27"/>
      <c r="B261" s="27"/>
      <c r="C261" s="27" t="s">
        <v>406</v>
      </c>
      <c r="D261" s="29" t="s">
        <v>405</v>
      </c>
      <c r="E261" s="28">
        <f>Source!CA175</f>
        <v>46</v>
      </c>
      <c r="F261" s="31"/>
      <c r="G261" s="30"/>
      <c r="H261" s="28"/>
      <c r="I261" s="31">
        <f>SUM(S252:S260)</f>
        <v>2493.88</v>
      </c>
      <c r="J261" s="28">
        <f>Source!AU175</f>
        <v>46</v>
      </c>
      <c r="K261" s="31">
        <f>SUM(T252:T260)</f>
        <v>137138.25</v>
      </c>
    </row>
    <row r="262" spans="1:29" ht="14.25" x14ac:dyDescent="0.2">
      <c r="A262" s="33"/>
      <c r="B262" s="33"/>
      <c r="C262" s="33" t="s">
        <v>407</v>
      </c>
      <c r="D262" s="34" t="s">
        <v>408</v>
      </c>
      <c r="E262" s="35">
        <f>Source!AQ174</f>
        <v>24.76</v>
      </c>
      <c r="F262" s="36"/>
      <c r="G262" s="37" t="s">
        <v>400</v>
      </c>
      <c r="H262" s="35">
        <f>Source!AV175</f>
        <v>1.0469999999999999</v>
      </c>
      <c r="I262" s="36">
        <f>Source!U174</f>
        <v>456.25747200000006</v>
      </c>
      <c r="J262" s="35"/>
      <c r="K262" s="36"/>
    </row>
    <row r="263" spans="1:29" ht="15" x14ac:dyDescent="0.2">
      <c r="C263" s="38" t="s">
        <v>409</v>
      </c>
      <c r="H263" s="66">
        <f>I254+I255+I256+I260+I261+SUM(I257:I259)-SUMIF(AC257:AC259, 5, I257:I259)-SUMIF(AC257:AC259, 6, I257:I259)</f>
        <v>40276.370000000003</v>
      </c>
      <c r="I263" s="66"/>
      <c r="J263" s="66">
        <f>K254+K255+K256+K260+K261+SUM(K257:K259)-SUMIF(AC257:AC259, 5, K257:K259)-SUMIF(AC257:AC259, 6, K257:K259)</f>
        <v>932581.49</v>
      </c>
      <c r="K263" s="66"/>
    </row>
    <row r="264" spans="1:29" ht="15" hidden="1" x14ac:dyDescent="0.2">
      <c r="C264" s="38" t="s">
        <v>410</v>
      </c>
      <c r="H264" s="64">
        <f>SUMIF(AC257:AC259, 5, I257:I259)+SUMIF(AC257:AC259, 6, I257:I259)</f>
        <v>0</v>
      </c>
      <c r="I264" s="64"/>
      <c r="J264" s="64">
        <f>SUMIF(AC257:AC259, 5, K257:K259)+SUMIF(AC257:AC259, 6, K257:K259)</f>
        <v>0</v>
      </c>
      <c r="K264" s="64"/>
    </row>
    <row r="265" spans="1:29" ht="15" x14ac:dyDescent="0.2">
      <c r="C265" s="38" t="s">
        <v>411</v>
      </c>
      <c r="H265" s="64">
        <f>I254+I255+I256+I260+I261+SUM(I257:I259)</f>
        <v>40276.370000000003</v>
      </c>
      <c r="I265" s="64"/>
      <c r="J265" s="64">
        <f>K254+K255+K256+K260+K261+SUM(K257:K259)</f>
        <v>932581.49</v>
      </c>
      <c r="K265" s="64"/>
      <c r="O265" s="39">
        <f>I254+I255+I256+I260+I261+SUM(I257:I259)</f>
        <v>40276.370000000003</v>
      </c>
      <c r="P265" s="39">
        <f>K254+K255+K256+K260+K261+SUM(K257:K259)</f>
        <v>932581.49</v>
      </c>
    </row>
    <row r="267" spans="1:29" ht="57" x14ac:dyDescent="0.2">
      <c r="A267" s="27">
        <v>34</v>
      </c>
      <c r="B267" s="27" t="str">
        <f>Source!F182</f>
        <v>4.10-185-3</v>
      </c>
      <c r="C267" s="27" t="s">
        <v>217</v>
      </c>
      <c r="D267" s="29" t="str">
        <f>Source!H182</f>
        <v>100 м</v>
      </c>
      <c r="E267" s="28">
        <f>Source!I182</f>
        <v>0.2</v>
      </c>
      <c r="F267" s="31"/>
      <c r="G267" s="30"/>
      <c r="H267" s="28"/>
      <c r="I267" s="31"/>
      <c r="J267" s="28"/>
      <c r="K267" s="31"/>
      <c r="Q267">
        <f>Source!X182</f>
        <v>60.99</v>
      </c>
      <c r="R267">
        <f>Source!X183</f>
        <v>3354</v>
      </c>
      <c r="S267">
        <f>Source!Y182</f>
        <v>31.17</v>
      </c>
      <c r="T267">
        <f>Source!Y183</f>
        <v>1714.27</v>
      </c>
      <c r="U267">
        <f>ROUND((175/100)*ROUND(Source!R182, 2), 2)</f>
        <v>0</v>
      </c>
      <c r="V267">
        <f>ROUND((0/100)*ROUND(Source!R183, 2), 2)</f>
        <v>0</v>
      </c>
      <c r="AC267">
        <v>0</v>
      </c>
    </row>
    <row r="268" spans="1:29" x14ac:dyDescent="0.2">
      <c r="C268" s="48" t="str">
        <f>"Объем: "&amp;Source!I182&amp;"=20/"&amp;"100"</f>
        <v>Объем: 0,2=20/100</v>
      </c>
    </row>
    <row r="269" spans="1:29" ht="14.25" x14ac:dyDescent="0.2">
      <c r="A269" s="27"/>
      <c r="B269" s="27"/>
      <c r="C269" s="27" t="s">
        <v>399</v>
      </c>
      <c r="D269" s="29"/>
      <c r="E269" s="28"/>
      <c r="F269" s="31">
        <f>Source!AO182</f>
        <v>294.20999999999998</v>
      </c>
      <c r="G269" s="30" t="s">
        <v>400</v>
      </c>
      <c r="H269" s="28">
        <f>Source!AV183</f>
        <v>1.0469999999999999</v>
      </c>
      <c r="I269" s="31">
        <f>Source!S182</f>
        <v>67.77</v>
      </c>
      <c r="J269" s="28">
        <f>IF(Source!BA183&lt;&gt; 0, Source!BA183, 1)</f>
        <v>54.99</v>
      </c>
      <c r="K269" s="31">
        <f>Source!S183</f>
        <v>3726.67</v>
      </c>
    </row>
    <row r="270" spans="1:29" ht="14.25" x14ac:dyDescent="0.2">
      <c r="A270" s="27"/>
      <c r="B270" s="27"/>
      <c r="C270" s="27" t="s">
        <v>401</v>
      </c>
      <c r="D270" s="29"/>
      <c r="E270" s="28"/>
      <c r="F270" s="31">
        <f>Source!AM182</f>
        <v>4.05</v>
      </c>
      <c r="G270" s="30" t="s">
        <v>400</v>
      </c>
      <c r="H270" s="28">
        <f>Source!AV183</f>
        <v>1.0469999999999999</v>
      </c>
      <c r="I270" s="31">
        <f>Source!Q182</f>
        <v>0.93</v>
      </c>
      <c r="J270" s="28">
        <f>IF(Source!BB183&lt;&gt; 0, Source!BB183, 1)</f>
        <v>8.7200000000000006</v>
      </c>
      <c r="K270" s="31">
        <f>Source!Q183</f>
        <v>8.11</v>
      </c>
    </row>
    <row r="271" spans="1:29" ht="14.25" x14ac:dyDescent="0.2">
      <c r="A271" s="27"/>
      <c r="B271" s="27"/>
      <c r="C271" s="27" t="s">
        <v>403</v>
      </c>
      <c r="D271" s="29"/>
      <c r="E271" s="28"/>
      <c r="F271" s="31">
        <f>Source!AL182</f>
        <v>19.420000000000002</v>
      </c>
      <c r="G271" s="30"/>
      <c r="H271" s="28">
        <f>Source!AW183</f>
        <v>1</v>
      </c>
      <c r="I271" s="31">
        <f>Source!P182</f>
        <v>3.88</v>
      </c>
      <c r="J271" s="28">
        <f>IF(Source!BC183&lt;&gt; 0, Source!BC183, 1)</f>
        <v>6.66</v>
      </c>
      <c r="K271" s="31">
        <f>Source!P183</f>
        <v>25.84</v>
      </c>
    </row>
    <row r="272" spans="1:29" ht="42.75" x14ac:dyDescent="0.2">
      <c r="A272" s="27" t="s">
        <v>237</v>
      </c>
      <c r="B272" s="27" t="str">
        <f>Source!F184</f>
        <v>1.12-5-372</v>
      </c>
      <c r="C272" s="27" t="s">
        <v>222</v>
      </c>
      <c r="D272" s="29" t="str">
        <f>Source!H184</f>
        <v>м</v>
      </c>
      <c r="E272" s="28">
        <f>Source!I184</f>
        <v>20.399999999999999</v>
      </c>
      <c r="F272" s="31">
        <f>Source!AK184</f>
        <v>3.45</v>
      </c>
      <c r="G272" s="47" t="s">
        <v>3</v>
      </c>
      <c r="H272" s="28">
        <f>Source!AW185</f>
        <v>1</v>
      </c>
      <c r="I272" s="31">
        <f>Source!O184</f>
        <v>70.38</v>
      </c>
      <c r="J272" s="28">
        <f>IF(Source!BC185&lt;&gt; 0, Source!BC185, 1)</f>
        <v>3.93</v>
      </c>
      <c r="K272" s="31">
        <f>Source!O185</f>
        <v>276.58999999999997</v>
      </c>
      <c r="Q272">
        <f>Source!X184</f>
        <v>0</v>
      </c>
      <c r="R272">
        <f>Source!X185</f>
        <v>0</v>
      </c>
      <c r="S272">
        <f>Source!Y184</f>
        <v>0</v>
      </c>
      <c r="T272">
        <f>Source!Y185</f>
        <v>0</v>
      </c>
      <c r="U272">
        <f>ROUND((175/100)*ROUND(Source!R184, 2), 2)</f>
        <v>0</v>
      </c>
      <c r="V272">
        <f>ROUND((0/100)*ROUND(Source!R185, 2), 2)</f>
        <v>0</v>
      </c>
      <c r="AC272">
        <v>3</v>
      </c>
    </row>
    <row r="273" spans="1:29" ht="42.75" x14ac:dyDescent="0.2">
      <c r="A273" s="27" t="s">
        <v>238</v>
      </c>
      <c r="B273" s="27" t="str">
        <f>Source!F186</f>
        <v>1.21-5-1469</v>
      </c>
      <c r="C273" s="27" t="s">
        <v>227</v>
      </c>
      <c r="D273" s="29" t="str">
        <f>Source!H186</f>
        <v>1000 шт.</v>
      </c>
      <c r="E273" s="28">
        <f>Source!I186</f>
        <v>4.7600000000000003E-2</v>
      </c>
      <c r="F273" s="31">
        <f>Source!AK186</f>
        <v>396.59</v>
      </c>
      <c r="G273" s="47" t="s">
        <v>3</v>
      </c>
      <c r="H273" s="28">
        <f>Source!AW187</f>
        <v>1</v>
      </c>
      <c r="I273" s="31">
        <f>Source!O186</f>
        <v>18.88</v>
      </c>
      <c r="J273" s="28">
        <f>IF(Source!BC187&lt;&gt; 0, Source!BC187, 1)</f>
        <v>4.63</v>
      </c>
      <c r="K273" s="31">
        <f>Source!O187</f>
        <v>87.41</v>
      </c>
      <c r="Q273">
        <f>Source!X186</f>
        <v>0</v>
      </c>
      <c r="R273">
        <f>Source!X187</f>
        <v>0</v>
      </c>
      <c r="S273">
        <f>Source!Y186</f>
        <v>0</v>
      </c>
      <c r="T273">
        <f>Source!Y187</f>
        <v>0</v>
      </c>
      <c r="U273">
        <f>ROUND((175/100)*ROUND(Source!R186, 2), 2)</f>
        <v>0</v>
      </c>
      <c r="V273">
        <f>ROUND((0/100)*ROUND(Source!R187, 2), 2)</f>
        <v>0</v>
      </c>
      <c r="AC273">
        <v>3</v>
      </c>
    </row>
    <row r="274" spans="1:29" ht="14.25" x14ac:dyDescent="0.2">
      <c r="A274" s="27"/>
      <c r="B274" s="27"/>
      <c r="C274" s="27" t="s">
        <v>404</v>
      </c>
      <c r="D274" s="29" t="s">
        <v>405</v>
      </c>
      <c r="E274" s="28">
        <f>Source!BZ183</f>
        <v>90</v>
      </c>
      <c r="F274" s="31"/>
      <c r="G274" s="30"/>
      <c r="H274" s="28"/>
      <c r="I274" s="31">
        <f>SUM(Q267:Q273)</f>
        <v>60.99</v>
      </c>
      <c r="J274" s="28">
        <f>Source!AT183</f>
        <v>90</v>
      </c>
      <c r="K274" s="31">
        <f>SUM(R267:R273)</f>
        <v>3354</v>
      </c>
    </row>
    <row r="275" spans="1:29" ht="14.25" x14ac:dyDescent="0.2">
      <c r="A275" s="27"/>
      <c r="B275" s="27"/>
      <c r="C275" s="27" t="s">
        <v>406</v>
      </c>
      <c r="D275" s="29" t="s">
        <v>405</v>
      </c>
      <c r="E275" s="28">
        <f>Source!CA183</f>
        <v>46</v>
      </c>
      <c r="F275" s="31"/>
      <c r="G275" s="30"/>
      <c r="H275" s="28"/>
      <c r="I275" s="31">
        <f>SUM(S267:S274)</f>
        <v>31.17</v>
      </c>
      <c r="J275" s="28">
        <f>Source!AU183</f>
        <v>46</v>
      </c>
      <c r="K275" s="31">
        <f>SUM(T267:T274)</f>
        <v>1714.27</v>
      </c>
    </row>
    <row r="276" spans="1:29" ht="14.25" x14ac:dyDescent="0.2">
      <c r="A276" s="33"/>
      <c r="B276" s="33"/>
      <c r="C276" s="33" t="s">
        <v>407</v>
      </c>
      <c r="D276" s="34" t="s">
        <v>408</v>
      </c>
      <c r="E276" s="35">
        <f>Source!AQ182</f>
        <v>24.76</v>
      </c>
      <c r="F276" s="36"/>
      <c r="G276" s="37" t="s">
        <v>400</v>
      </c>
      <c r="H276" s="35">
        <f>Source!AV183</f>
        <v>1.0469999999999999</v>
      </c>
      <c r="I276" s="36">
        <f>Source!U182</f>
        <v>5.7032184000000008</v>
      </c>
      <c r="J276" s="35"/>
      <c r="K276" s="36"/>
    </row>
    <row r="277" spans="1:29" ht="15" x14ac:dyDescent="0.2">
      <c r="C277" s="38" t="s">
        <v>409</v>
      </c>
      <c r="H277" s="66">
        <f>I269+I270+I271+I274+I275+SUM(I272:I273)-SUMIF(AC272:AC273, 5, I272:I273)-SUMIF(AC272:AC273, 6, I272:I273)</f>
        <v>254</v>
      </c>
      <c r="I277" s="66"/>
      <c r="J277" s="66">
        <f>K269+K270+K271+K274+K275+SUM(K272:K273)-SUMIF(AC272:AC273, 5, K272:K273)-SUMIF(AC272:AC273, 6, K272:K273)</f>
        <v>9192.8900000000012</v>
      </c>
      <c r="K277" s="66"/>
    </row>
    <row r="278" spans="1:29" ht="15" hidden="1" x14ac:dyDescent="0.2">
      <c r="C278" s="38" t="s">
        <v>410</v>
      </c>
      <c r="H278" s="64">
        <f>SUMIF(AC272:AC273, 5, I272:I273)+SUMIF(AC272:AC273, 6, I272:I273)</f>
        <v>0</v>
      </c>
      <c r="I278" s="64"/>
      <c r="J278" s="64">
        <f>SUMIF(AC272:AC273, 5, K272:K273)+SUMIF(AC272:AC273, 6, K272:K273)</f>
        <v>0</v>
      </c>
      <c r="K278" s="64"/>
    </row>
    <row r="279" spans="1:29" ht="15" x14ac:dyDescent="0.2">
      <c r="C279" s="38" t="s">
        <v>411</v>
      </c>
      <c r="H279" s="64">
        <f>I269+I270+I271+I274+I275+SUM(I272:I273)</f>
        <v>254</v>
      </c>
      <c r="I279" s="64"/>
      <c r="J279" s="64">
        <f>K269+K270+K271+K274+K275+SUM(K272:K273)</f>
        <v>9192.8900000000012</v>
      </c>
      <c r="K279" s="64"/>
      <c r="O279" s="39">
        <f>I269+I270+I271+I274+I275+SUM(I272:I273)</f>
        <v>254</v>
      </c>
      <c r="P279" s="39">
        <f>K269+K270+K271+K274+K275+SUM(K272:K273)</f>
        <v>9192.8900000000012</v>
      </c>
    </row>
    <row r="281" spans="1:29" ht="54" x14ac:dyDescent="0.2">
      <c r="A281" s="27">
        <v>35</v>
      </c>
      <c r="B281" s="27" t="str">
        <f>Source!F188</f>
        <v>КА-19</v>
      </c>
      <c r="C281" s="27" t="s">
        <v>432</v>
      </c>
      <c r="D281" s="29" t="str">
        <f>Source!H188</f>
        <v>км</v>
      </c>
      <c r="E281" s="28">
        <f>Source!I188</f>
        <v>2.0400000000000001E-2</v>
      </c>
      <c r="F281" s="31">
        <f>Source!AL188</f>
        <v>11101.62</v>
      </c>
      <c r="G281" s="30"/>
      <c r="H281" s="28">
        <f>Source!AW189</f>
        <v>1</v>
      </c>
      <c r="I281" s="31">
        <f>Source!P188</f>
        <v>226.47</v>
      </c>
      <c r="J281" s="28">
        <f>IF(Source!BC189&lt;&gt; 0, Source!BC189, 1)</f>
        <v>9.8800000000000008</v>
      </c>
      <c r="K281" s="31">
        <f>Source!P189</f>
        <v>2237.52</v>
      </c>
      <c r="Q281">
        <f>Source!X188</f>
        <v>0</v>
      </c>
      <c r="R281">
        <f>Source!X189</f>
        <v>0</v>
      </c>
      <c r="S281">
        <f>Source!Y188</f>
        <v>0</v>
      </c>
      <c r="T281">
        <f>Source!Y189</f>
        <v>0</v>
      </c>
      <c r="U281">
        <f>ROUND((175/100)*ROUND(Source!R188, 2), 2)</f>
        <v>0</v>
      </c>
      <c r="V281">
        <f>ROUND((0/100)*ROUND(Source!R189, 2), 2)</f>
        <v>0</v>
      </c>
      <c r="AC281">
        <v>3</v>
      </c>
    </row>
    <row r="282" spans="1:29" x14ac:dyDescent="0.2">
      <c r="A282" s="49"/>
      <c r="B282" s="49"/>
      <c r="C282" s="50" t="str">
        <f>"Объем: "&amp;Source!I188&amp;"=(20*"&amp;"1,02)/"&amp;"1000"</f>
        <v>Объем: 0,0204=(20*1,02)/1000</v>
      </c>
      <c r="D282" s="49"/>
      <c r="E282" s="49"/>
      <c r="F282" s="49"/>
      <c r="G282" s="49"/>
      <c r="H282" s="49"/>
      <c r="I282" s="49"/>
      <c r="J282" s="49"/>
      <c r="K282" s="49"/>
    </row>
    <row r="283" spans="1:29" ht="15" x14ac:dyDescent="0.2">
      <c r="C283" s="38" t="s">
        <v>411</v>
      </c>
      <c r="H283" s="66">
        <f>I281+0</f>
        <v>226.47</v>
      </c>
      <c r="I283" s="66"/>
      <c r="J283" s="66">
        <f>K281+0</f>
        <v>2237.52</v>
      </c>
      <c r="K283" s="66"/>
      <c r="O283" s="39">
        <f>I281+0</f>
        <v>226.47</v>
      </c>
      <c r="P283" s="39">
        <f>K281+0</f>
        <v>2237.52</v>
      </c>
    </row>
    <row r="285" spans="1:29" ht="142.5" x14ac:dyDescent="0.2">
      <c r="A285" s="33">
        <v>36</v>
      </c>
      <c r="B285" s="33" t="str">
        <f>Source!F190</f>
        <v>1.1-1-8069</v>
      </c>
      <c r="C285" s="33" t="s">
        <v>372</v>
      </c>
      <c r="D285" s="34" t="str">
        <f>Source!H190</f>
        <v>кг</v>
      </c>
      <c r="E285" s="35">
        <f>Source!I190</f>
        <v>5</v>
      </c>
      <c r="F285" s="36">
        <f>Source!AL190</f>
        <v>133.65</v>
      </c>
      <c r="G285" s="37"/>
      <c r="H285" s="35">
        <f>Source!AW191</f>
        <v>1</v>
      </c>
      <c r="I285" s="36">
        <f>Source!P190</f>
        <v>668.25</v>
      </c>
      <c r="J285" s="35">
        <f>IF(Source!BC191&lt;&gt; 0, Source!BC191, 1)</f>
        <v>9.33</v>
      </c>
      <c r="K285" s="36">
        <f>Source!P191</f>
        <v>6234.77</v>
      </c>
      <c r="Q285">
        <f>Source!X190</f>
        <v>0</v>
      </c>
      <c r="R285">
        <f>Source!X191</f>
        <v>0</v>
      </c>
      <c r="S285">
        <f>Source!Y190</f>
        <v>0</v>
      </c>
      <c r="T285">
        <f>Source!Y191</f>
        <v>0</v>
      </c>
      <c r="U285">
        <f>ROUND((175/100)*ROUND(Source!R190, 2), 2)</f>
        <v>0</v>
      </c>
      <c r="V285">
        <f>ROUND((0/100)*ROUND(Source!R191, 2), 2)</f>
        <v>0</v>
      </c>
      <c r="AC285">
        <v>3</v>
      </c>
    </row>
    <row r="286" spans="1:29" ht="15" x14ac:dyDescent="0.2">
      <c r="C286" s="38" t="s">
        <v>411</v>
      </c>
      <c r="H286" s="66">
        <f>I285+0</f>
        <v>668.25</v>
      </c>
      <c r="I286" s="66"/>
      <c r="J286" s="66">
        <f>K285+0</f>
        <v>6234.77</v>
      </c>
      <c r="K286" s="66"/>
      <c r="O286" s="39">
        <f>I285+0</f>
        <v>668.25</v>
      </c>
      <c r="P286" s="39">
        <f>K285+0</f>
        <v>6234.77</v>
      </c>
    </row>
    <row r="289" spans="1:43" ht="15" x14ac:dyDescent="0.25">
      <c r="A289" s="63" t="str">
        <f>CONCATENATE("Итого по разделу: ",IF(Source!G193&lt;&gt;"Новый раздел", Source!G193, ""))</f>
        <v>Итого по разделу: Кабельные изделия</v>
      </c>
      <c r="B289" s="63"/>
      <c r="C289" s="63"/>
      <c r="D289" s="63"/>
      <c r="E289" s="63"/>
      <c r="F289" s="63"/>
      <c r="G289" s="63"/>
      <c r="H289" s="64">
        <f>SUM(O251:O288)</f>
        <v>41425.090000000004</v>
      </c>
      <c r="I289" s="65"/>
      <c r="J289" s="64">
        <f>SUM(P251:P288)</f>
        <v>950246.67</v>
      </c>
      <c r="K289" s="65"/>
    </row>
    <row r="290" spans="1:43" hidden="1" x14ac:dyDescent="0.2">
      <c r="A290" t="s">
        <v>426</v>
      </c>
      <c r="I290">
        <f>SUM(W251:W289)</f>
        <v>0</v>
      </c>
      <c r="J290">
        <f>SUM(X251:X289)</f>
        <v>0</v>
      </c>
    </row>
    <row r="291" spans="1:43" hidden="1" x14ac:dyDescent="0.2">
      <c r="A291" t="s">
        <v>427</v>
      </c>
      <c r="I291">
        <f>SUM(Y251:Y290)</f>
        <v>0</v>
      </c>
      <c r="J291">
        <f>SUM(Z251:Z290)</f>
        <v>0</v>
      </c>
    </row>
    <row r="293" spans="1:43" ht="15" x14ac:dyDescent="0.25">
      <c r="A293" s="63" t="str">
        <f>CONCATENATE("Итого по локальной смете: ",IF(Source!G223&lt;&gt;"Новая локальная смета", Source!G223, ""))</f>
        <v>Итого по локальной смете: Система оповещения управления эвакуацией</v>
      </c>
      <c r="B293" s="63"/>
      <c r="C293" s="63"/>
      <c r="D293" s="63"/>
      <c r="E293" s="63"/>
      <c r="F293" s="63"/>
      <c r="G293" s="63"/>
      <c r="H293" s="64">
        <f>SUM(O28:O292)</f>
        <v>213632.29000000004</v>
      </c>
      <c r="I293" s="65"/>
      <c r="J293" s="64">
        <f>SUM(P28:P292)</f>
        <v>3017092.1400000006</v>
      </c>
      <c r="K293" s="65"/>
      <c r="AQ293" s="51" t="str">
        <f>CONCATENATE("Итого по локальной смете: ",IF(Source!G223&lt;&gt;"Новая локальная смета", Source!G223, ""))</f>
        <v>Итого по локальной смете: Система оповещения управления эвакуацией</v>
      </c>
    </row>
    <row r="294" spans="1:43" hidden="1" x14ac:dyDescent="0.2">
      <c r="A294" t="s">
        <v>426</v>
      </c>
      <c r="I294">
        <f>SUM(W28:W293)</f>
        <v>0</v>
      </c>
      <c r="J294">
        <f>SUM(X28:X293)</f>
        <v>0</v>
      </c>
    </row>
    <row r="295" spans="1:43" hidden="1" x14ac:dyDescent="0.2">
      <c r="A295" t="s">
        <v>427</v>
      </c>
      <c r="I295">
        <f>SUM(Y28:Y294)</f>
        <v>0</v>
      </c>
      <c r="J295">
        <f>SUM(Z28:Z294)</f>
        <v>0</v>
      </c>
    </row>
    <row r="297" spans="1:43" ht="15" x14ac:dyDescent="0.25">
      <c r="A297" s="63" t="str">
        <f>CONCATENATE("Итого по смете: ",IF(Source!G253&lt;&gt;"Новый объект", Source!G253, ""))</f>
        <v>Итого по смете: 02-01-09 СОУЭ</v>
      </c>
      <c r="B297" s="63"/>
      <c r="C297" s="63"/>
      <c r="D297" s="63"/>
      <c r="E297" s="63"/>
      <c r="F297" s="63"/>
      <c r="G297" s="63"/>
      <c r="H297" s="64">
        <f>SUM(O1:O296)</f>
        <v>213632.29000000004</v>
      </c>
      <c r="I297" s="65"/>
      <c r="J297" s="64">
        <f>SUM(P1:P296)</f>
        <v>3017092.1400000006</v>
      </c>
      <c r="K297" s="65"/>
    </row>
    <row r="298" spans="1:43" hidden="1" x14ac:dyDescent="0.2">
      <c r="A298" t="s">
        <v>426</v>
      </c>
      <c r="I298">
        <f>SUM(W1:W297)</f>
        <v>0</v>
      </c>
      <c r="J298">
        <f>SUM(X1:X297)</f>
        <v>0</v>
      </c>
    </row>
    <row r="299" spans="1:43" hidden="1" x14ac:dyDescent="0.2">
      <c r="A299" t="s">
        <v>427</v>
      </c>
      <c r="I299">
        <f>SUM(Y1:Y298)</f>
        <v>0</v>
      </c>
      <c r="J299">
        <f>SUM(Z1:Z298)</f>
        <v>0</v>
      </c>
    </row>
    <row r="302" spans="1:43" ht="14.25" x14ac:dyDescent="0.2">
      <c r="A302" s="60" t="s">
        <v>434</v>
      </c>
      <c r="B302" s="60"/>
      <c r="C302" s="52" t="str">
        <f>IF(Source!AC12&lt;&gt;"", Source!AC12," ")</f>
        <v xml:space="preserve"> </v>
      </c>
      <c r="D302" s="52"/>
      <c r="E302" s="52"/>
      <c r="F302" s="52"/>
      <c r="G302" s="52"/>
      <c r="H302" s="61" t="str">
        <f>IF(Source!AB12&lt;&gt;"", Source!AB12," ")</f>
        <v>Соколова И.Н.</v>
      </c>
      <c r="I302" s="61"/>
      <c r="J302" s="61"/>
      <c r="K302" s="61"/>
    </row>
    <row r="303" spans="1:43" ht="14.25" x14ac:dyDescent="0.2">
      <c r="A303" s="16"/>
      <c r="B303" s="16"/>
      <c r="C303" s="62" t="s">
        <v>435</v>
      </c>
      <c r="D303" s="62"/>
      <c r="E303" s="62"/>
      <c r="F303" s="62"/>
      <c r="G303" s="62"/>
      <c r="H303" s="16"/>
      <c r="I303" s="16"/>
      <c r="J303" s="16"/>
      <c r="K303" s="16"/>
    </row>
    <row r="304" spans="1:43" ht="14.25" x14ac:dyDescent="0.2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</row>
    <row r="305" spans="1:11" ht="14.25" x14ac:dyDescent="0.2">
      <c r="A305" s="60" t="s">
        <v>436</v>
      </c>
      <c r="B305" s="60"/>
      <c r="C305" s="52" t="str">
        <f>IF(Source!AE12&lt;&gt;"", Source!AE12," ")</f>
        <v xml:space="preserve"> </v>
      </c>
      <c r="D305" s="52"/>
      <c r="E305" s="52"/>
      <c r="F305" s="52"/>
      <c r="G305" s="52"/>
      <c r="H305" s="61" t="str">
        <f>IF(Source!AD12&lt;&gt;"", Source!AD12," ")</f>
        <v xml:space="preserve"> </v>
      </c>
      <c r="I305" s="61"/>
      <c r="J305" s="61"/>
      <c r="K305" s="61"/>
    </row>
    <row r="306" spans="1:11" ht="14.25" x14ac:dyDescent="0.2">
      <c r="A306" s="16"/>
      <c r="B306" s="16"/>
      <c r="C306" s="62" t="s">
        <v>435</v>
      </c>
      <c r="D306" s="62"/>
      <c r="E306" s="62"/>
      <c r="F306" s="62"/>
      <c r="G306" s="62"/>
      <c r="H306" s="16"/>
      <c r="I306" s="16"/>
      <c r="J306" s="16"/>
      <c r="K306" s="16"/>
    </row>
  </sheetData>
  <mergeCells count="181">
    <mergeCell ref="J2:K2"/>
    <mergeCell ref="A29:K29"/>
    <mergeCell ref="E14:H14"/>
    <mergeCell ref="E15:H15"/>
    <mergeCell ref="E16:H16"/>
    <mergeCell ref="E17:H17"/>
    <mergeCell ref="E18:H18"/>
    <mergeCell ref="E19:H19"/>
    <mergeCell ref="A3:K3"/>
    <mergeCell ref="A4:K4"/>
    <mergeCell ref="A6:K6"/>
    <mergeCell ref="A8:K8"/>
    <mergeCell ref="A9:K9"/>
    <mergeCell ref="A11:K11"/>
    <mergeCell ref="H38:I38"/>
    <mergeCell ref="J38:K38"/>
    <mergeCell ref="H39:I39"/>
    <mergeCell ref="J39:K39"/>
    <mergeCell ref="H40:I40"/>
    <mergeCell ref="J40:K40"/>
    <mergeCell ref="E20:H20"/>
    <mergeCell ref="E21:H21"/>
    <mergeCell ref="E22:H22"/>
    <mergeCell ref="A25:K25"/>
    <mergeCell ref="H53:I53"/>
    <mergeCell ref="J53:K53"/>
    <mergeCell ref="H56:I56"/>
    <mergeCell ref="J56:K56"/>
    <mergeCell ref="H65:I65"/>
    <mergeCell ref="J65:K65"/>
    <mergeCell ref="H43:I43"/>
    <mergeCell ref="J43:K43"/>
    <mergeCell ref="H51:I51"/>
    <mergeCell ref="J51:K51"/>
    <mergeCell ref="H52:I52"/>
    <mergeCell ref="J52:K52"/>
    <mergeCell ref="H79:I79"/>
    <mergeCell ref="J79:K79"/>
    <mergeCell ref="H80:I80"/>
    <mergeCell ref="J80:K80"/>
    <mergeCell ref="H81:I81"/>
    <mergeCell ref="J81:K81"/>
    <mergeCell ref="H66:I66"/>
    <mergeCell ref="J66:K66"/>
    <mergeCell ref="H67:I67"/>
    <mergeCell ref="J67:K67"/>
    <mergeCell ref="H70:I70"/>
    <mergeCell ref="J70:K70"/>
    <mergeCell ref="H94:I94"/>
    <mergeCell ref="J94:K94"/>
    <mergeCell ref="H97:I97"/>
    <mergeCell ref="J97:K97"/>
    <mergeCell ref="H106:I106"/>
    <mergeCell ref="J106:K106"/>
    <mergeCell ref="H84:I84"/>
    <mergeCell ref="J84:K84"/>
    <mergeCell ref="H92:I92"/>
    <mergeCell ref="J92:K92"/>
    <mergeCell ref="H93:I93"/>
    <mergeCell ref="J93:K93"/>
    <mergeCell ref="H119:I119"/>
    <mergeCell ref="J119:K119"/>
    <mergeCell ref="H120:I120"/>
    <mergeCell ref="J120:K120"/>
    <mergeCell ref="H121:I121"/>
    <mergeCell ref="J121:K121"/>
    <mergeCell ref="H107:I107"/>
    <mergeCell ref="J107:K107"/>
    <mergeCell ref="H108:I108"/>
    <mergeCell ref="J108:K108"/>
    <mergeCell ref="H111:I111"/>
    <mergeCell ref="J111:K111"/>
    <mergeCell ref="H134:I134"/>
    <mergeCell ref="J134:K134"/>
    <mergeCell ref="H137:I137"/>
    <mergeCell ref="J137:K137"/>
    <mergeCell ref="H147:I147"/>
    <mergeCell ref="J147:K147"/>
    <mergeCell ref="H124:I124"/>
    <mergeCell ref="J124:K124"/>
    <mergeCell ref="H132:I132"/>
    <mergeCell ref="J132:K132"/>
    <mergeCell ref="H133:I133"/>
    <mergeCell ref="J133:K133"/>
    <mergeCell ref="H160:I160"/>
    <mergeCell ref="J160:K160"/>
    <mergeCell ref="H161:I161"/>
    <mergeCell ref="J161:K161"/>
    <mergeCell ref="H162:I162"/>
    <mergeCell ref="J162:K162"/>
    <mergeCell ref="H148:I148"/>
    <mergeCell ref="J148:K148"/>
    <mergeCell ref="H149:I149"/>
    <mergeCell ref="J149:K149"/>
    <mergeCell ref="H152:I152"/>
    <mergeCell ref="J152:K152"/>
    <mergeCell ref="H175:I175"/>
    <mergeCell ref="J175:K175"/>
    <mergeCell ref="H178:I178"/>
    <mergeCell ref="J178:K178"/>
    <mergeCell ref="H186:I186"/>
    <mergeCell ref="J186:K186"/>
    <mergeCell ref="H165:I165"/>
    <mergeCell ref="J165:K165"/>
    <mergeCell ref="H173:I173"/>
    <mergeCell ref="J173:K173"/>
    <mergeCell ref="H174:I174"/>
    <mergeCell ref="J174:K174"/>
    <mergeCell ref="H194:I194"/>
    <mergeCell ref="J194:K194"/>
    <mergeCell ref="H197:I197"/>
    <mergeCell ref="J197:K197"/>
    <mergeCell ref="J200:K200"/>
    <mergeCell ref="H200:I200"/>
    <mergeCell ref="H187:I187"/>
    <mergeCell ref="J187:K187"/>
    <mergeCell ref="H188:I188"/>
    <mergeCell ref="J188:K188"/>
    <mergeCell ref="H191:I191"/>
    <mergeCell ref="J191:K191"/>
    <mergeCell ref="H213:I213"/>
    <mergeCell ref="J213:K213"/>
    <mergeCell ref="H216:I216"/>
    <mergeCell ref="J216:K216"/>
    <mergeCell ref="H225:I225"/>
    <mergeCell ref="J225:K225"/>
    <mergeCell ref="A200:G200"/>
    <mergeCell ref="A204:K204"/>
    <mergeCell ref="H211:I211"/>
    <mergeCell ref="J211:K211"/>
    <mergeCell ref="H212:I212"/>
    <mergeCell ref="J212:K212"/>
    <mergeCell ref="A247:G247"/>
    <mergeCell ref="A251:K251"/>
    <mergeCell ref="H239:I239"/>
    <mergeCell ref="J239:K239"/>
    <mergeCell ref="H240:I240"/>
    <mergeCell ref="J240:K240"/>
    <mergeCell ref="H241:I241"/>
    <mergeCell ref="J241:K241"/>
    <mergeCell ref="H226:I226"/>
    <mergeCell ref="J226:K226"/>
    <mergeCell ref="H227:I227"/>
    <mergeCell ref="J227:K227"/>
    <mergeCell ref="H230:I230"/>
    <mergeCell ref="J230:K230"/>
    <mergeCell ref="H263:I263"/>
    <mergeCell ref="J263:K263"/>
    <mergeCell ref="H264:I264"/>
    <mergeCell ref="J264:K264"/>
    <mergeCell ref="H265:I265"/>
    <mergeCell ref="J265:K265"/>
    <mergeCell ref="H244:I244"/>
    <mergeCell ref="J244:K244"/>
    <mergeCell ref="J247:K247"/>
    <mergeCell ref="H247:I247"/>
    <mergeCell ref="H283:I283"/>
    <mergeCell ref="J283:K283"/>
    <mergeCell ref="H286:I286"/>
    <mergeCell ref="J286:K286"/>
    <mergeCell ref="J289:K289"/>
    <mergeCell ref="H289:I289"/>
    <mergeCell ref="H277:I277"/>
    <mergeCell ref="J277:K277"/>
    <mergeCell ref="H278:I278"/>
    <mergeCell ref="J278:K278"/>
    <mergeCell ref="H279:I279"/>
    <mergeCell ref="J279:K279"/>
    <mergeCell ref="A302:B302"/>
    <mergeCell ref="H302:K302"/>
    <mergeCell ref="C303:G303"/>
    <mergeCell ref="A305:B305"/>
    <mergeCell ref="H305:K305"/>
    <mergeCell ref="C306:G306"/>
    <mergeCell ref="A289:G289"/>
    <mergeCell ref="J293:K293"/>
    <mergeCell ref="H293:I293"/>
    <mergeCell ref="A293:G293"/>
    <mergeCell ref="J297:K297"/>
    <mergeCell ref="H297:I297"/>
    <mergeCell ref="A297:G297"/>
  </mergeCells>
  <pageMargins left="0.4" right="0.2" top="0.2" bottom="0.4" header="0.2" footer="0.2"/>
  <pageSetup paperSize="9" scale="73" fitToHeight="0" orientation="portrait" r:id="rId1"/>
  <headerFooter>
    <oddHeader>&amp;L&amp;8</oddHeader>
    <oddFooter>&amp;R&amp;P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54"/>
  <sheetViews>
    <sheetView zoomScaleNormal="100" workbookViewId="0"/>
  </sheetViews>
  <sheetFormatPr defaultRowHeight="12.75" x14ac:dyDescent="0.2"/>
  <cols>
    <col min="1" max="2" width="6.7109375" customWidth="1"/>
    <col min="3" max="3" width="75.7109375" customWidth="1"/>
    <col min="4" max="8" width="15.7109375" customWidth="1"/>
    <col min="30" max="32" width="0" hidden="1" customWidth="1"/>
  </cols>
  <sheetData>
    <row r="1" spans="1:8" x14ac:dyDescent="0.2">
      <c r="A1" s="15" t="str">
        <f>Source!B1</f>
        <v>Smeta.RU  (495) 974-1589</v>
      </c>
    </row>
    <row r="4" spans="1:8" ht="15.75" x14ac:dyDescent="0.2">
      <c r="B4" s="80" t="str">
        <f>CONCATENATE("Ведомость объемов работ ", IF(Source!AN15&lt;&gt;"", Source!AN15," "))</f>
        <v xml:space="preserve">Ведомость объемов работ  </v>
      </c>
      <c r="C4" s="80"/>
      <c r="D4" s="80"/>
      <c r="E4" s="80"/>
    </row>
    <row r="5" spans="1:8" ht="15" x14ac:dyDescent="0.2">
      <c r="B5" s="81" t="str">
        <f>CONCATENATE(Source!F12, " ", Source!G12)</f>
        <v xml:space="preserve"> 02-01-09 СОУЭ</v>
      </c>
      <c r="C5" s="81"/>
      <c r="D5" s="81"/>
      <c r="E5" s="81"/>
    </row>
    <row r="6" spans="1:8" hidden="1" x14ac:dyDescent="0.2"/>
    <row r="8" spans="1:8" ht="99.75" x14ac:dyDescent="0.2">
      <c r="A8" s="24" t="s">
        <v>384</v>
      </c>
      <c r="B8" s="24" t="s">
        <v>437</v>
      </c>
      <c r="C8" s="24" t="s">
        <v>386</v>
      </c>
      <c r="D8" s="24" t="s">
        <v>438</v>
      </c>
      <c r="E8" s="24" t="s">
        <v>439</v>
      </c>
      <c r="F8" s="24" t="s">
        <v>440</v>
      </c>
      <c r="G8" s="24" t="s">
        <v>441</v>
      </c>
      <c r="H8" s="24" t="s">
        <v>442</v>
      </c>
    </row>
    <row r="9" spans="1:8" ht="14.25" x14ac:dyDescent="0.2">
      <c r="A9" s="24">
        <v>1</v>
      </c>
      <c r="B9" s="24">
        <v>2</v>
      </c>
      <c r="C9" s="24">
        <v>3</v>
      </c>
      <c r="D9" s="24">
        <v>4</v>
      </c>
      <c r="E9" s="24">
        <v>5</v>
      </c>
      <c r="F9" s="24">
        <v>6</v>
      </c>
      <c r="G9" s="24">
        <v>7</v>
      </c>
      <c r="H9" s="24">
        <v>8</v>
      </c>
    </row>
    <row r="10" spans="1:8" ht="16.5" x14ac:dyDescent="0.25">
      <c r="A10" s="79" t="str">
        <f>CONCATENATE("Локальная смета: ", Source!G20)</f>
        <v>Локальная смета: Система оповещения управления эвакуацией</v>
      </c>
      <c r="B10" s="79"/>
      <c r="C10" s="79"/>
      <c r="D10" s="79"/>
      <c r="E10" s="79"/>
      <c r="F10" s="79"/>
      <c r="G10" s="79"/>
      <c r="H10" s="79"/>
    </row>
    <row r="11" spans="1:8" ht="16.5" x14ac:dyDescent="0.25">
      <c r="A11" s="79" t="str">
        <f>CONCATENATE("Раздел: ", Source!G24)</f>
        <v>Раздел: Оборудование</v>
      </c>
      <c r="B11" s="79"/>
      <c r="C11" s="79"/>
      <c r="D11" s="79"/>
      <c r="E11" s="79"/>
      <c r="F11" s="79"/>
      <c r="G11" s="79"/>
      <c r="H11" s="79"/>
    </row>
    <row r="12" spans="1:8" ht="28.5" x14ac:dyDescent="0.2">
      <c r="A12" s="24">
        <v>1</v>
      </c>
      <c r="B12" s="24" t="str">
        <f>Source!E28</f>
        <v>1</v>
      </c>
      <c r="C12" s="55" t="str">
        <f>Source!G28</f>
        <v>Установка для трубных проводок шкафа напольного размерами до 600х600 мм</v>
      </c>
      <c r="D12" s="24" t="s">
        <v>22</v>
      </c>
      <c r="E12" s="56">
        <f>Source!I28</f>
        <v>1</v>
      </c>
      <c r="F12" s="24" t="str">
        <f>Source!U24</f>
        <v/>
      </c>
      <c r="G12" s="24">
        <f>Source!I28</f>
        <v>1</v>
      </c>
      <c r="H12" s="55"/>
    </row>
    <row r="13" spans="1:8" ht="28.5" x14ac:dyDescent="0.2">
      <c r="A13" s="24">
        <v>2</v>
      </c>
      <c r="B13" s="24" t="str">
        <f>Source!E30</f>
        <v>2</v>
      </c>
      <c r="C13" s="55" t="str">
        <f>Source!G30</f>
        <v>Шкаф настенный LINEA W 18U 600x600 мм дверь стекло RAL9005 LWR5-18U66-GF</v>
      </c>
      <c r="D13" s="24" t="s">
        <v>33</v>
      </c>
      <c r="E13" s="56">
        <f>Source!I30</f>
        <v>1</v>
      </c>
      <c r="F13" s="24" t="str">
        <f>Source!U24</f>
        <v/>
      </c>
      <c r="G13" s="24">
        <f>Source!I30</f>
        <v>1</v>
      </c>
      <c r="H13" s="55"/>
    </row>
    <row r="14" spans="1:8" ht="14.25" x14ac:dyDescent="0.2">
      <c r="A14" s="24">
        <v>3</v>
      </c>
      <c r="B14" s="24" t="str">
        <f>Source!E32</f>
        <v>3</v>
      </c>
      <c r="C14" s="55" t="str">
        <f>Source!G32</f>
        <v>Монтаж блока информационно-управляющего (БИУ) в диспетчерской</v>
      </c>
      <c r="D14" s="24" t="s">
        <v>22</v>
      </c>
      <c r="E14" s="56">
        <f>Source!I32</f>
        <v>1</v>
      </c>
      <c r="F14" s="24" t="str">
        <f>Source!U24</f>
        <v/>
      </c>
      <c r="G14" s="24">
        <f>Source!I32</f>
        <v>1</v>
      </c>
      <c r="H14" s="55"/>
    </row>
    <row r="15" spans="1:8" ht="42.75" x14ac:dyDescent="0.2">
      <c r="A15" s="24">
        <v>4</v>
      </c>
      <c r="B15" s="24" t="str">
        <f>Source!E34</f>
        <v>4</v>
      </c>
      <c r="C15" s="55" t="str">
        <f>Source!G34</f>
        <v>Прибор управления оповещением пожарной Sonar SPM, мощность850 Вт, 20 зон/20 линий оповещения, прием сигнала от ОПС по АЛС, установка в стойку Sonar SPM-C20085-AR</v>
      </c>
      <c r="D15" s="24" t="s">
        <v>33</v>
      </c>
      <c r="E15" s="56">
        <f>Source!I34</f>
        <v>1</v>
      </c>
      <c r="F15" s="24" t="str">
        <f>Source!U24</f>
        <v/>
      </c>
      <c r="G15" s="24">
        <f>Source!I34</f>
        <v>1</v>
      </c>
      <c r="H15" s="55"/>
    </row>
    <row r="16" spans="1:8" ht="28.5" x14ac:dyDescent="0.2">
      <c r="A16" s="24">
        <v>5</v>
      </c>
      <c r="B16" s="24" t="str">
        <f>Source!E36</f>
        <v>5</v>
      </c>
      <c r="C16" s="55" t="str">
        <f>Source!G36</f>
        <v>Установка съемных и выдвижных блоков (модулей, ячеек, ТЭЗ) массой до 5 кг</v>
      </c>
      <c r="D16" s="24" t="s">
        <v>22</v>
      </c>
      <c r="E16" s="56">
        <f>Source!I36</f>
        <v>1</v>
      </c>
      <c r="F16" s="24" t="str">
        <f>Source!U24</f>
        <v/>
      </c>
      <c r="G16" s="24">
        <f>Source!I36</f>
        <v>1</v>
      </c>
      <c r="H16" s="55"/>
    </row>
    <row r="17" spans="1:8" ht="28.5" x14ac:dyDescent="0.2">
      <c r="A17" s="24">
        <v>6</v>
      </c>
      <c r="B17" s="24" t="str">
        <f>Source!E38</f>
        <v>6</v>
      </c>
      <c r="C17" s="55" t="str">
        <f>Source!G38</f>
        <v>Конвертер DAP-IP для объединения приборов Sonar SPM  в сеть Ethernet Sonar SNCA-8002</v>
      </c>
      <c r="D17" s="24" t="s">
        <v>33</v>
      </c>
      <c r="E17" s="56">
        <f>Source!I38</f>
        <v>1</v>
      </c>
      <c r="F17" s="24" t="str">
        <f>Source!U24</f>
        <v/>
      </c>
      <c r="G17" s="24">
        <f>Source!I38</f>
        <v>1</v>
      </c>
      <c r="H17" s="55"/>
    </row>
    <row r="18" spans="1:8" ht="28.5" x14ac:dyDescent="0.2">
      <c r="A18" s="24">
        <v>7</v>
      </c>
      <c r="B18" s="24" t="str">
        <f>Source!E40</f>
        <v>7</v>
      </c>
      <c r="C18" s="55" t="str">
        <f>Source!G40</f>
        <v>Установка съемных и выдвижных блоков (модулей, ячеек, ТЭЗ) массой до 5 кг</v>
      </c>
      <c r="D18" s="24" t="s">
        <v>22</v>
      </c>
      <c r="E18" s="56">
        <f>Source!I40</f>
        <v>1</v>
      </c>
      <c r="F18" s="24" t="str">
        <f>Source!U24</f>
        <v/>
      </c>
      <c r="G18" s="24">
        <f>Source!I40</f>
        <v>1</v>
      </c>
      <c r="H18" s="55"/>
    </row>
    <row r="19" spans="1:8" ht="28.5" x14ac:dyDescent="0.2">
      <c r="A19" s="24">
        <v>8</v>
      </c>
      <c r="B19" s="24" t="str">
        <f>Source!E42</f>
        <v>8</v>
      </c>
      <c r="C19" s="55" t="str">
        <f>Source!G42</f>
        <v>Комплект программируемого таймера Sonar STM-1004+GPS-2500 комплект</v>
      </c>
      <c r="D19" s="24" t="s">
        <v>33</v>
      </c>
      <c r="E19" s="56">
        <f>Source!I42</f>
        <v>1</v>
      </c>
      <c r="F19" s="24" t="str">
        <f>Source!U24</f>
        <v/>
      </c>
      <c r="G19" s="24">
        <f>Source!I42</f>
        <v>1</v>
      </c>
      <c r="H19" s="55"/>
    </row>
    <row r="20" spans="1:8" ht="14.25" x14ac:dyDescent="0.2">
      <c r="A20" s="24">
        <v>9</v>
      </c>
      <c r="B20" s="24" t="str">
        <f>Source!E44</f>
        <v>9</v>
      </c>
      <c r="C20" s="55" t="str">
        <f>Source!G44</f>
        <v>Установка прибора массой до 5 кг на металлоконструкциях или щитах</v>
      </c>
      <c r="D20" s="24" t="s">
        <v>22</v>
      </c>
      <c r="E20" s="56">
        <f>Source!I44</f>
        <v>1</v>
      </c>
      <c r="F20" s="24" t="str">
        <f>Source!U24</f>
        <v/>
      </c>
      <c r="G20" s="24">
        <f>Source!I44</f>
        <v>1</v>
      </c>
      <c r="H20" s="55"/>
    </row>
    <row r="21" spans="1:8" ht="28.5" x14ac:dyDescent="0.2">
      <c r="A21" s="24">
        <v>10</v>
      </c>
      <c r="B21" s="24" t="str">
        <f>Source!E48</f>
        <v>10</v>
      </c>
      <c r="C21" s="55" t="str">
        <f>Source!G48</f>
        <v>Силовой блок рапределения питания по стойке оповещения, максимальный ток 50А Sonar RDIP-50A</v>
      </c>
      <c r="D21" s="24" t="s">
        <v>33</v>
      </c>
      <c r="E21" s="56">
        <f>Source!I48</f>
        <v>1</v>
      </c>
      <c r="F21" s="24" t="str">
        <f>Source!U24</f>
        <v/>
      </c>
      <c r="G21" s="24">
        <f>Source!I48</f>
        <v>1</v>
      </c>
      <c r="H21" s="55"/>
    </row>
    <row r="22" spans="1:8" ht="14.25" x14ac:dyDescent="0.2">
      <c r="A22" s="24">
        <v>11</v>
      </c>
      <c r="B22" s="24" t="str">
        <f>Source!E50</f>
        <v>11</v>
      </c>
      <c r="C22" s="55" t="str">
        <f>Source!G50</f>
        <v>Монтаж блока питания сети (БПС) в диспетчерской</v>
      </c>
      <c r="D22" s="24" t="s">
        <v>22</v>
      </c>
      <c r="E22" s="56">
        <f>Source!I50</f>
        <v>1</v>
      </c>
      <c r="F22" s="24" t="str">
        <f>Source!U24</f>
        <v/>
      </c>
      <c r="G22" s="24">
        <f>Source!I50</f>
        <v>1</v>
      </c>
      <c r="H22" s="55"/>
    </row>
    <row r="23" spans="1:8" ht="14.25" x14ac:dyDescent="0.2">
      <c r="A23" s="24">
        <v>12</v>
      </c>
      <c r="B23" s="24" t="str">
        <f>Source!E52</f>
        <v>12</v>
      </c>
      <c r="C23" s="55" t="str">
        <f>Source!G52</f>
        <v>Зарядное устройство Sonar SBC-3250</v>
      </c>
      <c r="D23" s="24" t="s">
        <v>33</v>
      </c>
      <c r="E23" s="56">
        <f>Source!I52</f>
        <v>1</v>
      </c>
      <c r="F23" s="24" t="str">
        <f>Source!U24</f>
        <v/>
      </c>
      <c r="G23" s="24">
        <f>Source!I52</f>
        <v>1</v>
      </c>
      <c r="H23" s="55"/>
    </row>
    <row r="24" spans="1:8" ht="14.25" x14ac:dyDescent="0.2">
      <c r="A24" s="24">
        <v>13</v>
      </c>
      <c r="B24" s="24" t="str">
        <f>Source!E54</f>
        <v>13</v>
      </c>
      <c r="C24" s="55" t="str">
        <f>Source!G54</f>
        <v>Установка прибора массой до 5 кг на металлоконструкциях или щитах</v>
      </c>
      <c r="D24" s="24" t="s">
        <v>22</v>
      </c>
      <c r="E24" s="56">
        <f>Source!I54</f>
        <v>1</v>
      </c>
      <c r="F24" s="24" t="str">
        <f>Source!U24</f>
        <v/>
      </c>
      <c r="G24" s="24">
        <f>Source!I54</f>
        <v>1</v>
      </c>
      <c r="H24" s="55"/>
    </row>
    <row r="25" spans="1:8" ht="28.5" x14ac:dyDescent="0.2">
      <c r="A25" s="24">
        <v>14</v>
      </c>
      <c r="B25" s="24" t="str">
        <f>Source!E58</f>
        <v>14</v>
      </c>
      <c r="C25" s="55" t="str">
        <f>Source!G58</f>
        <v>Блок АКБ 24В. Заменяемые АКБ 12В, 5Ач, количество элементов в корпусе - 10 шт. Sonar SBB-2425</v>
      </c>
      <c r="D25" s="24" t="s">
        <v>33</v>
      </c>
      <c r="E25" s="56">
        <f>Source!I58</f>
        <v>1</v>
      </c>
      <c r="F25" s="24" t="str">
        <f>Source!U24</f>
        <v/>
      </c>
      <c r="G25" s="24">
        <f>Source!I58</f>
        <v>1</v>
      </c>
      <c r="H25" s="55"/>
    </row>
    <row r="26" spans="1:8" ht="14.25" x14ac:dyDescent="0.2">
      <c r="A26" s="24">
        <v>15</v>
      </c>
      <c r="B26" s="24" t="str">
        <f>Source!E60</f>
        <v>15</v>
      </c>
      <c r="C26" s="55" t="str">
        <f>Source!G60</f>
        <v>Установка прибора массой до 5 кг на металлоконструкциях или щитах</v>
      </c>
      <c r="D26" s="24" t="s">
        <v>22</v>
      </c>
      <c r="E26" s="56">
        <f>Source!I60</f>
        <v>1</v>
      </c>
      <c r="F26" s="24" t="str">
        <f>Source!U24</f>
        <v/>
      </c>
      <c r="G26" s="24">
        <f>Source!I60</f>
        <v>1</v>
      </c>
      <c r="H26" s="55"/>
    </row>
    <row r="27" spans="1:8" ht="28.5" x14ac:dyDescent="0.2">
      <c r="A27" s="24">
        <v>16</v>
      </c>
      <c r="B27" s="24" t="str">
        <f>Source!E64</f>
        <v>16</v>
      </c>
      <c r="C27" s="55" t="str">
        <f>Source!G64</f>
        <v>Блок АКБ 24В. Заменяемые АКБ 12В, 5Ач, количество элементов в корпусе - 18 шт. Sonar SBB-2450</v>
      </c>
      <c r="D27" s="24" t="s">
        <v>33</v>
      </c>
      <c r="E27" s="56">
        <f>Source!I64</f>
        <v>1</v>
      </c>
      <c r="F27" s="24" t="str">
        <f>Source!U24</f>
        <v/>
      </c>
      <c r="G27" s="24">
        <f>Source!I64</f>
        <v>1</v>
      </c>
      <c r="H27" s="55"/>
    </row>
    <row r="28" spans="1:8" ht="14.25" x14ac:dyDescent="0.2">
      <c r="A28" s="24">
        <v>17</v>
      </c>
      <c r="B28" s="24" t="str">
        <f>Source!E66</f>
        <v>17</v>
      </c>
      <c r="C28" s="55" t="str">
        <f>Source!G66</f>
        <v>Аппараты приемные, устройства промежуточные на 1 луч</v>
      </c>
      <c r="D28" s="24" t="s">
        <v>22</v>
      </c>
      <c r="E28" s="56">
        <f>Source!I66</f>
        <v>2</v>
      </c>
      <c r="F28" s="24" t="str">
        <f>Source!U24</f>
        <v/>
      </c>
      <c r="G28" s="24">
        <f>Source!I66</f>
        <v>2</v>
      </c>
      <c r="H28" s="55"/>
    </row>
    <row r="29" spans="1:8" ht="14.25" x14ac:dyDescent="0.2">
      <c r="A29" s="24">
        <v>18</v>
      </c>
      <c r="B29" s="24" t="str">
        <f>Source!E68</f>
        <v>18</v>
      </c>
      <c r="C29" s="55" t="str">
        <f>Source!G68</f>
        <v>Изолятор шлейфа ИЗ-1-R3</v>
      </c>
      <c r="D29" s="24" t="s">
        <v>33</v>
      </c>
      <c r="E29" s="56">
        <f>Source!I68</f>
        <v>2</v>
      </c>
      <c r="F29" s="24" t="str">
        <f>Source!U24</f>
        <v/>
      </c>
      <c r="G29" s="24">
        <f>Source!I68</f>
        <v>2</v>
      </c>
      <c r="H29" s="55"/>
    </row>
    <row r="30" spans="1:8" ht="14.25" x14ac:dyDescent="0.2">
      <c r="A30" s="24">
        <v>19</v>
      </c>
      <c r="B30" s="24" t="str">
        <f>Source!E70</f>
        <v>19</v>
      </c>
      <c r="C30" s="55" t="str">
        <f>Source!G70</f>
        <v>Установка прибора массой до 5 кг на металлоконструкциях или щитах</v>
      </c>
      <c r="D30" s="24" t="s">
        <v>22</v>
      </c>
      <c r="E30" s="56">
        <f>Source!I70</f>
        <v>2</v>
      </c>
      <c r="F30" s="24" t="str">
        <f>Source!U24</f>
        <v/>
      </c>
      <c r="G30" s="24">
        <f>Source!I70</f>
        <v>2</v>
      </c>
      <c r="H30" s="55"/>
    </row>
    <row r="31" spans="1:8" ht="28.5" x14ac:dyDescent="0.2">
      <c r="A31" s="24">
        <v>20</v>
      </c>
      <c r="B31" s="24" t="str">
        <f>Source!E74</f>
        <v>20</v>
      </c>
      <c r="C31" s="55" t="str">
        <f>Source!G74</f>
        <v>Кабельный органайзер 10" 1U 4 кольца для шкафа 10" серии LINEA WS  черный CO05-1M4R-LWS</v>
      </c>
      <c r="D31" s="24" t="s">
        <v>33</v>
      </c>
      <c r="E31" s="56">
        <f>Source!I74</f>
        <v>2</v>
      </c>
      <c r="F31" s="24" t="str">
        <f>Source!U24</f>
        <v/>
      </c>
      <c r="G31" s="24">
        <f>Source!I74</f>
        <v>2</v>
      </c>
      <c r="H31" s="55"/>
    </row>
    <row r="32" spans="1:8" ht="14.25" x14ac:dyDescent="0.2">
      <c r="A32" s="24">
        <v>21</v>
      </c>
      <c r="B32" s="24" t="str">
        <f>Source!E76</f>
        <v>21</v>
      </c>
      <c r="C32" s="55" t="str">
        <f>Source!G76</f>
        <v>Установка прибора массой до 5 кг на металлоконструкциях или щитах</v>
      </c>
      <c r="D32" s="24" t="s">
        <v>22</v>
      </c>
      <c r="E32" s="56">
        <f>Source!I76</f>
        <v>1</v>
      </c>
      <c r="F32" s="24" t="str">
        <f>Source!U24</f>
        <v/>
      </c>
      <c r="G32" s="24">
        <f>Source!I76</f>
        <v>1</v>
      </c>
      <c r="H32" s="55"/>
    </row>
    <row r="33" spans="1:8" ht="14.25" x14ac:dyDescent="0.2">
      <c r="A33" s="24">
        <v>22</v>
      </c>
      <c r="B33" s="24" t="str">
        <f>Source!E80</f>
        <v>22</v>
      </c>
      <c r="C33" s="55" t="str">
        <f>Source!G80</f>
        <v>Панель 19" с DIN-рейкой регулируемая по глубине STK-RACKMNT-704KA</v>
      </c>
      <c r="D33" s="24" t="s">
        <v>33</v>
      </c>
      <c r="E33" s="56">
        <f>Source!I80</f>
        <v>1</v>
      </c>
      <c r="F33" s="24" t="str">
        <f>Source!U24</f>
        <v/>
      </c>
      <c r="G33" s="24">
        <f>Source!I80</f>
        <v>1</v>
      </c>
      <c r="H33" s="55"/>
    </row>
    <row r="34" spans="1:8" ht="14.25" x14ac:dyDescent="0.2">
      <c r="A34" s="24">
        <v>23</v>
      </c>
      <c r="B34" s="24" t="str">
        <f>Source!E82</f>
        <v>23</v>
      </c>
      <c r="C34" s="55" t="str">
        <f>Source!G82</f>
        <v>Установка прибора массой до 5 кг на металлоконструкциях или щитах</v>
      </c>
      <c r="D34" s="24" t="s">
        <v>22</v>
      </c>
      <c r="E34" s="56">
        <f>Source!I82</f>
        <v>2</v>
      </c>
      <c r="F34" s="24" t="str">
        <f>Source!U24</f>
        <v/>
      </c>
      <c r="G34" s="24">
        <f>Source!I82</f>
        <v>2</v>
      </c>
      <c r="H34" s="55"/>
    </row>
    <row r="35" spans="1:8" ht="28.5" x14ac:dyDescent="0.2">
      <c r="A35" s="24">
        <v>24</v>
      </c>
      <c r="B35" s="24" t="str">
        <f>Source!E86</f>
        <v>24</v>
      </c>
      <c r="C35" s="55" t="str">
        <f>Source!G86</f>
        <v>Шина заземления 483х25х3 мм медь ШМТ М1 12 точек подключения М6 ER-12-325-M1</v>
      </c>
      <c r="D35" s="24" t="s">
        <v>33</v>
      </c>
      <c r="E35" s="56">
        <f>Source!I86</f>
        <v>2</v>
      </c>
      <c r="F35" s="24" t="str">
        <f>Source!U24</f>
        <v/>
      </c>
      <c r="G35" s="24">
        <f>Source!I86</f>
        <v>2</v>
      </c>
      <c r="H35" s="55"/>
    </row>
    <row r="36" spans="1:8" ht="14.25" x14ac:dyDescent="0.2">
      <c r="A36" s="24">
        <v>25</v>
      </c>
      <c r="B36" s="24" t="str">
        <f>Source!E88</f>
        <v>25</v>
      </c>
      <c r="C36" s="55" t="str">
        <f>Source!G88</f>
        <v>Коннектор powerCON (in) Sonar SPC-20B</v>
      </c>
      <c r="D36" s="24" t="s">
        <v>33</v>
      </c>
      <c r="E36" s="56">
        <f>Source!I88</f>
        <v>3</v>
      </c>
      <c r="F36" s="24" t="str">
        <f>Source!U24</f>
        <v/>
      </c>
      <c r="G36" s="24">
        <f>Source!I88</f>
        <v>3</v>
      </c>
      <c r="H36" s="55"/>
    </row>
    <row r="37" spans="1:8" ht="14.25" x14ac:dyDescent="0.2">
      <c r="A37" s="24">
        <v>26</v>
      </c>
      <c r="B37" s="24" t="str">
        <f>Source!E90</f>
        <v>26</v>
      </c>
      <c r="C37" s="55" t="str">
        <f>Source!G90</f>
        <v>Аккумулятор 12В, 5А*ч Delta</v>
      </c>
      <c r="D37" s="24" t="s">
        <v>33</v>
      </c>
      <c r="E37" s="56">
        <f>Source!I90</f>
        <v>28</v>
      </c>
      <c r="F37" s="24" t="str">
        <f>Source!U24</f>
        <v/>
      </c>
      <c r="G37" s="24">
        <f>Source!I90</f>
        <v>28</v>
      </c>
      <c r="H37" s="55"/>
    </row>
    <row r="38" spans="1:8" ht="16.5" x14ac:dyDescent="0.25">
      <c r="A38" s="79" t="str">
        <f>CONCATENATE("Раздел: ", Source!G123)</f>
        <v>Раздел: Оборудование оповещения</v>
      </c>
      <c r="B38" s="79"/>
      <c r="C38" s="79"/>
      <c r="D38" s="79"/>
      <c r="E38" s="79"/>
      <c r="F38" s="79"/>
      <c r="G38" s="79"/>
      <c r="H38" s="79"/>
    </row>
    <row r="39" spans="1:8" ht="14.25" x14ac:dyDescent="0.2">
      <c r="A39" s="24">
        <v>27</v>
      </c>
      <c r="B39" s="24" t="str">
        <f>Source!E127</f>
        <v>27</v>
      </c>
      <c r="C39" s="55" t="str">
        <f>Source!G127</f>
        <v>Монтаж громкоговорителя или звуковой колонки в помещении</v>
      </c>
      <c r="D39" s="24" t="s">
        <v>22</v>
      </c>
      <c r="E39" s="56">
        <f>Source!I127</f>
        <v>213</v>
      </c>
      <c r="F39" s="24" t="str">
        <f>Source!U123</f>
        <v/>
      </c>
      <c r="G39" s="24">
        <f>Source!I127</f>
        <v>213</v>
      </c>
      <c r="H39" s="55"/>
    </row>
    <row r="40" spans="1:8" ht="28.5" x14ac:dyDescent="0.2">
      <c r="A40" s="24">
        <v>28</v>
      </c>
      <c r="B40" s="24" t="str">
        <f>Source!E129</f>
        <v>28</v>
      </c>
      <c r="C40" s="55" t="str">
        <f>Source!G129</f>
        <v>Громкоговоритель трансляционный настенный, 100В, мощность 6/3/1,5Вт Sonar SWS-106-103</v>
      </c>
      <c r="D40" s="24" t="s">
        <v>33</v>
      </c>
      <c r="E40" s="56">
        <f>Source!I129</f>
        <v>213</v>
      </c>
      <c r="F40" s="24" t="str">
        <f>Source!U123</f>
        <v/>
      </c>
      <c r="G40" s="24">
        <f>Source!I129</f>
        <v>213</v>
      </c>
      <c r="H40" s="55"/>
    </row>
    <row r="41" spans="1:8" ht="14.25" x14ac:dyDescent="0.2">
      <c r="A41" s="24">
        <v>29</v>
      </c>
      <c r="B41" s="24" t="str">
        <f>Source!E131</f>
        <v>29</v>
      </c>
      <c r="C41" s="55" t="str">
        <f>Source!G131</f>
        <v>Установка для трубных проводок коробки оконечной</v>
      </c>
      <c r="D41" s="24" t="s">
        <v>200</v>
      </c>
      <c r="E41" s="56">
        <f>Source!I131</f>
        <v>0.04</v>
      </c>
      <c r="F41" s="24" t="str">
        <f>Source!U123</f>
        <v/>
      </c>
      <c r="G41" s="24" t="str">
        <f>"=4/"&amp;"100"</f>
        <v>=4/100</v>
      </c>
      <c r="H41" s="55"/>
    </row>
    <row r="42" spans="1:8" ht="28.5" x14ac:dyDescent="0.2">
      <c r="A42" s="24">
        <v>30</v>
      </c>
      <c r="B42" s="24" t="str">
        <f>Source!E133</f>
        <v>30</v>
      </c>
      <c r="C42" s="55" t="str">
        <f>Source!G133</f>
        <v>Фильтр оконечный для трансляционной линии при контроле линии переменным током Sonar SFT-2300-M</v>
      </c>
      <c r="D42" s="24" t="s">
        <v>33</v>
      </c>
      <c r="E42" s="56">
        <f>Source!I133</f>
        <v>4</v>
      </c>
      <c r="F42" s="24" t="str">
        <f>Source!U123</f>
        <v/>
      </c>
      <c r="G42" s="24">
        <f>Source!I133</f>
        <v>4</v>
      </c>
      <c r="H42" s="55"/>
    </row>
    <row r="43" spans="1:8" ht="28.5" x14ac:dyDescent="0.2">
      <c r="A43" s="24">
        <v>31</v>
      </c>
      <c r="B43" s="24" t="str">
        <f>Source!E135</f>
        <v>31</v>
      </c>
      <c r="C43" s="55" t="str">
        <f>Source!G135</f>
        <v>Установка пульта или табло вызывной сигнализации с количеством сигналов до 20</v>
      </c>
      <c r="D43" s="24" t="s">
        <v>22</v>
      </c>
      <c r="E43" s="56">
        <f>Source!I135</f>
        <v>1</v>
      </c>
      <c r="F43" s="24" t="str">
        <f>Source!U123</f>
        <v/>
      </c>
      <c r="G43" s="24">
        <f>Source!I135</f>
        <v>1</v>
      </c>
      <c r="H43" s="55"/>
    </row>
    <row r="44" spans="1:8" ht="14.25" x14ac:dyDescent="0.2">
      <c r="A44" s="24">
        <v>32</v>
      </c>
      <c r="B44" s="24" t="str">
        <f>Source!E137</f>
        <v>32</v>
      </c>
      <c r="C44" s="55" t="str">
        <f>Source!G137</f>
        <v>Пульт микрофонный Sonar SRM-7020C</v>
      </c>
      <c r="D44" s="24" t="s">
        <v>33</v>
      </c>
      <c r="E44" s="56">
        <f>Source!I137</f>
        <v>1</v>
      </c>
      <c r="F44" s="24" t="str">
        <f>Source!U123</f>
        <v/>
      </c>
      <c r="G44" s="24">
        <f>Source!I137</f>
        <v>1</v>
      </c>
      <c r="H44" s="55"/>
    </row>
    <row r="45" spans="1:8" ht="16.5" x14ac:dyDescent="0.25">
      <c r="A45" s="79" t="str">
        <f>CONCATENATE("Раздел: ", Source!G170)</f>
        <v>Раздел: Кабельные изделия</v>
      </c>
      <c r="B45" s="79"/>
      <c r="C45" s="79"/>
      <c r="D45" s="79"/>
      <c r="E45" s="79"/>
      <c r="F45" s="79"/>
      <c r="G45" s="79"/>
      <c r="H45" s="79"/>
    </row>
    <row r="46" spans="1:8" ht="28.5" x14ac:dyDescent="0.2">
      <c r="A46" s="24">
        <v>33</v>
      </c>
      <c r="B46" s="24" t="str">
        <f>Source!E174</f>
        <v>33</v>
      </c>
      <c r="C46" s="55" t="str">
        <f>Source!G174</f>
        <v>Прокладка кабеля связи огнестойкого в трубах гофрированных с использованием скобы СМО: по бетонным поверхностям</v>
      </c>
      <c r="D46" s="24" t="s">
        <v>218</v>
      </c>
      <c r="E46" s="56">
        <f>Source!I174</f>
        <v>16</v>
      </c>
      <c r="F46" s="24" t="str">
        <f>Source!U170</f>
        <v/>
      </c>
      <c r="G46" s="24" t="str">
        <f>"=1600/"&amp;"100"</f>
        <v>=1600/100</v>
      </c>
      <c r="H46" s="55"/>
    </row>
    <row r="47" spans="1:8" ht="28.5" x14ac:dyDescent="0.2">
      <c r="A47" s="24">
        <v>34</v>
      </c>
      <c r="B47" s="24" t="str">
        <f>Source!E182</f>
        <v>34</v>
      </c>
      <c r="C47" s="55" t="str">
        <f>Source!G182</f>
        <v>Прокладка кабеля связи огнестойкого в трубах гофрированных с использованием скобы СМО: по бетонным поверхностям</v>
      </c>
      <c r="D47" s="24" t="s">
        <v>218</v>
      </c>
      <c r="E47" s="56">
        <f>Source!I182</f>
        <v>0.2</v>
      </c>
      <c r="F47" s="24" t="str">
        <f>Source!U170</f>
        <v/>
      </c>
      <c r="G47" s="24" t="str">
        <f>"=20/"&amp;"100"</f>
        <v>=20/100</v>
      </c>
      <c r="H47" s="55"/>
    </row>
    <row r="48" spans="1:8" ht="28.5" x14ac:dyDescent="0.2">
      <c r="A48" s="24">
        <v>35</v>
      </c>
      <c r="B48" s="24" t="str">
        <f>Source!E188</f>
        <v>35</v>
      </c>
      <c r="C48" s="55" t="str">
        <f>Source!G188</f>
        <v>Кабель ParLan U/UTP Cat5e PVCLSнг(А)-FRLSLTx 4x2x0,52</v>
      </c>
      <c r="D48" s="24" t="s">
        <v>233</v>
      </c>
      <c r="E48" s="56">
        <f>Source!I188</f>
        <v>2.0400000000000001E-2</v>
      </c>
      <c r="F48" s="24" t="str">
        <f>Source!U170</f>
        <v/>
      </c>
      <c r="G48" s="24" t="str">
        <f>"=(20*"&amp;"1,02)/"&amp;"1000"</f>
        <v>=(20*1,02)/1000</v>
      </c>
      <c r="H48" s="55"/>
    </row>
    <row r="49" spans="1:8" ht="71.25" x14ac:dyDescent="0.2">
      <c r="A49" s="23">
        <v>36</v>
      </c>
      <c r="B49" s="23" t="str">
        <f>Source!E190</f>
        <v>36</v>
      </c>
      <c r="C49" s="53" t="str">
        <f>Source!G190</f>
        <v>Мастика огнезащитная, однокомпонентная, терморасширяющаяся, на основе водных дисперсий акрилатов и наполнителей, для механизированного и ручного нанесения, плотность от 1150 до 1350 кг/м3, расход 1,1 кг/м2, массовая доля нелетучих веществ 65%, для защиты от распространения горения по кабельным линиям</v>
      </c>
      <c r="D49" s="23" t="s">
        <v>70</v>
      </c>
      <c r="E49" s="54">
        <f>Source!I190</f>
        <v>5</v>
      </c>
      <c r="F49" s="23" t="str">
        <f>Source!U170</f>
        <v/>
      </c>
      <c r="G49" s="23">
        <f>Source!I190</f>
        <v>5</v>
      </c>
      <c r="H49" s="53"/>
    </row>
    <row r="52" spans="1:8" ht="15" x14ac:dyDescent="0.25">
      <c r="C52" s="57" t="s">
        <v>443</v>
      </c>
      <c r="D52" s="57" t="str">
        <f>IF(Source!X12&lt;&gt;"", Source!X12," ")</f>
        <v xml:space="preserve"> </v>
      </c>
      <c r="E52" s="58"/>
    </row>
    <row r="53" spans="1:8" ht="15" x14ac:dyDescent="0.25">
      <c r="C53" s="16"/>
      <c r="D53" s="58"/>
      <c r="E53" s="58"/>
    </row>
    <row r="54" spans="1:8" ht="15" x14ac:dyDescent="0.25">
      <c r="C54" s="59" t="s">
        <v>444</v>
      </c>
      <c r="D54" s="59" t="str">
        <f>IF(Source!AB12&lt;&gt;"", Source!AB12," ")</f>
        <v>Соколова И.Н.</v>
      </c>
      <c r="E54" s="58"/>
    </row>
  </sheetData>
  <mergeCells count="6">
    <mergeCell ref="A45:H45"/>
    <mergeCell ref="B4:E4"/>
    <mergeCell ref="B5:E5"/>
    <mergeCell ref="A10:H10"/>
    <mergeCell ref="A11:H11"/>
    <mergeCell ref="A38:H38"/>
  </mergeCells>
  <pageMargins left="0.4" right="0.2" top="0.2" bottom="0.4" header="0.2" footer="0.2"/>
  <pageSetup paperSize="9" scale="59" fitToHeight="0" orientation="portrait" r:id="rId1"/>
  <headerFooter>
    <oddHeader>&amp;L&amp;8</oddHeader>
    <oddFooter>&amp;R&amp;P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U300"/>
  <sheetViews>
    <sheetView workbookViewId="0">
      <selection activeCell="A296" sqref="A296:AX296"/>
    </sheetView>
  </sheetViews>
  <sheetFormatPr defaultColWidth="9.140625" defaultRowHeight="12.75" x14ac:dyDescent="0.2"/>
  <cols>
    <col min="1" max="256" width="9.140625" style="3" customWidth="1"/>
    <col min="257" max="16384" width="9.140625" style="3"/>
  </cols>
  <sheetData>
    <row r="1" spans="1:133" x14ac:dyDescent="0.2">
      <c r="A1" s="3">
        <v>0</v>
      </c>
      <c r="B1" s="3" t="s">
        <v>0</v>
      </c>
      <c r="D1" s="3" t="s">
        <v>1</v>
      </c>
      <c r="F1" s="3">
        <v>0</v>
      </c>
      <c r="G1" s="3">
        <v>0</v>
      </c>
      <c r="H1" s="3">
        <v>0</v>
      </c>
      <c r="I1" s="3" t="s">
        <v>2</v>
      </c>
      <c r="J1" s="3" t="s">
        <v>3</v>
      </c>
      <c r="K1" s="3">
        <v>1</v>
      </c>
      <c r="L1" s="3">
        <v>74563</v>
      </c>
      <c r="M1" s="3">
        <v>10</v>
      </c>
      <c r="N1" s="3">
        <v>12</v>
      </c>
      <c r="O1" s="3">
        <v>1</v>
      </c>
      <c r="P1" s="3">
        <v>0</v>
      </c>
      <c r="Q1" s="3">
        <v>0</v>
      </c>
    </row>
    <row r="4" spans="1:133" x14ac:dyDescent="0.2">
      <c r="A4" s="10">
        <v>1</v>
      </c>
      <c r="B4" s="10">
        <v>1</v>
      </c>
      <c r="C4" s="10">
        <v>-1</v>
      </c>
      <c r="D4" s="10"/>
      <c r="E4" s="10"/>
      <c r="F4" s="10"/>
      <c r="G4" s="10" t="s">
        <v>4</v>
      </c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  <c r="CN4" s="10"/>
      <c r="CO4" s="10"/>
      <c r="CP4" s="10"/>
      <c r="CQ4" s="10"/>
      <c r="CR4" s="10"/>
      <c r="CS4" s="10"/>
      <c r="CT4" s="10"/>
      <c r="CU4" s="10"/>
      <c r="CV4" s="10"/>
      <c r="CW4" s="10"/>
      <c r="CX4" s="10"/>
      <c r="CY4" s="10"/>
      <c r="CZ4" s="10"/>
      <c r="DA4" s="10"/>
      <c r="DB4" s="10"/>
      <c r="DC4" s="10"/>
      <c r="DD4" s="10"/>
      <c r="DE4" s="10"/>
      <c r="DF4" s="10"/>
      <c r="DG4" s="10"/>
      <c r="DH4" s="10"/>
      <c r="DI4" s="10"/>
      <c r="DJ4" s="10"/>
      <c r="DK4" s="10"/>
      <c r="DL4" s="10"/>
      <c r="DM4" s="10"/>
      <c r="DN4" s="10"/>
      <c r="DO4" s="10"/>
      <c r="DP4" s="10"/>
      <c r="DQ4" s="10"/>
      <c r="DR4" s="10"/>
      <c r="DS4" s="10"/>
      <c r="DT4" s="10"/>
      <c r="DU4" s="10"/>
      <c r="DV4" s="10"/>
      <c r="DW4" s="10"/>
      <c r="DX4" s="10"/>
      <c r="DY4" s="10"/>
      <c r="DZ4" s="10"/>
      <c r="EA4" s="10"/>
      <c r="EB4" s="10"/>
      <c r="EC4" s="10">
        <v>0</v>
      </c>
    </row>
    <row r="12" spans="1:133" x14ac:dyDescent="0.2">
      <c r="A12" s="10">
        <v>1</v>
      </c>
      <c r="B12" s="10">
        <v>292</v>
      </c>
      <c r="C12" s="10">
        <v>0</v>
      </c>
      <c r="D12" s="10">
        <f>ROW(A253)</f>
        <v>253</v>
      </c>
      <c r="E12" s="10">
        <v>0</v>
      </c>
      <c r="F12" s="10" t="s">
        <v>3</v>
      </c>
      <c r="G12" s="10" t="s">
        <v>5</v>
      </c>
      <c r="H12" s="10" t="s">
        <v>3</v>
      </c>
      <c r="I12" s="10">
        <v>0</v>
      </c>
      <c r="J12" s="10" t="s">
        <v>6</v>
      </c>
      <c r="K12" s="10">
        <v>0</v>
      </c>
      <c r="L12" s="10">
        <v>0</v>
      </c>
      <c r="M12" s="10">
        <v>4098</v>
      </c>
      <c r="N12" s="10"/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1</v>
      </c>
      <c r="U12" s="10" t="s">
        <v>3</v>
      </c>
      <c r="V12" s="10">
        <v>0</v>
      </c>
      <c r="W12" s="10" t="s">
        <v>3</v>
      </c>
      <c r="X12" s="10" t="s">
        <v>3</v>
      </c>
      <c r="Y12" s="10" t="s">
        <v>3</v>
      </c>
      <c r="Z12" s="10" t="s">
        <v>3</v>
      </c>
      <c r="AA12" s="10" t="s">
        <v>3</v>
      </c>
      <c r="AB12" s="10" t="s">
        <v>7</v>
      </c>
      <c r="AC12" s="10" t="s">
        <v>3</v>
      </c>
      <c r="AD12" s="10" t="s">
        <v>3</v>
      </c>
      <c r="AE12" s="10" t="s">
        <v>3</v>
      </c>
      <c r="AF12" s="10" t="s">
        <v>3</v>
      </c>
      <c r="AG12" s="10" t="s">
        <v>3</v>
      </c>
      <c r="AH12" s="10" t="s">
        <v>3</v>
      </c>
      <c r="AI12" s="10" t="s">
        <v>3</v>
      </c>
      <c r="AJ12" s="10" t="s">
        <v>3</v>
      </c>
      <c r="AK12" s="10"/>
      <c r="AL12" s="10" t="s">
        <v>3</v>
      </c>
      <c r="AM12" s="10" t="s">
        <v>3</v>
      </c>
      <c r="AN12" s="10" t="s">
        <v>3</v>
      </c>
      <c r="AO12" s="10"/>
      <c r="AP12" s="10" t="s">
        <v>3</v>
      </c>
      <c r="AQ12" s="10" t="s">
        <v>3</v>
      </c>
      <c r="AR12" s="10" t="s">
        <v>3</v>
      </c>
      <c r="AS12" s="10"/>
      <c r="AT12" s="10"/>
      <c r="AU12" s="10"/>
      <c r="AV12" s="10"/>
      <c r="AW12" s="10"/>
      <c r="AX12" s="10" t="s">
        <v>3</v>
      </c>
      <c r="AY12" s="10" t="s">
        <v>3</v>
      </c>
      <c r="AZ12" s="10" t="s">
        <v>3</v>
      </c>
      <c r="BA12" s="10"/>
      <c r="BB12" s="10">
        <v>0</v>
      </c>
      <c r="BC12" s="10"/>
      <c r="BD12" s="10"/>
      <c r="BE12" s="10"/>
      <c r="BF12" s="10"/>
      <c r="BG12" s="10"/>
      <c r="BH12" s="10" t="s">
        <v>8</v>
      </c>
      <c r="BI12" s="10" t="s">
        <v>9</v>
      </c>
      <c r="BJ12" s="10">
        <v>1</v>
      </c>
      <c r="BK12" s="10">
        <v>1</v>
      </c>
      <c r="BL12" s="10">
        <v>0</v>
      </c>
      <c r="BM12" s="10">
        <v>0</v>
      </c>
      <c r="BN12" s="10">
        <v>1</v>
      </c>
      <c r="BO12" s="10">
        <v>0</v>
      </c>
      <c r="BP12" s="10">
        <v>6</v>
      </c>
      <c r="BQ12" s="10">
        <v>2</v>
      </c>
      <c r="BR12" s="10">
        <v>1</v>
      </c>
      <c r="BS12" s="10">
        <v>1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 t="s">
        <v>3</v>
      </c>
      <c r="BZ12" s="10" t="s">
        <v>10</v>
      </c>
      <c r="CA12" s="10" t="s">
        <v>11</v>
      </c>
      <c r="CB12" s="10" t="s">
        <v>11</v>
      </c>
      <c r="CC12" s="10" t="s">
        <v>11</v>
      </c>
      <c r="CD12" s="10" t="s">
        <v>11</v>
      </c>
      <c r="CE12" s="10" t="s">
        <v>12</v>
      </c>
      <c r="CF12" s="10">
        <v>0</v>
      </c>
      <c r="CG12" s="10">
        <v>0</v>
      </c>
      <c r="CH12" s="10">
        <v>8200</v>
      </c>
      <c r="CI12" s="10" t="s">
        <v>3</v>
      </c>
      <c r="CJ12" s="10" t="s">
        <v>3</v>
      </c>
      <c r="CK12" s="10">
        <v>81</v>
      </c>
      <c r="CL12" s="10"/>
      <c r="CM12" s="10"/>
      <c r="CN12" s="10"/>
      <c r="CO12" s="10"/>
      <c r="CP12" s="10"/>
      <c r="CQ12" s="10" t="s">
        <v>13</v>
      </c>
      <c r="CR12" s="10" t="s">
        <v>14</v>
      </c>
      <c r="CS12" s="10">
        <v>41660</v>
      </c>
      <c r="CT12" s="10">
        <v>1</v>
      </c>
      <c r="CU12" s="10">
        <v>80</v>
      </c>
      <c r="CV12" s="10"/>
      <c r="CW12" s="10"/>
      <c r="CX12" s="10"/>
      <c r="CY12" s="10">
        <v>0</v>
      </c>
      <c r="CZ12" s="10" t="s">
        <v>3</v>
      </c>
      <c r="DA12" s="10" t="s">
        <v>3</v>
      </c>
      <c r="DB12" s="10"/>
      <c r="DC12" s="10"/>
      <c r="DD12" s="10"/>
      <c r="DE12" s="10"/>
      <c r="DF12" s="10"/>
      <c r="DG12" s="10"/>
      <c r="DH12" s="10"/>
      <c r="DI12" s="10"/>
      <c r="DJ12" s="10"/>
      <c r="DK12" s="10"/>
      <c r="DL12" s="10"/>
      <c r="DM12" s="10"/>
      <c r="DN12" s="10"/>
      <c r="DO12" s="10"/>
      <c r="DP12" s="10"/>
      <c r="DQ12" s="10"/>
      <c r="DR12" s="10"/>
      <c r="DS12" s="10"/>
      <c r="DT12" s="10"/>
      <c r="DU12" s="10"/>
      <c r="DV12" s="10"/>
      <c r="DW12" s="10"/>
      <c r="DX12" s="10"/>
      <c r="DY12" s="10"/>
      <c r="DZ12" s="10"/>
      <c r="EA12" s="10"/>
      <c r="EB12" s="10"/>
      <c r="EC12" s="10">
        <v>0</v>
      </c>
    </row>
    <row r="15" spans="1:133" x14ac:dyDescent="0.2">
      <c r="A15" s="10">
        <v>15</v>
      </c>
      <c r="B15" s="10">
        <v>1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M15" s="10"/>
      <c r="BN15" s="10"/>
      <c r="BO15" s="10"/>
      <c r="BP15" s="10"/>
      <c r="BQ15" s="10"/>
      <c r="BR15" s="10"/>
      <c r="BS15" s="10"/>
      <c r="BT15" s="10"/>
      <c r="BU15" s="10"/>
      <c r="BV15" s="10"/>
      <c r="BW15" s="10"/>
      <c r="BX15" s="10"/>
      <c r="BY15" s="10"/>
      <c r="BZ15" s="10"/>
      <c r="CA15" s="10"/>
      <c r="CB15" s="10"/>
      <c r="CC15" s="10"/>
      <c r="CD15" s="10"/>
      <c r="CE15" s="10"/>
      <c r="CF15" s="10"/>
      <c r="CG15" s="10"/>
      <c r="CH15" s="10"/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10"/>
      <c r="CU15" s="10"/>
      <c r="CV15" s="10"/>
      <c r="CW15" s="10"/>
      <c r="CX15" s="10"/>
      <c r="CY15" s="10"/>
      <c r="CZ15" s="10"/>
      <c r="DA15" s="10"/>
      <c r="DB15" s="10"/>
      <c r="DC15" s="10"/>
      <c r="DD15" s="10"/>
      <c r="DE15" s="10"/>
      <c r="DF15" s="10"/>
      <c r="DG15" s="10"/>
      <c r="DH15" s="10"/>
      <c r="DI15" s="10"/>
      <c r="DJ15" s="10"/>
      <c r="DK15" s="10"/>
      <c r="DL15" s="10"/>
      <c r="DM15" s="10"/>
      <c r="DN15" s="10"/>
      <c r="DO15" s="10"/>
      <c r="DP15" s="10"/>
      <c r="DQ15" s="10"/>
      <c r="DR15" s="10"/>
      <c r="DS15" s="10"/>
      <c r="DT15" s="10"/>
      <c r="DU15" s="10"/>
      <c r="DV15" s="10"/>
      <c r="DW15" s="10"/>
      <c r="DX15" s="10"/>
      <c r="DY15" s="10"/>
      <c r="DZ15" s="10"/>
      <c r="EA15" s="10"/>
      <c r="EB15" s="10"/>
      <c r="EC15" s="10"/>
    </row>
    <row r="18" spans="1:255" x14ac:dyDescent="0.2">
      <c r="A18" s="11">
        <v>52</v>
      </c>
      <c r="B18" s="11">
        <f t="shared" ref="B18:G18" si="0">B253</f>
        <v>292</v>
      </c>
      <c r="C18" s="11">
        <f t="shared" si="0"/>
        <v>1</v>
      </c>
      <c r="D18" s="11">
        <f t="shared" si="0"/>
        <v>12</v>
      </c>
      <c r="E18" s="11">
        <f t="shared" si="0"/>
        <v>0</v>
      </c>
      <c r="F18" s="11" t="str">
        <f t="shared" si="0"/>
        <v/>
      </c>
      <c r="G18" s="11" t="str">
        <f t="shared" si="0"/>
        <v>02-01-09 СОУЭ</v>
      </c>
      <c r="H18" s="11"/>
      <c r="I18" s="11"/>
      <c r="J18" s="11"/>
      <c r="K18" s="11"/>
      <c r="L18" s="11"/>
      <c r="M18" s="11"/>
      <c r="N18" s="11"/>
      <c r="O18" s="11">
        <f t="shared" ref="O18:AT18" si="1">O253</f>
        <v>197064.51</v>
      </c>
      <c r="P18" s="11">
        <f t="shared" si="1"/>
        <v>185317.71</v>
      </c>
      <c r="Q18" s="11">
        <f t="shared" si="1"/>
        <v>79.81</v>
      </c>
      <c r="R18" s="11">
        <f t="shared" si="1"/>
        <v>0.49</v>
      </c>
      <c r="S18" s="11">
        <f t="shared" si="1"/>
        <v>11666.99</v>
      </c>
      <c r="T18" s="11">
        <f t="shared" si="1"/>
        <v>0</v>
      </c>
      <c r="U18" s="11">
        <f t="shared" si="1"/>
        <v>980.90519340000003</v>
      </c>
      <c r="V18" s="11">
        <f t="shared" si="1"/>
        <v>0</v>
      </c>
      <c r="W18" s="11">
        <f t="shared" si="1"/>
        <v>0</v>
      </c>
      <c r="X18" s="11">
        <f t="shared" si="1"/>
        <v>10792.42</v>
      </c>
      <c r="Y18" s="11">
        <f t="shared" si="1"/>
        <v>5775.36</v>
      </c>
      <c r="Z18" s="11">
        <f t="shared" si="1"/>
        <v>0</v>
      </c>
      <c r="AA18" s="11">
        <f t="shared" si="1"/>
        <v>0</v>
      </c>
      <c r="AB18" s="11">
        <f t="shared" si="1"/>
        <v>0</v>
      </c>
      <c r="AC18" s="11">
        <f t="shared" si="1"/>
        <v>0</v>
      </c>
      <c r="AD18" s="11">
        <f t="shared" si="1"/>
        <v>0</v>
      </c>
      <c r="AE18" s="11">
        <f t="shared" si="1"/>
        <v>0</v>
      </c>
      <c r="AF18" s="11">
        <f t="shared" si="1"/>
        <v>0</v>
      </c>
      <c r="AG18" s="11">
        <f t="shared" si="1"/>
        <v>0</v>
      </c>
      <c r="AH18" s="11">
        <f t="shared" si="1"/>
        <v>0</v>
      </c>
      <c r="AI18" s="11">
        <f t="shared" si="1"/>
        <v>0</v>
      </c>
      <c r="AJ18" s="11">
        <f t="shared" si="1"/>
        <v>0</v>
      </c>
      <c r="AK18" s="11">
        <f t="shared" si="1"/>
        <v>0</v>
      </c>
      <c r="AL18" s="11">
        <f t="shared" si="1"/>
        <v>0</v>
      </c>
      <c r="AM18" s="11">
        <f t="shared" si="1"/>
        <v>0</v>
      </c>
      <c r="AN18" s="11">
        <f t="shared" si="1"/>
        <v>0</v>
      </c>
      <c r="AO18" s="11">
        <f t="shared" si="1"/>
        <v>0</v>
      </c>
      <c r="AP18" s="11">
        <f t="shared" si="1"/>
        <v>148055.43</v>
      </c>
      <c r="AQ18" s="11">
        <f t="shared" si="1"/>
        <v>0</v>
      </c>
      <c r="AR18" s="11">
        <f t="shared" si="1"/>
        <v>213632.29</v>
      </c>
      <c r="AS18" s="11">
        <f t="shared" si="1"/>
        <v>0</v>
      </c>
      <c r="AT18" s="11">
        <f t="shared" si="1"/>
        <v>65576.86</v>
      </c>
      <c r="AU18" s="11">
        <f t="shared" ref="AU18:BZ18" si="2">AU253</f>
        <v>0</v>
      </c>
      <c r="AV18" s="11">
        <f t="shared" si="2"/>
        <v>185317.71</v>
      </c>
      <c r="AW18" s="11">
        <f t="shared" si="2"/>
        <v>37262.28</v>
      </c>
      <c r="AX18" s="11">
        <f t="shared" si="2"/>
        <v>0</v>
      </c>
      <c r="AY18" s="11">
        <f t="shared" si="2"/>
        <v>37262.28</v>
      </c>
      <c r="AZ18" s="11">
        <f t="shared" si="2"/>
        <v>148055.43</v>
      </c>
      <c r="BA18" s="11">
        <f t="shared" si="2"/>
        <v>0</v>
      </c>
      <c r="BB18" s="11">
        <f t="shared" si="2"/>
        <v>0</v>
      </c>
      <c r="BC18" s="11">
        <f t="shared" si="2"/>
        <v>0</v>
      </c>
      <c r="BD18" s="11">
        <f t="shared" si="2"/>
        <v>0</v>
      </c>
      <c r="BE18" s="11">
        <f t="shared" si="2"/>
        <v>0</v>
      </c>
      <c r="BF18" s="11">
        <f t="shared" si="2"/>
        <v>0</v>
      </c>
      <c r="BG18" s="11">
        <f t="shared" si="2"/>
        <v>0</v>
      </c>
      <c r="BH18" s="11">
        <f t="shared" si="2"/>
        <v>0</v>
      </c>
      <c r="BI18" s="11">
        <f t="shared" si="2"/>
        <v>0</v>
      </c>
      <c r="BJ18" s="11">
        <f t="shared" si="2"/>
        <v>0</v>
      </c>
      <c r="BK18" s="11">
        <f t="shared" si="2"/>
        <v>0</v>
      </c>
      <c r="BL18" s="11">
        <f t="shared" si="2"/>
        <v>0</v>
      </c>
      <c r="BM18" s="11">
        <f t="shared" si="2"/>
        <v>0</v>
      </c>
      <c r="BN18" s="11">
        <f t="shared" si="2"/>
        <v>0</v>
      </c>
      <c r="BO18" s="11">
        <f t="shared" si="2"/>
        <v>0</v>
      </c>
      <c r="BP18" s="11">
        <f t="shared" si="2"/>
        <v>0</v>
      </c>
      <c r="BQ18" s="11">
        <f t="shared" si="2"/>
        <v>0</v>
      </c>
      <c r="BR18" s="11">
        <f t="shared" si="2"/>
        <v>0</v>
      </c>
      <c r="BS18" s="11">
        <f t="shared" si="2"/>
        <v>0</v>
      </c>
      <c r="BT18" s="11">
        <f t="shared" si="2"/>
        <v>0</v>
      </c>
      <c r="BU18" s="11">
        <f t="shared" si="2"/>
        <v>0</v>
      </c>
      <c r="BV18" s="11">
        <f t="shared" si="2"/>
        <v>0</v>
      </c>
      <c r="BW18" s="11">
        <f t="shared" si="2"/>
        <v>0</v>
      </c>
      <c r="BX18" s="11">
        <f t="shared" si="2"/>
        <v>0</v>
      </c>
      <c r="BY18" s="11">
        <f t="shared" si="2"/>
        <v>0</v>
      </c>
      <c r="BZ18" s="11">
        <f t="shared" si="2"/>
        <v>0</v>
      </c>
      <c r="CA18" s="11">
        <f t="shared" ref="CA18:DF18" si="3">CA253</f>
        <v>0</v>
      </c>
      <c r="CB18" s="11">
        <f t="shared" si="3"/>
        <v>0</v>
      </c>
      <c r="CC18" s="11">
        <f t="shared" si="3"/>
        <v>0</v>
      </c>
      <c r="CD18" s="11">
        <f t="shared" si="3"/>
        <v>0</v>
      </c>
      <c r="CE18" s="11">
        <f t="shared" si="3"/>
        <v>0</v>
      </c>
      <c r="CF18" s="11">
        <f t="shared" si="3"/>
        <v>0</v>
      </c>
      <c r="CG18" s="11">
        <f t="shared" si="3"/>
        <v>0</v>
      </c>
      <c r="CH18" s="11">
        <f t="shared" si="3"/>
        <v>0</v>
      </c>
      <c r="CI18" s="11">
        <f t="shared" si="3"/>
        <v>0</v>
      </c>
      <c r="CJ18" s="11">
        <f t="shared" si="3"/>
        <v>0</v>
      </c>
      <c r="CK18" s="11">
        <f t="shared" si="3"/>
        <v>0</v>
      </c>
      <c r="CL18" s="11">
        <f t="shared" si="3"/>
        <v>0</v>
      </c>
      <c r="CM18" s="11">
        <f t="shared" si="3"/>
        <v>0</v>
      </c>
      <c r="CN18" s="11">
        <f t="shared" si="3"/>
        <v>0</v>
      </c>
      <c r="CO18" s="11">
        <f t="shared" si="3"/>
        <v>0</v>
      </c>
      <c r="CP18" s="11">
        <f t="shared" si="3"/>
        <v>0</v>
      </c>
      <c r="CQ18" s="11">
        <f t="shared" si="3"/>
        <v>0</v>
      </c>
      <c r="CR18" s="11">
        <f t="shared" si="3"/>
        <v>0</v>
      </c>
      <c r="CS18" s="11">
        <f t="shared" si="3"/>
        <v>0</v>
      </c>
      <c r="CT18" s="11">
        <f t="shared" si="3"/>
        <v>0</v>
      </c>
      <c r="CU18" s="11">
        <f t="shared" si="3"/>
        <v>0</v>
      </c>
      <c r="CV18" s="11">
        <f t="shared" si="3"/>
        <v>0</v>
      </c>
      <c r="CW18" s="11">
        <f t="shared" si="3"/>
        <v>0</v>
      </c>
      <c r="CX18" s="11">
        <f t="shared" si="3"/>
        <v>0</v>
      </c>
      <c r="CY18" s="11">
        <f t="shared" si="3"/>
        <v>0</v>
      </c>
      <c r="CZ18" s="11">
        <f t="shared" si="3"/>
        <v>0</v>
      </c>
      <c r="DA18" s="11">
        <f t="shared" si="3"/>
        <v>0</v>
      </c>
      <c r="DB18" s="11">
        <f t="shared" si="3"/>
        <v>0</v>
      </c>
      <c r="DC18" s="11">
        <f t="shared" si="3"/>
        <v>0</v>
      </c>
      <c r="DD18" s="11">
        <f t="shared" si="3"/>
        <v>0</v>
      </c>
      <c r="DE18" s="11">
        <f t="shared" si="3"/>
        <v>0</v>
      </c>
      <c r="DF18" s="11">
        <f t="shared" si="3"/>
        <v>0</v>
      </c>
      <c r="DG18" s="12">
        <f t="shared" ref="DG18:EL18" si="4">DG253</f>
        <v>2106029.13</v>
      </c>
      <c r="DH18" s="12">
        <f t="shared" si="4"/>
        <v>1463741.06</v>
      </c>
      <c r="DI18" s="12">
        <f t="shared" si="4"/>
        <v>720.31</v>
      </c>
      <c r="DJ18" s="12">
        <f t="shared" si="4"/>
        <v>26.95</v>
      </c>
      <c r="DK18" s="12">
        <f t="shared" si="4"/>
        <v>641567.76</v>
      </c>
      <c r="DL18" s="12">
        <f t="shared" si="4"/>
        <v>0</v>
      </c>
      <c r="DM18" s="12">
        <f t="shared" si="4"/>
        <v>980.90519340000003</v>
      </c>
      <c r="DN18" s="12">
        <f t="shared" si="4"/>
        <v>0</v>
      </c>
      <c r="DO18" s="12">
        <f t="shared" si="4"/>
        <v>0</v>
      </c>
      <c r="DP18" s="12">
        <f t="shared" si="4"/>
        <v>593474.5</v>
      </c>
      <c r="DQ18" s="12">
        <f t="shared" si="4"/>
        <v>317588.51</v>
      </c>
      <c r="DR18" s="12">
        <f t="shared" si="4"/>
        <v>0</v>
      </c>
      <c r="DS18" s="12">
        <f t="shared" si="4"/>
        <v>0</v>
      </c>
      <c r="DT18" s="12">
        <f t="shared" si="4"/>
        <v>0</v>
      </c>
      <c r="DU18" s="12">
        <f t="shared" si="4"/>
        <v>0</v>
      </c>
      <c r="DV18" s="12">
        <f t="shared" si="4"/>
        <v>0</v>
      </c>
      <c r="DW18" s="12">
        <f t="shared" si="4"/>
        <v>0</v>
      </c>
      <c r="DX18" s="12">
        <f t="shared" si="4"/>
        <v>0</v>
      </c>
      <c r="DY18" s="12">
        <f t="shared" si="4"/>
        <v>0</v>
      </c>
      <c r="DZ18" s="12">
        <f t="shared" si="4"/>
        <v>0</v>
      </c>
      <c r="EA18" s="12">
        <f t="shared" si="4"/>
        <v>0</v>
      </c>
      <c r="EB18" s="12">
        <f t="shared" si="4"/>
        <v>0</v>
      </c>
      <c r="EC18" s="12">
        <f t="shared" si="4"/>
        <v>0</v>
      </c>
      <c r="ED18" s="12">
        <f t="shared" si="4"/>
        <v>0</v>
      </c>
      <c r="EE18" s="12">
        <f t="shared" si="4"/>
        <v>0</v>
      </c>
      <c r="EF18" s="12">
        <f t="shared" si="4"/>
        <v>0</v>
      </c>
      <c r="EG18" s="12">
        <f t="shared" si="4"/>
        <v>0</v>
      </c>
      <c r="EH18" s="12">
        <f t="shared" si="4"/>
        <v>1134104.5900000001</v>
      </c>
      <c r="EI18" s="12">
        <f t="shared" si="4"/>
        <v>0</v>
      </c>
      <c r="EJ18" s="12">
        <f t="shared" si="4"/>
        <v>3017092.14</v>
      </c>
      <c r="EK18" s="12">
        <f t="shared" si="4"/>
        <v>0</v>
      </c>
      <c r="EL18" s="12">
        <f t="shared" si="4"/>
        <v>1882987.55</v>
      </c>
      <c r="EM18" s="12">
        <f t="shared" ref="EM18:FR18" si="5">EM253</f>
        <v>0</v>
      </c>
      <c r="EN18" s="12">
        <f t="shared" si="5"/>
        <v>1463741.06</v>
      </c>
      <c r="EO18" s="12">
        <f t="shared" si="5"/>
        <v>329636.46999999997</v>
      </c>
      <c r="EP18" s="12">
        <f t="shared" si="5"/>
        <v>0</v>
      </c>
      <c r="EQ18" s="12">
        <f t="shared" si="5"/>
        <v>329636.46999999997</v>
      </c>
      <c r="ER18" s="12">
        <f t="shared" si="5"/>
        <v>1134104.5900000001</v>
      </c>
      <c r="ES18" s="12">
        <f t="shared" si="5"/>
        <v>0</v>
      </c>
      <c r="ET18" s="12">
        <f t="shared" si="5"/>
        <v>0</v>
      </c>
      <c r="EU18" s="12">
        <f t="shared" si="5"/>
        <v>0</v>
      </c>
      <c r="EV18" s="12">
        <f t="shared" si="5"/>
        <v>0</v>
      </c>
      <c r="EW18" s="12">
        <f t="shared" si="5"/>
        <v>0</v>
      </c>
      <c r="EX18" s="12">
        <f t="shared" si="5"/>
        <v>0</v>
      </c>
      <c r="EY18" s="12">
        <f t="shared" si="5"/>
        <v>0</v>
      </c>
      <c r="EZ18" s="12">
        <f t="shared" si="5"/>
        <v>0</v>
      </c>
      <c r="FA18" s="12">
        <f t="shared" si="5"/>
        <v>0</v>
      </c>
      <c r="FB18" s="12">
        <f t="shared" si="5"/>
        <v>0</v>
      </c>
      <c r="FC18" s="12">
        <f t="shared" si="5"/>
        <v>0</v>
      </c>
      <c r="FD18" s="12">
        <f t="shared" si="5"/>
        <v>0</v>
      </c>
      <c r="FE18" s="12">
        <f t="shared" si="5"/>
        <v>0</v>
      </c>
      <c r="FF18" s="12">
        <f t="shared" si="5"/>
        <v>0</v>
      </c>
      <c r="FG18" s="12">
        <f t="shared" si="5"/>
        <v>0</v>
      </c>
      <c r="FH18" s="12">
        <f t="shared" si="5"/>
        <v>0</v>
      </c>
      <c r="FI18" s="12">
        <f t="shared" si="5"/>
        <v>0</v>
      </c>
      <c r="FJ18" s="12">
        <f t="shared" si="5"/>
        <v>0</v>
      </c>
      <c r="FK18" s="12">
        <f t="shared" si="5"/>
        <v>0</v>
      </c>
      <c r="FL18" s="12">
        <f t="shared" si="5"/>
        <v>0</v>
      </c>
      <c r="FM18" s="12">
        <f t="shared" si="5"/>
        <v>0</v>
      </c>
      <c r="FN18" s="12">
        <f t="shared" si="5"/>
        <v>0</v>
      </c>
      <c r="FO18" s="12">
        <f t="shared" si="5"/>
        <v>0</v>
      </c>
      <c r="FP18" s="12">
        <f t="shared" si="5"/>
        <v>0</v>
      </c>
      <c r="FQ18" s="12">
        <f t="shared" si="5"/>
        <v>0</v>
      </c>
      <c r="FR18" s="12">
        <f t="shared" si="5"/>
        <v>0</v>
      </c>
      <c r="FS18" s="12">
        <f t="shared" ref="FS18:GX18" si="6">FS253</f>
        <v>0</v>
      </c>
      <c r="FT18" s="12">
        <f t="shared" si="6"/>
        <v>0</v>
      </c>
      <c r="FU18" s="12">
        <f t="shared" si="6"/>
        <v>0</v>
      </c>
      <c r="FV18" s="12">
        <f t="shared" si="6"/>
        <v>0</v>
      </c>
      <c r="FW18" s="12">
        <f t="shared" si="6"/>
        <v>0</v>
      </c>
      <c r="FX18" s="12">
        <f t="shared" si="6"/>
        <v>0</v>
      </c>
      <c r="FY18" s="12">
        <f t="shared" si="6"/>
        <v>0</v>
      </c>
      <c r="FZ18" s="12">
        <f t="shared" si="6"/>
        <v>0</v>
      </c>
      <c r="GA18" s="12">
        <f t="shared" si="6"/>
        <v>0</v>
      </c>
      <c r="GB18" s="12">
        <f t="shared" si="6"/>
        <v>0</v>
      </c>
      <c r="GC18" s="12">
        <f t="shared" si="6"/>
        <v>0</v>
      </c>
      <c r="GD18" s="12">
        <f t="shared" si="6"/>
        <v>0</v>
      </c>
      <c r="GE18" s="12">
        <f t="shared" si="6"/>
        <v>0</v>
      </c>
      <c r="GF18" s="12">
        <f t="shared" si="6"/>
        <v>0</v>
      </c>
      <c r="GG18" s="12">
        <f t="shared" si="6"/>
        <v>0</v>
      </c>
      <c r="GH18" s="12">
        <f t="shared" si="6"/>
        <v>0</v>
      </c>
      <c r="GI18" s="12">
        <f t="shared" si="6"/>
        <v>0</v>
      </c>
      <c r="GJ18" s="12">
        <f t="shared" si="6"/>
        <v>0</v>
      </c>
      <c r="GK18" s="12">
        <f t="shared" si="6"/>
        <v>0</v>
      </c>
      <c r="GL18" s="12">
        <f t="shared" si="6"/>
        <v>0</v>
      </c>
      <c r="GM18" s="12">
        <f t="shared" si="6"/>
        <v>0</v>
      </c>
      <c r="GN18" s="12">
        <f t="shared" si="6"/>
        <v>0</v>
      </c>
      <c r="GO18" s="12">
        <f t="shared" si="6"/>
        <v>0</v>
      </c>
      <c r="GP18" s="12">
        <f t="shared" si="6"/>
        <v>0</v>
      </c>
      <c r="GQ18" s="12">
        <f t="shared" si="6"/>
        <v>0</v>
      </c>
      <c r="GR18" s="12">
        <f t="shared" si="6"/>
        <v>0</v>
      </c>
      <c r="GS18" s="12">
        <f t="shared" si="6"/>
        <v>0</v>
      </c>
      <c r="GT18" s="12">
        <f t="shared" si="6"/>
        <v>0</v>
      </c>
      <c r="GU18" s="12">
        <f t="shared" si="6"/>
        <v>0</v>
      </c>
      <c r="GV18" s="12">
        <f t="shared" si="6"/>
        <v>0</v>
      </c>
      <c r="GW18" s="12">
        <f t="shared" si="6"/>
        <v>0</v>
      </c>
      <c r="GX18" s="12">
        <f t="shared" si="6"/>
        <v>0</v>
      </c>
    </row>
    <row r="20" spans="1:255" x14ac:dyDescent="0.2">
      <c r="A20" s="10">
        <v>3</v>
      </c>
      <c r="B20" s="10">
        <v>1</v>
      </c>
      <c r="C20" s="10"/>
      <c r="D20" s="10">
        <f>ROW(A223)</f>
        <v>223</v>
      </c>
      <c r="E20" s="10"/>
      <c r="F20" s="10" t="s">
        <v>15</v>
      </c>
      <c r="G20" s="10" t="s">
        <v>16</v>
      </c>
      <c r="H20" s="10" t="s">
        <v>3</v>
      </c>
      <c r="I20" s="10">
        <v>0</v>
      </c>
      <c r="J20" s="10" t="s">
        <v>17</v>
      </c>
      <c r="K20" s="10">
        <v>-1</v>
      </c>
      <c r="L20" s="10" t="s">
        <v>15</v>
      </c>
      <c r="M20" s="10" t="s">
        <v>3</v>
      </c>
      <c r="N20" s="10"/>
      <c r="O20" s="10"/>
      <c r="P20" s="10"/>
      <c r="Q20" s="10"/>
      <c r="R20" s="10"/>
      <c r="S20" s="10">
        <v>0</v>
      </c>
      <c r="T20" s="10">
        <v>0</v>
      </c>
      <c r="U20" s="10" t="s">
        <v>3</v>
      </c>
      <c r="V20" s="10">
        <v>2</v>
      </c>
      <c r="W20" s="10"/>
      <c r="X20" s="10"/>
      <c r="Y20" s="10"/>
      <c r="Z20" s="10"/>
      <c r="AA20" s="10"/>
      <c r="AB20" s="10" t="s">
        <v>3</v>
      </c>
      <c r="AC20" s="10" t="s">
        <v>3</v>
      </c>
      <c r="AD20" s="10" t="s">
        <v>3</v>
      </c>
      <c r="AE20" s="10" t="s">
        <v>3</v>
      </c>
      <c r="AF20" s="10" t="s">
        <v>3</v>
      </c>
      <c r="AG20" s="10" t="s">
        <v>3</v>
      </c>
      <c r="AH20" s="10"/>
      <c r="AI20" s="10"/>
      <c r="AJ20" s="10"/>
      <c r="AK20" s="10"/>
      <c r="AL20" s="10"/>
      <c r="AM20" s="10"/>
      <c r="AN20" s="10"/>
      <c r="AO20" s="10"/>
      <c r="AP20" s="10" t="s">
        <v>3</v>
      </c>
      <c r="AQ20" s="10" t="s">
        <v>3</v>
      </c>
      <c r="AR20" s="10" t="s">
        <v>3</v>
      </c>
      <c r="AS20" s="10"/>
      <c r="AT20" s="10"/>
      <c r="AU20" s="10"/>
      <c r="AV20" s="10"/>
      <c r="AW20" s="10"/>
      <c r="AX20" s="10"/>
      <c r="AY20" s="10"/>
      <c r="AZ20" s="10" t="s">
        <v>3</v>
      </c>
      <c r="BA20" s="10"/>
      <c r="BB20" s="10" t="s">
        <v>3</v>
      </c>
      <c r="BC20" s="10" t="s">
        <v>3</v>
      </c>
      <c r="BD20" s="10" t="s">
        <v>3</v>
      </c>
      <c r="BE20" s="10" t="s">
        <v>3</v>
      </c>
      <c r="BF20" s="10" t="s">
        <v>3</v>
      </c>
      <c r="BG20" s="10" t="s">
        <v>3</v>
      </c>
      <c r="BH20" s="10" t="s">
        <v>3</v>
      </c>
      <c r="BI20" s="10" t="s">
        <v>3</v>
      </c>
      <c r="BJ20" s="10" t="s">
        <v>3</v>
      </c>
      <c r="BK20" s="10" t="s">
        <v>3</v>
      </c>
      <c r="BL20" s="10" t="s">
        <v>3</v>
      </c>
      <c r="BM20" s="10" t="s">
        <v>3</v>
      </c>
      <c r="BN20" s="10" t="s">
        <v>3</v>
      </c>
      <c r="BO20" s="10" t="s">
        <v>3</v>
      </c>
      <c r="BP20" s="10" t="s">
        <v>3</v>
      </c>
      <c r="BQ20" s="10"/>
      <c r="BR20" s="10"/>
      <c r="BS20" s="10"/>
      <c r="BT20" s="10"/>
      <c r="BU20" s="10"/>
      <c r="BV20" s="10"/>
      <c r="BW20" s="10"/>
      <c r="BX20" s="10">
        <v>0</v>
      </c>
      <c r="BY20" s="10"/>
      <c r="BZ20" s="10"/>
      <c r="CA20" s="10"/>
      <c r="CB20" s="10"/>
      <c r="CC20" s="10"/>
      <c r="CD20" s="10"/>
      <c r="CE20" s="10"/>
      <c r="CF20" s="10">
        <v>0</v>
      </c>
      <c r="CG20" s="10">
        <v>0</v>
      </c>
      <c r="CH20" s="10"/>
      <c r="CI20" s="10" t="s">
        <v>3</v>
      </c>
      <c r="CJ20" s="10" t="s">
        <v>3</v>
      </c>
      <c r="CK20" s="3" t="s">
        <v>3</v>
      </c>
      <c r="CL20" s="3" t="s">
        <v>3</v>
      </c>
      <c r="CM20" s="3" t="s">
        <v>3</v>
      </c>
      <c r="CN20" s="3" t="s">
        <v>3</v>
      </c>
      <c r="CO20" s="3" t="s">
        <v>3</v>
      </c>
      <c r="CP20" s="3" t="s">
        <v>3</v>
      </c>
      <c r="CQ20" s="3" t="s">
        <v>3</v>
      </c>
    </row>
    <row r="22" spans="1:255" x14ac:dyDescent="0.2">
      <c r="A22" s="11">
        <v>52</v>
      </c>
      <c r="B22" s="11">
        <f t="shared" ref="B22:G22" si="7">B223</f>
        <v>1</v>
      </c>
      <c r="C22" s="11">
        <f t="shared" si="7"/>
        <v>3</v>
      </c>
      <c r="D22" s="11">
        <f t="shared" si="7"/>
        <v>20</v>
      </c>
      <c r="E22" s="11">
        <f t="shared" si="7"/>
        <v>0</v>
      </c>
      <c r="F22" s="11" t="str">
        <f t="shared" si="7"/>
        <v>02-01-09</v>
      </c>
      <c r="G22" s="11" t="str">
        <f t="shared" si="7"/>
        <v>Система оповещения управления эвакуацией</v>
      </c>
      <c r="H22" s="11"/>
      <c r="I22" s="11"/>
      <c r="J22" s="11"/>
      <c r="K22" s="11"/>
      <c r="L22" s="11"/>
      <c r="M22" s="11"/>
      <c r="N22" s="11"/>
      <c r="O22" s="11">
        <f t="shared" ref="O22:AT22" si="8">O223</f>
        <v>197064.51</v>
      </c>
      <c r="P22" s="11">
        <f t="shared" si="8"/>
        <v>185317.71</v>
      </c>
      <c r="Q22" s="11">
        <f t="shared" si="8"/>
        <v>79.81</v>
      </c>
      <c r="R22" s="11">
        <f t="shared" si="8"/>
        <v>0.49</v>
      </c>
      <c r="S22" s="11">
        <f t="shared" si="8"/>
        <v>11666.99</v>
      </c>
      <c r="T22" s="11">
        <f t="shared" si="8"/>
        <v>0</v>
      </c>
      <c r="U22" s="11">
        <f t="shared" si="8"/>
        <v>980.90519340000003</v>
      </c>
      <c r="V22" s="11">
        <f t="shared" si="8"/>
        <v>0</v>
      </c>
      <c r="W22" s="11">
        <f t="shared" si="8"/>
        <v>0</v>
      </c>
      <c r="X22" s="11">
        <f t="shared" si="8"/>
        <v>10792.42</v>
      </c>
      <c r="Y22" s="11">
        <f t="shared" si="8"/>
        <v>5775.36</v>
      </c>
      <c r="Z22" s="11">
        <f t="shared" si="8"/>
        <v>0</v>
      </c>
      <c r="AA22" s="11">
        <f t="shared" si="8"/>
        <v>0</v>
      </c>
      <c r="AB22" s="11">
        <f t="shared" si="8"/>
        <v>0</v>
      </c>
      <c r="AC22" s="11">
        <f t="shared" si="8"/>
        <v>0</v>
      </c>
      <c r="AD22" s="11">
        <f t="shared" si="8"/>
        <v>0</v>
      </c>
      <c r="AE22" s="11">
        <f t="shared" si="8"/>
        <v>0</v>
      </c>
      <c r="AF22" s="11">
        <f t="shared" si="8"/>
        <v>0</v>
      </c>
      <c r="AG22" s="11">
        <f t="shared" si="8"/>
        <v>0</v>
      </c>
      <c r="AH22" s="11">
        <f t="shared" si="8"/>
        <v>0</v>
      </c>
      <c r="AI22" s="11">
        <f t="shared" si="8"/>
        <v>0</v>
      </c>
      <c r="AJ22" s="11">
        <f t="shared" si="8"/>
        <v>0</v>
      </c>
      <c r="AK22" s="11">
        <f t="shared" si="8"/>
        <v>0</v>
      </c>
      <c r="AL22" s="11">
        <f t="shared" si="8"/>
        <v>0</v>
      </c>
      <c r="AM22" s="11">
        <f t="shared" si="8"/>
        <v>0</v>
      </c>
      <c r="AN22" s="11">
        <f t="shared" si="8"/>
        <v>0</v>
      </c>
      <c r="AO22" s="11">
        <f t="shared" si="8"/>
        <v>0</v>
      </c>
      <c r="AP22" s="11">
        <f t="shared" si="8"/>
        <v>148055.43</v>
      </c>
      <c r="AQ22" s="11">
        <f t="shared" si="8"/>
        <v>0</v>
      </c>
      <c r="AR22" s="11">
        <f t="shared" si="8"/>
        <v>213632.29</v>
      </c>
      <c r="AS22" s="11">
        <f t="shared" si="8"/>
        <v>0</v>
      </c>
      <c r="AT22" s="11">
        <f t="shared" si="8"/>
        <v>65576.86</v>
      </c>
      <c r="AU22" s="11">
        <f t="shared" ref="AU22:BZ22" si="9">AU223</f>
        <v>0</v>
      </c>
      <c r="AV22" s="11">
        <f t="shared" si="9"/>
        <v>185317.71</v>
      </c>
      <c r="AW22" s="11">
        <f t="shared" si="9"/>
        <v>37262.28</v>
      </c>
      <c r="AX22" s="11">
        <f t="shared" si="9"/>
        <v>0</v>
      </c>
      <c r="AY22" s="11">
        <f t="shared" si="9"/>
        <v>37262.28</v>
      </c>
      <c r="AZ22" s="11">
        <f t="shared" si="9"/>
        <v>148055.43</v>
      </c>
      <c r="BA22" s="11">
        <f t="shared" si="9"/>
        <v>0</v>
      </c>
      <c r="BB22" s="11">
        <f t="shared" si="9"/>
        <v>0</v>
      </c>
      <c r="BC22" s="11">
        <f t="shared" si="9"/>
        <v>0</v>
      </c>
      <c r="BD22" s="11">
        <f t="shared" si="9"/>
        <v>0</v>
      </c>
      <c r="BE22" s="11">
        <f t="shared" si="9"/>
        <v>0</v>
      </c>
      <c r="BF22" s="11">
        <f t="shared" si="9"/>
        <v>0</v>
      </c>
      <c r="BG22" s="11">
        <f t="shared" si="9"/>
        <v>0</v>
      </c>
      <c r="BH22" s="11">
        <f t="shared" si="9"/>
        <v>0</v>
      </c>
      <c r="BI22" s="11">
        <f t="shared" si="9"/>
        <v>0</v>
      </c>
      <c r="BJ22" s="11">
        <f t="shared" si="9"/>
        <v>0</v>
      </c>
      <c r="BK22" s="11">
        <f t="shared" si="9"/>
        <v>0</v>
      </c>
      <c r="BL22" s="11">
        <f t="shared" si="9"/>
        <v>0</v>
      </c>
      <c r="BM22" s="11">
        <f t="shared" si="9"/>
        <v>0</v>
      </c>
      <c r="BN22" s="11">
        <f t="shared" si="9"/>
        <v>0</v>
      </c>
      <c r="BO22" s="11">
        <f t="shared" si="9"/>
        <v>0</v>
      </c>
      <c r="BP22" s="11">
        <f t="shared" si="9"/>
        <v>0</v>
      </c>
      <c r="BQ22" s="11">
        <f t="shared" si="9"/>
        <v>0</v>
      </c>
      <c r="BR22" s="11">
        <f t="shared" si="9"/>
        <v>0</v>
      </c>
      <c r="BS22" s="11">
        <f t="shared" si="9"/>
        <v>0</v>
      </c>
      <c r="BT22" s="11">
        <f t="shared" si="9"/>
        <v>0</v>
      </c>
      <c r="BU22" s="11">
        <f t="shared" si="9"/>
        <v>0</v>
      </c>
      <c r="BV22" s="11">
        <f t="shared" si="9"/>
        <v>0</v>
      </c>
      <c r="BW22" s="11">
        <f t="shared" si="9"/>
        <v>0</v>
      </c>
      <c r="BX22" s="11">
        <f t="shared" si="9"/>
        <v>0</v>
      </c>
      <c r="BY22" s="11">
        <f t="shared" si="9"/>
        <v>0</v>
      </c>
      <c r="BZ22" s="11">
        <f t="shared" si="9"/>
        <v>0</v>
      </c>
      <c r="CA22" s="11">
        <f t="shared" ref="CA22:DF22" si="10">CA223</f>
        <v>0</v>
      </c>
      <c r="CB22" s="11">
        <f t="shared" si="10"/>
        <v>0</v>
      </c>
      <c r="CC22" s="11">
        <f t="shared" si="10"/>
        <v>0</v>
      </c>
      <c r="CD22" s="11">
        <f t="shared" si="10"/>
        <v>0</v>
      </c>
      <c r="CE22" s="11">
        <f t="shared" si="10"/>
        <v>0</v>
      </c>
      <c r="CF22" s="11">
        <f t="shared" si="10"/>
        <v>0</v>
      </c>
      <c r="CG22" s="11">
        <f t="shared" si="10"/>
        <v>0</v>
      </c>
      <c r="CH22" s="11">
        <f t="shared" si="10"/>
        <v>0</v>
      </c>
      <c r="CI22" s="11">
        <f t="shared" si="10"/>
        <v>0</v>
      </c>
      <c r="CJ22" s="11">
        <f t="shared" si="10"/>
        <v>0</v>
      </c>
      <c r="CK22" s="11">
        <f t="shared" si="10"/>
        <v>0</v>
      </c>
      <c r="CL22" s="11">
        <f t="shared" si="10"/>
        <v>0</v>
      </c>
      <c r="CM22" s="11">
        <f t="shared" si="10"/>
        <v>0</v>
      </c>
      <c r="CN22" s="11">
        <f t="shared" si="10"/>
        <v>0</v>
      </c>
      <c r="CO22" s="11">
        <f t="shared" si="10"/>
        <v>0</v>
      </c>
      <c r="CP22" s="11">
        <f t="shared" si="10"/>
        <v>0</v>
      </c>
      <c r="CQ22" s="11">
        <f t="shared" si="10"/>
        <v>0</v>
      </c>
      <c r="CR22" s="11">
        <f t="shared" si="10"/>
        <v>0</v>
      </c>
      <c r="CS22" s="11">
        <f t="shared" si="10"/>
        <v>0</v>
      </c>
      <c r="CT22" s="11">
        <f t="shared" si="10"/>
        <v>0</v>
      </c>
      <c r="CU22" s="11">
        <f t="shared" si="10"/>
        <v>0</v>
      </c>
      <c r="CV22" s="11">
        <f t="shared" si="10"/>
        <v>0</v>
      </c>
      <c r="CW22" s="11">
        <f t="shared" si="10"/>
        <v>0</v>
      </c>
      <c r="CX22" s="11">
        <f t="shared" si="10"/>
        <v>0</v>
      </c>
      <c r="CY22" s="11">
        <f t="shared" si="10"/>
        <v>0</v>
      </c>
      <c r="CZ22" s="11">
        <f t="shared" si="10"/>
        <v>0</v>
      </c>
      <c r="DA22" s="11">
        <f t="shared" si="10"/>
        <v>0</v>
      </c>
      <c r="DB22" s="11">
        <f t="shared" si="10"/>
        <v>0</v>
      </c>
      <c r="DC22" s="11">
        <f t="shared" si="10"/>
        <v>0</v>
      </c>
      <c r="DD22" s="11">
        <f t="shared" si="10"/>
        <v>0</v>
      </c>
      <c r="DE22" s="11">
        <f t="shared" si="10"/>
        <v>0</v>
      </c>
      <c r="DF22" s="11">
        <f t="shared" si="10"/>
        <v>0</v>
      </c>
      <c r="DG22" s="12">
        <f t="shared" ref="DG22:EL22" si="11">DG223</f>
        <v>2106029.13</v>
      </c>
      <c r="DH22" s="12">
        <f t="shared" si="11"/>
        <v>1463741.06</v>
      </c>
      <c r="DI22" s="12">
        <f t="shared" si="11"/>
        <v>720.31</v>
      </c>
      <c r="DJ22" s="12">
        <f t="shared" si="11"/>
        <v>26.95</v>
      </c>
      <c r="DK22" s="12">
        <f t="shared" si="11"/>
        <v>641567.76</v>
      </c>
      <c r="DL22" s="12">
        <f t="shared" si="11"/>
        <v>0</v>
      </c>
      <c r="DM22" s="12">
        <f t="shared" si="11"/>
        <v>980.90519340000003</v>
      </c>
      <c r="DN22" s="12">
        <f t="shared" si="11"/>
        <v>0</v>
      </c>
      <c r="DO22" s="12">
        <f t="shared" si="11"/>
        <v>0</v>
      </c>
      <c r="DP22" s="12">
        <f t="shared" si="11"/>
        <v>593474.5</v>
      </c>
      <c r="DQ22" s="12">
        <f t="shared" si="11"/>
        <v>317588.51</v>
      </c>
      <c r="DR22" s="12">
        <f t="shared" si="11"/>
        <v>0</v>
      </c>
      <c r="DS22" s="12">
        <f t="shared" si="11"/>
        <v>0</v>
      </c>
      <c r="DT22" s="12">
        <f t="shared" si="11"/>
        <v>0</v>
      </c>
      <c r="DU22" s="12">
        <f t="shared" si="11"/>
        <v>0</v>
      </c>
      <c r="DV22" s="12">
        <f t="shared" si="11"/>
        <v>0</v>
      </c>
      <c r="DW22" s="12">
        <f t="shared" si="11"/>
        <v>0</v>
      </c>
      <c r="DX22" s="12">
        <f t="shared" si="11"/>
        <v>0</v>
      </c>
      <c r="DY22" s="12">
        <f t="shared" si="11"/>
        <v>0</v>
      </c>
      <c r="DZ22" s="12">
        <f t="shared" si="11"/>
        <v>0</v>
      </c>
      <c r="EA22" s="12">
        <f t="shared" si="11"/>
        <v>0</v>
      </c>
      <c r="EB22" s="12">
        <f t="shared" si="11"/>
        <v>0</v>
      </c>
      <c r="EC22" s="12">
        <f t="shared" si="11"/>
        <v>0</v>
      </c>
      <c r="ED22" s="12">
        <f t="shared" si="11"/>
        <v>0</v>
      </c>
      <c r="EE22" s="12">
        <f t="shared" si="11"/>
        <v>0</v>
      </c>
      <c r="EF22" s="12">
        <f t="shared" si="11"/>
        <v>0</v>
      </c>
      <c r="EG22" s="12">
        <f t="shared" si="11"/>
        <v>0</v>
      </c>
      <c r="EH22" s="12">
        <f t="shared" si="11"/>
        <v>1134104.5900000001</v>
      </c>
      <c r="EI22" s="12">
        <f t="shared" si="11"/>
        <v>0</v>
      </c>
      <c r="EJ22" s="12">
        <f t="shared" si="11"/>
        <v>3017092.14</v>
      </c>
      <c r="EK22" s="12">
        <f t="shared" si="11"/>
        <v>0</v>
      </c>
      <c r="EL22" s="12">
        <f t="shared" si="11"/>
        <v>1882987.55</v>
      </c>
      <c r="EM22" s="12">
        <f t="shared" ref="EM22:FR22" si="12">EM223</f>
        <v>0</v>
      </c>
      <c r="EN22" s="12">
        <f t="shared" si="12"/>
        <v>1463741.06</v>
      </c>
      <c r="EO22" s="12">
        <f t="shared" si="12"/>
        <v>329636.46999999997</v>
      </c>
      <c r="EP22" s="12">
        <f t="shared" si="12"/>
        <v>0</v>
      </c>
      <c r="EQ22" s="12">
        <f t="shared" si="12"/>
        <v>329636.46999999997</v>
      </c>
      <c r="ER22" s="12">
        <f t="shared" si="12"/>
        <v>1134104.5900000001</v>
      </c>
      <c r="ES22" s="12">
        <f t="shared" si="12"/>
        <v>0</v>
      </c>
      <c r="ET22" s="12">
        <f t="shared" si="12"/>
        <v>0</v>
      </c>
      <c r="EU22" s="12">
        <f t="shared" si="12"/>
        <v>0</v>
      </c>
      <c r="EV22" s="12">
        <f t="shared" si="12"/>
        <v>0</v>
      </c>
      <c r="EW22" s="12">
        <f t="shared" si="12"/>
        <v>0</v>
      </c>
      <c r="EX22" s="12">
        <f t="shared" si="12"/>
        <v>0</v>
      </c>
      <c r="EY22" s="12">
        <f t="shared" si="12"/>
        <v>0</v>
      </c>
      <c r="EZ22" s="12">
        <f t="shared" si="12"/>
        <v>0</v>
      </c>
      <c r="FA22" s="12">
        <f t="shared" si="12"/>
        <v>0</v>
      </c>
      <c r="FB22" s="12">
        <f t="shared" si="12"/>
        <v>0</v>
      </c>
      <c r="FC22" s="12">
        <f t="shared" si="12"/>
        <v>0</v>
      </c>
      <c r="FD22" s="12">
        <f t="shared" si="12"/>
        <v>0</v>
      </c>
      <c r="FE22" s="12">
        <f t="shared" si="12"/>
        <v>0</v>
      </c>
      <c r="FF22" s="12">
        <f t="shared" si="12"/>
        <v>0</v>
      </c>
      <c r="FG22" s="12">
        <f t="shared" si="12"/>
        <v>0</v>
      </c>
      <c r="FH22" s="12">
        <f t="shared" si="12"/>
        <v>0</v>
      </c>
      <c r="FI22" s="12">
        <f t="shared" si="12"/>
        <v>0</v>
      </c>
      <c r="FJ22" s="12">
        <f t="shared" si="12"/>
        <v>0</v>
      </c>
      <c r="FK22" s="12">
        <f t="shared" si="12"/>
        <v>0</v>
      </c>
      <c r="FL22" s="12">
        <f t="shared" si="12"/>
        <v>0</v>
      </c>
      <c r="FM22" s="12">
        <f t="shared" si="12"/>
        <v>0</v>
      </c>
      <c r="FN22" s="12">
        <f t="shared" si="12"/>
        <v>0</v>
      </c>
      <c r="FO22" s="12">
        <f t="shared" si="12"/>
        <v>0</v>
      </c>
      <c r="FP22" s="12">
        <f t="shared" si="12"/>
        <v>0</v>
      </c>
      <c r="FQ22" s="12">
        <f t="shared" si="12"/>
        <v>0</v>
      </c>
      <c r="FR22" s="12">
        <f t="shared" si="12"/>
        <v>0</v>
      </c>
      <c r="FS22" s="12">
        <f t="shared" ref="FS22:GX22" si="13">FS223</f>
        <v>0</v>
      </c>
      <c r="FT22" s="12">
        <f t="shared" si="13"/>
        <v>0</v>
      </c>
      <c r="FU22" s="12">
        <f t="shared" si="13"/>
        <v>0</v>
      </c>
      <c r="FV22" s="12">
        <f t="shared" si="13"/>
        <v>0</v>
      </c>
      <c r="FW22" s="12">
        <f t="shared" si="13"/>
        <v>0</v>
      </c>
      <c r="FX22" s="12">
        <f t="shared" si="13"/>
        <v>0</v>
      </c>
      <c r="FY22" s="12">
        <f t="shared" si="13"/>
        <v>0</v>
      </c>
      <c r="FZ22" s="12">
        <f t="shared" si="13"/>
        <v>0</v>
      </c>
      <c r="GA22" s="12">
        <f t="shared" si="13"/>
        <v>0</v>
      </c>
      <c r="GB22" s="12">
        <f t="shared" si="13"/>
        <v>0</v>
      </c>
      <c r="GC22" s="12">
        <f t="shared" si="13"/>
        <v>0</v>
      </c>
      <c r="GD22" s="12">
        <f t="shared" si="13"/>
        <v>0</v>
      </c>
      <c r="GE22" s="12">
        <f t="shared" si="13"/>
        <v>0</v>
      </c>
      <c r="GF22" s="12">
        <f t="shared" si="13"/>
        <v>0</v>
      </c>
      <c r="GG22" s="12">
        <f t="shared" si="13"/>
        <v>0</v>
      </c>
      <c r="GH22" s="12">
        <f t="shared" si="13"/>
        <v>0</v>
      </c>
      <c r="GI22" s="12">
        <f t="shared" si="13"/>
        <v>0</v>
      </c>
      <c r="GJ22" s="12">
        <f t="shared" si="13"/>
        <v>0</v>
      </c>
      <c r="GK22" s="12">
        <f t="shared" si="13"/>
        <v>0</v>
      </c>
      <c r="GL22" s="12">
        <f t="shared" si="13"/>
        <v>0</v>
      </c>
      <c r="GM22" s="12">
        <f t="shared" si="13"/>
        <v>0</v>
      </c>
      <c r="GN22" s="12">
        <f t="shared" si="13"/>
        <v>0</v>
      </c>
      <c r="GO22" s="12">
        <f t="shared" si="13"/>
        <v>0</v>
      </c>
      <c r="GP22" s="12">
        <f t="shared" si="13"/>
        <v>0</v>
      </c>
      <c r="GQ22" s="12">
        <f t="shared" si="13"/>
        <v>0</v>
      </c>
      <c r="GR22" s="12">
        <f t="shared" si="13"/>
        <v>0</v>
      </c>
      <c r="GS22" s="12">
        <f t="shared" si="13"/>
        <v>0</v>
      </c>
      <c r="GT22" s="12">
        <f t="shared" si="13"/>
        <v>0</v>
      </c>
      <c r="GU22" s="12">
        <f t="shared" si="13"/>
        <v>0</v>
      </c>
      <c r="GV22" s="12">
        <f t="shared" si="13"/>
        <v>0</v>
      </c>
      <c r="GW22" s="12">
        <f t="shared" si="13"/>
        <v>0</v>
      </c>
      <c r="GX22" s="12">
        <f t="shared" si="13"/>
        <v>0</v>
      </c>
    </row>
    <row r="24" spans="1:255" x14ac:dyDescent="0.2">
      <c r="A24" s="10">
        <v>4</v>
      </c>
      <c r="B24" s="10">
        <v>1</v>
      </c>
      <c r="C24" s="10"/>
      <c r="D24" s="10">
        <f>ROW(A93)</f>
        <v>93</v>
      </c>
      <c r="E24" s="10"/>
      <c r="F24" s="10" t="s">
        <v>3</v>
      </c>
      <c r="G24" s="10" t="s">
        <v>18</v>
      </c>
      <c r="H24" s="10" t="s">
        <v>3</v>
      </c>
      <c r="I24" s="10">
        <v>0</v>
      </c>
      <c r="J24" s="10"/>
      <c r="K24" s="10">
        <v>-1</v>
      </c>
      <c r="L24" s="10"/>
      <c r="M24" s="10" t="s">
        <v>3</v>
      </c>
      <c r="N24" s="10"/>
      <c r="O24" s="10"/>
      <c r="P24" s="10"/>
      <c r="Q24" s="10"/>
      <c r="R24" s="10"/>
      <c r="S24" s="10">
        <v>0</v>
      </c>
      <c r="T24" s="10">
        <v>0</v>
      </c>
      <c r="U24" s="10" t="s">
        <v>3</v>
      </c>
      <c r="V24" s="10">
        <v>2</v>
      </c>
      <c r="W24" s="10"/>
      <c r="X24" s="10"/>
      <c r="Y24" s="10"/>
      <c r="Z24" s="10"/>
      <c r="AA24" s="10"/>
      <c r="AB24" s="10" t="s">
        <v>3</v>
      </c>
      <c r="AC24" s="10" t="s">
        <v>3</v>
      </c>
      <c r="AD24" s="10" t="s">
        <v>3</v>
      </c>
      <c r="AE24" s="10" t="s">
        <v>3</v>
      </c>
      <c r="AF24" s="10" t="s">
        <v>3</v>
      </c>
      <c r="AG24" s="10" t="s">
        <v>3</v>
      </c>
      <c r="AH24" s="10"/>
      <c r="AI24" s="10"/>
      <c r="AJ24" s="10"/>
      <c r="AK24" s="10"/>
      <c r="AL24" s="10"/>
      <c r="AM24" s="10"/>
      <c r="AN24" s="10"/>
      <c r="AO24" s="10"/>
      <c r="AP24" s="10" t="s">
        <v>3</v>
      </c>
      <c r="AQ24" s="10" t="s">
        <v>3</v>
      </c>
      <c r="AR24" s="10" t="s">
        <v>3</v>
      </c>
      <c r="AS24" s="10"/>
      <c r="AT24" s="10"/>
      <c r="AU24" s="10"/>
      <c r="AV24" s="10"/>
      <c r="AW24" s="10"/>
      <c r="AX24" s="10"/>
      <c r="AY24" s="10"/>
      <c r="AZ24" s="10" t="s">
        <v>3</v>
      </c>
      <c r="BA24" s="10"/>
      <c r="BB24" s="10" t="s">
        <v>3</v>
      </c>
      <c r="BC24" s="10" t="s">
        <v>3</v>
      </c>
      <c r="BD24" s="10" t="s">
        <v>3</v>
      </c>
      <c r="BE24" s="10" t="s">
        <v>3</v>
      </c>
      <c r="BF24" s="10" t="s">
        <v>3</v>
      </c>
      <c r="BG24" s="10" t="s">
        <v>3</v>
      </c>
      <c r="BH24" s="10" t="s">
        <v>3</v>
      </c>
      <c r="BI24" s="10" t="s">
        <v>3</v>
      </c>
      <c r="BJ24" s="10" t="s">
        <v>3</v>
      </c>
      <c r="BK24" s="10" t="s">
        <v>3</v>
      </c>
      <c r="BL24" s="10" t="s">
        <v>3</v>
      </c>
      <c r="BM24" s="10" t="s">
        <v>3</v>
      </c>
      <c r="BN24" s="10" t="s">
        <v>3</v>
      </c>
      <c r="BO24" s="10" t="s">
        <v>3</v>
      </c>
      <c r="BP24" s="10" t="s">
        <v>3</v>
      </c>
      <c r="BQ24" s="10"/>
      <c r="BR24" s="10"/>
      <c r="BS24" s="10"/>
      <c r="BT24" s="10"/>
      <c r="BU24" s="10"/>
      <c r="BV24" s="10"/>
      <c r="BW24" s="10"/>
      <c r="BX24" s="10">
        <v>0</v>
      </c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>
        <v>0</v>
      </c>
    </row>
    <row r="26" spans="1:255" x14ac:dyDescent="0.2">
      <c r="A26" s="11">
        <v>52</v>
      </c>
      <c r="B26" s="11">
        <f t="shared" ref="B26:G26" si="14">B93</f>
        <v>1</v>
      </c>
      <c r="C26" s="11">
        <f t="shared" si="14"/>
        <v>4</v>
      </c>
      <c r="D26" s="11">
        <f t="shared" si="14"/>
        <v>24</v>
      </c>
      <c r="E26" s="11">
        <f t="shared" si="14"/>
        <v>0</v>
      </c>
      <c r="F26" s="11" t="str">
        <f t="shared" si="14"/>
        <v/>
      </c>
      <c r="G26" s="11" t="str">
        <f t="shared" si="14"/>
        <v>Оборудование</v>
      </c>
      <c r="H26" s="11"/>
      <c r="I26" s="11"/>
      <c r="J26" s="11"/>
      <c r="K26" s="11"/>
      <c r="L26" s="11"/>
      <c r="M26" s="11"/>
      <c r="N26" s="11"/>
      <c r="O26" s="11">
        <f t="shared" ref="O26:AT26" si="15">O93</f>
        <v>80435.66</v>
      </c>
      <c r="P26" s="11">
        <f t="shared" si="15"/>
        <v>80220.570000000007</v>
      </c>
      <c r="Q26" s="11">
        <f t="shared" si="15"/>
        <v>4.04</v>
      </c>
      <c r="R26" s="11">
        <f t="shared" si="15"/>
        <v>0.49</v>
      </c>
      <c r="S26" s="11">
        <f t="shared" si="15"/>
        <v>211.05</v>
      </c>
      <c r="T26" s="11">
        <f t="shared" si="15"/>
        <v>0</v>
      </c>
      <c r="U26" s="11">
        <f t="shared" si="15"/>
        <v>16.849370999999998</v>
      </c>
      <c r="V26" s="11">
        <f t="shared" si="15"/>
        <v>0</v>
      </c>
      <c r="W26" s="11">
        <f t="shared" si="15"/>
        <v>0</v>
      </c>
      <c r="X26" s="11">
        <f t="shared" si="15"/>
        <v>190.4</v>
      </c>
      <c r="Y26" s="11">
        <f t="shared" si="15"/>
        <v>97.27</v>
      </c>
      <c r="Z26" s="11">
        <f t="shared" si="15"/>
        <v>0</v>
      </c>
      <c r="AA26" s="11">
        <f t="shared" si="15"/>
        <v>0</v>
      </c>
      <c r="AB26" s="11">
        <f t="shared" si="15"/>
        <v>80435.66</v>
      </c>
      <c r="AC26" s="11">
        <f t="shared" si="15"/>
        <v>80220.570000000007</v>
      </c>
      <c r="AD26" s="11">
        <f t="shared" si="15"/>
        <v>4.04</v>
      </c>
      <c r="AE26" s="11">
        <f t="shared" si="15"/>
        <v>0.49</v>
      </c>
      <c r="AF26" s="11">
        <f t="shared" si="15"/>
        <v>211.05</v>
      </c>
      <c r="AG26" s="11">
        <f t="shared" si="15"/>
        <v>0</v>
      </c>
      <c r="AH26" s="11">
        <f t="shared" si="15"/>
        <v>16.849370999999998</v>
      </c>
      <c r="AI26" s="11">
        <f t="shared" si="15"/>
        <v>0</v>
      </c>
      <c r="AJ26" s="11">
        <f t="shared" si="15"/>
        <v>0</v>
      </c>
      <c r="AK26" s="11">
        <f t="shared" si="15"/>
        <v>190.4</v>
      </c>
      <c r="AL26" s="11">
        <f t="shared" si="15"/>
        <v>97.27</v>
      </c>
      <c r="AM26" s="11">
        <f t="shared" si="15"/>
        <v>0</v>
      </c>
      <c r="AN26" s="11">
        <f t="shared" si="15"/>
        <v>0</v>
      </c>
      <c r="AO26" s="11">
        <f t="shared" si="15"/>
        <v>0</v>
      </c>
      <c r="AP26" s="11">
        <f t="shared" si="15"/>
        <v>76571.070000000007</v>
      </c>
      <c r="AQ26" s="11">
        <f t="shared" si="15"/>
        <v>0</v>
      </c>
      <c r="AR26" s="11">
        <f t="shared" si="15"/>
        <v>80723.33</v>
      </c>
      <c r="AS26" s="11">
        <f t="shared" si="15"/>
        <v>0</v>
      </c>
      <c r="AT26" s="11">
        <f t="shared" si="15"/>
        <v>4152.26</v>
      </c>
      <c r="AU26" s="11">
        <f t="shared" ref="AU26:BZ26" si="16">AU93</f>
        <v>0</v>
      </c>
      <c r="AV26" s="11">
        <f t="shared" si="16"/>
        <v>80220.570000000007</v>
      </c>
      <c r="AW26" s="11">
        <f t="shared" si="16"/>
        <v>3649.5</v>
      </c>
      <c r="AX26" s="11">
        <f t="shared" si="16"/>
        <v>0</v>
      </c>
      <c r="AY26" s="11">
        <f t="shared" si="16"/>
        <v>3649.5</v>
      </c>
      <c r="AZ26" s="11">
        <f t="shared" si="16"/>
        <v>76571.070000000007</v>
      </c>
      <c r="BA26" s="11">
        <f t="shared" si="16"/>
        <v>0</v>
      </c>
      <c r="BB26" s="11">
        <f t="shared" si="16"/>
        <v>0</v>
      </c>
      <c r="BC26" s="11">
        <f t="shared" si="16"/>
        <v>0</v>
      </c>
      <c r="BD26" s="11">
        <f t="shared" si="16"/>
        <v>0</v>
      </c>
      <c r="BE26" s="11">
        <f t="shared" si="16"/>
        <v>0</v>
      </c>
      <c r="BF26" s="11">
        <f t="shared" si="16"/>
        <v>0</v>
      </c>
      <c r="BG26" s="11">
        <f t="shared" si="16"/>
        <v>0</v>
      </c>
      <c r="BH26" s="11">
        <f t="shared" si="16"/>
        <v>0</v>
      </c>
      <c r="BI26" s="11">
        <f t="shared" si="16"/>
        <v>0</v>
      </c>
      <c r="BJ26" s="11">
        <f t="shared" si="16"/>
        <v>0</v>
      </c>
      <c r="BK26" s="11">
        <f t="shared" si="16"/>
        <v>0</v>
      </c>
      <c r="BL26" s="11">
        <f t="shared" si="16"/>
        <v>0</v>
      </c>
      <c r="BM26" s="11">
        <f t="shared" si="16"/>
        <v>0</v>
      </c>
      <c r="BN26" s="11">
        <f t="shared" si="16"/>
        <v>0</v>
      </c>
      <c r="BO26" s="11">
        <f t="shared" si="16"/>
        <v>0</v>
      </c>
      <c r="BP26" s="11">
        <f t="shared" si="16"/>
        <v>0</v>
      </c>
      <c r="BQ26" s="11">
        <f t="shared" si="16"/>
        <v>0</v>
      </c>
      <c r="BR26" s="11">
        <f t="shared" si="16"/>
        <v>0</v>
      </c>
      <c r="BS26" s="11">
        <f t="shared" si="16"/>
        <v>0</v>
      </c>
      <c r="BT26" s="11">
        <f t="shared" si="16"/>
        <v>0</v>
      </c>
      <c r="BU26" s="11">
        <f t="shared" si="16"/>
        <v>0</v>
      </c>
      <c r="BV26" s="11">
        <f t="shared" si="16"/>
        <v>0</v>
      </c>
      <c r="BW26" s="11">
        <f t="shared" si="16"/>
        <v>0</v>
      </c>
      <c r="BX26" s="11">
        <f t="shared" si="16"/>
        <v>0</v>
      </c>
      <c r="BY26" s="11">
        <f t="shared" si="16"/>
        <v>76571.070000000007</v>
      </c>
      <c r="BZ26" s="11">
        <f t="shared" si="16"/>
        <v>0</v>
      </c>
      <c r="CA26" s="11">
        <f t="shared" ref="CA26:DF26" si="17">CA93</f>
        <v>80723.33</v>
      </c>
      <c r="CB26" s="11">
        <f t="shared" si="17"/>
        <v>0</v>
      </c>
      <c r="CC26" s="11">
        <f t="shared" si="17"/>
        <v>4152.26</v>
      </c>
      <c r="CD26" s="11">
        <f t="shared" si="17"/>
        <v>0</v>
      </c>
      <c r="CE26" s="11">
        <f t="shared" si="17"/>
        <v>80220.570000000007</v>
      </c>
      <c r="CF26" s="11">
        <f t="shared" si="17"/>
        <v>3649.5</v>
      </c>
      <c r="CG26" s="11">
        <f t="shared" si="17"/>
        <v>0</v>
      </c>
      <c r="CH26" s="11">
        <f t="shared" si="17"/>
        <v>3649.5</v>
      </c>
      <c r="CI26" s="11">
        <f t="shared" si="17"/>
        <v>76571.070000000007</v>
      </c>
      <c r="CJ26" s="11">
        <f t="shared" si="17"/>
        <v>0</v>
      </c>
      <c r="CK26" s="11">
        <f t="shared" si="17"/>
        <v>0</v>
      </c>
      <c r="CL26" s="11">
        <f t="shared" si="17"/>
        <v>0</v>
      </c>
      <c r="CM26" s="11">
        <f t="shared" si="17"/>
        <v>0</v>
      </c>
      <c r="CN26" s="11">
        <f t="shared" si="17"/>
        <v>0</v>
      </c>
      <c r="CO26" s="11">
        <f t="shared" si="17"/>
        <v>0</v>
      </c>
      <c r="CP26" s="11">
        <f t="shared" si="17"/>
        <v>0</v>
      </c>
      <c r="CQ26" s="11">
        <f t="shared" si="17"/>
        <v>0</v>
      </c>
      <c r="CR26" s="11">
        <f t="shared" si="17"/>
        <v>0</v>
      </c>
      <c r="CS26" s="11">
        <f t="shared" si="17"/>
        <v>0</v>
      </c>
      <c r="CT26" s="11">
        <f t="shared" si="17"/>
        <v>0</v>
      </c>
      <c r="CU26" s="11">
        <f t="shared" si="17"/>
        <v>0</v>
      </c>
      <c r="CV26" s="11">
        <f t="shared" si="17"/>
        <v>0</v>
      </c>
      <c r="CW26" s="11">
        <f t="shared" si="17"/>
        <v>0</v>
      </c>
      <c r="CX26" s="11">
        <f t="shared" si="17"/>
        <v>0</v>
      </c>
      <c r="CY26" s="11">
        <f t="shared" si="17"/>
        <v>0</v>
      </c>
      <c r="CZ26" s="11">
        <f t="shared" si="17"/>
        <v>0</v>
      </c>
      <c r="DA26" s="11">
        <f t="shared" si="17"/>
        <v>0</v>
      </c>
      <c r="DB26" s="11">
        <f t="shared" si="17"/>
        <v>0</v>
      </c>
      <c r="DC26" s="11">
        <f t="shared" si="17"/>
        <v>0</v>
      </c>
      <c r="DD26" s="11">
        <f t="shared" si="17"/>
        <v>0</v>
      </c>
      <c r="DE26" s="11">
        <f t="shared" si="17"/>
        <v>0</v>
      </c>
      <c r="DF26" s="11">
        <f t="shared" si="17"/>
        <v>0</v>
      </c>
      <c r="DG26" s="12">
        <f t="shared" ref="DG26:EL26" si="18">DG93</f>
        <v>633654.30000000005</v>
      </c>
      <c r="DH26" s="12">
        <f t="shared" si="18"/>
        <v>621989.01</v>
      </c>
      <c r="DI26" s="12">
        <f t="shared" si="18"/>
        <v>59.67</v>
      </c>
      <c r="DJ26" s="12">
        <f t="shared" si="18"/>
        <v>26.95</v>
      </c>
      <c r="DK26" s="12">
        <f t="shared" si="18"/>
        <v>11605.62</v>
      </c>
      <c r="DL26" s="12">
        <f t="shared" si="18"/>
        <v>0</v>
      </c>
      <c r="DM26" s="12">
        <f t="shared" si="18"/>
        <v>16.849370999999998</v>
      </c>
      <c r="DN26" s="12">
        <f t="shared" si="18"/>
        <v>0</v>
      </c>
      <c r="DO26" s="12">
        <f t="shared" si="18"/>
        <v>0</v>
      </c>
      <c r="DP26" s="12">
        <f t="shared" si="18"/>
        <v>10469.31</v>
      </c>
      <c r="DQ26" s="12">
        <f t="shared" si="18"/>
        <v>5350.96</v>
      </c>
      <c r="DR26" s="12">
        <f t="shared" si="18"/>
        <v>0</v>
      </c>
      <c r="DS26" s="12">
        <f t="shared" si="18"/>
        <v>0</v>
      </c>
      <c r="DT26" s="12">
        <f t="shared" si="18"/>
        <v>633654.30000000005</v>
      </c>
      <c r="DU26" s="12">
        <f t="shared" si="18"/>
        <v>621989.01</v>
      </c>
      <c r="DV26" s="12">
        <f t="shared" si="18"/>
        <v>59.67</v>
      </c>
      <c r="DW26" s="12">
        <f t="shared" si="18"/>
        <v>26.95</v>
      </c>
      <c r="DX26" s="12">
        <f t="shared" si="18"/>
        <v>11605.62</v>
      </c>
      <c r="DY26" s="12">
        <f t="shared" si="18"/>
        <v>0</v>
      </c>
      <c r="DZ26" s="12">
        <f t="shared" si="18"/>
        <v>16.849370999999998</v>
      </c>
      <c r="EA26" s="12">
        <f t="shared" si="18"/>
        <v>0</v>
      </c>
      <c r="EB26" s="12">
        <f t="shared" si="18"/>
        <v>0</v>
      </c>
      <c r="EC26" s="12">
        <f t="shared" si="18"/>
        <v>10469.31</v>
      </c>
      <c r="ED26" s="12">
        <f t="shared" si="18"/>
        <v>5350.96</v>
      </c>
      <c r="EE26" s="12">
        <f t="shared" si="18"/>
        <v>0</v>
      </c>
      <c r="EF26" s="12">
        <f t="shared" si="18"/>
        <v>0</v>
      </c>
      <c r="EG26" s="12">
        <f t="shared" si="18"/>
        <v>0</v>
      </c>
      <c r="EH26" s="12">
        <f t="shared" si="18"/>
        <v>586534.39</v>
      </c>
      <c r="EI26" s="12">
        <f t="shared" si="18"/>
        <v>0</v>
      </c>
      <c r="EJ26" s="12">
        <f t="shared" si="18"/>
        <v>649474.56999999995</v>
      </c>
      <c r="EK26" s="12">
        <f t="shared" si="18"/>
        <v>0</v>
      </c>
      <c r="EL26" s="12">
        <f t="shared" si="18"/>
        <v>62940.18</v>
      </c>
      <c r="EM26" s="12">
        <f t="shared" ref="EM26:FR26" si="19">EM93</f>
        <v>0</v>
      </c>
      <c r="EN26" s="12">
        <f t="shared" si="19"/>
        <v>621989.01</v>
      </c>
      <c r="EO26" s="12">
        <f t="shared" si="19"/>
        <v>35454.620000000003</v>
      </c>
      <c r="EP26" s="12">
        <f t="shared" si="19"/>
        <v>0</v>
      </c>
      <c r="EQ26" s="12">
        <f t="shared" si="19"/>
        <v>35454.620000000003</v>
      </c>
      <c r="ER26" s="12">
        <f t="shared" si="19"/>
        <v>586534.39</v>
      </c>
      <c r="ES26" s="12">
        <f t="shared" si="19"/>
        <v>0</v>
      </c>
      <c r="ET26" s="12">
        <f t="shared" si="19"/>
        <v>0</v>
      </c>
      <c r="EU26" s="12">
        <f t="shared" si="19"/>
        <v>0</v>
      </c>
      <c r="EV26" s="12">
        <f t="shared" si="19"/>
        <v>0</v>
      </c>
      <c r="EW26" s="12">
        <f t="shared" si="19"/>
        <v>0</v>
      </c>
      <c r="EX26" s="12">
        <f t="shared" si="19"/>
        <v>0</v>
      </c>
      <c r="EY26" s="12">
        <f t="shared" si="19"/>
        <v>0</v>
      </c>
      <c r="EZ26" s="12">
        <f t="shared" si="19"/>
        <v>0</v>
      </c>
      <c r="FA26" s="12">
        <f t="shared" si="19"/>
        <v>0</v>
      </c>
      <c r="FB26" s="12">
        <f t="shared" si="19"/>
        <v>0</v>
      </c>
      <c r="FC26" s="12">
        <f t="shared" si="19"/>
        <v>0</v>
      </c>
      <c r="FD26" s="12">
        <f t="shared" si="19"/>
        <v>0</v>
      </c>
      <c r="FE26" s="12">
        <f t="shared" si="19"/>
        <v>0</v>
      </c>
      <c r="FF26" s="12">
        <f t="shared" si="19"/>
        <v>0</v>
      </c>
      <c r="FG26" s="12">
        <f t="shared" si="19"/>
        <v>0</v>
      </c>
      <c r="FH26" s="12">
        <f t="shared" si="19"/>
        <v>0</v>
      </c>
      <c r="FI26" s="12">
        <f t="shared" si="19"/>
        <v>0</v>
      </c>
      <c r="FJ26" s="12">
        <f t="shared" si="19"/>
        <v>0</v>
      </c>
      <c r="FK26" s="12">
        <f t="shared" si="19"/>
        <v>0</v>
      </c>
      <c r="FL26" s="12">
        <f t="shared" si="19"/>
        <v>0</v>
      </c>
      <c r="FM26" s="12">
        <f t="shared" si="19"/>
        <v>0</v>
      </c>
      <c r="FN26" s="12">
        <f t="shared" si="19"/>
        <v>0</v>
      </c>
      <c r="FO26" s="12">
        <f t="shared" si="19"/>
        <v>0</v>
      </c>
      <c r="FP26" s="12">
        <f t="shared" si="19"/>
        <v>0</v>
      </c>
      <c r="FQ26" s="12">
        <f t="shared" si="19"/>
        <v>586534.39</v>
      </c>
      <c r="FR26" s="12">
        <f t="shared" si="19"/>
        <v>0</v>
      </c>
      <c r="FS26" s="12">
        <f t="shared" ref="FS26:GX26" si="20">FS93</f>
        <v>649474.56999999995</v>
      </c>
      <c r="FT26" s="12">
        <f t="shared" si="20"/>
        <v>0</v>
      </c>
      <c r="FU26" s="12">
        <f t="shared" si="20"/>
        <v>62940.18</v>
      </c>
      <c r="FV26" s="12">
        <f t="shared" si="20"/>
        <v>0</v>
      </c>
      <c r="FW26" s="12">
        <f t="shared" si="20"/>
        <v>621989.01</v>
      </c>
      <c r="FX26" s="12">
        <f t="shared" si="20"/>
        <v>35454.619999999995</v>
      </c>
      <c r="FY26" s="12">
        <f t="shared" si="20"/>
        <v>0</v>
      </c>
      <c r="FZ26" s="12">
        <f t="shared" si="20"/>
        <v>35454.619999999995</v>
      </c>
      <c r="GA26" s="12">
        <f t="shared" si="20"/>
        <v>586534.39</v>
      </c>
      <c r="GB26" s="12">
        <f t="shared" si="20"/>
        <v>0</v>
      </c>
      <c r="GC26" s="12">
        <f t="shared" si="20"/>
        <v>0</v>
      </c>
      <c r="GD26" s="12">
        <f t="shared" si="20"/>
        <v>0</v>
      </c>
      <c r="GE26" s="12">
        <f t="shared" si="20"/>
        <v>0</v>
      </c>
      <c r="GF26" s="12">
        <f t="shared" si="20"/>
        <v>0</v>
      </c>
      <c r="GG26" s="12">
        <f t="shared" si="20"/>
        <v>0</v>
      </c>
      <c r="GH26" s="12">
        <f t="shared" si="20"/>
        <v>0</v>
      </c>
      <c r="GI26" s="12">
        <f t="shared" si="20"/>
        <v>0</v>
      </c>
      <c r="GJ26" s="12">
        <f t="shared" si="20"/>
        <v>0</v>
      </c>
      <c r="GK26" s="12">
        <f t="shared" si="20"/>
        <v>0</v>
      </c>
      <c r="GL26" s="12">
        <f t="shared" si="20"/>
        <v>0</v>
      </c>
      <c r="GM26" s="12">
        <f t="shared" si="20"/>
        <v>0</v>
      </c>
      <c r="GN26" s="12">
        <f t="shared" si="20"/>
        <v>0</v>
      </c>
      <c r="GO26" s="12">
        <f t="shared" si="20"/>
        <v>0</v>
      </c>
      <c r="GP26" s="12">
        <f t="shared" si="20"/>
        <v>0</v>
      </c>
      <c r="GQ26" s="12">
        <f t="shared" si="20"/>
        <v>0</v>
      </c>
      <c r="GR26" s="12">
        <f t="shared" si="20"/>
        <v>0</v>
      </c>
      <c r="GS26" s="12">
        <f t="shared" si="20"/>
        <v>0</v>
      </c>
      <c r="GT26" s="12">
        <f t="shared" si="20"/>
        <v>0</v>
      </c>
      <c r="GU26" s="12">
        <f t="shared" si="20"/>
        <v>0</v>
      </c>
      <c r="GV26" s="12">
        <f t="shared" si="20"/>
        <v>0</v>
      </c>
      <c r="GW26" s="12">
        <f t="shared" si="20"/>
        <v>0</v>
      </c>
      <c r="GX26" s="12">
        <f t="shared" si="20"/>
        <v>0</v>
      </c>
    </row>
    <row r="28" spans="1:255" x14ac:dyDescent="0.2">
      <c r="A28" s="2">
        <v>17</v>
      </c>
      <c r="B28" s="2">
        <v>1</v>
      </c>
      <c r="C28" s="2">
        <f>ROW(SmtRes!A7)</f>
        <v>7</v>
      </c>
      <c r="D28" s="2">
        <f>ROW(EtalonRes!A8)</f>
        <v>8</v>
      </c>
      <c r="E28" s="2" t="s">
        <v>19</v>
      </c>
      <c r="F28" s="2" t="s">
        <v>20</v>
      </c>
      <c r="G28" s="2" t="s">
        <v>21</v>
      </c>
      <c r="H28" s="2" t="s">
        <v>22</v>
      </c>
      <c r="I28" s="2">
        <v>1</v>
      </c>
      <c r="J28" s="2">
        <v>0</v>
      </c>
      <c r="K28" s="2">
        <v>1</v>
      </c>
      <c r="L28" s="2"/>
      <c r="M28" s="2"/>
      <c r="N28" s="2"/>
      <c r="O28" s="2">
        <f t="shared" ref="O28:O59" si="21">ROUND(CP28,2)</f>
        <v>97.56</v>
      </c>
      <c r="P28" s="2">
        <f t="shared" ref="P28:P33" si="22">ROUND((ROUND((AC28*AW28*I28),2)*BC28),2)</f>
        <v>70.17</v>
      </c>
      <c r="Q28" s="2">
        <f>(ROUND((ROUND((((ET28*1.1))*AV28*I28),2)*BB28),2)+ROUND((ROUND(((AE28-((EU28*1.1)))*AV28*I28),2)*BS28),2))</f>
        <v>2.74</v>
      </c>
      <c r="R28" s="2">
        <f>(ROUND((ROUND((((EU28*1.1))*AV28*I28),2)*BS28),2)+ROUND((ROUND(((AE28-((EU28*1.1)))*AV28*I28),2)*BS28),2))</f>
        <v>0.28999999999999998</v>
      </c>
      <c r="S28" s="2">
        <f t="shared" ref="S28:S59" si="23">ROUND((ROUND((AF28*AV28*I28),2)*BA28),2)</f>
        <v>24.65</v>
      </c>
      <c r="T28" s="2">
        <f t="shared" ref="T28:T59" si="24">ROUND(CU28*I28,2)</f>
        <v>0</v>
      </c>
      <c r="U28" s="2">
        <f t="shared" ref="U28:U59" si="25">CV28*I28</f>
        <v>2.3033999999999999</v>
      </c>
      <c r="V28" s="2">
        <f t="shared" ref="V28:V59" si="26">CW28*I28</f>
        <v>0</v>
      </c>
      <c r="W28" s="2">
        <f t="shared" ref="W28:W59" si="27">ROUND(CX28*I28,2)</f>
        <v>0</v>
      </c>
      <c r="X28" s="2">
        <f>(ROUND((((S28+ROUND((ROUND((((EU28*1.1))*AV28*I28),2)*BS28),2))*AT28)/100),2)+ROUND(((ROUND((ROUND(((AE28-((EU28*1.1)))*AV28*I28),2)*BS28),2)*AT28)/100),2))</f>
        <v>22.45</v>
      </c>
      <c r="Y28" s="2">
        <f>(ROUND((((S28+ROUND((ROUND((((EU28*1.1))*AV28*I28),2)*BS28),2))*AU28)/100),2)+ROUND(((ROUND((ROUND(((AE28-((EU28*1.1)))*AV28*I28),2)*BS28),2)*AU28)/100),2))</f>
        <v>11.47</v>
      </c>
      <c r="Z28" s="2"/>
      <c r="AA28" s="2">
        <v>60256405</v>
      </c>
      <c r="AB28" s="2">
        <f t="shared" ref="AB28:AB59" si="28">ROUND((AC28+AD28+AF28),6)</f>
        <v>96.328000000000003</v>
      </c>
      <c r="AC28" s="2">
        <f>ROUND(((ES28*1)),6)</f>
        <v>70.17</v>
      </c>
      <c r="AD28" s="2">
        <f>ROUND(((((ET28*1.1))-((EU28*1.1)))+AE28),6)</f>
        <v>2.6179999999999999</v>
      </c>
      <c r="AE28" s="2">
        <f>ROUND(((EU28*1.1)),6)</f>
        <v>0.27500000000000002</v>
      </c>
      <c r="AF28" s="2">
        <f>ROUND(((EV28*1.1)),6)</f>
        <v>23.54</v>
      </c>
      <c r="AG28" s="2">
        <f t="shared" ref="AG28:AG59" si="29">ROUND((AP28),6)</f>
        <v>0</v>
      </c>
      <c r="AH28" s="2">
        <f>((EW28*1.1))</f>
        <v>2.2000000000000002</v>
      </c>
      <c r="AI28" s="2">
        <f>((EX28*1.1))</f>
        <v>0</v>
      </c>
      <c r="AJ28" s="2">
        <f t="shared" ref="AJ28:AJ59" si="30">(AS28)</f>
        <v>0</v>
      </c>
      <c r="AK28" s="2">
        <v>93.95</v>
      </c>
      <c r="AL28" s="2">
        <v>70.17</v>
      </c>
      <c r="AM28" s="2">
        <v>2.38</v>
      </c>
      <c r="AN28" s="2">
        <v>0.25</v>
      </c>
      <c r="AO28" s="2">
        <v>21.4</v>
      </c>
      <c r="AP28" s="2">
        <v>0</v>
      </c>
      <c r="AQ28" s="2">
        <v>2</v>
      </c>
      <c r="AR28" s="2">
        <v>0</v>
      </c>
      <c r="AS28" s="2">
        <v>0</v>
      </c>
      <c r="AT28" s="2">
        <v>90</v>
      </c>
      <c r="AU28" s="2">
        <v>46</v>
      </c>
      <c r="AV28" s="2">
        <v>1.0469999999999999</v>
      </c>
      <c r="AW28" s="2">
        <v>1</v>
      </c>
      <c r="AX28" s="2"/>
      <c r="AY28" s="2"/>
      <c r="AZ28" s="2">
        <v>1</v>
      </c>
      <c r="BA28" s="2">
        <v>1</v>
      </c>
      <c r="BB28" s="2">
        <v>1</v>
      </c>
      <c r="BC28" s="2">
        <v>1</v>
      </c>
      <c r="BD28" s="2" t="s">
        <v>3</v>
      </c>
      <c r="BE28" s="2" t="s">
        <v>3</v>
      </c>
      <c r="BF28" s="2" t="s">
        <v>3</v>
      </c>
      <c r="BG28" s="2" t="s">
        <v>3</v>
      </c>
      <c r="BH28" s="2">
        <v>0</v>
      </c>
      <c r="BI28" s="2">
        <v>2</v>
      </c>
      <c r="BJ28" s="2" t="s">
        <v>23</v>
      </c>
      <c r="BK28" s="2"/>
      <c r="BL28" s="2"/>
      <c r="BM28" s="2">
        <v>68</v>
      </c>
      <c r="BN28" s="2">
        <v>58973116</v>
      </c>
      <c r="BO28" s="2" t="s">
        <v>20</v>
      </c>
      <c r="BP28" s="2">
        <v>1</v>
      </c>
      <c r="BQ28" s="2">
        <v>40</v>
      </c>
      <c r="BR28" s="2">
        <v>0</v>
      </c>
      <c r="BS28" s="2">
        <v>1</v>
      </c>
      <c r="BT28" s="2">
        <v>1</v>
      </c>
      <c r="BU28" s="2">
        <v>1</v>
      </c>
      <c r="BV28" s="2">
        <v>1</v>
      </c>
      <c r="BW28" s="2">
        <v>1</v>
      </c>
      <c r="BX28" s="2">
        <v>1</v>
      </c>
      <c r="BY28" s="2" t="s">
        <v>3</v>
      </c>
      <c r="BZ28" s="2">
        <v>90</v>
      </c>
      <c r="CA28" s="2">
        <v>46</v>
      </c>
      <c r="CB28" s="2" t="s">
        <v>3</v>
      </c>
      <c r="CC28" s="2"/>
      <c r="CD28" s="2"/>
      <c r="CE28" s="2">
        <v>1566</v>
      </c>
      <c r="CF28" s="2">
        <v>0</v>
      </c>
      <c r="CG28" s="2">
        <v>0</v>
      </c>
      <c r="CH28" s="2"/>
      <c r="CI28" s="2"/>
      <c r="CJ28" s="2"/>
      <c r="CK28" s="2"/>
      <c r="CL28" s="2"/>
      <c r="CM28" s="2">
        <v>0</v>
      </c>
      <c r="CN28" s="2" t="s">
        <v>369</v>
      </c>
      <c r="CO28" s="2">
        <v>0</v>
      </c>
      <c r="CP28" s="2">
        <f t="shared" ref="CP28:CP59" si="31">(P28+Q28+S28)</f>
        <v>97.56</v>
      </c>
      <c r="CQ28" s="2">
        <f t="shared" ref="CQ28:CQ33" si="32">ROUND((ROUND((AC28*AW28*1),2)*BC28),2)</f>
        <v>70.17</v>
      </c>
      <c r="CR28" s="2">
        <f>(ROUND((ROUND((((ET28*1.1))*AV28*1),2)*BB28),2)+ROUND((ROUND(((AE28-((EU28*1.1)))*AV28*1),2)*BS28),2))</f>
        <v>2.74</v>
      </c>
      <c r="CS28" s="2">
        <f>(ROUND((ROUND((((EU28*1.1))*AV28*1),2)*BS28),2)+ROUND((ROUND(((AE28-((EU28*1.1)))*AV28*1),2)*BS28),2))</f>
        <v>0.28999999999999998</v>
      </c>
      <c r="CT28" s="2">
        <f t="shared" ref="CT28:CT59" si="33">ROUND((ROUND((AF28*AV28*1),2)*BA28),2)</f>
        <v>24.65</v>
      </c>
      <c r="CU28" s="2">
        <f t="shared" ref="CU28:CU59" si="34">AG28</f>
        <v>0</v>
      </c>
      <c r="CV28" s="2">
        <f t="shared" ref="CV28:CV59" si="35">(AH28*AV28)</f>
        <v>2.3033999999999999</v>
      </c>
      <c r="CW28" s="2">
        <f t="shared" ref="CW28:CW59" si="36">AI28</f>
        <v>0</v>
      </c>
      <c r="CX28" s="2">
        <f t="shared" ref="CX28:CX59" si="37">AJ28</f>
        <v>0</v>
      </c>
      <c r="CY28" s="2">
        <f>(ROUND((((S28+ROUND((ROUND((((EU28*1.1))*AV28*1),2)*BS28),2))*AT28)/100),2)+ROUND(((ROUND((ROUND(((AE28-((EU28*1.1)))*AV28*1),2)*BS28),2)*AT28)/100),2))</f>
        <v>22.45</v>
      </c>
      <c r="CZ28" s="2">
        <f>(ROUND((((S28+ROUND((ROUND((((EU28*1.1))*AV28*1),2)*BS28),2))*AU28)/100),2)+ROUND(((ROUND((ROUND(((AE28-((EU28*1.1)))*AV28*1),2)*BS28),2)*AU28)/100),2))</f>
        <v>11.47</v>
      </c>
      <c r="DA28" s="2"/>
      <c r="DB28" s="2">
        <v>1</v>
      </c>
      <c r="DC28" s="2" t="s">
        <v>3</v>
      </c>
      <c r="DD28" s="2" t="s">
        <v>24</v>
      </c>
      <c r="DE28" s="2" t="s">
        <v>25</v>
      </c>
      <c r="DF28" s="2" t="s">
        <v>25</v>
      </c>
      <c r="DG28" s="2" t="s">
        <v>25</v>
      </c>
      <c r="DH28" s="2" t="s">
        <v>3</v>
      </c>
      <c r="DI28" s="2" t="s">
        <v>25</v>
      </c>
      <c r="DJ28" s="2" t="s">
        <v>25</v>
      </c>
      <c r="DK28" s="2" t="s">
        <v>3</v>
      </c>
      <c r="DL28" s="2" t="s">
        <v>3</v>
      </c>
      <c r="DM28" s="2" t="s">
        <v>3</v>
      </c>
      <c r="DN28" s="2">
        <v>0</v>
      </c>
      <c r="DO28" s="2">
        <v>0</v>
      </c>
      <c r="DP28" s="2">
        <v>1</v>
      </c>
      <c r="DQ28" s="2">
        <v>1</v>
      </c>
      <c r="DR28" s="2"/>
      <c r="DS28" s="2"/>
      <c r="DT28" s="2"/>
      <c r="DU28" s="2">
        <v>1013</v>
      </c>
      <c r="DV28" s="2" t="s">
        <v>22</v>
      </c>
      <c r="DW28" s="2" t="s">
        <v>22</v>
      </c>
      <c r="DX28" s="2">
        <v>1</v>
      </c>
      <c r="DY28" s="2"/>
      <c r="DZ28" s="2" t="s">
        <v>3</v>
      </c>
      <c r="EA28" s="2" t="s">
        <v>3</v>
      </c>
      <c r="EB28" s="2" t="s">
        <v>3</v>
      </c>
      <c r="EC28" s="2" t="s">
        <v>3</v>
      </c>
      <c r="ED28" s="2"/>
      <c r="EE28" s="2">
        <v>60088532</v>
      </c>
      <c r="EF28" s="2">
        <v>40</v>
      </c>
      <c r="EG28" s="2" t="s">
        <v>26</v>
      </c>
      <c r="EH28" s="2">
        <v>0</v>
      </c>
      <c r="EI28" s="2" t="s">
        <v>3</v>
      </c>
      <c r="EJ28" s="2">
        <v>2</v>
      </c>
      <c r="EK28" s="2">
        <v>68</v>
      </c>
      <c r="EL28" s="2" t="s">
        <v>27</v>
      </c>
      <c r="EM28" s="2" t="s">
        <v>28</v>
      </c>
      <c r="EN28" s="2"/>
      <c r="EO28" s="2" t="s">
        <v>29</v>
      </c>
      <c r="EP28" s="2"/>
      <c r="EQ28" s="2">
        <v>0</v>
      </c>
      <c r="ER28" s="2">
        <v>93.95</v>
      </c>
      <c r="ES28" s="2">
        <v>70.17</v>
      </c>
      <c r="ET28" s="2">
        <v>2.38</v>
      </c>
      <c r="EU28" s="2">
        <v>0.25</v>
      </c>
      <c r="EV28" s="2">
        <v>21.4</v>
      </c>
      <c r="EW28" s="2">
        <v>2</v>
      </c>
      <c r="EX28" s="2">
        <v>0</v>
      </c>
      <c r="EY28" s="2">
        <v>0</v>
      </c>
      <c r="EZ28" s="2"/>
      <c r="FA28" s="2"/>
      <c r="FB28" s="2"/>
      <c r="FC28" s="2"/>
      <c r="FD28" s="2"/>
      <c r="FE28" s="2"/>
      <c r="FF28" s="2"/>
      <c r="FG28" s="2"/>
      <c r="FH28" s="2"/>
      <c r="FI28" s="2"/>
      <c r="FJ28" s="2"/>
      <c r="FK28" s="2"/>
      <c r="FL28" s="2"/>
      <c r="FM28" s="2"/>
      <c r="FN28" s="2"/>
      <c r="FO28" s="2"/>
      <c r="FP28" s="2"/>
      <c r="FQ28" s="2">
        <v>0</v>
      </c>
      <c r="FR28" s="2">
        <v>0</v>
      </c>
      <c r="FS28" s="2">
        <v>0</v>
      </c>
      <c r="FT28" s="2"/>
      <c r="FU28" s="2"/>
      <c r="FV28" s="2"/>
      <c r="FW28" s="2"/>
      <c r="FX28" s="2">
        <v>90</v>
      </c>
      <c r="FY28" s="2">
        <v>46</v>
      </c>
      <c r="FZ28" s="2"/>
      <c r="GA28" s="2" t="s">
        <v>3</v>
      </c>
      <c r="GB28" s="2"/>
      <c r="GC28" s="2"/>
      <c r="GD28" s="2">
        <v>1</v>
      </c>
      <c r="GE28" s="2"/>
      <c r="GF28" s="2">
        <v>-1502969864</v>
      </c>
      <c r="GG28" s="2">
        <v>2</v>
      </c>
      <c r="GH28" s="2">
        <v>1</v>
      </c>
      <c r="GI28" s="2">
        <v>2</v>
      </c>
      <c r="GJ28" s="2">
        <v>0</v>
      </c>
      <c r="GK28" s="2">
        <v>0</v>
      </c>
      <c r="GL28" s="2">
        <f t="shared" ref="GL28:GL59" si="38">ROUND(IF(AND(BH28=3,BI28=3,FS28&lt;&gt;0),P28,0),2)</f>
        <v>0</v>
      </c>
      <c r="GM28" s="2">
        <f t="shared" ref="GM28:GM59" si="39">ROUND(O28+X28+Y28,2)+GX28</f>
        <v>131.47999999999999</v>
      </c>
      <c r="GN28" s="2">
        <f t="shared" ref="GN28:GN59" si="40">IF(OR(BI28=0,BI28=1),GM28-GX28,0)</f>
        <v>0</v>
      </c>
      <c r="GO28" s="2">
        <f t="shared" ref="GO28:GO59" si="41">IF(BI28=2,GM28-GX28,0)</f>
        <v>131.47999999999999</v>
      </c>
      <c r="GP28" s="2">
        <f t="shared" ref="GP28:GP59" si="42">IF(BI28=4,GM28-GX28,0)</f>
        <v>0</v>
      </c>
      <c r="GQ28" s="2"/>
      <c r="GR28" s="2">
        <v>0</v>
      </c>
      <c r="GS28" s="2">
        <v>3</v>
      </c>
      <c r="GT28" s="2">
        <v>0</v>
      </c>
      <c r="GU28" s="2" t="s">
        <v>3</v>
      </c>
      <c r="GV28" s="2">
        <f t="shared" ref="GV28:GV59" si="43">ROUND((GT28),6)</f>
        <v>0</v>
      </c>
      <c r="GW28" s="2">
        <v>1</v>
      </c>
      <c r="GX28" s="2">
        <f t="shared" ref="GX28:GX59" si="44">ROUND(HC28*I28,2)</f>
        <v>0</v>
      </c>
      <c r="GY28" s="2"/>
      <c r="GZ28" s="2"/>
      <c r="HA28" s="2">
        <v>0</v>
      </c>
      <c r="HB28" s="2">
        <v>0</v>
      </c>
      <c r="HC28" s="2">
        <f t="shared" ref="HC28:HC59" si="45">GV28*GW28</f>
        <v>0</v>
      </c>
      <c r="HD28" s="2"/>
      <c r="HE28" s="2" t="s">
        <v>3</v>
      </c>
      <c r="HF28" s="2" t="s">
        <v>3</v>
      </c>
      <c r="HG28" s="2"/>
      <c r="HH28" s="2"/>
      <c r="HI28" s="2"/>
      <c r="HJ28" s="2"/>
      <c r="HK28" s="2"/>
      <c r="HL28" s="2"/>
      <c r="HM28" s="2" t="s">
        <v>3</v>
      </c>
      <c r="HN28" s="2" t="s">
        <v>3</v>
      </c>
      <c r="HO28" s="2" t="s">
        <v>3</v>
      </c>
      <c r="HP28" s="2" t="s">
        <v>3</v>
      </c>
      <c r="HQ28" s="2" t="s">
        <v>3</v>
      </c>
      <c r="HR28" s="2"/>
      <c r="HS28" s="2">
        <v>0</v>
      </c>
      <c r="HT28" s="2"/>
      <c r="HU28" s="2"/>
      <c r="HV28" s="2"/>
      <c r="HW28" s="2"/>
      <c r="HX28" s="2"/>
      <c r="HY28" s="2"/>
      <c r="HZ28" s="2"/>
      <c r="IA28" s="2"/>
      <c r="IB28" s="2"/>
      <c r="IC28" s="2"/>
      <c r="ID28" s="2"/>
      <c r="IE28" s="2"/>
      <c r="IF28" s="2"/>
      <c r="IG28" s="2"/>
      <c r="IH28" s="2"/>
      <c r="II28" s="2"/>
      <c r="IJ28" s="2"/>
      <c r="IK28" s="2">
        <v>0</v>
      </c>
      <c r="IL28" s="2"/>
      <c r="IM28" s="2"/>
      <c r="IN28" s="2"/>
      <c r="IO28" s="2"/>
      <c r="IP28" s="2"/>
      <c r="IQ28" s="2"/>
      <c r="IR28" s="2"/>
      <c r="IS28" s="2"/>
      <c r="IT28" s="2"/>
      <c r="IU28" s="2"/>
    </row>
    <row r="29" spans="1:255" x14ac:dyDescent="0.2">
      <c r="A29" s="3">
        <v>17</v>
      </c>
      <c r="B29" s="3">
        <v>1</v>
      </c>
      <c r="C29" s="3">
        <f>ROW(SmtRes!A14)</f>
        <v>14</v>
      </c>
      <c r="D29" s="3">
        <f>ROW(EtalonRes!A16)</f>
        <v>16</v>
      </c>
      <c r="E29" s="3" t="s">
        <v>19</v>
      </c>
      <c r="F29" s="3" t="s">
        <v>20</v>
      </c>
      <c r="G29" s="3" t="s">
        <v>21</v>
      </c>
      <c r="H29" s="3" t="s">
        <v>22</v>
      </c>
      <c r="I29" s="3">
        <v>1</v>
      </c>
      <c r="J29" s="3">
        <v>0</v>
      </c>
      <c r="K29" s="3">
        <v>1</v>
      </c>
      <c r="O29" s="3">
        <f t="shared" si="21"/>
        <v>1524.35</v>
      </c>
      <c r="P29" s="3">
        <f t="shared" si="22"/>
        <v>130.52000000000001</v>
      </c>
      <c r="Q29" s="3">
        <f>(ROUND((ROUND((((ET29*1.1))*AV29*I29),2)*BB29),2)+ROUND((ROUND(((AE29-((EU29*1.1)))*AV29*I29),2)*BS29),2))</f>
        <v>38.33</v>
      </c>
      <c r="R29" s="3">
        <f>(ROUND((ROUND((((EU29*1.1))*AV29*I29),2)*BS29),2)+ROUND((ROUND(((AE29-((EU29*1.1)))*AV29*I29),2)*BS29),2))</f>
        <v>15.95</v>
      </c>
      <c r="S29" s="3">
        <f t="shared" si="23"/>
        <v>1355.5</v>
      </c>
      <c r="T29" s="3">
        <f t="shared" si="24"/>
        <v>0</v>
      </c>
      <c r="U29" s="3">
        <f t="shared" si="25"/>
        <v>2.3033999999999999</v>
      </c>
      <c r="V29" s="3">
        <f t="shared" si="26"/>
        <v>0</v>
      </c>
      <c r="W29" s="3">
        <f t="shared" si="27"/>
        <v>0</v>
      </c>
      <c r="X29" s="3">
        <f>(ROUND((((S29+ROUND((ROUND((((EU29*1.1))*AV29*I29),2)*BS29),2))*AT29)/100),2)+ROUND(((ROUND((ROUND(((AE29-((EU29*1.1)))*AV29*I29),2)*BS29),2)*AT29)/100),2))</f>
        <v>1234.31</v>
      </c>
      <c r="Y29" s="3">
        <f>(ROUND((((S29+ROUND((ROUND((((EU29*1.1))*AV29*I29),2)*BS29),2))*AU29)/100),2)+ROUND(((ROUND((ROUND(((AE29-((EU29*1.1)))*AV29*I29),2)*BS29),2)*AU29)/100),2))</f>
        <v>630.87</v>
      </c>
      <c r="AA29" s="3">
        <v>60256402</v>
      </c>
      <c r="AB29" s="3">
        <f t="shared" si="28"/>
        <v>96.328000000000003</v>
      </c>
      <c r="AC29" s="3">
        <f>ROUND(((ES29*1)),6)</f>
        <v>70.17</v>
      </c>
      <c r="AD29" s="3">
        <f>ROUND(((((ET29*1.1))-((EU29*1.1)))+AE29),6)</f>
        <v>2.6179999999999999</v>
      </c>
      <c r="AE29" s="3">
        <f>ROUND(((EU29*1.1)),6)</f>
        <v>0.27500000000000002</v>
      </c>
      <c r="AF29" s="3">
        <f>ROUND(((EV29*1.1)),6)</f>
        <v>23.54</v>
      </c>
      <c r="AG29" s="3">
        <f t="shared" si="29"/>
        <v>0</v>
      </c>
      <c r="AH29" s="3">
        <f>((EW29*1.1))</f>
        <v>2.2000000000000002</v>
      </c>
      <c r="AI29" s="3">
        <f>((EX29*1.1))</f>
        <v>0</v>
      </c>
      <c r="AJ29" s="3">
        <f t="shared" si="30"/>
        <v>0</v>
      </c>
      <c r="AK29" s="3">
        <v>93.95</v>
      </c>
      <c r="AL29" s="3">
        <v>70.17</v>
      </c>
      <c r="AM29" s="3">
        <v>2.38</v>
      </c>
      <c r="AN29" s="3">
        <v>0.25</v>
      </c>
      <c r="AO29" s="3">
        <v>21.4</v>
      </c>
      <c r="AP29" s="3">
        <v>0</v>
      </c>
      <c r="AQ29" s="3">
        <v>2</v>
      </c>
      <c r="AR29" s="3">
        <v>0</v>
      </c>
      <c r="AS29" s="3">
        <v>0</v>
      </c>
      <c r="AT29" s="3">
        <v>90</v>
      </c>
      <c r="AU29" s="3">
        <v>46</v>
      </c>
      <c r="AV29" s="3">
        <v>1.0469999999999999</v>
      </c>
      <c r="AW29" s="3">
        <v>1</v>
      </c>
      <c r="AZ29" s="3">
        <v>1</v>
      </c>
      <c r="BA29" s="3">
        <v>54.99</v>
      </c>
      <c r="BB29" s="3">
        <v>13.99</v>
      </c>
      <c r="BC29" s="3">
        <v>1.86</v>
      </c>
      <c r="BD29" s="3" t="s">
        <v>3</v>
      </c>
      <c r="BE29" s="3" t="s">
        <v>3</v>
      </c>
      <c r="BF29" s="3" t="s">
        <v>3</v>
      </c>
      <c r="BG29" s="3" t="s">
        <v>3</v>
      </c>
      <c r="BH29" s="3">
        <v>0</v>
      </c>
      <c r="BI29" s="3">
        <v>2</v>
      </c>
      <c r="BJ29" s="3" t="s">
        <v>23</v>
      </c>
      <c r="BM29" s="3">
        <v>68</v>
      </c>
      <c r="BN29" s="3">
        <v>58973116</v>
      </c>
      <c r="BO29" s="3" t="s">
        <v>20</v>
      </c>
      <c r="BP29" s="3">
        <v>1</v>
      </c>
      <c r="BQ29" s="3">
        <v>40</v>
      </c>
      <c r="BR29" s="3">
        <v>0</v>
      </c>
      <c r="BS29" s="3">
        <v>54.99</v>
      </c>
      <c r="BT29" s="3">
        <v>1</v>
      </c>
      <c r="BU29" s="3">
        <v>1</v>
      </c>
      <c r="BV29" s="3">
        <v>1</v>
      </c>
      <c r="BW29" s="3">
        <v>1</v>
      </c>
      <c r="BX29" s="3">
        <v>1</v>
      </c>
      <c r="BY29" s="3" t="s">
        <v>3</v>
      </c>
      <c r="BZ29" s="3">
        <v>90</v>
      </c>
      <c r="CA29" s="3">
        <v>46</v>
      </c>
      <c r="CB29" s="3" t="s">
        <v>3</v>
      </c>
      <c r="CE29" s="3">
        <v>1566</v>
      </c>
      <c r="CF29" s="3">
        <v>0</v>
      </c>
      <c r="CG29" s="3">
        <v>0</v>
      </c>
      <c r="CM29" s="3">
        <v>0</v>
      </c>
      <c r="CN29" s="3" t="s">
        <v>369</v>
      </c>
      <c r="CO29" s="3">
        <v>0</v>
      </c>
      <c r="CP29" s="3">
        <f t="shared" si="31"/>
        <v>1524.35</v>
      </c>
      <c r="CQ29" s="3">
        <f t="shared" si="32"/>
        <v>130.52000000000001</v>
      </c>
      <c r="CR29" s="3">
        <f>(ROUND((ROUND((((ET29*1.1))*AV29*1),2)*BB29),2)+ROUND((ROUND(((AE29-((EU29*1.1)))*AV29*1),2)*BS29),2))</f>
        <v>38.33</v>
      </c>
      <c r="CS29" s="3">
        <f>(ROUND((ROUND((((EU29*1.1))*AV29*1),2)*BS29),2)+ROUND((ROUND(((AE29-((EU29*1.1)))*AV29*1),2)*BS29),2))</f>
        <v>15.95</v>
      </c>
      <c r="CT29" s="3">
        <f t="shared" si="33"/>
        <v>1355.5</v>
      </c>
      <c r="CU29" s="3">
        <f t="shared" si="34"/>
        <v>0</v>
      </c>
      <c r="CV29" s="3">
        <f t="shared" si="35"/>
        <v>2.3033999999999999</v>
      </c>
      <c r="CW29" s="3">
        <f t="shared" si="36"/>
        <v>0</v>
      </c>
      <c r="CX29" s="3">
        <f t="shared" si="37"/>
        <v>0</v>
      </c>
      <c r="CY29" s="3">
        <f>(ROUND((((S29+ROUND((ROUND((((EU29*1.1))*AV29*1),2)*BS29),2))*AT29)/100),2)+ROUND(((ROUND((ROUND(((AE29-((EU29*1.1)))*AV29*1),2)*BS29),2)*AT29)/100),2))</f>
        <v>1234.31</v>
      </c>
      <c r="CZ29" s="3">
        <f>(ROUND((((S29+ROUND((ROUND((((EU29*1.1))*AV29*1),2)*BS29),2))*AU29)/100),2)+ROUND(((ROUND((ROUND(((AE29-((EU29*1.1)))*AV29*1),2)*BS29),2)*AU29)/100),2))</f>
        <v>630.87</v>
      </c>
      <c r="DB29" s="3">
        <v>2</v>
      </c>
      <c r="DC29" s="3" t="s">
        <v>3</v>
      </c>
      <c r="DD29" s="3" t="s">
        <v>24</v>
      </c>
      <c r="DE29" s="3" t="s">
        <v>25</v>
      </c>
      <c r="DF29" s="3" t="s">
        <v>25</v>
      </c>
      <c r="DG29" s="3" t="s">
        <v>25</v>
      </c>
      <c r="DH29" s="3" t="s">
        <v>3</v>
      </c>
      <c r="DI29" s="3" t="s">
        <v>25</v>
      </c>
      <c r="DJ29" s="3" t="s">
        <v>25</v>
      </c>
      <c r="DK29" s="3" t="s">
        <v>3</v>
      </c>
      <c r="DL29" s="3" t="s">
        <v>3</v>
      </c>
      <c r="DM29" s="3" t="s">
        <v>3</v>
      </c>
      <c r="DN29" s="3">
        <v>0</v>
      </c>
      <c r="DO29" s="3">
        <v>0</v>
      </c>
      <c r="DP29" s="3">
        <v>1</v>
      </c>
      <c r="DQ29" s="3">
        <v>1</v>
      </c>
      <c r="DU29" s="3">
        <v>1013</v>
      </c>
      <c r="DV29" s="3" t="s">
        <v>22</v>
      </c>
      <c r="DW29" s="3" t="s">
        <v>22</v>
      </c>
      <c r="DX29" s="3">
        <v>1</v>
      </c>
      <c r="DZ29" s="3" t="s">
        <v>3</v>
      </c>
      <c r="EA29" s="3" t="s">
        <v>3</v>
      </c>
      <c r="EB29" s="3" t="s">
        <v>3</v>
      </c>
      <c r="EC29" s="3" t="s">
        <v>3</v>
      </c>
      <c r="EE29" s="3">
        <v>60088532</v>
      </c>
      <c r="EF29" s="3">
        <v>40</v>
      </c>
      <c r="EG29" s="3" t="s">
        <v>26</v>
      </c>
      <c r="EH29" s="3">
        <v>0</v>
      </c>
      <c r="EI29" s="3" t="s">
        <v>3</v>
      </c>
      <c r="EJ29" s="3">
        <v>2</v>
      </c>
      <c r="EK29" s="3">
        <v>68</v>
      </c>
      <c r="EL29" s="3" t="s">
        <v>27</v>
      </c>
      <c r="EM29" s="3" t="s">
        <v>28</v>
      </c>
      <c r="EO29" s="3" t="s">
        <v>29</v>
      </c>
      <c r="EQ29" s="3">
        <v>0</v>
      </c>
      <c r="ER29" s="3">
        <v>93.95</v>
      </c>
      <c r="ES29" s="3">
        <v>70.17</v>
      </c>
      <c r="ET29" s="3">
        <v>2.38</v>
      </c>
      <c r="EU29" s="3">
        <v>0.25</v>
      </c>
      <c r="EV29" s="3">
        <v>21.4</v>
      </c>
      <c r="EW29" s="3">
        <v>2</v>
      </c>
      <c r="EX29" s="3">
        <v>0</v>
      </c>
      <c r="EY29" s="3">
        <v>0</v>
      </c>
      <c r="FQ29" s="3">
        <v>0</v>
      </c>
      <c r="FR29" s="3">
        <v>0</v>
      </c>
      <c r="FS29" s="3">
        <v>0</v>
      </c>
      <c r="FX29" s="3">
        <v>90</v>
      </c>
      <c r="FY29" s="3">
        <v>46</v>
      </c>
      <c r="GA29" s="3" t="s">
        <v>3</v>
      </c>
      <c r="GD29" s="3">
        <v>1</v>
      </c>
      <c r="GF29" s="3">
        <v>-1502969864</v>
      </c>
      <c r="GG29" s="3">
        <v>2</v>
      </c>
      <c r="GH29" s="3">
        <v>1</v>
      </c>
      <c r="GI29" s="3">
        <v>2</v>
      </c>
      <c r="GJ29" s="3">
        <v>0</v>
      </c>
      <c r="GK29" s="3">
        <v>0</v>
      </c>
      <c r="GL29" s="3">
        <f t="shared" si="38"/>
        <v>0</v>
      </c>
      <c r="GM29" s="3">
        <f t="shared" si="39"/>
        <v>3389.53</v>
      </c>
      <c r="GN29" s="3">
        <f t="shared" si="40"/>
        <v>0</v>
      </c>
      <c r="GO29" s="3">
        <f t="shared" si="41"/>
        <v>3389.53</v>
      </c>
      <c r="GP29" s="3">
        <f t="shared" si="42"/>
        <v>0</v>
      </c>
      <c r="GR29" s="3">
        <v>0</v>
      </c>
      <c r="GS29" s="3">
        <v>3</v>
      </c>
      <c r="GT29" s="3">
        <v>0</v>
      </c>
      <c r="GU29" s="3" t="s">
        <v>3</v>
      </c>
      <c r="GV29" s="3">
        <f t="shared" si="43"/>
        <v>0</v>
      </c>
      <c r="GW29" s="3">
        <v>1</v>
      </c>
      <c r="GX29" s="3">
        <f t="shared" si="44"/>
        <v>0</v>
      </c>
      <c r="HA29" s="3">
        <v>0</v>
      </c>
      <c r="HB29" s="3">
        <v>0</v>
      </c>
      <c r="HC29" s="3">
        <f t="shared" si="45"/>
        <v>0</v>
      </c>
      <c r="HE29" s="3" t="s">
        <v>3</v>
      </c>
      <c r="HF29" s="3" t="s">
        <v>3</v>
      </c>
      <c r="HM29" s="3" t="s">
        <v>3</v>
      </c>
      <c r="HN29" s="3" t="s">
        <v>3</v>
      </c>
      <c r="HO29" s="3" t="s">
        <v>3</v>
      </c>
      <c r="HP29" s="3" t="s">
        <v>3</v>
      </c>
      <c r="HQ29" s="3" t="s">
        <v>3</v>
      </c>
      <c r="HS29" s="3">
        <v>0</v>
      </c>
      <c r="IK29" s="3">
        <v>0</v>
      </c>
    </row>
    <row r="30" spans="1:255" x14ac:dyDescent="0.2">
      <c r="A30" s="2">
        <v>17</v>
      </c>
      <c r="B30" s="2">
        <v>1</v>
      </c>
      <c r="C30" s="2"/>
      <c r="D30" s="2"/>
      <c r="E30" s="2" t="s">
        <v>30</v>
      </c>
      <c r="F30" s="2" t="s">
        <v>31</v>
      </c>
      <c r="G30" s="2" t="s">
        <v>32</v>
      </c>
      <c r="H30" s="2" t="s">
        <v>33</v>
      </c>
      <c r="I30" s="2">
        <v>1</v>
      </c>
      <c r="J30" s="2">
        <v>0</v>
      </c>
      <c r="K30" s="2">
        <v>1</v>
      </c>
      <c r="L30" s="2"/>
      <c r="M30" s="2"/>
      <c r="N30" s="2"/>
      <c r="O30" s="2">
        <f t="shared" si="21"/>
        <v>1952.77</v>
      </c>
      <c r="P30" s="2">
        <f t="shared" si="22"/>
        <v>1952.77</v>
      </c>
      <c r="Q30" s="2">
        <f>(ROUND((ROUND(((ET30)*AV30*I30),2)*BB30),2)+ROUND((ROUND(((AE30-(EU30))*AV30*I30),2)*BS30),2))</f>
        <v>0</v>
      </c>
      <c r="R30" s="2">
        <f>(ROUND((ROUND(((EU30)*AV30*I30),2)*BS30),2)+ROUND((ROUND(((AE30-(EU30))*AV30*I30),2)*BS30),2))</f>
        <v>0</v>
      </c>
      <c r="S30" s="2">
        <f t="shared" si="23"/>
        <v>0</v>
      </c>
      <c r="T30" s="2">
        <f t="shared" si="24"/>
        <v>0</v>
      </c>
      <c r="U30" s="2">
        <f t="shared" si="25"/>
        <v>0</v>
      </c>
      <c r="V30" s="2">
        <f t="shared" si="26"/>
        <v>0</v>
      </c>
      <c r="W30" s="2">
        <f t="shared" si="27"/>
        <v>0</v>
      </c>
      <c r="X30" s="2">
        <f>(ROUND((((S30+ROUND((ROUND(((EU30)*AV30*I30),2)*BS30),2))*AT30)/100),2)+ROUND(((ROUND((ROUND(((AE30-(EU30))*AV30*I30),2)*BS30),2)*AT30)/100),2))</f>
        <v>0</v>
      </c>
      <c r="Y30" s="2">
        <f>(ROUND((((S30+ROUND((ROUND(((EU30)*AV30*I30),2)*BS30),2))*AU30)/100),2)+ROUND(((ROUND((ROUND(((AE30-(EU30))*AV30*I30),2)*BS30),2)*AU30)/100),2))</f>
        <v>0</v>
      </c>
      <c r="Z30" s="2"/>
      <c r="AA30" s="2">
        <v>60256405</v>
      </c>
      <c r="AB30" s="2">
        <f t="shared" si="28"/>
        <v>1952.77</v>
      </c>
      <c r="AC30" s="2">
        <f>ROUND((ES30),6)</f>
        <v>1952.77</v>
      </c>
      <c r="AD30" s="2">
        <f>ROUND((((ET30)-(EU30))+AE30),6)</f>
        <v>0</v>
      </c>
      <c r="AE30" s="2">
        <f>ROUND((EU30),6)</f>
        <v>0</v>
      </c>
      <c r="AF30" s="2">
        <f>ROUND((EV30),6)</f>
        <v>0</v>
      </c>
      <c r="AG30" s="2">
        <f t="shared" si="29"/>
        <v>0</v>
      </c>
      <c r="AH30" s="2">
        <f>(EW30)</f>
        <v>0</v>
      </c>
      <c r="AI30" s="2">
        <f>(EX30)</f>
        <v>0</v>
      </c>
      <c r="AJ30" s="2">
        <f t="shared" si="30"/>
        <v>0</v>
      </c>
      <c r="AK30" s="2">
        <v>1952.77</v>
      </c>
      <c r="AL30" s="2">
        <v>1952.77</v>
      </c>
      <c r="AM30" s="2">
        <v>0</v>
      </c>
      <c r="AN30" s="2">
        <v>0</v>
      </c>
      <c r="AO30" s="2">
        <v>0</v>
      </c>
      <c r="AP30" s="2">
        <v>0</v>
      </c>
      <c r="AQ30" s="2">
        <v>0</v>
      </c>
      <c r="AR30" s="2">
        <v>0</v>
      </c>
      <c r="AS30" s="2">
        <v>0</v>
      </c>
      <c r="AT30" s="2">
        <v>90</v>
      </c>
      <c r="AU30" s="2">
        <v>46</v>
      </c>
      <c r="AV30" s="2">
        <v>1</v>
      </c>
      <c r="AW30" s="2">
        <v>1</v>
      </c>
      <c r="AX30" s="2"/>
      <c r="AY30" s="2"/>
      <c r="AZ30" s="2">
        <v>1</v>
      </c>
      <c r="BA30" s="2">
        <v>1</v>
      </c>
      <c r="BB30" s="2">
        <v>1</v>
      </c>
      <c r="BC30" s="2">
        <v>1</v>
      </c>
      <c r="BD30" s="2" t="s">
        <v>3</v>
      </c>
      <c r="BE30" s="2" t="s">
        <v>3</v>
      </c>
      <c r="BF30" s="2" t="s">
        <v>3</v>
      </c>
      <c r="BG30" s="2" t="s">
        <v>3</v>
      </c>
      <c r="BH30" s="2">
        <v>3</v>
      </c>
      <c r="BI30" s="2">
        <v>2</v>
      </c>
      <c r="BJ30" s="2" t="s">
        <v>3</v>
      </c>
      <c r="BK30" s="2"/>
      <c r="BL30" s="2"/>
      <c r="BM30" s="2">
        <v>68</v>
      </c>
      <c r="BN30" s="2">
        <v>0</v>
      </c>
      <c r="BO30" s="2" t="s">
        <v>3</v>
      </c>
      <c r="BP30" s="2">
        <v>0</v>
      </c>
      <c r="BQ30" s="2">
        <v>40</v>
      </c>
      <c r="BR30" s="2">
        <v>0</v>
      </c>
      <c r="BS30" s="2">
        <v>1</v>
      </c>
      <c r="BT30" s="2">
        <v>1</v>
      </c>
      <c r="BU30" s="2">
        <v>1</v>
      </c>
      <c r="BV30" s="2">
        <v>1</v>
      </c>
      <c r="BW30" s="2">
        <v>1</v>
      </c>
      <c r="BX30" s="2">
        <v>1</v>
      </c>
      <c r="BY30" s="2" t="s">
        <v>3</v>
      </c>
      <c r="BZ30" s="2">
        <v>90</v>
      </c>
      <c r="CA30" s="2">
        <v>46</v>
      </c>
      <c r="CB30" s="2" t="s">
        <v>3</v>
      </c>
      <c r="CC30" s="2"/>
      <c r="CD30" s="2"/>
      <c r="CE30" s="2">
        <v>1566</v>
      </c>
      <c r="CF30" s="2">
        <v>0</v>
      </c>
      <c r="CG30" s="2">
        <v>0</v>
      </c>
      <c r="CH30" s="2"/>
      <c r="CI30" s="2"/>
      <c r="CJ30" s="2"/>
      <c r="CK30" s="2"/>
      <c r="CL30" s="2"/>
      <c r="CM30" s="2">
        <v>0</v>
      </c>
      <c r="CN30" s="2" t="s">
        <v>3</v>
      </c>
      <c r="CO30" s="2">
        <v>0</v>
      </c>
      <c r="CP30" s="2">
        <f t="shared" si="31"/>
        <v>1952.77</v>
      </c>
      <c r="CQ30" s="2">
        <f t="shared" si="32"/>
        <v>1952.77</v>
      </c>
      <c r="CR30" s="2">
        <f>(ROUND((ROUND(((ET30)*AV30*1),2)*BB30),2)+ROUND((ROUND(((AE30-(EU30))*AV30*1),2)*BS30),2))</f>
        <v>0</v>
      </c>
      <c r="CS30" s="2">
        <f>(ROUND((ROUND(((EU30)*AV30*1),2)*BS30),2)+ROUND((ROUND(((AE30-(EU30))*AV30*1),2)*BS30),2))</f>
        <v>0</v>
      </c>
      <c r="CT30" s="2">
        <f t="shared" si="33"/>
        <v>0</v>
      </c>
      <c r="CU30" s="2">
        <f t="shared" si="34"/>
        <v>0</v>
      </c>
      <c r="CV30" s="2">
        <f t="shared" si="35"/>
        <v>0</v>
      </c>
      <c r="CW30" s="2">
        <f t="shared" si="36"/>
        <v>0</v>
      </c>
      <c r="CX30" s="2">
        <f t="shared" si="37"/>
        <v>0</v>
      </c>
      <c r="CY30" s="2">
        <f>(ROUND((((S30+ROUND((ROUND(((EU30)*AV30*1),2)*BS30),2))*AT30)/100),2)+ROUND(((ROUND((ROUND(((AE30-(EU30))*AV30*1),2)*BS30),2)*AT30)/100),2))</f>
        <v>0</v>
      </c>
      <c r="CZ30" s="2">
        <f>(ROUND((((S30+ROUND((ROUND(((EU30)*AV30*1),2)*BS30),2))*AU30)/100),2)+ROUND(((ROUND((ROUND(((AE30-(EU30))*AV30*1),2)*BS30),2)*AU30)/100),2))</f>
        <v>0</v>
      </c>
      <c r="DA30" s="2"/>
      <c r="DB30" s="2"/>
      <c r="DC30" s="2" t="s">
        <v>3</v>
      </c>
      <c r="DD30" s="2" t="s">
        <v>3</v>
      </c>
      <c r="DE30" s="2" t="s">
        <v>3</v>
      </c>
      <c r="DF30" s="2" t="s">
        <v>3</v>
      </c>
      <c r="DG30" s="2" t="s">
        <v>3</v>
      </c>
      <c r="DH30" s="2" t="s">
        <v>3</v>
      </c>
      <c r="DI30" s="2" t="s">
        <v>3</v>
      </c>
      <c r="DJ30" s="2" t="s">
        <v>3</v>
      </c>
      <c r="DK30" s="2" t="s">
        <v>3</v>
      </c>
      <c r="DL30" s="2" t="s">
        <v>3</v>
      </c>
      <c r="DM30" s="2" t="s">
        <v>3</v>
      </c>
      <c r="DN30" s="2">
        <v>0</v>
      </c>
      <c r="DO30" s="2">
        <v>0</v>
      </c>
      <c r="DP30" s="2">
        <v>1</v>
      </c>
      <c r="DQ30" s="2">
        <v>1</v>
      </c>
      <c r="DR30" s="2"/>
      <c r="DS30" s="2"/>
      <c r="DT30" s="2"/>
      <c r="DU30" s="2">
        <v>1010</v>
      </c>
      <c r="DV30" s="2" t="s">
        <v>33</v>
      </c>
      <c r="DW30" s="2" t="s">
        <v>33</v>
      </c>
      <c r="DX30" s="2">
        <v>1</v>
      </c>
      <c r="DY30" s="2"/>
      <c r="DZ30" s="2" t="s">
        <v>3</v>
      </c>
      <c r="EA30" s="2" t="s">
        <v>3</v>
      </c>
      <c r="EB30" s="2" t="s">
        <v>3</v>
      </c>
      <c r="EC30" s="2" t="s">
        <v>3</v>
      </c>
      <c r="ED30" s="2"/>
      <c r="EE30" s="2">
        <v>60088532</v>
      </c>
      <c r="EF30" s="2">
        <v>40</v>
      </c>
      <c r="EG30" s="2" t="s">
        <v>26</v>
      </c>
      <c r="EH30" s="2">
        <v>0</v>
      </c>
      <c r="EI30" s="2" t="s">
        <v>3</v>
      </c>
      <c r="EJ30" s="2">
        <v>2</v>
      </c>
      <c r="EK30" s="2">
        <v>68</v>
      </c>
      <c r="EL30" s="2" t="s">
        <v>27</v>
      </c>
      <c r="EM30" s="2" t="s">
        <v>28</v>
      </c>
      <c r="EN30" s="2"/>
      <c r="EO30" s="2" t="s">
        <v>3</v>
      </c>
      <c r="EP30" s="2"/>
      <c r="EQ30" s="2">
        <v>0</v>
      </c>
      <c r="ER30" s="2">
        <v>0</v>
      </c>
      <c r="ES30" s="2">
        <v>1952.77</v>
      </c>
      <c r="ET30" s="2">
        <v>0</v>
      </c>
      <c r="EU30" s="2">
        <v>0</v>
      </c>
      <c r="EV30" s="2">
        <v>0</v>
      </c>
      <c r="EW30" s="2">
        <v>0</v>
      </c>
      <c r="EX30" s="2">
        <v>0</v>
      </c>
      <c r="EY30" s="2">
        <v>0</v>
      </c>
      <c r="EZ30" s="2"/>
      <c r="FA30" s="2"/>
      <c r="FB30" s="2"/>
      <c r="FC30" s="2"/>
      <c r="FD30" s="2"/>
      <c r="FE30" s="2"/>
      <c r="FF30" s="2"/>
      <c r="FG30" s="2"/>
      <c r="FH30" s="2"/>
      <c r="FI30" s="2"/>
      <c r="FJ30" s="2"/>
      <c r="FK30" s="2"/>
      <c r="FL30" s="2"/>
      <c r="FM30" s="2"/>
      <c r="FN30" s="2"/>
      <c r="FO30" s="2"/>
      <c r="FP30" s="2"/>
      <c r="FQ30" s="2">
        <v>0</v>
      </c>
      <c r="FR30" s="2">
        <v>0</v>
      </c>
      <c r="FS30" s="2">
        <v>0</v>
      </c>
      <c r="FT30" s="2"/>
      <c r="FU30" s="2"/>
      <c r="FV30" s="2"/>
      <c r="FW30" s="2"/>
      <c r="FX30" s="2">
        <v>90</v>
      </c>
      <c r="FY30" s="2">
        <v>46</v>
      </c>
      <c r="FZ30" s="2"/>
      <c r="GA30" s="2" t="s">
        <v>34</v>
      </c>
      <c r="GB30" s="2"/>
      <c r="GC30" s="2"/>
      <c r="GD30" s="2">
        <v>1</v>
      </c>
      <c r="GE30" s="2"/>
      <c r="GF30" s="2">
        <v>461997237</v>
      </c>
      <c r="GG30" s="2">
        <v>2</v>
      </c>
      <c r="GH30" s="2">
        <v>4</v>
      </c>
      <c r="GI30" s="2">
        <v>-2</v>
      </c>
      <c r="GJ30" s="2">
        <v>0</v>
      </c>
      <c r="GK30" s="2">
        <v>0</v>
      </c>
      <c r="GL30" s="2">
        <f t="shared" si="38"/>
        <v>0</v>
      </c>
      <c r="GM30" s="2">
        <f t="shared" si="39"/>
        <v>1952.77</v>
      </c>
      <c r="GN30" s="2">
        <f t="shared" si="40"/>
        <v>0</v>
      </c>
      <c r="GO30" s="2">
        <f t="shared" si="41"/>
        <v>1952.77</v>
      </c>
      <c r="GP30" s="2">
        <f t="shared" si="42"/>
        <v>0</v>
      </c>
      <c r="GQ30" s="2"/>
      <c r="GR30" s="2">
        <v>0</v>
      </c>
      <c r="GS30" s="2">
        <v>2</v>
      </c>
      <c r="GT30" s="2">
        <v>0</v>
      </c>
      <c r="GU30" s="2" t="s">
        <v>3</v>
      </c>
      <c r="GV30" s="2">
        <f t="shared" si="43"/>
        <v>0</v>
      </c>
      <c r="GW30" s="2">
        <v>1</v>
      </c>
      <c r="GX30" s="2">
        <f t="shared" si="44"/>
        <v>0</v>
      </c>
      <c r="GY30" s="2"/>
      <c r="GZ30" s="2"/>
      <c r="HA30" s="2">
        <v>0</v>
      </c>
      <c r="HB30" s="2">
        <v>0</v>
      </c>
      <c r="HC30" s="2">
        <f t="shared" si="45"/>
        <v>0</v>
      </c>
      <c r="HD30" s="2"/>
      <c r="HE30" s="2" t="s">
        <v>35</v>
      </c>
      <c r="HF30" s="2" t="s">
        <v>30</v>
      </c>
      <c r="HG30" s="2"/>
      <c r="HH30" s="2"/>
      <c r="HI30" s="2"/>
      <c r="HJ30" s="2"/>
      <c r="HK30" s="2"/>
      <c r="HL30" s="2"/>
      <c r="HM30" s="2" t="s">
        <v>3</v>
      </c>
      <c r="HN30" s="2" t="s">
        <v>3</v>
      </c>
      <c r="HO30" s="2" t="s">
        <v>3</v>
      </c>
      <c r="HP30" s="2" t="s">
        <v>3</v>
      </c>
      <c r="HQ30" s="2" t="s">
        <v>3</v>
      </c>
      <c r="HR30" s="2"/>
      <c r="HS30" s="2">
        <v>0</v>
      </c>
      <c r="HT30" s="2"/>
      <c r="HU30" s="2"/>
      <c r="HV30" s="2"/>
      <c r="HW30" s="2"/>
      <c r="HX30" s="2"/>
      <c r="HY30" s="2"/>
      <c r="HZ30" s="2"/>
      <c r="IA30" s="2"/>
      <c r="IB30" s="2"/>
      <c r="IC30" s="2"/>
      <c r="ID30" s="2"/>
      <c r="IE30" s="2"/>
      <c r="IF30" s="2"/>
      <c r="IG30" s="2"/>
      <c r="IH30" s="2"/>
      <c r="II30" s="2"/>
      <c r="IJ30" s="2"/>
      <c r="IK30" s="2">
        <v>0</v>
      </c>
      <c r="IL30" s="2"/>
      <c r="IM30" s="2"/>
      <c r="IN30" s="2"/>
      <c r="IO30" s="2"/>
      <c r="IP30" s="2"/>
      <c r="IQ30" s="2"/>
      <c r="IR30" s="2"/>
      <c r="IS30" s="2"/>
      <c r="IT30" s="2"/>
      <c r="IU30" s="2"/>
    </row>
    <row r="31" spans="1:255" x14ac:dyDescent="0.2">
      <c r="A31" s="3">
        <v>17</v>
      </c>
      <c r="B31" s="3">
        <v>1</v>
      </c>
      <c r="E31" s="3" t="s">
        <v>30</v>
      </c>
      <c r="F31" s="3" t="s">
        <v>31</v>
      </c>
      <c r="G31" s="3" t="s">
        <v>32</v>
      </c>
      <c r="H31" s="3" t="s">
        <v>33</v>
      </c>
      <c r="I31" s="3">
        <v>1</v>
      </c>
      <c r="J31" s="3">
        <v>0</v>
      </c>
      <c r="K31" s="3">
        <v>1</v>
      </c>
      <c r="O31" s="3">
        <f t="shared" si="21"/>
        <v>19293.37</v>
      </c>
      <c r="P31" s="3">
        <f t="shared" si="22"/>
        <v>19293.37</v>
      </c>
      <c r="Q31" s="3">
        <f>(ROUND((ROUND(((ET31)*AV31*I31),2)*BB31),2)+ROUND((ROUND(((AE31-(EU31))*AV31*I31),2)*BS31),2))</f>
        <v>0</v>
      </c>
      <c r="R31" s="3">
        <f>(ROUND((ROUND(((EU31)*AV31*I31),2)*BS31),2)+ROUND((ROUND(((AE31-(EU31))*AV31*I31),2)*BS31),2))</f>
        <v>0</v>
      </c>
      <c r="S31" s="3">
        <f t="shared" si="23"/>
        <v>0</v>
      </c>
      <c r="T31" s="3">
        <f t="shared" si="24"/>
        <v>0</v>
      </c>
      <c r="U31" s="3">
        <f t="shared" si="25"/>
        <v>0</v>
      </c>
      <c r="V31" s="3">
        <f t="shared" si="26"/>
        <v>0</v>
      </c>
      <c r="W31" s="3">
        <f t="shared" si="27"/>
        <v>0</v>
      </c>
      <c r="X31" s="3">
        <f>(ROUND((((S31+ROUND((ROUND(((EU31)*AV31*I31),2)*BS31),2))*AT31)/100),2)+ROUND(((ROUND((ROUND(((AE31-(EU31))*AV31*I31),2)*BS31),2)*AT31)/100),2))</f>
        <v>0</v>
      </c>
      <c r="Y31" s="3">
        <f>(ROUND((((S31+ROUND((ROUND(((EU31)*AV31*I31),2)*BS31),2))*AU31)/100),2)+ROUND(((ROUND((ROUND(((AE31-(EU31))*AV31*I31),2)*BS31),2)*AU31)/100),2))</f>
        <v>0</v>
      </c>
      <c r="AA31" s="3">
        <v>60256402</v>
      </c>
      <c r="AB31" s="3">
        <f t="shared" si="28"/>
        <v>1952.77</v>
      </c>
      <c r="AC31" s="3">
        <f>ROUND((ES31),6)</f>
        <v>1952.77</v>
      </c>
      <c r="AD31" s="3">
        <f>ROUND((((ET31)-(EU31))+AE31),6)</f>
        <v>0</v>
      </c>
      <c r="AE31" s="3">
        <f>ROUND((EU31),6)</f>
        <v>0</v>
      </c>
      <c r="AF31" s="3">
        <f>ROUND((EV31),6)</f>
        <v>0</v>
      </c>
      <c r="AG31" s="3">
        <f t="shared" si="29"/>
        <v>0</v>
      </c>
      <c r="AH31" s="3">
        <f>(EW31)</f>
        <v>0</v>
      </c>
      <c r="AI31" s="3">
        <f>(EX31)</f>
        <v>0</v>
      </c>
      <c r="AJ31" s="3">
        <f t="shared" si="30"/>
        <v>0</v>
      </c>
      <c r="AK31" s="3">
        <v>1952.77</v>
      </c>
      <c r="AL31" s="3">
        <v>1952.77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90</v>
      </c>
      <c r="AU31" s="3">
        <v>46</v>
      </c>
      <c r="AV31" s="3">
        <v>1</v>
      </c>
      <c r="AW31" s="3">
        <v>1</v>
      </c>
      <c r="AZ31" s="3">
        <v>1</v>
      </c>
      <c r="BA31" s="3">
        <v>1</v>
      </c>
      <c r="BB31" s="3">
        <v>1</v>
      </c>
      <c r="BC31" s="3">
        <v>9.8800000000000008</v>
      </c>
      <c r="BD31" s="3" t="s">
        <v>3</v>
      </c>
      <c r="BE31" s="3" t="s">
        <v>3</v>
      </c>
      <c r="BF31" s="3" t="s">
        <v>3</v>
      </c>
      <c r="BG31" s="3" t="s">
        <v>3</v>
      </c>
      <c r="BH31" s="3">
        <v>3</v>
      </c>
      <c r="BI31" s="3">
        <v>2</v>
      </c>
      <c r="BJ31" s="3" t="s">
        <v>3</v>
      </c>
      <c r="BM31" s="3">
        <v>68</v>
      </c>
      <c r="BN31" s="3">
        <v>0</v>
      </c>
      <c r="BO31" s="3" t="s">
        <v>3</v>
      </c>
      <c r="BP31" s="3">
        <v>0</v>
      </c>
      <c r="BQ31" s="3">
        <v>40</v>
      </c>
      <c r="BR31" s="3">
        <v>0</v>
      </c>
      <c r="BS31" s="3">
        <v>1</v>
      </c>
      <c r="BT31" s="3">
        <v>1</v>
      </c>
      <c r="BU31" s="3">
        <v>1</v>
      </c>
      <c r="BV31" s="3">
        <v>1</v>
      </c>
      <c r="BW31" s="3">
        <v>1</v>
      </c>
      <c r="BX31" s="3">
        <v>1</v>
      </c>
      <c r="BY31" s="3" t="s">
        <v>3</v>
      </c>
      <c r="BZ31" s="3">
        <v>90</v>
      </c>
      <c r="CA31" s="3">
        <v>46</v>
      </c>
      <c r="CB31" s="3" t="s">
        <v>3</v>
      </c>
      <c r="CE31" s="3">
        <v>1566</v>
      </c>
      <c r="CF31" s="3">
        <v>0</v>
      </c>
      <c r="CG31" s="3">
        <v>0</v>
      </c>
      <c r="CM31" s="3">
        <v>0</v>
      </c>
      <c r="CN31" s="3" t="s">
        <v>3</v>
      </c>
      <c r="CO31" s="3">
        <v>0</v>
      </c>
      <c r="CP31" s="3">
        <f t="shared" si="31"/>
        <v>19293.37</v>
      </c>
      <c r="CQ31" s="3">
        <f t="shared" si="32"/>
        <v>19293.37</v>
      </c>
      <c r="CR31" s="3">
        <f>(ROUND((ROUND(((ET31)*AV31*1),2)*BB31),2)+ROUND((ROUND(((AE31-(EU31))*AV31*1),2)*BS31),2))</f>
        <v>0</v>
      </c>
      <c r="CS31" s="3">
        <f>(ROUND((ROUND(((EU31)*AV31*1),2)*BS31),2)+ROUND((ROUND(((AE31-(EU31))*AV31*1),2)*BS31),2))</f>
        <v>0</v>
      </c>
      <c r="CT31" s="3">
        <f t="shared" si="33"/>
        <v>0</v>
      </c>
      <c r="CU31" s="3">
        <f t="shared" si="34"/>
        <v>0</v>
      </c>
      <c r="CV31" s="3">
        <f t="shared" si="35"/>
        <v>0</v>
      </c>
      <c r="CW31" s="3">
        <f t="shared" si="36"/>
        <v>0</v>
      </c>
      <c r="CX31" s="3">
        <f t="shared" si="37"/>
        <v>0</v>
      </c>
      <c r="CY31" s="3">
        <f>(ROUND((((S31+ROUND((ROUND(((EU31)*AV31*1),2)*BS31),2))*AT31)/100),2)+ROUND(((ROUND((ROUND(((AE31-(EU31))*AV31*1),2)*BS31),2)*AT31)/100),2))</f>
        <v>0</v>
      </c>
      <c r="CZ31" s="3">
        <f>(ROUND((((S31+ROUND((ROUND(((EU31)*AV31*1),2)*BS31),2))*AU31)/100),2)+ROUND(((ROUND((ROUND(((AE31-(EU31))*AV31*1),2)*BS31),2)*AU31)/100),2))</f>
        <v>0</v>
      </c>
      <c r="DC31" s="3" t="s">
        <v>3</v>
      </c>
      <c r="DD31" s="3" t="s">
        <v>3</v>
      </c>
      <c r="DE31" s="3" t="s">
        <v>3</v>
      </c>
      <c r="DF31" s="3" t="s">
        <v>3</v>
      </c>
      <c r="DG31" s="3" t="s">
        <v>3</v>
      </c>
      <c r="DH31" s="3" t="s">
        <v>3</v>
      </c>
      <c r="DI31" s="3" t="s">
        <v>3</v>
      </c>
      <c r="DJ31" s="3" t="s">
        <v>3</v>
      </c>
      <c r="DK31" s="3" t="s">
        <v>3</v>
      </c>
      <c r="DL31" s="3" t="s">
        <v>3</v>
      </c>
      <c r="DM31" s="3" t="s">
        <v>3</v>
      </c>
      <c r="DN31" s="3">
        <v>0</v>
      </c>
      <c r="DO31" s="3">
        <v>0</v>
      </c>
      <c r="DP31" s="3">
        <v>1</v>
      </c>
      <c r="DQ31" s="3">
        <v>1</v>
      </c>
      <c r="DU31" s="3">
        <v>1010</v>
      </c>
      <c r="DV31" s="3" t="s">
        <v>33</v>
      </c>
      <c r="DW31" s="3" t="s">
        <v>33</v>
      </c>
      <c r="DX31" s="3">
        <v>1</v>
      </c>
      <c r="DZ31" s="3" t="s">
        <v>3</v>
      </c>
      <c r="EA31" s="3" t="s">
        <v>3</v>
      </c>
      <c r="EB31" s="3" t="s">
        <v>3</v>
      </c>
      <c r="EC31" s="3" t="s">
        <v>3</v>
      </c>
      <c r="EE31" s="3">
        <v>60088532</v>
      </c>
      <c r="EF31" s="3">
        <v>40</v>
      </c>
      <c r="EG31" s="3" t="s">
        <v>26</v>
      </c>
      <c r="EH31" s="3">
        <v>0</v>
      </c>
      <c r="EI31" s="3" t="s">
        <v>3</v>
      </c>
      <c r="EJ31" s="3">
        <v>2</v>
      </c>
      <c r="EK31" s="3">
        <v>68</v>
      </c>
      <c r="EL31" s="3" t="s">
        <v>27</v>
      </c>
      <c r="EM31" s="3" t="s">
        <v>28</v>
      </c>
      <c r="EO31" s="3" t="s">
        <v>3</v>
      </c>
      <c r="EQ31" s="3">
        <v>0</v>
      </c>
      <c r="ER31" s="3">
        <v>1952.77</v>
      </c>
      <c r="ES31" s="3">
        <v>1952.77</v>
      </c>
      <c r="ET31" s="3">
        <v>0</v>
      </c>
      <c r="EU31" s="3">
        <v>0</v>
      </c>
      <c r="EV31" s="3">
        <v>0</v>
      </c>
      <c r="EW31" s="3">
        <v>0</v>
      </c>
      <c r="EX31" s="3">
        <v>0</v>
      </c>
      <c r="EY31" s="3">
        <v>0</v>
      </c>
      <c r="EZ31" s="3">
        <v>5</v>
      </c>
      <c r="FC31" s="3">
        <v>1</v>
      </c>
      <c r="FD31" s="3">
        <v>18</v>
      </c>
      <c r="FF31" s="3">
        <v>22698.04</v>
      </c>
      <c r="FQ31" s="3">
        <v>0</v>
      </c>
      <c r="FR31" s="3">
        <v>0</v>
      </c>
      <c r="FS31" s="3">
        <v>0</v>
      </c>
      <c r="FX31" s="3">
        <v>90</v>
      </c>
      <c r="FY31" s="3">
        <v>46</v>
      </c>
      <c r="GA31" s="3" t="s">
        <v>34</v>
      </c>
      <c r="GD31" s="3">
        <v>1</v>
      </c>
      <c r="GF31" s="3">
        <v>461997237</v>
      </c>
      <c r="GG31" s="3">
        <v>2</v>
      </c>
      <c r="GH31" s="3">
        <v>3</v>
      </c>
      <c r="GI31" s="3">
        <v>5</v>
      </c>
      <c r="GJ31" s="3">
        <v>0</v>
      </c>
      <c r="GK31" s="3">
        <v>0</v>
      </c>
      <c r="GL31" s="3">
        <f t="shared" si="38"/>
        <v>0</v>
      </c>
      <c r="GM31" s="3">
        <f t="shared" si="39"/>
        <v>19293.37</v>
      </c>
      <c r="GN31" s="3">
        <f t="shared" si="40"/>
        <v>0</v>
      </c>
      <c r="GO31" s="3">
        <f t="shared" si="41"/>
        <v>19293.37</v>
      </c>
      <c r="GP31" s="3">
        <f t="shared" si="42"/>
        <v>0</v>
      </c>
      <c r="GR31" s="3">
        <v>1</v>
      </c>
      <c r="GS31" s="3">
        <v>1</v>
      </c>
      <c r="GT31" s="3">
        <v>0</v>
      </c>
      <c r="GU31" s="3" t="s">
        <v>3</v>
      </c>
      <c r="GV31" s="3">
        <f t="shared" si="43"/>
        <v>0</v>
      </c>
      <c r="GW31" s="3">
        <v>1</v>
      </c>
      <c r="GX31" s="3">
        <f t="shared" si="44"/>
        <v>0</v>
      </c>
      <c r="HA31" s="3">
        <v>0</v>
      </c>
      <c r="HB31" s="3">
        <v>0</v>
      </c>
      <c r="HC31" s="3">
        <f t="shared" si="45"/>
        <v>0</v>
      </c>
      <c r="HE31" s="3" t="s">
        <v>35</v>
      </c>
      <c r="HF31" s="3" t="s">
        <v>30</v>
      </c>
      <c r="HM31" s="3" t="s">
        <v>3</v>
      </c>
      <c r="HN31" s="3" t="s">
        <v>3</v>
      </c>
      <c r="HO31" s="3" t="s">
        <v>3</v>
      </c>
      <c r="HP31" s="3" t="s">
        <v>3</v>
      </c>
      <c r="HQ31" s="3" t="s">
        <v>3</v>
      </c>
      <c r="HS31" s="3">
        <v>0</v>
      </c>
      <c r="IK31" s="3">
        <v>0</v>
      </c>
    </row>
    <row r="32" spans="1:255" x14ac:dyDescent="0.2">
      <c r="A32" s="2">
        <v>17</v>
      </c>
      <c r="B32" s="2">
        <v>1</v>
      </c>
      <c r="C32" s="2">
        <f>ROW(SmtRes!A18)</f>
        <v>18</v>
      </c>
      <c r="D32" s="2">
        <f>ROW(EtalonRes!A21)</f>
        <v>21</v>
      </c>
      <c r="E32" s="2" t="s">
        <v>36</v>
      </c>
      <c r="F32" s="2" t="s">
        <v>37</v>
      </c>
      <c r="G32" s="2" t="s">
        <v>38</v>
      </c>
      <c r="H32" s="2" t="s">
        <v>22</v>
      </c>
      <c r="I32" s="2">
        <v>1</v>
      </c>
      <c r="J32" s="2">
        <v>0</v>
      </c>
      <c r="K32" s="2">
        <v>1</v>
      </c>
      <c r="L32" s="2"/>
      <c r="M32" s="2"/>
      <c r="N32" s="2"/>
      <c r="O32" s="2">
        <f t="shared" si="21"/>
        <v>40.89</v>
      </c>
      <c r="P32" s="2">
        <f t="shared" si="22"/>
        <v>2.34</v>
      </c>
      <c r="Q32" s="2">
        <f>(ROUND((ROUND((((ET32*1.1))*AV32*I32),2)*BB32),2)+ROUND((ROUND(((AE32-((EU32*1.1)))*AV32*I32),2)*BS32),2))</f>
        <v>0</v>
      </c>
      <c r="R32" s="2">
        <f>(ROUND((ROUND((((EU32*1.1))*AV32*I32),2)*BS32),2)+ROUND((ROUND(((AE32-((EU32*1.1)))*AV32*I32),2)*BS32),2))</f>
        <v>0</v>
      </c>
      <c r="S32" s="2">
        <f t="shared" si="23"/>
        <v>38.549999999999997</v>
      </c>
      <c r="T32" s="2">
        <f t="shared" si="24"/>
        <v>0</v>
      </c>
      <c r="U32" s="2">
        <f t="shared" si="25"/>
        <v>3.0520049999999999</v>
      </c>
      <c r="V32" s="2">
        <f t="shared" si="26"/>
        <v>0</v>
      </c>
      <c r="W32" s="2">
        <f t="shared" si="27"/>
        <v>0</v>
      </c>
      <c r="X32" s="2">
        <f>(ROUND((((S32+ROUND((ROUND((((EU32*1.1))*AV32*I32),2)*BS32),2))*AT32)/100),2)+ROUND(((ROUND((ROUND(((AE32-((EU32*1.1)))*AV32*I32),2)*BS32),2)*AT32)/100),2))</f>
        <v>34.700000000000003</v>
      </c>
      <c r="Y32" s="2">
        <f>(ROUND((((S32+ROUND((ROUND((((EU32*1.1))*AV32*I32),2)*BS32),2))*AU32)/100),2)+ROUND(((ROUND((ROUND(((AE32-((EU32*1.1)))*AV32*I32),2)*BS32),2)*AU32)/100),2))</f>
        <v>17.73</v>
      </c>
      <c r="Z32" s="2"/>
      <c r="AA32" s="2">
        <v>60256405</v>
      </c>
      <c r="AB32" s="2">
        <f t="shared" si="28"/>
        <v>39.156999999999996</v>
      </c>
      <c r="AC32" s="2">
        <f>ROUND(((ES32*1)),6)</f>
        <v>2.34</v>
      </c>
      <c r="AD32" s="2">
        <f>ROUND(((((ET32*1.1))-((EU32*1.1)))+AE32),6)</f>
        <v>0</v>
      </c>
      <c r="AE32" s="2">
        <f>ROUND(((EU32*1.1)),6)</f>
        <v>0</v>
      </c>
      <c r="AF32" s="2">
        <f>ROUND(((EV32*1.1)),6)</f>
        <v>36.817</v>
      </c>
      <c r="AG32" s="2">
        <f t="shared" si="29"/>
        <v>0</v>
      </c>
      <c r="AH32" s="2">
        <f>((EW32*1.1))</f>
        <v>2.915</v>
      </c>
      <c r="AI32" s="2">
        <f>((EX32*1.1))</f>
        <v>0</v>
      </c>
      <c r="AJ32" s="2">
        <f t="shared" si="30"/>
        <v>0</v>
      </c>
      <c r="AK32" s="2">
        <v>35.81</v>
      </c>
      <c r="AL32" s="2">
        <v>2.34</v>
      </c>
      <c r="AM32" s="2">
        <v>0</v>
      </c>
      <c r="AN32" s="2">
        <v>0</v>
      </c>
      <c r="AO32" s="2">
        <v>33.47</v>
      </c>
      <c r="AP32" s="2">
        <v>0</v>
      </c>
      <c r="AQ32" s="2">
        <v>2.65</v>
      </c>
      <c r="AR32" s="2">
        <v>0</v>
      </c>
      <c r="AS32" s="2">
        <v>0</v>
      </c>
      <c r="AT32" s="2">
        <v>90</v>
      </c>
      <c r="AU32" s="2">
        <v>46</v>
      </c>
      <c r="AV32" s="2">
        <v>1.0469999999999999</v>
      </c>
      <c r="AW32" s="2">
        <v>1</v>
      </c>
      <c r="AX32" s="2"/>
      <c r="AY32" s="2"/>
      <c r="AZ32" s="2">
        <v>1</v>
      </c>
      <c r="BA32" s="2">
        <v>1</v>
      </c>
      <c r="BB32" s="2">
        <v>1</v>
      </c>
      <c r="BC32" s="2">
        <v>1</v>
      </c>
      <c r="BD32" s="2" t="s">
        <v>3</v>
      </c>
      <c r="BE32" s="2" t="s">
        <v>3</v>
      </c>
      <c r="BF32" s="2" t="s">
        <v>3</v>
      </c>
      <c r="BG32" s="2" t="s">
        <v>3</v>
      </c>
      <c r="BH32" s="2">
        <v>0</v>
      </c>
      <c r="BI32" s="2">
        <v>2</v>
      </c>
      <c r="BJ32" s="2" t="s">
        <v>39</v>
      </c>
      <c r="BK32" s="2"/>
      <c r="BL32" s="2"/>
      <c r="BM32" s="2">
        <v>68</v>
      </c>
      <c r="BN32" s="2">
        <v>58973116</v>
      </c>
      <c r="BO32" s="2" t="s">
        <v>37</v>
      </c>
      <c r="BP32" s="2">
        <v>1</v>
      </c>
      <c r="BQ32" s="2">
        <v>40</v>
      </c>
      <c r="BR32" s="2">
        <v>0</v>
      </c>
      <c r="BS32" s="2">
        <v>1</v>
      </c>
      <c r="BT32" s="2">
        <v>1</v>
      </c>
      <c r="BU32" s="2">
        <v>1</v>
      </c>
      <c r="BV32" s="2">
        <v>1</v>
      </c>
      <c r="BW32" s="2">
        <v>1</v>
      </c>
      <c r="BX32" s="2">
        <v>1</v>
      </c>
      <c r="BY32" s="2" t="s">
        <v>3</v>
      </c>
      <c r="BZ32" s="2">
        <v>90</v>
      </c>
      <c r="CA32" s="2">
        <v>46</v>
      </c>
      <c r="CB32" s="2" t="s">
        <v>3</v>
      </c>
      <c r="CC32" s="2"/>
      <c r="CD32" s="2"/>
      <c r="CE32" s="2">
        <v>1566</v>
      </c>
      <c r="CF32" s="2">
        <v>0</v>
      </c>
      <c r="CG32" s="2">
        <v>0</v>
      </c>
      <c r="CH32" s="2"/>
      <c r="CI32" s="2"/>
      <c r="CJ32" s="2"/>
      <c r="CK32" s="2"/>
      <c r="CL32" s="2"/>
      <c r="CM32" s="2">
        <v>0</v>
      </c>
      <c r="CN32" s="2" t="s">
        <v>369</v>
      </c>
      <c r="CO32" s="2">
        <v>0</v>
      </c>
      <c r="CP32" s="2">
        <f t="shared" si="31"/>
        <v>40.89</v>
      </c>
      <c r="CQ32" s="2">
        <f t="shared" si="32"/>
        <v>2.34</v>
      </c>
      <c r="CR32" s="2">
        <f>(ROUND((ROUND((((ET32*1.1))*AV32*1),2)*BB32),2)+ROUND((ROUND(((AE32-((EU32*1.1)))*AV32*1),2)*BS32),2))</f>
        <v>0</v>
      </c>
      <c r="CS32" s="2">
        <f>(ROUND((ROUND((((EU32*1.1))*AV32*1),2)*BS32),2)+ROUND((ROUND(((AE32-((EU32*1.1)))*AV32*1),2)*BS32),2))</f>
        <v>0</v>
      </c>
      <c r="CT32" s="2">
        <f t="shared" si="33"/>
        <v>38.549999999999997</v>
      </c>
      <c r="CU32" s="2">
        <f t="shared" si="34"/>
        <v>0</v>
      </c>
      <c r="CV32" s="2">
        <f t="shared" si="35"/>
        <v>3.0520049999999999</v>
      </c>
      <c r="CW32" s="2">
        <f t="shared" si="36"/>
        <v>0</v>
      </c>
      <c r="CX32" s="2">
        <f t="shared" si="37"/>
        <v>0</v>
      </c>
      <c r="CY32" s="2">
        <f>(ROUND((((S32+ROUND((ROUND((((EU32*1.1))*AV32*1),2)*BS32),2))*AT32)/100),2)+ROUND(((ROUND((ROUND(((AE32-((EU32*1.1)))*AV32*1),2)*BS32),2)*AT32)/100),2))</f>
        <v>34.700000000000003</v>
      </c>
      <c r="CZ32" s="2">
        <f>(ROUND((((S32+ROUND((ROUND((((EU32*1.1))*AV32*1),2)*BS32),2))*AU32)/100),2)+ROUND(((ROUND((ROUND(((AE32-((EU32*1.1)))*AV32*1),2)*BS32),2)*AU32)/100),2))</f>
        <v>17.73</v>
      </c>
      <c r="DA32" s="2"/>
      <c r="DB32" s="2">
        <v>3</v>
      </c>
      <c r="DC32" s="2" t="s">
        <v>3</v>
      </c>
      <c r="DD32" s="2" t="s">
        <v>24</v>
      </c>
      <c r="DE32" s="2" t="s">
        <v>25</v>
      </c>
      <c r="DF32" s="2" t="s">
        <v>25</v>
      </c>
      <c r="DG32" s="2" t="s">
        <v>25</v>
      </c>
      <c r="DH32" s="2" t="s">
        <v>3</v>
      </c>
      <c r="DI32" s="2" t="s">
        <v>25</v>
      </c>
      <c r="DJ32" s="2" t="s">
        <v>25</v>
      </c>
      <c r="DK32" s="2" t="s">
        <v>3</v>
      </c>
      <c r="DL32" s="2" t="s">
        <v>3</v>
      </c>
      <c r="DM32" s="2" t="s">
        <v>3</v>
      </c>
      <c r="DN32" s="2">
        <v>0</v>
      </c>
      <c r="DO32" s="2">
        <v>0</v>
      </c>
      <c r="DP32" s="2">
        <v>1</v>
      </c>
      <c r="DQ32" s="2">
        <v>1</v>
      </c>
      <c r="DR32" s="2"/>
      <c r="DS32" s="2"/>
      <c r="DT32" s="2"/>
      <c r="DU32" s="2">
        <v>1013</v>
      </c>
      <c r="DV32" s="2" t="s">
        <v>22</v>
      </c>
      <c r="DW32" s="2" t="s">
        <v>22</v>
      </c>
      <c r="DX32" s="2">
        <v>1</v>
      </c>
      <c r="DY32" s="2"/>
      <c r="DZ32" s="2" t="s">
        <v>3</v>
      </c>
      <c r="EA32" s="2" t="s">
        <v>3</v>
      </c>
      <c r="EB32" s="2" t="s">
        <v>3</v>
      </c>
      <c r="EC32" s="2" t="s">
        <v>3</v>
      </c>
      <c r="ED32" s="2"/>
      <c r="EE32" s="2">
        <v>60088532</v>
      </c>
      <c r="EF32" s="2">
        <v>40</v>
      </c>
      <c r="EG32" s="2" t="s">
        <v>26</v>
      </c>
      <c r="EH32" s="2">
        <v>0</v>
      </c>
      <c r="EI32" s="2" t="s">
        <v>3</v>
      </c>
      <c r="EJ32" s="2">
        <v>2</v>
      </c>
      <c r="EK32" s="2">
        <v>68</v>
      </c>
      <c r="EL32" s="2" t="s">
        <v>27</v>
      </c>
      <c r="EM32" s="2" t="s">
        <v>28</v>
      </c>
      <c r="EN32" s="2"/>
      <c r="EO32" s="2" t="s">
        <v>29</v>
      </c>
      <c r="EP32" s="2"/>
      <c r="EQ32" s="2">
        <v>0</v>
      </c>
      <c r="ER32" s="2">
        <v>35.81</v>
      </c>
      <c r="ES32" s="2">
        <v>2.34</v>
      </c>
      <c r="ET32" s="2">
        <v>0</v>
      </c>
      <c r="EU32" s="2">
        <v>0</v>
      </c>
      <c r="EV32" s="2">
        <v>33.47</v>
      </c>
      <c r="EW32" s="2">
        <v>2.65</v>
      </c>
      <c r="EX32" s="2">
        <v>0</v>
      </c>
      <c r="EY32" s="2">
        <v>0</v>
      </c>
      <c r="EZ32" s="2"/>
      <c r="FA32" s="2"/>
      <c r="FB32" s="2"/>
      <c r="FC32" s="2"/>
      <c r="FD32" s="2"/>
      <c r="FE32" s="2"/>
      <c r="FF32" s="2"/>
      <c r="FG32" s="2"/>
      <c r="FH32" s="2"/>
      <c r="FI32" s="2"/>
      <c r="FJ32" s="2"/>
      <c r="FK32" s="2"/>
      <c r="FL32" s="2"/>
      <c r="FM32" s="2"/>
      <c r="FN32" s="2"/>
      <c r="FO32" s="2"/>
      <c r="FP32" s="2"/>
      <c r="FQ32" s="2">
        <v>0</v>
      </c>
      <c r="FR32" s="2">
        <v>0</v>
      </c>
      <c r="FS32" s="2">
        <v>0</v>
      </c>
      <c r="FT32" s="2"/>
      <c r="FU32" s="2"/>
      <c r="FV32" s="2"/>
      <c r="FW32" s="2"/>
      <c r="FX32" s="2">
        <v>90</v>
      </c>
      <c r="FY32" s="2">
        <v>46</v>
      </c>
      <c r="FZ32" s="2"/>
      <c r="GA32" s="2" t="s">
        <v>3</v>
      </c>
      <c r="GB32" s="2"/>
      <c r="GC32" s="2"/>
      <c r="GD32" s="2">
        <v>1</v>
      </c>
      <c r="GE32" s="2"/>
      <c r="GF32" s="2">
        <v>-1323780471</v>
      </c>
      <c r="GG32" s="2">
        <v>2</v>
      </c>
      <c r="GH32" s="2">
        <v>1</v>
      </c>
      <c r="GI32" s="2">
        <v>2</v>
      </c>
      <c r="GJ32" s="2">
        <v>0</v>
      </c>
      <c r="GK32" s="2">
        <v>0</v>
      </c>
      <c r="GL32" s="2">
        <f t="shared" si="38"/>
        <v>0</v>
      </c>
      <c r="GM32" s="2">
        <f t="shared" si="39"/>
        <v>93.32</v>
      </c>
      <c r="GN32" s="2">
        <f t="shared" si="40"/>
        <v>0</v>
      </c>
      <c r="GO32" s="2">
        <f t="shared" si="41"/>
        <v>93.32</v>
      </c>
      <c r="GP32" s="2">
        <f t="shared" si="42"/>
        <v>0</v>
      </c>
      <c r="GQ32" s="2"/>
      <c r="GR32" s="2">
        <v>0</v>
      </c>
      <c r="GS32" s="2">
        <v>3</v>
      </c>
      <c r="GT32" s="2">
        <v>0</v>
      </c>
      <c r="GU32" s="2" t="s">
        <v>3</v>
      </c>
      <c r="GV32" s="2">
        <f t="shared" si="43"/>
        <v>0</v>
      </c>
      <c r="GW32" s="2">
        <v>1</v>
      </c>
      <c r="GX32" s="2">
        <f t="shared" si="44"/>
        <v>0</v>
      </c>
      <c r="GY32" s="2"/>
      <c r="GZ32" s="2"/>
      <c r="HA32" s="2">
        <v>0</v>
      </c>
      <c r="HB32" s="2">
        <v>0</v>
      </c>
      <c r="HC32" s="2">
        <f t="shared" si="45"/>
        <v>0</v>
      </c>
      <c r="HD32" s="2"/>
      <c r="HE32" s="2" t="s">
        <v>3</v>
      </c>
      <c r="HF32" s="2" t="s">
        <v>3</v>
      </c>
      <c r="HG32" s="2"/>
      <c r="HH32" s="2"/>
      <c r="HI32" s="2"/>
      <c r="HJ32" s="2"/>
      <c r="HK32" s="2"/>
      <c r="HL32" s="2"/>
      <c r="HM32" s="2" t="s">
        <v>3</v>
      </c>
      <c r="HN32" s="2" t="s">
        <v>3</v>
      </c>
      <c r="HO32" s="2" t="s">
        <v>3</v>
      </c>
      <c r="HP32" s="2" t="s">
        <v>3</v>
      </c>
      <c r="HQ32" s="2" t="s">
        <v>3</v>
      </c>
      <c r="HR32" s="2"/>
      <c r="HS32" s="2">
        <v>0</v>
      </c>
      <c r="HT32" s="2"/>
      <c r="HU32" s="2"/>
      <c r="HV32" s="2"/>
      <c r="HW32" s="2"/>
      <c r="HX32" s="2"/>
      <c r="HY32" s="2"/>
      <c r="HZ32" s="2"/>
      <c r="IA32" s="2"/>
      <c r="IB32" s="2"/>
      <c r="IC32" s="2"/>
      <c r="ID32" s="2"/>
      <c r="IE32" s="2"/>
      <c r="IF32" s="2"/>
      <c r="IG32" s="2"/>
      <c r="IH32" s="2"/>
      <c r="II32" s="2"/>
      <c r="IJ32" s="2"/>
      <c r="IK32" s="2">
        <v>0</v>
      </c>
      <c r="IL32" s="2"/>
      <c r="IM32" s="2"/>
      <c r="IN32" s="2"/>
      <c r="IO32" s="2"/>
      <c r="IP32" s="2"/>
      <c r="IQ32" s="2"/>
      <c r="IR32" s="2"/>
      <c r="IS32" s="2"/>
      <c r="IT32" s="2"/>
      <c r="IU32" s="2"/>
    </row>
    <row r="33" spans="1:255" x14ac:dyDescent="0.2">
      <c r="A33" s="3">
        <v>17</v>
      </c>
      <c r="B33" s="3">
        <v>1</v>
      </c>
      <c r="C33" s="3">
        <f>ROW(SmtRes!A22)</f>
        <v>22</v>
      </c>
      <c r="D33" s="3">
        <f>ROW(EtalonRes!A26)</f>
        <v>26</v>
      </c>
      <c r="E33" s="3" t="s">
        <v>36</v>
      </c>
      <c r="F33" s="3" t="s">
        <v>37</v>
      </c>
      <c r="G33" s="3" t="s">
        <v>38</v>
      </c>
      <c r="H33" s="3" t="s">
        <v>22</v>
      </c>
      <c r="I33" s="3">
        <v>1</v>
      </c>
      <c r="J33" s="3">
        <v>0</v>
      </c>
      <c r="K33" s="3">
        <v>1</v>
      </c>
      <c r="O33" s="3">
        <f t="shared" si="21"/>
        <v>2143.87</v>
      </c>
      <c r="P33" s="3">
        <f t="shared" si="22"/>
        <v>24.01</v>
      </c>
      <c r="Q33" s="3">
        <f>(ROUND((ROUND((((ET33*1.1))*AV33*I33),2)*BB33),2)+ROUND((ROUND(((AE33-((EU33*1.1)))*AV33*I33),2)*BS33),2))</f>
        <v>0</v>
      </c>
      <c r="R33" s="3">
        <f>(ROUND((ROUND((((EU33*1.1))*AV33*I33),2)*BS33),2)+ROUND((ROUND(((AE33-((EU33*1.1)))*AV33*I33),2)*BS33),2))</f>
        <v>0</v>
      </c>
      <c r="S33" s="3">
        <f t="shared" si="23"/>
        <v>2119.86</v>
      </c>
      <c r="T33" s="3">
        <f t="shared" si="24"/>
        <v>0</v>
      </c>
      <c r="U33" s="3">
        <f t="shared" si="25"/>
        <v>3.0520049999999999</v>
      </c>
      <c r="V33" s="3">
        <f t="shared" si="26"/>
        <v>0</v>
      </c>
      <c r="W33" s="3">
        <f t="shared" si="27"/>
        <v>0</v>
      </c>
      <c r="X33" s="3">
        <f>(ROUND((((S33+ROUND((ROUND((((EU33*1.1))*AV33*I33),2)*BS33),2))*AT33)/100),2)+ROUND(((ROUND((ROUND(((AE33-((EU33*1.1)))*AV33*I33),2)*BS33),2)*AT33)/100),2))</f>
        <v>1907.87</v>
      </c>
      <c r="Y33" s="3">
        <f>(ROUND((((S33+ROUND((ROUND((((EU33*1.1))*AV33*I33),2)*BS33),2))*AU33)/100),2)+ROUND(((ROUND((ROUND(((AE33-((EU33*1.1)))*AV33*I33),2)*BS33),2)*AU33)/100),2))</f>
        <v>975.14</v>
      </c>
      <c r="AA33" s="3">
        <v>60256402</v>
      </c>
      <c r="AB33" s="3">
        <f t="shared" si="28"/>
        <v>39.156999999999996</v>
      </c>
      <c r="AC33" s="3">
        <f>ROUND(((ES33*1)),6)</f>
        <v>2.34</v>
      </c>
      <c r="AD33" s="3">
        <f>ROUND(((((ET33*1.1))-((EU33*1.1)))+AE33),6)</f>
        <v>0</v>
      </c>
      <c r="AE33" s="3">
        <f>ROUND(((EU33*1.1)),6)</f>
        <v>0</v>
      </c>
      <c r="AF33" s="3">
        <f>ROUND(((EV33*1.1)),6)</f>
        <v>36.817</v>
      </c>
      <c r="AG33" s="3">
        <f t="shared" si="29"/>
        <v>0</v>
      </c>
      <c r="AH33" s="3">
        <f>((EW33*1.1))</f>
        <v>2.915</v>
      </c>
      <c r="AI33" s="3">
        <f>((EX33*1.1))</f>
        <v>0</v>
      </c>
      <c r="AJ33" s="3">
        <f t="shared" si="30"/>
        <v>0</v>
      </c>
      <c r="AK33" s="3">
        <v>35.81</v>
      </c>
      <c r="AL33" s="3">
        <v>2.34</v>
      </c>
      <c r="AM33" s="3">
        <v>0</v>
      </c>
      <c r="AN33" s="3">
        <v>0</v>
      </c>
      <c r="AO33" s="3">
        <v>33.47</v>
      </c>
      <c r="AP33" s="3">
        <v>0</v>
      </c>
      <c r="AQ33" s="3">
        <v>2.65</v>
      </c>
      <c r="AR33" s="3">
        <v>0</v>
      </c>
      <c r="AS33" s="3">
        <v>0</v>
      </c>
      <c r="AT33" s="3">
        <v>90</v>
      </c>
      <c r="AU33" s="3">
        <v>46</v>
      </c>
      <c r="AV33" s="3">
        <v>1.0469999999999999</v>
      </c>
      <c r="AW33" s="3">
        <v>1</v>
      </c>
      <c r="AZ33" s="3">
        <v>1</v>
      </c>
      <c r="BA33" s="3">
        <v>54.99</v>
      </c>
      <c r="BB33" s="3">
        <v>1</v>
      </c>
      <c r="BC33" s="3">
        <v>10.26</v>
      </c>
      <c r="BD33" s="3" t="s">
        <v>3</v>
      </c>
      <c r="BE33" s="3" t="s">
        <v>3</v>
      </c>
      <c r="BF33" s="3" t="s">
        <v>3</v>
      </c>
      <c r="BG33" s="3" t="s">
        <v>3</v>
      </c>
      <c r="BH33" s="3">
        <v>0</v>
      </c>
      <c r="BI33" s="3">
        <v>2</v>
      </c>
      <c r="BJ33" s="3" t="s">
        <v>39</v>
      </c>
      <c r="BM33" s="3">
        <v>68</v>
      </c>
      <c r="BN33" s="3">
        <v>58973116</v>
      </c>
      <c r="BO33" s="3" t="s">
        <v>37</v>
      </c>
      <c r="BP33" s="3">
        <v>1</v>
      </c>
      <c r="BQ33" s="3">
        <v>40</v>
      </c>
      <c r="BR33" s="3">
        <v>0</v>
      </c>
      <c r="BS33" s="3">
        <v>54.99</v>
      </c>
      <c r="BT33" s="3">
        <v>1</v>
      </c>
      <c r="BU33" s="3">
        <v>1</v>
      </c>
      <c r="BV33" s="3">
        <v>1</v>
      </c>
      <c r="BW33" s="3">
        <v>1</v>
      </c>
      <c r="BX33" s="3">
        <v>1</v>
      </c>
      <c r="BY33" s="3" t="s">
        <v>3</v>
      </c>
      <c r="BZ33" s="3">
        <v>90</v>
      </c>
      <c r="CA33" s="3">
        <v>46</v>
      </c>
      <c r="CB33" s="3" t="s">
        <v>3</v>
      </c>
      <c r="CE33" s="3">
        <v>1566</v>
      </c>
      <c r="CF33" s="3">
        <v>0</v>
      </c>
      <c r="CG33" s="3">
        <v>0</v>
      </c>
      <c r="CM33" s="3">
        <v>0</v>
      </c>
      <c r="CN33" s="3" t="s">
        <v>369</v>
      </c>
      <c r="CO33" s="3">
        <v>0</v>
      </c>
      <c r="CP33" s="3">
        <f t="shared" si="31"/>
        <v>2143.8700000000003</v>
      </c>
      <c r="CQ33" s="3">
        <f t="shared" si="32"/>
        <v>24.01</v>
      </c>
      <c r="CR33" s="3">
        <f>(ROUND((ROUND((((ET33*1.1))*AV33*1),2)*BB33),2)+ROUND((ROUND(((AE33-((EU33*1.1)))*AV33*1),2)*BS33),2))</f>
        <v>0</v>
      </c>
      <c r="CS33" s="3">
        <f>(ROUND((ROUND((((EU33*1.1))*AV33*1),2)*BS33),2)+ROUND((ROUND(((AE33-((EU33*1.1)))*AV33*1),2)*BS33),2))</f>
        <v>0</v>
      </c>
      <c r="CT33" s="3">
        <f t="shared" si="33"/>
        <v>2119.86</v>
      </c>
      <c r="CU33" s="3">
        <f t="shared" si="34"/>
        <v>0</v>
      </c>
      <c r="CV33" s="3">
        <f t="shared" si="35"/>
        <v>3.0520049999999999</v>
      </c>
      <c r="CW33" s="3">
        <f t="shared" si="36"/>
        <v>0</v>
      </c>
      <c r="CX33" s="3">
        <f t="shared" si="37"/>
        <v>0</v>
      </c>
      <c r="CY33" s="3">
        <f>(ROUND((((S33+ROUND((ROUND((((EU33*1.1))*AV33*1),2)*BS33),2))*AT33)/100),2)+ROUND(((ROUND((ROUND(((AE33-((EU33*1.1)))*AV33*1),2)*BS33),2)*AT33)/100),2))</f>
        <v>1907.87</v>
      </c>
      <c r="CZ33" s="3">
        <f>(ROUND((((S33+ROUND((ROUND((((EU33*1.1))*AV33*1),2)*BS33),2))*AU33)/100),2)+ROUND(((ROUND((ROUND(((AE33-((EU33*1.1)))*AV33*1),2)*BS33),2)*AU33)/100),2))</f>
        <v>975.14</v>
      </c>
      <c r="DB33" s="3">
        <v>4</v>
      </c>
      <c r="DC33" s="3" t="s">
        <v>3</v>
      </c>
      <c r="DD33" s="3" t="s">
        <v>24</v>
      </c>
      <c r="DE33" s="3" t="s">
        <v>25</v>
      </c>
      <c r="DF33" s="3" t="s">
        <v>25</v>
      </c>
      <c r="DG33" s="3" t="s">
        <v>25</v>
      </c>
      <c r="DH33" s="3" t="s">
        <v>3</v>
      </c>
      <c r="DI33" s="3" t="s">
        <v>25</v>
      </c>
      <c r="DJ33" s="3" t="s">
        <v>25</v>
      </c>
      <c r="DK33" s="3" t="s">
        <v>3</v>
      </c>
      <c r="DL33" s="3" t="s">
        <v>3</v>
      </c>
      <c r="DM33" s="3" t="s">
        <v>3</v>
      </c>
      <c r="DN33" s="3">
        <v>0</v>
      </c>
      <c r="DO33" s="3">
        <v>0</v>
      </c>
      <c r="DP33" s="3">
        <v>1</v>
      </c>
      <c r="DQ33" s="3">
        <v>1</v>
      </c>
      <c r="DU33" s="3">
        <v>1013</v>
      </c>
      <c r="DV33" s="3" t="s">
        <v>22</v>
      </c>
      <c r="DW33" s="3" t="s">
        <v>22</v>
      </c>
      <c r="DX33" s="3">
        <v>1</v>
      </c>
      <c r="DZ33" s="3" t="s">
        <v>3</v>
      </c>
      <c r="EA33" s="3" t="s">
        <v>3</v>
      </c>
      <c r="EB33" s="3" t="s">
        <v>3</v>
      </c>
      <c r="EC33" s="3" t="s">
        <v>3</v>
      </c>
      <c r="EE33" s="3">
        <v>60088532</v>
      </c>
      <c r="EF33" s="3">
        <v>40</v>
      </c>
      <c r="EG33" s="3" t="s">
        <v>26</v>
      </c>
      <c r="EH33" s="3">
        <v>0</v>
      </c>
      <c r="EI33" s="3" t="s">
        <v>3</v>
      </c>
      <c r="EJ33" s="3">
        <v>2</v>
      </c>
      <c r="EK33" s="3">
        <v>68</v>
      </c>
      <c r="EL33" s="3" t="s">
        <v>27</v>
      </c>
      <c r="EM33" s="3" t="s">
        <v>28</v>
      </c>
      <c r="EO33" s="3" t="s">
        <v>29</v>
      </c>
      <c r="EQ33" s="3">
        <v>0</v>
      </c>
      <c r="ER33" s="3">
        <v>35.81</v>
      </c>
      <c r="ES33" s="3">
        <v>2.34</v>
      </c>
      <c r="ET33" s="3">
        <v>0</v>
      </c>
      <c r="EU33" s="3">
        <v>0</v>
      </c>
      <c r="EV33" s="3">
        <v>33.47</v>
      </c>
      <c r="EW33" s="3">
        <v>2.65</v>
      </c>
      <c r="EX33" s="3">
        <v>0</v>
      </c>
      <c r="EY33" s="3">
        <v>0</v>
      </c>
      <c r="FQ33" s="3">
        <v>0</v>
      </c>
      <c r="FR33" s="3">
        <v>0</v>
      </c>
      <c r="FS33" s="3">
        <v>0</v>
      </c>
      <c r="FX33" s="3">
        <v>90</v>
      </c>
      <c r="FY33" s="3">
        <v>46</v>
      </c>
      <c r="GA33" s="3" t="s">
        <v>3</v>
      </c>
      <c r="GD33" s="3">
        <v>1</v>
      </c>
      <c r="GF33" s="3">
        <v>-1323780471</v>
      </c>
      <c r="GG33" s="3">
        <v>2</v>
      </c>
      <c r="GH33" s="3">
        <v>1</v>
      </c>
      <c r="GI33" s="3">
        <v>2</v>
      </c>
      <c r="GJ33" s="3">
        <v>0</v>
      </c>
      <c r="GK33" s="3">
        <v>0</v>
      </c>
      <c r="GL33" s="3">
        <f t="shared" si="38"/>
        <v>0</v>
      </c>
      <c r="GM33" s="3">
        <f t="shared" si="39"/>
        <v>5026.88</v>
      </c>
      <c r="GN33" s="3">
        <f t="shared" si="40"/>
        <v>0</v>
      </c>
      <c r="GO33" s="3">
        <f t="shared" si="41"/>
        <v>5026.88</v>
      </c>
      <c r="GP33" s="3">
        <f t="shared" si="42"/>
        <v>0</v>
      </c>
      <c r="GR33" s="3">
        <v>0</v>
      </c>
      <c r="GS33" s="3">
        <v>3</v>
      </c>
      <c r="GT33" s="3">
        <v>0</v>
      </c>
      <c r="GU33" s="3" t="s">
        <v>3</v>
      </c>
      <c r="GV33" s="3">
        <f t="shared" si="43"/>
        <v>0</v>
      </c>
      <c r="GW33" s="3">
        <v>1</v>
      </c>
      <c r="GX33" s="3">
        <f t="shared" si="44"/>
        <v>0</v>
      </c>
      <c r="HA33" s="3">
        <v>0</v>
      </c>
      <c r="HB33" s="3">
        <v>0</v>
      </c>
      <c r="HC33" s="3">
        <f t="shared" si="45"/>
        <v>0</v>
      </c>
      <c r="HE33" s="3" t="s">
        <v>3</v>
      </c>
      <c r="HF33" s="3" t="s">
        <v>3</v>
      </c>
      <c r="HM33" s="3" t="s">
        <v>3</v>
      </c>
      <c r="HN33" s="3" t="s">
        <v>3</v>
      </c>
      <c r="HO33" s="3" t="s">
        <v>3</v>
      </c>
      <c r="HP33" s="3" t="s">
        <v>3</v>
      </c>
      <c r="HQ33" s="3" t="s">
        <v>3</v>
      </c>
      <c r="HS33" s="3">
        <v>0</v>
      </c>
      <c r="IK33" s="3">
        <v>0</v>
      </c>
    </row>
    <row r="34" spans="1:255" x14ac:dyDescent="0.2">
      <c r="A34" s="2">
        <v>17</v>
      </c>
      <c r="B34" s="2">
        <v>1</v>
      </c>
      <c r="C34" s="2"/>
      <c r="D34" s="2"/>
      <c r="E34" s="2" t="s">
        <v>40</v>
      </c>
      <c r="F34" s="2" t="s">
        <v>41</v>
      </c>
      <c r="G34" s="2" t="s">
        <v>42</v>
      </c>
      <c r="H34" s="2" t="s">
        <v>33</v>
      </c>
      <c r="I34" s="2">
        <v>1</v>
      </c>
      <c r="J34" s="2">
        <v>0</v>
      </c>
      <c r="K34" s="2">
        <v>1</v>
      </c>
      <c r="L34" s="2"/>
      <c r="M34" s="2"/>
      <c r="N34" s="2"/>
      <c r="O34" s="2">
        <f t="shared" si="21"/>
        <v>32107.68</v>
      </c>
      <c r="P34" s="2">
        <f>ROUND((ROUND((AC34*I34),2)*BC34),2)</f>
        <v>32107.68</v>
      </c>
      <c r="Q34" s="2">
        <f>(ROUND((ROUND(((ET34)*AV34*I34),2)*BB34),2)+ROUND((ROUND(((AE34-(EU34))*AV34*I34),2)*BS34),2))</f>
        <v>0</v>
      </c>
      <c r="R34" s="2">
        <f>(ROUND((ROUND(((EU34)*AV34*I34),2)*BS34),2)+ROUND((ROUND(((AE34-(EU34))*AV34*I34),2)*BS34),2))</f>
        <v>0</v>
      </c>
      <c r="S34" s="2">
        <f t="shared" si="23"/>
        <v>0</v>
      </c>
      <c r="T34" s="2">
        <f t="shared" si="24"/>
        <v>0</v>
      </c>
      <c r="U34" s="2">
        <f t="shared" si="25"/>
        <v>0</v>
      </c>
      <c r="V34" s="2">
        <f t="shared" si="26"/>
        <v>0</v>
      </c>
      <c r="W34" s="2">
        <f t="shared" si="27"/>
        <v>0</v>
      </c>
      <c r="X34" s="2">
        <f>(ROUND((((S34+ROUND((ROUND(((EU34)*AV34*I34),2)*BS34),2))*AT34)/100),2)+ROUND(((ROUND((ROUND(((AE34-(EU34))*AV34*I34),2)*BS34),2)*AT34)/100),2))</f>
        <v>0</v>
      </c>
      <c r="Y34" s="2">
        <f>(ROUND((((S34+ROUND((ROUND(((EU34)*AV34*I34),2)*BS34),2))*AU34)/100),2)+ROUND(((ROUND((ROUND(((AE34-(EU34))*AV34*I34),2)*BS34),2)*AU34)/100),2))</f>
        <v>0</v>
      </c>
      <c r="Z34" s="2"/>
      <c r="AA34" s="2">
        <v>60256405</v>
      </c>
      <c r="AB34" s="2">
        <f t="shared" si="28"/>
        <v>32107.68</v>
      </c>
      <c r="AC34" s="2">
        <f>ROUND((ES34),6)</f>
        <v>32107.68</v>
      </c>
      <c r="AD34" s="2">
        <f>ROUND((((ET34)-(EU34))+AE34),6)</f>
        <v>0</v>
      </c>
      <c r="AE34" s="2">
        <f>ROUND((EU34),6)</f>
        <v>0</v>
      </c>
      <c r="AF34" s="2">
        <f>ROUND((EV34),6)</f>
        <v>0</v>
      </c>
      <c r="AG34" s="2">
        <f t="shared" si="29"/>
        <v>0</v>
      </c>
      <c r="AH34" s="2">
        <f>(EW34)</f>
        <v>0</v>
      </c>
      <c r="AI34" s="2">
        <f>(EX34)</f>
        <v>0</v>
      </c>
      <c r="AJ34" s="2">
        <f t="shared" si="30"/>
        <v>0</v>
      </c>
      <c r="AK34" s="2">
        <v>32107.68</v>
      </c>
      <c r="AL34" s="2">
        <v>32107.68</v>
      </c>
      <c r="AM34" s="2">
        <v>0</v>
      </c>
      <c r="AN34" s="2">
        <v>0</v>
      </c>
      <c r="AO34" s="2">
        <v>0</v>
      </c>
      <c r="AP34" s="2">
        <v>0</v>
      </c>
      <c r="AQ34" s="2">
        <v>0</v>
      </c>
      <c r="AR34" s="2">
        <v>0</v>
      </c>
      <c r="AS34" s="2">
        <v>0</v>
      </c>
      <c r="AT34" s="2">
        <v>0</v>
      </c>
      <c r="AU34" s="2">
        <v>0</v>
      </c>
      <c r="AV34" s="2">
        <v>1</v>
      </c>
      <c r="AW34" s="2">
        <v>1</v>
      </c>
      <c r="AX34" s="2"/>
      <c r="AY34" s="2"/>
      <c r="AZ34" s="2">
        <v>1</v>
      </c>
      <c r="BA34" s="2">
        <v>1</v>
      </c>
      <c r="BB34" s="2">
        <v>1</v>
      </c>
      <c r="BC34" s="2">
        <v>1</v>
      </c>
      <c r="BD34" s="2" t="s">
        <v>3</v>
      </c>
      <c r="BE34" s="2" t="s">
        <v>3</v>
      </c>
      <c r="BF34" s="2" t="s">
        <v>3</v>
      </c>
      <c r="BG34" s="2" t="s">
        <v>3</v>
      </c>
      <c r="BH34" s="2">
        <v>3</v>
      </c>
      <c r="BI34" s="2">
        <v>3</v>
      </c>
      <c r="BJ34" s="2" t="s">
        <v>3</v>
      </c>
      <c r="BK34" s="2"/>
      <c r="BL34" s="2"/>
      <c r="BM34" s="2">
        <v>746</v>
      </c>
      <c r="BN34" s="2">
        <v>0</v>
      </c>
      <c r="BO34" s="2" t="s">
        <v>3</v>
      </c>
      <c r="BP34" s="2">
        <v>0</v>
      </c>
      <c r="BQ34" s="2">
        <v>130</v>
      </c>
      <c r="BR34" s="2">
        <v>0</v>
      </c>
      <c r="BS34" s="2">
        <v>1</v>
      </c>
      <c r="BT34" s="2">
        <v>1</v>
      </c>
      <c r="BU34" s="2">
        <v>1</v>
      </c>
      <c r="BV34" s="2">
        <v>1</v>
      </c>
      <c r="BW34" s="2">
        <v>1</v>
      </c>
      <c r="BX34" s="2">
        <v>1</v>
      </c>
      <c r="BY34" s="2" t="s">
        <v>3</v>
      </c>
      <c r="BZ34" s="2">
        <v>0</v>
      </c>
      <c r="CA34" s="2">
        <v>0</v>
      </c>
      <c r="CB34" s="2" t="s">
        <v>3</v>
      </c>
      <c r="CC34" s="2"/>
      <c r="CD34" s="2"/>
      <c r="CE34" s="2">
        <v>1566</v>
      </c>
      <c r="CF34" s="2">
        <v>0</v>
      </c>
      <c r="CG34" s="2">
        <v>0</v>
      </c>
      <c r="CH34" s="2"/>
      <c r="CI34" s="2"/>
      <c r="CJ34" s="2"/>
      <c r="CK34" s="2"/>
      <c r="CL34" s="2"/>
      <c r="CM34" s="2">
        <v>0</v>
      </c>
      <c r="CN34" s="2" t="s">
        <v>3</v>
      </c>
      <c r="CO34" s="2">
        <v>0</v>
      </c>
      <c r="CP34" s="2">
        <f t="shared" si="31"/>
        <v>32107.68</v>
      </c>
      <c r="CQ34" s="2">
        <f>ROUND((ROUND((AC34*1),2)*BC34),2)</f>
        <v>32107.68</v>
      </c>
      <c r="CR34" s="2">
        <f>(ROUND((ROUND(((ET34)*AV34*1),2)*BB34),2)+ROUND((ROUND(((AE34-(EU34))*AV34*1),2)*BS34),2))</f>
        <v>0</v>
      </c>
      <c r="CS34" s="2">
        <f>(ROUND((ROUND(((EU34)*AV34*1),2)*BS34),2)+ROUND((ROUND(((AE34-(EU34))*AV34*1),2)*BS34),2))</f>
        <v>0</v>
      </c>
      <c r="CT34" s="2">
        <f t="shared" si="33"/>
        <v>0</v>
      </c>
      <c r="CU34" s="2">
        <f t="shared" si="34"/>
        <v>0</v>
      </c>
      <c r="CV34" s="2">
        <f t="shared" si="35"/>
        <v>0</v>
      </c>
      <c r="CW34" s="2">
        <f t="shared" si="36"/>
        <v>0</v>
      </c>
      <c r="CX34" s="2">
        <f t="shared" si="37"/>
        <v>0</v>
      </c>
      <c r="CY34" s="2">
        <f>(ROUND((((S34+ROUND((ROUND(((EU34)*AV34*1),2)*BS34),2))*AT34)/100),2)+ROUND(((ROUND((ROUND(((AE34-(EU34))*AV34*1),2)*BS34),2)*AT34)/100),2))</f>
        <v>0</v>
      </c>
      <c r="CZ34" s="2">
        <f>(ROUND((((S34+ROUND((ROUND(((EU34)*AV34*1),2)*BS34),2))*AU34)/100),2)+ROUND(((ROUND((ROUND(((AE34-(EU34))*AV34*1),2)*BS34),2)*AU34)/100),2))</f>
        <v>0</v>
      </c>
      <c r="DA34" s="2"/>
      <c r="DB34" s="2"/>
      <c r="DC34" s="2" t="s">
        <v>3</v>
      </c>
      <c r="DD34" s="2" t="s">
        <v>3</v>
      </c>
      <c r="DE34" s="2" t="s">
        <v>3</v>
      </c>
      <c r="DF34" s="2" t="s">
        <v>3</v>
      </c>
      <c r="DG34" s="2" t="s">
        <v>3</v>
      </c>
      <c r="DH34" s="2" t="s">
        <v>3</v>
      </c>
      <c r="DI34" s="2" t="s">
        <v>3</v>
      </c>
      <c r="DJ34" s="2" t="s">
        <v>3</v>
      </c>
      <c r="DK34" s="2" t="s">
        <v>3</v>
      </c>
      <c r="DL34" s="2" t="s">
        <v>3</v>
      </c>
      <c r="DM34" s="2" t="s">
        <v>3</v>
      </c>
      <c r="DN34" s="2">
        <v>0</v>
      </c>
      <c r="DO34" s="2">
        <v>0</v>
      </c>
      <c r="DP34" s="2">
        <v>1</v>
      </c>
      <c r="DQ34" s="2">
        <v>1</v>
      </c>
      <c r="DR34" s="2"/>
      <c r="DS34" s="2"/>
      <c r="DT34" s="2"/>
      <c r="DU34" s="2">
        <v>1010</v>
      </c>
      <c r="DV34" s="2" t="s">
        <v>33</v>
      </c>
      <c r="DW34" s="2" t="s">
        <v>33</v>
      </c>
      <c r="DX34" s="2">
        <v>1</v>
      </c>
      <c r="DY34" s="2"/>
      <c r="DZ34" s="2" t="s">
        <v>3</v>
      </c>
      <c r="EA34" s="2" t="s">
        <v>3</v>
      </c>
      <c r="EB34" s="2" t="s">
        <v>3</v>
      </c>
      <c r="EC34" s="2" t="s">
        <v>3</v>
      </c>
      <c r="ED34" s="2"/>
      <c r="EE34" s="2">
        <v>60088638</v>
      </c>
      <c r="EF34" s="2">
        <v>130</v>
      </c>
      <c r="EG34" s="2" t="s">
        <v>43</v>
      </c>
      <c r="EH34" s="2">
        <v>0</v>
      </c>
      <c r="EI34" s="2" t="s">
        <v>3</v>
      </c>
      <c r="EJ34" s="2">
        <v>3</v>
      </c>
      <c r="EK34" s="2">
        <v>746</v>
      </c>
      <c r="EL34" s="2" t="s">
        <v>44</v>
      </c>
      <c r="EM34" s="2" t="s">
        <v>45</v>
      </c>
      <c r="EN34" s="2"/>
      <c r="EO34" s="2" t="s">
        <v>3</v>
      </c>
      <c r="EP34" s="2"/>
      <c r="EQ34" s="2">
        <v>0</v>
      </c>
      <c r="ER34" s="2">
        <v>0</v>
      </c>
      <c r="ES34" s="2">
        <v>32107.68</v>
      </c>
      <c r="ET34" s="2">
        <v>0</v>
      </c>
      <c r="EU34" s="2">
        <v>0</v>
      </c>
      <c r="EV34" s="2">
        <v>0</v>
      </c>
      <c r="EW34" s="2">
        <v>0</v>
      </c>
      <c r="EX34" s="2">
        <v>0</v>
      </c>
      <c r="EY34" s="2">
        <v>0</v>
      </c>
      <c r="EZ34" s="2"/>
      <c r="FA34" s="2"/>
      <c r="FB34" s="2"/>
      <c r="FC34" s="2"/>
      <c r="FD34" s="2"/>
      <c r="FE34" s="2"/>
      <c r="FF34" s="2"/>
      <c r="FG34" s="2"/>
      <c r="FH34" s="2"/>
      <c r="FI34" s="2"/>
      <c r="FJ34" s="2"/>
      <c r="FK34" s="2"/>
      <c r="FL34" s="2"/>
      <c r="FM34" s="2"/>
      <c r="FN34" s="2"/>
      <c r="FO34" s="2"/>
      <c r="FP34" s="2"/>
      <c r="FQ34" s="2">
        <v>0</v>
      </c>
      <c r="FR34" s="2">
        <f>P34</f>
        <v>32107.68</v>
      </c>
      <c r="FS34" s="2">
        <v>0</v>
      </c>
      <c r="FT34" s="2"/>
      <c r="FU34" s="2"/>
      <c r="FV34" s="2"/>
      <c r="FW34" s="2"/>
      <c r="FX34" s="2">
        <v>0</v>
      </c>
      <c r="FY34" s="2">
        <v>0</v>
      </c>
      <c r="FZ34" s="2"/>
      <c r="GA34" s="2" t="s">
        <v>46</v>
      </c>
      <c r="GB34" s="2"/>
      <c r="GC34" s="2"/>
      <c r="GD34" s="2">
        <v>1</v>
      </c>
      <c r="GE34" s="2"/>
      <c r="GF34" s="2">
        <v>-1433651412</v>
      </c>
      <c r="GG34" s="2">
        <v>2</v>
      </c>
      <c r="GH34" s="2">
        <v>4</v>
      </c>
      <c r="GI34" s="2">
        <v>-2</v>
      </c>
      <c r="GJ34" s="2">
        <v>0</v>
      </c>
      <c r="GK34" s="2">
        <v>0</v>
      </c>
      <c r="GL34" s="2">
        <f t="shared" si="38"/>
        <v>0</v>
      </c>
      <c r="GM34" s="2">
        <f t="shared" si="39"/>
        <v>32107.68</v>
      </c>
      <c r="GN34" s="2">
        <f t="shared" si="40"/>
        <v>0</v>
      </c>
      <c r="GO34" s="2">
        <f t="shared" si="41"/>
        <v>0</v>
      </c>
      <c r="GP34" s="2">
        <f t="shared" si="42"/>
        <v>0</v>
      </c>
      <c r="GQ34" s="2"/>
      <c r="GR34" s="2">
        <v>0</v>
      </c>
      <c r="GS34" s="2">
        <v>2</v>
      </c>
      <c r="GT34" s="2">
        <v>0</v>
      </c>
      <c r="GU34" s="2" t="s">
        <v>3</v>
      </c>
      <c r="GV34" s="2">
        <f t="shared" si="43"/>
        <v>0</v>
      </c>
      <c r="GW34" s="2">
        <v>1</v>
      </c>
      <c r="GX34" s="2">
        <f t="shared" si="44"/>
        <v>0</v>
      </c>
      <c r="GY34" s="2"/>
      <c r="GZ34" s="2"/>
      <c r="HA34" s="2">
        <v>0</v>
      </c>
      <c r="HB34" s="2">
        <v>0</v>
      </c>
      <c r="HC34" s="2">
        <f t="shared" si="45"/>
        <v>0</v>
      </c>
      <c r="HD34" s="2"/>
      <c r="HE34" s="2" t="s">
        <v>36</v>
      </c>
      <c r="HF34" s="2" t="s">
        <v>47</v>
      </c>
      <c r="HG34" s="2"/>
      <c r="HH34" s="2"/>
      <c r="HI34" s="2"/>
      <c r="HJ34" s="2"/>
      <c r="HK34" s="2"/>
      <c r="HL34" s="2"/>
      <c r="HM34" s="2" t="s">
        <v>3</v>
      </c>
      <c r="HN34" s="2" t="s">
        <v>3</v>
      </c>
      <c r="HO34" s="2" t="s">
        <v>3</v>
      </c>
      <c r="HP34" s="2" t="s">
        <v>3</v>
      </c>
      <c r="HQ34" s="2" t="s">
        <v>3</v>
      </c>
      <c r="HR34" s="2"/>
      <c r="HS34" s="2">
        <v>0</v>
      </c>
      <c r="HT34" s="2"/>
      <c r="HU34" s="2"/>
      <c r="HV34" s="2"/>
      <c r="HW34" s="2"/>
      <c r="HX34" s="2"/>
      <c r="HY34" s="2"/>
      <c r="HZ34" s="2"/>
      <c r="IA34" s="2"/>
      <c r="IB34" s="2"/>
      <c r="IC34" s="2"/>
      <c r="ID34" s="2"/>
      <c r="IE34" s="2"/>
      <c r="IF34" s="2"/>
      <c r="IG34" s="2"/>
      <c r="IH34" s="2"/>
      <c r="II34" s="2"/>
      <c r="IJ34" s="2"/>
      <c r="IK34" s="2">
        <v>0</v>
      </c>
      <c r="IL34" s="2"/>
      <c r="IM34" s="2"/>
      <c r="IN34" s="2"/>
      <c r="IO34" s="2"/>
      <c r="IP34" s="2"/>
      <c r="IQ34" s="2"/>
      <c r="IR34" s="2"/>
      <c r="IS34" s="2"/>
      <c r="IT34" s="2"/>
      <c r="IU34" s="2"/>
    </row>
    <row r="35" spans="1:255" x14ac:dyDescent="0.2">
      <c r="A35" s="3">
        <v>17</v>
      </c>
      <c r="B35" s="3">
        <v>1</v>
      </c>
      <c r="E35" s="3" t="s">
        <v>40</v>
      </c>
      <c r="F35" s="3" t="s">
        <v>41</v>
      </c>
      <c r="G35" s="3" t="s">
        <v>42</v>
      </c>
      <c r="H35" s="3" t="s">
        <v>33</v>
      </c>
      <c r="I35" s="3">
        <v>1</v>
      </c>
      <c r="J35" s="3">
        <v>0</v>
      </c>
      <c r="K35" s="3">
        <v>1</v>
      </c>
      <c r="O35" s="3">
        <f t="shared" si="21"/>
        <v>245944.83</v>
      </c>
      <c r="P35" s="3">
        <f>ROUND((ROUND((AC35*I35),2)*BC35),2)</f>
        <v>245944.83</v>
      </c>
      <c r="Q35" s="3">
        <f>(ROUND((ROUND(((ET35)*AV35*I35),2)*BB35),2)+ROUND((ROUND(((AE35-(EU35))*AV35*I35),2)*BS35),2))</f>
        <v>0</v>
      </c>
      <c r="R35" s="3">
        <f>(ROUND((ROUND(((EU35)*AV35*I35),2)*BS35),2)+ROUND((ROUND(((AE35-(EU35))*AV35*I35),2)*BS35),2))</f>
        <v>0</v>
      </c>
      <c r="S35" s="3">
        <f t="shared" si="23"/>
        <v>0</v>
      </c>
      <c r="T35" s="3">
        <f t="shared" si="24"/>
        <v>0</v>
      </c>
      <c r="U35" s="3">
        <f t="shared" si="25"/>
        <v>0</v>
      </c>
      <c r="V35" s="3">
        <f t="shared" si="26"/>
        <v>0</v>
      </c>
      <c r="W35" s="3">
        <f t="shared" si="27"/>
        <v>0</v>
      </c>
      <c r="X35" s="3">
        <f>(ROUND((((S35+ROUND((ROUND(((EU35)*AV35*I35),2)*BS35),2))*AT35)/100),2)+ROUND(((ROUND((ROUND(((AE35-(EU35))*AV35*I35),2)*BS35),2)*AT35)/100),2))</f>
        <v>0</v>
      </c>
      <c r="Y35" s="3">
        <f>(ROUND((((S35+ROUND((ROUND(((EU35)*AV35*I35),2)*BS35),2))*AU35)/100),2)+ROUND(((ROUND((ROUND(((AE35-(EU35))*AV35*I35),2)*BS35),2)*AU35)/100),2))</f>
        <v>0</v>
      </c>
      <c r="AA35" s="3">
        <v>60256402</v>
      </c>
      <c r="AB35" s="3">
        <f t="shared" si="28"/>
        <v>32107.68</v>
      </c>
      <c r="AC35" s="3">
        <f>ROUND((ES35),6)</f>
        <v>32107.68</v>
      </c>
      <c r="AD35" s="3">
        <f>ROUND((((ET35)-(EU35))+AE35),6)</f>
        <v>0</v>
      </c>
      <c r="AE35" s="3">
        <f>ROUND((EU35),6)</f>
        <v>0</v>
      </c>
      <c r="AF35" s="3">
        <f>ROUND((EV35),6)</f>
        <v>0</v>
      </c>
      <c r="AG35" s="3">
        <f t="shared" si="29"/>
        <v>0</v>
      </c>
      <c r="AH35" s="3">
        <f>(EW35)</f>
        <v>0</v>
      </c>
      <c r="AI35" s="3">
        <f>(EX35)</f>
        <v>0</v>
      </c>
      <c r="AJ35" s="3">
        <f t="shared" si="30"/>
        <v>0</v>
      </c>
      <c r="AK35" s="3">
        <v>32107.68</v>
      </c>
      <c r="AL35" s="3">
        <v>32107.68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1</v>
      </c>
      <c r="AW35" s="3">
        <v>1</v>
      </c>
      <c r="AZ35" s="3">
        <v>1</v>
      </c>
      <c r="BA35" s="3">
        <v>1</v>
      </c>
      <c r="BB35" s="3">
        <v>1</v>
      </c>
      <c r="BC35" s="3">
        <v>7.66</v>
      </c>
      <c r="BD35" s="3" t="s">
        <v>3</v>
      </c>
      <c r="BE35" s="3" t="s">
        <v>3</v>
      </c>
      <c r="BF35" s="3" t="s">
        <v>3</v>
      </c>
      <c r="BG35" s="3" t="s">
        <v>3</v>
      </c>
      <c r="BH35" s="3">
        <v>3</v>
      </c>
      <c r="BI35" s="3">
        <v>3</v>
      </c>
      <c r="BJ35" s="3" t="s">
        <v>3</v>
      </c>
      <c r="BM35" s="3">
        <v>746</v>
      </c>
      <c r="BN35" s="3">
        <v>0</v>
      </c>
      <c r="BO35" s="3" t="s">
        <v>3</v>
      </c>
      <c r="BP35" s="3">
        <v>0</v>
      </c>
      <c r="BQ35" s="3">
        <v>130</v>
      </c>
      <c r="BR35" s="3">
        <v>0</v>
      </c>
      <c r="BS35" s="3">
        <v>1</v>
      </c>
      <c r="BT35" s="3">
        <v>1</v>
      </c>
      <c r="BU35" s="3">
        <v>1</v>
      </c>
      <c r="BV35" s="3">
        <v>1</v>
      </c>
      <c r="BW35" s="3">
        <v>1</v>
      </c>
      <c r="BX35" s="3">
        <v>1</v>
      </c>
      <c r="BY35" s="3" t="s">
        <v>3</v>
      </c>
      <c r="BZ35" s="3">
        <v>0</v>
      </c>
      <c r="CA35" s="3">
        <v>0</v>
      </c>
      <c r="CB35" s="3" t="s">
        <v>3</v>
      </c>
      <c r="CE35" s="3">
        <v>1566</v>
      </c>
      <c r="CF35" s="3">
        <v>0</v>
      </c>
      <c r="CG35" s="3">
        <v>0</v>
      </c>
      <c r="CM35" s="3">
        <v>0</v>
      </c>
      <c r="CN35" s="3" t="s">
        <v>3</v>
      </c>
      <c r="CO35" s="3">
        <v>0</v>
      </c>
      <c r="CP35" s="3">
        <f t="shared" si="31"/>
        <v>245944.83</v>
      </c>
      <c r="CQ35" s="3">
        <f>ROUND((ROUND((AC35*1),2)*BC35),2)</f>
        <v>245944.83</v>
      </c>
      <c r="CR35" s="3">
        <f>(ROUND((ROUND(((ET35)*AV35*1),2)*BB35),2)+ROUND((ROUND(((AE35-(EU35))*AV35*1),2)*BS35),2))</f>
        <v>0</v>
      </c>
      <c r="CS35" s="3">
        <f>(ROUND((ROUND(((EU35)*AV35*1),2)*BS35),2)+ROUND((ROUND(((AE35-(EU35))*AV35*1),2)*BS35),2))</f>
        <v>0</v>
      </c>
      <c r="CT35" s="3">
        <f t="shared" si="33"/>
        <v>0</v>
      </c>
      <c r="CU35" s="3">
        <f t="shared" si="34"/>
        <v>0</v>
      </c>
      <c r="CV35" s="3">
        <f t="shared" si="35"/>
        <v>0</v>
      </c>
      <c r="CW35" s="3">
        <f t="shared" si="36"/>
        <v>0</v>
      </c>
      <c r="CX35" s="3">
        <f t="shared" si="37"/>
        <v>0</v>
      </c>
      <c r="CY35" s="3">
        <f>(ROUND((((S35+ROUND((ROUND(((EU35)*AV35*1),2)*BS35),2))*AT35)/100),2)+ROUND(((ROUND((ROUND(((AE35-(EU35))*AV35*1),2)*BS35),2)*AT35)/100),2))</f>
        <v>0</v>
      </c>
      <c r="CZ35" s="3">
        <f>(ROUND((((S35+ROUND((ROUND(((EU35)*AV35*1),2)*BS35),2))*AU35)/100),2)+ROUND(((ROUND((ROUND(((AE35-(EU35))*AV35*1),2)*BS35),2)*AU35)/100),2))</f>
        <v>0</v>
      </c>
      <c r="DC35" s="3" t="s">
        <v>3</v>
      </c>
      <c r="DD35" s="3" t="s">
        <v>3</v>
      </c>
      <c r="DE35" s="3" t="s">
        <v>3</v>
      </c>
      <c r="DF35" s="3" t="s">
        <v>3</v>
      </c>
      <c r="DG35" s="3" t="s">
        <v>3</v>
      </c>
      <c r="DH35" s="3" t="s">
        <v>3</v>
      </c>
      <c r="DI35" s="3" t="s">
        <v>3</v>
      </c>
      <c r="DJ35" s="3" t="s">
        <v>3</v>
      </c>
      <c r="DK35" s="3" t="s">
        <v>3</v>
      </c>
      <c r="DL35" s="3" t="s">
        <v>3</v>
      </c>
      <c r="DM35" s="3" t="s">
        <v>3</v>
      </c>
      <c r="DN35" s="3">
        <v>0</v>
      </c>
      <c r="DO35" s="3">
        <v>0</v>
      </c>
      <c r="DP35" s="3">
        <v>1</v>
      </c>
      <c r="DQ35" s="3">
        <v>1</v>
      </c>
      <c r="DU35" s="3">
        <v>1010</v>
      </c>
      <c r="DV35" s="3" t="s">
        <v>33</v>
      </c>
      <c r="DW35" s="3" t="s">
        <v>33</v>
      </c>
      <c r="DX35" s="3">
        <v>1</v>
      </c>
      <c r="DZ35" s="3" t="s">
        <v>3</v>
      </c>
      <c r="EA35" s="3" t="s">
        <v>3</v>
      </c>
      <c r="EB35" s="3" t="s">
        <v>3</v>
      </c>
      <c r="EC35" s="3" t="s">
        <v>3</v>
      </c>
      <c r="EE35" s="3">
        <v>60088638</v>
      </c>
      <c r="EF35" s="3">
        <v>130</v>
      </c>
      <c r="EG35" s="3" t="s">
        <v>43</v>
      </c>
      <c r="EH35" s="3">
        <v>0</v>
      </c>
      <c r="EI35" s="3" t="s">
        <v>3</v>
      </c>
      <c r="EJ35" s="3">
        <v>3</v>
      </c>
      <c r="EK35" s="3">
        <v>746</v>
      </c>
      <c r="EL35" s="3" t="s">
        <v>44</v>
      </c>
      <c r="EM35" s="3" t="s">
        <v>45</v>
      </c>
      <c r="EO35" s="3" t="s">
        <v>3</v>
      </c>
      <c r="EQ35" s="3">
        <v>0</v>
      </c>
      <c r="ER35" s="3">
        <v>24359.210000000003</v>
      </c>
      <c r="ES35" s="3">
        <v>32107.68</v>
      </c>
      <c r="ET35" s="3">
        <v>0</v>
      </c>
      <c r="EU35" s="3">
        <v>0</v>
      </c>
      <c r="EV35" s="3">
        <v>0</v>
      </c>
      <c r="EW35" s="3">
        <v>0</v>
      </c>
      <c r="EX35" s="3">
        <v>0</v>
      </c>
      <c r="EY35" s="3">
        <v>0</v>
      </c>
      <c r="EZ35" s="3">
        <v>5</v>
      </c>
      <c r="FC35" s="3">
        <v>1</v>
      </c>
      <c r="FD35" s="3">
        <v>18</v>
      </c>
      <c r="FF35" s="3">
        <v>283140</v>
      </c>
      <c r="FQ35" s="3">
        <v>0</v>
      </c>
      <c r="FR35" s="3">
        <f>P35</f>
        <v>245944.83</v>
      </c>
      <c r="FS35" s="3">
        <v>0</v>
      </c>
      <c r="FX35" s="3">
        <v>0</v>
      </c>
      <c r="FY35" s="3">
        <v>0</v>
      </c>
      <c r="GA35" s="3" t="s">
        <v>46</v>
      </c>
      <c r="GD35" s="3">
        <v>1</v>
      </c>
      <c r="GF35" s="3">
        <v>-1433651412</v>
      </c>
      <c r="GG35" s="3">
        <v>2</v>
      </c>
      <c r="GH35" s="3">
        <v>3</v>
      </c>
      <c r="GI35" s="3">
        <v>5</v>
      </c>
      <c r="GJ35" s="3">
        <v>0</v>
      </c>
      <c r="GK35" s="3">
        <v>0</v>
      </c>
      <c r="GL35" s="3">
        <f t="shared" si="38"/>
        <v>0</v>
      </c>
      <c r="GM35" s="3">
        <f t="shared" si="39"/>
        <v>245944.83</v>
      </c>
      <c r="GN35" s="3">
        <f t="shared" si="40"/>
        <v>0</v>
      </c>
      <c r="GO35" s="3">
        <f t="shared" si="41"/>
        <v>0</v>
      </c>
      <c r="GP35" s="3">
        <f t="shared" si="42"/>
        <v>0</v>
      </c>
      <c r="GR35" s="3">
        <v>1</v>
      </c>
      <c r="GS35" s="3">
        <v>1</v>
      </c>
      <c r="GT35" s="3">
        <v>0</v>
      </c>
      <c r="GU35" s="3" t="s">
        <v>3</v>
      </c>
      <c r="GV35" s="3">
        <f t="shared" si="43"/>
        <v>0</v>
      </c>
      <c r="GW35" s="3">
        <v>1</v>
      </c>
      <c r="GX35" s="3">
        <f t="shared" si="44"/>
        <v>0</v>
      </c>
      <c r="HA35" s="3">
        <v>0</v>
      </c>
      <c r="HB35" s="3">
        <v>0</v>
      </c>
      <c r="HC35" s="3">
        <f t="shared" si="45"/>
        <v>0</v>
      </c>
      <c r="HE35" s="3" t="s">
        <v>36</v>
      </c>
      <c r="HF35" s="3" t="s">
        <v>47</v>
      </c>
      <c r="HM35" s="3" t="s">
        <v>3</v>
      </c>
      <c r="HN35" s="3" t="s">
        <v>3</v>
      </c>
      <c r="HO35" s="3" t="s">
        <v>3</v>
      </c>
      <c r="HP35" s="3" t="s">
        <v>3</v>
      </c>
      <c r="HQ35" s="3" t="s">
        <v>3</v>
      </c>
      <c r="HS35" s="3">
        <v>0</v>
      </c>
      <c r="IK35" s="3">
        <v>0</v>
      </c>
    </row>
    <row r="36" spans="1:255" x14ac:dyDescent="0.2">
      <c r="A36" s="2">
        <v>17</v>
      </c>
      <c r="B36" s="2">
        <v>1</v>
      </c>
      <c r="C36" s="2">
        <f>ROW(SmtRes!A24)</f>
        <v>24</v>
      </c>
      <c r="D36" s="2">
        <f>ROW(EtalonRes!A29)</f>
        <v>29</v>
      </c>
      <c r="E36" s="2" t="s">
        <v>48</v>
      </c>
      <c r="F36" s="2" t="s">
        <v>49</v>
      </c>
      <c r="G36" s="2" t="s">
        <v>50</v>
      </c>
      <c r="H36" s="2" t="s">
        <v>22</v>
      </c>
      <c r="I36" s="2">
        <v>1</v>
      </c>
      <c r="J36" s="2">
        <v>0</v>
      </c>
      <c r="K36" s="2">
        <v>1</v>
      </c>
      <c r="L36" s="2"/>
      <c r="M36" s="2"/>
      <c r="N36" s="2"/>
      <c r="O36" s="2">
        <f t="shared" si="21"/>
        <v>14</v>
      </c>
      <c r="P36" s="2">
        <f>ROUND((ROUND((AC36*AW36*I36),2)*BC36),2)</f>
        <v>0</v>
      </c>
      <c r="Q36" s="2">
        <f>(ROUND((ROUND((((ET36*1.1))*AV36*I36),2)*BB36),2)+ROUND((ROUND(((AE36-((EU36*1.1)))*AV36*I36),2)*BS36),2))</f>
        <v>0.57999999999999996</v>
      </c>
      <c r="R36" s="2">
        <f>(ROUND((ROUND((((EU36*1.1))*AV36*I36),2)*BS36),2)+ROUND((ROUND(((AE36-((EU36*1.1)))*AV36*I36),2)*BS36),2))</f>
        <v>0.09</v>
      </c>
      <c r="S36" s="2">
        <f t="shared" si="23"/>
        <v>13.42</v>
      </c>
      <c r="T36" s="2">
        <f t="shared" si="24"/>
        <v>0</v>
      </c>
      <c r="U36" s="2">
        <f t="shared" si="25"/>
        <v>1.1862510000000002</v>
      </c>
      <c r="V36" s="2">
        <f t="shared" si="26"/>
        <v>0</v>
      </c>
      <c r="W36" s="2">
        <f t="shared" si="27"/>
        <v>0</v>
      </c>
      <c r="X36" s="2">
        <f>(ROUND((((S36+ROUND((ROUND((((EU36*1.1))*AV36*I36),2)*BS36),2))*AT36)/100),2)+ROUND(((ROUND((ROUND(((AE36-((EU36*1.1)))*AV36*I36),2)*BS36),2)*AT36)/100),2))</f>
        <v>12.16</v>
      </c>
      <c r="Y36" s="2">
        <f>(ROUND((((S36+ROUND((ROUND((((EU36*1.1))*AV36*I36),2)*BS36),2))*AU36)/100),2)+ROUND(((ROUND((ROUND(((AE36-((EU36*1.1)))*AV36*I36),2)*BS36),2)*AU36)/100),2))</f>
        <v>6.21</v>
      </c>
      <c r="Z36" s="2"/>
      <c r="AA36" s="2">
        <v>60256405</v>
      </c>
      <c r="AB36" s="2">
        <f t="shared" si="28"/>
        <v>13.365</v>
      </c>
      <c r="AC36" s="2">
        <f>ROUND(((ES36*1)),6)</f>
        <v>0</v>
      </c>
      <c r="AD36" s="2">
        <f>ROUND(((((ET36*1.1))-((EU36*1.1)))+AE36),6)</f>
        <v>0.55000000000000004</v>
      </c>
      <c r="AE36" s="2">
        <f>ROUND(((EU36*1.1)),6)</f>
        <v>8.7999999999999995E-2</v>
      </c>
      <c r="AF36" s="2">
        <f>ROUND(((EV36*1.1)),6)</f>
        <v>12.815</v>
      </c>
      <c r="AG36" s="2">
        <f t="shared" si="29"/>
        <v>0</v>
      </c>
      <c r="AH36" s="2">
        <f>((EW36*1.1))</f>
        <v>1.1330000000000002</v>
      </c>
      <c r="AI36" s="2">
        <f>((EX36*1.1))</f>
        <v>0</v>
      </c>
      <c r="AJ36" s="2">
        <f t="shared" si="30"/>
        <v>0</v>
      </c>
      <c r="AK36" s="2">
        <v>12.15</v>
      </c>
      <c r="AL36" s="2">
        <v>0</v>
      </c>
      <c r="AM36" s="2">
        <v>0.5</v>
      </c>
      <c r="AN36" s="2">
        <v>0.08</v>
      </c>
      <c r="AO36" s="2">
        <v>11.65</v>
      </c>
      <c r="AP36" s="2">
        <v>0</v>
      </c>
      <c r="AQ36" s="2">
        <v>1.03</v>
      </c>
      <c r="AR36" s="2">
        <v>0</v>
      </c>
      <c r="AS36" s="2">
        <v>0</v>
      </c>
      <c r="AT36" s="2">
        <v>90</v>
      </c>
      <c r="AU36" s="2">
        <v>46</v>
      </c>
      <c r="AV36" s="2">
        <v>1.0469999999999999</v>
      </c>
      <c r="AW36" s="2">
        <v>1</v>
      </c>
      <c r="AX36" s="2"/>
      <c r="AY36" s="2"/>
      <c r="AZ36" s="2">
        <v>1</v>
      </c>
      <c r="BA36" s="2">
        <v>1</v>
      </c>
      <c r="BB36" s="2">
        <v>1</v>
      </c>
      <c r="BC36" s="2">
        <v>1</v>
      </c>
      <c r="BD36" s="2" t="s">
        <v>3</v>
      </c>
      <c r="BE36" s="2" t="s">
        <v>3</v>
      </c>
      <c r="BF36" s="2" t="s">
        <v>3</v>
      </c>
      <c r="BG36" s="2" t="s">
        <v>3</v>
      </c>
      <c r="BH36" s="2">
        <v>0</v>
      </c>
      <c r="BI36" s="2">
        <v>2</v>
      </c>
      <c r="BJ36" s="2" t="s">
        <v>51</v>
      </c>
      <c r="BK36" s="2"/>
      <c r="BL36" s="2"/>
      <c r="BM36" s="2">
        <v>72</v>
      </c>
      <c r="BN36" s="2">
        <v>58973116</v>
      </c>
      <c r="BO36" s="2" t="s">
        <v>49</v>
      </c>
      <c r="BP36" s="2">
        <v>1</v>
      </c>
      <c r="BQ36" s="2">
        <v>40</v>
      </c>
      <c r="BR36" s="2">
        <v>0</v>
      </c>
      <c r="BS36" s="2">
        <v>1</v>
      </c>
      <c r="BT36" s="2">
        <v>1</v>
      </c>
      <c r="BU36" s="2">
        <v>1</v>
      </c>
      <c r="BV36" s="2">
        <v>1</v>
      </c>
      <c r="BW36" s="2">
        <v>1</v>
      </c>
      <c r="BX36" s="2">
        <v>1</v>
      </c>
      <c r="BY36" s="2" t="s">
        <v>3</v>
      </c>
      <c r="BZ36" s="2">
        <v>90</v>
      </c>
      <c r="CA36" s="2">
        <v>46</v>
      </c>
      <c r="CB36" s="2" t="s">
        <v>3</v>
      </c>
      <c r="CC36" s="2"/>
      <c r="CD36" s="2"/>
      <c r="CE36" s="2">
        <v>1566</v>
      </c>
      <c r="CF36" s="2">
        <v>0</v>
      </c>
      <c r="CG36" s="2">
        <v>0</v>
      </c>
      <c r="CH36" s="2"/>
      <c r="CI36" s="2"/>
      <c r="CJ36" s="2"/>
      <c r="CK36" s="2"/>
      <c r="CL36" s="2"/>
      <c r="CM36" s="2">
        <v>0</v>
      </c>
      <c r="CN36" s="2" t="s">
        <v>369</v>
      </c>
      <c r="CO36" s="2">
        <v>0</v>
      </c>
      <c r="CP36" s="2">
        <f t="shared" si="31"/>
        <v>14</v>
      </c>
      <c r="CQ36" s="2">
        <f>ROUND((ROUND((AC36*AW36*1),2)*BC36),2)</f>
        <v>0</v>
      </c>
      <c r="CR36" s="2">
        <f>(ROUND((ROUND((((ET36*1.1))*AV36*1),2)*BB36),2)+ROUND((ROUND(((AE36-((EU36*1.1)))*AV36*1),2)*BS36),2))</f>
        <v>0.57999999999999996</v>
      </c>
      <c r="CS36" s="2">
        <f>(ROUND((ROUND((((EU36*1.1))*AV36*1),2)*BS36),2)+ROUND((ROUND(((AE36-((EU36*1.1)))*AV36*1),2)*BS36),2))</f>
        <v>0.09</v>
      </c>
      <c r="CT36" s="2">
        <f t="shared" si="33"/>
        <v>13.42</v>
      </c>
      <c r="CU36" s="2">
        <f t="shared" si="34"/>
        <v>0</v>
      </c>
      <c r="CV36" s="2">
        <f t="shared" si="35"/>
        <v>1.1862510000000002</v>
      </c>
      <c r="CW36" s="2">
        <f t="shared" si="36"/>
        <v>0</v>
      </c>
      <c r="CX36" s="2">
        <f t="shared" si="37"/>
        <v>0</v>
      </c>
      <c r="CY36" s="2">
        <f>(ROUND((((S36+ROUND((ROUND((((EU36*1.1))*AV36*1),2)*BS36),2))*AT36)/100),2)+ROUND(((ROUND((ROUND(((AE36-((EU36*1.1)))*AV36*1),2)*BS36),2)*AT36)/100),2))</f>
        <v>12.16</v>
      </c>
      <c r="CZ36" s="2">
        <f>(ROUND((((S36+ROUND((ROUND((((EU36*1.1))*AV36*1),2)*BS36),2))*AU36)/100),2)+ROUND(((ROUND((ROUND(((AE36-((EU36*1.1)))*AV36*1),2)*BS36),2)*AU36)/100),2))</f>
        <v>6.21</v>
      </c>
      <c r="DA36" s="2"/>
      <c r="DB36" s="2">
        <v>5</v>
      </c>
      <c r="DC36" s="2" t="s">
        <v>3</v>
      </c>
      <c r="DD36" s="2" t="s">
        <v>24</v>
      </c>
      <c r="DE36" s="2" t="s">
        <v>25</v>
      </c>
      <c r="DF36" s="2" t="s">
        <v>25</v>
      </c>
      <c r="DG36" s="2" t="s">
        <v>25</v>
      </c>
      <c r="DH36" s="2" t="s">
        <v>3</v>
      </c>
      <c r="DI36" s="2" t="s">
        <v>25</v>
      </c>
      <c r="DJ36" s="2" t="s">
        <v>25</v>
      </c>
      <c r="DK36" s="2" t="s">
        <v>3</v>
      </c>
      <c r="DL36" s="2" t="s">
        <v>3</v>
      </c>
      <c r="DM36" s="2" t="s">
        <v>3</v>
      </c>
      <c r="DN36" s="2">
        <v>0</v>
      </c>
      <c r="DO36" s="2">
        <v>0</v>
      </c>
      <c r="DP36" s="2">
        <v>1</v>
      </c>
      <c r="DQ36" s="2">
        <v>1</v>
      </c>
      <c r="DR36" s="2"/>
      <c r="DS36" s="2"/>
      <c r="DT36" s="2"/>
      <c r="DU36" s="2">
        <v>1013</v>
      </c>
      <c r="DV36" s="2" t="s">
        <v>22</v>
      </c>
      <c r="DW36" s="2" t="s">
        <v>22</v>
      </c>
      <c r="DX36" s="2">
        <v>1</v>
      </c>
      <c r="DY36" s="2"/>
      <c r="DZ36" s="2" t="s">
        <v>3</v>
      </c>
      <c r="EA36" s="2" t="s">
        <v>3</v>
      </c>
      <c r="EB36" s="2" t="s">
        <v>3</v>
      </c>
      <c r="EC36" s="2" t="s">
        <v>3</v>
      </c>
      <c r="ED36" s="2"/>
      <c r="EE36" s="2">
        <v>60088536</v>
      </c>
      <c r="EF36" s="2">
        <v>40</v>
      </c>
      <c r="EG36" s="2" t="s">
        <v>26</v>
      </c>
      <c r="EH36" s="2">
        <v>0</v>
      </c>
      <c r="EI36" s="2" t="s">
        <v>3</v>
      </c>
      <c r="EJ36" s="2">
        <v>2</v>
      </c>
      <c r="EK36" s="2">
        <v>72</v>
      </c>
      <c r="EL36" s="2" t="s">
        <v>52</v>
      </c>
      <c r="EM36" s="2" t="s">
        <v>53</v>
      </c>
      <c r="EN36" s="2"/>
      <c r="EO36" s="2" t="s">
        <v>29</v>
      </c>
      <c r="EP36" s="2"/>
      <c r="EQ36" s="2">
        <v>0</v>
      </c>
      <c r="ER36" s="2">
        <v>12.15</v>
      </c>
      <c r="ES36" s="2">
        <v>0</v>
      </c>
      <c r="ET36" s="2">
        <v>0.5</v>
      </c>
      <c r="EU36" s="2">
        <v>0.08</v>
      </c>
      <c r="EV36" s="2">
        <v>11.65</v>
      </c>
      <c r="EW36" s="2">
        <v>1.03</v>
      </c>
      <c r="EX36" s="2">
        <v>0</v>
      </c>
      <c r="EY36" s="2">
        <v>0</v>
      </c>
      <c r="EZ36" s="2"/>
      <c r="FA36" s="2"/>
      <c r="FB36" s="2"/>
      <c r="FC36" s="2"/>
      <c r="FD36" s="2"/>
      <c r="FE36" s="2"/>
      <c r="FF36" s="2"/>
      <c r="FG36" s="2"/>
      <c r="FH36" s="2"/>
      <c r="FI36" s="2"/>
      <c r="FJ36" s="2"/>
      <c r="FK36" s="2"/>
      <c r="FL36" s="2"/>
      <c r="FM36" s="2"/>
      <c r="FN36" s="2"/>
      <c r="FO36" s="2"/>
      <c r="FP36" s="2"/>
      <c r="FQ36" s="2">
        <v>0</v>
      </c>
      <c r="FR36" s="2">
        <v>0</v>
      </c>
      <c r="FS36" s="2">
        <v>0</v>
      </c>
      <c r="FT36" s="2"/>
      <c r="FU36" s="2"/>
      <c r="FV36" s="2"/>
      <c r="FW36" s="2"/>
      <c r="FX36" s="2">
        <v>90</v>
      </c>
      <c r="FY36" s="2">
        <v>46</v>
      </c>
      <c r="FZ36" s="2"/>
      <c r="GA36" s="2" t="s">
        <v>3</v>
      </c>
      <c r="GB36" s="2"/>
      <c r="GC36" s="2"/>
      <c r="GD36" s="2">
        <v>1</v>
      </c>
      <c r="GE36" s="2"/>
      <c r="GF36" s="2">
        <v>1708693888</v>
      </c>
      <c r="GG36" s="2">
        <v>2</v>
      </c>
      <c r="GH36" s="2">
        <v>1</v>
      </c>
      <c r="GI36" s="2">
        <v>2</v>
      </c>
      <c r="GJ36" s="2">
        <v>0</v>
      </c>
      <c r="GK36" s="2">
        <v>0</v>
      </c>
      <c r="GL36" s="2">
        <f t="shared" si="38"/>
        <v>0</v>
      </c>
      <c r="GM36" s="2">
        <f t="shared" si="39"/>
        <v>32.369999999999997</v>
      </c>
      <c r="GN36" s="2">
        <f t="shared" si="40"/>
        <v>0</v>
      </c>
      <c r="GO36" s="2">
        <f t="shared" si="41"/>
        <v>32.369999999999997</v>
      </c>
      <c r="GP36" s="2">
        <f t="shared" si="42"/>
        <v>0</v>
      </c>
      <c r="GQ36" s="2"/>
      <c r="GR36" s="2">
        <v>0</v>
      </c>
      <c r="GS36" s="2">
        <v>3</v>
      </c>
      <c r="GT36" s="2">
        <v>0</v>
      </c>
      <c r="GU36" s="2" t="s">
        <v>3</v>
      </c>
      <c r="GV36" s="2">
        <f t="shared" si="43"/>
        <v>0</v>
      </c>
      <c r="GW36" s="2">
        <v>1</v>
      </c>
      <c r="GX36" s="2">
        <f t="shared" si="44"/>
        <v>0</v>
      </c>
      <c r="GY36" s="2"/>
      <c r="GZ36" s="2"/>
      <c r="HA36" s="2">
        <v>0</v>
      </c>
      <c r="HB36" s="2">
        <v>0</v>
      </c>
      <c r="HC36" s="2">
        <f t="shared" si="45"/>
        <v>0</v>
      </c>
      <c r="HD36" s="2"/>
      <c r="HE36" s="2" t="s">
        <v>3</v>
      </c>
      <c r="HF36" s="2" t="s">
        <v>3</v>
      </c>
      <c r="HG36" s="2"/>
      <c r="HH36" s="2"/>
      <c r="HI36" s="2"/>
      <c r="HJ36" s="2"/>
      <c r="HK36" s="2"/>
      <c r="HL36" s="2"/>
      <c r="HM36" s="2" t="s">
        <v>3</v>
      </c>
      <c r="HN36" s="2" t="s">
        <v>3</v>
      </c>
      <c r="HO36" s="2" t="s">
        <v>3</v>
      </c>
      <c r="HP36" s="2" t="s">
        <v>3</v>
      </c>
      <c r="HQ36" s="2" t="s">
        <v>3</v>
      </c>
      <c r="HR36" s="2"/>
      <c r="HS36" s="2">
        <v>0</v>
      </c>
      <c r="HT36" s="2"/>
      <c r="HU36" s="2"/>
      <c r="HV36" s="2"/>
      <c r="HW36" s="2"/>
      <c r="HX36" s="2"/>
      <c r="HY36" s="2"/>
      <c r="HZ36" s="2"/>
      <c r="IA36" s="2"/>
      <c r="IB36" s="2"/>
      <c r="IC36" s="2"/>
      <c r="ID36" s="2"/>
      <c r="IE36" s="2"/>
      <c r="IF36" s="2"/>
      <c r="IG36" s="2"/>
      <c r="IH36" s="2"/>
      <c r="II36" s="2"/>
      <c r="IJ36" s="2"/>
      <c r="IK36" s="2">
        <v>0</v>
      </c>
      <c r="IL36" s="2"/>
      <c r="IM36" s="2"/>
      <c r="IN36" s="2"/>
      <c r="IO36" s="2"/>
      <c r="IP36" s="2"/>
      <c r="IQ36" s="2"/>
      <c r="IR36" s="2"/>
      <c r="IS36" s="2"/>
      <c r="IT36" s="2"/>
      <c r="IU36" s="2"/>
    </row>
    <row r="37" spans="1:255" x14ac:dyDescent="0.2">
      <c r="A37" s="3">
        <v>17</v>
      </c>
      <c r="B37" s="3">
        <v>1</v>
      </c>
      <c r="C37" s="3">
        <f>ROW(SmtRes!A26)</f>
        <v>26</v>
      </c>
      <c r="D37" s="3">
        <f>ROW(EtalonRes!A32)</f>
        <v>32</v>
      </c>
      <c r="E37" s="3" t="s">
        <v>48</v>
      </c>
      <c r="F37" s="3" t="s">
        <v>49</v>
      </c>
      <c r="G37" s="3" t="s">
        <v>50</v>
      </c>
      <c r="H37" s="3" t="s">
        <v>22</v>
      </c>
      <c r="I37" s="3">
        <v>1</v>
      </c>
      <c r="J37" s="3">
        <v>0</v>
      </c>
      <c r="K37" s="3">
        <v>1</v>
      </c>
      <c r="O37" s="3">
        <f t="shared" si="21"/>
        <v>747.4</v>
      </c>
      <c r="P37" s="3">
        <f>ROUND((ROUND((AC37*AW37*I37),2)*BC37),2)</f>
        <v>0</v>
      </c>
      <c r="Q37" s="3">
        <f>(ROUND((ROUND((((ET37*1.1))*AV37*I37),2)*BB37),2)+ROUND((ROUND(((AE37-((EU37*1.1)))*AV37*I37),2)*BS37),2))</f>
        <v>9.43</v>
      </c>
      <c r="R37" s="3">
        <f>(ROUND((ROUND((((EU37*1.1))*AV37*I37),2)*BS37),2)+ROUND((ROUND(((AE37-((EU37*1.1)))*AV37*I37),2)*BS37),2))</f>
        <v>4.95</v>
      </c>
      <c r="S37" s="3">
        <f t="shared" si="23"/>
        <v>737.97</v>
      </c>
      <c r="T37" s="3">
        <f t="shared" si="24"/>
        <v>0</v>
      </c>
      <c r="U37" s="3">
        <f t="shared" si="25"/>
        <v>1.1862510000000002</v>
      </c>
      <c r="V37" s="3">
        <f t="shared" si="26"/>
        <v>0</v>
      </c>
      <c r="W37" s="3">
        <f t="shared" si="27"/>
        <v>0</v>
      </c>
      <c r="X37" s="3">
        <f>(ROUND((((S37+ROUND((ROUND((((EU37*1.1))*AV37*I37),2)*BS37),2))*AT37)/100),2)+ROUND(((ROUND((ROUND(((AE37-((EU37*1.1)))*AV37*I37),2)*BS37),2)*AT37)/100),2))</f>
        <v>668.63</v>
      </c>
      <c r="Y37" s="3">
        <f>(ROUND((((S37+ROUND((ROUND((((EU37*1.1))*AV37*I37),2)*BS37),2))*AU37)/100),2)+ROUND(((ROUND((ROUND(((AE37-((EU37*1.1)))*AV37*I37),2)*BS37),2)*AU37)/100),2))</f>
        <v>341.74</v>
      </c>
      <c r="AA37" s="3">
        <v>60256402</v>
      </c>
      <c r="AB37" s="3">
        <f t="shared" si="28"/>
        <v>13.365</v>
      </c>
      <c r="AC37" s="3">
        <f>ROUND(((ES37*1)),6)</f>
        <v>0</v>
      </c>
      <c r="AD37" s="3">
        <f>ROUND(((((ET37*1.1))-((EU37*1.1)))+AE37),6)</f>
        <v>0.55000000000000004</v>
      </c>
      <c r="AE37" s="3">
        <f>ROUND(((EU37*1.1)),6)</f>
        <v>8.7999999999999995E-2</v>
      </c>
      <c r="AF37" s="3">
        <f>ROUND(((EV37*1.1)),6)</f>
        <v>12.815</v>
      </c>
      <c r="AG37" s="3">
        <f t="shared" si="29"/>
        <v>0</v>
      </c>
      <c r="AH37" s="3">
        <f>((EW37*1.1))</f>
        <v>1.1330000000000002</v>
      </c>
      <c r="AI37" s="3">
        <f>((EX37*1.1))</f>
        <v>0</v>
      </c>
      <c r="AJ37" s="3">
        <f t="shared" si="30"/>
        <v>0</v>
      </c>
      <c r="AK37" s="3">
        <v>12.15</v>
      </c>
      <c r="AL37" s="3">
        <v>0</v>
      </c>
      <c r="AM37" s="3">
        <v>0.5</v>
      </c>
      <c r="AN37" s="3">
        <v>0.08</v>
      </c>
      <c r="AO37" s="3">
        <v>11.65</v>
      </c>
      <c r="AP37" s="3">
        <v>0</v>
      </c>
      <c r="AQ37" s="3">
        <v>1.03</v>
      </c>
      <c r="AR37" s="3">
        <v>0</v>
      </c>
      <c r="AS37" s="3">
        <v>0</v>
      </c>
      <c r="AT37" s="3">
        <v>90</v>
      </c>
      <c r="AU37" s="3">
        <v>46</v>
      </c>
      <c r="AV37" s="3">
        <v>1.0469999999999999</v>
      </c>
      <c r="AW37" s="3">
        <v>1</v>
      </c>
      <c r="AZ37" s="3">
        <v>1</v>
      </c>
      <c r="BA37" s="3">
        <v>54.99</v>
      </c>
      <c r="BB37" s="3">
        <v>16.260000000000002</v>
      </c>
      <c r="BC37" s="3">
        <v>1</v>
      </c>
      <c r="BD37" s="3" t="s">
        <v>3</v>
      </c>
      <c r="BE37" s="3" t="s">
        <v>3</v>
      </c>
      <c r="BF37" s="3" t="s">
        <v>3</v>
      </c>
      <c r="BG37" s="3" t="s">
        <v>3</v>
      </c>
      <c r="BH37" s="3">
        <v>0</v>
      </c>
      <c r="BI37" s="3">
        <v>2</v>
      </c>
      <c r="BJ37" s="3" t="s">
        <v>51</v>
      </c>
      <c r="BM37" s="3">
        <v>72</v>
      </c>
      <c r="BN37" s="3">
        <v>58973116</v>
      </c>
      <c r="BO37" s="3" t="s">
        <v>49</v>
      </c>
      <c r="BP37" s="3">
        <v>1</v>
      </c>
      <c r="BQ37" s="3">
        <v>40</v>
      </c>
      <c r="BR37" s="3">
        <v>0</v>
      </c>
      <c r="BS37" s="3">
        <v>54.99</v>
      </c>
      <c r="BT37" s="3">
        <v>1</v>
      </c>
      <c r="BU37" s="3">
        <v>1</v>
      </c>
      <c r="BV37" s="3">
        <v>1</v>
      </c>
      <c r="BW37" s="3">
        <v>1</v>
      </c>
      <c r="BX37" s="3">
        <v>1</v>
      </c>
      <c r="BY37" s="3" t="s">
        <v>3</v>
      </c>
      <c r="BZ37" s="3">
        <v>90</v>
      </c>
      <c r="CA37" s="3">
        <v>46</v>
      </c>
      <c r="CB37" s="3" t="s">
        <v>3</v>
      </c>
      <c r="CE37" s="3">
        <v>1566</v>
      </c>
      <c r="CF37" s="3">
        <v>0</v>
      </c>
      <c r="CG37" s="3">
        <v>0</v>
      </c>
      <c r="CM37" s="3">
        <v>0</v>
      </c>
      <c r="CN37" s="3" t="s">
        <v>369</v>
      </c>
      <c r="CO37" s="3">
        <v>0</v>
      </c>
      <c r="CP37" s="3">
        <f t="shared" si="31"/>
        <v>747.4</v>
      </c>
      <c r="CQ37" s="3">
        <f>ROUND((ROUND((AC37*AW37*1),2)*BC37),2)</f>
        <v>0</v>
      </c>
      <c r="CR37" s="3">
        <f>(ROUND((ROUND((((ET37*1.1))*AV37*1),2)*BB37),2)+ROUND((ROUND(((AE37-((EU37*1.1)))*AV37*1),2)*BS37),2))</f>
        <v>9.43</v>
      </c>
      <c r="CS37" s="3">
        <f>(ROUND((ROUND((((EU37*1.1))*AV37*1),2)*BS37),2)+ROUND((ROUND(((AE37-((EU37*1.1)))*AV37*1),2)*BS37),2))</f>
        <v>4.95</v>
      </c>
      <c r="CT37" s="3">
        <f t="shared" si="33"/>
        <v>737.97</v>
      </c>
      <c r="CU37" s="3">
        <f t="shared" si="34"/>
        <v>0</v>
      </c>
      <c r="CV37" s="3">
        <f t="shared" si="35"/>
        <v>1.1862510000000002</v>
      </c>
      <c r="CW37" s="3">
        <f t="shared" si="36"/>
        <v>0</v>
      </c>
      <c r="CX37" s="3">
        <f t="shared" si="37"/>
        <v>0</v>
      </c>
      <c r="CY37" s="3">
        <f>(ROUND((((S37+ROUND((ROUND((((EU37*1.1))*AV37*1),2)*BS37),2))*AT37)/100),2)+ROUND(((ROUND((ROUND(((AE37-((EU37*1.1)))*AV37*1),2)*BS37),2)*AT37)/100),2))</f>
        <v>668.63</v>
      </c>
      <c r="CZ37" s="3">
        <f>(ROUND((((S37+ROUND((ROUND((((EU37*1.1))*AV37*1),2)*BS37),2))*AU37)/100),2)+ROUND(((ROUND((ROUND(((AE37-((EU37*1.1)))*AV37*1),2)*BS37),2)*AU37)/100),2))</f>
        <v>341.74</v>
      </c>
      <c r="DB37" s="3">
        <v>6</v>
      </c>
      <c r="DC37" s="3" t="s">
        <v>3</v>
      </c>
      <c r="DD37" s="3" t="s">
        <v>24</v>
      </c>
      <c r="DE37" s="3" t="s">
        <v>25</v>
      </c>
      <c r="DF37" s="3" t="s">
        <v>25</v>
      </c>
      <c r="DG37" s="3" t="s">
        <v>25</v>
      </c>
      <c r="DH37" s="3" t="s">
        <v>3</v>
      </c>
      <c r="DI37" s="3" t="s">
        <v>25</v>
      </c>
      <c r="DJ37" s="3" t="s">
        <v>25</v>
      </c>
      <c r="DK37" s="3" t="s">
        <v>3</v>
      </c>
      <c r="DL37" s="3" t="s">
        <v>3</v>
      </c>
      <c r="DM37" s="3" t="s">
        <v>3</v>
      </c>
      <c r="DN37" s="3">
        <v>0</v>
      </c>
      <c r="DO37" s="3">
        <v>0</v>
      </c>
      <c r="DP37" s="3">
        <v>1</v>
      </c>
      <c r="DQ37" s="3">
        <v>1</v>
      </c>
      <c r="DU37" s="3">
        <v>1013</v>
      </c>
      <c r="DV37" s="3" t="s">
        <v>22</v>
      </c>
      <c r="DW37" s="3" t="s">
        <v>22</v>
      </c>
      <c r="DX37" s="3">
        <v>1</v>
      </c>
      <c r="DZ37" s="3" t="s">
        <v>3</v>
      </c>
      <c r="EA37" s="3" t="s">
        <v>3</v>
      </c>
      <c r="EB37" s="3" t="s">
        <v>3</v>
      </c>
      <c r="EC37" s="3" t="s">
        <v>3</v>
      </c>
      <c r="EE37" s="3">
        <v>60088536</v>
      </c>
      <c r="EF37" s="3">
        <v>40</v>
      </c>
      <c r="EG37" s="3" t="s">
        <v>26</v>
      </c>
      <c r="EH37" s="3">
        <v>0</v>
      </c>
      <c r="EI37" s="3" t="s">
        <v>3</v>
      </c>
      <c r="EJ37" s="3">
        <v>2</v>
      </c>
      <c r="EK37" s="3">
        <v>72</v>
      </c>
      <c r="EL37" s="3" t="s">
        <v>52</v>
      </c>
      <c r="EM37" s="3" t="s">
        <v>53</v>
      </c>
      <c r="EO37" s="3" t="s">
        <v>29</v>
      </c>
      <c r="EQ37" s="3">
        <v>0</v>
      </c>
      <c r="ER37" s="3">
        <v>12.15</v>
      </c>
      <c r="ES37" s="3">
        <v>0</v>
      </c>
      <c r="ET37" s="3">
        <v>0.5</v>
      </c>
      <c r="EU37" s="3">
        <v>0.08</v>
      </c>
      <c r="EV37" s="3">
        <v>11.65</v>
      </c>
      <c r="EW37" s="3">
        <v>1.03</v>
      </c>
      <c r="EX37" s="3">
        <v>0</v>
      </c>
      <c r="EY37" s="3">
        <v>0</v>
      </c>
      <c r="FQ37" s="3">
        <v>0</v>
      </c>
      <c r="FR37" s="3">
        <v>0</v>
      </c>
      <c r="FS37" s="3">
        <v>0</v>
      </c>
      <c r="FX37" s="3">
        <v>90</v>
      </c>
      <c r="FY37" s="3">
        <v>46</v>
      </c>
      <c r="GA37" s="3" t="s">
        <v>3</v>
      </c>
      <c r="GD37" s="3">
        <v>1</v>
      </c>
      <c r="GF37" s="3">
        <v>1708693888</v>
      </c>
      <c r="GG37" s="3">
        <v>2</v>
      </c>
      <c r="GH37" s="3">
        <v>1</v>
      </c>
      <c r="GI37" s="3">
        <v>2</v>
      </c>
      <c r="GJ37" s="3">
        <v>0</v>
      </c>
      <c r="GK37" s="3">
        <v>0</v>
      </c>
      <c r="GL37" s="3">
        <f t="shared" si="38"/>
        <v>0</v>
      </c>
      <c r="GM37" s="3">
        <f t="shared" si="39"/>
        <v>1757.77</v>
      </c>
      <c r="GN37" s="3">
        <f t="shared" si="40"/>
        <v>0</v>
      </c>
      <c r="GO37" s="3">
        <f t="shared" si="41"/>
        <v>1757.77</v>
      </c>
      <c r="GP37" s="3">
        <f t="shared" si="42"/>
        <v>0</v>
      </c>
      <c r="GR37" s="3">
        <v>0</v>
      </c>
      <c r="GS37" s="3">
        <v>3</v>
      </c>
      <c r="GT37" s="3">
        <v>0</v>
      </c>
      <c r="GU37" s="3" t="s">
        <v>3</v>
      </c>
      <c r="GV37" s="3">
        <f t="shared" si="43"/>
        <v>0</v>
      </c>
      <c r="GW37" s="3">
        <v>1</v>
      </c>
      <c r="GX37" s="3">
        <f t="shared" si="44"/>
        <v>0</v>
      </c>
      <c r="HA37" s="3">
        <v>0</v>
      </c>
      <c r="HB37" s="3">
        <v>0</v>
      </c>
      <c r="HC37" s="3">
        <f t="shared" si="45"/>
        <v>0</v>
      </c>
      <c r="HE37" s="3" t="s">
        <v>3</v>
      </c>
      <c r="HF37" s="3" t="s">
        <v>3</v>
      </c>
      <c r="HM37" s="3" t="s">
        <v>3</v>
      </c>
      <c r="HN37" s="3" t="s">
        <v>3</v>
      </c>
      <c r="HO37" s="3" t="s">
        <v>3</v>
      </c>
      <c r="HP37" s="3" t="s">
        <v>3</v>
      </c>
      <c r="HQ37" s="3" t="s">
        <v>3</v>
      </c>
      <c r="HS37" s="3">
        <v>0</v>
      </c>
      <c r="IK37" s="3">
        <v>0</v>
      </c>
    </row>
    <row r="38" spans="1:255" x14ac:dyDescent="0.2">
      <c r="A38" s="2">
        <v>17</v>
      </c>
      <c r="B38" s="2">
        <v>1</v>
      </c>
      <c r="C38" s="2"/>
      <c r="D38" s="2"/>
      <c r="E38" s="2" t="s">
        <v>54</v>
      </c>
      <c r="F38" s="2" t="s">
        <v>55</v>
      </c>
      <c r="G38" s="2" t="s">
        <v>56</v>
      </c>
      <c r="H38" s="2" t="s">
        <v>33</v>
      </c>
      <c r="I38" s="2">
        <v>1</v>
      </c>
      <c r="J38" s="2">
        <v>0</v>
      </c>
      <c r="K38" s="2">
        <v>1</v>
      </c>
      <c r="L38" s="2"/>
      <c r="M38" s="2"/>
      <c r="N38" s="2"/>
      <c r="O38" s="2">
        <f t="shared" si="21"/>
        <v>6860.61</v>
      </c>
      <c r="P38" s="2">
        <f>ROUND((ROUND((AC38*I38),2)*BC38),2)</f>
        <v>6860.61</v>
      </c>
      <c r="Q38" s="2">
        <f>(ROUND((ROUND(((ET38)*AV38*I38),2)*BB38),2)+ROUND((ROUND(((AE38-(EU38))*AV38*I38),2)*BS38),2))</f>
        <v>0</v>
      </c>
      <c r="R38" s="2">
        <f>(ROUND((ROUND(((EU38)*AV38*I38),2)*BS38),2)+ROUND((ROUND(((AE38-(EU38))*AV38*I38),2)*BS38),2))</f>
        <v>0</v>
      </c>
      <c r="S38" s="2">
        <f t="shared" si="23"/>
        <v>0</v>
      </c>
      <c r="T38" s="2">
        <f t="shared" si="24"/>
        <v>0</v>
      </c>
      <c r="U38" s="2">
        <f t="shared" si="25"/>
        <v>0</v>
      </c>
      <c r="V38" s="2">
        <f t="shared" si="26"/>
        <v>0</v>
      </c>
      <c r="W38" s="2">
        <f t="shared" si="27"/>
        <v>0</v>
      </c>
      <c r="X38" s="2">
        <f>(ROUND((((S38+ROUND((ROUND(((EU38)*AV38*I38),2)*BS38),2))*AT38)/100),2)+ROUND(((ROUND((ROUND(((AE38-(EU38))*AV38*I38),2)*BS38),2)*AT38)/100),2))</f>
        <v>0</v>
      </c>
      <c r="Y38" s="2">
        <f>(ROUND((((S38+ROUND((ROUND(((EU38)*AV38*I38),2)*BS38),2))*AU38)/100),2)+ROUND(((ROUND((ROUND(((AE38-(EU38))*AV38*I38),2)*BS38),2)*AU38)/100),2))</f>
        <v>0</v>
      </c>
      <c r="Z38" s="2"/>
      <c r="AA38" s="2">
        <v>60256405</v>
      </c>
      <c r="AB38" s="2">
        <f t="shared" si="28"/>
        <v>6860.61</v>
      </c>
      <c r="AC38" s="2">
        <f>ROUND((ES38),6)</f>
        <v>6860.61</v>
      </c>
      <c r="AD38" s="2">
        <f>ROUND((((ET38)-(EU38))+AE38),6)</f>
        <v>0</v>
      </c>
      <c r="AE38" s="2">
        <f>ROUND((EU38),6)</f>
        <v>0</v>
      </c>
      <c r="AF38" s="2">
        <f>ROUND((EV38),6)</f>
        <v>0</v>
      </c>
      <c r="AG38" s="2">
        <f t="shared" si="29"/>
        <v>0</v>
      </c>
      <c r="AH38" s="2">
        <f>(EW38)</f>
        <v>0</v>
      </c>
      <c r="AI38" s="2">
        <f>(EX38)</f>
        <v>0</v>
      </c>
      <c r="AJ38" s="2">
        <f t="shared" si="30"/>
        <v>0</v>
      </c>
      <c r="AK38" s="2">
        <v>6860.6100000000006</v>
      </c>
      <c r="AL38" s="2">
        <v>6860.6100000000006</v>
      </c>
      <c r="AM38" s="2">
        <v>0</v>
      </c>
      <c r="AN38" s="2">
        <v>0</v>
      </c>
      <c r="AO38" s="2">
        <v>0</v>
      </c>
      <c r="AP38" s="2">
        <v>0</v>
      </c>
      <c r="AQ38" s="2">
        <v>0</v>
      </c>
      <c r="AR38" s="2">
        <v>0</v>
      </c>
      <c r="AS38" s="2">
        <v>0</v>
      </c>
      <c r="AT38" s="2">
        <v>0</v>
      </c>
      <c r="AU38" s="2">
        <v>0</v>
      </c>
      <c r="AV38" s="2">
        <v>1</v>
      </c>
      <c r="AW38" s="2">
        <v>1</v>
      </c>
      <c r="AX38" s="2"/>
      <c r="AY38" s="2"/>
      <c r="AZ38" s="2">
        <v>1</v>
      </c>
      <c r="BA38" s="2">
        <v>1</v>
      </c>
      <c r="BB38" s="2">
        <v>1</v>
      </c>
      <c r="BC38" s="2">
        <v>1</v>
      </c>
      <c r="BD38" s="2" t="s">
        <v>3</v>
      </c>
      <c r="BE38" s="2" t="s">
        <v>3</v>
      </c>
      <c r="BF38" s="2" t="s">
        <v>3</v>
      </c>
      <c r="BG38" s="2" t="s">
        <v>3</v>
      </c>
      <c r="BH38" s="2">
        <v>3</v>
      </c>
      <c r="BI38" s="2">
        <v>3</v>
      </c>
      <c r="BJ38" s="2" t="s">
        <v>3</v>
      </c>
      <c r="BK38" s="2"/>
      <c r="BL38" s="2"/>
      <c r="BM38" s="2">
        <v>746</v>
      </c>
      <c r="BN38" s="2">
        <v>0</v>
      </c>
      <c r="BO38" s="2" t="s">
        <v>3</v>
      </c>
      <c r="BP38" s="2">
        <v>0</v>
      </c>
      <c r="BQ38" s="2">
        <v>130</v>
      </c>
      <c r="BR38" s="2">
        <v>0</v>
      </c>
      <c r="BS38" s="2">
        <v>1</v>
      </c>
      <c r="BT38" s="2">
        <v>1</v>
      </c>
      <c r="BU38" s="2">
        <v>1</v>
      </c>
      <c r="BV38" s="2">
        <v>1</v>
      </c>
      <c r="BW38" s="2">
        <v>1</v>
      </c>
      <c r="BX38" s="2">
        <v>1</v>
      </c>
      <c r="BY38" s="2" t="s">
        <v>3</v>
      </c>
      <c r="BZ38" s="2">
        <v>0</v>
      </c>
      <c r="CA38" s="2">
        <v>0</v>
      </c>
      <c r="CB38" s="2" t="s">
        <v>3</v>
      </c>
      <c r="CC38" s="2"/>
      <c r="CD38" s="2"/>
      <c r="CE38" s="2">
        <v>1566</v>
      </c>
      <c r="CF38" s="2">
        <v>0</v>
      </c>
      <c r="CG38" s="2">
        <v>0</v>
      </c>
      <c r="CH38" s="2"/>
      <c r="CI38" s="2"/>
      <c r="CJ38" s="2"/>
      <c r="CK38" s="2"/>
      <c r="CL38" s="2"/>
      <c r="CM38" s="2">
        <v>0</v>
      </c>
      <c r="CN38" s="2" t="s">
        <v>3</v>
      </c>
      <c r="CO38" s="2">
        <v>0</v>
      </c>
      <c r="CP38" s="2">
        <f t="shared" si="31"/>
        <v>6860.61</v>
      </c>
      <c r="CQ38" s="2">
        <f>ROUND((ROUND((AC38*1),2)*BC38),2)</f>
        <v>6860.61</v>
      </c>
      <c r="CR38" s="2">
        <f>(ROUND((ROUND(((ET38)*AV38*1),2)*BB38),2)+ROUND((ROUND(((AE38-(EU38))*AV38*1),2)*BS38),2))</f>
        <v>0</v>
      </c>
      <c r="CS38" s="2">
        <f>(ROUND((ROUND(((EU38)*AV38*1),2)*BS38),2)+ROUND((ROUND(((AE38-(EU38))*AV38*1),2)*BS38),2))</f>
        <v>0</v>
      </c>
      <c r="CT38" s="2">
        <f t="shared" si="33"/>
        <v>0</v>
      </c>
      <c r="CU38" s="2">
        <f t="shared" si="34"/>
        <v>0</v>
      </c>
      <c r="CV38" s="2">
        <f t="shared" si="35"/>
        <v>0</v>
      </c>
      <c r="CW38" s="2">
        <f t="shared" si="36"/>
        <v>0</v>
      </c>
      <c r="CX38" s="2">
        <f t="shared" si="37"/>
        <v>0</v>
      </c>
      <c r="CY38" s="2">
        <f>(ROUND((((S38+ROUND((ROUND(((EU38)*AV38*1),2)*BS38),2))*AT38)/100),2)+ROUND(((ROUND((ROUND(((AE38-(EU38))*AV38*1),2)*BS38),2)*AT38)/100),2))</f>
        <v>0</v>
      </c>
      <c r="CZ38" s="2">
        <f>(ROUND((((S38+ROUND((ROUND(((EU38)*AV38*1),2)*BS38),2))*AU38)/100),2)+ROUND(((ROUND((ROUND(((AE38-(EU38))*AV38*1),2)*BS38),2)*AU38)/100),2))</f>
        <v>0</v>
      </c>
      <c r="DA38" s="2"/>
      <c r="DB38" s="2"/>
      <c r="DC38" s="2" t="s">
        <v>3</v>
      </c>
      <c r="DD38" s="2" t="s">
        <v>3</v>
      </c>
      <c r="DE38" s="2" t="s">
        <v>3</v>
      </c>
      <c r="DF38" s="2" t="s">
        <v>3</v>
      </c>
      <c r="DG38" s="2" t="s">
        <v>3</v>
      </c>
      <c r="DH38" s="2" t="s">
        <v>3</v>
      </c>
      <c r="DI38" s="2" t="s">
        <v>3</v>
      </c>
      <c r="DJ38" s="2" t="s">
        <v>3</v>
      </c>
      <c r="DK38" s="2" t="s">
        <v>3</v>
      </c>
      <c r="DL38" s="2" t="s">
        <v>3</v>
      </c>
      <c r="DM38" s="2" t="s">
        <v>3</v>
      </c>
      <c r="DN38" s="2">
        <v>0</v>
      </c>
      <c r="DO38" s="2">
        <v>0</v>
      </c>
      <c r="DP38" s="2">
        <v>1</v>
      </c>
      <c r="DQ38" s="2">
        <v>1</v>
      </c>
      <c r="DR38" s="2"/>
      <c r="DS38" s="2"/>
      <c r="DT38" s="2"/>
      <c r="DU38" s="2">
        <v>1010</v>
      </c>
      <c r="DV38" s="2" t="s">
        <v>33</v>
      </c>
      <c r="DW38" s="2" t="s">
        <v>33</v>
      </c>
      <c r="DX38" s="2">
        <v>1</v>
      </c>
      <c r="DY38" s="2"/>
      <c r="DZ38" s="2" t="s">
        <v>3</v>
      </c>
      <c r="EA38" s="2" t="s">
        <v>3</v>
      </c>
      <c r="EB38" s="2" t="s">
        <v>3</v>
      </c>
      <c r="EC38" s="2" t="s">
        <v>3</v>
      </c>
      <c r="ED38" s="2"/>
      <c r="EE38" s="2">
        <v>60088638</v>
      </c>
      <c r="EF38" s="2">
        <v>130</v>
      </c>
      <c r="EG38" s="2" t="s">
        <v>43</v>
      </c>
      <c r="EH38" s="2">
        <v>0</v>
      </c>
      <c r="EI38" s="2" t="s">
        <v>3</v>
      </c>
      <c r="EJ38" s="2">
        <v>3</v>
      </c>
      <c r="EK38" s="2">
        <v>746</v>
      </c>
      <c r="EL38" s="2" t="s">
        <v>44</v>
      </c>
      <c r="EM38" s="2" t="s">
        <v>45</v>
      </c>
      <c r="EN38" s="2"/>
      <c r="EO38" s="2" t="s">
        <v>3</v>
      </c>
      <c r="EP38" s="2"/>
      <c r="EQ38" s="2">
        <v>0</v>
      </c>
      <c r="ER38" s="2">
        <v>0</v>
      </c>
      <c r="ES38" s="2">
        <v>6860.6100000000006</v>
      </c>
      <c r="ET38" s="2">
        <v>0</v>
      </c>
      <c r="EU38" s="2">
        <v>0</v>
      </c>
      <c r="EV38" s="2">
        <v>0</v>
      </c>
      <c r="EW38" s="2">
        <v>0</v>
      </c>
      <c r="EX38" s="2">
        <v>0</v>
      </c>
      <c r="EY38" s="2">
        <v>0</v>
      </c>
      <c r="EZ38" s="2"/>
      <c r="FA38" s="2"/>
      <c r="FB38" s="2"/>
      <c r="FC38" s="2"/>
      <c r="FD38" s="2"/>
      <c r="FE38" s="2"/>
      <c r="FF38" s="2"/>
      <c r="FG38" s="2"/>
      <c r="FH38" s="2"/>
      <c r="FI38" s="2"/>
      <c r="FJ38" s="2"/>
      <c r="FK38" s="2"/>
      <c r="FL38" s="2"/>
      <c r="FM38" s="2"/>
      <c r="FN38" s="2"/>
      <c r="FO38" s="2"/>
      <c r="FP38" s="2"/>
      <c r="FQ38" s="2">
        <v>0</v>
      </c>
      <c r="FR38" s="2">
        <f>P38</f>
        <v>6860.61</v>
      </c>
      <c r="FS38" s="2">
        <v>0</v>
      </c>
      <c r="FT38" s="2"/>
      <c r="FU38" s="2"/>
      <c r="FV38" s="2"/>
      <c r="FW38" s="2"/>
      <c r="FX38" s="2">
        <v>0</v>
      </c>
      <c r="FY38" s="2">
        <v>0</v>
      </c>
      <c r="FZ38" s="2"/>
      <c r="GA38" s="2" t="s">
        <v>57</v>
      </c>
      <c r="GB38" s="2"/>
      <c r="GC38" s="2"/>
      <c r="GD38" s="2">
        <v>1</v>
      </c>
      <c r="GE38" s="2"/>
      <c r="GF38" s="2">
        <v>831235936</v>
      </c>
      <c r="GG38" s="2">
        <v>2</v>
      </c>
      <c r="GH38" s="2">
        <v>4</v>
      </c>
      <c r="GI38" s="2">
        <v>-2</v>
      </c>
      <c r="GJ38" s="2">
        <v>0</v>
      </c>
      <c r="GK38" s="2">
        <v>0</v>
      </c>
      <c r="GL38" s="2">
        <f t="shared" si="38"/>
        <v>0</v>
      </c>
      <c r="GM38" s="2">
        <f t="shared" si="39"/>
        <v>6860.61</v>
      </c>
      <c r="GN38" s="2">
        <f t="shared" si="40"/>
        <v>0</v>
      </c>
      <c r="GO38" s="2">
        <f t="shared" si="41"/>
        <v>0</v>
      </c>
      <c r="GP38" s="2">
        <f t="shared" si="42"/>
        <v>0</v>
      </c>
      <c r="GQ38" s="2"/>
      <c r="GR38" s="2">
        <v>0</v>
      </c>
      <c r="GS38" s="2">
        <v>2</v>
      </c>
      <c r="GT38" s="2">
        <v>0</v>
      </c>
      <c r="GU38" s="2" t="s">
        <v>3</v>
      </c>
      <c r="GV38" s="2">
        <f t="shared" si="43"/>
        <v>0</v>
      </c>
      <c r="GW38" s="2">
        <v>1</v>
      </c>
      <c r="GX38" s="2">
        <f t="shared" si="44"/>
        <v>0</v>
      </c>
      <c r="GY38" s="2"/>
      <c r="GZ38" s="2"/>
      <c r="HA38" s="2">
        <v>0</v>
      </c>
      <c r="HB38" s="2">
        <v>0</v>
      </c>
      <c r="HC38" s="2">
        <f t="shared" si="45"/>
        <v>0</v>
      </c>
      <c r="HD38" s="2"/>
      <c r="HE38" s="2" t="s">
        <v>36</v>
      </c>
      <c r="HF38" s="2" t="s">
        <v>47</v>
      </c>
      <c r="HG38" s="2"/>
      <c r="HH38" s="2"/>
      <c r="HI38" s="2"/>
      <c r="HJ38" s="2"/>
      <c r="HK38" s="2"/>
      <c r="HL38" s="2"/>
      <c r="HM38" s="2" t="s">
        <v>3</v>
      </c>
      <c r="HN38" s="2" t="s">
        <v>3</v>
      </c>
      <c r="HO38" s="2" t="s">
        <v>3</v>
      </c>
      <c r="HP38" s="2" t="s">
        <v>3</v>
      </c>
      <c r="HQ38" s="2" t="s">
        <v>3</v>
      </c>
      <c r="HR38" s="2"/>
      <c r="HS38" s="2">
        <v>0</v>
      </c>
      <c r="HT38" s="2"/>
      <c r="HU38" s="2"/>
      <c r="HV38" s="2"/>
      <c r="HW38" s="2"/>
      <c r="HX38" s="2"/>
      <c r="HY38" s="2"/>
      <c r="HZ38" s="2"/>
      <c r="IA38" s="2"/>
      <c r="IB38" s="2"/>
      <c r="IC38" s="2"/>
      <c r="ID38" s="2"/>
      <c r="IE38" s="2"/>
      <c r="IF38" s="2"/>
      <c r="IG38" s="2"/>
      <c r="IH38" s="2"/>
      <c r="II38" s="2"/>
      <c r="IJ38" s="2"/>
      <c r="IK38" s="2">
        <v>0</v>
      </c>
      <c r="IL38" s="2"/>
      <c r="IM38" s="2"/>
      <c r="IN38" s="2"/>
      <c r="IO38" s="2"/>
      <c r="IP38" s="2"/>
      <c r="IQ38" s="2"/>
      <c r="IR38" s="2"/>
      <c r="IS38" s="2"/>
      <c r="IT38" s="2"/>
      <c r="IU38" s="2"/>
    </row>
    <row r="39" spans="1:255" x14ac:dyDescent="0.2">
      <c r="A39" s="3">
        <v>17</v>
      </c>
      <c r="B39" s="3">
        <v>1</v>
      </c>
      <c r="E39" s="3" t="s">
        <v>54</v>
      </c>
      <c r="F39" s="3" t="s">
        <v>55</v>
      </c>
      <c r="G39" s="3" t="s">
        <v>56</v>
      </c>
      <c r="H39" s="3" t="s">
        <v>33</v>
      </c>
      <c r="I39" s="3">
        <v>1</v>
      </c>
      <c r="J39" s="3">
        <v>0</v>
      </c>
      <c r="K39" s="3">
        <v>1</v>
      </c>
      <c r="O39" s="3">
        <f t="shared" si="21"/>
        <v>52552.27</v>
      </c>
      <c r="P39" s="3">
        <f>ROUND((ROUND((AC39*I39),2)*BC39),2)</f>
        <v>52552.27</v>
      </c>
      <c r="Q39" s="3">
        <f>(ROUND((ROUND(((ET39)*AV39*I39),2)*BB39),2)+ROUND((ROUND(((AE39-(EU39))*AV39*I39),2)*BS39),2))</f>
        <v>0</v>
      </c>
      <c r="R39" s="3">
        <f>(ROUND((ROUND(((EU39)*AV39*I39),2)*BS39),2)+ROUND((ROUND(((AE39-(EU39))*AV39*I39),2)*BS39),2))</f>
        <v>0</v>
      </c>
      <c r="S39" s="3">
        <f t="shared" si="23"/>
        <v>0</v>
      </c>
      <c r="T39" s="3">
        <f t="shared" si="24"/>
        <v>0</v>
      </c>
      <c r="U39" s="3">
        <f t="shared" si="25"/>
        <v>0</v>
      </c>
      <c r="V39" s="3">
        <f t="shared" si="26"/>
        <v>0</v>
      </c>
      <c r="W39" s="3">
        <f t="shared" si="27"/>
        <v>0</v>
      </c>
      <c r="X39" s="3">
        <f>(ROUND((((S39+ROUND((ROUND(((EU39)*AV39*I39),2)*BS39),2))*AT39)/100),2)+ROUND(((ROUND((ROUND(((AE39-(EU39))*AV39*I39),2)*BS39),2)*AT39)/100),2))</f>
        <v>0</v>
      </c>
      <c r="Y39" s="3">
        <f>(ROUND((((S39+ROUND((ROUND(((EU39)*AV39*I39),2)*BS39),2))*AU39)/100),2)+ROUND(((ROUND((ROUND(((AE39-(EU39))*AV39*I39),2)*BS39),2)*AU39)/100),2))</f>
        <v>0</v>
      </c>
      <c r="AA39" s="3">
        <v>60256402</v>
      </c>
      <c r="AB39" s="3">
        <f t="shared" si="28"/>
        <v>6860.61</v>
      </c>
      <c r="AC39" s="3">
        <f>ROUND((ES39),6)</f>
        <v>6860.61</v>
      </c>
      <c r="AD39" s="3">
        <f>ROUND((((ET39)-(EU39))+AE39),6)</f>
        <v>0</v>
      </c>
      <c r="AE39" s="3">
        <f>ROUND((EU39),6)</f>
        <v>0</v>
      </c>
      <c r="AF39" s="3">
        <f>ROUND((EV39),6)</f>
        <v>0</v>
      </c>
      <c r="AG39" s="3">
        <f t="shared" si="29"/>
        <v>0</v>
      </c>
      <c r="AH39" s="3">
        <f>(EW39)</f>
        <v>0</v>
      </c>
      <c r="AI39" s="3">
        <f>(EX39)</f>
        <v>0</v>
      </c>
      <c r="AJ39" s="3">
        <f t="shared" si="30"/>
        <v>0</v>
      </c>
      <c r="AK39" s="3">
        <v>6860.6100000000006</v>
      </c>
      <c r="AL39" s="3">
        <v>6860.6100000000006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1</v>
      </c>
      <c r="AW39" s="3">
        <v>1</v>
      </c>
      <c r="AZ39" s="3">
        <v>1</v>
      </c>
      <c r="BA39" s="3">
        <v>1</v>
      </c>
      <c r="BB39" s="3">
        <v>1</v>
      </c>
      <c r="BC39" s="3">
        <v>7.66</v>
      </c>
      <c r="BD39" s="3" t="s">
        <v>3</v>
      </c>
      <c r="BE39" s="3" t="s">
        <v>3</v>
      </c>
      <c r="BF39" s="3" t="s">
        <v>3</v>
      </c>
      <c r="BG39" s="3" t="s">
        <v>3</v>
      </c>
      <c r="BH39" s="3">
        <v>3</v>
      </c>
      <c r="BI39" s="3">
        <v>3</v>
      </c>
      <c r="BJ39" s="3" t="s">
        <v>3</v>
      </c>
      <c r="BM39" s="3">
        <v>746</v>
      </c>
      <c r="BN39" s="3">
        <v>0</v>
      </c>
      <c r="BO39" s="3" t="s">
        <v>3</v>
      </c>
      <c r="BP39" s="3">
        <v>0</v>
      </c>
      <c r="BQ39" s="3">
        <v>130</v>
      </c>
      <c r="BR39" s="3">
        <v>0</v>
      </c>
      <c r="BS39" s="3">
        <v>1</v>
      </c>
      <c r="BT39" s="3">
        <v>1</v>
      </c>
      <c r="BU39" s="3">
        <v>1</v>
      </c>
      <c r="BV39" s="3">
        <v>1</v>
      </c>
      <c r="BW39" s="3">
        <v>1</v>
      </c>
      <c r="BX39" s="3">
        <v>1</v>
      </c>
      <c r="BY39" s="3" t="s">
        <v>3</v>
      </c>
      <c r="BZ39" s="3">
        <v>0</v>
      </c>
      <c r="CA39" s="3">
        <v>0</v>
      </c>
      <c r="CB39" s="3" t="s">
        <v>3</v>
      </c>
      <c r="CE39" s="3">
        <v>1566</v>
      </c>
      <c r="CF39" s="3">
        <v>0</v>
      </c>
      <c r="CG39" s="3">
        <v>0</v>
      </c>
      <c r="CM39" s="3">
        <v>0</v>
      </c>
      <c r="CN39" s="3" t="s">
        <v>3</v>
      </c>
      <c r="CO39" s="3">
        <v>0</v>
      </c>
      <c r="CP39" s="3">
        <f t="shared" si="31"/>
        <v>52552.27</v>
      </c>
      <c r="CQ39" s="3">
        <f>ROUND((ROUND((AC39*1),2)*BC39),2)</f>
        <v>52552.27</v>
      </c>
      <c r="CR39" s="3">
        <f>(ROUND((ROUND(((ET39)*AV39*1),2)*BB39),2)+ROUND((ROUND(((AE39-(EU39))*AV39*1),2)*BS39),2))</f>
        <v>0</v>
      </c>
      <c r="CS39" s="3">
        <f>(ROUND((ROUND(((EU39)*AV39*1),2)*BS39),2)+ROUND((ROUND(((AE39-(EU39))*AV39*1),2)*BS39),2))</f>
        <v>0</v>
      </c>
      <c r="CT39" s="3">
        <f t="shared" si="33"/>
        <v>0</v>
      </c>
      <c r="CU39" s="3">
        <f t="shared" si="34"/>
        <v>0</v>
      </c>
      <c r="CV39" s="3">
        <f t="shared" si="35"/>
        <v>0</v>
      </c>
      <c r="CW39" s="3">
        <f t="shared" si="36"/>
        <v>0</v>
      </c>
      <c r="CX39" s="3">
        <f t="shared" si="37"/>
        <v>0</v>
      </c>
      <c r="CY39" s="3">
        <f>(ROUND((((S39+ROUND((ROUND(((EU39)*AV39*1),2)*BS39),2))*AT39)/100),2)+ROUND(((ROUND((ROUND(((AE39-(EU39))*AV39*1),2)*BS39),2)*AT39)/100),2))</f>
        <v>0</v>
      </c>
      <c r="CZ39" s="3">
        <f>(ROUND((((S39+ROUND((ROUND(((EU39)*AV39*1),2)*BS39),2))*AU39)/100),2)+ROUND(((ROUND((ROUND(((AE39-(EU39))*AV39*1),2)*BS39),2)*AU39)/100),2))</f>
        <v>0</v>
      </c>
      <c r="DC39" s="3" t="s">
        <v>3</v>
      </c>
      <c r="DD39" s="3" t="s">
        <v>3</v>
      </c>
      <c r="DE39" s="3" t="s">
        <v>3</v>
      </c>
      <c r="DF39" s="3" t="s">
        <v>3</v>
      </c>
      <c r="DG39" s="3" t="s">
        <v>3</v>
      </c>
      <c r="DH39" s="3" t="s">
        <v>3</v>
      </c>
      <c r="DI39" s="3" t="s">
        <v>3</v>
      </c>
      <c r="DJ39" s="3" t="s">
        <v>3</v>
      </c>
      <c r="DK39" s="3" t="s">
        <v>3</v>
      </c>
      <c r="DL39" s="3" t="s">
        <v>3</v>
      </c>
      <c r="DM39" s="3" t="s">
        <v>3</v>
      </c>
      <c r="DN39" s="3">
        <v>0</v>
      </c>
      <c r="DO39" s="3">
        <v>0</v>
      </c>
      <c r="DP39" s="3">
        <v>1</v>
      </c>
      <c r="DQ39" s="3">
        <v>1</v>
      </c>
      <c r="DU39" s="3">
        <v>1010</v>
      </c>
      <c r="DV39" s="3" t="s">
        <v>33</v>
      </c>
      <c r="DW39" s="3" t="s">
        <v>33</v>
      </c>
      <c r="DX39" s="3">
        <v>1</v>
      </c>
      <c r="DZ39" s="3" t="s">
        <v>3</v>
      </c>
      <c r="EA39" s="3" t="s">
        <v>3</v>
      </c>
      <c r="EB39" s="3" t="s">
        <v>3</v>
      </c>
      <c r="EC39" s="3" t="s">
        <v>3</v>
      </c>
      <c r="EE39" s="3">
        <v>60088638</v>
      </c>
      <c r="EF39" s="3">
        <v>130</v>
      </c>
      <c r="EG39" s="3" t="s">
        <v>43</v>
      </c>
      <c r="EH39" s="3">
        <v>0</v>
      </c>
      <c r="EI39" s="3" t="s">
        <v>3</v>
      </c>
      <c r="EJ39" s="3">
        <v>3</v>
      </c>
      <c r="EK39" s="3">
        <v>746</v>
      </c>
      <c r="EL39" s="3" t="s">
        <v>44</v>
      </c>
      <c r="EM39" s="3" t="s">
        <v>45</v>
      </c>
      <c r="EO39" s="3" t="s">
        <v>3</v>
      </c>
      <c r="EQ39" s="3">
        <v>0</v>
      </c>
      <c r="ER39" s="3">
        <v>6860.6100000000006</v>
      </c>
      <c r="ES39" s="3">
        <v>6860.6100000000006</v>
      </c>
      <c r="ET39" s="3">
        <v>0</v>
      </c>
      <c r="EU39" s="3">
        <v>0</v>
      </c>
      <c r="EV39" s="3">
        <v>0</v>
      </c>
      <c r="EW39" s="3">
        <v>0</v>
      </c>
      <c r="EX39" s="3">
        <v>0</v>
      </c>
      <c r="EY39" s="3">
        <v>0</v>
      </c>
      <c r="EZ39" s="3">
        <v>5</v>
      </c>
      <c r="FC39" s="3">
        <v>1</v>
      </c>
      <c r="FD39" s="3">
        <v>18</v>
      </c>
      <c r="FF39" s="3">
        <v>60500</v>
      </c>
      <c r="FQ39" s="3">
        <v>0</v>
      </c>
      <c r="FR39" s="3">
        <f>P39</f>
        <v>52552.27</v>
      </c>
      <c r="FS39" s="3">
        <v>0</v>
      </c>
      <c r="FX39" s="3">
        <v>0</v>
      </c>
      <c r="FY39" s="3">
        <v>0</v>
      </c>
      <c r="GA39" s="3" t="s">
        <v>57</v>
      </c>
      <c r="GD39" s="3">
        <v>1</v>
      </c>
      <c r="GF39" s="3">
        <v>831235936</v>
      </c>
      <c r="GG39" s="3">
        <v>2</v>
      </c>
      <c r="GH39" s="3">
        <v>3</v>
      </c>
      <c r="GI39" s="3">
        <v>5</v>
      </c>
      <c r="GJ39" s="3">
        <v>0</v>
      </c>
      <c r="GK39" s="3">
        <v>0</v>
      </c>
      <c r="GL39" s="3">
        <f t="shared" si="38"/>
        <v>0</v>
      </c>
      <c r="GM39" s="3">
        <f t="shared" si="39"/>
        <v>52552.27</v>
      </c>
      <c r="GN39" s="3">
        <f t="shared" si="40"/>
        <v>0</v>
      </c>
      <c r="GO39" s="3">
        <f t="shared" si="41"/>
        <v>0</v>
      </c>
      <c r="GP39" s="3">
        <f t="shared" si="42"/>
        <v>0</v>
      </c>
      <c r="GR39" s="3">
        <v>1</v>
      </c>
      <c r="GS39" s="3">
        <v>1</v>
      </c>
      <c r="GT39" s="3">
        <v>0</v>
      </c>
      <c r="GU39" s="3" t="s">
        <v>3</v>
      </c>
      <c r="GV39" s="3">
        <f t="shared" si="43"/>
        <v>0</v>
      </c>
      <c r="GW39" s="3">
        <v>1</v>
      </c>
      <c r="GX39" s="3">
        <f t="shared" si="44"/>
        <v>0</v>
      </c>
      <c r="HA39" s="3">
        <v>0</v>
      </c>
      <c r="HB39" s="3">
        <v>0</v>
      </c>
      <c r="HC39" s="3">
        <f t="shared" si="45"/>
        <v>0</v>
      </c>
      <c r="HE39" s="3" t="s">
        <v>36</v>
      </c>
      <c r="HF39" s="3" t="s">
        <v>47</v>
      </c>
      <c r="HM39" s="3" t="s">
        <v>3</v>
      </c>
      <c r="HN39" s="3" t="s">
        <v>3</v>
      </c>
      <c r="HO39" s="3" t="s">
        <v>3</v>
      </c>
      <c r="HP39" s="3" t="s">
        <v>3</v>
      </c>
      <c r="HQ39" s="3" t="s">
        <v>3</v>
      </c>
      <c r="HS39" s="3">
        <v>0</v>
      </c>
      <c r="IK39" s="3">
        <v>0</v>
      </c>
    </row>
    <row r="40" spans="1:255" x14ac:dyDescent="0.2">
      <c r="A40" s="2">
        <v>17</v>
      </c>
      <c r="B40" s="2">
        <v>1</v>
      </c>
      <c r="C40" s="2">
        <f>ROW(SmtRes!A28)</f>
        <v>28</v>
      </c>
      <c r="D40" s="2">
        <f>ROW(EtalonRes!A35)</f>
        <v>35</v>
      </c>
      <c r="E40" s="2" t="s">
        <v>58</v>
      </c>
      <c r="F40" s="2" t="s">
        <v>49</v>
      </c>
      <c r="G40" s="2" t="s">
        <v>50</v>
      </c>
      <c r="H40" s="2" t="s">
        <v>22</v>
      </c>
      <c r="I40" s="2">
        <v>1</v>
      </c>
      <c r="J40" s="2">
        <v>0</v>
      </c>
      <c r="K40" s="2">
        <v>1</v>
      </c>
      <c r="L40" s="2"/>
      <c r="M40" s="2"/>
      <c r="N40" s="2"/>
      <c r="O40" s="2">
        <f t="shared" si="21"/>
        <v>14</v>
      </c>
      <c r="P40" s="2">
        <f>ROUND((ROUND((AC40*AW40*I40),2)*BC40),2)</f>
        <v>0</v>
      </c>
      <c r="Q40" s="2">
        <f>(ROUND((ROUND((((ET40*1.1))*AV40*I40),2)*BB40),2)+ROUND((ROUND(((AE40-((EU40*1.1)))*AV40*I40),2)*BS40),2))</f>
        <v>0.57999999999999996</v>
      </c>
      <c r="R40" s="2">
        <f>(ROUND((ROUND((((EU40*1.1))*AV40*I40),2)*BS40),2)+ROUND((ROUND(((AE40-((EU40*1.1)))*AV40*I40),2)*BS40),2))</f>
        <v>0.09</v>
      </c>
      <c r="S40" s="2">
        <f t="shared" si="23"/>
        <v>13.42</v>
      </c>
      <c r="T40" s="2">
        <f t="shared" si="24"/>
        <v>0</v>
      </c>
      <c r="U40" s="2">
        <f t="shared" si="25"/>
        <v>1.1862510000000002</v>
      </c>
      <c r="V40" s="2">
        <f t="shared" si="26"/>
        <v>0</v>
      </c>
      <c r="W40" s="2">
        <f t="shared" si="27"/>
        <v>0</v>
      </c>
      <c r="X40" s="2">
        <f>(ROUND((((S40+ROUND((ROUND((((EU40*1.1))*AV40*I40),2)*BS40),2))*AT40)/100),2)+ROUND(((ROUND((ROUND(((AE40-((EU40*1.1)))*AV40*I40),2)*BS40),2)*AT40)/100),2))</f>
        <v>12.16</v>
      </c>
      <c r="Y40" s="2">
        <f>(ROUND((((S40+ROUND((ROUND((((EU40*1.1))*AV40*I40),2)*BS40),2))*AU40)/100),2)+ROUND(((ROUND((ROUND(((AE40-((EU40*1.1)))*AV40*I40),2)*BS40),2)*AU40)/100),2))</f>
        <v>6.21</v>
      </c>
      <c r="Z40" s="2"/>
      <c r="AA40" s="2">
        <v>60256405</v>
      </c>
      <c r="AB40" s="2">
        <f t="shared" si="28"/>
        <v>13.365</v>
      </c>
      <c r="AC40" s="2">
        <f>ROUND(((ES40*1)),6)</f>
        <v>0</v>
      </c>
      <c r="AD40" s="2">
        <f>ROUND(((((ET40*1.1))-((EU40*1.1)))+AE40),6)</f>
        <v>0.55000000000000004</v>
      </c>
      <c r="AE40" s="2">
        <f>ROUND(((EU40*1.1)),6)</f>
        <v>8.7999999999999995E-2</v>
      </c>
      <c r="AF40" s="2">
        <f>ROUND(((EV40*1.1)),6)</f>
        <v>12.815</v>
      </c>
      <c r="AG40" s="2">
        <f t="shared" si="29"/>
        <v>0</v>
      </c>
      <c r="AH40" s="2">
        <f>((EW40*1.1))</f>
        <v>1.1330000000000002</v>
      </c>
      <c r="AI40" s="2">
        <f>((EX40*1.1))</f>
        <v>0</v>
      </c>
      <c r="AJ40" s="2">
        <f t="shared" si="30"/>
        <v>0</v>
      </c>
      <c r="AK40" s="2">
        <v>12.15</v>
      </c>
      <c r="AL40" s="2">
        <v>0</v>
      </c>
      <c r="AM40" s="2">
        <v>0.5</v>
      </c>
      <c r="AN40" s="2">
        <v>0.08</v>
      </c>
      <c r="AO40" s="2">
        <v>11.65</v>
      </c>
      <c r="AP40" s="2">
        <v>0</v>
      </c>
      <c r="AQ40" s="2">
        <v>1.03</v>
      </c>
      <c r="AR40" s="2">
        <v>0</v>
      </c>
      <c r="AS40" s="2">
        <v>0</v>
      </c>
      <c r="AT40" s="2">
        <v>90</v>
      </c>
      <c r="AU40" s="2">
        <v>46</v>
      </c>
      <c r="AV40" s="2">
        <v>1.0469999999999999</v>
      </c>
      <c r="AW40" s="2">
        <v>1</v>
      </c>
      <c r="AX40" s="2"/>
      <c r="AY40" s="2"/>
      <c r="AZ40" s="2">
        <v>1</v>
      </c>
      <c r="BA40" s="2">
        <v>1</v>
      </c>
      <c r="BB40" s="2">
        <v>1</v>
      </c>
      <c r="BC40" s="2">
        <v>1</v>
      </c>
      <c r="BD40" s="2" t="s">
        <v>3</v>
      </c>
      <c r="BE40" s="2" t="s">
        <v>3</v>
      </c>
      <c r="BF40" s="2" t="s">
        <v>3</v>
      </c>
      <c r="BG40" s="2" t="s">
        <v>3</v>
      </c>
      <c r="BH40" s="2">
        <v>0</v>
      </c>
      <c r="BI40" s="2">
        <v>2</v>
      </c>
      <c r="BJ40" s="2" t="s">
        <v>51</v>
      </c>
      <c r="BK40" s="2"/>
      <c r="BL40" s="2"/>
      <c r="BM40" s="2">
        <v>72</v>
      </c>
      <c r="BN40" s="2">
        <v>58973116</v>
      </c>
      <c r="BO40" s="2" t="s">
        <v>49</v>
      </c>
      <c r="BP40" s="2">
        <v>1</v>
      </c>
      <c r="BQ40" s="2">
        <v>40</v>
      </c>
      <c r="BR40" s="2">
        <v>0</v>
      </c>
      <c r="BS40" s="2">
        <v>1</v>
      </c>
      <c r="BT40" s="2">
        <v>1</v>
      </c>
      <c r="BU40" s="2">
        <v>1</v>
      </c>
      <c r="BV40" s="2">
        <v>1</v>
      </c>
      <c r="BW40" s="2">
        <v>1</v>
      </c>
      <c r="BX40" s="2">
        <v>1</v>
      </c>
      <c r="BY40" s="2" t="s">
        <v>3</v>
      </c>
      <c r="BZ40" s="2">
        <v>90</v>
      </c>
      <c r="CA40" s="2">
        <v>46</v>
      </c>
      <c r="CB40" s="2" t="s">
        <v>3</v>
      </c>
      <c r="CC40" s="2"/>
      <c r="CD40" s="2"/>
      <c r="CE40" s="2">
        <v>1566</v>
      </c>
      <c r="CF40" s="2">
        <v>0</v>
      </c>
      <c r="CG40" s="2">
        <v>0</v>
      </c>
      <c r="CH40" s="2"/>
      <c r="CI40" s="2"/>
      <c r="CJ40" s="2"/>
      <c r="CK40" s="2"/>
      <c r="CL40" s="2"/>
      <c r="CM40" s="2">
        <v>0</v>
      </c>
      <c r="CN40" s="2" t="s">
        <v>369</v>
      </c>
      <c r="CO40" s="2">
        <v>0</v>
      </c>
      <c r="CP40" s="2">
        <f t="shared" si="31"/>
        <v>14</v>
      </c>
      <c r="CQ40" s="2">
        <f>ROUND((ROUND((AC40*AW40*1),2)*BC40),2)</f>
        <v>0</v>
      </c>
      <c r="CR40" s="2">
        <f>(ROUND((ROUND((((ET40*1.1))*AV40*1),2)*BB40),2)+ROUND((ROUND(((AE40-((EU40*1.1)))*AV40*1),2)*BS40),2))</f>
        <v>0.57999999999999996</v>
      </c>
      <c r="CS40" s="2">
        <f>(ROUND((ROUND((((EU40*1.1))*AV40*1),2)*BS40),2)+ROUND((ROUND(((AE40-((EU40*1.1)))*AV40*1),2)*BS40),2))</f>
        <v>0.09</v>
      </c>
      <c r="CT40" s="2">
        <f t="shared" si="33"/>
        <v>13.42</v>
      </c>
      <c r="CU40" s="2">
        <f t="shared" si="34"/>
        <v>0</v>
      </c>
      <c r="CV40" s="2">
        <f t="shared" si="35"/>
        <v>1.1862510000000002</v>
      </c>
      <c r="CW40" s="2">
        <f t="shared" si="36"/>
        <v>0</v>
      </c>
      <c r="CX40" s="2">
        <f t="shared" si="37"/>
        <v>0</v>
      </c>
      <c r="CY40" s="2">
        <f>(ROUND((((S40+ROUND((ROUND((((EU40*1.1))*AV40*1),2)*BS40),2))*AT40)/100),2)+ROUND(((ROUND((ROUND(((AE40-((EU40*1.1)))*AV40*1),2)*BS40),2)*AT40)/100),2))</f>
        <v>12.16</v>
      </c>
      <c r="CZ40" s="2">
        <f>(ROUND((((S40+ROUND((ROUND((((EU40*1.1))*AV40*1),2)*BS40),2))*AU40)/100),2)+ROUND(((ROUND((ROUND(((AE40-((EU40*1.1)))*AV40*1),2)*BS40),2)*AU40)/100),2))</f>
        <v>6.21</v>
      </c>
      <c r="DA40" s="2"/>
      <c r="DB40" s="2">
        <v>7</v>
      </c>
      <c r="DC40" s="2" t="s">
        <v>3</v>
      </c>
      <c r="DD40" s="2" t="s">
        <v>24</v>
      </c>
      <c r="DE40" s="2" t="s">
        <v>25</v>
      </c>
      <c r="DF40" s="2" t="s">
        <v>25</v>
      </c>
      <c r="DG40" s="2" t="s">
        <v>25</v>
      </c>
      <c r="DH40" s="2" t="s">
        <v>3</v>
      </c>
      <c r="DI40" s="2" t="s">
        <v>25</v>
      </c>
      <c r="DJ40" s="2" t="s">
        <v>25</v>
      </c>
      <c r="DK40" s="2" t="s">
        <v>3</v>
      </c>
      <c r="DL40" s="2" t="s">
        <v>3</v>
      </c>
      <c r="DM40" s="2" t="s">
        <v>3</v>
      </c>
      <c r="DN40" s="2">
        <v>0</v>
      </c>
      <c r="DO40" s="2">
        <v>0</v>
      </c>
      <c r="DP40" s="2">
        <v>1</v>
      </c>
      <c r="DQ40" s="2">
        <v>1</v>
      </c>
      <c r="DR40" s="2"/>
      <c r="DS40" s="2"/>
      <c r="DT40" s="2"/>
      <c r="DU40" s="2">
        <v>1013</v>
      </c>
      <c r="DV40" s="2" t="s">
        <v>22</v>
      </c>
      <c r="DW40" s="2" t="s">
        <v>22</v>
      </c>
      <c r="DX40" s="2">
        <v>1</v>
      </c>
      <c r="DY40" s="2"/>
      <c r="DZ40" s="2" t="s">
        <v>3</v>
      </c>
      <c r="EA40" s="2" t="s">
        <v>3</v>
      </c>
      <c r="EB40" s="2" t="s">
        <v>3</v>
      </c>
      <c r="EC40" s="2" t="s">
        <v>3</v>
      </c>
      <c r="ED40" s="2"/>
      <c r="EE40" s="2">
        <v>60088536</v>
      </c>
      <c r="EF40" s="2">
        <v>40</v>
      </c>
      <c r="EG40" s="2" t="s">
        <v>26</v>
      </c>
      <c r="EH40" s="2">
        <v>0</v>
      </c>
      <c r="EI40" s="2" t="s">
        <v>3</v>
      </c>
      <c r="EJ40" s="2">
        <v>2</v>
      </c>
      <c r="EK40" s="2">
        <v>72</v>
      </c>
      <c r="EL40" s="2" t="s">
        <v>52</v>
      </c>
      <c r="EM40" s="2" t="s">
        <v>53</v>
      </c>
      <c r="EN40" s="2"/>
      <c r="EO40" s="2" t="s">
        <v>29</v>
      </c>
      <c r="EP40" s="2"/>
      <c r="EQ40" s="2">
        <v>0</v>
      </c>
      <c r="ER40" s="2">
        <v>12.15</v>
      </c>
      <c r="ES40" s="2">
        <v>0</v>
      </c>
      <c r="ET40" s="2">
        <v>0.5</v>
      </c>
      <c r="EU40" s="2">
        <v>0.08</v>
      </c>
      <c r="EV40" s="2">
        <v>11.65</v>
      </c>
      <c r="EW40" s="2">
        <v>1.03</v>
      </c>
      <c r="EX40" s="2">
        <v>0</v>
      </c>
      <c r="EY40" s="2">
        <v>0</v>
      </c>
      <c r="EZ40" s="2"/>
      <c r="FA40" s="2"/>
      <c r="FB40" s="2"/>
      <c r="FC40" s="2"/>
      <c r="FD40" s="2"/>
      <c r="FE40" s="2"/>
      <c r="FF40" s="2"/>
      <c r="FG40" s="2"/>
      <c r="FH40" s="2"/>
      <c r="FI40" s="2"/>
      <c r="FJ40" s="2"/>
      <c r="FK40" s="2"/>
      <c r="FL40" s="2"/>
      <c r="FM40" s="2"/>
      <c r="FN40" s="2"/>
      <c r="FO40" s="2"/>
      <c r="FP40" s="2"/>
      <c r="FQ40" s="2">
        <v>0</v>
      </c>
      <c r="FR40" s="2">
        <v>0</v>
      </c>
      <c r="FS40" s="2">
        <v>0</v>
      </c>
      <c r="FT40" s="2"/>
      <c r="FU40" s="2"/>
      <c r="FV40" s="2"/>
      <c r="FW40" s="2"/>
      <c r="FX40" s="2">
        <v>90</v>
      </c>
      <c r="FY40" s="2">
        <v>46</v>
      </c>
      <c r="FZ40" s="2"/>
      <c r="GA40" s="2" t="s">
        <v>3</v>
      </c>
      <c r="GB40" s="2"/>
      <c r="GC40" s="2"/>
      <c r="GD40" s="2">
        <v>1</v>
      </c>
      <c r="GE40" s="2"/>
      <c r="GF40" s="2">
        <v>1708693888</v>
      </c>
      <c r="GG40" s="2">
        <v>2</v>
      </c>
      <c r="GH40" s="2">
        <v>1</v>
      </c>
      <c r="GI40" s="2">
        <v>2</v>
      </c>
      <c r="GJ40" s="2">
        <v>0</v>
      </c>
      <c r="GK40" s="2">
        <v>0</v>
      </c>
      <c r="GL40" s="2">
        <f t="shared" si="38"/>
        <v>0</v>
      </c>
      <c r="GM40" s="2">
        <f t="shared" si="39"/>
        <v>32.369999999999997</v>
      </c>
      <c r="GN40" s="2">
        <f t="shared" si="40"/>
        <v>0</v>
      </c>
      <c r="GO40" s="2">
        <f t="shared" si="41"/>
        <v>32.369999999999997</v>
      </c>
      <c r="GP40" s="2">
        <f t="shared" si="42"/>
        <v>0</v>
      </c>
      <c r="GQ40" s="2"/>
      <c r="GR40" s="2">
        <v>0</v>
      </c>
      <c r="GS40" s="2">
        <v>3</v>
      </c>
      <c r="GT40" s="2">
        <v>0</v>
      </c>
      <c r="GU40" s="2" t="s">
        <v>3</v>
      </c>
      <c r="GV40" s="2">
        <f t="shared" si="43"/>
        <v>0</v>
      </c>
      <c r="GW40" s="2">
        <v>1</v>
      </c>
      <c r="GX40" s="2">
        <f t="shared" si="44"/>
        <v>0</v>
      </c>
      <c r="GY40" s="2"/>
      <c r="GZ40" s="2"/>
      <c r="HA40" s="2">
        <v>0</v>
      </c>
      <c r="HB40" s="2">
        <v>0</v>
      </c>
      <c r="HC40" s="2">
        <f t="shared" si="45"/>
        <v>0</v>
      </c>
      <c r="HD40" s="2"/>
      <c r="HE40" s="2" t="s">
        <v>3</v>
      </c>
      <c r="HF40" s="2" t="s">
        <v>3</v>
      </c>
      <c r="HG40" s="2"/>
      <c r="HH40" s="2"/>
      <c r="HI40" s="2"/>
      <c r="HJ40" s="2"/>
      <c r="HK40" s="2"/>
      <c r="HL40" s="2"/>
      <c r="HM40" s="2" t="s">
        <v>3</v>
      </c>
      <c r="HN40" s="2" t="s">
        <v>3</v>
      </c>
      <c r="HO40" s="2" t="s">
        <v>3</v>
      </c>
      <c r="HP40" s="2" t="s">
        <v>3</v>
      </c>
      <c r="HQ40" s="2" t="s">
        <v>3</v>
      </c>
      <c r="HR40" s="2"/>
      <c r="HS40" s="2">
        <v>0</v>
      </c>
      <c r="HT40" s="2"/>
      <c r="HU40" s="2"/>
      <c r="HV40" s="2"/>
      <c r="HW40" s="2"/>
      <c r="HX40" s="2"/>
      <c r="HY40" s="2"/>
      <c r="HZ40" s="2"/>
      <c r="IA40" s="2"/>
      <c r="IB40" s="2"/>
      <c r="IC40" s="2"/>
      <c r="ID40" s="2"/>
      <c r="IE40" s="2"/>
      <c r="IF40" s="2"/>
      <c r="IG40" s="2"/>
      <c r="IH40" s="2"/>
      <c r="II40" s="2"/>
      <c r="IJ40" s="2"/>
      <c r="IK40" s="2">
        <v>0</v>
      </c>
      <c r="IL40" s="2"/>
      <c r="IM40" s="2"/>
      <c r="IN40" s="2"/>
      <c r="IO40" s="2"/>
      <c r="IP40" s="2"/>
      <c r="IQ40" s="2"/>
      <c r="IR40" s="2"/>
      <c r="IS40" s="2"/>
      <c r="IT40" s="2"/>
      <c r="IU40" s="2"/>
    </row>
    <row r="41" spans="1:255" x14ac:dyDescent="0.2">
      <c r="A41" s="3">
        <v>17</v>
      </c>
      <c r="B41" s="3">
        <v>1</v>
      </c>
      <c r="C41" s="3">
        <f>ROW(SmtRes!A30)</f>
        <v>30</v>
      </c>
      <c r="D41" s="3">
        <f>ROW(EtalonRes!A38)</f>
        <v>38</v>
      </c>
      <c r="E41" s="3" t="s">
        <v>58</v>
      </c>
      <c r="F41" s="3" t="s">
        <v>49</v>
      </c>
      <c r="G41" s="3" t="s">
        <v>50</v>
      </c>
      <c r="H41" s="3" t="s">
        <v>22</v>
      </c>
      <c r="I41" s="3">
        <v>1</v>
      </c>
      <c r="J41" s="3">
        <v>0</v>
      </c>
      <c r="K41" s="3">
        <v>1</v>
      </c>
      <c r="O41" s="3">
        <f t="shared" si="21"/>
        <v>747.4</v>
      </c>
      <c r="P41" s="3">
        <f>ROUND((ROUND((AC41*AW41*I41),2)*BC41),2)</f>
        <v>0</v>
      </c>
      <c r="Q41" s="3">
        <f>(ROUND((ROUND((((ET41*1.1))*AV41*I41),2)*BB41),2)+ROUND((ROUND(((AE41-((EU41*1.1)))*AV41*I41),2)*BS41),2))</f>
        <v>9.43</v>
      </c>
      <c r="R41" s="3">
        <f>(ROUND((ROUND((((EU41*1.1))*AV41*I41),2)*BS41),2)+ROUND((ROUND(((AE41-((EU41*1.1)))*AV41*I41),2)*BS41),2))</f>
        <v>4.95</v>
      </c>
      <c r="S41" s="3">
        <f t="shared" si="23"/>
        <v>737.97</v>
      </c>
      <c r="T41" s="3">
        <f t="shared" si="24"/>
        <v>0</v>
      </c>
      <c r="U41" s="3">
        <f t="shared" si="25"/>
        <v>1.1862510000000002</v>
      </c>
      <c r="V41" s="3">
        <f t="shared" si="26"/>
        <v>0</v>
      </c>
      <c r="W41" s="3">
        <f t="shared" si="27"/>
        <v>0</v>
      </c>
      <c r="X41" s="3">
        <f>(ROUND((((S41+ROUND((ROUND((((EU41*1.1))*AV41*I41),2)*BS41),2))*AT41)/100),2)+ROUND(((ROUND((ROUND(((AE41-((EU41*1.1)))*AV41*I41),2)*BS41),2)*AT41)/100),2))</f>
        <v>668.63</v>
      </c>
      <c r="Y41" s="3">
        <f>(ROUND((((S41+ROUND((ROUND((((EU41*1.1))*AV41*I41),2)*BS41),2))*AU41)/100),2)+ROUND(((ROUND((ROUND(((AE41-((EU41*1.1)))*AV41*I41),2)*BS41),2)*AU41)/100),2))</f>
        <v>341.74</v>
      </c>
      <c r="AA41" s="3">
        <v>60256402</v>
      </c>
      <c r="AB41" s="3">
        <f t="shared" si="28"/>
        <v>13.365</v>
      </c>
      <c r="AC41" s="3">
        <f>ROUND(((ES41*1)),6)</f>
        <v>0</v>
      </c>
      <c r="AD41" s="3">
        <f>ROUND(((((ET41*1.1))-((EU41*1.1)))+AE41),6)</f>
        <v>0.55000000000000004</v>
      </c>
      <c r="AE41" s="3">
        <f>ROUND(((EU41*1.1)),6)</f>
        <v>8.7999999999999995E-2</v>
      </c>
      <c r="AF41" s="3">
        <f>ROUND(((EV41*1.1)),6)</f>
        <v>12.815</v>
      </c>
      <c r="AG41" s="3">
        <f t="shared" si="29"/>
        <v>0</v>
      </c>
      <c r="AH41" s="3">
        <f>((EW41*1.1))</f>
        <v>1.1330000000000002</v>
      </c>
      <c r="AI41" s="3">
        <f>((EX41*1.1))</f>
        <v>0</v>
      </c>
      <c r="AJ41" s="3">
        <f t="shared" si="30"/>
        <v>0</v>
      </c>
      <c r="AK41" s="3">
        <v>12.15</v>
      </c>
      <c r="AL41" s="3">
        <v>0</v>
      </c>
      <c r="AM41" s="3">
        <v>0.5</v>
      </c>
      <c r="AN41" s="3">
        <v>0.08</v>
      </c>
      <c r="AO41" s="3">
        <v>11.65</v>
      </c>
      <c r="AP41" s="3">
        <v>0</v>
      </c>
      <c r="AQ41" s="3">
        <v>1.03</v>
      </c>
      <c r="AR41" s="3">
        <v>0</v>
      </c>
      <c r="AS41" s="3">
        <v>0</v>
      </c>
      <c r="AT41" s="3">
        <v>90</v>
      </c>
      <c r="AU41" s="3">
        <v>46</v>
      </c>
      <c r="AV41" s="3">
        <v>1.0469999999999999</v>
      </c>
      <c r="AW41" s="3">
        <v>1</v>
      </c>
      <c r="AZ41" s="3">
        <v>1</v>
      </c>
      <c r="BA41" s="3">
        <v>54.99</v>
      </c>
      <c r="BB41" s="3">
        <v>16.260000000000002</v>
      </c>
      <c r="BC41" s="3">
        <v>1</v>
      </c>
      <c r="BD41" s="3" t="s">
        <v>3</v>
      </c>
      <c r="BE41" s="3" t="s">
        <v>3</v>
      </c>
      <c r="BF41" s="3" t="s">
        <v>3</v>
      </c>
      <c r="BG41" s="3" t="s">
        <v>3</v>
      </c>
      <c r="BH41" s="3">
        <v>0</v>
      </c>
      <c r="BI41" s="3">
        <v>2</v>
      </c>
      <c r="BJ41" s="3" t="s">
        <v>51</v>
      </c>
      <c r="BM41" s="3">
        <v>72</v>
      </c>
      <c r="BN41" s="3">
        <v>58973116</v>
      </c>
      <c r="BO41" s="3" t="s">
        <v>49</v>
      </c>
      <c r="BP41" s="3">
        <v>1</v>
      </c>
      <c r="BQ41" s="3">
        <v>40</v>
      </c>
      <c r="BR41" s="3">
        <v>0</v>
      </c>
      <c r="BS41" s="3">
        <v>54.99</v>
      </c>
      <c r="BT41" s="3">
        <v>1</v>
      </c>
      <c r="BU41" s="3">
        <v>1</v>
      </c>
      <c r="BV41" s="3">
        <v>1</v>
      </c>
      <c r="BW41" s="3">
        <v>1</v>
      </c>
      <c r="BX41" s="3">
        <v>1</v>
      </c>
      <c r="BY41" s="3" t="s">
        <v>3</v>
      </c>
      <c r="BZ41" s="3">
        <v>90</v>
      </c>
      <c r="CA41" s="3">
        <v>46</v>
      </c>
      <c r="CB41" s="3" t="s">
        <v>3</v>
      </c>
      <c r="CE41" s="3">
        <v>1566</v>
      </c>
      <c r="CF41" s="3">
        <v>0</v>
      </c>
      <c r="CG41" s="3">
        <v>0</v>
      </c>
      <c r="CM41" s="3">
        <v>0</v>
      </c>
      <c r="CN41" s="3" t="s">
        <v>369</v>
      </c>
      <c r="CO41" s="3">
        <v>0</v>
      </c>
      <c r="CP41" s="3">
        <f t="shared" si="31"/>
        <v>747.4</v>
      </c>
      <c r="CQ41" s="3">
        <f>ROUND((ROUND((AC41*AW41*1),2)*BC41),2)</f>
        <v>0</v>
      </c>
      <c r="CR41" s="3">
        <f>(ROUND((ROUND((((ET41*1.1))*AV41*1),2)*BB41),2)+ROUND((ROUND(((AE41-((EU41*1.1)))*AV41*1),2)*BS41),2))</f>
        <v>9.43</v>
      </c>
      <c r="CS41" s="3">
        <f>(ROUND((ROUND((((EU41*1.1))*AV41*1),2)*BS41),2)+ROUND((ROUND(((AE41-((EU41*1.1)))*AV41*1),2)*BS41),2))</f>
        <v>4.95</v>
      </c>
      <c r="CT41" s="3">
        <f t="shared" si="33"/>
        <v>737.97</v>
      </c>
      <c r="CU41" s="3">
        <f t="shared" si="34"/>
        <v>0</v>
      </c>
      <c r="CV41" s="3">
        <f t="shared" si="35"/>
        <v>1.1862510000000002</v>
      </c>
      <c r="CW41" s="3">
        <f t="shared" si="36"/>
        <v>0</v>
      </c>
      <c r="CX41" s="3">
        <f t="shared" si="37"/>
        <v>0</v>
      </c>
      <c r="CY41" s="3">
        <f>(ROUND((((S41+ROUND((ROUND((((EU41*1.1))*AV41*1),2)*BS41),2))*AT41)/100),2)+ROUND(((ROUND((ROUND(((AE41-((EU41*1.1)))*AV41*1),2)*BS41),2)*AT41)/100),2))</f>
        <v>668.63</v>
      </c>
      <c r="CZ41" s="3">
        <f>(ROUND((((S41+ROUND((ROUND((((EU41*1.1))*AV41*1),2)*BS41),2))*AU41)/100),2)+ROUND(((ROUND((ROUND(((AE41-((EU41*1.1)))*AV41*1),2)*BS41),2)*AU41)/100),2))</f>
        <v>341.74</v>
      </c>
      <c r="DB41" s="3">
        <v>8</v>
      </c>
      <c r="DC41" s="3" t="s">
        <v>3</v>
      </c>
      <c r="DD41" s="3" t="s">
        <v>24</v>
      </c>
      <c r="DE41" s="3" t="s">
        <v>25</v>
      </c>
      <c r="DF41" s="3" t="s">
        <v>25</v>
      </c>
      <c r="DG41" s="3" t="s">
        <v>25</v>
      </c>
      <c r="DH41" s="3" t="s">
        <v>3</v>
      </c>
      <c r="DI41" s="3" t="s">
        <v>25</v>
      </c>
      <c r="DJ41" s="3" t="s">
        <v>25</v>
      </c>
      <c r="DK41" s="3" t="s">
        <v>3</v>
      </c>
      <c r="DL41" s="3" t="s">
        <v>3</v>
      </c>
      <c r="DM41" s="3" t="s">
        <v>3</v>
      </c>
      <c r="DN41" s="3">
        <v>0</v>
      </c>
      <c r="DO41" s="3">
        <v>0</v>
      </c>
      <c r="DP41" s="3">
        <v>1</v>
      </c>
      <c r="DQ41" s="3">
        <v>1</v>
      </c>
      <c r="DU41" s="3">
        <v>1013</v>
      </c>
      <c r="DV41" s="3" t="s">
        <v>22</v>
      </c>
      <c r="DW41" s="3" t="s">
        <v>22</v>
      </c>
      <c r="DX41" s="3">
        <v>1</v>
      </c>
      <c r="DZ41" s="3" t="s">
        <v>3</v>
      </c>
      <c r="EA41" s="3" t="s">
        <v>3</v>
      </c>
      <c r="EB41" s="3" t="s">
        <v>3</v>
      </c>
      <c r="EC41" s="3" t="s">
        <v>3</v>
      </c>
      <c r="EE41" s="3">
        <v>60088536</v>
      </c>
      <c r="EF41" s="3">
        <v>40</v>
      </c>
      <c r="EG41" s="3" t="s">
        <v>26</v>
      </c>
      <c r="EH41" s="3">
        <v>0</v>
      </c>
      <c r="EI41" s="3" t="s">
        <v>3</v>
      </c>
      <c r="EJ41" s="3">
        <v>2</v>
      </c>
      <c r="EK41" s="3">
        <v>72</v>
      </c>
      <c r="EL41" s="3" t="s">
        <v>52</v>
      </c>
      <c r="EM41" s="3" t="s">
        <v>53</v>
      </c>
      <c r="EO41" s="3" t="s">
        <v>29</v>
      </c>
      <c r="EQ41" s="3">
        <v>0</v>
      </c>
      <c r="ER41" s="3">
        <v>12.15</v>
      </c>
      <c r="ES41" s="3">
        <v>0</v>
      </c>
      <c r="ET41" s="3">
        <v>0.5</v>
      </c>
      <c r="EU41" s="3">
        <v>0.08</v>
      </c>
      <c r="EV41" s="3">
        <v>11.65</v>
      </c>
      <c r="EW41" s="3">
        <v>1.03</v>
      </c>
      <c r="EX41" s="3">
        <v>0</v>
      </c>
      <c r="EY41" s="3">
        <v>0</v>
      </c>
      <c r="FQ41" s="3">
        <v>0</v>
      </c>
      <c r="FR41" s="3">
        <v>0</v>
      </c>
      <c r="FS41" s="3">
        <v>0</v>
      </c>
      <c r="FX41" s="3">
        <v>90</v>
      </c>
      <c r="FY41" s="3">
        <v>46</v>
      </c>
      <c r="GA41" s="3" t="s">
        <v>3</v>
      </c>
      <c r="GD41" s="3">
        <v>1</v>
      </c>
      <c r="GF41" s="3">
        <v>1708693888</v>
      </c>
      <c r="GG41" s="3">
        <v>2</v>
      </c>
      <c r="GH41" s="3">
        <v>1</v>
      </c>
      <c r="GI41" s="3">
        <v>2</v>
      </c>
      <c r="GJ41" s="3">
        <v>0</v>
      </c>
      <c r="GK41" s="3">
        <v>0</v>
      </c>
      <c r="GL41" s="3">
        <f t="shared" si="38"/>
        <v>0</v>
      </c>
      <c r="GM41" s="3">
        <f t="shared" si="39"/>
        <v>1757.77</v>
      </c>
      <c r="GN41" s="3">
        <f t="shared" si="40"/>
        <v>0</v>
      </c>
      <c r="GO41" s="3">
        <f t="shared" si="41"/>
        <v>1757.77</v>
      </c>
      <c r="GP41" s="3">
        <f t="shared" si="42"/>
        <v>0</v>
      </c>
      <c r="GR41" s="3">
        <v>0</v>
      </c>
      <c r="GS41" s="3">
        <v>3</v>
      </c>
      <c r="GT41" s="3">
        <v>0</v>
      </c>
      <c r="GU41" s="3" t="s">
        <v>3</v>
      </c>
      <c r="GV41" s="3">
        <f t="shared" si="43"/>
        <v>0</v>
      </c>
      <c r="GW41" s="3">
        <v>1</v>
      </c>
      <c r="GX41" s="3">
        <f t="shared" si="44"/>
        <v>0</v>
      </c>
      <c r="HA41" s="3">
        <v>0</v>
      </c>
      <c r="HB41" s="3">
        <v>0</v>
      </c>
      <c r="HC41" s="3">
        <f t="shared" si="45"/>
        <v>0</v>
      </c>
      <c r="HE41" s="3" t="s">
        <v>3</v>
      </c>
      <c r="HF41" s="3" t="s">
        <v>3</v>
      </c>
      <c r="HM41" s="3" t="s">
        <v>3</v>
      </c>
      <c r="HN41" s="3" t="s">
        <v>3</v>
      </c>
      <c r="HO41" s="3" t="s">
        <v>3</v>
      </c>
      <c r="HP41" s="3" t="s">
        <v>3</v>
      </c>
      <c r="HQ41" s="3" t="s">
        <v>3</v>
      </c>
      <c r="HS41" s="3">
        <v>0</v>
      </c>
      <c r="IK41" s="3">
        <v>0</v>
      </c>
    </row>
    <row r="42" spans="1:255" x14ac:dyDescent="0.2">
      <c r="A42" s="2">
        <v>17</v>
      </c>
      <c r="B42" s="2">
        <v>1</v>
      </c>
      <c r="C42" s="2"/>
      <c r="D42" s="2"/>
      <c r="E42" s="2" t="s">
        <v>59</v>
      </c>
      <c r="F42" s="2" t="s">
        <v>60</v>
      </c>
      <c r="G42" s="2" t="s">
        <v>61</v>
      </c>
      <c r="H42" s="2" t="s">
        <v>33</v>
      </c>
      <c r="I42" s="2">
        <v>1</v>
      </c>
      <c r="J42" s="2">
        <v>0</v>
      </c>
      <c r="K42" s="2">
        <v>1</v>
      </c>
      <c r="L42" s="2"/>
      <c r="M42" s="2"/>
      <c r="N42" s="2"/>
      <c r="O42" s="2">
        <f t="shared" si="21"/>
        <v>8001.86</v>
      </c>
      <c r="P42" s="2">
        <f>ROUND((ROUND((AC42*I42),2)*BC42),2)</f>
        <v>8001.86</v>
      </c>
      <c r="Q42" s="2">
        <f>(ROUND((ROUND(((ET42)*AV42*I42),2)*BB42),2)+ROUND((ROUND(((AE42-(EU42))*AV42*I42),2)*BS42),2))</f>
        <v>0</v>
      </c>
      <c r="R42" s="2">
        <f>(ROUND((ROUND(((EU42)*AV42*I42),2)*BS42),2)+ROUND((ROUND(((AE42-(EU42))*AV42*I42),2)*BS42),2))</f>
        <v>0</v>
      </c>
      <c r="S42" s="2">
        <f t="shared" si="23"/>
        <v>0</v>
      </c>
      <c r="T42" s="2">
        <f t="shared" si="24"/>
        <v>0</v>
      </c>
      <c r="U42" s="2">
        <f t="shared" si="25"/>
        <v>0</v>
      </c>
      <c r="V42" s="2">
        <f t="shared" si="26"/>
        <v>0</v>
      </c>
      <c r="W42" s="2">
        <f t="shared" si="27"/>
        <v>0</v>
      </c>
      <c r="X42" s="2">
        <f>(ROUND((((S42+ROUND((ROUND(((EU42)*AV42*I42),2)*BS42),2))*AT42)/100),2)+ROUND(((ROUND((ROUND(((AE42-(EU42))*AV42*I42),2)*BS42),2)*AT42)/100),2))</f>
        <v>0</v>
      </c>
      <c r="Y42" s="2">
        <f>(ROUND((((S42+ROUND((ROUND(((EU42)*AV42*I42),2)*BS42),2))*AU42)/100),2)+ROUND(((ROUND((ROUND(((AE42-(EU42))*AV42*I42),2)*BS42),2)*AU42)/100),2))</f>
        <v>0</v>
      </c>
      <c r="Z42" s="2"/>
      <c r="AA42" s="2">
        <v>60256405</v>
      </c>
      <c r="AB42" s="2">
        <f t="shared" si="28"/>
        <v>8001.86</v>
      </c>
      <c r="AC42" s="2">
        <f>ROUND((ES42),6)</f>
        <v>8001.86</v>
      </c>
      <c r="AD42" s="2">
        <f>ROUND((((ET42)-(EU42))+AE42),6)</f>
        <v>0</v>
      </c>
      <c r="AE42" s="2">
        <f>ROUND((EU42),6)</f>
        <v>0</v>
      </c>
      <c r="AF42" s="2">
        <f>ROUND((EV42),6)</f>
        <v>0</v>
      </c>
      <c r="AG42" s="2">
        <f t="shared" si="29"/>
        <v>0</v>
      </c>
      <c r="AH42" s="2">
        <f>(EW42)</f>
        <v>0</v>
      </c>
      <c r="AI42" s="2">
        <f>(EX42)</f>
        <v>0</v>
      </c>
      <c r="AJ42" s="2">
        <f t="shared" si="30"/>
        <v>0</v>
      </c>
      <c r="AK42" s="2">
        <v>8001.8600000000006</v>
      </c>
      <c r="AL42" s="2">
        <v>8001.8600000000006</v>
      </c>
      <c r="AM42" s="2">
        <v>0</v>
      </c>
      <c r="AN42" s="2">
        <v>0</v>
      </c>
      <c r="AO42" s="2">
        <v>0</v>
      </c>
      <c r="AP42" s="2">
        <v>0</v>
      </c>
      <c r="AQ42" s="2">
        <v>0</v>
      </c>
      <c r="AR42" s="2">
        <v>0</v>
      </c>
      <c r="AS42" s="2">
        <v>0</v>
      </c>
      <c r="AT42" s="2">
        <v>0</v>
      </c>
      <c r="AU42" s="2">
        <v>0</v>
      </c>
      <c r="AV42" s="2">
        <v>1</v>
      </c>
      <c r="AW42" s="2">
        <v>1</v>
      </c>
      <c r="AX42" s="2"/>
      <c r="AY42" s="2"/>
      <c r="AZ42" s="2">
        <v>1</v>
      </c>
      <c r="BA42" s="2">
        <v>1</v>
      </c>
      <c r="BB42" s="2">
        <v>1</v>
      </c>
      <c r="BC42" s="2">
        <v>1</v>
      </c>
      <c r="BD42" s="2" t="s">
        <v>3</v>
      </c>
      <c r="BE42" s="2" t="s">
        <v>3</v>
      </c>
      <c r="BF42" s="2" t="s">
        <v>3</v>
      </c>
      <c r="BG42" s="2" t="s">
        <v>3</v>
      </c>
      <c r="BH42" s="2">
        <v>3</v>
      </c>
      <c r="BI42" s="2">
        <v>3</v>
      </c>
      <c r="BJ42" s="2" t="s">
        <v>3</v>
      </c>
      <c r="BK42" s="2"/>
      <c r="BL42" s="2"/>
      <c r="BM42" s="2">
        <v>746</v>
      </c>
      <c r="BN42" s="2">
        <v>0</v>
      </c>
      <c r="BO42" s="2" t="s">
        <v>3</v>
      </c>
      <c r="BP42" s="2">
        <v>0</v>
      </c>
      <c r="BQ42" s="2">
        <v>130</v>
      </c>
      <c r="BR42" s="2">
        <v>0</v>
      </c>
      <c r="BS42" s="2">
        <v>1</v>
      </c>
      <c r="BT42" s="2">
        <v>1</v>
      </c>
      <c r="BU42" s="2">
        <v>1</v>
      </c>
      <c r="BV42" s="2">
        <v>1</v>
      </c>
      <c r="BW42" s="2">
        <v>1</v>
      </c>
      <c r="BX42" s="2">
        <v>1</v>
      </c>
      <c r="BY42" s="2" t="s">
        <v>3</v>
      </c>
      <c r="BZ42" s="2">
        <v>0</v>
      </c>
      <c r="CA42" s="2">
        <v>0</v>
      </c>
      <c r="CB42" s="2" t="s">
        <v>3</v>
      </c>
      <c r="CC42" s="2"/>
      <c r="CD42" s="2"/>
      <c r="CE42" s="2">
        <v>1566</v>
      </c>
      <c r="CF42" s="2">
        <v>0</v>
      </c>
      <c r="CG42" s="2">
        <v>0</v>
      </c>
      <c r="CH42" s="2"/>
      <c r="CI42" s="2"/>
      <c r="CJ42" s="2"/>
      <c r="CK42" s="2"/>
      <c r="CL42" s="2"/>
      <c r="CM42" s="2">
        <v>0</v>
      </c>
      <c r="CN42" s="2" t="s">
        <v>3</v>
      </c>
      <c r="CO42" s="2">
        <v>0</v>
      </c>
      <c r="CP42" s="2">
        <f t="shared" si="31"/>
        <v>8001.86</v>
      </c>
      <c r="CQ42" s="2">
        <f>ROUND((ROUND((AC42*1),2)*BC42),2)</f>
        <v>8001.86</v>
      </c>
      <c r="CR42" s="2">
        <f>(ROUND((ROUND(((ET42)*AV42*1),2)*BB42),2)+ROUND((ROUND(((AE42-(EU42))*AV42*1),2)*BS42),2))</f>
        <v>0</v>
      </c>
      <c r="CS42" s="2">
        <f>(ROUND((ROUND(((EU42)*AV42*1),2)*BS42),2)+ROUND((ROUND(((AE42-(EU42))*AV42*1),2)*BS42),2))</f>
        <v>0</v>
      </c>
      <c r="CT42" s="2">
        <f t="shared" si="33"/>
        <v>0</v>
      </c>
      <c r="CU42" s="2">
        <f t="shared" si="34"/>
        <v>0</v>
      </c>
      <c r="CV42" s="2">
        <f t="shared" si="35"/>
        <v>0</v>
      </c>
      <c r="CW42" s="2">
        <f t="shared" si="36"/>
        <v>0</v>
      </c>
      <c r="CX42" s="2">
        <f t="shared" si="37"/>
        <v>0</v>
      </c>
      <c r="CY42" s="2">
        <f>(ROUND((((S42+ROUND((ROUND(((EU42)*AV42*1),2)*BS42),2))*AT42)/100),2)+ROUND(((ROUND((ROUND(((AE42-(EU42))*AV42*1),2)*BS42),2)*AT42)/100),2))</f>
        <v>0</v>
      </c>
      <c r="CZ42" s="2">
        <f>(ROUND((((S42+ROUND((ROUND(((EU42)*AV42*1),2)*BS42),2))*AU42)/100),2)+ROUND(((ROUND((ROUND(((AE42-(EU42))*AV42*1),2)*BS42),2)*AU42)/100),2))</f>
        <v>0</v>
      </c>
      <c r="DA42" s="2"/>
      <c r="DB42" s="2"/>
      <c r="DC42" s="2" t="s">
        <v>3</v>
      </c>
      <c r="DD42" s="2" t="s">
        <v>3</v>
      </c>
      <c r="DE42" s="2" t="s">
        <v>3</v>
      </c>
      <c r="DF42" s="2" t="s">
        <v>3</v>
      </c>
      <c r="DG42" s="2" t="s">
        <v>3</v>
      </c>
      <c r="DH42" s="2" t="s">
        <v>3</v>
      </c>
      <c r="DI42" s="2" t="s">
        <v>3</v>
      </c>
      <c r="DJ42" s="2" t="s">
        <v>3</v>
      </c>
      <c r="DK42" s="2" t="s">
        <v>3</v>
      </c>
      <c r="DL42" s="2" t="s">
        <v>3</v>
      </c>
      <c r="DM42" s="2" t="s">
        <v>3</v>
      </c>
      <c r="DN42" s="2">
        <v>0</v>
      </c>
      <c r="DO42" s="2">
        <v>0</v>
      </c>
      <c r="DP42" s="2">
        <v>1</v>
      </c>
      <c r="DQ42" s="2">
        <v>1</v>
      </c>
      <c r="DR42" s="2"/>
      <c r="DS42" s="2"/>
      <c r="DT42" s="2"/>
      <c r="DU42" s="2">
        <v>1010</v>
      </c>
      <c r="DV42" s="2" t="s">
        <v>33</v>
      </c>
      <c r="DW42" s="2" t="s">
        <v>33</v>
      </c>
      <c r="DX42" s="2">
        <v>1</v>
      </c>
      <c r="DY42" s="2"/>
      <c r="DZ42" s="2" t="s">
        <v>3</v>
      </c>
      <c r="EA42" s="2" t="s">
        <v>3</v>
      </c>
      <c r="EB42" s="2" t="s">
        <v>3</v>
      </c>
      <c r="EC42" s="2" t="s">
        <v>3</v>
      </c>
      <c r="ED42" s="2"/>
      <c r="EE42" s="2">
        <v>60088638</v>
      </c>
      <c r="EF42" s="2">
        <v>130</v>
      </c>
      <c r="EG42" s="2" t="s">
        <v>43</v>
      </c>
      <c r="EH42" s="2">
        <v>0</v>
      </c>
      <c r="EI42" s="2" t="s">
        <v>3</v>
      </c>
      <c r="EJ42" s="2">
        <v>3</v>
      </c>
      <c r="EK42" s="2">
        <v>746</v>
      </c>
      <c r="EL42" s="2" t="s">
        <v>44</v>
      </c>
      <c r="EM42" s="2" t="s">
        <v>45</v>
      </c>
      <c r="EN42" s="2"/>
      <c r="EO42" s="2" t="s">
        <v>3</v>
      </c>
      <c r="EP42" s="2"/>
      <c r="EQ42" s="2">
        <v>0</v>
      </c>
      <c r="ER42" s="2">
        <v>0</v>
      </c>
      <c r="ES42" s="2">
        <v>8001.8600000000006</v>
      </c>
      <c r="ET42" s="2">
        <v>0</v>
      </c>
      <c r="EU42" s="2">
        <v>0</v>
      </c>
      <c r="EV42" s="2">
        <v>0</v>
      </c>
      <c r="EW42" s="2">
        <v>0</v>
      </c>
      <c r="EX42" s="2">
        <v>0</v>
      </c>
      <c r="EY42" s="2">
        <v>0</v>
      </c>
      <c r="EZ42" s="2"/>
      <c r="FA42" s="2"/>
      <c r="FB42" s="2"/>
      <c r="FC42" s="2"/>
      <c r="FD42" s="2"/>
      <c r="FE42" s="2"/>
      <c r="FF42" s="2"/>
      <c r="FG42" s="2"/>
      <c r="FH42" s="2"/>
      <c r="FI42" s="2"/>
      <c r="FJ42" s="2"/>
      <c r="FK42" s="2"/>
      <c r="FL42" s="2"/>
      <c r="FM42" s="2"/>
      <c r="FN42" s="2"/>
      <c r="FO42" s="2"/>
      <c r="FP42" s="2"/>
      <c r="FQ42" s="2">
        <v>0</v>
      </c>
      <c r="FR42" s="2">
        <f>P42</f>
        <v>8001.86</v>
      </c>
      <c r="FS42" s="2">
        <v>0</v>
      </c>
      <c r="FT42" s="2"/>
      <c r="FU42" s="2"/>
      <c r="FV42" s="2"/>
      <c r="FW42" s="2"/>
      <c r="FX42" s="2">
        <v>0</v>
      </c>
      <c r="FY42" s="2">
        <v>0</v>
      </c>
      <c r="FZ42" s="2"/>
      <c r="GA42" s="2" t="s">
        <v>62</v>
      </c>
      <c r="GB42" s="2"/>
      <c r="GC42" s="2"/>
      <c r="GD42" s="2">
        <v>1</v>
      </c>
      <c r="GE42" s="2"/>
      <c r="GF42" s="2">
        <v>-909535778</v>
      </c>
      <c r="GG42" s="2">
        <v>2</v>
      </c>
      <c r="GH42" s="2">
        <v>4</v>
      </c>
      <c r="GI42" s="2">
        <v>-2</v>
      </c>
      <c r="GJ42" s="2">
        <v>0</v>
      </c>
      <c r="GK42" s="2">
        <v>0</v>
      </c>
      <c r="GL42" s="2">
        <f t="shared" si="38"/>
        <v>0</v>
      </c>
      <c r="GM42" s="2">
        <f t="shared" si="39"/>
        <v>8001.86</v>
      </c>
      <c r="GN42" s="2">
        <f t="shared" si="40"/>
        <v>0</v>
      </c>
      <c r="GO42" s="2">
        <f t="shared" si="41"/>
        <v>0</v>
      </c>
      <c r="GP42" s="2">
        <f t="shared" si="42"/>
        <v>0</v>
      </c>
      <c r="GQ42" s="2"/>
      <c r="GR42" s="2">
        <v>0</v>
      </c>
      <c r="GS42" s="2">
        <v>2</v>
      </c>
      <c r="GT42" s="2">
        <v>0</v>
      </c>
      <c r="GU42" s="2" t="s">
        <v>3</v>
      </c>
      <c r="GV42" s="2">
        <f t="shared" si="43"/>
        <v>0</v>
      </c>
      <c r="GW42" s="2">
        <v>1</v>
      </c>
      <c r="GX42" s="2">
        <f t="shared" si="44"/>
        <v>0</v>
      </c>
      <c r="GY42" s="2"/>
      <c r="GZ42" s="2"/>
      <c r="HA42" s="2">
        <v>0</v>
      </c>
      <c r="HB42" s="2">
        <v>0</v>
      </c>
      <c r="HC42" s="2">
        <f t="shared" si="45"/>
        <v>0</v>
      </c>
      <c r="HD42" s="2"/>
      <c r="HE42" s="2" t="s">
        <v>36</v>
      </c>
      <c r="HF42" s="2" t="s">
        <v>47</v>
      </c>
      <c r="HG42" s="2"/>
      <c r="HH42" s="2"/>
      <c r="HI42" s="2"/>
      <c r="HJ42" s="2"/>
      <c r="HK42" s="2"/>
      <c r="HL42" s="2"/>
      <c r="HM42" s="2" t="s">
        <v>3</v>
      </c>
      <c r="HN42" s="2" t="s">
        <v>3</v>
      </c>
      <c r="HO42" s="2" t="s">
        <v>3</v>
      </c>
      <c r="HP42" s="2" t="s">
        <v>3</v>
      </c>
      <c r="HQ42" s="2" t="s">
        <v>3</v>
      </c>
      <c r="HR42" s="2"/>
      <c r="HS42" s="2">
        <v>0</v>
      </c>
      <c r="HT42" s="2"/>
      <c r="HU42" s="2"/>
      <c r="HV42" s="2"/>
      <c r="HW42" s="2"/>
      <c r="HX42" s="2"/>
      <c r="HY42" s="2"/>
      <c r="HZ42" s="2"/>
      <c r="IA42" s="2"/>
      <c r="IB42" s="2"/>
      <c r="IC42" s="2"/>
      <c r="ID42" s="2"/>
      <c r="IE42" s="2"/>
      <c r="IF42" s="2"/>
      <c r="IG42" s="2"/>
      <c r="IH42" s="2"/>
      <c r="II42" s="2"/>
      <c r="IJ42" s="2"/>
      <c r="IK42" s="2">
        <v>0</v>
      </c>
      <c r="IL42" s="2"/>
      <c r="IM42" s="2"/>
      <c r="IN42" s="2"/>
      <c r="IO42" s="2"/>
      <c r="IP42" s="2"/>
      <c r="IQ42" s="2"/>
      <c r="IR42" s="2"/>
      <c r="IS42" s="2"/>
      <c r="IT42" s="2"/>
      <c r="IU42" s="2"/>
    </row>
    <row r="43" spans="1:255" x14ac:dyDescent="0.2">
      <c r="A43" s="3">
        <v>17</v>
      </c>
      <c r="B43" s="3">
        <v>1</v>
      </c>
      <c r="E43" s="3" t="s">
        <v>59</v>
      </c>
      <c r="F43" s="3" t="s">
        <v>60</v>
      </c>
      <c r="G43" s="3" t="s">
        <v>61</v>
      </c>
      <c r="H43" s="3" t="s">
        <v>33</v>
      </c>
      <c r="I43" s="3">
        <v>1</v>
      </c>
      <c r="J43" s="3">
        <v>0</v>
      </c>
      <c r="K43" s="3">
        <v>1</v>
      </c>
      <c r="O43" s="3">
        <f t="shared" si="21"/>
        <v>61294.25</v>
      </c>
      <c r="P43" s="3">
        <f>ROUND((ROUND((AC43*I43),2)*BC43),2)</f>
        <v>61294.25</v>
      </c>
      <c r="Q43" s="3">
        <f>(ROUND((ROUND(((ET43)*AV43*I43),2)*BB43),2)+ROUND((ROUND(((AE43-(EU43))*AV43*I43),2)*BS43),2))</f>
        <v>0</v>
      </c>
      <c r="R43" s="3">
        <f>(ROUND((ROUND(((EU43)*AV43*I43),2)*BS43),2)+ROUND((ROUND(((AE43-(EU43))*AV43*I43),2)*BS43),2))</f>
        <v>0</v>
      </c>
      <c r="S43" s="3">
        <f t="shared" si="23"/>
        <v>0</v>
      </c>
      <c r="T43" s="3">
        <f t="shared" si="24"/>
        <v>0</v>
      </c>
      <c r="U43" s="3">
        <f t="shared" si="25"/>
        <v>0</v>
      </c>
      <c r="V43" s="3">
        <f t="shared" si="26"/>
        <v>0</v>
      </c>
      <c r="W43" s="3">
        <f t="shared" si="27"/>
        <v>0</v>
      </c>
      <c r="X43" s="3">
        <f>(ROUND((((S43+ROUND((ROUND(((EU43)*AV43*I43),2)*BS43),2))*AT43)/100),2)+ROUND(((ROUND((ROUND(((AE43-(EU43))*AV43*I43),2)*BS43),2)*AT43)/100),2))</f>
        <v>0</v>
      </c>
      <c r="Y43" s="3">
        <f>(ROUND((((S43+ROUND((ROUND(((EU43)*AV43*I43),2)*BS43),2))*AU43)/100),2)+ROUND(((ROUND((ROUND(((AE43-(EU43))*AV43*I43),2)*BS43),2)*AU43)/100),2))</f>
        <v>0</v>
      </c>
      <c r="AA43" s="3">
        <v>60256402</v>
      </c>
      <c r="AB43" s="3">
        <f t="shared" si="28"/>
        <v>8001.86</v>
      </c>
      <c r="AC43" s="3">
        <f>ROUND((ES43),6)</f>
        <v>8001.86</v>
      </c>
      <c r="AD43" s="3">
        <f>ROUND((((ET43)-(EU43))+AE43),6)</f>
        <v>0</v>
      </c>
      <c r="AE43" s="3">
        <f>ROUND((EU43),6)</f>
        <v>0</v>
      </c>
      <c r="AF43" s="3">
        <f>ROUND((EV43),6)</f>
        <v>0</v>
      </c>
      <c r="AG43" s="3">
        <f t="shared" si="29"/>
        <v>0</v>
      </c>
      <c r="AH43" s="3">
        <f>(EW43)</f>
        <v>0</v>
      </c>
      <c r="AI43" s="3">
        <f>(EX43)</f>
        <v>0</v>
      </c>
      <c r="AJ43" s="3">
        <f t="shared" si="30"/>
        <v>0</v>
      </c>
      <c r="AK43" s="3">
        <v>8001.8600000000006</v>
      </c>
      <c r="AL43" s="3">
        <v>8001.8600000000006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1</v>
      </c>
      <c r="AW43" s="3">
        <v>1</v>
      </c>
      <c r="AZ43" s="3">
        <v>1</v>
      </c>
      <c r="BA43" s="3">
        <v>1</v>
      </c>
      <c r="BB43" s="3">
        <v>1</v>
      </c>
      <c r="BC43" s="3">
        <v>7.66</v>
      </c>
      <c r="BD43" s="3" t="s">
        <v>3</v>
      </c>
      <c r="BE43" s="3" t="s">
        <v>3</v>
      </c>
      <c r="BF43" s="3" t="s">
        <v>3</v>
      </c>
      <c r="BG43" s="3" t="s">
        <v>3</v>
      </c>
      <c r="BH43" s="3">
        <v>3</v>
      </c>
      <c r="BI43" s="3">
        <v>3</v>
      </c>
      <c r="BJ43" s="3" t="s">
        <v>3</v>
      </c>
      <c r="BM43" s="3">
        <v>746</v>
      </c>
      <c r="BN43" s="3">
        <v>0</v>
      </c>
      <c r="BO43" s="3" t="s">
        <v>3</v>
      </c>
      <c r="BP43" s="3">
        <v>0</v>
      </c>
      <c r="BQ43" s="3">
        <v>130</v>
      </c>
      <c r="BR43" s="3">
        <v>0</v>
      </c>
      <c r="BS43" s="3">
        <v>1</v>
      </c>
      <c r="BT43" s="3">
        <v>1</v>
      </c>
      <c r="BU43" s="3">
        <v>1</v>
      </c>
      <c r="BV43" s="3">
        <v>1</v>
      </c>
      <c r="BW43" s="3">
        <v>1</v>
      </c>
      <c r="BX43" s="3">
        <v>1</v>
      </c>
      <c r="BY43" s="3" t="s">
        <v>3</v>
      </c>
      <c r="BZ43" s="3">
        <v>0</v>
      </c>
      <c r="CA43" s="3">
        <v>0</v>
      </c>
      <c r="CB43" s="3" t="s">
        <v>3</v>
      </c>
      <c r="CE43" s="3">
        <v>1566</v>
      </c>
      <c r="CF43" s="3">
        <v>0</v>
      </c>
      <c r="CG43" s="3">
        <v>0</v>
      </c>
      <c r="CM43" s="3">
        <v>0</v>
      </c>
      <c r="CN43" s="3" t="s">
        <v>3</v>
      </c>
      <c r="CO43" s="3">
        <v>0</v>
      </c>
      <c r="CP43" s="3">
        <f t="shared" si="31"/>
        <v>61294.25</v>
      </c>
      <c r="CQ43" s="3">
        <f>ROUND((ROUND((AC43*1),2)*BC43),2)</f>
        <v>61294.25</v>
      </c>
      <c r="CR43" s="3">
        <f>(ROUND((ROUND(((ET43)*AV43*1),2)*BB43),2)+ROUND((ROUND(((AE43-(EU43))*AV43*1),2)*BS43),2))</f>
        <v>0</v>
      </c>
      <c r="CS43" s="3">
        <f>(ROUND((ROUND(((EU43)*AV43*1),2)*BS43),2)+ROUND((ROUND(((AE43-(EU43))*AV43*1),2)*BS43),2))</f>
        <v>0</v>
      </c>
      <c r="CT43" s="3">
        <f t="shared" si="33"/>
        <v>0</v>
      </c>
      <c r="CU43" s="3">
        <f t="shared" si="34"/>
        <v>0</v>
      </c>
      <c r="CV43" s="3">
        <f t="shared" si="35"/>
        <v>0</v>
      </c>
      <c r="CW43" s="3">
        <f t="shared" si="36"/>
        <v>0</v>
      </c>
      <c r="CX43" s="3">
        <f t="shared" si="37"/>
        <v>0</v>
      </c>
      <c r="CY43" s="3">
        <f>(ROUND((((S43+ROUND((ROUND(((EU43)*AV43*1),2)*BS43),2))*AT43)/100),2)+ROUND(((ROUND((ROUND(((AE43-(EU43))*AV43*1),2)*BS43),2)*AT43)/100),2))</f>
        <v>0</v>
      </c>
      <c r="CZ43" s="3">
        <f>(ROUND((((S43+ROUND((ROUND(((EU43)*AV43*1),2)*BS43),2))*AU43)/100),2)+ROUND(((ROUND((ROUND(((AE43-(EU43))*AV43*1),2)*BS43),2)*AU43)/100),2))</f>
        <v>0</v>
      </c>
      <c r="DC43" s="3" t="s">
        <v>3</v>
      </c>
      <c r="DD43" s="3" t="s">
        <v>3</v>
      </c>
      <c r="DE43" s="3" t="s">
        <v>3</v>
      </c>
      <c r="DF43" s="3" t="s">
        <v>3</v>
      </c>
      <c r="DG43" s="3" t="s">
        <v>3</v>
      </c>
      <c r="DH43" s="3" t="s">
        <v>3</v>
      </c>
      <c r="DI43" s="3" t="s">
        <v>3</v>
      </c>
      <c r="DJ43" s="3" t="s">
        <v>3</v>
      </c>
      <c r="DK43" s="3" t="s">
        <v>3</v>
      </c>
      <c r="DL43" s="3" t="s">
        <v>3</v>
      </c>
      <c r="DM43" s="3" t="s">
        <v>3</v>
      </c>
      <c r="DN43" s="3">
        <v>0</v>
      </c>
      <c r="DO43" s="3">
        <v>0</v>
      </c>
      <c r="DP43" s="3">
        <v>1</v>
      </c>
      <c r="DQ43" s="3">
        <v>1</v>
      </c>
      <c r="DU43" s="3">
        <v>1010</v>
      </c>
      <c r="DV43" s="3" t="s">
        <v>33</v>
      </c>
      <c r="DW43" s="3" t="s">
        <v>33</v>
      </c>
      <c r="DX43" s="3">
        <v>1</v>
      </c>
      <c r="DZ43" s="3" t="s">
        <v>3</v>
      </c>
      <c r="EA43" s="3" t="s">
        <v>3</v>
      </c>
      <c r="EB43" s="3" t="s">
        <v>3</v>
      </c>
      <c r="EC43" s="3" t="s">
        <v>3</v>
      </c>
      <c r="EE43" s="3">
        <v>60088638</v>
      </c>
      <c r="EF43" s="3">
        <v>130</v>
      </c>
      <c r="EG43" s="3" t="s">
        <v>43</v>
      </c>
      <c r="EH43" s="3">
        <v>0</v>
      </c>
      <c r="EI43" s="3" t="s">
        <v>3</v>
      </c>
      <c r="EJ43" s="3">
        <v>3</v>
      </c>
      <c r="EK43" s="3">
        <v>746</v>
      </c>
      <c r="EL43" s="3" t="s">
        <v>44</v>
      </c>
      <c r="EM43" s="3" t="s">
        <v>45</v>
      </c>
      <c r="EO43" s="3" t="s">
        <v>3</v>
      </c>
      <c r="EQ43" s="3">
        <v>0</v>
      </c>
      <c r="ER43" s="3">
        <v>8001.8600000000006</v>
      </c>
      <c r="ES43" s="3">
        <v>8001.8600000000006</v>
      </c>
      <c r="ET43" s="3">
        <v>0</v>
      </c>
      <c r="EU43" s="3">
        <v>0</v>
      </c>
      <c r="EV43" s="3">
        <v>0</v>
      </c>
      <c r="EW43" s="3">
        <v>0</v>
      </c>
      <c r="EX43" s="3">
        <v>0</v>
      </c>
      <c r="EY43" s="3">
        <v>0</v>
      </c>
      <c r="EZ43" s="3">
        <v>5</v>
      </c>
      <c r="FC43" s="3">
        <v>1</v>
      </c>
      <c r="FD43" s="3">
        <v>18</v>
      </c>
      <c r="FF43" s="3">
        <v>70564</v>
      </c>
      <c r="FQ43" s="3">
        <v>0</v>
      </c>
      <c r="FR43" s="3">
        <f>P43</f>
        <v>61294.25</v>
      </c>
      <c r="FS43" s="3">
        <v>0</v>
      </c>
      <c r="FX43" s="3">
        <v>0</v>
      </c>
      <c r="FY43" s="3">
        <v>0</v>
      </c>
      <c r="GA43" s="3" t="s">
        <v>62</v>
      </c>
      <c r="GD43" s="3">
        <v>1</v>
      </c>
      <c r="GF43" s="3">
        <v>-909535778</v>
      </c>
      <c r="GG43" s="3">
        <v>2</v>
      </c>
      <c r="GH43" s="3">
        <v>3</v>
      </c>
      <c r="GI43" s="3">
        <v>5</v>
      </c>
      <c r="GJ43" s="3">
        <v>0</v>
      </c>
      <c r="GK43" s="3">
        <v>0</v>
      </c>
      <c r="GL43" s="3">
        <f t="shared" si="38"/>
        <v>0</v>
      </c>
      <c r="GM43" s="3">
        <f t="shared" si="39"/>
        <v>61294.25</v>
      </c>
      <c r="GN43" s="3">
        <f t="shared" si="40"/>
        <v>0</v>
      </c>
      <c r="GO43" s="3">
        <f t="shared" si="41"/>
        <v>0</v>
      </c>
      <c r="GP43" s="3">
        <f t="shared" si="42"/>
        <v>0</v>
      </c>
      <c r="GR43" s="3">
        <v>1</v>
      </c>
      <c r="GS43" s="3">
        <v>1</v>
      </c>
      <c r="GT43" s="3">
        <v>0</v>
      </c>
      <c r="GU43" s="3" t="s">
        <v>3</v>
      </c>
      <c r="GV43" s="3">
        <f t="shared" si="43"/>
        <v>0</v>
      </c>
      <c r="GW43" s="3">
        <v>1</v>
      </c>
      <c r="GX43" s="3">
        <f t="shared" si="44"/>
        <v>0</v>
      </c>
      <c r="HA43" s="3">
        <v>0</v>
      </c>
      <c r="HB43" s="3">
        <v>0</v>
      </c>
      <c r="HC43" s="3">
        <f t="shared" si="45"/>
        <v>0</v>
      </c>
      <c r="HE43" s="3" t="s">
        <v>36</v>
      </c>
      <c r="HF43" s="3" t="s">
        <v>47</v>
      </c>
      <c r="HM43" s="3" t="s">
        <v>3</v>
      </c>
      <c r="HN43" s="3" t="s">
        <v>3</v>
      </c>
      <c r="HO43" s="3" t="s">
        <v>3</v>
      </c>
      <c r="HP43" s="3" t="s">
        <v>3</v>
      </c>
      <c r="HQ43" s="3" t="s">
        <v>3</v>
      </c>
      <c r="HS43" s="3">
        <v>0</v>
      </c>
      <c r="IK43" s="3">
        <v>0</v>
      </c>
    </row>
    <row r="44" spans="1:255" x14ac:dyDescent="0.2">
      <c r="A44" s="2">
        <v>17</v>
      </c>
      <c r="B44" s="2">
        <v>1</v>
      </c>
      <c r="C44" s="2">
        <f>ROW(SmtRes!A32)</f>
        <v>32</v>
      </c>
      <c r="D44" s="2">
        <f>ROW(EtalonRes!A41)</f>
        <v>41</v>
      </c>
      <c r="E44" s="2" t="s">
        <v>63</v>
      </c>
      <c r="F44" s="2" t="s">
        <v>64</v>
      </c>
      <c r="G44" s="2" t="s">
        <v>65</v>
      </c>
      <c r="H44" s="2" t="s">
        <v>22</v>
      </c>
      <c r="I44" s="2">
        <v>1</v>
      </c>
      <c r="J44" s="2">
        <v>0</v>
      </c>
      <c r="K44" s="2">
        <v>1</v>
      </c>
      <c r="L44" s="2"/>
      <c r="M44" s="2"/>
      <c r="N44" s="2"/>
      <c r="O44" s="2">
        <f t="shared" si="21"/>
        <v>7.77</v>
      </c>
      <c r="P44" s="2">
        <f>ROUND((ROUND((AC44*AW44*I44),2)*BC44),2)</f>
        <v>0</v>
      </c>
      <c r="Q44" s="2">
        <f>(ROUND((ROUND((((ET44*1.1))*AV44*I44),2)*BB44),2)+ROUND((ROUND(((AE44-((EU44*1.1)))*AV44*I44),2)*BS44),2))</f>
        <v>0</v>
      </c>
      <c r="R44" s="2">
        <f>(ROUND((ROUND((((EU44*1.1))*AV44*I44),2)*BS44),2)+ROUND((ROUND(((AE44-((EU44*1.1)))*AV44*I44),2)*BS44),2))</f>
        <v>0</v>
      </c>
      <c r="S44" s="2">
        <f t="shared" si="23"/>
        <v>7.77</v>
      </c>
      <c r="T44" s="2">
        <f t="shared" si="24"/>
        <v>0</v>
      </c>
      <c r="U44" s="2">
        <f t="shared" si="25"/>
        <v>0.59888399999999997</v>
      </c>
      <c r="V44" s="2">
        <f t="shared" si="26"/>
        <v>0</v>
      </c>
      <c r="W44" s="2">
        <f t="shared" si="27"/>
        <v>0</v>
      </c>
      <c r="X44" s="2">
        <f>(ROUND((((S44+ROUND((ROUND((((EU44*1.1))*AV44*I44),2)*BS44),2))*AT44)/100),2)+ROUND(((ROUND((ROUND(((AE44-((EU44*1.1)))*AV44*I44),2)*BS44),2)*AT44)/100),2))</f>
        <v>6.99</v>
      </c>
      <c r="Y44" s="2">
        <f>(ROUND((((S44+ROUND((ROUND((((EU44*1.1))*AV44*I44),2)*BS44),2))*AU44)/100),2)+ROUND(((ROUND((ROUND(((AE44-((EU44*1.1)))*AV44*I44),2)*BS44),2)*AU44)/100),2))</f>
        <v>3.57</v>
      </c>
      <c r="Z44" s="2"/>
      <c r="AA44" s="2">
        <v>60256405</v>
      </c>
      <c r="AB44" s="2">
        <f t="shared" si="28"/>
        <v>7.4249999999999998</v>
      </c>
      <c r="AC44" s="2">
        <f>ROUND(((ES44*1)),6)</f>
        <v>0</v>
      </c>
      <c r="AD44" s="2">
        <f>ROUND(((((ET44*1.1))-((EU44*1.1)))+AE44),6)</f>
        <v>0</v>
      </c>
      <c r="AE44" s="2">
        <f>ROUND(((EU44*1.1)),6)</f>
        <v>0</v>
      </c>
      <c r="AF44" s="2">
        <f>ROUND(((EV44*1.1)),6)</f>
        <v>7.4249999999999998</v>
      </c>
      <c r="AG44" s="2">
        <f t="shared" si="29"/>
        <v>0</v>
      </c>
      <c r="AH44" s="2">
        <f>((EW44*1.1))</f>
        <v>0.57200000000000006</v>
      </c>
      <c r="AI44" s="2">
        <f>((EX44*1.1))</f>
        <v>0</v>
      </c>
      <c r="AJ44" s="2">
        <f t="shared" si="30"/>
        <v>0</v>
      </c>
      <c r="AK44" s="2">
        <v>6.75</v>
      </c>
      <c r="AL44" s="2">
        <v>0</v>
      </c>
      <c r="AM44" s="2">
        <v>0</v>
      </c>
      <c r="AN44" s="2">
        <v>0</v>
      </c>
      <c r="AO44" s="2">
        <v>6.75</v>
      </c>
      <c r="AP44" s="2">
        <v>0</v>
      </c>
      <c r="AQ44" s="2">
        <v>0.52</v>
      </c>
      <c r="AR44" s="2">
        <v>0</v>
      </c>
      <c r="AS44" s="2">
        <v>0</v>
      </c>
      <c r="AT44" s="2">
        <v>90</v>
      </c>
      <c r="AU44" s="2">
        <v>46</v>
      </c>
      <c r="AV44" s="2">
        <v>1.0469999999999999</v>
      </c>
      <c r="AW44" s="2">
        <v>1</v>
      </c>
      <c r="AX44" s="2"/>
      <c r="AY44" s="2"/>
      <c r="AZ44" s="2">
        <v>1</v>
      </c>
      <c r="BA44" s="2">
        <v>1</v>
      </c>
      <c r="BB44" s="2">
        <v>1</v>
      </c>
      <c r="BC44" s="2">
        <v>1</v>
      </c>
      <c r="BD44" s="2" t="s">
        <v>3</v>
      </c>
      <c r="BE44" s="2" t="s">
        <v>3</v>
      </c>
      <c r="BF44" s="2" t="s">
        <v>3</v>
      </c>
      <c r="BG44" s="2" t="s">
        <v>3</v>
      </c>
      <c r="BH44" s="2">
        <v>0</v>
      </c>
      <c r="BI44" s="2">
        <v>2</v>
      </c>
      <c r="BJ44" s="2" t="s">
        <v>66</v>
      </c>
      <c r="BK44" s="2"/>
      <c r="BL44" s="2"/>
      <c r="BM44" s="2">
        <v>72</v>
      </c>
      <c r="BN44" s="2">
        <v>58973116</v>
      </c>
      <c r="BO44" s="2" t="s">
        <v>64</v>
      </c>
      <c r="BP44" s="2">
        <v>1</v>
      </c>
      <c r="BQ44" s="2">
        <v>40</v>
      </c>
      <c r="BR44" s="2">
        <v>0</v>
      </c>
      <c r="BS44" s="2">
        <v>1</v>
      </c>
      <c r="BT44" s="2">
        <v>1</v>
      </c>
      <c r="BU44" s="2">
        <v>1</v>
      </c>
      <c r="BV44" s="2">
        <v>1</v>
      </c>
      <c r="BW44" s="2">
        <v>1</v>
      </c>
      <c r="BX44" s="2">
        <v>1</v>
      </c>
      <c r="BY44" s="2" t="s">
        <v>3</v>
      </c>
      <c r="BZ44" s="2">
        <v>90</v>
      </c>
      <c r="CA44" s="2">
        <v>46</v>
      </c>
      <c r="CB44" s="2" t="s">
        <v>3</v>
      </c>
      <c r="CC44" s="2"/>
      <c r="CD44" s="2"/>
      <c r="CE44" s="2">
        <v>1566</v>
      </c>
      <c r="CF44" s="2">
        <v>0</v>
      </c>
      <c r="CG44" s="2">
        <v>0</v>
      </c>
      <c r="CH44" s="2"/>
      <c r="CI44" s="2"/>
      <c r="CJ44" s="2"/>
      <c r="CK44" s="2"/>
      <c r="CL44" s="2"/>
      <c r="CM44" s="2">
        <v>0</v>
      </c>
      <c r="CN44" s="2" t="s">
        <v>369</v>
      </c>
      <c r="CO44" s="2">
        <v>0</v>
      </c>
      <c r="CP44" s="2">
        <f t="shared" si="31"/>
        <v>7.77</v>
      </c>
      <c r="CQ44" s="2">
        <f>ROUND((ROUND((AC44*AW44*1),2)*BC44),2)</f>
        <v>0</v>
      </c>
      <c r="CR44" s="2">
        <f>(ROUND((ROUND((((ET44*1.1))*AV44*1),2)*BB44),2)+ROUND((ROUND(((AE44-((EU44*1.1)))*AV44*1),2)*BS44),2))</f>
        <v>0</v>
      </c>
      <c r="CS44" s="2">
        <f>(ROUND((ROUND((((EU44*1.1))*AV44*1),2)*BS44),2)+ROUND((ROUND(((AE44-((EU44*1.1)))*AV44*1),2)*BS44),2))</f>
        <v>0</v>
      </c>
      <c r="CT44" s="2">
        <f t="shared" si="33"/>
        <v>7.77</v>
      </c>
      <c r="CU44" s="2">
        <f t="shared" si="34"/>
        <v>0</v>
      </c>
      <c r="CV44" s="2">
        <f t="shared" si="35"/>
        <v>0.59888399999999997</v>
      </c>
      <c r="CW44" s="2">
        <f t="shared" si="36"/>
        <v>0</v>
      </c>
      <c r="CX44" s="2">
        <f t="shared" si="37"/>
        <v>0</v>
      </c>
      <c r="CY44" s="2">
        <f>(ROUND((((S44+ROUND((ROUND((((EU44*1.1))*AV44*1),2)*BS44),2))*AT44)/100),2)+ROUND(((ROUND((ROUND(((AE44-((EU44*1.1)))*AV44*1),2)*BS44),2)*AT44)/100),2))</f>
        <v>6.99</v>
      </c>
      <c r="CZ44" s="2">
        <f>(ROUND((((S44+ROUND((ROUND((((EU44*1.1))*AV44*1),2)*BS44),2))*AU44)/100),2)+ROUND(((ROUND((ROUND(((AE44-((EU44*1.1)))*AV44*1),2)*BS44),2)*AU44)/100),2))</f>
        <v>3.57</v>
      </c>
      <c r="DA44" s="2"/>
      <c r="DB44" s="2">
        <v>9</v>
      </c>
      <c r="DC44" s="2" t="s">
        <v>3</v>
      </c>
      <c r="DD44" s="2" t="s">
        <v>24</v>
      </c>
      <c r="DE44" s="2" t="s">
        <v>25</v>
      </c>
      <c r="DF44" s="2" t="s">
        <v>25</v>
      </c>
      <c r="DG44" s="2" t="s">
        <v>25</v>
      </c>
      <c r="DH44" s="2" t="s">
        <v>3</v>
      </c>
      <c r="DI44" s="2" t="s">
        <v>25</v>
      </c>
      <c r="DJ44" s="2" t="s">
        <v>25</v>
      </c>
      <c r="DK44" s="2" t="s">
        <v>3</v>
      </c>
      <c r="DL44" s="2" t="s">
        <v>3</v>
      </c>
      <c r="DM44" s="2" t="s">
        <v>3</v>
      </c>
      <c r="DN44" s="2">
        <v>0</v>
      </c>
      <c r="DO44" s="2">
        <v>0</v>
      </c>
      <c r="DP44" s="2">
        <v>1</v>
      </c>
      <c r="DQ44" s="2">
        <v>1</v>
      </c>
      <c r="DR44" s="2"/>
      <c r="DS44" s="2"/>
      <c r="DT44" s="2"/>
      <c r="DU44" s="2">
        <v>1013</v>
      </c>
      <c r="DV44" s="2" t="s">
        <v>22</v>
      </c>
      <c r="DW44" s="2" t="s">
        <v>22</v>
      </c>
      <c r="DX44" s="2">
        <v>1</v>
      </c>
      <c r="DY44" s="2"/>
      <c r="DZ44" s="2" t="s">
        <v>3</v>
      </c>
      <c r="EA44" s="2" t="s">
        <v>3</v>
      </c>
      <c r="EB44" s="2" t="s">
        <v>3</v>
      </c>
      <c r="EC44" s="2" t="s">
        <v>3</v>
      </c>
      <c r="ED44" s="2"/>
      <c r="EE44" s="2">
        <v>60088536</v>
      </c>
      <c r="EF44" s="2">
        <v>40</v>
      </c>
      <c r="EG44" s="2" t="s">
        <v>26</v>
      </c>
      <c r="EH44" s="2">
        <v>0</v>
      </c>
      <c r="EI44" s="2" t="s">
        <v>3</v>
      </c>
      <c r="EJ44" s="2">
        <v>2</v>
      </c>
      <c r="EK44" s="2">
        <v>72</v>
      </c>
      <c r="EL44" s="2" t="s">
        <v>52</v>
      </c>
      <c r="EM44" s="2" t="s">
        <v>53</v>
      </c>
      <c r="EN44" s="2"/>
      <c r="EO44" s="2" t="s">
        <v>29</v>
      </c>
      <c r="EP44" s="2"/>
      <c r="EQ44" s="2">
        <v>0</v>
      </c>
      <c r="ER44" s="2">
        <v>6.75</v>
      </c>
      <c r="ES44" s="2">
        <v>0</v>
      </c>
      <c r="ET44" s="2">
        <v>0</v>
      </c>
      <c r="EU44" s="2">
        <v>0</v>
      </c>
      <c r="EV44" s="2">
        <v>6.75</v>
      </c>
      <c r="EW44" s="2">
        <v>0.52</v>
      </c>
      <c r="EX44" s="2">
        <v>0</v>
      </c>
      <c r="EY44" s="2">
        <v>0</v>
      </c>
      <c r="EZ44" s="2"/>
      <c r="FA44" s="2"/>
      <c r="FB44" s="2"/>
      <c r="FC44" s="2"/>
      <c r="FD44" s="2"/>
      <c r="FE44" s="2"/>
      <c r="FF44" s="2"/>
      <c r="FG44" s="2"/>
      <c r="FH44" s="2"/>
      <c r="FI44" s="2"/>
      <c r="FJ44" s="2"/>
      <c r="FK44" s="2"/>
      <c r="FL44" s="2"/>
      <c r="FM44" s="2"/>
      <c r="FN44" s="2"/>
      <c r="FO44" s="2"/>
      <c r="FP44" s="2"/>
      <c r="FQ44" s="2">
        <v>0</v>
      </c>
      <c r="FR44" s="2">
        <v>0</v>
      </c>
      <c r="FS44" s="2">
        <v>0</v>
      </c>
      <c r="FT44" s="2"/>
      <c r="FU44" s="2"/>
      <c r="FV44" s="2"/>
      <c r="FW44" s="2"/>
      <c r="FX44" s="2">
        <v>90</v>
      </c>
      <c r="FY44" s="2">
        <v>46</v>
      </c>
      <c r="FZ44" s="2"/>
      <c r="GA44" s="2" t="s">
        <v>3</v>
      </c>
      <c r="GB44" s="2"/>
      <c r="GC44" s="2"/>
      <c r="GD44" s="2">
        <v>1</v>
      </c>
      <c r="GE44" s="2"/>
      <c r="GF44" s="2">
        <v>338415528</v>
      </c>
      <c r="GG44" s="2">
        <v>2</v>
      </c>
      <c r="GH44" s="2">
        <v>1</v>
      </c>
      <c r="GI44" s="2">
        <v>2</v>
      </c>
      <c r="GJ44" s="2">
        <v>0</v>
      </c>
      <c r="GK44" s="2">
        <v>0</v>
      </c>
      <c r="GL44" s="2">
        <f t="shared" si="38"/>
        <v>0</v>
      </c>
      <c r="GM44" s="2">
        <f t="shared" si="39"/>
        <v>18.329999999999998</v>
      </c>
      <c r="GN44" s="2">
        <f t="shared" si="40"/>
        <v>0</v>
      </c>
      <c r="GO44" s="2">
        <f t="shared" si="41"/>
        <v>18.329999999999998</v>
      </c>
      <c r="GP44" s="2">
        <f t="shared" si="42"/>
        <v>0</v>
      </c>
      <c r="GQ44" s="2"/>
      <c r="GR44" s="2">
        <v>0</v>
      </c>
      <c r="GS44" s="2">
        <v>3</v>
      </c>
      <c r="GT44" s="2">
        <v>0</v>
      </c>
      <c r="GU44" s="2" t="s">
        <v>3</v>
      </c>
      <c r="GV44" s="2">
        <f t="shared" si="43"/>
        <v>0</v>
      </c>
      <c r="GW44" s="2">
        <v>1</v>
      </c>
      <c r="GX44" s="2">
        <f t="shared" si="44"/>
        <v>0</v>
      </c>
      <c r="GY44" s="2"/>
      <c r="GZ44" s="2"/>
      <c r="HA44" s="2">
        <v>0</v>
      </c>
      <c r="HB44" s="2">
        <v>0</v>
      </c>
      <c r="HC44" s="2">
        <f t="shared" si="45"/>
        <v>0</v>
      </c>
      <c r="HD44" s="2"/>
      <c r="HE44" s="2" t="s">
        <v>3</v>
      </c>
      <c r="HF44" s="2" t="s">
        <v>3</v>
      </c>
      <c r="HG44" s="2"/>
      <c r="HH44" s="2"/>
      <c r="HI44" s="2"/>
      <c r="HJ44" s="2"/>
      <c r="HK44" s="2"/>
      <c r="HL44" s="2"/>
      <c r="HM44" s="2" t="s">
        <v>3</v>
      </c>
      <c r="HN44" s="2" t="s">
        <v>3</v>
      </c>
      <c r="HO44" s="2" t="s">
        <v>3</v>
      </c>
      <c r="HP44" s="2" t="s">
        <v>3</v>
      </c>
      <c r="HQ44" s="2" t="s">
        <v>3</v>
      </c>
      <c r="HR44" s="2"/>
      <c r="HS44" s="2">
        <v>0</v>
      </c>
      <c r="HT44" s="2"/>
      <c r="HU44" s="2"/>
      <c r="HV44" s="2"/>
      <c r="HW44" s="2"/>
      <c r="HX44" s="2"/>
      <c r="HY44" s="2"/>
      <c r="HZ44" s="2"/>
      <c r="IA44" s="2"/>
      <c r="IB44" s="2"/>
      <c r="IC44" s="2"/>
      <c r="ID44" s="2"/>
      <c r="IE44" s="2"/>
      <c r="IF44" s="2"/>
      <c r="IG44" s="2"/>
      <c r="IH44" s="2"/>
      <c r="II44" s="2"/>
      <c r="IJ44" s="2"/>
      <c r="IK44" s="2">
        <v>0</v>
      </c>
      <c r="IL44" s="2"/>
      <c r="IM44" s="2"/>
      <c r="IN44" s="2"/>
      <c r="IO44" s="2"/>
      <c r="IP44" s="2"/>
      <c r="IQ44" s="2"/>
      <c r="IR44" s="2"/>
      <c r="IS44" s="2"/>
      <c r="IT44" s="2"/>
      <c r="IU44" s="2"/>
    </row>
    <row r="45" spans="1:255" x14ac:dyDescent="0.2">
      <c r="A45" s="3">
        <v>17</v>
      </c>
      <c r="B45" s="3">
        <v>1</v>
      </c>
      <c r="C45" s="3">
        <f>ROW(SmtRes!A34)</f>
        <v>34</v>
      </c>
      <c r="D45" s="3">
        <f>ROW(EtalonRes!A44)</f>
        <v>44</v>
      </c>
      <c r="E45" s="3" t="s">
        <v>63</v>
      </c>
      <c r="F45" s="3" t="s">
        <v>64</v>
      </c>
      <c r="G45" s="3" t="s">
        <v>65</v>
      </c>
      <c r="H45" s="3" t="s">
        <v>22</v>
      </c>
      <c r="I45" s="3">
        <v>1</v>
      </c>
      <c r="J45" s="3">
        <v>0</v>
      </c>
      <c r="K45" s="3">
        <v>1</v>
      </c>
      <c r="O45" s="3">
        <f t="shared" si="21"/>
        <v>427.27</v>
      </c>
      <c r="P45" s="3">
        <f>ROUND((ROUND((AC45*AW45*I45),2)*BC45),2)</f>
        <v>0</v>
      </c>
      <c r="Q45" s="3">
        <f>(ROUND((ROUND((((ET45*1.1))*AV45*I45),2)*BB45),2)+ROUND((ROUND(((AE45-((EU45*1.1)))*AV45*I45),2)*BS45),2))</f>
        <v>0</v>
      </c>
      <c r="R45" s="3">
        <f>(ROUND((ROUND((((EU45*1.1))*AV45*I45),2)*BS45),2)+ROUND((ROUND(((AE45-((EU45*1.1)))*AV45*I45),2)*BS45),2))</f>
        <v>0</v>
      </c>
      <c r="S45" s="3">
        <f t="shared" si="23"/>
        <v>427.27</v>
      </c>
      <c r="T45" s="3">
        <f t="shared" si="24"/>
        <v>0</v>
      </c>
      <c r="U45" s="3">
        <f t="shared" si="25"/>
        <v>0.59888399999999997</v>
      </c>
      <c r="V45" s="3">
        <f t="shared" si="26"/>
        <v>0</v>
      </c>
      <c r="W45" s="3">
        <f t="shared" si="27"/>
        <v>0</v>
      </c>
      <c r="X45" s="3">
        <f>(ROUND((((S45+ROUND((ROUND((((EU45*1.1))*AV45*I45),2)*BS45),2))*AT45)/100),2)+ROUND(((ROUND((ROUND(((AE45-((EU45*1.1)))*AV45*I45),2)*BS45),2)*AT45)/100),2))</f>
        <v>384.54</v>
      </c>
      <c r="Y45" s="3">
        <f>(ROUND((((S45+ROUND((ROUND((((EU45*1.1))*AV45*I45),2)*BS45),2))*AU45)/100),2)+ROUND(((ROUND((ROUND(((AE45-((EU45*1.1)))*AV45*I45),2)*BS45),2)*AU45)/100),2))</f>
        <v>196.54</v>
      </c>
      <c r="AA45" s="3">
        <v>60256402</v>
      </c>
      <c r="AB45" s="3">
        <f t="shared" si="28"/>
        <v>7.4249999999999998</v>
      </c>
      <c r="AC45" s="3">
        <f>ROUND(((ES45*1)),6)</f>
        <v>0</v>
      </c>
      <c r="AD45" s="3">
        <f>ROUND(((((ET45*1.1))-((EU45*1.1)))+AE45),6)</f>
        <v>0</v>
      </c>
      <c r="AE45" s="3">
        <f>ROUND(((EU45*1.1)),6)</f>
        <v>0</v>
      </c>
      <c r="AF45" s="3">
        <f>ROUND(((EV45*1.1)),6)</f>
        <v>7.4249999999999998</v>
      </c>
      <c r="AG45" s="3">
        <f t="shared" si="29"/>
        <v>0</v>
      </c>
      <c r="AH45" s="3">
        <f>((EW45*1.1))</f>
        <v>0.57200000000000006</v>
      </c>
      <c r="AI45" s="3">
        <f>((EX45*1.1))</f>
        <v>0</v>
      </c>
      <c r="AJ45" s="3">
        <f t="shared" si="30"/>
        <v>0</v>
      </c>
      <c r="AK45" s="3">
        <v>6.75</v>
      </c>
      <c r="AL45" s="3">
        <v>0</v>
      </c>
      <c r="AM45" s="3">
        <v>0</v>
      </c>
      <c r="AN45" s="3">
        <v>0</v>
      </c>
      <c r="AO45" s="3">
        <v>6.75</v>
      </c>
      <c r="AP45" s="3">
        <v>0</v>
      </c>
      <c r="AQ45" s="3">
        <v>0.52</v>
      </c>
      <c r="AR45" s="3">
        <v>0</v>
      </c>
      <c r="AS45" s="3">
        <v>0</v>
      </c>
      <c r="AT45" s="3">
        <v>90</v>
      </c>
      <c r="AU45" s="3">
        <v>46</v>
      </c>
      <c r="AV45" s="3">
        <v>1.0469999999999999</v>
      </c>
      <c r="AW45" s="3">
        <v>1</v>
      </c>
      <c r="AZ45" s="3">
        <v>1</v>
      </c>
      <c r="BA45" s="3">
        <v>54.99</v>
      </c>
      <c r="BB45" s="3">
        <v>1</v>
      </c>
      <c r="BC45" s="3">
        <v>1</v>
      </c>
      <c r="BD45" s="3" t="s">
        <v>3</v>
      </c>
      <c r="BE45" s="3" t="s">
        <v>3</v>
      </c>
      <c r="BF45" s="3" t="s">
        <v>3</v>
      </c>
      <c r="BG45" s="3" t="s">
        <v>3</v>
      </c>
      <c r="BH45" s="3">
        <v>0</v>
      </c>
      <c r="BI45" s="3">
        <v>2</v>
      </c>
      <c r="BJ45" s="3" t="s">
        <v>66</v>
      </c>
      <c r="BM45" s="3">
        <v>72</v>
      </c>
      <c r="BN45" s="3">
        <v>58973116</v>
      </c>
      <c r="BO45" s="3" t="s">
        <v>64</v>
      </c>
      <c r="BP45" s="3">
        <v>1</v>
      </c>
      <c r="BQ45" s="3">
        <v>40</v>
      </c>
      <c r="BR45" s="3">
        <v>0</v>
      </c>
      <c r="BS45" s="3">
        <v>54.99</v>
      </c>
      <c r="BT45" s="3">
        <v>1</v>
      </c>
      <c r="BU45" s="3">
        <v>1</v>
      </c>
      <c r="BV45" s="3">
        <v>1</v>
      </c>
      <c r="BW45" s="3">
        <v>1</v>
      </c>
      <c r="BX45" s="3">
        <v>1</v>
      </c>
      <c r="BY45" s="3" t="s">
        <v>3</v>
      </c>
      <c r="BZ45" s="3">
        <v>90</v>
      </c>
      <c r="CA45" s="3">
        <v>46</v>
      </c>
      <c r="CB45" s="3" t="s">
        <v>3</v>
      </c>
      <c r="CE45" s="3">
        <v>1566</v>
      </c>
      <c r="CF45" s="3">
        <v>0</v>
      </c>
      <c r="CG45" s="3">
        <v>0</v>
      </c>
      <c r="CM45" s="3">
        <v>0</v>
      </c>
      <c r="CN45" s="3" t="s">
        <v>369</v>
      </c>
      <c r="CO45" s="3">
        <v>0</v>
      </c>
      <c r="CP45" s="3">
        <f t="shared" si="31"/>
        <v>427.27</v>
      </c>
      <c r="CQ45" s="3">
        <f>ROUND((ROUND((AC45*AW45*1),2)*BC45),2)</f>
        <v>0</v>
      </c>
      <c r="CR45" s="3">
        <f>(ROUND((ROUND((((ET45*1.1))*AV45*1),2)*BB45),2)+ROUND((ROUND(((AE45-((EU45*1.1)))*AV45*1),2)*BS45),2))</f>
        <v>0</v>
      </c>
      <c r="CS45" s="3">
        <f>(ROUND((ROUND((((EU45*1.1))*AV45*1),2)*BS45),2)+ROUND((ROUND(((AE45-((EU45*1.1)))*AV45*1),2)*BS45),2))</f>
        <v>0</v>
      </c>
      <c r="CT45" s="3">
        <f t="shared" si="33"/>
        <v>427.27</v>
      </c>
      <c r="CU45" s="3">
        <f t="shared" si="34"/>
        <v>0</v>
      </c>
      <c r="CV45" s="3">
        <f t="shared" si="35"/>
        <v>0.59888399999999997</v>
      </c>
      <c r="CW45" s="3">
        <f t="shared" si="36"/>
        <v>0</v>
      </c>
      <c r="CX45" s="3">
        <f t="shared" si="37"/>
        <v>0</v>
      </c>
      <c r="CY45" s="3">
        <f>(ROUND((((S45+ROUND((ROUND((((EU45*1.1))*AV45*1),2)*BS45),2))*AT45)/100),2)+ROUND(((ROUND((ROUND(((AE45-((EU45*1.1)))*AV45*1),2)*BS45),2)*AT45)/100),2))</f>
        <v>384.54</v>
      </c>
      <c r="CZ45" s="3">
        <f>(ROUND((((S45+ROUND((ROUND((((EU45*1.1))*AV45*1),2)*BS45),2))*AU45)/100),2)+ROUND(((ROUND((ROUND(((AE45-((EU45*1.1)))*AV45*1),2)*BS45),2)*AU45)/100),2))</f>
        <v>196.54</v>
      </c>
      <c r="DB45" s="3">
        <v>10</v>
      </c>
      <c r="DC45" s="3" t="s">
        <v>3</v>
      </c>
      <c r="DD45" s="3" t="s">
        <v>24</v>
      </c>
      <c r="DE45" s="3" t="s">
        <v>25</v>
      </c>
      <c r="DF45" s="3" t="s">
        <v>25</v>
      </c>
      <c r="DG45" s="3" t="s">
        <v>25</v>
      </c>
      <c r="DH45" s="3" t="s">
        <v>3</v>
      </c>
      <c r="DI45" s="3" t="s">
        <v>25</v>
      </c>
      <c r="DJ45" s="3" t="s">
        <v>25</v>
      </c>
      <c r="DK45" s="3" t="s">
        <v>3</v>
      </c>
      <c r="DL45" s="3" t="s">
        <v>3</v>
      </c>
      <c r="DM45" s="3" t="s">
        <v>3</v>
      </c>
      <c r="DN45" s="3">
        <v>0</v>
      </c>
      <c r="DO45" s="3">
        <v>0</v>
      </c>
      <c r="DP45" s="3">
        <v>1</v>
      </c>
      <c r="DQ45" s="3">
        <v>1</v>
      </c>
      <c r="DU45" s="3">
        <v>1013</v>
      </c>
      <c r="DV45" s="3" t="s">
        <v>22</v>
      </c>
      <c r="DW45" s="3" t="s">
        <v>22</v>
      </c>
      <c r="DX45" s="3">
        <v>1</v>
      </c>
      <c r="DZ45" s="3" t="s">
        <v>3</v>
      </c>
      <c r="EA45" s="3" t="s">
        <v>3</v>
      </c>
      <c r="EB45" s="3" t="s">
        <v>3</v>
      </c>
      <c r="EC45" s="3" t="s">
        <v>3</v>
      </c>
      <c r="EE45" s="3">
        <v>60088536</v>
      </c>
      <c r="EF45" s="3">
        <v>40</v>
      </c>
      <c r="EG45" s="3" t="s">
        <v>26</v>
      </c>
      <c r="EH45" s="3">
        <v>0</v>
      </c>
      <c r="EI45" s="3" t="s">
        <v>3</v>
      </c>
      <c r="EJ45" s="3">
        <v>2</v>
      </c>
      <c r="EK45" s="3">
        <v>72</v>
      </c>
      <c r="EL45" s="3" t="s">
        <v>52</v>
      </c>
      <c r="EM45" s="3" t="s">
        <v>53</v>
      </c>
      <c r="EO45" s="3" t="s">
        <v>29</v>
      </c>
      <c r="EQ45" s="3">
        <v>0</v>
      </c>
      <c r="ER45" s="3">
        <v>6.75</v>
      </c>
      <c r="ES45" s="3">
        <v>0</v>
      </c>
      <c r="ET45" s="3">
        <v>0</v>
      </c>
      <c r="EU45" s="3">
        <v>0</v>
      </c>
      <c r="EV45" s="3">
        <v>6.75</v>
      </c>
      <c r="EW45" s="3">
        <v>0.52</v>
      </c>
      <c r="EX45" s="3">
        <v>0</v>
      </c>
      <c r="EY45" s="3">
        <v>0</v>
      </c>
      <c r="FQ45" s="3">
        <v>0</v>
      </c>
      <c r="FR45" s="3">
        <v>0</v>
      </c>
      <c r="FS45" s="3">
        <v>0</v>
      </c>
      <c r="FX45" s="3">
        <v>90</v>
      </c>
      <c r="FY45" s="3">
        <v>46</v>
      </c>
      <c r="GA45" s="3" t="s">
        <v>3</v>
      </c>
      <c r="GD45" s="3">
        <v>1</v>
      </c>
      <c r="GF45" s="3">
        <v>338415528</v>
      </c>
      <c r="GG45" s="3">
        <v>2</v>
      </c>
      <c r="GH45" s="3">
        <v>1</v>
      </c>
      <c r="GI45" s="3">
        <v>2</v>
      </c>
      <c r="GJ45" s="3">
        <v>0</v>
      </c>
      <c r="GK45" s="3">
        <v>0</v>
      </c>
      <c r="GL45" s="3">
        <f t="shared" si="38"/>
        <v>0</v>
      </c>
      <c r="GM45" s="3">
        <f t="shared" si="39"/>
        <v>1008.35</v>
      </c>
      <c r="GN45" s="3">
        <f t="shared" si="40"/>
        <v>0</v>
      </c>
      <c r="GO45" s="3">
        <f t="shared" si="41"/>
        <v>1008.35</v>
      </c>
      <c r="GP45" s="3">
        <f t="shared" si="42"/>
        <v>0</v>
      </c>
      <c r="GR45" s="3">
        <v>0</v>
      </c>
      <c r="GS45" s="3">
        <v>3</v>
      </c>
      <c r="GT45" s="3">
        <v>0</v>
      </c>
      <c r="GU45" s="3" t="s">
        <v>3</v>
      </c>
      <c r="GV45" s="3">
        <f t="shared" si="43"/>
        <v>0</v>
      </c>
      <c r="GW45" s="3">
        <v>1</v>
      </c>
      <c r="GX45" s="3">
        <f t="shared" si="44"/>
        <v>0</v>
      </c>
      <c r="HA45" s="3">
        <v>0</v>
      </c>
      <c r="HB45" s="3">
        <v>0</v>
      </c>
      <c r="HC45" s="3">
        <f t="shared" si="45"/>
        <v>0</v>
      </c>
      <c r="HE45" s="3" t="s">
        <v>3</v>
      </c>
      <c r="HF45" s="3" t="s">
        <v>3</v>
      </c>
      <c r="HM45" s="3" t="s">
        <v>3</v>
      </c>
      <c r="HN45" s="3" t="s">
        <v>3</v>
      </c>
      <c r="HO45" s="3" t="s">
        <v>3</v>
      </c>
      <c r="HP45" s="3" t="s">
        <v>3</v>
      </c>
      <c r="HQ45" s="3" t="s">
        <v>3</v>
      </c>
      <c r="HS45" s="3">
        <v>0</v>
      </c>
      <c r="IK45" s="3">
        <v>0</v>
      </c>
    </row>
    <row r="46" spans="1:255" x14ac:dyDescent="0.2">
      <c r="A46" s="2">
        <v>18</v>
      </c>
      <c r="B46" s="2">
        <v>1</v>
      </c>
      <c r="C46" s="2">
        <v>32</v>
      </c>
      <c r="D46" s="2"/>
      <c r="E46" s="2" t="s">
        <v>67</v>
      </c>
      <c r="F46" s="2" t="s">
        <v>68</v>
      </c>
      <c r="G46" s="2" t="s">
        <v>69</v>
      </c>
      <c r="H46" s="2" t="s">
        <v>70</v>
      </c>
      <c r="I46" s="2">
        <f>I44*J46</f>
        <v>3.5000000000000003E-2</v>
      </c>
      <c r="J46" s="2">
        <v>3.5000000000000003E-2</v>
      </c>
      <c r="K46" s="2">
        <v>3.5000000000000003E-2</v>
      </c>
      <c r="L46" s="2"/>
      <c r="M46" s="2"/>
      <c r="N46" s="2"/>
      <c r="O46" s="2">
        <f t="shared" si="21"/>
        <v>1.0900000000000001</v>
      </c>
      <c r="P46" s="2">
        <f>ROUND((ROUND((AC46*AW46*I46),2)*BC46),2)</f>
        <v>1.0900000000000001</v>
      </c>
      <c r="Q46" s="2">
        <f>(ROUND((ROUND(((ET46)*AV46*I46),2)*BB46),2)+ROUND((ROUND(((AE46-(EU46))*AV46*I46),2)*BS46),2))</f>
        <v>0</v>
      </c>
      <c r="R46" s="2">
        <f>(ROUND((ROUND(((EU46)*AV46*I46),2)*BS46),2)+ROUND((ROUND(((AE46-(EU46))*AV46*I46),2)*BS46),2))</f>
        <v>0</v>
      </c>
      <c r="S46" s="2">
        <f t="shared" si="23"/>
        <v>0</v>
      </c>
      <c r="T46" s="2">
        <f t="shared" si="24"/>
        <v>0</v>
      </c>
      <c r="U46" s="2">
        <f t="shared" si="25"/>
        <v>0</v>
      </c>
      <c r="V46" s="2">
        <f t="shared" si="26"/>
        <v>0</v>
      </c>
      <c r="W46" s="2">
        <f t="shared" si="27"/>
        <v>0</v>
      </c>
      <c r="X46" s="2">
        <f>(ROUND((((S46+ROUND((ROUND(((EU46)*AV46*I46),2)*BS46),2))*AT46)/100),2)+ROUND(((ROUND((ROUND(((AE46-(EU46))*AV46*I46),2)*BS46),2)*AT46)/100),2))</f>
        <v>0</v>
      </c>
      <c r="Y46" s="2">
        <f>(ROUND((((S46+ROUND((ROUND(((EU46)*AV46*I46),2)*BS46),2))*AU46)/100),2)+ROUND(((ROUND((ROUND(((AE46-(EU46))*AV46*I46),2)*BS46),2)*AU46)/100),2))</f>
        <v>0</v>
      </c>
      <c r="Z46" s="2"/>
      <c r="AA46" s="2">
        <v>60256405</v>
      </c>
      <c r="AB46" s="2">
        <f t="shared" si="28"/>
        <v>31.08</v>
      </c>
      <c r="AC46" s="2">
        <f>ROUND((ES46),6)</f>
        <v>31.08</v>
      </c>
      <c r="AD46" s="2">
        <f>ROUND((((ET46)-(EU46))+AE46),6)</f>
        <v>0</v>
      </c>
      <c r="AE46" s="2">
        <f t="shared" ref="AE46:AF49" si="46">ROUND((EU46),6)</f>
        <v>0</v>
      </c>
      <c r="AF46" s="2">
        <f t="shared" si="46"/>
        <v>0</v>
      </c>
      <c r="AG46" s="2">
        <f t="shared" si="29"/>
        <v>0</v>
      </c>
      <c r="AH46" s="2">
        <f t="shared" ref="AH46:AI49" si="47">(EW46)</f>
        <v>0</v>
      </c>
      <c r="AI46" s="2">
        <f t="shared" si="47"/>
        <v>0</v>
      </c>
      <c r="AJ46" s="2">
        <f t="shared" si="30"/>
        <v>0</v>
      </c>
      <c r="AK46" s="2">
        <v>31.08</v>
      </c>
      <c r="AL46" s="2">
        <v>31.08</v>
      </c>
      <c r="AM46" s="2">
        <v>0</v>
      </c>
      <c r="AN46" s="2">
        <v>0</v>
      </c>
      <c r="AO46" s="2">
        <v>0</v>
      </c>
      <c r="AP46" s="2">
        <v>0</v>
      </c>
      <c r="AQ46" s="2">
        <v>0</v>
      </c>
      <c r="AR46" s="2">
        <v>0</v>
      </c>
      <c r="AS46" s="2">
        <v>0</v>
      </c>
      <c r="AT46" s="2">
        <v>90</v>
      </c>
      <c r="AU46" s="2">
        <v>46</v>
      </c>
      <c r="AV46" s="2">
        <v>1</v>
      </c>
      <c r="AW46" s="2">
        <v>1</v>
      </c>
      <c r="AX46" s="2"/>
      <c r="AY46" s="2"/>
      <c r="AZ46" s="2">
        <v>1</v>
      </c>
      <c r="BA46" s="2">
        <v>1</v>
      </c>
      <c r="BB46" s="2">
        <v>1</v>
      </c>
      <c r="BC46" s="2">
        <v>1</v>
      </c>
      <c r="BD46" s="2" t="s">
        <v>3</v>
      </c>
      <c r="BE46" s="2" t="s">
        <v>3</v>
      </c>
      <c r="BF46" s="2" t="s">
        <v>3</v>
      </c>
      <c r="BG46" s="2" t="s">
        <v>3</v>
      </c>
      <c r="BH46" s="2">
        <v>3</v>
      </c>
      <c r="BI46" s="2">
        <v>2</v>
      </c>
      <c r="BJ46" s="2" t="s">
        <v>71</v>
      </c>
      <c r="BK46" s="2"/>
      <c r="BL46" s="2"/>
      <c r="BM46" s="2">
        <v>72</v>
      </c>
      <c r="BN46" s="2">
        <v>58973116</v>
      </c>
      <c r="BO46" s="2" t="s">
        <v>3</v>
      </c>
      <c r="BP46" s="2">
        <v>0</v>
      </c>
      <c r="BQ46" s="2">
        <v>40</v>
      </c>
      <c r="BR46" s="2">
        <v>0</v>
      </c>
      <c r="BS46" s="2">
        <v>1</v>
      </c>
      <c r="BT46" s="2">
        <v>1</v>
      </c>
      <c r="BU46" s="2">
        <v>1</v>
      </c>
      <c r="BV46" s="2">
        <v>1</v>
      </c>
      <c r="BW46" s="2">
        <v>1</v>
      </c>
      <c r="BX46" s="2">
        <v>1</v>
      </c>
      <c r="BY46" s="2" t="s">
        <v>3</v>
      </c>
      <c r="BZ46" s="2">
        <v>90</v>
      </c>
      <c r="CA46" s="2">
        <v>46</v>
      </c>
      <c r="CB46" s="2" t="s">
        <v>3</v>
      </c>
      <c r="CC46" s="2"/>
      <c r="CD46" s="2"/>
      <c r="CE46" s="2">
        <v>1566</v>
      </c>
      <c r="CF46" s="2">
        <v>0</v>
      </c>
      <c r="CG46" s="2">
        <v>0</v>
      </c>
      <c r="CH46" s="2"/>
      <c r="CI46" s="2"/>
      <c r="CJ46" s="2"/>
      <c r="CK46" s="2"/>
      <c r="CL46" s="2"/>
      <c r="CM46" s="2">
        <v>0</v>
      </c>
      <c r="CN46" s="2" t="s">
        <v>369</v>
      </c>
      <c r="CO46" s="2">
        <v>0</v>
      </c>
      <c r="CP46" s="2">
        <f t="shared" si="31"/>
        <v>1.0900000000000001</v>
      </c>
      <c r="CQ46" s="2">
        <f>ROUND((ROUND((AC46*AW46*1),2)*BC46),2)</f>
        <v>31.08</v>
      </c>
      <c r="CR46" s="2">
        <f>(ROUND((ROUND(((ET46)*AV46*1),2)*BB46),2)+ROUND((ROUND(((AE46-(EU46))*AV46*1),2)*BS46),2))</f>
        <v>0</v>
      </c>
      <c r="CS46" s="2">
        <f>(ROUND((ROUND(((EU46)*AV46*1),2)*BS46),2)+ROUND((ROUND(((AE46-(EU46))*AV46*1),2)*BS46),2))</f>
        <v>0</v>
      </c>
      <c r="CT46" s="2">
        <f t="shared" si="33"/>
        <v>0</v>
      </c>
      <c r="CU46" s="2">
        <f t="shared" si="34"/>
        <v>0</v>
      </c>
      <c r="CV46" s="2">
        <f t="shared" si="35"/>
        <v>0</v>
      </c>
      <c r="CW46" s="2">
        <f t="shared" si="36"/>
        <v>0</v>
      </c>
      <c r="CX46" s="2">
        <f t="shared" si="37"/>
        <v>0</v>
      </c>
      <c r="CY46" s="2">
        <f>(ROUND((((S46+ROUND((ROUND(((EU46)*AV46*1),2)*BS46),2))*AT46)/100),2)+ROUND(((ROUND((ROUND(((AE46-(EU46))*AV46*1),2)*BS46),2)*AT46)/100),2))</f>
        <v>0</v>
      </c>
      <c r="CZ46" s="2">
        <f>(ROUND((((S46+ROUND((ROUND(((EU46)*AV46*1),2)*BS46),2))*AU46)/100),2)+ROUND(((ROUND((ROUND(((AE46-(EU46))*AV46*1),2)*BS46),2)*AU46)/100),2))</f>
        <v>0</v>
      </c>
      <c r="DA46" s="2"/>
      <c r="DB46" s="2"/>
      <c r="DC46" s="2" t="s">
        <v>3</v>
      </c>
      <c r="DD46" s="2" t="s">
        <v>3</v>
      </c>
      <c r="DE46" s="2" t="s">
        <v>3</v>
      </c>
      <c r="DF46" s="2" t="s">
        <v>3</v>
      </c>
      <c r="DG46" s="2" t="s">
        <v>3</v>
      </c>
      <c r="DH46" s="2" t="s">
        <v>3</v>
      </c>
      <c r="DI46" s="2" t="s">
        <v>3</v>
      </c>
      <c r="DJ46" s="2" t="s">
        <v>3</v>
      </c>
      <c r="DK46" s="2" t="s">
        <v>3</v>
      </c>
      <c r="DL46" s="2" t="s">
        <v>3</v>
      </c>
      <c r="DM46" s="2" t="s">
        <v>3</v>
      </c>
      <c r="DN46" s="2">
        <v>0</v>
      </c>
      <c r="DO46" s="2">
        <v>0</v>
      </c>
      <c r="DP46" s="2">
        <v>1</v>
      </c>
      <c r="DQ46" s="2">
        <v>1</v>
      </c>
      <c r="DR46" s="2"/>
      <c r="DS46" s="2"/>
      <c r="DT46" s="2"/>
      <c r="DU46" s="2">
        <v>1009</v>
      </c>
      <c r="DV46" s="2" t="s">
        <v>70</v>
      </c>
      <c r="DW46" s="2" t="s">
        <v>70</v>
      </c>
      <c r="DX46" s="2">
        <v>1</v>
      </c>
      <c r="DY46" s="2"/>
      <c r="DZ46" s="2" t="s">
        <v>3</v>
      </c>
      <c r="EA46" s="2" t="s">
        <v>3</v>
      </c>
      <c r="EB46" s="2" t="s">
        <v>3</v>
      </c>
      <c r="EC46" s="2" t="s">
        <v>3</v>
      </c>
      <c r="ED46" s="2"/>
      <c r="EE46" s="2">
        <v>60088536</v>
      </c>
      <c r="EF46" s="2">
        <v>40</v>
      </c>
      <c r="EG46" s="2" t="s">
        <v>26</v>
      </c>
      <c r="EH46" s="2">
        <v>0</v>
      </c>
      <c r="EI46" s="2" t="s">
        <v>3</v>
      </c>
      <c r="EJ46" s="2">
        <v>2</v>
      </c>
      <c r="EK46" s="2">
        <v>72</v>
      </c>
      <c r="EL46" s="2" t="s">
        <v>52</v>
      </c>
      <c r="EM46" s="2" t="s">
        <v>53</v>
      </c>
      <c r="EN46" s="2"/>
      <c r="EO46" s="2" t="s">
        <v>29</v>
      </c>
      <c r="EP46" s="2"/>
      <c r="EQ46" s="2">
        <v>0</v>
      </c>
      <c r="ER46" s="2">
        <v>31.08</v>
      </c>
      <c r="ES46" s="2">
        <v>31.08</v>
      </c>
      <c r="ET46" s="2">
        <v>0</v>
      </c>
      <c r="EU46" s="2">
        <v>0</v>
      </c>
      <c r="EV46" s="2">
        <v>0</v>
      </c>
      <c r="EW46" s="2">
        <v>0</v>
      </c>
      <c r="EX46" s="2">
        <v>0</v>
      </c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>
        <v>0</v>
      </c>
      <c r="FR46" s="2">
        <v>0</v>
      </c>
      <c r="FS46" s="2">
        <v>0</v>
      </c>
      <c r="FT46" s="2"/>
      <c r="FU46" s="2"/>
      <c r="FV46" s="2"/>
      <c r="FW46" s="2"/>
      <c r="FX46" s="2">
        <v>90</v>
      </c>
      <c r="FY46" s="2">
        <v>46</v>
      </c>
      <c r="FZ46" s="2"/>
      <c r="GA46" s="2" t="s">
        <v>3</v>
      </c>
      <c r="GB46" s="2"/>
      <c r="GC46" s="2"/>
      <c r="GD46" s="2">
        <v>1</v>
      </c>
      <c r="GE46" s="2"/>
      <c r="GF46" s="2">
        <v>1143487818</v>
      </c>
      <c r="GG46" s="2">
        <v>2</v>
      </c>
      <c r="GH46" s="2">
        <v>1</v>
      </c>
      <c r="GI46" s="2">
        <v>-2</v>
      </c>
      <c r="GJ46" s="2">
        <v>0</v>
      </c>
      <c r="GK46" s="2">
        <v>0</v>
      </c>
      <c r="GL46" s="2">
        <f t="shared" si="38"/>
        <v>0</v>
      </c>
      <c r="GM46" s="2">
        <f t="shared" si="39"/>
        <v>1.0900000000000001</v>
      </c>
      <c r="GN46" s="2">
        <f t="shared" si="40"/>
        <v>0</v>
      </c>
      <c r="GO46" s="2">
        <f t="shared" si="41"/>
        <v>1.0900000000000001</v>
      </c>
      <c r="GP46" s="2">
        <f t="shared" si="42"/>
        <v>0</v>
      </c>
      <c r="GQ46" s="2"/>
      <c r="GR46" s="2">
        <v>0</v>
      </c>
      <c r="GS46" s="2">
        <v>3</v>
      </c>
      <c r="GT46" s="2">
        <v>0</v>
      </c>
      <c r="GU46" s="2" t="s">
        <v>3</v>
      </c>
      <c r="GV46" s="2">
        <f t="shared" si="43"/>
        <v>0</v>
      </c>
      <c r="GW46" s="2">
        <v>1</v>
      </c>
      <c r="GX46" s="2">
        <f t="shared" si="44"/>
        <v>0</v>
      </c>
      <c r="GY46" s="2"/>
      <c r="GZ46" s="2"/>
      <c r="HA46" s="2">
        <v>0</v>
      </c>
      <c r="HB46" s="2">
        <v>0</v>
      </c>
      <c r="HC46" s="2">
        <f t="shared" si="45"/>
        <v>0</v>
      </c>
      <c r="HD46" s="2"/>
      <c r="HE46" s="2" t="s">
        <v>3</v>
      </c>
      <c r="HF46" s="2" t="s">
        <v>3</v>
      </c>
      <c r="HG46" s="2"/>
      <c r="HH46" s="2"/>
      <c r="HI46" s="2"/>
      <c r="HJ46" s="2"/>
      <c r="HK46" s="2"/>
      <c r="HL46" s="2"/>
      <c r="HM46" s="2" t="s">
        <v>24</v>
      </c>
      <c r="HN46" s="2" t="s">
        <v>3</v>
      </c>
      <c r="HO46" s="2" t="s">
        <v>3</v>
      </c>
      <c r="HP46" s="2" t="s">
        <v>3</v>
      </c>
      <c r="HQ46" s="2" t="s">
        <v>3</v>
      </c>
      <c r="HR46" s="2"/>
      <c r="HS46" s="2">
        <v>0</v>
      </c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>
        <v>0</v>
      </c>
      <c r="IL46" s="2"/>
      <c r="IM46" s="2"/>
      <c r="IN46" s="2"/>
      <c r="IO46" s="2"/>
      <c r="IP46" s="2"/>
      <c r="IQ46" s="2"/>
      <c r="IR46" s="2"/>
      <c r="IS46" s="2"/>
      <c r="IT46" s="2"/>
      <c r="IU46" s="2"/>
    </row>
    <row r="47" spans="1:255" x14ac:dyDescent="0.2">
      <c r="A47" s="3">
        <v>18</v>
      </c>
      <c r="B47" s="3">
        <v>1</v>
      </c>
      <c r="C47" s="3">
        <v>34</v>
      </c>
      <c r="E47" s="3" t="s">
        <v>67</v>
      </c>
      <c r="F47" s="3" t="s">
        <v>68</v>
      </c>
      <c r="G47" s="3" t="s">
        <v>69</v>
      </c>
      <c r="H47" s="3" t="s">
        <v>70</v>
      </c>
      <c r="I47" s="3">
        <f>I45*J47</f>
        <v>3.5000000000000003E-2</v>
      </c>
      <c r="J47" s="3">
        <v>3.5000000000000003E-2</v>
      </c>
      <c r="K47" s="3">
        <v>3.5000000000000003E-2</v>
      </c>
      <c r="O47" s="3">
        <f t="shared" si="21"/>
        <v>5.58</v>
      </c>
      <c r="P47" s="3">
        <f>ROUND((ROUND((AC47*AW47*I47),2)*BC47),2)</f>
        <v>5.58</v>
      </c>
      <c r="Q47" s="3">
        <f>(ROUND((ROUND(((ET47)*AV47*I47),2)*BB47),2)+ROUND((ROUND(((AE47-(EU47))*AV47*I47),2)*BS47),2))</f>
        <v>0</v>
      </c>
      <c r="R47" s="3">
        <f>(ROUND((ROUND(((EU47)*AV47*I47),2)*BS47),2)+ROUND((ROUND(((AE47-(EU47))*AV47*I47),2)*BS47),2))</f>
        <v>0</v>
      </c>
      <c r="S47" s="3">
        <f t="shared" si="23"/>
        <v>0</v>
      </c>
      <c r="T47" s="3">
        <f t="shared" si="24"/>
        <v>0</v>
      </c>
      <c r="U47" s="3">
        <f t="shared" si="25"/>
        <v>0</v>
      </c>
      <c r="V47" s="3">
        <f t="shared" si="26"/>
        <v>0</v>
      </c>
      <c r="W47" s="3">
        <f t="shared" si="27"/>
        <v>0</v>
      </c>
      <c r="X47" s="3">
        <f>(ROUND((((S47+ROUND((ROUND(((EU47)*AV47*I47),2)*BS47),2))*AT47)/100),2)+ROUND(((ROUND((ROUND(((AE47-(EU47))*AV47*I47),2)*BS47),2)*AT47)/100),2))</f>
        <v>0</v>
      </c>
      <c r="Y47" s="3">
        <f>(ROUND((((S47+ROUND((ROUND(((EU47)*AV47*I47),2)*BS47),2))*AU47)/100),2)+ROUND(((ROUND((ROUND(((AE47-(EU47))*AV47*I47),2)*BS47),2)*AU47)/100),2))</f>
        <v>0</v>
      </c>
      <c r="AA47" s="3">
        <v>60256402</v>
      </c>
      <c r="AB47" s="3">
        <f t="shared" si="28"/>
        <v>31.08</v>
      </c>
      <c r="AC47" s="3">
        <f>ROUND((ES47),6)</f>
        <v>31.08</v>
      </c>
      <c r="AD47" s="3">
        <f>ROUND((((ET47)-(EU47))+AE47),6)</f>
        <v>0</v>
      </c>
      <c r="AE47" s="3">
        <f t="shared" si="46"/>
        <v>0</v>
      </c>
      <c r="AF47" s="3">
        <f t="shared" si="46"/>
        <v>0</v>
      </c>
      <c r="AG47" s="3">
        <f t="shared" si="29"/>
        <v>0</v>
      </c>
      <c r="AH47" s="3">
        <f t="shared" si="47"/>
        <v>0</v>
      </c>
      <c r="AI47" s="3">
        <f t="shared" si="47"/>
        <v>0</v>
      </c>
      <c r="AJ47" s="3">
        <f t="shared" si="30"/>
        <v>0</v>
      </c>
      <c r="AK47" s="3">
        <v>31.08</v>
      </c>
      <c r="AL47" s="3">
        <v>31.08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90</v>
      </c>
      <c r="AU47" s="3">
        <v>46</v>
      </c>
      <c r="AV47" s="3">
        <v>1</v>
      </c>
      <c r="AW47" s="3">
        <v>1</v>
      </c>
      <c r="AZ47" s="3">
        <v>1</v>
      </c>
      <c r="BA47" s="3">
        <v>1</v>
      </c>
      <c r="BB47" s="3">
        <v>1</v>
      </c>
      <c r="BC47" s="3">
        <v>5.12</v>
      </c>
      <c r="BD47" s="3" t="s">
        <v>3</v>
      </c>
      <c r="BE47" s="3" t="s">
        <v>3</v>
      </c>
      <c r="BF47" s="3" t="s">
        <v>3</v>
      </c>
      <c r="BG47" s="3" t="s">
        <v>3</v>
      </c>
      <c r="BH47" s="3">
        <v>3</v>
      </c>
      <c r="BI47" s="3">
        <v>2</v>
      </c>
      <c r="BJ47" s="3" t="s">
        <v>71</v>
      </c>
      <c r="BM47" s="3">
        <v>72</v>
      </c>
      <c r="BN47" s="3">
        <v>58973116</v>
      </c>
      <c r="BO47" s="3" t="s">
        <v>68</v>
      </c>
      <c r="BP47" s="3">
        <v>1</v>
      </c>
      <c r="BQ47" s="3">
        <v>40</v>
      </c>
      <c r="BR47" s="3">
        <v>0</v>
      </c>
      <c r="BS47" s="3">
        <v>1</v>
      </c>
      <c r="BT47" s="3">
        <v>1</v>
      </c>
      <c r="BU47" s="3">
        <v>1</v>
      </c>
      <c r="BV47" s="3">
        <v>1</v>
      </c>
      <c r="BW47" s="3">
        <v>1</v>
      </c>
      <c r="BX47" s="3">
        <v>1</v>
      </c>
      <c r="BY47" s="3" t="s">
        <v>3</v>
      </c>
      <c r="BZ47" s="3">
        <v>90</v>
      </c>
      <c r="CA47" s="3">
        <v>46</v>
      </c>
      <c r="CB47" s="3" t="s">
        <v>3</v>
      </c>
      <c r="CE47" s="3">
        <v>1566</v>
      </c>
      <c r="CF47" s="3">
        <v>0</v>
      </c>
      <c r="CG47" s="3">
        <v>0</v>
      </c>
      <c r="CM47" s="3">
        <v>0</v>
      </c>
      <c r="CN47" s="3" t="s">
        <v>369</v>
      </c>
      <c r="CO47" s="3">
        <v>0</v>
      </c>
      <c r="CP47" s="3">
        <f t="shared" si="31"/>
        <v>5.58</v>
      </c>
      <c r="CQ47" s="3">
        <f>ROUND((ROUND((AC47*AW47*1),2)*BC47),2)</f>
        <v>159.13</v>
      </c>
      <c r="CR47" s="3">
        <f>(ROUND((ROUND(((ET47)*AV47*1),2)*BB47),2)+ROUND((ROUND(((AE47-(EU47))*AV47*1),2)*BS47),2))</f>
        <v>0</v>
      </c>
      <c r="CS47" s="3">
        <f>(ROUND((ROUND(((EU47)*AV47*1),2)*BS47),2)+ROUND((ROUND(((AE47-(EU47))*AV47*1),2)*BS47),2))</f>
        <v>0</v>
      </c>
      <c r="CT47" s="3">
        <f t="shared" si="33"/>
        <v>0</v>
      </c>
      <c r="CU47" s="3">
        <f t="shared" si="34"/>
        <v>0</v>
      </c>
      <c r="CV47" s="3">
        <f t="shared" si="35"/>
        <v>0</v>
      </c>
      <c r="CW47" s="3">
        <f t="shared" si="36"/>
        <v>0</v>
      </c>
      <c r="CX47" s="3">
        <f t="shared" si="37"/>
        <v>0</v>
      </c>
      <c r="CY47" s="3">
        <f>(ROUND((((S47+ROUND((ROUND(((EU47)*AV47*1),2)*BS47),2))*AT47)/100),2)+ROUND(((ROUND((ROUND(((AE47-(EU47))*AV47*1),2)*BS47),2)*AT47)/100),2))</f>
        <v>0</v>
      </c>
      <c r="CZ47" s="3">
        <f>(ROUND((((S47+ROUND((ROUND(((EU47)*AV47*1),2)*BS47),2))*AU47)/100),2)+ROUND(((ROUND((ROUND(((AE47-(EU47))*AV47*1),2)*BS47),2)*AU47)/100),2))</f>
        <v>0</v>
      </c>
      <c r="DC47" s="3" t="s">
        <v>3</v>
      </c>
      <c r="DD47" s="3" t="s">
        <v>3</v>
      </c>
      <c r="DE47" s="3" t="s">
        <v>3</v>
      </c>
      <c r="DF47" s="3" t="s">
        <v>3</v>
      </c>
      <c r="DG47" s="3" t="s">
        <v>3</v>
      </c>
      <c r="DH47" s="3" t="s">
        <v>3</v>
      </c>
      <c r="DI47" s="3" t="s">
        <v>3</v>
      </c>
      <c r="DJ47" s="3" t="s">
        <v>3</v>
      </c>
      <c r="DK47" s="3" t="s">
        <v>3</v>
      </c>
      <c r="DL47" s="3" t="s">
        <v>3</v>
      </c>
      <c r="DM47" s="3" t="s">
        <v>3</v>
      </c>
      <c r="DN47" s="3">
        <v>0</v>
      </c>
      <c r="DO47" s="3">
        <v>0</v>
      </c>
      <c r="DP47" s="3">
        <v>1</v>
      </c>
      <c r="DQ47" s="3">
        <v>1</v>
      </c>
      <c r="DU47" s="3">
        <v>1009</v>
      </c>
      <c r="DV47" s="3" t="s">
        <v>70</v>
      </c>
      <c r="DW47" s="3" t="s">
        <v>70</v>
      </c>
      <c r="DX47" s="3">
        <v>1</v>
      </c>
      <c r="DZ47" s="3" t="s">
        <v>3</v>
      </c>
      <c r="EA47" s="3" t="s">
        <v>3</v>
      </c>
      <c r="EB47" s="3" t="s">
        <v>3</v>
      </c>
      <c r="EC47" s="3" t="s">
        <v>3</v>
      </c>
      <c r="EE47" s="3">
        <v>60088536</v>
      </c>
      <c r="EF47" s="3">
        <v>40</v>
      </c>
      <c r="EG47" s="3" t="s">
        <v>26</v>
      </c>
      <c r="EH47" s="3">
        <v>0</v>
      </c>
      <c r="EI47" s="3" t="s">
        <v>3</v>
      </c>
      <c r="EJ47" s="3">
        <v>2</v>
      </c>
      <c r="EK47" s="3">
        <v>72</v>
      </c>
      <c r="EL47" s="3" t="s">
        <v>52</v>
      </c>
      <c r="EM47" s="3" t="s">
        <v>53</v>
      </c>
      <c r="EO47" s="3" t="s">
        <v>29</v>
      </c>
      <c r="EQ47" s="3">
        <v>0</v>
      </c>
      <c r="ER47" s="3">
        <v>31.08</v>
      </c>
      <c r="ES47" s="3">
        <v>31.08</v>
      </c>
      <c r="ET47" s="3">
        <v>0</v>
      </c>
      <c r="EU47" s="3">
        <v>0</v>
      </c>
      <c r="EV47" s="3">
        <v>0</v>
      </c>
      <c r="EW47" s="3">
        <v>0</v>
      </c>
      <c r="EX47" s="3">
        <v>0</v>
      </c>
      <c r="FQ47" s="3">
        <v>0</v>
      </c>
      <c r="FR47" s="3">
        <v>0</v>
      </c>
      <c r="FS47" s="3">
        <v>0</v>
      </c>
      <c r="FX47" s="3">
        <v>90</v>
      </c>
      <c r="FY47" s="3">
        <v>46</v>
      </c>
      <c r="GA47" s="3" t="s">
        <v>3</v>
      </c>
      <c r="GD47" s="3">
        <v>1</v>
      </c>
      <c r="GF47" s="3">
        <v>1143487818</v>
      </c>
      <c r="GG47" s="3">
        <v>2</v>
      </c>
      <c r="GH47" s="3">
        <v>1</v>
      </c>
      <c r="GI47" s="3">
        <v>2</v>
      </c>
      <c r="GJ47" s="3">
        <v>0</v>
      </c>
      <c r="GK47" s="3">
        <v>0</v>
      </c>
      <c r="GL47" s="3">
        <f t="shared" si="38"/>
        <v>0</v>
      </c>
      <c r="GM47" s="3">
        <f t="shared" si="39"/>
        <v>5.58</v>
      </c>
      <c r="GN47" s="3">
        <f t="shared" si="40"/>
        <v>0</v>
      </c>
      <c r="GO47" s="3">
        <f t="shared" si="41"/>
        <v>5.58</v>
      </c>
      <c r="GP47" s="3">
        <f t="shared" si="42"/>
        <v>0</v>
      </c>
      <c r="GR47" s="3">
        <v>0</v>
      </c>
      <c r="GS47" s="3">
        <v>3</v>
      </c>
      <c r="GT47" s="3">
        <v>0</v>
      </c>
      <c r="GU47" s="3" t="s">
        <v>3</v>
      </c>
      <c r="GV47" s="3">
        <f t="shared" si="43"/>
        <v>0</v>
      </c>
      <c r="GW47" s="3">
        <v>1</v>
      </c>
      <c r="GX47" s="3">
        <f t="shared" si="44"/>
        <v>0</v>
      </c>
      <c r="HA47" s="3">
        <v>0</v>
      </c>
      <c r="HB47" s="3">
        <v>0</v>
      </c>
      <c r="HC47" s="3">
        <f t="shared" si="45"/>
        <v>0</v>
      </c>
      <c r="HE47" s="3" t="s">
        <v>3</v>
      </c>
      <c r="HF47" s="3" t="s">
        <v>3</v>
      </c>
      <c r="HM47" s="3" t="s">
        <v>24</v>
      </c>
      <c r="HN47" s="3" t="s">
        <v>3</v>
      </c>
      <c r="HO47" s="3" t="s">
        <v>3</v>
      </c>
      <c r="HP47" s="3" t="s">
        <v>3</v>
      </c>
      <c r="HQ47" s="3" t="s">
        <v>3</v>
      </c>
      <c r="HS47" s="3">
        <v>0</v>
      </c>
      <c r="IK47" s="3">
        <v>0</v>
      </c>
    </row>
    <row r="48" spans="1:255" x14ac:dyDescent="0.2">
      <c r="A48" s="2">
        <v>17</v>
      </c>
      <c r="B48" s="2">
        <v>1</v>
      </c>
      <c r="C48" s="2"/>
      <c r="D48" s="2"/>
      <c r="E48" s="2" t="s">
        <v>72</v>
      </c>
      <c r="F48" s="2" t="s">
        <v>73</v>
      </c>
      <c r="G48" s="2" t="s">
        <v>74</v>
      </c>
      <c r="H48" s="2" t="s">
        <v>33</v>
      </c>
      <c r="I48" s="2">
        <v>1</v>
      </c>
      <c r="J48" s="2">
        <v>0</v>
      </c>
      <c r="K48" s="2">
        <v>1</v>
      </c>
      <c r="L48" s="2"/>
      <c r="M48" s="2"/>
      <c r="N48" s="2"/>
      <c r="O48" s="2">
        <f t="shared" si="21"/>
        <v>3010.39</v>
      </c>
      <c r="P48" s="2">
        <f>ROUND((ROUND((AC48*I48),2)*BC48),2)</f>
        <v>3010.39</v>
      </c>
      <c r="Q48" s="2">
        <f>(ROUND((ROUND(((ET48)*AV48*I48),2)*BB48),2)+ROUND((ROUND(((AE48-(EU48))*AV48*I48),2)*BS48),2))</f>
        <v>0</v>
      </c>
      <c r="R48" s="2">
        <f>(ROUND((ROUND(((EU48)*AV48*I48),2)*BS48),2)+ROUND((ROUND(((AE48-(EU48))*AV48*I48),2)*BS48),2))</f>
        <v>0</v>
      </c>
      <c r="S48" s="2">
        <f t="shared" si="23"/>
        <v>0</v>
      </c>
      <c r="T48" s="2">
        <f t="shared" si="24"/>
        <v>0</v>
      </c>
      <c r="U48" s="2">
        <f t="shared" si="25"/>
        <v>0</v>
      </c>
      <c r="V48" s="2">
        <f t="shared" si="26"/>
        <v>0</v>
      </c>
      <c r="W48" s="2">
        <f t="shared" si="27"/>
        <v>0</v>
      </c>
      <c r="X48" s="2">
        <f>(ROUND((((S48+ROUND((ROUND(((EU48)*AV48*I48),2)*BS48),2))*AT48)/100),2)+ROUND(((ROUND((ROUND(((AE48-(EU48))*AV48*I48),2)*BS48),2)*AT48)/100),2))</f>
        <v>0</v>
      </c>
      <c r="Y48" s="2">
        <f>(ROUND((((S48+ROUND((ROUND(((EU48)*AV48*I48),2)*BS48),2))*AU48)/100),2)+ROUND(((ROUND((ROUND(((AE48-(EU48))*AV48*I48),2)*BS48),2)*AU48)/100),2))</f>
        <v>0</v>
      </c>
      <c r="Z48" s="2"/>
      <c r="AA48" s="2">
        <v>60256405</v>
      </c>
      <c r="AB48" s="2">
        <f t="shared" si="28"/>
        <v>3010.39</v>
      </c>
      <c r="AC48" s="2">
        <f>ROUND((ES48),6)</f>
        <v>3010.39</v>
      </c>
      <c r="AD48" s="2">
        <f>ROUND((((ET48)-(EU48))+AE48),6)</f>
        <v>0</v>
      </c>
      <c r="AE48" s="2">
        <f t="shared" si="46"/>
        <v>0</v>
      </c>
      <c r="AF48" s="2">
        <f t="shared" si="46"/>
        <v>0</v>
      </c>
      <c r="AG48" s="2">
        <f t="shared" si="29"/>
        <v>0</v>
      </c>
      <c r="AH48" s="2">
        <f t="shared" si="47"/>
        <v>0</v>
      </c>
      <c r="AI48" s="2">
        <f t="shared" si="47"/>
        <v>0</v>
      </c>
      <c r="AJ48" s="2">
        <f t="shared" si="30"/>
        <v>0</v>
      </c>
      <c r="AK48" s="2">
        <v>3010.39</v>
      </c>
      <c r="AL48" s="2">
        <v>3010.39</v>
      </c>
      <c r="AM48" s="2">
        <v>0</v>
      </c>
      <c r="AN48" s="2">
        <v>0</v>
      </c>
      <c r="AO48" s="2">
        <v>0</v>
      </c>
      <c r="AP48" s="2">
        <v>0</v>
      </c>
      <c r="AQ48" s="2">
        <v>0</v>
      </c>
      <c r="AR48" s="2">
        <v>0</v>
      </c>
      <c r="AS48" s="2">
        <v>0</v>
      </c>
      <c r="AT48" s="2">
        <v>0</v>
      </c>
      <c r="AU48" s="2">
        <v>0</v>
      </c>
      <c r="AV48" s="2">
        <v>1</v>
      </c>
      <c r="AW48" s="2">
        <v>1</v>
      </c>
      <c r="AX48" s="2"/>
      <c r="AY48" s="2"/>
      <c r="AZ48" s="2">
        <v>1</v>
      </c>
      <c r="BA48" s="2">
        <v>1</v>
      </c>
      <c r="BB48" s="2">
        <v>1</v>
      </c>
      <c r="BC48" s="2">
        <v>1</v>
      </c>
      <c r="BD48" s="2" t="s">
        <v>3</v>
      </c>
      <c r="BE48" s="2" t="s">
        <v>3</v>
      </c>
      <c r="BF48" s="2" t="s">
        <v>3</v>
      </c>
      <c r="BG48" s="2" t="s">
        <v>3</v>
      </c>
      <c r="BH48" s="2">
        <v>3</v>
      </c>
      <c r="BI48" s="2">
        <v>3</v>
      </c>
      <c r="BJ48" s="2" t="s">
        <v>3</v>
      </c>
      <c r="BK48" s="2"/>
      <c r="BL48" s="2"/>
      <c r="BM48" s="2">
        <v>746</v>
      </c>
      <c r="BN48" s="2">
        <v>0</v>
      </c>
      <c r="BO48" s="2" t="s">
        <v>3</v>
      </c>
      <c r="BP48" s="2">
        <v>0</v>
      </c>
      <c r="BQ48" s="2">
        <v>130</v>
      </c>
      <c r="BR48" s="2">
        <v>0</v>
      </c>
      <c r="BS48" s="2">
        <v>1</v>
      </c>
      <c r="BT48" s="2">
        <v>1</v>
      </c>
      <c r="BU48" s="2">
        <v>1</v>
      </c>
      <c r="BV48" s="2">
        <v>1</v>
      </c>
      <c r="BW48" s="2">
        <v>1</v>
      </c>
      <c r="BX48" s="2">
        <v>1</v>
      </c>
      <c r="BY48" s="2" t="s">
        <v>3</v>
      </c>
      <c r="BZ48" s="2">
        <v>0</v>
      </c>
      <c r="CA48" s="2">
        <v>0</v>
      </c>
      <c r="CB48" s="2" t="s">
        <v>3</v>
      </c>
      <c r="CC48" s="2"/>
      <c r="CD48" s="2"/>
      <c r="CE48" s="2">
        <v>1566</v>
      </c>
      <c r="CF48" s="2">
        <v>0</v>
      </c>
      <c r="CG48" s="2">
        <v>0</v>
      </c>
      <c r="CH48" s="2"/>
      <c r="CI48" s="2"/>
      <c r="CJ48" s="2"/>
      <c r="CK48" s="2"/>
      <c r="CL48" s="2"/>
      <c r="CM48" s="2">
        <v>0</v>
      </c>
      <c r="CN48" s="2" t="s">
        <v>3</v>
      </c>
      <c r="CO48" s="2">
        <v>0</v>
      </c>
      <c r="CP48" s="2">
        <f t="shared" si="31"/>
        <v>3010.39</v>
      </c>
      <c r="CQ48" s="2">
        <f>ROUND((ROUND((AC48*1),2)*BC48),2)</f>
        <v>3010.39</v>
      </c>
      <c r="CR48" s="2">
        <f>(ROUND((ROUND(((ET48)*AV48*1),2)*BB48),2)+ROUND((ROUND(((AE48-(EU48))*AV48*1),2)*BS48),2))</f>
        <v>0</v>
      </c>
      <c r="CS48" s="2">
        <f>(ROUND((ROUND(((EU48)*AV48*1),2)*BS48),2)+ROUND((ROUND(((AE48-(EU48))*AV48*1),2)*BS48),2))</f>
        <v>0</v>
      </c>
      <c r="CT48" s="2">
        <f t="shared" si="33"/>
        <v>0</v>
      </c>
      <c r="CU48" s="2">
        <f t="shared" si="34"/>
        <v>0</v>
      </c>
      <c r="CV48" s="2">
        <f t="shared" si="35"/>
        <v>0</v>
      </c>
      <c r="CW48" s="2">
        <f t="shared" si="36"/>
        <v>0</v>
      </c>
      <c r="CX48" s="2">
        <f t="shared" si="37"/>
        <v>0</v>
      </c>
      <c r="CY48" s="2">
        <f>(ROUND((((S48+ROUND((ROUND(((EU48)*AV48*1),2)*BS48),2))*AT48)/100),2)+ROUND(((ROUND((ROUND(((AE48-(EU48))*AV48*1),2)*BS48),2)*AT48)/100),2))</f>
        <v>0</v>
      </c>
      <c r="CZ48" s="2">
        <f>(ROUND((((S48+ROUND((ROUND(((EU48)*AV48*1),2)*BS48),2))*AU48)/100),2)+ROUND(((ROUND((ROUND(((AE48-(EU48))*AV48*1),2)*BS48),2)*AU48)/100),2))</f>
        <v>0</v>
      </c>
      <c r="DA48" s="2"/>
      <c r="DB48" s="2"/>
      <c r="DC48" s="2" t="s">
        <v>3</v>
      </c>
      <c r="DD48" s="2" t="s">
        <v>3</v>
      </c>
      <c r="DE48" s="2" t="s">
        <v>3</v>
      </c>
      <c r="DF48" s="2" t="s">
        <v>3</v>
      </c>
      <c r="DG48" s="2" t="s">
        <v>3</v>
      </c>
      <c r="DH48" s="2" t="s">
        <v>3</v>
      </c>
      <c r="DI48" s="2" t="s">
        <v>3</v>
      </c>
      <c r="DJ48" s="2" t="s">
        <v>3</v>
      </c>
      <c r="DK48" s="2" t="s">
        <v>3</v>
      </c>
      <c r="DL48" s="2" t="s">
        <v>3</v>
      </c>
      <c r="DM48" s="2" t="s">
        <v>3</v>
      </c>
      <c r="DN48" s="2">
        <v>0</v>
      </c>
      <c r="DO48" s="2">
        <v>0</v>
      </c>
      <c r="DP48" s="2">
        <v>1</v>
      </c>
      <c r="DQ48" s="2">
        <v>1</v>
      </c>
      <c r="DR48" s="2"/>
      <c r="DS48" s="2"/>
      <c r="DT48" s="2"/>
      <c r="DU48" s="2">
        <v>1010</v>
      </c>
      <c r="DV48" s="2" t="s">
        <v>33</v>
      </c>
      <c r="DW48" s="2" t="s">
        <v>33</v>
      </c>
      <c r="DX48" s="2">
        <v>1</v>
      </c>
      <c r="DY48" s="2"/>
      <c r="DZ48" s="2" t="s">
        <v>3</v>
      </c>
      <c r="EA48" s="2" t="s">
        <v>3</v>
      </c>
      <c r="EB48" s="2" t="s">
        <v>3</v>
      </c>
      <c r="EC48" s="2" t="s">
        <v>3</v>
      </c>
      <c r="ED48" s="2"/>
      <c r="EE48" s="2">
        <v>60088638</v>
      </c>
      <c r="EF48" s="2">
        <v>130</v>
      </c>
      <c r="EG48" s="2" t="s">
        <v>43</v>
      </c>
      <c r="EH48" s="2">
        <v>0</v>
      </c>
      <c r="EI48" s="2" t="s">
        <v>3</v>
      </c>
      <c r="EJ48" s="2">
        <v>3</v>
      </c>
      <c r="EK48" s="2">
        <v>746</v>
      </c>
      <c r="EL48" s="2" t="s">
        <v>44</v>
      </c>
      <c r="EM48" s="2" t="s">
        <v>45</v>
      </c>
      <c r="EN48" s="2"/>
      <c r="EO48" s="2" t="s">
        <v>3</v>
      </c>
      <c r="EP48" s="2"/>
      <c r="EQ48" s="2">
        <v>0</v>
      </c>
      <c r="ER48" s="2">
        <v>0</v>
      </c>
      <c r="ES48" s="2">
        <v>3010.39</v>
      </c>
      <c r="ET48" s="2">
        <v>0</v>
      </c>
      <c r="EU48" s="2">
        <v>0</v>
      </c>
      <c r="EV48" s="2">
        <v>0</v>
      </c>
      <c r="EW48" s="2">
        <v>0</v>
      </c>
      <c r="EX48" s="2">
        <v>0</v>
      </c>
      <c r="EY48" s="2">
        <v>0</v>
      </c>
      <c r="EZ48" s="2"/>
      <c r="FA48" s="2"/>
      <c r="FB48" s="2"/>
      <c r="FC48" s="2"/>
      <c r="FD48" s="2"/>
      <c r="FE48" s="2"/>
      <c r="FF48" s="2"/>
      <c r="FG48" s="2"/>
      <c r="FH48" s="2"/>
      <c r="FI48" s="2"/>
      <c r="FJ48" s="2"/>
      <c r="FK48" s="2"/>
      <c r="FL48" s="2"/>
      <c r="FM48" s="2"/>
      <c r="FN48" s="2"/>
      <c r="FO48" s="2"/>
      <c r="FP48" s="2"/>
      <c r="FQ48" s="2">
        <v>0</v>
      </c>
      <c r="FR48" s="2">
        <f>P48</f>
        <v>3010.39</v>
      </c>
      <c r="FS48" s="2">
        <v>0</v>
      </c>
      <c r="FT48" s="2"/>
      <c r="FU48" s="2"/>
      <c r="FV48" s="2"/>
      <c r="FW48" s="2"/>
      <c r="FX48" s="2">
        <v>0</v>
      </c>
      <c r="FY48" s="2">
        <v>0</v>
      </c>
      <c r="FZ48" s="2"/>
      <c r="GA48" s="2" t="s">
        <v>75</v>
      </c>
      <c r="GB48" s="2"/>
      <c r="GC48" s="2"/>
      <c r="GD48" s="2">
        <v>1</v>
      </c>
      <c r="GE48" s="2"/>
      <c r="GF48" s="2">
        <v>-1990037497</v>
      </c>
      <c r="GG48" s="2">
        <v>2</v>
      </c>
      <c r="GH48" s="2">
        <v>4</v>
      </c>
      <c r="GI48" s="2">
        <v>-2</v>
      </c>
      <c r="GJ48" s="2">
        <v>0</v>
      </c>
      <c r="GK48" s="2">
        <v>0</v>
      </c>
      <c r="GL48" s="2">
        <f t="shared" si="38"/>
        <v>0</v>
      </c>
      <c r="GM48" s="2">
        <f t="shared" si="39"/>
        <v>3010.39</v>
      </c>
      <c r="GN48" s="2">
        <f t="shared" si="40"/>
        <v>0</v>
      </c>
      <c r="GO48" s="2">
        <f t="shared" si="41"/>
        <v>0</v>
      </c>
      <c r="GP48" s="2">
        <f t="shared" si="42"/>
        <v>0</v>
      </c>
      <c r="GQ48" s="2"/>
      <c r="GR48" s="2">
        <v>0</v>
      </c>
      <c r="GS48" s="2">
        <v>2</v>
      </c>
      <c r="GT48" s="2">
        <v>0</v>
      </c>
      <c r="GU48" s="2" t="s">
        <v>3</v>
      </c>
      <c r="GV48" s="2">
        <f t="shared" si="43"/>
        <v>0</v>
      </c>
      <c r="GW48" s="2">
        <v>1</v>
      </c>
      <c r="GX48" s="2">
        <f t="shared" si="44"/>
        <v>0</v>
      </c>
      <c r="GY48" s="2"/>
      <c r="GZ48" s="2"/>
      <c r="HA48" s="2">
        <v>0</v>
      </c>
      <c r="HB48" s="2">
        <v>0</v>
      </c>
      <c r="HC48" s="2">
        <f t="shared" si="45"/>
        <v>0</v>
      </c>
      <c r="HD48" s="2"/>
      <c r="HE48" s="2" t="s">
        <v>36</v>
      </c>
      <c r="HF48" s="2" t="s">
        <v>47</v>
      </c>
      <c r="HG48" s="2"/>
      <c r="HH48" s="2"/>
      <c r="HI48" s="2"/>
      <c r="HJ48" s="2"/>
      <c r="HK48" s="2"/>
      <c r="HL48" s="2"/>
      <c r="HM48" s="2" t="s">
        <v>3</v>
      </c>
      <c r="HN48" s="2" t="s">
        <v>3</v>
      </c>
      <c r="HO48" s="2" t="s">
        <v>3</v>
      </c>
      <c r="HP48" s="2" t="s">
        <v>3</v>
      </c>
      <c r="HQ48" s="2" t="s">
        <v>3</v>
      </c>
      <c r="HR48" s="2"/>
      <c r="HS48" s="2">
        <v>0</v>
      </c>
      <c r="HT48" s="2"/>
      <c r="HU48" s="2"/>
      <c r="HV48" s="2"/>
      <c r="HW48" s="2"/>
      <c r="HX48" s="2"/>
      <c r="HY48" s="2"/>
      <c r="HZ48" s="2"/>
      <c r="IA48" s="2"/>
      <c r="IB48" s="2"/>
      <c r="IC48" s="2"/>
      <c r="ID48" s="2"/>
      <c r="IE48" s="2"/>
      <c r="IF48" s="2"/>
      <c r="IG48" s="2"/>
      <c r="IH48" s="2"/>
      <c r="II48" s="2"/>
      <c r="IJ48" s="2"/>
      <c r="IK48" s="2">
        <v>0</v>
      </c>
      <c r="IL48" s="2"/>
      <c r="IM48" s="2"/>
      <c r="IN48" s="2"/>
      <c r="IO48" s="2"/>
      <c r="IP48" s="2"/>
      <c r="IQ48" s="2"/>
      <c r="IR48" s="2"/>
      <c r="IS48" s="2"/>
      <c r="IT48" s="2"/>
      <c r="IU48" s="2"/>
    </row>
    <row r="49" spans="1:255" x14ac:dyDescent="0.2">
      <c r="A49" s="3">
        <v>17</v>
      </c>
      <c r="B49" s="3">
        <v>1</v>
      </c>
      <c r="E49" s="3" t="s">
        <v>72</v>
      </c>
      <c r="F49" s="3" t="s">
        <v>73</v>
      </c>
      <c r="G49" s="3" t="s">
        <v>74</v>
      </c>
      <c r="H49" s="3" t="s">
        <v>33</v>
      </c>
      <c r="I49" s="3">
        <v>1</v>
      </c>
      <c r="J49" s="3">
        <v>0</v>
      </c>
      <c r="K49" s="3">
        <v>1</v>
      </c>
      <c r="O49" s="3">
        <f t="shared" si="21"/>
        <v>23059.59</v>
      </c>
      <c r="P49" s="3">
        <f>ROUND((ROUND((AC49*I49),2)*BC49),2)</f>
        <v>23059.59</v>
      </c>
      <c r="Q49" s="3">
        <f>(ROUND((ROUND(((ET49)*AV49*I49),2)*BB49),2)+ROUND((ROUND(((AE49-(EU49))*AV49*I49),2)*BS49),2))</f>
        <v>0</v>
      </c>
      <c r="R49" s="3">
        <f>(ROUND((ROUND(((EU49)*AV49*I49),2)*BS49),2)+ROUND((ROUND(((AE49-(EU49))*AV49*I49),2)*BS49),2))</f>
        <v>0</v>
      </c>
      <c r="S49" s="3">
        <f t="shared" si="23"/>
        <v>0</v>
      </c>
      <c r="T49" s="3">
        <f t="shared" si="24"/>
        <v>0</v>
      </c>
      <c r="U49" s="3">
        <f t="shared" si="25"/>
        <v>0</v>
      </c>
      <c r="V49" s="3">
        <f t="shared" si="26"/>
        <v>0</v>
      </c>
      <c r="W49" s="3">
        <f t="shared" si="27"/>
        <v>0</v>
      </c>
      <c r="X49" s="3">
        <f>(ROUND((((S49+ROUND((ROUND(((EU49)*AV49*I49),2)*BS49),2))*AT49)/100),2)+ROUND(((ROUND((ROUND(((AE49-(EU49))*AV49*I49),2)*BS49),2)*AT49)/100),2))</f>
        <v>0</v>
      </c>
      <c r="Y49" s="3">
        <f>(ROUND((((S49+ROUND((ROUND(((EU49)*AV49*I49),2)*BS49),2))*AU49)/100),2)+ROUND(((ROUND((ROUND(((AE49-(EU49))*AV49*I49),2)*BS49),2)*AU49)/100),2))</f>
        <v>0</v>
      </c>
      <c r="AA49" s="3">
        <v>60256402</v>
      </c>
      <c r="AB49" s="3">
        <f t="shared" si="28"/>
        <v>3010.39</v>
      </c>
      <c r="AC49" s="3">
        <f>ROUND((ES49),6)</f>
        <v>3010.39</v>
      </c>
      <c r="AD49" s="3">
        <f>ROUND((((ET49)-(EU49))+AE49),6)</f>
        <v>0</v>
      </c>
      <c r="AE49" s="3">
        <f t="shared" si="46"/>
        <v>0</v>
      </c>
      <c r="AF49" s="3">
        <f t="shared" si="46"/>
        <v>0</v>
      </c>
      <c r="AG49" s="3">
        <f t="shared" si="29"/>
        <v>0</v>
      </c>
      <c r="AH49" s="3">
        <f t="shared" si="47"/>
        <v>0</v>
      </c>
      <c r="AI49" s="3">
        <f t="shared" si="47"/>
        <v>0</v>
      </c>
      <c r="AJ49" s="3">
        <f t="shared" si="30"/>
        <v>0</v>
      </c>
      <c r="AK49" s="3">
        <v>3010.39</v>
      </c>
      <c r="AL49" s="3">
        <v>3010.39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1</v>
      </c>
      <c r="AW49" s="3">
        <v>1</v>
      </c>
      <c r="AZ49" s="3">
        <v>1</v>
      </c>
      <c r="BA49" s="3">
        <v>1</v>
      </c>
      <c r="BB49" s="3">
        <v>1</v>
      </c>
      <c r="BC49" s="3">
        <v>7.66</v>
      </c>
      <c r="BD49" s="3" t="s">
        <v>3</v>
      </c>
      <c r="BE49" s="3" t="s">
        <v>3</v>
      </c>
      <c r="BF49" s="3" t="s">
        <v>3</v>
      </c>
      <c r="BG49" s="3" t="s">
        <v>3</v>
      </c>
      <c r="BH49" s="3">
        <v>3</v>
      </c>
      <c r="BI49" s="3">
        <v>3</v>
      </c>
      <c r="BJ49" s="3" t="s">
        <v>3</v>
      </c>
      <c r="BM49" s="3">
        <v>746</v>
      </c>
      <c r="BN49" s="3">
        <v>0</v>
      </c>
      <c r="BO49" s="3" t="s">
        <v>3</v>
      </c>
      <c r="BP49" s="3">
        <v>0</v>
      </c>
      <c r="BQ49" s="3">
        <v>130</v>
      </c>
      <c r="BR49" s="3">
        <v>0</v>
      </c>
      <c r="BS49" s="3">
        <v>1</v>
      </c>
      <c r="BT49" s="3">
        <v>1</v>
      </c>
      <c r="BU49" s="3">
        <v>1</v>
      </c>
      <c r="BV49" s="3">
        <v>1</v>
      </c>
      <c r="BW49" s="3">
        <v>1</v>
      </c>
      <c r="BX49" s="3">
        <v>1</v>
      </c>
      <c r="BY49" s="3" t="s">
        <v>3</v>
      </c>
      <c r="BZ49" s="3">
        <v>0</v>
      </c>
      <c r="CA49" s="3">
        <v>0</v>
      </c>
      <c r="CB49" s="3" t="s">
        <v>3</v>
      </c>
      <c r="CE49" s="3">
        <v>1566</v>
      </c>
      <c r="CF49" s="3">
        <v>0</v>
      </c>
      <c r="CG49" s="3">
        <v>0</v>
      </c>
      <c r="CM49" s="3">
        <v>0</v>
      </c>
      <c r="CN49" s="3" t="s">
        <v>3</v>
      </c>
      <c r="CO49" s="3">
        <v>0</v>
      </c>
      <c r="CP49" s="3">
        <f t="shared" si="31"/>
        <v>23059.59</v>
      </c>
      <c r="CQ49" s="3">
        <f>ROUND((ROUND((AC49*1),2)*BC49),2)</f>
        <v>23059.59</v>
      </c>
      <c r="CR49" s="3">
        <f>(ROUND((ROUND(((ET49)*AV49*1),2)*BB49),2)+ROUND((ROUND(((AE49-(EU49))*AV49*1),2)*BS49),2))</f>
        <v>0</v>
      </c>
      <c r="CS49" s="3">
        <f>(ROUND((ROUND(((EU49)*AV49*1),2)*BS49),2)+ROUND((ROUND(((AE49-(EU49))*AV49*1),2)*BS49),2))</f>
        <v>0</v>
      </c>
      <c r="CT49" s="3">
        <f t="shared" si="33"/>
        <v>0</v>
      </c>
      <c r="CU49" s="3">
        <f t="shared" si="34"/>
        <v>0</v>
      </c>
      <c r="CV49" s="3">
        <f t="shared" si="35"/>
        <v>0</v>
      </c>
      <c r="CW49" s="3">
        <f t="shared" si="36"/>
        <v>0</v>
      </c>
      <c r="CX49" s="3">
        <f t="shared" si="37"/>
        <v>0</v>
      </c>
      <c r="CY49" s="3">
        <f>(ROUND((((S49+ROUND((ROUND(((EU49)*AV49*1),2)*BS49),2))*AT49)/100),2)+ROUND(((ROUND((ROUND(((AE49-(EU49))*AV49*1),2)*BS49),2)*AT49)/100),2))</f>
        <v>0</v>
      </c>
      <c r="CZ49" s="3">
        <f>(ROUND((((S49+ROUND((ROUND(((EU49)*AV49*1),2)*BS49),2))*AU49)/100),2)+ROUND(((ROUND((ROUND(((AE49-(EU49))*AV49*1),2)*BS49),2)*AU49)/100),2))</f>
        <v>0</v>
      </c>
      <c r="DC49" s="3" t="s">
        <v>3</v>
      </c>
      <c r="DD49" s="3" t="s">
        <v>3</v>
      </c>
      <c r="DE49" s="3" t="s">
        <v>3</v>
      </c>
      <c r="DF49" s="3" t="s">
        <v>3</v>
      </c>
      <c r="DG49" s="3" t="s">
        <v>3</v>
      </c>
      <c r="DH49" s="3" t="s">
        <v>3</v>
      </c>
      <c r="DI49" s="3" t="s">
        <v>3</v>
      </c>
      <c r="DJ49" s="3" t="s">
        <v>3</v>
      </c>
      <c r="DK49" s="3" t="s">
        <v>3</v>
      </c>
      <c r="DL49" s="3" t="s">
        <v>3</v>
      </c>
      <c r="DM49" s="3" t="s">
        <v>3</v>
      </c>
      <c r="DN49" s="3">
        <v>0</v>
      </c>
      <c r="DO49" s="3">
        <v>0</v>
      </c>
      <c r="DP49" s="3">
        <v>1</v>
      </c>
      <c r="DQ49" s="3">
        <v>1</v>
      </c>
      <c r="DU49" s="3">
        <v>1010</v>
      </c>
      <c r="DV49" s="3" t="s">
        <v>33</v>
      </c>
      <c r="DW49" s="3" t="s">
        <v>33</v>
      </c>
      <c r="DX49" s="3">
        <v>1</v>
      </c>
      <c r="DZ49" s="3" t="s">
        <v>3</v>
      </c>
      <c r="EA49" s="3" t="s">
        <v>3</v>
      </c>
      <c r="EB49" s="3" t="s">
        <v>3</v>
      </c>
      <c r="EC49" s="3" t="s">
        <v>3</v>
      </c>
      <c r="EE49" s="3">
        <v>60088638</v>
      </c>
      <c r="EF49" s="3">
        <v>130</v>
      </c>
      <c r="EG49" s="3" t="s">
        <v>43</v>
      </c>
      <c r="EH49" s="3">
        <v>0</v>
      </c>
      <c r="EI49" s="3" t="s">
        <v>3</v>
      </c>
      <c r="EJ49" s="3">
        <v>3</v>
      </c>
      <c r="EK49" s="3">
        <v>746</v>
      </c>
      <c r="EL49" s="3" t="s">
        <v>44</v>
      </c>
      <c r="EM49" s="3" t="s">
        <v>45</v>
      </c>
      <c r="EO49" s="3" t="s">
        <v>3</v>
      </c>
      <c r="EQ49" s="3">
        <v>0</v>
      </c>
      <c r="ER49" s="3">
        <v>3010.39</v>
      </c>
      <c r="ES49" s="3">
        <v>3010.39</v>
      </c>
      <c r="ET49" s="3">
        <v>0</v>
      </c>
      <c r="EU49" s="3">
        <v>0</v>
      </c>
      <c r="EV49" s="3">
        <v>0</v>
      </c>
      <c r="EW49" s="3">
        <v>0</v>
      </c>
      <c r="EX49" s="3">
        <v>0</v>
      </c>
      <c r="EY49" s="3">
        <v>0</v>
      </c>
      <c r="EZ49" s="3">
        <v>5</v>
      </c>
      <c r="FC49" s="3">
        <v>1</v>
      </c>
      <c r="FD49" s="3">
        <v>18</v>
      </c>
      <c r="FF49" s="3">
        <v>26547</v>
      </c>
      <c r="FQ49" s="3">
        <v>0</v>
      </c>
      <c r="FR49" s="3">
        <f>P49</f>
        <v>23059.59</v>
      </c>
      <c r="FS49" s="3">
        <v>0</v>
      </c>
      <c r="FX49" s="3">
        <v>0</v>
      </c>
      <c r="FY49" s="3">
        <v>0</v>
      </c>
      <c r="GA49" s="3" t="s">
        <v>75</v>
      </c>
      <c r="GD49" s="3">
        <v>1</v>
      </c>
      <c r="GF49" s="3">
        <v>-1990037497</v>
      </c>
      <c r="GG49" s="3">
        <v>2</v>
      </c>
      <c r="GH49" s="3">
        <v>3</v>
      </c>
      <c r="GI49" s="3">
        <v>5</v>
      </c>
      <c r="GJ49" s="3">
        <v>0</v>
      </c>
      <c r="GK49" s="3">
        <v>0</v>
      </c>
      <c r="GL49" s="3">
        <f t="shared" si="38"/>
        <v>0</v>
      </c>
      <c r="GM49" s="3">
        <f t="shared" si="39"/>
        <v>23059.59</v>
      </c>
      <c r="GN49" s="3">
        <f t="shared" si="40"/>
        <v>0</v>
      </c>
      <c r="GO49" s="3">
        <f t="shared" si="41"/>
        <v>0</v>
      </c>
      <c r="GP49" s="3">
        <f t="shared" si="42"/>
        <v>0</v>
      </c>
      <c r="GR49" s="3">
        <v>1</v>
      </c>
      <c r="GS49" s="3">
        <v>1</v>
      </c>
      <c r="GT49" s="3">
        <v>0</v>
      </c>
      <c r="GU49" s="3" t="s">
        <v>3</v>
      </c>
      <c r="GV49" s="3">
        <f t="shared" si="43"/>
        <v>0</v>
      </c>
      <c r="GW49" s="3">
        <v>1</v>
      </c>
      <c r="GX49" s="3">
        <f t="shared" si="44"/>
        <v>0</v>
      </c>
      <c r="HA49" s="3">
        <v>0</v>
      </c>
      <c r="HB49" s="3">
        <v>0</v>
      </c>
      <c r="HC49" s="3">
        <f t="shared" si="45"/>
        <v>0</v>
      </c>
      <c r="HE49" s="3" t="s">
        <v>36</v>
      </c>
      <c r="HF49" s="3" t="s">
        <v>47</v>
      </c>
      <c r="HM49" s="3" t="s">
        <v>3</v>
      </c>
      <c r="HN49" s="3" t="s">
        <v>3</v>
      </c>
      <c r="HO49" s="3" t="s">
        <v>3</v>
      </c>
      <c r="HP49" s="3" t="s">
        <v>3</v>
      </c>
      <c r="HQ49" s="3" t="s">
        <v>3</v>
      </c>
      <c r="HS49" s="3">
        <v>0</v>
      </c>
      <c r="IK49" s="3">
        <v>0</v>
      </c>
    </row>
    <row r="50" spans="1:255" x14ac:dyDescent="0.2">
      <c r="A50" s="2">
        <v>17</v>
      </c>
      <c r="B50" s="2">
        <v>1</v>
      </c>
      <c r="C50" s="2">
        <f>ROW(SmtRes!A40)</f>
        <v>40</v>
      </c>
      <c r="D50" s="2">
        <f>ROW(EtalonRes!A51)</f>
        <v>51</v>
      </c>
      <c r="E50" s="2" t="s">
        <v>76</v>
      </c>
      <c r="F50" s="2" t="s">
        <v>77</v>
      </c>
      <c r="G50" s="2" t="s">
        <v>78</v>
      </c>
      <c r="H50" s="2" t="s">
        <v>22</v>
      </c>
      <c r="I50" s="2">
        <v>1</v>
      </c>
      <c r="J50" s="2">
        <v>0</v>
      </c>
      <c r="K50" s="2">
        <v>1</v>
      </c>
      <c r="L50" s="2"/>
      <c r="M50" s="2"/>
      <c r="N50" s="2"/>
      <c r="O50" s="2">
        <f t="shared" si="21"/>
        <v>24.17</v>
      </c>
      <c r="P50" s="2">
        <f>ROUND((ROUND((AC50*AW50*I50),2)*BC50),2)</f>
        <v>2.34</v>
      </c>
      <c r="Q50" s="2">
        <f>(ROUND((ROUND((((ET50*1.1))*AV50*I50),2)*BB50),2)+ROUND((ROUND(((AE50-((EU50*1.1)))*AV50*I50),2)*BS50),2))</f>
        <v>0.02</v>
      </c>
      <c r="R50" s="2">
        <f>(ROUND((ROUND((((EU50*1.1))*AV50*I50),2)*BS50),2)+ROUND((ROUND(((AE50-((EU50*1.1)))*AV50*I50),2)*BS50),2))</f>
        <v>0</v>
      </c>
      <c r="S50" s="2">
        <f t="shared" si="23"/>
        <v>21.81</v>
      </c>
      <c r="T50" s="2">
        <f t="shared" si="24"/>
        <v>0</v>
      </c>
      <c r="U50" s="2">
        <f t="shared" si="25"/>
        <v>1.5663120000000001</v>
      </c>
      <c r="V50" s="2">
        <f t="shared" si="26"/>
        <v>0</v>
      </c>
      <c r="W50" s="2">
        <f t="shared" si="27"/>
        <v>0</v>
      </c>
      <c r="X50" s="2">
        <f>(ROUND((((S50+ROUND((ROUND((((EU50*1.1))*AV50*I50),2)*BS50),2))*AT50)/100),2)+ROUND(((ROUND((ROUND(((AE50-((EU50*1.1)))*AV50*I50),2)*BS50),2)*AT50)/100),2))</f>
        <v>19.63</v>
      </c>
      <c r="Y50" s="2">
        <f>(ROUND((((S50+ROUND((ROUND((((EU50*1.1))*AV50*I50),2)*BS50),2))*AU50)/100),2)+ROUND(((ROUND((ROUND(((AE50-((EU50*1.1)))*AV50*I50),2)*BS50),2)*AU50)/100),2))</f>
        <v>10.029999999999999</v>
      </c>
      <c r="Z50" s="2"/>
      <c r="AA50" s="2">
        <v>60256405</v>
      </c>
      <c r="AB50" s="2">
        <f t="shared" si="28"/>
        <v>23.196000000000002</v>
      </c>
      <c r="AC50" s="2">
        <f>ROUND(((ES50*1)),6)</f>
        <v>2.34</v>
      </c>
      <c r="AD50" s="2">
        <f>ROUND(((((ET50*1.1))-((EU50*1.1)))+AE50),6)</f>
        <v>2.1999999999999999E-2</v>
      </c>
      <c r="AE50" s="2">
        <f>ROUND(((EU50*1.1)),6)</f>
        <v>0</v>
      </c>
      <c r="AF50" s="2">
        <f>ROUND(((EV50*1.1)),6)</f>
        <v>20.834</v>
      </c>
      <c r="AG50" s="2">
        <f t="shared" si="29"/>
        <v>0</v>
      </c>
      <c r="AH50" s="2">
        <f>((EW50*1.1))</f>
        <v>1.4960000000000002</v>
      </c>
      <c r="AI50" s="2">
        <f>((EX50*1.1))</f>
        <v>0</v>
      </c>
      <c r="AJ50" s="2">
        <f t="shared" si="30"/>
        <v>0</v>
      </c>
      <c r="AK50" s="2">
        <v>21.3</v>
      </c>
      <c r="AL50" s="2">
        <v>2.34</v>
      </c>
      <c r="AM50" s="2">
        <v>0.02</v>
      </c>
      <c r="AN50" s="2">
        <v>0</v>
      </c>
      <c r="AO50" s="2">
        <v>18.940000000000001</v>
      </c>
      <c r="AP50" s="2">
        <v>0</v>
      </c>
      <c r="AQ50" s="2">
        <v>1.36</v>
      </c>
      <c r="AR50" s="2">
        <v>0</v>
      </c>
      <c r="AS50" s="2">
        <v>0</v>
      </c>
      <c r="AT50" s="2">
        <v>90</v>
      </c>
      <c r="AU50" s="2">
        <v>46</v>
      </c>
      <c r="AV50" s="2">
        <v>1.0469999999999999</v>
      </c>
      <c r="AW50" s="2">
        <v>1</v>
      </c>
      <c r="AX50" s="2"/>
      <c r="AY50" s="2"/>
      <c r="AZ50" s="2">
        <v>1</v>
      </c>
      <c r="BA50" s="2">
        <v>1</v>
      </c>
      <c r="BB50" s="2">
        <v>1</v>
      </c>
      <c r="BC50" s="2">
        <v>1</v>
      </c>
      <c r="BD50" s="2" t="s">
        <v>3</v>
      </c>
      <c r="BE50" s="2" t="s">
        <v>3</v>
      </c>
      <c r="BF50" s="2" t="s">
        <v>3</v>
      </c>
      <c r="BG50" s="2" t="s">
        <v>3</v>
      </c>
      <c r="BH50" s="2">
        <v>0</v>
      </c>
      <c r="BI50" s="2">
        <v>2</v>
      </c>
      <c r="BJ50" s="2" t="s">
        <v>79</v>
      </c>
      <c r="BK50" s="2"/>
      <c r="BL50" s="2"/>
      <c r="BM50" s="2">
        <v>68</v>
      </c>
      <c r="BN50" s="2">
        <v>58973116</v>
      </c>
      <c r="BO50" s="2" t="s">
        <v>77</v>
      </c>
      <c r="BP50" s="2">
        <v>1</v>
      </c>
      <c r="BQ50" s="2">
        <v>40</v>
      </c>
      <c r="BR50" s="2">
        <v>0</v>
      </c>
      <c r="BS50" s="2">
        <v>1</v>
      </c>
      <c r="BT50" s="2">
        <v>1</v>
      </c>
      <c r="BU50" s="2">
        <v>1</v>
      </c>
      <c r="BV50" s="2">
        <v>1</v>
      </c>
      <c r="BW50" s="2">
        <v>1</v>
      </c>
      <c r="BX50" s="2">
        <v>1</v>
      </c>
      <c r="BY50" s="2" t="s">
        <v>3</v>
      </c>
      <c r="BZ50" s="2">
        <v>90</v>
      </c>
      <c r="CA50" s="2">
        <v>46</v>
      </c>
      <c r="CB50" s="2" t="s">
        <v>3</v>
      </c>
      <c r="CC50" s="2"/>
      <c r="CD50" s="2"/>
      <c r="CE50" s="2">
        <v>1566</v>
      </c>
      <c r="CF50" s="2">
        <v>0</v>
      </c>
      <c r="CG50" s="2">
        <v>0</v>
      </c>
      <c r="CH50" s="2"/>
      <c r="CI50" s="2"/>
      <c r="CJ50" s="2"/>
      <c r="CK50" s="2"/>
      <c r="CL50" s="2"/>
      <c r="CM50" s="2">
        <v>0</v>
      </c>
      <c r="CN50" s="2" t="s">
        <v>369</v>
      </c>
      <c r="CO50" s="2">
        <v>0</v>
      </c>
      <c r="CP50" s="2">
        <f t="shared" si="31"/>
        <v>24.169999999999998</v>
      </c>
      <c r="CQ50" s="2">
        <f>ROUND((ROUND((AC50*AW50*1),2)*BC50),2)</f>
        <v>2.34</v>
      </c>
      <c r="CR50" s="2">
        <f>(ROUND((ROUND((((ET50*1.1))*AV50*1),2)*BB50),2)+ROUND((ROUND(((AE50-((EU50*1.1)))*AV50*1),2)*BS50),2))</f>
        <v>0.02</v>
      </c>
      <c r="CS50" s="2">
        <f>(ROUND((ROUND((((EU50*1.1))*AV50*1),2)*BS50),2)+ROUND((ROUND(((AE50-((EU50*1.1)))*AV50*1),2)*BS50),2))</f>
        <v>0</v>
      </c>
      <c r="CT50" s="2">
        <f t="shared" si="33"/>
        <v>21.81</v>
      </c>
      <c r="CU50" s="2">
        <f t="shared" si="34"/>
        <v>0</v>
      </c>
      <c r="CV50" s="2">
        <f t="shared" si="35"/>
        <v>1.5663120000000001</v>
      </c>
      <c r="CW50" s="2">
        <f t="shared" si="36"/>
        <v>0</v>
      </c>
      <c r="CX50" s="2">
        <f t="shared" si="37"/>
        <v>0</v>
      </c>
      <c r="CY50" s="2">
        <f>(ROUND((((S50+ROUND((ROUND((((EU50*1.1))*AV50*1),2)*BS50),2))*AT50)/100),2)+ROUND(((ROUND((ROUND(((AE50-((EU50*1.1)))*AV50*1),2)*BS50),2)*AT50)/100),2))</f>
        <v>19.63</v>
      </c>
      <c r="CZ50" s="2">
        <f>(ROUND((((S50+ROUND((ROUND((((EU50*1.1))*AV50*1),2)*BS50),2))*AU50)/100),2)+ROUND(((ROUND((ROUND(((AE50-((EU50*1.1)))*AV50*1),2)*BS50),2)*AU50)/100),2))</f>
        <v>10.029999999999999</v>
      </c>
      <c r="DA50" s="2"/>
      <c r="DB50" s="2">
        <v>11</v>
      </c>
      <c r="DC50" s="2" t="s">
        <v>3</v>
      </c>
      <c r="DD50" s="2" t="s">
        <v>24</v>
      </c>
      <c r="DE50" s="2" t="s">
        <v>25</v>
      </c>
      <c r="DF50" s="2" t="s">
        <v>25</v>
      </c>
      <c r="DG50" s="2" t="s">
        <v>25</v>
      </c>
      <c r="DH50" s="2" t="s">
        <v>3</v>
      </c>
      <c r="DI50" s="2" t="s">
        <v>25</v>
      </c>
      <c r="DJ50" s="2" t="s">
        <v>25</v>
      </c>
      <c r="DK50" s="2" t="s">
        <v>3</v>
      </c>
      <c r="DL50" s="2" t="s">
        <v>3</v>
      </c>
      <c r="DM50" s="2" t="s">
        <v>3</v>
      </c>
      <c r="DN50" s="2">
        <v>0</v>
      </c>
      <c r="DO50" s="2">
        <v>0</v>
      </c>
      <c r="DP50" s="2">
        <v>1</v>
      </c>
      <c r="DQ50" s="2">
        <v>1</v>
      </c>
      <c r="DR50" s="2"/>
      <c r="DS50" s="2"/>
      <c r="DT50" s="2"/>
      <c r="DU50" s="2">
        <v>1013</v>
      </c>
      <c r="DV50" s="2" t="s">
        <v>22</v>
      </c>
      <c r="DW50" s="2" t="s">
        <v>22</v>
      </c>
      <c r="DX50" s="2">
        <v>1</v>
      </c>
      <c r="DY50" s="2"/>
      <c r="DZ50" s="2" t="s">
        <v>3</v>
      </c>
      <c r="EA50" s="2" t="s">
        <v>3</v>
      </c>
      <c r="EB50" s="2" t="s">
        <v>3</v>
      </c>
      <c r="EC50" s="2" t="s">
        <v>3</v>
      </c>
      <c r="ED50" s="2"/>
      <c r="EE50" s="2">
        <v>60088532</v>
      </c>
      <c r="EF50" s="2">
        <v>40</v>
      </c>
      <c r="EG50" s="2" t="s">
        <v>26</v>
      </c>
      <c r="EH50" s="2">
        <v>0</v>
      </c>
      <c r="EI50" s="2" t="s">
        <v>3</v>
      </c>
      <c r="EJ50" s="2">
        <v>2</v>
      </c>
      <c r="EK50" s="2">
        <v>68</v>
      </c>
      <c r="EL50" s="2" t="s">
        <v>27</v>
      </c>
      <c r="EM50" s="2" t="s">
        <v>28</v>
      </c>
      <c r="EN50" s="2"/>
      <c r="EO50" s="2" t="s">
        <v>29</v>
      </c>
      <c r="EP50" s="2"/>
      <c r="EQ50" s="2">
        <v>0</v>
      </c>
      <c r="ER50" s="2">
        <v>21.3</v>
      </c>
      <c r="ES50" s="2">
        <v>2.34</v>
      </c>
      <c r="ET50" s="2">
        <v>0.02</v>
      </c>
      <c r="EU50" s="2">
        <v>0</v>
      </c>
      <c r="EV50" s="2">
        <v>18.940000000000001</v>
      </c>
      <c r="EW50" s="2">
        <v>1.36</v>
      </c>
      <c r="EX50" s="2">
        <v>0</v>
      </c>
      <c r="EY50" s="2">
        <v>0</v>
      </c>
      <c r="EZ50" s="2"/>
      <c r="FA50" s="2"/>
      <c r="FB50" s="2"/>
      <c r="FC50" s="2"/>
      <c r="FD50" s="2"/>
      <c r="FE50" s="2"/>
      <c r="FF50" s="2"/>
      <c r="FG50" s="2"/>
      <c r="FH50" s="2"/>
      <c r="FI50" s="2"/>
      <c r="FJ50" s="2"/>
      <c r="FK50" s="2"/>
      <c r="FL50" s="2"/>
      <c r="FM50" s="2"/>
      <c r="FN50" s="2"/>
      <c r="FO50" s="2"/>
      <c r="FP50" s="2"/>
      <c r="FQ50" s="2">
        <v>0</v>
      </c>
      <c r="FR50" s="2">
        <v>0</v>
      </c>
      <c r="FS50" s="2">
        <v>0</v>
      </c>
      <c r="FT50" s="2"/>
      <c r="FU50" s="2"/>
      <c r="FV50" s="2"/>
      <c r="FW50" s="2"/>
      <c r="FX50" s="2">
        <v>90</v>
      </c>
      <c r="FY50" s="2">
        <v>46</v>
      </c>
      <c r="FZ50" s="2"/>
      <c r="GA50" s="2" t="s">
        <v>3</v>
      </c>
      <c r="GB50" s="2"/>
      <c r="GC50" s="2"/>
      <c r="GD50" s="2">
        <v>1</v>
      </c>
      <c r="GE50" s="2"/>
      <c r="GF50" s="2">
        <v>938017806</v>
      </c>
      <c r="GG50" s="2">
        <v>2</v>
      </c>
      <c r="GH50" s="2">
        <v>1</v>
      </c>
      <c r="GI50" s="2">
        <v>2</v>
      </c>
      <c r="GJ50" s="2">
        <v>0</v>
      </c>
      <c r="GK50" s="2">
        <v>0</v>
      </c>
      <c r="GL50" s="2">
        <f t="shared" si="38"/>
        <v>0</v>
      </c>
      <c r="GM50" s="2">
        <f t="shared" si="39"/>
        <v>53.83</v>
      </c>
      <c r="GN50" s="2">
        <f t="shared" si="40"/>
        <v>0</v>
      </c>
      <c r="GO50" s="2">
        <f t="shared" si="41"/>
        <v>53.83</v>
      </c>
      <c r="GP50" s="2">
        <f t="shared" si="42"/>
        <v>0</v>
      </c>
      <c r="GQ50" s="2"/>
      <c r="GR50" s="2">
        <v>0</v>
      </c>
      <c r="GS50" s="2">
        <v>3</v>
      </c>
      <c r="GT50" s="2">
        <v>0</v>
      </c>
      <c r="GU50" s="2" t="s">
        <v>3</v>
      </c>
      <c r="GV50" s="2">
        <f t="shared" si="43"/>
        <v>0</v>
      </c>
      <c r="GW50" s="2">
        <v>1</v>
      </c>
      <c r="GX50" s="2">
        <f t="shared" si="44"/>
        <v>0</v>
      </c>
      <c r="GY50" s="2"/>
      <c r="GZ50" s="2"/>
      <c r="HA50" s="2">
        <v>0</v>
      </c>
      <c r="HB50" s="2">
        <v>0</v>
      </c>
      <c r="HC50" s="2">
        <f t="shared" si="45"/>
        <v>0</v>
      </c>
      <c r="HD50" s="2"/>
      <c r="HE50" s="2" t="s">
        <v>3</v>
      </c>
      <c r="HF50" s="2" t="s">
        <v>3</v>
      </c>
      <c r="HG50" s="2"/>
      <c r="HH50" s="2"/>
      <c r="HI50" s="2"/>
      <c r="HJ50" s="2"/>
      <c r="HK50" s="2"/>
      <c r="HL50" s="2"/>
      <c r="HM50" s="2" t="s">
        <v>3</v>
      </c>
      <c r="HN50" s="2" t="s">
        <v>3</v>
      </c>
      <c r="HO50" s="2" t="s">
        <v>3</v>
      </c>
      <c r="HP50" s="2" t="s">
        <v>3</v>
      </c>
      <c r="HQ50" s="2" t="s">
        <v>3</v>
      </c>
      <c r="HR50" s="2"/>
      <c r="HS50" s="2">
        <v>0</v>
      </c>
      <c r="HT50" s="2"/>
      <c r="HU50" s="2"/>
      <c r="HV50" s="2"/>
      <c r="HW50" s="2"/>
      <c r="HX50" s="2"/>
      <c r="HY50" s="2"/>
      <c r="HZ50" s="2"/>
      <c r="IA50" s="2"/>
      <c r="IB50" s="2"/>
      <c r="IC50" s="2"/>
      <c r="ID50" s="2"/>
      <c r="IE50" s="2"/>
      <c r="IF50" s="2"/>
      <c r="IG50" s="2"/>
      <c r="IH50" s="2"/>
      <c r="II50" s="2"/>
      <c r="IJ50" s="2"/>
      <c r="IK50" s="2">
        <v>0</v>
      </c>
      <c r="IL50" s="2"/>
      <c r="IM50" s="2"/>
      <c r="IN50" s="2"/>
      <c r="IO50" s="2"/>
      <c r="IP50" s="2"/>
      <c r="IQ50" s="2"/>
      <c r="IR50" s="2"/>
      <c r="IS50" s="2"/>
      <c r="IT50" s="2"/>
      <c r="IU50" s="2"/>
    </row>
    <row r="51" spans="1:255" x14ac:dyDescent="0.2">
      <c r="A51" s="3">
        <v>17</v>
      </c>
      <c r="B51" s="3">
        <v>1</v>
      </c>
      <c r="C51" s="3">
        <f>ROW(SmtRes!A46)</f>
        <v>46</v>
      </c>
      <c r="D51" s="3">
        <f>ROW(EtalonRes!A58)</f>
        <v>58</v>
      </c>
      <c r="E51" s="3" t="s">
        <v>76</v>
      </c>
      <c r="F51" s="3" t="s">
        <v>77</v>
      </c>
      <c r="G51" s="3" t="s">
        <v>78</v>
      </c>
      <c r="H51" s="3" t="s">
        <v>22</v>
      </c>
      <c r="I51" s="3">
        <v>1</v>
      </c>
      <c r="J51" s="3">
        <v>0</v>
      </c>
      <c r="K51" s="3">
        <v>1</v>
      </c>
      <c r="O51" s="3">
        <f t="shared" si="21"/>
        <v>1223.54</v>
      </c>
      <c r="P51" s="3">
        <f>ROUND((ROUND((AC51*AW51*I51),2)*BC51),2)</f>
        <v>24.01</v>
      </c>
      <c r="Q51" s="3">
        <f>(ROUND((ROUND((((ET51*1.1))*AV51*I51),2)*BB51),2)+ROUND((ROUND(((AE51-((EU51*1.1)))*AV51*I51),2)*BS51),2))</f>
        <v>0.2</v>
      </c>
      <c r="R51" s="3">
        <f>(ROUND((ROUND((((EU51*1.1))*AV51*I51),2)*BS51),2)+ROUND((ROUND(((AE51-((EU51*1.1)))*AV51*I51),2)*BS51),2))</f>
        <v>0</v>
      </c>
      <c r="S51" s="3">
        <f t="shared" si="23"/>
        <v>1199.33</v>
      </c>
      <c r="T51" s="3">
        <f t="shared" si="24"/>
        <v>0</v>
      </c>
      <c r="U51" s="3">
        <f t="shared" si="25"/>
        <v>1.5663120000000001</v>
      </c>
      <c r="V51" s="3">
        <f t="shared" si="26"/>
        <v>0</v>
      </c>
      <c r="W51" s="3">
        <f t="shared" si="27"/>
        <v>0</v>
      </c>
      <c r="X51" s="3">
        <f>(ROUND((((S51+ROUND((ROUND((((EU51*1.1))*AV51*I51),2)*BS51),2))*AT51)/100),2)+ROUND(((ROUND((ROUND(((AE51-((EU51*1.1)))*AV51*I51),2)*BS51),2)*AT51)/100),2))</f>
        <v>1079.4000000000001</v>
      </c>
      <c r="Y51" s="3">
        <f>(ROUND((((S51+ROUND((ROUND((((EU51*1.1))*AV51*I51),2)*BS51),2))*AU51)/100),2)+ROUND(((ROUND((ROUND(((AE51-((EU51*1.1)))*AV51*I51),2)*BS51),2)*AU51)/100),2))</f>
        <v>551.69000000000005</v>
      </c>
      <c r="AA51" s="3">
        <v>60256402</v>
      </c>
      <c r="AB51" s="3">
        <f t="shared" si="28"/>
        <v>23.196000000000002</v>
      </c>
      <c r="AC51" s="3">
        <f>ROUND(((ES51*1)),6)</f>
        <v>2.34</v>
      </c>
      <c r="AD51" s="3">
        <f>ROUND(((((ET51*1.1))-((EU51*1.1)))+AE51),6)</f>
        <v>2.1999999999999999E-2</v>
      </c>
      <c r="AE51" s="3">
        <f>ROUND(((EU51*1.1)),6)</f>
        <v>0</v>
      </c>
      <c r="AF51" s="3">
        <f>ROUND(((EV51*1.1)),6)</f>
        <v>20.834</v>
      </c>
      <c r="AG51" s="3">
        <f t="shared" si="29"/>
        <v>0</v>
      </c>
      <c r="AH51" s="3">
        <f>((EW51*1.1))</f>
        <v>1.4960000000000002</v>
      </c>
      <c r="AI51" s="3">
        <f>((EX51*1.1))</f>
        <v>0</v>
      </c>
      <c r="AJ51" s="3">
        <f t="shared" si="30"/>
        <v>0</v>
      </c>
      <c r="AK51" s="3">
        <v>21.3</v>
      </c>
      <c r="AL51" s="3">
        <v>2.34</v>
      </c>
      <c r="AM51" s="3">
        <v>0.02</v>
      </c>
      <c r="AN51" s="3">
        <v>0</v>
      </c>
      <c r="AO51" s="3">
        <v>18.940000000000001</v>
      </c>
      <c r="AP51" s="3">
        <v>0</v>
      </c>
      <c r="AQ51" s="3">
        <v>1.36</v>
      </c>
      <c r="AR51" s="3">
        <v>0</v>
      </c>
      <c r="AS51" s="3">
        <v>0</v>
      </c>
      <c r="AT51" s="3">
        <v>90</v>
      </c>
      <c r="AU51" s="3">
        <v>46</v>
      </c>
      <c r="AV51" s="3">
        <v>1.0469999999999999</v>
      </c>
      <c r="AW51" s="3">
        <v>1</v>
      </c>
      <c r="AZ51" s="3">
        <v>1</v>
      </c>
      <c r="BA51" s="3">
        <v>54.99</v>
      </c>
      <c r="BB51" s="3">
        <v>10</v>
      </c>
      <c r="BC51" s="3">
        <v>10.26</v>
      </c>
      <c r="BD51" s="3" t="s">
        <v>3</v>
      </c>
      <c r="BE51" s="3" t="s">
        <v>3</v>
      </c>
      <c r="BF51" s="3" t="s">
        <v>3</v>
      </c>
      <c r="BG51" s="3" t="s">
        <v>3</v>
      </c>
      <c r="BH51" s="3">
        <v>0</v>
      </c>
      <c r="BI51" s="3">
        <v>2</v>
      </c>
      <c r="BJ51" s="3" t="s">
        <v>79</v>
      </c>
      <c r="BM51" s="3">
        <v>68</v>
      </c>
      <c r="BN51" s="3">
        <v>58973116</v>
      </c>
      <c r="BO51" s="3" t="s">
        <v>77</v>
      </c>
      <c r="BP51" s="3">
        <v>1</v>
      </c>
      <c r="BQ51" s="3">
        <v>40</v>
      </c>
      <c r="BR51" s="3">
        <v>0</v>
      </c>
      <c r="BS51" s="3">
        <v>54.99</v>
      </c>
      <c r="BT51" s="3">
        <v>1</v>
      </c>
      <c r="BU51" s="3">
        <v>1</v>
      </c>
      <c r="BV51" s="3">
        <v>1</v>
      </c>
      <c r="BW51" s="3">
        <v>1</v>
      </c>
      <c r="BX51" s="3">
        <v>1</v>
      </c>
      <c r="BY51" s="3" t="s">
        <v>3</v>
      </c>
      <c r="BZ51" s="3">
        <v>90</v>
      </c>
      <c r="CA51" s="3">
        <v>46</v>
      </c>
      <c r="CB51" s="3" t="s">
        <v>3</v>
      </c>
      <c r="CE51" s="3">
        <v>1566</v>
      </c>
      <c r="CF51" s="3">
        <v>0</v>
      </c>
      <c r="CG51" s="3">
        <v>0</v>
      </c>
      <c r="CM51" s="3">
        <v>0</v>
      </c>
      <c r="CN51" s="3" t="s">
        <v>369</v>
      </c>
      <c r="CO51" s="3">
        <v>0</v>
      </c>
      <c r="CP51" s="3">
        <f t="shared" si="31"/>
        <v>1223.54</v>
      </c>
      <c r="CQ51" s="3">
        <f>ROUND((ROUND((AC51*AW51*1),2)*BC51),2)</f>
        <v>24.01</v>
      </c>
      <c r="CR51" s="3">
        <f>(ROUND((ROUND((((ET51*1.1))*AV51*1),2)*BB51),2)+ROUND((ROUND(((AE51-((EU51*1.1)))*AV51*1),2)*BS51),2))</f>
        <v>0.2</v>
      </c>
      <c r="CS51" s="3">
        <f>(ROUND((ROUND((((EU51*1.1))*AV51*1),2)*BS51),2)+ROUND((ROUND(((AE51-((EU51*1.1)))*AV51*1),2)*BS51),2))</f>
        <v>0</v>
      </c>
      <c r="CT51" s="3">
        <f t="shared" si="33"/>
        <v>1199.33</v>
      </c>
      <c r="CU51" s="3">
        <f t="shared" si="34"/>
        <v>0</v>
      </c>
      <c r="CV51" s="3">
        <f t="shared" si="35"/>
        <v>1.5663120000000001</v>
      </c>
      <c r="CW51" s="3">
        <f t="shared" si="36"/>
        <v>0</v>
      </c>
      <c r="CX51" s="3">
        <f t="shared" si="37"/>
        <v>0</v>
      </c>
      <c r="CY51" s="3">
        <f>(ROUND((((S51+ROUND((ROUND((((EU51*1.1))*AV51*1),2)*BS51),2))*AT51)/100),2)+ROUND(((ROUND((ROUND(((AE51-((EU51*1.1)))*AV51*1),2)*BS51),2)*AT51)/100),2))</f>
        <v>1079.4000000000001</v>
      </c>
      <c r="CZ51" s="3">
        <f>(ROUND((((S51+ROUND((ROUND((((EU51*1.1))*AV51*1),2)*BS51),2))*AU51)/100),2)+ROUND(((ROUND((ROUND(((AE51-((EU51*1.1)))*AV51*1),2)*BS51),2)*AU51)/100),2))</f>
        <v>551.69000000000005</v>
      </c>
      <c r="DB51" s="3">
        <v>12</v>
      </c>
      <c r="DC51" s="3" t="s">
        <v>3</v>
      </c>
      <c r="DD51" s="3" t="s">
        <v>24</v>
      </c>
      <c r="DE51" s="3" t="s">
        <v>25</v>
      </c>
      <c r="DF51" s="3" t="s">
        <v>25</v>
      </c>
      <c r="DG51" s="3" t="s">
        <v>25</v>
      </c>
      <c r="DH51" s="3" t="s">
        <v>3</v>
      </c>
      <c r="DI51" s="3" t="s">
        <v>25</v>
      </c>
      <c r="DJ51" s="3" t="s">
        <v>25</v>
      </c>
      <c r="DK51" s="3" t="s">
        <v>3</v>
      </c>
      <c r="DL51" s="3" t="s">
        <v>3</v>
      </c>
      <c r="DM51" s="3" t="s">
        <v>3</v>
      </c>
      <c r="DN51" s="3">
        <v>0</v>
      </c>
      <c r="DO51" s="3">
        <v>0</v>
      </c>
      <c r="DP51" s="3">
        <v>1</v>
      </c>
      <c r="DQ51" s="3">
        <v>1</v>
      </c>
      <c r="DU51" s="3">
        <v>1013</v>
      </c>
      <c r="DV51" s="3" t="s">
        <v>22</v>
      </c>
      <c r="DW51" s="3" t="s">
        <v>22</v>
      </c>
      <c r="DX51" s="3">
        <v>1</v>
      </c>
      <c r="DZ51" s="3" t="s">
        <v>3</v>
      </c>
      <c r="EA51" s="3" t="s">
        <v>3</v>
      </c>
      <c r="EB51" s="3" t="s">
        <v>3</v>
      </c>
      <c r="EC51" s="3" t="s">
        <v>3</v>
      </c>
      <c r="EE51" s="3">
        <v>60088532</v>
      </c>
      <c r="EF51" s="3">
        <v>40</v>
      </c>
      <c r="EG51" s="3" t="s">
        <v>26</v>
      </c>
      <c r="EH51" s="3">
        <v>0</v>
      </c>
      <c r="EI51" s="3" t="s">
        <v>3</v>
      </c>
      <c r="EJ51" s="3">
        <v>2</v>
      </c>
      <c r="EK51" s="3">
        <v>68</v>
      </c>
      <c r="EL51" s="3" t="s">
        <v>27</v>
      </c>
      <c r="EM51" s="3" t="s">
        <v>28</v>
      </c>
      <c r="EO51" s="3" t="s">
        <v>29</v>
      </c>
      <c r="EQ51" s="3">
        <v>0</v>
      </c>
      <c r="ER51" s="3">
        <v>21.3</v>
      </c>
      <c r="ES51" s="3">
        <v>2.34</v>
      </c>
      <c r="ET51" s="3">
        <v>0.02</v>
      </c>
      <c r="EU51" s="3">
        <v>0</v>
      </c>
      <c r="EV51" s="3">
        <v>18.940000000000001</v>
      </c>
      <c r="EW51" s="3">
        <v>1.36</v>
      </c>
      <c r="EX51" s="3">
        <v>0</v>
      </c>
      <c r="EY51" s="3">
        <v>0</v>
      </c>
      <c r="FQ51" s="3">
        <v>0</v>
      </c>
      <c r="FR51" s="3">
        <v>0</v>
      </c>
      <c r="FS51" s="3">
        <v>0</v>
      </c>
      <c r="FX51" s="3">
        <v>90</v>
      </c>
      <c r="FY51" s="3">
        <v>46</v>
      </c>
      <c r="GA51" s="3" t="s">
        <v>3</v>
      </c>
      <c r="GD51" s="3">
        <v>1</v>
      </c>
      <c r="GF51" s="3">
        <v>938017806</v>
      </c>
      <c r="GG51" s="3">
        <v>2</v>
      </c>
      <c r="GH51" s="3">
        <v>1</v>
      </c>
      <c r="GI51" s="3">
        <v>2</v>
      </c>
      <c r="GJ51" s="3">
        <v>0</v>
      </c>
      <c r="GK51" s="3">
        <v>0</v>
      </c>
      <c r="GL51" s="3">
        <f t="shared" si="38"/>
        <v>0</v>
      </c>
      <c r="GM51" s="3">
        <f t="shared" si="39"/>
        <v>2854.63</v>
      </c>
      <c r="GN51" s="3">
        <f t="shared" si="40"/>
        <v>0</v>
      </c>
      <c r="GO51" s="3">
        <f t="shared" si="41"/>
        <v>2854.63</v>
      </c>
      <c r="GP51" s="3">
        <f t="shared" si="42"/>
        <v>0</v>
      </c>
      <c r="GR51" s="3">
        <v>0</v>
      </c>
      <c r="GS51" s="3">
        <v>3</v>
      </c>
      <c r="GT51" s="3">
        <v>0</v>
      </c>
      <c r="GU51" s="3" t="s">
        <v>3</v>
      </c>
      <c r="GV51" s="3">
        <f t="shared" si="43"/>
        <v>0</v>
      </c>
      <c r="GW51" s="3">
        <v>1</v>
      </c>
      <c r="GX51" s="3">
        <f t="shared" si="44"/>
        <v>0</v>
      </c>
      <c r="HA51" s="3">
        <v>0</v>
      </c>
      <c r="HB51" s="3">
        <v>0</v>
      </c>
      <c r="HC51" s="3">
        <f t="shared" si="45"/>
        <v>0</v>
      </c>
      <c r="HE51" s="3" t="s">
        <v>3</v>
      </c>
      <c r="HF51" s="3" t="s">
        <v>3</v>
      </c>
      <c r="HM51" s="3" t="s">
        <v>3</v>
      </c>
      <c r="HN51" s="3" t="s">
        <v>3</v>
      </c>
      <c r="HO51" s="3" t="s">
        <v>3</v>
      </c>
      <c r="HP51" s="3" t="s">
        <v>3</v>
      </c>
      <c r="HQ51" s="3" t="s">
        <v>3</v>
      </c>
      <c r="HS51" s="3">
        <v>0</v>
      </c>
      <c r="IK51" s="3">
        <v>0</v>
      </c>
    </row>
    <row r="52" spans="1:255" x14ac:dyDescent="0.2">
      <c r="A52" s="2">
        <v>17</v>
      </c>
      <c r="B52" s="2">
        <v>1</v>
      </c>
      <c r="C52" s="2"/>
      <c r="D52" s="2"/>
      <c r="E52" s="2" t="s">
        <v>80</v>
      </c>
      <c r="F52" s="2" t="s">
        <v>81</v>
      </c>
      <c r="G52" s="2" t="s">
        <v>82</v>
      </c>
      <c r="H52" s="2" t="s">
        <v>33</v>
      </c>
      <c r="I52" s="2">
        <v>1</v>
      </c>
      <c r="J52" s="2">
        <v>0</v>
      </c>
      <c r="K52" s="2">
        <v>1</v>
      </c>
      <c r="L52" s="2"/>
      <c r="M52" s="2"/>
      <c r="N52" s="2"/>
      <c r="O52" s="2">
        <f t="shared" si="21"/>
        <v>5636.02</v>
      </c>
      <c r="P52" s="2">
        <f>ROUND((ROUND((AC52*I52),2)*BC52),2)</f>
        <v>5636.02</v>
      </c>
      <c r="Q52" s="2">
        <f>(ROUND((ROUND(((ET52)*AV52*I52),2)*BB52),2)+ROUND((ROUND(((AE52-(EU52))*AV52*I52),2)*BS52),2))</f>
        <v>0</v>
      </c>
      <c r="R52" s="2">
        <f>(ROUND((ROUND(((EU52)*AV52*I52),2)*BS52),2)+ROUND((ROUND(((AE52-(EU52))*AV52*I52),2)*BS52),2))</f>
        <v>0</v>
      </c>
      <c r="S52" s="2">
        <f t="shared" si="23"/>
        <v>0</v>
      </c>
      <c r="T52" s="2">
        <f t="shared" si="24"/>
        <v>0</v>
      </c>
      <c r="U52" s="2">
        <f t="shared" si="25"/>
        <v>0</v>
      </c>
      <c r="V52" s="2">
        <f t="shared" si="26"/>
        <v>0</v>
      </c>
      <c r="W52" s="2">
        <f t="shared" si="27"/>
        <v>0</v>
      </c>
      <c r="X52" s="2">
        <f>(ROUND((((S52+ROUND((ROUND(((EU52)*AV52*I52),2)*BS52),2))*AT52)/100),2)+ROUND(((ROUND((ROUND(((AE52-(EU52))*AV52*I52),2)*BS52),2)*AT52)/100),2))</f>
        <v>0</v>
      </c>
      <c r="Y52" s="2">
        <f>(ROUND((((S52+ROUND((ROUND(((EU52)*AV52*I52),2)*BS52),2))*AU52)/100),2)+ROUND(((ROUND((ROUND(((AE52-(EU52))*AV52*I52),2)*BS52),2)*AU52)/100),2))</f>
        <v>0</v>
      </c>
      <c r="Z52" s="2"/>
      <c r="AA52" s="2">
        <v>60256405</v>
      </c>
      <c r="AB52" s="2">
        <f t="shared" si="28"/>
        <v>5636.02</v>
      </c>
      <c r="AC52" s="2">
        <f>ROUND((ES52),6)</f>
        <v>5636.02</v>
      </c>
      <c r="AD52" s="2">
        <f>ROUND((((ET52)-(EU52))+AE52),6)</f>
        <v>0</v>
      </c>
      <c r="AE52" s="2">
        <f>ROUND((EU52),6)</f>
        <v>0</v>
      </c>
      <c r="AF52" s="2">
        <f>ROUND((EV52),6)</f>
        <v>0</v>
      </c>
      <c r="AG52" s="2">
        <f t="shared" si="29"/>
        <v>0</v>
      </c>
      <c r="AH52" s="2">
        <f>(EW52)</f>
        <v>0</v>
      </c>
      <c r="AI52" s="2">
        <f>(EX52)</f>
        <v>0</v>
      </c>
      <c r="AJ52" s="2">
        <f t="shared" si="30"/>
        <v>0</v>
      </c>
      <c r="AK52" s="2">
        <v>5636.0199999999995</v>
      </c>
      <c r="AL52" s="2">
        <v>5636.0199999999995</v>
      </c>
      <c r="AM52" s="2">
        <v>0</v>
      </c>
      <c r="AN52" s="2">
        <v>0</v>
      </c>
      <c r="AO52" s="2">
        <v>0</v>
      </c>
      <c r="AP52" s="2">
        <v>0</v>
      </c>
      <c r="AQ52" s="2">
        <v>0</v>
      </c>
      <c r="AR52" s="2">
        <v>0</v>
      </c>
      <c r="AS52" s="2">
        <v>0</v>
      </c>
      <c r="AT52" s="2">
        <v>0</v>
      </c>
      <c r="AU52" s="2">
        <v>0</v>
      </c>
      <c r="AV52" s="2">
        <v>1</v>
      </c>
      <c r="AW52" s="2">
        <v>1</v>
      </c>
      <c r="AX52" s="2"/>
      <c r="AY52" s="2"/>
      <c r="AZ52" s="2">
        <v>1</v>
      </c>
      <c r="BA52" s="2">
        <v>1</v>
      </c>
      <c r="BB52" s="2">
        <v>1</v>
      </c>
      <c r="BC52" s="2">
        <v>1</v>
      </c>
      <c r="BD52" s="2" t="s">
        <v>3</v>
      </c>
      <c r="BE52" s="2" t="s">
        <v>3</v>
      </c>
      <c r="BF52" s="2" t="s">
        <v>3</v>
      </c>
      <c r="BG52" s="2" t="s">
        <v>3</v>
      </c>
      <c r="BH52" s="2">
        <v>3</v>
      </c>
      <c r="BI52" s="2">
        <v>3</v>
      </c>
      <c r="BJ52" s="2" t="s">
        <v>3</v>
      </c>
      <c r="BK52" s="2"/>
      <c r="BL52" s="2"/>
      <c r="BM52" s="2">
        <v>746</v>
      </c>
      <c r="BN52" s="2">
        <v>0</v>
      </c>
      <c r="BO52" s="2" t="s">
        <v>3</v>
      </c>
      <c r="BP52" s="2">
        <v>0</v>
      </c>
      <c r="BQ52" s="2">
        <v>130</v>
      </c>
      <c r="BR52" s="2">
        <v>0</v>
      </c>
      <c r="BS52" s="2">
        <v>1</v>
      </c>
      <c r="BT52" s="2">
        <v>1</v>
      </c>
      <c r="BU52" s="2">
        <v>1</v>
      </c>
      <c r="BV52" s="2">
        <v>1</v>
      </c>
      <c r="BW52" s="2">
        <v>1</v>
      </c>
      <c r="BX52" s="2">
        <v>1</v>
      </c>
      <c r="BY52" s="2" t="s">
        <v>3</v>
      </c>
      <c r="BZ52" s="2">
        <v>0</v>
      </c>
      <c r="CA52" s="2">
        <v>0</v>
      </c>
      <c r="CB52" s="2" t="s">
        <v>3</v>
      </c>
      <c r="CC52" s="2"/>
      <c r="CD52" s="2"/>
      <c r="CE52" s="2">
        <v>1566</v>
      </c>
      <c r="CF52" s="2">
        <v>0</v>
      </c>
      <c r="CG52" s="2">
        <v>0</v>
      </c>
      <c r="CH52" s="2"/>
      <c r="CI52" s="2"/>
      <c r="CJ52" s="2"/>
      <c r="CK52" s="2"/>
      <c r="CL52" s="2"/>
      <c r="CM52" s="2">
        <v>0</v>
      </c>
      <c r="CN52" s="2" t="s">
        <v>3</v>
      </c>
      <c r="CO52" s="2">
        <v>0</v>
      </c>
      <c r="CP52" s="2">
        <f t="shared" si="31"/>
        <v>5636.02</v>
      </c>
      <c r="CQ52" s="2">
        <f>ROUND((ROUND((AC52*1),2)*BC52),2)</f>
        <v>5636.02</v>
      </c>
      <c r="CR52" s="2">
        <f>(ROUND((ROUND(((ET52)*AV52*1),2)*BB52),2)+ROUND((ROUND(((AE52-(EU52))*AV52*1),2)*BS52),2))</f>
        <v>0</v>
      </c>
      <c r="CS52" s="2">
        <f>(ROUND((ROUND(((EU52)*AV52*1),2)*BS52),2)+ROUND((ROUND(((AE52-(EU52))*AV52*1),2)*BS52),2))</f>
        <v>0</v>
      </c>
      <c r="CT52" s="2">
        <f t="shared" si="33"/>
        <v>0</v>
      </c>
      <c r="CU52" s="2">
        <f t="shared" si="34"/>
        <v>0</v>
      </c>
      <c r="CV52" s="2">
        <f t="shared" si="35"/>
        <v>0</v>
      </c>
      <c r="CW52" s="2">
        <f t="shared" si="36"/>
        <v>0</v>
      </c>
      <c r="CX52" s="2">
        <f t="shared" si="37"/>
        <v>0</v>
      </c>
      <c r="CY52" s="2">
        <f>(ROUND((((S52+ROUND((ROUND(((EU52)*AV52*1),2)*BS52),2))*AT52)/100),2)+ROUND(((ROUND((ROUND(((AE52-(EU52))*AV52*1),2)*BS52),2)*AT52)/100),2))</f>
        <v>0</v>
      </c>
      <c r="CZ52" s="2">
        <f>(ROUND((((S52+ROUND((ROUND(((EU52)*AV52*1),2)*BS52),2))*AU52)/100),2)+ROUND(((ROUND((ROUND(((AE52-(EU52))*AV52*1),2)*BS52),2)*AU52)/100),2))</f>
        <v>0</v>
      </c>
      <c r="DA52" s="2"/>
      <c r="DB52" s="2"/>
      <c r="DC52" s="2" t="s">
        <v>3</v>
      </c>
      <c r="DD52" s="2" t="s">
        <v>3</v>
      </c>
      <c r="DE52" s="2" t="s">
        <v>3</v>
      </c>
      <c r="DF52" s="2" t="s">
        <v>3</v>
      </c>
      <c r="DG52" s="2" t="s">
        <v>3</v>
      </c>
      <c r="DH52" s="2" t="s">
        <v>3</v>
      </c>
      <c r="DI52" s="2" t="s">
        <v>3</v>
      </c>
      <c r="DJ52" s="2" t="s">
        <v>3</v>
      </c>
      <c r="DK52" s="2" t="s">
        <v>3</v>
      </c>
      <c r="DL52" s="2" t="s">
        <v>3</v>
      </c>
      <c r="DM52" s="2" t="s">
        <v>3</v>
      </c>
      <c r="DN52" s="2">
        <v>0</v>
      </c>
      <c r="DO52" s="2">
        <v>0</v>
      </c>
      <c r="DP52" s="2">
        <v>1</v>
      </c>
      <c r="DQ52" s="2">
        <v>1</v>
      </c>
      <c r="DR52" s="2"/>
      <c r="DS52" s="2"/>
      <c r="DT52" s="2"/>
      <c r="DU52" s="2">
        <v>1010</v>
      </c>
      <c r="DV52" s="2" t="s">
        <v>33</v>
      </c>
      <c r="DW52" s="2" t="s">
        <v>33</v>
      </c>
      <c r="DX52" s="2">
        <v>1</v>
      </c>
      <c r="DY52" s="2"/>
      <c r="DZ52" s="2" t="s">
        <v>3</v>
      </c>
      <c r="EA52" s="2" t="s">
        <v>3</v>
      </c>
      <c r="EB52" s="2" t="s">
        <v>3</v>
      </c>
      <c r="EC52" s="2" t="s">
        <v>3</v>
      </c>
      <c r="ED52" s="2"/>
      <c r="EE52" s="2">
        <v>60088638</v>
      </c>
      <c r="EF52" s="2">
        <v>130</v>
      </c>
      <c r="EG52" s="2" t="s">
        <v>43</v>
      </c>
      <c r="EH52" s="2">
        <v>0</v>
      </c>
      <c r="EI52" s="2" t="s">
        <v>3</v>
      </c>
      <c r="EJ52" s="2">
        <v>3</v>
      </c>
      <c r="EK52" s="2">
        <v>746</v>
      </c>
      <c r="EL52" s="2" t="s">
        <v>44</v>
      </c>
      <c r="EM52" s="2" t="s">
        <v>45</v>
      </c>
      <c r="EN52" s="2"/>
      <c r="EO52" s="2" t="s">
        <v>3</v>
      </c>
      <c r="EP52" s="2"/>
      <c r="EQ52" s="2">
        <v>0</v>
      </c>
      <c r="ER52" s="2">
        <v>0</v>
      </c>
      <c r="ES52" s="2">
        <v>5636.0199999999995</v>
      </c>
      <c r="ET52" s="2">
        <v>0</v>
      </c>
      <c r="EU52" s="2">
        <v>0</v>
      </c>
      <c r="EV52" s="2">
        <v>0</v>
      </c>
      <c r="EW52" s="2">
        <v>0</v>
      </c>
      <c r="EX52" s="2">
        <v>0</v>
      </c>
      <c r="EY52" s="2">
        <v>0</v>
      </c>
      <c r="EZ52" s="2"/>
      <c r="FA52" s="2"/>
      <c r="FB52" s="2"/>
      <c r="FC52" s="2"/>
      <c r="FD52" s="2"/>
      <c r="FE52" s="2"/>
      <c r="FF52" s="2"/>
      <c r="FG52" s="2"/>
      <c r="FH52" s="2"/>
      <c r="FI52" s="2"/>
      <c r="FJ52" s="2"/>
      <c r="FK52" s="2"/>
      <c r="FL52" s="2"/>
      <c r="FM52" s="2"/>
      <c r="FN52" s="2"/>
      <c r="FO52" s="2"/>
      <c r="FP52" s="2"/>
      <c r="FQ52" s="2">
        <v>0</v>
      </c>
      <c r="FR52" s="2">
        <f>P52</f>
        <v>5636.02</v>
      </c>
      <c r="FS52" s="2">
        <v>0</v>
      </c>
      <c r="FT52" s="2"/>
      <c r="FU52" s="2"/>
      <c r="FV52" s="2"/>
      <c r="FW52" s="2"/>
      <c r="FX52" s="2">
        <v>0</v>
      </c>
      <c r="FY52" s="2">
        <v>0</v>
      </c>
      <c r="FZ52" s="2"/>
      <c r="GA52" s="2" t="s">
        <v>83</v>
      </c>
      <c r="GB52" s="2"/>
      <c r="GC52" s="2"/>
      <c r="GD52" s="2">
        <v>1</v>
      </c>
      <c r="GE52" s="2"/>
      <c r="GF52" s="2">
        <v>-33836111</v>
      </c>
      <c r="GG52" s="2">
        <v>2</v>
      </c>
      <c r="GH52" s="2">
        <v>4</v>
      </c>
      <c r="GI52" s="2">
        <v>-2</v>
      </c>
      <c r="GJ52" s="2">
        <v>0</v>
      </c>
      <c r="GK52" s="2">
        <v>0</v>
      </c>
      <c r="GL52" s="2">
        <f t="shared" si="38"/>
        <v>0</v>
      </c>
      <c r="GM52" s="2">
        <f t="shared" si="39"/>
        <v>5636.02</v>
      </c>
      <c r="GN52" s="2">
        <f t="shared" si="40"/>
        <v>0</v>
      </c>
      <c r="GO52" s="2">
        <f t="shared" si="41"/>
        <v>0</v>
      </c>
      <c r="GP52" s="2">
        <f t="shared" si="42"/>
        <v>0</v>
      </c>
      <c r="GQ52" s="2"/>
      <c r="GR52" s="2">
        <v>0</v>
      </c>
      <c r="GS52" s="2">
        <v>2</v>
      </c>
      <c r="GT52" s="2">
        <v>0</v>
      </c>
      <c r="GU52" s="2" t="s">
        <v>3</v>
      </c>
      <c r="GV52" s="2">
        <f t="shared" si="43"/>
        <v>0</v>
      </c>
      <c r="GW52" s="2">
        <v>1</v>
      </c>
      <c r="GX52" s="2">
        <f t="shared" si="44"/>
        <v>0</v>
      </c>
      <c r="GY52" s="2"/>
      <c r="GZ52" s="2"/>
      <c r="HA52" s="2">
        <v>0</v>
      </c>
      <c r="HB52" s="2">
        <v>0</v>
      </c>
      <c r="HC52" s="2">
        <f t="shared" si="45"/>
        <v>0</v>
      </c>
      <c r="HD52" s="2"/>
      <c r="HE52" s="2" t="s">
        <v>36</v>
      </c>
      <c r="HF52" s="2" t="s">
        <v>47</v>
      </c>
      <c r="HG52" s="2"/>
      <c r="HH52" s="2"/>
      <c r="HI52" s="2"/>
      <c r="HJ52" s="2"/>
      <c r="HK52" s="2"/>
      <c r="HL52" s="2"/>
      <c r="HM52" s="2" t="s">
        <v>3</v>
      </c>
      <c r="HN52" s="2" t="s">
        <v>3</v>
      </c>
      <c r="HO52" s="2" t="s">
        <v>3</v>
      </c>
      <c r="HP52" s="2" t="s">
        <v>3</v>
      </c>
      <c r="HQ52" s="2" t="s">
        <v>3</v>
      </c>
      <c r="HR52" s="2"/>
      <c r="HS52" s="2">
        <v>0</v>
      </c>
      <c r="HT52" s="2"/>
      <c r="HU52" s="2"/>
      <c r="HV52" s="2"/>
      <c r="HW52" s="2"/>
      <c r="HX52" s="2"/>
      <c r="HY52" s="2"/>
      <c r="HZ52" s="2"/>
      <c r="IA52" s="2"/>
      <c r="IB52" s="2"/>
      <c r="IC52" s="2"/>
      <c r="ID52" s="2"/>
      <c r="IE52" s="2"/>
      <c r="IF52" s="2"/>
      <c r="IG52" s="2"/>
      <c r="IH52" s="2"/>
      <c r="II52" s="2"/>
      <c r="IJ52" s="2"/>
      <c r="IK52" s="2">
        <v>0</v>
      </c>
      <c r="IL52" s="2"/>
      <c r="IM52" s="2"/>
      <c r="IN52" s="2"/>
      <c r="IO52" s="2"/>
      <c r="IP52" s="2"/>
      <c r="IQ52" s="2"/>
      <c r="IR52" s="2"/>
      <c r="IS52" s="2"/>
      <c r="IT52" s="2"/>
      <c r="IU52" s="2"/>
    </row>
    <row r="53" spans="1:255" x14ac:dyDescent="0.2">
      <c r="A53" s="3">
        <v>17</v>
      </c>
      <c r="B53" s="3">
        <v>1</v>
      </c>
      <c r="E53" s="3" t="s">
        <v>80</v>
      </c>
      <c r="F53" s="3" t="s">
        <v>81</v>
      </c>
      <c r="G53" s="3" t="s">
        <v>82</v>
      </c>
      <c r="H53" s="3" t="s">
        <v>33</v>
      </c>
      <c r="I53" s="3">
        <v>1</v>
      </c>
      <c r="J53" s="3">
        <v>0</v>
      </c>
      <c r="K53" s="3">
        <v>1</v>
      </c>
      <c r="O53" s="3">
        <f t="shared" si="21"/>
        <v>43171.91</v>
      </c>
      <c r="P53" s="3">
        <f>ROUND((ROUND((AC53*I53),2)*BC53),2)</f>
        <v>43171.91</v>
      </c>
      <c r="Q53" s="3">
        <f>(ROUND((ROUND(((ET53)*AV53*I53),2)*BB53),2)+ROUND((ROUND(((AE53-(EU53))*AV53*I53),2)*BS53),2))</f>
        <v>0</v>
      </c>
      <c r="R53" s="3">
        <f>(ROUND((ROUND(((EU53)*AV53*I53),2)*BS53),2)+ROUND((ROUND(((AE53-(EU53))*AV53*I53),2)*BS53),2))</f>
        <v>0</v>
      </c>
      <c r="S53" s="3">
        <f t="shared" si="23"/>
        <v>0</v>
      </c>
      <c r="T53" s="3">
        <f t="shared" si="24"/>
        <v>0</v>
      </c>
      <c r="U53" s="3">
        <f t="shared" si="25"/>
        <v>0</v>
      </c>
      <c r="V53" s="3">
        <f t="shared" si="26"/>
        <v>0</v>
      </c>
      <c r="W53" s="3">
        <f t="shared" si="27"/>
        <v>0</v>
      </c>
      <c r="X53" s="3">
        <f>(ROUND((((S53+ROUND((ROUND(((EU53)*AV53*I53),2)*BS53),2))*AT53)/100),2)+ROUND(((ROUND((ROUND(((AE53-(EU53))*AV53*I53),2)*BS53),2)*AT53)/100),2))</f>
        <v>0</v>
      </c>
      <c r="Y53" s="3">
        <f>(ROUND((((S53+ROUND((ROUND(((EU53)*AV53*I53),2)*BS53),2))*AU53)/100),2)+ROUND(((ROUND((ROUND(((AE53-(EU53))*AV53*I53),2)*BS53),2)*AU53)/100),2))</f>
        <v>0</v>
      </c>
      <c r="AA53" s="3">
        <v>60256402</v>
      </c>
      <c r="AB53" s="3">
        <f t="shared" si="28"/>
        <v>5636.02</v>
      </c>
      <c r="AC53" s="3">
        <f>ROUND((ES53),6)</f>
        <v>5636.02</v>
      </c>
      <c r="AD53" s="3">
        <f>ROUND((((ET53)-(EU53))+AE53),6)</f>
        <v>0</v>
      </c>
      <c r="AE53" s="3">
        <f>ROUND((EU53),6)</f>
        <v>0</v>
      </c>
      <c r="AF53" s="3">
        <f>ROUND((EV53),6)</f>
        <v>0</v>
      </c>
      <c r="AG53" s="3">
        <f t="shared" si="29"/>
        <v>0</v>
      </c>
      <c r="AH53" s="3">
        <f>(EW53)</f>
        <v>0</v>
      </c>
      <c r="AI53" s="3">
        <f>(EX53)</f>
        <v>0</v>
      </c>
      <c r="AJ53" s="3">
        <f t="shared" si="30"/>
        <v>0</v>
      </c>
      <c r="AK53" s="3">
        <v>5636.0199999999995</v>
      </c>
      <c r="AL53" s="3">
        <v>5636.0199999999995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3">
        <v>1</v>
      </c>
      <c r="AW53" s="3">
        <v>1</v>
      </c>
      <c r="AZ53" s="3">
        <v>1</v>
      </c>
      <c r="BA53" s="3">
        <v>1</v>
      </c>
      <c r="BB53" s="3">
        <v>1</v>
      </c>
      <c r="BC53" s="3">
        <v>7.66</v>
      </c>
      <c r="BD53" s="3" t="s">
        <v>3</v>
      </c>
      <c r="BE53" s="3" t="s">
        <v>3</v>
      </c>
      <c r="BF53" s="3" t="s">
        <v>3</v>
      </c>
      <c r="BG53" s="3" t="s">
        <v>3</v>
      </c>
      <c r="BH53" s="3">
        <v>3</v>
      </c>
      <c r="BI53" s="3">
        <v>3</v>
      </c>
      <c r="BJ53" s="3" t="s">
        <v>3</v>
      </c>
      <c r="BM53" s="3">
        <v>746</v>
      </c>
      <c r="BN53" s="3">
        <v>0</v>
      </c>
      <c r="BO53" s="3" t="s">
        <v>3</v>
      </c>
      <c r="BP53" s="3">
        <v>0</v>
      </c>
      <c r="BQ53" s="3">
        <v>130</v>
      </c>
      <c r="BR53" s="3">
        <v>0</v>
      </c>
      <c r="BS53" s="3">
        <v>1</v>
      </c>
      <c r="BT53" s="3">
        <v>1</v>
      </c>
      <c r="BU53" s="3">
        <v>1</v>
      </c>
      <c r="BV53" s="3">
        <v>1</v>
      </c>
      <c r="BW53" s="3">
        <v>1</v>
      </c>
      <c r="BX53" s="3">
        <v>1</v>
      </c>
      <c r="BY53" s="3" t="s">
        <v>3</v>
      </c>
      <c r="BZ53" s="3">
        <v>0</v>
      </c>
      <c r="CA53" s="3">
        <v>0</v>
      </c>
      <c r="CB53" s="3" t="s">
        <v>3</v>
      </c>
      <c r="CE53" s="3">
        <v>1566</v>
      </c>
      <c r="CF53" s="3">
        <v>0</v>
      </c>
      <c r="CG53" s="3">
        <v>0</v>
      </c>
      <c r="CM53" s="3">
        <v>0</v>
      </c>
      <c r="CN53" s="3" t="s">
        <v>3</v>
      </c>
      <c r="CO53" s="3">
        <v>0</v>
      </c>
      <c r="CP53" s="3">
        <f t="shared" si="31"/>
        <v>43171.91</v>
      </c>
      <c r="CQ53" s="3">
        <f>ROUND((ROUND((AC53*1),2)*BC53),2)</f>
        <v>43171.91</v>
      </c>
      <c r="CR53" s="3">
        <f>(ROUND((ROUND(((ET53)*AV53*1),2)*BB53),2)+ROUND((ROUND(((AE53-(EU53))*AV53*1),2)*BS53),2))</f>
        <v>0</v>
      </c>
      <c r="CS53" s="3">
        <f>(ROUND((ROUND(((EU53)*AV53*1),2)*BS53),2)+ROUND((ROUND(((AE53-(EU53))*AV53*1),2)*BS53),2))</f>
        <v>0</v>
      </c>
      <c r="CT53" s="3">
        <f t="shared" si="33"/>
        <v>0</v>
      </c>
      <c r="CU53" s="3">
        <f t="shared" si="34"/>
        <v>0</v>
      </c>
      <c r="CV53" s="3">
        <f t="shared" si="35"/>
        <v>0</v>
      </c>
      <c r="CW53" s="3">
        <f t="shared" si="36"/>
        <v>0</v>
      </c>
      <c r="CX53" s="3">
        <f t="shared" si="37"/>
        <v>0</v>
      </c>
      <c r="CY53" s="3">
        <f>(ROUND((((S53+ROUND((ROUND(((EU53)*AV53*1),2)*BS53),2))*AT53)/100),2)+ROUND(((ROUND((ROUND(((AE53-(EU53))*AV53*1),2)*BS53),2)*AT53)/100),2))</f>
        <v>0</v>
      </c>
      <c r="CZ53" s="3">
        <f>(ROUND((((S53+ROUND((ROUND(((EU53)*AV53*1),2)*BS53),2))*AU53)/100),2)+ROUND(((ROUND((ROUND(((AE53-(EU53))*AV53*1),2)*BS53),2)*AU53)/100),2))</f>
        <v>0</v>
      </c>
      <c r="DC53" s="3" t="s">
        <v>3</v>
      </c>
      <c r="DD53" s="3" t="s">
        <v>3</v>
      </c>
      <c r="DE53" s="3" t="s">
        <v>3</v>
      </c>
      <c r="DF53" s="3" t="s">
        <v>3</v>
      </c>
      <c r="DG53" s="3" t="s">
        <v>3</v>
      </c>
      <c r="DH53" s="3" t="s">
        <v>3</v>
      </c>
      <c r="DI53" s="3" t="s">
        <v>3</v>
      </c>
      <c r="DJ53" s="3" t="s">
        <v>3</v>
      </c>
      <c r="DK53" s="3" t="s">
        <v>3</v>
      </c>
      <c r="DL53" s="3" t="s">
        <v>3</v>
      </c>
      <c r="DM53" s="3" t="s">
        <v>3</v>
      </c>
      <c r="DN53" s="3">
        <v>0</v>
      </c>
      <c r="DO53" s="3">
        <v>0</v>
      </c>
      <c r="DP53" s="3">
        <v>1</v>
      </c>
      <c r="DQ53" s="3">
        <v>1</v>
      </c>
      <c r="DU53" s="3">
        <v>1010</v>
      </c>
      <c r="DV53" s="3" t="s">
        <v>33</v>
      </c>
      <c r="DW53" s="3" t="s">
        <v>33</v>
      </c>
      <c r="DX53" s="3">
        <v>1</v>
      </c>
      <c r="DZ53" s="3" t="s">
        <v>3</v>
      </c>
      <c r="EA53" s="3" t="s">
        <v>3</v>
      </c>
      <c r="EB53" s="3" t="s">
        <v>3</v>
      </c>
      <c r="EC53" s="3" t="s">
        <v>3</v>
      </c>
      <c r="EE53" s="3">
        <v>60088638</v>
      </c>
      <c r="EF53" s="3">
        <v>130</v>
      </c>
      <c r="EG53" s="3" t="s">
        <v>43</v>
      </c>
      <c r="EH53" s="3">
        <v>0</v>
      </c>
      <c r="EI53" s="3" t="s">
        <v>3</v>
      </c>
      <c r="EJ53" s="3">
        <v>3</v>
      </c>
      <c r="EK53" s="3">
        <v>746</v>
      </c>
      <c r="EL53" s="3" t="s">
        <v>44</v>
      </c>
      <c r="EM53" s="3" t="s">
        <v>45</v>
      </c>
      <c r="EO53" s="3" t="s">
        <v>3</v>
      </c>
      <c r="EQ53" s="3">
        <v>0</v>
      </c>
      <c r="ER53" s="3">
        <v>5636.0199999999995</v>
      </c>
      <c r="ES53" s="3">
        <v>5636.0199999999995</v>
      </c>
      <c r="ET53" s="3">
        <v>0</v>
      </c>
      <c r="EU53" s="3">
        <v>0</v>
      </c>
      <c r="EV53" s="3">
        <v>0</v>
      </c>
      <c r="EW53" s="3">
        <v>0</v>
      </c>
      <c r="EX53" s="3">
        <v>0</v>
      </c>
      <c r="EY53" s="3">
        <v>0</v>
      </c>
      <c r="EZ53" s="3">
        <v>5</v>
      </c>
      <c r="FC53" s="3">
        <v>1</v>
      </c>
      <c r="FD53" s="3">
        <v>18</v>
      </c>
      <c r="FF53" s="3">
        <v>49701</v>
      </c>
      <c r="FQ53" s="3">
        <v>0</v>
      </c>
      <c r="FR53" s="3">
        <f>P53</f>
        <v>43171.91</v>
      </c>
      <c r="FS53" s="3">
        <v>0</v>
      </c>
      <c r="FX53" s="3">
        <v>0</v>
      </c>
      <c r="FY53" s="3">
        <v>0</v>
      </c>
      <c r="GA53" s="3" t="s">
        <v>83</v>
      </c>
      <c r="GD53" s="3">
        <v>1</v>
      </c>
      <c r="GF53" s="3">
        <v>-33836111</v>
      </c>
      <c r="GG53" s="3">
        <v>2</v>
      </c>
      <c r="GH53" s="3">
        <v>3</v>
      </c>
      <c r="GI53" s="3">
        <v>5</v>
      </c>
      <c r="GJ53" s="3">
        <v>0</v>
      </c>
      <c r="GK53" s="3">
        <v>0</v>
      </c>
      <c r="GL53" s="3">
        <f t="shared" si="38"/>
        <v>0</v>
      </c>
      <c r="GM53" s="3">
        <f t="shared" si="39"/>
        <v>43171.91</v>
      </c>
      <c r="GN53" s="3">
        <f t="shared" si="40"/>
        <v>0</v>
      </c>
      <c r="GO53" s="3">
        <f t="shared" si="41"/>
        <v>0</v>
      </c>
      <c r="GP53" s="3">
        <f t="shared" si="42"/>
        <v>0</v>
      </c>
      <c r="GR53" s="3">
        <v>1</v>
      </c>
      <c r="GS53" s="3">
        <v>1</v>
      </c>
      <c r="GT53" s="3">
        <v>0</v>
      </c>
      <c r="GU53" s="3" t="s">
        <v>3</v>
      </c>
      <c r="GV53" s="3">
        <f t="shared" si="43"/>
        <v>0</v>
      </c>
      <c r="GW53" s="3">
        <v>1</v>
      </c>
      <c r="GX53" s="3">
        <f t="shared" si="44"/>
        <v>0</v>
      </c>
      <c r="HA53" s="3">
        <v>0</v>
      </c>
      <c r="HB53" s="3">
        <v>0</v>
      </c>
      <c r="HC53" s="3">
        <f t="shared" si="45"/>
        <v>0</v>
      </c>
      <c r="HE53" s="3" t="s">
        <v>36</v>
      </c>
      <c r="HF53" s="3" t="s">
        <v>47</v>
      </c>
      <c r="HM53" s="3" t="s">
        <v>3</v>
      </c>
      <c r="HN53" s="3" t="s">
        <v>3</v>
      </c>
      <c r="HO53" s="3" t="s">
        <v>3</v>
      </c>
      <c r="HP53" s="3" t="s">
        <v>3</v>
      </c>
      <c r="HQ53" s="3" t="s">
        <v>3</v>
      </c>
      <c r="HS53" s="3">
        <v>0</v>
      </c>
      <c r="IK53" s="3">
        <v>0</v>
      </c>
    </row>
    <row r="54" spans="1:255" x14ac:dyDescent="0.2">
      <c r="A54" s="2">
        <v>17</v>
      </c>
      <c r="B54" s="2">
        <v>1</v>
      </c>
      <c r="C54" s="2">
        <f>ROW(SmtRes!A48)</f>
        <v>48</v>
      </c>
      <c r="D54" s="2">
        <f>ROW(EtalonRes!A61)</f>
        <v>61</v>
      </c>
      <c r="E54" s="2" t="s">
        <v>84</v>
      </c>
      <c r="F54" s="2" t="s">
        <v>64</v>
      </c>
      <c r="G54" s="2" t="s">
        <v>65</v>
      </c>
      <c r="H54" s="2" t="s">
        <v>22</v>
      </c>
      <c r="I54" s="2">
        <v>1</v>
      </c>
      <c r="J54" s="2">
        <v>0</v>
      </c>
      <c r="K54" s="2">
        <v>1</v>
      </c>
      <c r="L54" s="2"/>
      <c r="M54" s="2"/>
      <c r="N54" s="2"/>
      <c r="O54" s="2">
        <f t="shared" si="21"/>
        <v>7.77</v>
      </c>
      <c r="P54" s="2">
        <f>ROUND((ROUND((AC54*AW54*I54),2)*BC54),2)</f>
        <v>0</v>
      </c>
      <c r="Q54" s="2">
        <f>(ROUND((ROUND((((ET54*1.1))*AV54*I54),2)*BB54),2)+ROUND((ROUND(((AE54-((EU54*1.1)))*AV54*I54),2)*BS54),2))</f>
        <v>0</v>
      </c>
      <c r="R54" s="2">
        <f>(ROUND((ROUND((((EU54*1.1))*AV54*I54),2)*BS54),2)+ROUND((ROUND(((AE54-((EU54*1.1)))*AV54*I54),2)*BS54),2))</f>
        <v>0</v>
      </c>
      <c r="S54" s="2">
        <f t="shared" si="23"/>
        <v>7.77</v>
      </c>
      <c r="T54" s="2">
        <f t="shared" si="24"/>
        <v>0</v>
      </c>
      <c r="U54" s="2">
        <f t="shared" si="25"/>
        <v>0.59888399999999997</v>
      </c>
      <c r="V54" s="2">
        <f t="shared" si="26"/>
        <v>0</v>
      </c>
      <c r="W54" s="2">
        <f t="shared" si="27"/>
        <v>0</v>
      </c>
      <c r="X54" s="2">
        <f>(ROUND((((S54+ROUND((ROUND((((EU54*1.1))*AV54*I54),2)*BS54),2))*AT54)/100),2)+ROUND(((ROUND((ROUND(((AE54-((EU54*1.1)))*AV54*I54),2)*BS54),2)*AT54)/100),2))</f>
        <v>6.99</v>
      </c>
      <c r="Y54" s="2">
        <f>(ROUND((((S54+ROUND((ROUND((((EU54*1.1))*AV54*I54),2)*BS54),2))*AU54)/100),2)+ROUND(((ROUND((ROUND(((AE54-((EU54*1.1)))*AV54*I54),2)*BS54),2)*AU54)/100),2))</f>
        <v>3.57</v>
      </c>
      <c r="Z54" s="2"/>
      <c r="AA54" s="2">
        <v>60256405</v>
      </c>
      <c r="AB54" s="2">
        <f t="shared" si="28"/>
        <v>7.4249999999999998</v>
      </c>
      <c r="AC54" s="2">
        <f>ROUND(((ES54*1)),6)</f>
        <v>0</v>
      </c>
      <c r="AD54" s="2">
        <f>ROUND(((((ET54*1.1))-((EU54*1.1)))+AE54),6)</f>
        <v>0</v>
      </c>
      <c r="AE54" s="2">
        <f>ROUND(((EU54*1.1)),6)</f>
        <v>0</v>
      </c>
      <c r="AF54" s="2">
        <f>ROUND(((EV54*1.1)),6)</f>
        <v>7.4249999999999998</v>
      </c>
      <c r="AG54" s="2">
        <f t="shared" si="29"/>
        <v>0</v>
      </c>
      <c r="AH54" s="2">
        <f>((EW54*1.1))</f>
        <v>0.57200000000000006</v>
      </c>
      <c r="AI54" s="2">
        <f>((EX54*1.1))</f>
        <v>0</v>
      </c>
      <c r="AJ54" s="2">
        <f t="shared" si="30"/>
        <v>0</v>
      </c>
      <c r="AK54" s="2">
        <v>6.75</v>
      </c>
      <c r="AL54" s="2">
        <v>0</v>
      </c>
      <c r="AM54" s="2">
        <v>0</v>
      </c>
      <c r="AN54" s="2">
        <v>0</v>
      </c>
      <c r="AO54" s="2">
        <v>6.75</v>
      </c>
      <c r="AP54" s="2">
        <v>0</v>
      </c>
      <c r="AQ54" s="2">
        <v>0.52</v>
      </c>
      <c r="AR54" s="2">
        <v>0</v>
      </c>
      <c r="AS54" s="2">
        <v>0</v>
      </c>
      <c r="AT54" s="2">
        <v>90</v>
      </c>
      <c r="AU54" s="2">
        <v>46</v>
      </c>
      <c r="AV54" s="2">
        <v>1.0469999999999999</v>
      </c>
      <c r="AW54" s="2">
        <v>1</v>
      </c>
      <c r="AX54" s="2"/>
      <c r="AY54" s="2"/>
      <c r="AZ54" s="2">
        <v>1</v>
      </c>
      <c r="BA54" s="2">
        <v>1</v>
      </c>
      <c r="BB54" s="2">
        <v>1</v>
      </c>
      <c r="BC54" s="2">
        <v>1</v>
      </c>
      <c r="BD54" s="2" t="s">
        <v>3</v>
      </c>
      <c r="BE54" s="2" t="s">
        <v>3</v>
      </c>
      <c r="BF54" s="2" t="s">
        <v>3</v>
      </c>
      <c r="BG54" s="2" t="s">
        <v>3</v>
      </c>
      <c r="BH54" s="2">
        <v>0</v>
      </c>
      <c r="BI54" s="2">
        <v>2</v>
      </c>
      <c r="BJ54" s="2" t="s">
        <v>66</v>
      </c>
      <c r="BK54" s="2"/>
      <c r="BL54" s="2"/>
      <c r="BM54" s="2">
        <v>72</v>
      </c>
      <c r="BN54" s="2">
        <v>58973116</v>
      </c>
      <c r="BO54" s="2" t="s">
        <v>64</v>
      </c>
      <c r="BP54" s="2">
        <v>1</v>
      </c>
      <c r="BQ54" s="2">
        <v>40</v>
      </c>
      <c r="BR54" s="2">
        <v>0</v>
      </c>
      <c r="BS54" s="2">
        <v>1</v>
      </c>
      <c r="BT54" s="2">
        <v>1</v>
      </c>
      <c r="BU54" s="2">
        <v>1</v>
      </c>
      <c r="BV54" s="2">
        <v>1</v>
      </c>
      <c r="BW54" s="2">
        <v>1</v>
      </c>
      <c r="BX54" s="2">
        <v>1</v>
      </c>
      <c r="BY54" s="2" t="s">
        <v>3</v>
      </c>
      <c r="BZ54" s="2">
        <v>90</v>
      </c>
      <c r="CA54" s="2">
        <v>46</v>
      </c>
      <c r="CB54" s="2" t="s">
        <v>3</v>
      </c>
      <c r="CC54" s="2"/>
      <c r="CD54" s="2"/>
      <c r="CE54" s="2">
        <v>1566</v>
      </c>
      <c r="CF54" s="2">
        <v>0</v>
      </c>
      <c r="CG54" s="2">
        <v>0</v>
      </c>
      <c r="CH54" s="2"/>
      <c r="CI54" s="2"/>
      <c r="CJ54" s="2"/>
      <c r="CK54" s="2"/>
      <c r="CL54" s="2"/>
      <c r="CM54" s="2">
        <v>0</v>
      </c>
      <c r="CN54" s="2" t="s">
        <v>369</v>
      </c>
      <c r="CO54" s="2">
        <v>0</v>
      </c>
      <c r="CP54" s="2">
        <f t="shared" si="31"/>
        <v>7.77</v>
      </c>
      <c r="CQ54" s="2">
        <f>ROUND((ROUND((AC54*AW54*1),2)*BC54),2)</f>
        <v>0</v>
      </c>
      <c r="CR54" s="2">
        <f>(ROUND((ROUND((((ET54*1.1))*AV54*1),2)*BB54),2)+ROUND((ROUND(((AE54-((EU54*1.1)))*AV54*1),2)*BS54),2))</f>
        <v>0</v>
      </c>
      <c r="CS54" s="2">
        <f>(ROUND((ROUND((((EU54*1.1))*AV54*1),2)*BS54),2)+ROUND((ROUND(((AE54-((EU54*1.1)))*AV54*1),2)*BS54),2))</f>
        <v>0</v>
      </c>
      <c r="CT54" s="2">
        <f t="shared" si="33"/>
        <v>7.77</v>
      </c>
      <c r="CU54" s="2">
        <f t="shared" si="34"/>
        <v>0</v>
      </c>
      <c r="CV54" s="2">
        <f t="shared" si="35"/>
        <v>0.59888399999999997</v>
      </c>
      <c r="CW54" s="2">
        <f t="shared" si="36"/>
        <v>0</v>
      </c>
      <c r="CX54" s="2">
        <f t="shared" si="37"/>
        <v>0</v>
      </c>
      <c r="CY54" s="2">
        <f>(ROUND((((S54+ROUND((ROUND((((EU54*1.1))*AV54*1),2)*BS54),2))*AT54)/100),2)+ROUND(((ROUND((ROUND(((AE54-((EU54*1.1)))*AV54*1),2)*BS54),2)*AT54)/100),2))</f>
        <v>6.99</v>
      </c>
      <c r="CZ54" s="2">
        <f>(ROUND((((S54+ROUND((ROUND((((EU54*1.1))*AV54*1),2)*BS54),2))*AU54)/100),2)+ROUND(((ROUND((ROUND(((AE54-((EU54*1.1)))*AV54*1),2)*BS54),2)*AU54)/100),2))</f>
        <v>3.57</v>
      </c>
      <c r="DA54" s="2"/>
      <c r="DB54" s="2">
        <v>13</v>
      </c>
      <c r="DC54" s="2" t="s">
        <v>3</v>
      </c>
      <c r="DD54" s="2" t="s">
        <v>24</v>
      </c>
      <c r="DE54" s="2" t="s">
        <v>25</v>
      </c>
      <c r="DF54" s="2" t="s">
        <v>25</v>
      </c>
      <c r="DG54" s="2" t="s">
        <v>25</v>
      </c>
      <c r="DH54" s="2" t="s">
        <v>3</v>
      </c>
      <c r="DI54" s="2" t="s">
        <v>25</v>
      </c>
      <c r="DJ54" s="2" t="s">
        <v>25</v>
      </c>
      <c r="DK54" s="2" t="s">
        <v>3</v>
      </c>
      <c r="DL54" s="2" t="s">
        <v>3</v>
      </c>
      <c r="DM54" s="2" t="s">
        <v>3</v>
      </c>
      <c r="DN54" s="2">
        <v>0</v>
      </c>
      <c r="DO54" s="2">
        <v>0</v>
      </c>
      <c r="DP54" s="2">
        <v>1</v>
      </c>
      <c r="DQ54" s="2">
        <v>1</v>
      </c>
      <c r="DR54" s="2"/>
      <c r="DS54" s="2"/>
      <c r="DT54" s="2"/>
      <c r="DU54" s="2">
        <v>1013</v>
      </c>
      <c r="DV54" s="2" t="s">
        <v>22</v>
      </c>
      <c r="DW54" s="2" t="s">
        <v>22</v>
      </c>
      <c r="DX54" s="2">
        <v>1</v>
      </c>
      <c r="DY54" s="2"/>
      <c r="DZ54" s="2" t="s">
        <v>3</v>
      </c>
      <c r="EA54" s="2" t="s">
        <v>3</v>
      </c>
      <c r="EB54" s="2" t="s">
        <v>3</v>
      </c>
      <c r="EC54" s="2" t="s">
        <v>3</v>
      </c>
      <c r="ED54" s="2"/>
      <c r="EE54" s="2">
        <v>60088536</v>
      </c>
      <c r="EF54" s="2">
        <v>40</v>
      </c>
      <c r="EG54" s="2" t="s">
        <v>26</v>
      </c>
      <c r="EH54" s="2">
        <v>0</v>
      </c>
      <c r="EI54" s="2" t="s">
        <v>3</v>
      </c>
      <c r="EJ54" s="2">
        <v>2</v>
      </c>
      <c r="EK54" s="2">
        <v>72</v>
      </c>
      <c r="EL54" s="2" t="s">
        <v>52</v>
      </c>
      <c r="EM54" s="2" t="s">
        <v>53</v>
      </c>
      <c r="EN54" s="2"/>
      <c r="EO54" s="2" t="s">
        <v>29</v>
      </c>
      <c r="EP54" s="2"/>
      <c r="EQ54" s="2">
        <v>0</v>
      </c>
      <c r="ER54" s="2">
        <v>6.75</v>
      </c>
      <c r="ES54" s="2">
        <v>0</v>
      </c>
      <c r="ET54" s="2">
        <v>0</v>
      </c>
      <c r="EU54" s="2">
        <v>0</v>
      </c>
      <c r="EV54" s="2">
        <v>6.75</v>
      </c>
      <c r="EW54" s="2">
        <v>0.52</v>
      </c>
      <c r="EX54" s="2">
        <v>0</v>
      </c>
      <c r="EY54" s="2">
        <v>0</v>
      </c>
      <c r="EZ54" s="2"/>
      <c r="FA54" s="2"/>
      <c r="FB54" s="2"/>
      <c r="FC54" s="2"/>
      <c r="FD54" s="2"/>
      <c r="FE54" s="2"/>
      <c r="FF54" s="2"/>
      <c r="FG54" s="2"/>
      <c r="FH54" s="2"/>
      <c r="FI54" s="2"/>
      <c r="FJ54" s="2"/>
      <c r="FK54" s="2"/>
      <c r="FL54" s="2"/>
      <c r="FM54" s="2"/>
      <c r="FN54" s="2"/>
      <c r="FO54" s="2"/>
      <c r="FP54" s="2"/>
      <c r="FQ54" s="2">
        <v>0</v>
      </c>
      <c r="FR54" s="2">
        <v>0</v>
      </c>
      <c r="FS54" s="2">
        <v>0</v>
      </c>
      <c r="FT54" s="2"/>
      <c r="FU54" s="2"/>
      <c r="FV54" s="2"/>
      <c r="FW54" s="2"/>
      <c r="FX54" s="2">
        <v>90</v>
      </c>
      <c r="FY54" s="2">
        <v>46</v>
      </c>
      <c r="FZ54" s="2"/>
      <c r="GA54" s="2" t="s">
        <v>3</v>
      </c>
      <c r="GB54" s="2"/>
      <c r="GC54" s="2"/>
      <c r="GD54" s="2">
        <v>1</v>
      </c>
      <c r="GE54" s="2"/>
      <c r="GF54" s="2">
        <v>338415528</v>
      </c>
      <c r="GG54" s="2">
        <v>2</v>
      </c>
      <c r="GH54" s="2">
        <v>1</v>
      </c>
      <c r="GI54" s="2">
        <v>2</v>
      </c>
      <c r="GJ54" s="2">
        <v>0</v>
      </c>
      <c r="GK54" s="2">
        <v>0</v>
      </c>
      <c r="GL54" s="2">
        <f t="shared" si="38"/>
        <v>0</v>
      </c>
      <c r="GM54" s="2">
        <f t="shared" si="39"/>
        <v>18.329999999999998</v>
      </c>
      <c r="GN54" s="2">
        <f t="shared" si="40"/>
        <v>0</v>
      </c>
      <c r="GO54" s="2">
        <f t="shared" si="41"/>
        <v>18.329999999999998</v>
      </c>
      <c r="GP54" s="2">
        <f t="shared" si="42"/>
        <v>0</v>
      </c>
      <c r="GQ54" s="2"/>
      <c r="GR54" s="2">
        <v>0</v>
      </c>
      <c r="GS54" s="2">
        <v>3</v>
      </c>
      <c r="GT54" s="2">
        <v>0</v>
      </c>
      <c r="GU54" s="2" t="s">
        <v>3</v>
      </c>
      <c r="GV54" s="2">
        <f t="shared" si="43"/>
        <v>0</v>
      </c>
      <c r="GW54" s="2">
        <v>1</v>
      </c>
      <c r="GX54" s="2">
        <f t="shared" si="44"/>
        <v>0</v>
      </c>
      <c r="GY54" s="2"/>
      <c r="GZ54" s="2"/>
      <c r="HA54" s="2">
        <v>0</v>
      </c>
      <c r="HB54" s="2">
        <v>0</v>
      </c>
      <c r="HC54" s="2">
        <f t="shared" si="45"/>
        <v>0</v>
      </c>
      <c r="HD54" s="2"/>
      <c r="HE54" s="2" t="s">
        <v>3</v>
      </c>
      <c r="HF54" s="2" t="s">
        <v>3</v>
      </c>
      <c r="HG54" s="2"/>
      <c r="HH54" s="2"/>
      <c r="HI54" s="2"/>
      <c r="HJ54" s="2"/>
      <c r="HK54" s="2"/>
      <c r="HL54" s="2"/>
      <c r="HM54" s="2" t="s">
        <v>3</v>
      </c>
      <c r="HN54" s="2" t="s">
        <v>3</v>
      </c>
      <c r="HO54" s="2" t="s">
        <v>3</v>
      </c>
      <c r="HP54" s="2" t="s">
        <v>3</v>
      </c>
      <c r="HQ54" s="2" t="s">
        <v>3</v>
      </c>
      <c r="HR54" s="2"/>
      <c r="HS54" s="2">
        <v>0</v>
      </c>
      <c r="HT54" s="2"/>
      <c r="HU54" s="2"/>
      <c r="HV54" s="2"/>
      <c r="HW54" s="2"/>
      <c r="HX54" s="2"/>
      <c r="HY54" s="2"/>
      <c r="HZ54" s="2"/>
      <c r="IA54" s="2"/>
      <c r="IB54" s="2"/>
      <c r="IC54" s="2"/>
      <c r="ID54" s="2"/>
      <c r="IE54" s="2"/>
      <c r="IF54" s="2"/>
      <c r="IG54" s="2"/>
      <c r="IH54" s="2"/>
      <c r="II54" s="2"/>
      <c r="IJ54" s="2"/>
      <c r="IK54" s="2">
        <v>0</v>
      </c>
      <c r="IL54" s="2"/>
      <c r="IM54" s="2"/>
      <c r="IN54" s="2"/>
      <c r="IO54" s="2"/>
      <c r="IP54" s="2"/>
      <c r="IQ54" s="2"/>
      <c r="IR54" s="2"/>
      <c r="IS54" s="2"/>
      <c r="IT54" s="2"/>
      <c r="IU54" s="2"/>
    </row>
    <row r="55" spans="1:255" x14ac:dyDescent="0.2">
      <c r="A55" s="3">
        <v>17</v>
      </c>
      <c r="B55" s="3">
        <v>1</v>
      </c>
      <c r="C55" s="3">
        <f>ROW(SmtRes!A50)</f>
        <v>50</v>
      </c>
      <c r="D55" s="3">
        <f>ROW(EtalonRes!A64)</f>
        <v>64</v>
      </c>
      <c r="E55" s="3" t="s">
        <v>84</v>
      </c>
      <c r="F55" s="3" t="s">
        <v>64</v>
      </c>
      <c r="G55" s="3" t="s">
        <v>65</v>
      </c>
      <c r="H55" s="3" t="s">
        <v>22</v>
      </c>
      <c r="I55" s="3">
        <v>1</v>
      </c>
      <c r="J55" s="3">
        <v>0</v>
      </c>
      <c r="K55" s="3">
        <v>1</v>
      </c>
      <c r="O55" s="3">
        <f t="shared" si="21"/>
        <v>427.27</v>
      </c>
      <c r="P55" s="3">
        <f>ROUND((ROUND((AC55*AW55*I55),2)*BC55),2)</f>
        <v>0</v>
      </c>
      <c r="Q55" s="3">
        <f>(ROUND((ROUND((((ET55*1.1))*AV55*I55),2)*BB55),2)+ROUND((ROUND(((AE55-((EU55*1.1)))*AV55*I55),2)*BS55),2))</f>
        <v>0</v>
      </c>
      <c r="R55" s="3">
        <f>(ROUND((ROUND((((EU55*1.1))*AV55*I55),2)*BS55),2)+ROUND((ROUND(((AE55-((EU55*1.1)))*AV55*I55),2)*BS55),2))</f>
        <v>0</v>
      </c>
      <c r="S55" s="3">
        <f t="shared" si="23"/>
        <v>427.27</v>
      </c>
      <c r="T55" s="3">
        <f t="shared" si="24"/>
        <v>0</v>
      </c>
      <c r="U55" s="3">
        <f t="shared" si="25"/>
        <v>0.59888399999999997</v>
      </c>
      <c r="V55" s="3">
        <f t="shared" si="26"/>
        <v>0</v>
      </c>
      <c r="W55" s="3">
        <f t="shared" si="27"/>
        <v>0</v>
      </c>
      <c r="X55" s="3">
        <f>(ROUND((((S55+ROUND((ROUND((((EU55*1.1))*AV55*I55),2)*BS55),2))*AT55)/100),2)+ROUND(((ROUND((ROUND(((AE55-((EU55*1.1)))*AV55*I55),2)*BS55),2)*AT55)/100),2))</f>
        <v>384.54</v>
      </c>
      <c r="Y55" s="3">
        <f>(ROUND((((S55+ROUND((ROUND((((EU55*1.1))*AV55*I55),2)*BS55),2))*AU55)/100),2)+ROUND(((ROUND((ROUND(((AE55-((EU55*1.1)))*AV55*I55),2)*BS55),2)*AU55)/100),2))</f>
        <v>196.54</v>
      </c>
      <c r="AA55" s="3">
        <v>60256402</v>
      </c>
      <c r="AB55" s="3">
        <f t="shared" si="28"/>
        <v>7.4249999999999998</v>
      </c>
      <c r="AC55" s="3">
        <f>ROUND(((ES55*1)),6)</f>
        <v>0</v>
      </c>
      <c r="AD55" s="3">
        <f>ROUND(((((ET55*1.1))-((EU55*1.1)))+AE55),6)</f>
        <v>0</v>
      </c>
      <c r="AE55" s="3">
        <f>ROUND(((EU55*1.1)),6)</f>
        <v>0</v>
      </c>
      <c r="AF55" s="3">
        <f>ROUND(((EV55*1.1)),6)</f>
        <v>7.4249999999999998</v>
      </c>
      <c r="AG55" s="3">
        <f t="shared" si="29"/>
        <v>0</v>
      </c>
      <c r="AH55" s="3">
        <f>((EW55*1.1))</f>
        <v>0.57200000000000006</v>
      </c>
      <c r="AI55" s="3">
        <f>((EX55*1.1))</f>
        <v>0</v>
      </c>
      <c r="AJ55" s="3">
        <f t="shared" si="30"/>
        <v>0</v>
      </c>
      <c r="AK55" s="3">
        <v>6.75</v>
      </c>
      <c r="AL55" s="3">
        <v>0</v>
      </c>
      <c r="AM55" s="3">
        <v>0</v>
      </c>
      <c r="AN55" s="3">
        <v>0</v>
      </c>
      <c r="AO55" s="3">
        <v>6.75</v>
      </c>
      <c r="AP55" s="3">
        <v>0</v>
      </c>
      <c r="AQ55" s="3">
        <v>0.52</v>
      </c>
      <c r="AR55" s="3">
        <v>0</v>
      </c>
      <c r="AS55" s="3">
        <v>0</v>
      </c>
      <c r="AT55" s="3">
        <v>90</v>
      </c>
      <c r="AU55" s="3">
        <v>46</v>
      </c>
      <c r="AV55" s="3">
        <v>1.0469999999999999</v>
      </c>
      <c r="AW55" s="3">
        <v>1</v>
      </c>
      <c r="AZ55" s="3">
        <v>1</v>
      </c>
      <c r="BA55" s="3">
        <v>54.99</v>
      </c>
      <c r="BB55" s="3">
        <v>1</v>
      </c>
      <c r="BC55" s="3">
        <v>1</v>
      </c>
      <c r="BD55" s="3" t="s">
        <v>3</v>
      </c>
      <c r="BE55" s="3" t="s">
        <v>3</v>
      </c>
      <c r="BF55" s="3" t="s">
        <v>3</v>
      </c>
      <c r="BG55" s="3" t="s">
        <v>3</v>
      </c>
      <c r="BH55" s="3">
        <v>0</v>
      </c>
      <c r="BI55" s="3">
        <v>2</v>
      </c>
      <c r="BJ55" s="3" t="s">
        <v>66</v>
      </c>
      <c r="BM55" s="3">
        <v>72</v>
      </c>
      <c r="BN55" s="3">
        <v>58973116</v>
      </c>
      <c r="BO55" s="3" t="s">
        <v>64</v>
      </c>
      <c r="BP55" s="3">
        <v>1</v>
      </c>
      <c r="BQ55" s="3">
        <v>40</v>
      </c>
      <c r="BR55" s="3">
        <v>0</v>
      </c>
      <c r="BS55" s="3">
        <v>54.99</v>
      </c>
      <c r="BT55" s="3">
        <v>1</v>
      </c>
      <c r="BU55" s="3">
        <v>1</v>
      </c>
      <c r="BV55" s="3">
        <v>1</v>
      </c>
      <c r="BW55" s="3">
        <v>1</v>
      </c>
      <c r="BX55" s="3">
        <v>1</v>
      </c>
      <c r="BY55" s="3" t="s">
        <v>3</v>
      </c>
      <c r="BZ55" s="3">
        <v>90</v>
      </c>
      <c r="CA55" s="3">
        <v>46</v>
      </c>
      <c r="CB55" s="3" t="s">
        <v>3</v>
      </c>
      <c r="CE55" s="3">
        <v>1566</v>
      </c>
      <c r="CF55" s="3">
        <v>0</v>
      </c>
      <c r="CG55" s="3">
        <v>0</v>
      </c>
      <c r="CM55" s="3">
        <v>0</v>
      </c>
      <c r="CN55" s="3" t="s">
        <v>369</v>
      </c>
      <c r="CO55" s="3">
        <v>0</v>
      </c>
      <c r="CP55" s="3">
        <f t="shared" si="31"/>
        <v>427.27</v>
      </c>
      <c r="CQ55" s="3">
        <f>ROUND((ROUND((AC55*AW55*1),2)*BC55),2)</f>
        <v>0</v>
      </c>
      <c r="CR55" s="3">
        <f>(ROUND((ROUND((((ET55*1.1))*AV55*1),2)*BB55),2)+ROUND((ROUND(((AE55-((EU55*1.1)))*AV55*1),2)*BS55),2))</f>
        <v>0</v>
      </c>
      <c r="CS55" s="3">
        <f>(ROUND((ROUND((((EU55*1.1))*AV55*1),2)*BS55),2)+ROUND((ROUND(((AE55-((EU55*1.1)))*AV55*1),2)*BS55),2))</f>
        <v>0</v>
      </c>
      <c r="CT55" s="3">
        <f t="shared" si="33"/>
        <v>427.27</v>
      </c>
      <c r="CU55" s="3">
        <f t="shared" si="34"/>
        <v>0</v>
      </c>
      <c r="CV55" s="3">
        <f t="shared" si="35"/>
        <v>0.59888399999999997</v>
      </c>
      <c r="CW55" s="3">
        <f t="shared" si="36"/>
        <v>0</v>
      </c>
      <c r="CX55" s="3">
        <f t="shared" si="37"/>
        <v>0</v>
      </c>
      <c r="CY55" s="3">
        <f>(ROUND((((S55+ROUND((ROUND((((EU55*1.1))*AV55*1),2)*BS55),2))*AT55)/100),2)+ROUND(((ROUND((ROUND(((AE55-((EU55*1.1)))*AV55*1),2)*BS55),2)*AT55)/100),2))</f>
        <v>384.54</v>
      </c>
      <c r="CZ55" s="3">
        <f>(ROUND((((S55+ROUND((ROUND((((EU55*1.1))*AV55*1),2)*BS55),2))*AU55)/100),2)+ROUND(((ROUND((ROUND(((AE55-((EU55*1.1)))*AV55*1),2)*BS55),2)*AU55)/100),2))</f>
        <v>196.54</v>
      </c>
      <c r="DB55" s="3">
        <v>14</v>
      </c>
      <c r="DC55" s="3" t="s">
        <v>3</v>
      </c>
      <c r="DD55" s="3" t="s">
        <v>24</v>
      </c>
      <c r="DE55" s="3" t="s">
        <v>25</v>
      </c>
      <c r="DF55" s="3" t="s">
        <v>25</v>
      </c>
      <c r="DG55" s="3" t="s">
        <v>25</v>
      </c>
      <c r="DH55" s="3" t="s">
        <v>3</v>
      </c>
      <c r="DI55" s="3" t="s">
        <v>25</v>
      </c>
      <c r="DJ55" s="3" t="s">
        <v>25</v>
      </c>
      <c r="DK55" s="3" t="s">
        <v>3</v>
      </c>
      <c r="DL55" s="3" t="s">
        <v>3</v>
      </c>
      <c r="DM55" s="3" t="s">
        <v>3</v>
      </c>
      <c r="DN55" s="3">
        <v>0</v>
      </c>
      <c r="DO55" s="3">
        <v>0</v>
      </c>
      <c r="DP55" s="3">
        <v>1</v>
      </c>
      <c r="DQ55" s="3">
        <v>1</v>
      </c>
      <c r="DU55" s="3">
        <v>1013</v>
      </c>
      <c r="DV55" s="3" t="s">
        <v>22</v>
      </c>
      <c r="DW55" s="3" t="s">
        <v>22</v>
      </c>
      <c r="DX55" s="3">
        <v>1</v>
      </c>
      <c r="DZ55" s="3" t="s">
        <v>3</v>
      </c>
      <c r="EA55" s="3" t="s">
        <v>3</v>
      </c>
      <c r="EB55" s="3" t="s">
        <v>3</v>
      </c>
      <c r="EC55" s="3" t="s">
        <v>3</v>
      </c>
      <c r="EE55" s="3">
        <v>60088536</v>
      </c>
      <c r="EF55" s="3">
        <v>40</v>
      </c>
      <c r="EG55" s="3" t="s">
        <v>26</v>
      </c>
      <c r="EH55" s="3">
        <v>0</v>
      </c>
      <c r="EI55" s="3" t="s">
        <v>3</v>
      </c>
      <c r="EJ55" s="3">
        <v>2</v>
      </c>
      <c r="EK55" s="3">
        <v>72</v>
      </c>
      <c r="EL55" s="3" t="s">
        <v>52</v>
      </c>
      <c r="EM55" s="3" t="s">
        <v>53</v>
      </c>
      <c r="EO55" s="3" t="s">
        <v>29</v>
      </c>
      <c r="EQ55" s="3">
        <v>0</v>
      </c>
      <c r="ER55" s="3">
        <v>6.75</v>
      </c>
      <c r="ES55" s="3">
        <v>0</v>
      </c>
      <c r="ET55" s="3">
        <v>0</v>
      </c>
      <c r="EU55" s="3">
        <v>0</v>
      </c>
      <c r="EV55" s="3">
        <v>6.75</v>
      </c>
      <c r="EW55" s="3">
        <v>0.52</v>
      </c>
      <c r="EX55" s="3">
        <v>0</v>
      </c>
      <c r="EY55" s="3">
        <v>0</v>
      </c>
      <c r="FQ55" s="3">
        <v>0</v>
      </c>
      <c r="FR55" s="3">
        <v>0</v>
      </c>
      <c r="FS55" s="3">
        <v>0</v>
      </c>
      <c r="FX55" s="3">
        <v>90</v>
      </c>
      <c r="FY55" s="3">
        <v>46</v>
      </c>
      <c r="GA55" s="3" t="s">
        <v>3</v>
      </c>
      <c r="GD55" s="3">
        <v>1</v>
      </c>
      <c r="GF55" s="3">
        <v>338415528</v>
      </c>
      <c r="GG55" s="3">
        <v>2</v>
      </c>
      <c r="GH55" s="3">
        <v>1</v>
      </c>
      <c r="GI55" s="3">
        <v>2</v>
      </c>
      <c r="GJ55" s="3">
        <v>0</v>
      </c>
      <c r="GK55" s="3">
        <v>0</v>
      </c>
      <c r="GL55" s="3">
        <f t="shared" si="38"/>
        <v>0</v>
      </c>
      <c r="GM55" s="3">
        <f t="shared" si="39"/>
        <v>1008.35</v>
      </c>
      <c r="GN55" s="3">
        <f t="shared" si="40"/>
        <v>0</v>
      </c>
      <c r="GO55" s="3">
        <f t="shared" si="41"/>
        <v>1008.35</v>
      </c>
      <c r="GP55" s="3">
        <f t="shared" si="42"/>
        <v>0</v>
      </c>
      <c r="GR55" s="3">
        <v>0</v>
      </c>
      <c r="GS55" s="3">
        <v>3</v>
      </c>
      <c r="GT55" s="3">
        <v>0</v>
      </c>
      <c r="GU55" s="3" t="s">
        <v>3</v>
      </c>
      <c r="GV55" s="3">
        <f t="shared" si="43"/>
        <v>0</v>
      </c>
      <c r="GW55" s="3">
        <v>1</v>
      </c>
      <c r="GX55" s="3">
        <f t="shared" si="44"/>
        <v>0</v>
      </c>
      <c r="HA55" s="3">
        <v>0</v>
      </c>
      <c r="HB55" s="3">
        <v>0</v>
      </c>
      <c r="HC55" s="3">
        <f t="shared" si="45"/>
        <v>0</v>
      </c>
      <c r="HE55" s="3" t="s">
        <v>3</v>
      </c>
      <c r="HF55" s="3" t="s">
        <v>3</v>
      </c>
      <c r="HM55" s="3" t="s">
        <v>3</v>
      </c>
      <c r="HN55" s="3" t="s">
        <v>3</v>
      </c>
      <c r="HO55" s="3" t="s">
        <v>3</v>
      </c>
      <c r="HP55" s="3" t="s">
        <v>3</v>
      </c>
      <c r="HQ55" s="3" t="s">
        <v>3</v>
      </c>
      <c r="HS55" s="3">
        <v>0</v>
      </c>
      <c r="IK55" s="3">
        <v>0</v>
      </c>
    </row>
    <row r="56" spans="1:255" x14ac:dyDescent="0.2">
      <c r="A56" s="2">
        <v>18</v>
      </c>
      <c r="B56" s="2">
        <v>1</v>
      </c>
      <c r="C56" s="2">
        <v>48</v>
      </c>
      <c r="D56" s="2"/>
      <c r="E56" s="2" t="s">
        <v>85</v>
      </c>
      <c r="F56" s="2" t="s">
        <v>68</v>
      </c>
      <c r="G56" s="2" t="s">
        <v>69</v>
      </c>
      <c r="H56" s="2" t="s">
        <v>70</v>
      </c>
      <c r="I56" s="2">
        <f>I54*J56</f>
        <v>3.5000000000000003E-2</v>
      </c>
      <c r="J56" s="2">
        <v>3.5000000000000003E-2</v>
      </c>
      <c r="K56" s="2">
        <v>3.5000000000000003E-2</v>
      </c>
      <c r="L56" s="2"/>
      <c r="M56" s="2"/>
      <c r="N56" s="2"/>
      <c r="O56" s="2">
        <f t="shared" si="21"/>
        <v>1.0900000000000001</v>
      </c>
      <c r="P56" s="2">
        <f>ROUND((ROUND((AC56*AW56*I56),2)*BC56),2)</f>
        <v>1.0900000000000001</v>
      </c>
      <c r="Q56" s="2">
        <f>(ROUND((ROUND(((ET56)*AV56*I56),2)*BB56),2)+ROUND((ROUND(((AE56-(EU56))*AV56*I56),2)*BS56),2))</f>
        <v>0</v>
      </c>
      <c r="R56" s="2">
        <f>(ROUND((ROUND(((EU56)*AV56*I56),2)*BS56),2)+ROUND((ROUND(((AE56-(EU56))*AV56*I56),2)*BS56),2))</f>
        <v>0</v>
      </c>
      <c r="S56" s="2">
        <f t="shared" si="23"/>
        <v>0</v>
      </c>
      <c r="T56" s="2">
        <f t="shared" si="24"/>
        <v>0</v>
      </c>
      <c r="U56" s="2">
        <f t="shared" si="25"/>
        <v>0</v>
      </c>
      <c r="V56" s="2">
        <f t="shared" si="26"/>
        <v>0</v>
      </c>
      <c r="W56" s="2">
        <f t="shared" si="27"/>
        <v>0</v>
      </c>
      <c r="X56" s="2">
        <f>(ROUND((((S56+ROUND((ROUND(((EU56)*AV56*I56),2)*BS56),2))*AT56)/100),2)+ROUND(((ROUND((ROUND(((AE56-(EU56))*AV56*I56),2)*BS56),2)*AT56)/100),2))</f>
        <v>0</v>
      </c>
      <c r="Y56" s="2">
        <f>(ROUND((((S56+ROUND((ROUND(((EU56)*AV56*I56),2)*BS56),2))*AU56)/100),2)+ROUND(((ROUND((ROUND(((AE56-(EU56))*AV56*I56),2)*BS56),2)*AU56)/100),2))</f>
        <v>0</v>
      </c>
      <c r="Z56" s="2"/>
      <c r="AA56" s="2">
        <v>60256405</v>
      </c>
      <c r="AB56" s="2">
        <f t="shared" si="28"/>
        <v>31.08</v>
      </c>
      <c r="AC56" s="2">
        <f>ROUND((ES56),6)</f>
        <v>31.08</v>
      </c>
      <c r="AD56" s="2">
        <f>ROUND((((ET56)-(EU56))+AE56),6)</f>
        <v>0</v>
      </c>
      <c r="AE56" s="2">
        <f t="shared" ref="AE56:AF59" si="48">ROUND((EU56),6)</f>
        <v>0</v>
      </c>
      <c r="AF56" s="2">
        <f t="shared" si="48"/>
        <v>0</v>
      </c>
      <c r="AG56" s="2">
        <f t="shared" si="29"/>
        <v>0</v>
      </c>
      <c r="AH56" s="2">
        <f t="shared" ref="AH56:AI59" si="49">(EW56)</f>
        <v>0</v>
      </c>
      <c r="AI56" s="2">
        <f t="shared" si="49"/>
        <v>0</v>
      </c>
      <c r="AJ56" s="2">
        <f t="shared" si="30"/>
        <v>0</v>
      </c>
      <c r="AK56" s="2">
        <v>31.08</v>
      </c>
      <c r="AL56" s="2">
        <v>31.08</v>
      </c>
      <c r="AM56" s="2">
        <v>0</v>
      </c>
      <c r="AN56" s="2">
        <v>0</v>
      </c>
      <c r="AO56" s="2">
        <v>0</v>
      </c>
      <c r="AP56" s="2">
        <v>0</v>
      </c>
      <c r="AQ56" s="2">
        <v>0</v>
      </c>
      <c r="AR56" s="2">
        <v>0</v>
      </c>
      <c r="AS56" s="2">
        <v>0</v>
      </c>
      <c r="AT56" s="2">
        <v>90</v>
      </c>
      <c r="AU56" s="2">
        <v>46</v>
      </c>
      <c r="AV56" s="2">
        <v>1</v>
      </c>
      <c r="AW56" s="2">
        <v>1</v>
      </c>
      <c r="AX56" s="2"/>
      <c r="AY56" s="2"/>
      <c r="AZ56" s="2">
        <v>1</v>
      </c>
      <c r="BA56" s="2">
        <v>1</v>
      </c>
      <c r="BB56" s="2">
        <v>1</v>
      </c>
      <c r="BC56" s="2">
        <v>1</v>
      </c>
      <c r="BD56" s="2" t="s">
        <v>3</v>
      </c>
      <c r="BE56" s="2" t="s">
        <v>3</v>
      </c>
      <c r="BF56" s="2" t="s">
        <v>3</v>
      </c>
      <c r="BG56" s="2" t="s">
        <v>3</v>
      </c>
      <c r="BH56" s="2">
        <v>3</v>
      </c>
      <c r="BI56" s="2">
        <v>2</v>
      </c>
      <c r="BJ56" s="2" t="s">
        <v>71</v>
      </c>
      <c r="BK56" s="2"/>
      <c r="BL56" s="2"/>
      <c r="BM56" s="2">
        <v>72</v>
      </c>
      <c r="BN56" s="2">
        <v>58973116</v>
      </c>
      <c r="BO56" s="2" t="s">
        <v>3</v>
      </c>
      <c r="BP56" s="2">
        <v>0</v>
      </c>
      <c r="BQ56" s="2">
        <v>40</v>
      </c>
      <c r="BR56" s="2">
        <v>0</v>
      </c>
      <c r="BS56" s="2">
        <v>1</v>
      </c>
      <c r="BT56" s="2">
        <v>1</v>
      </c>
      <c r="BU56" s="2">
        <v>1</v>
      </c>
      <c r="BV56" s="2">
        <v>1</v>
      </c>
      <c r="BW56" s="2">
        <v>1</v>
      </c>
      <c r="BX56" s="2">
        <v>1</v>
      </c>
      <c r="BY56" s="2" t="s">
        <v>3</v>
      </c>
      <c r="BZ56" s="2">
        <v>90</v>
      </c>
      <c r="CA56" s="2">
        <v>46</v>
      </c>
      <c r="CB56" s="2" t="s">
        <v>3</v>
      </c>
      <c r="CC56" s="2"/>
      <c r="CD56" s="2"/>
      <c r="CE56" s="2">
        <v>1566</v>
      </c>
      <c r="CF56" s="2">
        <v>0</v>
      </c>
      <c r="CG56" s="2">
        <v>0</v>
      </c>
      <c r="CH56" s="2"/>
      <c r="CI56" s="2"/>
      <c r="CJ56" s="2"/>
      <c r="CK56" s="2"/>
      <c r="CL56" s="2"/>
      <c r="CM56" s="2">
        <v>0</v>
      </c>
      <c r="CN56" s="2" t="s">
        <v>369</v>
      </c>
      <c r="CO56" s="2">
        <v>0</v>
      </c>
      <c r="CP56" s="2">
        <f t="shared" si="31"/>
        <v>1.0900000000000001</v>
      </c>
      <c r="CQ56" s="2">
        <f>ROUND((ROUND((AC56*AW56*1),2)*BC56),2)</f>
        <v>31.08</v>
      </c>
      <c r="CR56" s="2">
        <f>(ROUND((ROUND(((ET56)*AV56*1),2)*BB56),2)+ROUND((ROUND(((AE56-(EU56))*AV56*1),2)*BS56),2))</f>
        <v>0</v>
      </c>
      <c r="CS56" s="2">
        <f>(ROUND((ROUND(((EU56)*AV56*1),2)*BS56),2)+ROUND((ROUND(((AE56-(EU56))*AV56*1),2)*BS56),2))</f>
        <v>0</v>
      </c>
      <c r="CT56" s="2">
        <f t="shared" si="33"/>
        <v>0</v>
      </c>
      <c r="CU56" s="2">
        <f t="shared" si="34"/>
        <v>0</v>
      </c>
      <c r="CV56" s="2">
        <f t="shared" si="35"/>
        <v>0</v>
      </c>
      <c r="CW56" s="2">
        <f t="shared" si="36"/>
        <v>0</v>
      </c>
      <c r="CX56" s="2">
        <f t="shared" si="37"/>
        <v>0</v>
      </c>
      <c r="CY56" s="2">
        <f>(ROUND((((S56+ROUND((ROUND(((EU56)*AV56*1),2)*BS56),2))*AT56)/100),2)+ROUND(((ROUND((ROUND(((AE56-(EU56))*AV56*1),2)*BS56),2)*AT56)/100),2))</f>
        <v>0</v>
      </c>
      <c r="CZ56" s="2">
        <f>(ROUND((((S56+ROUND((ROUND(((EU56)*AV56*1),2)*BS56),2))*AU56)/100),2)+ROUND(((ROUND((ROUND(((AE56-(EU56))*AV56*1),2)*BS56),2)*AU56)/100),2))</f>
        <v>0</v>
      </c>
      <c r="DA56" s="2"/>
      <c r="DB56" s="2"/>
      <c r="DC56" s="2" t="s">
        <v>3</v>
      </c>
      <c r="DD56" s="2" t="s">
        <v>3</v>
      </c>
      <c r="DE56" s="2" t="s">
        <v>3</v>
      </c>
      <c r="DF56" s="2" t="s">
        <v>3</v>
      </c>
      <c r="DG56" s="2" t="s">
        <v>3</v>
      </c>
      <c r="DH56" s="2" t="s">
        <v>3</v>
      </c>
      <c r="DI56" s="2" t="s">
        <v>3</v>
      </c>
      <c r="DJ56" s="2" t="s">
        <v>3</v>
      </c>
      <c r="DK56" s="2" t="s">
        <v>3</v>
      </c>
      <c r="DL56" s="2" t="s">
        <v>3</v>
      </c>
      <c r="DM56" s="2" t="s">
        <v>3</v>
      </c>
      <c r="DN56" s="2">
        <v>0</v>
      </c>
      <c r="DO56" s="2">
        <v>0</v>
      </c>
      <c r="DP56" s="2">
        <v>1</v>
      </c>
      <c r="DQ56" s="2">
        <v>1</v>
      </c>
      <c r="DR56" s="2"/>
      <c r="DS56" s="2"/>
      <c r="DT56" s="2"/>
      <c r="DU56" s="2">
        <v>1009</v>
      </c>
      <c r="DV56" s="2" t="s">
        <v>70</v>
      </c>
      <c r="DW56" s="2" t="s">
        <v>70</v>
      </c>
      <c r="DX56" s="2">
        <v>1</v>
      </c>
      <c r="DY56" s="2"/>
      <c r="DZ56" s="2" t="s">
        <v>3</v>
      </c>
      <c r="EA56" s="2" t="s">
        <v>3</v>
      </c>
      <c r="EB56" s="2" t="s">
        <v>3</v>
      </c>
      <c r="EC56" s="2" t="s">
        <v>3</v>
      </c>
      <c r="ED56" s="2"/>
      <c r="EE56" s="2">
        <v>60088536</v>
      </c>
      <c r="EF56" s="2">
        <v>40</v>
      </c>
      <c r="EG56" s="2" t="s">
        <v>26</v>
      </c>
      <c r="EH56" s="2">
        <v>0</v>
      </c>
      <c r="EI56" s="2" t="s">
        <v>3</v>
      </c>
      <c r="EJ56" s="2">
        <v>2</v>
      </c>
      <c r="EK56" s="2">
        <v>72</v>
      </c>
      <c r="EL56" s="2" t="s">
        <v>52</v>
      </c>
      <c r="EM56" s="2" t="s">
        <v>53</v>
      </c>
      <c r="EN56" s="2"/>
      <c r="EO56" s="2" t="s">
        <v>29</v>
      </c>
      <c r="EP56" s="2"/>
      <c r="EQ56" s="2">
        <v>0</v>
      </c>
      <c r="ER56" s="2">
        <v>31.08</v>
      </c>
      <c r="ES56" s="2">
        <v>31.08</v>
      </c>
      <c r="ET56" s="2">
        <v>0</v>
      </c>
      <c r="EU56" s="2">
        <v>0</v>
      </c>
      <c r="EV56" s="2">
        <v>0</v>
      </c>
      <c r="EW56" s="2">
        <v>0</v>
      </c>
      <c r="EX56" s="2">
        <v>0</v>
      </c>
      <c r="EY56" s="2"/>
      <c r="EZ56" s="2"/>
      <c r="FA56" s="2"/>
      <c r="FB56" s="2"/>
      <c r="FC56" s="2"/>
      <c r="FD56" s="2"/>
      <c r="FE56" s="2"/>
      <c r="FF56" s="2"/>
      <c r="FG56" s="2"/>
      <c r="FH56" s="2"/>
      <c r="FI56" s="2"/>
      <c r="FJ56" s="2"/>
      <c r="FK56" s="2"/>
      <c r="FL56" s="2"/>
      <c r="FM56" s="2"/>
      <c r="FN56" s="2"/>
      <c r="FO56" s="2"/>
      <c r="FP56" s="2"/>
      <c r="FQ56" s="2">
        <v>0</v>
      </c>
      <c r="FR56" s="2">
        <v>0</v>
      </c>
      <c r="FS56" s="2">
        <v>0</v>
      </c>
      <c r="FT56" s="2"/>
      <c r="FU56" s="2"/>
      <c r="FV56" s="2"/>
      <c r="FW56" s="2"/>
      <c r="FX56" s="2">
        <v>90</v>
      </c>
      <c r="FY56" s="2">
        <v>46</v>
      </c>
      <c r="FZ56" s="2"/>
      <c r="GA56" s="2" t="s">
        <v>3</v>
      </c>
      <c r="GB56" s="2"/>
      <c r="GC56" s="2"/>
      <c r="GD56" s="2">
        <v>1</v>
      </c>
      <c r="GE56" s="2"/>
      <c r="GF56" s="2">
        <v>1143487818</v>
      </c>
      <c r="GG56" s="2">
        <v>2</v>
      </c>
      <c r="GH56" s="2">
        <v>1</v>
      </c>
      <c r="GI56" s="2">
        <v>-2</v>
      </c>
      <c r="GJ56" s="2">
        <v>0</v>
      </c>
      <c r="GK56" s="2">
        <v>0</v>
      </c>
      <c r="GL56" s="2">
        <f t="shared" si="38"/>
        <v>0</v>
      </c>
      <c r="GM56" s="2">
        <f t="shared" si="39"/>
        <v>1.0900000000000001</v>
      </c>
      <c r="GN56" s="2">
        <f t="shared" si="40"/>
        <v>0</v>
      </c>
      <c r="GO56" s="2">
        <f t="shared" si="41"/>
        <v>1.0900000000000001</v>
      </c>
      <c r="GP56" s="2">
        <f t="shared" si="42"/>
        <v>0</v>
      </c>
      <c r="GQ56" s="2"/>
      <c r="GR56" s="2">
        <v>0</v>
      </c>
      <c r="GS56" s="2">
        <v>3</v>
      </c>
      <c r="GT56" s="2">
        <v>0</v>
      </c>
      <c r="GU56" s="2" t="s">
        <v>3</v>
      </c>
      <c r="GV56" s="2">
        <f t="shared" si="43"/>
        <v>0</v>
      </c>
      <c r="GW56" s="2">
        <v>1</v>
      </c>
      <c r="GX56" s="2">
        <f t="shared" si="44"/>
        <v>0</v>
      </c>
      <c r="GY56" s="2"/>
      <c r="GZ56" s="2"/>
      <c r="HA56" s="2">
        <v>0</v>
      </c>
      <c r="HB56" s="2">
        <v>0</v>
      </c>
      <c r="HC56" s="2">
        <f t="shared" si="45"/>
        <v>0</v>
      </c>
      <c r="HD56" s="2"/>
      <c r="HE56" s="2" t="s">
        <v>3</v>
      </c>
      <c r="HF56" s="2" t="s">
        <v>3</v>
      </c>
      <c r="HG56" s="2"/>
      <c r="HH56" s="2"/>
      <c r="HI56" s="2"/>
      <c r="HJ56" s="2"/>
      <c r="HK56" s="2"/>
      <c r="HL56" s="2"/>
      <c r="HM56" s="2" t="s">
        <v>24</v>
      </c>
      <c r="HN56" s="2" t="s">
        <v>3</v>
      </c>
      <c r="HO56" s="2" t="s">
        <v>3</v>
      </c>
      <c r="HP56" s="2" t="s">
        <v>3</v>
      </c>
      <c r="HQ56" s="2" t="s">
        <v>3</v>
      </c>
      <c r="HR56" s="2"/>
      <c r="HS56" s="2">
        <v>0</v>
      </c>
      <c r="HT56" s="2"/>
      <c r="HU56" s="2"/>
      <c r="HV56" s="2"/>
      <c r="HW56" s="2"/>
      <c r="HX56" s="2"/>
      <c r="HY56" s="2"/>
      <c r="HZ56" s="2"/>
      <c r="IA56" s="2"/>
      <c r="IB56" s="2"/>
      <c r="IC56" s="2"/>
      <c r="ID56" s="2"/>
      <c r="IE56" s="2"/>
      <c r="IF56" s="2"/>
      <c r="IG56" s="2"/>
      <c r="IH56" s="2"/>
      <c r="II56" s="2"/>
      <c r="IJ56" s="2"/>
      <c r="IK56" s="2">
        <v>0</v>
      </c>
      <c r="IL56" s="2"/>
      <c r="IM56" s="2"/>
      <c r="IN56" s="2"/>
      <c r="IO56" s="2"/>
      <c r="IP56" s="2"/>
      <c r="IQ56" s="2"/>
      <c r="IR56" s="2"/>
      <c r="IS56" s="2"/>
      <c r="IT56" s="2"/>
      <c r="IU56" s="2"/>
    </row>
    <row r="57" spans="1:255" x14ac:dyDescent="0.2">
      <c r="A57" s="3">
        <v>18</v>
      </c>
      <c r="B57" s="3">
        <v>1</v>
      </c>
      <c r="C57" s="3">
        <v>50</v>
      </c>
      <c r="E57" s="3" t="s">
        <v>85</v>
      </c>
      <c r="F57" s="3" t="s">
        <v>68</v>
      </c>
      <c r="G57" s="3" t="s">
        <v>69</v>
      </c>
      <c r="H57" s="3" t="s">
        <v>70</v>
      </c>
      <c r="I57" s="3">
        <f>I55*J57</f>
        <v>3.5000000000000003E-2</v>
      </c>
      <c r="J57" s="3">
        <v>3.5000000000000003E-2</v>
      </c>
      <c r="K57" s="3">
        <v>3.5000000000000003E-2</v>
      </c>
      <c r="O57" s="3">
        <f t="shared" si="21"/>
        <v>5.58</v>
      </c>
      <c r="P57" s="3">
        <f>ROUND((ROUND((AC57*AW57*I57),2)*BC57),2)</f>
        <v>5.58</v>
      </c>
      <c r="Q57" s="3">
        <f>(ROUND((ROUND(((ET57)*AV57*I57),2)*BB57),2)+ROUND((ROUND(((AE57-(EU57))*AV57*I57),2)*BS57),2))</f>
        <v>0</v>
      </c>
      <c r="R57" s="3">
        <f>(ROUND((ROUND(((EU57)*AV57*I57),2)*BS57),2)+ROUND((ROUND(((AE57-(EU57))*AV57*I57),2)*BS57),2))</f>
        <v>0</v>
      </c>
      <c r="S57" s="3">
        <f t="shared" si="23"/>
        <v>0</v>
      </c>
      <c r="T57" s="3">
        <f t="shared" si="24"/>
        <v>0</v>
      </c>
      <c r="U57" s="3">
        <f t="shared" si="25"/>
        <v>0</v>
      </c>
      <c r="V57" s="3">
        <f t="shared" si="26"/>
        <v>0</v>
      </c>
      <c r="W57" s="3">
        <f t="shared" si="27"/>
        <v>0</v>
      </c>
      <c r="X57" s="3">
        <f>(ROUND((((S57+ROUND((ROUND(((EU57)*AV57*I57),2)*BS57),2))*AT57)/100),2)+ROUND(((ROUND((ROUND(((AE57-(EU57))*AV57*I57),2)*BS57),2)*AT57)/100),2))</f>
        <v>0</v>
      </c>
      <c r="Y57" s="3">
        <f>(ROUND((((S57+ROUND((ROUND(((EU57)*AV57*I57),2)*BS57),2))*AU57)/100),2)+ROUND(((ROUND((ROUND(((AE57-(EU57))*AV57*I57),2)*BS57),2)*AU57)/100),2))</f>
        <v>0</v>
      </c>
      <c r="AA57" s="3">
        <v>60256402</v>
      </c>
      <c r="AB57" s="3">
        <f t="shared" si="28"/>
        <v>31.08</v>
      </c>
      <c r="AC57" s="3">
        <f>ROUND((ES57),6)</f>
        <v>31.08</v>
      </c>
      <c r="AD57" s="3">
        <f>ROUND((((ET57)-(EU57))+AE57),6)</f>
        <v>0</v>
      </c>
      <c r="AE57" s="3">
        <f t="shared" si="48"/>
        <v>0</v>
      </c>
      <c r="AF57" s="3">
        <f t="shared" si="48"/>
        <v>0</v>
      </c>
      <c r="AG57" s="3">
        <f t="shared" si="29"/>
        <v>0</v>
      </c>
      <c r="AH57" s="3">
        <f t="shared" si="49"/>
        <v>0</v>
      </c>
      <c r="AI57" s="3">
        <f t="shared" si="49"/>
        <v>0</v>
      </c>
      <c r="AJ57" s="3">
        <f t="shared" si="30"/>
        <v>0</v>
      </c>
      <c r="AK57" s="3">
        <v>31.08</v>
      </c>
      <c r="AL57" s="3">
        <v>31.08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  <c r="AR57" s="3">
        <v>0</v>
      </c>
      <c r="AS57" s="3">
        <v>0</v>
      </c>
      <c r="AT57" s="3">
        <v>90</v>
      </c>
      <c r="AU57" s="3">
        <v>46</v>
      </c>
      <c r="AV57" s="3">
        <v>1</v>
      </c>
      <c r="AW57" s="3">
        <v>1</v>
      </c>
      <c r="AZ57" s="3">
        <v>1</v>
      </c>
      <c r="BA57" s="3">
        <v>1</v>
      </c>
      <c r="BB57" s="3">
        <v>1</v>
      </c>
      <c r="BC57" s="3">
        <v>5.12</v>
      </c>
      <c r="BD57" s="3" t="s">
        <v>3</v>
      </c>
      <c r="BE57" s="3" t="s">
        <v>3</v>
      </c>
      <c r="BF57" s="3" t="s">
        <v>3</v>
      </c>
      <c r="BG57" s="3" t="s">
        <v>3</v>
      </c>
      <c r="BH57" s="3">
        <v>3</v>
      </c>
      <c r="BI57" s="3">
        <v>2</v>
      </c>
      <c r="BJ57" s="3" t="s">
        <v>71</v>
      </c>
      <c r="BM57" s="3">
        <v>72</v>
      </c>
      <c r="BN57" s="3">
        <v>58973116</v>
      </c>
      <c r="BO57" s="3" t="s">
        <v>68</v>
      </c>
      <c r="BP57" s="3">
        <v>1</v>
      </c>
      <c r="BQ57" s="3">
        <v>40</v>
      </c>
      <c r="BR57" s="3">
        <v>0</v>
      </c>
      <c r="BS57" s="3">
        <v>1</v>
      </c>
      <c r="BT57" s="3">
        <v>1</v>
      </c>
      <c r="BU57" s="3">
        <v>1</v>
      </c>
      <c r="BV57" s="3">
        <v>1</v>
      </c>
      <c r="BW57" s="3">
        <v>1</v>
      </c>
      <c r="BX57" s="3">
        <v>1</v>
      </c>
      <c r="BY57" s="3" t="s">
        <v>3</v>
      </c>
      <c r="BZ57" s="3">
        <v>90</v>
      </c>
      <c r="CA57" s="3">
        <v>46</v>
      </c>
      <c r="CB57" s="3" t="s">
        <v>3</v>
      </c>
      <c r="CE57" s="3">
        <v>1566</v>
      </c>
      <c r="CF57" s="3">
        <v>0</v>
      </c>
      <c r="CG57" s="3">
        <v>0</v>
      </c>
      <c r="CM57" s="3">
        <v>0</v>
      </c>
      <c r="CN57" s="3" t="s">
        <v>369</v>
      </c>
      <c r="CO57" s="3">
        <v>0</v>
      </c>
      <c r="CP57" s="3">
        <f t="shared" si="31"/>
        <v>5.58</v>
      </c>
      <c r="CQ57" s="3">
        <f>ROUND((ROUND((AC57*AW57*1),2)*BC57),2)</f>
        <v>159.13</v>
      </c>
      <c r="CR57" s="3">
        <f>(ROUND((ROUND(((ET57)*AV57*1),2)*BB57),2)+ROUND((ROUND(((AE57-(EU57))*AV57*1),2)*BS57),2))</f>
        <v>0</v>
      </c>
      <c r="CS57" s="3">
        <f>(ROUND((ROUND(((EU57)*AV57*1),2)*BS57),2)+ROUND((ROUND(((AE57-(EU57))*AV57*1),2)*BS57),2))</f>
        <v>0</v>
      </c>
      <c r="CT57" s="3">
        <f t="shared" si="33"/>
        <v>0</v>
      </c>
      <c r="CU57" s="3">
        <f t="shared" si="34"/>
        <v>0</v>
      </c>
      <c r="CV57" s="3">
        <f t="shared" si="35"/>
        <v>0</v>
      </c>
      <c r="CW57" s="3">
        <f t="shared" si="36"/>
        <v>0</v>
      </c>
      <c r="CX57" s="3">
        <f t="shared" si="37"/>
        <v>0</v>
      </c>
      <c r="CY57" s="3">
        <f>(ROUND((((S57+ROUND((ROUND(((EU57)*AV57*1),2)*BS57),2))*AT57)/100),2)+ROUND(((ROUND((ROUND(((AE57-(EU57))*AV57*1),2)*BS57),2)*AT57)/100),2))</f>
        <v>0</v>
      </c>
      <c r="CZ57" s="3">
        <f>(ROUND((((S57+ROUND((ROUND(((EU57)*AV57*1),2)*BS57),2))*AU57)/100),2)+ROUND(((ROUND((ROUND(((AE57-(EU57))*AV57*1),2)*BS57),2)*AU57)/100),2))</f>
        <v>0</v>
      </c>
      <c r="DC57" s="3" t="s">
        <v>3</v>
      </c>
      <c r="DD57" s="3" t="s">
        <v>3</v>
      </c>
      <c r="DE57" s="3" t="s">
        <v>3</v>
      </c>
      <c r="DF57" s="3" t="s">
        <v>3</v>
      </c>
      <c r="DG57" s="3" t="s">
        <v>3</v>
      </c>
      <c r="DH57" s="3" t="s">
        <v>3</v>
      </c>
      <c r="DI57" s="3" t="s">
        <v>3</v>
      </c>
      <c r="DJ57" s="3" t="s">
        <v>3</v>
      </c>
      <c r="DK57" s="3" t="s">
        <v>3</v>
      </c>
      <c r="DL57" s="3" t="s">
        <v>3</v>
      </c>
      <c r="DM57" s="3" t="s">
        <v>3</v>
      </c>
      <c r="DN57" s="3">
        <v>0</v>
      </c>
      <c r="DO57" s="3">
        <v>0</v>
      </c>
      <c r="DP57" s="3">
        <v>1</v>
      </c>
      <c r="DQ57" s="3">
        <v>1</v>
      </c>
      <c r="DU57" s="3">
        <v>1009</v>
      </c>
      <c r="DV57" s="3" t="s">
        <v>70</v>
      </c>
      <c r="DW57" s="3" t="s">
        <v>70</v>
      </c>
      <c r="DX57" s="3">
        <v>1</v>
      </c>
      <c r="DZ57" s="3" t="s">
        <v>3</v>
      </c>
      <c r="EA57" s="3" t="s">
        <v>3</v>
      </c>
      <c r="EB57" s="3" t="s">
        <v>3</v>
      </c>
      <c r="EC57" s="3" t="s">
        <v>3</v>
      </c>
      <c r="EE57" s="3">
        <v>60088536</v>
      </c>
      <c r="EF57" s="3">
        <v>40</v>
      </c>
      <c r="EG57" s="3" t="s">
        <v>26</v>
      </c>
      <c r="EH57" s="3">
        <v>0</v>
      </c>
      <c r="EI57" s="3" t="s">
        <v>3</v>
      </c>
      <c r="EJ57" s="3">
        <v>2</v>
      </c>
      <c r="EK57" s="3">
        <v>72</v>
      </c>
      <c r="EL57" s="3" t="s">
        <v>52</v>
      </c>
      <c r="EM57" s="3" t="s">
        <v>53</v>
      </c>
      <c r="EO57" s="3" t="s">
        <v>29</v>
      </c>
      <c r="EQ57" s="3">
        <v>0</v>
      </c>
      <c r="ER57" s="3">
        <v>31.08</v>
      </c>
      <c r="ES57" s="3">
        <v>31.08</v>
      </c>
      <c r="ET57" s="3">
        <v>0</v>
      </c>
      <c r="EU57" s="3">
        <v>0</v>
      </c>
      <c r="EV57" s="3">
        <v>0</v>
      </c>
      <c r="EW57" s="3">
        <v>0</v>
      </c>
      <c r="EX57" s="3">
        <v>0</v>
      </c>
      <c r="FQ57" s="3">
        <v>0</v>
      </c>
      <c r="FR57" s="3">
        <v>0</v>
      </c>
      <c r="FS57" s="3">
        <v>0</v>
      </c>
      <c r="FX57" s="3">
        <v>90</v>
      </c>
      <c r="FY57" s="3">
        <v>46</v>
      </c>
      <c r="GA57" s="3" t="s">
        <v>3</v>
      </c>
      <c r="GD57" s="3">
        <v>1</v>
      </c>
      <c r="GF57" s="3">
        <v>1143487818</v>
      </c>
      <c r="GG57" s="3">
        <v>2</v>
      </c>
      <c r="GH57" s="3">
        <v>1</v>
      </c>
      <c r="GI57" s="3">
        <v>2</v>
      </c>
      <c r="GJ57" s="3">
        <v>0</v>
      </c>
      <c r="GK57" s="3">
        <v>0</v>
      </c>
      <c r="GL57" s="3">
        <f t="shared" si="38"/>
        <v>0</v>
      </c>
      <c r="GM57" s="3">
        <f t="shared" si="39"/>
        <v>5.58</v>
      </c>
      <c r="GN57" s="3">
        <f t="shared" si="40"/>
        <v>0</v>
      </c>
      <c r="GO57" s="3">
        <f t="shared" si="41"/>
        <v>5.58</v>
      </c>
      <c r="GP57" s="3">
        <f t="shared" si="42"/>
        <v>0</v>
      </c>
      <c r="GR57" s="3">
        <v>0</v>
      </c>
      <c r="GS57" s="3">
        <v>3</v>
      </c>
      <c r="GT57" s="3">
        <v>0</v>
      </c>
      <c r="GU57" s="3" t="s">
        <v>3</v>
      </c>
      <c r="GV57" s="3">
        <f t="shared" si="43"/>
        <v>0</v>
      </c>
      <c r="GW57" s="3">
        <v>1</v>
      </c>
      <c r="GX57" s="3">
        <f t="shared" si="44"/>
        <v>0</v>
      </c>
      <c r="HA57" s="3">
        <v>0</v>
      </c>
      <c r="HB57" s="3">
        <v>0</v>
      </c>
      <c r="HC57" s="3">
        <f t="shared" si="45"/>
        <v>0</v>
      </c>
      <c r="HE57" s="3" t="s">
        <v>3</v>
      </c>
      <c r="HF57" s="3" t="s">
        <v>3</v>
      </c>
      <c r="HM57" s="3" t="s">
        <v>24</v>
      </c>
      <c r="HN57" s="3" t="s">
        <v>3</v>
      </c>
      <c r="HO57" s="3" t="s">
        <v>3</v>
      </c>
      <c r="HP57" s="3" t="s">
        <v>3</v>
      </c>
      <c r="HQ57" s="3" t="s">
        <v>3</v>
      </c>
      <c r="HS57" s="3">
        <v>0</v>
      </c>
      <c r="IK57" s="3">
        <v>0</v>
      </c>
    </row>
    <row r="58" spans="1:255" x14ac:dyDescent="0.2">
      <c r="A58" s="2">
        <v>17</v>
      </c>
      <c r="B58" s="2">
        <v>1</v>
      </c>
      <c r="C58" s="2"/>
      <c r="D58" s="2"/>
      <c r="E58" s="2" t="s">
        <v>86</v>
      </c>
      <c r="F58" s="2" t="s">
        <v>87</v>
      </c>
      <c r="G58" s="2" t="s">
        <v>88</v>
      </c>
      <c r="H58" s="2" t="s">
        <v>33</v>
      </c>
      <c r="I58" s="2">
        <v>1</v>
      </c>
      <c r="J58" s="2">
        <v>0</v>
      </c>
      <c r="K58" s="2">
        <v>1</v>
      </c>
      <c r="L58" s="2"/>
      <c r="M58" s="2"/>
      <c r="N58" s="2"/>
      <c r="O58" s="2">
        <f t="shared" si="21"/>
        <v>5613.23</v>
      </c>
      <c r="P58" s="2">
        <f>ROUND((ROUND((AC58*I58),2)*BC58),2)</f>
        <v>5613.23</v>
      </c>
      <c r="Q58" s="2">
        <f>(ROUND((ROUND(((ET58)*AV58*I58),2)*BB58),2)+ROUND((ROUND(((AE58-(EU58))*AV58*I58),2)*BS58),2))</f>
        <v>0</v>
      </c>
      <c r="R58" s="2">
        <f>(ROUND((ROUND(((EU58)*AV58*I58),2)*BS58),2)+ROUND((ROUND(((AE58-(EU58))*AV58*I58),2)*BS58),2))</f>
        <v>0</v>
      </c>
      <c r="S58" s="2">
        <f t="shared" si="23"/>
        <v>0</v>
      </c>
      <c r="T58" s="2">
        <f t="shared" si="24"/>
        <v>0</v>
      </c>
      <c r="U58" s="2">
        <f t="shared" si="25"/>
        <v>0</v>
      </c>
      <c r="V58" s="2">
        <f t="shared" si="26"/>
        <v>0</v>
      </c>
      <c r="W58" s="2">
        <f t="shared" si="27"/>
        <v>0</v>
      </c>
      <c r="X58" s="2">
        <f>(ROUND((((S58+ROUND((ROUND(((EU58)*AV58*I58),2)*BS58),2))*AT58)/100),2)+ROUND(((ROUND((ROUND(((AE58-(EU58))*AV58*I58),2)*BS58),2)*AT58)/100),2))</f>
        <v>0</v>
      </c>
      <c r="Y58" s="2">
        <f>(ROUND((((S58+ROUND((ROUND(((EU58)*AV58*I58),2)*BS58),2))*AU58)/100),2)+ROUND(((ROUND((ROUND(((AE58-(EU58))*AV58*I58),2)*BS58),2)*AU58)/100),2))</f>
        <v>0</v>
      </c>
      <c r="Z58" s="2"/>
      <c r="AA58" s="2">
        <v>60256405</v>
      </c>
      <c r="AB58" s="2">
        <f t="shared" si="28"/>
        <v>5613.23</v>
      </c>
      <c r="AC58" s="2">
        <f>ROUND((ES58),6)</f>
        <v>5613.23</v>
      </c>
      <c r="AD58" s="2">
        <f>ROUND((((ET58)-(EU58))+AE58),6)</f>
        <v>0</v>
      </c>
      <c r="AE58" s="2">
        <f t="shared" si="48"/>
        <v>0</v>
      </c>
      <c r="AF58" s="2">
        <f t="shared" si="48"/>
        <v>0</v>
      </c>
      <c r="AG58" s="2">
        <f t="shared" si="29"/>
        <v>0</v>
      </c>
      <c r="AH58" s="2">
        <f t="shared" si="49"/>
        <v>0</v>
      </c>
      <c r="AI58" s="2">
        <f t="shared" si="49"/>
        <v>0</v>
      </c>
      <c r="AJ58" s="2">
        <f t="shared" si="30"/>
        <v>0</v>
      </c>
      <c r="AK58" s="2">
        <v>5613.2300000000005</v>
      </c>
      <c r="AL58" s="2">
        <v>5613.2300000000005</v>
      </c>
      <c r="AM58" s="2">
        <v>0</v>
      </c>
      <c r="AN58" s="2">
        <v>0</v>
      </c>
      <c r="AO58" s="2">
        <v>0</v>
      </c>
      <c r="AP58" s="2">
        <v>0</v>
      </c>
      <c r="AQ58" s="2">
        <v>0</v>
      </c>
      <c r="AR58" s="2">
        <v>0</v>
      </c>
      <c r="AS58" s="2">
        <v>0</v>
      </c>
      <c r="AT58" s="2">
        <v>0</v>
      </c>
      <c r="AU58" s="2">
        <v>0</v>
      </c>
      <c r="AV58" s="2">
        <v>1</v>
      </c>
      <c r="AW58" s="2">
        <v>1</v>
      </c>
      <c r="AX58" s="2"/>
      <c r="AY58" s="2"/>
      <c r="AZ58" s="2">
        <v>1</v>
      </c>
      <c r="BA58" s="2">
        <v>1</v>
      </c>
      <c r="BB58" s="2">
        <v>1</v>
      </c>
      <c r="BC58" s="2">
        <v>1</v>
      </c>
      <c r="BD58" s="2" t="s">
        <v>3</v>
      </c>
      <c r="BE58" s="2" t="s">
        <v>3</v>
      </c>
      <c r="BF58" s="2" t="s">
        <v>3</v>
      </c>
      <c r="BG58" s="2" t="s">
        <v>3</v>
      </c>
      <c r="BH58" s="2">
        <v>3</v>
      </c>
      <c r="BI58" s="2">
        <v>3</v>
      </c>
      <c r="BJ58" s="2" t="s">
        <v>3</v>
      </c>
      <c r="BK58" s="2"/>
      <c r="BL58" s="2"/>
      <c r="BM58" s="2">
        <v>746</v>
      </c>
      <c r="BN58" s="2">
        <v>0</v>
      </c>
      <c r="BO58" s="2" t="s">
        <v>3</v>
      </c>
      <c r="BP58" s="2">
        <v>0</v>
      </c>
      <c r="BQ58" s="2">
        <v>130</v>
      </c>
      <c r="BR58" s="2">
        <v>0</v>
      </c>
      <c r="BS58" s="2">
        <v>1</v>
      </c>
      <c r="BT58" s="2">
        <v>1</v>
      </c>
      <c r="BU58" s="2">
        <v>1</v>
      </c>
      <c r="BV58" s="2">
        <v>1</v>
      </c>
      <c r="BW58" s="2">
        <v>1</v>
      </c>
      <c r="BX58" s="2">
        <v>1</v>
      </c>
      <c r="BY58" s="2" t="s">
        <v>3</v>
      </c>
      <c r="BZ58" s="2">
        <v>0</v>
      </c>
      <c r="CA58" s="2">
        <v>0</v>
      </c>
      <c r="CB58" s="2" t="s">
        <v>3</v>
      </c>
      <c r="CC58" s="2"/>
      <c r="CD58" s="2"/>
      <c r="CE58" s="2">
        <v>1566</v>
      </c>
      <c r="CF58" s="2">
        <v>0</v>
      </c>
      <c r="CG58" s="2">
        <v>0</v>
      </c>
      <c r="CH58" s="2"/>
      <c r="CI58" s="2"/>
      <c r="CJ58" s="2"/>
      <c r="CK58" s="2"/>
      <c r="CL58" s="2"/>
      <c r="CM58" s="2">
        <v>0</v>
      </c>
      <c r="CN58" s="2" t="s">
        <v>3</v>
      </c>
      <c r="CO58" s="2">
        <v>0</v>
      </c>
      <c r="CP58" s="2">
        <f t="shared" si="31"/>
        <v>5613.23</v>
      </c>
      <c r="CQ58" s="2">
        <f>ROUND((ROUND((AC58*1),2)*BC58),2)</f>
        <v>5613.23</v>
      </c>
      <c r="CR58" s="2">
        <f>(ROUND((ROUND(((ET58)*AV58*1),2)*BB58),2)+ROUND((ROUND(((AE58-(EU58))*AV58*1),2)*BS58),2))</f>
        <v>0</v>
      </c>
      <c r="CS58" s="2">
        <f>(ROUND((ROUND(((EU58)*AV58*1),2)*BS58),2)+ROUND((ROUND(((AE58-(EU58))*AV58*1),2)*BS58),2))</f>
        <v>0</v>
      </c>
      <c r="CT58" s="2">
        <f t="shared" si="33"/>
        <v>0</v>
      </c>
      <c r="CU58" s="2">
        <f t="shared" si="34"/>
        <v>0</v>
      </c>
      <c r="CV58" s="2">
        <f t="shared" si="35"/>
        <v>0</v>
      </c>
      <c r="CW58" s="2">
        <f t="shared" si="36"/>
        <v>0</v>
      </c>
      <c r="CX58" s="2">
        <f t="shared" si="37"/>
        <v>0</v>
      </c>
      <c r="CY58" s="2">
        <f>(ROUND((((S58+ROUND((ROUND(((EU58)*AV58*1),2)*BS58),2))*AT58)/100),2)+ROUND(((ROUND((ROUND(((AE58-(EU58))*AV58*1),2)*BS58),2)*AT58)/100),2))</f>
        <v>0</v>
      </c>
      <c r="CZ58" s="2">
        <f>(ROUND((((S58+ROUND((ROUND(((EU58)*AV58*1),2)*BS58),2))*AU58)/100),2)+ROUND(((ROUND((ROUND(((AE58-(EU58))*AV58*1),2)*BS58),2)*AU58)/100),2))</f>
        <v>0</v>
      </c>
      <c r="DA58" s="2"/>
      <c r="DB58" s="2"/>
      <c r="DC58" s="2" t="s">
        <v>3</v>
      </c>
      <c r="DD58" s="2" t="s">
        <v>3</v>
      </c>
      <c r="DE58" s="2" t="s">
        <v>3</v>
      </c>
      <c r="DF58" s="2" t="s">
        <v>3</v>
      </c>
      <c r="DG58" s="2" t="s">
        <v>3</v>
      </c>
      <c r="DH58" s="2" t="s">
        <v>3</v>
      </c>
      <c r="DI58" s="2" t="s">
        <v>3</v>
      </c>
      <c r="DJ58" s="2" t="s">
        <v>3</v>
      </c>
      <c r="DK58" s="2" t="s">
        <v>3</v>
      </c>
      <c r="DL58" s="2" t="s">
        <v>3</v>
      </c>
      <c r="DM58" s="2" t="s">
        <v>3</v>
      </c>
      <c r="DN58" s="2">
        <v>0</v>
      </c>
      <c r="DO58" s="2">
        <v>0</v>
      </c>
      <c r="DP58" s="2">
        <v>1</v>
      </c>
      <c r="DQ58" s="2">
        <v>1</v>
      </c>
      <c r="DR58" s="2"/>
      <c r="DS58" s="2"/>
      <c r="DT58" s="2"/>
      <c r="DU58" s="2">
        <v>1010</v>
      </c>
      <c r="DV58" s="2" t="s">
        <v>33</v>
      </c>
      <c r="DW58" s="2" t="s">
        <v>33</v>
      </c>
      <c r="DX58" s="2">
        <v>1</v>
      </c>
      <c r="DY58" s="2"/>
      <c r="DZ58" s="2" t="s">
        <v>3</v>
      </c>
      <c r="EA58" s="2" t="s">
        <v>3</v>
      </c>
      <c r="EB58" s="2" t="s">
        <v>3</v>
      </c>
      <c r="EC58" s="2" t="s">
        <v>3</v>
      </c>
      <c r="ED58" s="2"/>
      <c r="EE58" s="2">
        <v>60088638</v>
      </c>
      <c r="EF58" s="2">
        <v>130</v>
      </c>
      <c r="EG58" s="2" t="s">
        <v>43</v>
      </c>
      <c r="EH58" s="2">
        <v>0</v>
      </c>
      <c r="EI58" s="2" t="s">
        <v>3</v>
      </c>
      <c r="EJ58" s="2">
        <v>3</v>
      </c>
      <c r="EK58" s="2">
        <v>746</v>
      </c>
      <c r="EL58" s="2" t="s">
        <v>44</v>
      </c>
      <c r="EM58" s="2" t="s">
        <v>45</v>
      </c>
      <c r="EN58" s="2"/>
      <c r="EO58" s="2" t="s">
        <v>3</v>
      </c>
      <c r="EP58" s="2"/>
      <c r="EQ58" s="2">
        <v>0</v>
      </c>
      <c r="ER58" s="2">
        <v>0</v>
      </c>
      <c r="ES58" s="2">
        <v>5613.2300000000005</v>
      </c>
      <c r="ET58" s="2">
        <v>0</v>
      </c>
      <c r="EU58" s="2">
        <v>0</v>
      </c>
      <c r="EV58" s="2">
        <v>0</v>
      </c>
      <c r="EW58" s="2">
        <v>0</v>
      </c>
      <c r="EX58" s="2">
        <v>0</v>
      </c>
      <c r="EY58" s="2">
        <v>0</v>
      </c>
      <c r="EZ58" s="2"/>
      <c r="FA58" s="2"/>
      <c r="FB58" s="2"/>
      <c r="FC58" s="2"/>
      <c r="FD58" s="2"/>
      <c r="FE58" s="2"/>
      <c r="FF58" s="2"/>
      <c r="FG58" s="2"/>
      <c r="FH58" s="2"/>
      <c r="FI58" s="2"/>
      <c r="FJ58" s="2"/>
      <c r="FK58" s="2"/>
      <c r="FL58" s="2"/>
      <c r="FM58" s="2"/>
      <c r="FN58" s="2"/>
      <c r="FO58" s="2"/>
      <c r="FP58" s="2"/>
      <c r="FQ58" s="2">
        <v>0</v>
      </c>
      <c r="FR58" s="2">
        <f>P58</f>
        <v>5613.23</v>
      </c>
      <c r="FS58" s="2">
        <v>0</v>
      </c>
      <c r="FT58" s="2"/>
      <c r="FU58" s="2"/>
      <c r="FV58" s="2"/>
      <c r="FW58" s="2"/>
      <c r="FX58" s="2">
        <v>0</v>
      </c>
      <c r="FY58" s="2">
        <v>0</v>
      </c>
      <c r="FZ58" s="2"/>
      <c r="GA58" s="2" t="s">
        <v>89</v>
      </c>
      <c r="GB58" s="2"/>
      <c r="GC58" s="2"/>
      <c r="GD58" s="2">
        <v>1</v>
      </c>
      <c r="GE58" s="2"/>
      <c r="GF58" s="2">
        <v>827169523</v>
      </c>
      <c r="GG58" s="2">
        <v>2</v>
      </c>
      <c r="GH58" s="2">
        <v>4</v>
      </c>
      <c r="GI58" s="2">
        <v>-2</v>
      </c>
      <c r="GJ58" s="2">
        <v>0</v>
      </c>
      <c r="GK58" s="2">
        <v>0</v>
      </c>
      <c r="GL58" s="2">
        <f t="shared" si="38"/>
        <v>0</v>
      </c>
      <c r="GM58" s="2">
        <f t="shared" si="39"/>
        <v>5613.23</v>
      </c>
      <c r="GN58" s="2">
        <f t="shared" si="40"/>
        <v>0</v>
      </c>
      <c r="GO58" s="2">
        <f t="shared" si="41"/>
        <v>0</v>
      </c>
      <c r="GP58" s="2">
        <f t="shared" si="42"/>
        <v>0</v>
      </c>
      <c r="GQ58" s="2"/>
      <c r="GR58" s="2">
        <v>0</v>
      </c>
      <c r="GS58" s="2">
        <v>2</v>
      </c>
      <c r="GT58" s="2">
        <v>0</v>
      </c>
      <c r="GU58" s="2" t="s">
        <v>3</v>
      </c>
      <c r="GV58" s="2">
        <f t="shared" si="43"/>
        <v>0</v>
      </c>
      <c r="GW58" s="2">
        <v>1</v>
      </c>
      <c r="GX58" s="2">
        <f t="shared" si="44"/>
        <v>0</v>
      </c>
      <c r="GY58" s="2"/>
      <c r="GZ58" s="2"/>
      <c r="HA58" s="2">
        <v>0</v>
      </c>
      <c r="HB58" s="2">
        <v>0</v>
      </c>
      <c r="HC58" s="2">
        <f t="shared" si="45"/>
        <v>0</v>
      </c>
      <c r="HD58" s="2"/>
      <c r="HE58" s="2" t="s">
        <v>36</v>
      </c>
      <c r="HF58" s="2" t="s">
        <v>47</v>
      </c>
      <c r="HG58" s="2"/>
      <c r="HH58" s="2"/>
      <c r="HI58" s="2"/>
      <c r="HJ58" s="2"/>
      <c r="HK58" s="2"/>
      <c r="HL58" s="2"/>
      <c r="HM58" s="2" t="s">
        <v>3</v>
      </c>
      <c r="HN58" s="2" t="s">
        <v>3</v>
      </c>
      <c r="HO58" s="2" t="s">
        <v>3</v>
      </c>
      <c r="HP58" s="2" t="s">
        <v>3</v>
      </c>
      <c r="HQ58" s="2" t="s">
        <v>3</v>
      </c>
      <c r="HR58" s="2"/>
      <c r="HS58" s="2">
        <v>0</v>
      </c>
      <c r="HT58" s="2"/>
      <c r="HU58" s="2"/>
      <c r="HV58" s="2"/>
      <c r="HW58" s="2"/>
      <c r="HX58" s="2"/>
      <c r="HY58" s="2"/>
      <c r="HZ58" s="2"/>
      <c r="IA58" s="2"/>
      <c r="IB58" s="2"/>
      <c r="IC58" s="2"/>
      <c r="ID58" s="2"/>
      <c r="IE58" s="2"/>
      <c r="IF58" s="2"/>
      <c r="IG58" s="2"/>
      <c r="IH58" s="2"/>
      <c r="II58" s="2"/>
      <c r="IJ58" s="2"/>
      <c r="IK58" s="2">
        <v>0</v>
      </c>
      <c r="IL58" s="2"/>
      <c r="IM58" s="2"/>
      <c r="IN58" s="2"/>
      <c r="IO58" s="2"/>
      <c r="IP58" s="2"/>
      <c r="IQ58" s="2"/>
      <c r="IR58" s="2"/>
      <c r="IS58" s="2"/>
      <c r="IT58" s="2"/>
      <c r="IU58" s="2"/>
    </row>
    <row r="59" spans="1:255" x14ac:dyDescent="0.2">
      <c r="A59" s="3">
        <v>17</v>
      </c>
      <c r="B59" s="3">
        <v>1</v>
      </c>
      <c r="E59" s="3" t="s">
        <v>86</v>
      </c>
      <c r="F59" s="3" t="s">
        <v>87</v>
      </c>
      <c r="G59" s="3" t="s">
        <v>88</v>
      </c>
      <c r="H59" s="3" t="s">
        <v>33</v>
      </c>
      <c r="I59" s="3">
        <v>1</v>
      </c>
      <c r="J59" s="3">
        <v>0</v>
      </c>
      <c r="K59" s="3">
        <v>1</v>
      </c>
      <c r="O59" s="3">
        <f t="shared" si="21"/>
        <v>42997.34</v>
      </c>
      <c r="P59" s="3">
        <f>ROUND((ROUND((AC59*I59),2)*BC59),2)</f>
        <v>42997.34</v>
      </c>
      <c r="Q59" s="3">
        <f>(ROUND((ROUND(((ET59)*AV59*I59),2)*BB59),2)+ROUND((ROUND(((AE59-(EU59))*AV59*I59),2)*BS59),2))</f>
        <v>0</v>
      </c>
      <c r="R59" s="3">
        <f>(ROUND((ROUND(((EU59)*AV59*I59),2)*BS59),2)+ROUND((ROUND(((AE59-(EU59))*AV59*I59),2)*BS59),2))</f>
        <v>0</v>
      </c>
      <c r="S59" s="3">
        <f t="shared" si="23"/>
        <v>0</v>
      </c>
      <c r="T59" s="3">
        <f t="shared" si="24"/>
        <v>0</v>
      </c>
      <c r="U59" s="3">
        <f t="shared" si="25"/>
        <v>0</v>
      </c>
      <c r="V59" s="3">
        <f t="shared" si="26"/>
        <v>0</v>
      </c>
      <c r="W59" s="3">
        <f t="shared" si="27"/>
        <v>0</v>
      </c>
      <c r="X59" s="3">
        <f>(ROUND((((S59+ROUND((ROUND(((EU59)*AV59*I59),2)*BS59),2))*AT59)/100),2)+ROUND(((ROUND((ROUND(((AE59-(EU59))*AV59*I59),2)*BS59),2)*AT59)/100),2))</f>
        <v>0</v>
      </c>
      <c r="Y59" s="3">
        <f>(ROUND((((S59+ROUND((ROUND(((EU59)*AV59*I59),2)*BS59),2))*AU59)/100),2)+ROUND(((ROUND((ROUND(((AE59-(EU59))*AV59*I59),2)*BS59),2)*AU59)/100),2))</f>
        <v>0</v>
      </c>
      <c r="AA59" s="3">
        <v>60256402</v>
      </c>
      <c r="AB59" s="3">
        <f t="shared" si="28"/>
        <v>5613.23</v>
      </c>
      <c r="AC59" s="3">
        <f>ROUND((ES59),6)</f>
        <v>5613.23</v>
      </c>
      <c r="AD59" s="3">
        <f>ROUND((((ET59)-(EU59))+AE59),6)</f>
        <v>0</v>
      </c>
      <c r="AE59" s="3">
        <f t="shared" si="48"/>
        <v>0</v>
      </c>
      <c r="AF59" s="3">
        <f t="shared" si="48"/>
        <v>0</v>
      </c>
      <c r="AG59" s="3">
        <f t="shared" si="29"/>
        <v>0</v>
      </c>
      <c r="AH59" s="3">
        <f t="shared" si="49"/>
        <v>0</v>
      </c>
      <c r="AI59" s="3">
        <f t="shared" si="49"/>
        <v>0</v>
      </c>
      <c r="AJ59" s="3">
        <f t="shared" si="30"/>
        <v>0</v>
      </c>
      <c r="AK59" s="3">
        <v>5613.2300000000005</v>
      </c>
      <c r="AL59" s="3">
        <v>5613.2300000000005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3">
        <v>1</v>
      </c>
      <c r="AW59" s="3">
        <v>1</v>
      </c>
      <c r="AZ59" s="3">
        <v>1</v>
      </c>
      <c r="BA59" s="3">
        <v>1</v>
      </c>
      <c r="BB59" s="3">
        <v>1</v>
      </c>
      <c r="BC59" s="3">
        <v>7.66</v>
      </c>
      <c r="BD59" s="3" t="s">
        <v>3</v>
      </c>
      <c r="BE59" s="3" t="s">
        <v>3</v>
      </c>
      <c r="BF59" s="3" t="s">
        <v>3</v>
      </c>
      <c r="BG59" s="3" t="s">
        <v>3</v>
      </c>
      <c r="BH59" s="3">
        <v>3</v>
      </c>
      <c r="BI59" s="3">
        <v>3</v>
      </c>
      <c r="BJ59" s="3" t="s">
        <v>3</v>
      </c>
      <c r="BM59" s="3">
        <v>746</v>
      </c>
      <c r="BN59" s="3">
        <v>0</v>
      </c>
      <c r="BO59" s="3" t="s">
        <v>3</v>
      </c>
      <c r="BP59" s="3">
        <v>0</v>
      </c>
      <c r="BQ59" s="3">
        <v>130</v>
      </c>
      <c r="BR59" s="3">
        <v>0</v>
      </c>
      <c r="BS59" s="3">
        <v>1</v>
      </c>
      <c r="BT59" s="3">
        <v>1</v>
      </c>
      <c r="BU59" s="3">
        <v>1</v>
      </c>
      <c r="BV59" s="3">
        <v>1</v>
      </c>
      <c r="BW59" s="3">
        <v>1</v>
      </c>
      <c r="BX59" s="3">
        <v>1</v>
      </c>
      <c r="BY59" s="3" t="s">
        <v>3</v>
      </c>
      <c r="BZ59" s="3">
        <v>0</v>
      </c>
      <c r="CA59" s="3">
        <v>0</v>
      </c>
      <c r="CB59" s="3" t="s">
        <v>3</v>
      </c>
      <c r="CE59" s="3">
        <v>1566</v>
      </c>
      <c r="CF59" s="3">
        <v>0</v>
      </c>
      <c r="CG59" s="3">
        <v>0</v>
      </c>
      <c r="CM59" s="3">
        <v>0</v>
      </c>
      <c r="CN59" s="3" t="s">
        <v>3</v>
      </c>
      <c r="CO59" s="3">
        <v>0</v>
      </c>
      <c r="CP59" s="3">
        <f t="shared" si="31"/>
        <v>42997.34</v>
      </c>
      <c r="CQ59" s="3">
        <f>ROUND((ROUND((AC59*1),2)*BC59),2)</f>
        <v>42997.34</v>
      </c>
      <c r="CR59" s="3">
        <f>(ROUND((ROUND(((ET59)*AV59*1),2)*BB59),2)+ROUND((ROUND(((AE59-(EU59))*AV59*1),2)*BS59),2))</f>
        <v>0</v>
      </c>
      <c r="CS59" s="3">
        <f>(ROUND((ROUND(((EU59)*AV59*1),2)*BS59),2)+ROUND((ROUND(((AE59-(EU59))*AV59*1),2)*BS59),2))</f>
        <v>0</v>
      </c>
      <c r="CT59" s="3">
        <f t="shared" si="33"/>
        <v>0</v>
      </c>
      <c r="CU59" s="3">
        <f t="shared" si="34"/>
        <v>0</v>
      </c>
      <c r="CV59" s="3">
        <f t="shared" si="35"/>
        <v>0</v>
      </c>
      <c r="CW59" s="3">
        <f t="shared" si="36"/>
        <v>0</v>
      </c>
      <c r="CX59" s="3">
        <f t="shared" si="37"/>
        <v>0</v>
      </c>
      <c r="CY59" s="3">
        <f>(ROUND((((S59+ROUND((ROUND(((EU59)*AV59*1),2)*BS59),2))*AT59)/100),2)+ROUND(((ROUND((ROUND(((AE59-(EU59))*AV59*1),2)*BS59),2)*AT59)/100),2))</f>
        <v>0</v>
      </c>
      <c r="CZ59" s="3">
        <f>(ROUND((((S59+ROUND((ROUND(((EU59)*AV59*1),2)*BS59),2))*AU59)/100),2)+ROUND(((ROUND((ROUND(((AE59-(EU59))*AV59*1),2)*BS59),2)*AU59)/100),2))</f>
        <v>0</v>
      </c>
      <c r="DC59" s="3" t="s">
        <v>3</v>
      </c>
      <c r="DD59" s="3" t="s">
        <v>3</v>
      </c>
      <c r="DE59" s="3" t="s">
        <v>3</v>
      </c>
      <c r="DF59" s="3" t="s">
        <v>3</v>
      </c>
      <c r="DG59" s="3" t="s">
        <v>3</v>
      </c>
      <c r="DH59" s="3" t="s">
        <v>3</v>
      </c>
      <c r="DI59" s="3" t="s">
        <v>3</v>
      </c>
      <c r="DJ59" s="3" t="s">
        <v>3</v>
      </c>
      <c r="DK59" s="3" t="s">
        <v>3</v>
      </c>
      <c r="DL59" s="3" t="s">
        <v>3</v>
      </c>
      <c r="DM59" s="3" t="s">
        <v>3</v>
      </c>
      <c r="DN59" s="3">
        <v>0</v>
      </c>
      <c r="DO59" s="3">
        <v>0</v>
      </c>
      <c r="DP59" s="3">
        <v>1</v>
      </c>
      <c r="DQ59" s="3">
        <v>1</v>
      </c>
      <c r="DU59" s="3">
        <v>1010</v>
      </c>
      <c r="DV59" s="3" t="s">
        <v>33</v>
      </c>
      <c r="DW59" s="3" t="s">
        <v>33</v>
      </c>
      <c r="DX59" s="3">
        <v>1</v>
      </c>
      <c r="DZ59" s="3" t="s">
        <v>3</v>
      </c>
      <c r="EA59" s="3" t="s">
        <v>3</v>
      </c>
      <c r="EB59" s="3" t="s">
        <v>3</v>
      </c>
      <c r="EC59" s="3" t="s">
        <v>3</v>
      </c>
      <c r="EE59" s="3">
        <v>60088638</v>
      </c>
      <c r="EF59" s="3">
        <v>130</v>
      </c>
      <c r="EG59" s="3" t="s">
        <v>43</v>
      </c>
      <c r="EH59" s="3">
        <v>0</v>
      </c>
      <c r="EI59" s="3" t="s">
        <v>3</v>
      </c>
      <c r="EJ59" s="3">
        <v>3</v>
      </c>
      <c r="EK59" s="3">
        <v>746</v>
      </c>
      <c r="EL59" s="3" t="s">
        <v>44</v>
      </c>
      <c r="EM59" s="3" t="s">
        <v>45</v>
      </c>
      <c r="EO59" s="3" t="s">
        <v>3</v>
      </c>
      <c r="EQ59" s="3">
        <v>0</v>
      </c>
      <c r="ER59" s="3">
        <v>5613.2300000000005</v>
      </c>
      <c r="ES59" s="3">
        <v>5613.2300000000005</v>
      </c>
      <c r="ET59" s="3">
        <v>0</v>
      </c>
      <c r="EU59" s="3">
        <v>0</v>
      </c>
      <c r="EV59" s="3">
        <v>0</v>
      </c>
      <c r="EW59" s="3">
        <v>0</v>
      </c>
      <c r="EX59" s="3">
        <v>0</v>
      </c>
      <c r="EY59" s="3">
        <v>0</v>
      </c>
      <c r="EZ59" s="3">
        <v>5</v>
      </c>
      <c r="FC59" s="3">
        <v>1</v>
      </c>
      <c r="FD59" s="3">
        <v>18</v>
      </c>
      <c r="FF59" s="3">
        <v>49500</v>
      </c>
      <c r="FQ59" s="3">
        <v>0</v>
      </c>
      <c r="FR59" s="3">
        <f>P59</f>
        <v>42997.34</v>
      </c>
      <c r="FS59" s="3">
        <v>0</v>
      </c>
      <c r="FX59" s="3">
        <v>0</v>
      </c>
      <c r="FY59" s="3">
        <v>0</v>
      </c>
      <c r="GA59" s="3" t="s">
        <v>89</v>
      </c>
      <c r="GD59" s="3">
        <v>1</v>
      </c>
      <c r="GF59" s="3">
        <v>827169523</v>
      </c>
      <c r="GG59" s="3">
        <v>2</v>
      </c>
      <c r="GH59" s="3">
        <v>3</v>
      </c>
      <c r="GI59" s="3">
        <v>5</v>
      </c>
      <c r="GJ59" s="3">
        <v>0</v>
      </c>
      <c r="GK59" s="3">
        <v>0</v>
      </c>
      <c r="GL59" s="3">
        <f t="shared" si="38"/>
        <v>0</v>
      </c>
      <c r="GM59" s="3">
        <f t="shared" si="39"/>
        <v>42997.34</v>
      </c>
      <c r="GN59" s="3">
        <f t="shared" si="40"/>
        <v>0</v>
      </c>
      <c r="GO59" s="3">
        <f t="shared" si="41"/>
        <v>0</v>
      </c>
      <c r="GP59" s="3">
        <f t="shared" si="42"/>
        <v>0</v>
      </c>
      <c r="GR59" s="3">
        <v>1</v>
      </c>
      <c r="GS59" s="3">
        <v>1</v>
      </c>
      <c r="GT59" s="3">
        <v>0</v>
      </c>
      <c r="GU59" s="3" t="s">
        <v>3</v>
      </c>
      <c r="GV59" s="3">
        <f t="shared" si="43"/>
        <v>0</v>
      </c>
      <c r="GW59" s="3">
        <v>1</v>
      </c>
      <c r="GX59" s="3">
        <f t="shared" si="44"/>
        <v>0</v>
      </c>
      <c r="HA59" s="3">
        <v>0</v>
      </c>
      <c r="HB59" s="3">
        <v>0</v>
      </c>
      <c r="HC59" s="3">
        <f t="shared" si="45"/>
        <v>0</v>
      </c>
      <c r="HE59" s="3" t="s">
        <v>36</v>
      </c>
      <c r="HF59" s="3" t="s">
        <v>47</v>
      </c>
      <c r="HM59" s="3" t="s">
        <v>3</v>
      </c>
      <c r="HN59" s="3" t="s">
        <v>3</v>
      </c>
      <c r="HO59" s="3" t="s">
        <v>3</v>
      </c>
      <c r="HP59" s="3" t="s">
        <v>3</v>
      </c>
      <c r="HQ59" s="3" t="s">
        <v>3</v>
      </c>
      <c r="HS59" s="3">
        <v>0</v>
      </c>
      <c r="IK59" s="3">
        <v>0</v>
      </c>
    </row>
    <row r="60" spans="1:255" x14ac:dyDescent="0.2">
      <c r="A60" s="2">
        <v>17</v>
      </c>
      <c r="B60" s="2">
        <v>1</v>
      </c>
      <c r="C60" s="2">
        <f>ROW(SmtRes!A52)</f>
        <v>52</v>
      </c>
      <c r="D60" s="2">
        <f>ROW(EtalonRes!A67)</f>
        <v>67</v>
      </c>
      <c r="E60" s="2" t="s">
        <v>90</v>
      </c>
      <c r="F60" s="2" t="s">
        <v>64</v>
      </c>
      <c r="G60" s="2" t="s">
        <v>65</v>
      </c>
      <c r="H60" s="2" t="s">
        <v>22</v>
      </c>
      <c r="I60" s="2">
        <v>1</v>
      </c>
      <c r="J60" s="2">
        <v>0</v>
      </c>
      <c r="K60" s="2">
        <v>1</v>
      </c>
      <c r="L60" s="2"/>
      <c r="M60" s="2"/>
      <c r="N60" s="2"/>
      <c r="O60" s="2">
        <f t="shared" ref="O60:O91" si="50">ROUND(CP60,2)</f>
        <v>7.77</v>
      </c>
      <c r="P60" s="2">
        <f>ROUND((ROUND((AC60*AW60*I60),2)*BC60),2)</f>
        <v>0</v>
      </c>
      <c r="Q60" s="2">
        <f>(ROUND((ROUND((((ET60*1.1))*AV60*I60),2)*BB60),2)+ROUND((ROUND(((AE60-((EU60*1.1)))*AV60*I60),2)*BS60),2))</f>
        <v>0</v>
      </c>
      <c r="R60" s="2">
        <f>(ROUND((ROUND((((EU60*1.1))*AV60*I60),2)*BS60),2)+ROUND((ROUND(((AE60-((EU60*1.1)))*AV60*I60),2)*BS60),2))</f>
        <v>0</v>
      </c>
      <c r="S60" s="2">
        <f t="shared" ref="S60:S91" si="51">ROUND((ROUND((AF60*AV60*I60),2)*BA60),2)</f>
        <v>7.77</v>
      </c>
      <c r="T60" s="2">
        <f t="shared" ref="T60:T91" si="52">ROUND(CU60*I60,2)</f>
        <v>0</v>
      </c>
      <c r="U60" s="2">
        <f t="shared" ref="U60:U91" si="53">CV60*I60</f>
        <v>0.59888399999999997</v>
      </c>
      <c r="V60" s="2">
        <f t="shared" ref="V60:V91" si="54">CW60*I60</f>
        <v>0</v>
      </c>
      <c r="W60" s="2">
        <f t="shared" ref="W60:W91" si="55">ROUND(CX60*I60,2)</f>
        <v>0</v>
      </c>
      <c r="X60" s="2">
        <f>(ROUND((((S60+ROUND((ROUND((((EU60*1.1))*AV60*I60),2)*BS60),2))*AT60)/100),2)+ROUND(((ROUND((ROUND(((AE60-((EU60*1.1)))*AV60*I60),2)*BS60),2)*AT60)/100),2))</f>
        <v>6.99</v>
      </c>
      <c r="Y60" s="2">
        <f>(ROUND((((S60+ROUND((ROUND((((EU60*1.1))*AV60*I60),2)*BS60),2))*AU60)/100),2)+ROUND(((ROUND((ROUND(((AE60-((EU60*1.1)))*AV60*I60),2)*BS60),2)*AU60)/100),2))</f>
        <v>3.57</v>
      </c>
      <c r="Z60" s="2"/>
      <c r="AA60" s="2">
        <v>60256405</v>
      </c>
      <c r="AB60" s="2">
        <f t="shared" ref="AB60:AB91" si="56">ROUND((AC60+AD60+AF60),6)</f>
        <v>7.4249999999999998</v>
      </c>
      <c r="AC60" s="2">
        <f>ROUND(((ES60*1)),6)</f>
        <v>0</v>
      </c>
      <c r="AD60" s="2">
        <f>ROUND(((((ET60*1.1))-((EU60*1.1)))+AE60),6)</f>
        <v>0</v>
      </c>
      <c r="AE60" s="2">
        <f>ROUND(((EU60*1.1)),6)</f>
        <v>0</v>
      </c>
      <c r="AF60" s="2">
        <f>ROUND(((EV60*1.1)),6)</f>
        <v>7.4249999999999998</v>
      </c>
      <c r="AG60" s="2">
        <f t="shared" ref="AG60:AG91" si="57">ROUND((AP60),6)</f>
        <v>0</v>
      </c>
      <c r="AH60" s="2">
        <f>((EW60*1.1))</f>
        <v>0.57200000000000006</v>
      </c>
      <c r="AI60" s="2">
        <f>((EX60*1.1))</f>
        <v>0</v>
      </c>
      <c r="AJ60" s="2">
        <f t="shared" ref="AJ60:AJ91" si="58">(AS60)</f>
        <v>0</v>
      </c>
      <c r="AK60" s="2">
        <v>6.75</v>
      </c>
      <c r="AL60" s="2">
        <v>0</v>
      </c>
      <c r="AM60" s="2">
        <v>0</v>
      </c>
      <c r="AN60" s="2">
        <v>0</v>
      </c>
      <c r="AO60" s="2">
        <v>6.75</v>
      </c>
      <c r="AP60" s="2">
        <v>0</v>
      </c>
      <c r="AQ60" s="2">
        <v>0.52</v>
      </c>
      <c r="AR60" s="2">
        <v>0</v>
      </c>
      <c r="AS60" s="2">
        <v>0</v>
      </c>
      <c r="AT60" s="2">
        <v>90</v>
      </c>
      <c r="AU60" s="2">
        <v>46</v>
      </c>
      <c r="AV60" s="2">
        <v>1.0469999999999999</v>
      </c>
      <c r="AW60" s="2">
        <v>1</v>
      </c>
      <c r="AX60" s="2"/>
      <c r="AY60" s="2"/>
      <c r="AZ60" s="2">
        <v>1</v>
      </c>
      <c r="BA60" s="2">
        <v>1</v>
      </c>
      <c r="BB60" s="2">
        <v>1</v>
      </c>
      <c r="BC60" s="2">
        <v>1</v>
      </c>
      <c r="BD60" s="2" t="s">
        <v>3</v>
      </c>
      <c r="BE60" s="2" t="s">
        <v>3</v>
      </c>
      <c r="BF60" s="2" t="s">
        <v>3</v>
      </c>
      <c r="BG60" s="2" t="s">
        <v>3</v>
      </c>
      <c r="BH60" s="2">
        <v>0</v>
      </c>
      <c r="BI60" s="2">
        <v>2</v>
      </c>
      <c r="BJ60" s="2" t="s">
        <v>66</v>
      </c>
      <c r="BK60" s="2"/>
      <c r="BL60" s="2"/>
      <c r="BM60" s="2">
        <v>72</v>
      </c>
      <c r="BN60" s="2">
        <v>58973116</v>
      </c>
      <c r="BO60" s="2" t="s">
        <v>64</v>
      </c>
      <c r="BP60" s="2">
        <v>1</v>
      </c>
      <c r="BQ60" s="2">
        <v>40</v>
      </c>
      <c r="BR60" s="2">
        <v>0</v>
      </c>
      <c r="BS60" s="2">
        <v>1</v>
      </c>
      <c r="BT60" s="2">
        <v>1</v>
      </c>
      <c r="BU60" s="2">
        <v>1</v>
      </c>
      <c r="BV60" s="2">
        <v>1</v>
      </c>
      <c r="BW60" s="2">
        <v>1</v>
      </c>
      <c r="BX60" s="2">
        <v>1</v>
      </c>
      <c r="BY60" s="2" t="s">
        <v>3</v>
      </c>
      <c r="BZ60" s="2">
        <v>90</v>
      </c>
      <c r="CA60" s="2">
        <v>46</v>
      </c>
      <c r="CB60" s="2" t="s">
        <v>3</v>
      </c>
      <c r="CC60" s="2"/>
      <c r="CD60" s="2"/>
      <c r="CE60" s="2">
        <v>1566</v>
      </c>
      <c r="CF60" s="2">
        <v>0</v>
      </c>
      <c r="CG60" s="2">
        <v>0</v>
      </c>
      <c r="CH60" s="2"/>
      <c r="CI60" s="2"/>
      <c r="CJ60" s="2"/>
      <c r="CK60" s="2"/>
      <c r="CL60" s="2"/>
      <c r="CM60" s="2">
        <v>0</v>
      </c>
      <c r="CN60" s="2" t="s">
        <v>369</v>
      </c>
      <c r="CO60" s="2">
        <v>0</v>
      </c>
      <c r="CP60" s="2">
        <f t="shared" ref="CP60:CP91" si="59">(P60+Q60+S60)</f>
        <v>7.77</v>
      </c>
      <c r="CQ60" s="2">
        <f>ROUND((ROUND((AC60*AW60*1),2)*BC60),2)</f>
        <v>0</v>
      </c>
      <c r="CR60" s="2">
        <f>(ROUND((ROUND((((ET60*1.1))*AV60*1),2)*BB60),2)+ROUND((ROUND(((AE60-((EU60*1.1)))*AV60*1),2)*BS60),2))</f>
        <v>0</v>
      </c>
      <c r="CS60" s="2">
        <f>(ROUND((ROUND((((EU60*1.1))*AV60*1),2)*BS60),2)+ROUND((ROUND(((AE60-((EU60*1.1)))*AV60*1),2)*BS60),2))</f>
        <v>0</v>
      </c>
      <c r="CT60" s="2">
        <f t="shared" ref="CT60:CT91" si="60">ROUND((ROUND((AF60*AV60*1),2)*BA60),2)</f>
        <v>7.77</v>
      </c>
      <c r="CU60" s="2">
        <f t="shared" ref="CU60:CU91" si="61">AG60</f>
        <v>0</v>
      </c>
      <c r="CV60" s="2">
        <f t="shared" ref="CV60:CV91" si="62">(AH60*AV60)</f>
        <v>0.59888399999999997</v>
      </c>
      <c r="CW60" s="2">
        <f t="shared" ref="CW60:CW91" si="63">AI60</f>
        <v>0</v>
      </c>
      <c r="CX60" s="2">
        <f t="shared" ref="CX60:CX91" si="64">AJ60</f>
        <v>0</v>
      </c>
      <c r="CY60" s="2">
        <f>(ROUND((((S60+ROUND((ROUND((((EU60*1.1))*AV60*1),2)*BS60),2))*AT60)/100),2)+ROUND(((ROUND((ROUND(((AE60-((EU60*1.1)))*AV60*1),2)*BS60),2)*AT60)/100),2))</f>
        <v>6.99</v>
      </c>
      <c r="CZ60" s="2">
        <f>(ROUND((((S60+ROUND((ROUND((((EU60*1.1))*AV60*1),2)*BS60),2))*AU60)/100),2)+ROUND(((ROUND((ROUND(((AE60-((EU60*1.1)))*AV60*1),2)*BS60),2)*AU60)/100),2))</f>
        <v>3.57</v>
      </c>
      <c r="DA60" s="2"/>
      <c r="DB60" s="2">
        <v>15</v>
      </c>
      <c r="DC60" s="2" t="s">
        <v>3</v>
      </c>
      <c r="DD60" s="2" t="s">
        <v>24</v>
      </c>
      <c r="DE60" s="2" t="s">
        <v>25</v>
      </c>
      <c r="DF60" s="2" t="s">
        <v>25</v>
      </c>
      <c r="DG60" s="2" t="s">
        <v>25</v>
      </c>
      <c r="DH60" s="2" t="s">
        <v>3</v>
      </c>
      <c r="DI60" s="2" t="s">
        <v>25</v>
      </c>
      <c r="DJ60" s="2" t="s">
        <v>25</v>
      </c>
      <c r="DK60" s="2" t="s">
        <v>3</v>
      </c>
      <c r="DL60" s="2" t="s">
        <v>3</v>
      </c>
      <c r="DM60" s="2" t="s">
        <v>3</v>
      </c>
      <c r="DN60" s="2">
        <v>0</v>
      </c>
      <c r="DO60" s="2">
        <v>0</v>
      </c>
      <c r="DP60" s="2">
        <v>1</v>
      </c>
      <c r="DQ60" s="2">
        <v>1</v>
      </c>
      <c r="DR60" s="2"/>
      <c r="DS60" s="2"/>
      <c r="DT60" s="2"/>
      <c r="DU60" s="2">
        <v>1013</v>
      </c>
      <c r="DV60" s="2" t="s">
        <v>22</v>
      </c>
      <c r="DW60" s="2" t="s">
        <v>22</v>
      </c>
      <c r="DX60" s="2">
        <v>1</v>
      </c>
      <c r="DY60" s="2"/>
      <c r="DZ60" s="2" t="s">
        <v>3</v>
      </c>
      <c r="EA60" s="2" t="s">
        <v>3</v>
      </c>
      <c r="EB60" s="2" t="s">
        <v>3</v>
      </c>
      <c r="EC60" s="2" t="s">
        <v>3</v>
      </c>
      <c r="ED60" s="2"/>
      <c r="EE60" s="2">
        <v>60088536</v>
      </c>
      <c r="EF60" s="2">
        <v>40</v>
      </c>
      <c r="EG60" s="2" t="s">
        <v>26</v>
      </c>
      <c r="EH60" s="2">
        <v>0</v>
      </c>
      <c r="EI60" s="2" t="s">
        <v>3</v>
      </c>
      <c r="EJ60" s="2">
        <v>2</v>
      </c>
      <c r="EK60" s="2">
        <v>72</v>
      </c>
      <c r="EL60" s="2" t="s">
        <v>52</v>
      </c>
      <c r="EM60" s="2" t="s">
        <v>53</v>
      </c>
      <c r="EN60" s="2"/>
      <c r="EO60" s="2" t="s">
        <v>29</v>
      </c>
      <c r="EP60" s="2"/>
      <c r="EQ60" s="2">
        <v>0</v>
      </c>
      <c r="ER60" s="2">
        <v>6.75</v>
      </c>
      <c r="ES60" s="2">
        <v>0</v>
      </c>
      <c r="ET60" s="2">
        <v>0</v>
      </c>
      <c r="EU60" s="2">
        <v>0</v>
      </c>
      <c r="EV60" s="2">
        <v>6.75</v>
      </c>
      <c r="EW60" s="2">
        <v>0.52</v>
      </c>
      <c r="EX60" s="2">
        <v>0</v>
      </c>
      <c r="EY60" s="2">
        <v>0</v>
      </c>
      <c r="EZ60" s="2"/>
      <c r="FA60" s="2"/>
      <c r="FB60" s="2"/>
      <c r="FC60" s="2"/>
      <c r="FD60" s="2"/>
      <c r="FE60" s="2"/>
      <c r="FF60" s="2"/>
      <c r="FG60" s="2"/>
      <c r="FH60" s="2"/>
      <c r="FI60" s="2"/>
      <c r="FJ60" s="2"/>
      <c r="FK60" s="2"/>
      <c r="FL60" s="2"/>
      <c r="FM60" s="2"/>
      <c r="FN60" s="2"/>
      <c r="FO60" s="2"/>
      <c r="FP60" s="2"/>
      <c r="FQ60" s="2">
        <v>0</v>
      </c>
      <c r="FR60" s="2">
        <v>0</v>
      </c>
      <c r="FS60" s="2">
        <v>0</v>
      </c>
      <c r="FT60" s="2"/>
      <c r="FU60" s="2"/>
      <c r="FV60" s="2"/>
      <c r="FW60" s="2"/>
      <c r="FX60" s="2">
        <v>90</v>
      </c>
      <c r="FY60" s="2">
        <v>46</v>
      </c>
      <c r="FZ60" s="2"/>
      <c r="GA60" s="2" t="s">
        <v>3</v>
      </c>
      <c r="GB60" s="2"/>
      <c r="GC60" s="2"/>
      <c r="GD60" s="2">
        <v>1</v>
      </c>
      <c r="GE60" s="2"/>
      <c r="GF60" s="2">
        <v>338415528</v>
      </c>
      <c r="GG60" s="2">
        <v>2</v>
      </c>
      <c r="GH60" s="2">
        <v>1</v>
      </c>
      <c r="GI60" s="2">
        <v>2</v>
      </c>
      <c r="GJ60" s="2">
        <v>0</v>
      </c>
      <c r="GK60" s="2">
        <v>0</v>
      </c>
      <c r="GL60" s="2">
        <f t="shared" ref="GL60:GL91" si="65">ROUND(IF(AND(BH60=3,BI60=3,FS60&lt;&gt;0),P60,0),2)</f>
        <v>0</v>
      </c>
      <c r="GM60" s="2">
        <f t="shared" ref="GM60:GM91" si="66">ROUND(O60+X60+Y60,2)+GX60</f>
        <v>18.329999999999998</v>
      </c>
      <c r="GN60" s="2">
        <f t="shared" ref="GN60:GN91" si="67">IF(OR(BI60=0,BI60=1),GM60-GX60,0)</f>
        <v>0</v>
      </c>
      <c r="GO60" s="2">
        <f t="shared" ref="GO60:GO91" si="68">IF(BI60=2,GM60-GX60,0)</f>
        <v>18.329999999999998</v>
      </c>
      <c r="GP60" s="2">
        <f t="shared" ref="GP60:GP91" si="69">IF(BI60=4,GM60-GX60,0)</f>
        <v>0</v>
      </c>
      <c r="GQ60" s="2"/>
      <c r="GR60" s="2">
        <v>0</v>
      </c>
      <c r="GS60" s="2">
        <v>3</v>
      </c>
      <c r="GT60" s="2">
        <v>0</v>
      </c>
      <c r="GU60" s="2" t="s">
        <v>3</v>
      </c>
      <c r="GV60" s="2">
        <f t="shared" ref="GV60:GV91" si="70">ROUND((GT60),6)</f>
        <v>0</v>
      </c>
      <c r="GW60" s="2">
        <v>1</v>
      </c>
      <c r="GX60" s="2">
        <f t="shared" ref="GX60:GX91" si="71">ROUND(HC60*I60,2)</f>
        <v>0</v>
      </c>
      <c r="GY60" s="2"/>
      <c r="GZ60" s="2"/>
      <c r="HA60" s="2">
        <v>0</v>
      </c>
      <c r="HB60" s="2">
        <v>0</v>
      </c>
      <c r="HC60" s="2">
        <f t="shared" ref="HC60:HC91" si="72">GV60*GW60</f>
        <v>0</v>
      </c>
      <c r="HD60" s="2"/>
      <c r="HE60" s="2" t="s">
        <v>3</v>
      </c>
      <c r="HF60" s="2" t="s">
        <v>3</v>
      </c>
      <c r="HG60" s="2"/>
      <c r="HH60" s="2"/>
      <c r="HI60" s="2"/>
      <c r="HJ60" s="2"/>
      <c r="HK60" s="2"/>
      <c r="HL60" s="2"/>
      <c r="HM60" s="2" t="s">
        <v>3</v>
      </c>
      <c r="HN60" s="2" t="s">
        <v>3</v>
      </c>
      <c r="HO60" s="2" t="s">
        <v>3</v>
      </c>
      <c r="HP60" s="2" t="s">
        <v>3</v>
      </c>
      <c r="HQ60" s="2" t="s">
        <v>3</v>
      </c>
      <c r="HR60" s="2"/>
      <c r="HS60" s="2">
        <v>0</v>
      </c>
      <c r="HT60" s="2"/>
      <c r="HU60" s="2"/>
      <c r="HV60" s="2"/>
      <c r="HW60" s="2"/>
      <c r="HX60" s="2"/>
      <c r="HY60" s="2"/>
      <c r="HZ60" s="2"/>
      <c r="IA60" s="2"/>
      <c r="IB60" s="2"/>
      <c r="IC60" s="2"/>
      <c r="ID60" s="2"/>
      <c r="IE60" s="2"/>
      <c r="IF60" s="2"/>
      <c r="IG60" s="2"/>
      <c r="IH60" s="2"/>
      <c r="II60" s="2"/>
      <c r="IJ60" s="2"/>
      <c r="IK60" s="2">
        <v>0</v>
      </c>
      <c r="IL60" s="2"/>
      <c r="IM60" s="2"/>
      <c r="IN60" s="2"/>
      <c r="IO60" s="2"/>
      <c r="IP60" s="2"/>
      <c r="IQ60" s="2"/>
      <c r="IR60" s="2"/>
      <c r="IS60" s="2"/>
      <c r="IT60" s="2"/>
      <c r="IU60" s="2"/>
    </row>
    <row r="61" spans="1:255" x14ac:dyDescent="0.2">
      <c r="A61" s="3">
        <v>17</v>
      </c>
      <c r="B61" s="3">
        <v>1</v>
      </c>
      <c r="C61" s="3">
        <f>ROW(SmtRes!A54)</f>
        <v>54</v>
      </c>
      <c r="D61" s="3">
        <f>ROW(EtalonRes!A70)</f>
        <v>70</v>
      </c>
      <c r="E61" s="3" t="s">
        <v>90</v>
      </c>
      <c r="F61" s="3" t="s">
        <v>64</v>
      </c>
      <c r="G61" s="3" t="s">
        <v>65</v>
      </c>
      <c r="H61" s="3" t="s">
        <v>22</v>
      </c>
      <c r="I61" s="3">
        <v>1</v>
      </c>
      <c r="J61" s="3">
        <v>0</v>
      </c>
      <c r="K61" s="3">
        <v>1</v>
      </c>
      <c r="O61" s="3">
        <f t="shared" si="50"/>
        <v>427.27</v>
      </c>
      <c r="P61" s="3">
        <f>ROUND((ROUND((AC61*AW61*I61),2)*BC61),2)</f>
        <v>0</v>
      </c>
      <c r="Q61" s="3">
        <f>(ROUND((ROUND((((ET61*1.1))*AV61*I61),2)*BB61),2)+ROUND((ROUND(((AE61-((EU61*1.1)))*AV61*I61),2)*BS61),2))</f>
        <v>0</v>
      </c>
      <c r="R61" s="3">
        <f>(ROUND((ROUND((((EU61*1.1))*AV61*I61),2)*BS61),2)+ROUND((ROUND(((AE61-((EU61*1.1)))*AV61*I61),2)*BS61),2))</f>
        <v>0</v>
      </c>
      <c r="S61" s="3">
        <f t="shared" si="51"/>
        <v>427.27</v>
      </c>
      <c r="T61" s="3">
        <f t="shared" si="52"/>
        <v>0</v>
      </c>
      <c r="U61" s="3">
        <f t="shared" si="53"/>
        <v>0.59888399999999997</v>
      </c>
      <c r="V61" s="3">
        <f t="shared" si="54"/>
        <v>0</v>
      </c>
      <c r="W61" s="3">
        <f t="shared" si="55"/>
        <v>0</v>
      </c>
      <c r="X61" s="3">
        <f>(ROUND((((S61+ROUND((ROUND((((EU61*1.1))*AV61*I61),2)*BS61),2))*AT61)/100),2)+ROUND(((ROUND((ROUND(((AE61-((EU61*1.1)))*AV61*I61),2)*BS61),2)*AT61)/100),2))</f>
        <v>384.54</v>
      </c>
      <c r="Y61" s="3">
        <f>(ROUND((((S61+ROUND((ROUND((((EU61*1.1))*AV61*I61),2)*BS61),2))*AU61)/100),2)+ROUND(((ROUND((ROUND(((AE61-((EU61*1.1)))*AV61*I61),2)*BS61),2)*AU61)/100),2))</f>
        <v>196.54</v>
      </c>
      <c r="AA61" s="3">
        <v>60256402</v>
      </c>
      <c r="AB61" s="3">
        <f t="shared" si="56"/>
        <v>7.4249999999999998</v>
      </c>
      <c r="AC61" s="3">
        <f>ROUND(((ES61*1)),6)</f>
        <v>0</v>
      </c>
      <c r="AD61" s="3">
        <f>ROUND(((((ET61*1.1))-((EU61*1.1)))+AE61),6)</f>
        <v>0</v>
      </c>
      <c r="AE61" s="3">
        <f>ROUND(((EU61*1.1)),6)</f>
        <v>0</v>
      </c>
      <c r="AF61" s="3">
        <f>ROUND(((EV61*1.1)),6)</f>
        <v>7.4249999999999998</v>
      </c>
      <c r="AG61" s="3">
        <f t="shared" si="57"/>
        <v>0</v>
      </c>
      <c r="AH61" s="3">
        <f>((EW61*1.1))</f>
        <v>0.57200000000000006</v>
      </c>
      <c r="AI61" s="3">
        <f>((EX61*1.1))</f>
        <v>0</v>
      </c>
      <c r="AJ61" s="3">
        <f t="shared" si="58"/>
        <v>0</v>
      </c>
      <c r="AK61" s="3">
        <v>6.75</v>
      </c>
      <c r="AL61" s="3">
        <v>0</v>
      </c>
      <c r="AM61" s="3">
        <v>0</v>
      </c>
      <c r="AN61" s="3">
        <v>0</v>
      </c>
      <c r="AO61" s="3">
        <v>6.75</v>
      </c>
      <c r="AP61" s="3">
        <v>0</v>
      </c>
      <c r="AQ61" s="3">
        <v>0.52</v>
      </c>
      <c r="AR61" s="3">
        <v>0</v>
      </c>
      <c r="AS61" s="3">
        <v>0</v>
      </c>
      <c r="AT61" s="3">
        <v>90</v>
      </c>
      <c r="AU61" s="3">
        <v>46</v>
      </c>
      <c r="AV61" s="3">
        <v>1.0469999999999999</v>
      </c>
      <c r="AW61" s="3">
        <v>1</v>
      </c>
      <c r="AZ61" s="3">
        <v>1</v>
      </c>
      <c r="BA61" s="3">
        <v>54.99</v>
      </c>
      <c r="BB61" s="3">
        <v>1</v>
      </c>
      <c r="BC61" s="3">
        <v>1</v>
      </c>
      <c r="BD61" s="3" t="s">
        <v>3</v>
      </c>
      <c r="BE61" s="3" t="s">
        <v>3</v>
      </c>
      <c r="BF61" s="3" t="s">
        <v>3</v>
      </c>
      <c r="BG61" s="3" t="s">
        <v>3</v>
      </c>
      <c r="BH61" s="3">
        <v>0</v>
      </c>
      <c r="BI61" s="3">
        <v>2</v>
      </c>
      <c r="BJ61" s="3" t="s">
        <v>66</v>
      </c>
      <c r="BM61" s="3">
        <v>72</v>
      </c>
      <c r="BN61" s="3">
        <v>58973116</v>
      </c>
      <c r="BO61" s="3" t="s">
        <v>64</v>
      </c>
      <c r="BP61" s="3">
        <v>1</v>
      </c>
      <c r="BQ61" s="3">
        <v>40</v>
      </c>
      <c r="BR61" s="3">
        <v>0</v>
      </c>
      <c r="BS61" s="3">
        <v>54.99</v>
      </c>
      <c r="BT61" s="3">
        <v>1</v>
      </c>
      <c r="BU61" s="3">
        <v>1</v>
      </c>
      <c r="BV61" s="3">
        <v>1</v>
      </c>
      <c r="BW61" s="3">
        <v>1</v>
      </c>
      <c r="BX61" s="3">
        <v>1</v>
      </c>
      <c r="BY61" s="3" t="s">
        <v>3</v>
      </c>
      <c r="BZ61" s="3">
        <v>90</v>
      </c>
      <c r="CA61" s="3">
        <v>46</v>
      </c>
      <c r="CB61" s="3" t="s">
        <v>3</v>
      </c>
      <c r="CE61" s="3">
        <v>1566</v>
      </c>
      <c r="CF61" s="3">
        <v>0</v>
      </c>
      <c r="CG61" s="3">
        <v>0</v>
      </c>
      <c r="CM61" s="3">
        <v>0</v>
      </c>
      <c r="CN61" s="3" t="s">
        <v>369</v>
      </c>
      <c r="CO61" s="3">
        <v>0</v>
      </c>
      <c r="CP61" s="3">
        <f t="shared" si="59"/>
        <v>427.27</v>
      </c>
      <c r="CQ61" s="3">
        <f>ROUND((ROUND((AC61*AW61*1),2)*BC61),2)</f>
        <v>0</v>
      </c>
      <c r="CR61" s="3">
        <f>(ROUND((ROUND((((ET61*1.1))*AV61*1),2)*BB61),2)+ROUND((ROUND(((AE61-((EU61*1.1)))*AV61*1),2)*BS61),2))</f>
        <v>0</v>
      </c>
      <c r="CS61" s="3">
        <f>(ROUND((ROUND((((EU61*1.1))*AV61*1),2)*BS61),2)+ROUND((ROUND(((AE61-((EU61*1.1)))*AV61*1),2)*BS61),2))</f>
        <v>0</v>
      </c>
      <c r="CT61" s="3">
        <f t="shared" si="60"/>
        <v>427.27</v>
      </c>
      <c r="CU61" s="3">
        <f t="shared" si="61"/>
        <v>0</v>
      </c>
      <c r="CV61" s="3">
        <f t="shared" si="62"/>
        <v>0.59888399999999997</v>
      </c>
      <c r="CW61" s="3">
        <f t="shared" si="63"/>
        <v>0</v>
      </c>
      <c r="CX61" s="3">
        <f t="shared" si="64"/>
        <v>0</v>
      </c>
      <c r="CY61" s="3">
        <f>(ROUND((((S61+ROUND((ROUND((((EU61*1.1))*AV61*1),2)*BS61),2))*AT61)/100),2)+ROUND(((ROUND((ROUND(((AE61-((EU61*1.1)))*AV61*1),2)*BS61),2)*AT61)/100),2))</f>
        <v>384.54</v>
      </c>
      <c r="CZ61" s="3">
        <f>(ROUND((((S61+ROUND((ROUND((((EU61*1.1))*AV61*1),2)*BS61),2))*AU61)/100),2)+ROUND(((ROUND((ROUND(((AE61-((EU61*1.1)))*AV61*1),2)*BS61),2)*AU61)/100),2))</f>
        <v>196.54</v>
      </c>
      <c r="DB61" s="3">
        <v>16</v>
      </c>
      <c r="DC61" s="3" t="s">
        <v>3</v>
      </c>
      <c r="DD61" s="3" t="s">
        <v>24</v>
      </c>
      <c r="DE61" s="3" t="s">
        <v>25</v>
      </c>
      <c r="DF61" s="3" t="s">
        <v>25</v>
      </c>
      <c r="DG61" s="3" t="s">
        <v>25</v>
      </c>
      <c r="DH61" s="3" t="s">
        <v>3</v>
      </c>
      <c r="DI61" s="3" t="s">
        <v>25</v>
      </c>
      <c r="DJ61" s="3" t="s">
        <v>25</v>
      </c>
      <c r="DK61" s="3" t="s">
        <v>3</v>
      </c>
      <c r="DL61" s="3" t="s">
        <v>3</v>
      </c>
      <c r="DM61" s="3" t="s">
        <v>3</v>
      </c>
      <c r="DN61" s="3">
        <v>0</v>
      </c>
      <c r="DO61" s="3">
        <v>0</v>
      </c>
      <c r="DP61" s="3">
        <v>1</v>
      </c>
      <c r="DQ61" s="3">
        <v>1</v>
      </c>
      <c r="DU61" s="3">
        <v>1013</v>
      </c>
      <c r="DV61" s="3" t="s">
        <v>22</v>
      </c>
      <c r="DW61" s="3" t="s">
        <v>22</v>
      </c>
      <c r="DX61" s="3">
        <v>1</v>
      </c>
      <c r="DZ61" s="3" t="s">
        <v>3</v>
      </c>
      <c r="EA61" s="3" t="s">
        <v>3</v>
      </c>
      <c r="EB61" s="3" t="s">
        <v>3</v>
      </c>
      <c r="EC61" s="3" t="s">
        <v>3</v>
      </c>
      <c r="EE61" s="3">
        <v>60088536</v>
      </c>
      <c r="EF61" s="3">
        <v>40</v>
      </c>
      <c r="EG61" s="3" t="s">
        <v>26</v>
      </c>
      <c r="EH61" s="3">
        <v>0</v>
      </c>
      <c r="EI61" s="3" t="s">
        <v>3</v>
      </c>
      <c r="EJ61" s="3">
        <v>2</v>
      </c>
      <c r="EK61" s="3">
        <v>72</v>
      </c>
      <c r="EL61" s="3" t="s">
        <v>52</v>
      </c>
      <c r="EM61" s="3" t="s">
        <v>53</v>
      </c>
      <c r="EO61" s="3" t="s">
        <v>29</v>
      </c>
      <c r="EQ61" s="3">
        <v>0</v>
      </c>
      <c r="ER61" s="3">
        <v>6.75</v>
      </c>
      <c r="ES61" s="3">
        <v>0</v>
      </c>
      <c r="ET61" s="3">
        <v>0</v>
      </c>
      <c r="EU61" s="3">
        <v>0</v>
      </c>
      <c r="EV61" s="3">
        <v>6.75</v>
      </c>
      <c r="EW61" s="3">
        <v>0.52</v>
      </c>
      <c r="EX61" s="3">
        <v>0</v>
      </c>
      <c r="EY61" s="3">
        <v>0</v>
      </c>
      <c r="FQ61" s="3">
        <v>0</v>
      </c>
      <c r="FR61" s="3">
        <v>0</v>
      </c>
      <c r="FS61" s="3">
        <v>0</v>
      </c>
      <c r="FX61" s="3">
        <v>90</v>
      </c>
      <c r="FY61" s="3">
        <v>46</v>
      </c>
      <c r="GA61" s="3" t="s">
        <v>3</v>
      </c>
      <c r="GD61" s="3">
        <v>1</v>
      </c>
      <c r="GF61" s="3">
        <v>338415528</v>
      </c>
      <c r="GG61" s="3">
        <v>2</v>
      </c>
      <c r="GH61" s="3">
        <v>1</v>
      </c>
      <c r="GI61" s="3">
        <v>2</v>
      </c>
      <c r="GJ61" s="3">
        <v>0</v>
      </c>
      <c r="GK61" s="3">
        <v>0</v>
      </c>
      <c r="GL61" s="3">
        <f t="shared" si="65"/>
        <v>0</v>
      </c>
      <c r="GM61" s="3">
        <f t="shared" si="66"/>
        <v>1008.35</v>
      </c>
      <c r="GN61" s="3">
        <f t="shared" si="67"/>
        <v>0</v>
      </c>
      <c r="GO61" s="3">
        <f t="shared" si="68"/>
        <v>1008.35</v>
      </c>
      <c r="GP61" s="3">
        <f t="shared" si="69"/>
        <v>0</v>
      </c>
      <c r="GR61" s="3">
        <v>0</v>
      </c>
      <c r="GS61" s="3">
        <v>3</v>
      </c>
      <c r="GT61" s="3">
        <v>0</v>
      </c>
      <c r="GU61" s="3" t="s">
        <v>3</v>
      </c>
      <c r="GV61" s="3">
        <f t="shared" si="70"/>
        <v>0</v>
      </c>
      <c r="GW61" s="3">
        <v>1</v>
      </c>
      <c r="GX61" s="3">
        <f t="shared" si="71"/>
        <v>0</v>
      </c>
      <c r="HA61" s="3">
        <v>0</v>
      </c>
      <c r="HB61" s="3">
        <v>0</v>
      </c>
      <c r="HC61" s="3">
        <f t="shared" si="72"/>
        <v>0</v>
      </c>
      <c r="HE61" s="3" t="s">
        <v>3</v>
      </c>
      <c r="HF61" s="3" t="s">
        <v>3</v>
      </c>
      <c r="HM61" s="3" t="s">
        <v>3</v>
      </c>
      <c r="HN61" s="3" t="s">
        <v>3</v>
      </c>
      <c r="HO61" s="3" t="s">
        <v>3</v>
      </c>
      <c r="HP61" s="3" t="s">
        <v>3</v>
      </c>
      <c r="HQ61" s="3" t="s">
        <v>3</v>
      </c>
      <c r="HS61" s="3">
        <v>0</v>
      </c>
      <c r="IK61" s="3">
        <v>0</v>
      </c>
    </row>
    <row r="62" spans="1:255" x14ac:dyDescent="0.2">
      <c r="A62" s="2">
        <v>18</v>
      </c>
      <c r="B62" s="2">
        <v>1</v>
      </c>
      <c r="C62" s="2">
        <v>52</v>
      </c>
      <c r="D62" s="2"/>
      <c r="E62" s="2" t="s">
        <v>91</v>
      </c>
      <c r="F62" s="2" t="s">
        <v>68</v>
      </c>
      <c r="G62" s="2" t="s">
        <v>69</v>
      </c>
      <c r="H62" s="2" t="s">
        <v>70</v>
      </c>
      <c r="I62" s="2">
        <f>I60*J62</f>
        <v>3.5000000000000003E-2</v>
      </c>
      <c r="J62" s="2">
        <v>3.5000000000000003E-2</v>
      </c>
      <c r="K62" s="2">
        <v>3.5000000000000003E-2</v>
      </c>
      <c r="L62" s="2"/>
      <c r="M62" s="2"/>
      <c r="N62" s="2"/>
      <c r="O62" s="2">
        <f t="shared" si="50"/>
        <v>1.0900000000000001</v>
      </c>
      <c r="P62" s="2">
        <f>ROUND((ROUND((AC62*AW62*I62),2)*BC62),2)</f>
        <v>1.0900000000000001</v>
      </c>
      <c r="Q62" s="2">
        <f>(ROUND((ROUND(((ET62)*AV62*I62),2)*BB62),2)+ROUND((ROUND(((AE62-(EU62))*AV62*I62),2)*BS62),2))</f>
        <v>0</v>
      </c>
      <c r="R62" s="2">
        <f>(ROUND((ROUND(((EU62)*AV62*I62),2)*BS62),2)+ROUND((ROUND(((AE62-(EU62))*AV62*I62),2)*BS62),2))</f>
        <v>0</v>
      </c>
      <c r="S62" s="2">
        <f t="shared" si="51"/>
        <v>0</v>
      </c>
      <c r="T62" s="2">
        <f t="shared" si="52"/>
        <v>0</v>
      </c>
      <c r="U62" s="2">
        <f t="shared" si="53"/>
        <v>0</v>
      </c>
      <c r="V62" s="2">
        <f t="shared" si="54"/>
        <v>0</v>
      </c>
      <c r="W62" s="2">
        <f t="shared" si="55"/>
        <v>0</v>
      </c>
      <c r="X62" s="2">
        <f>(ROUND((((S62+ROUND((ROUND(((EU62)*AV62*I62),2)*BS62),2))*AT62)/100),2)+ROUND(((ROUND((ROUND(((AE62-(EU62))*AV62*I62),2)*BS62),2)*AT62)/100),2))</f>
        <v>0</v>
      </c>
      <c r="Y62" s="2">
        <f>(ROUND((((S62+ROUND((ROUND(((EU62)*AV62*I62),2)*BS62),2))*AU62)/100),2)+ROUND(((ROUND((ROUND(((AE62-(EU62))*AV62*I62),2)*BS62),2)*AU62)/100),2))</f>
        <v>0</v>
      </c>
      <c r="Z62" s="2"/>
      <c r="AA62" s="2">
        <v>60256405</v>
      </c>
      <c r="AB62" s="2">
        <f t="shared" si="56"/>
        <v>31.08</v>
      </c>
      <c r="AC62" s="2">
        <f>ROUND((ES62),6)</f>
        <v>31.08</v>
      </c>
      <c r="AD62" s="2">
        <f>ROUND((((ET62)-(EU62))+AE62),6)</f>
        <v>0</v>
      </c>
      <c r="AE62" s="2">
        <f t="shared" ref="AE62:AF65" si="73">ROUND((EU62),6)</f>
        <v>0</v>
      </c>
      <c r="AF62" s="2">
        <f t="shared" si="73"/>
        <v>0</v>
      </c>
      <c r="AG62" s="2">
        <f t="shared" si="57"/>
        <v>0</v>
      </c>
      <c r="AH62" s="2">
        <f t="shared" ref="AH62:AI65" si="74">(EW62)</f>
        <v>0</v>
      </c>
      <c r="AI62" s="2">
        <f t="shared" si="74"/>
        <v>0</v>
      </c>
      <c r="AJ62" s="2">
        <f t="shared" si="58"/>
        <v>0</v>
      </c>
      <c r="AK62" s="2">
        <v>31.08</v>
      </c>
      <c r="AL62" s="2">
        <v>31.08</v>
      </c>
      <c r="AM62" s="2">
        <v>0</v>
      </c>
      <c r="AN62" s="2">
        <v>0</v>
      </c>
      <c r="AO62" s="2">
        <v>0</v>
      </c>
      <c r="AP62" s="2">
        <v>0</v>
      </c>
      <c r="AQ62" s="2">
        <v>0</v>
      </c>
      <c r="AR62" s="2">
        <v>0</v>
      </c>
      <c r="AS62" s="2">
        <v>0</v>
      </c>
      <c r="AT62" s="2">
        <v>90</v>
      </c>
      <c r="AU62" s="2">
        <v>46</v>
      </c>
      <c r="AV62" s="2">
        <v>1</v>
      </c>
      <c r="AW62" s="2">
        <v>1</v>
      </c>
      <c r="AX62" s="2"/>
      <c r="AY62" s="2"/>
      <c r="AZ62" s="2">
        <v>1</v>
      </c>
      <c r="BA62" s="2">
        <v>1</v>
      </c>
      <c r="BB62" s="2">
        <v>1</v>
      </c>
      <c r="BC62" s="2">
        <v>1</v>
      </c>
      <c r="BD62" s="2" t="s">
        <v>3</v>
      </c>
      <c r="BE62" s="2" t="s">
        <v>3</v>
      </c>
      <c r="BF62" s="2" t="s">
        <v>3</v>
      </c>
      <c r="BG62" s="2" t="s">
        <v>3</v>
      </c>
      <c r="BH62" s="2">
        <v>3</v>
      </c>
      <c r="BI62" s="2">
        <v>2</v>
      </c>
      <c r="BJ62" s="2" t="s">
        <v>71</v>
      </c>
      <c r="BK62" s="2"/>
      <c r="BL62" s="2"/>
      <c r="BM62" s="2">
        <v>72</v>
      </c>
      <c r="BN62" s="2">
        <v>58973116</v>
      </c>
      <c r="BO62" s="2" t="s">
        <v>3</v>
      </c>
      <c r="BP62" s="2">
        <v>0</v>
      </c>
      <c r="BQ62" s="2">
        <v>40</v>
      </c>
      <c r="BR62" s="2">
        <v>0</v>
      </c>
      <c r="BS62" s="2">
        <v>1</v>
      </c>
      <c r="BT62" s="2">
        <v>1</v>
      </c>
      <c r="BU62" s="2">
        <v>1</v>
      </c>
      <c r="BV62" s="2">
        <v>1</v>
      </c>
      <c r="BW62" s="2">
        <v>1</v>
      </c>
      <c r="BX62" s="2">
        <v>1</v>
      </c>
      <c r="BY62" s="2" t="s">
        <v>3</v>
      </c>
      <c r="BZ62" s="2">
        <v>90</v>
      </c>
      <c r="CA62" s="2">
        <v>46</v>
      </c>
      <c r="CB62" s="2" t="s">
        <v>3</v>
      </c>
      <c r="CC62" s="2"/>
      <c r="CD62" s="2"/>
      <c r="CE62" s="2">
        <v>1566</v>
      </c>
      <c r="CF62" s="2">
        <v>0</v>
      </c>
      <c r="CG62" s="2">
        <v>0</v>
      </c>
      <c r="CH62" s="2"/>
      <c r="CI62" s="2"/>
      <c r="CJ62" s="2"/>
      <c r="CK62" s="2"/>
      <c r="CL62" s="2"/>
      <c r="CM62" s="2">
        <v>0</v>
      </c>
      <c r="CN62" s="2" t="s">
        <v>369</v>
      </c>
      <c r="CO62" s="2">
        <v>0</v>
      </c>
      <c r="CP62" s="2">
        <f t="shared" si="59"/>
        <v>1.0900000000000001</v>
      </c>
      <c r="CQ62" s="2">
        <f>ROUND((ROUND((AC62*AW62*1),2)*BC62),2)</f>
        <v>31.08</v>
      </c>
      <c r="CR62" s="2">
        <f>(ROUND((ROUND(((ET62)*AV62*1),2)*BB62),2)+ROUND((ROUND(((AE62-(EU62))*AV62*1),2)*BS62),2))</f>
        <v>0</v>
      </c>
      <c r="CS62" s="2">
        <f>(ROUND((ROUND(((EU62)*AV62*1),2)*BS62),2)+ROUND((ROUND(((AE62-(EU62))*AV62*1),2)*BS62),2))</f>
        <v>0</v>
      </c>
      <c r="CT62" s="2">
        <f t="shared" si="60"/>
        <v>0</v>
      </c>
      <c r="CU62" s="2">
        <f t="shared" si="61"/>
        <v>0</v>
      </c>
      <c r="CV62" s="2">
        <f t="shared" si="62"/>
        <v>0</v>
      </c>
      <c r="CW62" s="2">
        <f t="shared" si="63"/>
        <v>0</v>
      </c>
      <c r="CX62" s="2">
        <f t="shared" si="64"/>
        <v>0</v>
      </c>
      <c r="CY62" s="2">
        <f>(ROUND((((S62+ROUND((ROUND(((EU62)*AV62*1),2)*BS62),2))*AT62)/100),2)+ROUND(((ROUND((ROUND(((AE62-(EU62))*AV62*1),2)*BS62),2)*AT62)/100),2))</f>
        <v>0</v>
      </c>
      <c r="CZ62" s="2">
        <f>(ROUND((((S62+ROUND((ROUND(((EU62)*AV62*1),2)*BS62),2))*AU62)/100),2)+ROUND(((ROUND((ROUND(((AE62-(EU62))*AV62*1),2)*BS62),2)*AU62)/100),2))</f>
        <v>0</v>
      </c>
      <c r="DA62" s="2"/>
      <c r="DB62" s="2"/>
      <c r="DC62" s="2" t="s">
        <v>3</v>
      </c>
      <c r="DD62" s="2" t="s">
        <v>3</v>
      </c>
      <c r="DE62" s="2" t="s">
        <v>3</v>
      </c>
      <c r="DF62" s="2" t="s">
        <v>3</v>
      </c>
      <c r="DG62" s="2" t="s">
        <v>3</v>
      </c>
      <c r="DH62" s="2" t="s">
        <v>3</v>
      </c>
      <c r="DI62" s="2" t="s">
        <v>3</v>
      </c>
      <c r="DJ62" s="2" t="s">
        <v>3</v>
      </c>
      <c r="DK62" s="2" t="s">
        <v>3</v>
      </c>
      <c r="DL62" s="2" t="s">
        <v>3</v>
      </c>
      <c r="DM62" s="2" t="s">
        <v>3</v>
      </c>
      <c r="DN62" s="2">
        <v>0</v>
      </c>
      <c r="DO62" s="2">
        <v>0</v>
      </c>
      <c r="DP62" s="2">
        <v>1</v>
      </c>
      <c r="DQ62" s="2">
        <v>1</v>
      </c>
      <c r="DR62" s="2"/>
      <c r="DS62" s="2"/>
      <c r="DT62" s="2"/>
      <c r="DU62" s="2">
        <v>1009</v>
      </c>
      <c r="DV62" s="2" t="s">
        <v>70</v>
      </c>
      <c r="DW62" s="2" t="s">
        <v>70</v>
      </c>
      <c r="DX62" s="2">
        <v>1</v>
      </c>
      <c r="DY62" s="2"/>
      <c r="DZ62" s="2" t="s">
        <v>3</v>
      </c>
      <c r="EA62" s="2" t="s">
        <v>3</v>
      </c>
      <c r="EB62" s="2" t="s">
        <v>3</v>
      </c>
      <c r="EC62" s="2" t="s">
        <v>3</v>
      </c>
      <c r="ED62" s="2"/>
      <c r="EE62" s="2">
        <v>60088536</v>
      </c>
      <c r="EF62" s="2">
        <v>40</v>
      </c>
      <c r="EG62" s="2" t="s">
        <v>26</v>
      </c>
      <c r="EH62" s="2">
        <v>0</v>
      </c>
      <c r="EI62" s="2" t="s">
        <v>3</v>
      </c>
      <c r="EJ62" s="2">
        <v>2</v>
      </c>
      <c r="EK62" s="2">
        <v>72</v>
      </c>
      <c r="EL62" s="2" t="s">
        <v>52</v>
      </c>
      <c r="EM62" s="2" t="s">
        <v>53</v>
      </c>
      <c r="EN62" s="2"/>
      <c r="EO62" s="2" t="s">
        <v>29</v>
      </c>
      <c r="EP62" s="2"/>
      <c r="EQ62" s="2">
        <v>0</v>
      </c>
      <c r="ER62" s="2">
        <v>31.08</v>
      </c>
      <c r="ES62" s="2">
        <v>31.08</v>
      </c>
      <c r="ET62" s="2">
        <v>0</v>
      </c>
      <c r="EU62" s="2">
        <v>0</v>
      </c>
      <c r="EV62" s="2">
        <v>0</v>
      </c>
      <c r="EW62" s="2">
        <v>0</v>
      </c>
      <c r="EX62" s="2">
        <v>0</v>
      </c>
      <c r="EY62" s="2"/>
      <c r="EZ62" s="2"/>
      <c r="FA62" s="2"/>
      <c r="FB62" s="2"/>
      <c r="FC62" s="2"/>
      <c r="FD62" s="2"/>
      <c r="FE62" s="2"/>
      <c r="FF62" s="2"/>
      <c r="FG62" s="2"/>
      <c r="FH62" s="2"/>
      <c r="FI62" s="2"/>
      <c r="FJ62" s="2"/>
      <c r="FK62" s="2"/>
      <c r="FL62" s="2"/>
      <c r="FM62" s="2"/>
      <c r="FN62" s="2"/>
      <c r="FO62" s="2"/>
      <c r="FP62" s="2"/>
      <c r="FQ62" s="2">
        <v>0</v>
      </c>
      <c r="FR62" s="2">
        <v>0</v>
      </c>
      <c r="FS62" s="2">
        <v>0</v>
      </c>
      <c r="FT62" s="2"/>
      <c r="FU62" s="2"/>
      <c r="FV62" s="2"/>
      <c r="FW62" s="2"/>
      <c r="FX62" s="2">
        <v>90</v>
      </c>
      <c r="FY62" s="2">
        <v>46</v>
      </c>
      <c r="FZ62" s="2"/>
      <c r="GA62" s="2" t="s">
        <v>3</v>
      </c>
      <c r="GB62" s="2"/>
      <c r="GC62" s="2"/>
      <c r="GD62" s="2">
        <v>1</v>
      </c>
      <c r="GE62" s="2"/>
      <c r="GF62" s="2">
        <v>1143487818</v>
      </c>
      <c r="GG62" s="2">
        <v>2</v>
      </c>
      <c r="GH62" s="2">
        <v>1</v>
      </c>
      <c r="GI62" s="2">
        <v>-2</v>
      </c>
      <c r="GJ62" s="2">
        <v>0</v>
      </c>
      <c r="GK62" s="2">
        <v>0</v>
      </c>
      <c r="GL62" s="2">
        <f t="shared" si="65"/>
        <v>0</v>
      </c>
      <c r="GM62" s="2">
        <f t="shared" si="66"/>
        <v>1.0900000000000001</v>
      </c>
      <c r="GN62" s="2">
        <f t="shared" si="67"/>
        <v>0</v>
      </c>
      <c r="GO62" s="2">
        <f t="shared" si="68"/>
        <v>1.0900000000000001</v>
      </c>
      <c r="GP62" s="2">
        <f t="shared" si="69"/>
        <v>0</v>
      </c>
      <c r="GQ62" s="2"/>
      <c r="GR62" s="2">
        <v>0</v>
      </c>
      <c r="GS62" s="2">
        <v>3</v>
      </c>
      <c r="GT62" s="2">
        <v>0</v>
      </c>
      <c r="GU62" s="2" t="s">
        <v>3</v>
      </c>
      <c r="GV62" s="2">
        <f t="shared" si="70"/>
        <v>0</v>
      </c>
      <c r="GW62" s="2">
        <v>1</v>
      </c>
      <c r="GX62" s="2">
        <f t="shared" si="71"/>
        <v>0</v>
      </c>
      <c r="GY62" s="2"/>
      <c r="GZ62" s="2"/>
      <c r="HA62" s="2">
        <v>0</v>
      </c>
      <c r="HB62" s="2">
        <v>0</v>
      </c>
      <c r="HC62" s="2">
        <f t="shared" si="72"/>
        <v>0</v>
      </c>
      <c r="HD62" s="2"/>
      <c r="HE62" s="2" t="s">
        <v>3</v>
      </c>
      <c r="HF62" s="2" t="s">
        <v>3</v>
      </c>
      <c r="HG62" s="2"/>
      <c r="HH62" s="2"/>
      <c r="HI62" s="2"/>
      <c r="HJ62" s="2"/>
      <c r="HK62" s="2"/>
      <c r="HL62" s="2"/>
      <c r="HM62" s="2" t="s">
        <v>24</v>
      </c>
      <c r="HN62" s="2" t="s">
        <v>3</v>
      </c>
      <c r="HO62" s="2" t="s">
        <v>3</v>
      </c>
      <c r="HP62" s="2" t="s">
        <v>3</v>
      </c>
      <c r="HQ62" s="2" t="s">
        <v>3</v>
      </c>
      <c r="HR62" s="2"/>
      <c r="HS62" s="2">
        <v>0</v>
      </c>
      <c r="HT62" s="2"/>
      <c r="HU62" s="2"/>
      <c r="HV62" s="2"/>
      <c r="HW62" s="2"/>
      <c r="HX62" s="2"/>
      <c r="HY62" s="2"/>
      <c r="HZ62" s="2"/>
      <c r="IA62" s="2"/>
      <c r="IB62" s="2"/>
      <c r="IC62" s="2"/>
      <c r="ID62" s="2"/>
      <c r="IE62" s="2"/>
      <c r="IF62" s="2"/>
      <c r="IG62" s="2"/>
      <c r="IH62" s="2"/>
      <c r="II62" s="2"/>
      <c r="IJ62" s="2"/>
      <c r="IK62" s="2">
        <v>0</v>
      </c>
      <c r="IL62" s="2"/>
      <c r="IM62" s="2"/>
      <c r="IN62" s="2"/>
      <c r="IO62" s="2"/>
      <c r="IP62" s="2"/>
      <c r="IQ62" s="2"/>
      <c r="IR62" s="2"/>
      <c r="IS62" s="2"/>
      <c r="IT62" s="2"/>
      <c r="IU62" s="2"/>
    </row>
    <row r="63" spans="1:255" x14ac:dyDescent="0.2">
      <c r="A63" s="3">
        <v>18</v>
      </c>
      <c r="B63" s="3">
        <v>1</v>
      </c>
      <c r="C63" s="3">
        <v>54</v>
      </c>
      <c r="E63" s="3" t="s">
        <v>91</v>
      </c>
      <c r="F63" s="3" t="s">
        <v>68</v>
      </c>
      <c r="G63" s="3" t="s">
        <v>69</v>
      </c>
      <c r="H63" s="3" t="s">
        <v>70</v>
      </c>
      <c r="I63" s="3">
        <f>I61*J63</f>
        <v>3.5000000000000003E-2</v>
      </c>
      <c r="J63" s="3">
        <v>3.5000000000000003E-2</v>
      </c>
      <c r="K63" s="3">
        <v>3.5000000000000003E-2</v>
      </c>
      <c r="O63" s="3">
        <f t="shared" si="50"/>
        <v>5.58</v>
      </c>
      <c r="P63" s="3">
        <f>ROUND((ROUND((AC63*AW63*I63),2)*BC63),2)</f>
        <v>5.58</v>
      </c>
      <c r="Q63" s="3">
        <f>(ROUND((ROUND(((ET63)*AV63*I63),2)*BB63),2)+ROUND((ROUND(((AE63-(EU63))*AV63*I63),2)*BS63),2))</f>
        <v>0</v>
      </c>
      <c r="R63" s="3">
        <f>(ROUND((ROUND(((EU63)*AV63*I63),2)*BS63),2)+ROUND((ROUND(((AE63-(EU63))*AV63*I63),2)*BS63),2))</f>
        <v>0</v>
      </c>
      <c r="S63" s="3">
        <f t="shared" si="51"/>
        <v>0</v>
      </c>
      <c r="T63" s="3">
        <f t="shared" si="52"/>
        <v>0</v>
      </c>
      <c r="U63" s="3">
        <f t="shared" si="53"/>
        <v>0</v>
      </c>
      <c r="V63" s="3">
        <f t="shared" si="54"/>
        <v>0</v>
      </c>
      <c r="W63" s="3">
        <f t="shared" si="55"/>
        <v>0</v>
      </c>
      <c r="X63" s="3">
        <f>(ROUND((((S63+ROUND((ROUND(((EU63)*AV63*I63),2)*BS63),2))*AT63)/100),2)+ROUND(((ROUND((ROUND(((AE63-(EU63))*AV63*I63),2)*BS63),2)*AT63)/100),2))</f>
        <v>0</v>
      </c>
      <c r="Y63" s="3">
        <f>(ROUND((((S63+ROUND((ROUND(((EU63)*AV63*I63),2)*BS63),2))*AU63)/100),2)+ROUND(((ROUND((ROUND(((AE63-(EU63))*AV63*I63),2)*BS63),2)*AU63)/100),2))</f>
        <v>0</v>
      </c>
      <c r="AA63" s="3">
        <v>60256402</v>
      </c>
      <c r="AB63" s="3">
        <f t="shared" si="56"/>
        <v>31.08</v>
      </c>
      <c r="AC63" s="3">
        <f>ROUND((ES63),6)</f>
        <v>31.08</v>
      </c>
      <c r="AD63" s="3">
        <f>ROUND((((ET63)-(EU63))+AE63),6)</f>
        <v>0</v>
      </c>
      <c r="AE63" s="3">
        <f t="shared" si="73"/>
        <v>0</v>
      </c>
      <c r="AF63" s="3">
        <f t="shared" si="73"/>
        <v>0</v>
      </c>
      <c r="AG63" s="3">
        <f t="shared" si="57"/>
        <v>0</v>
      </c>
      <c r="AH63" s="3">
        <f t="shared" si="74"/>
        <v>0</v>
      </c>
      <c r="AI63" s="3">
        <f t="shared" si="74"/>
        <v>0</v>
      </c>
      <c r="AJ63" s="3">
        <f t="shared" si="58"/>
        <v>0</v>
      </c>
      <c r="AK63" s="3">
        <v>31.08</v>
      </c>
      <c r="AL63" s="3">
        <v>31.08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  <c r="AR63" s="3">
        <v>0</v>
      </c>
      <c r="AS63" s="3">
        <v>0</v>
      </c>
      <c r="AT63" s="3">
        <v>90</v>
      </c>
      <c r="AU63" s="3">
        <v>46</v>
      </c>
      <c r="AV63" s="3">
        <v>1</v>
      </c>
      <c r="AW63" s="3">
        <v>1</v>
      </c>
      <c r="AZ63" s="3">
        <v>1</v>
      </c>
      <c r="BA63" s="3">
        <v>1</v>
      </c>
      <c r="BB63" s="3">
        <v>1</v>
      </c>
      <c r="BC63" s="3">
        <v>5.12</v>
      </c>
      <c r="BD63" s="3" t="s">
        <v>3</v>
      </c>
      <c r="BE63" s="3" t="s">
        <v>3</v>
      </c>
      <c r="BF63" s="3" t="s">
        <v>3</v>
      </c>
      <c r="BG63" s="3" t="s">
        <v>3</v>
      </c>
      <c r="BH63" s="3">
        <v>3</v>
      </c>
      <c r="BI63" s="3">
        <v>2</v>
      </c>
      <c r="BJ63" s="3" t="s">
        <v>71</v>
      </c>
      <c r="BM63" s="3">
        <v>72</v>
      </c>
      <c r="BN63" s="3">
        <v>58973116</v>
      </c>
      <c r="BO63" s="3" t="s">
        <v>68</v>
      </c>
      <c r="BP63" s="3">
        <v>1</v>
      </c>
      <c r="BQ63" s="3">
        <v>40</v>
      </c>
      <c r="BR63" s="3">
        <v>0</v>
      </c>
      <c r="BS63" s="3">
        <v>1</v>
      </c>
      <c r="BT63" s="3">
        <v>1</v>
      </c>
      <c r="BU63" s="3">
        <v>1</v>
      </c>
      <c r="BV63" s="3">
        <v>1</v>
      </c>
      <c r="BW63" s="3">
        <v>1</v>
      </c>
      <c r="BX63" s="3">
        <v>1</v>
      </c>
      <c r="BY63" s="3" t="s">
        <v>3</v>
      </c>
      <c r="BZ63" s="3">
        <v>90</v>
      </c>
      <c r="CA63" s="3">
        <v>46</v>
      </c>
      <c r="CB63" s="3" t="s">
        <v>3</v>
      </c>
      <c r="CE63" s="3">
        <v>1566</v>
      </c>
      <c r="CF63" s="3">
        <v>0</v>
      </c>
      <c r="CG63" s="3">
        <v>0</v>
      </c>
      <c r="CM63" s="3">
        <v>0</v>
      </c>
      <c r="CN63" s="3" t="s">
        <v>369</v>
      </c>
      <c r="CO63" s="3">
        <v>0</v>
      </c>
      <c r="CP63" s="3">
        <f t="shared" si="59"/>
        <v>5.58</v>
      </c>
      <c r="CQ63" s="3">
        <f>ROUND((ROUND((AC63*AW63*1),2)*BC63),2)</f>
        <v>159.13</v>
      </c>
      <c r="CR63" s="3">
        <f>(ROUND((ROUND(((ET63)*AV63*1),2)*BB63),2)+ROUND((ROUND(((AE63-(EU63))*AV63*1),2)*BS63),2))</f>
        <v>0</v>
      </c>
      <c r="CS63" s="3">
        <f>(ROUND((ROUND(((EU63)*AV63*1),2)*BS63),2)+ROUND((ROUND(((AE63-(EU63))*AV63*1),2)*BS63),2))</f>
        <v>0</v>
      </c>
      <c r="CT63" s="3">
        <f t="shared" si="60"/>
        <v>0</v>
      </c>
      <c r="CU63" s="3">
        <f t="shared" si="61"/>
        <v>0</v>
      </c>
      <c r="CV63" s="3">
        <f t="shared" si="62"/>
        <v>0</v>
      </c>
      <c r="CW63" s="3">
        <f t="shared" si="63"/>
        <v>0</v>
      </c>
      <c r="CX63" s="3">
        <f t="shared" si="64"/>
        <v>0</v>
      </c>
      <c r="CY63" s="3">
        <f>(ROUND((((S63+ROUND((ROUND(((EU63)*AV63*1),2)*BS63),2))*AT63)/100),2)+ROUND(((ROUND((ROUND(((AE63-(EU63))*AV63*1),2)*BS63),2)*AT63)/100),2))</f>
        <v>0</v>
      </c>
      <c r="CZ63" s="3">
        <f>(ROUND((((S63+ROUND((ROUND(((EU63)*AV63*1),2)*BS63),2))*AU63)/100),2)+ROUND(((ROUND((ROUND(((AE63-(EU63))*AV63*1),2)*BS63),2)*AU63)/100),2))</f>
        <v>0</v>
      </c>
      <c r="DC63" s="3" t="s">
        <v>3</v>
      </c>
      <c r="DD63" s="3" t="s">
        <v>3</v>
      </c>
      <c r="DE63" s="3" t="s">
        <v>3</v>
      </c>
      <c r="DF63" s="3" t="s">
        <v>3</v>
      </c>
      <c r="DG63" s="3" t="s">
        <v>3</v>
      </c>
      <c r="DH63" s="3" t="s">
        <v>3</v>
      </c>
      <c r="DI63" s="3" t="s">
        <v>3</v>
      </c>
      <c r="DJ63" s="3" t="s">
        <v>3</v>
      </c>
      <c r="DK63" s="3" t="s">
        <v>3</v>
      </c>
      <c r="DL63" s="3" t="s">
        <v>3</v>
      </c>
      <c r="DM63" s="3" t="s">
        <v>3</v>
      </c>
      <c r="DN63" s="3">
        <v>0</v>
      </c>
      <c r="DO63" s="3">
        <v>0</v>
      </c>
      <c r="DP63" s="3">
        <v>1</v>
      </c>
      <c r="DQ63" s="3">
        <v>1</v>
      </c>
      <c r="DU63" s="3">
        <v>1009</v>
      </c>
      <c r="DV63" s="3" t="s">
        <v>70</v>
      </c>
      <c r="DW63" s="3" t="s">
        <v>70</v>
      </c>
      <c r="DX63" s="3">
        <v>1</v>
      </c>
      <c r="DZ63" s="3" t="s">
        <v>3</v>
      </c>
      <c r="EA63" s="3" t="s">
        <v>3</v>
      </c>
      <c r="EB63" s="3" t="s">
        <v>3</v>
      </c>
      <c r="EC63" s="3" t="s">
        <v>3</v>
      </c>
      <c r="EE63" s="3">
        <v>60088536</v>
      </c>
      <c r="EF63" s="3">
        <v>40</v>
      </c>
      <c r="EG63" s="3" t="s">
        <v>26</v>
      </c>
      <c r="EH63" s="3">
        <v>0</v>
      </c>
      <c r="EI63" s="3" t="s">
        <v>3</v>
      </c>
      <c r="EJ63" s="3">
        <v>2</v>
      </c>
      <c r="EK63" s="3">
        <v>72</v>
      </c>
      <c r="EL63" s="3" t="s">
        <v>52</v>
      </c>
      <c r="EM63" s="3" t="s">
        <v>53</v>
      </c>
      <c r="EO63" s="3" t="s">
        <v>29</v>
      </c>
      <c r="EQ63" s="3">
        <v>0</v>
      </c>
      <c r="ER63" s="3">
        <v>31.08</v>
      </c>
      <c r="ES63" s="3">
        <v>31.08</v>
      </c>
      <c r="ET63" s="3">
        <v>0</v>
      </c>
      <c r="EU63" s="3">
        <v>0</v>
      </c>
      <c r="EV63" s="3">
        <v>0</v>
      </c>
      <c r="EW63" s="3">
        <v>0</v>
      </c>
      <c r="EX63" s="3">
        <v>0</v>
      </c>
      <c r="FQ63" s="3">
        <v>0</v>
      </c>
      <c r="FR63" s="3">
        <v>0</v>
      </c>
      <c r="FS63" s="3">
        <v>0</v>
      </c>
      <c r="FX63" s="3">
        <v>90</v>
      </c>
      <c r="FY63" s="3">
        <v>46</v>
      </c>
      <c r="GA63" s="3" t="s">
        <v>3</v>
      </c>
      <c r="GD63" s="3">
        <v>1</v>
      </c>
      <c r="GF63" s="3">
        <v>1143487818</v>
      </c>
      <c r="GG63" s="3">
        <v>2</v>
      </c>
      <c r="GH63" s="3">
        <v>1</v>
      </c>
      <c r="GI63" s="3">
        <v>2</v>
      </c>
      <c r="GJ63" s="3">
        <v>0</v>
      </c>
      <c r="GK63" s="3">
        <v>0</v>
      </c>
      <c r="GL63" s="3">
        <f t="shared" si="65"/>
        <v>0</v>
      </c>
      <c r="GM63" s="3">
        <f t="shared" si="66"/>
        <v>5.58</v>
      </c>
      <c r="GN63" s="3">
        <f t="shared" si="67"/>
        <v>0</v>
      </c>
      <c r="GO63" s="3">
        <f t="shared" si="68"/>
        <v>5.58</v>
      </c>
      <c r="GP63" s="3">
        <f t="shared" si="69"/>
        <v>0</v>
      </c>
      <c r="GR63" s="3">
        <v>0</v>
      </c>
      <c r="GS63" s="3">
        <v>3</v>
      </c>
      <c r="GT63" s="3">
        <v>0</v>
      </c>
      <c r="GU63" s="3" t="s">
        <v>3</v>
      </c>
      <c r="GV63" s="3">
        <f t="shared" si="70"/>
        <v>0</v>
      </c>
      <c r="GW63" s="3">
        <v>1</v>
      </c>
      <c r="GX63" s="3">
        <f t="shared" si="71"/>
        <v>0</v>
      </c>
      <c r="HA63" s="3">
        <v>0</v>
      </c>
      <c r="HB63" s="3">
        <v>0</v>
      </c>
      <c r="HC63" s="3">
        <f t="shared" si="72"/>
        <v>0</v>
      </c>
      <c r="HE63" s="3" t="s">
        <v>3</v>
      </c>
      <c r="HF63" s="3" t="s">
        <v>3</v>
      </c>
      <c r="HM63" s="3" t="s">
        <v>24</v>
      </c>
      <c r="HN63" s="3" t="s">
        <v>3</v>
      </c>
      <c r="HO63" s="3" t="s">
        <v>3</v>
      </c>
      <c r="HP63" s="3" t="s">
        <v>3</v>
      </c>
      <c r="HQ63" s="3" t="s">
        <v>3</v>
      </c>
      <c r="HS63" s="3">
        <v>0</v>
      </c>
      <c r="IK63" s="3">
        <v>0</v>
      </c>
    </row>
    <row r="64" spans="1:255" x14ac:dyDescent="0.2">
      <c r="A64" s="2">
        <v>17</v>
      </c>
      <c r="B64" s="2">
        <v>1</v>
      </c>
      <c r="C64" s="2"/>
      <c r="D64" s="2"/>
      <c r="E64" s="2" t="s">
        <v>92</v>
      </c>
      <c r="F64" s="2" t="s">
        <v>93</v>
      </c>
      <c r="G64" s="2" t="s">
        <v>94</v>
      </c>
      <c r="H64" s="2" t="s">
        <v>33</v>
      </c>
      <c r="I64" s="2">
        <v>1</v>
      </c>
      <c r="J64" s="2">
        <v>0</v>
      </c>
      <c r="K64" s="2">
        <v>1</v>
      </c>
      <c r="L64" s="2"/>
      <c r="M64" s="2"/>
      <c r="N64" s="2"/>
      <c r="O64" s="2">
        <f t="shared" si="50"/>
        <v>8731.7000000000007</v>
      </c>
      <c r="P64" s="2">
        <f>ROUND((ROUND((AC64*I64),2)*BC64),2)</f>
        <v>8731.7000000000007</v>
      </c>
      <c r="Q64" s="2">
        <f>(ROUND((ROUND(((ET64)*AV64*I64),2)*BB64),2)+ROUND((ROUND(((AE64-(EU64))*AV64*I64),2)*BS64),2))</f>
        <v>0</v>
      </c>
      <c r="R64" s="2">
        <f>(ROUND((ROUND(((EU64)*AV64*I64),2)*BS64),2)+ROUND((ROUND(((AE64-(EU64))*AV64*I64),2)*BS64),2))</f>
        <v>0</v>
      </c>
      <c r="S64" s="2">
        <f t="shared" si="51"/>
        <v>0</v>
      </c>
      <c r="T64" s="2">
        <f t="shared" si="52"/>
        <v>0</v>
      </c>
      <c r="U64" s="2">
        <f t="shared" si="53"/>
        <v>0</v>
      </c>
      <c r="V64" s="2">
        <f t="shared" si="54"/>
        <v>0</v>
      </c>
      <c r="W64" s="2">
        <f t="shared" si="55"/>
        <v>0</v>
      </c>
      <c r="X64" s="2">
        <f>(ROUND((((S64+ROUND((ROUND(((EU64)*AV64*I64),2)*BS64),2))*AT64)/100),2)+ROUND(((ROUND((ROUND(((AE64-(EU64))*AV64*I64),2)*BS64),2)*AT64)/100),2))</f>
        <v>0</v>
      </c>
      <c r="Y64" s="2">
        <f>(ROUND((((S64+ROUND((ROUND(((EU64)*AV64*I64),2)*BS64),2))*AU64)/100),2)+ROUND(((ROUND((ROUND(((AE64-(EU64))*AV64*I64),2)*BS64),2)*AU64)/100),2))</f>
        <v>0</v>
      </c>
      <c r="Z64" s="2"/>
      <c r="AA64" s="2">
        <v>60256405</v>
      </c>
      <c r="AB64" s="2">
        <f t="shared" si="56"/>
        <v>8731.7000000000007</v>
      </c>
      <c r="AC64" s="2">
        <f>ROUND((ES64),6)</f>
        <v>8731.7000000000007</v>
      </c>
      <c r="AD64" s="2">
        <f>ROUND((((ET64)-(EU64))+AE64),6)</f>
        <v>0</v>
      </c>
      <c r="AE64" s="2">
        <f t="shared" si="73"/>
        <v>0</v>
      </c>
      <c r="AF64" s="2">
        <f t="shared" si="73"/>
        <v>0</v>
      </c>
      <c r="AG64" s="2">
        <f t="shared" si="57"/>
        <v>0</v>
      </c>
      <c r="AH64" s="2">
        <f t="shared" si="74"/>
        <v>0</v>
      </c>
      <c r="AI64" s="2">
        <f t="shared" si="74"/>
        <v>0</v>
      </c>
      <c r="AJ64" s="2">
        <f t="shared" si="58"/>
        <v>0</v>
      </c>
      <c r="AK64" s="2">
        <v>8731.7000000000007</v>
      </c>
      <c r="AL64" s="2">
        <v>8731.7000000000007</v>
      </c>
      <c r="AM64" s="2">
        <v>0</v>
      </c>
      <c r="AN64" s="2">
        <v>0</v>
      </c>
      <c r="AO64" s="2">
        <v>0</v>
      </c>
      <c r="AP64" s="2">
        <v>0</v>
      </c>
      <c r="AQ64" s="2">
        <v>0</v>
      </c>
      <c r="AR64" s="2">
        <v>0</v>
      </c>
      <c r="AS64" s="2">
        <v>0</v>
      </c>
      <c r="AT64" s="2">
        <v>0</v>
      </c>
      <c r="AU64" s="2">
        <v>0</v>
      </c>
      <c r="AV64" s="2">
        <v>1</v>
      </c>
      <c r="AW64" s="2">
        <v>1</v>
      </c>
      <c r="AX64" s="2"/>
      <c r="AY64" s="2"/>
      <c r="AZ64" s="2">
        <v>1</v>
      </c>
      <c r="BA64" s="2">
        <v>1</v>
      </c>
      <c r="BB64" s="2">
        <v>1</v>
      </c>
      <c r="BC64" s="2">
        <v>1</v>
      </c>
      <c r="BD64" s="2" t="s">
        <v>3</v>
      </c>
      <c r="BE64" s="2" t="s">
        <v>3</v>
      </c>
      <c r="BF64" s="2" t="s">
        <v>3</v>
      </c>
      <c r="BG64" s="2" t="s">
        <v>3</v>
      </c>
      <c r="BH64" s="2">
        <v>3</v>
      </c>
      <c r="BI64" s="2">
        <v>3</v>
      </c>
      <c r="BJ64" s="2" t="s">
        <v>3</v>
      </c>
      <c r="BK64" s="2"/>
      <c r="BL64" s="2"/>
      <c r="BM64" s="2">
        <v>746</v>
      </c>
      <c r="BN64" s="2">
        <v>0</v>
      </c>
      <c r="BO64" s="2" t="s">
        <v>3</v>
      </c>
      <c r="BP64" s="2">
        <v>0</v>
      </c>
      <c r="BQ64" s="2">
        <v>130</v>
      </c>
      <c r="BR64" s="2">
        <v>0</v>
      </c>
      <c r="BS64" s="2">
        <v>1</v>
      </c>
      <c r="BT64" s="2">
        <v>1</v>
      </c>
      <c r="BU64" s="2">
        <v>1</v>
      </c>
      <c r="BV64" s="2">
        <v>1</v>
      </c>
      <c r="BW64" s="2">
        <v>1</v>
      </c>
      <c r="BX64" s="2">
        <v>1</v>
      </c>
      <c r="BY64" s="2" t="s">
        <v>3</v>
      </c>
      <c r="BZ64" s="2">
        <v>0</v>
      </c>
      <c r="CA64" s="2">
        <v>0</v>
      </c>
      <c r="CB64" s="2" t="s">
        <v>3</v>
      </c>
      <c r="CC64" s="2"/>
      <c r="CD64" s="2"/>
      <c r="CE64" s="2">
        <v>1566</v>
      </c>
      <c r="CF64" s="2">
        <v>0</v>
      </c>
      <c r="CG64" s="2">
        <v>0</v>
      </c>
      <c r="CH64" s="2"/>
      <c r="CI64" s="2"/>
      <c r="CJ64" s="2"/>
      <c r="CK64" s="2"/>
      <c r="CL64" s="2"/>
      <c r="CM64" s="2">
        <v>0</v>
      </c>
      <c r="CN64" s="2" t="s">
        <v>3</v>
      </c>
      <c r="CO64" s="2">
        <v>0</v>
      </c>
      <c r="CP64" s="2">
        <f t="shared" si="59"/>
        <v>8731.7000000000007</v>
      </c>
      <c r="CQ64" s="2">
        <f>ROUND((ROUND((AC64*1),2)*BC64),2)</f>
        <v>8731.7000000000007</v>
      </c>
      <c r="CR64" s="2">
        <f>(ROUND((ROUND(((ET64)*AV64*1),2)*BB64),2)+ROUND((ROUND(((AE64-(EU64))*AV64*1),2)*BS64),2))</f>
        <v>0</v>
      </c>
      <c r="CS64" s="2">
        <f>(ROUND((ROUND(((EU64)*AV64*1),2)*BS64),2)+ROUND((ROUND(((AE64-(EU64))*AV64*1),2)*BS64),2))</f>
        <v>0</v>
      </c>
      <c r="CT64" s="2">
        <f t="shared" si="60"/>
        <v>0</v>
      </c>
      <c r="CU64" s="2">
        <f t="shared" si="61"/>
        <v>0</v>
      </c>
      <c r="CV64" s="2">
        <f t="shared" si="62"/>
        <v>0</v>
      </c>
      <c r="CW64" s="2">
        <f t="shared" si="63"/>
        <v>0</v>
      </c>
      <c r="CX64" s="2">
        <f t="shared" si="64"/>
        <v>0</v>
      </c>
      <c r="CY64" s="2">
        <f>(ROUND((((S64+ROUND((ROUND(((EU64)*AV64*1),2)*BS64),2))*AT64)/100),2)+ROUND(((ROUND((ROUND(((AE64-(EU64))*AV64*1),2)*BS64),2)*AT64)/100),2))</f>
        <v>0</v>
      </c>
      <c r="CZ64" s="2">
        <f>(ROUND((((S64+ROUND((ROUND(((EU64)*AV64*1),2)*BS64),2))*AU64)/100),2)+ROUND(((ROUND((ROUND(((AE64-(EU64))*AV64*1),2)*BS64),2)*AU64)/100),2))</f>
        <v>0</v>
      </c>
      <c r="DA64" s="2"/>
      <c r="DB64" s="2"/>
      <c r="DC64" s="2" t="s">
        <v>3</v>
      </c>
      <c r="DD64" s="2" t="s">
        <v>3</v>
      </c>
      <c r="DE64" s="2" t="s">
        <v>3</v>
      </c>
      <c r="DF64" s="2" t="s">
        <v>3</v>
      </c>
      <c r="DG64" s="2" t="s">
        <v>3</v>
      </c>
      <c r="DH64" s="2" t="s">
        <v>3</v>
      </c>
      <c r="DI64" s="2" t="s">
        <v>3</v>
      </c>
      <c r="DJ64" s="2" t="s">
        <v>3</v>
      </c>
      <c r="DK64" s="2" t="s">
        <v>3</v>
      </c>
      <c r="DL64" s="2" t="s">
        <v>3</v>
      </c>
      <c r="DM64" s="2" t="s">
        <v>3</v>
      </c>
      <c r="DN64" s="2">
        <v>0</v>
      </c>
      <c r="DO64" s="2">
        <v>0</v>
      </c>
      <c r="DP64" s="2">
        <v>1</v>
      </c>
      <c r="DQ64" s="2">
        <v>1</v>
      </c>
      <c r="DR64" s="2"/>
      <c r="DS64" s="2"/>
      <c r="DT64" s="2"/>
      <c r="DU64" s="2">
        <v>1010</v>
      </c>
      <c r="DV64" s="2" t="s">
        <v>33</v>
      </c>
      <c r="DW64" s="2" t="s">
        <v>33</v>
      </c>
      <c r="DX64" s="2">
        <v>1</v>
      </c>
      <c r="DY64" s="2"/>
      <c r="DZ64" s="2" t="s">
        <v>3</v>
      </c>
      <c r="EA64" s="2" t="s">
        <v>3</v>
      </c>
      <c r="EB64" s="2" t="s">
        <v>3</v>
      </c>
      <c r="EC64" s="2" t="s">
        <v>3</v>
      </c>
      <c r="ED64" s="2"/>
      <c r="EE64" s="2">
        <v>60088638</v>
      </c>
      <c r="EF64" s="2">
        <v>130</v>
      </c>
      <c r="EG64" s="2" t="s">
        <v>43</v>
      </c>
      <c r="EH64" s="2">
        <v>0</v>
      </c>
      <c r="EI64" s="2" t="s">
        <v>3</v>
      </c>
      <c r="EJ64" s="2">
        <v>3</v>
      </c>
      <c r="EK64" s="2">
        <v>746</v>
      </c>
      <c r="EL64" s="2" t="s">
        <v>44</v>
      </c>
      <c r="EM64" s="2" t="s">
        <v>45</v>
      </c>
      <c r="EN64" s="2"/>
      <c r="EO64" s="2" t="s">
        <v>3</v>
      </c>
      <c r="EP64" s="2"/>
      <c r="EQ64" s="2">
        <v>0</v>
      </c>
      <c r="ER64" s="2">
        <v>0</v>
      </c>
      <c r="ES64" s="2">
        <v>8731.7000000000007</v>
      </c>
      <c r="ET64" s="2">
        <v>0</v>
      </c>
      <c r="EU64" s="2">
        <v>0</v>
      </c>
      <c r="EV64" s="2">
        <v>0</v>
      </c>
      <c r="EW64" s="2">
        <v>0</v>
      </c>
      <c r="EX64" s="2">
        <v>0</v>
      </c>
      <c r="EY64" s="2">
        <v>0</v>
      </c>
      <c r="EZ64" s="2"/>
      <c r="FA64" s="2"/>
      <c r="FB64" s="2"/>
      <c r="FC64" s="2"/>
      <c r="FD64" s="2"/>
      <c r="FE64" s="2"/>
      <c r="FF64" s="2"/>
      <c r="FG64" s="2"/>
      <c r="FH64" s="2"/>
      <c r="FI64" s="2"/>
      <c r="FJ64" s="2"/>
      <c r="FK64" s="2"/>
      <c r="FL64" s="2"/>
      <c r="FM64" s="2"/>
      <c r="FN64" s="2"/>
      <c r="FO64" s="2"/>
      <c r="FP64" s="2"/>
      <c r="FQ64" s="2">
        <v>0</v>
      </c>
      <c r="FR64" s="2">
        <f>P64</f>
        <v>8731.7000000000007</v>
      </c>
      <c r="FS64" s="2">
        <v>0</v>
      </c>
      <c r="FT64" s="2"/>
      <c r="FU64" s="2"/>
      <c r="FV64" s="2"/>
      <c r="FW64" s="2"/>
      <c r="FX64" s="2">
        <v>0</v>
      </c>
      <c r="FY64" s="2">
        <v>0</v>
      </c>
      <c r="FZ64" s="2"/>
      <c r="GA64" s="2" t="s">
        <v>95</v>
      </c>
      <c r="GB64" s="2"/>
      <c r="GC64" s="2"/>
      <c r="GD64" s="2">
        <v>1</v>
      </c>
      <c r="GE64" s="2"/>
      <c r="GF64" s="2">
        <v>-1212810449</v>
      </c>
      <c r="GG64" s="2">
        <v>2</v>
      </c>
      <c r="GH64" s="2">
        <v>4</v>
      </c>
      <c r="GI64" s="2">
        <v>-2</v>
      </c>
      <c r="GJ64" s="2">
        <v>0</v>
      </c>
      <c r="GK64" s="2">
        <v>0</v>
      </c>
      <c r="GL64" s="2">
        <f t="shared" si="65"/>
        <v>0</v>
      </c>
      <c r="GM64" s="2">
        <f t="shared" si="66"/>
        <v>8731.7000000000007</v>
      </c>
      <c r="GN64" s="2">
        <f t="shared" si="67"/>
        <v>0</v>
      </c>
      <c r="GO64" s="2">
        <f t="shared" si="68"/>
        <v>0</v>
      </c>
      <c r="GP64" s="2">
        <f t="shared" si="69"/>
        <v>0</v>
      </c>
      <c r="GQ64" s="2"/>
      <c r="GR64" s="2">
        <v>0</v>
      </c>
      <c r="GS64" s="2">
        <v>2</v>
      </c>
      <c r="GT64" s="2">
        <v>0</v>
      </c>
      <c r="GU64" s="2" t="s">
        <v>3</v>
      </c>
      <c r="GV64" s="2">
        <f t="shared" si="70"/>
        <v>0</v>
      </c>
      <c r="GW64" s="2">
        <v>1</v>
      </c>
      <c r="GX64" s="2">
        <f t="shared" si="71"/>
        <v>0</v>
      </c>
      <c r="GY64" s="2"/>
      <c r="GZ64" s="2"/>
      <c r="HA64" s="2">
        <v>0</v>
      </c>
      <c r="HB64" s="2">
        <v>0</v>
      </c>
      <c r="HC64" s="2">
        <f t="shared" si="72"/>
        <v>0</v>
      </c>
      <c r="HD64" s="2"/>
      <c r="HE64" s="2" t="s">
        <v>36</v>
      </c>
      <c r="HF64" s="2" t="s">
        <v>47</v>
      </c>
      <c r="HG64" s="2"/>
      <c r="HH64" s="2"/>
      <c r="HI64" s="2"/>
      <c r="HJ64" s="2"/>
      <c r="HK64" s="2"/>
      <c r="HL64" s="2"/>
      <c r="HM64" s="2" t="s">
        <v>3</v>
      </c>
      <c r="HN64" s="2" t="s">
        <v>3</v>
      </c>
      <c r="HO64" s="2" t="s">
        <v>3</v>
      </c>
      <c r="HP64" s="2" t="s">
        <v>3</v>
      </c>
      <c r="HQ64" s="2" t="s">
        <v>3</v>
      </c>
      <c r="HR64" s="2"/>
      <c r="HS64" s="2">
        <v>0</v>
      </c>
      <c r="HT64" s="2"/>
      <c r="HU64" s="2"/>
      <c r="HV64" s="2"/>
      <c r="HW64" s="2"/>
      <c r="HX64" s="2"/>
      <c r="HY64" s="2"/>
      <c r="HZ64" s="2"/>
      <c r="IA64" s="2"/>
      <c r="IB64" s="2"/>
      <c r="IC64" s="2"/>
      <c r="ID64" s="2"/>
      <c r="IE64" s="2"/>
      <c r="IF64" s="2"/>
      <c r="IG64" s="2"/>
      <c r="IH64" s="2"/>
      <c r="II64" s="2"/>
      <c r="IJ64" s="2"/>
      <c r="IK64" s="2">
        <v>0</v>
      </c>
      <c r="IL64" s="2"/>
      <c r="IM64" s="2"/>
      <c r="IN64" s="2"/>
      <c r="IO64" s="2"/>
      <c r="IP64" s="2"/>
      <c r="IQ64" s="2"/>
      <c r="IR64" s="2"/>
      <c r="IS64" s="2"/>
      <c r="IT64" s="2"/>
      <c r="IU64" s="2"/>
    </row>
    <row r="65" spans="1:255" x14ac:dyDescent="0.2">
      <c r="A65" s="3">
        <v>17</v>
      </c>
      <c r="B65" s="3">
        <v>1</v>
      </c>
      <c r="E65" s="3" t="s">
        <v>92</v>
      </c>
      <c r="F65" s="3" t="s">
        <v>93</v>
      </c>
      <c r="G65" s="3" t="s">
        <v>94</v>
      </c>
      <c r="H65" s="3" t="s">
        <v>33</v>
      </c>
      <c r="I65" s="3">
        <v>1</v>
      </c>
      <c r="J65" s="3">
        <v>0</v>
      </c>
      <c r="K65" s="3">
        <v>1</v>
      </c>
      <c r="O65" s="3">
        <f t="shared" si="50"/>
        <v>66884.820000000007</v>
      </c>
      <c r="P65" s="3">
        <f>ROUND((ROUND((AC65*I65),2)*BC65),2)</f>
        <v>66884.820000000007</v>
      </c>
      <c r="Q65" s="3">
        <f>(ROUND((ROUND(((ET65)*AV65*I65),2)*BB65),2)+ROUND((ROUND(((AE65-(EU65))*AV65*I65),2)*BS65),2))</f>
        <v>0</v>
      </c>
      <c r="R65" s="3">
        <f>(ROUND((ROUND(((EU65)*AV65*I65),2)*BS65),2)+ROUND((ROUND(((AE65-(EU65))*AV65*I65),2)*BS65),2))</f>
        <v>0</v>
      </c>
      <c r="S65" s="3">
        <f t="shared" si="51"/>
        <v>0</v>
      </c>
      <c r="T65" s="3">
        <f t="shared" si="52"/>
        <v>0</v>
      </c>
      <c r="U65" s="3">
        <f t="shared" si="53"/>
        <v>0</v>
      </c>
      <c r="V65" s="3">
        <f t="shared" si="54"/>
        <v>0</v>
      </c>
      <c r="W65" s="3">
        <f t="shared" si="55"/>
        <v>0</v>
      </c>
      <c r="X65" s="3">
        <f>(ROUND((((S65+ROUND((ROUND(((EU65)*AV65*I65),2)*BS65),2))*AT65)/100),2)+ROUND(((ROUND((ROUND(((AE65-(EU65))*AV65*I65),2)*BS65),2)*AT65)/100),2))</f>
        <v>0</v>
      </c>
      <c r="Y65" s="3">
        <f>(ROUND((((S65+ROUND((ROUND(((EU65)*AV65*I65),2)*BS65),2))*AU65)/100),2)+ROUND(((ROUND((ROUND(((AE65-(EU65))*AV65*I65),2)*BS65),2)*AU65)/100),2))</f>
        <v>0</v>
      </c>
      <c r="AA65" s="3">
        <v>60256402</v>
      </c>
      <c r="AB65" s="3">
        <f t="shared" si="56"/>
        <v>8731.7000000000007</v>
      </c>
      <c r="AC65" s="3">
        <f>ROUND((ES65),6)</f>
        <v>8731.7000000000007</v>
      </c>
      <c r="AD65" s="3">
        <f>ROUND((((ET65)-(EU65))+AE65),6)</f>
        <v>0</v>
      </c>
      <c r="AE65" s="3">
        <f t="shared" si="73"/>
        <v>0</v>
      </c>
      <c r="AF65" s="3">
        <f t="shared" si="73"/>
        <v>0</v>
      </c>
      <c r="AG65" s="3">
        <f t="shared" si="57"/>
        <v>0</v>
      </c>
      <c r="AH65" s="3">
        <f t="shared" si="74"/>
        <v>0</v>
      </c>
      <c r="AI65" s="3">
        <f t="shared" si="74"/>
        <v>0</v>
      </c>
      <c r="AJ65" s="3">
        <f t="shared" si="58"/>
        <v>0</v>
      </c>
      <c r="AK65" s="3">
        <v>8731.7000000000007</v>
      </c>
      <c r="AL65" s="3">
        <v>8731.7000000000007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3">
        <v>1</v>
      </c>
      <c r="AW65" s="3">
        <v>1</v>
      </c>
      <c r="AZ65" s="3">
        <v>1</v>
      </c>
      <c r="BA65" s="3">
        <v>1</v>
      </c>
      <c r="BB65" s="3">
        <v>1</v>
      </c>
      <c r="BC65" s="3">
        <v>7.66</v>
      </c>
      <c r="BD65" s="3" t="s">
        <v>3</v>
      </c>
      <c r="BE65" s="3" t="s">
        <v>3</v>
      </c>
      <c r="BF65" s="3" t="s">
        <v>3</v>
      </c>
      <c r="BG65" s="3" t="s">
        <v>3</v>
      </c>
      <c r="BH65" s="3">
        <v>3</v>
      </c>
      <c r="BI65" s="3">
        <v>3</v>
      </c>
      <c r="BJ65" s="3" t="s">
        <v>3</v>
      </c>
      <c r="BM65" s="3">
        <v>746</v>
      </c>
      <c r="BN65" s="3">
        <v>0</v>
      </c>
      <c r="BO65" s="3" t="s">
        <v>3</v>
      </c>
      <c r="BP65" s="3">
        <v>0</v>
      </c>
      <c r="BQ65" s="3">
        <v>130</v>
      </c>
      <c r="BR65" s="3">
        <v>0</v>
      </c>
      <c r="BS65" s="3">
        <v>1</v>
      </c>
      <c r="BT65" s="3">
        <v>1</v>
      </c>
      <c r="BU65" s="3">
        <v>1</v>
      </c>
      <c r="BV65" s="3">
        <v>1</v>
      </c>
      <c r="BW65" s="3">
        <v>1</v>
      </c>
      <c r="BX65" s="3">
        <v>1</v>
      </c>
      <c r="BY65" s="3" t="s">
        <v>3</v>
      </c>
      <c r="BZ65" s="3">
        <v>0</v>
      </c>
      <c r="CA65" s="3">
        <v>0</v>
      </c>
      <c r="CB65" s="3" t="s">
        <v>3</v>
      </c>
      <c r="CE65" s="3">
        <v>1566</v>
      </c>
      <c r="CF65" s="3">
        <v>0</v>
      </c>
      <c r="CG65" s="3">
        <v>0</v>
      </c>
      <c r="CM65" s="3">
        <v>0</v>
      </c>
      <c r="CN65" s="3" t="s">
        <v>3</v>
      </c>
      <c r="CO65" s="3">
        <v>0</v>
      </c>
      <c r="CP65" s="3">
        <f t="shared" si="59"/>
        <v>66884.820000000007</v>
      </c>
      <c r="CQ65" s="3">
        <f>ROUND((ROUND((AC65*1),2)*BC65),2)</f>
        <v>66884.820000000007</v>
      </c>
      <c r="CR65" s="3">
        <f>(ROUND((ROUND(((ET65)*AV65*1),2)*BB65),2)+ROUND((ROUND(((AE65-(EU65))*AV65*1),2)*BS65),2))</f>
        <v>0</v>
      </c>
      <c r="CS65" s="3">
        <f>(ROUND((ROUND(((EU65)*AV65*1),2)*BS65),2)+ROUND((ROUND(((AE65-(EU65))*AV65*1),2)*BS65),2))</f>
        <v>0</v>
      </c>
      <c r="CT65" s="3">
        <f t="shared" si="60"/>
        <v>0</v>
      </c>
      <c r="CU65" s="3">
        <f t="shared" si="61"/>
        <v>0</v>
      </c>
      <c r="CV65" s="3">
        <f t="shared" si="62"/>
        <v>0</v>
      </c>
      <c r="CW65" s="3">
        <f t="shared" si="63"/>
        <v>0</v>
      </c>
      <c r="CX65" s="3">
        <f t="shared" si="64"/>
        <v>0</v>
      </c>
      <c r="CY65" s="3">
        <f>(ROUND((((S65+ROUND((ROUND(((EU65)*AV65*1),2)*BS65),2))*AT65)/100),2)+ROUND(((ROUND((ROUND(((AE65-(EU65))*AV65*1),2)*BS65),2)*AT65)/100),2))</f>
        <v>0</v>
      </c>
      <c r="CZ65" s="3">
        <f>(ROUND((((S65+ROUND((ROUND(((EU65)*AV65*1),2)*BS65),2))*AU65)/100),2)+ROUND(((ROUND((ROUND(((AE65-(EU65))*AV65*1),2)*BS65),2)*AU65)/100),2))</f>
        <v>0</v>
      </c>
      <c r="DC65" s="3" t="s">
        <v>3</v>
      </c>
      <c r="DD65" s="3" t="s">
        <v>3</v>
      </c>
      <c r="DE65" s="3" t="s">
        <v>3</v>
      </c>
      <c r="DF65" s="3" t="s">
        <v>3</v>
      </c>
      <c r="DG65" s="3" t="s">
        <v>3</v>
      </c>
      <c r="DH65" s="3" t="s">
        <v>3</v>
      </c>
      <c r="DI65" s="3" t="s">
        <v>3</v>
      </c>
      <c r="DJ65" s="3" t="s">
        <v>3</v>
      </c>
      <c r="DK65" s="3" t="s">
        <v>3</v>
      </c>
      <c r="DL65" s="3" t="s">
        <v>3</v>
      </c>
      <c r="DM65" s="3" t="s">
        <v>3</v>
      </c>
      <c r="DN65" s="3">
        <v>0</v>
      </c>
      <c r="DO65" s="3">
        <v>0</v>
      </c>
      <c r="DP65" s="3">
        <v>1</v>
      </c>
      <c r="DQ65" s="3">
        <v>1</v>
      </c>
      <c r="DU65" s="3">
        <v>1010</v>
      </c>
      <c r="DV65" s="3" t="s">
        <v>33</v>
      </c>
      <c r="DW65" s="3" t="s">
        <v>33</v>
      </c>
      <c r="DX65" s="3">
        <v>1</v>
      </c>
      <c r="DZ65" s="3" t="s">
        <v>3</v>
      </c>
      <c r="EA65" s="3" t="s">
        <v>3</v>
      </c>
      <c r="EB65" s="3" t="s">
        <v>3</v>
      </c>
      <c r="EC65" s="3" t="s">
        <v>3</v>
      </c>
      <c r="EE65" s="3">
        <v>60088638</v>
      </c>
      <c r="EF65" s="3">
        <v>130</v>
      </c>
      <c r="EG65" s="3" t="s">
        <v>43</v>
      </c>
      <c r="EH65" s="3">
        <v>0</v>
      </c>
      <c r="EI65" s="3" t="s">
        <v>3</v>
      </c>
      <c r="EJ65" s="3">
        <v>3</v>
      </c>
      <c r="EK65" s="3">
        <v>746</v>
      </c>
      <c r="EL65" s="3" t="s">
        <v>44</v>
      </c>
      <c r="EM65" s="3" t="s">
        <v>45</v>
      </c>
      <c r="EO65" s="3" t="s">
        <v>3</v>
      </c>
      <c r="EQ65" s="3">
        <v>0</v>
      </c>
      <c r="ER65" s="3">
        <v>8731.7000000000007</v>
      </c>
      <c r="ES65" s="3">
        <v>8731.7000000000007</v>
      </c>
      <c r="ET65" s="3">
        <v>0</v>
      </c>
      <c r="EU65" s="3">
        <v>0</v>
      </c>
      <c r="EV65" s="3">
        <v>0</v>
      </c>
      <c r="EW65" s="3">
        <v>0</v>
      </c>
      <c r="EX65" s="3">
        <v>0</v>
      </c>
      <c r="EY65" s="3">
        <v>0</v>
      </c>
      <c r="EZ65" s="3">
        <v>5</v>
      </c>
      <c r="FC65" s="3">
        <v>1</v>
      </c>
      <c r="FD65" s="3">
        <v>18</v>
      </c>
      <c r="FF65" s="3">
        <v>77000</v>
      </c>
      <c r="FQ65" s="3">
        <v>0</v>
      </c>
      <c r="FR65" s="3">
        <f>P65</f>
        <v>66884.820000000007</v>
      </c>
      <c r="FS65" s="3">
        <v>0</v>
      </c>
      <c r="FX65" s="3">
        <v>0</v>
      </c>
      <c r="FY65" s="3">
        <v>0</v>
      </c>
      <c r="GA65" s="3" t="s">
        <v>95</v>
      </c>
      <c r="GD65" s="3">
        <v>1</v>
      </c>
      <c r="GF65" s="3">
        <v>-1212810449</v>
      </c>
      <c r="GG65" s="3">
        <v>2</v>
      </c>
      <c r="GH65" s="3">
        <v>3</v>
      </c>
      <c r="GI65" s="3">
        <v>5</v>
      </c>
      <c r="GJ65" s="3">
        <v>0</v>
      </c>
      <c r="GK65" s="3">
        <v>0</v>
      </c>
      <c r="GL65" s="3">
        <f t="shared" si="65"/>
        <v>0</v>
      </c>
      <c r="GM65" s="3">
        <f t="shared" si="66"/>
        <v>66884.820000000007</v>
      </c>
      <c r="GN65" s="3">
        <f t="shared" si="67"/>
        <v>0</v>
      </c>
      <c r="GO65" s="3">
        <f t="shared" si="68"/>
        <v>0</v>
      </c>
      <c r="GP65" s="3">
        <f t="shared" si="69"/>
        <v>0</v>
      </c>
      <c r="GR65" s="3">
        <v>1</v>
      </c>
      <c r="GS65" s="3">
        <v>1</v>
      </c>
      <c r="GT65" s="3">
        <v>0</v>
      </c>
      <c r="GU65" s="3" t="s">
        <v>3</v>
      </c>
      <c r="GV65" s="3">
        <f t="shared" si="70"/>
        <v>0</v>
      </c>
      <c r="GW65" s="3">
        <v>1</v>
      </c>
      <c r="GX65" s="3">
        <f t="shared" si="71"/>
        <v>0</v>
      </c>
      <c r="HA65" s="3">
        <v>0</v>
      </c>
      <c r="HB65" s="3">
        <v>0</v>
      </c>
      <c r="HC65" s="3">
        <f t="shared" si="72"/>
        <v>0</v>
      </c>
      <c r="HE65" s="3" t="s">
        <v>36</v>
      </c>
      <c r="HF65" s="3" t="s">
        <v>47</v>
      </c>
      <c r="HM65" s="3" t="s">
        <v>3</v>
      </c>
      <c r="HN65" s="3" t="s">
        <v>3</v>
      </c>
      <c r="HO65" s="3" t="s">
        <v>3</v>
      </c>
      <c r="HP65" s="3" t="s">
        <v>3</v>
      </c>
      <c r="HQ65" s="3" t="s">
        <v>3</v>
      </c>
      <c r="HS65" s="3">
        <v>0</v>
      </c>
      <c r="IK65" s="3">
        <v>0</v>
      </c>
    </row>
    <row r="66" spans="1:255" x14ac:dyDescent="0.2">
      <c r="A66" s="2">
        <v>17</v>
      </c>
      <c r="B66" s="2">
        <v>1</v>
      </c>
      <c r="C66" s="2">
        <f>ROW(SmtRes!A55)</f>
        <v>55</v>
      </c>
      <c r="D66" s="2">
        <f>ROW(EtalonRes!A71)</f>
        <v>71</v>
      </c>
      <c r="E66" s="2" t="s">
        <v>96</v>
      </c>
      <c r="F66" s="2" t="s">
        <v>97</v>
      </c>
      <c r="G66" s="2" t="s">
        <v>98</v>
      </c>
      <c r="H66" s="2" t="s">
        <v>22</v>
      </c>
      <c r="I66" s="2">
        <v>2</v>
      </c>
      <c r="J66" s="2">
        <v>0</v>
      </c>
      <c r="K66" s="2">
        <v>2</v>
      </c>
      <c r="L66" s="2"/>
      <c r="M66" s="2"/>
      <c r="N66" s="2"/>
      <c r="O66" s="2">
        <f t="shared" si="50"/>
        <v>41.06</v>
      </c>
      <c r="P66" s="2">
        <f>ROUND((ROUND((AC66*AW66*I66),2)*BC66),2)</f>
        <v>3.92</v>
      </c>
      <c r="Q66" s="2">
        <f>(ROUND((ROUND((((ET66*1.1))*AV66*I66),2)*BB66),2)+ROUND((ROUND(((AE66-((EU66*1.1)))*AV66*I66),2)*BS66),2))</f>
        <v>0.12</v>
      </c>
      <c r="R66" s="2">
        <f>(ROUND((ROUND((((EU66*1.1))*AV66*I66),2)*BS66),2)+ROUND((ROUND(((AE66-((EU66*1.1)))*AV66*I66),2)*BS66),2))</f>
        <v>0.02</v>
      </c>
      <c r="S66" s="2">
        <f t="shared" si="51"/>
        <v>37.020000000000003</v>
      </c>
      <c r="T66" s="2">
        <f t="shared" si="52"/>
        <v>0</v>
      </c>
      <c r="U66" s="2">
        <f t="shared" si="53"/>
        <v>2.7640799999999999</v>
      </c>
      <c r="V66" s="2">
        <f t="shared" si="54"/>
        <v>0</v>
      </c>
      <c r="W66" s="2">
        <f t="shared" si="55"/>
        <v>0</v>
      </c>
      <c r="X66" s="2">
        <f>(ROUND((((S66+ROUND((ROUND((((EU66*1.1))*AV66*I66),2)*BS66),2))*AT66)/100),2)+ROUND(((ROUND((ROUND(((AE66-((EU66*1.1)))*AV66*I66),2)*BS66),2)*AT66)/100),2))</f>
        <v>33.340000000000003</v>
      </c>
      <c r="Y66" s="2">
        <f>(ROUND((((S66+ROUND((ROUND((((EU66*1.1))*AV66*I66),2)*BS66),2))*AU66)/100),2)+ROUND(((ROUND((ROUND(((AE66-((EU66*1.1)))*AV66*I66),2)*BS66),2)*AU66)/100),2))</f>
        <v>17.04</v>
      </c>
      <c r="Z66" s="2"/>
      <c r="AA66" s="2">
        <v>60256405</v>
      </c>
      <c r="AB66" s="2">
        <f t="shared" si="56"/>
        <v>19.692</v>
      </c>
      <c r="AC66" s="2">
        <f>ROUND(((ES66*1)),6)</f>
        <v>1.96</v>
      </c>
      <c r="AD66" s="2">
        <f>ROUND(((((ET66*1.1))-((EU66*1.1)))+AE66),6)</f>
        <v>5.5E-2</v>
      </c>
      <c r="AE66" s="2">
        <f>ROUND(((EU66*1.1)),6)</f>
        <v>1.0999999999999999E-2</v>
      </c>
      <c r="AF66" s="2">
        <f>ROUND(((EV66*1.1)),6)</f>
        <v>17.677</v>
      </c>
      <c r="AG66" s="2">
        <f t="shared" si="57"/>
        <v>0</v>
      </c>
      <c r="AH66" s="2">
        <f>((EW66*1.1))</f>
        <v>1.32</v>
      </c>
      <c r="AI66" s="2">
        <f>((EX66*1.1))</f>
        <v>0</v>
      </c>
      <c r="AJ66" s="2">
        <f t="shared" si="58"/>
        <v>0</v>
      </c>
      <c r="AK66" s="2">
        <v>18.079999999999998</v>
      </c>
      <c r="AL66" s="2">
        <v>1.96</v>
      </c>
      <c r="AM66" s="2">
        <v>0.05</v>
      </c>
      <c r="AN66" s="2">
        <v>0.01</v>
      </c>
      <c r="AO66" s="2">
        <v>16.07</v>
      </c>
      <c r="AP66" s="2">
        <v>0</v>
      </c>
      <c r="AQ66" s="2">
        <v>1.2</v>
      </c>
      <c r="AR66" s="2">
        <v>0</v>
      </c>
      <c r="AS66" s="2">
        <v>0</v>
      </c>
      <c r="AT66" s="2">
        <v>90</v>
      </c>
      <c r="AU66" s="2">
        <v>46</v>
      </c>
      <c r="AV66" s="2">
        <v>1.0469999999999999</v>
      </c>
      <c r="AW66" s="2">
        <v>1</v>
      </c>
      <c r="AX66" s="2"/>
      <c r="AY66" s="2"/>
      <c r="AZ66" s="2">
        <v>1</v>
      </c>
      <c r="BA66" s="2">
        <v>1</v>
      </c>
      <c r="BB66" s="2">
        <v>1</v>
      </c>
      <c r="BC66" s="2">
        <v>1</v>
      </c>
      <c r="BD66" s="2" t="s">
        <v>3</v>
      </c>
      <c r="BE66" s="2" t="s">
        <v>3</v>
      </c>
      <c r="BF66" s="2" t="s">
        <v>3</v>
      </c>
      <c r="BG66" s="2" t="s">
        <v>3</v>
      </c>
      <c r="BH66" s="2">
        <v>0</v>
      </c>
      <c r="BI66" s="2">
        <v>2</v>
      </c>
      <c r="BJ66" s="2" t="s">
        <v>99</v>
      </c>
      <c r="BK66" s="2"/>
      <c r="BL66" s="2"/>
      <c r="BM66" s="2">
        <v>68</v>
      </c>
      <c r="BN66" s="2">
        <v>58973116</v>
      </c>
      <c r="BO66" s="2" t="s">
        <v>97</v>
      </c>
      <c r="BP66" s="2">
        <v>1</v>
      </c>
      <c r="BQ66" s="2">
        <v>40</v>
      </c>
      <c r="BR66" s="2">
        <v>0</v>
      </c>
      <c r="BS66" s="2">
        <v>1</v>
      </c>
      <c r="BT66" s="2">
        <v>1</v>
      </c>
      <c r="BU66" s="2">
        <v>1</v>
      </c>
      <c r="BV66" s="2">
        <v>1</v>
      </c>
      <c r="BW66" s="2">
        <v>1</v>
      </c>
      <c r="BX66" s="2">
        <v>1</v>
      </c>
      <c r="BY66" s="2" t="s">
        <v>3</v>
      </c>
      <c r="BZ66" s="2">
        <v>90</v>
      </c>
      <c r="CA66" s="2">
        <v>46</v>
      </c>
      <c r="CB66" s="2" t="s">
        <v>3</v>
      </c>
      <c r="CC66" s="2"/>
      <c r="CD66" s="2"/>
      <c r="CE66" s="2">
        <v>1566</v>
      </c>
      <c r="CF66" s="2">
        <v>0</v>
      </c>
      <c r="CG66" s="2">
        <v>0</v>
      </c>
      <c r="CH66" s="2"/>
      <c r="CI66" s="2"/>
      <c r="CJ66" s="2"/>
      <c r="CK66" s="2"/>
      <c r="CL66" s="2"/>
      <c r="CM66" s="2">
        <v>0</v>
      </c>
      <c r="CN66" s="2" t="s">
        <v>369</v>
      </c>
      <c r="CO66" s="2">
        <v>0</v>
      </c>
      <c r="CP66" s="2">
        <f t="shared" si="59"/>
        <v>41.06</v>
      </c>
      <c r="CQ66" s="2">
        <f>ROUND((ROUND((AC66*AW66*1),2)*BC66),2)</f>
        <v>1.96</v>
      </c>
      <c r="CR66" s="2">
        <f>(ROUND((ROUND((((ET66*1.1))*AV66*1),2)*BB66),2)+ROUND((ROUND(((AE66-((EU66*1.1)))*AV66*1),2)*BS66),2))</f>
        <v>0.06</v>
      </c>
      <c r="CS66" s="2">
        <f>(ROUND((ROUND((((EU66*1.1))*AV66*1),2)*BS66),2)+ROUND((ROUND(((AE66-((EU66*1.1)))*AV66*1),2)*BS66),2))</f>
        <v>0.01</v>
      </c>
      <c r="CT66" s="2">
        <f t="shared" si="60"/>
        <v>18.510000000000002</v>
      </c>
      <c r="CU66" s="2">
        <f t="shared" si="61"/>
        <v>0</v>
      </c>
      <c r="CV66" s="2">
        <f t="shared" si="62"/>
        <v>1.3820399999999999</v>
      </c>
      <c r="CW66" s="2">
        <f t="shared" si="63"/>
        <v>0</v>
      </c>
      <c r="CX66" s="2">
        <f t="shared" si="64"/>
        <v>0</v>
      </c>
      <c r="CY66" s="2">
        <f>(ROUND((((S66+ROUND((ROUND((((EU66*1.1))*AV66*1),2)*BS66),2))*AT66)/100),2)+ROUND(((ROUND((ROUND(((AE66-((EU66*1.1)))*AV66*1),2)*BS66),2)*AT66)/100),2))</f>
        <v>33.33</v>
      </c>
      <c r="CZ66" s="2">
        <f>(ROUND((((S66+ROUND((ROUND((((EU66*1.1))*AV66*1),2)*BS66),2))*AU66)/100),2)+ROUND(((ROUND((ROUND(((AE66-((EU66*1.1)))*AV66*1),2)*BS66),2)*AU66)/100),2))</f>
        <v>17.03</v>
      </c>
      <c r="DA66" s="2"/>
      <c r="DB66" s="2">
        <v>17</v>
      </c>
      <c r="DC66" s="2" t="s">
        <v>3</v>
      </c>
      <c r="DD66" s="2" t="s">
        <v>24</v>
      </c>
      <c r="DE66" s="2" t="s">
        <v>25</v>
      </c>
      <c r="DF66" s="2" t="s">
        <v>25</v>
      </c>
      <c r="DG66" s="2" t="s">
        <v>25</v>
      </c>
      <c r="DH66" s="2" t="s">
        <v>3</v>
      </c>
      <c r="DI66" s="2" t="s">
        <v>25</v>
      </c>
      <c r="DJ66" s="2" t="s">
        <v>25</v>
      </c>
      <c r="DK66" s="2" t="s">
        <v>3</v>
      </c>
      <c r="DL66" s="2" t="s">
        <v>3</v>
      </c>
      <c r="DM66" s="2" t="s">
        <v>3</v>
      </c>
      <c r="DN66" s="2">
        <v>0</v>
      </c>
      <c r="DO66" s="2">
        <v>0</v>
      </c>
      <c r="DP66" s="2">
        <v>1</v>
      </c>
      <c r="DQ66" s="2">
        <v>1</v>
      </c>
      <c r="DR66" s="2"/>
      <c r="DS66" s="2"/>
      <c r="DT66" s="2"/>
      <c r="DU66" s="2">
        <v>1013</v>
      </c>
      <c r="DV66" s="2" t="s">
        <v>22</v>
      </c>
      <c r="DW66" s="2" t="s">
        <v>22</v>
      </c>
      <c r="DX66" s="2">
        <v>1</v>
      </c>
      <c r="DY66" s="2"/>
      <c r="DZ66" s="2" t="s">
        <v>3</v>
      </c>
      <c r="EA66" s="2" t="s">
        <v>3</v>
      </c>
      <c r="EB66" s="2" t="s">
        <v>3</v>
      </c>
      <c r="EC66" s="2" t="s">
        <v>3</v>
      </c>
      <c r="ED66" s="2"/>
      <c r="EE66" s="2">
        <v>60088532</v>
      </c>
      <c r="EF66" s="2">
        <v>40</v>
      </c>
      <c r="EG66" s="2" t="s">
        <v>26</v>
      </c>
      <c r="EH66" s="2">
        <v>0</v>
      </c>
      <c r="EI66" s="2" t="s">
        <v>3</v>
      </c>
      <c r="EJ66" s="2">
        <v>2</v>
      </c>
      <c r="EK66" s="2">
        <v>68</v>
      </c>
      <c r="EL66" s="2" t="s">
        <v>27</v>
      </c>
      <c r="EM66" s="2" t="s">
        <v>28</v>
      </c>
      <c r="EN66" s="2"/>
      <c r="EO66" s="2" t="s">
        <v>29</v>
      </c>
      <c r="EP66" s="2"/>
      <c r="EQ66" s="2">
        <v>0</v>
      </c>
      <c r="ER66" s="2">
        <v>18.079999999999998</v>
      </c>
      <c r="ES66" s="2">
        <v>1.96</v>
      </c>
      <c r="ET66" s="2">
        <v>0.05</v>
      </c>
      <c r="EU66" s="2">
        <v>0.01</v>
      </c>
      <c r="EV66" s="2">
        <v>16.07</v>
      </c>
      <c r="EW66" s="2">
        <v>1.2</v>
      </c>
      <c r="EX66" s="2">
        <v>0</v>
      </c>
      <c r="EY66" s="2">
        <v>0</v>
      </c>
      <c r="EZ66" s="2"/>
      <c r="FA66" s="2"/>
      <c r="FB66" s="2"/>
      <c r="FC66" s="2"/>
      <c r="FD66" s="2"/>
      <c r="FE66" s="2"/>
      <c r="FF66" s="2"/>
      <c r="FG66" s="2"/>
      <c r="FH66" s="2"/>
      <c r="FI66" s="2"/>
      <c r="FJ66" s="2"/>
      <c r="FK66" s="2"/>
      <c r="FL66" s="2"/>
      <c r="FM66" s="2"/>
      <c r="FN66" s="2"/>
      <c r="FO66" s="2"/>
      <c r="FP66" s="2"/>
      <c r="FQ66" s="2">
        <v>0</v>
      </c>
      <c r="FR66" s="2">
        <v>0</v>
      </c>
      <c r="FS66" s="2">
        <v>0</v>
      </c>
      <c r="FT66" s="2"/>
      <c r="FU66" s="2"/>
      <c r="FV66" s="2"/>
      <c r="FW66" s="2"/>
      <c r="FX66" s="2">
        <v>90</v>
      </c>
      <c r="FY66" s="2">
        <v>46</v>
      </c>
      <c r="FZ66" s="2"/>
      <c r="GA66" s="2" t="s">
        <v>3</v>
      </c>
      <c r="GB66" s="2"/>
      <c r="GC66" s="2"/>
      <c r="GD66" s="2">
        <v>1</v>
      </c>
      <c r="GE66" s="2"/>
      <c r="GF66" s="2">
        <v>1665592289</v>
      </c>
      <c r="GG66" s="2">
        <v>2</v>
      </c>
      <c r="GH66" s="2">
        <v>1</v>
      </c>
      <c r="GI66" s="2">
        <v>2</v>
      </c>
      <c r="GJ66" s="2">
        <v>0</v>
      </c>
      <c r="GK66" s="2">
        <v>0</v>
      </c>
      <c r="GL66" s="2">
        <f t="shared" si="65"/>
        <v>0</v>
      </c>
      <c r="GM66" s="2">
        <f t="shared" si="66"/>
        <v>91.44</v>
      </c>
      <c r="GN66" s="2">
        <f t="shared" si="67"/>
        <v>0</v>
      </c>
      <c r="GO66" s="2">
        <f t="shared" si="68"/>
        <v>91.44</v>
      </c>
      <c r="GP66" s="2">
        <f t="shared" si="69"/>
        <v>0</v>
      </c>
      <c r="GQ66" s="2"/>
      <c r="GR66" s="2">
        <v>0</v>
      </c>
      <c r="GS66" s="2">
        <v>3</v>
      </c>
      <c r="GT66" s="2">
        <v>0</v>
      </c>
      <c r="GU66" s="2" t="s">
        <v>3</v>
      </c>
      <c r="GV66" s="2">
        <f t="shared" si="70"/>
        <v>0</v>
      </c>
      <c r="GW66" s="2">
        <v>1</v>
      </c>
      <c r="GX66" s="2">
        <f t="shared" si="71"/>
        <v>0</v>
      </c>
      <c r="GY66" s="2"/>
      <c r="GZ66" s="2"/>
      <c r="HA66" s="2">
        <v>0</v>
      </c>
      <c r="HB66" s="2">
        <v>0</v>
      </c>
      <c r="HC66" s="2">
        <f t="shared" si="72"/>
        <v>0</v>
      </c>
      <c r="HD66" s="2"/>
      <c r="HE66" s="2" t="s">
        <v>3</v>
      </c>
      <c r="HF66" s="2" t="s">
        <v>3</v>
      </c>
      <c r="HG66" s="2"/>
      <c r="HH66" s="2"/>
      <c r="HI66" s="2"/>
      <c r="HJ66" s="2"/>
      <c r="HK66" s="2"/>
      <c r="HL66" s="2"/>
      <c r="HM66" s="2" t="s">
        <v>3</v>
      </c>
      <c r="HN66" s="2" t="s">
        <v>3</v>
      </c>
      <c r="HO66" s="2" t="s">
        <v>3</v>
      </c>
      <c r="HP66" s="2" t="s">
        <v>3</v>
      </c>
      <c r="HQ66" s="2" t="s">
        <v>3</v>
      </c>
      <c r="HR66" s="2"/>
      <c r="HS66" s="2">
        <v>0</v>
      </c>
      <c r="HT66" s="2"/>
      <c r="HU66" s="2"/>
      <c r="HV66" s="2"/>
      <c r="HW66" s="2"/>
      <c r="HX66" s="2"/>
      <c r="HY66" s="2"/>
      <c r="HZ66" s="2"/>
      <c r="IA66" s="2"/>
      <c r="IB66" s="2"/>
      <c r="IC66" s="2"/>
      <c r="ID66" s="2"/>
      <c r="IE66" s="2"/>
      <c r="IF66" s="2"/>
      <c r="IG66" s="2"/>
      <c r="IH66" s="2"/>
      <c r="II66" s="2"/>
      <c r="IJ66" s="2"/>
      <c r="IK66" s="2">
        <v>0</v>
      </c>
      <c r="IL66" s="2"/>
      <c r="IM66" s="2"/>
      <c r="IN66" s="2"/>
      <c r="IO66" s="2"/>
      <c r="IP66" s="2"/>
      <c r="IQ66" s="2"/>
      <c r="IR66" s="2"/>
      <c r="IS66" s="2"/>
      <c r="IT66" s="2"/>
      <c r="IU66" s="2"/>
    </row>
    <row r="67" spans="1:255" x14ac:dyDescent="0.2">
      <c r="A67" s="3">
        <v>17</v>
      </c>
      <c r="B67" s="3">
        <v>1</v>
      </c>
      <c r="C67" s="3">
        <f>ROW(SmtRes!A56)</f>
        <v>56</v>
      </c>
      <c r="D67" s="3">
        <f>ROW(EtalonRes!A72)</f>
        <v>72</v>
      </c>
      <c r="E67" s="3" t="s">
        <v>96</v>
      </c>
      <c r="F67" s="3" t="s">
        <v>97</v>
      </c>
      <c r="G67" s="3" t="s">
        <v>98</v>
      </c>
      <c r="H67" s="3" t="s">
        <v>22</v>
      </c>
      <c r="I67" s="3">
        <v>2</v>
      </c>
      <c r="J67" s="3">
        <v>0</v>
      </c>
      <c r="K67" s="3">
        <v>2</v>
      </c>
      <c r="O67" s="3">
        <f t="shared" si="50"/>
        <v>2076.7800000000002</v>
      </c>
      <c r="P67" s="3">
        <f>ROUND((ROUND((AC67*AW67*I67),2)*BC67),2)</f>
        <v>38.770000000000003</v>
      </c>
      <c r="Q67" s="3">
        <f>(ROUND((ROUND((((ET67*1.1))*AV67*I67),2)*BB67),2)+ROUND((ROUND(((AE67-((EU67*1.1)))*AV67*I67),2)*BS67),2))</f>
        <v>2.2799999999999998</v>
      </c>
      <c r="R67" s="3">
        <f>(ROUND((ROUND((((EU67*1.1))*AV67*I67),2)*BS67),2)+ROUND((ROUND(((AE67-((EU67*1.1)))*AV67*I67),2)*BS67),2))</f>
        <v>1.1000000000000001</v>
      </c>
      <c r="S67" s="3">
        <f t="shared" si="51"/>
        <v>2035.73</v>
      </c>
      <c r="T67" s="3">
        <f t="shared" si="52"/>
        <v>0</v>
      </c>
      <c r="U67" s="3">
        <f t="shared" si="53"/>
        <v>2.7640799999999999</v>
      </c>
      <c r="V67" s="3">
        <f t="shared" si="54"/>
        <v>0</v>
      </c>
      <c r="W67" s="3">
        <f t="shared" si="55"/>
        <v>0</v>
      </c>
      <c r="X67" s="3">
        <f>(ROUND((((S67+ROUND((ROUND((((EU67*1.1))*AV67*I67),2)*BS67),2))*AT67)/100),2)+ROUND(((ROUND((ROUND(((AE67-((EU67*1.1)))*AV67*I67),2)*BS67),2)*AT67)/100),2))</f>
        <v>1833.15</v>
      </c>
      <c r="Y67" s="3">
        <f>(ROUND((((S67+ROUND((ROUND((((EU67*1.1))*AV67*I67),2)*BS67),2))*AU67)/100),2)+ROUND(((ROUND((ROUND(((AE67-((EU67*1.1)))*AV67*I67),2)*BS67),2)*AU67)/100),2))</f>
        <v>936.94</v>
      </c>
      <c r="AA67" s="3">
        <v>60256402</v>
      </c>
      <c r="AB67" s="3">
        <f t="shared" si="56"/>
        <v>19.692</v>
      </c>
      <c r="AC67" s="3">
        <f>ROUND(((ES67*1)),6)</f>
        <v>1.96</v>
      </c>
      <c r="AD67" s="3">
        <f>ROUND(((((ET67*1.1))-((EU67*1.1)))+AE67),6)</f>
        <v>5.5E-2</v>
      </c>
      <c r="AE67" s="3">
        <f>ROUND(((EU67*1.1)),6)</f>
        <v>1.0999999999999999E-2</v>
      </c>
      <c r="AF67" s="3">
        <f>ROUND(((EV67*1.1)),6)</f>
        <v>17.677</v>
      </c>
      <c r="AG67" s="3">
        <f t="shared" si="57"/>
        <v>0</v>
      </c>
      <c r="AH67" s="3">
        <f>((EW67*1.1))</f>
        <v>1.32</v>
      </c>
      <c r="AI67" s="3">
        <f>((EX67*1.1))</f>
        <v>0</v>
      </c>
      <c r="AJ67" s="3">
        <f t="shared" si="58"/>
        <v>0</v>
      </c>
      <c r="AK67" s="3">
        <v>18.079999999999998</v>
      </c>
      <c r="AL67" s="3">
        <v>1.96</v>
      </c>
      <c r="AM67" s="3">
        <v>0.05</v>
      </c>
      <c r="AN67" s="3">
        <v>0.01</v>
      </c>
      <c r="AO67" s="3">
        <v>16.07</v>
      </c>
      <c r="AP67" s="3">
        <v>0</v>
      </c>
      <c r="AQ67" s="3">
        <v>1.2</v>
      </c>
      <c r="AR67" s="3">
        <v>0</v>
      </c>
      <c r="AS67" s="3">
        <v>0</v>
      </c>
      <c r="AT67" s="3">
        <v>90</v>
      </c>
      <c r="AU67" s="3">
        <v>46</v>
      </c>
      <c r="AV67" s="3">
        <v>1.0469999999999999</v>
      </c>
      <c r="AW67" s="3">
        <v>1</v>
      </c>
      <c r="AZ67" s="3">
        <v>1</v>
      </c>
      <c r="BA67" s="3">
        <v>54.99</v>
      </c>
      <c r="BB67" s="3">
        <v>19</v>
      </c>
      <c r="BC67" s="3">
        <v>9.89</v>
      </c>
      <c r="BD67" s="3" t="s">
        <v>3</v>
      </c>
      <c r="BE67" s="3" t="s">
        <v>3</v>
      </c>
      <c r="BF67" s="3" t="s">
        <v>3</v>
      </c>
      <c r="BG67" s="3" t="s">
        <v>3</v>
      </c>
      <c r="BH67" s="3">
        <v>0</v>
      </c>
      <c r="BI67" s="3">
        <v>2</v>
      </c>
      <c r="BJ67" s="3" t="s">
        <v>99</v>
      </c>
      <c r="BM67" s="3">
        <v>68</v>
      </c>
      <c r="BN67" s="3">
        <v>58973116</v>
      </c>
      <c r="BO67" s="3" t="s">
        <v>97</v>
      </c>
      <c r="BP67" s="3">
        <v>1</v>
      </c>
      <c r="BQ67" s="3">
        <v>40</v>
      </c>
      <c r="BR67" s="3">
        <v>0</v>
      </c>
      <c r="BS67" s="3">
        <v>54.99</v>
      </c>
      <c r="BT67" s="3">
        <v>1</v>
      </c>
      <c r="BU67" s="3">
        <v>1</v>
      </c>
      <c r="BV67" s="3">
        <v>1</v>
      </c>
      <c r="BW67" s="3">
        <v>1</v>
      </c>
      <c r="BX67" s="3">
        <v>1</v>
      </c>
      <c r="BY67" s="3" t="s">
        <v>3</v>
      </c>
      <c r="BZ67" s="3">
        <v>90</v>
      </c>
      <c r="CA67" s="3">
        <v>46</v>
      </c>
      <c r="CB67" s="3" t="s">
        <v>3</v>
      </c>
      <c r="CE67" s="3">
        <v>1566</v>
      </c>
      <c r="CF67" s="3">
        <v>0</v>
      </c>
      <c r="CG67" s="3">
        <v>0</v>
      </c>
      <c r="CM67" s="3">
        <v>0</v>
      </c>
      <c r="CN67" s="3" t="s">
        <v>369</v>
      </c>
      <c r="CO67" s="3">
        <v>0</v>
      </c>
      <c r="CP67" s="3">
        <f t="shared" si="59"/>
        <v>2076.7800000000002</v>
      </c>
      <c r="CQ67" s="3">
        <f>ROUND((ROUND((AC67*AW67*1),2)*BC67),2)</f>
        <v>19.38</v>
      </c>
      <c r="CR67" s="3">
        <f>(ROUND((ROUND((((ET67*1.1))*AV67*1),2)*BB67),2)+ROUND((ROUND(((AE67-((EU67*1.1)))*AV67*1),2)*BS67),2))</f>
        <v>1.1399999999999999</v>
      </c>
      <c r="CS67" s="3">
        <f>(ROUND((ROUND((((EU67*1.1))*AV67*1),2)*BS67),2)+ROUND((ROUND(((AE67-((EU67*1.1)))*AV67*1),2)*BS67),2))</f>
        <v>0.55000000000000004</v>
      </c>
      <c r="CT67" s="3">
        <f t="shared" si="60"/>
        <v>1017.86</v>
      </c>
      <c r="CU67" s="3">
        <f t="shared" si="61"/>
        <v>0</v>
      </c>
      <c r="CV67" s="3">
        <f t="shared" si="62"/>
        <v>1.3820399999999999</v>
      </c>
      <c r="CW67" s="3">
        <f t="shared" si="63"/>
        <v>0</v>
      </c>
      <c r="CX67" s="3">
        <f t="shared" si="64"/>
        <v>0</v>
      </c>
      <c r="CY67" s="3">
        <f>(ROUND((((S67+ROUND((ROUND((((EU67*1.1))*AV67*1),2)*BS67),2))*AT67)/100),2)+ROUND(((ROUND((ROUND(((AE67-((EU67*1.1)))*AV67*1),2)*BS67),2)*AT67)/100),2))</f>
        <v>1832.65</v>
      </c>
      <c r="CZ67" s="3">
        <f>(ROUND((((S67+ROUND((ROUND((((EU67*1.1))*AV67*1),2)*BS67),2))*AU67)/100),2)+ROUND(((ROUND((ROUND(((AE67-((EU67*1.1)))*AV67*1),2)*BS67),2)*AU67)/100),2))</f>
        <v>936.69</v>
      </c>
      <c r="DB67" s="3">
        <v>18</v>
      </c>
      <c r="DC67" s="3" t="s">
        <v>3</v>
      </c>
      <c r="DD67" s="3" t="s">
        <v>24</v>
      </c>
      <c r="DE67" s="3" t="s">
        <v>25</v>
      </c>
      <c r="DF67" s="3" t="s">
        <v>25</v>
      </c>
      <c r="DG67" s="3" t="s">
        <v>25</v>
      </c>
      <c r="DH67" s="3" t="s">
        <v>3</v>
      </c>
      <c r="DI67" s="3" t="s">
        <v>25</v>
      </c>
      <c r="DJ67" s="3" t="s">
        <v>25</v>
      </c>
      <c r="DK67" s="3" t="s">
        <v>3</v>
      </c>
      <c r="DL67" s="3" t="s">
        <v>3</v>
      </c>
      <c r="DM67" s="3" t="s">
        <v>3</v>
      </c>
      <c r="DN67" s="3">
        <v>0</v>
      </c>
      <c r="DO67" s="3">
        <v>0</v>
      </c>
      <c r="DP67" s="3">
        <v>1</v>
      </c>
      <c r="DQ67" s="3">
        <v>1</v>
      </c>
      <c r="DU67" s="3">
        <v>1013</v>
      </c>
      <c r="DV67" s="3" t="s">
        <v>22</v>
      </c>
      <c r="DW67" s="3" t="s">
        <v>22</v>
      </c>
      <c r="DX67" s="3">
        <v>1</v>
      </c>
      <c r="DZ67" s="3" t="s">
        <v>3</v>
      </c>
      <c r="EA67" s="3" t="s">
        <v>3</v>
      </c>
      <c r="EB67" s="3" t="s">
        <v>3</v>
      </c>
      <c r="EC67" s="3" t="s">
        <v>3</v>
      </c>
      <c r="EE67" s="3">
        <v>60088532</v>
      </c>
      <c r="EF67" s="3">
        <v>40</v>
      </c>
      <c r="EG67" s="3" t="s">
        <v>26</v>
      </c>
      <c r="EH67" s="3">
        <v>0</v>
      </c>
      <c r="EI67" s="3" t="s">
        <v>3</v>
      </c>
      <c r="EJ67" s="3">
        <v>2</v>
      </c>
      <c r="EK67" s="3">
        <v>68</v>
      </c>
      <c r="EL67" s="3" t="s">
        <v>27</v>
      </c>
      <c r="EM67" s="3" t="s">
        <v>28</v>
      </c>
      <c r="EO67" s="3" t="s">
        <v>29</v>
      </c>
      <c r="EQ67" s="3">
        <v>0</v>
      </c>
      <c r="ER67" s="3">
        <v>18.079999999999998</v>
      </c>
      <c r="ES67" s="3">
        <v>1.96</v>
      </c>
      <c r="ET67" s="3">
        <v>0.05</v>
      </c>
      <c r="EU67" s="3">
        <v>0.01</v>
      </c>
      <c r="EV67" s="3">
        <v>16.07</v>
      </c>
      <c r="EW67" s="3">
        <v>1.2</v>
      </c>
      <c r="EX67" s="3">
        <v>0</v>
      </c>
      <c r="EY67" s="3">
        <v>0</v>
      </c>
      <c r="FQ67" s="3">
        <v>0</v>
      </c>
      <c r="FR67" s="3">
        <v>0</v>
      </c>
      <c r="FS67" s="3">
        <v>0</v>
      </c>
      <c r="FX67" s="3">
        <v>90</v>
      </c>
      <c r="FY67" s="3">
        <v>46</v>
      </c>
      <c r="GA67" s="3" t="s">
        <v>3</v>
      </c>
      <c r="GD67" s="3">
        <v>1</v>
      </c>
      <c r="GF67" s="3">
        <v>1665592289</v>
      </c>
      <c r="GG67" s="3">
        <v>2</v>
      </c>
      <c r="GH67" s="3">
        <v>1</v>
      </c>
      <c r="GI67" s="3">
        <v>2</v>
      </c>
      <c r="GJ67" s="3">
        <v>0</v>
      </c>
      <c r="GK67" s="3">
        <v>0</v>
      </c>
      <c r="GL67" s="3">
        <f t="shared" si="65"/>
        <v>0</v>
      </c>
      <c r="GM67" s="3">
        <f t="shared" si="66"/>
        <v>4846.87</v>
      </c>
      <c r="GN67" s="3">
        <f t="shared" si="67"/>
        <v>0</v>
      </c>
      <c r="GO67" s="3">
        <f t="shared" si="68"/>
        <v>4846.87</v>
      </c>
      <c r="GP67" s="3">
        <f t="shared" si="69"/>
        <v>0</v>
      </c>
      <c r="GR67" s="3">
        <v>0</v>
      </c>
      <c r="GS67" s="3">
        <v>3</v>
      </c>
      <c r="GT67" s="3">
        <v>0</v>
      </c>
      <c r="GU67" s="3" t="s">
        <v>3</v>
      </c>
      <c r="GV67" s="3">
        <f t="shared" si="70"/>
        <v>0</v>
      </c>
      <c r="GW67" s="3">
        <v>1</v>
      </c>
      <c r="GX67" s="3">
        <f t="shared" si="71"/>
        <v>0</v>
      </c>
      <c r="HA67" s="3">
        <v>0</v>
      </c>
      <c r="HB67" s="3">
        <v>0</v>
      </c>
      <c r="HC67" s="3">
        <f t="shared" si="72"/>
        <v>0</v>
      </c>
      <c r="HE67" s="3" t="s">
        <v>3</v>
      </c>
      <c r="HF67" s="3" t="s">
        <v>3</v>
      </c>
      <c r="HM67" s="3" t="s">
        <v>3</v>
      </c>
      <c r="HN67" s="3" t="s">
        <v>3</v>
      </c>
      <c r="HO67" s="3" t="s">
        <v>3</v>
      </c>
      <c r="HP67" s="3" t="s">
        <v>3</v>
      </c>
      <c r="HQ67" s="3" t="s">
        <v>3</v>
      </c>
      <c r="HS67" s="3">
        <v>0</v>
      </c>
      <c r="IK67" s="3">
        <v>0</v>
      </c>
    </row>
    <row r="68" spans="1:255" x14ac:dyDescent="0.2">
      <c r="A68" s="2">
        <v>17</v>
      </c>
      <c r="B68" s="2">
        <v>1</v>
      </c>
      <c r="C68" s="2"/>
      <c r="D68" s="2"/>
      <c r="E68" s="2" t="s">
        <v>100</v>
      </c>
      <c r="F68" s="2" t="s">
        <v>101</v>
      </c>
      <c r="G68" s="2" t="s">
        <v>102</v>
      </c>
      <c r="H68" s="2" t="s">
        <v>33</v>
      </c>
      <c r="I68" s="2">
        <v>2</v>
      </c>
      <c r="J68" s="2">
        <v>0</v>
      </c>
      <c r="K68" s="2">
        <v>2</v>
      </c>
      <c r="L68" s="2"/>
      <c r="M68" s="2"/>
      <c r="N68" s="2"/>
      <c r="O68" s="2">
        <f t="shared" si="50"/>
        <v>154.46</v>
      </c>
      <c r="P68" s="2">
        <f>ROUND((ROUND((AC68*I68),2)*BC68),2)</f>
        <v>154.46</v>
      </c>
      <c r="Q68" s="2">
        <f>(ROUND((ROUND(((ET68)*AV68*I68),2)*BB68),2)+ROUND((ROUND(((AE68-(EU68))*AV68*I68),2)*BS68),2))</f>
        <v>0</v>
      </c>
      <c r="R68" s="2">
        <f>(ROUND((ROUND(((EU68)*AV68*I68),2)*BS68),2)+ROUND((ROUND(((AE68-(EU68))*AV68*I68),2)*BS68),2))</f>
        <v>0</v>
      </c>
      <c r="S68" s="2">
        <f t="shared" si="51"/>
        <v>0</v>
      </c>
      <c r="T68" s="2">
        <f t="shared" si="52"/>
        <v>0</v>
      </c>
      <c r="U68" s="2">
        <f t="shared" si="53"/>
        <v>0</v>
      </c>
      <c r="V68" s="2">
        <f t="shared" si="54"/>
        <v>0</v>
      </c>
      <c r="W68" s="2">
        <f t="shared" si="55"/>
        <v>0</v>
      </c>
      <c r="X68" s="2">
        <f>(ROUND((((S68+ROUND((ROUND(((EU68)*AV68*I68),2)*BS68),2))*AT68)/100),2)+ROUND(((ROUND((ROUND(((AE68-(EU68))*AV68*I68),2)*BS68),2)*AT68)/100),2))</f>
        <v>0</v>
      </c>
      <c r="Y68" s="2">
        <f>(ROUND((((S68+ROUND((ROUND(((EU68)*AV68*I68),2)*BS68),2))*AU68)/100),2)+ROUND(((ROUND((ROUND(((AE68-(EU68))*AV68*I68),2)*BS68),2)*AU68)/100),2))</f>
        <v>0</v>
      </c>
      <c r="Z68" s="2"/>
      <c r="AA68" s="2">
        <v>60256405</v>
      </c>
      <c r="AB68" s="2">
        <f t="shared" si="56"/>
        <v>77.23</v>
      </c>
      <c r="AC68" s="2">
        <f>ROUND((ES68),6)</f>
        <v>77.23</v>
      </c>
      <c r="AD68" s="2">
        <f>ROUND((((ET68)-(EU68))+AE68),6)</f>
        <v>0</v>
      </c>
      <c r="AE68" s="2">
        <f>ROUND((EU68),6)</f>
        <v>0</v>
      </c>
      <c r="AF68" s="2">
        <f>ROUND((EV68),6)</f>
        <v>0</v>
      </c>
      <c r="AG68" s="2">
        <f t="shared" si="57"/>
        <v>0</v>
      </c>
      <c r="AH68" s="2">
        <f>(EW68)</f>
        <v>0</v>
      </c>
      <c r="AI68" s="2">
        <f>(EX68)</f>
        <v>0</v>
      </c>
      <c r="AJ68" s="2">
        <f t="shared" si="58"/>
        <v>0</v>
      </c>
      <c r="AK68" s="2">
        <v>77.23</v>
      </c>
      <c r="AL68" s="2">
        <v>77.23</v>
      </c>
      <c r="AM68" s="2">
        <v>0</v>
      </c>
      <c r="AN68" s="2">
        <v>0</v>
      </c>
      <c r="AO68" s="2">
        <v>0</v>
      </c>
      <c r="AP68" s="2">
        <v>0</v>
      </c>
      <c r="AQ68" s="2">
        <v>0</v>
      </c>
      <c r="AR68" s="2">
        <v>0</v>
      </c>
      <c r="AS68" s="2">
        <v>0</v>
      </c>
      <c r="AT68" s="2">
        <v>0</v>
      </c>
      <c r="AU68" s="2">
        <v>0</v>
      </c>
      <c r="AV68" s="2">
        <v>1</v>
      </c>
      <c r="AW68" s="2">
        <v>1</v>
      </c>
      <c r="AX68" s="2"/>
      <c r="AY68" s="2"/>
      <c r="AZ68" s="2">
        <v>1</v>
      </c>
      <c r="BA68" s="2">
        <v>1</v>
      </c>
      <c r="BB68" s="2">
        <v>1</v>
      </c>
      <c r="BC68" s="2">
        <v>1</v>
      </c>
      <c r="BD68" s="2" t="s">
        <v>3</v>
      </c>
      <c r="BE68" s="2" t="s">
        <v>3</v>
      </c>
      <c r="BF68" s="2" t="s">
        <v>3</v>
      </c>
      <c r="BG68" s="2" t="s">
        <v>3</v>
      </c>
      <c r="BH68" s="2">
        <v>3</v>
      </c>
      <c r="BI68" s="2">
        <v>3</v>
      </c>
      <c r="BJ68" s="2" t="s">
        <v>3</v>
      </c>
      <c r="BK68" s="2"/>
      <c r="BL68" s="2"/>
      <c r="BM68" s="2">
        <v>746</v>
      </c>
      <c r="BN68" s="2">
        <v>0</v>
      </c>
      <c r="BO68" s="2" t="s">
        <v>3</v>
      </c>
      <c r="BP68" s="2">
        <v>0</v>
      </c>
      <c r="BQ68" s="2">
        <v>130</v>
      </c>
      <c r="BR68" s="2">
        <v>0</v>
      </c>
      <c r="BS68" s="2">
        <v>1</v>
      </c>
      <c r="BT68" s="2">
        <v>1</v>
      </c>
      <c r="BU68" s="2">
        <v>1</v>
      </c>
      <c r="BV68" s="2">
        <v>1</v>
      </c>
      <c r="BW68" s="2">
        <v>1</v>
      </c>
      <c r="BX68" s="2">
        <v>1</v>
      </c>
      <c r="BY68" s="2" t="s">
        <v>3</v>
      </c>
      <c r="BZ68" s="2">
        <v>0</v>
      </c>
      <c r="CA68" s="2">
        <v>0</v>
      </c>
      <c r="CB68" s="2" t="s">
        <v>3</v>
      </c>
      <c r="CC68" s="2"/>
      <c r="CD68" s="2"/>
      <c r="CE68" s="2">
        <v>1566</v>
      </c>
      <c r="CF68" s="2">
        <v>0</v>
      </c>
      <c r="CG68" s="2">
        <v>0</v>
      </c>
      <c r="CH68" s="2"/>
      <c r="CI68" s="2"/>
      <c r="CJ68" s="2"/>
      <c r="CK68" s="2"/>
      <c r="CL68" s="2"/>
      <c r="CM68" s="2">
        <v>0</v>
      </c>
      <c r="CN68" s="2" t="s">
        <v>3</v>
      </c>
      <c r="CO68" s="2">
        <v>0</v>
      </c>
      <c r="CP68" s="2">
        <f t="shared" si="59"/>
        <v>154.46</v>
      </c>
      <c r="CQ68" s="2">
        <f>ROUND((ROUND((AC68*1),2)*BC68),2)</f>
        <v>77.23</v>
      </c>
      <c r="CR68" s="2">
        <f>(ROUND((ROUND(((ET68)*AV68*1),2)*BB68),2)+ROUND((ROUND(((AE68-(EU68))*AV68*1),2)*BS68),2))</f>
        <v>0</v>
      </c>
      <c r="CS68" s="2">
        <f>(ROUND((ROUND(((EU68)*AV68*1),2)*BS68),2)+ROUND((ROUND(((AE68-(EU68))*AV68*1),2)*BS68),2))</f>
        <v>0</v>
      </c>
      <c r="CT68" s="2">
        <f t="shared" si="60"/>
        <v>0</v>
      </c>
      <c r="CU68" s="2">
        <f t="shared" si="61"/>
        <v>0</v>
      </c>
      <c r="CV68" s="2">
        <f t="shared" si="62"/>
        <v>0</v>
      </c>
      <c r="CW68" s="2">
        <f t="shared" si="63"/>
        <v>0</v>
      </c>
      <c r="CX68" s="2">
        <f t="shared" si="64"/>
        <v>0</v>
      </c>
      <c r="CY68" s="2">
        <f>(ROUND((((S68+ROUND((ROUND(((EU68)*AV68*1),2)*BS68),2))*AT68)/100),2)+ROUND(((ROUND((ROUND(((AE68-(EU68))*AV68*1),2)*BS68),2)*AT68)/100),2))</f>
        <v>0</v>
      </c>
      <c r="CZ68" s="2">
        <f>(ROUND((((S68+ROUND((ROUND(((EU68)*AV68*1),2)*BS68),2))*AU68)/100),2)+ROUND(((ROUND((ROUND(((AE68-(EU68))*AV68*1),2)*BS68),2)*AU68)/100),2))</f>
        <v>0</v>
      </c>
      <c r="DA68" s="2"/>
      <c r="DB68" s="2"/>
      <c r="DC68" s="2" t="s">
        <v>3</v>
      </c>
      <c r="DD68" s="2" t="s">
        <v>3</v>
      </c>
      <c r="DE68" s="2" t="s">
        <v>3</v>
      </c>
      <c r="DF68" s="2" t="s">
        <v>3</v>
      </c>
      <c r="DG68" s="2" t="s">
        <v>3</v>
      </c>
      <c r="DH68" s="2" t="s">
        <v>3</v>
      </c>
      <c r="DI68" s="2" t="s">
        <v>3</v>
      </c>
      <c r="DJ68" s="2" t="s">
        <v>3</v>
      </c>
      <c r="DK68" s="2" t="s">
        <v>3</v>
      </c>
      <c r="DL68" s="2" t="s">
        <v>3</v>
      </c>
      <c r="DM68" s="2" t="s">
        <v>3</v>
      </c>
      <c r="DN68" s="2">
        <v>0</v>
      </c>
      <c r="DO68" s="2">
        <v>0</v>
      </c>
      <c r="DP68" s="2">
        <v>1</v>
      </c>
      <c r="DQ68" s="2">
        <v>1</v>
      </c>
      <c r="DR68" s="2"/>
      <c r="DS68" s="2"/>
      <c r="DT68" s="2"/>
      <c r="DU68" s="2">
        <v>1010</v>
      </c>
      <c r="DV68" s="2" t="s">
        <v>33</v>
      </c>
      <c r="DW68" s="2" t="s">
        <v>33</v>
      </c>
      <c r="DX68" s="2">
        <v>1</v>
      </c>
      <c r="DY68" s="2"/>
      <c r="DZ68" s="2" t="s">
        <v>3</v>
      </c>
      <c r="EA68" s="2" t="s">
        <v>3</v>
      </c>
      <c r="EB68" s="2" t="s">
        <v>3</v>
      </c>
      <c r="EC68" s="2" t="s">
        <v>3</v>
      </c>
      <c r="ED68" s="2"/>
      <c r="EE68" s="2">
        <v>60088638</v>
      </c>
      <c r="EF68" s="2">
        <v>130</v>
      </c>
      <c r="EG68" s="2" t="s">
        <v>43</v>
      </c>
      <c r="EH68" s="2">
        <v>0</v>
      </c>
      <c r="EI68" s="2" t="s">
        <v>3</v>
      </c>
      <c r="EJ68" s="2">
        <v>3</v>
      </c>
      <c r="EK68" s="2">
        <v>746</v>
      </c>
      <c r="EL68" s="2" t="s">
        <v>44</v>
      </c>
      <c r="EM68" s="2" t="s">
        <v>45</v>
      </c>
      <c r="EN68" s="2"/>
      <c r="EO68" s="2" t="s">
        <v>3</v>
      </c>
      <c r="EP68" s="2"/>
      <c r="EQ68" s="2">
        <v>0</v>
      </c>
      <c r="ER68" s="2">
        <v>0</v>
      </c>
      <c r="ES68" s="2">
        <v>77.23</v>
      </c>
      <c r="ET68" s="2">
        <v>0</v>
      </c>
      <c r="EU68" s="2">
        <v>0</v>
      </c>
      <c r="EV68" s="2">
        <v>0</v>
      </c>
      <c r="EW68" s="2">
        <v>0</v>
      </c>
      <c r="EX68" s="2">
        <v>0</v>
      </c>
      <c r="EY68" s="2">
        <v>0</v>
      </c>
      <c r="EZ68" s="2"/>
      <c r="FA68" s="2"/>
      <c r="FB68" s="2"/>
      <c r="FC68" s="2"/>
      <c r="FD68" s="2"/>
      <c r="FE68" s="2"/>
      <c r="FF68" s="2"/>
      <c r="FG68" s="2"/>
      <c r="FH68" s="2"/>
      <c r="FI68" s="2"/>
      <c r="FJ68" s="2"/>
      <c r="FK68" s="2"/>
      <c r="FL68" s="2"/>
      <c r="FM68" s="2"/>
      <c r="FN68" s="2"/>
      <c r="FO68" s="2"/>
      <c r="FP68" s="2"/>
      <c r="FQ68" s="2">
        <v>0</v>
      </c>
      <c r="FR68" s="2">
        <f>P68</f>
        <v>154.46</v>
      </c>
      <c r="FS68" s="2">
        <v>0</v>
      </c>
      <c r="FT68" s="2"/>
      <c r="FU68" s="2"/>
      <c r="FV68" s="2"/>
      <c r="FW68" s="2"/>
      <c r="FX68" s="2">
        <v>0</v>
      </c>
      <c r="FY68" s="2">
        <v>0</v>
      </c>
      <c r="FZ68" s="2"/>
      <c r="GA68" s="2" t="s">
        <v>103</v>
      </c>
      <c r="GB68" s="2"/>
      <c r="GC68" s="2"/>
      <c r="GD68" s="2">
        <v>1</v>
      </c>
      <c r="GE68" s="2"/>
      <c r="GF68" s="2">
        <v>-826287204</v>
      </c>
      <c r="GG68" s="2">
        <v>2</v>
      </c>
      <c r="GH68" s="2">
        <v>4</v>
      </c>
      <c r="GI68" s="2">
        <v>-2</v>
      </c>
      <c r="GJ68" s="2">
        <v>0</v>
      </c>
      <c r="GK68" s="2">
        <v>0</v>
      </c>
      <c r="GL68" s="2">
        <f t="shared" si="65"/>
        <v>0</v>
      </c>
      <c r="GM68" s="2">
        <f t="shared" si="66"/>
        <v>154.46</v>
      </c>
      <c r="GN68" s="2">
        <f t="shared" si="67"/>
        <v>0</v>
      </c>
      <c r="GO68" s="2">
        <f t="shared" si="68"/>
        <v>0</v>
      </c>
      <c r="GP68" s="2">
        <f t="shared" si="69"/>
        <v>0</v>
      </c>
      <c r="GQ68" s="2"/>
      <c r="GR68" s="2">
        <v>0</v>
      </c>
      <c r="GS68" s="2">
        <v>2</v>
      </c>
      <c r="GT68" s="2">
        <v>0</v>
      </c>
      <c r="GU68" s="2" t="s">
        <v>3</v>
      </c>
      <c r="GV68" s="2">
        <f t="shared" si="70"/>
        <v>0</v>
      </c>
      <c r="GW68" s="2">
        <v>1</v>
      </c>
      <c r="GX68" s="2">
        <f t="shared" si="71"/>
        <v>0</v>
      </c>
      <c r="GY68" s="2"/>
      <c r="GZ68" s="2"/>
      <c r="HA68" s="2">
        <v>0</v>
      </c>
      <c r="HB68" s="2">
        <v>0</v>
      </c>
      <c r="HC68" s="2">
        <f t="shared" si="72"/>
        <v>0</v>
      </c>
      <c r="HD68" s="2"/>
      <c r="HE68" s="2" t="s">
        <v>36</v>
      </c>
      <c r="HF68" s="2" t="s">
        <v>47</v>
      </c>
      <c r="HG68" s="2"/>
      <c r="HH68" s="2"/>
      <c r="HI68" s="2"/>
      <c r="HJ68" s="2"/>
      <c r="HK68" s="2"/>
      <c r="HL68" s="2"/>
      <c r="HM68" s="2" t="s">
        <v>3</v>
      </c>
      <c r="HN68" s="2" t="s">
        <v>3</v>
      </c>
      <c r="HO68" s="2" t="s">
        <v>3</v>
      </c>
      <c r="HP68" s="2" t="s">
        <v>3</v>
      </c>
      <c r="HQ68" s="2" t="s">
        <v>3</v>
      </c>
      <c r="HR68" s="2"/>
      <c r="HS68" s="2">
        <v>0</v>
      </c>
      <c r="HT68" s="2"/>
      <c r="HU68" s="2"/>
      <c r="HV68" s="2"/>
      <c r="HW68" s="2"/>
      <c r="HX68" s="2"/>
      <c r="HY68" s="2"/>
      <c r="HZ68" s="2"/>
      <c r="IA68" s="2"/>
      <c r="IB68" s="2"/>
      <c r="IC68" s="2"/>
      <c r="ID68" s="2"/>
      <c r="IE68" s="2"/>
      <c r="IF68" s="2"/>
      <c r="IG68" s="2"/>
      <c r="IH68" s="2"/>
      <c r="II68" s="2"/>
      <c r="IJ68" s="2"/>
      <c r="IK68" s="2">
        <v>0</v>
      </c>
      <c r="IL68" s="2"/>
      <c r="IM68" s="2"/>
      <c r="IN68" s="2"/>
      <c r="IO68" s="2"/>
      <c r="IP68" s="2"/>
      <c r="IQ68" s="2"/>
      <c r="IR68" s="2"/>
      <c r="IS68" s="2"/>
      <c r="IT68" s="2"/>
      <c r="IU68" s="2"/>
    </row>
    <row r="69" spans="1:255" x14ac:dyDescent="0.2">
      <c r="A69" s="3">
        <v>17</v>
      </c>
      <c r="B69" s="3">
        <v>1</v>
      </c>
      <c r="E69" s="3" t="s">
        <v>100</v>
      </c>
      <c r="F69" s="3" t="s">
        <v>101</v>
      </c>
      <c r="G69" s="3" t="s">
        <v>102</v>
      </c>
      <c r="H69" s="3" t="s">
        <v>33</v>
      </c>
      <c r="I69" s="3">
        <v>2</v>
      </c>
      <c r="J69" s="3">
        <v>0</v>
      </c>
      <c r="K69" s="3">
        <v>2</v>
      </c>
      <c r="O69" s="3">
        <f t="shared" si="50"/>
        <v>1183.1600000000001</v>
      </c>
      <c r="P69" s="3">
        <f>ROUND((ROUND((AC69*I69),2)*BC69),2)</f>
        <v>1183.1600000000001</v>
      </c>
      <c r="Q69" s="3">
        <f>(ROUND((ROUND(((ET69)*AV69*I69),2)*BB69),2)+ROUND((ROUND(((AE69-(EU69))*AV69*I69),2)*BS69),2))</f>
        <v>0</v>
      </c>
      <c r="R69" s="3">
        <f>(ROUND((ROUND(((EU69)*AV69*I69),2)*BS69),2)+ROUND((ROUND(((AE69-(EU69))*AV69*I69),2)*BS69),2))</f>
        <v>0</v>
      </c>
      <c r="S69" s="3">
        <f t="shared" si="51"/>
        <v>0</v>
      </c>
      <c r="T69" s="3">
        <f t="shared" si="52"/>
        <v>0</v>
      </c>
      <c r="U69" s="3">
        <f t="shared" si="53"/>
        <v>0</v>
      </c>
      <c r="V69" s="3">
        <f t="shared" si="54"/>
        <v>0</v>
      </c>
      <c r="W69" s="3">
        <f t="shared" si="55"/>
        <v>0</v>
      </c>
      <c r="X69" s="3">
        <f>(ROUND((((S69+ROUND((ROUND(((EU69)*AV69*I69),2)*BS69),2))*AT69)/100),2)+ROUND(((ROUND((ROUND(((AE69-(EU69))*AV69*I69),2)*BS69),2)*AT69)/100),2))</f>
        <v>0</v>
      </c>
      <c r="Y69" s="3">
        <f>(ROUND((((S69+ROUND((ROUND(((EU69)*AV69*I69),2)*BS69),2))*AU69)/100),2)+ROUND(((ROUND((ROUND(((AE69-(EU69))*AV69*I69),2)*BS69),2)*AU69)/100),2))</f>
        <v>0</v>
      </c>
      <c r="AA69" s="3">
        <v>60256402</v>
      </c>
      <c r="AB69" s="3">
        <f t="shared" si="56"/>
        <v>77.23</v>
      </c>
      <c r="AC69" s="3">
        <f>ROUND((ES69),6)</f>
        <v>77.23</v>
      </c>
      <c r="AD69" s="3">
        <f>ROUND((((ET69)-(EU69))+AE69),6)</f>
        <v>0</v>
      </c>
      <c r="AE69" s="3">
        <f>ROUND((EU69),6)</f>
        <v>0</v>
      </c>
      <c r="AF69" s="3">
        <f>ROUND((EV69),6)</f>
        <v>0</v>
      </c>
      <c r="AG69" s="3">
        <f t="shared" si="57"/>
        <v>0</v>
      </c>
      <c r="AH69" s="3">
        <f>(EW69)</f>
        <v>0</v>
      </c>
      <c r="AI69" s="3">
        <f>(EX69)</f>
        <v>0</v>
      </c>
      <c r="AJ69" s="3">
        <f t="shared" si="58"/>
        <v>0</v>
      </c>
      <c r="AK69" s="3">
        <v>77.23</v>
      </c>
      <c r="AL69" s="3">
        <v>77.23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3">
        <v>1</v>
      </c>
      <c r="AW69" s="3">
        <v>1</v>
      </c>
      <c r="AZ69" s="3">
        <v>1</v>
      </c>
      <c r="BA69" s="3">
        <v>1</v>
      </c>
      <c r="BB69" s="3">
        <v>1</v>
      </c>
      <c r="BC69" s="3">
        <v>7.66</v>
      </c>
      <c r="BD69" s="3" t="s">
        <v>3</v>
      </c>
      <c r="BE69" s="3" t="s">
        <v>3</v>
      </c>
      <c r="BF69" s="3" t="s">
        <v>3</v>
      </c>
      <c r="BG69" s="3" t="s">
        <v>3</v>
      </c>
      <c r="BH69" s="3">
        <v>3</v>
      </c>
      <c r="BI69" s="3">
        <v>3</v>
      </c>
      <c r="BJ69" s="3" t="s">
        <v>3</v>
      </c>
      <c r="BM69" s="3">
        <v>746</v>
      </c>
      <c r="BN69" s="3">
        <v>0</v>
      </c>
      <c r="BO69" s="3" t="s">
        <v>3</v>
      </c>
      <c r="BP69" s="3">
        <v>0</v>
      </c>
      <c r="BQ69" s="3">
        <v>130</v>
      </c>
      <c r="BR69" s="3">
        <v>0</v>
      </c>
      <c r="BS69" s="3">
        <v>1</v>
      </c>
      <c r="BT69" s="3">
        <v>1</v>
      </c>
      <c r="BU69" s="3">
        <v>1</v>
      </c>
      <c r="BV69" s="3">
        <v>1</v>
      </c>
      <c r="BW69" s="3">
        <v>1</v>
      </c>
      <c r="BX69" s="3">
        <v>1</v>
      </c>
      <c r="BY69" s="3" t="s">
        <v>3</v>
      </c>
      <c r="BZ69" s="3">
        <v>0</v>
      </c>
      <c r="CA69" s="3">
        <v>0</v>
      </c>
      <c r="CB69" s="3" t="s">
        <v>3</v>
      </c>
      <c r="CE69" s="3">
        <v>1566</v>
      </c>
      <c r="CF69" s="3">
        <v>0</v>
      </c>
      <c r="CG69" s="3">
        <v>0</v>
      </c>
      <c r="CM69" s="3">
        <v>0</v>
      </c>
      <c r="CN69" s="3" t="s">
        <v>3</v>
      </c>
      <c r="CO69" s="3">
        <v>0</v>
      </c>
      <c r="CP69" s="3">
        <f t="shared" si="59"/>
        <v>1183.1600000000001</v>
      </c>
      <c r="CQ69" s="3">
        <f>ROUND((ROUND((AC69*1),2)*BC69),2)</f>
        <v>591.58000000000004</v>
      </c>
      <c r="CR69" s="3">
        <f>(ROUND((ROUND(((ET69)*AV69*1),2)*BB69),2)+ROUND((ROUND(((AE69-(EU69))*AV69*1),2)*BS69),2))</f>
        <v>0</v>
      </c>
      <c r="CS69" s="3">
        <f>(ROUND((ROUND(((EU69)*AV69*1),2)*BS69),2)+ROUND((ROUND(((AE69-(EU69))*AV69*1),2)*BS69),2))</f>
        <v>0</v>
      </c>
      <c r="CT69" s="3">
        <f t="shared" si="60"/>
        <v>0</v>
      </c>
      <c r="CU69" s="3">
        <f t="shared" si="61"/>
        <v>0</v>
      </c>
      <c r="CV69" s="3">
        <f t="shared" si="62"/>
        <v>0</v>
      </c>
      <c r="CW69" s="3">
        <f t="shared" si="63"/>
        <v>0</v>
      </c>
      <c r="CX69" s="3">
        <f t="shared" si="64"/>
        <v>0</v>
      </c>
      <c r="CY69" s="3">
        <f>(ROUND((((S69+ROUND((ROUND(((EU69)*AV69*1),2)*BS69),2))*AT69)/100),2)+ROUND(((ROUND((ROUND(((AE69-(EU69))*AV69*1),2)*BS69),2)*AT69)/100),2))</f>
        <v>0</v>
      </c>
      <c r="CZ69" s="3">
        <f>(ROUND((((S69+ROUND((ROUND(((EU69)*AV69*1),2)*BS69),2))*AU69)/100),2)+ROUND(((ROUND((ROUND(((AE69-(EU69))*AV69*1),2)*BS69),2)*AU69)/100),2))</f>
        <v>0</v>
      </c>
      <c r="DC69" s="3" t="s">
        <v>3</v>
      </c>
      <c r="DD69" s="3" t="s">
        <v>3</v>
      </c>
      <c r="DE69" s="3" t="s">
        <v>3</v>
      </c>
      <c r="DF69" s="3" t="s">
        <v>3</v>
      </c>
      <c r="DG69" s="3" t="s">
        <v>3</v>
      </c>
      <c r="DH69" s="3" t="s">
        <v>3</v>
      </c>
      <c r="DI69" s="3" t="s">
        <v>3</v>
      </c>
      <c r="DJ69" s="3" t="s">
        <v>3</v>
      </c>
      <c r="DK69" s="3" t="s">
        <v>3</v>
      </c>
      <c r="DL69" s="3" t="s">
        <v>3</v>
      </c>
      <c r="DM69" s="3" t="s">
        <v>3</v>
      </c>
      <c r="DN69" s="3">
        <v>0</v>
      </c>
      <c r="DO69" s="3">
        <v>0</v>
      </c>
      <c r="DP69" s="3">
        <v>1</v>
      </c>
      <c r="DQ69" s="3">
        <v>1</v>
      </c>
      <c r="DU69" s="3">
        <v>1010</v>
      </c>
      <c r="DV69" s="3" t="s">
        <v>33</v>
      </c>
      <c r="DW69" s="3" t="s">
        <v>33</v>
      </c>
      <c r="DX69" s="3">
        <v>1</v>
      </c>
      <c r="DZ69" s="3" t="s">
        <v>3</v>
      </c>
      <c r="EA69" s="3" t="s">
        <v>3</v>
      </c>
      <c r="EB69" s="3" t="s">
        <v>3</v>
      </c>
      <c r="EC69" s="3" t="s">
        <v>3</v>
      </c>
      <c r="EE69" s="3">
        <v>60088638</v>
      </c>
      <c r="EF69" s="3">
        <v>130</v>
      </c>
      <c r="EG69" s="3" t="s">
        <v>43</v>
      </c>
      <c r="EH69" s="3">
        <v>0</v>
      </c>
      <c r="EI69" s="3" t="s">
        <v>3</v>
      </c>
      <c r="EJ69" s="3">
        <v>3</v>
      </c>
      <c r="EK69" s="3">
        <v>746</v>
      </c>
      <c r="EL69" s="3" t="s">
        <v>44</v>
      </c>
      <c r="EM69" s="3" t="s">
        <v>45</v>
      </c>
      <c r="EO69" s="3" t="s">
        <v>3</v>
      </c>
      <c r="EQ69" s="3">
        <v>0</v>
      </c>
      <c r="ER69" s="3">
        <v>77.23</v>
      </c>
      <c r="ES69" s="3">
        <v>77.23</v>
      </c>
      <c r="ET69" s="3">
        <v>0</v>
      </c>
      <c r="EU69" s="3">
        <v>0</v>
      </c>
      <c r="EV69" s="3">
        <v>0</v>
      </c>
      <c r="EW69" s="3">
        <v>0</v>
      </c>
      <c r="EX69" s="3">
        <v>0</v>
      </c>
      <c r="EY69" s="3">
        <v>0</v>
      </c>
      <c r="EZ69" s="3">
        <v>5</v>
      </c>
      <c r="FC69" s="3">
        <v>1</v>
      </c>
      <c r="FD69" s="3">
        <v>18</v>
      </c>
      <c r="FF69" s="3">
        <v>681</v>
      </c>
      <c r="FQ69" s="3">
        <v>0</v>
      </c>
      <c r="FR69" s="3">
        <f>P69</f>
        <v>1183.1600000000001</v>
      </c>
      <c r="FS69" s="3">
        <v>0</v>
      </c>
      <c r="FX69" s="3">
        <v>0</v>
      </c>
      <c r="FY69" s="3">
        <v>0</v>
      </c>
      <c r="GA69" s="3" t="s">
        <v>103</v>
      </c>
      <c r="GD69" s="3">
        <v>1</v>
      </c>
      <c r="GF69" s="3">
        <v>-826287204</v>
      </c>
      <c r="GG69" s="3">
        <v>2</v>
      </c>
      <c r="GH69" s="3">
        <v>3</v>
      </c>
      <c r="GI69" s="3">
        <v>5</v>
      </c>
      <c r="GJ69" s="3">
        <v>0</v>
      </c>
      <c r="GK69" s="3">
        <v>0</v>
      </c>
      <c r="GL69" s="3">
        <f t="shared" si="65"/>
        <v>0</v>
      </c>
      <c r="GM69" s="3">
        <f t="shared" si="66"/>
        <v>1183.1600000000001</v>
      </c>
      <c r="GN69" s="3">
        <f t="shared" si="67"/>
        <v>0</v>
      </c>
      <c r="GO69" s="3">
        <f t="shared" si="68"/>
        <v>0</v>
      </c>
      <c r="GP69" s="3">
        <f t="shared" si="69"/>
        <v>0</v>
      </c>
      <c r="GR69" s="3">
        <v>1</v>
      </c>
      <c r="GS69" s="3">
        <v>1</v>
      </c>
      <c r="GT69" s="3">
        <v>0</v>
      </c>
      <c r="GU69" s="3" t="s">
        <v>3</v>
      </c>
      <c r="GV69" s="3">
        <f t="shared" si="70"/>
        <v>0</v>
      </c>
      <c r="GW69" s="3">
        <v>1</v>
      </c>
      <c r="GX69" s="3">
        <f t="shared" si="71"/>
        <v>0</v>
      </c>
      <c r="HA69" s="3">
        <v>0</v>
      </c>
      <c r="HB69" s="3">
        <v>0</v>
      </c>
      <c r="HC69" s="3">
        <f t="shared" si="72"/>
        <v>0</v>
      </c>
      <c r="HE69" s="3" t="s">
        <v>36</v>
      </c>
      <c r="HF69" s="3" t="s">
        <v>47</v>
      </c>
      <c r="HM69" s="3" t="s">
        <v>3</v>
      </c>
      <c r="HN69" s="3" t="s">
        <v>3</v>
      </c>
      <c r="HO69" s="3" t="s">
        <v>3</v>
      </c>
      <c r="HP69" s="3" t="s">
        <v>3</v>
      </c>
      <c r="HQ69" s="3" t="s">
        <v>3</v>
      </c>
      <c r="HS69" s="3">
        <v>0</v>
      </c>
      <c r="IK69" s="3">
        <v>0</v>
      </c>
    </row>
    <row r="70" spans="1:255" x14ac:dyDescent="0.2">
      <c r="A70" s="2">
        <v>17</v>
      </c>
      <c r="B70" s="2">
        <v>1</v>
      </c>
      <c r="C70" s="2">
        <f>ROW(SmtRes!A58)</f>
        <v>58</v>
      </c>
      <c r="D70" s="2">
        <f>ROW(EtalonRes!A75)</f>
        <v>75</v>
      </c>
      <c r="E70" s="2" t="s">
        <v>104</v>
      </c>
      <c r="F70" s="2" t="s">
        <v>64</v>
      </c>
      <c r="G70" s="2" t="s">
        <v>65</v>
      </c>
      <c r="H70" s="2" t="s">
        <v>22</v>
      </c>
      <c r="I70" s="2">
        <v>2</v>
      </c>
      <c r="J70" s="2">
        <v>0</v>
      </c>
      <c r="K70" s="2">
        <v>2</v>
      </c>
      <c r="L70" s="2"/>
      <c r="M70" s="2"/>
      <c r="N70" s="2"/>
      <c r="O70" s="2">
        <f t="shared" si="50"/>
        <v>15.55</v>
      </c>
      <c r="P70" s="2">
        <f t="shared" ref="P70:P89" si="75">ROUND((ROUND((AC70*AW70*I70),2)*BC70),2)</f>
        <v>0</v>
      </c>
      <c r="Q70" s="2">
        <f>(ROUND((ROUND((((ET70*1.1))*AV70*I70),2)*BB70),2)+ROUND((ROUND(((AE70-((EU70*1.1)))*AV70*I70),2)*BS70),2))</f>
        <v>0</v>
      </c>
      <c r="R70" s="2">
        <f>(ROUND((ROUND((((EU70*1.1))*AV70*I70),2)*BS70),2)+ROUND((ROUND(((AE70-((EU70*1.1)))*AV70*I70),2)*BS70),2))</f>
        <v>0</v>
      </c>
      <c r="S70" s="2">
        <f t="shared" si="51"/>
        <v>15.55</v>
      </c>
      <c r="T70" s="2">
        <f t="shared" si="52"/>
        <v>0</v>
      </c>
      <c r="U70" s="2">
        <f t="shared" si="53"/>
        <v>1.1977679999999999</v>
      </c>
      <c r="V70" s="2">
        <f t="shared" si="54"/>
        <v>0</v>
      </c>
      <c r="W70" s="2">
        <f t="shared" si="55"/>
        <v>0</v>
      </c>
      <c r="X70" s="2">
        <f>(ROUND((((S70+ROUND((ROUND((((EU70*1.1))*AV70*I70),2)*BS70),2))*AT70)/100),2)+ROUND(((ROUND((ROUND(((AE70-((EU70*1.1)))*AV70*I70),2)*BS70),2)*AT70)/100),2))</f>
        <v>14</v>
      </c>
      <c r="Y70" s="2">
        <f>(ROUND((((S70+ROUND((ROUND((((EU70*1.1))*AV70*I70),2)*BS70),2))*AU70)/100),2)+ROUND(((ROUND((ROUND(((AE70-((EU70*1.1)))*AV70*I70),2)*BS70),2)*AU70)/100),2))</f>
        <v>7.15</v>
      </c>
      <c r="Z70" s="2"/>
      <c r="AA70" s="2">
        <v>60256405</v>
      </c>
      <c r="AB70" s="2">
        <f t="shared" si="56"/>
        <v>7.4249999999999998</v>
      </c>
      <c r="AC70" s="2">
        <f>ROUND(((ES70*1)),6)</f>
        <v>0</v>
      </c>
      <c r="AD70" s="2">
        <f>ROUND(((((ET70*1.1))-((EU70*1.1)))+AE70),6)</f>
        <v>0</v>
      </c>
      <c r="AE70" s="2">
        <f>ROUND(((EU70*1.1)),6)</f>
        <v>0</v>
      </c>
      <c r="AF70" s="2">
        <f>ROUND(((EV70*1.1)),6)</f>
        <v>7.4249999999999998</v>
      </c>
      <c r="AG70" s="2">
        <f t="shared" si="57"/>
        <v>0</v>
      </c>
      <c r="AH70" s="2">
        <f>((EW70*1.1))</f>
        <v>0.57200000000000006</v>
      </c>
      <c r="AI70" s="2">
        <f>((EX70*1.1))</f>
        <v>0</v>
      </c>
      <c r="AJ70" s="2">
        <f t="shared" si="58"/>
        <v>0</v>
      </c>
      <c r="AK70" s="2">
        <v>6.75</v>
      </c>
      <c r="AL70" s="2">
        <v>0</v>
      </c>
      <c r="AM70" s="2">
        <v>0</v>
      </c>
      <c r="AN70" s="2">
        <v>0</v>
      </c>
      <c r="AO70" s="2">
        <v>6.75</v>
      </c>
      <c r="AP70" s="2">
        <v>0</v>
      </c>
      <c r="AQ70" s="2">
        <v>0.52</v>
      </c>
      <c r="AR70" s="2">
        <v>0</v>
      </c>
      <c r="AS70" s="2">
        <v>0</v>
      </c>
      <c r="AT70" s="2">
        <v>90</v>
      </c>
      <c r="AU70" s="2">
        <v>46</v>
      </c>
      <c r="AV70" s="2">
        <v>1.0469999999999999</v>
      </c>
      <c r="AW70" s="2">
        <v>1</v>
      </c>
      <c r="AX70" s="2"/>
      <c r="AY70" s="2"/>
      <c r="AZ70" s="2">
        <v>1</v>
      </c>
      <c r="BA70" s="2">
        <v>1</v>
      </c>
      <c r="BB70" s="2">
        <v>1</v>
      </c>
      <c r="BC70" s="2">
        <v>1</v>
      </c>
      <c r="BD70" s="2" t="s">
        <v>3</v>
      </c>
      <c r="BE70" s="2" t="s">
        <v>3</v>
      </c>
      <c r="BF70" s="2" t="s">
        <v>3</v>
      </c>
      <c r="BG70" s="2" t="s">
        <v>3</v>
      </c>
      <c r="BH70" s="2">
        <v>0</v>
      </c>
      <c r="BI70" s="2">
        <v>2</v>
      </c>
      <c r="BJ70" s="2" t="s">
        <v>66</v>
      </c>
      <c r="BK70" s="2"/>
      <c r="BL70" s="2"/>
      <c r="BM70" s="2">
        <v>72</v>
      </c>
      <c r="BN70" s="2">
        <v>58973116</v>
      </c>
      <c r="BO70" s="2" t="s">
        <v>64</v>
      </c>
      <c r="BP70" s="2">
        <v>1</v>
      </c>
      <c r="BQ70" s="2">
        <v>40</v>
      </c>
      <c r="BR70" s="2">
        <v>0</v>
      </c>
      <c r="BS70" s="2">
        <v>1</v>
      </c>
      <c r="BT70" s="2">
        <v>1</v>
      </c>
      <c r="BU70" s="2">
        <v>1</v>
      </c>
      <c r="BV70" s="2">
        <v>1</v>
      </c>
      <c r="BW70" s="2">
        <v>1</v>
      </c>
      <c r="BX70" s="2">
        <v>1</v>
      </c>
      <c r="BY70" s="2" t="s">
        <v>3</v>
      </c>
      <c r="BZ70" s="2">
        <v>90</v>
      </c>
      <c r="CA70" s="2">
        <v>46</v>
      </c>
      <c r="CB70" s="2" t="s">
        <v>3</v>
      </c>
      <c r="CC70" s="2"/>
      <c r="CD70" s="2"/>
      <c r="CE70" s="2">
        <v>1566</v>
      </c>
      <c r="CF70" s="2">
        <v>0</v>
      </c>
      <c r="CG70" s="2">
        <v>0</v>
      </c>
      <c r="CH70" s="2"/>
      <c r="CI70" s="2"/>
      <c r="CJ70" s="2"/>
      <c r="CK70" s="2"/>
      <c r="CL70" s="2"/>
      <c r="CM70" s="2">
        <v>0</v>
      </c>
      <c r="CN70" s="2" t="s">
        <v>369</v>
      </c>
      <c r="CO70" s="2">
        <v>0</v>
      </c>
      <c r="CP70" s="2">
        <f t="shared" si="59"/>
        <v>15.55</v>
      </c>
      <c r="CQ70" s="2">
        <f t="shared" ref="CQ70:CQ89" si="76">ROUND((ROUND((AC70*AW70*1),2)*BC70),2)</f>
        <v>0</v>
      </c>
      <c r="CR70" s="2">
        <f>(ROUND((ROUND((((ET70*1.1))*AV70*1),2)*BB70),2)+ROUND((ROUND(((AE70-((EU70*1.1)))*AV70*1),2)*BS70),2))</f>
        <v>0</v>
      </c>
      <c r="CS70" s="2">
        <f>(ROUND((ROUND((((EU70*1.1))*AV70*1),2)*BS70),2)+ROUND((ROUND(((AE70-((EU70*1.1)))*AV70*1),2)*BS70),2))</f>
        <v>0</v>
      </c>
      <c r="CT70" s="2">
        <f t="shared" si="60"/>
        <v>7.77</v>
      </c>
      <c r="CU70" s="2">
        <f t="shared" si="61"/>
        <v>0</v>
      </c>
      <c r="CV70" s="2">
        <f t="shared" si="62"/>
        <v>0.59888399999999997</v>
      </c>
      <c r="CW70" s="2">
        <f t="shared" si="63"/>
        <v>0</v>
      </c>
      <c r="CX70" s="2">
        <f t="shared" si="64"/>
        <v>0</v>
      </c>
      <c r="CY70" s="2">
        <f>(ROUND((((S70+ROUND((ROUND((((EU70*1.1))*AV70*1),2)*BS70),2))*AT70)/100),2)+ROUND(((ROUND((ROUND(((AE70-((EU70*1.1)))*AV70*1),2)*BS70),2)*AT70)/100),2))</f>
        <v>14</v>
      </c>
      <c r="CZ70" s="2">
        <f>(ROUND((((S70+ROUND((ROUND((((EU70*1.1))*AV70*1),2)*BS70),2))*AU70)/100),2)+ROUND(((ROUND((ROUND(((AE70-((EU70*1.1)))*AV70*1),2)*BS70),2)*AU70)/100),2))</f>
        <v>7.15</v>
      </c>
      <c r="DA70" s="2"/>
      <c r="DB70" s="2">
        <v>19</v>
      </c>
      <c r="DC70" s="2" t="s">
        <v>3</v>
      </c>
      <c r="DD70" s="2" t="s">
        <v>24</v>
      </c>
      <c r="DE70" s="2" t="s">
        <v>25</v>
      </c>
      <c r="DF70" s="2" t="s">
        <v>25</v>
      </c>
      <c r="DG70" s="2" t="s">
        <v>25</v>
      </c>
      <c r="DH70" s="2" t="s">
        <v>3</v>
      </c>
      <c r="DI70" s="2" t="s">
        <v>25</v>
      </c>
      <c r="DJ70" s="2" t="s">
        <v>25</v>
      </c>
      <c r="DK70" s="2" t="s">
        <v>3</v>
      </c>
      <c r="DL70" s="2" t="s">
        <v>3</v>
      </c>
      <c r="DM70" s="2" t="s">
        <v>3</v>
      </c>
      <c r="DN70" s="2">
        <v>0</v>
      </c>
      <c r="DO70" s="2">
        <v>0</v>
      </c>
      <c r="DP70" s="2">
        <v>1</v>
      </c>
      <c r="DQ70" s="2">
        <v>1</v>
      </c>
      <c r="DR70" s="2"/>
      <c r="DS70" s="2"/>
      <c r="DT70" s="2"/>
      <c r="DU70" s="2">
        <v>1013</v>
      </c>
      <c r="DV70" s="2" t="s">
        <v>22</v>
      </c>
      <c r="DW70" s="2" t="s">
        <v>22</v>
      </c>
      <c r="DX70" s="2">
        <v>1</v>
      </c>
      <c r="DY70" s="2"/>
      <c r="DZ70" s="2" t="s">
        <v>3</v>
      </c>
      <c r="EA70" s="2" t="s">
        <v>3</v>
      </c>
      <c r="EB70" s="2" t="s">
        <v>3</v>
      </c>
      <c r="EC70" s="2" t="s">
        <v>3</v>
      </c>
      <c r="ED70" s="2"/>
      <c r="EE70" s="2">
        <v>60088536</v>
      </c>
      <c r="EF70" s="2">
        <v>40</v>
      </c>
      <c r="EG70" s="2" t="s">
        <v>26</v>
      </c>
      <c r="EH70" s="2">
        <v>0</v>
      </c>
      <c r="EI70" s="2" t="s">
        <v>3</v>
      </c>
      <c r="EJ70" s="2">
        <v>2</v>
      </c>
      <c r="EK70" s="2">
        <v>72</v>
      </c>
      <c r="EL70" s="2" t="s">
        <v>52</v>
      </c>
      <c r="EM70" s="2" t="s">
        <v>53</v>
      </c>
      <c r="EN70" s="2"/>
      <c r="EO70" s="2" t="s">
        <v>29</v>
      </c>
      <c r="EP70" s="2"/>
      <c r="EQ70" s="2">
        <v>0</v>
      </c>
      <c r="ER70" s="2">
        <v>6.75</v>
      </c>
      <c r="ES70" s="2">
        <v>0</v>
      </c>
      <c r="ET70" s="2">
        <v>0</v>
      </c>
      <c r="EU70" s="2">
        <v>0</v>
      </c>
      <c r="EV70" s="2">
        <v>6.75</v>
      </c>
      <c r="EW70" s="2">
        <v>0.52</v>
      </c>
      <c r="EX70" s="2">
        <v>0</v>
      </c>
      <c r="EY70" s="2">
        <v>0</v>
      </c>
      <c r="EZ70" s="2"/>
      <c r="FA70" s="2"/>
      <c r="FB70" s="2"/>
      <c r="FC70" s="2"/>
      <c r="FD70" s="2"/>
      <c r="FE70" s="2"/>
      <c r="FF70" s="2"/>
      <c r="FG70" s="2"/>
      <c r="FH70" s="2"/>
      <c r="FI70" s="2"/>
      <c r="FJ70" s="2"/>
      <c r="FK70" s="2"/>
      <c r="FL70" s="2"/>
      <c r="FM70" s="2"/>
      <c r="FN70" s="2"/>
      <c r="FO70" s="2"/>
      <c r="FP70" s="2"/>
      <c r="FQ70" s="2">
        <v>0</v>
      </c>
      <c r="FR70" s="2">
        <v>0</v>
      </c>
      <c r="FS70" s="2">
        <v>0</v>
      </c>
      <c r="FT70" s="2"/>
      <c r="FU70" s="2"/>
      <c r="FV70" s="2"/>
      <c r="FW70" s="2"/>
      <c r="FX70" s="2">
        <v>90</v>
      </c>
      <c r="FY70" s="2">
        <v>46</v>
      </c>
      <c r="FZ70" s="2"/>
      <c r="GA70" s="2" t="s">
        <v>3</v>
      </c>
      <c r="GB70" s="2"/>
      <c r="GC70" s="2"/>
      <c r="GD70" s="2">
        <v>1</v>
      </c>
      <c r="GE70" s="2"/>
      <c r="GF70" s="2">
        <v>338415528</v>
      </c>
      <c r="GG70" s="2">
        <v>2</v>
      </c>
      <c r="GH70" s="2">
        <v>1</v>
      </c>
      <c r="GI70" s="2">
        <v>2</v>
      </c>
      <c r="GJ70" s="2">
        <v>0</v>
      </c>
      <c r="GK70" s="2">
        <v>0</v>
      </c>
      <c r="GL70" s="2">
        <f t="shared" si="65"/>
        <v>0</v>
      </c>
      <c r="GM70" s="2">
        <f t="shared" si="66"/>
        <v>36.700000000000003</v>
      </c>
      <c r="GN70" s="2">
        <f t="shared" si="67"/>
        <v>0</v>
      </c>
      <c r="GO70" s="2">
        <f t="shared" si="68"/>
        <v>36.700000000000003</v>
      </c>
      <c r="GP70" s="2">
        <f t="shared" si="69"/>
        <v>0</v>
      </c>
      <c r="GQ70" s="2"/>
      <c r="GR70" s="2">
        <v>0</v>
      </c>
      <c r="GS70" s="2">
        <v>3</v>
      </c>
      <c r="GT70" s="2">
        <v>0</v>
      </c>
      <c r="GU70" s="2" t="s">
        <v>3</v>
      </c>
      <c r="GV70" s="2">
        <f t="shared" si="70"/>
        <v>0</v>
      </c>
      <c r="GW70" s="2">
        <v>1</v>
      </c>
      <c r="GX70" s="2">
        <f t="shared" si="71"/>
        <v>0</v>
      </c>
      <c r="GY70" s="2"/>
      <c r="GZ70" s="2"/>
      <c r="HA70" s="2">
        <v>0</v>
      </c>
      <c r="HB70" s="2">
        <v>0</v>
      </c>
      <c r="HC70" s="2">
        <f t="shared" si="72"/>
        <v>0</v>
      </c>
      <c r="HD70" s="2"/>
      <c r="HE70" s="2" t="s">
        <v>3</v>
      </c>
      <c r="HF70" s="2" t="s">
        <v>3</v>
      </c>
      <c r="HG70" s="2"/>
      <c r="HH70" s="2"/>
      <c r="HI70" s="2"/>
      <c r="HJ70" s="2"/>
      <c r="HK70" s="2"/>
      <c r="HL70" s="2"/>
      <c r="HM70" s="2" t="s">
        <v>3</v>
      </c>
      <c r="HN70" s="2" t="s">
        <v>3</v>
      </c>
      <c r="HO70" s="2" t="s">
        <v>3</v>
      </c>
      <c r="HP70" s="2" t="s">
        <v>3</v>
      </c>
      <c r="HQ70" s="2" t="s">
        <v>3</v>
      </c>
      <c r="HR70" s="2"/>
      <c r="HS70" s="2">
        <v>0</v>
      </c>
      <c r="HT70" s="2"/>
      <c r="HU70" s="2"/>
      <c r="HV70" s="2"/>
      <c r="HW70" s="2"/>
      <c r="HX70" s="2"/>
      <c r="HY70" s="2"/>
      <c r="HZ70" s="2"/>
      <c r="IA70" s="2"/>
      <c r="IB70" s="2"/>
      <c r="IC70" s="2"/>
      <c r="ID70" s="2"/>
      <c r="IE70" s="2"/>
      <c r="IF70" s="2"/>
      <c r="IG70" s="2"/>
      <c r="IH70" s="2"/>
      <c r="II70" s="2"/>
      <c r="IJ70" s="2"/>
      <c r="IK70" s="2">
        <v>0</v>
      </c>
      <c r="IL70" s="2"/>
      <c r="IM70" s="2"/>
      <c r="IN70" s="2"/>
      <c r="IO70" s="2"/>
      <c r="IP70" s="2"/>
      <c r="IQ70" s="2"/>
      <c r="IR70" s="2"/>
      <c r="IS70" s="2"/>
      <c r="IT70" s="2"/>
      <c r="IU70" s="2"/>
    </row>
    <row r="71" spans="1:255" x14ac:dyDescent="0.2">
      <c r="A71" s="3">
        <v>17</v>
      </c>
      <c r="B71" s="3">
        <v>1</v>
      </c>
      <c r="C71" s="3">
        <f>ROW(SmtRes!A60)</f>
        <v>60</v>
      </c>
      <c r="D71" s="3">
        <f>ROW(EtalonRes!A78)</f>
        <v>78</v>
      </c>
      <c r="E71" s="3" t="s">
        <v>104</v>
      </c>
      <c r="F71" s="3" t="s">
        <v>64</v>
      </c>
      <c r="G71" s="3" t="s">
        <v>65</v>
      </c>
      <c r="H71" s="3" t="s">
        <v>22</v>
      </c>
      <c r="I71" s="3">
        <v>2</v>
      </c>
      <c r="J71" s="3">
        <v>0</v>
      </c>
      <c r="K71" s="3">
        <v>2</v>
      </c>
      <c r="O71" s="3">
        <f t="shared" si="50"/>
        <v>855.09</v>
      </c>
      <c r="P71" s="3">
        <f t="shared" si="75"/>
        <v>0</v>
      </c>
      <c r="Q71" s="3">
        <f>(ROUND((ROUND((((ET71*1.1))*AV71*I71),2)*BB71),2)+ROUND((ROUND(((AE71-((EU71*1.1)))*AV71*I71),2)*BS71),2))</f>
        <v>0</v>
      </c>
      <c r="R71" s="3">
        <f>(ROUND((ROUND((((EU71*1.1))*AV71*I71),2)*BS71),2)+ROUND((ROUND(((AE71-((EU71*1.1)))*AV71*I71),2)*BS71),2))</f>
        <v>0</v>
      </c>
      <c r="S71" s="3">
        <f t="shared" si="51"/>
        <v>855.09</v>
      </c>
      <c r="T71" s="3">
        <f t="shared" si="52"/>
        <v>0</v>
      </c>
      <c r="U71" s="3">
        <f t="shared" si="53"/>
        <v>1.1977679999999999</v>
      </c>
      <c r="V71" s="3">
        <f t="shared" si="54"/>
        <v>0</v>
      </c>
      <c r="W71" s="3">
        <f t="shared" si="55"/>
        <v>0</v>
      </c>
      <c r="X71" s="3">
        <f>(ROUND((((S71+ROUND((ROUND((((EU71*1.1))*AV71*I71),2)*BS71),2))*AT71)/100),2)+ROUND(((ROUND((ROUND(((AE71-((EU71*1.1)))*AV71*I71),2)*BS71),2)*AT71)/100),2))</f>
        <v>769.58</v>
      </c>
      <c r="Y71" s="3">
        <f>(ROUND((((S71+ROUND((ROUND((((EU71*1.1))*AV71*I71),2)*BS71),2))*AU71)/100),2)+ROUND(((ROUND((ROUND(((AE71-((EU71*1.1)))*AV71*I71),2)*BS71),2)*AU71)/100),2))</f>
        <v>393.34</v>
      </c>
      <c r="AA71" s="3">
        <v>60256402</v>
      </c>
      <c r="AB71" s="3">
        <f t="shared" si="56"/>
        <v>7.4249999999999998</v>
      </c>
      <c r="AC71" s="3">
        <f>ROUND(((ES71*1)),6)</f>
        <v>0</v>
      </c>
      <c r="AD71" s="3">
        <f>ROUND(((((ET71*1.1))-((EU71*1.1)))+AE71),6)</f>
        <v>0</v>
      </c>
      <c r="AE71" s="3">
        <f>ROUND(((EU71*1.1)),6)</f>
        <v>0</v>
      </c>
      <c r="AF71" s="3">
        <f>ROUND(((EV71*1.1)),6)</f>
        <v>7.4249999999999998</v>
      </c>
      <c r="AG71" s="3">
        <f t="shared" si="57"/>
        <v>0</v>
      </c>
      <c r="AH71" s="3">
        <f>((EW71*1.1))</f>
        <v>0.57200000000000006</v>
      </c>
      <c r="AI71" s="3">
        <f>((EX71*1.1))</f>
        <v>0</v>
      </c>
      <c r="AJ71" s="3">
        <f t="shared" si="58"/>
        <v>0</v>
      </c>
      <c r="AK71" s="3">
        <v>6.75</v>
      </c>
      <c r="AL71" s="3">
        <v>0</v>
      </c>
      <c r="AM71" s="3">
        <v>0</v>
      </c>
      <c r="AN71" s="3">
        <v>0</v>
      </c>
      <c r="AO71" s="3">
        <v>6.75</v>
      </c>
      <c r="AP71" s="3">
        <v>0</v>
      </c>
      <c r="AQ71" s="3">
        <v>0.52</v>
      </c>
      <c r="AR71" s="3">
        <v>0</v>
      </c>
      <c r="AS71" s="3">
        <v>0</v>
      </c>
      <c r="AT71" s="3">
        <v>90</v>
      </c>
      <c r="AU71" s="3">
        <v>46</v>
      </c>
      <c r="AV71" s="3">
        <v>1.0469999999999999</v>
      </c>
      <c r="AW71" s="3">
        <v>1</v>
      </c>
      <c r="AZ71" s="3">
        <v>1</v>
      </c>
      <c r="BA71" s="3">
        <v>54.99</v>
      </c>
      <c r="BB71" s="3">
        <v>1</v>
      </c>
      <c r="BC71" s="3">
        <v>1</v>
      </c>
      <c r="BD71" s="3" t="s">
        <v>3</v>
      </c>
      <c r="BE71" s="3" t="s">
        <v>3</v>
      </c>
      <c r="BF71" s="3" t="s">
        <v>3</v>
      </c>
      <c r="BG71" s="3" t="s">
        <v>3</v>
      </c>
      <c r="BH71" s="3">
        <v>0</v>
      </c>
      <c r="BI71" s="3">
        <v>2</v>
      </c>
      <c r="BJ71" s="3" t="s">
        <v>66</v>
      </c>
      <c r="BM71" s="3">
        <v>72</v>
      </c>
      <c r="BN71" s="3">
        <v>58973116</v>
      </c>
      <c r="BO71" s="3" t="s">
        <v>64</v>
      </c>
      <c r="BP71" s="3">
        <v>1</v>
      </c>
      <c r="BQ71" s="3">
        <v>40</v>
      </c>
      <c r="BR71" s="3">
        <v>0</v>
      </c>
      <c r="BS71" s="3">
        <v>54.99</v>
      </c>
      <c r="BT71" s="3">
        <v>1</v>
      </c>
      <c r="BU71" s="3">
        <v>1</v>
      </c>
      <c r="BV71" s="3">
        <v>1</v>
      </c>
      <c r="BW71" s="3">
        <v>1</v>
      </c>
      <c r="BX71" s="3">
        <v>1</v>
      </c>
      <c r="BY71" s="3" t="s">
        <v>3</v>
      </c>
      <c r="BZ71" s="3">
        <v>90</v>
      </c>
      <c r="CA71" s="3">
        <v>46</v>
      </c>
      <c r="CB71" s="3" t="s">
        <v>3</v>
      </c>
      <c r="CE71" s="3">
        <v>1566</v>
      </c>
      <c r="CF71" s="3">
        <v>0</v>
      </c>
      <c r="CG71" s="3">
        <v>0</v>
      </c>
      <c r="CM71" s="3">
        <v>0</v>
      </c>
      <c r="CN71" s="3" t="s">
        <v>369</v>
      </c>
      <c r="CO71" s="3">
        <v>0</v>
      </c>
      <c r="CP71" s="3">
        <f t="shared" si="59"/>
        <v>855.09</v>
      </c>
      <c r="CQ71" s="3">
        <f t="shared" si="76"/>
        <v>0</v>
      </c>
      <c r="CR71" s="3">
        <f>(ROUND((ROUND((((ET71*1.1))*AV71*1),2)*BB71),2)+ROUND((ROUND(((AE71-((EU71*1.1)))*AV71*1),2)*BS71),2))</f>
        <v>0</v>
      </c>
      <c r="CS71" s="3">
        <f>(ROUND((ROUND((((EU71*1.1))*AV71*1),2)*BS71),2)+ROUND((ROUND(((AE71-((EU71*1.1)))*AV71*1),2)*BS71),2))</f>
        <v>0</v>
      </c>
      <c r="CT71" s="3">
        <f t="shared" si="60"/>
        <v>427.27</v>
      </c>
      <c r="CU71" s="3">
        <f t="shared" si="61"/>
        <v>0</v>
      </c>
      <c r="CV71" s="3">
        <f t="shared" si="62"/>
        <v>0.59888399999999997</v>
      </c>
      <c r="CW71" s="3">
        <f t="shared" si="63"/>
        <v>0</v>
      </c>
      <c r="CX71" s="3">
        <f t="shared" si="64"/>
        <v>0</v>
      </c>
      <c r="CY71" s="3">
        <f>(ROUND((((S71+ROUND((ROUND((((EU71*1.1))*AV71*1),2)*BS71),2))*AT71)/100),2)+ROUND(((ROUND((ROUND(((AE71-((EU71*1.1)))*AV71*1),2)*BS71),2)*AT71)/100),2))</f>
        <v>769.58</v>
      </c>
      <c r="CZ71" s="3">
        <f>(ROUND((((S71+ROUND((ROUND((((EU71*1.1))*AV71*1),2)*BS71),2))*AU71)/100),2)+ROUND(((ROUND((ROUND(((AE71-((EU71*1.1)))*AV71*1),2)*BS71),2)*AU71)/100),2))</f>
        <v>393.34</v>
      </c>
      <c r="DB71" s="3">
        <v>20</v>
      </c>
      <c r="DC71" s="3" t="s">
        <v>3</v>
      </c>
      <c r="DD71" s="3" t="s">
        <v>24</v>
      </c>
      <c r="DE71" s="3" t="s">
        <v>25</v>
      </c>
      <c r="DF71" s="3" t="s">
        <v>25</v>
      </c>
      <c r="DG71" s="3" t="s">
        <v>25</v>
      </c>
      <c r="DH71" s="3" t="s">
        <v>3</v>
      </c>
      <c r="DI71" s="3" t="s">
        <v>25</v>
      </c>
      <c r="DJ71" s="3" t="s">
        <v>25</v>
      </c>
      <c r="DK71" s="3" t="s">
        <v>3</v>
      </c>
      <c r="DL71" s="3" t="s">
        <v>3</v>
      </c>
      <c r="DM71" s="3" t="s">
        <v>3</v>
      </c>
      <c r="DN71" s="3">
        <v>0</v>
      </c>
      <c r="DO71" s="3">
        <v>0</v>
      </c>
      <c r="DP71" s="3">
        <v>1</v>
      </c>
      <c r="DQ71" s="3">
        <v>1</v>
      </c>
      <c r="DU71" s="3">
        <v>1013</v>
      </c>
      <c r="DV71" s="3" t="s">
        <v>22</v>
      </c>
      <c r="DW71" s="3" t="s">
        <v>22</v>
      </c>
      <c r="DX71" s="3">
        <v>1</v>
      </c>
      <c r="DZ71" s="3" t="s">
        <v>3</v>
      </c>
      <c r="EA71" s="3" t="s">
        <v>3</v>
      </c>
      <c r="EB71" s="3" t="s">
        <v>3</v>
      </c>
      <c r="EC71" s="3" t="s">
        <v>3</v>
      </c>
      <c r="EE71" s="3">
        <v>60088536</v>
      </c>
      <c r="EF71" s="3">
        <v>40</v>
      </c>
      <c r="EG71" s="3" t="s">
        <v>26</v>
      </c>
      <c r="EH71" s="3">
        <v>0</v>
      </c>
      <c r="EI71" s="3" t="s">
        <v>3</v>
      </c>
      <c r="EJ71" s="3">
        <v>2</v>
      </c>
      <c r="EK71" s="3">
        <v>72</v>
      </c>
      <c r="EL71" s="3" t="s">
        <v>52</v>
      </c>
      <c r="EM71" s="3" t="s">
        <v>53</v>
      </c>
      <c r="EO71" s="3" t="s">
        <v>29</v>
      </c>
      <c r="EQ71" s="3">
        <v>0</v>
      </c>
      <c r="ER71" s="3">
        <v>6.75</v>
      </c>
      <c r="ES71" s="3">
        <v>0</v>
      </c>
      <c r="ET71" s="3">
        <v>0</v>
      </c>
      <c r="EU71" s="3">
        <v>0</v>
      </c>
      <c r="EV71" s="3">
        <v>6.75</v>
      </c>
      <c r="EW71" s="3">
        <v>0.52</v>
      </c>
      <c r="EX71" s="3">
        <v>0</v>
      </c>
      <c r="EY71" s="3">
        <v>0</v>
      </c>
      <c r="FQ71" s="3">
        <v>0</v>
      </c>
      <c r="FR71" s="3">
        <v>0</v>
      </c>
      <c r="FS71" s="3">
        <v>0</v>
      </c>
      <c r="FX71" s="3">
        <v>90</v>
      </c>
      <c r="FY71" s="3">
        <v>46</v>
      </c>
      <c r="GA71" s="3" t="s">
        <v>3</v>
      </c>
      <c r="GD71" s="3">
        <v>1</v>
      </c>
      <c r="GF71" s="3">
        <v>338415528</v>
      </c>
      <c r="GG71" s="3">
        <v>2</v>
      </c>
      <c r="GH71" s="3">
        <v>1</v>
      </c>
      <c r="GI71" s="3">
        <v>2</v>
      </c>
      <c r="GJ71" s="3">
        <v>0</v>
      </c>
      <c r="GK71" s="3">
        <v>0</v>
      </c>
      <c r="GL71" s="3">
        <f t="shared" si="65"/>
        <v>0</v>
      </c>
      <c r="GM71" s="3">
        <f t="shared" si="66"/>
        <v>2018.01</v>
      </c>
      <c r="GN71" s="3">
        <f t="shared" si="67"/>
        <v>0</v>
      </c>
      <c r="GO71" s="3">
        <f t="shared" si="68"/>
        <v>2018.01</v>
      </c>
      <c r="GP71" s="3">
        <f t="shared" si="69"/>
        <v>0</v>
      </c>
      <c r="GR71" s="3">
        <v>0</v>
      </c>
      <c r="GS71" s="3">
        <v>3</v>
      </c>
      <c r="GT71" s="3">
        <v>0</v>
      </c>
      <c r="GU71" s="3" t="s">
        <v>3</v>
      </c>
      <c r="GV71" s="3">
        <f t="shared" si="70"/>
        <v>0</v>
      </c>
      <c r="GW71" s="3">
        <v>1</v>
      </c>
      <c r="GX71" s="3">
        <f t="shared" si="71"/>
        <v>0</v>
      </c>
      <c r="HA71" s="3">
        <v>0</v>
      </c>
      <c r="HB71" s="3">
        <v>0</v>
      </c>
      <c r="HC71" s="3">
        <f t="shared" si="72"/>
        <v>0</v>
      </c>
      <c r="HE71" s="3" t="s">
        <v>3</v>
      </c>
      <c r="HF71" s="3" t="s">
        <v>3</v>
      </c>
      <c r="HM71" s="3" t="s">
        <v>3</v>
      </c>
      <c r="HN71" s="3" t="s">
        <v>3</v>
      </c>
      <c r="HO71" s="3" t="s">
        <v>3</v>
      </c>
      <c r="HP71" s="3" t="s">
        <v>3</v>
      </c>
      <c r="HQ71" s="3" t="s">
        <v>3</v>
      </c>
      <c r="HS71" s="3">
        <v>0</v>
      </c>
      <c r="IK71" s="3">
        <v>0</v>
      </c>
    </row>
    <row r="72" spans="1:255" x14ac:dyDescent="0.2">
      <c r="A72" s="2">
        <v>18</v>
      </c>
      <c r="B72" s="2">
        <v>1</v>
      </c>
      <c r="C72" s="2">
        <v>58</v>
      </c>
      <c r="D72" s="2"/>
      <c r="E72" s="2" t="s">
        <v>105</v>
      </c>
      <c r="F72" s="2" t="s">
        <v>68</v>
      </c>
      <c r="G72" s="2" t="s">
        <v>69</v>
      </c>
      <c r="H72" s="2" t="s">
        <v>70</v>
      </c>
      <c r="I72" s="2">
        <f>I70*J72</f>
        <v>7.0000000000000007E-2</v>
      </c>
      <c r="J72" s="2">
        <v>3.5000000000000003E-2</v>
      </c>
      <c r="K72" s="2">
        <v>3.5000000000000003E-2</v>
      </c>
      <c r="L72" s="2"/>
      <c r="M72" s="2"/>
      <c r="N72" s="2"/>
      <c r="O72" s="2">
        <f t="shared" si="50"/>
        <v>2.1800000000000002</v>
      </c>
      <c r="P72" s="2">
        <f t="shared" si="75"/>
        <v>2.1800000000000002</v>
      </c>
      <c r="Q72" s="2">
        <f>(ROUND((ROUND(((ET72)*AV72*I72),2)*BB72),2)+ROUND((ROUND(((AE72-(EU72))*AV72*I72),2)*BS72),2))</f>
        <v>0</v>
      </c>
      <c r="R72" s="2">
        <f>(ROUND((ROUND(((EU72)*AV72*I72),2)*BS72),2)+ROUND((ROUND(((AE72-(EU72))*AV72*I72),2)*BS72),2))</f>
        <v>0</v>
      </c>
      <c r="S72" s="2">
        <f t="shared" si="51"/>
        <v>0</v>
      </c>
      <c r="T72" s="2">
        <f t="shared" si="52"/>
        <v>0</v>
      </c>
      <c r="U72" s="2">
        <f t="shared" si="53"/>
        <v>0</v>
      </c>
      <c r="V72" s="2">
        <f t="shared" si="54"/>
        <v>0</v>
      </c>
      <c r="W72" s="2">
        <f t="shared" si="55"/>
        <v>0</v>
      </c>
      <c r="X72" s="2">
        <f>(ROUND((((S72+ROUND((ROUND(((EU72)*AV72*I72),2)*BS72),2))*AT72)/100),2)+ROUND(((ROUND((ROUND(((AE72-(EU72))*AV72*I72),2)*BS72),2)*AT72)/100),2))</f>
        <v>0</v>
      </c>
      <c r="Y72" s="2">
        <f>(ROUND((((S72+ROUND((ROUND(((EU72)*AV72*I72),2)*BS72),2))*AU72)/100),2)+ROUND(((ROUND((ROUND(((AE72-(EU72))*AV72*I72),2)*BS72),2)*AU72)/100),2))</f>
        <v>0</v>
      </c>
      <c r="Z72" s="2"/>
      <c r="AA72" s="2">
        <v>60256405</v>
      </c>
      <c r="AB72" s="2">
        <f t="shared" si="56"/>
        <v>31.08</v>
      </c>
      <c r="AC72" s="2">
        <f>ROUND((ES72),6)</f>
        <v>31.08</v>
      </c>
      <c r="AD72" s="2">
        <f>ROUND((((ET72)-(EU72))+AE72),6)</f>
        <v>0</v>
      </c>
      <c r="AE72" s="2">
        <f t="shared" ref="AE72:AF75" si="77">ROUND((EU72),6)</f>
        <v>0</v>
      </c>
      <c r="AF72" s="2">
        <f t="shared" si="77"/>
        <v>0</v>
      </c>
      <c r="AG72" s="2">
        <f t="shared" si="57"/>
        <v>0</v>
      </c>
      <c r="AH72" s="2">
        <f t="shared" ref="AH72:AI75" si="78">(EW72)</f>
        <v>0</v>
      </c>
      <c r="AI72" s="2">
        <f t="shared" si="78"/>
        <v>0</v>
      </c>
      <c r="AJ72" s="2">
        <f t="shared" si="58"/>
        <v>0</v>
      </c>
      <c r="AK72" s="2">
        <v>31.08</v>
      </c>
      <c r="AL72" s="2">
        <v>31.08</v>
      </c>
      <c r="AM72" s="2">
        <v>0</v>
      </c>
      <c r="AN72" s="2">
        <v>0</v>
      </c>
      <c r="AO72" s="2">
        <v>0</v>
      </c>
      <c r="AP72" s="2">
        <v>0</v>
      </c>
      <c r="AQ72" s="2">
        <v>0</v>
      </c>
      <c r="AR72" s="2">
        <v>0</v>
      </c>
      <c r="AS72" s="2">
        <v>0</v>
      </c>
      <c r="AT72" s="2">
        <v>90</v>
      </c>
      <c r="AU72" s="2">
        <v>46</v>
      </c>
      <c r="AV72" s="2">
        <v>1</v>
      </c>
      <c r="AW72" s="2">
        <v>1</v>
      </c>
      <c r="AX72" s="2"/>
      <c r="AY72" s="2"/>
      <c r="AZ72" s="2">
        <v>1</v>
      </c>
      <c r="BA72" s="2">
        <v>1</v>
      </c>
      <c r="BB72" s="2">
        <v>1</v>
      </c>
      <c r="BC72" s="2">
        <v>1</v>
      </c>
      <c r="BD72" s="2" t="s">
        <v>3</v>
      </c>
      <c r="BE72" s="2" t="s">
        <v>3</v>
      </c>
      <c r="BF72" s="2" t="s">
        <v>3</v>
      </c>
      <c r="BG72" s="2" t="s">
        <v>3</v>
      </c>
      <c r="BH72" s="2">
        <v>3</v>
      </c>
      <c r="BI72" s="2">
        <v>2</v>
      </c>
      <c r="BJ72" s="2" t="s">
        <v>71</v>
      </c>
      <c r="BK72" s="2"/>
      <c r="BL72" s="2"/>
      <c r="BM72" s="2">
        <v>72</v>
      </c>
      <c r="BN72" s="2">
        <v>58973116</v>
      </c>
      <c r="BO72" s="2" t="s">
        <v>3</v>
      </c>
      <c r="BP72" s="2">
        <v>0</v>
      </c>
      <c r="BQ72" s="2">
        <v>40</v>
      </c>
      <c r="BR72" s="2">
        <v>0</v>
      </c>
      <c r="BS72" s="2">
        <v>1</v>
      </c>
      <c r="BT72" s="2">
        <v>1</v>
      </c>
      <c r="BU72" s="2">
        <v>1</v>
      </c>
      <c r="BV72" s="2">
        <v>1</v>
      </c>
      <c r="BW72" s="2">
        <v>1</v>
      </c>
      <c r="BX72" s="2">
        <v>1</v>
      </c>
      <c r="BY72" s="2" t="s">
        <v>3</v>
      </c>
      <c r="BZ72" s="2">
        <v>90</v>
      </c>
      <c r="CA72" s="2">
        <v>46</v>
      </c>
      <c r="CB72" s="2" t="s">
        <v>3</v>
      </c>
      <c r="CC72" s="2"/>
      <c r="CD72" s="2"/>
      <c r="CE72" s="2">
        <v>1566</v>
      </c>
      <c r="CF72" s="2">
        <v>0</v>
      </c>
      <c r="CG72" s="2">
        <v>0</v>
      </c>
      <c r="CH72" s="2"/>
      <c r="CI72" s="2"/>
      <c r="CJ72" s="2"/>
      <c r="CK72" s="2"/>
      <c r="CL72" s="2"/>
      <c r="CM72" s="2">
        <v>0</v>
      </c>
      <c r="CN72" s="2" t="s">
        <v>369</v>
      </c>
      <c r="CO72" s="2">
        <v>0</v>
      </c>
      <c r="CP72" s="2">
        <f t="shared" si="59"/>
        <v>2.1800000000000002</v>
      </c>
      <c r="CQ72" s="2">
        <f t="shared" si="76"/>
        <v>31.08</v>
      </c>
      <c r="CR72" s="2">
        <f>(ROUND((ROUND(((ET72)*AV72*1),2)*BB72),2)+ROUND((ROUND(((AE72-(EU72))*AV72*1),2)*BS72),2))</f>
        <v>0</v>
      </c>
      <c r="CS72" s="2">
        <f>(ROUND((ROUND(((EU72)*AV72*1),2)*BS72),2)+ROUND((ROUND(((AE72-(EU72))*AV72*1),2)*BS72),2))</f>
        <v>0</v>
      </c>
      <c r="CT72" s="2">
        <f t="shared" si="60"/>
        <v>0</v>
      </c>
      <c r="CU72" s="2">
        <f t="shared" si="61"/>
        <v>0</v>
      </c>
      <c r="CV72" s="2">
        <f t="shared" si="62"/>
        <v>0</v>
      </c>
      <c r="CW72" s="2">
        <f t="shared" si="63"/>
        <v>0</v>
      </c>
      <c r="CX72" s="2">
        <f t="shared" si="64"/>
        <v>0</v>
      </c>
      <c r="CY72" s="2">
        <f>(ROUND((((S72+ROUND((ROUND(((EU72)*AV72*1),2)*BS72),2))*AT72)/100),2)+ROUND(((ROUND((ROUND(((AE72-(EU72))*AV72*1),2)*BS72),2)*AT72)/100),2))</f>
        <v>0</v>
      </c>
      <c r="CZ72" s="2">
        <f>(ROUND((((S72+ROUND((ROUND(((EU72)*AV72*1),2)*BS72),2))*AU72)/100),2)+ROUND(((ROUND((ROUND(((AE72-(EU72))*AV72*1),2)*BS72),2)*AU72)/100),2))</f>
        <v>0</v>
      </c>
      <c r="DA72" s="2"/>
      <c r="DB72" s="2"/>
      <c r="DC72" s="2" t="s">
        <v>3</v>
      </c>
      <c r="DD72" s="2" t="s">
        <v>3</v>
      </c>
      <c r="DE72" s="2" t="s">
        <v>3</v>
      </c>
      <c r="DF72" s="2" t="s">
        <v>3</v>
      </c>
      <c r="DG72" s="2" t="s">
        <v>3</v>
      </c>
      <c r="DH72" s="2" t="s">
        <v>3</v>
      </c>
      <c r="DI72" s="2" t="s">
        <v>3</v>
      </c>
      <c r="DJ72" s="2" t="s">
        <v>3</v>
      </c>
      <c r="DK72" s="2" t="s">
        <v>3</v>
      </c>
      <c r="DL72" s="2" t="s">
        <v>3</v>
      </c>
      <c r="DM72" s="2" t="s">
        <v>3</v>
      </c>
      <c r="DN72" s="2">
        <v>0</v>
      </c>
      <c r="DO72" s="2">
        <v>0</v>
      </c>
      <c r="DP72" s="2">
        <v>1</v>
      </c>
      <c r="DQ72" s="2">
        <v>1</v>
      </c>
      <c r="DR72" s="2"/>
      <c r="DS72" s="2"/>
      <c r="DT72" s="2"/>
      <c r="DU72" s="2">
        <v>1009</v>
      </c>
      <c r="DV72" s="2" t="s">
        <v>70</v>
      </c>
      <c r="DW72" s="2" t="s">
        <v>70</v>
      </c>
      <c r="DX72" s="2">
        <v>1</v>
      </c>
      <c r="DY72" s="2"/>
      <c r="DZ72" s="2" t="s">
        <v>3</v>
      </c>
      <c r="EA72" s="2" t="s">
        <v>3</v>
      </c>
      <c r="EB72" s="2" t="s">
        <v>3</v>
      </c>
      <c r="EC72" s="2" t="s">
        <v>3</v>
      </c>
      <c r="ED72" s="2"/>
      <c r="EE72" s="2">
        <v>60088536</v>
      </c>
      <c r="EF72" s="2">
        <v>40</v>
      </c>
      <c r="EG72" s="2" t="s">
        <v>26</v>
      </c>
      <c r="EH72" s="2">
        <v>0</v>
      </c>
      <c r="EI72" s="2" t="s">
        <v>3</v>
      </c>
      <c r="EJ72" s="2">
        <v>2</v>
      </c>
      <c r="EK72" s="2">
        <v>72</v>
      </c>
      <c r="EL72" s="2" t="s">
        <v>52</v>
      </c>
      <c r="EM72" s="2" t="s">
        <v>53</v>
      </c>
      <c r="EN72" s="2"/>
      <c r="EO72" s="2" t="s">
        <v>29</v>
      </c>
      <c r="EP72" s="2"/>
      <c r="EQ72" s="2">
        <v>0</v>
      </c>
      <c r="ER72" s="2">
        <v>31.08</v>
      </c>
      <c r="ES72" s="2">
        <v>31.08</v>
      </c>
      <c r="ET72" s="2">
        <v>0</v>
      </c>
      <c r="EU72" s="2">
        <v>0</v>
      </c>
      <c r="EV72" s="2">
        <v>0</v>
      </c>
      <c r="EW72" s="2">
        <v>0</v>
      </c>
      <c r="EX72" s="2">
        <v>0</v>
      </c>
      <c r="EY72" s="2"/>
      <c r="EZ72" s="2"/>
      <c r="FA72" s="2"/>
      <c r="FB72" s="2"/>
      <c r="FC72" s="2"/>
      <c r="FD72" s="2"/>
      <c r="FE72" s="2"/>
      <c r="FF72" s="2"/>
      <c r="FG72" s="2"/>
      <c r="FH72" s="2"/>
      <c r="FI72" s="2"/>
      <c r="FJ72" s="2"/>
      <c r="FK72" s="2"/>
      <c r="FL72" s="2"/>
      <c r="FM72" s="2"/>
      <c r="FN72" s="2"/>
      <c r="FO72" s="2"/>
      <c r="FP72" s="2"/>
      <c r="FQ72" s="2">
        <v>0</v>
      </c>
      <c r="FR72" s="2">
        <v>0</v>
      </c>
      <c r="FS72" s="2">
        <v>0</v>
      </c>
      <c r="FT72" s="2"/>
      <c r="FU72" s="2"/>
      <c r="FV72" s="2"/>
      <c r="FW72" s="2"/>
      <c r="FX72" s="2">
        <v>90</v>
      </c>
      <c r="FY72" s="2">
        <v>46</v>
      </c>
      <c r="FZ72" s="2"/>
      <c r="GA72" s="2" t="s">
        <v>3</v>
      </c>
      <c r="GB72" s="2"/>
      <c r="GC72" s="2"/>
      <c r="GD72" s="2">
        <v>1</v>
      </c>
      <c r="GE72" s="2"/>
      <c r="GF72" s="2">
        <v>1143487818</v>
      </c>
      <c r="GG72" s="2">
        <v>2</v>
      </c>
      <c r="GH72" s="2">
        <v>1</v>
      </c>
      <c r="GI72" s="2">
        <v>-2</v>
      </c>
      <c r="GJ72" s="2">
        <v>0</v>
      </c>
      <c r="GK72" s="2">
        <v>0</v>
      </c>
      <c r="GL72" s="2">
        <f t="shared" si="65"/>
        <v>0</v>
      </c>
      <c r="GM72" s="2">
        <f t="shared" si="66"/>
        <v>2.1800000000000002</v>
      </c>
      <c r="GN72" s="2">
        <f t="shared" si="67"/>
        <v>0</v>
      </c>
      <c r="GO72" s="2">
        <f t="shared" si="68"/>
        <v>2.1800000000000002</v>
      </c>
      <c r="GP72" s="2">
        <f t="shared" si="69"/>
        <v>0</v>
      </c>
      <c r="GQ72" s="2"/>
      <c r="GR72" s="2">
        <v>0</v>
      </c>
      <c r="GS72" s="2">
        <v>3</v>
      </c>
      <c r="GT72" s="2">
        <v>0</v>
      </c>
      <c r="GU72" s="2" t="s">
        <v>3</v>
      </c>
      <c r="GV72" s="2">
        <f t="shared" si="70"/>
        <v>0</v>
      </c>
      <c r="GW72" s="2">
        <v>1</v>
      </c>
      <c r="GX72" s="2">
        <f t="shared" si="71"/>
        <v>0</v>
      </c>
      <c r="GY72" s="2"/>
      <c r="GZ72" s="2"/>
      <c r="HA72" s="2">
        <v>0</v>
      </c>
      <c r="HB72" s="2">
        <v>0</v>
      </c>
      <c r="HC72" s="2">
        <f t="shared" si="72"/>
        <v>0</v>
      </c>
      <c r="HD72" s="2"/>
      <c r="HE72" s="2" t="s">
        <v>3</v>
      </c>
      <c r="HF72" s="2" t="s">
        <v>3</v>
      </c>
      <c r="HG72" s="2"/>
      <c r="HH72" s="2"/>
      <c r="HI72" s="2"/>
      <c r="HJ72" s="2"/>
      <c r="HK72" s="2"/>
      <c r="HL72" s="2"/>
      <c r="HM72" s="2" t="s">
        <v>24</v>
      </c>
      <c r="HN72" s="2" t="s">
        <v>3</v>
      </c>
      <c r="HO72" s="2" t="s">
        <v>3</v>
      </c>
      <c r="HP72" s="2" t="s">
        <v>3</v>
      </c>
      <c r="HQ72" s="2" t="s">
        <v>3</v>
      </c>
      <c r="HR72" s="2"/>
      <c r="HS72" s="2">
        <v>0</v>
      </c>
      <c r="HT72" s="2"/>
      <c r="HU72" s="2"/>
      <c r="HV72" s="2"/>
      <c r="HW72" s="2"/>
      <c r="HX72" s="2"/>
      <c r="HY72" s="2"/>
      <c r="HZ72" s="2"/>
      <c r="IA72" s="2"/>
      <c r="IB72" s="2"/>
      <c r="IC72" s="2"/>
      <c r="ID72" s="2"/>
      <c r="IE72" s="2"/>
      <c r="IF72" s="2"/>
      <c r="IG72" s="2"/>
      <c r="IH72" s="2"/>
      <c r="II72" s="2"/>
      <c r="IJ72" s="2"/>
      <c r="IK72" s="2">
        <v>0</v>
      </c>
      <c r="IL72" s="2"/>
      <c r="IM72" s="2"/>
      <c r="IN72" s="2"/>
      <c r="IO72" s="2"/>
      <c r="IP72" s="2"/>
      <c r="IQ72" s="2"/>
      <c r="IR72" s="2"/>
      <c r="IS72" s="2"/>
      <c r="IT72" s="2"/>
      <c r="IU72" s="2"/>
    </row>
    <row r="73" spans="1:255" x14ac:dyDescent="0.2">
      <c r="A73" s="3">
        <v>18</v>
      </c>
      <c r="B73" s="3">
        <v>1</v>
      </c>
      <c r="C73" s="3">
        <v>60</v>
      </c>
      <c r="E73" s="3" t="s">
        <v>105</v>
      </c>
      <c r="F73" s="3" t="s">
        <v>68</v>
      </c>
      <c r="G73" s="3" t="s">
        <v>69</v>
      </c>
      <c r="H73" s="3" t="s">
        <v>70</v>
      </c>
      <c r="I73" s="3">
        <f>I71*J73</f>
        <v>7.0000000000000007E-2</v>
      </c>
      <c r="J73" s="3">
        <v>3.5000000000000003E-2</v>
      </c>
      <c r="K73" s="3">
        <v>3.5000000000000003E-2</v>
      </c>
      <c r="O73" s="3">
        <f t="shared" si="50"/>
        <v>11.16</v>
      </c>
      <c r="P73" s="3">
        <f t="shared" si="75"/>
        <v>11.16</v>
      </c>
      <c r="Q73" s="3">
        <f>(ROUND((ROUND(((ET73)*AV73*I73),2)*BB73),2)+ROUND((ROUND(((AE73-(EU73))*AV73*I73),2)*BS73),2))</f>
        <v>0</v>
      </c>
      <c r="R73" s="3">
        <f>(ROUND((ROUND(((EU73)*AV73*I73),2)*BS73),2)+ROUND((ROUND(((AE73-(EU73))*AV73*I73),2)*BS73),2))</f>
        <v>0</v>
      </c>
      <c r="S73" s="3">
        <f t="shared" si="51"/>
        <v>0</v>
      </c>
      <c r="T73" s="3">
        <f t="shared" si="52"/>
        <v>0</v>
      </c>
      <c r="U73" s="3">
        <f t="shared" si="53"/>
        <v>0</v>
      </c>
      <c r="V73" s="3">
        <f t="shared" si="54"/>
        <v>0</v>
      </c>
      <c r="W73" s="3">
        <f t="shared" si="55"/>
        <v>0</v>
      </c>
      <c r="X73" s="3">
        <f>(ROUND((((S73+ROUND((ROUND(((EU73)*AV73*I73),2)*BS73),2))*AT73)/100),2)+ROUND(((ROUND((ROUND(((AE73-(EU73))*AV73*I73),2)*BS73),2)*AT73)/100),2))</f>
        <v>0</v>
      </c>
      <c r="Y73" s="3">
        <f>(ROUND((((S73+ROUND((ROUND(((EU73)*AV73*I73),2)*BS73),2))*AU73)/100),2)+ROUND(((ROUND((ROUND(((AE73-(EU73))*AV73*I73),2)*BS73),2)*AU73)/100),2))</f>
        <v>0</v>
      </c>
      <c r="AA73" s="3">
        <v>60256402</v>
      </c>
      <c r="AB73" s="3">
        <f t="shared" si="56"/>
        <v>31.08</v>
      </c>
      <c r="AC73" s="3">
        <f>ROUND((ES73),6)</f>
        <v>31.08</v>
      </c>
      <c r="AD73" s="3">
        <f>ROUND((((ET73)-(EU73))+AE73),6)</f>
        <v>0</v>
      </c>
      <c r="AE73" s="3">
        <f t="shared" si="77"/>
        <v>0</v>
      </c>
      <c r="AF73" s="3">
        <f t="shared" si="77"/>
        <v>0</v>
      </c>
      <c r="AG73" s="3">
        <f t="shared" si="57"/>
        <v>0</v>
      </c>
      <c r="AH73" s="3">
        <f t="shared" si="78"/>
        <v>0</v>
      </c>
      <c r="AI73" s="3">
        <f t="shared" si="78"/>
        <v>0</v>
      </c>
      <c r="AJ73" s="3">
        <f t="shared" si="58"/>
        <v>0</v>
      </c>
      <c r="AK73" s="3">
        <v>31.08</v>
      </c>
      <c r="AL73" s="3">
        <v>31.08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  <c r="AR73" s="3">
        <v>0</v>
      </c>
      <c r="AS73" s="3">
        <v>0</v>
      </c>
      <c r="AT73" s="3">
        <v>90</v>
      </c>
      <c r="AU73" s="3">
        <v>46</v>
      </c>
      <c r="AV73" s="3">
        <v>1</v>
      </c>
      <c r="AW73" s="3">
        <v>1</v>
      </c>
      <c r="AZ73" s="3">
        <v>1</v>
      </c>
      <c r="BA73" s="3">
        <v>1</v>
      </c>
      <c r="BB73" s="3">
        <v>1</v>
      </c>
      <c r="BC73" s="3">
        <v>5.12</v>
      </c>
      <c r="BD73" s="3" t="s">
        <v>3</v>
      </c>
      <c r="BE73" s="3" t="s">
        <v>3</v>
      </c>
      <c r="BF73" s="3" t="s">
        <v>3</v>
      </c>
      <c r="BG73" s="3" t="s">
        <v>3</v>
      </c>
      <c r="BH73" s="3">
        <v>3</v>
      </c>
      <c r="BI73" s="3">
        <v>2</v>
      </c>
      <c r="BJ73" s="3" t="s">
        <v>71</v>
      </c>
      <c r="BM73" s="3">
        <v>72</v>
      </c>
      <c r="BN73" s="3">
        <v>58973116</v>
      </c>
      <c r="BO73" s="3" t="s">
        <v>68</v>
      </c>
      <c r="BP73" s="3">
        <v>1</v>
      </c>
      <c r="BQ73" s="3">
        <v>40</v>
      </c>
      <c r="BR73" s="3">
        <v>0</v>
      </c>
      <c r="BS73" s="3">
        <v>1</v>
      </c>
      <c r="BT73" s="3">
        <v>1</v>
      </c>
      <c r="BU73" s="3">
        <v>1</v>
      </c>
      <c r="BV73" s="3">
        <v>1</v>
      </c>
      <c r="BW73" s="3">
        <v>1</v>
      </c>
      <c r="BX73" s="3">
        <v>1</v>
      </c>
      <c r="BY73" s="3" t="s">
        <v>3</v>
      </c>
      <c r="BZ73" s="3">
        <v>90</v>
      </c>
      <c r="CA73" s="3">
        <v>46</v>
      </c>
      <c r="CB73" s="3" t="s">
        <v>3</v>
      </c>
      <c r="CE73" s="3">
        <v>1566</v>
      </c>
      <c r="CF73" s="3">
        <v>0</v>
      </c>
      <c r="CG73" s="3">
        <v>0</v>
      </c>
      <c r="CM73" s="3">
        <v>0</v>
      </c>
      <c r="CN73" s="3" t="s">
        <v>369</v>
      </c>
      <c r="CO73" s="3">
        <v>0</v>
      </c>
      <c r="CP73" s="3">
        <f t="shared" si="59"/>
        <v>11.16</v>
      </c>
      <c r="CQ73" s="3">
        <f t="shared" si="76"/>
        <v>159.13</v>
      </c>
      <c r="CR73" s="3">
        <f>(ROUND((ROUND(((ET73)*AV73*1),2)*BB73),2)+ROUND((ROUND(((AE73-(EU73))*AV73*1),2)*BS73),2))</f>
        <v>0</v>
      </c>
      <c r="CS73" s="3">
        <f>(ROUND((ROUND(((EU73)*AV73*1),2)*BS73),2)+ROUND((ROUND(((AE73-(EU73))*AV73*1),2)*BS73),2))</f>
        <v>0</v>
      </c>
      <c r="CT73" s="3">
        <f t="shared" si="60"/>
        <v>0</v>
      </c>
      <c r="CU73" s="3">
        <f t="shared" si="61"/>
        <v>0</v>
      </c>
      <c r="CV73" s="3">
        <f t="shared" si="62"/>
        <v>0</v>
      </c>
      <c r="CW73" s="3">
        <f t="shared" si="63"/>
        <v>0</v>
      </c>
      <c r="CX73" s="3">
        <f t="shared" si="64"/>
        <v>0</v>
      </c>
      <c r="CY73" s="3">
        <f>(ROUND((((S73+ROUND((ROUND(((EU73)*AV73*1),2)*BS73),2))*AT73)/100),2)+ROUND(((ROUND((ROUND(((AE73-(EU73))*AV73*1),2)*BS73),2)*AT73)/100),2))</f>
        <v>0</v>
      </c>
      <c r="CZ73" s="3">
        <f>(ROUND((((S73+ROUND((ROUND(((EU73)*AV73*1),2)*BS73),2))*AU73)/100),2)+ROUND(((ROUND((ROUND(((AE73-(EU73))*AV73*1),2)*BS73),2)*AU73)/100),2))</f>
        <v>0</v>
      </c>
      <c r="DC73" s="3" t="s">
        <v>3</v>
      </c>
      <c r="DD73" s="3" t="s">
        <v>3</v>
      </c>
      <c r="DE73" s="3" t="s">
        <v>3</v>
      </c>
      <c r="DF73" s="3" t="s">
        <v>3</v>
      </c>
      <c r="DG73" s="3" t="s">
        <v>3</v>
      </c>
      <c r="DH73" s="3" t="s">
        <v>3</v>
      </c>
      <c r="DI73" s="3" t="s">
        <v>3</v>
      </c>
      <c r="DJ73" s="3" t="s">
        <v>3</v>
      </c>
      <c r="DK73" s="3" t="s">
        <v>3</v>
      </c>
      <c r="DL73" s="3" t="s">
        <v>3</v>
      </c>
      <c r="DM73" s="3" t="s">
        <v>3</v>
      </c>
      <c r="DN73" s="3">
        <v>0</v>
      </c>
      <c r="DO73" s="3">
        <v>0</v>
      </c>
      <c r="DP73" s="3">
        <v>1</v>
      </c>
      <c r="DQ73" s="3">
        <v>1</v>
      </c>
      <c r="DU73" s="3">
        <v>1009</v>
      </c>
      <c r="DV73" s="3" t="s">
        <v>70</v>
      </c>
      <c r="DW73" s="3" t="s">
        <v>70</v>
      </c>
      <c r="DX73" s="3">
        <v>1</v>
      </c>
      <c r="DZ73" s="3" t="s">
        <v>3</v>
      </c>
      <c r="EA73" s="3" t="s">
        <v>3</v>
      </c>
      <c r="EB73" s="3" t="s">
        <v>3</v>
      </c>
      <c r="EC73" s="3" t="s">
        <v>3</v>
      </c>
      <c r="EE73" s="3">
        <v>60088536</v>
      </c>
      <c r="EF73" s="3">
        <v>40</v>
      </c>
      <c r="EG73" s="3" t="s">
        <v>26</v>
      </c>
      <c r="EH73" s="3">
        <v>0</v>
      </c>
      <c r="EI73" s="3" t="s">
        <v>3</v>
      </c>
      <c r="EJ73" s="3">
        <v>2</v>
      </c>
      <c r="EK73" s="3">
        <v>72</v>
      </c>
      <c r="EL73" s="3" t="s">
        <v>52</v>
      </c>
      <c r="EM73" s="3" t="s">
        <v>53</v>
      </c>
      <c r="EO73" s="3" t="s">
        <v>29</v>
      </c>
      <c r="EQ73" s="3">
        <v>0</v>
      </c>
      <c r="ER73" s="3">
        <v>31.08</v>
      </c>
      <c r="ES73" s="3">
        <v>31.08</v>
      </c>
      <c r="ET73" s="3">
        <v>0</v>
      </c>
      <c r="EU73" s="3">
        <v>0</v>
      </c>
      <c r="EV73" s="3">
        <v>0</v>
      </c>
      <c r="EW73" s="3">
        <v>0</v>
      </c>
      <c r="EX73" s="3">
        <v>0</v>
      </c>
      <c r="FQ73" s="3">
        <v>0</v>
      </c>
      <c r="FR73" s="3">
        <v>0</v>
      </c>
      <c r="FS73" s="3">
        <v>0</v>
      </c>
      <c r="FX73" s="3">
        <v>90</v>
      </c>
      <c r="FY73" s="3">
        <v>46</v>
      </c>
      <c r="GA73" s="3" t="s">
        <v>3</v>
      </c>
      <c r="GD73" s="3">
        <v>1</v>
      </c>
      <c r="GF73" s="3">
        <v>1143487818</v>
      </c>
      <c r="GG73" s="3">
        <v>2</v>
      </c>
      <c r="GH73" s="3">
        <v>1</v>
      </c>
      <c r="GI73" s="3">
        <v>2</v>
      </c>
      <c r="GJ73" s="3">
        <v>0</v>
      </c>
      <c r="GK73" s="3">
        <v>0</v>
      </c>
      <c r="GL73" s="3">
        <f t="shared" si="65"/>
        <v>0</v>
      </c>
      <c r="GM73" s="3">
        <f t="shared" si="66"/>
        <v>11.16</v>
      </c>
      <c r="GN73" s="3">
        <f t="shared" si="67"/>
        <v>0</v>
      </c>
      <c r="GO73" s="3">
        <f t="shared" si="68"/>
        <v>11.16</v>
      </c>
      <c r="GP73" s="3">
        <f t="shared" si="69"/>
        <v>0</v>
      </c>
      <c r="GR73" s="3">
        <v>0</v>
      </c>
      <c r="GS73" s="3">
        <v>3</v>
      </c>
      <c r="GT73" s="3">
        <v>0</v>
      </c>
      <c r="GU73" s="3" t="s">
        <v>3</v>
      </c>
      <c r="GV73" s="3">
        <f t="shared" si="70"/>
        <v>0</v>
      </c>
      <c r="GW73" s="3">
        <v>1</v>
      </c>
      <c r="GX73" s="3">
        <f t="shared" si="71"/>
        <v>0</v>
      </c>
      <c r="HA73" s="3">
        <v>0</v>
      </c>
      <c r="HB73" s="3">
        <v>0</v>
      </c>
      <c r="HC73" s="3">
        <f t="shared" si="72"/>
        <v>0</v>
      </c>
      <c r="HE73" s="3" t="s">
        <v>3</v>
      </c>
      <c r="HF73" s="3" t="s">
        <v>3</v>
      </c>
      <c r="HM73" s="3" t="s">
        <v>24</v>
      </c>
      <c r="HN73" s="3" t="s">
        <v>3</v>
      </c>
      <c r="HO73" s="3" t="s">
        <v>3</v>
      </c>
      <c r="HP73" s="3" t="s">
        <v>3</v>
      </c>
      <c r="HQ73" s="3" t="s">
        <v>3</v>
      </c>
      <c r="HS73" s="3">
        <v>0</v>
      </c>
      <c r="IK73" s="3">
        <v>0</v>
      </c>
    </row>
    <row r="74" spans="1:255" x14ac:dyDescent="0.2">
      <c r="A74" s="2">
        <v>17</v>
      </c>
      <c r="B74" s="2">
        <v>1</v>
      </c>
      <c r="C74" s="2"/>
      <c r="D74" s="2"/>
      <c r="E74" s="2" t="s">
        <v>106</v>
      </c>
      <c r="F74" s="2" t="s">
        <v>107</v>
      </c>
      <c r="G74" s="2" t="s">
        <v>108</v>
      </c>
      <c r="H74" s="2" t="s">
        <v>33</v>
      </c>
      <c r="I74" s="2">
        <v>2</v>
      </c>
      <c r="J74" s="2">
        <v>0</v>
      </c>
      <c r="K74" s="2">
        <v>2</v>
      </c>
      <c r="L74" s="2"/>
      <c r="M74" s="2"/>
      <c r="N74" s="2"/>
      <c r="O74" s="2">
        <f t="shared" si="50"/>
        <v>88.78</v>
      </c>
      <c r="P74" s="2">
        <f t="shared" si="75"/>
        <v>88.78</v>
      </c>
      <c r="Q74" s="2">
        <f>(ROUND((ROUND(((ET74)*AV74*I74),2)*BB74),2)+ROUND((ROUND(((AE74-(EU74))*AV74*I74),2)*BS74),2))</f>
        <v>0</v>
      </c>
      <c r="R74" s="2">
        <f>(ROUND((ROUND(((EU74)*AV74*I74),2)*BS74),2)+ROUND((ROUND(((AE74-(EU74))*AV74*I74),2)*BS74),2))</f>
        <v>0</v>
      </c>
      <c r="S74" s="2">
        <f t="shared" si="51"/>
        <v>0</v>
      </c>
      <c r="T74" s="2">
        <f t="shared" si="52"/>
        <v>0</v>
      </c>
      <c r="U74" s="2">
        <f t="shared" si="53"/>
        <v>0</v>
      </c>
      <c r="V74" s="2">
        <f t="shared" si="54"/>
        <v>0</v>
      </c>
      <c r="W74" s="2">
        <f t="shared" si="55"/>
        <v>0</v>
      </c>
      <c r="X74" s="2">
        <f>(ROUND((((S74+ROUND((ROUND(((EU74)*AV74*I74),2)*BS74),2))*AT74)/100),2)+ROUND(((ROUND((ROUND(((AE74-(EU74))*AV74*I74),2)*BS74),2)*AT74)/100),2))</f>
        <v>0</v>
      </c>
      <c r="Y74" s="2">
        <f>(ROUND((((S74+ROUND((ROUND(((EU74)*AV74*I74),2)*BS74),2))*AU74)/100),2)+ROUND(((ROUND((ROUND(((AE74-(EU74))*AV74*I74),2)*BS74),2)*AU74)/100),2))</f>
        <v>0</v>
      </c>
      <c r="Z74" s="2"/>
      <c r="AA74" s="2">
        <v>60256405</v>
      </c>
      <c r="AB74" s="2">
        <f t="shared" si="56"/>
        <v>44.39</v>
      </c>
      <c r="AC74" s="2">
        <f>ROUND((ES74),6)</f>
        <v>44.39</v>
      </c>
      <c r="AD74" s="2">
        <f>ROUND((((ET74)-(EU74))+AE74),6)</f>
        <v>0</v>
      </c>
      <c r="AE74" s="2">
        <f t="shared" si="77"/>
        <v>0</v>
      </c>
      <c r="AF74" s="2">
        <f t="shared" si="77"/>
        <v>0</v>
      </c>
      <c r="AG74" s="2">
        <f t="shared" si="57"/>
        <v>0</v>
      </c>
      <c r="AH74" s="2">
        <f t="shared" si="78"/>
        <v>0</v>
      </c>
      <c r="AI74" s="2">
        <f t="shared" si="78"/>
        <v>0</v>
      </c>
      <c r="AJ74" s="2">
        <f t="shared" si="58"/>
        <v>0</v>
      </c>
      <c r="AK74" s="2">
        <v>44.39</v>
      </c>
      <c r="AL74" s="2">
        <v>44.39</v>
      </c>
      <c r="AM74" s="2">
        <v>0</v>
      </c>
      <c r="AN74" s="2">
        <v>0</v>
      </c>
      <c r="AO74" s="2">
        <v>0</v>
      </c>
      <c r="AP74" s="2">
        <v>0</v>
      </c>
      <c r="AQ74" s="2">
        <v>0</v>
      </c>
      <c r="AR74" s="2">
        <v>0</v>
      </c>
      <c r="AS74" s="2">
        <v>0</v>
      </c>
      <c r="AT74" s="2">
        <v>0</v>
      </c>
      <c r="AU74" s="2">
        <v>0</v>
      </c>
      <c r="AV74" s="2">
        <v>1</v>
      </c>
      <c r="AW74" s="2">
        <v>1</v>
      </c>
      <c r="AX74" s="2"/>
      <c r="AY74" s="2"/>
      <c r="AZ74" s="2">
        <v>1</v>
      </c>
      <c r="BA74" s="2">
        <v>1</v>
      </c>
      <c r="BB74" s="2">
        <v>1</v>
      </c>
      <c r="BC74" s="2">
        <v>1</v>
      </c>
      <c r="BD74" s="2" t="s">
        <v>3</v>
      </c>
      <c r="BE74" s="2" t="s">
        <v>3</v>
      </c>
      <c r="BF74" s="2" t="s">
        <v>3</v>
      </c>
      <c r="BG74" s="2" t="s">
        <v>3</v>
      </c>
      <c r="BH74" s="2">
        <v>3</v>
      </c>
      <c r="BI74" s="2">
        <v>2</v>
      </c>
      <c r="BJ74" s="2" t="s">
        <v>3</v>
      </c>
      <c r="BK74" s="2"/>
      <c r="BL74" s="2"/>
      <c r="BM74" s="2">
        <v>400002</v>
      </c>
      <c r="BN74" s="2">
        <v>0</v>
      </c>
      <c r="BO74" s="2" t="s">
        <v>3</v>
      </c>
      <c r="BP74" s="2">
        <v>0</v>
      </c>
      <c r="BQ74" s="2">
        <v>202</v>
      </c>
      <c r="BR74" s="2">
        <v>0</v>
      </c>
      <c r="BS74" s="2">
        <v>1</v>
      </c>
      <c r="BT74" s="2">
        <v>1</v>
      </c>
      <c r="BU74" s="2">
        <v>1</v>
      </c>
      <c r="BV74" s="2">
        <v>1</v>
      </c>
      <c r="BW74" s="2">
        <v>1</v>
      </c>
      <c r="BX74" s="2">
        <v>1</v>
      </c>
      <c r="BY74" s="2" t="s">
        <v>3</v>
      </c>
      <c r="BZ74" s="2">
        <v>0</v>
      </c>
      <c r="CA74" s="2">
        <v>0</v>
      </c>
      <c r="CB74" s="2" t="s">
        <v>3</v>
      </c>
      <c r="CC74" s="2"/>
      <c r="CD74" s="2"/>
      <c r="CE74" s="2">
        <v>1566</v>
      </c>
      <c r="CF74" s="2">
        <v>0</v>
      </c>
      <c r="CG74" s="2">
        <v>0</v>
      </c>
      <c r="CH74" s="2"/>
      <c r="CI74" s="2"/>
      <c r="CJ74" s="2"/>
      <c r="CK74" s="2"/>
      <c r="CL74" s="2"/>
      <c r="CM74" s="2">
        <v>0</v>
      </c>
      <c r="CN74" s="2" t="s">
        <v>3</v>
      </c>
      <c r="CO74" s="2">
        <v>0</v>
      </c>
      <c r="CP74" s="2">
        <f t="shared" si="59"/>
        <v>88.78</v>
      </c>
      <c r="CQ74" s="2">
        <f t="shared" si="76"/>
        <v>44.39</v>
      </c>
      <c r="CR74" s="2">
        <f>(ROUND((ROUND(((ET74)*AV74*1),2)*BB74),2)+ROUND((ROUND(((AE74-(EU74))*AV74*1),2)*BS74),2))</f>
        <v>0</v>
      </c>
      <c r="CS74" s="2">
        <f>(ROUND((ROUND(((EU74)*AV74*1),2)*BS74),2)+ROUND((ROUND(((AE74-(EU74))*AV74*1),2)*BS74),2))</f>
        <v>0</v>
      </c>
      <c r="CT74" s="2">
        <f t="shared" si="60"/>
        <v>0</v>
      </c>
      <c r="CU74" s="2">
        <f t="shared" si="61"/>
        <v>0</v>
      </c>
      <c r="CV74" s="2">
        <f t="shared" si="62"/>
        <v>0</v>
      </c>
      <c r="CW74" s="2">
        <f t="shared" si="63"/>
        <v>0</v>
      </c>
      <c r="CX74" s="2">
        <f t="shared" si="64"/>
        <v>0</v>
      </c>
      <c r="CY74" s="2">
        <f>(ROUND((((S74+ROUND((ROUND(((EU74)*AV74*1),2)*BS74),2))*AT74)/100),2)+ROUND(((ROUND((ROUND(((AE74-(EU74))*AV74*1),2)*BS74),2)*AT74)/100),2))</f>
        <v>0</v>
      </c>
      <c r="CZ74" s="2">
        <f>(ROUND((((S74+ROUND((ROUND(((EU74)*AV74*1),2)*BS74),2))*AU74)/100),2)+ROUND(((ROUND((ROUND(((AE74-(EU74))*AV74*1),2)*BS74),2)*AU74)/100),2))</f>
        <v>0</v>
      </c>
      <c r="DA74" s="2"/>
      <c r="DB74" s="2"/>
      <c r="DC74" s="2" t="s">
        <v>3</v>
      </c>
      <c r="DD74" s="2" t="s">
        <v>3</v>
      </c>
      <c r="DE74" s="2" t="s">
        <v>3</v>
      </c>
      <c r="DF74" s="2" t="s">
        <v>3</v>
      </c>
      <c r="DG74" s="2" t="s">
        <v>3</v>
      </c>
      <c r="DH74" s="2" t="s">
        <v>3</v>
      </c>
      <c r="DI74" s="2" t="s">
        <v>3</v>
      </c>
      <c r="DJ74" s="2" t="s">
        <v>3</v>
      </c>
      <c r="DK74" s="2" t="s">
        <v>3</v>
      </c>
      <c r="DL74" s="2" t="s">
        <v>3</v>
      </c>
      <c r="DM74" s="2" t="s">
        <v>3</v>
      </c>
      <c r="DN74" s="2">
        <v>0</v>
      </c>
      <c r="DO74" s="2">
        <v>0</v>
      </c>
      <c r="DP74" s="2">
        <v>1</v>
      </c>
      <c r="DQ74" s="2">
        <v>1</v>
      </c>
      <c r="DR74" s="2"/>
      <c r="DS74" s="2"/>
      <c r="DT74" s="2"/>
      <c r="DU74" s="2">
        <v>1010</v>
      </c>
      <c r="DV74" s="2" t="s">
        <v>33</v>
      </c>
      <c r="DW74" s="2" t="s">
        <v>33</v>
      </c>
      <c r="DX74" s="2">
        <v>1</v>
      </c>
      <c r="DY74" s="2"/>
      <c r="DZ74" s="2" t="s">
        <v>3</v>
      </c>
      <c r="EA74" s="2" t="s">
        <v>3</v>
      </c>
      <c r="EB74" s="2" t="s">
        <v>3</v>
      </c>
      <c r="EC74" s="2" t="s">
        <v>3</v>
      </c>
      <c r="ED74" s="2"/>
      <c r="EE74" s="2">
        <v>60088644</v>
      </c>
      <c r="EF74" s="2">
        <v>202</v>
      </c>
      <c r="EG74" s="2" t="s">
        <v>109</v>
      </c>
      <c r="EH74" s="2">
        <v>0</v>
      </c>
      <c r="EI74" s="2" t="s">
        <v>3</v>
      </c>
      <c r="EJ74" s="2">
        <v>1</v>
      </c>
      <c r="EK74" s="2">
        <v>400002</v>
      </c>
      <c r="EL74" s="2" t="s">
        <v>110</v>
      </c>
      <c r="EM74" s="2" t="s">
        <v>109</v>
      </c>
      <c r="EN74" s="2"/>
      <c r="EO74" s="2" t="s">
        <v>3</v>
      </c>
      <c r="EP74" s="2"/>
      <c r="EQ74" s="2">
        <v>0</v>
      </c>
      <c r="ER74" s="2">
        <v>0</v>
      </c>
      <c r="ES74" s="2">
        <v>44.39</v>
      </c>
      <c r="ET74" s="2">
        <v>0</v>
      </c>
      <c r="EU74" s="2">
        <v>0</v>
      </c>
      <c r="EV74" s="2">
        <v>0</v>
      </c>
      <c r="EW74" s="2">
        <v>0</v>
      </c>
      <c r="EX74" s="2">
        <v>0</v>
      </c>
      <c r="EY74" s="2">
        <v>0</v>
      </c>
      <c r="EZ74" s="2"/>
      <c r="FA74" s="2"/>
      <c r="FB74" s="2"/>
      <c r="FC74" s="2"/>
      <c r="FD74" s="2"/>
      <c r="FE74" s="2"/>
      <c r="FF74" s="2"/>
      <c r="FG74" s="2"/>
      <c r="FH74" s="2"/>
      <c r="FI74" s="2"/>
      <c r="FJ74" s="2"/>
      <c r="FK74" s="2"/>
      <c r="FL74" s="2"/>
      <c r="FM74" s="2"/>
      <c r="FN74" s="2"/>
      <c r="FO74" s="2"/>
      <c r="FP74" s="2"/>
      <c r="FQ74" s="2">
        <v>0</v>
      </c>
      <c r="FR74" s="2">
        <v>0</v>
      </c>
      <c r="FS74" s="2">
        <v>0</v>
      </c>
      <c r="FT74" s="2"/>
      <c r="FU74" s="2"/>
      <c r="FV74" s="2"/>
      <c r="FW74" s="2"/>
      <c r="FX74" s="2">
        <v>0</v>
      </c>
      <c r="FY74" s="2">
        <v>0</v>
      </c>
      <c r="FZ74" s="2"/>
      <c r="GA74" s="2" t="s">
        <v>111</v>
      </c>
      <c r="GB74" s="2"/>
      <c r="GC74" s="2"/>
      <c r="GD74" s="2">
        <v>1</v>
      </c>
      <c r="GE74" s="2"/>
      <c r="GF74" s="2">
        <v>47738072</v>
      </c>
      <c r="GG74" s="2">
        <v>2</v>
      </c>
      <c r="GH74" s="2">
        <v>4</v>
      </c>
      <c r="GI74" s="2">
        <v>-2</v>
      </c>
      <c r="GJ74" s="2">
        <v>0</v>
      </c>
      <c r="GK74" s="2">
        <v>0</v>
      </c>
      <c r="GL74" s="2">
        <f t="shared" si="65"/>
        <v>0</v>
      </c>
      <c r="GM74" s="2">
        <f t="shared" si="66"/>
        <v>88.78</v>
      </c>
      <c r="GN74" s="2">
        <f t="shared" si="67"/>
        <v>0</v>
      </c>
      <c r="GO74" s="2">
        <f t="shared" si="68"/>
        <v>88.78</v>
      </c>
      <c r="GP74" s="2">
        <f t="shared" si="69"/>
        <v>0</v>
      </c>
      <c r="GQ74" s="2"/>
      <c r="GR74" s="2">
        <v>0</v>
      </c>
      <c r="GS74" s="2">
        <v>2</v>
      </c>
      <c r="GT74" s="2">
        <v>0</v>
      </c>
      <c r="GU74" s="2" t="s">
        <v>3</v>
      </c>
      <c r="GV74" s="2">
        <f t="shared" si="70"/>
        <v>0</v>
      </c>
      <c r="GW74" s="2">
        <v>1</v>
      </c>
      <c r="GX74" s="2">
        <f t="shared" si="71"/>
        <v>0</v>
      </c>
      <c r="GY74" s="2"/>
      <c r="GZ74" s="2"/>
      <c r="HA74" s="2">
        <v>0</v>
      </c>
      <c r="HB74" s="2">
        <v>0</v>
      </c>
      <c r="HC74" s="2">
        <f t="shared" si="72"/>
        <v>0</v>
      </c>
      <c r="HD74" s="2"/>
      <c r="HE74" s="2" t="s">
        <v>35</v>
      </c>
      <c r="HF74" s="2" t="s">
        <v>30</v>
      </c>
      <c r="HG74" s="2"/>
      <c r="HH74" s="2"/>
      <c r="HI74" s="2"/>
      <c r="HJ74" s="2"/>
      <c r="HK74" s="2"/>
      <c r="HL74" s="2"/>
      <c r="HM74" s="2" t="s">
        <v>3</v>
      </c>
      <c r="HN74" s="2" t="s">
        <v>3</v>
      </c>
      <c r="HO74" s="2" t="s">
        <v>3</v>
      </c>
      <c r="HP74" s="2" t="s">
        <v>3</v>
      </c>
      <c r="HQ74" s="2" t="s">
        <v>3</v>
      </c>
      <c r="HR74" s="2"/>
      <c r="HS74" s="2">
        <v>0</v>
      </c>
      <c r="HT74" s="2"/>
      <c r="HU74" s="2"/>
      <c r="HV74" s="2"/>
      <c r="HW74" s="2"/>
      <c r="HX74" s="2"/>
      <c r="HY74" s="2"/>
      <c r="HZ74" s="2"/>
      <c r="IA74" s="2"/>
      <c r="IB74" s="2"/>
      <c r="IC74" s="2"/>
      <c r="ID74" s="2"/>
      <c r="IE74" s="2"/>
      <c r="IF74" s="2"/>
      <c r="IG74" s="2"/>
      <c r="IH74" s="2"/>
      <c r="II74" s="2"/>
      <c r="IJ74" s="2"/>
      <c r="IK74" s="2">
        <v>0</v>
      </c>
      <c r="IL74" s="2"/>
      <c r="IM74" s="2"/>
      <c r="IN74" s="2"/>
      <c r="IO74" s="2"/>
      <c r="IP74" s="2"/>
      <c r="IQ74" s="2"/>
      <c r="IR74" s="2"/>
      <c r="IS74" s="2"/>
      <c r="IT74" s="2"/>
      <c r="IU74" s="2"/>
    </row>
    <row r="75" spans="1:255" x14ac:dyDescent="0.2">
      <c r="A75" s="3">
        <v>17</v>
      </c>
      <c r="B75" s="3">
        <v>1</v>
      </c>
      <c r="E75" s="3" t="s">
        <v>106</v>
      </c>
      <c r="F75" s="3" t="s">
        <v>107</v>
      </c>
      <c r="G75" s="3" t="s">
        <v>108</v>
      </c>
      <c r="H75" s="3" t="s">
        <v>33</v>
      </c>
      <c r="I75" s="3">
        <v>2</v>
      </c>
      <c r="J75" s="3">
        <v>0</v>
      </c>
      <c r="K75" s="3">
        <v>2</v>
      </c>
      <c r="O75" s="3">
        <f t="shared" si="50"/>
        <v>877.15</v>
      </c>
      <c r="P75" s="3">
        <f t="shared" si="75"/>
        <v>877.15</v>
      </c>
      <c r="Q75" s="3">
        <f>(ROUND((ROUND(((ET75)*AV75*I75),2)*BB75),2)+ROUND((ROUND(((AE75-(EU75))*AV75*I75),2)*BS75),2))</f>
        <v>0</v>
      </c>
      <c r="R75" s="3">
        <f>(ROUND((ROUND(((EU75)*AV75*I75),2)*BS75),2)+ROUND((ROUND(((AE75-(EU75))*AV75*I75),2)*BS75),2))</f>
        <v>0</v>
      </c>
      <c r="S75" s="3">
        <f t="shared" si="51"/>
        <v>0</v>
      </c>
      <c r="T75" s="3">
        <f t="shared" si="52"/>
        <v>0</v>
      </c>
      <c r="U75" s="3">
        <f t="shared" si="53"/>
        <v>0</v>
      </c>
      <c r="V75" s="3">
        <f t="shared" si="54"/>
        <v>0</v>
      </c>
      <c r="W75" s="3">
        <f t="shared" si="55"/>
        <v>0</v>
      </c>
      <c r="X75" s="3">
        <f>(ROUND((((S75+ROUND((ROUND(((EU75)*AV75*I75),2)*BS75),2))*AT75)/100),2)+ROUND(((ROUND((ROUND(((AE75-(EU75))*AV75*I75),2)*BS75),2)*AT75)/100),2))</f>
        <v>0</v>
      </c>
      <c r="Y75" s="3">
        <f>(ROUND((((S75+ROUND((ROUND(((EU75)*AV75*I75),2)*BS75),2))*AU75)/100),2)+ROUND(((ROUND((ROUND(((AE75-(EU75))*AV75*I75),2)*BS75),2)*AU75)/100),2))</f>
        <v>0</v>
      </c>
      <c r="AA75" s="3">
        <v>60256402</v>
      </c>
      <c r="AB75" s="3">
        <f t="shared" si="56"/>
        <v>44.39</v>
      </c>
      <c r="AC75" s="3">
        <f>ROUND((ES75),6)</f>
        <v>44.39</v>
      </c>
      <c r="AD75" s="3">
        <f>ROUND((((ET75)-(EU75))+AE75),6)</f>
        <v>0</v>
      </c>
      <c r="AE75" s="3">
        <f t="shared" si="77"/>
        <v>0</v>
      </c>
      <c r="AF75" s="3">
        <f t="shared" si="77"/>
        <v>0</v>
      </c>
      <c r="AG75" s="3">
        <f t="shared" si="57"/>
        <v>0</v>
      </c>
      <c r="AH75" s="3">
        <f t="shared" si="78"/>
        <v>0</v>
      </c>
      <c r="AI75" s="3">
        <f t="shared" si="78"/>
        <v>0</v>
      </c>
      <c r="AJ75" s="3">
        <f t="shared" si="58"/>
        <v>0</v>
      </c>
      <c r="AK75" s="3">
        <v>44.39</v>
      </c>
      <c r="AL75" s="3">
        <v>44.39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3">
        <v>1</v>
      </c>
      <c r="AW75" s="3">
        <v>1</v>
      </c>
      <c r="AZ75" s="3">
        <v>1</v>
      </c>
      <c r="BA75" s="3">
        <v>1</v>
      </c>
      <c r="BB75" s="3">
        <v>1</v>
      </c>
      <c r="BC75" s="3">
        <v>9.8800000000000008</v>
      </c>
      <c r="BD75" s="3" t="s">
        <v>3</v>
      </c>
      <c r="BE75" s="3" t="s">
        <v>3</v>
      </c>
      <c r="BF75" s="3" t="s">
        <v>3</v>
      </c>
      <c r="BG75" s="3" t="s">
        <v>3</v>
      </c>
      <c r="BH75" s="3">
        <v>3</v>
      </c>
      <c r="BI75" s="3">
        <v>2</v>
      </c>
      <c r="BJ75" s="3" t="s">
        <v>3</v>
      </c>
      <c r="BM75" s="3">
        <v>400002</v>
      </c>
      <c r="BN75" s="3">
        <v>0</v>
      </c>
      <c r="BO75" s="3" t="s">
        <v>3</v>
      </c>
      <c r="BP75" s="3">
        <v>0</v>
      </c>
      <c r="BQ75" s="3">
        <v>202</v>
      </c>
      <c r="BR75" s="3">
        <v>0</v>
      </c>
      <c r="BS75" s="3">
        <v>1</v>
      </c>
      <c r="BT75" s="3">
        <v>1</v>
      </c>
      <c r="BU75" s="3">
        <v>1</v>
      </c>
      <c r="BV75" s="3">
        <v>1</v>
      </c>
      <c r="BW75" s="3">
        <v>1</v>
      </c>
      <c r="BX75" s="3">
        <v>1</v>
      </c>
      <c r="BY75" s="3" t="s">
        <v>3</v>
      </c>
      <c r="BZ75" s="3">
        <v>0</v>
      </c>
      <c r="CA75" s="3">
        <v>0</v>
      </c>
      <c r="CB75" s="3" t="s">
        <v>3</v>
      </c>
      <c r="CE75" s="3">
        <v>1566</v>
      </c>
      <c r="CF75" s="3">
        <v>0</v>
      </c>
      <c r="CG75" s="3">
        <v>0</v>
      </c>
      <c r="CM75" s="3">
        <v>0</v>
      </c>
      <c r="CN75" s="3" t="s">
        <v>3</v>
      </c>
      <c r="CO75" s="3">
        <v>0</v>
      </c>
      <c r="CP75" s="3">
        <f t="shared" si="59"/>
        <v>877.15</v>
      </c>
      <c r="CQ75" s="3">
        <f t="shared" si="76"/>
        <v>438.57</v>
      </c>
      <c r="CR75" s="3">
        <f>(ROUND((ROUND(((ET75)*AV75*1),2)*BB75),2)+ROUND((ROUND(((AE75-(EU75))*AV75*1),2)*BS75),2))</f>
        <v>0</v>
      </c>
      <c r="CS75" s="3">
        <f>(ROUND((ROUND(((EU75)*AV75*1),2)*BS75),2)+ROUND((ROUND(((AE75-(EU75))*AV75*1),2)*BS75),2))</f>
        <v>0</v>
      </c>
      <c r="CT75" s="3">
        <f t="shared" si="60"/>
        <v>0</v>
      </c>
      <c r="CU75" s="3">
        <f t="shared" si="61"/>
        <v>0</v>
      </c>
      <c r="CV75" s="3">
        <f t="shared" si="62"/>
        <v>0</v>
      </c>
      <c r="CW75" s="3">
        <f t="shared" si="63"/>
        <v>0</v>
      </c>
      <c r="CX75" s="3">
        <f t="shared" si="64"/>
        <v>0</v>
      </c>
      <c r="CY75" s="3">
        <f>(ROUND((((S75+ROUND((ROUND(((EU75)*AV75*1),2)*BS75),2))*AT75)/100),2)+ROUND(((ROUND((ROUND(((AE75-(EU75))*AV75*1),2)*BS75),2)*AT75)/100),2))</f>
        <v>0</v>
      </c>
      <c r="CZ75" s="3">
        <f>(ROUND((((S75+ROUND((ROUND(((EU75)*AV75*1),2)*BS75),2))*AU75)/100),2)+ROUND(((ROUND((ROUND(((AE75-(EU75))*AV75*1),2)*BS75),2)*AU75)/100),2))</f>
        <v>0</v>
      </c>
      <c r="DC75" s="3" t="s">
        <v>3</v>
      </c>
      <c r="DD75" s="3" t="s">
        <v>3</v>
      </c>
      <c r="DE75" s="3" t="s">
        <v>3</v>
      </c>
      <c r="DF75" s="3" t="s">
        <v>3</v>
      </c>
      <c r="DG75" s="3" t="s">
        <v>3</v>
      </c>
      <c r="DH75" s="3" t="s">
        <v>3</v>
      </c>
      <c r="DI75" s="3" t="s">
        <v>3</v>
      </c>
      <c r="DJ75" s="3" t="s">
        <v>3</v>
      </c>
      <c r="DK75" s="3" t="s">
        <v>3</v>
      </c>
      <c r="DL75" s="3" t="s">
        <v>3</v>
      </c>
      <c r="DM75" s="3" t="s">
        <v>3</v>
      </c>
      <c r="DN75" s="3">
        <v>0</v>
      </c>
      <c r="DO75" s="3">
        <v>0</v>
      </c>
      <c r="DP75" s="3">
        <v>1</v>
      </c>
      <c r="DQ75" s="3">
        <v>1</v>
      </c>
      <c r="DU75" s="3">
        <v>1010</v>
      </c>
      <c r="DV75" s="3" t="s">
        <v>33</v>
      </c>
      <c r="DW75" s="3" t="s">
        <v>33</v>
      </c>
      <c r="DX75" s="3">
        <v>1</v>
      </c>
      <c r="DZ75" s="3" t="s">
        <v>3</v>
      </c>
      <c r="EA75" s="3" t="s">
        <v>3</v>
      </c>
      <c r="EB75" s="3" t="s">
        <v>3</v>
      </c>
      <c r="EC75" s="3" t="s">
        <v>3</v>
      </c>
      <c r="EE75" s="3">
        <v>60088644</v>
      </c>
      <c r="EF75" s="3">
        <v>202</v>
      </c>
      <c r="EG75" s="3" t="s">
        <v>109</v>
      </c>
      <c r="EH75" s="3">
        <v>0</v>
      </c>
      <c r="EI75" s="3" t="s">
        <v>3</v>
      </c>
      <c r="EJ75" s="3">
        <v>1</v>
      </c>
      <c r="EK75" s="3">
        <v>400002</v>
      </c>
      <c r="EL75" s="3" t="s">
        <v>110</v>
      </c>
      <c r="EM75" s="3" t="s">
        <v>109</v>
      </c>
      <c r="EO75" s="3" t="s">
        <v>3</v>
      </c>
      <c r="EQ75" s="3">
        <v>0</v>
      </c>
      <c r="ER75" s="3">
        <v>58.51</v>
      </c>
      <c r="ES75" s="3">
        <v>44.39</v>
      </c>
      <c r="ET75" s="3">
        <v>0</v>
      </c>
      <c r="EU75" s="3">
        <v>0</v>
      </c>
      <c r="EV75" s="3">
        <v>0</v>
      </c>
      <c r="EW75" s="3">
        <v>0</v>
      </c>
      <c r="EX75" s="3">
        <v>0</v>
      </c>
      <c r="EY75" s="3">
        <v>0</v>
      </c>
      <c r="EZ75" s="3">
        <v>5</v>
      </c>
      <c r="FC75" s="3">
        <v>1</v>
      </c>
      <c r="FD75" s="3">
        <v>18</v>
      </c>
      <c r="FF75" s="3">
        <v>516</v>
      </c>
      <c r="FQ75" s="3">
        <v>0</v>
      </c>
      <c r="FR75" s="3">
        <v>0</v>
      </c>
      <c r="FS75" s="3">
        <v>0</v>
      </c>
      <c r="FX75" s="3">
        <v>0</v>
      </c>
      <c r="FY75" s="3">
        <v>0</v>
      </c>
      <c r="GA75" s="3" t="s">
        <v>111</v>
      </c>
      <c r="GD75" s="3">
        <v>1</v>
      </c>
      <c r="GF75" s="3">
        <v>47738072</v>
      </c>
      <c r="GG75" s="3">
        <v>2</v>
      </c>
      <c r="GH75" s="3">
        <v>3</v>
      </c>
      <c r="GI75" s="3">
        <v>5</v>
      </c>
      <c r="GJ75" s="3">
        <v>0</v>
      </c>
      <c r="GK75" s="3">
        <v>0</v>
      </c>
      <c r="GL75" s="3">
        <f t="shared" si="65"/>
        <v>0</v>
      </c>
      <c r="GM75" s="3">
        <f t="shared" si="66"/>
        <v>877.15</v>
      </c>
      <c r="GN75" s="3">
        <f t="shared" si="67"/>
        <v>0</v>
      </c>
      <c r="GO75" s="3">
        <f t="shared" si="68"/>
        <v>877.15</v>
      </c>
      <c r="GP75" s="3">
        <f t="shared" si="69"/>
        <v>0</v>
      </c>
      <c r="GR75" s="3">
        <v>1</v>
      </c>
      <c r="GS75" s="3">
        <v>1</v>
      </c>
      <c r="GT75" s="3">
        <v>0</v>
      </c>
      <c r="GU75" s="3" t="s">
        <v>3</v>
      </c>
      <c r="GV75" s="3">
        <f t="shared" si="70"/>
        <v>0</v>
      </c>
      <c r="GW75" s="3">
        <v>1</v>
      </c>
      <c r="GX75" s="3">
        <f t="shared" si="71"/>
        <v>0</v>
      </c>
      <c r="HA75" s="3">
        <v>0</v>
      </c>
      <c r="HB75" s="3">
        <v>0</v>
      </c>
      <c r="HC75" s="3">
        <f t="shared" si="72"/>
        <v>0</v>
      </c>
      <c r="HE75" s="3" t="s">
        <v>35</v>
      </c>
      <c r="HF75" s="3" t="s">
        <v>30</v>
      </c>
      <c r="HM75" s="3" t="s">
        <v>3</v>
      </c>
      <c r="HN75" s="3" t="s">
        <v>3</v>
      </c>
      <c r="HO75" s="3" t="s">
        <v>3</v>
      </c>
      <c r="HP75" s="3" t="s">
        <v>3</v>
      </c>
      <c r="HQ75" s="3" t="s">
        <v>3</v>
      </c>
      <c r="HS75" s="3">
        <v>0</v>
      </c>
      <c r="IK75" s="3">
        <v>0</v>
      </c>
    </row>
    <row r="76" spans="1:255" x14ac:dyDescent="0.2">
      <c r="A76" s="2">
        <v>17</v>
      </c>
      <c r="B76" s="2">
        <v>1</v>
      </c>
      <c r="C76" s="2">
        <f>ROW(SmtRes!A62)</f>
        <v>62</v>
      </c>
      <c r="D76" s="2">
        <f>ROW(EtalonRes!A81)</f>
        <v>81</v>
      </c>
      <c r="E76" s="2" t="s">
        <v>112</v>
      </c>
      <c r="F76" s="2" t="s">
        <v>64</v>
      </c>
      <c r="G76" s="2" t="s">
        <v>65</v>
      </c>
      <c r="H76" s="2" t="s">
        <v>22</v>
      </c>
      <c r="I76" s="2">
        <v>1</v>
      </c>
      <c r="J76" s="2">
        <v>0</v>
      </c>
      <c r="K76" s="2">
        <v>1</v>
      </c>
      <c r="L76" s="2"/>
      <c r="M76" s="2"/>
      <c r="N76" s="2"/>
      <c r="O76" s="2">
        <f t="shared" si="50"/>
        <v>7.77</v>
      </c>
      <c r="P76" s="2">
        <f t="shared" si="75"/>
        <v>0</v>
      </c>
      <c r="Q76" s="2">
        <f>(ROUND((ROUND((((ET76*1.1))*AV76*I76),2)*BB76),2)+ROUND((ROUND(((AE76-((EU76*1.1)))*AV76*I76),2)*BS76),2))</f>
        <v>0</v>
      </c>
      <c r="R76" s="2">
        <f>(ROUND((ROUND((((EU76*1.1))*AV76*I76),2)*BS76),2)+ROUND((ROUND(((AE76-((EU76*1.1)))*AV76*I76),2)*BS76),2))</f>
        <v>0</v>
      </c>
      <c r="S76" s="2">
        <f t="shared" si="51"/>
        <v>7.77</v>
      </c>
      <c r="T76" s="2">
        <f t="shared" si="52"/>
        <v>0</v>
      </c>
      <c r="U76" s="2">
        <f t="shared" si="53"/>
        <v>0.59888399999999997</v>
      </c>
      <c r="V76" s="2">
        <f t="shared" si="54"/>
        <v>0</v>
      </c>
      <c r="W76" s="2">
        <f t="shared" si="55"/>
        <v>0</v>
      </c>
      <c r="X76" s="2">
        <f>(ROUND((((S76+ROUND((ROUND((((EU76*1.1))*AV76*I76),2)*BS76),2))*AT76)/100),2)+ROUND(((ROUND((ROUND(((AE76-((EU76*1.1)))*AV76*I76),2)*BS76),2)*AT76)/100),2))</f>
        <v>6.99</v>
      </c>
      <c r="Y76" s="2">
        <f>(ROUND((((S76+ROUND((ROUND((((EU76*1.1))*AV76*I76),2)*BS76),2))*AU76)/100),2)+ROUND(((ROUND((ROUND(((AE76-((EU76*1.1)))*AV76*I76),2)*BS76),2)*AU76)/100),2))</f>
        <v>3.57</v>
      </c>
      <c r="Z76" s="2"/>
      <c r="AA76" s="2">
        <v>60256405</v>
      </c>
      <c r="AB76" s="2">
        <f t="shared" si="56"/>
        <v>7.4249999999999998</v>
      </c>
      <c r="AC76" s="2">
        <f>ROUND(((ES76*1)),6)</f>
        <v>0</v>
      </c>
      <c r="AD76" s="2">
        <f>ROUND(((((ET76*1.1))-((EU76*1.1)))+AE76),6)</f>
        <v>0</v>
      </c>
      <c r="AE76" s="2">
        <f>ROUND(((EU76*1.1)),6)</f>
        <v>0</v>
      </c>
      <c r="AF76" s="2">
        <f>ROUND(((EV76*1.1)),6)</f>
        <v>7.4249999999999998</v>
      </c>
      <c r="AG76" s="2">
        <f t="shared" si="57"/>
        <v>0</v>
      </c>
      <c r="AH76" s="2">
        <f>((EW76*1.1))</f>
        <v>0.57200000000000006</v>
      </c>
      <c r="AI76" s="2">
        <f>((EX76*1.1))</f>
        <v>0</v>
      </c>
      <c r="AJ76" s="2">
        <f t="shared" si="58"/>
        <v>0</v>
      </c>
      <c r="AK76" s="2">
        <v>6.75</v>
      </c>
      <c r="AL76" s="2">
        <v>0</v>
      </c>
      <c r="AM76" s="2">
        <v>0</v>
      </c>
      <c r="AN76" s="2">
        <v>0</v>
      </c>
      <c r="AO76" s="2">
        <v>6.75</v>
      </c>
      <c r="AP76" s="2">
        <v>0</v>
      </c>
      <c r="AQ76" s="2">
        <v>0.52</v>
      </c>
      <c r="AR76" s="2">
        <v>0</v>
      </c>
      <c r="AS76" s="2">
        <v>0</v>
      </c>
      <c r="AT76" s="2">
        <v>90</v>
      </c>
      <c r="AU76" s="2">
        <v>46</v>
      </c>
      <c r="AV76" s="2">
        <v>1.0469999999999999</v>
      </c>
      <c r="AW76" s="2">
        <v>1</v>
      </c>
      <c r="AX76" s="2"/>
      <c r="AY76" s="2"/>
      <c r="AZ76" s="2">
        <v>1</v>
      </c>
      <c r="BA76" s="2">
        <v>1</v>
      </c>
      <c r="BB76" s="2">
        <v>1</v>
      </c>
      <c r="BC76" s="2">
        <v>1</v>
      </c>
      <c r="BD76" s="2" t="s">
        <v>3</v>
      </c>
      <c r="BE76" s="2" t="s">
        <v>3</v>
      </c>
      <c r="BF76" s="2" t="s">
        <v>3</v>
      </c>
      <c r="BG76" s="2" t="s">
        <v>3</v>
      </c>
      <c r="BH76" s="2">
        <v>0</v>
      </c>
      <c r="BI76" s="2">
        <v>2</v>
      </c>
      <c r="BJ76" s="2" t="s">
        <v>66</v>
      </c>
      <c r="BK76" s="2"/>
      <c r="BL76" s="2"/>
      <c r="BM76" s="2">
        <v>72</v>
      </c>
      <c r="BN76" s="2">
        <v>58973116</v>
      </c>
      <c r="BO76" s="2" t="s">
        <v>64</v>
      </c>
      <c r="BP76" s="2">
        <v>1</v>
      </c>
      <c r="BQ76" s="2">
        <v>40</v>
      </c>
      <c r="BR76" s="2">
        <v>0</v>
      </c>
      <c r="BS76" s="2">
        <v>1</v>
      </c>
      <c r="BT76" s="2">
        <v>1</v>
      </c>
      <c r="BU76" s="2">
        <v>1</v>
      </c>
      <c r="BV76" s="2">
        <v>1</v>
      </c>
      <c r="BW76" s="2">
        <v>1</v>
      </c>
      <c r="BX76" s="2">
        <v>1</v>
      </c>
      <c r="BY76" s="2" t="s">
        <v>3</v>
      </c>
      <c r="BZ76" s="2">
        <v>90</v>
      </c>
      <c r="CA76" s="2">
        <v>46</v>
      </c>
      <c r="CB76" s="2" t="s">
        <v>3</v>
      </c>
      <c r="CC76" s="2"/>
      <c r="CD76" s="2"/>
      <c r="CE76" s="2">
        <v>1566</v>
      </c>
      <c r="CF76" s="2">
        <v>0</v>
      </c>
      <c r="CG76" s="2">
        <v>0</v>
      </c>
      <c r="CH76" s="2"/>
      <c r="CI76" s="2"/>
      <c r="CJ76" s="2"/>
      <c r="CK76" s="2"/>
      <c r="CL76" s="2"/>
      <c r="CM76" s="2">
        <v>0</v>
      </c>
      <c r="CN76" s="2" t="s">
        <v>369</v>
      </c>
      <c r="CO76" s="2">
        <v>0</v>
      </c>
      <c r="CP76" s="2">
        <f t="shared" si="59"/>
        <v>7.77</v>
      </c>
      <c r="CQ76" s="2">
        <f t="shared" si="76"/>
        <v>0</v>
      </c>
      <c r="CR76" s="2">
        <f>(ROUND((ROUND((((ET76*1.1))*AV76*1),2)*BB76),2)+ROUND((ROUND(((AE76-((EU76*1.1)))*AV76*1),2)*BS76),2))</f>
        <v>0</v>
      </c>
      <c r="CS76" s="2">
        <f>(ROUND((ROUND((((EU76*1.1))*AV76*1),2)*BS76),2)+ROUND((ROUND(((AE76-((EU76*1.1)))*AV76*1),2)*BS76),2))</f>
        <v>0</v>
      </c>
      <c r="CT76" s="2">
        <f t="shared" si="60"/>
        <v>7.77</v>
      </c>
      <c r="CU76" s="2">
        <f t="shared" si="61"/>
        <v>0</v>
      </c>
      <c r="CV76" s="2">
        <f t="shared" si="62"/>
        <v>0.59888399999999997</v>
      </c>
      <c r="CW76" s="2">
        <f t="shared" si="63"/>
        <v>0</v>
      </c>
      <c r="CX76" s="2">
        <f t="shared" si="64"/>
        <v>0</v>
      </c>
      <c r="CY76" s="2">
        <f>(ROUND((((S76+ROUND((ROUND((((EU76*1.1))*AV76*1),2)*BS76),2))*AT76)/100),2)+ROUND(((ROUND((ROUND(((AE76-((EU76*1.1)))*AV76*1),2)*BS76),2)*AT76)/100),2))</f>
        <v>6.99</v>
      </c>
      <c r="CZ76" s="2">
        <f>(ROUND((((S76+ROUND((ROUND((((EU76*1.1))*AV76*1),2)*BS76),2))*AU76)/100),2)+ROUND(((ROUND((ROUND(((AE76-((EU76*1.1)))*AV76*1),2)*BS76),2)*AU76)/100),2))</f>
        <v>3.57</v>
      </c>
      <c r="DA76" s="2"/>
      <c r="DB76" s="2">
        <v>21</v>
      </c>
      <c r="DC76" s="2" t="s">
        <v>3</v>
      </c>
      <c r="DD76" s="2" t="s">
        <v>24</v>
      </c>
      <c r="DE76" s="2" t="s">
        <v>25</v>
      </c>
      <c r="DF76" s="2" t="s">
        <v>25</v>
      </c>
      <c r="DG76" s="2" t="s">
        <v>25</v>
      </c>
      <c r="DH76" s="2" t="s">
        <v>3</v>
      </c>
      <c r="DI76" s="2" t="s">
        <v>25</v>
      </c>
      <c r="DJ76" s="2" t="s">
        <v>25</v>
      </c>
      <c r="DK76" s="2" t="s">
        <v>3</v>
      </c>
      <c r="DL76" s="2" t="s">
        <v>3</v>
      </c>
      <c r="DM76" s="2" t="s">
        <v>3</v>
      </c>
      <c r="DN76" s="2">
        <v>0</v>
      </c>
      <c r="DO76" s="2">
        <v>0</v>
      </c>
      <c r="DP76" s="2">
        <v>1</v>
      </c>
      <c r="DQ76" s="2">
        <v>1</v>
      </c>
      <c r="DR76" s="2"/>
      <c r="DS76" s="2"/>
      <c r="DT76" s="2"/>
      <c r="DU76" s="2">
        <v>1013</v>
      </c>
      <c r="DV76" s="2" t="s">
        <v>22</v>
      </c>
      <c r="DW76" s="2" t="s">
        <v>22</v>
      </c>
      <c r="DX76" s="2">
        <v>1</v>
      </c>
      <c r="DY76" s="2"/>
      <c r="DZ76" s="2" t="s">
        <v>3</v>
      </c>
      <c r="EA76" s="2" t="s">
        <v>3</v>
      </c>
      <c r="EB76" s="2" t="s">
        <v>3</v>
      </c>
      <c r="EC76" s="2" t="s">
        <v>3</v>
      </c>
      <c r="ED76" s="2"/>
      <c r="EE76" s="2">
        <v>60088536</v>
      </c>
      <c r="EF76" s="2">
        <v>40</v>
      </c>
      <c r="EG76" s="2" t="s">
        <v>26</v>
      </c>
      <c r="EH76" s="2">
        <v>0</v>
      </c>
      <c r="EI76" s="2" t="s">
        <v>3</v>
      </c>
      <c r="EJ76" s="2">
        <v>2</v>
      </c>
      <c r="EK76" s="2">
        <v>72</v>
      </c>
      <c r="EL76" s="2" t="s">
        <v>52</v>
      </c>
      <c r="EM76" s="2" t="s">
        <v>53</v>
      </c>
      <c r="EN76" s="2"/>
      <c r="EO76" s="2" t="s">
        <v>29</v>
      </c>
      <c r="EP76" s="2"/>
      <c r="EQ76" s="2">
        <v>0</v>
      </c>
      <c r="ER76" s="2">
        <v>6.75</v>
      </c>
      <c r="ES76" s="2">
        <v>0</v>
      </c>
      <c r="ET76" s="2">
        <v>0</v>
      </c>
      <c r="EU76" s="2">
        <v>0</v>
      </c>
      <c r="EV76" s="2">
        <v>6.75</v>
      </c>
      <c r="EW76" s="2">
        <v>0.52</v>
      </c>
      <c r="EX76" s="2">
        <v>0</v>
      </c>
      <c r="EY76" s="2">
        <v>0</v>
      </c>
      <c r="EZ76" s="2"/>
      <c r="FA76" s="2"/>
      <c r="FB76" s="2"/>
      <c r="FC76" s="2"/>
      <c r="FD76" s="2"/>
      <c r="FE76" s="2"/>
      <c r="FF76" s="2"/>
      <c r="FG76" s="2"/>
      <c r="FH76" s="2"/>
      <c r="FI76" s="2"/>
      <c r="FJ76" s="2"/>
      <c r="FK76" s="2"/>
      <c r="FL76" s="2"/>
      <c r="FM76" s="2"/>
      <c r="FN76" s="2"/>
      <c r="FO76" s="2"/>
      <c r="FP76" s="2"/>
      <c r="FQ76" s="2">
        <v>0</v>
      </c>
      <c r="FR76" s="2">
        <v>0</v>
      </c>
      <c r="FS76" s="2">
        <v>0</v>
      </c>
      <c r="FT76" s="2"/>
      <c r="FU76" s="2"/>
      <c r="FV76" s="2"/>
      <c r="FW76" s="2"/>
      <c r="FX76" s="2">
        <v>90</v>
      </c>
      <c r="FY76" s="2">
        <v>46</v>
      </c>
      <c r="FZ76" s="2"/>
      <c r="GA76" s="2" t="s">
        <v>3</v>
      </c>
      <c r="GB76" s="2"/>
      <c r="GC76" s="2"/>
      <c r="GD76" s="2">
        <v>1</v>
      </c>
      <c r="GE76" s="2"/>
      <c r="GF76" s="2">
        <v>338415528</v>
      </c>
      <c r="GG76" s="2">
        <v>2</v>
      </c>
      <c r="GH76" s="2">
        <v>1</v>
      </c>
      <c r="GI76" s="2">
        <v>2</v>
      </c>
      <c r="GJ76" s="2">
        <v>0</v>
      </c>
      <c r="GK76" s="2">
        <v>0</v>
      </c>
      <c r="GL76" s="2">
        <f t="shared" si="65"/>
        <v>0</v>
      </c>
      <c r="GM76" s="2">
        <f t="shared" si="66"/>
        <v>18.329999999999998</v>
      </c>
      <c r="GN76" s="2">
        <f t="shared" si="67"/>
        <v>0</v>
      </c>
      <c r="GO76" s="2">
        <f t="shared" si="68"/>
        <v>18.329999999999998</v>
      </c>
      <c r="GP76" s="2">
        <f t="shared" si="69"/>
        <v>0</v>
      </c>
      <c r="GQ76" s="2"/>
      <c r="GR76" s="2">
        <v>0</v>
      </c>
      <c r="GS76" s="2">
        <v>3</v>
      </c>
      <c r="GT76" s="2">
        <v>0</v>
      </c>
      <c r="GU76" s="2" t="s">
        <v>3</v>
      </c>
      <c r="GV76" s="2">
        <f t="shared" si="70"/>
        <v>0</v>
      </c>
      <c r="GW76" s="2">
        <v>1</v>
      </c>
      <c r="GX76" s="2">
        <f t="shared" si="71"/>
        <v>0</v>
      </c>
      <c r="GY76" s="2"/>
      <c r="GZ76" s="2"/>
      <c r="HA76" s="2">
        <v>0</v>
      </c>
      <c r="HB76" s="2">
        <v>0</v>
      </c>
      <c r="HC76" s="2">
        <f t="shared" si="72"/>
        <v>0</v>
      </c>
      <c r="HD76" s="2"/>
      <c r="HE76" s="2" t="s">
        <v>3</v>
      </c>
      <c r="HF76" s="2" t="s">
        <v>3</v>
      </c>
      <c r="HG76" s="2"/>
      <c r="HH76" s="2"/>
      <c r="HI76" s="2"/>
      <c r="HJ76" s="2"/>
      <c r="HK76" s="2"/>
      <c r="HL76" s="2"/>
      <c r="HM76" s="2" t="s">
        <v>3</v>
      </c>
      <c r="HN76" s="2" t="s">
        <v>3</v>
      </c>
      <c r="HO76" s="2" t="s">
        <v>3</v>
      </c>
      <c r="HP76" s="2" t="s">
        <v>3</v>
      </c>
      <c r="HQ76" s="2" t="s">
        <v>3</v>
      </c>
      <c r="HR76" s="2"/>
      <c r="HS76" s="2">
        <v>0</v>
      </c>
      <c r="HT76" s="2"/>
      <c r="HU76" s="2"/>
      <c r="HV76" s="2"/>
      <c r="HW76" s="2"/>
      <c r="HX76" s="2"/>
      <c r="HY76" s="2"/>
      <c r="HZ76" s="2"/>
      <c r="IA76" s="2"/>
      <c r="IB76" s="2"/>
      <c r="IC76" s="2"/>
      <c r="ID76" s="2"/>
      <c r="IE76" s="2"/>
      <c r="IF76" s="2"/>
      <c r="IG76" s="2"/>
      <c r="IH76" s="2"/>
      <c r="II76" s="2"/>
      <c r="IJ76" s="2"/>
      <c r="IK76" s="2">
        <v>0</v>
      </c>
      <c r="IL76" s="2"/>
      <c r="IM76" s="2"/>
      <c r="IN76" s="2"/>
      <c r="IO76" s="2"/>
      <c r="IP76" s="2"/>
      <c r="IQ76" s="2"/>
      <c r="IR76" s="2"/>
      <c r="IS76" s="2"/>
      <c r="IT76" s="2"/>
      <c r="IU76" s="2"/>
    </row>
    <row r="77" spans="1:255" x14ac:dyDescent="0.2">
      <c r="A77" s="3">
        <v>17</v>
      </c>
      <c r="B77" s="3">
        <v>1</v>
      </c>
      <c r="C77" s="3">
        <f>ROW(SmtRes!A64)</f>
        <v>64</v>
      </c>
      <c r="D77" s="3">
        <f>ROW(EtalonRes!A84)</f>
        <v>84</v>
      </c>
      <c r="E77" s="3" t="s">
        <v>112</v>
      </c>
      <c r="F77" s="3" t="s">
        <v>64</v>
      </c>
      <c r="G77" s="3" t="s">
        <v>65</v>
      </c>
      <c r="H77" s="3" t="s">
        <v>22</v>
      </c>
      <c r="I77" s="3">
        <v>1</v>
      </c>
      <c r="J77" s="3">
        <v>0</v>
      </c>
      <c r="K77" s="3">
        <v>1</v>
      </c>
      <c r="O77" s="3">
        <f t="shared" si="50"/>
        <v>427.27</v>
      </c>
      <c r="P77" s="3">
        <f t="shared" si="75"/>
        <v>0</v>
      </c>
      <c r="Q77" s="3">
        <f>(ROUND((ROUND((((ET77*1.1))*AV77*I77),2)*BB77),2)+ROUND((ROUND(((AE77-((EU77*1.1)))*AV77*I77),2)*BS77),2))</f>
        <v>0</v>
      </c>
      <c r="R77" s="3">
        <f>(ROUND((ROUND((((EU77*1.1))*AV77*I77),2)*BS77),2)+ROUND((ROUND(((AE77-((EU77*1.1)))*AV77*I77),2)*BS77),2))</f>
        <v>0</v>
      </c>
      <c r="S77" s="3">
        <f t="shared" si="51"/>
        <v>427.27</v>
      </c>
      <c r="T77" s="3">
        <f t="shared" si="52"/>
        <v>0</v>
      </c>
      <c r="U77" s="3">
        <f t="shared" si="53"/>
        <v>0.59888399999999997</v>
      </c>
      <c r="V77" s="3">
        <f t="shared" si="54"/>
        <v>0</v>
      </c>
      <c r="W77" s="3">
        <f t="shared" si="55"/>
        <v>0</v>
      </c>
      <c r="X77" s="3">
        <f>(ROUND((((S77+ROUND((ROUND((((EU77*1.1))*AV77*I77),2)*BS77),2))*AT77)/100),2)+ROUND(((ROUND((ROUND(((AE77-((EU77*1.1)))*AV77*I77),2)*BS77),2)*AT77)/100),2))</f>
        <v>384.54</v>
      </c>
      <c r="Y77" s="3">
        <f>(ROUND((((S77+ROUND((ROUND((((EU77*1.1))*AV77*I77),2)*BS77),2))*AU77)/100),2)+ROUND(((ROUND((ROUND(((AE77-((EU77*1.1)))*AV77*I77),2)*BS77),2)*AU77)/100),2))</f>
        <v>196.54</v>
      </c>
      <c r="AA77" s="3">
        <v>60256402</v>
      </c>
      <c r="AB77" s="3">
        <f t="shared" si="56"/>
        <v>7.4249999999999998</v>
      </c>
      <c r="AC77" s="3">
        <f>ROUND(((ES77*1)),6)</f>
        <v>0</v>
      </c>
      <c r="AD77" s="3">
        <f>ROUND(((((ET77*1.1))-((EU77*1.1)))+AE77),6)</f>
        <v>0</v>
      </c>
      <c r="AE77" s="3">
        <f>ROUND(((EU77*1.1)),6)</f>
        <v>0</v>
      </c>
      <c r="AF77" s="3">
        <f>ROUND(((EV77*1.1)),6)</f>
        <v>7.4249999999999998</v>
      </c>
      <c r="AG77" s="3">
        <f t="shared" si="57"/>
        <v>0</v>
      </c>
      <c r="AH77" s="3">
        <f>((EW77*1.1))</f>
        <v>0.57200000000000006</v>
      </c>
      <c r="AI77" s="3">
        <f>((EX77*1.1))</f>
        <v>0</v>
      </c>
      <c r="AJ77" s="3">
        <f t="shared" si="58"/>
        <v>0</v>
      </c>
      <c r="AK77" s="3">
        <v>6.75</v>
      </c>
      <c r="AL77" s="3">
        <v>0</v>
      </c>
      <c r="AM77" s="3">
        <v>0</v>
      </c>
      <c r="AN77" s="3">
        <v>0</v>
      </c>
      <c r="AO77" s="3">
        <v>6.75</v>
      </c>
      <c r="AP77" s="3">
        <v>0</v>
      </c>
      <c r="AQ77" s="3">
        <v>0.52</v>
      </c>
      <c r="AR77" s="3">
        <v>0</v>
      </c>
      <c r="AS77" s="3">
        <v>0</v>
      </c>
      <c r="AT77" s="3">
        <v>90</v>
      </c>
      <c r="AU77" s="3">
        <v>46</v>
      </c>
      <c r="AV77" s="3">
        <v>1.0469999999999999</v>
      </c>
      <c r="AW77" s="3">
        <v>1</v>
      </c>
      <c r="AZ77" s="3">
        <v>1</v>
      </c>
      <c r="BA77" s="3">
        <v>54.99</v>
      </c>
      <c r="BB77" s="3">
        <v>1</v>
      </c>
      <c r="BC77" s="3">
        <v>1</v>
      </c>
      <c r="BD77" s="3" t="s">
        <v>3</v>
      </c>
      <c r="BE77" s="3" t="s">
        <v>3</v>
      </c>
      <c r="BF77" s="3" t="s">
        <v>3</v>
      </c>
      <c r="BG77" s="3" t="s">
        <v>3</v>
      </c>
      <c r="BH77" s="3">
        <v>0</v>
      </c>
      <c r="BI77" s="3">
        <v>2</v>
      </c>
      <c r="BJ77" s="3" t="s">
        <v>66</v>
      </c>
      <c r="BM77" s="3">
        <v>72</v>
      </c>
      <c r="BN77" s="3">
        <v>58973116</v>
      </c>
      <c r="BO77" s="3" t="s">
        <v>64</v>
      </c>
      <c r="BP77" s="3">
        <v>1</v>
      </c>
      <c r="BQ77" s="3">
        <v>40</v>
      </c>
      <c r="BR77" s="3">
        <v>0</v>
      </c>
      <c r="BS77" s="3">
        <v>54.99</v>
      </c>
      <c r="BT77" s="3">
        <v>1</v>
      </c>
      <c r="BU77" s="3">
        <v>1</v>
      </c>
      <c r="BV77" s="3">
        <v>1</v>
      </c>
      <c r="BW77" s="3">
        <v>1</v>
      </c>
      <c r="BX77" s="3">
        <v>1</v>
      </c>
      <c r="BY77" s="3" t="s">
        <v>3</v>
      </c>
      <c r="BZ77" s="3">
        <v>90</v>
      </c>
      <c r="CA77" s="3">
        <v>46</v>
      </c>
      <c r="CB77" s="3" t="s">
        <v>3</v>
      </c>
      <c r="CE77" s="3">
        <v>1566</v>
      </c>
      <c r="CF77" s="3">
        <v>0</v>
      </c>
      <c r="CG77" s="3">
        <v>0</v>
      </c>
      <c r="CM77" s="3">
        <v>0</v>
      </c>
      <c r="CN77" s="3" t="s">
        <v>369</v>
      </c>
      <c r="CO77" s="3">
        <v>0</v>
      </c>
      <c r="CP77" s="3">
        <f t="shared" si="59"/>
        <v>427.27</v>
      </c>
      <c r="CQ77" s="3">
        <f t="shared" si="76"/>
        <v>0</v>
      </c>
      <c r="CR77" s="3">
        <f>(ROUND((ROUND((((ET77*1.1))*AV77*1),2)*BB77),2)+ROUND((ROUND(((AE77-((EU77*1.1)))*AV77*1),2)*BS77),2))</f>
        <v>0</v>
      </c>
      <c r="CS77" s="3">
        <f>(ROUND((ROUND((((EU77*1.1))*AV77*1),2)*BS77),2)+ROUND((ROUND(((AE77-((EU77*1.1)))*AV77*1),2)*BS77),2))</f>
        <v>0</v>
      </c>
      <c r="CT77" s="3">
        <f t="shared" si="60"/>
        <v>427.27</v>
      </c>
      <c r="CU77" s="3">
        <f t="shared" si="61"/>
        <v>0</v>
      </c>
      <c r="CV77" s="3">
        <f t="shared" si="62"/>
        <v>0.59888399999999997</v>
      </c>
      <c r="CW77" s="3">
        <f t="shared" si="63"/>
        <v>0</v>
      </c>
      <c r="CX77" s="3">
        <f t="shared" si="64"/>
        <v>0</v>
      </c>
      <c r="CY77" s="3">
        <f>(ROUND((((S77+ROUND((ROUND((((EU77*1.1))*AV77*1),2)*BS77),2))*AT77)/100),2)+ROUND(((ROUND((ROUND(((AE77-((EU77*1.1)))*AV77*1),2)*BS77),2)*AT77)/100),2))</f>
        <v>384.54</v>
      </c>
      <c r="CZ77" s="3">
        <f>(ROUND((((S77+ROUND((ROUND((((EU77*1.1))*AV77*1),2)*BS77),2))*AU77)/100),2)+ROUND(((ROUND((ROUND(((AE77-((EU77*1.1)))*AV77*1),2)*BS77),2)*AU77)/100),2))</f>
        <v>196.54</v>
      </c>
      <c r="DB77" s="3">
        <v>22</v>
      </c>
      <c r="DC77" s="3" t="s">
        <v>3</v>
      </c>
      <c r="DD77" s="3" t="s">
        <v>24</v>
      </c>
      <c r="DE77" s="3" t="s">
        <v>25</v>
      </c>
      <c r="DF77" s="3" t="s">
        <v>25</v>
      </c>
      <c r="DG77" s="3" t="s">
        <v>25</v>
      </c>
      <c r="DH77" s="3" t="s">
        <v>3</v>
      </c>
      <c r="DI77" s="3" t="s">
        <v>25</v>
      </c>
      <c r="DJ77" s="3" t="s">
        <v>25</v>
      </c>
      <c r="DK77" s="3" t="s">
        <v>3</v>
      </c>
      <c r="DL77" s="3" t="s">
        <v>3</v>
      </c>
      <c r="DM77" s="3" t="s">
        <v>3</v>
      </c>
      <c r="DN77" s="3">
        <v>0</v>
      </c>
      <c r="DO77" s="3">
        <v>0</v>
      </c>
      <c r="DP77" s="3">
        <v>1</v>
      </c>
      <c r="DQ77" s="3">
        <v>1</v>
      </c>
      <c r="DU77" s="3">
        <v>1013</v>
      </c>
      <c r="DV77" s="3" t="s">
        <v>22</v>
      </c>
      <c r="DW77" s="3" t="s">
        <v>22</v>
      </c>
      <c r="DX77" s="3">
        <v>1</v>
      </c>
      <c r="DZ77" s="3" t="s">
        <v>3</v>
      </c>
      <c r="EA77" s="3" t="s">
        <v>3</v>
      </c>
      <c r="EB77" s="3" t="s">
        <v>3</v>
      </c>
      <c r="EC77" s="3" t="s">
        <v>3</v>
      </c>
      <c r="EE77" s="3">
        <v>60088536</v>
      </c>
      <c r="EF77" s="3">
        <v>40</v>
      </c>
      <c r="EG77" s="3" t="s">
        <v>26</v>
      </c>
      <c r="EH77" s="3">
        <v>0</v>
      </c>
      <c r="EI77" s="3" t="s">
        <v>3</v>
      </c>
      <c r="EJ77" s="3">
        <v>2</v>
      </c>
      <c r="EK77" s="3">
        <v>72</v>
      </c>
      <c r="EL77" s="3" t="s">
        <v>52</v>
      </c>
      <c r="EM77" s="3" t="s">
        <v>53</v>
      </c>
      <c r="EO77" s="3" t="s">
        <v>29</v>
      </c>
      <c r="EQ77" s="3">
        <v>0</v>
      </c>
      <c r="ER77" s="3">
        <v>6.75</v>
      </c>
      <c r="ES77" s="3">
        <v>0</v>
      </c>
      <c r="ET77" s="3">
        <v>0</v>
      </c>
      <c r="EU77" s="3">
        <v>0</v>
      </c>
      <c r="EV77" s="3">
        <v>6.75</v>
      </c>
      <c r="EW77" s="3">
        <v>0.52</v>
      </c>
      <c r="EX77" s="3">
        <v>0</v>
      </c>
      <c r="EY77" s="3">
        <v>0</v>
      </c>
      <c r="FQ77" s="3">
        <v>0</v>
      </c>
      <c r="FR77" s="3">
        <v>0</v>
      </c>
      <c r="FS77" s="3">
        <v>0</v>
      </c>
      <c r="FX77" s="3">
        <v>90</v>
      </c>
      <c r="FY77" s="3">
        <v>46</v>
      </c>
      <c r="GA77" s="3" t="s">
        <v>3</v>
      </c>
      <c r="GD77" s="3">
        <v>1</v>
      </c>
      <c r="GF77" s="3">
        <v>338415528</v>
      </c>
      <c r="GG77" s="3">
        <v>2</v>
      </c>
      <c r="GH77" s="3">
        <v>1</v>
      </c>
      <c r="GI77" s="3">
        <v>2</v>
      </c>
      <c r="GJ77" s="3">
        <v>0</v>
      </c>
      <c r="GK77" s="3">
        <v>0</v>
      </c>
      <c r="GL77" s="3">
        <f t="shared" si="65"/>
        <v>0</v>
      </c>
      <c r="GM77" s="3">
        <f t="shared" si="66"/>
        <v>1008.35</v>
      </c>
      <c r="GN77" s="3">
        <f t="shared" si="67"/>
        <v>0</v>
      </c>
      <c r="GO77" s="3">
        <f t="shared" si="68"/>
        <v>1008.35</v>
      </c>
      <c r="GP77" s="3">
        <f t="shared" si="69"/>
        <v>0</v>
      </c>
      <c r="GR77" s="3">
        <v>0</v>
      </c>
      <c r="GS77" s="3">
        <v>3</v>
      </c>
      <c r="GT77" s="3">
        <v>0</v>
      </c>
      <c r="GU77" s="3" t="s">
        <v>3</v>
      </c>
      <c r="GV77" s="3">
        <f t="shared" si="70"/>
        <v>0</v>
      </c>
      <c r="GW77" s="3">
        <v>1</v>
      </c>
      <c r="GX77" s="3">
        <f t="shared" si="71"/>
        <v>0</v>
      </c>
      <c r="HA77" s="3">
        <v>0</v>
      </c>
      <c r="HB77" s="3">
        <v>0</v>
      </c>
      <c r="HC77" s="3">
        <f t="shared" si="72"/>
        <v>0</v>
      </c>
      <c r="HE77" s="3" t="s">
        <v>3</v>
      </c>
      <c r="HF77" s="3" t="s">
        <v>3</v>
      </c>
      <c r="HM77" s="3" t="s">
        <v>3</v>
      </c>
      <c r="HN77" s="3" t="s">
        <v>3</v>
      </c>
      <c r="HO77" s="3" t="s">
        <v>3</v>
      </c>
      <c r="HP77" s="3" t="s">
        <v>3</v>
      </c>
      <c r="HQ77" s="3" t="s">
        <v>3</v>
      </c>
      <c r="HS77" s="3">
        <v>0</v>
      </c>
      <c r="IK77" s="3">
        <v>0</v>
      </c>
    </row>
    <row r="78" spans="1:255" x14ac:dyDescent="0.2">
      <c r="A78" s="2">
        <v>18</v>
      </c>
      <c r="B78" s="2">
        <v>1</v>
      </c>
      <c r="C78" s="2">
        <v>62</v>
      </c>
      <c r="D78" s="2"/>
      <c r="E78" s="2" t="s">
        <v>113</v>
      </c>
      <c r="F78" s="2" t="s">
        <v>68</v>
      </c>
      <c r="G78" s="2" t="s">
        <v>69</v>
      </c>
      <c r="H78" s="2" t="s">
        <v>70</v>
      </c>
      <c r="I78" s="2">
        <f>I76*J78</f>
        <v>3.5000000000000003E-2</v>
      </c>
      <c r="J78" s="2">
        <v>3.5000000000000003E-2</v>
      </c>
      <c r="K78" s="2">
        <v>3.5000000000000003E-2</v>
      </c>
      <c r="L78" s="2"/>
      <c r="M78" s="2"/>
      <c r="N78" s="2"/>
      <c r="O78" s="2">
        <f t="shared" si="50"/>
        <v>1.0900000000000001</v>
      </c>
      <c r="P78" s="2">
        <f t="shared" si="75"/>
        <v>1.0900000000000001</v>
      </c>
      <c r="Q78" s="2">
        <f>(ROUND((ROUND(((ET78)*AV78*I78),2)*BB78),2)+ROUND((ROUND(((AE78-(EU78))*AV78*I78),2)*BS78),2))</f>
        <v>0</v>
      </c>
      <c r="R78" s="2">
        <f>(ROUND((ROUND(((EU78)*AV78*I78),2)*BS78),2)+ROUND((ROUND(((AE78-(EU78))*AV78*I78),2)*BS78),2))</f>
        <v>0</v>
      </c>
      <c r="S78" s="2">
        <f t="shared" si="51"/>
        <v>0</v>
      </c>
      <c r="T78" s="2">
        <f t="shared" si="52"/>
        <v>0</v>
      </c>
      <c r="U78" s="2">
        <f t="shared" si="53"/>
        <v>0</v>
      </c>
      <c r="V78" s="2">
        <f t="shared" si="54"/>
        <v>0</v>
      </c>
      <c r="W78" s="2">
        <f t="shared" si="55"/>
        <v>0</v>
      </c>
      <c r="X78" s="2">
        <f>(ROUND((((S78+ROUND((ROUND(((EU78)*AV78*I78),2)*BS78),2))*AT78)/100),2)+ROUND(((ROUND((ROUND(((AE78-(EU78))*AV78*I78),2)*BS78),2)*AT78)/100),2))</f>
        <v>0</v>
      </c>
      <c r="Y78" s="2">
        <f>(ROUND((((S78+ROUND((ROUND(((EU78)*AV78*I78),2)*BS78),2))*AU78)/100),2)+ROUND(((ROUND((ROUND(((AE78-(EU78))*AV78*I78),2)*BS78),2)*AU78)/100),2))</f>
        <v>0</v>
      </c>
      <c r="Z78" s="2"/>
      <c r="AA78" s="2">
        <v>60256405</v>
      </c>
      <c r="AB78" s="2">
        <f t="shared" si="56"/>
        <v>31.08</v>
      </c>
      <c r="AC78" s="2">
        <f>ROUND((ES78),6)</f>
        <v>31.08</v>
      </c>
      <c r="AD78" s="2">
        <f>ROUND((((ET78)-(EU78))+AE78),6)</f>
        <v>0</v>
      </c>
      <c r="AE78" s="2">
        <f t="shared" ref="AE78:AF81" si="79">ROUND((EU78),6)</f>
        <v>0</v>
      </c>
      <c r="AF78" s="2">
        <f t="shared" si="79"/>
        <v>0</v>
      </c>
      <c r="AG78" s="2">
        <f t="shared" si="57"/>
        <v>0</v>
      </c>
      <c r="AH78" s="2">
        <f t="shared" ref="AH78:AI81" si="80">(EW78)</f>
        <v>0</v>
      </c>
      <c r="AI78" s="2">
        <f t="shared" si="80"/>
        <v>0</v>
      </c>
      <c r="AJ78" s="2">
        <f t="shared" si="58"/>
        <v>0</v>
      </c>
      <c r="AK78" s="2">
        <v>31.08</v>
      </c>
      <c r="AL78" s="2">
        <v>31.08</v>
      </c>
      <c r="AM78" s="2">
        <v>0</v>
      </c>
      <c r="AN78" s="2">
        <v>0</v>
      </c>
      <c r="AO78" s="2">
        <v>0</v>
      </c>
      <c r="AP78" s="2">
        <v>0</v>
      </c>
      <c r="AQ78" s="2">
        <v>0</v>
      </c>
      <c r="AR78" s="2">
        <v>0</v>
      </c>
      <c r="AS78" s="2">
        <v>0</v>
      </c>
      <c r="AT78" s="2">
        <v>90</v>
      </c>
      <c r="AU78" s="2">
        <v>46</v>
      </c>
      <c r="AV78" s="2">
        <v>1</v>
      </c>
      <c r="AW78" s="2">
        <v>1</v>
      </c>
      <c r="AX78" s="2"/>
      <c r="AY78" s="2"/>
      <c r="AZ78" s="2">
        <v>1</v>
      </c>
      <c r="BA78" s="2">
        <v>1</v>
      </c>
      <c r="BB78" s="2">
        <v>1</v>
      </c>
      <c r="BC78" s="2">
        <v>1</v>
      </c>
      <c r="BD78" s="2" t="s">
        <v>3</v>
      </c>
      <c r="BE78" s="2" t="s">
        <v>3</v>
      </c>
      <c r="BF78" s="2" t="s">
        <v>3</v>
      </c>
      <c r="BG78" s="2" t="s">
        <v>3</v>
      </c>
      <c r="BH78" s="2">
        <v>3</v>
      </c>
      <c r="BI78" s="2">
        <v>2</v>
      </c>
      <c r="BJ78" s="2" t="s">
        <v>71</v>
      </c>
      <c r="BK78" s="2"/>
      <c r="BL78" s="2"/>
      <c r="BM78" s="2">
        <v>72</v>
      </c>
      <c r="BN78" s="2">
        <v>58973116</v>
      </c>
      <c r="BO78" s="2" t="s">
        <v>3</v>
      </c>
      <c r="BP78" s="2">
        <v>0</v>
      </c>
      <c r="BQ78" s="2">
        <v>40</v>
      </c>
      <c r="BR78" s="2">
        <v>0</v>
      </c>
      <c r="BS78" s="2">
        <v>1</v>
      </c>
      <c r="BT78" s="2">
        <v>1</v>
      </c>
      <c r="BU78" s="2">
        <v>1</v>
      </c>
      <c r="BV78" s="2">
        <v>1</v>
      </c>
      <c r="BW78" s="2">
        <v>1</v>
      </c>
      <c r="BX78" s="2">
        <v>1</v>
      </c>
      <c r="BY78" s="2" t="s">
        <v>3</v>
      </c>
      <c r="BZ78" s="2">
        <v>90</v>
      </c>
      <c r="CA78" s="2">
        <v>46</v>
      </c>
      <c r="CB78" s="2" t="s">
        <v>3</v>
      </c>
      <c r="CC78" s="2"/>
      <c r="CD78" s="2"/>
      <c r="CE78" s="2">
        <v>1566</v>
      </c>
      <c r="CF78" s="2">
        <v>0</v>
      </c>
      <c r="CG78" s="2">
        <v>0</v>
      </c>
      <c r="CH78" s="2"/>
      <c r="CI78" s="2"/>
      <c r="CJ78" s="2"/>
      <c r="CK78" s="2"/>
      <c r="CL78" s="2"/>
      <c r="CM78" s="2">
        <v>0</v>
      </c>
      <c r="CN78" s="2" t="s">
        <v>369</v>
      </c>
      <c r="CO78" s="2">
        <v>0</v>
      </c>
      <c r="CP78" s="2">
        <f t="shared" si="59"/>
        <v>1.0900000000000001</v>
      </c>
      <c r="CQ78" s="2">
        <f t="shared" si="76"/>
        <v>31.08</v>
      </c>
      <c r="CR78" s="2">
        <f>(ROUND((ROUND(((ET78)*AV78*1),2)*BB78),2)+ROUND((ROUND(((AE78-(EU78))*AV78*1),2)*BS78),2))</f>
        <v>0</v>
      </c>
      <c r="CS78" s="2">
        <f>(ROUND((ROUND(((EU78)*AV78*1),2)*BS78),2)+ROUND((ROUND(((AE78-(EU78))*AV78*1),2)*BS78),2))</f>
        <v>0</v>
      </c>
      <c r="CT78" s="2">
        <f t="shared" si="60"/>
        <v>0</v>
      </c>
      <c r="CU78" s="2">
        <f t="shared" si="61"/>
        <v>0</v>
      </c>
      <c r="CV78" s="2">
        <f t="shared" si="62"/>
        <v>0</v>
      </c>
      <c r="CW78" s="2">
        <f t="shared" si="63"/>
        <v>0</v>
      </c>
      <c r="CX78" s="2">
        <f t="shared" si="64"/>
        <v>0</v>
      </c>
      <c r="CY78" s="2">
        <f>(ROUND((((S78+ROUND((ROUND(((EU78)*AV78*1),2)*BS78),2))*AT78)/100),2)+ROUND(((ROUND((ROUND(((AE78-(EU78))*AV78*1),2)*BS78),2)*AT78)/100),2))</f>
        <v>0</v>
      </c>
      <c r="CZ78" s="2">
        <f>(ROUND((((S78+ROUND((ROUND(((EU78)*AV78*1),2)*BS78),2))*AU78)/100),2)+ROUND(((ROUND((ROUND(((AE78-(EU78))*AV78*1),2)*BS78),2)*AU78)/100),2))</f>
        <v>0</v>
      </c>
      <c r="DA78" s="2"/>
      <c r="DB78" s="2"/>
      <c r="DC78" s="2" t="s">
        <v>3</v>
      </c>
      <c r="DD78" s="2" t="s">
        <v>3</v>
      </c>
      <c r="DE78" s="2" t="s">
        <v>3</v>
      </c>
      <c r="DF78" s="2" t="s">
        <v>3</v>
      </c>
      <c r="DG78" s="2" t="s">
        <v>3</v>
      </c>
      <c r="DH78" s="2" t="s">
        <v>3</v>
      </c>
      <c r="DI78" s="2" t="s">
        <v>3</v>
      </c>
      <c r="DJ78" s="2" t="s">
        <v>3</v>
      </c>
      <c r="DK78" s="2" t="s">
        <v>3</v>
      </c>
      <c r="DL78" s="2" t="s">
        <v>3</v>
      </c>
      <c r="DM78" s="2" t="s">
        <v>3</v>
      </c>
      <c r="DN78" s="2">
        <v>0</v>
      </c>
      <c r="DO78" s="2">
        <v>0</v>
      </c>
      <c r="DP78" s="2">
        <v>1</v>
      </c>
      <c r="DQ78" s="2">
        <v>1</v>
      </c>
      <c r="DR78" s="2"/>
      <c r="DS78" s="2"/>
      <c r="DT78" s="2"/>
      <c r="DU78" s="2">
        <v>1009</v>
      </c>
      <c r="DV78" s="2" t="s">
        <v>70</v>
      </c>
      <c r="DW78" s="2" t="s">
        <v>70</v>
      </c>
      <c r="DX78" s="2">
        <v>1</v>
      </c>
      <c r="DY78" s="2"/>
      <c r="DZ78" s="2" t="s">
        <v>3</v>
      </c>
      <c r="EA78" s="2" t="s">
        <v>3</v>
      </c>
      <c r="EB78" s="2" t="s">
        <v>3</v>
      </c>
      <c r="EC78" s="2" t="s">
        <v>3</v>
      </c>
      <c r="ED78" s="2"/>
      <c r="EE78" s="2">
        <v>60088536</v>
      </c>
      <c r="EF78" s="2">
        <v>40</v>
      </c>
      <c r="EG78" s="2" t="s">
        <v>26</v>
      </c>
      <c r="EH78" s="2">
        <v>0</v>
      </c>
      <c r="EI78" s="2" t="s">
        <v>3</v>
      </c>
      <c r="EJ78" s="2">
        <v>2</v>
      </c>
      <c r="EK78" s="2">
        <v>72</v>
      </c>
      <c r="EL78" s="2" t="s">
        <v>52</v>
      </c>
      <c r="EM78" s="2" t="s">
        <v>53</v>
      </c>
      <c r="EN78" s="2"/>
      <c r="EO78" s="2" t="s">
        <v>29</v>
      </c>
      <c r="EP78" s="2"/>
      <c r="EQ78" s="2">
        <v>0</v>
      </c>
      <c r="ER78" s="2">
        <v>31.08</v>
      </c>
      <c r="ES78" s="2">
        <v>31.08</v>
      </c>
      <c r="ET78" s="2">
        <v>0</v>
      </c>
      <c r="EU78" s="2">
        <v>0</v>
      </c>
      <c r="EV78" s="2">
        <v>0</v>
      </c>
      <c r="EW78" s="2">
        <v>0</v>
      </c>
      <c r="EX78" s="2">
        <v>0</v>
      </c>
      <c r="EY78" s="2"/>
      <c r="EZ78" s="2"/>
      <c r="FA78" s="2"/>
      <c r="FB78" s="2"/>
      <c r="FC78" s="2"/>
      <c r="FD78" s="2"/>
      <c r="FE78" s="2"/>
      <c r="FF78" s="2"/>
      <c r="FG78" s="2"/>
      <c r="FH78" s="2"/>
      <c r="FI78" s="2"/>
      <c r="FJ78" s="2"/>
      <c r="FK78" s="2"/>
      <c r="FL78" s="2"/>
      <c r="FM78" s="2"/>
      <c r="FN78" s="2"/>
      <c r="FO78" s="2"/>
      <c r="FP78" s="2"/>
      <c r="FQ78" s="2">
        <v>0</v>
      </c>
      <c r="FR78" s="2">
        <v>0</v>
      </c>
      <c r="FS78" s="2">
        <v>0</v>
      </c>
      <c r="FT78" s="2"/>
      <c r="FU78" s="2"/>
      <c r="FV78" s="2"/>
      <c r="FW78" s="2"/>
      <c r="FX78" s="2">
        <v>90</v>
      </c>
      <c r="FY78" s="2">
        <v>46</v>
      </c>
      <c r="FZ78" s="2"/>
      <c r="GA78" s="2" t="s">
        <v>3</v>
      </c>
      <c r="GB78" s="2"/>
      <c r="GC78" s="2"/>
      <c r="GD78" s="2">
        <v>1</v>
      </c>
      <c r="GE78" s="2"/>
      <c r="GF78" s="2">
        <v>1143487818</v>
      </c>
      <c r="GG78" s="2">
        <v>2</v>
      </c>
      <c r="GH78" s="2">
        <v>1</v>
      </c>
      <c r="GI78" s="2">
        <v>-2</v>
      </c>
      <c r="GJ78" s="2">
        <v>0</v>
      </c>
      <c r="GK78" s="2">
        <v>0</v>
      </c>
      <c r="GL78" s="2">
        <f t="shared" si="65"/>
        <v>0</v>
      </c>
      <c r="GM78" s="2">
        <f t="shared" si="66"/>
        <v>1.0900000000000001</v>
      </c>
      <c r="GN78" s="2">
        <f t="shared" si="67"/>
        <v>0</v>
      </c>
      <c r="GO78" s="2">
        <f t="shared" si="68"/>
        <v>1.0900000000000001</v>
      </c>
      <c r="GP78" s="2">
        <f t="shared" si="69"/>
        <v>0</v>
      </c>
      <c r="GQ78" s="2"/>
      <c r="GR78" s="2">
        <v>0</v>
      </c>
      <c r="GS78" s="2">
        <v>3</v>
      </c>
      <c r="GT78" s="2">
        <v>0</v>
      </c>
      <c r="GU78" s="2" t="s">
        <v>3</v>
      </c>
      <c r="GV78" s="2">
        <f t="shared" si="70"/>
        <v>0</v>
      </c>
      <c r="GW78" s="2">
        <v>1</v>
      </c>
      <c r="GX78" s="2">
        <f t="shared" si="71"/>
        <v>0</v>
      </c>
      <c r="GY78" s="2"/>
      <c r="GZ78" s="2"/>
      <c r="HA78" s="2">
        <v>0</v>
      </c>
      <c r="HB78" s="2">
        <v>0</v>
      </c>
      <c r="HC78" s="2">
        <f t="shared" si="72"/>
        <v>0</v>
      </c>
      <c r="HD78" s="2"/>
      <c r="HE78" s="2" t="s">
        <v>3</v>
      </c>
      <c r="HF78" s="2" t="s">
        <v>3</v>
      </c>
      <c r="HG78" s="2"/>
      <c r="HH78" s="2"/>
      <c r="HI78" s="2"/>
      <c r="HJ78" s="2"/>
      <c r="HK78" s="2"/>
      <c r="HL78" s="2"/>
      <c r="HM78" s="2" t="s">
        <v>24</v>
      </c>
      <c r="HN78" s="2" t="s">
        <v>3</v>
      </c>
      <c r="HO78" s="2" t="s">
        <v>3</v>
      </c>
      <c r="HP78" s="2" t="s">
        <v>3</v>
      </c>
      <c r="HQ78" s="2" t="s">
        <v>3</v>
      </c>
      <c r="HR78" s="2"/>
      <c r="HS78" s="2">
        <v>0</v>
      </c>
      <c r="HT78" s="2"/>
      <c r="HU78" s="2"/>
      <c r="HV78" s="2"/>
      <c r="HW78" s="2"/>
      <c r="HX78" s="2"/>
      <c r="HY78" s="2"/>
      <c r="HZ78" s="2"/>
      <c r="IA78" s="2"/>
      <c r="IB78" s="2"/>
      <c r="IC78" s="2"/>
      <c r="ID78" s="2"/>
      <c r="IE78" s="2"/>
      <c r="IF78" s="2"/>
      <c r="IG78" s="2"/>
      <c r="IH78" s="2"/>
      <c r="II78" s="2"/>
      <c r="IJ78" s="2"/>
      <c r="IK78" s="2">
        <v>0</v>
      </c>
      <c r="IL78" s="2"/>
      <c r="IM78" s="2"/>
      <c r="IN78" s="2"/>
      <c r="IO78" s="2"/>
      <c r="IP78" s="2"/>
      <c r="IQ78" s="2"/>
      <c r="IR78" s="2"/>
      <c r="IS78" s="2"/>
      <c r="IT78" s="2"/>
      <c r="IU78" s="2"/>
    </row>
    <row r="79" spans="1:255" x14ac:dyDescent="0.2">
      <c r="A79" s="3">
        <v>18</v>
      </c>
      <c r="B79" s="3">
        <v>1</v>
      </c>
      <c r="C79" s="3">
        <v>64</v>
      </c>
      <c r="E79" s="3" t="s">
        <v>113</v>
      </c>
      <c r="F79" s="3" t="s">
        <v>68</v>
      </c>
      <c r="G79" s="3" t="s">
        <v>69</v>
      </c>
      <c r="H79" s="3" t="s">
        <v>70</v>
      </c>
      <c r="I79" s="3">
        <f>I77*J79</f>
        <v>3.5000000000000003E-2</v>
      </c>
      <c r="J79" s="3">
        <v>3.5000000000000003E-2</v>
      </c>
      <c r="K79" s="3">
        <v>3.5000000000000003E-2</v>
      </c>
      <c r="O79" s="3">
        <f t="shared" si="50"/>
        <v>5.58</v>
      </c>
      <c r="P79" s="3">
        <f t="shared" si="75"/>
        <v>5.58</v>
      </c>
      <c r="Q79" s="3">
        <f>(ROUND((ROUND(((ET79)*AV79*I79),2)*BB79),2)+ROUND((ROUND(((AE79-(EU79))*AV79*I79),2)*BS79),2))</f>
        <v>0</v>
      </c>
      <c r="R79" s="3">
        <f>(ROUND((ROUND(((EU79)*AV79*I79),2)*BS79),2)+ROUND((ROUND(((AE79-(EU79))*AV79*I79),2)*BS79),2))</f>
        <v>0</v>
      </c>
      <c r="S79" s="3">
        <f t="shared" si="51"/>
        <v>0</v>
      </c>
      <c r="T79" s="3">
        <f t="shared" si="52"/>
        <v>0</v>
      </c>
      <c r="U79" s="3">
        <f t="shared" si="53"/>
        <v>0</v>
      </c>
      <c r="V79" s="3">
        <f t="shared" si="54"/>
        <v>0</v>
      </c>
      <c r="W79" s="3">
        <f t="shared" si="55"/>
        <v>0</v>
      </c>
      <c r="X79" s="3">
        <f>(ROUND((((S79+ROUND((ROUND(((EU79)*AV79*I79),2)*BS79),2))*AT79)/100),2)+ROUND(((ROUND((ROUND(((AE79-(EU79))*AV79*I79),2)*BS79),2)*AT79)/100),2))</f>
        <v>0</v>
      </c>
      <c r="Y79" s="3">
        <f>(ROUND((((S79+ROUND((ROUND(((EU79)*AV79*I79),2)*BS79),2))*AU79)/100),2)+ROUND(((ROUND((ROUND(((AE79-(EU79))*AV79*I79),2)*BS79),2)*AU79)/100),2))</f>
        <v>0</v>
      </c>
      <c r="AA79" s="3">
        <v>60256402</v>
      </c>
      <c r="AB79" s="3">
        <f t="shared" si="56"/>
        <v>31.08</v>
      </c>
      <c r="AC79" s="3">
        <f>ROUND((ES79),6)</f>
        <v>31.08</v>
      </c>
      <c r="AD79" s="3">
        <f>ROUND((((ET79)-(EU79))+AE79),6)</f>
        <v>0</v>
      </c>
      <c r="AE79" s="3">
        <f t="shared" si="79"/>
        <v>0</v>
      </c>
      <c r="AF79" s="3">
        <f t="shared" si="79"/>
        <v>0</v>
      </c>
      <c r="AG79" s="3">
        <f t="shared" si="57"/>
        <v>0</v>
      </c>
      <c r="AH79" s="3">
        <f t="shared" si="80"/>
        <v>0</v>
      </c>
      <c r="AI79" s="3">
        <f t="shared" si="80"/>
        <v>0</v>
      </c>
      <c r="AJ79" s="3">
        <f t="shared" si="58"/>
        <v>0</v>
      </c>
      <c r="AK79" s="3">
        <v>31.08</v>
      </c>
      <c r="AL79" s="3">
        <v>31.08</v>
      </c>
      <c r="AM79" s="3">
        <v>0</v>
      </c>
      <c r="AN79" s="3">
        <v>0</v>
      </c>
      <c r="AO79" s="3">
        <v>0</v>
      </c>
      <c r="AP79" s="3">
        <v>0</v>
      </c>
      <c r="AQ79" s="3">
        <v>0</v>
      </c>
      <c r="AR79" s="3">
        <v>0</v>
      </c>
      <c r="AS79" s="3">
        <v>0</v>
      </c>
      <c r="AT79" s="3">
        <v>90</v>
      </c>
      <c r="AU79" s="3">
        <v>46</v>
      </c>
      <c r="AV79" s="3">
        <v>1</v>
      </c>
      <c r="AW79" s="3">
        <v>1</v>
      </c>
      <c r="AZ79" s="3">
        <v>1</v>
      </c>
      <c r="BA79" s="3">
        <v>1</v>
      </c>
      <c r="BB79" s="3">
        <v>1</v>
      </c>
      <c r="BC79" s="3">
        <v>5.12</v>
      </c>
      <c r="BD79" s="3" t="s">
        <v>3</v>
      </c>
      <c r="BE79" s="3" t="s">
        <v>3</v>
      </c>
      <c r="BF79" s="3" t="s">
        <v>3</v>
      </c>
      <c r="BG79" s="3" t="s">
        <v>3</v>
      </c>
      <c r="BH79" s="3">
        <v>3</v>
      </c>
      <c r="BI79" s="3">
        <v>2</v>
      </c>
      <c r="BJ79" s="3" t="s">
        <v>71</v>
      </c>
      <c r="BM79" s="3">
        <v>72</v>
      </c>
      <c r="BN79" s="3">
        <v>58973116</v>
      </c>
      <c r="BO79" s="3" t="s">
        <v>68</v>
      </c>
      <c r="BP79" s="3">
        <v>1</v>
      </c>
      <c r="BQ79" s="3">
        <v>40</v>
      </c>
      <c r="BR79" s="3">
        <v>0</v>
      </c>
      <c r="BS79" s="3">
        <v>1</v>
      </c>
      <c r="BT79" s="3">
        <v>1</v>
      </c>
      <c r="BU79" s="3">
        <v>1</v>
      </c>
      <c r="BV79" s="3">
        <v>1</v>
      </c>
      <c r="BW79" s="3">
        <v>1</v>
      </c>
      <c r="BX79" s="3">
        <v>1</v>
      </c>
      <c r="BY79" s="3" t="s">
        <v>3</v>
      </c>
      <c r="BZ79" s="3">
        <v>90</v>
      </c>
      <c r="CA79" s="3">
        <v>46</v>
      </c>
      <c r="CB79" s="3" t="s">
        <v>3</v>
      </c>
      <c r="CE79" s="3">
        <v>1566</v>
      </c>
      <c r="CF79" s="3">
        <v>0</v>
      </c>
      <c r="CG79" s="3">
        <v>0</v>
      </c>
      <c r="CM79" s="3">
        <v>0</v>
      </c>
      <c r="CN79" s="3" t="s">
        <v>369</v>
      </c>
      <c r="CO79" s="3">
        <v>0</v>
      </c>
      <c r="CP79" s="3">
        <f t="shared" si="59"/>
        <v>5.58</v>
      </c>
      <c r="CQ79" s="3">
        <f t="shared" si="76"/>
        <v>159.13</v>
      </c>
      <c r="CR79" s="3">
        <f>(ROUND((ROUND(((ET79)*AV79*1),2)*BB79),2)+ROUND((ROUND(((AE79-(EU79))*AV79*1),2)*BS79),2))</f>
        <v>0</v>
      </c>
      <c r="CS79" s="3">
        <f>(ROUND((ROUND(((EU79)*AV79*1),2)*BS79),2)+ROUND((ROUND(((AE79-(EU79))*AV79*1),2)*BS79),2))</f>
        <v>0</v>
      </c>
      <c r="CT79" s="3">
        <f t="shared" si="60"/>
        <v>0</v>
      </c>
      <c r="CU79" s="3">
        <f t="shared" si="61"/>
        <v>0</v>
      </c>
      <c r="CV79" s="3">
        <f t="shared" si="62"/>
        <v>0</v>
      </c>
      <c r="CW79" s="3">
        <f t="shared" si="63"/>
        <v>0</v>
      </c>
      <c r="CX79" s="3">
        <f t="shared" si="64"/>
        <v>0</v>
      </c>
      <c r="CY79" s="3">
        <f>(ROUND((((S79+ROUND((ROUND(((EU79)*AV79*1),2)*BS79),2))*AT79)/100),2)+ROUND(((ROUND((ROUND(((AE79-(EU79))*AV79*1),2)*BS79),2)*AT79)/100),2))</f>
        <v>0</v>
      </c>
      <c r="CZ79" s="3">
        <f>(ROUND((((S79+ROUND((ROUND(((EU79)*AV79*1),2)*BS79),2))*AU79)/100),2)+ROUND(((ROUND((ROUND(((AE79-(EU79))*AV79*1),2)*BS79),2)*AU79)/100),2))</f>
        <v>0</v>
      </c>
      <c r="DC79" s="3" t="s">
        <v>3</v>
      </c>
      <c r="DD79" s="3" t="s">
        <v>3</v>
      </c>
      <c r="DE79" s="3" t="s">
        <v>3</v>
      </c>
      <c r="DF79" s="3" t="s">
        <v>3</v>
      </c>
      <c r="DG79" s="3" t="s">
        <v>3</v>
      </c>
      <c r="DH79" s="3" t="s">
        <v>3</v>
      </c>
      <c r="DI79" s="3" t="s">
        <v>3</v>
      </c>
      <c r="DJ79" s="3" t="s">
        <v>3</v>
      </c>
      <c r="DK79" s="3" t="s">
        <v>3</v>
      </c>
      <c r="DL79" s="3" t="s">
        <v>3</v>
      </c>
      <c r="DM79" s="3" t="s">
        <v>3</v>
      </c>
      <c r="DN79" s="3">
        <v>0</v>
      </c>
      <c r="DO79" s="3">
        <v>0</v>
      </c>
      <c r="DP79" s="3">
        <v>1</v>
      </c>
      <c r="DQ79" s="3">
        <v>1</v>
      </c>
      <c r="DU79" s="3">
        <v>1009</v>
      </c>
      <c r="DV79" s="3" t="s">
        <v>70</v>
      </c>
      <c r="DW79" s="3" t="s">
        <v>70</v>
      </c>
      <c r="DX79" s="3">
        <v>1</v>
      </c>
      <c r="DZ79" s="3" t="s">
        <v>3</v>
      </c>
      <c r="EA79" s="3" t="s">
        <v>3</v>
      </c>
      <c r="EB79" s="3" t="s">
        <v>3</v>
      </c>
      <c r="EC79" s="3" t="s">
        <v>3</v>
      </c>
      <c r="EE79" s="3">
        <v>60088536</v>
      </c>
      <c r="EF79" s="3">
        <v>40</v>
      </c>
      <c r="EG79" s="3" t="s">
        <v>26</v>
      </c>
      <c r="EH79" s="3">
        <v>0</v>
      </c>
      <c r="EI79" s="3" t="s">
        <v>3</v>
      </c>
      <c r="EJ79" s="3">
        <v>2</v>
      </c>
      <c r="EK79" s="3">
        <v>72</v>
      </c>
      <c r="EL79" s="3" t="s">
        <v>52</v>
      </c>
      <c r="EM79" s="3" t="s">
        <v>53</v>
      </c>
      <c r="EO79" s="3" t="s">
        <v>29</v>
      </c>
      <c r="EQ79" s="3">
        <v>0</v>
      </c>
      <c r="ER79" s="3">
        <v>31.08</v>
      </c>
      <c r="ES79" s="3">
        <v>31.08</v>
      </c>
      <c r="ET79" s="3">
        <v>0</v>
      </c>
      <c r="EU79" s="3">
        <v>0</v>
      </c>
      <c r="EV79" s="3">
        <v>0</v>
      </c>
      <c r="EW79" s="3">
        <v>0</v>
      </c>
      <c r="EX79" s="3">
        <v>0</v>
      </c>
      <c r="FQ79" s="3">
        <v>0</v>
      </c>
      <c r="FR79" s="3">
        <v>0</v>
      </c>
      <c r="FS79" s="3">
        <v>0</v>
      </c>
      <c r="FX79" s="3">
        <v>90</v>
      </c>
      <c r="FY79" s="3">
        <v>46</v>
      </c>
      <c r="GA79" s="3" t="s">
        <v>3</v>
      </c>
      <c r="GD79" s="3">
        <v>1</v>
      </c>
      <c r="GF79" s="3">
        <v>1143487818</v>
      </c>
      <c r="GG79" s="3">
        <v>2</v>
      </c>
      <c r="GH79" s="3">
        <v>1</v>
      </c>
      <c r="GI79" s="3">
        <v>2</v>
      </c>
      <c r="GJ79" s="3">
        <v>0</v>
      </c>
      <c r="GK79" s="3">
        <v>0</v>
      </c>
      <c r="GL79" s="3">
        <f t="shared" si="65"/>
        <v>0</v>
      </c>
      <c r="GM79" s="3">
        <f t="shared" si="66"/>
        <v>5.58</v>
      </c>
      <c r="GN79" s="3">
        <f t="shared" si="67"/>
        <v>0</v>
      </c>
      <c r="GO79" s="3">
        <f t="shared" si="68"/>
        <v>5.58</v>
      </c>
      <c r="GP79" s="3">
        <f t="shared" si="69"/>
        <v>0</v>
      </c>
      <c r="GR79" s="3">
        <v>0</v>
      </c>
      <c r="GS79" s="3">
        <v>3</v>
      </c>
      <c r="GT79" s="3">
        <v>0</v>
      </c>
      <c r="GU79" s="3" t="s">
        <v>3</v>
      </c>
      <c r="GV79" s="3">
        <f t="shared" si="70"/>
        <v>0</v>
      </c>
      <c r="GW79" s="3">
        <v>1</v>
      </c>
      <c r="GX79" s="3">
        <f t="shared" si="71"/>
        <v>0</v>
      </c>
      <c r="HA79" s="3">
        <v>0</v>
      </c>
      <c r="HB79" s="3">
        <v>0</v>
      </c>
      <c r="HC79" s="3">
        <f t="shared" si="72"/>
        <v>0</v>
      </c>
      <c r="HE79" s="3" t="s">
        <v>3</v>
      </c>
      <c r="HF79" s="3" t="s">
        <v>3</v>
      </c>
      <c r="HM79" s="3" t="s">
        <v>24</v>
      </c>
      <c r="HN79" s="3" t="s">
        <v>3</v>
      </c>
      <c r="HO79" s="3" t="s">
        <v>3</v>
      </c>
      <c r="HP79" s="3" t="s">
        <v>3</v>
      </c>
      <c r="HQ79" s="3" t="s">
        <v>3</v>
      </c>
      <c r="HS79" s="3">
        <v>0</v>
      </c>
      <c r="IK79" s="3">
        <v>0</v>
      </c>
    </row>
    <row r="80" spans="1:255" x14ac:dyDescent="0.2">
      <c r="A80" s="2">
        <v>17</v>
      </c>
      <c r="B80" s="2">
        <v>1</v>
      </c>
      <c r="C80" s="2"/>
      <c r="D80" s="2"/>
      <c r="E80" s="2" t="s">
        <v>114</v>
      </c>
      <c r="F80" s="2" t="s">
        <v>115</v>
      </c>
      <c r="G80" s="2" t="s">
        <v>116</v>
      </c>
      <c r="H80" s="2" t="s">
        <v>33</v>
      </c>
      <c r="I80" s="2">
        <v>1</v>
      </c>
      <c r="J80" s="2">
        <v>0</v>
      </c>
      <c r="K80" s="2">
        <v>1</v>
      </c>
      <c r="L80" s="2"/>
      <c r="M80" s="2"/>
      <c r="N80" s="2"/>
      <c r="O80" s="2">
        <f t="shared" si="50"/>
        <v>306.45</v>
      </c>
      <c r="P80" s="2">
        <f t="shared" si="75"/>
        <v>306.45</v>
      </c>
      <c r="Q80" s="2">
        <f>(ROUND((ROUND(((ET80)*AV80*I80),2)*BB80),2)+ROUND((ROUND(((AE80-(EU80))*AV80*I80),2)*BS80),2))</f>
        <v>0</v>
      </c>
      <c r="R80" s="2">
        <f>(ROUND((ROUND(((EU80)*AV80*I80),2)*BS80),2)+ROUND((ROUND(((AE80-(EU80))*AV80*I80),2)*BS80),2))</f>
        <v>0</v>
      </c>
      <c r="S80" s="2">
        <f t="shared" si="51"/>
        <v>0</v>
      </c>
      <c r="T80" s="2">
        <f t="shared" si="52"/>
        <v>0</v>
      </c>
      <c r="U80" s="2">
        <f t="shared" si="53"/>
        <v>0</v>
      </c>
      <c r="V80" s="2">
        <f t="shared" si="54"/>
        <v>0</v>
      </c>
      <c r="W80" s="2">
        <f t="shared" si="55"/>
        <v>0</v>
      </c>
      <c r="X80" s="2">
        <f>(ROUND((((S80+ROUND((ROUND(((EU80)*AV80*I80),2)*BS80),2))*AT80)/100),2)+ROUND(((ROUND((ROUND(((AE80-(EU80))*AV80*I80),2)*BS80),2)*AT80)/100),2))</f>
        <v>0</v>
      </c>
      <c r="Y80" s="2">
        <f>(ROUND((((S80+ROUND((ROUND(((EU80)*AV80*I80),2)*BS80),2))*AU80)/100),2)+ROUND(((ROUND((ROUND(((AE80-(EU80))*AV80*I80),2)*BS80),2)*AU80)/100),2))</f>
        <v>0</v>
      </c>
      <c r="Z80" s="2"/>
      <c r="AA80" s="2">
        <v>60256405</v>
      </c>
      <c r="AB80" s="2">
        <f t="shared" si="56"/>
        <v>306.45</v>
      </c>
      <c r="AC80" s="2">
        <f>ROUND((ES80),6)</f>
        <v>306.45</v>
      </c>
      <c r="AD80" s="2">
        <f>ROUND((((ET80)-(EU80))+AE80),6)</f>
        <v>0</v>
      </c>
      <c r="AE80" s="2">
        <f t="shared" si="79"/>
        <v>0</v>
      </c>
      <c r="AF80" s="2">
        <f t="shared" si="79"/>
        <v>0</v>
      </c>
      <c r="AG80" s="2">
        <f t="shared" si="57"/>
        <v>0</v>
      </c>
      <c r="AH80" s="2">
        <f t="shared" si="80"/>
        <v>0</v>
      </c>
      <c r="AI80" s="2">
        <f t="shared" si="80"/>
        <v>0</v>
      </c>
      <c r="AJ80" s="2">
        <f t="shared" si="58"/>
        <v>0</v>
      </c>
      <c r="AK80" s="2">
        <v>306.45</v>
      </c>
      <c r="AL80" s="2">
        <v>306.45</v>
      </c>
      <c r="AM80" s="2">
        <v>0</v>
      </c>
      <c r="AN80" s="2">
        <v>0</v>
      </c>
      <c r="AO80" s="2">
        <v>0</v>
      </c>
      <c r="AP80" s="2">
        <v>0</v>
      </c>
      <c r="AQ80" s="2">
        <v>0</v>
      </c>
      <c r="AR80" s="2">
        <v>0</v>
      </c>
      <c r="AS80" s="2">
        <v>0</v>
      </c>
      <c r="AT80" s="2">
        <v>0</v>
      </c>
      <c r="AU80" s="2">
        <v>0</v>
      </c>
      <c r="AV80" s="2">
        <v>1</v>
      </c>
      <c r="AW80" s="2">
        <v>1</v>
      </c>
      <c r="AX80" s="2"/>
      <c r="AY80" s="2"/>
      <c r="AZ80" s="2">
        <v>1</v>
      </c>
      <c r="BA80" s="2">
        <v>1</v>
      </c>
      <c r="BB80" s="2">
        <v>1</v>
      </c>
      <c r="BC80" s="2">
        <v>1</v>
      </c>
      <c r="BD80" s="2" t="s">
        <v>3</v>
      </c>
      <c r="BE80" s="2" t="s">
        <v>3</v>
      </c>
      <c r="BF80" s="2" t="s">
        <v>3</v>
      </c>
      <c r="BG80" s="2" t="s">
        <v>3</v>
      </c>
      <c r="BH80" s="2">
        <v>3</v>
      </c>
      <c r="BI80" s="2">
        <v>2</v>
      </c>
      <c r="BJ80" s="2" t="s">
        <v>3</v>
      </c>
      <c r="BK80" s="2"/>
      <c r="BL80" s="2"/>
      <c r="BM80" s="2">
        <v>400002</v>
      </c>
      <c r="BN80" s="2">
        <v>0</v>
      </c>
      <c r="BO80" s="2" t="s">
        <v>3</v>
      </c>
      <c r="BP80" s="2">
        <v>0</v>
      </c>
      <c r="BQ80" s="2">
        <v>202</v>
      </c>
      <c r="BR80" s="2">
        <v>0</v>
      </c>
      <c r="BS80" s="2">
        <v>1</v>
      </c>
      <c r="BT80" s="2">
        <v>1</v>
      </c>
      <c r="BU80" s="2">
        <v>1</v>
      </c>
      <c r="BV80" s="2">
        <v>1</v>
      </c>
      <c r="BW80" s="2">
        <v>1</v>
      </c>
      <c r="BX80" s="2">
        <v>1</v>
      </c>
      <c r="BY80" s="2" t="s">
        <v>3</v>
      </c>
      <c r="BZ80" s="2">
        <v>0</v>
      </c>
      <c r="CA80" s="2">
        <v>0</v>
      </c>
      <c r="CB80" s="2" t="s">
        <v>3</v>
      </c>
      <c r="CC80" s="2"/>
      <c r="CD80" s="2"/>
      <c r="CE80" s="2">
        <v>1566</v>
      </c>
      <c r="CF80" s="2">
        <v>0</v>
      </c>
      <c r="CG80" s="2">
        <v>0</v>
      </c>
      <c r="CH80" s="2"/>
      <c r="CI80" s="2"/>
      <c r="CJ80" s="2"/>
      <c r="CK80" s="2"/>
      <c r="CL80" s="2"/>
      <c r="CM80" s="2">
        <v>0</v>
      </c>
      <c r="CN80" s="2" t="s">
        <v>3</v>
      </c>
      <c r="CO80" s="2">
        <v>0</v>
      </c>
      <c r="CP80" s="2">
        <f t="shared" si="59"/>
        <v>306.45</v>
      </c>
      <c r="CQ80" s="2">
        <f t="shared" si="76"/>
        <v>306.45</v>
      </c>
      <c r="CR80" s="2">
        <f>(ROUND((ROUND(((ET80)*AV80*1),2)*BB80),2)+ROUND((ROUND(((AE80-(EU80))*AV80*1),2)*BS80),2))</f>
        <v>0</v>
      </c>
      <c r="CS80" s="2">
        <f>(ROUND((ROUND(((EU80)*AV80*1),2)*BS80),2)+ROUND((ROUND(((AE80-(EU80))*AV80*1),2)*BS80),2))</f>
        <v>0</v>
      </c>
      <c r="CT80" s="2">
        <f t="shared" si="60"/>
        <v>0</v>
      </c>
      <c r="CU80" s="2">
        <f t="shared" si="61"/>
        <v>0</v>
      </c>
      <c r="CV80" s="2">
        <f t="shared" si="62"/>
        <v>0</v>
      </c>
      <c r="CW80" s="2">
        <f t="shared" si="63"/>
        <v>0</v>
      </c>
      <c r="CX80" s="2">
        <f t="shared" si="64"/>
        <v>0</v>
      </c>
      <c r="CY80" s="2">
        <f>(ROUND((((S80+ROUND((ROUND(((EU80)*AV80*1),2)*BS80),2))*AT80)/100),2)+ROUND(((ROUND((ROUND(((AE80-(EU80))*AV80*1),2)*BS80),2)*AT80)/100),2))</f>
        <v>0</v>
      </c>
      <c r="CZ80" s="2">
        <f>(ROUND((((S80+ROUND((ROUND(((EU80)*AV80*1),2)*BS80),2))*AU80)/100),2)+ROUND(((ROUND((ROUND(((AE80-(EU80))*AV80*1),2)*BS80),2)*AU80)/100),2))</f>
        <v>0</v>
      </c>
      <c r="DA80" s="2"/>
      <c r="DB80" s="2"/>
      <c r="DC80" s="2" t="s">
        <v>3</v>
      </c>
      <c r="DD80" s="2" t="s">
        <v>3</v>
      </c>
      <c r="DE80" s="2" t="s">
        <v>3</v>
      </c>
      <c r="DF80" s="2" t="s">
        <v>3</v>
      </c>
      <c r="DG80" s="2" t="s">
        <v>3</v>
      </c>
      <c r="DH80" s="2" t="s">
        <v>3</v>
      </c>
      <c r="DI80" s="2" t="s">
        <v>3</v>
      </c>
      <c r="DJ80" s="2" t="s">
        <v>3</v>
      </c>
      <c r="DK80" s="2" t="s">
        <v>3</v>
      </c>
      <c r="DL80" s="2" t="s">
        <v>3</v>
      </c>
      <c r="DM80" s="2" t="s">
        <v>3</v>
      </c>
      <c r="DN80" s="2">
        <v>0</v>
      </c>
      <c r="DO80" s="2">
        <v>0</v>
      </c>
      <c r="DP80" s="2">
        <v>1</v>
      </c>
      <c r="DQ80" s="2">
        <v>1</v>
      </c>
      <c r="DR80" s="2"/>
      <c r="DS80" s="2"/>
      <c r="DT80" s="2"/>
      <c r="DU80" s="2">
        <v>1010</v>
      </c>
      <c r="DV80" s="2" t="s">
        <v>33</v>
      </c>
      <c r="DW80" s="2" t="s">
        <v>33</v>
      </c>
      <c r="DX80" s="2">
        <v>1</v>
      </c>
      <c r="DY80" s="2"/>
      <c r="DZ80" s="2" t="s">
        <v>3</v>
      </c>
      <c r="EA80" s="2" t="s">
        <v>3</v>
      </c>
      <c r="EB80" s="2" t="s">
        <v>3</v>
      </c>
      <c r="EC80" s="2" t="s">
        <v>3</v>
      </c>
      <c r="ED80" s="2"/>
      <c r="EE80" s="2">
        <v>60088644</v>
      </c>
      <c r="EF80" s="2">
        <v>202</v>
      </c>
      <c r="EG80" s="2" t="s">
        <v>109</v>
      </c>
      <c r="EH80" s="2">
        <v>0</v>
      </c>
      <c r="EI80" s="2" t="s">
        <v>3</v>
      </c>
      <c r="EJ80" s="2">
        <v>1</v>
      </c>
      <c r="EK80" s="2">
        <v>400002</v>
      </c>
      <c r="EL80" s="2" t="s">
        <v>110</v>
      </c>
      <c r="EM80" s="2" t="s">
        <v>109</v>
      </c>
      <c r="EN80" s="2"/>
      <c r="EO80" s="2" t="s">
        <v>3</v>
      </c>
      <c r="EP80" s="2"/>
      <c r="EQ80" s="2">
        <v>0</v>
      </c>
      <c r="ER80" s="2">
        <v>0</v>
      </c>
      <c r="ES80" s="2">
        <v>306.45</v>
      </c>
      <c r="ET80" s="2">
        <v>0</v>
      </c>
      <c r="EU80" s="2">
        <v>0</v>
      </c>
      <c r="EV80" s="2">
        <v>0</v>
      </c>
      <c r="EW80" s="2">
        <v>0</v>
      </c>
      <c r="EX80" s="2">
        <v>0</v>
      </c>
      <c r="EY80" s="2">
        <v>0</v>
      </c>
      <c r="EZ80" s="2"/>
      <c r="FA80" s="2"/>
      <c r="FB80" s="2"/>
      <c r="FC80" s="2"/>
      <c r="FD80" s="2"/>
      <c r="FE80" s="2"/>
      <c r="FF80" s="2"/>
      <c r="FG80" s="2"/>
      <c r="FH80" s="2"/>
      <c r="FI80" s="2"/>
      <c r="FJ80" s="2"/>
      <c r="FK80" s="2"/>
      <c r="FL80" s="2"/>
      <c r="FM80" s="2"/>
      <c r="FN80" s="2"/>
      <c r="FO80" s="2"/>
      <c r="FP80" s="2"/>
      <c r="FQ80" s="2">
        <v>0</v>
      </c>
      <c r="FR80" s="2">
        <v>0</v>
      </c>
      <c r="FS80" s="2">
        <v>0</v>
      </c>
      <c r="FT80" s="2"/>
      <c r="FU80" s="2"/>
      <c r="FV80" s="2"/>
      <c r="FW80" s="2"/>
      <c r="FX80" s="2">
        <v>0</v>
      </c>
      <c r="FY80" s="2">
        <v>0</v>
      </c>
      <c r="FZ80" s="2"/>
      <c r="GA80" s="2" t="s">
        <v>117</v>
      </c>
      <c r="GB80" s="2"/>
      <c r="GC80" s="2"/>
      <c r="GD80" s="2">
        <v>1</v>
      </c>
      <c r="GE80" s="2"/>
      <c r="GF80" s="2">
        <v>-1847221045</v>
      </c>
      <c r="GG80" s="2">
        <v>2</v>
      </c>
      <c r="GH80" s="2">
        <v>4</v>
      </c>
      <c r="GI80" s="2">
        <v>-2</v>
      </c>
      <c r="GJ80" s="2">
        <v>0</v>
      </c>
      <c r="GK80" s="2">
        <v>0</v>
      </c>
      <c r="GL80" s="2">
        <f t="shared" si="65"/>
        <v>0</v>
      </c>
      <c r="GM80" s="2">
        <f t="shared" si="66"/>
        <v>306.45</v>
      </c>
      <c r="GN80" s="2">
        <f t="shared" si="67"/>
        <v>0</v>
      </c>
      <c r="GO80" s="2">
        <f t="shared" si="68"/>
        <v>306.45</v>
      </c>
      <c r="GP80" s="2">
        <f t="shared" si="69"/>
        <v>0</v>
      </c>
      <c r="GQ80" s="2"/>
      <c r="GR80" s="2">
        <v>0</v>
      </c>
      <c r="GS80" s="2">
        <v>2</v>
      </c>
      <c r="GT80" s="2">
        <v>0</v>
      </c>
      <c r="GU80" s="2" t="s">
        <v>3</v>
      </c>
      <c r="GV80" s="2">
        <f t="shared" si="70"/>
        <v>0</v>
      </c>
      <c r="GW80" s="2">
        <v>1</v>
      </c>
      <c r="GX80" s="2">
        <f t="shared" si="71"/>
        <v>0</v>
      </c>
      <c r="GY80" s="2"/>
      <c r="GZ80" s="2"/>
      <c r="HA80" s="2">
        <v>0</v>
      </c>
      <c r="HB80" s="2">
        <v>0</v>
      </c>
      <c r="HC80" s="2">
        <f t="shared" si="72"/>
        <v>0</v>
      </c>
      <c r="HD80" s="2"/>
      <c r="HE80" s="2" t="s">
        <v>35</v>
      </c>
      <c r="HF80" s="2" t="s">
        <v>30</v>
      </c>
      <c r="HG80" s="2"/>
      <c r="HH80" s="2"/>
      <c r="HI80" s="2"/>
      <c r="HJ80" s="2"/>
      <c r="HK80" s="2"/>
      <c r="HL80" s="2"/>
      <c r="HM80" s="2" t="s">
        <v>3</v>
      </c>
      <c r="HN80" s="2" t="s">
        <v>3</v>
      </c>
      <c r="HO80" s="2" t="s">
        <v>3</v>
      </c>
      <c r="HP80" s="2" t="s">
        <v>3</v>
      </c>
      <c r="HQ80" s="2" t="s">
        <v>3</v>
      </c>
      <c r="HR80" s="2"/>
      <c r="HS80" s="2">
        <v>0</v>
      </c>
      <c r="HT80" s="2"/>
      <c r="HU80" s="2"/>
      <c r="HV80" s="2"/>
      <c r="HW80" s="2"/>
      <c r="HX80" s="2"/>
      <c r="HY80" s="2"/>
      <c r="HZ80" s="2"/>
      <c r="IA80" s="2"/>
      <c r="IB80" s="2"/>
      <c r="IC80" s="2"/>
      <c r="ID80" s="2"/>
      <c r="IE80" s="2"/>
      <c r="IF80" s="2"/>
      <c r="IG80" s="2"/>
      <c r="IH80" s="2"/>
      <c r="II80" s="2"/>
      <c r="IJ80" s="2"/>
      <c r="IK80" s="2">
        <v>0</v>
      </c>
      <c r="IL80" s="2"/>
      <c r="IM80" s="2"/>
      <c r="IN80" s="2"/>
      <c r="IO80" s="2"/>
      <c r="IP80" s="2"/>
      <c r="IQ80" s="2"/>
      <c r="IR80" s="2"/>
      <c r="IS80" s="2"/>
      <c r="IT80" s="2"/>
      <c r="IU80" s="2"/>
    </row>
    <row r="81" spans="1:255" x14ac:dyDescent="0.2">
      <c r="A81" s="3">
        <v>17</v>
      </c>
      <c r="B81" s="3">
        <v>1</v>
      </c>
      <c r="E81" s="3" t="s">
        <v>114</v>
      </c>
      <c r="F81" s="3" t="s">
        <v>115</v>
      </c>
      <c r="G81" s="3" t="s">
        <v>116</v>
      </c>
      <c r="H81" s="3" t="s">
        <v>33</v>
      </c>
      <c r="I81" s="3">
        <v>1</v>
      </c>
      <c r="J81" s="3">
        <v>0</v>
      </c>
      <c r="K81" s="3">
        <v>1</v>
      </c>
      <c r="O81" s="3">
        <f t="shared" si="50"/>
        <v>3027.73</v>
      </c>
      <c r="P81" s="3">
        <f t="shared" si="75"/>
        <v>3027.73</v>
      </c>
      <c r="Q81" s="3">
        <f>(ROUND((ROUND(((ET81)*AV81*I81),2)*BB81),2)+ROUND((ROUND(((AE81-(EU81))*AV81*I81),2)*BS81),2))</f>
        <v>0</v>
      </c>
      <c r="R81" s="3">
        <f>(ROUND((ROUND(((EU81)*AV81*I81),2)*BS81),2)+ROUND((ROUND(((AE81-(EU81))*AV81*I81),2)*BS81),2))</f>
        <v>0</v>
      </c>
      <c r="S81" s="3">
        <f t="shared" si="51"/>
        <v>0</v>
      </c>
      <c r="T81" s="3">
        <f t="shared" si="52"/>
        <v>0</v>
      </c>
      <c r="U81" s="3">
        <f t="shared" si="53"/>
        <v>0</v>
      </c>
      <c r="V81" s="3">
        <f t="shared" si="54"/>
        <v>0</v>
      </c>
      <c r="W81" s="3">
        <f t="shared" si="55"/>
        <v>0</v>
      </c>
      <c r="X81" s="3">
        <f>(ROUND((((S81+ROUND((ROUND(((EU81)*AV81*I81),2)*BS81),2))*AT81)/100),2)+ROUND(((ROUND((ROUND(((AE81-(EU81))*AV81*I81),2)*BS81),2)*AT81)/100),2))</f>
        <v>0</v>
      </c>
      <c r="Y81" s="3">
        <f>(ROUND((((S81+ROUND((ROUND(((EU81)*AV81*I81),2)*BS81),2))*AU81)/100),2)+ROUND(((ROUND((ROUND(((AE81-(EU81))*AV81*I81),2)*BS81),2)*AU81)/100),2))</f>
        <v>0</v>
      </c>
      <c r="AA81" s="3">
        <v>60256402</v>
      </c>
      <c r="AB81" s="3">
        <f t="shared" si="56"/>
        <v>306.45</v>
      </c>
      <c r="AC81" s="3">
        <f>ROUND((ES81),6)</f>
        <v>306.45</v>
      </c>
      <c r="AD81" s="3">
        <f>ROUND((((ET81)-(EU81))+AE81),6)</f>
        <v>0</v>
      </c>
      <c r="AE81" s="3">
        <f t="shared" si="79"/>
        <v>0</v>
      </c>
      <c r="AF81" s="3">
        <f t="shared" si="79"/>
        <v>0</v>
      </c>
      <c r="AG81" s="3">
        <f t="shared" si="57"/>
        <v>0</v>
      </c>
      <c r="AH81" s="3">
        <f t="shared" si="80"/>
        <v>0</v>
      </c>
      <c r="AI81" s="3">
        <f t="shared" si="80"/>
        <v>0</v>
      </c>
      <c r="AJ81" s="3">
        <f t="shared" si="58"/>
        <v>0</v>
      </c>
      <c r="AK81" s="3">
        <v>306.45</v>
      </c>
      <c r="AL81" s="3">
        <v>306.45</v>
      </c>
      <c r="AM81" s="3">
        <v>0</v>
      </c>
      <c r="AN81" s="3">
        <v>0</v>
      </c>
      <c r="AO81" s="3">
        <v>0</v>
      </c>
      <c r="AP81" s="3">
        <v>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3">
        <v>1</v>
      </c>
      <c r="AW81" s="3">
        <v>1</v>
      </c>
      <c r="AZ81" s="3">
        <v>1</v>
      </c>
      <c r="BA81" s="3">
        <v>1</v>
      </c>
      <c r="BB81" s="3">
        <v>1</v>
      </c>
      <c r="BC81" s="3">
        <v>9.8800000000000008</v>
      </c>
      <c r="BD81" s="3" t="s">
        <v>3</v>
      </c>
      <c r="BE81" s="3" t="s">
        <v>3</v>
      </c>
      <c r="BF81" s="3" t="s">
        <v>3</v>
      </c>
      <c r="BG81" s="3" t="s">
        <v>3</v>
      </c>
      <c r="BH81" s="3">
        <v>3</v>
      </c>
      <c r="BI81" s="3">
        <v>2</v>
      </c>
      <c r="BJ81" s="3" t="s">
        <v>3</v>
      </c>
      <c r="BM81" s="3">
        <v>400002</v>
      </c>
      <c r="BN81" s="3">
        <v>0</v>
      </c>
      <c r="BO81" s="3" t="s">
        <v>3</v>
      </c>
      <c r="BP81" s="3">
        <v>0</v>
      </c>
      <c r="BQ81" s="3">
        <v>202</v>
      </c>
      <c r="BR81" s="3">
        <v>0</v>
      </c>
      <c r="BS81" s="3">
        <v>1</v>
      </c>
      <c r="BT81" s="3">
        <v>1</v>
      </c>
      <c r="BU81" s="3">
        <v>1</v>
      </c>
      <c r="BV81" s="3">
        <v>1</v>
      </c>
      <c r="BW81" s="3">
        <v>1</v>
      </c>
      <c r="BX81" s="3">
        <v>1</v>
      </c>
      <c r="BY81" s="3" t="s">
        <v>3</v>
      </c>
      <c r="BZ81" s="3">
        <v>0</v>
      </c>
      <c r="CA81" s="3">
        <v>0</v>
      </c>
      <c r="CB81" s="3" t="s">
        <v>3</v>
      </c>
      <c r="CE81" s="3">
        <v>1566</v>
      </c>
      <c r="CF81" s="3">
        <v>0</v>
      </c>
      <c r="CG81" s="3">
        <v>0</v>
      </c>
      <c r="CM81" s="3">
        <v>0</v>
      </c>
      <c r="CN81" s="3" t="s">
        <v>3</v>
      </c>
      <c r="CO81" s="3">
        <v>0</v>
      </c>
      <c r="CP81" s="3">
        <f t="shared" si="59"/>
        <v>3027.73</v>
      </c>
      <c r="CQ81" s="3">
        <f t="shared" si="76"/>
        <v>3027.73</v>
      </c>
      <c r="CR81" s="3">
        <f>(ROUND((ROUND(((ET81)*AV81*1),2)*BB81),2)+ROUND((ROUND(((AE81-(EU81))*AV81*1),2)*BS81),2))</f>
        <v>0</v>
      </c>
      <c r="CS81" s="3">
        <f>(ROUND((ROUND(((EU81)*AV81*1),2)*BS81),2)+ROUND((ROUND(((AE81-(EU81))*AV81*1),2)*BS81),2))</f>
        <v>0</v>
      </c>
      <c r="CT81" s="3">
        <f t="shared" si="60"/>
        <v>0</v>
      </c>
      <c r="CU81" s="3">
        <f t="shared" si="61"/>
        <v>0</v>
      </c>
      <c r="CV81" s="3">
        <f t="shared" si="62"/>
        <v>0</v>
      </c>
      <c r="CW81" s="3">
        <f t="shared" si="63"/>
        <v>0</v>
      </c>
      <c r="CX81" s="3">
        <f t="shared" si="64"/>
        <v>0</v>
      </c>
      <c r="CY81" s="3">
        <f>(ROUND((((S81+ROUND((ROUND(((EU81)*AV81*1),2)*BS81),2))*AT81)/100),2)+ROUND(((ROUND((ROUND(((AE81-(EU81))*AV81*1),2)*BS81),2)*AT81)/100),2))</f>
        <v>0</v>
      </c>
      <c r="CZ81" s="3">
        <f>(ROUND((((S81+ROUND((ROUND(((EU81)*AV81*1),2)*BS81),2))*AU81)/100),2)+ROUND(((ROUND((ROUND(((AE81-(EU81))*AV81*1),2)*BS81),2)*AU81)/100),2))</f>
        <v>0</v>
      </c>
      <c r="DC81" s="3" t="s">
        <v>3</v>
      </c>
      <c r="DD81" s="3" t="s">
        <v>3</v>
      </c>
      <c r="DE81" s="3" t="s">
        <v>3</v>
      </c>
      <c r="DF81" s="3" t="s">
        <v>3</v>
      </c>
      <c r="DG81" s="3" t="s">
        <v>3</v>
      </c>
      <c r="DH81" s="3" t="s">
        <v>3</v>
      </c>
      <c r="DI81" s="3" t="s">
        <v>3</v>
      </c>
      <c r="DJ81" s="3" t="s">
        <v>3</v>
      </c>
      <c r="DK81" s="3" t="s">
        <v>3</v>
      </c>
      <c r="DL81" s="3" t="s">
        <v>3</v>
      </c>
      <c r="DM81" s="3" t="s">
        <v>3</v>
      </c>
      <c r="DN81" s="3">
        <v>0</v>
      </c>
      <c r="DO81" s="3">
        <v>0</v>
      </c>
      <c r="DP81" s="3">
        <v>1</v>
      </c>
      <c r="DQ81" s="3">
        <v>1</v>
      </c>
      <c r="DU81" s="3">
        <v>1010</v>
      </c>
      <c r="DV81" s="3" t="s">
        <v>33</v>
      </c>
      <c r="DW81" s="3" t="s">
        <v>33</v>
      </c>
      <c r="DX81" s="3">
        <v>1</v>
      </c>
      <c r="DZ81" s="3" t="s">
        <v>3</v>
      </c>
      <c r="EA81" s="3" t="s">
        <v>3</v>
      </c>
      <c r="EB81" s="3" t="s">
        <v>3</v>
      </c>
      <c r="EC81" s="3" t="s">
        <v>3</v>
      </c>
      <c r="EE81" s="3">
        <v>60088644</v>
      </c>
      <c r="EF81" s="3">
        <v>202</v>
      </c>
      <c r="EG81" s="3" t="s">
        <v>109</v>
      </c>
      <c r="EH81" s="3">
        <v>0</v>
      </c>
      <c r="EI81" s="3" t="s">
        <v>3</v>
      </c>
      <c r="EJ81" s="3">
        <v>1</v>
      </c>
      <c r="EK81" s="3">
        <v>400002</v>
      </c>
      <c r="EL81" s="3" t="s">
        <v>110</v>
      </c>
      <c r="EM81" s="3" t="s">
        <v>109</v>
      </c>
      <c r="EO81" s="3" t="s">
        <v>3</v>
      </c>
      <c r="EQ81" s="3">
        <v>0</v>
      </c>
      <c r="ER81" s="3">
        <v>403.93</v>
      </c>
      <c r="ES81" s="3">
        <v>306.45</v>
      </c>
      <c r="ET81" s="3">
        <v>0</v>
      </c>
      <c r="EU81" s="3">
        <v>0</v>
      </c>
      <c r="EV81" s="3">
        <v>0</v>
      </c>
      <c r="EW81" s="3">
        <v>0</v>
      </c>
      <c r="EX81" s="3">
        <v>0</v>
      </c>
      <c r="EY81" s="3">
        <v>0</v>
      </c>
      <c r="EZ81" s="3">
        <v>5</v>
      </c>
      <c r="FC81" s="3">
        <v>1</v>
      </c>
      <c r="FD81" s="3">
        <v>18</v>
      </c>
      <c r="FF81" s="3">
        <v>3562</v>
      </c>
      <c r="FQ81" s="3">
        <v>0</v>
      </c>
      <c r="FR81" s="3">
        <v>0</v>
      </c>
      <c r="FS81" s="3">
        <v>0</v>
      </c>
      <c r="FX81" s="3">
        <v>0</v>
      </c>
      <c r="FY81" s="3">
        <v>0</v>
      </c>
      <c r="GA81" s="3" t="s">
        <v>117</v>
      </c>
      <c r="GD81" s="3">
        <v>1</v>
      </c>
      <c r="GF81" s="3">
        <v>-1847221045</v>
      </c>
      <c r="GG81" s="3">
        <v>2</v>
      </c>
      <c r="GH81" s="3">
        <v>3</v>
      </c>
      <c r="GI81" s="3">
        <v>5</v>
      </c>
      <c r="GJ81" s="3">
        <v>0</v>
      </c>
      <c r="GK81" s="3">
        <v>0</v>
      </c>
      <c r="GL81" s="3">
        <f t="shared" si="65"/>
        <v>0</v>
      </c>
      <c r="GM81" s="3">
        <f t="shared" si="66"/>
        <v>3027.73</v>
      </c>
      <c r="GN81" s="3">
        <f t="shared" si="67"/>
        <v>0</v>
      </c>
      <c r="GO81" s="3">
        <f t="shared" si="68"/>
        <v>3027.73</v>
      </c>
      <c r="GP81" s="3">
        <f t="shared" si="69"/>
        <v>0</v>
      </c>
      <c r="GR81" s="3">
        <v>1</v>
      </c>
      <c r="GS81" s="3">
        <v>1</v>
      </c>
      <c r="GT81" s="3">
        <v>0</v>
      </c>
      <c r="GU81" s="3" t="s">
        <v>3</v>
      </c>
      <c r="GV81" s="3">
        <f t="shared" si="70"/>
        <v>0</v>
      </c>
      <c r="GW81" s="3">
        <v>1</v>
      </c>
      <c r="GX81" s="3">
        <f t="shared" si="71"/>
        <v>0</v>
      </c>
      <c r="HA81" s="3">
        <v>0</v>
      </c>
      <c r="HB81" s="3">
        <v>0</v>
      </c>
      <c r="HC81" s="3">
        <f t="shared" si="72"/>
        <v>0</v>
      </c>
      <c r="HE81" s="3" t="s">
        <v>35</v>
      </c>
      <c r="HF81" s="3" t="s">
        <v>30</v>
      </c>
      <c r="HM81" s="3" t="s">
        <v>3</v>
      </c>
      <c r="HN81" s="3" t="s">
        <v>3</v>
      </c>
      <c r="HO81" s="3" t="s">
        <v>3</v>
      </c>
      <c r="HP81" s="3" t="s">
        <v>3</v>
      </c>
      <c r="HQ81" s="3" t="s">
        <v>3</v>
      </c>
      <c r="HS81" s="3">
        <v>0</v>
      </c>
      <c r="IK81" s="3">
        <v>0</v>
      </c>
    </row>
    <row r="82" spans="1:255" x14ac:dyDescent="0.2">
      <c r="A82" s="2">
        <v>17</v>
      </c>
      <c r="B82" s="2">
        <v>1</v>
      </c>
      <c r="C82" s="2">
        <f>ROW(SmtRes!A66)</f>
        <v>66</v>
      </c>
      <c r="D82" s="2">
        <f>ROW(EtalonRes!A87)</f>
        <v>87</v>
      </c>
      <c r="E82" s="2" t="s">
        <v>118</v>
      </c>
      <c r="F82" s="2" t="s">
        <v>64</v>
      </c>
      <c r="G82" s="2" t="s">
        <v>65</v>
      </c>
      <c r="H82" s="2" t="s">
        <v>22</v>
      </c>
      <c r="I82" s="2">
        <v>2</v>
      </c>
      <c r="J82" s="2">
        <v>0</v>
      </c>
      <c r="K82" s="2">
        <v>2</v>
      </c>
      <c r="L82" s="2"/>
      <c r="M82" s="2"/>
      <c r="N82" s="2"/>
      <c r="O82" s="2">
        <f t="shared" si="50"/>
        <v>15.55</v>
      </c>
      <c r="P82" s="2">
        <f t="shared" si="75"/>
        <v>0</v>
      </c>
      <c r="Q82" s="2">
        <f>(ROUND((ROUND((((ET82*1.1))*AV82*I82),2)*BB82),2)+ROUND((ROUND(((AE82-((EU82*1.1)))*AV82*I82),2)*BS82),2))</f>
        <v>0</v>
      </c>
      <c r="R82" s="2">
        <f>(ROUND((ROUND((((EU82*1.1))*AV82*I82),2)*BS82),2)+ROUND((ROUND(((AE82-((EU82*1.1)))*AV82*I82),2)*BS82),2))</f>
        <v>0</v>
      </c>
      <c r="S82" s="2">
        <f t="shared" si="51"/>
        <v>15.55</v>
      </c>
      <c r="T82" s="2">
        <f t="shared" si="52"/>
        <v>0</v>
      </c>
      <c r="U82" s="2">
        <f t="shared" si="53"/>
        <v>1.1977679999999999</v>
      </c>
      <c r="V82" s="2">
        <f t="shared" si="54"/>
        <v>0</v>
      </c>
      <c r="W82" s="2">
        <f t="shared" si="55"/>
        <v>0</v>
      </c>
      <c r="X82" s="2">
        <f>(ROUND((((S82+ROUND((ROUND((((EU82*1.1))*AV82*I82),2)*BS82),2))*AT82)/100),2)+ROUND(((ROUND((ROUND(((AE82-((EU82*1.1)))*AV82*I82),2)*BS82),2)*AT82)/100),2))</f>
        <v>14</v>
      </c>
      <c r="Y82" s="2">
        <f>(ROUND((((S82+ROUND((ROUND((((EU82*1.1))*AV82*I82),2)*BS82),2))*AU82)/100),2)+ROUND(((ROUND((ROUND(((AE82-((EU82*1.1)))*AV82*I82),2)*BS82),2)*AU82)/100),2))</f>
        <v>7.15</v>
      </c>
      <c r="Z82" s="2"/>
      <c r="AA82" s="2">
        <v>60256405</v>
      </c>
      <c r="AB82" s="2">
        <f t="shared" si="56"/>
        <v>7.4249999999999998</v>
      </c>
      <c r="AC82" s="2">
        <f>ROUND(((ES82*1)),6)</f>
        <v>0</v>
      </c>
      <c r="AD82" s="2">
        <f>ROUND(((((ET82*1.1))-((EU82*1.1)))+AE82),6)</f>
        <v>0</v>
      </c>
      <c r="AE82" s="2">
        <f>ROUND(((EU82*1.1)),6)</f>
        <v>0</v>
      </c>
      <c r="AF82" s="2">
        <f>ROUND(((EV82*1.1)),6)</f>
        <v>7.4249999999999998</v>
      </c>
      <c r="AG82" s="2">
        <f t="shared" si="57"/>
        <v>0</v>
      </c>
      <c r="AH82" s="2">
        <f>((EW82*1.1))</f>
        <v>0.57200000000000006</v>
      </c>
      <c r="AI82" s="2">
        <f>((EX82*1.1))</f>
        <v>0</v>
      </c>
      <c r="AJ82" s="2">
        <f t="shared" si="58"/>
        <v>0</v>
      </c>
      <c r="AK82" s="2">
        <v>6.75</v>
      </c>
      <c r="AL82" s="2">
        <v>0</v>
      </c>
      <c r="AM82" s="2">
        <v>0</v>
      </c>
      <c r="AN82" s="2">
        <v>0</v>
      </c>
      <c r="AO82" s="2">
        <v>6.75</v>
      </c>
      <c r="AP82" s="2">
        <v>0</v>
      </c>
      <c r="AQ82" s="2">
        <v>0.52</v>
      </c>
      <c r="AR82" s="2">
        <v>0</v>
      </c>
      <c r="AS82" s="2">
        <v>0</v>
      </c>
      <c r="AT82" s="2">
        <v>90</v>
      </c>
      <c r="AU82" s="2">
        <v>46</v>
      </c>
      <c r="AV82" s="2">
        <v>1.0469999999999999</v>
      </c>
      <c r="AW82" s="2">
        <v>1</v>
      </c>
      <c r="AX82" s="2"/>
      <c r="AY82" s="2"/>
      <c r="AZ82" s="2">
        <v>1</v>
      </c>
      <c r="BA82" s="2">
        <v>1</v>
      </c>
      <c r="BB82" s="2">
        <v>1</v>
      </c>
      <c r="BC82" s="2">
        <v>1</v>
      </c>
      <c r="BD82" s="2" t="s">
        <v>3</v>
      </c>
      <c r="BE82" s="2" t="s">
        <v>3</v>
      </c>
      <c r="BF82" s="2" t="s">
        <v>3</v>
      </c>
      <c r="BG82" s="2" t="s">
        <v>3</v>
      </c>
      <c r="BH82" s="2">
        <v>0</v>
      </c>
      <c r="BI82" s="2">
        <v>2</v>
      </c>
      <c r="BJ82" s="2" t="s">
        <v>66</v>
      </c>
      <c r="BK82" s="2"/>
      <c r="BL82" s="2"/>
      <c r="BM82" s="2">
        <v>72</v>
      </c>
      <c r="BN82" s="2">
        <v>58973116</v>
      </c>
      <c r="BO82" s="2" t="s">
        <v>64</v>
      </c>
      <c r="BP82" s="2">
        <v>1</v>
      </c>
      <c r="BQ82" s="2">
        <v>40</v>
      </c>
      <c r="BR82" s="2">
        <v>0</v>
      </c>
      <c r="BS82" s="2">
        <v>1</v>
      </c>
      <c r="BT82" s="2">
        <v>1</v>
      </c>
      <c r="BU82" s="2">
        <v>1</v>
      </c>
      <c r="BV82" s="2">
        <v>1</v>
      </c>
      <c r="BW82" s="2">
        <v>1</v>
      </c>
      <c r="BX82" s="2">
        <v>1</v>
      </c>
      <c r="BY82" s="2" t="s">
        <v>3</v>
      </c>
      <c r="BZ82" s="2">
        <v>90</v>
      </c>
      <c r="CA82" s="2">
        <v>46</v>
      </c>
      <c r="CB82" s="2" t="s">
        <v>3</v>
      </c>
      <c r="CC82" s="2"/>
      <c r="CD82" s="2"/>
      <c r="CE82" s="2">
        <v>1566</v>
      </c>
      <c r="CF82" s="2">
        <v>0</v>
      </c>
      <c r="CG82" s="2">
        <v>0</v>
      </c>
      <c r="CH82" s="2"/>
      <c r="CI82" s="2"/>
      <c r="CJ82" s="2"/>
      <c r="CK82" s="2"/>
      <c r="CL82" s="2"/>
      <c r="CM82" s="2">
        <v>0</v>
      </c>
      <c r="CN82" s="2" t="s">
        <v>369</v>
      </c>
      <c r="CO82" s="2">
        <v>0</v>
      </c>
      <c r="CP82" s="2">
        <f t="shared" si="59"/>
        <v>15.55</v>
      </c>
      <c r="CQ82" s="2">
        <f t="shared" si="76"/>
        <v>0</v>
      </c>
      <c r="CR82" s="2">
        <f>(ROUND((ROUND((((ET82*1.1))*AV82*1),2)*BB82),2)+ROUND((ROUND(((AE82-((EU82*1.1)))*AV82*1),2)*BS82),2))</f>
        <v>0</v>
      </c>
      <c r="CS82" s="2">
        <f>(ROUND((ROUND((((EU82*1.1))*AV82*1),2)*BS82),2)+ROUND((ROUND(((AE82-((EU82*1.1)))*AV82*1),2)*BS82),2))</f>
        <v>0</v>
      </c>
      <c r="CT82" s="2">
        <f t="shared" si="60"/>
        <v>7.77</v>
      </c>
      <c r="CU82" s="2">
        <f t="shared" si="61"/>
        <v>0</v>
      </c>
      <c r="CV82" s="2">
        <f t="shared" si="62"/>
        <v>0.59888399999999997</v>
      </c>
      <c r="CW82" s="2">
        <f t="shared" si="63"/>
        <v>0</v>
      </c>
      <c r="CX82" s="2">
        <f t="shared" si="64"/>
        <v>0</v>
      </c>
      <c r="CY82" s="2">
        <f>(ROUND((((S82+ROUND((ROUND((((EU82*1.1))*AV82*1),2)*BS82),2))*AT82)/100),2)+ROUND(((ROUND((ROUND(((AE82-((EU82*1.1)))*AV82*1),2)*BS82),2)*AT82)/100),2))</f>
        <v>14</v>
      </c>
      <c r="CZ82" s="2">
        <f>(ROUND((((S82+ROUND((ROUND((((EU82*1.1))*AV82*1),2)*BS82),2))*AU82)/100),2)+ROUND(((ROUND((ROUND(((AE82-((EU82*1.1)))*AV82*1),2)*BS82),2)*AU82)/100),2))</f>
        <v>7.15</v>
      </c>
      <c r="DA82" s="2"/>
      <c r="DB82" s="2">
        <v>23</v>
      </c>
      <c r="DC82" s="2" t="s">
        <v>3</v>
      </c>
      <c r="DD82" s="2" t="s">
        <v>24</v>
      </c>
      <c r="DE82" s="2" t="s">
        <v>25</v>
      </c>
      <c r="DF82" s="2" t="s">
        <v>25</v>
      </c>
      <c r="DG82" s="2" t="s">
        <v>25</v>
      </c>
      <c r="DH82" s="2" t="s">
        <v>3</v>
      </c>
      <c r="DI82" s="2" t="s">
        <v>25</v>
      </c>
      <c r="DJ82" s="2" t="s">
        <v>25</v>
      </c>
      <c r="DK82" s="2" t="s">
        <v>3</v>
      </c>
      <c r="DL82" s="2" t="s">
        <v>3</v>
      </c>
      <c r="DM82" s="2" t="s">
        <v>3</v>
      </c>
      <c r="DN82" s="2">
        <v>0</v>
      </c>
      <c r="DO82" s="2">
        <v>0</v>
      </c>
      <c r="DP82" s="2">
        <v>1</v>
      </c>
      <c r="DQ82" s="2">
        <v>1</v>
      </c>
      <c r="DR82" s="2"/>
      <c r="DS82" s="2"/>
      <c r="DT82" s="2"/>
      <c r="DU82" s="2">
        <v>1013</v>
      </c>
      <c r="DV82" s="2" t="s">
        <v>22</v>
      </c>
      <c r="DW82" s="2" t="s">
        <v>22</v>
      </c>
      <c r="DX82" s="2">
        <v>1</v>
      </c>
      <c r="DY82" s="2"/>
      <c r="DZ82" s="2" t="s">
        <v>3</v>
      </c>
      <c r="EA82" s="2" t="s">
        <v>3</v>
      </c>
      <c r="EB82" s="2" t="s">
        <v>3</v>
      </c>
      <c r="EC82" s="2" t="s">
        <v>3</v>
      </c>
      <c r="ED82" s="2"/>
      <c r="EE82" s="2">
        <v>60088536</v>
      </c>
      <c r="EF82" s="2">
        <v>40</v>
      </c>
      <c r="EG82" s="2" t="s">
        <v>26</v>
      </c>
      <c r="EH82" s="2">
        <v>0</v>
      </c>
      <c r="EI82" s="2" t="s">
        <v>3</v>
      </c>
      <c r="EJ82" s="2">
        <v>2</v>
      </c>
      <c r="EK82" s="2">
        <v>72</v>
      </c>
      <c r="EL82" s="2" t="s">
        <v>52</v>
      </c>
      <c r="EM82" s="2" t="s">
        <v>53</v>
      </c>
      <c r="EN82" s="2"/>
      <c r="EO82" s="2" t="s">
        <v>29</v>
      </c>
      <c r="EP82" s="2"/>
      <c r="EQ82" s="2">
        <v>0</v>
      </c>
      <c r="ER82" s="2">
        <v>6.75</v>
      </c>
      <c r="ES82" s="2">
        <v>0</v>
      </c>
      <c r="ET82" s="2">
        <v>0</v>
      </c>
      <c r="EU82" s="2">
        <v>0</v>
      </c>
      <c r="EV82" s="2">
        <v>6.75</v>
      </c>
      <c r="EW82" s="2">
        <v>0.52</v>
      </c>
      <c r="EX82" s="2">
        <v>0</v>
      </c>
      <c r="EY82" s="2">
        <v>0</v>
      </c>
      <c r="EZ82" s="2"/>
      <c r="FA82" s="2"/>
      <c r="FB82" s="2"/>
      <c r="FC82" s="2"/>
      <c r="FD82" s="2"/>
      <c r="FE82" s="2"/>
      <c r="FF82" s="2"/>
      <c r="FG82" s="2"/>
      <c r="FH82" s="2"/>
      <c r="FI82" s="2"/>
      <c r="FJ82" s="2"/>
      <c r="FK82" s="2"/>
      <c r="FL82" s="2"/>
      <c r="FM82" s="2"/>
      <c r="FN82" s="2"/>
      <c r="FO82" s="2"/>
      <c r="FP82" s="2"/>
      <c r="FQ82" s="2">
        <v>0</v>
      </c>
      <c r="FR82" s="2">
        <v>0</v>
      </c>
      <c r="FS82" s="2">
        <v>0</v>
      </c>
      <c r="FT82" s="2"/>
      <c r="FU82" s="2"/>
      <c r="FV82" s="2"/>
      <c r="FW82" s="2"/>
      <c r="FX82" s="2">
        <v>90</v>
      </c>
      <c r="FY82" s="2">
        <v>46</v>
      </c>
      <c r="FZ82" s="2"/>
      <c r="GA82" s="2" t="s">
        <v>3</v>
      </c>
      <c r="GB82" s="2"/>
      <c r="GC82" s="2"/>
      <c r="GD82" s="2">
        <v>1</v>
      </c>
      <c r="GE82" s="2"/>
      <c r="GF82" s="2">
        <v>338415528</v>
      </c>
      <c r="GG82" s="2">
        <v>2</v>
      </c>
      <c r="GH82" s="2">
        <v>1</v>
      </c>
      <c r="GI82" s="2">
        <v>2</v>
      </c>
      <c r="GJ82" s="2">
        <v>0</v>
      </c>
      <c r="GK82" s="2">
        <v>0</v>
      </c>
      <c r="GL82" s="2">
        <f t="shared" si="65"/>
        <v>0</v>
      </c>
      <c r="GM82" s="2">
        <f t="shared" si="66"/>
        <v>36.700000000000003</v>
      </c>
      <c r="GN82" s="2">
        <f t="shared" si="67"/>
        <v>0</v>
      </c>
      <c r="GO82" s="2">
        <f t="shared" si="68"/>
        <v>36.700000000000003</v>
      </c>
      <c r="GP82" s="2">
        <f t="shared" si="69"/>
        <v>0</v>
      </c>
      <c r="GQ82" s="2"/>
      <c r="GR82" s="2">
        <v>0</v>
      </c>
      <c r="GS82" s="2">
        <v>3</v>
      </c>
      <c r="GT82" s="2">
        <v>0</v>
      </c>
      <c r="GU82" s="2" t="s">
        <v>3</v>
      </c>
      <c r="GV82" s="2">
        <f t="shared" si="70"/>
        <v>0</v>
      </c>
      <c r="GW82" s="2">
        <v>1</v>
      </c>
      <c r="GX82" s="2">
        <f t="shared" si="71"/>
        <v>0</v>
      </c>
      <c r="GY82" s="2"/>
      <c r="GZ82" s="2"/>
      <c r="HA82" s="2">
        <v>0</v>
      </c>
      <c r="HB82" s="2">
        <v>0</v>
      </c>
      <c r="HC82" s="2">
        <f t="shared" si="72"/>
        <v>0</v>
      </c>
      <c r="HD82" s="2"/>
      <c r="HE82" s="2" t="s">
        <v>3</v>
      </c>
      <c r="HF82" s="2" t="s">
        <v>3</v>
      </c>
      <c r="HG82" s="2"/>
      <c r="HH82" s="2"/>
      <c r="HI82" s="2"/>
      <c r="HJ82" s="2"/>
      <c r="HK82" s="2"/>
      <c r="HL82" s="2"/>
      <c r="HM82" s="2" t="s">
        <v>3</v>
      </c>
      <c r="HN82" s="2" t="s">
        <v>3</v>
      </c>
      <c r="HO82" s="2" t="s">
        <v>3</v>
      </c>
      <c r="HP82" s="2" t="s">
        <v>3</v>
      </c>
      <c r="HQ82" s="2" t="s">
        <v>3</v>
      </c>
      <c r="HR82" s="2"/>
      <c r="HS82" s="2">
        <v>0</v>
      </c>
      <c r="HT82" s="2"/>
      <c r="HU82" s="2"/>
      <c r="HV82" s="2"/>
      <c r="HW82" s="2"/>
      <c r="HX82" s="2"/>
      <c r="HY82" s="2"/>
      <c r="HZ82" s="2"/>
      <c r="IA82" s="2"/>
      <c r="IB82" s="2"/>
      <c r="IC82" s="2"/>
      <c r="ID82" s="2"/>
      <c r="IE82" s="2"/>
      <c r="IF82" s="2"/>
      <c r="IG82" s="2"/>
      <c r="IH82" s="2"/>
      <c r="II82" s="2"/>
      <c r="IJ82" s="2"/>
      <c r="IK82" s="2">
        <v>0</v>
      </c>
      <c r="IL82" s="2"/>
      <c r="IM82" s="2"/>
      <c r="IN82" s="2"/>
      <c r="IO82" s="2"/>
      <c r="IP82" s="2"/>
      <c r="IQ82" s="2"/>
      <c r="IR82" s="2"/>
      <c r="IS82" s="2"/>
      <c r="IT82" s="2"/>
      <c r="IU82" s="2"/>
    </row>
    <row r="83" spans="1:255" x14ac:dyDescent="0.2">
      <c r="A83" s="3">
        <v>17</v>
      </c>
      <c r="B83" s="3">
        <v>1</v>
      </c>
      <c r="C83" s="3">
        <f>ROW(SmtRes!A68)</f>
        <v>68</v>
      </c>
      <c r="D83" s="3">
        <f>ROW(EtalonRes!A90)</f>
        <v>90</v>
      </c>
      <c r="E83" s="3" t="s">
        <v>118</v>
      </c>
      <c r="F83" s="3" t="s">
        <v>64</v>
      </c>
      <c r="G83" s="3" t="s">
        <v>65</v>
      </c>
      <c r="H83" s="3" t="s">
        <v>22</v>
      </c>
      <c r="I83" s="3">
        <v>2</v>
      </c>
      <c r="J83" s="3">
        <v>0</v>
      </c>
      <c r="K83" s="3">
        <v>2</v>
      </c>
      <c r="O83" s="3">
        <f t="shared" si="50"/>
        <v>855.09</v>
      </c>
      <c r="P83" s="3">
        <f t="shared" si="75"/>
        <v>0</v>
      </c>
      <c r="Q83" s="3">
        <f>(ROUND((ROUND((((ET83*1.1))*AV83*I83),2)*BB83),2)+ROUND((ROUND(((AE83-((EU83*1.1)))*AV83*I83),2)*BS83),2))</f>
        <v>0</v>
      </c>
      <c r="R83" s="3">
        <f>(ROUND((ROUND((((EU83*1.1))*AV83*I83),2)*BS83),2)+ROUND((ROUND(((AE83-((EU83*1.1)))*AV83*I83),2)*BS83),2))</f>
        <v>0</v>
      </c>
      <c r="S83" s="3">
        <f t="shared" si="51"/>
        <v>855.09</v>
      </c>
      <c r="T83" s="3">
        <f t="shared" si="52"/>
        <v>0</v>
      </c>
      <c r="U83" s="3">
        <f t="shared" si="53"/>
        <v>1.1977679999999999</v>
      </c>
      <c r="V83" s="3">
        <f t="shared" si="54"/>
        <v>0</v>
      </c>
      <c r="W83" s="3">
        <f t="shared" si="55"/>
        <v>0</v>
      </c>
      <c r="X83" s="3">
        <f>(ROUND((((S83+ROUND((ROUND((((EU83*1.1))*AV83*I83),2)*BS83),2))*AT83)/100),2)+ROUND(((ROUND((ROUND(((AE83-((EU83*1.1)))*AV83*I83),2)*BS83),2)*AT83)/100),2))</f>
        <v>769.58</v>
      </c>
      <c r="Y83" s="3">
        <f>(ROUND((((S83+ROUND((ROUND((((EU83*1.1))*AV83*I83),2)*BS83),2))*AU83)/100),2)+ROUND(((ROUND((ROUND(((AE83-((EU83*1.1)))*AV83*I83),2)*BS83),2)*AU83)/100),2))</f>
        <v>393.34</v>
      </c>
      <c r="AA83" s="3">
        <v>60256402</v>
      </c>
      <c r="AB83" s="3">
        <f t="shared" si="56"/>
        <v>7.4249999999999998</v>
      </c>
      <c r="AC83" s="3">
        <f>ROUND(((ES83*1)),6)</f>
        <v>0</v>
      </c>
      <c r="AD83" s="3">
        <f>ROUND(((((ET83*1.1))-((EU83*1.1)))+AE83),6)</f>
        <v>0</v>
      </c>
      <c r="AE83" s="3">
        <f>ROUND(((EU83*1.1)),6)</f>
        <v>0</v>
      </c>
      <c r="AF83" s="3">
        <f>ROUND(((EV83*1.1)),6)</f>
        <v>7.4249999999999998</v>
      </c>
      <c r="AG83" s="3">
        <f t="shared" si="57"/>
        <v>0</v>
      </c>
      <c r="AH83" s="3">
        <f>((EW83*1.1))</f>
        <v>0.57200000000000006</v>
      </c>
      <c r="AI83" s="3">
        <f>((EX83*1.1))</f>
        <v>0</v>
      </c>
      <c r="AJ83" s="3">
        <f t="shared" si="58"/>
        <v>0</v>
      </c>
      <c r="AK83" s="3">
        <v>6.75</v>
      </c>
      <c r="AL83" s="3">
        <v>0</v>
      </c>
      <c r="AM83" s="3">
        <v>0</v>
      </c>
      <c r="AN83" s="3">
        <v>0</v>
      </c>
      <c r="AO83" s="3">
        <v>6.75</v>
      </c>
      <c r="AP83" s="3">
        <v>0</v>
      </c>
      <c r="AQ83" s="3">
        <v>0.52</v>
      </c>
      <c r="AR83" s="3">
        <v>0</v>
      </c>
      <c r="AS83" s="3">
        <v>0</v>
      </c>
      <c r="AT83" s="3">
        <v>90</v>
      </c>
      <c r="AU83" s="3">
        <v>46</v>
      </c>
      <c r="AV83" s="3">
        <v>1.0469999999999999</v>
      </c>
      <c r="AW83" s="3">
        <v>1</v>
      </c>
      <c r="AZ83" s="3">
        <v>1</v>
      </c>
      <c r="BA83" s="3">
        <v>54.99</v>
      </c>
      <c r="BB83" s="3">
        <v>1</v>
      </c>
      <c r="BC83" s="3">
        <v>1</v>
      </c>
      <c r="BD83" s="3" t="s">
        <v>3</v>
      </c>
      <c r="BE83" s="3" t="s">
        <v>3</v>
      </c>
      <c r="BF83" s="3" t="s">
        <v>3</v>
      </c>
      <c r="BG83" s="3" t="s">
        <v>3</v>
      </c>
      <c r="BH83" s="3">
        <v>0</v>
      </c>
      <c r="BI83" s="3">
        <v>2</v>
      </c>
      <c r="BJ83" s="3" t="s">
        <v>66</v>
      </c>
      <c r="BM83" s="3">
        <v>72</v>
      </c>
      <c r="BN83" s="3">
        <v>58973116</v>
      </c>
      <c r="BO83" s="3" t="s">
        <v>64</v>
      </c>
      <c r="BP83" s="3">
        <v>1</v>
      </c>
      <c r="BQ83" s="3">
        <v>40</v>
      </c>
      <c r="BR83" s="3">
        <v>0</v>
      </c>
      <c r="BS83" s="3">
        <v>54.99</v>
      </c>
      <c r="BT83" s="3">
        <v>1</v>
      </c>
      <c r="BU83" s="3">
        <v>1</v>
      </c>
      <c r="BV83" s="3">
        <v>1</v>
      </c>
      <c r="BW83" s="3">
        <v>1</v>
      </c>
      <c r="BX83" s="3">
        <v>1</v>
      </c>
      <c r="BY83" s="3" t="s">
        <v>3</v>
      </c>
      <c r="BZ83" s="3">
        <v>90</v>
      </c>
      <c r="CA83" s="3">
        <v>46</v>
      </c>
      <c r="CB83" s="3" t="s">
        <v>3</v>
      </c>
      <c r="CE83" s="3">
        <v>1566</v>
      </c>
      <c r="CF83" s="3">
        <v>0</v>
      </c>
      <c r="CG83" s="3">
        <v>0</v>
      </c>
      <c r="CM83" s="3">
        <v>0</v>
      </c>
      <c r="CN83" s="3" t="s">
        <v>369</v>
      </c>
      <c r="CO83" s="3">
        <v>0</v>
      </c>
      <c r="CP83" s="3">
        <f t="shared" si="59"/>
        <v>855.09</v>
      </c>
      <c r="CQ83" s="3">
        <f t="shared" si="76"/>
        <v>0</v>
      </c>
      <c r="CR83" s="3">
        <f>(ROUND((ROUND((((ET83*1.1))*AV83*1),2)*BB83),2)+ROUND((ROUND(((AE83-((EU83*1.1)))*AV83*1),2)*BS83),2))</f>
        <v>0</v>
      </c>
      <c r="CS83" s="3">
        <f>(ROUND((ROUND((((EU83*1.1))*AV83*1),2)*BS83),2)+ROUND((ROUND(((AE83-((EU83*1.1)))*AV83*1),2)*BS83),2))</f>
        <v>0</v>
      </c>
      <c r="CT83" s="3">
        <f t="shared" si="60"/>
        <v>427.27</v>
      </c>
      <c r="CU83" s="3">
        <f t="shared" si="61"/>
        <v>0</v>
      </c>
      <c r="CV83" s="3">
        <f t="shared" si="62"/>
        <v>0.59888399999999997</v>
      </c>
      <c r="CW83" s="3">
        <f t="shared" si="63"/>
        <v>0</v>
      </c>
      <c r="CX83" s="3">
        <f t="shared" si="64"/>
        <v>0</v>
      </c>
      <c r="CY83" s="3">
        <f>(ROUND((((S83+ROUND((ROUND((((EU83*1.1))*AV83*1),2)*BS83),2))*AT83)/100),2)+ROUND(((ROUND((ROUND(((AE83-((EU83*1.1)))*AV83*1),2)*BS83),2)*AT83)/100),2))</f>
        <v>769.58</v>
      </c>
      <c r="CZ83" s="3">
        <f>(ROUND((((S83+ROUND((ROUND((((EU83*1.1))*AV83*1),2)*BS83),2))*AU83)/100),2)+ROUND(((ROUND((ROUND(((AE83-((EU83*1.1)))*AV83*1),2)*BS83),2)*AU83)/100),2))</f>
        <v>393.34</v>
      </c>
      <c r="DB83" s="3">
        <v>24</v>
      </c>
      <c r="DC83" s="3" t="s">
        <v>3</v>
      </c>
      <c r="DD83" s="3" t="s">
        <v>24</v>
      </c>
      <c r="DE83" s="3" t="s">
        <v>25</v>
      </c>
      <c r="DF83" s="3" t="s">
        <v>25</v>
      </c>
      <c r="DG83" s="3" t="s">
        <v>25</v>
      </c>
      <c r="DH83" s="3" t="s">
        <v>3</v>
      </c>
      <c r="DI83" s="3" t="s">
        <v>25</v>
      </c>
      <c r="DJ83" s="3" t="s">
        <v>25</v>
      </c>
      <c r="DK83" s="3" t="s">
        <v>3</v>
      </c>
      <c r="DL83" s="3" t="s">
        <v>3</v>
      </c>
      <c r="DM83" s="3" t="s">
        <v>3</v>
      </c>
      <c r="DN83" s="3">
        <v>0</v>
      </c>
      <c r="DO83" s="3">
        <v>0</v>
      </c>
      <c r="DP83" s="3">
        <v>1</v>
      </c>
      <c r="DQ83" s="3">
        <v>1</v>
      </c>
      <c r="DU83" s="3">
        <v>1013</v>
      </c>
      <c r="DV83" s="3" t="s">
        <v>22</v>
      </c>
      <c r="DW83" s="3" t="s">
        <v>22</v>
      </c>
      <c r="DX83" s="3">
        <v>1</v>
      </c>
      <c r="DZ83" s="3" t="s">
        <v>3</v>
      </c>
      <c r="EA83" s="3" t="s">
        <v>3</v>
      </c>
      <c r="EB83" s="3" t="s">
        <v>3</v>
      </c>
      <c r="EC83" s="3" t="s">
        <v>3</v>
      </c>
      <c r="EE83" s="3">
        <v>60088536</v>
      </c>
      <c r="EF83" s="3">
        <v>40</v>
      </c>
      <c r="EG83" s="3" t="s">
        <v>26</v>
      </c>
      <c r="EH83" s="3">
        <v>0</v>
      </c>
      <c r="EI83" s="3" t="s">
        <v>3</v>
      </c>
      <c r="EJ83" s="3">
        <v>2</v>
      </c>
      <c r="EK83" s="3">
        <v>72</v>
      </c>
      <c r="EL83" s="3" t="s">
        <v>52</v>
      </c>
      <c r="EM83" s="3" t="s">
        <v>53</v>
      </c>
      <c r="EO83" s="3" t="s">
        <v>29</v>
      </c>
      <c r="EQ83" s="3">
        <v>0</v>
      </c>
      <c r="ER83" s="3">
        <v>6.75</v>
      </c>
      <c r="ES83" s="3">
        <v>0</v>
      </c>
      <c r="ET83" s="3">
        <v>0</v>
      </c>
      <c r="EU83" s="3">
        <v>0</v>
      </c>
      <c r="EV83" s="3">
        <v>6.75</v>
      </c>
      <c r="EW83" s="3">
        <v>0.52</v>
      </c>
      <c r="EX83" s="3">
        <v>0</v>
      </c>
      <c r="EY83" s="3">
        <v>0</v>
      </c>
      <c r="FQ83" s="3">
        <v>0</v>
      </c>
      <c r="FR83" s="3">
        <v>0</v>
      </c>
      <c r="FS83" s="3">
        <v>0</v>
      </c>
      <c r="FX83" s="3">
        <v>90</v>
      </c>
      <c r="FY83" s="3">
        <v>46</v>
      </c>
      <c r="GA83" s="3" t="s">
        <v>3</v>
      </c>
      <c r="GD83" s="3">
        <v>1</v>
      </c>
      <c r="GF83" s="3">
        <v>338415528</v>
      </c>
      <c r="GG83" s="3">
        <v>2</v>
      </c>
      <c r="GH83" s="3">
        <v>1</v>
      </c>
      <c r="GI83" s="3">
        <v>2</v>
      </c>
      <c r="GJ83" s="3">
        <v>0</v>
      </c>
      <c r="GK83" s="3">
        <v>0</v>
      </c>
      <c r="GL83" s="3">
        <f t="shared" si="65"/>
        <v>0</v>
      </c>
      <c r="GM83" s="3">
        <f t="shared" si="66"/>
        <v>2018.01</v>
      </c>
      <c r="GN83" s="3">
        <f t="shared" si="67"/>
        <v>0</v>
      </c>
      <c r="GO83" s="3">
        <f t="shared" si="68"/>
        <v>2018.01</v>
      </c>
      <c r="GP83" s="3">
        <f t="shared" si="69"/>
        <v>0</v>
      </c>
      <c r="GR83" s="3">
        <v>0</v>
      </c>
      <c r="GS83" s="3">
        <v>3</v>
      </c>
      <c r="GT83" s="3">
        <v>0</v>
      </c>
      <c r="GU83" s="3" t="s">
        <v>3</v>
      </c>
      <c r="GV83" s="3">
        <f t="shared" si="70"/>
        <v>0</v>
      </c>
      <c r="GW83" s="3">
        <v>1</v>
      </c>
      <c r="GX83" s="3">
        <f t="shared" si="71"/>
        <v>0</v>
      </c>
      <c r="HA83" s="3">
        <v>0</v>
      </c>
      <c r="HB83" s="3">
        <v>0</v>
      </c>
      <c r="HC83" s="3">
        <f t="shared" si="72"/>
        <v>0</v>
      </c>
      <c r="HE83" s="3" t="s">
        <v>3</v>
      </c>
      <c r="HF83" s="3" t="s">
        <v>3</v>
      </c>
      <c r="HM83" s="3" t="s">
        <v>3</v>
      </c>
      <c r="HN83" s="3" t="s">
        <v>3</v>
      </c>
      <c r="HO83" s="3" t="s">
        <v>3</v>
      </c>
      <c r="HP83" s="3" t="s">
        <v>3</v>
      </c>
      <c r="HQ83" s="3" t="s">
        <v>3</v>
      </c>
      <c r="HS83" s="3">
        <v>0</v>
      </c>
      <c r="IK83" s="3">
        <v>0</v>
      </c>
    </row>
    <row r="84" spans="1:255" x14ac:dyDescent="0.2">
      <c r="A84" s="2">
        <v>18</v>
      </c>
      <c r="B84" s="2">
        <v>1</v>
      </c>
      <c r="C84" s="2">
        <v>66</v>
      </c>
      <c r="D84" s="2"/>
      <c r="E84" s="2" t="s">
        <v>119</v>
      </c>
      <c r="F84" s="2" t="s">
        <v>68</v>
      </c>
      <c r="G84" s="2" t="s">
        <v>69</v>
      </c>
      <c r="H84" s="2" t="s">
        <v>70</v>
      </c>
      <c r="I84" s="2">
        <f>I82*J84</f>
        <v>7.0000000000000007E-2</v>
      </c>
      <c r="J84" s="2">
        <v>3.5000000000000003E-2</v>
      </c>
      <c r="K84" s="2">
        <v>3.5000000000000003E-2</v>
      </c>
      <c r="L84" s="2"/>
      <c r="M84" s="2"/>
      <c r="N84" s="2"/>
      <c r="O84" s="2">
        <f t="shared" si="50"/>
        <v>2.1800000000000002</v>
      </c>
      <c r="P84" s="2">
        <f t="shared" si="75"/>
        <v>2.1800000000000002</v>
      </c>
      <c r="Q84" s="2">
        <f t="shared" ref="Q84:Q91" si="81">(ROUND((ROUND(((ET84)*AV84*I84),2)*BB84),2)+ROUND((ROUND(((AE84-(EU84))*AV84*I84),2)*BS84),2))</f>
        <v>0</v>
      </c>
      <c r="R84" s="2">
        <f t="shared" ref="R84:R91" si="82">(ROUND((ROUND(((EU84)*AV84*I84),2)*BS84),2)+ROUND((ROUND(((AE84-(EU84))*AV84*I84),2)*BS84),2))</f>
        <v>0</v>
      </c>
      <c r="S84" s="2">
        <f t="shared" si="51"/>
        <v>0</v>
      </c>
      <c r="T84" s="2">
        <f t="shared" si="52"/>
        <v>0</v>
      </c>
      <c r="U84" s="2">
        <f t="shared" si="53"/>
        <v>0</v>
      </c>
      <c r="V84" s="2">
        <f t="shared" si="54"/>
        <v>0</v>
      </c>
      <c r="W84" s="2">
        <f t="shared" si="55"/>
        <v>0</v>
      </c>
      <c r="X84" s="2">
        <f t="shared" ref="X84:X91" si="83">(ROUND((((S84+ROUND((ROUND(((EU84)*AV84*I84),2)*BS84),2))*AT84)/100),2)+ROUND(((ROUND((ROUND(((AE84-(EU84))*AV84*I84),2)*BS84),2)*AT84)/100),2))</f>
        <v>0</v>
      </c>
      <c r="Y84" s="2">
        <f t="shared" ref="Y84:Y91" si="84">(ROUND((((S84+ROUND((ROUND(((EU84)*AV84*I84),2)*BS84),2))*AU84)/100),2)+ROUND(((ROUND((ROUND(((AE84-(EU84))*AV84*I84),2)*BS84),2)*AU84)/100),2))</f>
        <v>0</v>
      </c>
      <c r="Z84" s="2"/>
      <c r="AA84" s="2">
        <v>60256405</v>
      </c>
      <c r="AB84" s="2">
        <f t="shared" si="56"/>
        <v>31.08</v>
      </c>
      <c r="AC84" s="2">
        <f t="shared" ref="AC84:AC91" si="85">ROUND((ES84),6)</f>
        <v>31.08</v>
      </c>
      <c r="AD84" s="2">
        <f t="shared" ref="AD84:AD91" si="86">ROUND((((ET84)-(EU84))+AE84),6)</f>
        <v>0</v>
      </c>
      <c r="AE84" s="2">
        <f t="shared" ref="AE84:AF91" si="87">ROUND((EU84),6)</f>
        <v>0</v>
      </c>
      <c r="AF84" s="2">
        <f t="shared" si="87"/>
        <v>0</v>
      </c>
      <c r="AG84" s="2">
        <f t="shared" si="57"/>
        <v>0</v>
      </c>
      <c r="AH84" s="2">
        <f t="shared" ref="AH84:AI91" si="88">(EW84)</f>
        <v>0</v>
      </c>
      <c r="AI84" s="2">
        <f t="shared" si="88"/>
        <v>0</v>
      </c>
      <c r="AJ84" s="2">
        <f t="shared" si="58"/>
        <v>0</v>
      </c>
      <c r="AK84" s="2">
        <v>31.08</v>
      </c>
      <c r="AL84" s="2">
        <v>31.08</v>
      </c>
      <c r="AM84" s="2">
        <v>0</v>
      </c>
      <c r="AN84" s="2">
        <v>0</v>
      </c>
      <c r="AO84" s="2">
        <v>0</v>
      </c>
      <c r="AP84" s="2">
        <v>0</v>
      </c>
      <c r="AQ84" s="2">
        <v>0</v>
      </c>
      <c r="AR84" s="2">
        <v>0</v>
      </c>
      <c r="AS84" s="2">
        <v>0</v>
      </c>
      <c r="AT84" s="2">
        <v>90</v>
      </c>
      <c r="AU84" s="2">
        <v>46</v>
      </c>
      <c r="AV84" s="2">
        <v>1</v>
      </c>
      <c r="AW84" s="2">
        <v>1</v>
      </c>
      <c r="AX84" s="2"/>
      <c r="AY84" s="2"/>
      <c r="AZ84" s="2">
        <v>1</v>
      </c>
      <c r="BA84" s="2">
        <v>1</v>
      </c>
      <c r="BB84" s="2">
        <v>1</v>
      </c>
      <c r="BC84" s="2">
        <v>1</v>
      </c>
      <c r="BD84" s="2" t="s">
        <v>3</v>
      </c>
      <c r="BE84" s="2" t="s">
        <v>3</v>
      </c>
      <c r="BF84" s="2" t="s">
        <v>3</v>
      </c>
      <c r="BG84" s="2" t="s">
        <v>3</v>
      </c>
      <c r="BH84" s="2">
        <v>3</v>
      </c>
      <c r="BI84" s="2">
        <v>2</v>
      </c>
      <c r="BJ84" s="2" t="s">
        <v>71</v>
      </c>
      <c r="BK84" s="2"/>
      <c r="BL84" s="2"/>
      <c r="BM84" s="2">
        <v>72</v>
      </c>
      <c r="BN84" s="2">
        <v>58973116</v>
      </c>
      <c r="BO84" s="2" t="s">
        <v>3</v>
      </c>
      <c r="BP84" s="2">
        <v>0</v>
      </c>
      <c r="BQ84" s="2">
        <v>40</v>
      </c>
      <c r="BR84" s="2">
        <v>0</v>
      </c>
      <c r="BS84" s="2">
        <v>1</v>
      </c>
      <c r="BT84" s="2">
        <v>1</v>
      </c>
      <c r="BU84" s="2">
        <v>1</v>
      </c>
      <c r="BV84" s="2">
        <v>1</v>
      </c>
      <c r="BW84" s="2">
        <v>1</v>
      </c>
      <c r="BX84" s="2">
        <v>1</v>
      </c>
      <c r="BY84" s="2" t="s">
        <v>3</v>
      </c>
      <c r="BZ84" s="2">
        <v>90</v>
      </c>
      <c r="CA84" s="2">
        <v>46</v>
      </c>
      <c r="CB84" s="2" t="s">
        <v>3</v>
      </c>
      <c r="CC84" s="2"/>
      <c r="CD84" s="2"/>
      <c r="CE84" s="2">
        <v>1566</v>
      </c>
      <c r="CF84" s="2">
        <v>0</v>
      </c>
      <c r="CG84" s="2">
        <v>0</v>
      </c>
      <c r="CH84" s="2"/>
      <c r="CI84" s="2"/>
      <c r="CJ84" s="2"/>
      <c r="CK84" s="2"/>
      <c r="CL84" s="2"/>
      <c r="CM84" s="2">
        <v>0</v>
      </c>
      <c r="CN84" s="2" t="s">
        <v>369</v>
      </c>
      <c r="CO84" s="2">
        <v>0</v>
      </c>
      <c r="CP84" s="2">
        <f t="shared" si="59"/>
        <v>2.1800000000000002</v>
      </c>
      <c r="CQ84" s="2">
        <f t="shared" si="76"/>
        <v>31.08</v>
      </c>
      <c r="CR84" s="2">
        <f t="shared" ref="CR84:CR91" si="89">(ROUND((ROUND(((ET84)*AV84*1),2)*BB84),2)+ROUND((ROUND(((AE84-(EU84))*AV84*1),2)*BS84),2))</f>
        <v>0</v>
      </c>
      <c r="CS84" s="2">
        <f t="shared" ref="CS84:CS91" si="90">(ROUND((ROUND(((EU84)*AV84*1),2)*BS84),2)+ROUND((ROUND(((AE84-(EU84))*AV84*1),2)*BS84),2))</f>
        <v>0</v>
      </c>
      <c r="CT84" s="2">
        <f t="shared" si="60"/>
        <v>0</v>
      </c>
      <c r="CU84" s="2">
        <f t="shared" si="61"/>
        <v>0</v>
      </c>
      <c r="CV84" s="2">
        <f t="shared" si="62"/>
        <v>0</v>
      </c>
      <c r="CW84" s="2">
        <f t="shared" si="63"/>
        <v>0</v>
      </c>
      <c r="CX84" s="2">
        <f t="shared" si="64"/>
        <v>0</v>
      </c>
      <c r="CY84" s="2">
        <f t="shared" ref="CY84:CY91" si="91">(ROUND((((S84+ROUND((ROUND(((EU84)*AV84*1),2)*BS84),2))*AT84)/100),2)+ROUND(((ROUND((ROUND(((AE84-(EU84))*AV84*1),2)*BS84),2)*AT84)/100),2))</f>
        <v>0</v>
      </c>
      <c r="CZ84" s="2">
        <f t="shared" ref="CZ84:CZ91" si="92">(ROUND((((S84+ROUND((ROUND(((EU84)*AV84*1),2)*BS84),2))*AU84)/100),2)+ROUND(((ROUND((ROUND(((AE84-(EU84))*AV84*1),2)*BS84),2)*AU84)/100),2))</f>
        <v>0</v>
      </c>
      <c r="DA84" s="2"/>
      <c r="DB84" s="2"/>
      <c r="DC84" s="2" t="s">
        <v>3</v>
      </c>
      <c r="DD84" s="2" t="s">
        <v>3</v>
      </c>
      <c r="DE84" s="2" t="s">
        <v>3</v>
      </c>
      <c r="DF84" s="2" t="s">
        <v>3</v>
      </c>
      <c r="DG84" s="2" t="s">
        <v>3</v>
      </c>
      <c r="DH84" s="2" t="s">
        <v>3</v>
      </c>
      <c r="DI84" s="2" t="s">
        <v>3</v>
      </c>
      <c r="DJ84" s="2" t="s">
        <v>3</v>
      </c>
      <c r="DK84" s="2" t="s">
        <v>3</v>
      </c>
      <c r="DL84" s="2" t="s">
        <v>3</v>
      </c>
      <c r="DM84" s="2" t="s">
        <v>3</v>
      </c>
      <c r="DN84" s="2">
        <v>0</v>
      </c>
      <c r="DO84" s="2">
        <v>0</v>
      </c>
      <c r="DP84" s="2">
        <v>1</v>
      </c>
      <c r="DQ84" s="2">
        <v>1</v>
      </c>
      <c r="DR84" s="2"/>
      <c r="DS84" s="2"/>
      <c r="DT84" s="2"/>
      <c r="DU84" s="2">
        <v>1009</v>
      </c>
      <c r="DV84" s="2" t="s">
        <v>70</v>
      </c>
      <c r="DW84" s="2" t="s">
        <v>70</v>
      </c>
      <c r="DX84" s="2">
        <v>1</v>
      </c>
      <c r="DY84" s="2"/>
      <c r="DZ84" s="2" t="s">
        <v>3</v>
      </c>
      <c r="EA84" s="2" t="s">
        <v>3</v>
      </c>
      <c r="EB84" s="2" t="s">
        <v>3</v>
      </c>
      <c r="EC84" s="2" t="s">
        <v>3</v>
      </c>
      <c r="ED84" s="2"/>
      <c r="EE84" s="2">
        <v>60088536</v>
      </c>
      <c r="EF84" s="2">
        <v>40</v>
      </c>
      <c r="EG84" s="2" t="s">
        <v>26</v>
      </c>
      <c r="EH84" s="2">
        <v>0</v>
      </c>
      <c r="EI84" s="2" t="s">
        <v>3</v>
      </c>
      <c r="EJ84" s="2">
        <v>2</v>
      </c>
      <c r="EK84" s="2">
        <v>72</v>
      </c>
      <c r="EL84" s="2" t="s">
        <v>52</v>
      </c>
      <c r="EM84" s="2" t="s">
        <v>53</v>
      </c>
      <c r="EN84" s="2"/>
      <c r="EO84" s="2" t="s">
        <v>29</v>
      </c>
      <c r="EP84" s="2"/>
      <c r="EQ84" s="2">
        <v>0</v>
      </c>
      <c r="ER84" s="2">
        <v>31.08</v>
      </c>
      <c r="ES84" s="2">
        <v>31.08</v>
      </c>
      <c r="ET84" s="2">
        <v>0</v>
      </c>
      <c r="EU84" s="2">
        <v>0</v>
      </c>
      <c r="EV84" s="2">
        <v>0</v>
      </c>
      <c r="EW84" s="2">
        <v>0</v>
      </c>
      <c r="EX84" s="2">
        <v>0</v>
      </c>
      <c r="EY84" s="2"/>
      <c r="EZ84" s="2"/>
      <c r="FA84" s="2"/>
      <c r="FB84" s="2"/>
      <c r="FC84" s="2"/>
      <c r="FD84" s="2"/>
      <c r="FE84" s="2"/>
      <c r="FF84" s="2"/>
      <c r="FG84" s="2"/>
      <c r="FH84" s="2"/>
      <c r="FI84" s="2"/>
      <c r="FJ84" s="2"/>
      <c r="FK84" s="2"/>
      <c r="FL84" s="2"/>
      <c r="FM84" s="2"/>
      <c r="FN84" s="2"/>
      <c r="FO84" s="2"/>
      <c r="FP84" s="2"/>
      <c r="FQ84" s="2">
        <v>0</v>
      </c>
      <c r="FR84" s="2">
        <v>0</v>
      </c>
      <c r="FS84" s="2">
        <v>0</v>
      </c>
      <c r="FT84" s="2"/>
      <c r="FU84" s="2"/>
      <c r="FV84" s="2"/>
      <c r="FW84" s="2"/>
      <c r="FX84" s="2">
        <v>90</v>
      </c>
      <c r="FY84" s="2">
        <v>46</v>
      </c>
      <c r="FZ84" s="2"/>
      <c r="GA84" s="2" t="s">
        <v>3</v>
      </c>
      <c r="GB84" s="2"/>
      <c r="GC84" s="2"/>
      <c r="GD84" s="2">
        <v>1</v>
      </c>
      <c r="GE84" s="2"/>
      <c r="GF84" s="2">
        <v>1143487818</v>
      </c>
      <c r="GG84" s="2">
        <v>2</v>
      </c>
      <c r="GH84" s="2">
        <v>1</v>
      </c>
      <c r="GI84" s="2">
        <v>-2</v>
      </c>
      <c r="GJ84" s="2">
        <v>0</v>
      </c>
      <c r="GK84" s="2">
        <v>0</v>
      </c>
      <c r="GL84" s="2">
        <f t="shared" si="65"/>
        <v>0</v>
      </c>
      <c r="GM84" s="2">
        <f t="shared" si="66"/>
        <v>2.1800000000000002</v>
      </c>
      <c r="GN84" s="2">
        <f t="shared" si="67"/>
        <v>0</v>
      </c>
      <c r="GO84" s="2">
        <f t="shared" si="68"/>
        <v>2.1800000000000002</v>
      </c>
      <c r="GP84" s="2">
        <f t="shared" si="69"/>
        <v>0</v>
      </c>
      <c r="GQ84" s="2"/>
      <c r="GR84" s="2">
        <v>0</v>
      </c>
      <c r="GS84" s="2">
        <v>3</v>
      </c>
      <c r="GT84" s="2">
        <v>0</v>
      </c>
      <c r="GU84" s="2" t="s">
        <v>3</v>
      </c>
      <c r="GV84" s="2">
        <f t="shared" si="70"/>
        <v>0</v>
      </c>
      <c r="GW84" s="2">
        <v>1</v>
      </c>
      <c r="GX84" s="2">
        <f t="shared" si="71"/>
        <v>0</v>
      </c>
      <c r="GY84" s="2"/>
      <c r="GZ84" s="2"/>
      <c r="HA84" s="2">
        <v>0</v>
      </c>
      <c r="HB84" s="2">
        <v>0</v>
      </c>
      <c r="HC84" s="2">
        <f t="shared" si="72"/>
        <v>0</v>
      </c>
      <c r="HD84" s="2"/>
      <c r="HE84" s="2" t="s">
        <v>3</v>
      </c>
      <c r="HF84" s="2" t="s">
        <v>3</v>
      </c>
      <c r="HG84" s="2"/>
      <c r="HH84" s="2"/>
      <c r="HI84" s="2"/>
      <c r="HJ84" s="2"/>
      <c r="HK84" s="2"/>
      <c r="HL84" s="2"/>
      <c r="HM84" s="2" t="s">
        <v>24</v>
      </c>
      <c r="HN84" s="2" t="s">
        <v>3</v>
      </c>
      <c r="HO84" s="2" t="s">
        <v>3</v>
      </c>
      <c r="HP84" s="2" t="s">
        <v>3</v>
      </c>
      <c r="HQ84" s="2" t="s">
        <v>3</v>
      </c>
      <c r="HR84" s="2"/>
      <c r="HS84" s="2">
        <v>0</v>
      </c>
      <c r="HT84" s="2"/>
      <c r="HU84" s="2"/>
      <c r="HV84" s="2"/>
      <c r="HW84" s="2"/>
      <c r="HX84" s="2"/>
      <c r="HY84" s="2"/>
      <c r="HZ84" s="2"/>
      <c r="IA84" s="2"/>
      <c r="IB84" s="2"/>
      <c r="IC84" s="2"/>
      <c r="ID84" s="2"/>
      <c r="IE84" s="2"/>
      <c r="IF84" s="2"/>
      <c r="IG84" s="2"/>
      <c r="IH84" s="2"/>
      <c r="II84" s="2"/>
      <c r="IJ84" s="2"/>
      <c r="IK84" s="2">
        <v>0</v>
      </c>
      <c r="IL84" s="2"/>
      <c r="IM84" s="2"/>
      <c r="IN84" s="2"/>
      <c r="IO84" s="2"/>
      <c r="IP84" s="2"/>
      <c r="IQ84" s="2"/>
      <c r="IR84" s="2"/>
      <c r="IS84" s="2"/>
      <c r="IT84" s="2"/>
      <c r="IU84" s="2"/>
    </row>
    <row r="85" spans="1:255" x14ac:dyDescent="0.2">
      <c r="A85" s="3">
        <v>18</v>
      </c>
      <c r="B85" s="3">
        <v>1</v>
      </c>
      <c r="C85" s="3">
        <v>68</v>
      </c>
      <c r="E85" s="3" t="s">
        <v>119</v>
      </c>
      <c r="F85" s="3" t="s">
        <v>68</v>
      </c>
      <c r="G85" s="3" t="s">
        <v>69</v>
      </c>
      <c r="H85" s="3" t="s">
        <v>70</v>
      </c>
      <c r="I85" s="3">
        <f>I83*J85</f>
        <v>7.0000000000000007E-2</v>
      </c>
      <c r="J85" s="3">
        <v>3.5000000000000003E-2</v>
      </c>
      <c r="K85" s="3">
        <v>3.5000000000000003E-2</v>
      </c>
      <c r="O85" s="3">
        <f t="shared" si="50"/>
        <v>11.16</v>
      </c>
      <c r="P85" s="3">
        <f t="shared" si="75"/>
        <v>11.16</v>
      </c>
      <c r="Q85" s="3">
        <f t="shared" si="81"/>
        <v>0</v>
      </c>
      <c r="R85" s="3">
        <f t="shared" si="82"/>
        <v>0</v>
      </c>
      <c r="S85" s="3">
        <f t="shared" si="51"/>
        <v>0</v>
      </c>
      <c r="T85" s="3">
        <f t="shared" si="52"/>
        <v>0</v>
      </c>
      <c r="U85" s="3">
        <f t="shared" si="53"/>
        <v>0</v>
      </c>
      <c r="V85" s="3">
        <f t="shared" si="54"/>
        <v>0</v>
      </c>
      <c r="W85" s="3">
        <f t="shared" si="55"/>
        <v>0</v>
      </c>
      <c r="X85" s="3">
        <f t="shared" si="83"/>
        <v>0</v>
      </c>
      <c r="Y85" s="3">
        <f t="shared" si="84"/>
        <v>0</v>
      </c>
      <c r="AA85" s="3">
        <v>60256402</v>
      </c>
      <c r="AB85" s="3">
        <f t="shared" si="56"/>
        <v>31.08</v>
      </c>
      <c r="AC85" s="3">
        <f t="shared" si="85"/>
        <v>31.08</v>
      </c>
      <c r="AD85" s="3">
        <f t="shared" si="86"/>
        <v>0</v>
      </c>
      <c r="AE85" s="3">
        <f t="shared" si="87"/>
        <v>0</v>
      </c>
      <c r="AF85" s="3">
        <f t="shared" si="87"/>
        <v>0</v>
      </c>
      <c r="AG85" s="3">
        <f t="shared" si="57"/>
        <v>0</v>
      </c>
      <c r="AH85" s="3">
        <f t="shared" si="88"/>
        <v>0</v>
      </c>
      <c r="AI85" s="3">
        <f t="shared" si="88"/>
        <v>0</v>
      </c>
      <c r="AJ85" s="3">
        <f t="shared" si="58"/>
        <v>0</v>
      </c>
      <c r="AK85" s="3">
        <v>31.08</v>
      </c>
      <c r="AL85" s="3">
        <v>31.08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3">
        <v>90</v>
      </c>
      <c r="AU85" s="3">
        <v>46</v>
      </c>
      <c r="AV85" s="3">
        <v>1</v>
      </c>
      <c r="AW85" s="3">
        <v>1</v>
      </c>
      <c r="AZ85" s="3">
        <v>1</v>
      </c>
      <c r="BA85" s="3">
        <v>1</v>
      </c>
      <c r="BB85" s="3">
        <v>1</v>
      </c>
      <c r="BC85" s="3">
        <v>5.12</v>
      </c>
      <c r="BD85" s="3" t="s">
        <v>3</v>
      </c>
      <c r="BE85" s="3" t="s">
        <v>3</v>
      </c>
      <c r="BF85" s="3" t="s">
        <v>3</v>
      </c>
      <c r="BG85" s="3" t="s">
        <v>3</v>
      </c>
      <c r="BH85" s="3">
        <v>3</v>
      </c>
      <c r="BI85" s="3">
        <v>2</v>
      </c>
      <c r="BJ85" s="3" t="s">
        <v>71</v>
      </c>
      <c r="BM85" s="3">
        <v>72</v>
      </c>
      <c r="BN85" s="3">
        <v>58973116</v>
      </c>
      <c r="BO85" s="3" t="s">
        <v>68</v>
      </c>
      <c r="BP85" s="3">
        <v>1</v>
      </c>
      <c r="BQ85" s="3">
        <v>40</v>
      </c>
      <c r="BR85" s="3">
        <v>0</v>
      </c>
      <c r="BS85" s="3">
        <v>1</v>
      </c>
      <c r="BT85" s="3">
        <v>1</v>
      </c>
      <c r="BU85" s="3">
        <v>1</v>
      </c>
      <c r="BV85" s="3">
        <v>1</v>
      </c>
      <c r="BW85" s="3">
        <v>1</v>
      </c>
      <c r="BX85" s="3">
        <v>1</v>
      </c>
      <c r="BY85" s="3" t="s">
        <v>3</v>
      </c>
      <c r="BZ85" s="3">
        <v>90</v>
      </c>
      <c r="CA85" s="3">
        <v>46</v>
      </c>
      <c r="CB85" s="3" t="s">
        <v>3</v>
      </c>
      <c r="CE85" s="3">
        <v>1566</v>
      </c>
      <c r="CF85" s="3">
        <v>0</v>
      </c>
      <c r="CG85" s="3">
        <v>0</v>
      </c>
      <c r="CM85" s="3">
        <v>0</v>
      </c>
      <c r="CN85" s="3" t="s">
        <v>369</v>
      </c>
      <c r="CO85" s="3">
        <v>0</v>
      </c>
      <c r="CP85" s="3">
        <f t="shared" si="59"/>
        <v>11.16</v>
      </c>
      <c r="CQ85" s="3">
        <f t="shared" si="76"/>
        <v>159.13</v>
      </c>
      <c r="CR85" s="3">
        <f t="shared" si="89"/>
        <v>0</v>
      </c>
      <c r="CS85" s="3">
        <f t="shared" si="90"/>
        <v>0</v>
      </c>
      <c r="CT85" s="3">
        <f t="shared" si="60"/>
        <v>0</v>
      </c>
      <c r="CU85" s="3">
        <f t="shared" si="61"/>
        <v>0</v>
      </c>
      <c r="CV85" s="3">
        <f t="shared" si="62"/>
        <v>0</v>
      </c>
      <c r="CW85" s="3">
        <f t="shared" si="63"/>
        <v>0</v>
      </c>
      <c r="CX85" s="3">
        <f t="shared" si="64"/>
        <v>0</v>
      </c>
      <c r="CY85" s="3">
        <f t="shared" si="91"/>
        <v>0</v>
      </c>
      <c r="CZ85" s="3">
        <f t="shared" si="92"/>
        <v>0</v>
      </c>
      <c r="DC85" s="3" t="s">
        <v>3</v>
      </c>
      <c r="DD85" s="3" t="s">
        <v>3</v>
      </c>
      <c r="DE85" s="3" t="s">
        <v>3</v>
      </c>
      <c r="DF85" s="3" t="s">
        <v>3</v>
      </c>
      <c r="DG85" s="3" t="s">
        <v>3</v>
      </c>
      <c r="DH85" s="3" t="s">
        <v>3</v>
      </c>
      <c r="DI85" s="3" t="s">
        <v>3</v>
      </c>
      <c r="DJ85" s="3" t="s">
        <v>3</v>
      </c>
      <c r="DK85" s="3" t="s">
        <v>3</v>
      </c>
      <c r="DL85" s="3" t="s">
        <v>3</v>
      </c>
      <c r="DM85" s="3" t="s">
        <v>3</v>
      </c>
      <c r="DN85" s="3">
        <v>0</v>
      </c>
      <c r="DO85" s="3">
        <v>0</v>
      </c>
      <c r="DP85" s="3">
        <v>1</v>
      </c>
      <c r="DQ85" s="3">
        <v>1</v>
      </c>
      <c r="DU85" s="3">
        <v>1009</v>
      </c>
      <c r="DV85" s="3" t="s">
        <v>70</v>
      </c>
      <c r="DW85" s="3" t="s">
        <v>70</v>
      </c>
      <c r="DX85" s="3">
        <v>1</v>
      </c>
      <c r="DZ85" s="3" t="s">
        <v>3</v>
      </c>
      <c r="EA85" s="3" t="s">
        <v>3</v>
      </c>
      <c r="EB85" s="3" t="s">
        <v>3</v>
      </c>
      <c r="EC85" s="3" t="s">
        <v>3</v>
      </c>
      <c r="EE85" s="3">
        <v>60088536</v>
      </c>
      <c r="EF85" s="3">
        <v>40</v>
      </c>
      <c r="EG85" s="3" t="s">
        <v>26</v>
      </c>
      <c r="EH85" s="3">
        <v>0</v>
      </c>
      <c r="EI85" s="3" t="s">
        <v>3</v>
      </c>
      <c r="EJ85" s="3">
        <v>2</v>
      </c>
      <c r="EK85" s="3">
        <v>72</v>
      </c>
      <c r="EL85" s="3" t="s">
        <v>52</v>
      </c>
      <c r="EM85" s="3" t="s">
        <v>53</v>
      </c>
      <c r="EO85" s="3" t="s">
        <v>29</v>
      </c>
      <c r="EQ85" s="3">
        <v>0</v>
      </c>
      <c r="ER85" s="3">
        <v>31.08</v>
      </c>
      <c r="ES85" s="3">
        <v>31.08</v>
      </c>
      <c r="ET85" s="3">
        <v>0</v>
      </c>
      <c r="EU85" s="3">
        <v>0</v>
      </c>
      <c r="EV85" s="3">
        <v>0</v>
      </c>
      <c r="EW85" s="3">
        <v>0</v>
      </c>
      <c r="EX85" s="3">
        <v>0</v>
      </c>
      <c r="FQ85" s="3">
        <v>0</v>
      </c>
      <c r="FR85" s="3">
        <v>0</v>
      </c>
      <c r="FS85" s="3">
        <v>0</v>
      </c>
      <c r="FX85" s="3">
        <v>90</v>
      </c>
      <c r="FY85" s="3">
        <v>46</v>
      </c>
      <c r="GA85" s="3" t="s">
        <v>3</v>
      </c>
      <c r="GD85" s="3">
        <v>1</v>
      </c>
      <c r="GF85" s="3">
        <v>1143487818</v>
      </c>
      <c r="GG85" s="3">
        <v>2</v>
      </c>
      <c r="GH85" s="3">
        <v>1</v>
      </c>
      <c r="GI85" s="3">
        <v>2</v>
      </c>
      <c r="GJ85" s="3">
        <v>0</v>
      </c>
      <c r="GK85" s="3">
        <v>0</v>
      </c>
      <c r="GL85" s="3">
        <f t="shared" si="65"/>
        <v>0</v>
      </c>
      <c r="GM85" s="3">
        <f t="shared" si="66"/>
        <v>11.16</v>
      </c>
      <c r="GN85" s="3">
        <f t="shared" si="67"/>
        <v>0</v>
      </c>
      <c r="GO85" s="3">
        <f t="shared" si="68"/>
        <v>11.16</v>
      </c>
      <c r="GP85" s="3">
        <f t="shared" si="69"/>
        <v>0</v>
      </c>
      <c r="GR85" s="3">
        <v>0</v>
      </c>
      <c r="GS85" s="3">
        <v>3</v>
      </c>
      <c r="GT85" s="3">
        <v>0</v>
      </c>
      <c r="GU85" s="3" t="s">
        <v>3</v>
      </c>
      <c r="GV85" s="3">
        <f t="shared" si="70"/>
        <v>0</v>
      </c>
      <c r="GW85" s="3">
        <v>1</v>
      </c>
      <c r="GX85" s="3">
        <f t="shared" si="71"/>
        <v>0</v>
      </c>
      <c r="HA85" s="3">
        <v>0</v>
      </c>
      <c r="HB85" s="3">
        <v>0</v>
      </c>
      <c r="HC85" s="3">
        <f t="shared" si="72"/>
        <v>0</v>
      </c>
      <c r="HE85" s="3" t="s">
        <v>3</v>
      </c>
      <c r="HF85" s="3" t="s">
        <v>3</v>
      </c>
      <c r="HM85" s="3" t="s">
        <v>24</v>
      </c>
      <c r="HN85" s="3" t="s">
        <v>3</v>
      </c>
      <c r="HO85" s="3" t="s">
        <v>3</v>
      </c>
      <c r="HP85" s="3" t="s">
        <v>3</v>
      </c>
      <c r="HQ85" s="3" t="s">
        <v>3</v>
      </c>
      <c r="HS85" s="3">
        <v>0</v>
      </c>
      <c r="IK85" s="3">
        <v>0</v>
      </c>
    </row>
    <row r="86" spans="1:255" x14ac:dyDescent="0.2">
      <c r="A86" s="2">
        <v>17</v>
      </c>
      <c r="B86" s="2">
        <v>1</v>
      </c>
      <c r="C86" s="2"/>
      <c r="D86" s="2"/>
      <c r="E86" s="2" t="s">
        <v>120</v>
      </c>
      <c r="F86" s="2" t="s">
        <v>121</v>
      </c>
      <c r="G86" s="2" t="s">
        <v>122</v>
      </c>
      <c r="H86" s="2" t="s">
        <v>33</v>
      </c>
      <c r="I86" s="2">
        <v>2</v>
      </c>
      <c r="J86" s="2">
        <v>0</v>
      </c>
      <c r="K86" s="2">
        <v>2</v>
      </c>
      <c r="L86" s="2"/>
      <c r="M86" s="2"/>
      <c r="N86" s="2"/>
      <c r="O86" s="2">
        <f t="shared" si="50"/>
        <v>312.48</v>
      </c>
      <c r="P86" s="2">
        <f t="shared" si="75"/>
        <v>312.48</v>
      </c>
      <c r="Q86" s="2">
        <f t="shared" si="81"/>
        <v>0</v>
      </c>
      <c r="R86" s="2">
        <f t="shared" si="82"/>
        <v>0</v>
      </c>
      <c r="S86" s="2">
        <f t="shared" si="51"/>
        <v>0</v>
      </c>
      <c r="T86" s="2">
        <f t="shared" si="52"/>
        <v>0</v>
      </c>
      <c r="U86" s="2">
        <f t="shared" si="53"/>
        <v>0</v>
      </c>
      <c r="V86" s="2">
        <f t="shared" si="54"/>
        <v>0</v>
      </c>
      <c r="W86" s="2">
        <f t="shared" si="55"/>
        <v>0</v>
      </c>
      <c r="X86" s="2">
        <f t="shared" si="83"/>
        <v>0</v>
      </c>
      <c r="Y86" s="2">
        <f t="shared" si="84"/>
        <v>0</v>
      </c>
      <c r="Z86" s="2"/>
      <c r="AA86" s="2">
        <v>60256405</v>
      </c>
      <c r="AB86" s="2">
        <f t="shared" si="56"/>
        <v>156.24</v>
      </c>
      <c r="AC86" s="2">
        <f t="shared" si="85"/>
        <v>156.24</v>
      </c>
      <c r="AD86" s="2">
        <f t="shared" si="86"/>
        <v>0</v>
      </c>
      <c r="AE86" s="2">
        <f t="shared" si="87"/>
        <v>0</v>
      </c>
      <c r="AF86" s="2">
        <f t="shared" si="87"/>
        <v>0</v>
      </c>
      <c r="AG86" s="2">
        <f t="shared" si="57"/>
        <v>0</v>
      </c>
      <c r="AH86" s="2">
        <f t="shared" si="88"/>
        <v>0</v>
      </c>
      <c r="AI86" s="2">
        <f t="shared" si="88"/>
        <v>0</v>
      </c>
      <c r="AJ86" s="2">
        <f t="shared" si="58"/>
        <v>0</v>
      </c>
      <c r="AK86" s="2">
        <v>156.24</v>
      </c>
      <c r="AL86" s="2">
        <v>156.24</v>
      </c>
      <c r="AM86" s="2">
        <v>0</v>
      </c>
      <c r="AN86" s="2">
        <v>0</v>
      </c>
      <c r="AO86" s="2">
        <v>0</v>
      </c>
      <c r="AP86" s="2">
        <v>0</v>
      </c>
      <c r="AQ86" s="2">
        <v>0</v>
      </c>
      <c r="AR86" s="2">
        <v>0</v>
      </c>
      <c r="AS86" s="2">
        <v>0</v>
      </c>
      <c r="AT86" s="2">
        <v>0</v>
      </c>
      <c r="AU86" s="2">
        <v>0</v>
      </c>
      <c r="AV86" s="2">
        <v>1</v>
      </c>
      <c r="AW86" s="2">
        <v>1</v>
      </c>
      <c r="AX86" s="2"/>
      <c r="AY86" s="2"/>
      <c r="AZ86" s="2">
        <v>1</v>
      </c>
      <c r="BA86" s="2">
        <v>1</v>
      </c>
      <c r="BB86" s="2">
        <v>1</v>
      </c>
      <c r="BC86" s="2">
        <v>1</v>
      </c>
      <c r="BD86" s="2" t="s">
        <v>3</v>
      </c>
      <c r="BE86" s="2" t="s">
        <v>3</v>
      </c>
      <c r="BF86" s="2" t="s">
        <v>3</v>
      </c>
      <c r="BG86" s="2" t="s">
        <v>3</v>
      </c>
      <c r="BH86" s="2">
        <v>3</v>
      </c>
      <c r="BI86" s="2">
        <v>2</v>
      </c>
      <c r="BJ86" s="2" t="s">
        <v>3</v>
      </c>
      <c r="BK86" s="2"/>
      <c r="BL86" s="2"/>
      <c r="BM86" s="2">
        <v>400002</v>
      </c>
      <c r="BN86" s="2">
        <v>0</v>
      </c>
      <c r="BO86" s="2" t="s">
        <v>3</v>
      </c>
      <c r="BP86" s="2">
        <v>0</v>
      </c>
      <c r="BQ86" s="2">
        <v>202</v>
      </c>
      <c r="BR86" s="2">
        <v>0</v>
      </c>
      <c r="BS86" s="2">
        <v>1</v>
      </c>
      <c r="BT86" s="2">
        <v>1</v>
      </c>
      <c r="BU86" s="2">
        <v>1</v>
      </c>
      <c r="BV86" s="2">
        <v>1</v>
      </c>
      <c r="BW86" s="2">
        <v>1</v>
      </c>
      <c r="BX86" s="2">
        <v>1</v>
      </c>
      <c r="BY86" s="2" t="s">
        <v>3</v>
      </c>
      <c r="BZ86" s="2">
        <v>0</v>
      </c>
      <c r="CA86" s="2">
        <v>0</v>
      </c>
      <c r="CB86" s="2" t="s">
        <v>3</v>
      </c>
      <c r="CC86" s="2"/>
      <c r="CD86" s="2"/>
      <c r="CE86" s="2">
        <v>1566</v>
      </c>
      <c r="CF86" s="2">
        <v>0</v>
      </c>
      <c r="CG86" s="2">
        <v>0</v>
      </c>
      <c r="CH86" s="2"/>
      <c r="CI86" s="2"/>
      <c r="CJ86" s="2"/>
      <c r="CK86" s="2"/>
      <c r="CL86" s="2"/>
      <c r="CM86" s="2">
        <v>0</v>
      </c>
      <c r="CN86" s="2" t="s">
        <v>3</v>
      </c>
      <c r="CO86" s="2">
        <v>0</v>
      </c>
      <c r="CP86" s="2">
        <f t="shared" si="59"/>
        <v>312.48</v>
      </c>
      <c r="CQ86" s="2">
        <f t="shared" si="76"/>
        <v>156.24</v>
      </c>
      <c r="CR86" s="2">
        <f t="shared" si="89"/>
        <v>0</v>
      </c>
      <c r="CS86" s="2">
        <f t="shared" si="90"/>
        <v>0</v>
      </c>
      <c r="CT86" s="2">
        <f t="shared" si="60"/>
        <v>0</v>
      </c>
      <c r="CU86" s="2">
        <f t="shared" si="61"/>
        <v>0</v>
      </c>
      <c r="CV86" s="2">
        <f t="shared" si="62"/>
        <v>0</v>
      </c>
      <c r="CW86" s="2">
        <f t="shared" si="63"/>
        <v>0</v>
      </c>
      <c r="CX86" s="2">
        <f t="shared" si="64"/>
        <v>0</v>
      </c>
      <c r="CY86" s="2">
        <f t="shared" si="91"/>
        <v>0</v>
      </c>
      <c r="CZ86" s="2">
        <f t="shared" si="92"/>
        <v>0</v>
      </c>
      <c r="DA86" s="2"/>
      <c r="DB86" s="2"/>
      <c r="DC86" s="2" t="s">
        <v>3</v>
      </c>
      <c r="DD86" s="2" t="s">
        <v>3</v>
      </c>
      <c r="DE86" s="2" t="s">
        <v>3</v>
      </c>
      <c r="DF86" s="2" t="s">
        <v>3</v>
      </c>
      <c r="DG86" s="2" t="s">
        <v>3</v>
      </c>
      <c r="DH86" s="2" t="s">
        <v>3</v>
      </c>
      <c r="DI86" s="2" t="s">
        <v>3</v>
      </c>
      <c r="DJ86" s="2" t="s">
        <v>3</v>
      </c>
      <c r="DK86" s="2" t="s">
        <v>3</v>
      </c>
      <c r="DL86" s="2" t="s">
        <v>3</v>
      </c>
      <c r="DM86" s="2" t="s">
        <v>3</v>
      </c>
      <c r="DN86" s="2">
        <v>0</v>
      </c>
      <c r="DO86" s="2">
        <v>0</v>
      </c>
      <c r="DP86" s="2">
        <v>1</v>
      </c>
      <c r="DQ86" s="2">
        <v>1</v>
      </c>
      <c r="DR86" s="2"/>
      <c r="DS86" s="2"/>
      <c r="DT86" s="2"/>
      <c r="DU86" s="2">
        <v>1010</v>
      </c>
      <c r="DV86" s="2" t="s">
        <v>33</v>
      </c>
      <c r="DW86" s="2" t="s">
        <v>33</v>
      </c>
      <c r="DX86" s="2">
        <v>1</v>
      </c>
      <c r="DY86" s="2"/>
      <c r="DZ86" s="2" t="s">
        <v>3</v>
      </c>
      <c r="EA86" s="2" t="s">
        <v>3</v>
      </c>
      <c r="EB86" s="2" t="s">
        <v>3</v>
      </c>
      <c r="EC86" s="2" t="s">
        <v>3</v>
      </c>
      <c r="ED86" s="2"/>
      <c r="EE86" s="2">
        <v>60088644</v>
      </c>
      <c r="EF86" s="2">
        <v>202</v>
      </c>
      <c r="EG86" s="2" t="s">
        <v>109</v>
      </c>
      <c r="EH86" s="2">
        <v>0</v>
      </c>
      <c r="EI86" s="2" t="s">
        <v>3</v>
      </c>
      <c r="EJ86" s="2">
        <v>1</v>
      </c>
      <c r="EK86" s="2">
        <v>400002</v>
      </c>
      <c r="EL86" s="2" t="s">
        <v>110</v>
      </c>
      <c r="EM86" s="2" t="s">
        <v>109</v>
      </c>
      <c r="EN86" s="2"/>
      <c r="EO86" s="2" t="s">
        <v>3</v>
      </c>
      <c r="EP86" s="2"/>
      <c r="EQ86" s="2">
        <v>0</v>
      </c>
      <c r="ER86" s="2">
        <v>0</v>
      </c>
      <c r="ES86" s="2">
        <v>156.24</v>
      </c>
      <c r="ET86" s="2">
        <v>0</v>
      </c>
      <c r="EU86" s="2">
        <v>0</v>
      </c>
      <c r="EV86" s="2">
        <v>0</v>
      </c>
      <c r="EW86" s="2">
        <v>0</v>
      </c>
      <c r="EX86" s="2">
        <v>0</v>
      </c>
      <c r="EY86" s="2">
        <v>0</v>
      </c>
      <c r="EZ86" s="2"/>
      <c r="FA86" s="2"/>
      <c r="FB86" s="2"/>
      <c r="FC86" s="2"/>
      <c r="FD86" s="2"/>
      <c r="FE86" s="2"/>
      <c r="FF86" s="2"/>
      <c r="FG86" s="2"/>
      <c r="FH86" s="2"/>
      <c r="FI86" s="2"/>
      <c r="FJ86" s="2"/>
      <c r="FK86" s="2"/>
      <c r="FL86" s="2"/>
      <c r="FM86" s="2"/>
      <c r="FN86" s="2"/>
      <c r="FO86" s="2"/>
      <c r="FP86" s="2"/>
      <c r="FQ86" s="2">
        <v>0</v>
      </c>
      <c r="FR86" s="2">
        <v>0</v>
      </c>
      <c r="FS86" s="2">
        <v>0</v>
      </c>
      <c r="FT86" s="2"/>
      <c r="FU86" s="2"/>
      <c r="FV86" s="2"/>
      <c r="FW86" s="2"/>
      <c r="FX86" s="2">
        <v>0</v>
      </c>
      <c r="FY86" s="2">
        <v>0</v>
      </c>
      <c r="FZ86" s="2"/>
      <c r="GA86" s="2" t="s">
        <v>123</v>
      </c>
      <c r="GB86" s="2"/>
      <c r="GC86" s="2"/>
      <c r="GD86" s="2">
        <v>1</v>
      </c>
      <c r="GE86" s="2"/>
      <c r="GF86" s="2">
        <v>-1425923708</v>
      </c>
      <c r="GG86" s="2">
        <v>2</v>
      </c>
      <c r="GH86" s="2">
        <v>4</v>
      </c>
      <c r="GI86" s="2">
        <v>-2</v>
      </c>
      <c r="GJ86" s="2">
        <v>0</v>
      </c>
      <c r="GK86" s="2">
        <v>0</v>
      </c>
      <c r="GL86" s="2">
        <f t="shared" si="65"/>
        <v>0</v>
      </c>
      <c r="GM86" s="2">
        <f t="shared" si="66"/>
        <v>312.48</v>
      </c>
      <c r="GN86" s="2">
        <f t="shared" si="67"/>
        <v>0</v>
      </c>
      <c r="GO86" s="2">
        <f t="shared" si="68"/>
        <v>312.48</v>
      </c>
      <c r="GP86" s="2">
        <f t="shared" si="69"/>
        <v>0</v>
      </c>
      <c r="GQ86" s="2"/>
      <c r="GR86" s="2">
        <v>0</v>
      </c>
      <c r="GS86" s="2">
        <v>2</v>
      </c>
      <c r="GT86" s="2">
        <v>0</v>
      </c>
      <c r="GU86" s="2" t="s">
        <v>3</v>
      </c>
      <c r="GV86" s="2">
        <f t="shared" si="70"/>
        <v>0</v>
      </c>
      <c r="GW86" s="2">
        <v>1</v>
      </c>
      <c r="GX86" s="2">
        <f t="shared" si="71"/>
        <v>0</v>
      </c>
      <c r="GY86" s="2"/>
      <c r="GZ86" s="2"/>
      <c r="HA86" s="2">
        <v>0</v>
      </c>
      <c r="HB86" s="2">
        <v>0</v>
      </c>
      <c r="HC86" s="2">
        <f t="shared" si="72"/>
        <v>0</v>
      </c>
      <c r="HD86" s="2"/>
      <c r="HE86" s="2" t="s">
        <v>35</v>
      </c>
      <c r="HF86" s="2" t="s">
        <v>30</v>
      </c>
      <c r="HG86" s="2"/>
      <c r="HH86" s="2"/>
      <c r="HI86" s="2"/>
      <c r="HJ86" s="2"/>
      <c r="HK86" s="2"/>
      <c r="HL86" s="2"/>
      <c r="HM86" s="2" t="s">
        <v>3</v>
      </c>
      <c r="HN86" s="2" t="s">
        <v>3</v>
      </c>
      <c r="HO86" s="2" t="s">
        <v>3</v>
      </c>
      <c r="HP86" s="2" t="s">
        <v>3</v>
      </c>
      <c r="HQ86" s="2" t="s">
        <v>3</v>
      </c>
      <c r="HR86" s="2"/>
      <c r="HS86" s="2">
        <v>0</v>
      </c>
      <c r="HT86" s="2"/>
      <c r="HU86" s="2"/>
      <c r="HV86" s="2"/>
      <c r="HW86" s="2"/>
      <c r="HX86" s="2"/>
      <c r="HY86" s="2"/>
      <c r="HZ86" s="2"/>
      <c r="IA86" s="2"/>
      <c r="IB86" s="2"/>
      <c r="IC86" s="2"/>
      <c r="ID86" s="2"/>
      <c r="IE86" s="2"/>
      <c r="IF86" s="2"/>
      <c r="IG86" s="2"/>
      <c r="IH86" s="2"/>
      <c r="II86" s="2"/>
      <c r="IJ86" s="2"/>
      <c r="IK86" s="2">
        <v>0</v>
      </c>
      <c r="IL86" s="2"/>
      <c r="IM86" s="2"/>
      <c r="IN86" s="2"/>
      <c r="IO86" s="2"/>
      <c r="IP86" s="2"/>
      <c r="IQ86" s="2"/>
      <c r="IR86" s="2"/>
      <c r="IS86" s="2"/>
      <c r="IT86" s="2"/>
      <c r="IU86" s="2"/>
    </row>
    <row r="87" spans="1:255" x14ac:dyDescent="0.2">
      <c r="A87" s="3">
        <v>17</v>
      </c>
      <c r="B87" s="3">
        <v>1</v>
      </c>
      <c r="E87" s="3" t="s">
        <v>120</v>
      </c>
      <c r="F87" s="3" t="s">
        <v>121</v>
      </c>
      <c r="G87" s="3" t="s">
        <v>122</v>
      </c>
      <c r="H87" s="3" t="s">
        <v>33</v>
      </c>
      <c r="I87" s="3">
        <v>2</v>
      </c>
      <c r="J87" s="3">
        <v>0</v>
      </c>
      <c r="K87" s="3">
        <v>2</v>
      </c>
      <c r="O87" s="3">
        <f t="shared" si="50"/>
        <v>3087.3</v>
      </c>
      <c r="P87" s="3">
        <f t="shared" si="75"/>
        <v>3087.3</v>
      </c>
      <c r="Q87" s="3">
        <f t="shared" si="81"/>
        <v>0</v>
      </c>
      <c r="R87" s="3">
        <f t="shared" si="82"/>
        <v>0</v>
      </c>
      <c r="S87" s="3">
        <f t="shared" si="51"/>
        <v>0</v>
      </c>
      <c r="T87" s="3">
        <f t="shared" si="52"/>
        <v>0</v>
      </c>
      <c r="U87" s="3">
        <f t="shared" si="53"/>
        <v>0</v>
      </c>
      <c r="V87" s="3">
        <f t="shared" si="54"/>
        <v>0</v>
      </c>
      <c r="W87" s="3">
        <f t="shared" si="55"/>
        <v>0</v>
      </c>
      <c r="X87" s="3">
        <f t="shared" si="83"/>
        <v>0</v>
      </c>
      <c r="Y87" s="3">
        <f t="shared" si="84"/>
        <v>0</v>
      </c>
      <c r="AA87" s="3">
        <v>60256402</v>
      </c>
      <c r="AB87" s="3">
        <f t="shared" si="56"/>
        <v>156.24</v>
      </c>
      <c r="AC87" s="3">
        <f t="shared" si="85"/>
        <v>156.24</v>
      </c>
      <c r="AD87" s="3">
        <f t="shared" si="86"/>
        <v>0</v>
      </c>
      <c r="AE87" s="3">
        <f t="shared" si="87"/>
        <v>0</v>
      </c>
      <c r="AF87" s="3">
        <f t="shared" si="87"/>
        <v>0</v>
      </c>
      <c r="AG87" s="3">
        <f t="shared" si="57"/>
        <v>0</v>
      </c>
      <c r="AH87" s="3">
        <f t="shared" si="88"/>
        <v>0</v>
      </c>
      <c r="AI87" s="3">
        <f t="shared" si="88"/>
        <v>0</v>
      </c>
      <c r="AJ87" s="3">
        <f t="shared" si="58"/>
        <v>0</v>
      </c>
      <c r="AK87" s="3">
        <v>156.24</v>
      </c>
      <c r="AL87" s="3">
        <v>156.24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3">
        <v>1</v>
      </c>
      <c r="AW87" s="3">
        <v>1</v>
      </c>
      <c r="AZ87" s="3">
        <v>1</v>
      </c>
      <c r="BA87" s="3">
        <v>1</v>
      </c>
      <c r="BB87" s="3">
        <v>1</v>
      </c>
      <c r="BC87" s="3">
        <v>9.8800000000000008</v>
      </c>
      <c r="BD87" s="3" t="s">
        <v>3</v>
      </c>
      <c r="BE87" s="3" t="s">
        <v>3</v>
      </c>
      <c r="BF87" s="3" t="s">
        <v>3</v>
      </c>
      <c r="BG87" s="3" t="s">
        <v>3</v>
      </c>
      <c r="BH87" s="3">
        <v>3</v>
      </c>
      <c r="BI87" s="3">
        <v>2</v>
      </c>
      <c r="BJ87" s="3" t="s">
        <v>3</v>
      </c>
      <c r="BM87" s="3">
        <v>400002</v>
      </c>
      <c r="BN87" s="3">
        <v>0</v>
      </c>
      <c r="BO87" s="3" t="s">
        <v>3</v>
      </c>
      <c r="BP87" s="3">
        <v>0</v>
      </c>
      <c r="BQ87" s="3">
        <v>202</v>
      </c>
      <c r="BR87" s="3">
        <v>0</v>
      </c>
      <c r="BS87" s="3">
        <v>1</v>
      </c>
      <c r="BT87" s="3">
        <v>1</v>
      </c>
      <c r="BU87" s="3">
        <v>1</v>
      </c>
      <c r="BV87" s="3">
        <v>1</v>
      </c>
      <c r="BW87" s="3">
        <v>1</v>
      </c>
      <c r="BX87" s="3">
        <v>1</v>
      </c>
      <c r="BY87" s="3" t="s">
        <v>3</v>
      </c>
      <c r="BZ87" s="3">
        <v>0</v>
      </c>
      <c r="CA87" s="3">
        <v>0</v>
      </c>
      <c r="CB87" s="3" t="s">
        <v>3</v>
      </c>
      <c r="CE87" s="3">
        <v>1566</v>
      </c>
      <c r="CF87" s="3">
        <v>0</v>
      </c>
      <c r="CG87" s="3">
        <v>0</v>
      </c>
      <c r="CM87" s="3">
        <v>0</v>
      </c>
      <c r="CN87" s="3" t="s">
        <v>3</v>
      </c>
      <c r="CO87" s="3">
        <v>0</v>
      </c>
      <c r="CP87" s="3">
        <f t="shared" si="59"/>
        <v>3087.3</v>
      </c>
      <c r="CQ87" s="3">
        <f t="shared" si="76"/>
        <v>1543.65</v>
      </c>
      <c r="CR87" s="3">
        <f t="shared" si="89"/>
        <v>0</v>
      </c>
      <c r="CS87" s="3">
        <f t="shared" si="90"/>
        <v>0</v>
      </c>
      <c r="CT87" s="3">
        <f t="shared" si="60"/>
        <v>0</v>
      </c>
      <c r="CU87" s="3">
        <f t="shared" si="61"/>
        <v>0</v>
      </c>
      <c r="CV87" s="3">
        <f t="shared" si="62"/>
        <v>0</v>
      </c>
      <c r="CW87" s="3">
        <f t="shared" si="63"/>
        <v>0</v>
      </c>
      <c r="CX87" s="3">
        <f t="shared" si="64"/>
        <v>0</v>
      </c>
      <c r="CY87" s="3">
        <f t="shared" si="91"/>
        <v>0</v>
      </c>
      <c r="CZ87" s="3">
        <f t="shared" si="92"/>
        <v>0</v>
      </c>
      <c r="DC87" s="3" t="s">
        <v>3</v>
      </c>
      <c r="DD87" s="3" t="s">
        <v>3</v>
      </c>
      <c r="DE87" s="3" t="s">
        <v>3</v>
      </c>
      <c r="DF87" s="3" t="s">
        <v>3</v>
      </c>
      <c r="DG87" s="3" t="s">
        <v>3</v>
      </c>
      <c r="DH87" s="3" t="s">
        <v>3</v>
      </c>
      <c r="DI87" s="3" t="s">
        <v>3</v>
      </c>
      <c r="DJ87" s="3" t="s">
        <v>3</v>
      </c>
      <c r="DK87" s="3" t="s">
        <v>3</v>
      </c>
      <c r="DL87" s="3" t="s">
        <v>3</v>
      </c>
      <c r="DM87" s="3" t="s">
        <v>3</v>
      </c>
      <c r="DN87" s="3">
        <v>0</v>
      </c>
      <c r="DO87" s="3">
        <v>0</v>
      </c>
      <c r="DP87" s="3">
        <v>1</v>
      </c>
      <c r="DQ87" s="3">
        <v>1</v>
      </c>
      <c r="DU87" s="3">
        <v>1010</v>
      </c>
      <c r="DV87" s="3" t="s">
        <v>33</v>
      </c>
      <c r="DW87" s="3" t="s">
        <v>33</v>
      </c>
      <c r="DX87" s="3">
        <v>1</v>
      </c>
      <c r="DZ87" s="3" t="s">
        <v>3</v>
      </c>
      <c r="EA87" s="3" t="s">
        <v>3</v>
      </c>
      <c r="EB87" s="3" t="s">
        <v>3</v>
      </c>
      <c r="EC87" s="3" t="s">
        <v>3</v>
      </c>
      <c r="EE87" s="3">
        <v>60088644</v>
      </c>
      <c r="EF87" s="3">
        <v>202</v>
      </c>
      <c r="EG87" s="3" t="s">
        <v>109</v>
      </c>
      <c r="EH87" s="3">
        <v>0</v>
      </c>
      <c r="EI87" s="3" t="s">
        <v>3</v>
      </c>
      <c r="EJ87" s="3">
        <v>1</v>
      </c>
      <c r="EK87" s="3">
        <v>400002</v>
      </c>
      <c r="EL87" s="3" t="s">
        <v>110</v>
      </c>
      <c r="EM87" s="3" t="s">
        <v>109</v>
      </c>
      <c r="EO87" s="3" t="s">
        <v>3</v>
      </c>
      <c r="EQ87" s="3">
        <v>0</v>
      </c>
      <c r="ER87" s="3">
        <v>205.94</v>
      </c>
      <c r="ES87" s="3">
        <v>156.24</v>
      </c>
      <c r="ET87" s="3">
        <v>0</v>
      </c>
      <c r="EU87" s="3">
        <v>0</v>
      </c>
      <c r="EV87" s="3">
        <v>0</v>
      </c>
      <c r="EW87" s="3">
        <v>0</v>
      </c>
      <c r="EX87" s="3">
        <v>0</v>
      </c>
      <c r="EY87" s="3">
        <v>0</v>
      </c>
      <c r="EZ87" s="3">
        <v>5</v>
      </c>
      <c r="FC87" s="3">
        <v>1</v>
      </c>
      <c r="FD87" s="3">
        <v>18</v>
      </c>
      <c r="FF87" s="3">
        <v>1816.1</v>
      </c>
      <c r="FQ87" s="3">
        <v>0</v>
      </c>
      <c r="FR87" s="3">
        <v>0</v>
      </c>
      <c r="FS87" s="3">
        <v>0</v>
      </c>
      <c r="FX87" s="3">
        <v>0</v>
      </c>
      <c r="FY87" s="3">
        <v>0</v>
      </c>
      <c r="GA87" s="3" t="s">
        <v>123</v>
      </c>
      <c r="GD87" s="3">
        <v>1</v>
      </c>
      <c r="GF87" s="3">
        <v>-1425923708</v>
      </c>
      <c r="GG87" s="3">
        <v>2</v>
      </c>
      <c r="GH87" s="3">
        <v>3</v>
      </c>
      <c r="GI87" s="3">
        <v>5</v>
      </c>
      <c r="GJ87" s="3">
        <v>0</v>
      </c>
      <c r="GK87" s="3">
        <v>0</v>
      </c>
      <c r="GL87" s="3">
        <f t="shared" si="65"/>
        <v>0</v>
      </c>
      <c r="GM87" s="3">
        <f t="shared" si="66"/>
        <v>3087.3</v>
      </c>
      <c r="GN87" s="3">
        <f t="shared" si="67"/>
        <v>0</v>
      </c>
      <c r="GO87" s="3">
        <f t="shared" si="68"/>
        <v>3087.3</v>
      </c>
      <c r="GP87" s="3">
        <f t="shared" si="69"/>
        <v>0</v>
      </c>
      <c r="GR87" s="3">
        <v>1</v>
      </c>
      <c r="GS87" s="3">
        <v>1</v>
      </c>
      <c r="GT87" s="3">
        <v>0</v>
      </c>
      <c r="GU87" s="3" t="s">
        <v>3</v>
      </c>
      <c r="GV87" s="3">
        <f t="shared" si="70"/>
        <v>0</v>
      </c>
      <c r="GW87" s="3">
        <v>1</v>
      </c>
      <c r="GX87" s="3">
        <f t="shared" si="71"/>
        <v>0</v>
      </c>
      <c r="HA87" s="3">
        <v>0</v>
      </c>
      <c r="HB87" s="3">
        <v>0</v>
      </c>
      <c r="HC87" s="3">
        <f t="shared" si="72"/>
        <v>0</v>
      </c>
      <c r="HE87" s="3" t="s">
        <v>35</v>
      </c>
      <c r="HF87" s="3" t="s">
        <v>30</v>
      </c>
      <c r="HM87" s="3" t="s">
        <v>3</v>
      </c>
      <c r="HN87" s="3" t="s">
        <v>3</v>
      </c>
      <c r="HO87" s="3" t="s">
        <v>3</v>
      </c>
      <c r="HP87" s="3" t="s">
        <v>3</v>
      </c>
      <c r="HQ87" s="3" t="s">
        <v>3</v>
      </c>
      <c r="HS87" s="3">
        <v>0</v>
      </c>
      <c r="IK87" s="3">
        <v>0</v>
      </c>
    </row>
    <row r="88" spans="1:255" x14ac:dyDescent="0.2">
      <c r="A88" s="2">
        <v>17</v>
      </c>
      <c r="B88" s="2">
        <v>1</v>
      </c>
      <c r="C88" s="2"/>
      <c r="D88" s="2"/>
      <c r="E88" s="2" t="s">
        <v>124</v>
      </c>
      <c r="F88" s="2" t="s">
        <v>125</v>
      </c>
      <c r="G88" s="2" t="s">
        <v>126</v>
      </c>
      <c r="H88" s="2" t="s">
        <v>33</v>
      </c>
      <c r="I88" s="2">
        <v>3</v>
      </c>
      <c r="J88" s="2">
        <v>0</v>
      </c>
      <c r="K88" s="2">
        <v>3</v>
      </c>
      <c r="L88" s="2"/>
      <c r="M88" s="2"/>
      <c r="N88" s="2"/>
      <c r="O88" s="2">
        <f t="shared" si="50"/>
        <v>901.53</v>
      </c>
      <c r="P88" s="2">
        <f t="shared" si="75"/>
        <v>901.53</v>
      </c>
      <c r="Q88" s="2">
        <f t="shared" si="81"/>
        <v>0</v>
      </c>
      <c r="R88" s="2">
        <f t="shared" si="82"/>
        <v>0</v>
      </c>
      <c r="S88" s="2">
        <f t="shared" si="51"/>
        <v>0</v>
      </c>
      <c r="T88" s="2">
        <f t="shared" si="52"/>
        <v>0</v>
      </c>
      <c r="U88" s="2">
        <f t="shared" si="53"/>
        <v>0</v>
      </c>
      <c r="V88" s="2">
        <f t="shared" si="54"/>
        <v>0</v>
      </c>
      <c r="W88" s="2">
        <f t="shared" si="55"/>
        <v>0</v>
      </c>
      <c r="X88" s="2">
        <f t="shared" si="83"/>
        <v>0</v>
      </c>
      <c r="Y88" s="2">
        <f t="shared" si="84"/>
        <v>0</v>
      </c>
      <c r="Z88" s="2"/>
      <c r="AA88" s="2">
        <v>60256405</v>
      </c>
      <c r="AB88" s="2">
        <f t="shared" si="56"/>
        <v>300.51</v>
      </c>
      <c r="AC88" s="2">
        <f t="shared" si="85"/>
        <v>300.51</v>
      </c>
      <c r="AD88" s="2">
        <f t="shared" si="86"/>
        <v>0</v>
      </c>
      <c r="AE88" s="2">
        <f t="shared" si="87"/>
        <v>0</v>
      </c>
      <c r="AF88" s="2">
        <f t="shared" si="87"/>
        <v>0</v>
      </c>
      <c r="AG88" s="2">
        <f t="shared" si="57"/>
        <v>0</v>
      </c>
      <c r="AH88" s="2">
        <f t="shared" si="88"/>
        <v>0</v>
      </c>
      <c r="AI88" s="2">
        <f t="shared" si="88"/>
        <v>0</v>
      </c>
      <c r="AJ88" s="2">
        <f t="shared" si="58"/>
        <v>0</v>
      </c>
      <c r="AK88" s="2">
        <v>300.51</v>
      </c>
      <c r="AL88" s="2">
        <v>300.51</v>
      </c>
      <c r="AM88" s="2">
        <v>0</v>
      </c>
      <c r="AN88" s="2">
        <v>0</v>
      </c>
      <c r="AO88" s="2">
        <v>0</v>
      </c>
      <c r="AP88" s="2">
        <v>0</v>
      </c>
      <c r="AQ88" s="2">
        <v>0</v>
      </c>
      <c r="AR88" s="2">
        <v>0</v>
      </c>
      <c r="AS88" s="2">
        <v>0</v>
      </c>
      <c r="AT88" s="2">
        <v>0</v>
      </c>
      <c r="AU88" s="2">
        <v>0</v>
      </c>
      <c r="AV88" s="2">
        <v>1</v>
      </c>
      <c r="AW88" s="2">
        <v>1</v>
      </c>
      <c r="AX88" s="2"/>
      <c r="AY88" s="2"/>
      <c r="AZ88" s="2">
        <v>1</v>
      </c>
      <c r="BA88" s="2">
        <v>1</v>
      </c>
      <c r="BB88" s="2">
        <v>1</v>
      </c>
      <c r="BC88" s="2">
        <v>1</v>
      </c>
      <c r="BD88" s="2" t="s">
        <v>3</v>
      </c>
      <c r="BE88" s="2" t="s">
        <v>3</v>
      </c>
      <c r="BF88" s="2" t="s">
        <v>3</v>
      </c>
      <c r="BG88" s="2" t="s">
        <v>3</v>
      </c>
      <c r="BH88" s="2">
        <v>3</v>
      </c>
      <c r="BI88" s="2">
        <v>2</v>
      </c>
      <c r="BJ88" s="2" t="s">
        <v>3</v>
      </c>
      <c r="BK88" s="2"/>
      <c r="BL88" s="2"/>
      <c r="BM88" s="2">
        <v>400002</v>
      </c>
      <c r="BN88" s="2">
        <v>0</v>
      </c>
      <c r="BO88" s="2" t="s">
        <v>3</v>
      </c>
      <c r="BP88" s="2">
        <v>0</v>
      </c>
      <c r="BQ88" s="2">
        <v>202</v>
      </c>
      <c r="BR88" s="2">
        <v>0</v>
      </c>
      <c r="BS88" s="2">
        <v>1</v>
      </c>
      <c r="BT88" s="2">
        <v>1</v>
      </c>
      <c r="BU88" s="2">
        <v>1</v>
      </c>
      <c r="BV88" s="2">
        <v>1</v>
      </c>
      <c r="BW88" s="2">
        <v>1</v>
      </c>
      <c r="BX88" s="2">
        <v>1</v>
      </c>
      <c r="BY88" s="2" t="s">
        <v>3</v>
      </c>
      <c r="BZ88" s="2">
        <v>0</v>
      </c>
      <c r="CA88" s="2">
        <v>0</v>
      </c>
      <c r="CB88" s="2" t="s">
        <v>3</v>
      </c>
      <c r="CC88" s="2"/>
      <c r="CD88" s="2"/>
      <c r="CE88" s="2">
        <v>1566</v>
      </c>
      <c r="CF88" s="2">
        <v>0</v>
      </c>
      <c r="CG88" s="2">
        <v>0</v>
      </c>
      <c r="CH88" s="2"/>
      <c r="CI88" s="2"/>
      <c r="CJ88" s="2"/>
      <c r="CK88" s="2"/>
      <c r="CL88" s="2"/>
      <c r="CM88" s="2">
        <v>0</v>
      </c>
      <c r="CN88" s="2" t="s">
        <v>3</v>
      </c>
      <c r="CO88" s="2">
        <v>0</v>
      </c>
      <c r="CP88" s="2">
        <f t="shared" si="59"/>
        <v>901.53</v>
      </c>
      <c r="CQ88" s="2">
        <f t="shared" si="76"/>
        <v>300.51</v>
      </c>
      <c r="CR88" s="2">
        <f t="shared" si="89"/>
        <v>0</v>
      </c>
      <c r="CS88" s="2">
        <f t="shared" si="90"/>
        <v>0</v>
      </c>
      <c r="CT88" s="2">
        <f t="shared" si="60"/>
        <v>0</v>
      </c>
      <c r="CU88" s="2">
        <f t="shared" si="61"/>
        <v>0</v>
      </c>
      <c r="CV88" s="2">
        <f t="shared" si="62"/>
        <v>0</v>
      </c>
      <c r="CW88" s="2">
        <f t="shared" si="63"/>
        <v>0</v>
      </c>
      <c r="CX88" s="2">
        <f t="shared" si="64"/>
        <v>0</v>
      </c>
      <c r="CY88" s="2">
        <f t="shared" si="91"/>
        <v>0</v>
      </c>
      <c r="CZ88" s="2">
        <f t="shared" si="92"/>
        <v>0</v>
      </c>
      <c r="DA88" s="2"/>
      <c r="DB88" s="2"/>
      <c r="DC88" s="2" t="s">
        <v>3</v>
      </c>
      <c r="DD88" s="2" t="s">
        <v>3</v>
      </c>
      <c r="DE88" s="2" t="s">
        <v>3</v>
      </c>
      <c r="DF88" s="2" t="s">
        <v>3</v>
      </c>
      <c r="DG88" s="2" t="s">
        <v>3</v>
      </c>
      <c r="DH88" s="2" t="s">
        <v>3</v>
      </c>
      <c r="DI88" s="2" t="s">
        <v>3</v>
      </c>
      <c r="DJ88" s="2" t="s">
        <v>3</v>
      </c>
      <c r="DK88" s="2" t="s">
        <v>3</v>
      </c>
      <c r="DL88" s="2" t="s">
        <v>3</v>
      </c>
      <c r="DM88" s="2" t="s">
        <v>3</v>
      </c>
      <c r="DN88" s="2">
        <v>0</v>
      </c>
      <c r="DO88" s="2">
        <v>0</v>
      </c>
      <c r="DP88" s="2">
        <v>1</v>
      </c>
      <c r="DQ88" s="2">
        <v>1</v>
      </c>
      <c r="DR88" s="2"/>
      <c r="DS88" s="2"/>
      <c r="DT88" s="2"/>
      <c r="DU88" s="2">
        <v>1010</v>
      </c>
      <c r="DV88" s="2" t="s">
        <v>33</v>
      </c>
      <c r="DW88" s="2" t="s">
        <v>33</v>
      </c>
      <c r="DX88" s="2">
        <v>1</v>
      </c>
      <c r="DY88" s="2"/>
      <c r="DZ88" s="2" t="s">
        <v>3</v>
      </c>
      <c r="EA88" s="2" t="s">
        <v>3</v>
      </c>
      <c r="EB88" s="2" t="s">
        <v>3</v>
      </c>
      <c r="EC88" s="2" t="s">
        <v>3</v>
      </c>
      <c r="ED88" s="2"/>
      <c r="EE88" s="2">
        <v>60088644</v>
      </c>
      <c r="EF88" s="2">
        <v>202</v>
      </c>
      <c r="EG88" s="2" t="s">
        <v>109</v>
      </c>
      <c r="EH88" s="2">
        <v>0</v>
      </c>
      <c r="EI88" s="2" t="s">
        <v>3</v>
      </c>
      <c r="EJ88" s="2">
        <v>1</v>
      </c>
      <c r="EK88" s="2">
        <v>400002</v>
      </c>
      <c r="EL88" s="2" t="s">
        <v>110</v>
      </c>
      <c r="EM88" s="2" t="s">
        <v>109</v>
      </c>
      <c r="EN88" s="2"/>
      <c r="EO88" s="2" t="s">
        <v>3</v>
      </c>
      <c r="EP88" s="2"/>
      <c r="EQ88" s="2">
        <v>0</v>
      </c>
      <c r="ER88" s="2">
        <v>0</v>
      </c>
      <c r="ES88" s="2">
        <v>300.51</v>
      </c>
      <c r="ET88" s="2">
        <v>0</v>
      </c>
      <c r="EU88" s="2">
        <v>0</v>
      </c>
      <c r="EV88" s="2">
        <v>0</v>
      </c>
      <c r="EW88" s="2">
        <v>0</v>
      </c>
      <c r="EX88" s="2">
        <v>0</v>
      </c>
      <c r="EY88" s="2">
        <v>0</v>
      </c>
      <c r="EZ88" s="2"/>
      <c r="FA88" s="2"/>
      <c r="FB88" s="2"/>
      <c r="FC88" s="2"/>
      <c r="FD88" s="2"/>
      <c r="FE88" s="2"/>
      <c r="FF88" s="2"/>
      <c r="FG88" s="2"/>
      <c r="FH88" s="2"/>
      <c r="FI88" s="2"/>
      <c r="FJ88" s="2"/>
      <c r="FK88" s="2"/>
      <c r="FL88" s="2"/>
      <c r="FM88" s="2"/>
      <c r="FN88" s="2"/>
      <c r="FO88" s="2"/>
      <c r="FP88" s="2"/>
      <c r="FQ88" s="2">
        <v>0</v>
      </c>
      <c r="FR88" s="2">
        <v>0</v>
      </c>
      <c r="FS88" s="2">
        <v>0</v>
      </c>
      <c r="FT88" s="2"/>
      <c r="FU88" s="2"/>
      <c r="FV88" s="2"/>
      <c r="FW88" s="2"/>
      <c r="FX88" s="2">
        <v>0</v>
      </c>
      <c r="FY88" s="2">
        <v>0</v>
      </c>
      <c r="FZ88" s="2"/>
      <c r="GA88" s="2" t="s">
        <v>127</v>
      </c>
      <c r="GB88" s="2"/>
      <c r="GC88" s="2"/>
      <c r="GD88" s="2">
        <v>1</v>
      </c>
      <c r="GE88" s="2"/>
      <c r="GF88" s="2">
        <v>-1922037806</v>
      </c>
      <c r="GG88" s="2">
        <v>2</v>
      </c>
      <c r="GH88" s="2">
        <v>4</v>
      </c>
      <c r="GI88" s="2">
        <v>-2</v>
      </c>
      <c r="GJ88" s="2">
        <v>0</v>
      </c>
      <c r="GK88" s="2">
        <v>0</v>
      </c>
      <c r="GL88" s="2">
        <f t="shared" si="65"/>
        <v>0</v>
      </c>
      <c r="GM88" s="2">
        <f t="shared" si="66"/>
        <v>901.53</v>
      </c>
      <c r="GN88" s="2">
        <f t="shared" si="67"/>
        <v>0</v>
      </c>
      <c r="GO88" s="2">
        <f t="shared" si="68"/>
        <v>901.53</v>
      </c>
      <c r="GP88" s="2">
        <f t="shared" si="69"/>
        <v>0</v>
      </c>
      <c r="GQ88" s="2"/>
      <c r="GR88" s="2">
        <v>0</v>
      </c>
      <c r="GS88" s="2">
        <v>2</v>
      </c>
      <c r="GT88" s="2">
        <v>0</v>
      </c>
      <c r="GU88" s="2" t="s">
        <v>3</v>
      </c>
      <c r="GV88" s="2">
        <f t="shared" si="70"/>
        <v>0</v>
      </c>
      <c r="GW88" s="2">
        <v>1</v>
      </c>
      <c r="GX88" s="2">
        <f t="shared" si="71"/>
        <v>0</v>
      </c>
      <c r="GY88" s="2"/>
      <c r="GZ88" s="2"/>
      <c r="HA88" s="2">
        <v>0</v>
      </c>
      <c r="HB88" s="2">
        <v>0</v>
      </c>
      <c r="HC88" s="2">
        <f t="shared" si="72"/>
        <v>0</v>
      </c>
      <c r="HD88" s="2"/>
      <c r="HE88" s="2" t="s">
        <v>35</v>
      </c>
      <c r="HF88" s="2" t="s">
        <v>30</v>
      </c>
      <c r="HG88" s="2"/>
      <c r="HH88" s="2"/>
      <c r="HI88" s="2"/>
      <c r="HJ88" s="2"/>
      <c r="HK88" s="2"/>
      <c r="HL88" s="2"/>
      <c r="HM88" s="2" t="s">
        <v>3</v>
      </c>
      <c r="HN88" s="2" t="s">
        <v>3</v>
      </c>
      <c r="HO88" s="2" t="s">
        <v>3</v>
      </c>
      <c r="HP88" s="2" t="s">
        <v>3</v>
      </c>
      <c r="HQ88" s="2" t="s">
        <v>3</v>
      </c>
      <c r="HR88" s="2"/>
      <c r="HS88" s="2">
        <v>0</v>
      </c>
      <c r="HT88" s="2"/>
      <c r="HU88" s="2"/>
      <c r="HV88" s="2"/>
      <c r="HW88" s="2"/>
      <c r="HX88" s="2"/>
      <c r="HY88" s="2"/>
      <c r="HZ88" s="2"/>
      <c r="IA88" s="2"/>
      <c r="IB88" s="2"/>
      <c r="IC88" s="2"/>
      <c r="ID88" s="2"/>
      <c r="IE88" s="2"/>
      <c r="IF88" s="2"/>
      <c r="IG88" s="2"/>
      <c r="IH88" s="2"/>
      <c r="II88" s="2"/>
      <c r="IJ88" s="2"/>
      <c r="IK88" s="2">
        <v>0</v>
      </c>
      <c r="IL88" s="2"/>
      <c r="IM88" s="2"/>
      <c r="IN88" s="2"/>
      <c r="IO88" s="2"/>
      <c r="IP88" s="2"/>
      <c r="IQ88" s="2"/>
      <c r="IR88" s="2"/>
      <c r="IS88" s="2"/>
      <c r="IT88" s="2"/>
      <c r="IU88" s="2"/>
    </row>
    <row r="89" spans="1:255" x14ac:dyDescent="0.2">
      <c r="A89" s="3">
        <v>17</v>
      </c>
      <c r="B89" s="3">
        <v>1</v>
      </c>
      <c r="E89" s="3" t="s">
        <v>124</v>
      </c>
      <c r="F89" s="3" t="s">
        <v>125</v>
      </c>
      <c r="G89" s="3" t="s">
        <v>126</v>
      </c>
      <c r="H89" s="3" t="s">
        <v>33</v>
      </c>
      <c r="I89" s="3">
        <v>3</v>
      </c>
      <c r="J89" s="3">
        <v>0</v>
      </c>
      <c r="K89" s="3">
        <v>3</v>
      </c>
      <c r="O89" s="3">
        <f t="shared" si="50"/>
        <v>8907.1200000000008</v>
      </c>
      <c r="P89" s="3">
        <f t="shared" si="75"/>
        <v>8907.1200000000008</v>
      </c>
      <c r="Q89" s="3">
        <f t="shared" si="81"/>
        <v>0</v>
      </c>
      <c r="R89" s="3">
        <f t="shared" si="82"/>
        <v>0</v>
      </c>
      <c r="S89" s="3">
        <f t="shared" si="51"/>
        <v>0</v>
      </c>
      <c r="T89" s="3">
        <f t="shared" si="52"/>
        <v>0</v>
      </c>
      <c r="U89" s="3">
        <f t="shared" si="53"/>
        <v>0</v>
      </c>
      <c r="V89" s="3">
        <f t="shared" si="54"/>
        <v>0</v>
      </c>
      <c r="W89" s="3">
        <f t="shared" si="55"/>
        <v>0</v>
      </c>
      <c r="X89" s="3">
        <f t="shared" si="83"/>
        <v>0</v>
      </c>
      <c r="Y89" s="3">
        <f t="shared" si="84"/>
        <v>0</v>
      </c>
      <c r="AA89" s="3">
        <v>60256402</v>
      </c>
      <c r="AB89" s="3">
        <f t="shared" si="56"/>
        <v>300.51</v>
      </c>
      <c r="AC89" s="3">
        <f t="shared" si="85"/>
        <v>300.51</v>
      </c>
      <c r="AD89" s="3">
        <f t="shared" si="86"/>
        <v>0</v>
      </c>
      <c r="AE89" s="3">
        <f t="shared" si="87"/>
        <v>0</v>
      </c>
      <c r="AF89" s="3">
        <f t="shared" si="87"/>
        <v>0</v>
      </c>
      <c r="AG89" s="3">
        <f t="shared" si="57"/>
        <v>0</v>
      </c>
      <c r="AH89" s="3">
        <f t="shared" si="88"/>
        <v>0</v>
      </c>
      <c r="AI89" s="3">
        <f t="shared" si="88"/>
        <v>0</v>
      </c>
      <c r="AJ89" s="3">
        <f t="shared" si="58"/>
        <v>0</v>
      </c>
      <c r="AK89" s="3">
        <v>300.51</v>
      </c>
      <c r="AL89" s="3">
        <v>300.51</v>
      </c>
      <c r="AM89" s="3">
        <v>0</v>
      </c>
      <c r="AN89" s="3">
        <v>0</v>
      </c>
      <c r="AO89" s="3">
        <v>0</v>
      </c>
      <c r="AP89" s="3">
        <v>0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3">
        <v>1</v>
      </c>
      <c r="AW89" s="3">
        <v>1</v>
      </c>
      <c r="AZ89" s="3">
        <v>1</v>
      </c>
      <c r="BA89" s="3">
        <v>1</v>
      </c>
      <c r="BB89" s="3">
        <v>1</v>
      </c>
      <c r="BC89" s="3">
        <v>9.8800000000000008</v>
      </c>
      <c r="BD89" s="3" t="s">
        <v>3</v>
      </c>
      <c r="BE89" s="3" t="s">
        <v>3</v>
      </c>
      <c r="BF89" s="3" t="s">
        <v>3</v>
      </c>
      <c r="BG89" s="3" t="s">
        <v>3</v>
      </c>
      <c r="BH89" s="3">
        <v>3</v>
      </c>
      <c r="BI89" s="3">
        <v>2</v>
      </c>
      <c r="BJ89" s="3" t="s">
        <v>3</v>
      </c>
      <c r="BM89" s="3">
        <v>400002</v>
      </c>
      <c r="BN89" s="3">
        <v>0</v>
      </c>
      <c r="BO89" s="3" t="s">
        <v>3</v>
      </c>
      <c r="BP89" s="3">
        <v>0</v>
      </c>
      <c r="BQ89" s="3">
        <v>202</v>
      </c>
      <c r="BR89" s="3">
        <v>0</v>
      </c>
      <c r="BS89" s="3">
        <v>1</v>
      </c>
      <c r="BT89" s="3">
        <v>1</v>
      </c>
      <c r="BU89" s="3">
        <v>1</v>
      </c>
      <c r="BV89" s="3">
        <v>1</v>
      </c>
      <c r="BW89" s="3">
        <v>1</v>
      </c>
      <c r="BX89" s="3">
        <v>1</v>
      </c>
      <c r="BY89" s="3" t="s">
        <v>3</v>
      </c>
      <c r="BZ89" s="3">
        <v>0</v>
      </c>
      <c r="CA89" s="3">
        <v>0</v>
      </c>
      <c r="CB89" s="3" t="s">
        <v>3</v>
      </c>
      <c r="CE89" s="3">
        <v>1566</v>
      </c>
      <c r="CF89" s="3">
        <v>0</v>
      </c>
      <c r="CG89" s="3">
        <v>0</v>
      </c>
      <c r="CM89" s="3">
        <v>0</v>
      </c>
      <c r="CN89" s="3" t="s">
        <v>3</v>
      </c>
      <c r="CO89" s="3">
        <v>0</v>
      </c>
      <c r="CP89" s="3">
        <f t="shared" si="59"/>
        <v>8907.1200000000008</v>
      </c>
      <c r="CQ89" s="3">
        <f t="shared" si="76"/>
        <v>2969.04</v>
      </c>
      <c r="CR89" s="3">
        <f t="shared" si="89"/>
        <v>0</v>
      </c>
      <c r="CS89" s="3">
        <f t="shared" si="90"/>
        <v>0</v>
      </c>
      <c r="CT89" s="3">
        <f t="shared" si="60"/>
        <v>0</v>
      </c>
      <c r="CU89" s="3">
        <f t="shared" si="61"/>
        <v>0</v>
      </c>
      <c r="CV89" s="3">
        <f t="shared" si="62"/>
        <v>0</v>
      </c>
      <c r="CW89" s="3">
        <f t="shared" si="63"/>
        <v>0</v>
      </c>
      <c r="CX89" s="3">
        <f t="shared" si="64"/>
        <v>0</v>
      </c>
      <c r="CY89" s="3">
        <f t="shared" si="91"/>
        <v>0</v>
      </c>
      <c r="CZ89" s="3">
        <f t="shared" si="92"/>
        <v>0</v>
      </c>
      <c r="DC89" s="3" t="s">
        <v>3</v>
      </c>
      <c r="DD89" s="3" t="s">
        <v>3</v>
      </c>
      <c r="DE89" s="3" t="s">
        <v>3</v>
      </c>
      <c r="DF89" s="3" t="s">
        <v>3</v>
      </c>
      <c r="DG89" s="3" t="s">
        <v>3</v>
      </c>
      <c r="DH89" s="3" t="s">
        <v>3</v>
      </c>
      <c r="DI89" s="3" t="s">
        <v>3</v>
      </c>
      <c r="DJ89" s="3" t="s">
        <v>3</v>
      </c>
      <c r="DK89" s="3" t="s">
        <v>3</v>
      </c>
      <c r="DL89" s="3" t="s">
        <v>3</v>
      </c>
      <c r="DM89" s="3" t="s">
        <v>3</v>
      </c>
      <c r="DN89" s="3">
        <v>0</v>
      </c>
      <c r="DO89" s="3">
        <v>0</v>
      </c>
      <c r="DP89" s="3">
        <v>1</v>
      </c>
      <c r="DQ89" s="3">
        <v>1</v>
      </c>
      <c r="DU89" s="3">
        <v>1010</v>
      </c>
      <c r="DV89" s="3" t="s">
        <v>33</v>
      </c>
      <c r="DW89" s="3" t="s">
        <v>33</v>
      </c>
      <c r="DX89" s="3">
        <v>1</v>
      </c>
      <c r="DZ89" s="3" t="s">
        <v>3</v>
      </c>
      <c r="EA89" s="3" t="s">
        <v>3</v>
      </c>
      <c r="EB89" s="3" t="s">
        <v>3</v>
      </c>
      <c r="EC89" s="3" t="s">
        <v>3</v>
      </c>
      <c r="EE89" s="3">
        <v>60088644</v>
      </c>
      <c r="EF89" s="3">
        <v>202</v>
      </c>
      <c r="EG89" s="3" t="s">
        <v>109</v>
      </c>
      <c r="EH89" s="3">
        <v>0</v>
      </c>
      <c r="EI89" s="3" t="s">
        <v>3</v>
      </c>
      <c r="EJ89" s="3">
        <v>1</v>
      </c>
      <c r="EK89" s="3">
        <v>400002</v>
      </c>
      <c r="EL89" s="3" t="s">
        <v>110</v>
      </c>
      <c r="EM89" s="3" t="s">
        <v>109</v>
      </c>
      <c r="EO89" s="3" t="s">
        <v>3</v>
      </c>
      <c r="EQ89" s="3">
        <v>0</v>
      </c>
      <c r="ER89" s="3">
        <v>300.51</v>
      </c>
      <c r="ES89" s="3">
        <v>300.51</v>
      </c>
      <c r="ET89" s="3">
        <v>0</v>
      </c>
      <c r="EU89" s="3">
        <v>0</v>
      </c>
      <c r="EV89" s="3">
        <v>0</v>
      </c>
      <c r="EW89" s="3">
        <v>0</v>
      </c>
      <c r="EX89" s="3">
        <v>0</v>
      </c>
      <c r="EY89" s="3">
        <v>0</v>
      </c>
      <c r="EZ89" s="3">
        <v>5</v>
      </c>
      <c r="FC89" s="3">
        <v>1</v>
      </c>
      <c r="FD89" s="3">
        <v>18</v>
      </c>
      <c r="FF89" s="3">
        <v>3493</v>
      </c>
      <c r="FQ89" s="3">
        <v>0</v>
      </c>
      <c r="FR89" s="3">
        <v>0</v>
      </c>
      <c r="FS89" s="3">
        <v>0</v>
      </c>
      <c r="FX89" s="3">
        <v>0</v>
      </c>
      <c r="FY89" s="3">
        <v>0</v>
      </c>
      <c r="GA89" s="3" t="s">
        <v>127</v>
      </c>
      <c r="GD89" s="3">
        <v>1</v>
      </c>
      <c r="GF89" s="3">
        <v>-1922037806</v>
      </c>
      <c r="GG89" s="3">
        <v>2</v>
      </c>
      <c r="GH89" s="3">
        <v>3</v>
      </c>
      <c r="GI89" s="3">
        <v>5</v>
      </c>
      <c r="GJ89" s="3">
        <v>0</v>
      </c>
      <c r="GK89" s="3">
        <v>0</v>
      </c>
      <c r="GL89" s="3">
        <f t="shared" si="65"/>
        <v>0</v>
      </c>
      <c r="GM89" s="3">
        <f t="shared" si="66"/>
        <v>8907.1200000000008</v>
      </c>
      <c r="GN89" s="3">
        <f t="shared" si="67"/>
        <v>0</v>
      </c>
      <c r="GO89" s="3">
        <f t="shared" si="68"/>
        <v>8907.1200000000008</v>
      </c>
      <c r="GP89" s="3">
        <f t="shared" si="69"/>
        <v>0</v>
      </c>
      <c r="GR89" s="3">
        <v>1</v>
      </c>
      <c r="GS89" s="3">
        <v>1</v>
      </c>
      <c r="GT89" s="3">
        <v>0</v>
      </c>
      <c r="GU89" s="3" t="s">
        <v>3</v>
      </c>
      <c r="GV89" s="3">
        <f t="shared" si="70"/>
        <v>0</v>
      </c>
      <c r="GW89" s="3">
        <v>1</v>
      </c>
      <c r="GX89" s="3">
        <f t="shared" si="71"/>
        <v>0</v>
      </c>
      <c r="HA89" s="3">
        <v>0</v>
      </c>
      <c r="HB89" s="3">
        <v>0</v>
      </c>
      <c r="HC89" s="3">
        <f t="shared" si="72"/>
        <v>0</v>
      </c>
      <c r="HE89" s="3" t="s">
        <v>35</v>
      </c>
      <c r="HF89" s="3" t="s">
        <v>30</v>
      </c>
      <c r="HM89" s="3" t="s">
        <v>3</v>
      </c>
      <c r="HN89" s="3" t="s">
        <v>3</v>
      </c>
      <c r="HO89" s="3" t="s">
        <v>3</v>
      </c>
      <c r="HP89" s="3" t="s">
        <v>3</v>
      </c>
      <c r="HQ89" s="3" t="s">
        <v>3</v>
      </c>
      <c r="HS89" s="3">
        <v>0</v>
      </c>
      <c r="IK89" s="3">
        <v>0</v>
      </c>
    </row>
    <row r="90" spans="1:255" x14ac:dyDescent="0.2">
      <c r="A90" s="2">
        <v>17</v>
      </c>
      <c r="B90" s="2">
        <v>1</v>
      </c>
      <c r="C90" s="2"/>
      <c r="D90" s="2"/>
      <c r="E90" s="2" t="s">
        <v>128</v>
      </c>
      <c r="F90" s="2" t="s">
        <v>129</v>
      </c>
      <c r="G90" s="2" t="s">
        <v>130</v>
      </c>
      <c r="H90" s="2" t="s">
        <v>33</v>
      </c>
      <c r="I90" s="2">
        <v>28</v>
      </c>
      <c r="J90" s="2">
        <v>0</v>
      </c>
      <c r="K90" s="2">
        <v>28</v>
      </c>
      <c r="L90" s="2"/>
      <c r="M90" s="2"/>
      <c r="N90" s="2"/>
      <c r="O90" s="2">
        <f t="shared" si="50"/>
        <v>6455.12</v>
      </c>
      <c r="P90" s="2">
        <f>ROUND((ROUND((AC90*I90),2)*BC90),2)</f>
        <v>6455.12</v>
      </c>
      <c r="Q90" s="2">
        <f t="shared" si="81"/>
        <v>0</v>
      </c>
      <c r="R90" s="2">
        <f t="shared" si="82"/>
        <v>0</v>
      </c>
      <c r="S90" s="2">
        <f t="shared" si="51"/>
        <v>0</v>
      </c>
      <c r="T90" s="2">
        <f t="shared" si="52"/>
        <v>0</v>
      </c>
      <c r="U90" s="2">
        <f t="shared" si="53"/>
        <v>0</v>
      </c>
      <c r="V90" s="2">
        <f t="shared" si="54"/>
        <v>0</v>
      </c>
      <c r="W90" s="2">
        <f t="shared" si="55"/>
        <v>0</v>
      </c>
      <c r="X90" s="2">
        <f t="shared" si="83"/>
        <v>0</v>
      </c>
      <c r="Y90" s="2">
        <f t="shared" si="84"/>
        <v>0</v>
      </c>
      <c r="Z90" s="2"/>
      <c r="AA90" s="2">
        <v>60256405</v>
      </c>
      <c r="AB90" s="2">
        <f t="shared" si="56"/>
        <v>230.54</v>
      </c>
      <c r="AC90" s="2">
        <f t="shared" si="85"/>
        <v>230.54</v>
      </c>
      <c r="AD90" s="2">
        <f t="shared" si="86"/>
        <v>0</v>
      </c>
      <c r="AE90" s="2">
        <f t="shared" si="87"/>
        <v>0</v>
      </c>
      <c r="AF90" s="2">
        <f t="shared" si="87"/>
        <v>0</v>
      </c>
      <c r="AG90" s="2">
        <f t="shared" si="57"/>
        <v>0</v>
      </c>
      <c r="AH90" s="2">
        <f t="shared" si="88"/>
        <v>0</v>
      </c>
      <c r="AI90" s="2">
        <f t="shared" si="88"/>
        <v>0</v>
      </c>
      <c r="AJ90" s="2">
        <f t="shared" si="58"/>
        <v>0</v>
      </c>
      <c r="AK90" s="2">
        <v>230.53999999999996</v>
      </c>
      <c r="AL90" s="2">
        <v>230.53999999999996</v>
      </c>
      <c r="AM90" s="2">
        <v>0</v>
      </c>
      <c r="AN90" s="2">
        <v>0</v>
      </c>
      <c r="AO90" s="2">
        <v>0</v>
      </c>
      <c r="AP90" s="2">
        <v>0</v>
      </c>
      <c r="AQ90" s="2">
        <v>0</v>
      </c>
      <c r="AR90" s="2">
        <v>0</v>
      </c>
      <c r="AS90" s="2">
        <v>0</v>
      </c>
      <c r="AT90" s="2">
        <v>0</v>
      </c>
      <c r="AU90" s="2">
        <v>0</v>
      </c>
      <c r="AV90" s="2">
        <v>1</v>
      </c>
      <c r="AW90" s="2">
        <v>1</v>
      </c>
      <c r="AX90" s="2"/>
      <c r="AY90" s="2"/>
      <c r="AZ90" s="2">
        <v>1</v>
      </c>
      <c r="BA90" s="2">
        <v>1</v>
      </c>
      <c r="BB90" s="2">
        <v>1</v>
      </c>
      <c r="BC90" s="2">
        <v>1</v>
      </c>
      <c r="BD90" s="2" t="s">
        <v>3</v>
      </c>
      <c r="BE90" s="2" t="s">
        <v>3</v>
      </c>
      <c r="BF90" s="2" t="s">
        <v>3</v>
      </c>
      <c r="BG90" s="2" t="s">
        <v>3</v>
      </c>
      <c r="BH90" s="2">
        <v>3</v>
      </c>
      <c r="BI90" s="2">
        <v>3</v>
      </c>
      <c r="BJ90" s="2" t="s">
        <v>3</v>
      </c>
      <c r="BK90" s="2"/>
      <c r="BL90" s="2"/>
      <c r="BM90" s="2">
        <v>746</v>
      </c>
      <c r="BN90" s="2">
        <v>0</v>
      </c>
      <c r="BO90" s="2" t="s">
        <v>3</v>
      </c>
      <c r="BP90" s="2">
        <v>0</v>
      </c>
      <c r="BQ90" s="2">
        <v>130</v>
      </c>
      <c r="BR90" s="2">
        <v>0</v>
      </c>
      <c r="BS90" s="2">
        <v>1</v>
      </c>
      <c r="BT90" s="2">
        <v>1</v>
      </c>
      <c r="BU90" s="2">
        <v>1</v>
      </c>
      <c r="BV90" s="2">
        <v>1</v>
      </c>
      <c r="BW90" s="2">
        <v>1</v>
      </c>
      <c r="BX90" s="2">
        <v>1</v>
      </c>
      <c r="BY90" s="2" t="s">
        <v>3</v>
      </c>
      <c r="BZ90" s="2">
        <v>0</v>
      </c>
      <c r="CA90" s="2">
        <v>0</v>
      </c>
      <c r="CB90" s="2" t="s">
        <v>3</v>
      </c>
      <c r="CC90" s="2"/>
      <c r="CD90" s="2"/>
      <c r="CE90" s="2">
        <v>1566</v>
      </c>
      <c r="CF90" s="2">
        <v>0</v>
      </c>
      <c r="CG90" s="2">
        <v>0</v>
      </c>
      <c r="CH90" s="2"/>
      <c r="CI90" s="2"/>
      <c r="CJ90" s="2"/>
      <c r="CK90" s="2"/>
      <c r="CL90" s="2"/>
      <c r="CM90" s="2">
        <v>0</v>
      </c>
      <c r="CN90" s="2" t="s">
        <v>3</v>
      </c>
      <c r="CO90" s="2">
        <v>0</v>
      </c>
      <c r="CP90" s="2">
        <f t="shared" si="59"/>
        <v>6455.12</v>
      </c>
      <c r="CQ90" s="2">
        <f>ROUND((ROUND((AC90*1),2)*BC90),2)</f>
        <v>230.54</v>
      </c>
      <c r="CR90" s="2">
        <f t="shared" si="89"/>
        <v>0</v>
      </c>
      <c r="CS90" s="2">
        <f t="shared" si="90"/>
        <v>0</v>
      </c>
      <c r="CT90" s="2">
        <f t="shared" si="60"/>
        <v>0</v>
      </c>
      <c r="CU90" s="2">
        <f t="shared" si="61"/>
        <v>0</v>
      </c>
      <c r="CV90" s="2">
        <f t="shared" si="62"/>
        <v>0</v>
      </c>
      <c r="CW90" s="2">
        <f t="shared" si="63"/>
        <v>0</v>
      </c>
      <c r="CX90" s="2">
        <f t="shared" si="64"/>
        <v>0</v>
      </c>
      <c r="CY90" s="2">
        <f t="shared" si="91"/>
        <v>0</v>
      </c>
      <c r="CZ90" s="2">
        <f t="shared" si="92"/>
        <v>0</v>
      </c>
      <c r="DA90" s="2"/>
      <c r="DB90" s="2"/>
      <c r="DC90" s="2" t="s">
        <v>3</v>
      </c>
      <c r="DD90" s="2" t="s">
        <v>3</v>
      </c>
      <c r="DE90" s="2" t="s">
        <v>3</v>
      </c>
      <c r="DF90" s="2" t="s">
        <v>3</v>
      </c>
      <c r="DG90" s="2" t="s">
        <v>3</v>
      </c>
      <c r="DH90" s="2" t="s">
        <v>3</v>
      </c>
      <c r="DI90" s="2" t="s">
        <v>3</v>
      </c>
      <c r="DJ90" s="2" t="s">
        <v>3</v>
      </c>
      <c r="DK90" s="2" t="s">
        <v>3</v>
      </c>
      <c r="DL90" s="2" t="s">
        <v>3</v>
      </c>
      <c r="DM90" s="2" t="s">
        <v>3</v>
      </c>
      <c r="DN90" s="2">
        <v>0</v>
      </c>
      <c r="DO90" s="2">
        <v>0</v>
      </c>
      <c r="DP90" s="2">
        <v>1</v>
      </c>
      <c r="DQ90" s="2">
        <v>1</v>
      </c>
      <c r="DR90" s="2"/>
      <c r="DS90" s="2"/>
      <c r="DT90" s="2"/>
      <c r="DU90" s="2">
        <v>1010</v>
      </c>
      <c r="DV90" s="2" t="s">
        <v>33</v>
      </c>
      <c r="DW90" s="2" t="s">
        <v>33</v>
      </c>
      <c r="DX90" s="2">
        <v>1</v>
      </c>
      <c r="DY90" s="2"/>
      <c r="DZ90" s="2" t="s">
        <v>3</v>
      </c>
      <c r="EA90" s="2" t="s">
        <v>3</v>
      </c>
      <c r="EB90" s="2" t="s">
        <v>3</v>
      </c>
      <c r="EC90" s="2" t="s">
        <v>3</v>
      </c>
      <c r="ED90" s="2"/>
      <c r="EE90" s="2">
        <v>60088638</v>
      </c>
      <c r="EF90" s="2">
        <v>130</v>
      </c>
      <c r="EG90" s="2" t="s">
        <v>43</v>
      </c>
      <c r="EH90" s="2">
        <v>0</v>
      </c>
      <c r="EI90" s="2" t="s">
        <v>3</v>
      </c>
      <c r="EJ90" s="2">
        <v>3</v>
      </c>
      <c r="EK90" s="2">
        <v>746</v>
      </c>
      <c r="EL90" s="2" t="s">
        <v>44</v>
      </c>
      <c r="EM90" s="2" t="s">
        <v>45</v>
      </c>
      <c r="EN90" s="2"/>
      <c r="EO90" s="2" t="s">
        <v>3</v>
      </c>
      <c r="EP90" s="2"/>
      <c r="EQ90" s="2">
        <v>0</v>
      </c>
      <c r="ER90" s="2">
        <v>0</v>
      </c>
      <c r="ES90" s="2">
        <v>230.53999999999996</v>
      </c>
      <c r="ET90" s="2">
        <v>0</v>
      </c>
      <c r="EU90" s="2">
        <v>0</v>
      </c>
      <c r="EV90" s="2">
        <v>0</v>
      </c>
      <c r="EW90" s="2">
        <v>0</v>
      </c>
      <c r="EX90" s="2">
        <v>0</v>
      </c>
      <c r="EY90" s="2">
        <v>0</v>
      </c>
      <c r="EZ90" s="2"/>
      <c r="FA90" s="2"/>
      <c r="FB90" s="2"/>
      <c r="FC90" s="2"/>
      <c r="FD90" s="2"/>
      <c r="FE90" s="2"/>
      <c r="FF90" s="2"/>
      <c r="FG90" s="2"/>
      <c r="FH90" s="2"/>
      <c r="FI90" s="2"/>
      <c r="FJ90" s="2"/>
      <c r="FK90" s="2"/>
      <c r="FL90" s="2"/>
      <c r="FM90" s="2"/>
      <c r="FN90" s="2"/>
      <c r="FO90" s="2"/>
      <c r="FP90" s="2"/>
      <c r="FQ90" s="2">
        <v>0</v>
      </c>
      <c r="FR90" s="2">
        <f>P90</f>
        <v>6455.12</v>
      </c>
      <c r="FS90" s="2">
        <v>0</v>
      </c>
      <c r="FT90" s="2"/>
      <c r="FU90" s="2"/>
      <c r="FV90" s="2"/>
      <c r="FW90" s="2"/>
      <c r="FX90" s="2">
        <v>0</v>
      </c>
      <c r="FY90" s="2">
        <v>0</v>
      </c>
      <c r="FZ90" s="2"/>
      <c r="GA90" s="2" t="s">
        <v>131</v>
      </c>
      <c r="GB90" s="2"/>
      <c r="GC90" s="2"/>
      <c r="GD90" s="2">
        <v>1</v>
      </c>
      <c r="GE90" s="2"/>
      <c r="GF90" s="2">
        <v>-1807052627</v>
      </c>
      <c r="GG90" s="2">
        <v>2</v>
      </c>
      <c r="GH90" s="2">
        <v>4</v>
      </c>
      <c r="GI90" s="2">
        <v>-2</v>
      </c>
      <c r="GJ90" s="2">
        <v>0</v>
      </c>
      <c r="GK90" s="2">
        <v>0</v>
      </c>
      <c r="GL90" s="2">
        <f t="shared" si="65"/>
        <v>0</v>
      </c>
      <c r="GM90" s="2">
        <f t="shared" si="66"/>
        <v>6455.12</v>
      </c>
      <c r="GN90" s="2">
        <f t="shared" si="67"/>
        <v>0</v>
      </c>
      <c r="GO90" s="2">
        <f t="shared" si="68"/>
        <v>0</v>
      </c>
      <c r="GP90" s="2">
        <f t="shared" si="69"/>
        <v>0</v>
      </c>
      <c r="GQ90" s="2"/>
      <c r="GR90" s="2">
        <v>0</v>
      </c>
      <c r="GS90" s="2">
        <v>2</v>
      </c>
      <c r="GT90" s="2">
        <v>0</v>
      </c>
      <c r="GU90" s="2" t="s">
        <v>3</v>
      </c>
      <c r="GV90" s="2">
        <f t="shared" si="70"/>
        <v>0</v>
      </c>
      <c r="GW90" s="2">
        <v>1</v>
      </c>
      <c r="GX90" s="2">
        <f t="shared" si="71"/>
        <v>0</v>
      </c>
      <c r="GY90" s="2"/>
      <c r="GZ90" s="2"/>
      <c r="HA90" s="2">
        <v>0</v>
      </c>
      <c r="HB90" s="2">
        <v>0</v>
      </c>
      <c r="HC90" s="2">
        <f t="shared" si="72"/>
        <v>0</v>
      </c>
      <c r="HD90" s="2"/>
      <c r="HE90" s="2" t="s">
        <v>36</v>
      </c>
      <c r="HF90" s="2" t="s">
        <v>47</v>
      </c>
      <c r="HG90" s="2"/>
      <c r="HH90" s="2"/>
      <c r="HI90" s="2"/>
      <c r="HJ90" s="2"/>
      <c r="HK90" s="2"/>
      <c r="HL90" s="2"/>
      <c r="HM90" s="2" t="s">
        <v>3</v>
      </c>
      <c r="HN90" s="2" t="s">
        <v>3</v>
      </c>
      <c r="HO90" s="2" t="s">
        <v>3</v>
      </c>
      <c r="HP90" s="2" t="s">
        <v>3</v>
      </c>
      <c r="HQ90" s="2" t="s">
        <v>3</v>
      </c>
      <c r="HR90" s="2"/>
      <c r="HS90" s="2">
        <v>0</v>
      </c>
      <c r="HT90" s="2"/>
      <c r="HU90" s="2"/>
      <c r="HV90" s="2"/>
      <c r="HW90" s="2"/>
      <c r="HX90" s="2"/>
      <c r="HY90" s="2"/>
      <c r="HZ90" s="2"/>
      <c r="IA90" s="2"/>
      <c r="IB90" s="2"/>
      <c r="IC90" s="2"/>
      <c r="ID90" s="2"/>
      <c r="IE90" s="2"/>
      <c r="IF90" s="2"/>
      <c r="IG90" s="2"/>
      <c r="IH90" s="2"/>
      <c r="II90" s="2"/>
      <c r="IJ90" s="2"/>
      <c r="IK90" s="2">
        <v>0</v>
      </c>
      <c r="IL90" s="2"/>
      <c r="IM90" s="2"/>
      <c r="IN90" s="2"/>
      <c r="IO90" s="2"/>
      <c r="IP90" s="2"/>
      <c r="IQ90" s="2"/>
      <c r="IR90" s="2"/>
      <c r="IS90" s="2"/>
      <c r="IT90" s="2"/>
      <c r="IU90" s="2"/>
    </row>
    <row r="91" spans="1:255" x14ac:dyDescent="0.2">
      <c r="A91" s="3">
        <v>17</v>
      </c>
      <c r="B91" s="3">
        <v>1</v>
      </c>
      <c r="E91" s="3" t="s">
        <v>128</v>
      </c>
      <c r="F91" s="3" t="s">
        <v>129</v>
      </c>
      <c r="G91" s="3" t="s">
        <v>130</v>
      </c>
      <c r="H91" s="3" t="s">
        <v>33</v>
      </c>
      <c r="I91" s="3">
        <v>28</v>
      </c>
      <c r="J91" s="3">
        <v>0</v>
      </c>
      <c r="K91" s="3">
        <v>28</v>
      </c>
      <c r="O91" s="3">
        <f t="shared" si="50"/>
        <v>49446.22</v>
      </c>
      <c r="P91" s="3">
        <f>ROUND((ROUND((AC91*I91),2)*BC91),2)</f>
        <v>49446.22</v>
      </c>
      <c r="Q91" s="3">
        <f t="shared" si="81"/>
        <v>0</v>
      </c>
      <c r="R91" s="3">
        <f t="shared" si="82"/>
        <v>0</v>
      </c>
      <c r="S91" s="3">
        <f t="shared" si="51"/>
        <v>0</v>
      </c>
      <c r="T91" s="3">
        <f t="shared" si="52"/>
        <v>0</v>
      </c>
      <c r="U91" s="3">
        <f t="shared" si="53"/>
        <v>0</v>
      </c>
      <c r="V91" s="3">
        <f t="shared" si="54"/>
        <v>0</v>
      </c>
      <c r="W91" s="3">
        <f t="shared" si="55"/>
        <v>0</v>
      </c>
      <c r="X91" s="3">
        <f t="shared" si="83"/>
        <v>0</v>
      </c>
      <c r="Y91" s="3">
        <f t="shared" si="84"/>
        <v>0</v>
      </c>
      <c r="AA91" s="3">
        <v>60256402</v>
      </c>
      <c r="AB91" s="3">
        <f t="shared" si="56"/>
        <v>230.54</v>
      </c>
      <c r="AC91" s="3">
        <f t="shared" si="85"/>
        <v>230.54</v>
      </c>
      <c r="AD91" s="3">
        <f t="shared" si="86"/>
        <v>0</v>
      </c>
      <c r="AE91" s="3">
        <f t="shared" si="87"/>
        <v>0</v>
      </c>
      <c r="AF91" s="3">
        <f t="shared" si="87"/>
        <v>0</v>
      </c>
      <c r="AG91" s="3">
        <f t="shared" si="57"/>
        <v>0</v>
      </c>
      <c r="AH91" s="3">
        <f t="shared" si="88"/>
        <v>0</v>
      </c>
      <c r="AI91" s="3">
        <f t="shared" si="88"/>
        <v>0</v>
      </c>
      <c r="AJ91" s="3">
        <f t="shared" si="58"/>
        <v>0</v>
      </c>
      <c r="AK91" s="3">
        <v>230.53999999999996</v>
      </c>
      <c r="AL91" s="3">
        <v>230.53999999999996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3">
        <v>1</v>
      </c>
      <c r="AW91" s="3">
        <v>1</v>
      </c>
      <c r="AZ91" s="3">
        <v>1</v>
      </c>
      <c r="BA91" s="3">
        <v>1</v>
      </c>
      <c r="BB91" s="3">
        <v>1</v>
      </c>
      <c r="BC91" s="3">
        <v>7.66</v>
      </c>
      <c r="BD91" s="3" t="s">
        <v>3</v>
      </c>
      <c r="BE91" s="3" t="s">
        <v>3</v>
      </c>
      <c r="BF91" s="3" t="s">
        <v>3</v>
      </c>
      <c r="BG91" s="3" t="s">
        <v>3</v>
      </c>
      <c r="BH91" s="3">
        <v>3</v>
      </c>
      <c r="BI91" s="3">
        <v>3</v>
      </c>
      <c r="BJ91" s="3" t="s">
        <v>3</v>
      </c>
      <c r="BM91" s="3">
        <v>746</v>
      </c>
      <c r="BN91" s="3">
        <v>0</v>
      </c>
      <c r="BO91" s="3" t="s">
        <v>3</v>
      </c>
      <c r="BP91" s="3">
        <v>0</v>
      </c>
      <c r="BQ91" s="3">
        <v>130</v>
      </c>
      <c r="BR91" s="3">
        <v>0</v>
      </c>
      <c r="BS91" s="3">
        <v>1</v>
      </c>
      <c r="BT91" s="3">
        <v>1</v>
      </c>
      <c r="BU91" s="3">
        <v>1</v>
      </c>
      <c r="BV91" s="3">
        <v>1</v>
      </c>
      <c r="BW91" s="3">
        <v>1</v>
      </c>
      <c r="BX91" s="3">
        <v>1</v>
      </c>
      <c r="BY91" s="3" t="s">
        <v>3</v>
      </c>
      <c r="BZ91" s="3">
        <v>0</v>
      </c>
      <c r="CA91" s="3">
        <v>0</v>
      </c>
      <c r="CB91" s="3" t="s">
        <v>3</v>
      </c>
      <c r="CE91" s="3">
        <v>1566</v>
      </c>
      <c r="CF91" s="3">
        <v>0</v>
      </c>
      <c r="CG91" s="3">
        <v>0</v>
      </c>
      <c r="CM91" s="3">
        <v>0</v>
      </c>
      <c r="CN91" s="3" t="s">
        <v>3</v>
      </c>
      <c r="CO91" s="3">
        <v>0</v>
      </c>
      <c r="CP91" s="3">
        <f t="shared" si="59"/>
        <v>49446.22</v>
      </c>
      <c r="CQ91" s="3">
        <f>ROUND((ROUND((AC91*1),2)*BC91),2)</f>
        <v>1765.94</v>
      </c>
      <c r="CR91" s="3">
        <f t="shared" si="89"/>
        <v>0</v>
      </c>
      <c r="CS91" s="3">
        <f t="shared" si="90"/>
        <v>0</v>
      </c>
      <c r="CT91" s="3">
        <f t="shared" si="60"/>
        <v>0</v>
      </c>
      <c r="CU91" s="3">
        <f t="shared" si="61"/>
        <v>0</v>
      </c>
      <c r="CV91" s="3">
        <f t="shared" si="62"/>
        <v>0</v>
      </c>
      <c r="CW91" s="3">
        <f t="shared" si="63"/>
        <v>0</v>
      </c>
      <c r="CX91" s="3">
        <f t="shared" si="64"/>
        <v>0</v>
      </c>
      <c r="CY91" s="3">
        <f t="shared" si="91"/>
        <v>0</v>
      </c>
      <c r="CZ91" s="3">
        <f t="shared" si="92"/>
        <v>0</v>
      </c>
      <c r="DC91" s="3" t="s">
        <v>3</v>
      </c>
      <c r="DD91" s="3" t="s">
        <v>3</v>
      </c>
      <c r="DE91" s="3" t="s">
        <v>3</v>
      </c>
      <c r="DF91" s="3" t="s">
        <v>3</v>
      </c>
      <c r="DG91" s="3" t="s">
        <v>3</v>
      </c>
      <c r="DH91" s="3" t="s">
        <v>3</v>
      </c>
      <c r="DI91" s="3" t="s">
        <v>3</v>
      </c>
      <c r="DJ91" s="3" t="s">
        <v>3</v>
      </c>
      <c r="DK91" s="3" t="s">
        <v>3</v>
      </c>
      <c r="DL91" s="3" t="s">
        <v>3</v>
      </c>
      <c r="DM91" s="3" t="s">
        <v>3</v>
      </c>
      <c r="DN91" s="3">
        <v>0</v>
      </c>
      <c r="DO91" s="3">
        <v>0</v>
      </c>
      <c r="DP91" s="3">
        <v>1</v>
      </c>
      <c r="DQ91" s="3">
        <v>1</v>
      </c>
      <c r="DU91" s="3">
        <v>1010</v>
      </c>
      <c r="DV91" s="3" t="s">
        <v>33</v>
      </c>
      <c r="DW91" s="3" t="s">
        <v>33</v>
      </c>
      <c r="DX91" s="3">
        <v>1</v>
      </c>
      <c r="DZ91" s="3" t="s">
        <v>3</v>
      </c>
      <c r="EA91" s="3" t="s">
        <v>3</v>
      </c>
      <c r="EB91" s="3" t="s">
        <v>3</v>
      </c>
      <c r="EC91" s="3" t="s">
        <v>3</v>
      </c>
      <c r="EE91" s="3">
        <v>60088638</v>
      </c>
      <c r="EF91" s="3">
        <v>130</v>
      </c>
      <c r="EG91" s="3" t="s">
        <v>43</v>
      </c>
      <c r="EH91" s="3">
        <v>0</v>
      </c>
      <c r="EI91" s="3" t="s">
        <v>3</v>
      </c>
      <c r="EJ91" s="3">
        <v>3</v>
      </c>
      <c r="EK91" s="3">
        <v>746</v>
      </c>
      <c r="EL91" s="3" t="s">
        <v>44</v>
      </c>
      <c r="EM91" s="3" t="s">
        <v>45</v>
      </c>
      <c r="EO91" s="3" t="s">
        <v>3</v>
      </c>
      <c r="EQ91" s="3">
        <v>0</v>
      </c>
      <c r="ER91" s="3">
        <v>174.9</v>
      </c>
      <c r="ES91" s="3">
        <v>230.53999999999996</v>
      </c>
      <c r="ET91" s="3">
        <v>0</v>
      </c>
      <c r="EU91" s="3">
        <v>0</v>
      </c>
      <c r="EV91" s="3">
        <v>0</v>
      </c>
      <c r="EW91" s="3">
        <v>0</v>
      </c>
      <c r="EX91" s="3">
        <v>0</v>
      </c>
      <c r="EY91" s="3">
        <v>0</v>
      </c>
      <c r="EZ91" s="3">
        <v>5</v>
      </c>
      <c r="FC91" s="3">
        <v>1</v>
      </c>
      <c r="FD91" s="3">
        <v>18</v>
      </c>
      <c r="FF91" s="3">
        <v>2033</v>
      </c>
      <c r="FQ91" s="3">
        <v>0</v>
      </c>
      <c r="FR91" s="3">
        <f>P91</f>
        <v>49446.22</v>
      </c>
      <c r="FS91" s="3">
        <v>0</v>
      </c>
      <c r="FX91" s="3">
        <v>0</v>
      </c>
      <c r="FY91" s="3">
        <v>0</v>
      </c>
      <c r="GA91" s="3" t="s">
        <v>131</v>
      </c>
      <c r="GD91" s="3">
        <v>1</v>
      </c>
      <c r="GF91" s="3">
        <v>-1807052627</v>
      </c>
      <c r="GG91" s="3">
        <v>2</v>
      </c>
      <c r="GH91" s="3">
        <v>3</v>
      </c>
      <c r="GI91" s="3">
        <v>5</v>
      </c>
      <c r="GJ91" s="3">
        <v>0</v>
      </c>
      <c r="GK91" s="3">
        <v>0</v>
      </c>
      <c r="GL91" s="3">
        <f t="shared" si="65"/>
        <v>0</v>
      </c>
      <c r="GM91" s="3">
        <f t="shared" si="66"/>
        <v>49446.22</v>
      </c>
      <c r="GN91" s="3">
        <f t="shared" si="67"/>
        <v>0</v>
      </c>
      <c r="GO91" s="3">
        <f t="shared" si="68"/>
        <v>0</v>
      </c>
      <c r="GP91" s="3">
        <f t="shared" si="69"/>
        <v>0</v>
      </c>
      <c r="GR91" s="3">
        <v>1</v>
      </c>
      <c r="GS91" s="3">
        <v>1</v>
      </c>
      <c r="GT91" s="3">
        <v>0</v>
      </c>
      <c r="GU91" s="3" t="s">
        <v>3</v>
      </c>
      <c r="GV91" s="3">
        <f t="shared" si="70"/>
        <v>0</v>
      </c>
      <c r="GW91" s="3">
        <v>1</v>
      </c>
      <c r="GX91" s="3">
        <f t="shared" si="71"/>
        <v>0</v>
      </c>
      <c r="HA91" s="3">
        <v>0</v>
      </c>
      <c r="HB91" s="3">
        <v>0</v>
      </c>
      <c r="HC91" s="3">
        <f t="shared" si="72"/>
        <v>0</v>
      </c>
      <c r="HE91" s="3" t="s">
        <v>36</v>
      </c>
      <c r="HF91" s="3" t="s">
        <v>47</v>
      </c>
      <c r="HM91" s="3" t="s">
        <v>3</v>
      </c>
      <c r="HN91" s="3" t="s">
        <v>3</v>
      </c>
      <c r="HO91" s="3" t="s">
        <v>3</v>
      </c>
      <c r="HP91" s="3" t="s">
        <v>3</v>
      </c>
      <c r="HQ91" s="3" t="s">
        <v>3</v>
      </c>
      <c r="HS91" s="3">
        <v>0</v>
      </c>
      <c r="IK91" s="3">
        <v>0</v>
      </c>
    </row>
    <row r="93" spans="1:255" x14ac:dyDescent="0.2">
      <c r="A93" s="11">
        <v>51</v>
      </c>
      <c r="B93" s="11">
        <f>B24</f>
        <v>1</v>
      </c>
      <c r="C93" s="11">
        <f>A24</f>
        <v>4</v>
      </c>
      <c r="D93" s="11">
        <f>ROW(A24)</f>
        <v>24</v>
      </c>
      <c r="E93" s="11"/>
      <c r="F93" s="11" t="str">
        <f>IF(F24&lt;&gt;"",F24,"")</f>
        <v/>
      </c>
      <c r="G93" s="11" t="str">
        <f>IF(G24&lt;&gt;"",G24,"")</f>
        <v>Оборудование</v>
      </c>
      <c r="H93" s="11">
        <v>0</v>
      </c>
      <c r="I93" s="11"/>
      <c r="J93" s="11"/>
      <c r="K93" s="11"/>
      <c r="L93" s="11"/>
      <c r="M93" s="11"/>
      <c r="N93" s="11"/>
      <c r="O93" s="11">
        <f t="shared" ref="O93:T93" si="93">ROUND(AB93,2)</f>
        <v>80435.66</v>
      </c>
      <c r="P93" s="11">
        <f t="shared" si="93"/>
        <v>80220.570000000007</v>
      </c>
      <c r="Q93" s="11">
        <f t="shared" si="93"/>
        <v>4.04</v>
      </c>
      <c r="R93" s="11">
        <f t="shared" si="93"/>
        <v>0.49</v>
      </c>
      <c r="S93" s="11">
        <f t="shared" si="93"/>
        <v>211.05</v>
      </c>
      <c r="T93" s="11">
        <f t="shared" si="93"/>
        <v>0</v>
      </c>
      <c r="U93" s="11">
        <f>AH93</f>
        <v>16.849370999999998</v>
      </c>
      <c r="V93" s="11">
        <f>AI93</f>
        <v>0</v>
      </c>
      <c r="W93" s="11">
        <f>ROUND(AJ93,2)</f>
        <v>0</v>
      </c>
      <c r="X93" s="11">
        <f>ROUND(AK93,2)</f>
        <v>190.4</v>
      </c>
      <c r="Y93" s="11">
        <f>ROUND(AL93,2)</f>
        <v>97.27</v>
      </c>
      <c r="Z93" s="11"/>
      <c r="AA93" s="11"/>
      <c r="AB93" s="11">
        <f>ROUND(SUMIF(AA28:AA91,"=60256405",O28:O91),2)</f>
        <v>80435.66</v>
      </c>
      <c r="AC93" s="11">
        <f>ROUND(SUMIF(AA28:AA91,"=60256405",P28:P91),2)</f>
        <v>80220.570000000007</v>
      </c>
      <c r="AD93" s="11">
        <f>ROUND(SUMIF(AA28:AA91,"=60256405",Q28:Q91),2)</f>
        <v>4.04</v>
      </c>
      <c r="AE93" s="11">
        <f>ROUND(SUMIF(AA28:AA91,"=60256405",R28:R91),2)</f>
        <v>0.49</v>
      </c>
      <c r="AF93" s="11">
        <f>ROUND(SUMIF(AA28:AA91,"=60256405",S28:S91),2)</f>
        <v>211.05</v>
      </c>
      <c r="AG93" s="11">
        <f>ROUND(SUMIF(AA28:AA91,"=60256405",T28:T91),2)</f>
        <v>0</v>
      </c>
      <c r="AH93" s="11">
        <f>SUMIF(AA28:AA91,"=60256405",U28:U91)</f>
        <v>16.849370999999998</v>
      </c>
      <c r="AI93" s="11">
        <f>SUMIF(AA28:AA91,"=60256405",V28:V91)</f>
        <v>0</v>
      </c>
      <c r="AJ93" s="11">
        <f>ROUND(SUMIF(AA28:AA91,"=60256405",W28:W91),2)</f>
        <v>0</v>
      </c>
      <c r="AK93" s="11">
        <f>ROUND(SUMIF(AA28:AA91,"=60256405",X28:X91),2)</f>
        <v>190.4</v>
      </c>
      <c r="AL93" s="11">
        <f>ROUND(SUMIF(AA28:AA91,"=60256405",Y28:Y91),2)</f>
        <v>97.27</v>
      </c>
      <c r="AM93" s="11"/>
      <c r="AN93" s="11"/>
      <c r="AO93" s="11">
        <f t="shared" ref="AO93:BD93" si="94">ROUND(BX93,2)</f>
        <v>0</v>
      </c>
      <c r="AP93" s="11">
        <f t="shared" si="94"/>
        <v>76571.070000000007</v>
      </c>
      <c r="AQ93" s="11">
        <f t="shared" si="94"/>
        <v>0</v>
      </c>
      <c r="AR93" s="11">
        <f t="shared" si="94"/>
        <v>80723.33</v>
      </c>
      <c r="AS93" s="11">
        <f t="shared" si="94"/>
        <v>0</v>
      </c>
      <c r="AT93" s="11">
        <f t="shared" si="94"/>
        <v>4152.26</v>
      </c>
      <c r="AU93" s="11">
        <f t="shared" si="94"/>
        <v>0</v>
      </c>
      <c r="AV93" s="11">
        <f t="shared" si="94"/>
        <v>80220.570000000007</v>
      </c>
      <c r="AW93" s="11">
        <f t="shared" si="94"/>
        <v>3649.5</v>
      </c>
      <c r="AX93" s="11">
        <f t="shared" si="94"/>
        <v>0</v>
      </c>
      <c r="AY93" s="11">
        <f t="shared" si="94"/>
        <v>3649.5</v>
      </c>
      <c r="AZ93" s="11">
        <f t="shared" si="94"/>
        <v>76571.070000000007</v>
      </c>
      <c r="BA93" s="11">
        <f t="shared" si="94"/>
        <v>0</v>
      </c>
      <c r="BB93" s="11">
        <f t="shared" si="94"/>
        <v>0</v>
      </c>
      <c r="BC93" s="11">
        <f t="shared" si="94"/>
        <v>0</v>
      </c>
      <c r="BD93" s="11">
        <f t="shared" si="94"/>
        <v>0</v>
      </c>
      <c r="BE93" s="11"/>
      <c r="BF93" s="11"/>
      <c r="BG93" s="11"/>
      <c r="BH93" s="11"/>
      <c r="BI93" s="11"/>
      <c r="BJ93" s="11"/>
      <c r="BK93" s="11"/>
      <c r="BL93" s="11"/>
      <c r="BM93" s="11"/>
      <c r="BN93" s="11"/>
      <c r="BO93" s="11"/>
      <c r="BP93" s="11"/>
      <c r="BQ93" s="11"/>
      <c r="BR93" s="11"/>
      <c r="BS93" s="11"/>
      <c r="BT93" s="11"/>
      <c r="BU93" s="11"/>
      <c r="BV93" s="11"/>
      <c r="BW93" s="11"/>
      <c r="BX93" s="11">
        <f>ROUND(SUMIF(AA28:AA91,"=60256405",FQ28:FQ91),2)</f>
        <v>0</v>
      </c>
      <c r="BY93" s="11">
        <f>ROUND(SUMIF(AA28:AA91,"=60256405",FR28:FR91),2)</f>
        <v>76571.070000000007</v>
      </c>
      <c r="BZ93" s="11">
        <f>ROUND(SUMIF(AA28:AA91,"=60256405",GL28:GL91),2)</f>
        <v>0</v>
      </c>
      <c r="CA93" s="11">
        <f>ROUND(SUMIF(AA28:AA91,"=60256405",GM28:GM91),2)</f>
        <v>80723.33</v>
      </c>
      <c r="CB93" s="11">
        <f>ROUND(SUMIF(AA28:AA91,"=60256405",GN28:GN91),2)</f>
        <v>0</v>
      </c>
      <c r="CC93" s="11">
        <f>ROUND(SUMIF(AA28:AA91,"=60256405",GO28:GO91),2)</f>
        <v>4152.26</v>
      </c>
      <c r="CD93" s="11">
        <f>ROUND(SUMIF(AA28:AA91,"=60256405",GP28:GP91),2)</f>
        <v>0</v>
      </c>
      <c r="CE93" s="11">
        <f>AC93-BX93</f>
        <v>80220.570000000007</v>
      </c>
      <c r="CF93" s="11">
        <f>AC93-BY93</f>
        <v>3649.5</v>
      </c>
      <c r="CG93" s="11">
        <f>BX93-BZ93</f>
        <v>0</v>
      </c>
      <c r="CH93" s="11">
        <f>AC93-BX93-BY93+BZ93</f>
        <v>3649.5</v>
      </c>
      <c r="CI93" s="11">
        <f>BY93-BZ93</f>
        <v>76571.070000000007</v>
      </c>
      <c r="CJ93" s="11">
        <f>ROUND(SUMIF(AA28:AA91,"=60256405",GX28:GX91),2)</f>
        <v>0</v>
      </c>
      <c r="CK93" s="11">
        <f>ROUND(SUMIF(AA28:AA91,"=60256405",GY28:GY91),2)</f>
        <v>0</v>
      </c>
      <c r="CL93" s="11">
        <f>ROUND(SUMIF(AA28:AA91,"=60256405",GZ28:GZ91),2)</f>
        <v>0</v>
      </c>
      <c r="CM93" s="11">
        <f>ROUND(SUMIF(AA28:AA91,"=60256405",HD28:HD91),2)</f>
        <v>0</v>
      </c>
      <c r="CN93" s="11"/>
      <c r="CO93" s="11"/>
      <c r="CP93" s="11"/>
      <c r="CQ93" s="11"/>
      <c r="CR93" s="11"/>
      <c r="CS93" s="11"/>
      <c r="CT93" s="11"/>
      <c r="CU93" s="11"/>
      <c r="CV93" s="11"/>
      <c r="CW93" s="11"/>
      <c r="CX93" s="11"/>
      <c r="CY93" s="11"/>
      <c r="CZ93" s="11"/>
      <c r="DA93" s="11"/>
      <c r="DB93" s="11"/>
      <c r="DC93" s="11"/>
      <c r="DD93" s="11"/>
      <c r="DE93" s="11"/>
      <c r="DF93" s="11"/>
      <c r="DG93" s="12">
        <f t="shared" ref="DG93:DL93" si="95">ROUND(DT93,2)</f>
        <v>633654.30000000005</v>
      </c>
      <c r="DH93" s="12">
        <f t="shared" si="95"/>
        <v>621989.01</v>
      </c>
      <c r="DI93" s="12">
        <f t="shared" si="95"/>
        <v>59.67</v>
      </c>
      <c r="DJ93" s="12">
        <f t="shared" si="95"/>
        <v>26.95</v>
      </c>
      <c r="DK93" s="12">
        <f t="shared" si="95"/>
        <v>11605.62</v>
      </c>
      <c r="DL93" s="12">
        <f t="shared" si="95"/>
        <v>0</v>
      </c>
      <c r="DM93" s="12">
        <f>DZ93</f>
        <v>16.849370999999998</v>
      </c>
      <c r="DN93" s="12">
        <f>EA93</f>
        <v>0</v>
      </c>
      <c r="DO93" s="12">
        <f>ROUND(EB93,2)</f>
        <v>0</v>
      </c>
      <c r="DP93" s="12">
        <f>ROUND(EC93,2)</f>
        <v>10469.31</v>
      </c>
      <c r="DQ93" s="12">
        <f>ROUND(ED93,2)</f>
        <v>5350.96</v>
      </c>
      <c r="DR93" s="12"/>
      <c r="DS93" s="12"/>
      <c r="DT93" s="12">
        <f>ROUND(SUMIF(AA28:AA91,"=60256402",O28:O91),2)</f>
        <v>633654.30000000005</v>
      </c>
      <c r="DU93" s="12">
        <f>ROUND(SUMIF(AA28:AA91,"=60256402",P28:P91),2)</f>
        <v>621989.01</v>
      </c>
      <c r="DV93" s="12">
        <f>ROUND(SUMIF(AA28:AA91,"=60256402",Q28:Q91),2)</f>
        <v>59.67</v>
      </c>
      <c r="DW93" s="12">
        <f>ROUND(SUMIF(AA28:AA91,"=60256402",R28:R91),2)</f>
        <v>26.95</v>
      </c>
      <c r="DX93" s="12">
        <f>ROUND(SUMIF(AA28:AA91,"=60256402",S28:S91),2)</f>
        <v>11605.62</v>
      </c>
      <c r="DY93" s="12">
        <f>ROUND(SUMIF(AA28:AA91,"=60256402",T28:T91),2)</f>
        <v>0</v>
      </c>
      <c r="DZ93" s="12">
        <f>SUMIF(AA28:AA91,"=60256402",U28:U91)</f>
        <v>16.849370999999998</v>
      </c>
      <c r="EA93" s="12">
        <f>SUMIF(AA28:AA91,"=60256402",V28:V91)</f>
        <v>0</v>
      </c>
      <c r="EB93" s="12">
        <f>ROUND(SUMIF(AA28:AA91,"=60256402",W28:W91),2)</f>
        <v>0</v>
      </c>
      <c r="EC93" s="12">
        <f>ROUND(SUMIF(AA28:AA91,"=60256402",X28:X91),2)</f>
        <v>10469.31</v>
      </c>
      <c r="ED93" s="12">
        <f>ROUND(SUMIF(AA28:AA91,"=60256402",Y28:Y91),2)</f>
        <v>5350.96</v>
      </c>
      <c r="EE93" s="12"/>
      <c r="EF93" s="12"/>
      <c r="EG93" s="12">
        <f t="shared" ref="EG93:EV93" si="96">ROUND(FP93,2)</f>
        <v>0</v>
      </c>
      <c r="EH93" s="12">
        <f t="shared" si="96"/>
        <v>586534.39</v>
      </c>
      <c r="EI93" s="12">
        <f t="shared" si="96"/>
        <v>0</v>
      </c>
      <c r="EJ93" s="12">
        <f t="shared" si="96"/>
        <v>649474.56999999995</v>
      </c>
      <c r="EK93" s="12">
        <f t="shared" si="96"/>
        <v>0</v>
      </c>
      <c r="EL93" s="12">
        <f t="shared" si="96"/>
        <v>62940.18</v>
      </c>
      <c r="EM93" s="12">
        <f t="shared" si="96"/>
        <v>0</v>
      </c>
      <c r="EN93" s="12">
        <f t="shared" si="96"/>
        <v>621989.01</v>
      </c>
      <c r="EO93" s="12">
        <f t="shared" si="96"/>
        <v>35454.620000000003</v>
      </c>
      <c r="EP93" s="12">
        <f t="shared" si="96"/>
        <v>0</v>
      </c>
      <c r="EQ93" s="12">
        <f t="shared" si="96"/>
        <v>35454.620000000003</v>
      </c>
      <c r="ER93" s="12">
        <f t="shared" si="96"/>
        <v>586534.39</v>
      </c>
      <c r="ES93" s="12">
        <f t="shared" si="96"/>
        <v>0</v>
      </c>
      <c r="ET93" s="12">
        <f t="shared" si="96"/>
        <v>0</v>
      </c>
      <c r="EU93" s="12">
        <f t="shared" si="96"/>
        <v>0</v>
      </c>
      <c r="EV93" s="12">
        <f t="shared" si="96"/>
        <v>0</v>
      </c>
      <c r="EW93" s="12"/>
      <c r="EX93" s="12"/>
      <c r="EY93" s="12"/>
      <c r="EZ93" s="12"/>
      <c r="FA93" s="12"/>
      <c r="FB93" s="12"/>
      <c r="FC93" s="12"/>
      <c r="FD93" s="12"/>
      <c r="FE93" s="12"/>
      <c r="FF93" s="12"/>
      <c r="FG93" s="12"/>
      <c r="FH93" s="12"/>
      <c r="FI93" s="12"/>
      <c r="FJ93" s="12"/>
      <c r="FK93" s="12"/>
      <c r="FL93" s="12"/>
      <c r="FM93" s="12"/>
      <c r="FN93" s="12"/>
      <c r="FO93" s="12"/>
      <c r="FP93" s="12">
        <f>ROUND(SUMIF(AA28:AA91,"=60256402",FQ28:FQ91),2)</f>
        <v>0</v>
      </c>
      <c r="FQ93" s="12">
        <f>ROUND(SUMIF(AA28:AA91,"=60256402",FR28:FR91),2)</f>
        <v>586534.39</v>
      </c>
      <c r="FR93" s="12">
        <f>ROUND(SUMIF(AA28:AA91,"=60256402",GL28:GL91),2)</f>
        <v>0</v>
      </c>
      <c r="FS93" s="12">
        <f>ROUND(SUMIF(AA28:AA91,"=60256402",GM28:GM91),2)</f>
        <v>649474.56999999995</v>
      </c>
      <c r="FT93" s="12">
        <f>ROUND(SUMIF(AA28:AA91,"=60256402",GN28:GN91),2)</f>
        <v>0</v>
      </c>
      <c r="FU93" s="12">
        <f>ROUND(SUMIF(AA28:AA91,"=60256402",GO28:GO91),2)</f>
        <v>62940.18</v>
      </c>
      <c r="FV93" s="12">
        <f>ROUND(SUMIF(AA28:AA91,"=60256402",GP28:GP91),2)</f>
        <v>0</v>
      </c>
      <c r="FW93" s="12">
        <f>DU93-FP93</f>
        <v>621989.01</v>
      </c>
      <c r="FX93" s="12">
        <f>DU93-FQ93</f>
        <v>35454.619999999995</v>
      </c>
      <c r="FY93" s="12">
        <f>FP93-FR93</f>
        <v>0</v>
      </c>
      <c r="FZ93" s="12">
        <f>DU93-FP93-FQ93+FR93</f>
        <v>35454.619999999995</v>
      </c>
      <c r="GA93" s="12">
        <f>FQ93-FR93</f>
        <v>586534.39</v>
      </c>
      <c r="GB93" s="12">
        <f>ROUND(SUMIF(AA28:AA91,"=60256402",GX28:GX91),2)</f>
        <v>0</v>
      </c>
      <c r="GC93" s="12">
        <f>ROUND(SUMIF(AA28:AA91,"=60256402",GY28:GY91),2)</f>
        <v>0</v>
      </c>
      <c r="GD93" s="12">
        <f>ROUND(SUMIF(AA28:AA91,"=60256402",GZ28:GZ91),2)</f>
        <v>0</v>
      </c>
      <c r="GE93" s="12">
        <f>ROUND(SUMIF(AA28:AA91,"=60256402",HD28:HD91),2)</f>
        <v>0</v>
      </c>
      <c r="GF93" s="12"/>
      <c r="GG93" s="12"/>
      <c r="GH93" s="12"/>
      <c r="GI93" s="12"/>
      <c r="GJ93" s="12"/>
      <c r="GK93" s="12"/>
      <c r="GL93" s="12"/>
      <c r="GM93" s="12"/>
      <c r="GN93" s="12"/>
      <c r="GO93" s="12"/>
      <c r="GP93" s="12"/>
      <c r="GQ93" s="12"/>
      <c r="GR93" s="12"/>
      <c r="GS93" s="12"/>
      <c r="GT93" s="12"/>
      <c r="GU93" s="12"/>
      <c r="GV93" s="12"/>
      <c r="GW93" s="12"/>
      <c r="GX93" s="12">
        <v>0</v>
      </c>
    </row>
    <row r="95" spans="1:255" x14ac:dyDescent="0.2">
      <c r="A95" s="13">
        <v>50</v>
      </c>
      <c r="B95" s="13">
        <v>0</v>
      </c>
      <c r="C95" s="13">
        <v>0</v>
      </c>
      <c r="D95" s="13">
        <v>1</v>
      </c>
      <c r="E95" s="13">
        <v>201</v>
      </c>
      <c r="F95" s="13">
        <f>ROUND(Source!O93,O95)</f>
        <v>80435.66</v>
      </c>
      <c r="G95" s="13" t="s">
        <v>132</v>
      </c>
      <c r="H95" s="13" t="s">
        <v>133</v>
      </c>
      <c r="I95" s="13"/>
      <c r="J95" s="13"/>
      <c r="K95" s="13">
        <v>201</v>
      </c>
      <c r="L95" s="13">
        <v>1</v>
      </c>
      <c r="M95" s="13">
        <v>3</v>
      </c>
      <c r="N95" s="13" t="s">
        <v>3</v>
      </c>
      <c r="O95" s="13">
        <v>2</v>
      </c>
      <c r="P95" s="13">
        <f>ROUND(Source!DG93,O95)</f>
        <v>633654.30000000005</v>
      </c>
      <c r="Q95" s="13"/>
      <c r="R95" s="13"/>
      <c r="S95" s="13"/>
      <c r="T95" s="13"/>
      <c r="U95" s="13"/>
      <c r="V95" s="13"/>
      <c r="W95" s="13">
        <v>80435.66</v>
      </c>
      <c r="X95" s="13">
        <v>1</v>
      </c>
      <c r="Y95" s="13">
        <v>80435.66</v>
      </c>
      <c r="Z95" s="13">
        <v>633654.30000000005</v>
      </c>
      <c r="AA95" s="13">
        <v>1</v>
      </c>
      <c r="AB95" s="13">
        <v>633654.30000000005</v>
      </c>
    </row>
    <row r="96" spans="1:255" x14ac:dyDescent="0.2">
      <c r="A96" s="13">
        <v>50</v>
      </c>
      <c r="B96" s="13">
        <v>0</v>
      </c>
      <c r="C96" s="13">
        <v>0</v>
      </c>
      <c r="D96" s="13">
        <v>1</v>
      </c>
      <c r="E96" s="13">
        <v>202</v>
      </c>
      <c r="F96" s="13">
        <f>ROUND(Source!P93,O96)</f>
        <v>80220.570000000007</v>
      </c>
      <c r="G96" s="13" t="s">
        <v>134</v>
      </c>
      <c r="H96" s="13" t="s">
        <v>135</v>
      </c>
      <c r="I96" s="13"/>
      <c r="J96" s="13"/>
      <c r="K96" s="13">
        <v>202</v>
      </c>
      <c r="L96" s="13">
        <v>2</v>
      </c>
      <c r="M96" s="13">
        <v>3</v>
      </c>
      <c r="N96" s="13" t="s">
        <v>3</v>
      </c>
      <c r="O96" s="13">
        <v>2</v>
      </c>
      <c r="P96" s="13">
        <f>ROUND(Source!DH93,O96)</f>
        <v>621989.01</v>
      </c>
      <c r="Q96" s="13"/>
      <c r="R96" s="13"/>
      <c r="S96" s="13"/>
      <c r="T96" s="13"/>
      <c r="U96" s="13"/>
      <c r="V96" s="13"/>
      <c r="W96" s="13">
        <v>80220.570000000007</v>
      </c>
      <c r="X96" s="13">
        <v>1</v>
      </c>
      <c r="Y96" s="13">
        <v>80220.570000000007</v>
      </c>
      <c r="Z96" s="13">
        <v>621989.01</v>
      </c>
      <c r="AA96" s="13">
        <v>1</v>
      </c>
      <c r="AB96" s="13">
        <v>621989.01</v>
      </c>
    </row>
    <row r="97" spans="1:28" x14ac:dyDescent="0.2">
      <c r="A97" s="13">
        <v>50</v>
      </c>
      <c r="B97" s="13">
        <v>0</v>
      </c>
      <c r="C97" s="13">
        <v>0</v>
      </c>
      <c r="D97" s="13">
        <v>1</v>
      </c>
      <c r="E97" s="13">
        <v>222</v>
      </c>
      <c r="F97" s="13">
        <f>ROUND(Source!AO93,O97)</f>
        <v>0</v>
      </c>
      <c r="G97" s="13" t="s">
        <v>136</v>
      </c>
      <c r="H97" s="13" t="s">
        <v>137</v>
      </c>
      <c r="I97" s="13"/>
      <c r="J97" s="13"/>
      <c r="K97" s="13">
        <v>222</v>
      </c>
      <c r="L97" s="13">
        <v>3</v>
      </c>
      <c r="M97" s="13">
        <v>3</v>
      </c>
      <c r="N97" s="13" t="s">
        <v>3</v>
      </c>
      <c r="O97" s="13">
        <v>2</v>
      </c>
      <c r="P97" s="13">
        <f>ROUND(Source!EG93,O97)</f>
        <v>0</v>
      </c>
      <c r="Q97" s="13"/>
      <c r="R97" s="13"/>
      <c r="S97" s="13"/>
      <c r="T97" s="13"/>
      <c r="U97" s="13"/>
      <c r="V97" s="13"/>
      <c r="W97" s="13">
        <v>0</v>
      </c>
      <c r="X97" s="13">
        <v>1</v>
      </c>
      <c r="Y97" s="13">
        <v>0</v>
      </c>
      <c r="Z97" s="13">
        <v>0</v>
      </c>
      <c r="AA97" s="13">
        <v>1</v>
      </c>
      <c r="AB97" s="13">
        <v>0</v>
      </c>
    </row>
    <row r="98" spans="1:28" x14ac:dyDescent="0.2">
      <c r="A98" s="13">
        <v>50</v>
      </c>
      <c r="B98" s="13">
        <v>0</v>
      </c>
      <c r="C98" s="13">
        <v>0</v>
      </c>
      <c r="D98" s="13">
        <v>1</v>
      </c>
      <c r="E98" s="13">
        <v>225</v>
      </c>
      <c r="F98" s="13">
        <f>ROUND(Source!AV93,O98)</f>
        <v>80220.570000000007</v>
      </c>
      <c r="G98" s="13" t="s">
        <v>138</v>
      </c>
      <c r="H98" s="13" t="s">
        <v>139</v>
      </c>
      <c r="I98" s="13"/>
      <c r="J98" s="13"/>
      <c r="K98" s="13">
        <v>225</v>
      </c>
      <c r="L98" s="13">
        <v>4</v>
      </c>
      <c r="M98" s="13">
        <v>3</v>
      </c>
      <c r="N98" s="13" t="s">
        <v>3</v>
      </c>
      <c r="O98" s="13">
        <v>2</v>
      </c>
      <c r="P98" s="13">
        <f>ROUND(Source!EN93,O98)</f>
        <v>621989.01</v>
      </c>
      <c r="Q98" s="13"/>
      <c r="R98" s="13"/>
      <c r="S98" s="13"/>
      <c r="T98" s="13"/>
      <c r="U98" s="13"/>
      <c r="V98" s="13"/>
      <c r="W98" s="13">
        <v>80220.570000000007</v>
      </c>
      <c r="X98" s="13">
        <v>1</v>
      </c>
      <c r="Y98" s="13">
        <v>80220.570000000007</v>
      </c>
      <c r="Z98" s="13">
        <v>621989.01</v>
      </c>
      <c r="AA98" s="13">
        <v>1</v>
      </c>
      <c r="AB98" s="13">
        <v>621989.01</v>
      </c>
    </row>
    <row r="99" spans="1:28" x14ac:dyDescent="0.2">
      <c r="A99" s="13">
        <v>50</v>
      </c>
      <c r="B99" s="13">
        <v>0</v>
      </c>
      <c r="C99" s="13">
        <v>0</v>
      </c>
      <c r="D99" s="13">
        <v>1</v>
      </c>
      <c r="E99" s="13">
        <v>226</v>
      </c>
      <c r="F99" s="13">
        <f>ROUND(Source!AW93,O99)</f>
        <v>3649.5</v>
      </c>
      <c r="G99" s="13" t="s">
        <v>140</v>
      </c>
      <c r="H99" s="13" t="s">
        <v>141</v>
      </c>
      <c r="I99" s="13"/>
      <c r="J99" s="13"/>
      <c r="K99" s="13">
        <v>226</v>
      </c>
      <c r="L99" s="13">
        <v>5</v>
      </c>
      <c r="M99" s="13">
        <v>3</v>
      </c>
      <c r="N99" s="13" t="s">
        <v>3</v>
      </c>
      <c r="O99" s="13">
        <v>2</v>
      </c>
      <c r="P99" s="13">
        <f>ROUND(Source!EO93,O99)</f>
        <v>35454.620000000003</v>
      </c>
      <c r="Q99" s="13"/>
      <c r="R99" s="13"/>
      <c r="S99" s="13"/>
      <c r="T99" s="13"/>
      <c r="U99" s="13"/>
      <c r="V99" s="13"/>
      <c r="W99" s="13">
        <v>3649.5</v>
      </c>
      <c r="X99" s="13">
        <v>1</v>
      </c>
      <c r="Y99" s="13">
        <v>3649.5</v>
      </c>
      <c r="Z99" s="13">
        <v>35454.620000000003</v>
      </c>
      <c r="AA99" s="13">
        <v>1</v>
      </c>
      <c r="AB99" s="13">
        <v>35454.620000000003</v>
      </c>
    </row>
    <row r="100" spans="1:28" x14ac:dyDescent="0.2">
      <c r="A100" s="13">
        <v>50</v>
      </c>
      <c r="B100" s="13">
        <v>0</v>
      </c>
      <c r="C100" s="13">
        <v>0</v>
      </c>
      <c r="D100" s="13">
        <v>1</v>
      </c>
      <c r="E100" s="13">
        <v>227</v>
      </c>
      <c r="F100" s="13">
        <f>ROUND(Source!AX93,O100)</f>
        <v>0</v>
      </c>
      <c r="G100" s="13" t="s">
        <v>142</v>
      </c>
      <c r="H100" s="13" t="s">
        <v>143</v>
      </c>
      <c r="I100" s="13"/>
      <c r="J100" s="13"/>
      <c r="K100" s="13">
        <v>227</v>
      </c>
      <c r="L100" s="13">
        <v>6</v>
      </c>
      <c r="M100" s="13">
        <v>3</v>
      </c>
      <c r="N100" s="13" t="s">
        <v>3</v>
      </c>
      <c r="O100" s="13">
        <v>2</v>
      </c>
      <c r="P100" s="13">
        <f>ROUND(Source!EP93,O100)</f>
        <v>0</v>
      </c>
      <c r="Q100" s="13"/>
      <c r="R100" s="13"/>
      <c r="S100" s="13"/>
      <c r="T100" s="13"/>
      <c r="U100" s="13"/>
      <c r="V100" s="13"/>
      <c r="W100" s="13">
        <v>0</v>
      </c>
      <c r="X100" s="13">
        <v>1</v>
      </c>
      <c r="Y100" s="13">
        <v>0</v>
      </c>
      <c r="Z100" s="13">
        <v>0</v>
      </c>
      <c r="AA100" s="13">
        <v>1</v>
      </c>
      <c r="AB100" s="13">
        <v>0</v>
      </c>
    </row>
    <row r="101" spans="1:28" x14ac:dyDescent="0.2">
      <c r="A101" s="13">
        <v>50</v>
      </c>
      <c r="B101" s="13">
        <v>0</v>
      </c>
      <c r="C101" s="13">
        <v>0</v>
      </c>
      <c r="D101" s="13">
        <v>1</v>
      </c>
      <c r="E101" s="13">
        <v>228</v>
      </c>
      <c r="F101" s="13">
        <f>ROUND(Source!AY93,O101)</f>
        <v>3649.5</v>
      </c>
      <c r="G101" s="13" t="s">
        <v>144</v>
      </c>
      <c r="H101" s="13" t="s">
        <v>145</v>
      </c>
      <c r="I101" s="13"/>
      <c r="J101" s="13"/>
      <c r="K101" s="13">
        <v>228</v>
      </c>
      <c r="L101" s="13">
        <v>7</v>
      </c>
      <c r="M101" s="13">
        <v>3</v>
      </c>
      <c r="N101" s="13" t="s">
        <v>3</v>
      </c>
      <c r="O101" s="13">
        <v>2</v>
      </c>
      <c r="P101" s="13">
        <f>ROUND(Source!EQ93,O101)</f>
        <v>35454.620000000003</v>
      </c>
      <c r="Q101" s="13"/>
      <c r="R101" s="13"/>
      <c r="S101" s="13"/>
      <c r="T101" s="13"/>
      <c r="U101" s="13"/>
      <c r="V101" s="13"/>
      <c r="W101" s="13">
        <v>3649.5</v>
      </c>
      <c r="X101" s="13">
        <v>1</v>
      </c>
      <c r="Y101" s="13">
        <v>3649.5</v>
      </c>
      <c r="Z101" s="13">
        <v>35454.620000000003</v>
      </c>
      <c r="AA101" s="13">
        <v>1</v>
      </c>
      <c r="AB101" s="13">
        <v>35454.620000000003</v>
      </c>
    </row>
    <row r="102" spans="1:28" x14ac:dyDescent="0.2">
      <c r="A102" s="13">
        <v>50</v>
      </c>
      <c r="B102" s="13">
        <v>0</v>
      </c>
      <c r="C102" s="13">
        <v>0</v>
      </c>
      <c r="D102" s="13">
        <v>1</v>
      </c>
      <c r="E102" s="13">
        <v>216</v>
      </c>
      <c r="F102" s="13">
        <f>ROUND(Source!AP93,O102)</f>
        <v>76571.070000000007</v>
      </c>
      <c r="G102" s="13" t="s">
        <v>146</v>
      </c>
      <c r="H102" s="13" t="s">
        <v>147</v>
      </c>
      <c r="I102" s="13"/>
      <c r="J102" s="13"/>
      <c r="K102" s="13">
        <v>216</v>
      </c>
      <c r="L102" s="13">
        <v>8</v>
      </c>
      <c r="M102" s="13">
        <v>3</v>
      </c>
      <c r="N102" s="13" t="s">
        <v>3</v>
      </c>
      <c r="O102" s="13">
        <v>2</v>
      </c>
      <c r="P102" s="13">
        <f>ROUND(Source!EH93,O102)</f>
        <v>586534.39</v>
      </c>
      <c r="Q102" s="13"/>
      <c r="R102" s="13"/>
      <c r="S102" s="13"/>
      <c r="T102" s="13"/>
      <c r="U102" s="13"/>
      <c r="V102" s="13"/>
      <c r="W102" s="13">
        <v>76571.070000000007</v>
      </c>
      <c r="X102" s="13">
        <v>1</v>
      </c>
      <c r="Y102" s="13">
        <v>76571.070000000007</v>
      </c>
      <c r="Z102" s="13">
        <v>586534.39</v>
      </c>
      <c r="AA102" s="13">
        <v>1</v>
      </c>
      <c r="AB102" s="13">
        <v>586534.39</v>
      </c>
    </row>
    <row r="103" spans="1:28" x14ac:dyDescent="0.2">
      <c r="A103" s="13">
        <v>50</v>
      </c>
      <c r="B103" s="13">
        <v>0</v>
      </c>
      <c r="C103" s="13">
        <v>0</v>
      </c>
      <c r="D103" s="13">
        <v>1</v>
      </c>
      <c r="E103" s="13">
        <v>223</v>
      </c>
      <c r="F103" s="13">
        <f>ROUND(Source!AQ93,O103)</f>
        <v>0</v>
      </c>
      <c r="G103" s="13" t="s">
        <v>148</v>
      </c>
      <c r="H103" s="13" t="s">
        <v>149</v>
      </c>
      <c r="I103" s="13"/>
      <c r="J103" s="13"/>
      <c r="K103" s="13">
        <v>223</v>
      </c>
      <c r="L103" s="13">
        <v>9</v>
      </c>
      <c r="M103" s="13">
        <v>3</v>
      </c>
      <c r="N103" s="13" t="s">
        <v>3</v>
      </c>
      <c r="O103" s="13">
        <v>2</v>
      </c>
      <c r="P103" s="13">
        <f>ROUND(Source!EI93,O103)</f>
        <v>0</v>
      </c>
      <c r="Q103" s="13"/>
      <c r="R103" s="13"/>
      <c r="S103" s="13"/>
      <c r="T103" s="13"/>
      <c r="U103" s="13"/>
      <c r="V103" s="13"/>
      <c r="W103" s="13">
        <v>0</v>
      </c>
      <c r="X103" s="13">
        <v>1</v>
      </c>
      <c r="Y103" s="13">
        <v>0</v>
      </c>
      <c r="Z103" s="13">
        <v>0</v>
      </c>
      <c r="AA103" s="13">
        <v>1</v>
      </c>
      <c r="AB103" s="13">
        <v>0</v>
      </c>
    </row>
    <row r="104" spans="1:28" x14ac:dyDescent="0.2">
      <c r="A104" s="13">
        <v>50</v>
      </c>
      <c r="B104" s="13">
        <v>0</v>
      </c>
      <c r="C104" s="13">
        <v>0</v>
      </c>
      <c r="D104" s="13">
        <v>1</v>
      </c>
      <c r="E104" s="13">
        <v>229</v>
      </c>
      <c r="F104" s="13">
        <f>ROUND(Source!AZ93,O104)</f>
        <v>76571.070000000007</v>
      </c>
      <c r="G104" s="13" t="s">
        <v>150</v>
      </c>
      <c r="H104" s="13" t="s">
        <v>151</v>
      </c>
      <c r="I104" s="13"/>
      <c r="J104" s="13"/>
      <c r="K104" s="13">
        <v>229</v>
      </c>
      <c r="L104" s="13">
        <v>10</v>
      </c>
      <c r="M104" s="13">
        <v>3</v>
      </c>
      <c r="N104" s="13" t="s">
        <v>3</v>
      </c>
      <c r="O104" s="13">
        <v>2</v>
      </c>
      <c r="P104" s="13">
        <f>ROUND(Source!ER93,O104)</f>
        <v>586534.39</v>
      </c>
      <c r="Q104" s="13"/>
      <c r="R104" s="13"/>
      <c r="S104" s="13"/>
      <c r="T104" s="13"/>
      <c r="U104" s="13"/>
      <c r="V104" s="13"/>
      <c r="W104" s="13">
        <v>76571.070000000007</v>
      </c>
      <c r="X104" s="13">
        <v>1</v>
      </c>
      <c r="Y104" s="13">
        <v>76571.070000000007</v>
      </c>
      <c r="Z104" s="13">
        <v>586534.39</v>
      </c>
      <c r="AA104" s="13">
        <v>1</v>
      </c>
      <c r="AB104" s="13">
        <v>586534.39</v>
      </c>
    </row>
    <row r="105" spans="1:28" x14ac:dyDescent="0.2">
      <c r="A105" s="13">
        <v>50</v>
      </c>
      <c r="B105" s="13">
        <v>0</v>
      </c>
      <c r="C105" s="13">
        <v>0</v>
      </c>
      <c r="D105" s="13">
        <v>1</v>
      </c>
      <c r="E105" s="13">
        <v>203</v>
      </c>
      <c r="F105" s="13">
        <f>ROUND(Source!Q93,O105)</f>
        <v>4.04</v>
      </c>
      <c r="G105" s="13" t="s">
        <v>152</v>
      </c>
      <c r="H105" s="13" t="s">
        <v>153</v>
      </c>
      <c r="I105" s="13"/>
      <c r="J105" s="13"/>
      <c r="K105" s="13">
        <v>203</v>
      </c>
      <c r="L105" s="13">
        <v>11</v>
      </c>
      <c r="M105" s="13">
        <v>3</v>
      </c>
      <c r="N105" s="13" t="s">
        <v>3</v>
      </c>
      <c r="O105" s="13">
        <v>2</v>
      </c>
      <c r="P105" s="13">
        <f>ROUND(Source!DI93,O105)</f>
        <v>59.67</v>
      </c>
      <c r="Q105" s="13"/>
      <c r="R105" s="13"/>
      <c r="S105" s="13"/>
      <c r="T105" s="13"/>
      <c r="U105" s="13"/>
      <c r="V105" s="13"/>
      <c r="W105" s="13">
        <v>4.04</v>
      </c>
      <c r="X105" s="13">
        <v>1</v>
      </c>
      <c r="Y105" s="13">
        <v>4.04</v>
      </c>
      <c r="Z105" s="13">
        <v>59.67</v>
      </c>
      <c r="AA105" s="13">
        <v>1</v>
      </c>
      <c r="AB105" s="13">
        <v>59.67</v>
      </c>
    </row>
    <row r="106" spans="1:28" x14ac:dyDescent="0.2">
      <c r="A106" s="13">
        <v>50</v>
      </c>
      <c r="B106" s="13">
        <v>0</v>
      </c>
      <c r="C106" s="13">
        <v>0</v>
      </c>
      <c r="D106" s="13">
        <v>1</v>
      </c>
      <c r="E106" s="13">
        <v>231</v>
      </c>
      <c r="F106" s="13">
        <f>ROUND(Source!BB93,O106)</f>
        <v>0</v>
      </c>
      <c r="G106" s="13" t="s">
        <v>154</v>
      </c>
      <c r="H106" s="13" t="s">
        <v>155</v>
      </c>
      <c r="I106" s="13"/>
      <c r="J106" s="13"/>
      <c r="K106" s="13">
        <v>231</v>
      </c>
      <c r="L106" s="13">
        <v>12</v>
      </c>
      <c r="M106" s="13">
        <v>3</v>
      </c>
      <c r="N106" s="13" t="s">
        <v>3</v>
      </c>
      <c r="O106" s="13">
        <v>2</v>
      </c>
      <c r="P106" s="13">
        <f>ROUND(Source!ET93,O106)</f>
        <v>0</v>
      </c>
      <c r="Q106" s="13"/>
      <c r="R106" s="13"/>
      <c r="S106" s="13"/>
      <c r="T106" s="13"/>
      <c r="U106" s="13"/>
      <c r="V106" s="13"/>
      <c r="W106" s="13">
        <v>0</v>
      </c>
      <c r="X106" s="13">
        <v>1</v>
      </c>
      <c r="Y106" s="13">
        <v>0</v>
      </c>
      <c r="Z106" s="13">
        <v>0</v>
      </c>
      <c r="AA106" s="13">
        <v>1</v>
      </c>
      <c r="AB106" s="13">
        <v>0</v>
      </c>
    </row>
    <row r="107" spans="1:28" x14ac:dyDescent="0.2">
      <c r="A107" s="13">
        <v>50</v>
      </c>
      <c r="B107" s="13">
        <v>0</v>
      </c>
      <c r="C107" s="13">
        <v>0</v>
      </c>
      <c r="D107" s="13">
        <v>1</v>
      </c>
      <c r="E107" s="13">
        <v>204</v>
      </c>
      <c r="F107" s="13">
        <f>ROUND(Source!R93,O107)</f>
        <v>0.49</v>
      </c>
      <c r="G107" s="13" t="s">
        <v>156</v>
      </c>
      <c r="H107" s="13" t="s">
        <v>157</v>
      </c>
      <c r="I107" s="13"/>
      <c r="J107" s="13"/>
      <c r="K107" s="13">
        <v>204</v>
      </c>
      <c r="L107" s="13">
        <v>13</v>
      </c>
      <c r="M107" s="13">
        <v>3</v>
      </c>
      <c r="N107" s="13" t="s">
        <v>3</v>
      </c>
      <c r="O107" s="13">
        <v>2</v>
      </c>
      <c r="P107" s="13">
        <f>ROUND(Source!DJ93,O107)</f>
        <v>26.95</v>
      </c>
      <c r="Q107" s="13"/>
      <c r="R107" s="13"/>
      <c r="S107" s="13"/>
      <c r="T107" s="13"/>
      <c r="U107" s="13"/>
      <c r="V107" s="13"/>
      <c r="W107" s="13">
        <v>0.49</v>
      </c>
      <c r="X107" s="13">
        <v>1</v>
      </c>
      <c r="Y107" s="13">
        <v>0.49</v>
      </c>
      <c r="Z107" s="13">
        <v>26.95</v>
      </c>
      <c r="AA107" s="13">
        <v>1</v>
      </c>
      <c r="AB107" s="13">
        <v>26.95</v>
      </c>
    </row>
    <row r="108" spans="1:28" x14ac:dyDescent="0.2">
      <c r="A108" s="13">
        <v>50</v>
      </c>
      <c r="B108" s="13">
        <v>0</v>
      </c>
      <c r="C108" s="13">
        <v>0</v>
      </c>
      <c r="D108" s="13">
        <v>1</v>
      </c>
      <c r="E108" s="13">
        <v>205</v>
      </c>
      <c r="F108" s="13">
        <f>ROUND(Source!S93,O108)</f>
        <v>211.05</v>
      </c>
      <c r="G108" s="13" t="s">
        <v>158</v>
      </c>
      <c r="H108" s="13" t="s">
        <v>159</v>
      </c>
      <c r="I108" s="13"/>
      <c r="J108" s="13"/>
      <c r="K108" s="13">
        <v>205</v>
      </c>
      <c r="L108" s="13">
        <v>14</v>
      </c>
      <c r="M108" s="13">
        <v>3</v>
      </c>
      <c r="N108" s="13" t="s">
        <v>3</v>
      </c>
      <c r="O108" s="13">
        <v>2</v>
      </c>
      <c r="P108" s="13">
        <f>ROUND(Source!DK93,O108)</f>
        <v>11605.62</v>
      </c>
      <c r="Q108" s="13"/>
      <c r="R108" s="13"/>
      <c r="S108" s="13"/>
      <c r="T108" s="13"/>
      <c r="U108" s="13"/>
      <c r="V108" s="13"/>
      <c r="W108" s="13">
        <v>211.05</v>
      </c>
      <c r="X108" s="13">
        <v>1</v>
      </c>
      <c r="Y108" s="13">
        <v>211.05</v>
      </c>
      <c r="Z108" s="13">
        <v>11605.62</v>
      </c>
      <c r="AA108" s="13">
        <v>1</v>
      </c>
      <c r="AB108" s="13">
        <v>11605.62</v>
      </c>
    </row>
    <row r="109" spans="1:28" x14ac:dyDescent="0.2">
      <c r="A109" s="13">
        <v>50</v>
      </c>
      <c r="B109" s="13">
        <v>0</v>
      </c>
      <c r="C109" s="13">
        <v>0</v>
      </c>
      <c r="D109" s="13">
        <v>1</v>
      </c>
      <c r="E109" s="13">
        <v>232</v>
      </c>
      <c r="F109" s="13">
        <f>ROUND(Source!BC93,O109)</f>
        <v>0</v>
      </c>
      <c r="G109" s="13" t="s">
        <v>160</v>
      </c>
      <c r="H109" s="13" t="s">
        <v>161</v>
      </c>
      <c r="I109" s="13"/>
      <c r="J109" s="13"/>
      <c r="K109" s="13">
        <v>232</v>
      </c>
      <c r="L109" s="13">
        <v>15</v>
      </c>
      <c r="M109" s="13">
        <v>3</v>
      </c>
      <c r="N109" s="13" t="s">
        <v>3</v>
      </c>
      <c r="O109" s="13">
        <v>2</v>
      </c>
      <c r="P109" s="13">
        <f>ROUND(Source!EU93,O109)</f>
        <v>0</v>
      </c>
      <c r="Q109" s="13"/>
      <c r="R109" s="13"/>
      <c r="S109" s="13"/>
      <c r="T109" s="13"/>
      <c r="U109" s="13"/>
      <c r="V109" s="13"/>
      <c r="W109" s="13">
        <v>0</v>
      </c>
      <c r="X109" s="13">
        <v>1</v>
      </c>
      <c r="Y109" s="13">
        <v>0</v>
      </c>
      <c r="Z109" s="13">
        <v>0</v>
      </c>
      <c r="AA109" s="13">
        <v>1</v>
      </c>
      <c r="AB109" s="13">
        <v>0</v>
      </c>
    </row>
    <row r="110" spans="1:28" x14ac:dyDescent="0.2">
      <c r="A110" s="13">
        <v>50</v>
      </c>
      <c r="B110" s="13">
        <v>0</v>
      </c>
      <c r="C110" s="13">
        <v>0</v>
      </c>
      <c r="D110" s="13">
        <v>1</v>
      </c>
      <c r="E110" s="13">
        <v>214</v>
      </c>
      <c r="F110" s="13">
        <f>ROUND(Source!AS93,O110)</f>
        <v>0</v>
      </c>
      <c r="G110" s="13" t="s">
        <v>162</v>
      </c>
      <c r="H110" s="13" t="s">
        <v>163</v>
      </c>
      <c r="I110" s="13"/>
      <c r="J110" s="13"/>
      <c r="K110" s="13">
        <v>214</v>
      </c>
      <c r="L110" s="13">
        <v>16</v>
      </c>
      <c r="M110" s="13">
        <v>3</v>
      </c>
      <c r="N110" s="13" t="s">
        <v>3</v>
      </c>
      <c r="O110" s="13">
        <v>2</v>
      </c>
      <c r="P110" s="13">
        <f>ROUND(Source!EK93,O110)</f>
        <v>0</v>
      </c>
      <c r="Q110" s="13"/>
      <c r="R110" s="13"/>
      <c r="S110" s="13"/>
      <c r="T110" s="13"/>
      <c r="U110" s="13"/>
      <c r="V110" s="13"/>
      <c r="W110" s="13">
        <v>0</v>
      </c>
      <c r="X110" s="13">
        <v>1</v>
      </c>
      <c r="Y110" s="13">
        <v>0</v>
      </c>
      <c r="Z110" s="13">
        <v>0</v>
      </c>
      <c r="AA110" s="13">
        <v>1</v>
      </c>
      <c r="AB110" s="13">
        <v>0</v>
      </c>
    </row>
    <row r="111" spans="1:28" x14ac:dyDescent="0.2">
      <c r="A111" s="13">
        <v>50</v>
      </c>
      <c r="B111" s="13">
        <v>0</v>
      </c>
      <c r="C111" s="13">
        <v>0</v>
      </c>
      <c r="D111" s="13">
        <v>1</v>
      </c>
      <c r="E111" s="13">
        <v>215</v>
      </c>
      <c r="F111" s="13">
        <f>ROUND(Source!AT93,O111)</f>
        <v>4152.26</v>
      </c>
      <c r="G111" s="13" t="s">
        <v>164</v>
      </c>
      <c r="H111" s="13" t="s">
        <v>165</v>
      </c>
      <c r="I111" s="13"/>
      <c r="J111" s="13"/>
      <c r="K111" s="13">
        <v>215</v>
      </c>
      <c r="L111" s="13">
        <v>17</v>
      </c>
      <c r="M111" s="13">
        <v>3</v>
      </c>
      <c r="N111" s="13" t="s">
        <v>3</v>
      </c>
      <c r="O111" s="13">
        <v>2</v>
      </c>
      <c r="P111" s="13">
        <f>ROUND(Source!EL93,O111)</f>
        <v>62940.18</v>
      </c>
      <c r="Q111" s="13"/>
      <c r="R111" s="13"/>
      <c r="S111" s="13"/>
      <c r="T111" s="13"/>
      <c r="U111" s="13"/>
      <c r="V111" s="13"/>
      <c r="W111" s="13">
        <v>4152.26</v>
      </c>
      <c r="X111" s="13">
        <v>1</v>
      </c>
      <c r="Y111" s="13">
        <v>4152.26</v>
      </c>
      <c r="Z111" s="13">
        <v>62940.18</v>
      </c>
      <c r="AA111" s="13">
        <v>1</v>
      </c>
      <c r="AB111" s="13">
        <v>62940.18</v>
      </c>
    </row>
    <row r="112" spans="1:28" x14ac:dyDescent="0.2">
      <c r="A112" s="13">
        <v>50</v>
      </c>
      <c r="B112" s="13">
        <v>0</v>
      </c>
      <c r="C112" s="13">
        <v>0</v>
      </c>
      <c r="D112" s="13">
        <v>1</v>
      </c>
      <c r="E112" s="13">
        <v>217</v>
      </c>
      <c r="F112" s="13">
        <f>ROUND(Source!AU93,O112)</f>
        <v>0</v>
      </c>
      <c r="G112" s="13" t="s">
        <v>166</v>
      </c>
      <c r="H112" s="13" t="s">
        <v>167</v>
      </c>
      <c r="I112" s="13"/>
      <c r="J112" s="13"/>
      <c r="K112" s="13">
        <v>217</v>
      </c>
      <c r="L112" s="13">
        <v>18</v>
      </c>
      <c r="M112" s="13">
        <v>3</v>
      </c>
      <c r="N112" s="13" t="s">
        <v>3</v>
      </c>
      <c r="O112" s="13">
        <v>2</v>
      </c>
      <c r="P112" s="13">
        <f>ROUND(Source!EM93,O112)</f>
        <v>0</v>
      </c>
      <c r="Q112" s="13"/>
      <c r="R112" s="13"/>
      <c r="S112" s="13"/>
      <c r="T112" s="13"/>
      <c r="U112" s="13"/>
      <c r="V112" s="13"/>
      <c r="W112" s="13">
        <v>0</v>
      </c>
      <c r="X112" s="13">
        <v>1</v>
      </c>
      <c r="Y112" s="13">
        <v>0</v>
      </c>
      <c r="Z112" s="13">
        <v>0</v>
      </c>
      <c r="AA112" s="13">
        <v>1</v>
      </c>
      <c r="AB112" s="13">
        <v>0</v>
      </c>
    </row>
    <row r="113" spans="1:255" x14ac:dyDescent="0.2">
      <c r="A113" s="13">
        <v>50</v>
      </c>
      <c r="B113" s="13">
        <v>0</v>
      </c>
      <c r="C113" s="13">
        <v>0</v>
      </c>
      <c r="D113" s="13">
        <v>1</v>
      </c>
      <c r="E113" s="13">
        <v>230</v>
      </c>
      <c r="F113" s="13">
        <f>ROUND(Source!BA93,O113)</f>
        <v>0</v>
      </c>
      <c r="G113" s="13" t="s">
        <v>168</v>
      </c>
      <c r="H113" s="13" t="s">
        <v>169</v>
      </c>
      <c r="I113" s="13"/>
      <c r="J113" s="13"/>
      <c r="K113" s="13">
        <v>230</v>
      </c>
      <c r="L113" s="13">
        <v>19</v>
      </c>
      <c r="M113" s="13">
        <v>3</v>
      </c>
      <c r="N113" s="13" t="s">
        <v>3</v>
      </c>
      <c r="O113" s="13">
        <v>2</v>
      </c>
      <c r="P113" s="13">
        <f>ROUND(Source!ES93,O113)</f>
        <v>0</v>
      </c>
      <c r="Q113" s="13"/>
      <c r="R113" s="13"/>
      <c r="S113" s="13"/>
      <c r="T113" s="13"/>
      <c r="U113" s="13"/>
      <c r="V113" s="13"/>
      <c r="W113" s="13">
        <v>0</v>
      </c>
      <c r="X113" s="13">
        <v>1</v>
      </c>
      <c r="Y113" s="13">
        <v>0</v>
      </c>
      <c r="Z113" s="13">
        <v>0</v>
      </c>
      <c r="AA113" s="13">
        <v>1</v>
      </c>
      <c r="AB113" s="13">
        <v>0</v>
      </c>
    </row>
    <row r="114" spans="1:255" x14ac:dyDescent="0.2">
      <c r="A114" s="13">
        <v>50</v>
      </c>
      <c r="B114" s="13">
        <v>0</v>
      </c>
      <c r="C114" s="13">
        <v>0</v>
      </c>
      <c r="D114" s="13">
        <v>1</v>
      </c>
      <c r="E114" s="13">
        <v>206</v>
      </c>
      <c r="F114" s="13">
        <f>ROUND(Source!T93,O114)</f>
        <v>0</v>
      </c>
      <c r="G114" s="13" t="s">
        <v>170</v>
      </c>
      <c r="H114" s="13" t="s">
        <v>171</v>
      </c>
      <c r="I114" s="13"/>
      <c r="J114" s="13"/>
      <c r="K114" s="13">
        <v>206</v>
      </c>
      <c r="L114" s="13">
        <v>20</v>
      </c>
      <c r="M114" s="13">
        <v>3</v>
      </c>
      <c r="N114" s="13" t="s">
        <v>3</v>
      </c>
      <c r="O114" s="13">
        <v>2</v>
      </c>
      <c r="P114" s="13">
        <f>ROUND(Source!DL93,O114)</f>
        <v>0</v>
      </c>
      <c r="Q114" s="13"/>
      <c r="R114" s="13"/>
      <c r="S114" s="13"/>
      <c r="T114" s="13"/>
      <c r="U114" s="13"/>
      <c r="V114" s="13"/>
      <c r="W114" s="13">
        <v>0</v>
      </c>
      <c r="X114" s="13">
        <v>1</v>
      </c>
      <c r="Y114" s="13">
        <v>0</v>
      </c>
      <c r="Z114" s="13">
        <v>0</v>
      </c>
      <c r="AA114" s="13">
        <v>1</v>
      </c>
      <c r="AB114" s="13">
        <v>0</v>
      </c>
    </row>
    <row r="115" spans="1:255" x14ac:dyDescent="0.2">
      <c r="A115" s="13">
        <v>50</v>
      </c>
      <c r="B115" s="13">
        <v>0</v>
      </c>
      <c r="C115" s="13">
        <v>0</v>
      </c>
      <c r="D115" s="13">
        <v>1</v>
      </c>
      <c r="E115" s="13">
        <v>207</v>
      </c>
      <c r="F115" s="13">
        <f>Source!U93</f>
        <v>16.849370999999998</v>
      </c>
      <c r="G115" s="13" t="s">
        <v>172</v>
      </c>
      <c r="H115" s="13" t="s">
        <v>173</v>
      </c>
      <c r="I115" s="13"/>
      <c r="J115" s="13"/>
      <c r="K115" s="13">
        <v>207</v>
      </c>
      <c r="L115" s="13">
        <v>21</v>
      </c>
      <c r="M115" s="13">
        <v>3</v>
      </c>
      <c r="N115" s="13" t="s">
        <v>3</v>
      </c>
      <c r="O115" s="13">
        <v>-1</v>
      </c>
      <c r="P115" s="13">
        <f>Source!DM93</f>
        <v>16.849370999999998</v>
      </c>
      <c r="Q115" s="13"/>
      <c r="R115" s="13"/>
      <c r="S115" s="13"/>
      <c r="T115" s="13"/>
      <c r="U115" s="13"/>
      <c r="V115" s="13"/>
      <c r="W115" s="13">
        <v>16.849370999999998</v>
      </c>
      <c r="X115" s="13">
        <v>1</v>
      </c>
      <c r="Y115" s="13">
        <v>16.849370999999998</v>
      </c>
      <c r="Z115" s="13">
        <v>16.849370999999998</v>
      </c>
      <c r="AA115" s="13">
        <v>1</v>
      </c>
      <c r="AB115" s="13">
        <v>16.849370999999998</v>
      </c>
    </row>
    <row r="116" spans="1:255" x14ac:dyDescent="0.2">
      <c r="A116" s="13">
        <v>50</v>
      </c>
      <c r="B116" s="13">
        <v>0</v>
      </c>
      <c r="C116" s="13">
        <v>0</v>
      </c>
      <c r="D116" s="13">
        <v>1</v>
      </c>
      <c r="E116" s="13">
        <v>208</v>
      </c>
      <c r="F116" s="13">
        <f>Source!V93</f>
        <v>0</v>
      </c>
      <c r="G116" s="13" t="s">
        <v>174</v>
      </c>
      <c r="H116" s="13" t="s">
        <v>175</v>
      </c>
      <c r="I116" s="13"/>
      <c r="J116" s="13"/>
      <c r="K116" s="13">
        <v>208</v>
      </c>
      <c r="L116" s="13">
        <v>22</v>
      </c>
      <c r="M116" s="13">
        <v>3</v>
      </c>
      <c r="N116" s="13" t="s">
        <v>3</v>
      </c>
      <c r="O116" s="13">
        <v>-1</v>
      </c>
      <c r="P116" s="13">
        <f>Source!DN93</f>
        <v>0</v>
      </c>
      <c r="Q116" s="13"/>
      <c r="R116" s="13"/>
      <c r="S116" s="13"/>
      <c r="T116" s="13"/>
      <c r="U116" s="13"/>
      <c r="V116" s="13"/>
      <c r="W116" s="13">
        <v>0</v>
      </c>
      <c r="X116" s="13">
        <v>1</v>
      </c>
      <c r="Y116" s="13">
        <v>0</v>
      </c>
      <c r="Z116" s="13">
        <v>0</v>
      </c>
      <c r="AA116" s="13">
        <v>1</v>
      </c>
      <c r="AB116" s="13">
        <v>0</v>
      </c>
    </row>
    <row r="117" spans="1:255" x14ac:dyDescent="0.2">
      <c r="A117" s="13">
        <v>50</v>
      </c>
      <c r="B117" s="13">
        <v>0</v>
      </c>
      <c r="C117" s="13">
        <v>0</v>
      </c>
      <c r="D117" s="13">
        <v>1</v>
      </c>
      <c r="E117" s="13">
        <v>209</v>
      </c>
      <c r="F117" s="13">
        <f>ROUND(Source!W93,O117)</f>
        <v>0</v>
      </c>
      <c r="G117" s="13" t="s">
        <v>176</v>
      </c>
      <c r="H117" s="13" t="s">
        <v>177</v>
      </c>
      <c r="I117" s="13"/>
      <c r="J117" s="13"/>
      <c r="K117" s="13">
        <v>209</v>
      </c>
      <c r="L117" s="13">
        <v>23</v>
      </c>
      <c r="M117" s="13">
        <v>3</v>
      </c>
      <c r="N117" s="13" t="s">
        <v>3</v>
      </c>
      <c r="O117" s="13">
        <v>2</v>
      </c>
      <c r="P117" s="13">
        <f>ROUND(Source!DO93,O117)</f>
        <v>0</v>
      </c>
      <c r="Q117" s="13"/>
      <c r="R117" s="13"/>
      <c r="S117" s="13"/>
      <c r="T117" s="13"/>
      <c r="U117" s="13"/>
      <c r="V117" s="13"/>
      <c r="W117" s="13">
        <v>0</v>
      </c>
      <c r="X117" s="13">
        <v>1</v>
      </c>
      <c r="Y117" s="13">
        <v>0</v>
      </c>
      <c r="Z117" s="13">
        <v>0</v>
      </c>
      <c r="AA117" s="13">
        <v>1</v>
      </c>
      <c r="AB117" s="13">
        <v>0</v>
      </c>
    </row>
    <row r="118" spans="1:255" x14ac:dyDescent="0.2">
      <c r="A118" s="13">
        <v>50</v>
      </c>
      <c r="B118" s="13">
        <v>0</v>
      </c>
      <c r="C118" s="13">
        <v>0</v>
      </c>
      <c r="D118" s="13">
        <v>1</v>
      </c>
      <c r="E118" s="13">
        <v>233</v>
      </c>
      <c r="F118" s="13">
        <f>ROUND(Source!BD93,O118)</f>
        <v>0</v>
      </c>
      <c r="G118" s="13" t="s">
        <v>178</v>
      </c>
      <c r="H118" s="13" t="s">
        <v>179</v>
      </c>
      <c r="I118" s="13"/>
      <c r="J118" s="13"/>
      <c r="K118" s="13">
        <v>233</v>
      </c>
      <c r="L118" s="13">
        <v>24</v>
      </c>
      <c r="M118" s="13">
        <v>3</v>
      </c>
      <c r="N118" s="13" t="s">
        <v>3</v>
      </c>
      <c r="O118" s="13">
        <v>2</v>
      </c>
      <c r="P118" s="13">
        <f>ROUND(Source!EV93,O118)</f>
        <v>0</v>
      </c>
      <c r="Q118" s="13"/>
      <c r="R118" s="13"/>
      <c r="S118" s="13"/>
      <c r="T118" s="13"/>
      <c r="U118" s="13"/>
      <c r="V118" s="13"/>
      <c r="W118" s="13">
        <v>0</v>
      </c>
      <c r="X118" s="13">
        <v>1</v>
      </c>
      <c r="Y118" s="13">
        <v>0</v>
      </c>
      <c r="Z118" s="13">
        <v>0</v>
      </c>
      <c r="AA118" s="13">
        <v>1</v>
      </c>
      <c r="AB118" s="13">
        <v>0</v>
      </c>
    </row>
    <row r="119" spans="1:255" x14ac:dyDescent="0.2">
      <c r="A119" s="13">
        <v>50</v>
      </c>
      <c r="B119" s="13">
        <v>0</v>
      </c>
      <c r="C119" s="13">
        <v>0</v>
      </c>
      <c r="D119" s="13">
        <v>1</v>
      </c>
      <c r="E119" s="13">
        <v>210</v>
      </c>
      <c r="F119" s="13">
        <f>ROUND(Source!X93,O119)</f>
        <v>190.4</v>
      </c>
      <c r="G119" s="13" t="s">
        <v>180</v>
      </c>
      <c r="H119" s="13" t="s">
        <v>181</v>
      </c>
      <c r="I119" s="13"/>
      <c r="J119" s="13"/>
      <c r="K119" s="13">
        <v>210</v>
      </c>
      <c r="L119" s="13">
        <v>25</v>
      </c>
      <c r="M119" s="13">
        <v>3</v>
      </c>
      <c r="N119" s="13" t="s">
        <v>3</v>
      </c>
      <c r="O119" s="13">
        <v>2</v>
      </c>
      <c r="P119" s="13">
        <f>ROUND(Source!DP93,O119)</f>
        <v>10469.31</v>
      </c>
      <c r="Q119" s="13"/>
      <c r="R119" s="13"/>
      <c r="S119" s="13"/>
      <c r="T119" s="13"/>
      <c r="U119" s="13"/>
      <c r="V119" s="13"/>
      <c r="W119" s="13">
        <v>190.4</v>
      </c>
      <c r="X119" s="13">
        <v>1</v>
      </c>
      <c r="Y119" s="13">
        <v>190.4</v>
      </c>
      <c r="Z119" s="13">
        <v>10469.31</v>
      </c>
      <c r="AA119" s="13">
        <v>1</v>
      </c>
      <c r="AB119" s="13">
        <v>10469.31</v>
      </c>
    </row>
    <row r="120" spans="1:255" x14ac:dyDescent="0.2">
      <c r="A120" s="13">
        <v>50</v>
      </c>
      <c r="B120" s="13">
        <v>0</v>
      </c>
      <c r="C120" s="13">
        <v>0</v>
      </c>
      <c r="D120" s="13">
        <v>1</v>
      </c>
      <c r="E120" s="13">
        <v>211</v>
      </c>
      <c r="F120" s="13">
        <f>ROUND(Source!Y93,O120)</f>
        <v>97.27</v>
      </c>
      <c r="G120" s="13" t="s">
        <v>182</v>
      </c>
      <c r="H120" s="13" t="s">
        <v>183</v>
      </c>
      <c r="I120" s="13"/>
      <c r="J120" s="13"/>
      <c r="K120" s="13">
        <v>211</v>
      </c>
      <c r="L120" s="13">
        <v>26</v>
      </c>
      <c r="M120" s="13">
        <v>3</v>
      </c>
      <c r="N120" s="13" t="s">
        <v>3</v>
      </c>
      <c r="O120" s="13">
        <v>2</v>
      </c>
      <c r="P120" s="13">
        <f>ROUND(Source!DQ93,O120)</f>
        <v>5350.96</v>
      </c>
      <c r="Q120" s="13"/>
      <c r="R120" s="13"/>
      <c r="S120" s="13"/>
      <c r="T120" s="13"/>
      <c r="U120" s="13"/>
      <c r="V120" s="13"/>
      <c r="W120" s="13">
        <v>97.27</v>
      </c>
      <c r="X120" s="13">
        <v>1</v>
      </c>
      <c r="Y120" s="13">
        <v>97.27</v>
      </c>
      <c r="Z120" s="13">
        <v>5350.96</v>
      </c>
      <c r="AA120" s="13">
        <v>1</v>
      </c>
      <c r="AB120" s="13">
        <v>5350.96</v>
      </c>
    </row>
    <row r="121" spans="1:255" x14ac:dyDescent="0.2">
      <c r="A121" s="13">
        <v>50</v>
      </c>
      <c r="B121" s="13">
        <v>0</v>
      </c>
      <c r="C121" s="13">
        <v>0</v>
      </c>
      <c r="D121" s="13">
        <v>1</v>
      </c>
      <c r="E121" s="13">
        <v>224</v>
      </c>
      <c r="F121" s="13">
        <f>ROUND(Source!AR93,O121)</f>
        <v>80723.33</v>
      </c>
      <c r="G121" s="13" t="s">
        <v>184</v>
      </c>
      <c r="H121" s="13" t="s">
        <v>185</v>
      </c>
      <c r="I121" s="13"/>
      <c r="J121" s="13"/>
      <c r="K121" s="13">
        <v>224</v>
      </c>
      <c r="L121" s="13">
        <v>27</v>
      </c>
      <c r="M121" s="13">
        <v>3</v>
      </c>
      <c r="N121" s="13" t="s">
        <v>3</v>
      </c>
      <c r="O121" s="13">
        <v>2</v>
      </c>
      <c r="P121" s="13">
        <f>ROUND(Source!EJ93,O121)</f>
        <v>649474.56999999995</v>
      </c>
      <c r="Q121" s="13"/>
      <c r="R121" s="13"/>
      <c r="S121" s="13"/>
      <c r="T121" s="13"/>
      <c r="U121" s="13"/>
      <c r="V121" s="13"/>
      <c r="W121" s="13">
        <v>80723.33</v>
      </c>
      <c r="X121" s="13">
        <v>1</v>
      </c>
      <c r="Y121" s="13">
        <v>80723.33</v>
      </c>
      <c r="Z121" s="13">
        <v>649474.56999999995</v>
      </c>
      <c r="AA121" s="13">
        <v>1</v>
      </c>
      <c r="AB121" s="13">
        <v>649474.56999999995</v>
      </c>
    </row>
    <row r="123" spans="1:255" x14ac:dyDescent="0.2">
      <c r="A123" s="10">
        <v>4</v>
      </c>
      <c r="B123" s="10">
        <v>1</v>
      </c>
      <c r="C123" s="10"/>
      <c r="D123" s="10">
        <f>ROW(A140)</f>
        <v>140</v>
      </c>
      <c r="E123" s="10"/>
      <c r="F123" s="10" t="s">
        <v>3</v>
      </c>
      <c r="G123" s="10" t="s">
        <v>186</v>
      </c>
      <c r="H123" s="10" t="s">
        <v>3</v>
      </c>
      <c r="I123" s="10">
        <v>0</v>
      </c>
      <c r="J123" s="10"/>
      <c r="K123" s="10">
        <v>-1</v>
      </c>
      <c r="L123" s="10"/>
      <c r="M123" s="10" t="s">
        <v>3</v>
      </c>
      <c r="N123" s="10"/>
      <c r="O123" s="10"/>
      <c r="P123" s="10"/>
      <c r="Q123" s="10"/>
      <c r="R123" s="10"/>
      <c r="S123" s="10">
        <v>0</v>
      </c>
      <c r="T123" s="10">
        <v>0</v>
      </c>
      <c r="U123" s="10" t="s">
        <v>3</v>
      </c>
      <c r="V123" s="10">
        <v>2</v>
      </c>
      <c r="W123" s="10"/>
      <c r="X123" s="10"/>
      <c r="Y123" s="10"/>
      <c r="Z123" s="10"/>
      <c r="AA123" s="10"/>
      <c r="AB123" s="10" t="s">
        <v>3</v>
      </c>
      <c r="AC123" s="10" t="s">
        <v>3</v>
      </c>
      <c r="AD123" s="10" t="s">
        <v>3</v>
      </c>
      <c r="AE123" s="10" t="s">
        <v>3</v>
      </c>
      <c r="AF123" s="10" t="s">
        <v>3</v>
      </c>
      <c r="AG123" s="10" t="s">
        <v>3</v>
      </c>
      <c r="AH123" s="10"/>
      <c r="AI123" s="10"/>
      <c r="AJ123" s="10"/>
      <c r="AK123" s="10"/>
      <c r="AL123" s="10"/>
      <c r="AM123" s="10"/>
      <c r="AN123" s="10"/>
      <c r="AO123" s="10"/>
      <c r="AP123" s="10" t="s">
        <v>3</v>
      </c>
      <c r="AQ123" s="10" t="s">
        <v>3</v>
      </c>
      <c r="AR123" s="10" t="s">
        <v>3</v>
      </c>
      <c r="AS123" s="10"/>
      <c r="AT123" s="10"/>
      <c r="AU123" s="10"/>
      <c r="AV123" s="10"/>
      <c r="AW123" s="10"/>
      <c r="AX123" s="10"/>
      <c r="AY123" s="10"/>
      <c r="AZ123" s="10" t="s">
        <v>3</v>
      </c>
      <c r="BA123" s="10"/>
      <c r="BB123" s="10" t="s">
        <v>3</v>
      </c>
      <c r="BC123" s="10" t="s">
        <v>3</v>
      </c>
      <c r="BD123" s="10" t="s">
        <v>3</v>
      </c>
      <c r="BE123" s="10" t="s">
        <v>3</v>
      </c>
      <c r="BF123" s="10" t="s">
        <v>3</v>
      </c>
      <c r="BG123" s="10" t="s">
        <v>3</v>
      </c>
      <c r="BH123" s="10" t="s">
        <v>3</v>
      </c>
      <c r="BI123" s="10" t="s">
        <v>3</v>
      </c>
      <c r="BJ123" s="10" t="s">
        <v>3</v>
      </c>
      <c r="BK123" s="10" t="s">
        <v>3</v>
      </c>
      <c r="BL123" s="10" t="s">
        <v>3</v>
      </c>
      <c r="BM123" s="10" t="s">
        <v>3</v>
      </c>
      <c r="BN123" s="10" t="s">
        <v>3</v>
      </c>
      <c r="BO123" s="10" t="s">
        <v>3</v>
      </c>
      <c r="BP123" s="10" t="s">
        <v>3</v>
      </c>
      <c r="BQ123" s="10"/>
      <c r="BR123" s="10"/>
      <c r="BS123" s="10"/>
      <c r="BT123" s="10"/>
      <c r="BU123" s="10"/>
      <c r="BV123" s="10"/>
      <c r="BW123" s="10"/>
      <c r="BX123" s="10">
        <v>0</v>
      </c>
      <c r="BY123" s="10"/>
      <c r="BZ123" s="10"/>
      <c r="CA123" s="10"/>
      <c r="CB123" s="10"/>
      <c r="CC123" s="10"/>
      <c r="CD123" s="10"/>
      <c r="CE123" s="10"/>
      <c r="CF123" s="10"/>
      <c r="CG123" s="10"/>
      <c r="CH123" s="10"/>
      <c r="CI123" s="10"/>
      <c r="CJ123" s="10">
        <v>0</v>
      </c>
    </row>
    <row r="125" spans="1:255" x14ac:dyDescent="0.2">
      <c r="A125" s="11">
        <v>52</v>
      </c>
      <c r="B125" s="11">
        <f t="shared" ref="B125:G125" si="97">B140</f>
        <v>1</v>
      </c>
      <c r="C125" s="11">
        <f t="shared" si="97"/>
        <v>4</v>
      </c>
      <c r="D125" s="11">
        <f t="shared" si="97"/>
        <v>123</v>
      </c>
      <c r="E125" s="11">
        <f t="shared" si="97"/>
        <v>0</v>
      </c>
      <c r="F125" s="11" t="str">
        <f t="shared" si="97"/>
        <v/>
      </c>
      <c r="G125" s="11" t="str">
        <f t="shared" si="97"/>
        <v>Оборудование оповещения</v>
      </c>
      <c r="H125" s="11"/>
      <c r="I125" s="11"/>
      <c r="J125" s="11"/>
      <c r="K125" s="11"/>
      <c r="L125" s="11"/>
      <c r="M125" s="11"/>
      <c r="N125" s="11"/>
      <c r="O125" s="11">
        <f t="shared" ref="O125:AT125" si="98">O140</f>
        <v>82669.119999999995</v>
      </c>
      <c r="P125" s="11">
        <f t="shared" si="98"/>
        <v>76702.210000000006</v>
      </c>
      <c r="Q125" s="11">
        <f t="shared" si="98"/>
        <v>0.21</v>
      </c>
      <c r="R125" s="11">
        <f t="shared" si="98"/>
        <v>0</v>
      </c>
      <c r="S125" s="11">
        <f t="shared" si="98"/>
        <v>5966.7</v>
      </c>
      <c r="T125" s="11">
        <f t="shared" si="98"/>
        <v>0</v>
      </c>
      <c r="U125" s="11">
        <f t="shared" si="98"/>
        <v>502.09513199999998</v>
      </c>
      <c r="V125" s="11">
        <f t="shared" si="98"/>
        <v>0</v>
      </c>
      <c r="W125" s="11">
        <f t="shared" si="98"/>
        <v>0</v>
      </c>
      <c r="X125" s="11">
        <f t="shared" si="98"/>
        <v>5661.71</v>
      </c>
      <c r="Y125" s="11">
        <f t="shared" si="98"/>
        <v>3153.04</v>
      </c>
      <c r="Z125" s="11">
        <f t="shared" si="98"/>
        <v>0</v>
      </c>
      <c r="AA125" s="11">
        <f t="shared" si="98"/>
        <v>0</v>
      </c>
      <c r="AB125" s="11">
        <f t="shared" si="98"/>
        <v>82669.119999999995</v>
      </c>
      <c r="AC125" s="11">
        <f t="shared" si="98"/>
        <v>76702.210000000006</v>
      </c>
      <c r="AD125" s="11">
        <f t="shared" si="98"/>
        <v>0.21</v>
      </c>
      <c r="AE125" s="11">
        <f t="shared" si="98"/>
        <v>0</v>
      </c>
      <c r="AF125" s="11">
        <f t="shared" si="98"/>
        <v>5966.7</v>
      </c>
      <c r="AG125" s="11">
        <f t="shared" si="98"/>
        <v>0</v>
      </c>
      <c r="AH125" s="11">
        <f t="shared" si="98"/>
        <v>502.09513199999998</v>
      </c>
      <c r="AI125" s="11">
        <f t="shared" si="98"/>
        <v>0</v>
      </c>
      <c r="AJ125" s="11">
        <f t="shared" si="98"/>
        <v>0</v>
      </c>
      <c r="AK125" s="11">
        <f t="shared" si="98"/>
        <v>5661.71</v>
      </c>
      <c r="AL125" s="11">
        <f t="shared" si="98"/>
        <v>3153.04</v>
      </c>
      <c r="AM125" s="11">
        <f t="shared" si="98"/>
        <v>0</v>
      </c>
      <c r="AN125" s="11">
        <f t="shared" si="98"/>
        <v>0</v>
      </c>
      <c r="AO125" s="11">
        <f t="shared" si="98"/>
        <v>0</v>
      </c>
      <c r="AP125" s="11">
        <f t="shared" si="98"/>
        <v>71484.36</v>
      </c>
      <c r="AQ125" s="11">
        <f t="shared" si="98"/>
        <v>0</v>
      </c>
      <c r="AR125" s="11">
        <f t="shared" si="98"/>
        <v>91483.87</v>
      </c>
      <c r="AS125" s="11">
        <f t="shared" si="98"/>
        <v>0</v>
      </c>
      <c r="AT125" s="11">
        <f t="shared" si="98"/>
        <v>19999.509999999998</v>
      </c>
      <c r="AU125" s="11">
        <f t="shared" ref="AU125:BZ125" si="99">AU140</f>
        <v>0</v>
      </c>
      <c r="AV125" s="11">
        <f t="shared" si="99"/>
        <v>76702.210000000006</v>
      </c>
      <c r="AW125" s="11">
        <f t="shared" si="99"/>
        <v>5217.8500000000004</v>
      </c>
      <c r="AX125" s="11">
        <f t="shared" si="99"/>
        <v>0</v>
      </c>
      <c r="AY125" s="11">
        <f t="shared" si="99"/>
        <v>5217.8500000000004</v>
      </c>
      <c r="AZ125" s="11">
        <f t="shared" si="99"/>
        <v>71484.36</v>
      </c>
      <c r="BA125" s="11">
        <f t="shared" si="99"/>
        <v>0</v>
      </c>
      <c r="BB125" s="11">
        <f t="shared" si="99"/>
        <v>0</v>
      </c>
      <c r="BC125" s="11">
        <f t="shared" si="99"/>
        <v>0</v>
      </c>
      <c r="BD125" s="11">
        <f t="shared" si="99"/>
        <v>0</v>
      </c>
      <c r="BE125" s="11">
        <f t="shared" si="99"/>
        <v>0</v>
      </c>
      <c r="BF125" s="11">
        <f t="shared" si="99"/>
        <v>0</v>
      </c>
      <c r="BG125" s="11">
        <f t="shared" si="99"/>
        <v>0</v>
      </c>
      <c r="BH125" s="11">
        <f t="shared" si="99"/>
        <v>0</v>
      </c>
      <c r="BI125" s="11">
        <f t="shared" si="99"/>
        <v>0</v>
      </c>
      <c r="BJ125" s="11">
        <f t="shared" si="99"/>
        <v>0</v>
      </c>
      <c r="BK125" s="11">
        <f t="shared" si="99"/>
        <v>0</v>
      </c>
      <c r="BL125" s="11">
        <f t="shared" si="99"/>
        <v>0</v>
      </c>
      <c r="BM125" s="11">
        <f t="shared" si="99"/>
        <v>0</v>
      </c>
      <c r="BN125" s="11">
        <f t="shared" si="99"/>
        <v>0</v>
      </c>
      <c r="BO125" s="11">
        <f t="shared" si="99"/>
        <v>0</v>
      </c>
      <c r="BP125" s="11">
        <f t="shared" si="99"/>
        <v>0</v>
      </c>
      <c r="BQ125" s="11">
        <f t="shared" si="99"/>
        <v>0</v>
      </c>
      <c r="BR125" s="11">
        <f t="shared" si="99"/>
        <v>0</v>
      </c>
      <c r="BS125" s="11">
        <f t="shared" si="99"/>
        <v>0</v>
      </c>
      <c r="BT125" s="11">
        <f t="shared" si="99"/>
        <v>0</v>
      </c>
      <c r="BU125" s="11">
        <f t="shared" si="99"/>
        <v>0</v>
      </c>
      <c r="BV125" s="11">
        <f t="shared" si="99"/>
        <v>0</v>
      </c>
      <c r="BW125" s="11">
        <f t="shared" si="99"/>
        <v>0</v>
      </c>
      <c r="BX125" s="11">
        <f t="shared" si="99"/>
        <v>0</v>
      </c>
      <c r="BY125" s="11">
        <f t="shared" si="99"/>
        <v>71484.36</v>
      </c>
      <c r="BZ125" s="11">
        <f t="shared" si="99"/>
        <v>0</v>
      </c>
      <c r="CA125" s="11">
        <f t="shared" ref="CA125:DF125" si="100">CA140</f>
        <v>91483.87</v>
      </c>
      <c r="CB125" s="11">
        <f t="shared" si="100"/>
        <v>0</v>
      </c>
      <c r="CC125" s="11">
        <f t="shared" si="100"/>
        <v>19999.509999999998</v>
      </c>
      <c r="CD125" s="11">
        <f t="shared" si="100"/>
        <v>0</v>
      </c>
      <c r="CE125" s="11">
        <f t="shared" si="100"/>
        <v>76702.210000000006</v>
      </c>
      <c r="CF125" s="11">
        <f t="shared" si="100"/>
        <v>5217.8500000000058</v>
      </c>
      <c r="CG125" s="11">
        <f t="shared" si="100"/>
        <v>0</v>
      </c>
      <c r="CH125" s="11">
        <f t="shared" si="100"/>
        <v>5217.8500000000058</v>
      </c>
      <c r="CI125" s="11">
        <f t="shared" si="100"/>
        <v>71484.36</v>
      </c>
      <c r="CJ125" s="11">
        <f t="shared" si="100"/>
        <v>0</v>
      </c>
      <c r="CK125" s="11">
        <f t="shared" si="100"/>
        <v>0</v>
      </c>
      <c r="CL125" s="11">
        <f t="shared" si="100"/>
        <v>0</v>
      </c>
      <c r="CM125" s="11">
        <f t="shared" si="100"/>
        <v>0</v>
      </c>
      <c r="CN125" s="11">
        <f t="shared" si="100"/>
        <v>0</v>
      </c>
      <c r="CO125" s="11">
        <f t="shared" si="100"/>
        <v>0</v>
      </c>
      <c r="CP125" s="11">
        <f t="shared" si="100"/>
        <v>0</v>
      </c>
      <c r="CQ125" s="11">
        <f t="shared" si="100"/>
        <v>0</v>
      </c>
      <c r="CR125" s="11">
        <f t="shared" si="100"/>
        <v>0</v>
      </c>
      <c r="CS125" s="11">
        <f t="shared" si="100"/>
        <v>0</v>
      </c>
      <c r="CT125" s="11">
        <f t="shared" si="100"/>
        <v>0</v>
      </c>
      <c r="CU125" s="11">
        <f t="shared" si="100"/>
        <v>0</v>
      </c>
      <c r="CV125" s="11">
        <f t="shared" si="100"/>
        <v>0</v>
      </c>
      <c r="CW125" s="11">
        <f t="shared" si="100"/>
        <v>0</v>
      </c>
      <c r="CX125" s="11">
        <f t="shared" si="100"/>
        <v>0</v>
      </c>
      <c r="CY125" s="11">
        <f t="shared" si="100"/>
        <v>0</v>
      </c>
      <c r="CZ125" s="11">
        <f t="shared" si="100"/>
        <v>0</v>
      </c>
      <c r="DA125" s="11">
        <f t="shared" si="100"/>
        <v>0</v>
      </c>
      <c r="DB125" s="11">
        <f t="shared" si="100"/>
        <v>0</v>
      </c>
      <c r="DC125" s="11">
        <f t="shared" si="100"/>
        <v>0</v>
      </c>
      <c r="DD125" s="11">
        <f t="shared" si="100"/>
        <v>0</v>
      </c>
      <c r="DE125" s="11">
        <f t="shared" si="100"/>
        <v>0</v>
      </c>
      <c r="DF125" s="11">
        <f t="shared" si="100"/>
        <v>0</v>
      </c>
      <c r="DG125" s="12">
        <f t="shared" ref="DG125:EL125" si="101">DG140</f>
        <v>932648.66</v>
      </c>
      <c r="DH125" s="12">
        <f t="shared" si="101"/>
        <v>604538.06999999995</v>
      </c>
      <c r="DI125" s="12">
        <f t="shared" si="101"/>
        <v>1.76</v>
      </c>
      <c r="DJ125" s="12">
        <f t="shared" si="101"/>
        <v>0</v>
      </c>
      <c r="DK125" s="12">
        <f t="shared" si="101"/>
        <v>328108.83</v>
      </c>
      <c r="DL125" s="12">
        <f t="shared" si="101"/>
        <v>0</v>
      </c>
      <c r="DM125" s="12">
        <f t="shared" si="101"/>
        <v>502.09513199999998</v>
      </c>
      <c r="DN125" s="12">
        <f t="shared" si="101"/>
        <v>0</v>
      </c>
      <c r="DO125" s="12">
        <f t="shared" si="101"/>
        <v>0</v>
      </c>
      <c r="DP125" s="12">
        <f t="shared" si="101"/>
        <v>311337.21000000002</v>
      </c>
      <c r="DQ125" s="12">
        <f t="shared" si="101"/>
        <v>173385.03</v>
      </c>
      <c r="DR125" s="12">
        <f t="shared" si="101"/>
        <v>0</v>
      </c>
      <c r="DS125" s="12">
        <f t="shared" si="101"/>
        <v>0</v>
      </c>
      <c r="DT125" s="12">
        <f t="shared" si="101"/>
        <v>932648.66</v>
      </c>
      <c r="DU125" s="12">
        <f t="shared" si="101"/>
        <v>604538.06999999995</v>
      </c>
      <c r="DV125" s="12">
        <f t="shared" si="101"/>
        <v>1.76</v>
      </c>
      <c r="DW125" s="12">
        <f t="shared" si="101"/>
        <v>0</v>
      </c>
      <c r="DX125" s="12">
        <f t="shared" si="101"/>
        <v>328108.83</v>
      </c>
      <c r="DY125" s="12">
        <f t="shared" si="101"/>
        <v>0</v>
      </c>
      <c r="DZ125" s="12">
        <f t="shared" si="101"/>
        <v>502.09513199999998</v>
      </c>
      <c r="EA125" s="12">
        <f t="shared" si="101"/>
        <v>0</v>
      </c>
      <c r="EB125" s="12">
        <f t="shared" si="101"/>
        <v>0</v>
      </c>
      <c r="EC125" s="12">
        <f t="shared" si="101"/>
        <v>311337.21000000002</v>
      </c>
      <c r="ED125" s="12">
        <f t="shared" si="101"/>
        <v>173385.03</v>
      </c>
      <c r="EE125" s="12">
        <f t="shared" si="101"/>
        <v>0</v>
      </c>
      <c r="EF125" s="12">
        <f t="shared" si="101"/>
        <v>0</v>
      </c>
      <c r="EG125" s="12">
        <f t="shared" si="101"/>
        <v>0</v>
      </c>
      <c r="EH125" s="12">
        <f t="shared" si="101"/>
        <v>547570.19999999995</v>
      </c>
      <c r="EI125" s="12">
        <f t="shared" si="101"/>
        <v>0</v>
      </c>
      <c r="EJ125" s="12">
        <f t="shared" si="101"/>
        <v>1417370.9</v>
      </c>
      <c r="EK125" s="12">
        <f t="shared" si="101"/>
        <v>0</v>
      </c>
      <c r="EL125" s="12">
        <f t="shared" si="101"/>
        <v>869800.7</v>
      </c>
      <c r="EM125" s="12">
        <f t="shared" ref="EM125:FR125" si="102">EM140</f>
        <v>0</v>
      </c>
      <c r="EN125" s="12">
        <f t="shared" si="102"/>
        <v>604538.06999999995</v>
      </c>
      <c r="EO125" s="12">
        <f t="shared" si="102"/>
        <v>56967.87</v>
      </c>
      <c r="EP125" s="12">
        <f t="shared" si="102"/>
        <v>0</v>
      </c>
      <c r="EQ125" s="12">
        <f t="shared" si="102"/>
        <v>56967.87</v>
      </c>
      <c r="ER125" s="12">
        <f t="shared" si="102"/>
        <v>547570.19999999995</v>
      </c>
      <c r="ES125" s="12">
        <f t="shared" si="102"/>
        <v>0</v>
      </c>
      <c r="ET125" s="12">
        <f t="shared" si="102"/>
        <v>0</v>
      </c>
      <c r="EU125" s="12">
        <f t="shared" si="102"/>
        <v>0</v>
      </c>
      <c r="EV125" s="12">
        <f t="shared" si="102"/>
        <v>0</v>
      </c>
      <c r="EW125" s="12">
        <f t="shared" si="102"/>
        <v>0</v>
      </c>
      <c r="EX125" s="12">
        <f t="shared" si="102"/>
        <v>0</v>
      </c>
      <c r="EY125" s="12">
        <f t="shared" si="102"/>
        <v>0</v>
      </c>
      <c r="EZ125" s="12">
        <f t="shared" si="102"/>
        <v>0</v>
      </c>
      <c r="FA125" s="12">
        <f t="shared" si="102"/>
        <v>0</v>
      </c>
      <c r="FB125" s="12">
        <f t="shared" si="102"/>
        <v>0</v>
      </c>
      <c r="FC125" s="12">
        <f t="shared" si="102"/>
        <v>0</v>
      </c>
      <c r="FD125" s="12">
        <f t="shared" si="102"/>
        <v>0</v>
      </c>
      <c r="FE125" s="12">
        <f t="shared" si="102"/>
        <v>0</v>
      </c>
      <c r="FF125" s="12">
        <f t="shared" si="102"/>
        <v>0</v>
      </c>
      <c r="FG125" s="12">
        <f t="shared" si="102"/>
        <v>0</v>
      </c>
      <c r="FH125" s="12">
        <f t="shared" si="102"/>
        <v>0</v>
      </c>
      <c r="FI125" s="12">
        <f t="shared" si="102"/>
        <v>0</v>
      </c>
      <c r="FJ125" s="12">
        <f t="shared" si="102"/>
        <v>0</v>
      </c>
      <c r="FK125" s="12">
        <f t="shared" si="102"/>
        <v>0</v>
      </c>
      <c r="FL125" s="12">
        <f t="shared" si="102"/>
        <v>0</v>
      </c>
      <c r="FM125" s="12">
        <f t="shared" si="102"/>
        <v>0</v>
      </c>
      <c r="FN125" s="12">
        <f t="shared" si="102"/>
        <v>0</v>
      </c>
      <c r="FO125" s="12">
        <f t="shared" si="102"/>
        <v>0</v>
      </c>
      <c r="FP125" s="12">
        <f t="shared" si="102"/>
        <v>0</v>
      </c>
      <c r="FQ125" s="12">
        <f t="shared" si="102"/>
        <v>547570.19999999995</v>
      </c>
      <c r="FR125" s="12">
        <f t="shared" si="102"/>
        <v>0</v>
      </c>
      <c r="FS125" s="12">
        <f t="shared" ref="FS125:GX125" si="103">FS140</f>
        <v>1417370.9</v>
      </c>
      <c r="FT125" s="12">
        <f t="shared" si="103"/>
        <v>0</v>
      </c>
      <c r="FU125" s="12">
        <f t="shared" si="103"/>
        <v>869800.7</v>
      </c>
      <c r="FV125" s="12">
        <f t="shared" si="103"/>
        <v>0</v>
      </c>
      <c r="FW125" s="12">
        <f t="shared" si="103"/>
        <v>604538.06999999995</v>
      </c>
      <c r="FX125" s="12">
        <f t="shared" si="103"/>
        <v>56967.869999999995</v>
      </c>
      <c r="FY125" s="12">
        <f t="shared" si="103"/>
        <v>0</v>
      </c>
      <c r="FZ125" s="12">
        <f t="shared" si="103"/>
        <v>56967.869999999995</v>
      </c>
      <c r="GA125" s="12">
        <f t="shared" si="103"/>
        <v>547570.19999999995</v>
      </c>
      <c r="GB125" s="12">
        <f t="shared" si="103"/>
        <v>0</v>
      </c>
      <c r="GC125" s="12">
        <f t="shared" si="103"/>
        <v>0</v>
      </c>
      <c r="GD125" s="12">
        <f t="shared" si="103"/>
        <v>0</v>
      </c>
      <c r="GE125" s="12">
        <f t="shared" si="103"/>
        <v>0</v>
      </c>
      <c r="GF125" s="12">
        <f t="shared" si="103"/>
        <v>0</v>
      </c>
      <c r="GG125" s="12">
        <f t="shared" si="103"/>
        <v>0</v>
      </c>
      <c r="GH125" s="12">
        <f t="shared" si="103"/>
        <v>0</v>
      </c>
      <c r="GI125" s="12">
        <f t="shared" si="103"/>
        <v>0</v>
      </c>
      <c r="GJ125" s="12">
        <f t="shared" si="103"/>
        <v>0</v>
      </c>
      <c r="GK125" s="12">
        <f t="shared" si="103"/>
        <v>0</v>
      </c>
      <c r="GL125" s="12">
        <f t="shared" si="103"/>
        <v>0</v>
      </c>
      <c r="GM125" s="12">
        <f t="shared" si="103"/>
        <v>0</v>
      </c>
      <c r="GN125" s="12">
        <f t="shared" si="103"/>
        <v>0</v>
      </c>
      <c r="GO125" s="12">
        <f t="shared" si="103"/>
        <v>0</v>
      </c>
      <c r="GP125" s="12">
        <f t="shared" si="103"/>
        <v>0</v>
      </c>
      <c r="GQ125" s="12">
        <f t="shared" si="103"/>
        <v>0</v>
      </c>
      <c r="GR125" s="12">
        <f t="shared" si="103"/>
        <v>0</v>
      </c>
      <c r="GS125" s="12">
        <f t="shared" si="103"/>
        <v>0</v>
      </c>
      <c r="GT125" s="12">
        <f t="shared" si="103"/>
        <v>0</v>
      </c>
      <c r="GU125" s="12">
        <f t="shared" si="103"/>
        <v>0</v>
      </c>
      <c r="GV125" s="12">
        <f t="shared" si="103"/>
        <v>0</v>
      </c>
      <c r="GW125" s="12">
        <f t="shared" si="103"/>
        <v>0</v>
      </c>
      <c r="GX125" s="12">
        <f t="shared" si="103"/>
        <v>0</v>
      </c>
    </row>
    <row r="127" spans="1:255" x14ac:dyDescent="0.2">
      <c r="A127" s="2">
        <v>17</v>
      </c>
      <c r="B127" s="2">
        <v>1</v>
      </c>
      <c r="C127" s="2">
        <f>ROW(SmtRes!A72)</f>
        <v>72</v>
      </c>
      <c r="D127" s="2">
        <f>ROW(EtalonRes!A95)</f>
        <v>95</v>
      </c>
      <c r="E127" s="2" t="s">
        <v>187</v>
      </c>
      <c r="F127" s="2" t="s">
        <v>188</v>
      </c>
      <c r="G127" s="2" t="s">
        <v>189</v>
      </c>
      <c r="H127" s="2" t="s">
        <v>22</v>
      </c>
      <c r="I127" s="2">
        <v>213</v>
      </c>
      <c r="J127" s="2">
        <v>0</v>
      </c>
      <c r="K127" s="2">
        <v>213</v>
      </c>
      <c r="L127" s="2"/>
      <c r="M127" s="2"/>
      <c r="N127" s="2"/>
      <c r="O127" s="2">
        <f t="shared" ref="O127:O138" si="104">ROUND(CP127,2)</f>
        <v>11043.5</v>
      </c>
      <c r="P127" s="2">
        <f>ROUND((ROUND((AC127*AW127*I127),2)*BC127),2)</f>
        <v>5209.9799999999996</v>
      </c>
      <c r="Q127" s="2">
        <f>(ROUND((ROUND((((ET127*1.1))*AV127*I127),2)*BB127),2)+ROUND((ROUND(((AE127-((EU127*1.1)))*AV127*I127),2)*BS127),2))</f>
        <v>0</v>
      </c>
      <c r="R127" s="2">
        <f>(ROUND((ROUND((((EU127*1.1))*AV127*I127),2)*BS127),2)+ROUND((ROUND(((AE127-((EU127*1.1)))*AV127*I127),2)*BS127),2))</f>
        <v>0</v>
      </c>
      <c r="S127" s="2">
        <f t="shared" ref="S127:S138" si="105">ROUND((ROUND((AF127*AV127*I127),2)*BA127),2)</f>
        <v>5833.52</v>
      </c>
      <c r="T127" s="2">
        <f t="shared" ref="T127:T138" si="106">ROUND(CU127*I127,2)</f>
        <v>0</v>
      </c>
      <c r="U127" s="2">
        <f t="shared" ref="U127:U138" si="107">CV127*I127</f>
        <v>490.62419999999997</v>
      </c>
      <c r="V127" s="2">
        <f t="shared" ref="V127:V138" si="108">CW127*I127</f>
        <v>0</v>
      </c>
      <c r="W127" s="2">
        <f t="shared" ref="W127:W138" si="109">ROUND(CX127*I127,2)</f>
        <v>0</v>
      </c>
      <c r="X127" s="2">
        <f>(ROUND((((S127+ROUND((ROUND((((EU127*1.1))*AV127*I127),2)*BS127),2))*AT127)/100),2)+ROUND(((ROUND((ROUND(((AE127-((EU127*1.1)))*AV127*I127),2)*BS127),2)*AT127)/100),2))</f>
        <v>5541.84</v>
      </c>
      <c r="Y127" s="2">
        <f>(ROUND((((S127+ROUND((ROUND((((EU127*1.1))*AV127*I127),2)*BS127),2))*AU127)/100),2)+ROUND(((ROUND((ROUND(((AE127-((EU127*1.1)))*AV127*I127),2)*BS127),2)*AU127)/100),2))</f>
        <v>3091.77</v>
      </c>
      <c r="Z127" s="2"/>
      <c r="AA127" s="2">
        <v>60256405</v>
      </c>
      <c r="AB127" s="2">
        <f t="shared" ref="AB127:AB138" si="110">ROUND((AC127+AD127+AF127),6)</f>
        <v>50.618000000000002</v>
      </c>
      <c r="AC127" s="2">
        <f>ROUND(((ES127*1)),6)</f>
        <v>24.46</v>
      </c>
      <c r="AD127" s="2">
        <f>ROUND(((((ET127*1.1))-((EU127*1.1)))+AE127),6)</f>
        <v>0</v>
      </c>
      <c r="AE127" s="2">
        <f>ROUND(((EU127*1.1)),6)</f>
        <v>0</v>
      </c>
      <c r="AF127" s="2">
        <f>ROUND(((EV127*1.1)),6)</f>
        <v>26.158000000000001</v>
      </c>
      <c r="AG127" s="2">
        <f t="shared" ref="AG127:AG138" si="111">ROUND((AP127),6)</f>
        <v>0</v>
      </c>
      <c r="AH127" s="2">
        <f>((EW127*1.1))</f>
        <v>2.2000000000000002</v>
      </c>
      <c r="AI127" s="2">
        <f>((EX127*1.1))</f>
        <v>0</v>
      </c>
      <c r="AJ127" s="2">
        <f t="shared" ref="AJ127:AJ138" si="112">(AS127)</f>
        <v>0</v>
      </c>
      <c r="AK127" s="2">
        <v>48.24</v>
      </c>
      <c r="AL127" s="2">
        <v>24.46</v>
      </c>
      <c r="AM127" s="2">
        <v>0</v>
      </c>
      <c r="AN127" s="2">
        <v>0</v>
      </c>
      <c r="AO127" s="2">
        <v>23.78</v>
      </c>
      <c r="AP127" s="2">
        <v>0</v>
      </c>
      <c r="AQ127" s="2">
        <v>2</v>
      </c>
      <c r="AR127" s="2">
        <v>0</v>
      </c>
      <c r="AS127" s="2">
        <v>0</v>
      </c>
      <c r="AT127" s="2">
        <v>95</v>
      </c>
      <c r="AU127" s="2">
        <v>53</v>
      </c>
      <c r="AV127" s="2">
        <v>1.0469999999999999</v>
      </c>
      <c r="AW127" s="2">
        <v>1</v>
      </c>
      <c r="AX127" s="2"/>
      <c r="AY127" s="2"/>
      <c r="AZ127" s="2">
        <v>1</v>
      </c>
      <c r="BA127" s="2">
        <v>1</v>
      </c>
      <c r="BB127" s="2">
        <v>1</v>
      </c>
      <c r="BC127" s="2">
        <v>1</v>
      </c>
      <c r="BD127" s="2" t="s">
        <v>3</v>
      </c>
      <c r="BE127" s="2" t="s">
        <v>3</v>
      </c>
      <c r="BF127" s="2" t="s">
        <v>3</v>
      </c>
      <c r="BG127" s="2" t="s">
        <v>3</v>
      </c>
      <c r="BH127" s="2">
        <v>0</v>
      </c>
      <c r="BI127" s="2">
        <v>2</v>
      </c>
      <c r="BJ127" s="2" t="s">
        <v>190</v>
      </c>
      <c r="BK127" s="2"/>
      <c r="BL127" s="2"/>
      <c r="BM127" s="2">
        <v>69</v>
      </c>
      <c r="BN127" s="2">
        <v>58973116</v>
      </c>
      <c r="BO127" s="2" t="s">
        <v>188</v>
      </c>
      <c r="BP127" s="2">
        <v>1</v>
      </c>
      <c r="BQ127" s="2">
        <v>40</v>
      </c>
      <c r="BR127" s="2">
        <v>0</v>
      </c>
      <c r="BS127" s="2">
        <v>1</v>
      </c>
      <c r="BT127" s="2">
        <v>1</v>
      </c>
      <c r="BU127" s="2">
        <v>1</v>
      </c>
      <c r="BV127" s="2">
        <v>1</v>
      </c>
      <c r="BW127" s="2">
        <v>1</v>
      </c>
      <c r="BX127" s="2">
        <v>1</v>
      </c>
      <c r="BY127" s="2" t="s">
        <v>3</v>
      </c>
      <c r="BZ127" s="2">
        <v>95</v>
      </c>
      <c r="CA127" s="2">
        <v>53</v>
      </c>
      <c r="CB127" s="2" t="s">
        <v>3</v>
      </c>
      <c r="CC127" s="2"/>
      <c r="CD127" s="2"/>
      <c r="CE127" s="2">
        <v>1566</v>
      </c>
      <c r="CF127" s="2">
        <v>0</v>
      </c>
      <c r="CG127" s="2">
        <v>0</v>
      </c>
      <c r="CH127" s="2"/>
      <c r="CI127" s="2"/>
      <c r="CJ127" s="2"/>
      <c r="CK127" s="2"/>
      <c r="CL127" s="2"/>
      <c r="CM127" s="2">
        <v>0</v>
      </c>
      <c r="CN127" s="2" t="s">
        <v>369</v>
      </c>
      <c r="CO127" s="2">
        <v>0</v>
      </c>
      <c r="CP127" s="2">
        <f t="shared" ref="CP127:CP138" si="113">(P127+Q127+S127)</f>
        <v>11043.5</v>
      </c>
      <c r="CQ127" s="2">
        <f>ROUND((ROUND((AC127*AW127*1),2)*BC127),2)</f>
        <v>24.46</v>
      </c>
      <c r="CR127" s="2">
        <f>(ROUND((ROUND((((ET127*1.1))*AV127*1),2)*BB127),2)+ROUND((ROUND(((AE127-((EU127*1.1)))*AV127*1),2)*BS127),2))</f>
        <v>0</v>
      </c>
      <c r="CS127" s="2">
        <f>(ROUND((ROUND((((EU127*1.1))*AV127*1),2)*BS127),2)+ROUND((ROUND(((AE127-((EU127*1.1)))*AV127*1),2)*BS127),2))</f>
        <v>0</v>
      </c>
      <c r="CT127" s="2">
        <f t="shared" ref="CT127:CT138" si="114">ROUND((ROUND((AF127*AV127*1),2)*BA127),2)</f>
        <v>27.39</v>
      </c>
      <c r="CU127" s="2">
        <f t="shared" ref="CU127:CU138" si="115">AG127</f>
        <v>0</v>
      </c>
      <c r="CV127" s="2">
        <f t="shared" ref="CV127:CV138" si="116">(AH127*AV127)</f>
        <v>2.3033999999999999</v>
      </c>
      <c r="CW127" s="2">
        <f t="shared" ref="CW127:CW138" si="117">AI127</f>
        <v>0</v>
      </c>
      <c r="CX127" s="2">
        <f t="shared" ref="CX127:CX138" si="118">AJ127</f>
        <v>0</v>
      </c>
      <c r="CY127" s="2">
        <f>(ROUND((((S127+ROUND((ROUND((((EU127*1.1))*AV127*1),2)*BS127),2))*AT127)/100),2)+ROUND(((ROUND((ROUND(((AE127-((EU127*1.1)))*AV127*1),2)*BS127),2)*AT127)/100),2))</f>
        <v>5541.84</v>
      </c>
      <c r="CZ127" s="2">
        <f>(ROUND((((S127+ROUND((ROUND((((EU127*1.1))*AV127*1),2)*BS127),2))*AU127)/100),2)+ROUND(((ROUND((ROUND(((AE127-((EU127*1.1)))*AV127*1),2)*BS127),2)*AU127)/100),2))</f>
        <v>3091.77</v>
      </c>
      <c r="DA127" s="2"/>
      <c r="DB127" s="2">
        <v>25</v>
      </c>
      <c r="DC127" s="2" t="s">
        <v>3</v>
      </c>
      <c r="DD127" s="2" t="s">
        <v>24</v>
      </c>
      <c r="DE127" s="2" t="s">
        <v>25</v>
      </c>
      <c r="DF127" s="2" t="s">
        <v>25</v>
      </c>
      <c r="DG127" s="2" t="s">
        <v>25</v>
      </c>
      <c r="DH127" s="2" t="s">
        <v>3</v>
      </c>
      <c r="DI127" s="2" t="s">
        <v>25</v>
      </c>
      <c r="DJ127" s="2" t="s">
        <v>25</v>
      </c>
      <c r="DK127" s="2" t="s">
        <v>3</v>
      </c>
      <c r="DL127" s="2" t="s">
        <v>3</v>
      </c>
      <c r="DM127" s="2" t="s">
        <v>3</v>
      </c>
      <c r="DN127" s="2">
        <v>0</v>
      </c>
      <c r="DO127" s="2">
        <v>0</v>
      </c>
      <c r="DP127" s="2">
        <v>1</v>
      </c>
      <c r="DQ127" s="2">
        <v>1</v>
      </c>
      <c r="DR127" s="2"/>
      <c r="DS127" s="2"/>
      <c r="DT127" s="2"/>
      <c r="DU127" s="2">
        <v>1013</v>
      </c>
      <c r="DV127" s="2" t="s">
        <v>22</v>
      </c>
      <c r="DW127" s="2" t="s">
        <v>22</v>
      </c>
      <c r="DX127" s="2">
        <v>1</v>
      </c>
      <c r="DY127" s="2"/>
      <c r="DZ127" s="2" t="s">
        <v>3</v>
      </c>
      <c r="EA127" s="2" t="s">
        <v>3</v>
      </c>
      <c r="EB127" s="2" t="s">
        <v>3</v>
      </c>
      <c r="EC127" s="2" t="s">
        <v>3</v>
      </c>
      <c r="ED127" s="2"/>
      <c r="EE127" s="2">
        <v>60088533</v>
      </c>
      <c r="EF127" s="2">
        <v>40</v>
      </c>
      <c r="EG127" s="2" t="s">
        <v>26</v>
      </c>
      <c r="EH127" s="2">
        <v>0</v>
      </c>
      <c r="EI127" s="2" t="s">
        <v>3</v>
      </c>
      <c r="EJ127" s="2">
        <v>2</v>
      </c>
      <c r="EK127" s="2">
        <v>69</v>
      </c>
      <c r="EL127" s="2" t="s">
        <v>191</v>
      </c>
      <c r="EM127" s="2" t="s">
        <v>192</v>
      </c>
      <c r="EN127" s="2"/>
      <c r="EO127" s="2" t="s">
        <v>29</v>
      </c>
      <c r="EP127" s="2"/>
      <c r="EQ127" s="2">
        <v>0</v>
      </c>
      <c r="ER127" s="2">
        <v>48.24</v>
      </c>
      <c r="ES127" s="2">
        <v>24.46</v>
      </c>
      <c r="ET127" s="2">
        <v>0</v>
      </c>
      <c r="EU127" s="2">
        <v>0</v>
      </c>
      <c r="EV127" s="2">
        <v>23.78</v>
      </c>
      <c r="EW127" s="2">
        <v>2</v>
      </c>
      <c r="EX127" s="2">
        <v>0</v>
      </c>
      <c r="EY127" s="2">
        <v>0</v>
      </c>
      <c r="EZ127" s="2"/>
      <c r="FA127" s="2"/>
      <c r="FB127" s="2"/>
      <c r="FC127" s="2"/>
      <c r="FD127" s="2"/>
      <c r="FE127" s="2"/>
      <c r="FF127" s="2"/>
      <c r="FG127" s="2"/>
      <c r="FH127" s="2"/>
      <c r="FI127" s="2"/>
      <c r="FJ127" s="2"/>
      <c r="FK127" s="2"/>
      <c r="FL127" s="2"/>
      <c r="FM127" s="2"/>
      <c r="FN127" s="2"/>
      <c r="FO127" s="2"/>
      <c r="FP127" s="2"/>
      <c r="FQ127" s="2">
        <v>0</v>
      </c>
      <c r="FR127" s="2">
        <v>0</v>
      </c>
      <c r="FS127" s="2">
        <v>0</v>
      </c>
      <c r="FT127" s="2"/>
      <c r="FU127" s="2"/>
      <c r="FV127" s="2"/>
      <c r="FW127" s="2"/>
      <c r="FX127" s="2">
        <v>95</v>
      </c>
      <c r="FY127" s="2">
        <v>53</v>
      </c>
      <c r="FZ127" s="2"/>
      <c r="GA127" s="2" t="s">
        <v>3</v>
      </c>
      <c r="GB127" s="2"/>
      <c r="GC127" s="2"/>
      <c r="GD127" s="2">
        <v>1</v>
      </c>
      <c r="GE127" s="2"/>
      <c r="GF127" s="2">
        <v>385347773</v>
      </c>
      <c r="GG127" s="2">
        <v>2</v>
      </c>
      <c r="GH127" s="2">
        <v>1</v>
      </c>
      <c r="GI127" s="2">
        <v>2</v>
      </c>
      <c r="GJ127" s="2">
        <v>0</v>
      </c>
      <c r="GK127" s="2">
        <v>0</v>
      </c>
      <c r="GL127" s="2">
        <f t="shared" ref="GL127:GL138" si="119">ROUND(IF(AND(BH127=3,BI127=3,FS127&lt;&gt;0),P127,0),2)</f>
        <v>0</v>
      </c>
      <c r="GM127" s="2">
        <f t="shared" ref="GM127:GM138" si="120">ROUND(O127+X127+Y127,2)+GX127</f>
        <v>19677.11</v>
      </c>
      <c r="GN127" s="2">
        <f t="shared" ref="GN127:GN138" si="121">IF(OR(BI127=0,BI127=1),GM127-GX127,0)</f>
        <v>0</v>
      </c>
      <c r="GO127" s="2">
        <f t="shared" ref="GO127:GO138" si="122">IF(BI127=2,GM127-GX127,0)</f>
        <v>19677.11</v>
      </c>
      <c r="GP127" s="2">
        <f t="shared" ref="GP127:GP138" si="123">IF(BI127=4,GM127-GX127,0)</f>
        <v>0</v>
      </c>
      <c r="GQ127" s="2"/>
      <c r="GR127" s="2">
        <v>0</v>
      </c>
      <c r="GS127" s="2">
        <v>3</v>
      </c>
      <c r="GT127" s="2">
        <v>0</v>
      </c>
      <c r="GU127" s="2" t="s">
        <v>3</v>
      </c>
      <c r="GV127" s="2">
        <f t="shared" ref="GV127:GV138" si="124">ROUND((GT127),6)</f>
        <v>0</v>
      </c>
      <c r="GW127" s="2">
        <v>1</v>
      </c>
      <c r="GX127" s="2">
        <f t="shared" ref="GX127:GX138" si="125">ROUND(HC127*I127,2)</f>
        <v>0</v>
      </c>
      <c r="GY127" s="2"/>
      <c r="GZ127" s="2"/>
      <c r="HA127" s="2">
        <v>0</v>
      </c>
      <c r="HB127" s="2">
        <v>0</v>
      </c>
      <c r="HC127" s="2">
        <f t="shared" ref="HC127:HC138" si="126">GV127*GW127</f>
        <v>0</v>
      </c>
      <c r="HD127" s="2"/>
      <c r="HE127" s="2" t="s">
        <v>3</v>
      </c>
      <c r="HF127" s="2" t="s">
        <v>3</v>
      </c>
      <c r="HG127" s="2"/>
      <c r="HH127" s="2"/>
      <c r="HI127" s="2"/>
      <c r="HJ127" s="2"/>
      <c r="HK127" s="2"/>
      <c r="HL127" s="2"/>
      <c r="HM127" s="2" t="s">
        <v>3</v>
      </c>
      <c r="HN127" s="2" t="s">
        <v>3</v>
      </c>
      <c r="HO127" s="2" t="s">
        <v>3</v>
      </c>
      <c r="HP127" s="2" t="s">
        <v>3</v>
      </c>
      <c r="HQ127" s="2" t="s">
        <v>3</v>
      </c>
      <c r="HR127" s="2"/>
      <c r="HS127" s="2">
        <v>0</v>
      </c>
      <c r="HT127" s="2"/>
      <c r="HU127" s="2"/>
      <c r="HV127" s="2"/>
      <c r="HW127" s="2"/>
      <c r="HX127" s="2"/>
      <c r="HY127" s="2"/>
      <c r="HZ127" s="2"/>
      <c r="IA127" s="2"/>
      <c r="IB127" s="2"/>
      <c r="IC127" s="2"/>
      <c r="ID127" s="2"/>
      <c r="IE127" s="2"/>
      <c r="IF127" s="2"/>
      <c r="IG127" s="2"/>
      <c r="IH127" s="2"/>
      <c r="II127" s="2"/>
      <c r="IJ127" s="2"/>
      <c r="IK127" s="2">
        <v>0</v>
      </c>
      <c r="IL127" s="2"/>
      <c r="IM127" s="2"/>
      <c r="IN127" s="2"/>
      <c r="IO127" s="2"/>
      <c r="IP127" s="2"/>
      <c r="IQ127" s="2"/>
      <c r="IR127" s="2"/>
      <c r="IS127" s="2"/>
      <c r="IT127" s="2"/>
      <c r="IU127" s="2"/>
    </row>
    <row r="128" spans="1:255" x14ac:dyDescent="0.2">
      <c r="A128" s="3">
        <v>17</v>
      </c>
      <c r="B128" s="3">
        <v>1</v>
      </c>
      <c r="C128" s="3">
        <f>ROW(SmtRes!A76)</f>
        <v>76</v>
      </c>
      <c r="D128" s="3">
        <f>ROW(EtalonRes!A100)</f>
        <v>100</v>
      </c>
      <c r="E128" s="3" t="s">
        <v>187</v>
      </c>
      <c r="F128" s="3" t="s">
        <v>188</v>
      </c>
      <c r="G128" s="3" t="s">
        <v>189</v>
      </c>
      <c r="H128" s="3" t="s">
        <v>22</v>
      </c>
      <c r="I128" s="3">
        <v>213</v>
      </c>
      <c r="J128" s="3">
        <v>0</v>
      </c>
      <c r="K128" s="3">
        <v>213</v>
      </c>
      <c r="O128" s="3">
        <f t="shared" si="104"/>
        <v>377730.34</v>
      </c>
      <c r="P128" s="3">
        <f>ROUND((ROUND((AC128*AW128*I128),2)*BC128),2)</f>
        <v>56945.08</v>
      </c>
      <c r="Q128" s="3">
        <f>(ROUND((ROUND((((ET128*1.1))*AV128*I128),2)*BB128),2)+ROUND((ROUND(((AE128-((EU128*1.1)))*AV128*I128),2)*BS128),2))</f>
        <v>0</v>
      </c>
      <c r="R128" s="3">
        <f>(ROUND((ROUND((((EU128*1.1))*AV128*I128),2)*BS128),2)+ROUND((ROUND(((AE128-((EU128*1.1)))*AV128*I128),2)*BS128),2))</f>
        <v>0</v>
      </c>
      <c r="S128" s="3">
        <f t="shared" si="105"/>
        <v>320785.26</v>
      </c>
      <c r="T128" s="3">
        <f t="shared" si="106"/>
        <v>0</v>
      </c>
      <c r="U128" s="3">
        <f t="shared" si="107"/>
        <v>490.62419999999997</v>
      </c>
      <c r="V128" s="3">
        <f t="shared" si="108"/>
        <v>0</v>
      </c>
      <c r="W128" s="3">
        <f t="shared" si="109"/>
        <v>0</v>
      </c>
      <c r="X128" s="3">
        <f>(ROUND((((S128+ROUND((ROUND((((EU128*1.1))*AV128*I128),2)*BS128),2))*AT128)/100),2)+ROUND(((ROUND((ROUND(((AE128-((EU128*1.1)))*AV128*I128),2)*BS128),2)*AT128)/100),2))</f>
        <v>304746</v>
      </c>
      <c r="Y128" s="3">
        <f>(ROUND((((S128+ROUND((ROUND((((EU128*1.1))*AV128*I128),2)*BS128),2))*AU128)/100),2)+ROUND(((ROUND((ROUND(((AE128-((EU128*1.1)))*AV128*I128),2)*BS128),2)*AU128)/100),2))</f>
        <v>170016.19</v>
      </c>
      <c r="AA128" s="3">
        <v>60256402</v>
      </c>
      <c r="AB128" s="3">
        <f t="shared" si="110"/>
        <v>50.618000000000002</v>
      </c>
      <c r="AC128" s="3">
        <f>ROUND(((ES128*1)),6)</f>
        <v>24.46</v>
      </c>
      <c r="AD128" s="3">
        <f>ROUND(((((ET128*1.1))-((EU128*1.1)))+AE128),6)</f>
        <v>0</v>
      </c>
      <c r="AE128" s="3">
        <f>ROUND(((EU128*1.1)),6)</f>
        <v>0</v>
      </c>
      <c r="AF128" s="3">
        <f>ROUND(((EV128*1.1)),6)</f>
        <v>26.158000000000001</v>
      </c>
      <c r="AG128" s="3">
        <f t="shared" si="111"/>
        <v>0</v>
      </c>
      <c r="AH128" s="3">
        <f>((EW128*1.1))</f>
        <v>2.2000000000000002</v>
      </c>
      <c r="AI128" s="3">
        <f>((EX128*1.1))</f>
        <v>0</v>
      </c>
      <c r="AJ128" s="3">
        <f t="shared" si="112"/>
        <v>0</v>
      </c>
      <c r="AK128" s="3">
        <v>48.24</v>
      </c>
      <c r="AL128" s="3">
        <v>24.46</v>
      </c>
      <c r="AM128" s="3">
        <v>0</v>
      </c>
      <c r="AN128" s="3">
        <v>0</v>
      </c>
      <c r="AO128" s="3">
        <v>23.78</v>
      </c>
      <c r="AP128" s="3">
        <v>0</v>
      </c>
      <c r="AQ128" s="3">
        <v>2</v>
      </c>
      <c r="AR128" s="3">
        <v>0</v>
      </c>
      <c r="AS128" s="3">
        <v>0</v>
      </c>
      <c r="AT128" s="3">
        <v>95</v>
      </c>
      <c r="AU128" s="3">
        <v>53</v>
      </c>
      <c r="AV128" s="3">
        <v>1.0469999999999999</v>
      </c>
      <c r="AW128" s="3">
        <v>1</v>
      </c>
      <c r="AZ128" s="3">
        <v>1</v>
      </c>
      <c r="BA128" s="3">
        <v>54.99</v>
      </c>
      <c r="BB128" s="3">
        <v>1</v>
      </c>
      <c r="BC128" s="3">
        <v>10.93</v>
      </c>
      <c r="BD128" s="3" t="s">
        <v>3</v>
      </c>
      <c r="BE128" s="3" t="s">
        <v>3</v>
      </c>
      <c r="BF128" s="3" t="s">
        <v>3</v>
      </c>
      <c r="BG128" s="3" t="s">
        <v>3</v>
      </c>
      <c r="BH128" s="3">
        <v>0</v>
      </c>
      <c r="BI128" s="3">
        <v>2</v>
      </c>
      <c r="BJ128" s="3" t="s">
        <v>190</v>
      </c>
      <c r="BM128" s="3">
        <v>69</v>
      </c>
      <c r="BN128" s="3">
        <v>58973116</v>
      </c>
      <c r="BO128" s="3" t="s">
        <v>188</v>
      </c>
      <c r="BP128" s="3">
        <v>1</v>
      </c>
      <c r="BQ128" s="3">
        <v>40</v>
      </c>
      <c r="BR128" s="3">
        <v>0</v>
      </c>
      <c r="BS128" s="3">
        <v>54.99</v>
      </c>
      <c r="BT128" s="3">
        <v>1</v>
      </c>
      <c r="BU128" s="3">
        <v>1</v>
      </c>
      <c r="BV128" s="3">
        <v>1</v>
      </c>
      <c r="BW128" s="3">
        <v>1</v>
      </c>
      <c r="BX128" s="3">
        <v>1</v>
      </c>
      <c r="BY128" s="3" t="s">
        <v>3</v>
      </c>
      <c r="BZ128" s="3">
        <v>95</v>
      </c>
      <c r="CA128" s="3">
        <v>53</v>
      </c>
      <c r="CB128" s="3" t="s">
        <v>3</v>
      </c>
      <c r="CE128" s="3">
        <v>1566</v>
      </c>
      <c r="CF128" s="3">
        <v>0</v>
      </c>
      <c r="CG128" s="3">
        <v>0</v>
      </c>
      <c r="CM128" s="3">
        <v>0</v>
      </c>
      <c r="CN128" s="3" t="s">
        <v>369</v>
      </c>
      <c r="CO128" s="3">
        <v>0</v>
      </c>
      <c r="CP128" s="3">
        <f t="shared" si="113"/>
        <v>377730.34</v>
      </c>
      <c r="CQ128" s="3">
        <f>ROUND((ROUND((AC128*AW128*1),2)*BC128),2)</f>
        <v>267.35000000000002</v>
      </c>
      <c r="CR128" s="3">
        <f>(ROUND((ROUND((((ET128*1.1))*AV128*1),2)*BB128),2)+ROUND((ROUND(((AE128-((EU128*1.1)))*AV128*1),2)*BS128),2))</f>
        <v>0</v>
      </c>
      <c r="CS128" s="3">
        <f>(ROUND((ROUND((((EU128*1.1))*AV128*1),2)*BS128),2)+ROUND((ROUND(((AE128-((EU128*1.1)))*AV128*1),2)*BS128),2))</f>
        <v>0</v>
      </c>
      <c r="CT128" s="3">
        <f t="shared" si="114"/>
        <v>1506.18</v>
      </c>
      <c r="CU128" s="3">
        <f t="shared" si="115"/>
        <v>0</v>
      </c>
      <c r="CV128" s="3">
        <f t="shared" si="116"/>
        <v>2.3033999999999999</v>
      </c>
      <c r="CW128" s="3">
        <f t="shared" si="117"/>
        <v>0</v>
      </c>
      <c r="CX128" s="3">
        <f t="shared" si="118"/>
        <v>0</v>
      </c>
      <c r="CY128" s="3">
        <f>(ROUND((((S128+ROUND((ROUND((((EU128*1.1))*AV128*1),2)*BS128),2))*AT128)/100),2)+ROUND(((ROUND((ROUND(((AE128-((EU128*1.1)))*AV128*1),2)*BS128),2)*AT128)/100),2))</f>
        <v>304746</v>
      </c>
      <c r="CZ128" s="3">
        <f>(ROUND((((S128+ROUND((ROUND((((EU128*1.1))*AV128*1),2)*BS128),2))*AU128)/100),2)+ROUND(((ROUND((ROUND(((AE128-((EU128*1.1)))*AV128*1),2)*BS128),2)*AU128)/100),2))</f>
        <v>170016.19</v>
      </c>
      <c r="DB128" s="3">
        <v>26</v>
      </c>
      <c r="DC128" s="3" t="s">
        <v>3</v>
      </c>
      <c r="DD128" s="3" t="s">
        <v>24</v>
      </c>
      <c r="DE128" s="3" t="s">
        <v>25</v>
      </c>
      <c r="DF128" s="3" t="s">
        <v>25</v>
      </c>
      <c r="DG128" s="3" t="s">
        <v>25</v>
      </c>
      <c r="DH128" s="3" t="s">
        <v>3</v>
      </c>
      <c r="DI128" s="3" t="s">
        <v>25</v>
      </c>
      <c r="DJ128" s="3" t="s">
        <v>25</v>
      </c>
      <c r="DK128" s="3" t="s">
        <v>3</v>
      </c>
      <c r="DL128" s="3" t="s">
        <v>3</v>
      </c>
      <c r="DM128" s="3" t="s">
        <v>3</v>
      </c>
      <c r="DN128" s="3">
        <v>0</v>
      </c>
      <c r="DO128" s="3">
        <v>0</v>
      </c>
      <c r="DP128" s="3">
        <v>1</v>
      </c>
      <c r="DQ128" s="3">
        <v>1</v>
      </c>
      <c r="DU128" s="3">
        <v>1013</v>
      </c>
      <c r="DV128" s="3" t="s">
        <v>22</v>
      </c>
      <c r="DW128" s="3" t="s">
        <v>22</v>
      </c>
      <c r="DX128" s="3">
        <v>1</v>
      </c>
      <c r="DZ128" s="3" t="s">
        <v>3</v>
      </c>
      <c r="EA128" s="3" t="s">
        <v>3</v>
      </c>
      <c r="EB128" s="3" t="s">
        <v>3</v>
      </c>
      <c r="EC128" s="3" t="s">
        <v>3</v>
      </c>
      <c r="EE128" s="3">
        <v>60088533</v>
      </c>
      <c r="EF128" s="3">
        <v>40</v>
      </c>
      <c r="EG128" s="3" t="s">
        <v>26</v>
      </c>
      <c r="EH128" s="3">
        <v>0</v>
      </c>
      <c r="EI128" s="3" t="s">
        <v>3</v>
      </c>
      <c r="EJ128" s="3">
        <v>2</v>
      </c>
      <c r="EK128" s="3">
        <v>69</v>
      </c>
      <c r="EL128" s="3" t="s">
        <v>191</v>
      </c>
      <c r="EM128" s="3" t="s">
        <v>192</v>
      </c>
      <c r="EO128" s="3" t="s">
        <v>29</v>
      </c>
      <c r="EQ128" s="3">
        <v>0</v>
      </c>
      <c r="ER128" s="3">
        <v>48.24</v>
      </c>
      <c r="ES128" s="3">
        <v>24.46</v>
      </c>
      <c r="ET128" s="3">
        <v>0</v>
      </c>
      <c r="EU128" s="3">
        <v>0</v>
      </c>
      <c r="EV128" s="3">
        <v>23.78</v>
      </c>
      <c r="EW128" s="3">
        <v>2</v>
      </c>
      <c r="EX128" s="3">
        <v>0</v>
      </c>
      <c r="EY128" s="3">
        <v>0</v>
      </c>
      <c r="FQ128" s="3">
        <v>0</v>
      </c>
      <c r="FR128" s="3">
        <v>0</v>
      </c>
      <c r="FS128" s="3">
        <v>0</v>
      </c>
      <c r="FX128" s="3">
        <v>95</v>
      </c>
      <c r="FY128" s="3">
        <v>53</v>
      </c>
      <c r="GA128" s="3" t="s">
        <v>3</v>
      </c>
      <c r="GD128" s="3">
        <v>1</v>
      </c>
      <c r="GF128" s="3">
        <v>385347773</v>
      </c>
      <c r="GG128" s="3">
        <v>2</v>
      </c>
      <c r="GH128" s="3">
        <v>1</v>
      </c>
      <c r="GI128" s="3">
        <v>2</v>
      </c>
      <c r="GJ128" s="3">
        <v>0</v>
      </c>
      <c r="GK128" s="3">
        <v>0</v>
      </c>
      <c r="GL128" s="3">
        <f t="shared" si="119"/>
        <v>0</v>
      </c>
      <c r="GM128" s="3">
        <f t="shared" si="120"/>
        <v>852492.53</v>
      </c>
      <c r="GN128" s="3">
        <f t="shared" si="121"/>
        <v>0</v>
      </c>
      <c r="GO128" s="3">
        <f t="shared" si="122"/>
        <v>852492.53</v>
      </c>
      <c r="GP128" s="3">
        <f t="shared" si="123"/>
        <v>0</v>
      </c>
      <c r="GR128" s="3">
        <v>0</v>
      </c>
      <c r="GS128" s="3">
        <v>3</v>
      </c>
      <c r="GT128" s="3">
        <v>0</v>
      </c>
      <c r="GU128" s="3" t="s">
        <v>3</v>
      </c>
      <c r="GV128" s="3">
        <f t="shared" si="124"/>
        <v>0</v>
      </c>
      <c r="GW128" s="3">
        <v>1</v>
      </c>
      <c r="GX128" s="3">
        <f t="shared" si="125"/>
        <v>0</v>
      </c>
      <c r="HA128" s="3">
        <v>0</v>
      </c>
      <c r="HB128" s="3">
        <v>0</v>
      </c>
      <c r="HC128" s="3">
        <f t="shared" si="126"/>
        <v>0</v>
      </c>
      <c r="HE128" s="3" t="s">
        <v>3</v>
      </c>
      <c r="HF128" s="3" t="s">
        <v>3</v>
      </c>
      <c r="HM128" s="3" t="s">
        <v>3</v>
      </c>
      <c r="HN128" s="3" t="s">
        <v>3</v>
      </c>
      <c r="HO128" s="3" t="s">
        <v>3</v>
      </c>
      <c r="HP128" s="3" t="s">
        <v>3</v>
      </c>
      <c r="HQ128" s="3" t="s">
        <v>3</v>
      </c>
      <c r="HS128" s="3">
        <v>0</v>
      </c>
      <c r="IK128" s="3">
        <v>0</v>
      </c>
    </row>
    <row r="129" spans="1:255" x14ac:dyDescent="0.2">
      <c r="A129" s="2">
        <v>17</v>
      </c>
      <c r="B129" s="2">
        <v>1</v>
      </c>
      <c r="C129" s="2"/>
      <c r="D129" s="2"/>
      <c r="E129" s="2" t="s">
        <v>193</v>
      </c>
      <c r="F129" s="2" t="s">
        <v>194</v>
      </c>
      <c r="G129" s="2" t="s">
        <v>195</v>
      </c>
      <c r="H129" s="2" t="s">
        <v>33</v>
      </c>
      <c r="I129" s="2">
        <v>213</v>
      </c>
      <c r="J129" s="2">
        <v>0</v>
      </c>
      <c r="K129" s="2">
        <v>213</v>
      </c>
      <c r="L129" s="2"/>
      <c r="M129" s="2"/>
      <c r="N129" s="2"/>
      <c r="O129" s="2">
        <f t="shared" si="104"/>
        <v>65094.93</v>
      </c>
      <c r="P129" s="2">
        <f>ROUND((ROUND((AC129*I129),2)*BC129),2)</f>
        <v>65094.93</v>
      </c>
      <c r="Q129" s="2">
        <f>(ROUND((ROUND(((ET129)*AV129*I129),2)*BB129),2)+ROUND((ROUND(((AE129-(EU129))*AV129*I129),2)*BS129),2))</f>
        <v>0</v>
      </c>
      <c r="R129" s="2">
        <f>(ROUND((ROUND(((EU129)*AV129*I129),2)*BS129),2)+ROUND((ROUND(((AE129-(EU129))*AV129*I129),2)*BS129),2))</f>
        <v>0</v>
      </c>
      <c r="S129" s="2">
        <f t="shared" si="105"/>
        <v>0</v>
      </c>
      <c r="T129" s="2">
        <f t="shared" si="106"/>
        <v>0</v>
      </c>
      <c r="U129" s="2">
        <f t="shared" si="107"/>
        <v>0</v>
      </c>
      <c r="V129" s="2">
        <f t="shared" si="108"/>
        <v>0</v>
      </c>
      <c r="W129" s="2">
        <f t="shared" si="109"/>
        <v>0</v>
      </c>
      <c r="X129" s="2">
        <f>(ROUND((((S129+ROUND((ROUND(((EU129)*AV129*I129),2)*BS129),2))*AT129)/100),2)+ROUND(((ROUND((ROUND(((AE129-(EU129))*AV129*I129),2)*BS129),2)*AT129)/100),2))</f>
        <v>0</v>
      </c>
      <c r="Y129" s="2">
        <f>(ROUND((((S129+ROUND((ROUND(((EU129)*AV129*I129),2)*BS129),2))*AU129)/100),2)+ROUND(((ROUND((ROUND(((AE129-(EU129))*AV129*I129),2)*BS129),2)*AU129)/100),2))</f>
        <v>0</v>
      </c>
      <c r="Z129" s="2"/>
      <c r="AA129" s="2">
        <v>60256405</v>
      </c>
      <c r="AB129" s="2">
        <f t="shared" si="110"/>
        <v>305.61</v>
      </c>
      <c r="AC129" s="2">
        <f>ROUND((ES129),6)</f>
        <v>305.61</v>
      </c>
      <c r="AD129" s="2">
        <f>ROUND((((ET129)-(EU129))+AE129),6)</f>
        <v>0</v>
      </c>
      <c r="AE129" s="2">
        <f>ROUND((EU129),6)</f>
        <v>0</v>
      </c>
      <c r="AF129" s="2">
        <f>ROUND((EV129),6)</f>
        <v>0</v>
      </c>
      <c r="AG129" s="2">
        <f t="shared" si="111"/>
        <v>0</v>
      </c>
      <c r="AH129" s="2">
        <f>(EW129)</f>
        <v>0</v>
      </c>
      <c r="AI129" s="2">
        <f>(EX129)</f>
        <v>0</v>
      </c>
      <c r="AJ129" s="2">
        <f t="shared" si="112"/>
        <v>0</v>
      </c>
      <c r="AK129" s="2">
        <v>305.61</v>
      </c>
      <c r="AL129" s="2">
        <v>305.61</v>
      </c>
      <c r="AM129" s="2">
        <v>0</v>
      </c>
      <c r="AN129" s="2">
        <v>0</v>
      </c>
      <c r="AO129" s="2">
        <v>0</v>
      </c>
      <c r="AP129" s="2">
        <v>0</v>
      </c>
      <c r="AQ129" s="2">
        <v>0</v>
      </c>
      <c r="AR129" s="2">
        <v>0</v>
      </c>
      <c r="AS129" s="2">
        <v>0</v>
      </c>
      <c r="AT129" s="2">
        <v>0</v>
      </c>
      <c r="AU129" s="2">
        <v>0</v>
      </c>
      <c r="AV129" s="2">
        <v>1</v>
      </c>
      <c r="AW129" s="2">
        <v>1</v>
      </c>
      <c r="AX129" s="2"/>
      <c r="AY129" s="2"/>
      <c r="AZ129" s="2">
        <v>1</v>
      </c>
      <c r="BA129" s="2">
        <v>1</v>
      </c>
      <c r="BB129" s="2">
        <v>1</v>
      </c>
      <c r="BC129" s="2">
        <v>1</v>
      </c>
      <c r="BD129" s="2" t="s">
        <v>3</v>
      </c>
      <c r="BE129" s="2" t="s">
        <v>3</v>
      </c>
      <c r="BF129" s="2" t="s">
        <v>3</v>
      </c>
      <c r="BG129" s="2" t="s">
        <v>3</v>
      </c>
      <c r="BH129" s="2">
        <v>3</v>
      </c>
      <c r="BI129" s="2">
        <v>3</v>
      </c>
      <c r="BJ129" s="2" t="s">
        <v>3</v>
      </c>
      <c r="BK129" s="2"/>
      <c r="BL129" s="2"/>
      <c r="BM129" s="2">
        <v>746</v>
      </c>
      <c r="BN129" s="2">
        <v>0</v>
      </c>
      <c r="BO129" s="2" t="s">
        <v>3</v>
      </c>
      <c r="BP129" s="2">
        <v>0</v>
      </c>
      <c r="BQ129" s="2">
        <v>130</v>
      </c>
      <c r="BR129" s="2">
        <v>0</v>
      </c>
      <c r="BS129" s="2">
        <v>1</v>
      </c>
      <c r="BT129" s="2">
        <v>1</v>
      </c>
      <c r="BU129" s="2">
        <v>1</v>
      </c>
      <c r="BV129" s="2">
        <v>1</v>
      </c>
      <c r="BW129" s="2">
        <v>1</v>
      </c>
      <c r="BX129" s="2">
        <v>1</v>
      </c>
      <c r="BY129" s="2" t="s">
        <v>3</v>
      </c>
      <c r="BZ129" s="2">
        <v>0</v>
      </c>
      <c r="CA129" s="2">
        <v>0</v>
      </c>
      <c r="CB129" s="2" t="s">
        <v>3</v>
      </c>
      <c r="CC129" s="2"/>
      <c r="CD129" s="2"/>
      <c r="CE129" s="2">
        <v>1566</v>
      </c>
      <c r="CF129" s="2">
        <v>0</v>
      </c>
      <c r="CG129" s="2">
        <v>0</v>
      </c>
      <c r="CH129" s="2"/>
      <c r="CI129" s="2"/>
      <c r="CJ129" s="2"/>
      <c r="CK129" s="2"/>
      <c r="CL129" s="2"/>
      <c r="CM129" s="2">
        <v>0</v>
      </c>
      <c r="CN129" s="2" t="s">
        <v>3</v>
      </c>
      <c r="CO129" s="2">
        <v>0</v>
      </c>
      <c r="CP129" s="2">
        <f t="shared" si="113"/>
        <v>65094.93</v>
      </c>
      <c r="CQ129" s="2">
        <f>ROUND((ROUND((AC129*1),2)*BC129),2)</f>
        <v>305.61</v>
      </c>
      <c r="CR129" s="2">
        <f>(ROUND((ROUND(((ET129)*AV129*1),2)*BB129),2)+ROUND((ROUND(((AE129-(EU129))*AV129*1),2)*BS129),2))</f>
        <v>0</v>
      </c>
      <c r="CS129" s="2">
        <f>(ROUND((ROUND(((EU129)*AV129*1),2)*BS129),2)+ROUND((ROUND(((AE129-(EU129))*AV129*1),2)*BS129),2))</f>
        <v>0</v>
      </c>
      <c r="CT129" s="2">
        <f t="shared" si="114"/>
        <v>0</v>
      </c>
      <c r="CU129" s="2">
        <f t="shared" si="115"/>
        <v>0</v>
      </c>
      <c r="CV129" s="2">
        <f t="shared" si="116"/>
        <v>0</v>
      </c>
      <c r="CW129" s="2">
        <f t="shared" si="117"/>
        <v>0</v>
      </c>
      <c r="CX129" s="2">
        <f t="shared" si="118"/>
        <v>0</v>
      </c>
      <c r="CY129" s="2">
        <f>(ROUND((((S129+ROUND((ROUND(((EU129)*AV129*1),2)*BS129),2))*AT129)/100),2)+ROUND(((ROUND((ROUND(((AE129-(EU129))*AV129*1),2)*BS129),2)*AT129)/100),2))</f>
        <v>0</v>
      </c>
      <c r="CZ129" s="2">
        <f>(ROUND((((S129+ROUND((ROUND(((EU129)*AV129*1),2)*BS129),2))*AU129)/100),2)+ROUND(((ROUND((ROUND(((AE129-(EU129))*AV129*1),2)*BS129),2)*AU129)/100),2))</f>
        <v>0</v>
      </c>
      <c r="DA129" s="2"/>
      <c r="DB129" s="2"/>
      <c r="DC129" s="2" t="s">
        <v>3</v>
      </c>
      <c r="DD129" s="2" t="s">
        <v>3</v>
      </c>
      <c r="DE129" s="2" t="s">
        <v>3</v>
      </c>
      <c r="DF129" s="2" t="s">
        <v>3</v>
      </c>
      <c r="DG129" s="2" t="s">
        <v>3</v>
      </c>
      <c r="DH129" s="2" t="s">
        <v>3</v>
      </c>
      <c r="DI129" s="2" t="s">
        <v>3</v>
      </c>
      <c r="DJ129" s="2" t="s">
        <v>3</v>
      </c>
      <c r="DK129" s="2" t="s">
        <v>3</v>
      </c>
      <c r="DL129" s="2" t="s">
        <v>3</v>
      </c>
      <c r="DM129" s="2" t="s">
        <v>3</v>
      </c>
      <c r="DN129" s="2">
        <v>0</v>
      </c>
      <c r="DO129" s="2">
        <v>0</v>
      </c>
      <c r="DP129" s="2">
        <v>1</v>
      </c>
      <c r="DQ129" s="2">
        <v>1</v>
      </c>
      <c r="DR129" s="2"/>
      <c r="DS129" s="2"/>
      <c r="DT129" s="2"/>
      <c r="DU129" s="2">
        <v>1010</v>
      </c>
      <c r="DV129" s="2" t="s">
        <v>33</v>
      </c>
      <c r="DW129" s="2" t="s">
        <v>33</v>
      </c>
      <c r="DX129" s="2">
        <v>1</v>
      </c>
      <c r="DY129" s="2"/>
      <c r="DZ129" s="2" t="s">
        <v>3</v>
      </c>
      <c r="EA129" s="2" t="s">
        <v>3</v>
      </c>
      <c r="EB129" s="2" t="s">
        <v>3</v>
      </c>
      <c r="EC129" s="2" t="s">
        <v>3</v>
      </c>
      <c r="ED129" s="2"/>
      <c r="EE129" s="2">
        <v>60088638</v>
      </c>
      <c r="EF129" s="2">
        <v>130</v>
      </c>
      <c r="EG129" s="2" t="s">
        <v>43</v>
      </c>
      <c r="EH129" s="2">
        <v>0</v>
      </c>
      <c r="EI129" s="2" t="s">
        <v>3</v>
      </c>
      <c r="EJ129" s="2">
        <v>3</v>
      </c>
      <c r="EK129" s="2">
        <v>746</v>
      </c>
      <c r="EL129" s="2" t="s">
        <v>44</v>
      </c>
      <c r="EM129" s="2" t="s">
        <v>45</v>
      </c>
      <c r="EN129" s="2"/>
      <c r="EO129" s="2" t="s">
        <v>3</v>
      </c>
      <c r="EP129" s="2"/>
      <c r="EQ129" s="2">
        <v>0</v>
      </c>
      <c r="ER129" s="2">
        <v>0</v>
      </c>
      <c r="ES129" s="2">
        <v>305.61</v>
      </c>
      <c r="ET129" s="2">
        <v>0</v>
      </c>
      <c r="EU129" s="2">
        <v>0</v>
      </c>
      <c r="EV129" s="2">
        <v>0</v>
      </c>
      <c r="EW129" s="2">
        <v>0</v>
      </c>
      <c r="EX129" s="2">
        <v>0</v>
      </c>
      <c r="EY129" s="2">
        <v>0</v>
      </c>
      <c r="EZ129" s="2"/>
      <c r="FA129" s="2"/>
      <c r="FB129" s="2"/>
      <c r="FC129" s="2"/>
      <c r="FD129" s="2"/>
      <c r="FE129" s="2"/>
      <c r="FF129" s="2"/>
      <c r="FG129" s="2"/>
      <c r="FH129" s="2"/>
      <c r="FI129" s="2"/>
      <c r="FJ129" s="2"/>
      <c r="FK129" s="2"/>
      <c r="FL129" s="2"/>
      <c r="FM129" s="2"/>
      <c r="FN129" s="2"/>
      <c r="FO129" s="2"/>
      <c r="FP129" s="2"/>
      <c r="FQ129" s="2">
        <v>0</v>
      </c>
      <c r="FR129" s="2">
        <f>P129</f>
        <v>65094.93</v>
      </c>
      <c r="FS129" s="2">
        <v>0</v>
      </c>
      <c r="FT129" s="2"/>
      <c r="FU129" s="2"/>
      <c r="FV129" s="2"/>
      <c r="FW129" s="2"/>
      <c r="FX129" s="2">
        <v>0</v>
      </c>
      <c r="FY129" s="2">
        <v>0</v>
      </c>
      <c r="FZ129" s="2"/>
      <c r="GA129" s="2" t="s">
        <v>196</v>
      </c>
      <c r="GB129" s="2"/>
      <c r="GC129" s="2"/>
      <c r="GD129" s="2">
        <v>1</v>
      </c>
      <c r="GE129" s="2"/>
      <c r="GF129" s="2">
        <v>1825045239</v>
      </c>
      <c r="GG129" s="2">
        <v>2</v>
      </c>
      <c r="GH129" s="2">
        <v>4</v>
      </c>
      <c r="GI129" s="2">
        <v>-2</v>
      </c>
      <c r="GJ129" s="2">
        <v>0</v>
      </c>
      <c r="GK129" s="2">
        <v>0</v>
      </c>
      <c r="GL129" s="2">
        <f t="shared" si="119"/>
        <v>0</v>
      </c>
      <c r="GM129" s="2">
        <f t="shared" si="120"/>
        <v>65094.93</v>
      </c>
      <c r="GN129" s="2">
        <f t="shared" si="121"/>
        <v>0</v>
      </c>
      <c r="GO129" s="2">
        <f t="shared" si="122"/>
        <v>0</v>
      </c>
      <c r="GP129" s="2">
        <f t="shared" si="123"/>
        <v>0</v>
      </c>
      <c r="GQ129" s="2"/>
      <c r="GR129" s="2">
        <v>0</v>
      </c>
      <c r="GS129" s="2">
        <v>2</v>
      </c>
      <c r="GT129" s="2">
        <v>0</v>
      </c>
      <c r="GU129" s="2" t="s">
        <v>3</v>
      </c>
      <c r="GV129" s="2">
        <f t="shared" si="124"/>
        <v>0</v>
      </c>
      <c r="GW129" s="2">
        <v>1</v>
      </c>
      <c r="GX129" s="2">
        <f t="shared" si="125"/>
        <v>0</v>
      </c>
      <c r="GY129" s="2"/>
      <c r="GZ129" s="2"/>
      <c r="HA129" s="2">
        <v>0</v>
      </c>
      <c r="HB129" s="2">
        <v>0</v>
      </c>
      <c r="HC129" s="2">
        <f t="shared" si="126"/>
        <v>0</v>
      </c>
      <c r="HD129" s="2"/>
      <c r="HE129" s="2" t="s">
        <v>36</v>
      </c>
      <c r="HF129" s="2" t="s">
        <v>47</v>
      </c>
      <c r="HG129" s="2"/>
      <c r="HH129" s="2"/>
      <c r="HI129" s="2"/>
      <c r="HJ129" s="2"/>
      <c r="HK129" s="2"/>
      <c r="HL129" s="2"/>
      <c r="HM129" s="2" t="s">
        <v>3</v>
      </c>
      <c r="HN129" s="2" t="s">
        <v>3</v>
      </c>
      <c r="HO129" s="2" t="s">
        <v>3</v>
      </c>
      <c r="HP129" s="2" t="s">
        <v>3</v>
      </c>
      <c r="HQ129" s="2" t="s">
        <v>3</v>
      </c>
      <c r="HR129" s="2"/>
      <c r="HS129" s="2">
        <v>0</v>
      </c>
      <c r="HT129" s="2"/>
      <c r="HU129" s="2"/>
      <c r="HV129" s="2"/>
      <c r="HW129" s="2"/>
      <c r="HX129" s="2"/>
      <c r="HY129" s="2"/>
      <c r="HZ129" s="2"/>
      <c r="IA129" s="2"/>
      <c r="IB129" s="2"/>
      <c r="IC129" s="2"/>
      <c r="ID129" s="2"/>
      <c r="IE129" s="2"/>
      <c r="IF129" s="2"/>
      <c r="IG129" s="2"/>
      <c r="IH129" s="2"/>
      <c r="II129" s="2"/>
      <c r="IJ129" s="2"/>
      <c r="IK129" s="2">
        <v>0</v>
      </c>
      <c r="IL129" s="2"/>
      <c r="IM129" s="2"/>
      <c r="IN129" s="2"/>
      <c r="IO129" s="2"/>
      <c r="IP129" s="2"/>
      <c r="IQ129" s="2"/>
      <c r="IR129" s="2"/>
      <c r="IS129" s="2"/>
      <c r="IT129" s="2"/>
      <c r="IU129" s="2"/>
    </row>
    <row r="130" spans="1:255" x14ac:dyDescent="0.2">
      <c r="A130" s="3">
        <v>17</v>
      </c>
      <c r="B130" s="3">
        <v>1</v>
      </c>
      <c r="E130" s="3" t="s">
        <v>193</v>
      </c>
      <c r="F130" s="3" t="s">
        <v>194</v>
      </c>
      <c r="G130" s="3" t="s">
        <v>195</v>
      </c>
      <c r="H130" s="3" t="s">
        <v>33</v>
      </c>
      <c r="I130" s="3">
        <v>213</v>
      </c>
      <c r="J130" s="3">
        <v>0</v>
      </c>
      <c r="K130" s="3">
        <v>213</v>
      </c>
      <c r="O130" s="3">
        <f t="shared" si="104"/>
        <v>498627.16</v>
      </c>
      <c r="P130" s="3">
        <f>ROUND((ROUND((AC130*I130),2)*BC130),2)</f>
        <v>498627.16</v>
      </c>
      <c r="Q130" s="3">
        <f>(ROUND((ROUND(((ET130)*AV130*I130),2)*BB130),2)+ROUND((ROUND(((AE130-(EU130))*AV130*I130),2)*BS130),2))</f>
        <v>0</v>
      </c>
      <c r="R130" s="3">
        <f>(ROUND((ROUND(((EU130)*AV130*I130),2)*BS130),2)+ROUND((ROUND(((AE130-(EU130))*AV130*I130),2)*BS130),2))</f>
        <v>0</v>
      </c>
      <c r="S130" s="3">
        <f t="shared" si="105"/>
        <v>0</v>
      </c>
      <c r="T130" s="3">
        <f t="shared" si="106"/>
        <v>0</v>
      </c>
      <c r="U130" s="3">
        <f t="shared" si="107"/>
        <v>0</v>
      </c>
      <c r="V130" s="3">
        <f t="shared" si="108"/>
        <v>0</v>
      </c>
      <c r="W130" s="3">
        <f t="shared" si="109"/>
        <v>0</v>
      </c>
      <c r="X130" s="3">
        <f>(ROUND((((S130+ROUND((ROUND(((EU130)*AV130*I130),2)*BS130),2))*AT130)/100),2)+ROUND(((ROUND((ROUND(((AE130-(EU130))*AV130*I130),2)*BS130),2)*AT130)/100),2))</f>
        <v>0</v>
      </c>
      <c r="Y130" s="3">
        <f>(ROUND((((S130+ROUND((ROUND(((EU130)*AV130*I130),2)*BS130),2))*AU130)/100),2)+ROUND(((ROUND((ROUND(((AE130-(EU130))*AV130*I130),2)*BS130),2)*AU130)/100),2))</f>
        <v>0</v>
      </c>
      <c r="AA130" s="3">
        <v>60256402</v>
      </c>
      <c r="AB130" s="3">
        <f t="shared" si="110"/>
        <v>305.61</v>
      </c>
      <c r="AC130" s="3">
        <f>ROUND((ES130),6)</f>
        <v>305.61</v>
      </c>
      <c r="AD130" s="3">
        <f>ROUND((((ET130)-(EU130))+AE130),6)</f>
        <v>0</v>
      </c>
      <c r="AE130" s="3">
        <f>ROUND((EU130),6)</f>
        <v>0</v>
      </c>
      <c r="AF130" s="3">
        <f>ROUND((EV130),6)</f>
        <v>0</v>
      </c>
      <c r="AG130" s="3">
        <f t="shared" si="111"/>
        <v>0</v>
      </c>
      <c r="AH130" s="3">
        <f>(EW130)</f>
        <v>0</v>
      </c>
      <c r="AI130" s="3">
        <f>(EX130)</f>
        <v>0</v>
      </c>
      <c r="AJ130" s="3">
        <f t="shared" si="112"/>
        <v>0</v>
      </c>
      <c r="AK130" s="3">
        <v>305.61</v>
      </c>
      <c r="AL130" s="3">
        <v>305.61</v>
      </c>
      <c r="AM130" s="3">
        <v>0</v>
      </c>
      <c r="AN130" s="3">
        <v>0</v>
      </c>
      <c r="AO130" s="3">
        <v>0</v>
      </c>
      <c r="AP130" s="3">
        <v>0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3">
        <v>1</v>
      </c>
      <c r="AW130" s="3">
        <v>1</v>
      </c>
      <c r="AZ130" s="3">
        <v>1</v>
      </c>
      <c r="BA130" s="3">
        <v>1</v>
      </c>
      <c r="BB130" s="3">
        <v>1</v>
      </c>
      <c r="BC130" s="3">
        <v>7.66</v>
      </c>
      <c r="BD130" s="3" t="s">
        <v>3</v>
      </c>
      <c r="BE130" s="3" t="s">
        <v>3</v>
      </c>
      <c r="BF130" s="3" t="s">
        <v>3</v>
      </c>
      <c r="BG130" s="3" t="s">
        <v>3</v>
      </c>
      <c r="BH130" s="3">
        <v>3</v>
      </c>
      <c r="BI130" s="3">
        <v>3</v>
      </c>
      <c r="BJ130" s="3" t="s">
        <v>3</v>
      </c>
      <c r="BM130" s="3">
        <v>746</v>
      </c>
      <c r="BN130" s="3">
        <v>0</v>
      </c>
      <c r="BO130" s="3" t="s">
        <v>3</v>
      </c>
      <c r="BP130" s="3">
        <v>0</v>
      </c>
      <c r="BQ130" s="3">
        <v>130</v>
      </c>
      <c r="BR130" s="3">
        <v>0</v>
      </c>
      <c r="BS130" s="3">
        <v>1</v>
      </c>
      <c r="BT130" s="3">
        <v>1</v>
      </c>
      <c r="BU130" s="3">
        <v>1</v>
      </c>
      <c r="BV130" s="3">
        <v>1</v>
      </c>
      <c r="BW130" s="3">
        <v>1</v>
      </c>
      <c r="BX130" s="3">
        <v>1</v>
      </c>
      <c r="BY130" s="3" t="s">
        <v>3</v>
      </c>
      <c r="BZ130" s="3">
        <v>0</v>
      </c>
      <c r="CA130" s="3">
        <v>0</v>
      </c>
      <c r="CB130" s="3" t="s">
        <v>3</v>
      </c>
      <c r="CE130" s="3">
        <v>1566</v>
      </c>
      <c r="CF130" s="3">
        <v>0</v>
      </c>
      <c r="CG130" s="3">
        <v>0</v>
      </c>
      <c r="CM130" s="3">
        <v>0</v>
      </c>
      <c r="CN130" s="3" t="s">
        <v>3</v>
      </c>
      <c r="CO130" s="3">
        <v>0</v>
      </c>
      <c r="CP130" s="3">
        <f t="shared" si="113"/>
        <v>498627.16</v>
      </c>
      <c r="CQ130" s="3">
        <f>ROUND((ROUND((AC130*1),2)*BC130),2)</f>
        <v>2340.9699999999998</v>
      </c>
      <c r="CR130" s="3">
        <f>(ROUND((ROUND(((ET130)*AV130*1),2)*BB130),2)+ROUND((ROUND(((AE130-(EU130))*AV130*1),2)*BS130),2))</f>
        <v>0</v>
      </c>
      <c r="CS130" s="3">
        <f>(ROUND((ROUND(((EU130)*AV130*1),2)*BS130),2)+ROUND((ROUND(((AE130-(EU130))*AV130*1),2)*BS130),2))</f>
        <v>0</v>
      </c>
      <c r="CT130" s="3">
        <f t="shared" si="114"/>
        <v>0</v>
      </c>
      <c r="CU130" s="3">
        <f t="shared" si="115"/>
        <v>0</v>
      </c>
      <c r="CV130" s="3">
        <f t="shared" si="116"/>
        <v>0</v>
      </c>
      <c r="CW130" s="3">
        <f t="shared" si="117"/>
        <v>0</v>
      </c>
      <c r="CX130" s="3">
        <f t="shared" si="118"/>
        <v>0</v>
      </c>
      <c r="CY130" s="3">
        <f>(ROUND((((S130+ROUND((ROUND(((EU130)*AV130*1),2)*BS130),2))*AT130)/100),2)+ROUND(((ROUND((ROUND(((AE130-(EU130))*AV130*1),2)*BS130),2)*AT130)/100),2))</f>
        <v>0</v>
      </c>
      <c r="CZ130" s="3">
        <f>(ROUND((((S130+ROUND((ROUND(((EU130)*AV130*1),2)*BS130),2))*AU130)/100),2)+ROUND(((ROUND((ROUND(((AE130-(EU130))*AV130*1),2)*BS130),2)*AU130)/100),2))</f>
        <v>0</v>
      </c>
      <c r="DC130" s="3" t="s">
        <v>3</v>
      </c>
      <c r="DD130" s="3" t="s">
        <v>3</v>
      </c>
      <c r="DE130" s="3" t="s">
        <v>3</v>
      </c>
      <c r="DF130" s="3" t="s">
        <v>3</v>
      </c>
      <c r="DG130" s="3" t="s">
        <v>3</v>
      </c>
      <c r="DH130" s="3" t="s">
        <v>3</v>
      </c>
      <c r="DI130" s="3" t="s">
        <v>3</v>
      </c>
      <c r="DJ130" s="3" t="s">
        <v>3</v>
      </c>
      <c r="DK130" s="3" t="s">
        <v>3</v>
      </c>
      <c r="DL130" s="3" t="s">
        <v>3</v>
      </c>
      <c r="DM130" s="3" t="s">
        <v>3</v>
      </c>
      <c r="DN130" s="3">
        <v>0</v>
      </c>
      <c r="DO130" s="3">
        <v>0</v>
      </c>
      <c r="DP130" s="3">
        <v>1</v>
      </c>
      <c r="DQ130" s="3">
        <v>1</v>
      </c>
      <c r="DU130" s="3">
        <v>1010</v>
      </c>
      <c r="DV130" s="3" t="s">
        <v>33</v>
      </c>
      <c r="DW130" s="3" t="s">
        <v>33</v>
      </c>
      <c r="DX130" s="3">
        <v>1</v>
      </c>
      <c r="DZ130" s="3" t="s">
        <v>3</v>
      </c>
      <c r="EA130" s="3" t="s">
        <v>3</v>
      </c>
      <c r="EB130" s="3" t="s">
        <v>3</v>
      </c>
      <c r="EC130" s="3" t="s">
        <v>3</v>
      </c>
      <c r="EE130" s="3">
        <v>60088638</v>
      </c>
      <c r="EF130" s="3">
        <v>130</v>
      </c>
      <c r="EG130" s="3" t="s">
        <v>43</v>
      </c>
      <c r="EH130" s="3">
        <v>0</v>
      </c>
      <c r="EI130" s="3" t="s">
        <v>3</v>
      </c>
      <c r="EJ130" s="3">
        <v>3</v>
      </c>
      <c r="EK130" s="3">
        <v>746</v>
      </c>
      <c r="EL130" s="3" t="s">
        <v>44</v>
      </c>
      <c r="EM130" s="3" t="s">
        <v>45</v>
      </c>
      <c r="EO130" s="3" t="s">
        <v>3</v>
      </c>
      <c r="EQ130" s="3">
        <v>0</v>
      </c>
      <c r="ER130" s="3">
        <v>305.61</v>
      </c>
      <c r="ES130" s="3">
        <v>305.61</v>
      </c>
      <c r="ET130" s="3">
        <v>0</v>
      </c>
      <c r="EU130" s="3">
        <v>0</v>
      </c>
      <c r="EV130" s="3">
        <v>0</v>
      </c>
      <c r="EW130" s="3">
        <v>0</v>
      </c>
      <c r="EX130" s="3">
        <v>0</v>
      </c>
      <c r="EY130" s="3">
        <v>0</v>
      </c>
      <c r="EZ130" s="3">
        <v>5</v>
      </c>
      <c r="FC130" s="3">
        <v>1</v>
      </c>
      <c r="FD130" s="3">
        <v>18</v>
      </c>
      <c r="FF130" s="3">
        <v>2695</v>
      </c>
      <c r="FQ130" s="3">
        <v>0</v>
      </c>
      <c r="FR130" s="3">
        <f>P130</f>
        <v>498627.16</v>
      </c>
      <c r="FS130" s="3">
        <v>0</v>
      </c>
      <c r="FX130" s="3">
        <v>0</v>
      </c>
      <c r="FY130" s="3">
        <v>0</v>
      </c>
      <c r="GA130" s="3" t="s">
        <v>196</v>
      </c>
      <c r="GD130" s="3">
        <v>1</v>
      </c>
      <c r="GF130" s="3">
        <v>1825045239</v>
      </c>
      <c r="GG130" s="3">
        <v>2</v>
      </c>
      <c r="GH130" s="3">
        <v>3</v>
      </c>
      <c r="GI130" s="3">
        <v>5</v>
      </c>
      <c r="GJ130" s="3">
        <v>0</v>
      </c>
      <c r="GK130" s="3">
        <v>0</v>
      </c>
      <c r="GL130" s="3">
        <f t="shared" si="119"/>
        <v>0</v>
      </c>
      <c r="GM130" s="3">
        <f t="shared" si="120"/>
        <v>498627.16</v>
      </c>
      <c r="GN130" s="3">
        <f t="shared" si="121"/>
        <v>0</v>
      </c>
      <c r="GO130" s="3">
        <f t="shared" si="122"/>
        <v>0</v>
      </c>
      <c r="GP130" s="3">
        <f t="shared" si="123"/>
        <v>0</v>
      </c>
      <c r="GR130" s="3">
        <v>1</v>
      </c>
      <c r="GS130" s="3">
        <v>1</v>
      </c>
      <c r="GT130" s="3">
        <v>0</v>
      </c>
      <c r="GU130" s="3" t="s">
        <v>3</v>
      </c>
      <c r="GV130" s="3">
        <f t="shared" si="124"/>
        <v>0</v>
      </c>
      <c r="GW130" s="3">
        <v>1</v>
      </c>
      <c r="GX130" s="3">
        <f t="shared" si="125"/>
        <v>0</v>
      </c>
      <c r="HA130" s="3">
        <v>0</v>
      </c>
      <c r="HB130" s="3">
        <v>0</v>
      </c>
      <c r="HC130" s="3">
        <f t="shared" si="126"/>
        <v>0</v>
      </c>
      <c r="HE130" s="3" t="s">
        <v>36</v>
      </c>
      <c r="HF130" s="3" t="s">
        <v>47</v>
      </c>
      <c r="HM130" s="3" t="s">
        <v>3</v>
      </c>
      <c r="HN130" s="3" t="s">
        <v>3</v>
      </c>
      <c r="HO130" s="3" t="s">
        <v>3</v>
      </c>
      <c r="HP130" s="3" t="s">
        <v>3</v>
      </c>
      <c r="HQ130" s="3" t="s">
        <v>3</v>
      </c>
      <c r="HS130" s="3">
        <v>0</v>
      </c>
      <c r="IK130" s="3">
        <v>0</v>
      </c>
    </row>
    <row r="131" spans="1:255" x14ac:dyDescent="0.2">
      <c r="A131" s="2">
        <v>17</v>
      </c>
      <c r="B131" s="2">
        <v>1</v>
      </c>
      <c r="C131" s="2">
        <f>ROW(SmtRes!A81)</f>
        <v>81</v>
      </c>
      <c r="D131" s="2">
        <f>ROW(EtalonRes!A106)</f>
        <v>106</v>
      </c>
      <c r="E131" s="2" t="s">
        <v>197</v>
      </c>
      <c r="F131" s="2" t="s">
        <v>198</v>
      </c>
      <c r="G131" s="2" t="s">
        <v>199</v>
      </c>
      <c r="H131" s="2" t="s">
        <v>200</v>
      </c>
      <c r="I131" s="2">
        <f>ROUND(4/100,9)</f>
        <v>0.04</v>
      </c>
      <c r="J131" s="2">
        <v>0</v>
      </c>
      <c r="K131" s="2">
        <f>ROUND(4/100,9)</f>
        <v>0.04</v>
      </c>
      <c r="L131" s="2"/>
      <c r="M131" s="2"/>
      <c r="N131" s="2"/>
      <c r="O131" s="2">
        <f t="shared" si="104"/>
        <v>16.260000000000002</v>
      </c>
      <c r="P131" s="2">
        <f>ROUND((ROUND((AC131*AW131*I131),2)*BC131),2)</f>
        <v>3.42</v>
      </c>
      <c r="Q131" s="2">
        <f>(ROUND((ROUND((((ET131*1.1))*AV131*I131),2)*BB131),2)+ROUND((ROUND(((AE131-((EU131*1.1)))*AV131*I131),2)*BS131),2))</f>
        <v>0</v>
      </c>
      <c r="R131" s="2">
        <f>(ROUND((ROUND((((EU131*1.1))*AV131*I131),2)*BS131),2)+ROUND((ROUND(((AE131-((EU131*1.1)))*AV131*I131),2)*BS131),2))</f>
        <v>0</v>
      </c>
      <c r="S131" s="2">
        <f t="shared" si="105"/>
        <v>12.84</v>
      </c>
      <c r="T131" s="2">
        <f t="shared" si="106"/>
        <v>0</v>
      </c>
      <c r="U131" s="2">
        <f t="shared" si="107"/>
        <v>1.1056319999999999</v>
      </c>
      <c r="V131" s="2">
        <f t="shared" si="108"/>
        <v>0</v>
      </c>
      <c r="W131" s="2">
        <f t="shared" si="109"/>
        <v>0</v>
      </c>
      <c r="X131" s="2">
        <f>(ROUND((((S131+ROUND((ROUND((((EU131*1.1))*AV131*I131),2)*BS131),2))*AT131)/100),2)+ROUND(((ROUND((ROUND(((AE131-((EU131*1.1)))*AV131*I131),2)*BS131),2)*AT131)/100),2))</f>
        <v>11.56</v>
      </c>
      <c r="Y131" s="2">
        <f>(ROUND((((S131+ROUND((ROUND((((EU131*1.1))*AV131*I131),2)*BS131),2))*AU131)/100),2)+ROUND(((ROUND((ROUND(((AE131-((EU131*1.1)))*AV131*I131),2)*BS131),2)*AU131)/100),2))</f>
        <v>5.91</v>
      </c>
      <c r="Z131" s="2"/>
      <c r="AA131" s="2">
        <v>60256405</v>
      </c>
      <c r="AB131" s="2">
        <f t="shared" si="110"/>
        <v>392.10399999999998</v>
      </c>
      <c r="AC131" s="2">
        <f>ROUND(((ES131*1)),6)</f>
        <v>85.6</v>
      </c>
      <c r="AD131" s="2">
        <f>ROUND(((((ET131*1.1))-((EU131*1.1)))+AE131),6)</f>
        <v>0</v>
      </c>
      <c r="AE131" s="2">
        <f>ROUND(((EU131*1.1)),6)</f>
        <v>0</v>
      </c>
      <c r="AF131" s="2">
        <f>ROUND(((EV131*1.1)),6)</f>
        <v>306.50400000000002</v>
      </c>
      <c r="AG131" s="2">
        <f t="shared" si="111"/>
        <v>0</v>
      </c>
      <c r="AH131" s="2">
        <f>((EW131*1.1))</f>
        <v>26.400000000000002</v>
      </c>
      <c r="AI131" s="2">
        <f>((EX131*1.1))</f>
        <v>0</v>
      </c>
      <c r="AJ131" s="2">
        <f t="shared" si="112"/>
        <v>0</v>
      </c>
      <c r="AK131" s="2">
        <v>364.24</v>
      </c>
      <c r="AL131" s="2">
        <v>85.6</v>
      </c>
      <c r="AM131" s="2">
        <v>0</v>
      </c>
      <c r="AN131" s="2">
        <v>0</v>
      </c>
      <c r="AO131" s="2">
        <v>278.64</v>
      </c>
      <c r="AP131" s="2">
        <v>0</v>
      </c>
      <c r="AQ131" s="2">
        <v>24</v>
      </c>
      <c r="AR131" s="2">
        <v>0</v>
      </c>
      <c r="AS131" s="2">
        <v>0</v>
      </c>
      <c r="AT131" s="2">
        <v>90</v>
      </c>
      <c r="AU131" s="2">
        <v>46</v>
      </c>
      <c r="AV131" s="2">
        <v>1.0469999999999999</v>
      </c>
      <c r="AW131" s="2">
        <v>1</v>
      </c>
      <c r="AX131" s="2"/>
      <c r="AY131" s="2"/>
      <c r="AZ131" s="2">
        <v>1</v>
      </c>
      <c r="BA131" s="2">
        <v>1</v>
      </c>
      <c r="BB131" s="2">
        <v>1</v>
      </c>
      <c r="BC131" s="2">
        <v>1</v>
      </c>
      <c r="BD131" s="2" t="s">
        <v>3</v>
      </c>
      <c r="BE131" s="2" t="s">
        <v>3</v>
      </c>
      <c r="BF131" s="2" t="s">
        <v>3</v>
      </c>
      <c r="BG131" s="2" t="s">
        <v>3</v>
      </c>
      <c r="BH131" s="2">
        <v>0</v>
      </c>
      <c r="BI131" s="2">
        <v>2</v>
      </c>
      <c r="BJ131" s="2" t="s">
        <v>201</v>
      </c>
      <c r="BK131" s="2"/>
      <c r="BL131" s="2"/>
      <c r="BM131" s="2">
        <v>68</v>
      </c>
      <c r="BN131" s="2">
        <v>58973116</v>
      </c>
      <c r="BO131" s="2" t="s">
        <v>198</v>
      </c>
      <c r="BP131" s="2">
        <v>1</v>
      </c>
      <c r="BQ131" s="2">
        <v>40</v>
      </c>
      <c r="BR131" s="2">
        <v>0</v>
      </c>
      <c r="BS131" s="2">
        <v>1</v>
      </c>
      <c r="BT131" s="2">
        <v>1</v>
      </c>
      <c r="BU131" s="2">
        <v>1</v>
      </c>
      <c r="BV131" s="2">
        <v>1</v>
      </c>
      <c r="BW131" s="2">
        <v>1</v>
      </c>
      <c r="BX131" s="2">
        <v>1</v>
      </c>
      <c r="BY131" s="2" t="s">
        <v>3</v>
      </c>
      <c r="BZ131" s="2">
        <v>90</v>
      </c>
      <c r="CA131" s="2">
        <v>46</v>
      </c>
      <c r="CB131" s="2" t="s">
        <v>3</v>
      </c>
      <c r="CC131" s="2"/>
      <c r="CD131" s="2"/>
      <c r="CE131" s="2">
        <v>1566</v>
      </c>
      <c r="CF131" s="2">
        <v>0</v>
      </c>
      <c r="CG131" s="2">
        <v>0</v>
      </c>
      <c r="CH131" s="2"/>
      <c r="CI131" s="2"/>
      <c r="CJ131" s="2"/>
      <c r="CK131" s="2"/>
      <c r="CL131" s="2"/>
      <c r="CM131" s="2">
        <v>0</v>
      </c>
      <c r="CN131" s="2" t="s">
        <v>369</v>
      </c>
      <c r="CO131" s="2">
        <v>0</v>
      </c>
      <c r="CP131" s="2">
        <f t="shared" si="113"/>
        <v>16.259999999999998</v>
      </c>
      <c r="CQ131" s="2">
        <f>ROUND((ROUND((AC131*AW131*1),2)*BC131),2)</f>
        <v>85.6</v>
      </c>
      <c r="CR131" s="2">
        <f>(ROUND((ROUND((((ET131*1.1))*AV131*1),2)*BB131),2)+ROUND((ROUND(((AE131-((EU131*1.1)))*AV131*1),2)*BS131),2))</f>
        <v>0</v>
      </c>
      <c r="CS131" s="2">
        <f>(ROUND((ROUND((((EU131*1.1))*AV131*1),2)*BS131),2)+ROUND((ROUND(((AE131-((EU131*1.1)))*AV131*1),2)*BS131),2))</f>
        <v>0</v>
      </c>
      <c r="CT131" s="2">
        <f t="shared" si="114"/>
        <v>320.91000000000003</v>
      </c>
      <c r="CU131" s="2">
        <f t="shared" si="115"/>
        <v>0</v>
      </c>
      <c r="CV131" s="2">
        <f t="shared" si="116"/>
        <v>27.640799999999999</v>
      </c>
      <c r="CW131" s="2">
        <f t="shared" si="117"/>
        <v>0</v>
      </c>
      <c r="CX131" s="2">
        <f t="shared" si="118"/>
        <v>0</v>
      </c>
      <c r="CY131" s="2">
        <f>(ROUND((((S131+ROUND((ROUND((((EU131*1.1))*AV131*1),2)*BS131),2))*AT131)/100),2)+ROUND(((ROUND((ROUND(((AE131-((EU131*1.1)))*AV131*1),2)*BS131),2)*AT131)/100),2))</f>
        <v>11.56</v>
      </c>
      <c r="CZ131" s="2">
        <f>(ROUND((((S131+ROUND((ROUND((((EU131*1.1))*AV131*1),2)*BS131),2))*AU131)/100),2)+ROUND(((ROUND((ROUND(((AE131-((EU131*1.1)))*AV131*1),2)*BS131),2)*AU131)/100),2))</f>
        <v>5.91</v>
      </c>
      <c r="DA131" s="2"/>
      <c r="DB131" s="2">
        <v>27</v>
      </c>
      <c r="DC131" s="2" t="s">
        <v>3</v>
      </c>
      <c r="DD131" s="2" t="s">
        <v>24</v>
      </c>
      <c r="DE131" s="2" t="s">
        <v>25</v>
      </c>
      <c r="DF131" s="2" t="s">
        <v>25</v>
      </c>
      <c r="DG131" s="2" t="s">
        <v>25</v>
      </c>
      <c r="DH131" s="2" t="s">
        <v>3</v>
      </c>
      <c r="DI131" s="2" t="s">
        <v>25</v>
      </c>
      <c r="DJ131" s="2" t="s">
        <v>25</v>
      </c>
      <c r="DK131" s="2" t="s">
        <v>3</v>
      </c>
      <c r="DL131" s="2" t="s">
        <v>3</v>
      </c>
      <c r="DM131" s="2" t="s">
        <v>3</v>
      </c>
      <c r="DN131" s="2">
        <v>0</v>
      </c>
      <c r="DO131" s="2">
        <v>0</v>
      </c>
      <c r="DP131" s="2">
        <v>1</v>
      </c>
      <c r="DQ131" s="2">
        <v>1</v>
      </c>
      <c r="DR131" s="2"/>
      <c r="DS131" s="2"/>
      <c r="DT131" s="2"/>
      <c r="DU131" s="2">
        <v>1010</v>
      </c>
      <c r="DV131" s="2" t="s">
        <v>200</v>
      </c>
      <c r="DW131" s="2" t="s">
        <v>200</v>
      </c>
      <c r="DX131" s="2">
        <v>100</v>
      </c>
      <c r="DY131" s="2"/>
      <c r="DZ131" s="2" t="s">
        <v>3</v>
      </c>
      <c r="EA131" s="2" t="s">
        <v>3</v>
      </c>
      <c r="EB131" s="2" t="s">
        <v>3</v>
      </c>
      <c r="EC131" s="2" t="s">
        <v>3</v>
      </c>
      <c r="ED131" s="2"/>
      <c r="EE131" s="2">
        <v>60088532</v>
      </c>
      <c r="EF131" s="2">
        <v>40</v>
      </c>
      <c r="EG131" s="2" t="s">
        <v>26</v>
      </c>
      <c r="EH131" s="2">
        <v>0</v>
      </c>
      <c r="EI131" s="2" t="s">
        <v>3</v>
      </c>
      <c r="EJ131" s="2">
        <v>2</v>
      </c>
      <c r="EK131" s="2">
        <v>68</v>
      </c>
      <c r="EL131" s="2" t="s">
        <v>27</v>
      </c>
      <c r="EM131" s="2" t="s">
        <v>28</v>
      </c>
      <c r="EN131" s="2"/>
      <c r="EO131" s="2" t="s">
        <v>29</v>
      </c>
      <c r="EP131" s="2"/>
      <c r="EQ131" s="2">
        <v>0</v>
      </c>
      <c r="ER131" s="2">
        <v>364.24</v>
      </c>
      <c r="ES131" s="2">
        <v>85.6</v>
      </c>
      <c r="ET131" s="2">
        <v>0</v>
      </c>
      <c r="EU131" s="2">
        <v>0</v>
      </c>
      <c r="EV131" s="2">
        <v>278.64</v>
      </c>
      <c r="EW131" s="2">
        <v>24</v>
      </c>
      <c r="EX131" s="2">
        <v>0</v>
      </c>
      <c r="EY131" s="2">
        <v>0</v>
      </c>
      <c r="EZ131" s="2"/>
      <c r="FA131" s="2"/>
      <c r="FB131" s="2"/>
      <c r="FC131" s="2"/>
      <c r="FD131" s="2"/>
      <c r="FE131" s="2"/>
      <c r="FF131" s="2"/>
      <c r="FG131" s="2"/>
      <c r="FH131" s="2"/>
      <c r="FI131" s="2"/>
      <c r="FJ131" s="2"/>
      <c r="FK131" s="2"/>
      <c r="FL131" s="2"/>
      <c r="FM131" s="2"/>
      <c r="FN131" s="2"/>
      <c r="FO131" s="2"/>
      <c r="FP131" s="2"/>
      <c r="FQ131" s="2">
        <v>0</v>
      </c>
      <c r="FR131" s="2">
        <v>0</v>
      </c>
      <c r="FS131" s="2">
        <v>0</v>
      </c>
      <c r="FT131" s="2"/>
      <c r="FU131" s="2"/>
      <c r="FV131" s="2"/>
      <c r="FW131" s="2"/>
      <c r="FX131" s="2">
        <v>90</v>
      </c>
      <c r="FY131" s="2">
        <v>46</v>
      </c>
      <c r="FZ131" s="2"/>
      <c r="GA131" s="2" t="s">
        <v>3</v>
      </c>
      <c r="GB131" s="2"/>
      <c r="GC131" s="2"/>
      <c r="GD131" s="2">
        <v>1</v>
      </c>
      <c r="GE131" s="2"/>
      <c r="GF131" s="2">
        <v>1364637921</v>
      </c>
      <c r="GG131" s="2">
        <v>2</v>
      </c>
      <c r="GH131" s="2">
        <v>1</v>
      </c>
      <c r="GI131" s="2">
        <v>2</v>
      </c>
      <c r="GJ131" s="2">
        <v>0</v>
      </c>
      <c r="GK131" s="2">
        <v>0</v>
      </c>
      <c r="GL131" s="2">
        <f t="shared" si="119"/>
        <v>0</v>
      </c>
      <c r="GM131" s="2">
        <f t="shared" si="120"/>
        <v>33.729999999999997</v>
      </c>
      <c r="GN131" s="2">
        <f t="shared" si="121"/>
        <v>0</v>
      </c>
      <c r="GO131" s="2">
        <f t="shared" si="122"/>
        <v>33.729999999999997</v>
      </c>
      <c r="GP131" s="2">
        <f t="shared" si="123"/>
        <v>0</v>
      </c>
      <c r="GQ131" s="2"/>
      <c r="GR131" s="2">
        <v>0</v>
      </c>
      <c r="GS131" s="2">
        <v>3</v>
      </c>
      <c r="GT131" s="2">
        <v>0</v>
      </c>
      <c r="GU131" s="2" t="s">
        <v>3</v>
      </c>
      <c r="GV131" s="2">
        <f t="shared" si="124"/>
        <v>0</v>
      </c>
      <c r="GW131" s="2">
        <v>1</v>
      </c>
      <c r="GX131" s="2">
        <f t="shared" si="125"/>
        <v>0</v>
      </c>
      <c r="GY131" s="2"/>
      <c r="GZ131" s="2"/>
      <c r="HA131" s="2">
        <v>0</v>
      </c>
      <c r="HB131" s="2">
        <v>0</v>
      </c>
      <c r="HC131" s="2">
        <f t="shared" si="126"/>
        <v>0</v>
      </c>
      <c r="HD131" s="2"/>
      <c r="HE131" s="2" t="s">
        <v>3</v>
      </c>
      <c r="HF131" s="2" t="s">
        <v>3</v>
      </c>
      <c r="HG131" s="2"/>
      <c r="HH131" s="2"/>
      <c r="HI131" s="2"/>
      <c r="HJ131" s="2"/>
      <c r="HK131" s="2"/>
      <c r="HL131" s="2"/>
      <c r="HM131" s="2" t="s">
        <v>3</v>
      </c>
      <c r="HN131" s="2" t="s">
        <v>3</v>
      </c>
      <c r="HO131" s="2" t="s">
        <v>3</v>
      </c>
      <c r="HP131" s="2" t="s">
        <v>3</v>
      </c>
      <c r="HQ131" s="2" t="s">
        <v>3</v>
      </c>
      <c r="HR131" s="2"/>
      <c r="HS131" s="2">
        <v>0</v>
      </c>
      <c r="HT131" s="2"/>
      <c r="HU131" s="2"/>
      <c r="HV131" s="2"/>
      <c r="HW131" s="2"/>
      <c r="HX131" s="2"/>
      <c r="HY131" s="2"/>
      <c r="HZ131" s="2"/>
      <c r="IA131" s="2"/>
      <c r="IB131" s="2"/>
      <c r="IC131" s="2"/>
      <c r="ID131" s="2"/>
      <c r="IE131" s="2"/>
      <c r="IF131" s="2"/>
      <c r="IG131" s="2"/>
      <c r="IH131" s="2"/>
      <c r="II131" s="2"/>
      <c r="IJ131" s="2"/>
      <c r="IK131" s="2">
        <v>0</v>
      </c>
      <c r="IL131" s="2"/>
      <c r="IM131" s="2"/>
      <c r="IN131" s="2"/>
      <c r="IO131" s="2"/>
      <c r="IP131" s="2"/>
      <c r="IQ131" s="2"/>
      <c r="IR131" s="2"/>
      <c r="IS131" s="2"/>
      <c r="IT131" s="2"/>
      <c r="IU131" s="2"/>
    </row>
    <row r="132" spans="1:255" x14ac:dyDescent="0.2">
      <c r="A132" s="3">
        <v>17</v>
      </c>
      <c r="B132" s="3">
        <v>1</v>
      </c>
      <c r="C132" s="3">
        <f>ROW(SmtRes!A86)</f>
        <v>86</v>
      </c>
      <c r="D132" s="3">
        <f>ROW(EtalonRes!A112)</f>
        <v>112</v>
      </c>
      <c r="E132" s="3" t="s">
        <v>197</v>
      </c>
      <c r="F132" s="3" t="s">
        <v>198</v>
      </c>
      <c r="G132" s="3" t="s">
        <v>199</v>
      </c>
      <c r="H132" s="3" t="s">
        <v>200</v>
      </c>
      <c r="I132" s="3">
        <f>ROUND(4/100,9)</f>
        <v>0.04</v>
      </c>
      <c r="J132" s="3">
        <v>0</v>
      </c>
      <c r="K132" s="3">
        <f>ROUND(4/100,9)</f>
        <v>0.04</v>
      </c>
      <c r="O132" s="3">
        <f t="shared" si="104"/>
        <v>724.85</v>
      </c>
      <c r="P132" s="3">
        <f>ROUND((ROUND((AC132*AW132*I132),2)*BC132),2)</f>
        <v>18.78</v>
      </c>
      <c r="Q132" s="3">
        <f>(ROUND((ROUND((((ET132*1.1))*AV132*I132),2)*BB132),2)+ROUND((ROUND(((AE132-((EU132*1.1)))*AV132*I132),2)*BS132),2))</f>
        <v>0</v>
      </c>
      <c r="R132" s="3">
        <f>(ROUND((ROUND((((EU132*1.1))*AV132*I132),2)*BS132),2)+ROUND((ROUND(((AE132-((EU132*1.1)))*AV132*I132),2)*BS132),2))</f>
        <v>0</v>
      </c>
      <c r="S132" s="3">
        <f t="shared" si="105"/>
        <v>706.07</v>
      </c>
      <c r="T132" s="3">
        <f t="shared" si="106"/>
        <v>0</v>
      </c>
      <c r="U132" s="3">
        <f t="shared" si="107"/>
        <v>1.1056319999999999</v>
      </c>
      <c r="V132" s="3">
        <f t="shared" si="108"/>
        <v>0</v>
      </c>
      <c r="W132" s="3">
        <f t="shared" si="109"/>
        <v>0</v>
      </c>
      <c r="X132" s="3">
        <f>(ROUND((((S132+ROUND((ROUND((((EU132*1.1))*AV132*I132),2)*BS132),2))*AT132)/100),2)+ROUND(((ROUND((ROUND(((AE132-((EU132*1.1)))*AV132*I132),2)*BS132),2)*AT132)/100),2))</f>
        <v>635.46</v>
      </c>
      <c r="Y132" s="3">
        <f>(ROUND((((S132+ROUND((ROUND((((EU132*1.1))*AV132*I132),2)*BS132),2))*AU132)/100),2)+ROUND(((ROUND((ROUND(((AE132-((EU132*1.1)))*AV132*I132),2)*BS132),2)*AU132)/100),2))</f>
        <v>324.79000000000002</v>
      </c>
      <c r="AA132" s="3">
        <v>60256402</v>
      </c>
      <c r="AB132" s="3">
        <f t="shared" si="110"/>
        <v>392.10399999999998</v>
      </c>
      <c r="AC132" s="3">
        <f>ROUND(((ES132*1)),6)</f>
        <v>85.6</v>
      </c>
      <c r="AD132" s="3">
        <f>ROUND(((((ET132*1.1))-((EU132*1.1)))+AE132),6)</f>
        <v>0</v>
      </c>
      <c r="AE132" s="3">
        <f>ROUND(((EU132*1.1)),6)</f>
        <v>0</v>
      </c>
      <c r="AF132" s="3">
        <f>ROUND(((EV132*1.1)),6)</f>
        <v>306.50400000000002</v>
      </c>
      <c r="AG132" s="3">
        <f t="shared" si="111"/>
        <v>0</v>
      </c>
      <c r="AH132" s="3">
        <f>((EW132*1.1))</f>
        <v>26.400000000000002</v>
      </c>
      <c r="AI132" s="3">
        <f>((EX132*1.1))</f>
        <v>0</v>
      </c>
      <c r="AJ132" s="3">
        <f t="shared" si="112"/>
        <v>0</v>
      </c>
      <c r="AK132" s="3">
        <v>364.24</v>
      </c>
      <c r="AL132" s="3">
        <v>85.6</v>
      </c>
      <c r="AM132" s="3">
        <v>0</v>
      </c>
      <c r="AN132" s="3">
        <v>0</v>
      </c>
      <c r="AO132" s="3">
        <v>278.64</v>
      </c>
      <c r="AP132" s="3">
        <v>0</v>
      </c>
      <c r="AQ132" s="3">
        <v>24</v>
      </c>
      <c r="AR132" s="3">
        <v>0</v>
      </c>
      <c r="AS132" s="3">
        <v>0</v>
      </c>
      <c r="AT132" s="3">
        <v>90</v>
      </c>
      <c r="AU132" s="3">
        <v>46</v>
      </c>
      <c r="AV132" s="3">
        <v>1.0469999999999999</v>
      </c>
      <c r="AW132" s="3">
        <v>1</v>
      </c>
      <c r="AZ132" s="3">
        <v>1</v>
      </c>
      <c r="BA132" s="3">
        <v>54.99</v>
      </c>
      <c r="BB132" s="3">
        <v>1</v>
      </c>
      <c r="BC132" s="3">
        <v>5.49</v>
      </c>
      <c r="BD132" s="3" t="s">
        <v>3</v>
      </c>
      <c r="BE132" s="3" t="s">
        <v>3</v>
      </c>
      <c r="BF132" s="3" t="s">
        <v>3</v>
      </c>
      <c r="BG132" s="3" t="s">
        <v>3</v>
      </c>
      <c r="BH132" s="3">
        <v>0</v>
      </c>
      <c r="BI132" s="3">
        <v>2</v>
      </c>
      <c r="BJ132" s="3" t="s">
        <v>201</v>
      </c>
      <c r="BM132" s="3">
        <v>68</v>
      </c>
      <c r="BN132" s="3">
        <v>58973116</v>
      </c>
      <c r="BO132" s="3" t="s">
        <v>198</v>
      </c>
      <c r="BP132" s="3">
        <v>1</v>
      </c>
      <c r="BQ132" s="3">
        <v>40</v>
      </c>
      <c r="BR132" s="3">
        <v>0</v>
      </c>
      <c r="BS132" s="3">
        <v>54.99</v>
      </c>
      <c r="BT132" s="3">
        <v>1</v>
      </c>
      <c r="BU132" s="3">
        <v>1</v>
      </c>
      <c r="BV132" s="3">
        <v>1</v>
      </c>
      <c r="BW132" s="3">
        <v>1</v>
      </c>
      <c r="BX132" s="3">
        <v>1</v>
      </c>
      <c r="BY132" s="3" t="s">
        <v>3</v>
      </c>
      <c r="BZ132" s="3">
        <v>90</v>
      </c>
      <c r="CA132" s="3">
        <v>46</v>
      </c>
      <c r="CB132" s="3" t="s">
        <v>3</v>
      </c>
      <c r="CE132" s="3">
        <v>1566</v>
      </c>
      <c r="CF132" s="3">
        <v>0</v>
      </c>
      <c r="CG132" s="3">
        <v>0</v>
      </c>
      <c r="CM132" s="3">
        <v>0</v>
      </c>
      <c r="CN132" s="3" t="s">
        <v>369</v>
      </c>
      <c r="CO132" s="3">
        <v>0</v>
      </c>
      <c r="CP132" s="3">
        <f t="shared" si="113"/>
        <v>724.85</v>
      </c>
      <c r="CQ132" s="3">
        <f>ROUND((ROUND((AC132*AW132*1),2)*BC132),2)</f>
        <v>469.94</v>
      </c>
      <c r="CR132" s="3">
        <f>(ROUND((ROUND((((ET132*1.1))*AV132*1),2)*BB132),2)+ROUND((ROUND(((AE132-((EU132*1.1)))*AV132*1),2)*BS132),2))</f>
        <v>0</v>
      </c>
      <c r="CS132" s="3">
        <f>(ROUND((ROUND((((EU132*1.1))*AV132*1),2)*BS132),2)+ROUND((ROUND(((AE132-((EU132*1.1)))*AV132*1),2)*BS132),2))</f>
        <v>0</v>
      </c>
      <c r="CT132" s="3">
        <f t="shared" si="114"/>
        <v>17646.84</v>
      </c>
      <c r="CU132" s="3">
        <f t="shared" si="115"/>
        <v>0</v>
      </c>
      <c r="CV132" s="3">
        <f t="shared" si="116"/>
        <v>27.640799999999999</v>
      </c>
      <c r="CW132" s="3">
        <f t="shared" si="117"/>
        <v>0</v>
      </c>
      <c r="CX132" s="3">
        <f t="shared" si="118"/>
        <v>0</v>
      </c>
      <c r="CY132" s="3">
        <f>(ROUND((((S132+ROUND((ROUND((((EU132*1.1))*AV132*1),2)*BS132),2))*AT132)/100),2)+ROUND(((ROUND((ROUND(((AE132-((EU132*1.1)))*AV132*1),2)*BS132),2)*AT132)/100),2))</f>
        <v>635.46</v>
      </c>
      <c r="CZ132" s="3">
        <f>(ROUND((((S132+ROUND((ROUND((((EU132*1.1))*AV132*1),2)*BS132),2))*AU132)/100),2)+ROUND(((ROUND((ROUND(((AE132-((EU132*1.1)))*AV132*1),2)*BS132),2)*AU132)/100),2))</f>
        <v>324.79000000000002</v>
      </c>
      <c r="DB132" s="3">
        <v>28</v>
      </c>
      <c r="DC132" s="3" t="s">
        <v>3</v>
      </c>
      <c r="DD132" s="3" t="s">
        <v>24</v>
      </c>
      <c r="DE132" s="3" t="s">
        <v>25</v>
      </c>
      <c r="DF132" s="3" t="s">
        <v>25</v>
      </c>
      <c r="DG132" s="3" t="s">
        <v>25</v>
      </c>
      <c r="DH132" s="3" t="s">
        <v>3</v>
      </c>
      <c r="DI132" s="3" t="s">
        <v>25</v>
      </c>
      <c r="DJ132" s="3" t="s">
        <v>25</v>
      </c>
      <c r="DK132" s="3" t="s">
        <v>3</v>
      </c>
      <c r="DL132" s="3" t="s">
        <v>3</v>
      </c>
      <c r="DM132" s="3" t="s">
        <v>3</v>
      </c>
      <c r="DN132" s="3">
        <v>0</v>
      </c>
      <c r="DO132" s="3">
        <v>0</v>
      </c>
      <c r="DP132" s="3">
        <v>1</v>
      </c>
      <c r="DQ132" s="3">
        <v>1</v>
      </c>
      <c r="DU132" s="3">
        <v>1010</v>
      </c>
      <c r="DV132" s="3" t="s">
        <v>200</v>
      </c>
      <c r="DW132" s="3" t="s">
        <v>200</v>
      </c>
      <c r="DX132" s="3">
        <v>100</v>
      </c>
      <c r="DZ132" s="3" t="s">
        <v>3</v>
      </c>
      <c r="EA132" s="3" t="s">
        <v>3</v>
      </c>
      <c r="EB132" s="3" t="s">
        <v>3</v>
      </c>
      <c r="EC132" s="3" t="s">
        <v>3</v>
      </c>
      <c r="EE132" s="3">
        <v>60088532</v>
      </c>
      <c r="EF132" s="3">
        <v>40</v>
      </c>
      <c r="EG132" s="3" t="s">
        <v>26</v>
      </c>
      <c r="EH132" s="3">
        <v>0</v>
      </c>
      <c r="EI132" s="3" t="s">
        <v>3</v>
      </c>
      <c r="EJ132" s="3">
        <v>2</v>
      </c>
      <c r="EK132" s="3">
        <v>68</v>
      </c>
      <c r="EL132" s="3" t="s">
        <v>27</v>
      </c>
      <c r="EM132" s="3" t="s">
        <v>28</v>
      </c>
      <c r="EO132" s="3" t="s">
        <v>29</v>
      </c>
      <c r="EQ132" s="3">
        <v>0</v>
      </c>
      <c r="ER132" s="3">
        <v>364.24</v>
      </c>
      <c r="ES132" s="3">
        <v>85.6</v>
      </c>
      <c r="ET132" s="3">
        <v>0</v>
      </c>
      <c r="EU132" s="3">
        <v>0</v>
      </c>
      <c r="EV132" s="3">
        <v>278.64</v>
      </c>
      <c r="EW132" s="3">
        <v>24</v>
      </c>
      <c r="EX132" s="3">
        <v>0</v>
      </c>
      <c r="EY132" s="3">
        <v>0</v>
      </c>
      <c r="FQ132" s="3">
        <v>0</v>
      </c>
      <c r="FR132" s="3">
        <v>0</v>
      </c>
      <c r="FS132" s="3">
        <v>0</v>
      </c>
      <c r="FX132" s="3">
        <v>90</v>
      </c>
      <c r="FY132" s="3">
        <v>46</v>
      </c>
      <c r="GA132" s="3" t="s">
        <v>3</v>
      </c>
      <c r="GD132" s="3">
        <v>1</v>
      </c>
      <c r="GF132" s="3">
        <v>1364637921</v>
      </c>
      <c r="GG132" s="3">
        <v>2</v>
      </c>
      <c r="GH132" s="3">
        <v>1</v>
      </c>
      <c r="GI132" s="3">
        <v>2</v>
      </c>
      <c r="GJ132" s="3">
        <v>0</v>
      </c>
      <c r="GK132" s="3">
        <v>0</v>
      </c>
      <c r="GL132" s="3">
        <f t="shared" si="119"/>
        <v>0</v>
      </c>
      <c r="GM132" s="3">
        <f t="shared" si="120"/>
        <v>1685.1</v>
      </c>
      <c r="GN132" s="3">
        <f t="shared" si="121"/>
        <v>0</v>
      </c>
      <c r="GO132" s="3">
        <f t="shared" si="122"/>
        <v>1685.1</v>
      </c>
      <c r="GP132" s="3">
        <f t="shared" si="123"/>
        <v>0</v>
      </c>
      <c r="GR132" s="3">
        <v>0</v>
      </c>
      <c r="GS132" s="3">
        <v>3</v>
      </c>
      <c r="GT132" s="3">
        <v>0</v>
      </c>
      <c r="GU132" s="3" t="s">
        <v>3</v>
      </c>
      <c r="GV132" s="3">
        <f t="shared" si="124"/>
        <v>0</v>
      </c>
      <c r="GW132" s="3">
        <v>1</v>
      </c>
      <c r="GX132" s="3">
        <f t="shared" si="125"/>
        <v>0</v>
      </c>
      <c r="HA132" s="3">
        <v>0</v>
      </c>
      <c r="HB132" s="3">
        <v>0</v>
      </c>
      <c r="HC132" s="3">
        <f t="shared" si="126"/>
        <v>0</v>
      </c>
      <c r="HE132" s="3" t="s">
        <v>3</v>
      </c>
      <c r="HF132" s="3" t="s">
        <v>3</v>
      </c>
      <c r="HM132" s="3" t="s">
        <v>3</v>
      </c>
      <c r="HN132" s="3" t="s">
        <v>3</v>
      </c>
      <c r="HO132" s="3" t="s">
        <v>3</v>
      </c>
      <c r="HP132" s="3" t="s">
        <v>3</v>
      </c>
      <c r="HQ132" s="3" t="s">
        <v>3</v>
      </c>
      <c r="HS132" s="3">
        <v>0</v>
      </c>
      <c r="IK132" s="3">
        <v>0</v>
      </c>
    </row>
    <row r="133" spans="1:255" x14ac:dyDescent="0.2">
      <c r="A133" s="2">
        <v>17</v>
      </c>
      <c r="B133" s="2">
        <v>1</v>
      </c>
      <c r="C133" s="2"/>
      <c r="D133" s="2"/>
      <c r="E133" s="2" t="s">
        <v>202</v>
      </c>
      <c r="F133" s="2" t="s">
        <v>203</v>
      </c>
      <c r="G133" s="2" t="s">
        <v>204</v>
      </c>
      <c r="H133" s="2" t="s">
        <v>33</v>
      </c>
      <c r="I133" s="2">
        <v>4</v>
      </c>
      <c r="J133" s="2">
        <v>0</v>
      </c>
      <c r="K133" s="2">
        <v>4</v>
      </c>
      <c r="L133" s="2"/>
      <c r="M133" s="2"/>
      <c r="N133" s="2"/>
      <c r="O133" s="2">
        <f t="shared" si="104"/>
        <v>2375.92</v>
      </c>
      <c r="P133" s="2">
        <f>ROUND((ROUND((AC133*I133),2)*BC133),2)</f>
        <v>2375.92</v>
      </c>
      <c r="Q133" s="2">
        <f>(ROUND((ROUND(((ET133)*AV133*I133),2)*BB133),2)+ROUND((ROUND(((AE133-(EU133))*AV133*I133),2)*BS133),2))</f>
        <v>0</v>
      </c>
      <c r="R133" s="2">
        <f>(ROUND((ROUND(((EU133)*AV133*I133),2)*BS133),2)+ROUND((ROUND(((AE133-(EU133))*AV133*I133),2)*BS133),2))</f>
        <v>0</v>
      </c>
      <c r="S133" s="2">
        <f t="shared" si="105"/>
        <v>0</v>
      </c>
      <c r="T133" s="2">
        <f t="shared" si="106"/>
        <v>0</v>
      </c>
      <c r="U133" s="2">
        <f t="shared" si="107"/>
        <v>0</v>
      </c>
      <c r="V133" s="2">
        <f t="shared" si="108"/>
        <v>0</v>
      </c>
      <c r="W133" s="2">
        <f t="shared" si="109"/>
        <v>0</v>
      </c>
      <c r="X133" s="2">
        <f>(ROUND((((S133+ROUND((ROUND(((EU133)*AV133*I133),2)*BS133),2))*AT133)/100),2)+ROUND(((ROUND((ROUND(((AE133-(EU133))*AV133*I133),2)*BS133),2)*AT133)/100),2))</f>
        <v>0</v>
      </c>
      <c r="Y133" s="2">
        <f>(ROUND((((S133+ROUND((ROUND(((EU133)*AV133*I133),2)*BS133),2))*AU133)/100),2)+ROUND(((ROUND((ROUND(((AE133-(EU133))*AV133*I133),2)*BS133),2)*AU133)/100),2))</f>
        <v>0</v>
      </c>
      <c r="Z133" s="2"/>
      <c r="AA133" s="2">
        <v>60256405</v>
      </c>
      <c r="AB133" s="2">
        <f t="shared" si="110"/>
        <v>593.98</v>
      </c>
      <c r="AC133" s="2">
        <f>ROUND((ES133),6)</f>
        <v>593.98</v>
      </c>
      <c r="AD133" s="2">
        <f>ROUND((((ET133)-(EU133))+AE133),6)</f>
        <v>0</v>
      </c>
      <c r="AE133" s="2">
        <f>ROUND((EU133),6)</f>
        <v>0</v>
      </c>
      <c r="AF133" s="2">
        <f>ROUND((EV133),6)</f>
        <v>0</v>
      </c>
      <c r="AG133" s="2">
        <f t="shared" si="111"/>
        <v>0</v>
      </c>
      <c r="AH133" s="2">
        <f>(EW133)</f>
        <v>0</v>
      </c>
      <c r="AI133" s="2">
        <f>(EX133)</f>
        <v>0</v>
      </c>
      <c r="AJ133" s="2">
        <f t="shared" si="112"/>
        <v>0</v>
      </c>
      <c r="AK133" s="2">
        <v>593.98</v>
      </c>
      <c r="AL133" s="2">
        <v>593.98</v>
      </c>
      <c r="AM133" s="2">
        <v>0</v>
      </c>
      <c r="AN133" s="2">
        <v>0</v>
      </c>
      <c r="AO133" s="2">
        <v>0</v>
      </c>
      <c r="AP133" s="2">
        <v>0</v>
      </c>
      <c r="AQ133" s="2">
        <v>0</v>
      </c>
      <c r="AR133" s="2">
        <v>0</v>
      </c>
      <c r="AS133" s="2">
        <v>0</v>
      </c>
      <c r="AT133" s="2">
        <v>0</v>
      </c>
      <c r="AU133" s="2">
        <v>0</v>
      </c>
      <c r="AV133" s="2">
        <v>1</v>
      </c>
      <c r="AW133" s="2">
        <v>1</v>
      </c>
      <c r="AX133" s="2"/>
      <c r="AY133" s="2"/>
      <c r="AZ133" s="2">
        <v>1</v>
      </c>
      <c r="BA133" s="2">
        <v>1</v>
      </c>
      <c r="BB133" s="2">
        <v>1</v>
      </c>
      <c r="BC133" s="2">
        <v>1</v>
      </c>
      <c r="BD133" s="2" t="s">
        <v>3</v>
      </c>
      <c r="BE133" s="2" t="s">
        <v>3</v>
      </c>
      <c r="BF133" s="2" t="s">
        <v>3</v>
      </c>
      <c r="BG133" s="2" t="s">
        <v>3</v>
      </c>
      <c r="BH133" s="2">
        <v>3</v>
      </c>
      <c r="BI133" s="2">
        <v>3</v>
      </c>
      <c r="BJ133" s="2" t="s">
        <v>3</v>
      </c>
      <c r="BK133" s="2"/>
      <c r="BL133" s="2"/>
      <c r="BM133" s="2">
        <v>746</v>
      </c>
      <c r="BN133" s="2">
        <v>0</v>
      </c>
      <c r="BO133" s="2" t="s">
        <v>3</v>
      </c>
      <c r="BP133" s="2">
        <v>0</v>
      </c>
      <c r="BQ133" s="2">
        <v>130</v>
      </c>
      <c r="BR133" s="2">
        <v>0</v>
      </c>
      <c r="BS133" s="2">
        <v>1</v>
      </c>
      <c r="BT133" s="2">
        <v>1</v>
      </c>
      <c r="BU133" s="2">
        <v>1</v>
      </c>
      <c r="BV133" s="2">
        <v>1</v>
      </c>
      <c r="BW133" s="2">
        <v>1</v>
      </c>
      <c r="BX133" s="2">
        <v>1</v>
      </c>
      <c r="BY133" s="2" t="s">
        <v>3</v>
      </c>
      <c r="BZ133" s="2">
        <v>0</v>
      </c>
      <c r="CA133" s="2">
        <v>0</v>
      </c>
      <c r="CB133" s="2" t="s">
        <v>3</v>
      </c>
      <c r="CC133" s="2"/>
      <c r="CD133" s="2"/>
      <c r="CE133" s="2">
        <v>1566</v>
      </c>
      <c r="CF133" s="2">
        <v>0</v>
      </c>
      <c r="CG133" s="2">
        <v>0</v>
      </c>
      <c r="CH133" s="2"/>
      <c r="CI133" s="2"/>
      <c r="CJ133" s="2"/>
      <c r="CK133" s="2"/>
      <c r="CL133" s="2"/>
      <c r="CM133" s="2">
        <v>0</v>
      </c>
      <c r="CN133" s="2" t="s">
        <v>3</v>
      </c>
      <c r="CO133" s="2">
        <v>0</v>
      </c>
      <c r="CP133" s="2">
        <f t="shared" si="113"/>
        <v>2375.92</v>
      </c>
      <c r="CQ133" s="2">
        <f>ROUND((ROUND((AC133*1),2)*BC133),2)</f>
        <v>593.98</v>
      </c>
      <c r="CR133" s="2">
        <f>(ROUND((ROUND(((ET133)*AV133*1),2)*BB133),2)+ROUND((ROUND(((AE133-(EU133))*AV133*1),2)*BS133),2))</f>
        <v>0</v>
      </c>
      <c r="CS133" s="2">
        <f>(ROUND((ROUND(((EU133)*AV133*1),2)*BS133),2)+ROUND((ROUND(((AE133-(EU133))*AV133*1),2)*BS133),2))</f>
        <v>0</v>
      </c>
      <c r="CT133" s="2">
        <f t="shared" si="114"/>
        <v>0</v>
      </c>
      <c r="CU133" s="2">
        <f t="shared" si="115"/>
        <v>0</v>
      </c>
      <c r="CV133" s="2">
        <f t="shared" si="116"/>
        <v>0</v>
      </c>
      <c r="CW133" s="2">
        <f t="shared" si="117"/>
        <v>0</v>
      </c>
      <c r="CX133" s="2">
        <f t="shared" si="118"/>
        <v>0</v>
      </c>
      <c r="CY133" s="2">
        <f>(ROUND((((S133+ROUND((ROUND(((EU133)*AV133*1),2)*BS133),2))*AT133)/100),2)+ROUND(((ROUND((ROUND(((AE133-(EU133))*AV133*1),2)*BS133),2)*AT133)/100),2))</f>
        <v>0</v>
      </c>
      <c r="CZ133" s="2">
        <f>(ROUND((((S133+ROUND((ROUND(((EU133)*AV133*1),2)*BS133),2))*AU133)/100),2)+ROUND(((ROUND((ROUND(((AE133-(EU133))*AV133*1),2)*BS133),2)*AU133)/100),2))</f>
        <v>0</v>
      </c>
      <c r="DA133" s="2"/>
      <c r="DB133" s="2"/>
      <c r="DC133" s="2" t="s">
        <v>3</v>
      </c>
      <c r="DD133" s="2" t="s">
        <v>3</v>
      </c>
      <c r="DE133" s="2" t="s">
        <v>3</v>
      </c>
      <c r="DF133" s="2" t="s">
        <v>3</v>
      </c>
      <c r="DG133" s="2" t="s">
        <v>3</v>
      </c>
      <c r="DH133" s="2" t="s">
        <v>3</v>
      </c>
      <c r="DI133" s="2" t="s">
        <v>3</v>
      </c>
      <c r="DJ133" s="2" t="s">
        <v>3</v>
      </c>
      <c r="DK133" s="2" t="s">
        <v>3</v>
      </c>
      <c r="DL133" s="2" t="s">
        <v>3</v>
      </c>
      <c r="DM133" s="2" t="s">
        <v>3</v>
      </c>
      <c r="DN133" s="2">
        <v>0</v>
      </c>
      <c r="DO133" s="2">
        <v>0</v>
      </c>
      <c r="DP133" s="2">
        <v>1</v>
      </c>
      <c r="DQ133" s="2">
        <v>1</v>
      </c>
      <c r="DR133" s="2"/>
      <c r="DS133" s="2"/>
      <c r="DT133" s="2"/>
      <c r="DU133" s="2">
        <v>1010</v>
      </c>
      <c r="DV133" s="2" t="s">
        <v>33</v>
      </c>
      <c r="DW133" s="2" t="s">
        <v>33</v>
      </c>
      <c r="DX133" s="2">
        <v>1</v>
      </c>
      <c r="DY133" s="2"/>
      <c r="DZ133" s="2" t="s">
        <v>3</v>
      </c>
      <c r="EA133" s="2" t="s">
        <v>3</v>
      </c>
      <c r="EB133" s="2" t="s">
        <v>3</v>
      </c>
      <c r="EC133" s="2" t="s">
        <v>3</v>
      </c>
      <c r="ED133" s="2"/>
      <c r="EE133" s="2">
        <v>60088638</v>
      </c>
      <c r="EF133" s="2">
        <v>130</v>
      </c>
      <c r="EG133" s="2" t="s">
        <v>43</v>
      </c>
      <c r="EH133" s="2">
        <v>0</v>
      </c>
      <c r="EI133" s="2" t="s">
        <v>3</v>
      </c>
      <c r="EJ133" s="2">
        <v>3</v>
      </c>
      <c r="EK133" s="2">
        <v>746</v>
      </c>
      <c r="EL133" s="2" t="s">
        <v>44</v>
      </c>
      <c r="EM133" s="2" t="s">
        <v>45</v>
      </c>
      <c r="EN133" s="2"/>
      <c r="EO133" s="2" t="s">
        <v>3</v>
      </c>
      <c r="EP133" s="2"/>
      <c r="EQ133" s="2">
        <v>0</v>
      </c>
      <c r="ER133" s="2">
        <v>0</v>
      </c>
      <c r="ES133" s="2">
        <v>593.98</v>
      </c>
      <c r="ET133" s="2">
        <v>0</v>
      </c>
      <c r="EU133" s="2">
        <v>0</v>
      </c>
      <c r="EV133" s="2">
        <v>0</v>
      </c>
      <c r="EW133" s="2">
        <v>0</v>
      </c>
      <c r="EX133" s="2">
        <v>0</v>
      </c>
      <c r="EY133" s="2">
        <v>0</v>
      </c>
      <c r="EZ133" s="2"/>
      <c r="FA133" s="2"/>
      <c r="FB133" s="2"/>
      <c r="FC133" s="2"/>
      <c r="FD133" s="2"/>
      <c r="FE133" s="2"/>
      <c r="FF133" s="2"/>
      <c r="FG133" s="2"/>
      <c r="FH133" s="2"/>
      <c r="FI133" s="2"/>
      <c r="FJ133" s="2"/>
      <c r="FK133" s="2"/>
      <c r="FL133" s="2"/>
      <c r="FM133" s="2"/>
      <c r="FN133" s="2"/>
      <c r="FO133" s="2"/>
      <c r="FP133" s="2"/>
      <c r="FQ133" s="2">
        <v>0</v>
      </c>
      <c r="FR133" s="2">
        <f>P133</f>
        <v>2375.92</v>
      </c>
      <c r="FS133" s="2">
        <v>0</v>
      </c>
      <c r="FT133" s="2"/>
      <c r="FU133" s="2"/>
      <c r="FV133" s="2"/>
      <c r="FW133" s="2"/>
      <c r="FX133" s="2">
        <v>0</v>
      </c>
      <c r="FY133" s="2">
        <v>0</v>
      </c>
      <c r="FZ133" s="2"/>
      <c r="GA133" s="2" t="s">
        <v>205</v>
      </c>
      <c r="GB133" s="2"/>
      <c r="GC133" s="2"/>
      <c r="GD133" s="2">
        <v>1</v>
      </c>
      <c r="GE133" s="2"/>
      <c r="GF133" s="2">
        <v>1815472238</v>
      </c>
      <c r="GG133" s="2">
        <v>2</v>
      </c>
      <c r="GH133" s="2">
        <v>4</v>
      </c>
      <c r="GI133" s="2">
        <v>-2</v>
      </c>
      <c r="GJ133" s="2">
        <v>0</v>
      </c>
      <c r="GK133" s="2">
        <v>0</v>
      </c>
      <c r="GL133" s="2">
        <f t="shared" si="119"/>
        <v>0</v>
      </c>
      <c r="GM133" s="2">
        <f t="shared" si="120"/>
        <v>2375.92</v>
      </c>
      <c r="GN133" s="2">
        <f t="shared" si="121"/>
        <v>0</v>
      </c>
      <c r="GO133" s="2">
        <f t="shared" si="122"/>
        <v>0</v>
      </c>
      <c r="GP133" s="2">
        <f t="shared" si="123"/>
        <v>0</v>
      </c>
      <c r="GQ133" s="2"/>
      <c r="GR133" s="2">
        <v>0</v>
      </c>
      <c r="GS133" s="2">
        <v>2</v>
      </c>
      <c r="GT133" s="2">
        <v>0</v>
      </c>
      <c r="GU133" s="2" t="s">
        <v>3</v>
      </c>
      <c r="GV133" s="2">
        <f t="shared" si="124"/>
        <v>0</v>
      </c>
      <c r="GW133" s="2">
        <v>1</v>
      </c>
      <c r="GX133" s="2">
        <f t="shared" si="125"/>
        <v>0</v>
      </c>
      <c r="GY133" s="2"/>
      <c r="GZ133" s="2"/>
      <c r="HA133" s="2">
        <v>0</v>
      </c>
      <c r="HB133" s="2">
        <v>0</v>
      </c>
      <c r="HC133" s="2">
        <f t="shared" si="126"/>
        <v>0</v>
      </c>
      <c r="HD133" s="2"/>
      <c r="HE133" s="2" t="s">
        <v>36</v>
      </c>
      <c r="HF133" s="2" t="s">
        <v>47</v>
      </c>
      <c r="HG133" s="2"/>
      <c r="HH133" s="2"/>
      <c r="HI133" s="2"/>
      <c r="HJ133" s="2"/>
      <c r="HK133" s="2"/>
      <c r="HL133" s="2"/>
      <c r="HM133" s="2" t="s">
        <v>3</v>
      </c>
      <c r="HN133" s="2" t="s">
        <v>3</v>
      </c>
      <c r="HO133" s="2" t="s">
        <v>3</v>
      </c>
      <c r="HP133" s="2" t="s">
        <v>3</v>
      </c>
      <c r="HQ133" s="2" t="s">
        <v>3</v>
      </c>
      <c r="HR133" s="2"/>
      <c r="HS133" s="2">
        <v>0</v>
      </c>
      <c r="HT133" s="2"/>
      <c r="HU133" s="2"/>
      <c r="HV133" s="2"/>
      <c r="HW133" s="2"/>
      <c r="HX133" s="2"/>
      <c r="HY133" s="2"/>
      <c r="HZ133" s="2"/>
      <c r="IA133" s="2"/>
      <c r="IB133" s="2"/>
      <c r="IC133" s="2"/>
      <c r="ID133" s="2"/>
      <c r="IE133" s="2"/>
      <c r="IF133" s="2"/>
      <c r="IG133" s="2"/>
      <c r="IH133" s="2"/>
      <c r="II133" s="2"/>
      <c r="IJ133" s="2"/>
      <c r="IK133" s="2">
        <v>0</v>
      </c>
      <c r="IL133" s="2"/>
      <c r="IM133" s="2"/>
      <c r="IN133" s="2"/>
      <c r="IO133" s="2"/>
      <c r="IP133" s="2"/>
      <c r="IQ133" s="2"/>
      <c r="IR133" s="2"/>
      <c r="IS133" s="2"/>
      <c r="IT133" s="2"/>
      <c r="IU133" s="2"/>
    </row>
    <row r="134" spans="1:255" x14ac:dyDescent="0.2">
      <c r="A134" s="3">
        <v>17</v>
      </c>
      <c r="B134" s="3">
        <v>1</v>
      </c>
      <c r="E134" s="3" t="s">
        <v>202</v>
      </c>
      <c r="F134" s="3" t="s">
        <v>203</v>
      </c>
      <c r="G134" s="3" t="s">
        <v>204</v>
      </c>
      <c r="H134" s="3" t="s">
        <v>33</v>
      </c>
      <c r="I134" s="3">
        <v>4</v>
      </c>
      <c r="J134" s="3">
        <v>0</v>
      </c>
      <c r="K134" s="3">
        <v>4</v>
      </c>
      <c r="O134" s="3">
        <f t="shared" si="104"/>
        <v>18199.55</v>
      </c>
      <c r="P134" s="3">
        <f>ROUND((ROUND((AC134*I134),2)*BC134),2)</f>
        <v>18199.55</v>
      </c>
      <c r="Q134" s="3">
        <f>(ROUND((ROUND(((ET134)*AV134*I134),2)*BB134),2)+ROUND((ROUND(((AE134-(EU134))*AV134*I134),2)*BS134),2))</f>
        <v>0</v>
      </c>
      <c r="R134" s="3">
        <f>(ROUND((ROUND(((EU134)*AV134*I134),2)*BS134),2)+ROUND((ROUND(((AE134-(EU134))*AV134*I134),2)*BS134),2))</f>
        <v>0</v>
      </c>
      <c r="S134" s="3">
        <f t="shared" si="105"/>
        <v>0</v>
      </c>
      <c r="T134" s="3">
        <f t="shared" si="106"/>
        <v>0</v>
      </c>
      <c r="U134" s="3">
        <f t="shared" si="107"/>
        <v>0</v>
      </c>
      <c r="V134" s="3">
        <f t="shared" si="108"/>
        <v>0</v>
      </c>
      <c r="W134" s="3">
        <f t="shared" si="109"/>
        <v>0</v>
      </c>
      <c r="X134" s="3">
        <f>(ROUND((((S134+ROUND((ROUND(((EU134)*AV134*I134),2)*BS134),2))*AT134)/100),2)+ROUND(((ROUND((ROUND(((AE134-(EU134))*AV134*I134),2)*BS134),2)*AT134)/100),2))</f>
        <v>0</v>
      </c>
      <c r="Y134" s="3">
        <f>(ROUND((((S134+ROUND((ROUND(((EU134)*AV134*I134),2)*BS134),2))*AU134)/100),2)+ROUND(((ROUND((ROUND(((AE134-(EU134))*AV134*I134),2)*BS134),2)*AU134)/100),2))</f>
        <v>0</v>
      </c>
      <c r="AA134" s="3">
        <v>60256402</v>
      </c>
      <c r="AB134" s="3">
        <f t="shared" si="110"/>
        <v>593.98</v>
      </c>
      <c r="AC134" s="3">
        <f>ROUND((ES134),6)</f>
        <v>593.98</v>
      </c>
      <c r="AD134" s="3">
        <f>ROUND((((ET134)-(EU134))+AE134),6)</f>
        <v>0</v>
      </c>
      <c r="AE134" s="3">
        <f>ROUND((EU134),6)</f>
        <v>0</v>
      </c>
      <c r="AF134" s="3">
        <f>ROUND((EV134),6)</f>
        <v>0</v>
      </c>
      <c r="AG134" s="3">
        <f t="shared" si="111"/>
        <v>0</v>
      </c>
      <c r="AH134" s="3">
        <f>(EW134)</f>
        <v>0</v>
      </c>
      <c r="AI134" s="3">
        <f>(EX134)</f>
        <v>0</v>
      </c>
      <c r="AJ134" s="3">
        <f t="shared" si="112"/>
        <v>0</v>
      </c>
      <c r="AK134" s="3">
        <v>593.98</v>
      </c>
      <c r="AL134" s="3">
        <v>593.98</v>
      </c>
      <c r="AM134" s="3">
        <v>0</v>
      </c>
      <c r="AN134" s="3">
        <v>0</v>
      </c>
      <c r="AO134" s="3">
        <v>0</v>
      </c>
      <c r="AP134" s="3">
        <v>0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3">
        <v>1</v>
      </c>
      <c r="AW134" s="3">
        <v>1</v>
      </c>
      <c r="AZ134" s="3">
        <v>1</v>
      </c>
      <c r="BA134" s="3">
        <v>1</v>
      </c>
      <c r="BB134" s="3">
        <v>1</v>
      </c>
      <c r="BC134" s="3">
        <v>7.66</v>
      </c>
      <c r="BD134" s="3" t="s">
        <v>3</v>
      </c>
      <c r="BE134" s="3" t="s">
        <v>3</v>
      </c>
      <c r="BF134" s="3" t="s">
        <v>3</v>
      </c>
      <c r="BG134" s="3" t="s">
        <v>3</v>
      </c>
      <c r="BH134" s="3">
        <v>3</v>
      </c>
      <c r="BI134" s="3">
        <v>3</v>
      </c>
      <c r="BJ134" s="3" t="s">
        <v>3</v>
      </c>
      <c r="BM134" s="3">
        <v>746</v>
      </c>
      <c r="BN134" s="3">
        <v>0</v>
      </c>
      <c r="BO134" s="3" t="s">
        <v>3</v>
      </c>
      <c r="BP134" s="3">
        <v>0</v>
      </c>
      <c r="BQ134" s="3">
        <v>130</v>
      </c>
      <c r="BR134" s="3">
        <v>0</v>
      </c>
      <c r="BS134" s="3">
        <v>1</v>
      </c>
      <c r="BT134" s="3">
        <v>1</v>
      </c>
      <c r="BU134" s="3">
        <v>1</v>
      </c>
      <c r="BV134" s="3">
        <v>1</v>
      </c>
      <c r="BW134" s="3">
        <v>1</v>
      </c>
      <c r="BX134" s="3">
        <v>1</v>
      </c>
      <c r="BY134" s="3" t="s">
        <v>3</v>
      </c>
      <c r="BZ134" s="3">
        <v>0</v>
      </c>
      <c r="CA134" s="3">
        <v>0</v>
      </c>
      <c r="CB134" s="3" t="s">
        <v>3</v>
      </c>
      <c r="CE134" s="3">
        <v>1566</v>
      </c>
      <c r="CF134" s="3">
        <v>0</v>
      </c>
      <c r="CG134" s="3">
        <v>0</v>
      </c>
      <c r="CM134" s="3">
        <v>0</v>
      </c>
      <c r="CN134" s="3" t="s">
        <v>3</v>
      </c>
      <c r="CO134" s="3">
        <v>0</v>
      </c>
      <c r="CP134" s="3">
        <f t="shared" si="113"/>
        <v>18199.55</v>
      </c>
      <c r="CQ134" s="3">
        <f>ROUND((ROUND((AC134*1),2)*BC134),2)</f>
        <v>4549.8900000000003</v>
      </c>
      <c r="CR134" s="3">
        <f>(ROUND((ROUND(((ET134)*AV134*1),2)*BB134),2)+ROUND((ROUND(((AE134-(EU134))*AV134*1),2)*BS134),2))</f>
        <v>0</v>
      </c>
      <c r="CS134" s="3">
        <f>(ROUND((ROUND(((EU134)*AV134*1),2)*BS134),2)+ROUND((ROUND(((AE134-(EU134))*AV134*1),2)*BS134),2))</f>
        <v>0</v>
      </c>
      <c r="CT134" s="3">
        <f t="shared" si="114"/>
        <v>0</v>
      </c>
      <c r="CU134" s="3">
        <f t="shared" si="115"/>
        <v>0</v>
      </c>
      <c r="CV134" s="3">
        <f t="shared" si="116"/>
        <v>0</v>
      </c>
      <c r="CW134" s="3">
        <f t="shared" si="117"/>
        <v>0</v>
      </c>
      <c r="CX134" s="3">
        <f t="shared" si="118"/>
        <v>0</v>
      </c>
      <c r="CY134" s="3">
        <f>(ROUND((((S134+ROUND((ROUND(((EU134)*AV134*1),2)*BS134),2))*AT134)/100),2)+ROUND(((ROUND((ROUND(((AE134-(EU134))*AV134*1),2)*BS134),2)*AT134)/100),2))</f>
        <v>0</v>
      </c>
      <c r="CZ134" s="3">
        <f>(ROUND((((S134+ROUND((ROUND(((EU134)*AV134*1),2)*BS134),2))*AU134)/100),2)+ROUND(((ROUND((ROUND(((AE134-(EU134))*AV134*1),2)*BS134),2)*AU134)/100),2))</f>
        <v>0</v>
      </c>
      <c r="DC134" s="3" t="s">
        <v>3</v>
      </c>
      <c r="DD134" s="3" t="s">
        <v>3</v>
      </c>
      <c r="DE134" s="3" t="s">
        <v>3</v>
      </c>
      <c r="DF134" s="3" t="s">
        <v>3</v>
      </c>
      <c r="DG134" s="3" t="s">
        <v>3</v>
      </c>
      <c r="DH134" s="3" t="s">
        <v>3</v>
      </c>
      <c r="DI134" s="3" t="s">
        <v>3</v>
      </c>
      <c r="DJ134" s="3" t="s">
        <v>3</v>
      </c>
      <c r="DK134" s="3" t="s">
        <v>3</v>
      </c>
      <c r="DL134" s="3" t="s">
        <v>3</v>
      </c>
      <c r="DM134" s="3" t="s">
        <v>3</v>
      </c>
      <c r="DN134" s="3">
        <v>0</v>
      </c>
      <c r="DO134" s="3">
        <v>0</v>
      </c>
      <c r="DP134" s="3">
        <v>1</v>
      </c>
      <c r="DQ134" s="3">
        <v>1</v>
      </c>
      <c r="DU134" s="3">
        <v>1010</v>
      </c>
      <c r="DV134" s="3" t="s">
        <v>33</v>
      </c>
      <c r="DW134" s="3" t="s">
        <v>33</v>
      </c>
      <c r="DX134" s="3">
        <v>1</v>
      </c>
      <c r="DZ134" s="3" t="s">
        <v>3</v>
      </c>
      <c r="EA134" s="3" t="s">
        <v>3</v>
      </c>
      <c r="EB134" s="3" t="s">
        <v>3</v>
      </c>
      <c r="EC134" s="3" t="s">
        <v>3</v>
      </c>
      <c r="EE134" s="3">
        <v>60088638</v>
      </c>
      <c r="EF134" s="3">
        <v>130</v>
      </c>
      <c r="EG134" s="3" t="s">
        <v>43</v>
      </c>
      <c r="EH134" s="3">
        <v>0</v>
      </c>
      <c r="EI134" s="3" t="s">
        <v>3</v>
      </c>
      <c r="EJ134" s="3">
        <v>3</v>
      </c>
      <c r="EK134" s="3">
        <v>746</v>
      </c>
      <c r="EL134" s="3" t="s">
        <v>44</v>
      </c>
      <c r="EM134" s="3" t="s">
        <v>45</v>
      </c>
      <c r="EO134" s="3" t="s">
        <v>3</v>
      </c>
      <c r="EQ134" s="3">
        <v>0</v>
      </c>
      <c r="ER134" s="3">
        <v>593.98</v>
      </c>
      <c r="ES134" s="3">
        <v>593.98</v>
      </c>
      <c r="ET134" s="3">
        <v>0</v>
      </c>
      <c r="EU134" s="3">
        <v>0</v>
      </c>
      <c r="EV134" s="3">
        <v>0</v>
      </c>
      <c r="EW134" s="3">
        <v>0</v>
      </c>
      <c r="EX134" s="3">
        <v>0</v>
      </c>
      <c r="EY134" s="3">
        <v>0</v>
      </c>
      <c r="EZ134" s="3">
        <v>5</v>
      </c>
      <c r="FC134" s="3">
        <v>1</v>
      </c>
      <c r="FD134" s="3">
        <v>18</v>
      </c>
      <c r="FF134" s="3">
        <v>5238</v>
      </c>
      <c r="FQ134" s="3">
        <v>0</v>
      </c>
      <c r="FR134" s="3">
        <f>P134</f>
        <v>18199.55</v>
      </c>
      <c r="FS134" s="3">
        <v>0</v>
      </c>
      <c r="FX134" s="3">
        <v>0</v>
      </c>
      <c r="FY134" s="3">
        <v>0</v>
      </c>
      <c r="GA134" s="3" t="s">
        <v>205</v>
      </c>
      <c r="GD134" s="3">
        <v>1</v>
      </c>
      <c r="GF134" s="3">
        <v>1815472238</v>
      </c>
      <c r="GG134" s="3">
        <v>2</v>
      </c>
      <c r="GH134" s="3">
        <v>3</v>
      </c>
      <c r="GI134" s="3">
        <v>5</v>
      </c>
      <c r="GJ134" s="3">
        <v>0</v>
      </c>
      <c r="GK134" s="3">
        <v>0</v>
      </c>
      <c r="GL134" s="3">
        <f t="shared" si="119"/>
        <v>0</v>
      </c>
      <c r="GM134" s="3">
        <f t="shared" si="120"/>
        <v>18199.55</v>
      </c>
      <c r="GN134" s="3">
        <f t="shared" si="121"/>
        <v>0</v>
      </c>
      <c r="GO134" s="3">
        <f t="shared" si="122"/>
        <v>0</v>
      </c>
      <c r="GP134" s="3">
        <f t="shared" si="123"/>
        <v>0</v>
      </c>
      <c r="GR134" s="3">
        <v>1</v>
      </c>
      <c r="GS134" s="3">
        <v>1</v>
      </c>
      <c r="GT134" s="3">
        <v>0</v>
      </c>
      <c r="GU134" s="3" t="s">
        <v>3</v>
      </c>
      <c r="GV134" s="3">
        <f t="shared" si="124"/>
        <v>0</v>
      </c>
      <c r="GW134" s="3">
        <v>1</v>
      </c>
      <c r="GX134" s="3">
        <f t="shared" si="125"/>
        <v>0</v>
      </c>
      <c r="HA134" s="3">
        <v>0</v>
      </c>
      <c r="HB134" s="3">
        <v>0</v>
      </c>
      <c r="HC134" s="3">
        <f t="shared" si="126"/>
        <v>0</v>
      </c>
      <c r="HE134" s="3" t="s">
        <v>36</v>
      </c>
      <c r="HF134" s="3" t="s">
        <v>47</v>
      </c>
      <c r="HM134" s="3" t="s">
        <v>3</v>
      </c>
      <c r="HN134" s="3" t="s">
        <v>3</v>
      </c>
      <c r="HO134" s="3" t="s">
        <v>3</v>
      </c>
      <c r="HP134" s="3" t="s">
        <v>3</v>
      </c>
      <c r="HQ134" s="3" t="s">
        <v>3</v>
      </c>
      <c r="HS134" s="3">
        <v>0</v>
      </c>
      <c r="IK134" s="3">
        <v>0</v>
      </c>
    </row>
    <row r="135" spans="1:255" x14ac:dyDescent="0.2">
      <c r="A135" s="2">
        <v>17</v>
      </c>
      <c r="B135" s="2">
        <v>1</v>
      </c>
      <c r="C135" s="2">
        <f>ROW(SmtRes!A89)</f>
        <v>89</v>
      </c>
      <c r="D135" s="2">
        <f>ROW(EtalonRes!A116)</f>
        <v>116</v>
      </c>
      <c r="E135" s="2" t="s">
        <v>206</v>
      </c>
      <c r="F135" s="2" t="s">
        <v>207</v>
      </c>
      <c r="G135" s="2" t="s">
        <v>208</v>
      </c>
      <c r="H135" s="2" t="s">
        <v>22</v>
      </c>
      <c r="I135" s="2">
        <v>1</v>
      </c>
      <c r="J135" s="2">
        <v>0</v>
      </c>
      <c r="K135" s="2">
        <v>1</v>
      </c>
      <c r="L135" s="2"/>
      <c r="M135" s="2"/>
      <c r="N135" s="2"/>
      <c r="O135" s="2">
        <f t="shared" si="104"/>
        <v>125</v>
      </c>
      <c r="P135" s="2">
        <f>ROUND((ROUND((AC135*AW135*I135),2)*BC135),2)</f>
        <v>4.45</v>
      </c>
      <c r="Q135" s="2">
        <f>(ROUND((ROUND((((ET135*1.1))*AV135*I135),2)*BB135),2)+ROUND((ROUND(((AE135-((EU135*1.1)))*AV135*I135),2)*BS135),2))</f>
        <v>0.21</v>
      </c>
      <c r="R135" s="2">
        <f>(ROUND((ROUND((((EU135*1.1))*AV135*I135),2)*BS135),2)+ROUND((ROUND(((AE135-((EU135*1.1)))*AV135*I135),2)*BS135),2))</f>
        <v>0</v>
      </c>
      <c r="S135" s="2">
        <f t="shared" si="105"/>
        <v>120.34</v>
      </c>
      <c r="T135" s="2">
        <f t="shared" si="106"/>
        <v>0</v>
      </c>
      <c r="U135" s="2">
        <f t="shared" si="107"/>
        <v>10.3653</v>
      </c>
      <c r="V135" s="2">
        <f t="shared" si="108"/>
        <v>0</v>
      </c>
      <c r="W135" s="2">
        <f t="shared" si="109"/>
        <v>0</v>
      </c>
      <c r="X135" s="2">
        <f>(ROUND((((S135+ROUND((ROUND((((EU135*1.1))*AV135*I135),2)*BS135),2))*AT135)/100),2)+ROUND(((ROUND((ROUND(((AE135-((EU135*1.1)))*AV135*I135),2)*BS135),2)*AT135)/100),2))</f>
        <v>108.31</v>
      </c>
      <c r="Y135" s="2">
        <f>(ROUND((((S135+ROUND((ROUND((((EU135*1.1))*AV135*I135),2)*BS135),2))*AU135)/100),2)+ROUND(((ROUND((ROUND(((AE135-((EU135*1.1)))*AV135*I135),2)*BS135),2)*AU135)/100),2))</f>
        <v>55.36</v>
      </c>
      <c r="Z135" s="2"/>
      <c r="AA135" s="2">
        <v>60256405</v>
      </c>
      <c r="AB135" s="2">
        <f t="shared" si="110"/>
        <v>119.587</v>
      </c>
      <c r="AC135" s="2">
        <f>ROUND(((ES135*1)),6)</f>
        <v>4.45</v>
      </c>
      <c r="AD135" s="2">
        <f>ROUND(((((ET135*1.1))-((EU135*1.1)))+AE135),6)</f>
        <v>0.19800000000000001</v>
      </c>
      <c r="AE135" s="2">
        <f>ROUND(((EU135*1.1)),6)</f>
        <v>0</v>
      </c>
      <c r="AF135" s="2">
        <f>ROUND(((EV135*1.1)),6)</f>
        <v>114.93899999999999</v>
      </c>
      <c r="AG135" s="2">
        <f t="shared" si="111"/>
        <v>0</v>
      </c>
      <c r="AH135" s="2">
        <f>((EW135*1.1))</f>
        <v>9.9</v>
      </c>
      <c r="AI135" s="2">
        <f>((EX135*1.1))</f>
        <v>0</v>
      </c>
      <c r="AJ135" s="2">
        <f t="shared" si="112"/>
        <v>0</v>
      </c>
      <c r="AK135" s="2">
        <v>109.12</v>
      </c>
      <c r="AL135" s="2">
        <v>4.45</v>
      </c>
      <c r="AM135" s="2">
        <v>0.18</v>
      </c>
      <c r="AN135" s="2">
        <v>0</v>
      </c>
      <c r="AO135" s="2">
        <v>104.49</v>
      </c>
      <c r="AP135" s="2">
        <v>0</v>
      </c>
      <c r="AQ135" s="2">
        <v>9</v>
      </c>
      <c r="AR135" s="2">
        <v>0</v>
      </c>
      <c r="AS135" s="2">
        <v>0</v>
      </c>
      <c r="AT135" s="2">
        <v>90</v>
      </c>
      <c r="AU135" s="2">
        <v>46</v>
      </c>
      <c r="AV135" s="2">
        <v>1.0469999999999999</v>
      </c>
      <c r="AW135" s="2">
        <v>1</v>
      </c>
      <c r="AX135" s="2"/>
      <c r="AY135" s="2"/>
      <c r="AZ135" s="2">
        <v>1</v>
      </c>
      <c r="BA135" s="2">
        <v>1</v>
      </c>
      <c r="BB135" s="2">
        <v>1</v>
      </c>
      <c r="BC135" s="2">
        <v>1</v>
      </c>
      <c r="BD135" s="2" t="s">
        <v>3</v>
      </c>
      <c r="BE135" s="2" t="s">
        <v>3</v>
      </c>
      <c r="BF135" s="2" t="s">
        <v>3</v>
      </c>
      <c r="BG135" s="2" t="s">
        <v>3</v>
      </c>
      <c r="BH135" s="2">
        <v>0</v>
      </c>
      <c r="BI135" s="2">
        <v>2</v>
      </c>
      <c r="BJ135" s="2" t="s">
        <v>209</v>
      </c>
      <c r="BK135" s="2"/>
      <c r="BL135" s="2"/>
      <c r="BM135" s="2">
        <v>68</v>
      </c>
      <c r="BN135" s="2">
        <v>58973116</v>
      </c>
      <c r="BO135" s="2" t="s">
        <v>207</v>
      </c>
      <c r="BP135" s="2">
        <v>1</v>
      </c>
      <c r="BQ135" s="2">
        <v>40</v>
      </c>
      <c r="BR135" s="2">
        <v>0</v>
      </c>
      <c r="BS135" s="2">
        <v>1</v>
      </c>
      <c r="BT135" s="2">
        <v>1</v>
      </c>
      <c r="BU135" s="2">
        <v>1</v>
      </c>
      <c r="BV135" s="2">
        <v>1</v>
      </c>
      <c r="BW135" s="2">
        <v>1</v>
      </c>
      <c r="BX135" s="2">
        <v>1</v>
      </c>
      <c r="BY135" s="2" t="s">
        <v>3</v>
      </c>
      <c r="BZ135" s="2">
        <v>90</v>
      </c>
      <c r="CA135" s="2">
        <v>46</v>
      </c>
      <c r="CB135" s="2" t="s">
        <v>3</v>
      </c>
      <c r="CC135" s="2"/>
      <c r="CD135" s="2"/>
      <c r="CE135" s="2">
        <v>1566</v>
      </c>
      <c r="CF135" s="2">
        <v>0</v>
      </c>
      <c r="CG135" s="2">
        <v>0</v>
      </c>
      <c r="CH135" s="2"/>
      <c r="CI135" s="2"/>
      <c r="CJ135" s="2"/>
      <c r="CK135" s="2"/>
      <c r="CL135" s="2"/>
      <c r="CM135" s="2">
        <v>0</v>
      </c>
      <c r="CN135" s="2" t="s">
        <v>369</v>
      </c>
      <c r="CO135" s="2">
        <v>0</v>
      </c>
      <c r="CP135" s="2">
        <f t="shared" si="113"/>
        <v>125</v>
      </c>
      <c r="CQ135" s="2">
        <f>ROUND((ROUND((AC135*AW135*1),2)*BC135),2)</f>
        <v>4.45</v>
      </c>
      <c r="CR135" s="2">
        <f>(ROUND((ROUND((((ET135*1.1))*AV135*1),2)*BB135),2)+ROUND((ROUND(((AE135-((EU135*1.1)))*AV135*1),2)*BS135),2))</f>
        <v>0.21</v>
      </c>
      <c r="CS135" s="2">
        <f>(ROUND((ROUND((((EU135*1.1))*AV135*1),2)*BS135),2)+ROUND((ROUND(((AE135-((EU135*1.1)))*AV135*1),2)*BS135),2))</f>
        <v>0</v>
      </c>
      <c r="CT135" s="2">
        <f t="shared" si="114"/>
        <v>120.34</v>
      </c>
      <c r="CU135" s="2">
        <f t="shared" si="115"/>
        <v>0</v>
      </c>
      <c r="CV135" s="2">
        <f t="shared" si="116"/>
        <v>10.3653</v>
      </c>
      <c r="CW135" s="2">
        <f t="shared" si="117"/>
        <v>0</v>
      </c>
      <c r="CX135" s="2">
        <f t="shared" si="118"/>
        <v>0</v>
      </c>
      <c r="CY135" s="2">
        <f>(ROUND((((S135+ROUND((ROUND((((EU135*1.1))*AV135*1),2)*BS135),2))*AT135)/100),2)+ROUND(((ROUND((ROUND(((AE135-((EU135*1.1)))*AV135*1),2)*BS135),2)*AT135)/100),2))</f>
        <v>108.31</v>
      </c>
      <c r="CZ135" s="2">
        <f>(ROUND((((S135+ROUND((ROUND((((EU135*1.1))*AV135*1),2)*BS135),2))*AU135)/100),2)+ROUND(((ROUND((ROUND(((AE135-((EU135*1.1)))*AV135*1),2)*BS135),2)*AU135)/100),2))</f>
        <v>55.36</v>
      </c>
      <c r="DA135" s="2"/>
      <c r="DB135" s="2">
        <v>29</v>
      </c>
      <c r="DC135" s="2" t="s">
        <v>3</v>
      </c>
      <c r="DD135" s="2" t="s">
        <v>24</v>
      </c>
      <c r="DE135" s="2" t="s">
        <v>25</v>
      </c>
      <c r="DF135" s="2" t="s">
        <v>25</v>
      </c>
      <c r="DG135" s="2" t="s">
        <v>25</v>
      </c>
      <c r="DH135" s="2" t="s">
        <v>3</v>
      </c>
      <c r="DI135" s="2" t="s">
        <v>25</v>
      </c>
      <c r="DJ135" s="2" t="s">
        <v>25</v>
      </c>
      <c r="DK135" s="2" t="s">
        <v>3</v>
      </c>
      <c r="DL135" s="2" t="s">
        <v>3</v>
      </c>
      <c r="DM135" s="2" t="s">
        <v>3</v>
      </c>
      <c r="DN135" s="2">
        <v>0</v>
      </c>
      <c r="DO135" s="2">
        <v>0</v>
      </c>
      <c r="DP135" s="2">
        <v>1</v>
      </c>
      <c r="DQ135" s="2">
        <v>1</v>
      </c>
      <c r="DR135" s="2"/>
      <c r="DS135" s="2"/>
      <c r="DT135" s="2"/>
      <c r="DU135" s="2">
        <v>1013</v>
      </c>
      <c r="DV135" s="2" t="s">
        <v>22</v>
      </c>
      <c r="DW135" s="2" t="s">
        <v>22</v>
      </c>
      <c r="DX135" s="2">
        <v>1</v>
      </c>
      <c r="DY135" s="2"/>
      <c r="DZ135" s="2" t="s">
        <v>3</v>
      </c>
      <c r="EA135" s="2" t="s">
        <v>3</v>
      </c>
      <c r="EB135" s="2" t="s">
        <v>3</v>
      </c>
      <c r="EC135" s="2" t="s">
        <v>3</v>
      </c>
      <c r="ED135" s="2"/>
      <c r="EE135" s="2">
        <v>60088532</v>
      </c>
      <c r="EF135" s="2">
        <v>40</v>
      </c>
      <c r="EG135" s="2" t="s">
        <v>26</v>
      </c>
      <c r="EH135" s="2">
        <v>0</v>
      </c>
      <c r="EI135" s="2" t="s">
        <v>3</v>
      </c>
      <c r="EJ135" s="2">
        <v>2</v>
      </c>
      <c r="EK135" s="2">
        <v>68</v>
      </c>
      <c r="EL135" s="2" t="s">
        <v>27</v>
      </c>
      <c r="EM135" s="2" t="s">
        <v>28</v>
      </c>
      <c r="EN135" s="2"/>
      <c r="EO135" s="2" t="s">
        <v>29</v>
      </c>
      <c r="EP135" s="2"/>
      <c r="EQ135" s="2">
        <v>0</v>
      </c>
      <c r="ER135" s="2">
        <v>109.12</v>
      </c>
      <c r="ES135" s="2">
        <v>4.45</v>
      </c>
      <c r="ET135" s="2">
        <v>0.18</v>
      </c>
      <c r="EU135" s="2">
        <v>0</v>
      </c>
      <c r="EV135" s="2">
        <v>104.49</v>
      </c>
      <c r="EW135" s="2">
        <v>9</v>
      </c>
      <c r="EX135" s="2">
        <v>0</v>
      </c>
      <c r="EY135" s="2">
        <v>0</v>
      </c>
      <c r="EZ135" s="2"/>
      <c r="FA135" s="2"/>
      <c r="FB135" s="2"/>
      <c r="FC135" s="2"/>
      <c r="FD135" s="2"/>
      <c r="FE135" s="2"/>
      <c r="FF135" s="2"/>
      <c r="FG135" s="2"/>
      <c r="FH135" s="2"/>
      <c r="FI135" s="2"/>
      <c r="FJ135" s="2"/>
      <c r="FK135" s="2"/>
      <c r="FL135" s="2"/>
      <c r="FM135" s="2"/>
      <c r="FN135" s="2"/>
      <c r="FO135" s="2"/>
      <c r="FP135" s="2"/>
      <c r="FQ135" s="2">
        <v>0</v>
      </c>
      <c r="FR135" s="2">
        <v>0</v>
      </c>
      <c r="FS135" s="2">
        <v>0</v>
      </c>
      <c r="FT135" s="2"/>
      <c r="FU135" s="2"/>
      <c r="FV135" s="2"/>
      <c r="FW135" s="2"/>
      <c r="FX135" s="2">
        <v>90</v>
      </c>
      <c r="FY135" s="2">
        <v>46</v>
      </c>
      <c r="FZ135" s="2"/>
      <c r="GA135" s="2" t="s">
        <v>3</v>
      </c>
      <c r="GB135" s="2"/>
      <c r="GC135" s="2"/>
      <c r="GD135" s="2">
        <v>1</v>
      </c>
      <c r="GE135" s="2"/>
      <c r="GF135" s="2">
        <v>-1855866961</v>
      </c>
      <c r="GG135" s="2">
        <v>2</v>
      </c>
      <c r="GH135" s="2">
        <v>1</v>
      </c>
      <c r="GI135" s="2">
        <v>2</v>
      </c>
      <c r="GJ135" s="2">
        <v>0</v>
      </c>
      <c r="GK135" s="2">
        <v>0</v>
      </c>
      <c r="GL135" s="2">
        <f t="shared" si="119"/>
        <v>0</v>
      </c>
      <c r="GM135" s="2">
        <f t="shared" si="120"/>
        <v>288.67</v>
      </c>
      <c r="GN135" s="2">
        <f t="shared" si="121"/>
        <v>0</v>
      </c>
      <c r="GO135" s="2">
        <f t="shared" si="122"/>
        <v>288.67</v>
      </c>
      <c r="GP135" s="2">
        <f t="shared" si="123"/>
        <v>0</v>
      </c>
      <c r="GQ135" s="2"/>
      <c r="GR135" s="2">
        <v>0</v>
      </c>
      <c r="GS135" s="2">
        <v>3</v>
      </c>
      <c r="GT135" s="2">
        <v>0</v>
      </c>
      <c r="GU135" s="2" t="s">
        <v>3</v>
      </c>
      <c r="GV135" s="2">
        <f t="shared" si="124"/>
        <v>0</v>
      </c>
      <c r="GW135" s="2">
        <v>1</v>
      </c>
      <c r="GX135" s="2">
        <f t="shared" si="125"/>
        <v>0</v>
      </c>
      <c r="GY135" s="2"/>
      <c r="GZ135" s="2"/>
      <c r="HA135" s="2">
        <v>0</v>
      </c>
      <c r="HB135" s="2">
        <v>0</v>
      </c>
      <c r="HC135" s="2">
        <f t="shared" si="126"/>
        <v>0</v>
      </c>
      <c r="HD135" s="2"/>
      <c r="HE135" s="2" t="s">
        <v>3</v>
      </c>
      <c r="HF135" s="2" t="s">
        <v>3</v>
      </c>
      <c r="HG135" s="2"/>
      <c r="HH135" s="2"/>
      <c r="HI135" s="2"/>
      <c r="HJ135" s="2"/>
      <c r="HK135" s="2"/>
      <c r="HL135" s="2"/>
      <c r="HM135" s="2" t="s">
        <v>3</v>
      </c>
      <c r="HN135" s="2" t="s">
        <v>3</v>
      </c>
      <c r="HO135" s="2" t="s">
        <v>3</v>
      </c>
      <c r="HP135" s="2" t="s">
        <v>3</v>
      </c>
      <c r="HQ135" s="2" t="s">
        <v>3</v>
      </c>
      <c r="HR135" s="2"/>
      <c r="HS135" s="2">
        <v>0</v>
      </c>
      <c r="HT135" s="2"/>
      <c r="HU135" s="2"/>
      <c r="HV135" s="2"/>
      <c r="HW135" s="2"/>
      <c r="HX135" s="2"/>
      <c r="HY135" s="2"/>
      <c r="HZ135" s="2"/>
      <c r="IA135" s="2"/>
      <c r="IB135" s="2"/>
      <c r="IC135" s="2"/>
      <c r="ID135" s="2"/>
      <c r="IE135" s="2"/>
      <c r="IF135" s="2"/>
      <c r="IG135" s="2"/>
      <c r="IH135" s="2"/>
      <c r="II135" s="2"/>
      <c r="IJ135" s="2"/>
      <c r="IK135" s="2">
        <v>0</v>
      </c>
      <c r="IL135" s="2"/>
      <c r="IM135" s="2"/>
      <c r="IN135" s="2"/>
      <c r="IO135" s="2"/>
      <c r="IP135" s="2"/>
      <c r="IQ135" s="2"/>
      <c r="IR135" s="2"/>
      <c r="IS135" s="2"/>
      <c r="IT135" s="2"/>
      <c r="IU135" s="2"/>
    </row>
    <row r="136" spans="1:255" x14ac:dyDescent="0.2">
      <c r="A136" s="3">
        <v>17</v>
      </c>
      <c r="B136" s="3">
        <v>1</v>
      </c>
      <c r="C136" s="3">
        <f>ROW(SmtRes!A92)</f>
        <v>92</v>
      </c>
      <c r="D136" s="3">
        <f>ROW(EtalonRes!A120)</f>
        <v>120</v>
      </c>
      <c r="E136" s="3" t="s">
        <v>206</v>
      </c>
      <c r="F136" s="3" t="s">
        <v>207</v>
      </c>
      <c r="G136" s="3" t="s">
        <v>208</v>
      </c>
      <c r="H136" s="3" t="s">
        <v>22</v>
      </c>
      <c r="I136" s="3">
        <v>1</v>
      </c>
      <c r="J136" s="3">
        <v>0</v>
      </c>
      <c r="K136" s="3">
        <v>1</v>
      </c>
      <c r="O136" s="3">
        <f t="shared" si="104"/>
        <v>6623.27</v>
      </c>
      <c r="P136" s="3">
        <f>ROUND((ROUND((AC136*AW136*I136),2)*BC136),2)</f>
        <v>4.01</v>
      </c>
      <c r="Q136" s="3">
        <f>(ROUND((ROUND((((ET136*1.1))*AV136*I136),2)*BB136),2)+ROUND((ROUND(((AE136-((EU136*1.1)))*AV136*I136),2)*BS136),2))</f>
        <v>1.76</v>
      </c>
      <c r="R136" s="3">
        <f>(ROUND((ROUND((((EU136*1.1))*AV136*I136),2)*BS136),2)+ROUND((ROUND(((AE136-((EU136*1.1)))*AV136*I136),2)*BS136),2))</f>
        <v>0</v>
      </c>
      <c r="S136" s="3">
        <f t="shared" si="105"/>
        <v>6617.5</v>
      </c>
      <c r="T136" s="3">
        <f t="shared" si="106"/>
        <v>0</v>
      </c>
      <c r="U136" s="3">
        <f t="shared" si="107"/>
        <v>10.3653</v>
      </c>
      <c r="V136" s="3">
        <f t="shared" si="108"/>
        <v>0</v>
      </c>
      <c r="W136" s="3">
        <f t="shared" si="109"/>
        <v>0</v>
      </c>
      <c r="X136" s="3">
        <f>(ROUND((((S136+ROUND((ROUND((((EU136*1.1))*AV136*I136),2)*BS136),2))*AT136)/100),2)+ROUND(((ROUND((ROUND(((AE136-((EU136*1.1)))*AV136*I136),2)*BS136),2)*AT136)/100),2))</f>
        <v>5955.75</v>
      </c>
      <c r="Y136" s="3">
        <f>(ROUND((((S136+ROUND((ROUND((((EU136*1.1))*AV136*I136),2)*BS136),2))*AU136)/100),2)+ROUND(((ROUND((ROUND(((AE136-((EU136*1.1)))*AV136*I136),2)*BS136),2)*AU136)/100),2))</f>
        <v>3044.05</v>
      </c>
      <c r="AA136" s="3">
        <v>60256402</v>
      </c>
      <c r="AB136" s="3">
        <f t="shared" si="110"/>
        <v>119.587</v>
      </c>
      <c r="AC136" s="3">
        <f>ROUND(((ES136*1)),6)</f>
        <v>4.45</v>
      </c>
      <c r="AD136" s="3">
        <f>ROUND(((((ET136*1.1))-((EU136*1.1)))+AE136),6)</f>
        <v>0.19800000000000001</v>
      </c>
      <c r="AE136" s="3">
        <f>ROUND(((EU136*1.1)),6)</f>
        <v>0</v>
      </c>
      <c r="AF136" s="3">
        <f>ROUND(((EV136*1.1)),6)</f>
        <v>114.93899999999999</v>
      </c>
      <c r="AG136" s="3">
        <f t="shared" si="111"/>
        <v>0</v>
      </c>
      <c r="AH136" s="3">
        <f>((EW136*1.1))</f>
        <v>9.9</v>
      </c>
      <c r="AI136" s="3">
        <f>((EX136*1.1))</f>
        <v>0</v>
      </c>
      <c r="AJ136" s="3">
        <f t="shared" si="112"/>
        <v>0</v>
      </c>
      <c r="AK136" s="3">
        <v>109.12</v>
      </c>
      <c r="AL136" s="3">
        <v>4.45</v>
      </c>
      <c r="AM136" s="3">
        <v>0.18</v>
      </c>
      <c r="AN136" s="3">
        <v>0</v>
      </c>
      <c r="AO136" s="3">
        <v>104.49</v>
      </c>
      <c r="AP136" s="3">
        <v>0</v>
      </c>
      <c r="AQ136" s="3">
        <v>9</v>
      </c>
      <c r="AR136" s="3">
        <v>0</v>
      </c>
      <c r="AS136" s="3">
        <v>0</v>
      </c>
      <c r="AT136" s="3">
        <v>90</v>
      </c>
      <c r="AU136" s="3">
        <v>46</v>
      </c>
      <c r="AV136" s="3">
        <v>1.0469999999999999</v>
      </c>
      <c r="AW136" s="3">
        <v>1</v>
      </c>
      <c r="AZ136" s="3">
        <v>1</v>
      </c>
      <c r="BA136" s="3">
        <v>54.99</v>
      </c>
      <c r="BB136" s="3">
        <v>8.39</v>
      </c>
      <c r="BC136" s="3">
        <v>0.9</v>
      </c>
      <c r="BD136" s="3" t="s">
        <v>3</v>
      </c>
      <c r="BE136" s="3" t="s">
        <v>3</v>
      </c>
      <c r="BF136" s="3" t="s">
        <v>3</v>
      </c>
      <c r="BG136" s="3" t="s">
        <v>3</v>
      </c>
      <c r="BH136" s="3">
        <v>0</v>
      </c>
      <c r="BI136" s="3">
        <v>2</v>
      </c>
      <c r="BJ136" s="3" t="s">
        <v>209</v>
      </c>
      <c r="BM136" s="3">
        <v>68</v>
      </c>
      <c r="BN136" s="3">
        <v>58973116</v>
      </c>
      <c r="BO136" s="3" t="s">
        <v>207</v>
      </c>
      <c r="BP136" s="3">
        <v>1</v>
      </c>
      <c r="BQ136" s="3">
        <v>40</v>
      </c>
      <c r="BR136" s="3">
        <v>0</v>
      </c>
      <c r="BS136" s="3">
        <v>54.99</v>
      </c>
      <c r="BT136" s="3">
        <v>1</v>
      </c>
      <c r="BU136" s="3">
        <v>1</v>
      </c>
      <c r="BV136" s="3">
        <v>1</v>
      </c>
      <c r="BW136" s="3">
        <v>1</v>
      </c>
      <c r="BX136" s="3">
        <v>1</v>
      </c>
      <c r="BY136" s="3" t="s">
        <v>3</v>
      </c>
      <c r="BZ136" s="3">
        <v>90</v>
      </c>
      <c r="CA136" s="3">
        <v>46</v>
      </c>
      <c r="CB136" s="3" t="s">
        <v>3</v>
      </c>
      <c r="CE136" s="3">
        <v>1566</v>
      </c>
      <c r="CF136" s="3">
        <v>0</v>
      </c>
      <c r="CG136" s="3">
        <v>0</v>
      </c>
      <c r="CM136" s="3">
        <v>0</v>
      </c>
      <c r="CN136" s="3" t="s">
        <v>369</v>
      </c>
      <c r="CO136" s="3">
        <v>0</v>
      </c>
      <c r="CP136" s="3">
        <f t="shared" si="113"/>
        <v>6623.27</v>
      </c>
      <c r="CQ136" s="3">
        <f>ROUND((ROUND((AC136*AW136*1),2)*BC136),2)</f>
        <v>4.01</v>
      </c>
      <c r="CR136" s="3">
        <f>(ROUND((ROUND((((ET136*1.1))*AV136*1),2)*BB136),2)+ROUND((ROUND(((AE136-((EU136*1.1)))*AV136*1),2)*BS136),2))</f>
        <v>1.76</v>
      </c>
      <c r="CS136" s="3">
        <f>(ROUND((ROUND((((EU136*1.1))*AV136*1),2)*BS136),2)+ROUND((ROUND(((AE136-((EU136*1.1)))*AV136*1),2)*BS136),2))</f>
        <v>0</v>
      </c>
      <c r="CT136" s="3">
        <f t="shared" si="114"/>
        <v>6617.5</v>
      </c>
      <c r="CU136" s="3">
        <f t="shared" si="115"/>
        <v>0</v>
      </c>
      <c r="CV136" s="3">
        <f t="shared" si="116"/>
        <v>10.3653</v>
      </c>
      <c r="CW136" s="3">
        <f t="shared" si="117"/>
        <v>0</v>
      </c>
      <c r="CX136" s="3">
        <f t="shared" si="118"/>
        <v>0</v>
      </c>
      <c r="CY136" s="3">
        <f>(ROUND((((S136+ROUND((ROUND((((EU136*1.1))*AV136*1),2)*BS136),2))*AT136)/100),2)+ROUND(((ROUND((ROUND(((AE136-((EU136*1.1)))*AV136*1),2)*BS136),2)*AT136)/100),2))</f>
        <v>5955.75</v>
      </c>
      <c r="CZ136" s="3">
        <f>(ROUND((((S136+ROUND((ROUND((((EU136*1.1))*AV136*1),2)*BS136),2))*AU136)/100),2)+ROUND(((ROUND((ROUND(((AE136-((EU136*1.1)))*AV136*1),2)*BS136),2)*AU136)/100),2))</f>
        <v>3044.05</v>
      </c>
      <c r="DB136" s="3">
        <v>30</v>
      </c>
      <c r="DC136" s="3" t="s">
        <v>3</v>
      </c>
      <c r="DD136" s="3" t="s">
        <v>24</v>
      </c>
      <c r="DE136" s="3" t="s">
        <v>25</v>
      </c>
      <c r="DF136" s="3" t="s">
        <v>25</v>
      </c>
      <c r="DG136" s="3" t="s">
        <v>25</v>
      </c>
      <c r="DH136" s="3" t="s">
        <v>3</v>
      </c>
      <c r="DI136" s="3" t="s">
        <v>25</v>
      </c>
      <c r="DJ136" s="3" t="s">
        <v>25</v>
      </c>
      <c r="DK136" s="3" t="s">
        <v>3</v>
      </c>
      <c r="DL136" s="3" t="s">
        <v>3</v>
      </c>
      <c r="DM136" s="3" t="s">
        <v>3</v>
      </c>
      <c r="DN136" s="3">
        <v>0</v>
      </c>
      <c r="DO136" s="3">
        <v>0</v>
      </c>
      <c r="DP136" s="3">
        <v>1</v>
      </c>
      <c r="DQ136" s="3">
        <v>1</v>
      </c>
      <c r="DU136" s="3">
        <v>1013</v>
      </c>
      <c r="DV136" s="3" t="s">
        <v>22</v>
      </c>
      <c r="DW136" s="3" t="s">
        <v>22</v>
      </c>
      <c r="DX136" s="3">
        <v>1</v>
      </c>
      <c r="DZ136" s="3" t="s">
        <v>3</v>
      </c>
      <c r="EA136" s="3" t="s">
        <v>3</v>
      </c>
      <c r="EB136" s="3" t="s">
        <v>3</v>
      </c>
      <c r="EC136" s="3" t="s">
        <v>3</v>
      </c>
      <c r="EE136" s="3">
        <v>60088532</v>
      </c>
      <c r="EF136" s="3">
        <v>40</v>
      </c>
      <c r="EG136" s="3" t="s">
        <v>26</v>
      </c>
      <c r="EH136" s="3">
        <v>0</v>
      </c>
      <c r="EI136" s="3" t="s">
        <v>3</v>
      </c>
      <c r="EJ136" s="3">
        <v>2</v>
      </c>
      <c r="EK136" s="3">
        <v>68</v>
      </c>
      <c r="EL136" s="3" t="s">
        <v>27</v>
      </c>
      <c r="EM136" s="3" t="s">
        <v>28</v>
      </c>
      <c r="EO136" s="3" t="s">
        <v>29</v>
      </c>
      <c r="EQ136" s="3">
        <v>0</v>
      </c>
      <c r="ER136" s="3">
        <v>109.12</v>
      </c>
      <c r="ES136" s="3">
        <v>4.45</v>
      </c>
      <c r="ET136" s="3">
        <v>0.18</v>
      </c>
      <c r="EU136" s="3">
        <v>0</v>
      </c>
      <c r="EV136" s="3">
        <v>104.49</v>
      </c>
      <c r="EW136" s="3">
        <v>9</v>
      </c>
      <c r="EX136" s="3">
        <v>0</v>
      </c>
      <c r="EY136" s="3">
        <v>0</v>
      </c>
      <c r="FQ136" s="3">
        <v>0</v>
      </c>
      <c r="FR136" s="3">
        <v>0</v>
      </c>
      <c r="FS136" s="3">
        <v>0</v>
      </c>
      <c r="FX136" s="3">
        <v>90</v>
      </c>
      <c r="FY136" s="3">
        <v>46</v>
      </c>
      <c r="GA136" s="3" t="s">
        <v>3</v>
      </c>
      <c r="GD136" s="3">
        <v>1</v>
      </c>
      <c r="GF136" s="3">
        <v>-1855866961</v>
      </c>
      <c r="GG136" s="3">
        <v>2</v>
      </c>
      <c r="GH136" s="3">
        <v>1</v>
      </c>
      <c r="GI136" s="3">
        <v>2</v>
      </c>
      <c r="GJ136" s="3">
        <v>0</v>
      </c>
      <c r="GK136" s="3">
        <v>0</v>
      </c>
      <c r="GL136" s="3">
        <f t="shared" si="119"/>
        <v>0</v>
      </c>
      <c r="GM136" s="3">
        <f t="shared" si="120"/>
        <v>15623.07</v>
      </c>
      <c r="GN136" s="3">
        <f t="shared" si="121"/>
        <v>0</v>
      </c>
      <c r="GO136" s="3">
        <f t="shared" si="122"/>
        <v>15623.07</v>
      </c>
      <c r="GP136" s="3">
        <f t="shared" si="123"/>
        <v>0</v>
      </c>
      <c r="GR136" s="3">
        <v>0</v>
      </c>
      <c r="GS136" s="3">
        <v>3</v>
      </c>
      <c r="GT136" s="3">
        <v>0</v>
      </c>
      <c r="GU136" s="3" t="s">
        <v>3</v>
      </c>
      <c r="GV136" s="3">
        <f t="shared" si="124"/>
        <v>0</v>
      </c>
      <c r="GW136" s="3">
        <v>1</v>
      </c>
      <c r="GX136" s="3">
        <f t="shared" si="125"/>
        <v>0</v>
      </c>
      <c r="HA136" s="3">
        <v>0</v>
      </c>
      <c r="HB136" s="3">
        <v>0</v>
      </c>
      <c r="HC136" s="3">
        <f t="shared" si="126"/>
        <v>0</v>
      </c>
      <c r="HE136" s="3" t="s">
        <v>3</v>
      </c>
      <c r="HF136" s="3" t="s">
        <v>3</v>
      </c>
      <c r="HM136" s="3" t="s">
        <v>3</v>
      </c>
      <c r="HN136" s="3" t="s">
        <v>3</v>
      </c>
      <c r="HO136" s="3" t="s">
        <v>3</v>
      </c>
      <c r="HP136" s="3" t="s">
        <v>3</v>
      </c>
      <c r="HQ136" s="3" t="s">
        <v>3</v>
      </c>
      <c r="HS136" s="3">
        <v>0</v>
      </c>
      <c r="IK136" s="3">
        <v>0</v>
      </c>
    </row>
    <row r="137" spans="1:255" x14ac:dyDescent="0.2">
      <c r="A137" s="2">
        <v>17</v>
      </c>
      <c r="B137" s="2">
        <v>1</v>
      </c>
      <c r="C137" s="2"/>
      <c r="D137" s="2"/>
      <c r="E137" s="2" t="s">
        <v>210</v>
      </c>
      <c r="F137" s="2" t="s">
        <v>211</v>
      </c>
      <c r="G137" s="2" t="s">
        <v>212</v>
      </c>
      <c r="H137" s="2" t="s">
        <v>33</v>
      </c>
      <c r="I137" s="2">
        <v>1</v>
      </c>
      <c r="J137" s="2">
        <v>0</v>
      </c>
      <c r="K137" s="2">
        <v>1</v>
      </c>
      <c r="L137" s="2"/>
      <c r="M137" s="2"/>
      <c r="N137" s="2"/>
      <c r="O137" s="2">
        <f t="shared" si="104"/>
        <v>4013.51</v>
      </c>
      <c r="P137" s="2">
        <f>ROUND((ROUND((AC137*I137),2)*BC137),2)</f>
        <v>4013.51</v>
      </c>
      <c r="Q137" s="2">
        <f>(ROUND((ROUND(((ET137)*AV137*I137),2)*BB137),2)+ROUND((ROUND(((AE137-(EU137))*AV137*I137),2)*BS137),2))</f>
        <v>0</v>
      </c>
      <c r="R137" s="2">
        <f>(ROUND((ROUND(((EU137)*AV137*I137),2)*BS137),2)+ROUND((ROUND(((AE137-(EU137))*AV137*I137),2)*BS137),2))</f>
        <v>0</v>
      </c>
      <c r="S137" s="2">
        <f t="shared" si="105"/>
        <v>0</v>
      </c>
      <c r="T137" s="2">
        <f t="shared" si="106"/>
        <v>0</v>
      </c>
      <c r="U137" s="2">
        <f t="shared" si="107"/>
        <v>0</v>
      </c>
      <c r="V137" s="2">
        <f t="shared" si="108"/>
        <v>0</v>
      </c>
      <c r="W137" s="2">
        <f t="shared" si="109"/>
        <v>0</v>
      </c>
      <c r="X137" s="2">
        <f>(ROUND((((S137+ROUND((ROUND(((EU137)*AV137*I137),2)*BS137),2))*AT137)/100),2)+ROUND(((ROUND((ROUND(((AE137-(EU137))*AV137*I137),2)*BS137),2)*AT137)/100),2))</f>
        <v>0</v>
      </c>
      <c r="Y137" s="2">
        <f>(ROUND((((S137+ROUND((ROUND(((EU137)*AV137*I137),2)*BS137),2))*AU137)/100),2)+ROUND(((ROUND((ROUND(((AE137-(EU137))*AV137*I137),2)*BS137),2)*AU137)/100),2))</f>
        <v>0</v>
      </c>
      <c r="Z137" s="2"/>
      <c r="AA137" s="2">
        <v>60256405</v>
      </c>
      <c r="AB137" s="2">
        <f t="shared" si="110"/>
        <v>4013.51</v>
      </c>
      <c r="AC137" s="2">
        <f>ROUND((ES137),6)</f>
        <v>4013.51</v>
      </c>
      <c r="AD137" s="2">
        <f>ROUND((((ET137)-(EU137))+AE137),6)</f>
        <v>0</v>
      </c>
      <c r="AE137" s="2">
        <f>ROUND((EU137),6)</f>
        <v>0</v>
      </c>
      <c r="AF137" s="2">
        <f>ROUND((EV137),6)</f>
        <v>0</v>
      </c>
      <c r="AG137" s="2">
        <f t="shared" si="111"/>
        <v>0</v>
      </c>
      <c r="AH137" s="2">
        <f>(EW137)</f>
        <v>0</v>
      </c>
      <c r="AI137" s="2">
        <f>(EX137)</f>
        <v>0</v>
      </c>
      <c r="AJ137" s="2">
        <f t="shared" si="112"/>
        <v>0</v>
      </c>
      <c r="AK137" s="2">
        <v>4013.51</v>
      </c>
      <c r="AL137" s="2">
        <v>4013.51</v>
      </c>
      <c r="AM137" s="2">
        <v>0</v>
      </c>
      <c r="AN137" s="2">
        <v>0</v>
      </c>
      <c r="AO137" s="2">
        <v>0</v>
      </c>
      <c r="AP137" s="2">
        <v>0</v>
      </c>
      <c r="AQ137" s="2">
        <v>0</v>
      </c>
      <c r="AR137" s="2">
        <v>0</v>
      </c>
      <c r="AS137" s="2">
        <v>0</v>
      </c>
      <c r="AT137" s="2">
        <v>0</v>
      </c>
      <c r="AU137" s="2">
        <v>0</v>
      </c>
      <c r="AV137" s="2">
        <v>1</v>
      </c>
      <c r="AW137" s="2">
        <v>1</v>
      </c>
      <c r="AX137" s="2"/>
      <c r="AY137" s="2"/>
      <c r="AZ137" s="2">
        <v>1</v>
      </c>
      <c r="BA137" s="2">
        <v>1</v>
      </c>
      <c r="BB137" s="2">
        <v>1</v>
      </c>
      <c r="BC137" s="2">
        <v>1</v>
      </c>
      <c r="BD137" s="2" t="s">
        <v>3</v>
      </c>
      <c r="BE137" s="2" t="s">
        <v>3</v>
      </c>
      <c r="BF137" s="2" t="s">
        <v>3</v>
      </c>
      <c r="BG137" s="2" t="s">
        <v>3</v>
      </c>
      <c r="BH137" s="2">
        <v>3</v>
      </c>
      <c r="BI137" s="2">
        <v>3</v>
      </c>
      <c r="BJ137" s="2" t="s">
        <v>3</v>
      </c>
      <c r="BK137" s="2"/>
      <c r="BL137" s="2"/>
      <c r="BM137" s="2">
        <v>746</v>
      </c>
      <c r="BN137" s="2">
        <v>0</v>
      </c>
      <c r="BO137" s="2" t="s">
        <v>3</v>
      </c>
      <c r="BP137" s="2">
        <v>0</v>
      </c>
      <c r="BQ137" s="2">
        <v>130</v>
      </c>
      <c r="BR137" s="2">
        <v>0</v>
      </c>
      <c r="BS137" s="2">
        <v>1</v>
      </c>
      <c r="BT137" s="2">
        <v>1</v>
      </c>
      <c r="BU137" s="2">
        <v>1</v>
      </c>
      <c r="BV137" s="2">
        <v>1</v>
      </c>
      <c r="BW137" s="2">
        <v>1</v>
      </c>
      <c r="BX137" s="2">
        <v>1</v>
      </c>
      <c r="BY137" s="2" t="s">
        <v>3</v>
      </c>
      <c r="BZ137" s="2">
        <v>0</v>
      </c>
      <c r="CA137" s="2">
        <v>0</v>
      </c>
      <c r="CB137" s="2" t="s">
        <v>3</v>
      </c>
      <c r="CC137" s="2"/>
      <c r="CD137" s="2"/>
      <c r="CE137" s="2">
        <v>1566</v>
      </c>
      <c r="CF137" s="2">
        <v>0</v>
      </c>
      <c r="CG137" s="2">
        <v>0</v>
      </c>
      <c r="CH137" s="2"/>
      <c r="CI137" s="2"/>
      <c r="CJ137" s="2"/>
      <c r="CK137" s="2"/>
      <c r="CL137" s="2"/>
      <c r="CM137" s="2">
        <v>0</v>
      </c>
      <c r="CN137" s="2" t="s">
        <v>3</v>
      </c>
      <c r="CO137" s="2">
        <v>0</v>
      </c>
      <c r="CP137" s="2">
        <f t="shared" si="113"/>
        <v>4013.51</v>
      </c>
      <c r="CQ137" s="2">
        <f>ROUND((ROUND((AC137*1),2)*BC137),2)</f>
        <v>4013.51</v>
      </c>
      <c r="CR137" s="2">
        <f>(ROUND((ROUND(((ET137)*AV137*1),2)*BB137),2)+ROUND((ROUND(((AE137-(EU137))*AV137*1),2)*BS137),2))</f>
        <v>0</v>
      </c>
      <c r="CS137" s="2">
        <f>(ROUND((ROUND(((EU137)*AV137*1),2)*BS137),2)+ROUND((ROUND(((AE137-(EU137))*AV137*1),2)*BS137),2))</f>
        <v>0</v>
      </c>
      <c r="CT137" s="2">
        <f t="shared" si="114"/>
        <v>0</v>
      </c>
      <c r="CU137" s="2">
        <f t="shared" si="115"/>
        <v>0</v>
      </c>
      <c r="CV137" s="2">
        <f t="shared" si="116"/>
        <v>0</v>
      </c>
      <c r="CW137" s="2">
        <f t="shared" si="117"/>
        <v>0</v>
      </c>
      <c r="CX137" s="2">
        <f t="shared" si="118"/>
        <v>0</v>
      </c>
      <c r="CY137" s="2">
        <f>(ROUND((((S137+ROUND((ROUND(((EU137)*AV137*1),2)*BS137),2))*AT137)/100),2)+ROUND(((ROUND((ROUND(((AE137-(EU137))*AV137*1),2)*BS137),2)*AT137)/100),2))</f>
        <v>0</v>
      </c>
      <c r="CZ137" s="2">
        <f>(ROUND((((S137+ROUND((ROUND(((EU137)*AV137*1),2)*BS137),2))*AU137)/100),2)+ROUND(((ROUND((ROUND(((AE137-(EU137))*AV137*1),2)*BS137),2)*AU137)/100),2))</f>
        <v>0</v>
      </c>
      <c r="DA137" s="2"/>
      <c r="DB137" s="2"/>
      <c r="DC137" s="2" t="s">
        <v>3</v>
      </c>
      <c r="DD137" s="2" t="s">
        <v>3</v>
      </c>
      <c r="DE137" s="2" t="s">
        <v>3</v>
      </c>
      <c r="DF137" s="2" t="s">
        <v>3</v>
      </c>
      <c r="DG137" s="2" t="s">
        <v>3</v>
      </c>
      <c r="DH137" s="2" t="s">
        <v>3</v>
      </c>
      <c r="DI137" s="2" t="s">
        <v>3</v>
      </c>
      <c r="DJ137" s="2" t="s">
        <v>3</v>
      </c>
      <c r="DK137" s="2" t="s">
        <v>3</v>
      </c>
      <c r="DL137" s="2" t="s">
        <v>3</v>
      </c>
      <c r="DM137" s="2" t="s">
        <v>3</v>
      </c>
      <c r="DN137" s="2">
        <v>0</v>
      </c>
      <c r="DO137" s="2">
        <v>0</v>
      </c>
      <c r="DP137" s="2">
        <v>1</v>
      </c>
      <c r="DQ137" s="2">
        <v>1</v>
      </c>
      <c r="DR137" s="2"/>
      <c r="DS137" s="2"/>
      <c r="DT137" s="2"/>
      <c r="DU137" s="2">
        <v>1010</v>
      </c>
      <c r="DV137" s="2" t="s">
        <v>33</v>
      </c>
      <c r="DW137" s="2" t="s">
        <v>33</v>
      </c>
      <c r="DX137" s="2">
        <v>1</v>
      </c>
      <c r="DY137" s="2"/>
      <c r="DZ137" s="2" t="s">
        <v>3</v>
      </c>
      <c r="EA137" s="2" t="s">
        <v>3</v>
      </c>
      <c r="EB137" s="2" t="s">
        <v>3</v>
      </c>
      <c r="EC137" s="2" t="s">
        <v>3</v>
      </c>
      <c r="ED137" s="2"/>
      <c r="EE137" s="2">
        <v>60088638</v>
      </c>
      <c r="EF137" s="2">
        <v>130</v>
      </c>
      <c r="EG137" s="2" t="s">
        <v>43</v>
      </c>
      <c r="EH137" s="2">
        <v>0</v>
      </c>
      <c r="EI137" s="2" t="s">
        <v>3</v>
      </c>
      <c r="EJ137" s="2">
        <v>3</v>
      </c>
      <c r="EK137" s="2">
        <v>746</v>
      </c>
      <c r="EL137" s="2" t="s">
        <v>44</v>
      </c>
      <c r="EM137" s="2" t="s">
        <v>45</v>
      </c>
      <c r="EN137" s="2"/>
      <c r="EO137" s="2" t="s">
        <v>3</v>
      </c>
      <c r="EP137" s="2"/>
      <c r="EQ137" s="2">
        <v>0</v>
      </c>
      <c r="ER137" s="2">
        <v>0</v>
      </c>
      <c r="ES137" s="2">
        <v>4013.51</v>
      </c>
      <c r="ET137" s="2">
        <v>0</v>
      </c>
      <c r="EU137" s="2">
        <v>0</v>
      </c>
      <c r="EV137" s="2">
        <v>0</v>
      </c>
      <c r="EW137" s="2">
        <v>0</v>
      </c>
      <c r="EX137" s="2">
        <v>0</v>
      </c>
      <c r="EY137" s="2">
        <v>0</v>
      </c>
      <c r="EZ137" s="2"/>
      <c r="FA137" s="2"/>
      <c r="FB137" s="2"/>
      <c r="FC137" s="2"/>
      <c r="FD137" s="2"/>
      <c r="FE137" s="2"/>
      <c r="FF137" s="2"/>
      <c r="FG137" s="2"/>
      <c r="FH137" s="2"/>
      <c r="FI137" s="2"/>
      <c r="FJ137" s="2"/>
      <c r="FK137" s="2"/>
      <c r="FL137" s="2"/>
      <c r="FM137" s="2"/>
      <c r="FN137" s="2"/>
      <c r="FO137" s="2"/>
      <c r="FP137" s="2"/>
      <c r="FQ137" s="2">
        <v>0</v>
      </c>
      <c r="FR137" s="2">
        <f>P137</f>
        <v>4013.51</v>
      </c>
      <c r="FS137" s="2">
        <v>0</v>
      </c>
      <c r="FT137" s="2"/>
      <c r="FU137" s="2"/>
      <c r="FV137" s="2"/>
      <c r="FW137" s="2"/>
      <c r="FX137" s="2">
        <v>0</v>
      </c>
      <c r="FY137" s="2">
        <v>0</v>
      </c>
      <c r="FZ137" s="2"/>
      <c r="GA137" s="2" t="s">
        <v>213</v>
      </c>
      <c r="GB137" s="2"/>
      <c r="GC137" s="2"/>
      <c r="GD137" s="2">
        <v>1</v>
      </c>
      <c r="GE137" s="2"/>
      <c r="GF137" s="2">
        <v>787830646</v>
      </c>
      <c r="GG137" s="2">
        <v>2</v>
      </c>
      <c r="GH137" s="2">
        <v>4</v>
      </c>
      <c r="GI137" s="2">
        <v>-2</v>
      </c>
      <c r="GJ137" s="2">
        <v>0</v>
      </c>
      <c r="GK137" s="2">
        <v>0</v>
      </c>
      <c r="GL137" s="2">
        <f t="shared" si="119"/>
        <v>0</v>
      </c>
      <c r="GM137" s="2">
        <f t="shared" si="120"/>
        <v>4013.51</v>
      </c>
      <c r="GN137" s="2">
        <f t="shared" si="121"/>
        <v>0</v>
      </c>
      <c r="GO137" s="2">
        <f t="shared" si="122"/>
        <v>0</v>
      </c>
      <c r="GP137" s="2">
        <f t="shared" si="123"/>
        <v>0</v>
      </c>
      <c r="GQ137" s="2"/>
      <c r="GR137" s="2">
        <v>0</v>
      </c>
      <c r="GS137" s="2">
        <v>2</v>
      </c>
      <c r="GT137" s="2">
        <v>0</v>
      </c>
      <c r="GU137" s="2" t="s">
        <v>3</v>
      </c>
      <c r="GV137" s="2">
        <f t="shared" si="124"/>
        <v>0</v>
      </c>
      <c r="GW137" s="2">
        <v>1</v>
      </c>
      <c r="GX137" s="2">
        <f t="shared" si="125"/>
        <v>0</v>
      </c>
      <c r="GY137" s="2"/>
      <c r="GZ137" s="2"/>
      <c r="HA137" s="2">
        <v>0</v>
      </c>
      <c r="HB137" s="2">
        <v>0</v>
      </c>
      <c r="HC137" s="2">
        <f t="shared" si="126"/>
        <v>0</v>
      </c>
      <c r="HD137" s="2"/>
      <c r="HE137" s="2" t="s">
        <v>36</v>
      </c>
      <c r="HF137" s="2" t="s">
        <v>47</v>
      </c>
      <c r="HG137" s="2"/>
      <c r="HH137" s="2"/>
      <c r="HI137" s="2"/>
      <c r="HJ137" s="2"/>
      <c r="HK137" s="2"/>
      <c r="HL137" s="2"/>
      <c r="HM137" s="2" t="s">
        <v>3</v>
      </c>
      <c r="HN137" s="2" t="s">
        <v>3</v>
      </c>
      <c r="HO137" s="2" t="s">
        <v>3</v>
      </c>
      <c r="HP137" s="2" t="s">
        <v>3</v>
      </c>
      <c r="HQ137" s="2" t="s">
        <v>3</v>
      </c>
      <c r="HR137" s="2"/>
      <c r="HS137" s="2">
        <v>0</v>
      </c>
      <c r="HT137" s="2"/>
      <c r="HU137" s="2"/>
      <c r="HV137" s="2"/>
      <c r="HW137" s="2"/>
      <c r="HX137" s="2"/>
      <c r="HY137" s="2"/>
      <c r="HZ137" s="2"/>
      <c r="IA137" s="2"/>
      <c r="IB137" s="2"/>
      <c r="IC137" s="2"/>
      <c r="ID137" s="2"/>
      <c r="IE137" s="2"/>
      <c r="IF137" s="2"/>
      <c r="IG137" s="2"/>
      <c r="IH137" s="2"/>
      <c r="II137" s="2"/>
      <c r="IJ137" s="2"/>
      <c r="IK137" s="2">
        <v>0</v>
      </c>
      <c r="IL137" s="2"/>
      <c r="IM137" s="2"/>
      <c r="IN137" s="2"/>
      <c r="IO137" s="2"/>
      <c r="IP137" s="2"/>
      <c r="IQ137" s="2"/>
      <c r="IR137" s="2"/>
      <c r="IS137" s="2"/>
      <c r="IT137" s="2"/>
      <c r="IU137" s="2"/>
    </row>
    <row r="138" spans="1:255" x14ac:dyDescent="0.2">
      <c r="A138" s="3">
        <v>17</v>
      </c>
      <c r="B138" s="3">
        <v>1</v>
      </c>
      <c r="E138" s="3" t="s">
        <v>210</v>
      </c>
      <c r="F138" s="3" t="s">
        <v>211</v>
      </c>
      <c r="G138" s="3" t="s">
        <v>212</v>
      </c>
      <c r="H138" s="3" t="s">
        <v>33</v>
      </c>
      <c r="I138" s="3">
        <v>1</v>
      </c>
      <c r="J138" s="3">
        <v>0</v>
      </c>
      <c r="K138" s="3">
        <v>1</v>
      </c>
      <c r="O138" s="3">
        <f t="shared" si="104"/>
        <v>30743.49</v>
      </c>
      <c r="P138" s="3">
        <f>ROUND((ROUND((AC138*I138),2)*BC138),2)</f>
        <v>30743.49</v>
      </c>
      <c r="Q138" s="3">
        <f>(ROUND((ROUND(((ET138)*AV138*I138),2)*BB138),2)+ROUND((ROUND(((AE138-(EU138))*AV138*I138),2)*BS138),2))</f>
        <v>0</v>
      </c>
      <c r="R138" s="3">
        <f>(ROUND((ROUND(((EU138)*AV138*I138),2)*BS138),2)+ROUND((ROUND(((AE138-(EU138))*AV138*I138),2)*BS138),2))</f>
        <v>0</v>
      </c>
      <c r="S138" s="3">
        <f t="shared" si="105"/>
        <v>0</v>
      </c>
      <c r="T138" s="3">
        <f t="shared" si="106"/>
        <v>0</v>
      </c>
      <c r="U138" s="3">
        <f t="shared" si="107"/>
        <v>0</v>
      </c>
      <c r="V138" s="3">
        <f t="shared" si="108"/>
        <v>0</v>
      </c>
      <c r="W138" s="3">
        <f t="shared" si="109"/>
        <v>0</v>
      </c>
      <c r="X138" s="3">
        <f>(ROUND((((S138+ROUND((ROUND(((EU138)*AV138*I138),2)*BS138),2))*AT138)/100),2)+ROUND(((ROUND((ROUND(((AE138-(EU138))*AV138*I138),2)*BS138),2)*AT138)/100),2))</f>
        <v>0</v>
      </c>
      <c r="Y138" s="3">
        <f>(ROUND((((S138+ROUND((ROUND(((EU138)*AV138*I138),2)*BS138),2))*AU138)/100),2)+ROUND(((ROUND((ROUND(((AE138-(EU138))*AV138*I138),2)*BS138),2)*AU138)/100),2))</f>
        <v>0</v>
      </c>
      <c r="AA138" s="3">
        <v>60256402</v>
      </c>
      <c r="AB138" s="3">
        <f t="shared" si="110"/>
        <v>4013.51</v>
      </c>
      <c r="AC138" s="3">
        <f>ROUND((ES138),6)</f>
        <v>4013.51</v>
      </c>
      <c r="AD138" s="3">
        <f>ROUND((((ET138)-(EU138))+AE138),6)</f>
        <v>0</v>
      </c>
      <c r="AE138" s="3">
        <f>ROUND((EU138),6)</f>
        <v>0</v>
      </c>
      <c r="AF138" s="3">
        <f>ROUND((EV138),6)</f>
        <v>0</v>
      </c>
      <c r="AG138" s="3">
        <f t="shared" si="111"/>
        <v>0</v>
      </c>
      <c r="AH138" s="3">
        <f>(EW138)</f>
        <v>0</v>
      </c>
      <c r="AI138" s="3">
        <f>(EX138)</f>
        <v>0</v>
      </c>
      <c r="AJ138" s="3">
        <f t="shared" si="112"/>
        <v>0</v>
      </c>
      <c r="AK138" s="3">
        <v>4013.51</v>
      </c>
      <c r="AL138" s="3">
        <v>4013.51</v>
      </c>
      <c r="AM138" s="3">
        <v>0</v>
      </c>
      <c r="AN138" s="3">
        <v>0</v>
      </c>
      <c r="AO138" s="3">
        <v>0</v>
      </c>
      <c r="AP138" s="3">
        <v>0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3">
        <v>1</v>
      </c>
      <c r="AW138" s="3">
        <v>1</v>
      </c>
      <c r="AZ138" s="3">
        <v>1</v>
      </c>
      <c r="BA138" s="3">
        <v>1</v>
      </c>
      <c r="BB138" s="3">
        <v>1</v>
      </c>
      <c r="BC138" s="3">
        <v>7.66</v>
      </c>
      <c r="BD138" s="3" t="s">
        <v>3</v>
      </c>
      <c r="BE138" s="3" t="s">
        <v>3</v>
      </c>
      <c r="BF138" s="3" t="s">
        <v>3</v>
      </c>
      <c r="BG138" s="3" t="s">
        <v>3</v>
      </c>
      <c r="BH138" s="3">
        <v>3</v>
      </c>
      <c r="BI138" s="3">
        <v>3</v>
      </c>
      <c r="BJ138" s="3" t="s">
        <v>3</v>
      </c>
      <c r="BM138" s="3">
        <v>746</v>
      </c>
      <c r="BN138" s="3">
        <v>0</v>
      </c>
      <c r="BO138" s="3" t="s">
        <v>3</v>
      </c>
      <c r="BP138" s="3">
        <v>0</v>
      </c>
      <c r="BQ138" s="3">
        <v>130</v>
      </c>
      <c r="BR138" s="3">
        <v>0</v>
      </c>
      <c r="BS138" s="3">
        <v>1</v>
      </c>
      <c r="BT138" s="3">
        <v>1</v>
      </c>
      <c r="BU138" s="3">
        <v>1</v>
      </c>
      <c r="BV138" s="3">
        <v>1</v>
      </c>
      <c r="BW138" s="3">
        <v>1</v>
      </c>
      <c r="BX138" s="3">
        <v>1</v>
      </c>
      <c r="BY138" s="3" t="s">
        <v>3</v>
      </c>
      <c r="BZ138" s="3">
        <v>0</v>
      </c>
      <c r="CA138" s="3">
        <v>0</v>
      </c>
      <c r="CB138" s="3" t="s">
        <v>3</v>
      </c>
      <c r="CE138" s="3">
        <v>1566</v>
      </c>
      <c r="CF138" s="3">
        <v>0</v>
      </c>
      <c r="CG138" s="3">
        <v>0</v>
      </c>
      <c r="CM138" s="3">
        <v>0</v>
      </c>
      <c r="CN138" s="3" t="s">
        <v>3</v>
      </c>
      <c r="CO138" s="3">
        <v>0</v>
      </c>
      <c r="CP138" s="3">
        <f t="shared" si="113"/>
        <v>30743.49</v>
      </c>
      <c r="CQ138" s="3">
        <f>ROUND((ROUND((AC138*1),2)*BC138),2)</f>
        <v>30743.49</v>
      </c>
      <c r="CR138" s="3">
        <f>(ROUND((ROUND(((ET138)*AV138*1),2)*BB138),2)+ROUND((ROUND(((AE138-(EU138))*AV138*1),2)*BS138),2))</f>
        <v>0</v>
      </c>
      <c r="CS138" s="3">
        <f>(ROUND((ROUND(((EU138)*AV138*1),2)*BS138),2)+ROUND((ROUND(((AE138-(EU138))*AV138*1),2)*BS138),2))</f>
        <v>0</v>
      </c>
      <c r="CT138" s="3">
        <f t="shared" si="114"/>
        <v>0</v>
      </c>
      <c r="CU138" s="3">
        <f t="shared" si="115"/>
        <v>0</v>
      </c>
      <c r="CV138" s="3">
        <f t="shared" si="116"/>
        <v>0</v>
      </c>
      <c r="CW138" s="3">
        <f t="shared" si="117"/>
        <v>0</v>
      </c>
      <c r="CX138" s="3">
        <f t="shared" si="118"/>
        <v>0</v>
      </c>
      <c r="CY138" s="3">
        <f>(ROUND((((S138+ROUND((ROUND(((EU138)*AV138*1),2)*BS138),2))*AT138)/100),2)+ROUND(((ROUND((ROUND(((AE138-(EU138))*AV138*1),2)*BS138),2)*AT138)/100),2))</f>
        <v>0</v>
      </c>
      <c r="CZ138" s="3">
        <f>(ROUND((((S138+ROUND((ROUND(((EU138)*AV138*1),2)*BS138),2))*AU138)/100),2)+ROUND(((ROUND((ROUND(((AE138-(EU138))*AV138*1),2)*BS138),2)*AU138)/100),2))</f>
        <v>0</v>
      </c>
      <c r="DC138" s="3" t="s">
        <v>3</v>
      </c>
      <c r="DD138" s="3" t="s">
        <v>3</v>
      </c>
      <c r="DE138" s="3" t="s">
        <v>3</v>
      </c>
      <c r="DF138" s="3" t="s">
        <v>3</v>
      </c>
      <c r="DG138" s="3" t="s">
        <v>3</v>
      </c>
      <c r="DH138" s="3" t="s">
        <v>3</v>
      </c>
      <c r="DI138" s="3" t="s">
        <v>3</v>
      </c>
      <c r="DJ138" s="3" t="s">
        <v>3</v>
      </c>
      <c r="DK138" s="3" t="s">
        <v>3</v>
      </c>
      <c r="DL138" s="3" t="s">
        <v>3</v>
      </c>
      <c r="DM138" s="3" t="s">
        <v>3</v>
      </c>
      <c r="DN138" s="3">
        <v>0</v>
      </c>
      <c r="DO138" s="3">
        <v>0</v>
      </c>
      <c r="DP138" s="3">
        <v>1</v>
      </c>
      <c r="DQ138" s="3">
        <v>1</v>
      </c>
      <c r="DU138" s="3">
        <v>1010</v>
      </c>
      <c r="DV138" s="3" t="s">
        <v>33</v>
      </c>
      <c r="DW138" s="3" t="s">
        <v>33</v>
      </c>
      <c r="DX138" s="3">
        <v>1</v>
      </c>
      <c r="DZ138" s="3" t="s">
        <v>3</v>
      </c>
      <c r="EA138" s="3" t="s">
        <v>3</v>
      </c>
      <c r="EB138" s="3" t="s">
        <v>3</v>
      </c>
      <c r="EC138" s="3" t="s">
        <v>3</v>
      </c>
      <c r="EE138" s="3">
        <v>60088638</v>
      </c>
      <c r="EF138" s="3">
        <v>130</v>
      </c>
      <c r="EG138" s="3" t="s">
        <v>43</v>
      </c>
      <c r="EH138" s="3">
        <v>0</v>
      </c>
      <c r="EI138" s="3" t="s">
        <v>3</v>
      </c>
      <c r="EJ138" s="3">
        <v>3</v>
      </c>
      <c r="EK138" s="3">
        <v>746</v>
      </c>
      <c r="EL138" s="3" t="s">
        <v>44</v>
      </c>
      <c r="EM138" s="3" t="s">
        <v>45</v>
      </c>
      <c r="EO138" s="3" t="s">
        <v>3</v>
      </c>
      <c r="EQ138" s="3">
        <v>0</v>
      </c>
      <c r="ER138" s="3">
        <v>4013.51</v>
      </c>
      <c r="ES138" s="3">
        <v>4013.51</v>
      </c>
      <c r="ET138" s="3">
        <v>0</v>
      </c>
      <c r="EU138" s="3">
        <v>0</v>
      </c>
      <c r="EV138" s="3">
        <v>0</v>
      </c>
      <c r="EW138" s="3">
        <v>0</v>
      </c>
      <c r="EX138" s="3">
        <v>0</v>
      </c>
      <c r="EY138" s="3">
        <v>0</v>
      </c>
      <c r="EZ138" s="3">
        <v>5</v>
      </c>
      <c r="FC138" s="3">
        <v>1</v>
      </c>
      <c r="FD138" s="3">
        <v>18</v>
      </c>
      <c r="FF138" s="3">
        <v>35393</v>
      </c>
      <c r="FQ138" s="3">
        <v>0</v>
      </c>
      <c r="FR138" s="3">
        <f>P138</f>
        <v>30743.49</v>
      </c>
      <c r="FS138" s="3">
        <v>0</v>
      </c>
      <c r="FX138" s="3">
        <v>0</v>
      </c>
      <c r="FY138" s="3">
        <v>0</v>
      </c>
      <c r="GA138" s="3" t="s">
        <v>213</v>
      </c>
      <c r="GD138" s="3">
        <v>1</v>
      </c>
      <c r="GF138" s="3">
        <v>787830646</v>
      </c>
      <c r="GG138" s="3">
        <v>2</v>
      </c>
      <c r="GH138" s="3">
        <v>3</v>
      </c>
      <c r="GI138" s="3">
        <v>5</v>
      </c>
      <c r="GJ138" s="3">
        <v>0</v>
      </c>
      <c r="GK138" s="3">
        <v>0</v>
      </c>
      <c r="GL138" s="3">
        <f t="shared" si="119"/>
        <v>0</v>
      </c>
      <c r="GM138" s="3">
        <f t="shared" si="120"/>
        <v>30743.49</v>
      </c>
      <c r="GN138" s="3">
        <f t="shared" si="121"/>
        <v>0</v>
      </c>
      <c r="GO138" s="3">
        <f t="shared" si="122"/>
        <v>0</v>
      </c>
      <c r="GP138" s="3">
        <f t="shared" si="123"/>
        <v>0</v>
      </c>
      <c r="GR138" s="3">
        <v>1</v>
      </c>
      <c r="GS138" s="3">
        <v>1</v>
      </c>
      <c r="GT138" s="3">
        <v>0</v>
      </c>
      <c r="GU138" s="3" t="s">
        <v>3</v>
      </c>
      <c r="GV138" s="3">
        <f t="shared" si="124"/>
        <v>0</v>
      </c>
      <c r="GW138" s="3">
        <v>1</v>
      </c>
      <c r="GX138" s="3">
        <f t="shared" si="125"/>
        <v>0</v>
      </c>
      <c r="HA138" s="3">
        <v>0</v>
      </c>
      <c r="HB138" s="3">
        <v>0</v>
      </c>
      <c r="HC138" s="3">
        <f t="shared" si="126"/>
        <v>0</v>
      </c>
      <c r="HE138" s="3" t="s">
        <v>36</v>
      </c>
      <c r="HF138" s="3" t="s">
        <v>47</v>
      </c>
      <c r="HM138" s="3" t="s">
        <v>3</v>
      </c>
      <c r="HN138" s="3" t="s">
        <v>3</v>
      </c>
      <c r="HO138" s="3" t="s">
        <v>3</v>
      </c>
      <c r="HP138" s="3" t="s">
        <v>3</v>
      </c>
      <c r="HQ138" s="3" t="s">
        <v>3</v>
      </c>
      <c r="HS138" s="3">
        <v>0</v>
      </c>
      <c r="IK138" s="3">
        <v>0</v>
      </c>
    </row>
    <row r="140" spans="1:255" x14ac:dyDescent="0.2">
      <c r="A140" s="11">
        <v>51</v>
      </c>
      <c r="B140" s="11">
        <f>B123</f>
        <v>1</v>
      </c>
      <c r="C140" s="11">
        <f>A123</f>
        <v>4</v>
      </c>
      <c r="D140" s="11">
        <f>ROW(A123)</f>
        <v>123</v>
      </c>
      <c r="E140" s="11"/>
      <c r="F140" s="11" t="str">
        <f>IF(F123&lt;&gt;"",F123,"")</f>
        <v/>
      </c>
      <c r="G140" s="11" t="str">
        <f>IF(G123&lt;&gt;"",G123,"")</f>
        <v>Оборудование оповещения</v>
      </c>
      <c r="H140" s="11">
        <v>0</v>
      </c>
      <c r="I140" s="11"/>
      <c r="J140" s="11"/>
      <c r="K140" s="11"/>
      <c r="L140" s="11"/>
      <c r="M140" s="11"/>
      <c r="N140" s="11"/>
      <c r="O140" s="11">
        <f t="shared" ref="O140:T140" si="127">ROUND(AB140,2)</f>
        <v>82669.119999999995</v>
      </c>
      <c r="P140" s="11">
        <f t="shared" si="127"/>
        <v>76702.210000000006</v>
      </c>
      <c r="Q140" s="11">
        <f t="shared" si="127"/>
        <v>0.21</v>
      </c>
      <c r="R140" s="11">
        <f t="shared" si="127"/>
        <v>0</v>
      </c>
      <c r="S140" s="11">
        <f t="shared" si="127"/>
        <v>5966.7</v>
      </c>
      <c r="T140" s="11">
        <f t="shared" si="127"/>
        <v>0</v>
      </c>
      <c r="U140" s="11">
        <f>AH140</f>
        <v>502.09513199999998</v>
      </c>
      <c r="V140" s="11">
        <f>AI140</f>
        <v>0</v>
      </c>
      <c r="W140" s="11">
        <f>ROUND(AJ140,2)</f>
        <v>0</v>
      </c>
      <c r="X140" s="11">
        <f>ROUND(AK140,2)</f>
        <v>5661.71</v>
      </c>
      <c r="Y140" s="11">
        <f>ROUND(AL140,2)</f>
        <v>3153.04</v>
      </c>
      <c r="Z140" s="11"/>
      <c r="AA140" s="11"/>
      <c r="AB140" s="11">
        <f>ROUND(SUMIF(AA127:AA138,"=60256405",O127:O138),2)</f>
        <v>82669.119999999995</v>
      </c>
      <c r="AC140" s="11">
        <f>ROUND(SUMIF(AA127:AA138,"=60256405",P127:P138),2)</f>
        <v>76702.210000000006</v>
      </c>
      <c r="AD140" s="11">
        <f>ROUND(SUMIF(AA127:AA138,"=60256405",Q127:Q138),2)</f>
        <v>0.21</v>
      </c>
      <c r="AE140" s="11">
        <f>ROUND(SUMIF(AA127:AA138,"=60256405",R127:R138),2)</f>
        <v>0</v>
      </c>
      <c r="AF140" s="11">
        <f>ROUND(SUMIF(AA127:AA138,"=60256405",S127:S138),2)</f>
        <v>5966.7</v>
      </c>
      <c r="AG140" s="11">
        <f>ROUND(SUMIF(AA127:AA138,"=60256405",T127:T138),2)</f>
        <v>0</v>
      </c>
      <c r="AH140" s="11">
        <f>SUMIF(AA127:AA138,"=60256405",U127:U138)</f>
        <v>502.09513199999998</v>
      </c>
      <c r="AI140" s="11">
        <f>SUMIF(AA127:AA138,"=60256405",V127:V138)</f>
        <v>0</v>
      </c>
      <c r="AJ140" s="11">
        <f>ROUND(SUMIF(AA127:AA138,"=60256405",W127:W138),2)</f>
        <v>0</v>
      </c>
      <c r="AK140" s="11">
        <f>ROUND(SUMIF(AA127:AA138,"=60256405",X127:X138),2)</f>
        <v>5661.71</v>
      </c>
      <c r="AL140" s="11">
        <f>ROUND(SUMIF(AA127:AA138,"=60256405",Y127:Y138),2)</f>
        <v>3153.04</v>
      </c>
      <c r="AM140" s="11"/>
      <c r="AN140" s="11"/>
      <c r="AO140" s="11">
        <f t="shared" ref="AO140:BD140" si="128">ROUND(BX140,2)</f>
        <v>0</v>
      </c>
      <c r="AP140" s="11">
        <f t="shared" si="128"/>
        <v>71484.36</v>
      </c>
      <c r="AQ140" s="11">
        <f t="shared" si="128"/>
        <v>0</v>
      </c>
      <c r="AR140" s="11">
        <f t="shared" si="128"/>
        <v>91483.87</v>
      </c>
      <c r="AS140" s="11">
        <f t="shared" si="128"/>
        <v>0</v>
      </c>
      <c r="AT140" s="11">
        <f t="shared" si="128"/>
        <v>19999.509999999998</v>
      </c>
      <c r="AU140" s="11">
        <f t="shared" si="128"/>
        <v>0</v>
      </c>
      <c r="AV140" s="11">
        <f t="shared" si="128"/>
        <v>76702.210000000006</v>
      </c>
      <c r="AW140" s="11">
        <f t="shared" si="128"/>
        <v>5217.8500000000004</v>
      </c>
      <c r="AX140" s="11">
        <f t="shared" si="128"/>
        <v>0</v>
      </c>
      <c r="AY140" s="11">
        <f t="shared" si="128"/>
        <v>5217.8500000000004</v>
      </c>
      <c r="AZ140" s="11">
        <f t="shared" si="128"/>
        <v>71484.36</v>
      </c>
      <c r="BA140" s="11">
        <f t="shared" si="128"/>
        <v>0</v>
      </c>
      <c r="BB140" s="11">
        <f t="shared" si="128"/>
        <v>0</v>
      </c>
      <c r="BC140" s="11">
        <f t="shared" si="128"/>
        <v>0</v>
      </c>
      <c r="BD140" s="11">
        <f t="shared" si="128"/>
        <v>0</v>
      </c>
      <c r="BE140" s="11"/>
      <c r="BF140" s="11"/>
      <c r="BG140" s="11"/>
      <c r="BH140" s="11"/>
      <c r="BI140" s="11"/>
      <c r="BJ140" s="11"/>
      <c r="BK140" s="11"/>
      <c r="BL140" s="11"/>
      <c r="BM140" s="11"/>
      <c r="BN140" s="11"/>
      <c r="BO140" s="11"/>
      <c r="BP140" s="11"/>
      <c r="BQ140" s="11"/>
      <c r="BR140" s="11"/>
      <c r="BS140" s="11"/>
      <c r="BT140" s="11"/>
      <c r="BU140" s="11"/>
      <c r="BV140" s="11"/>
      <c r="BW140" s="11"/>
      <c r="BX140" s="11">
        <f>ROUND(SUMIF(AA127:AA138,"=60256405",FQ127:FQ138),2)</f>
        <v>0</v>
      </c>
      <c r="BY140" s="11">
        <f>ROUND(SUMIF(AA127:AA138,"=60256405",FR127:FR138),2)</f>
        <v>71484.36</v>
      </c>
      <c r="BZ140" s="11">
        <f>ROUND(SUMIF(AA127:AA138,"=60256405",GL127:GL138),2)</f>
        <v>0</v>
      </c>
      <c r="CA140" s="11">
        <f>ROUND(SUMIF(AA127:AA138,"=60256405",GM127:GM138),2)</f>
        <v>91483.87</v>
      </c>
      <c r="CB140" s="11">
        <f>ROUND(SUMIF(AA127:AA138,"=60256405",GN127:GN138),2)</f>
        <v>0</v>
      </c>
      <c r="CC140" s="11">
        <f>ROUND(SUMIF(AA127:AA138,"=60256405",GO127:GO138),2)</f>
        <v>19999.509999999998</v>
      </c>
      <c r="CD140" s="11">
        <f>ROUND(SUMIF(AA127:AA138,"=60256405",GP127:GP138),2)</f>
        <v>0</v>
      </c>
      <c r="CE140" s="11">
        <f>AC140-BX140</f>
        <v>76702.210000000006</v>
      </c>
      <c r="CF140" s="11">
        <f>AC140-BY140</f>
        <v>5217.8500000000058</v>
      </c>
      <c r="CG140" s="11">
        <f>BX140-BZ140</f>
        <v>0</v>
      </c>
      <c r="CH140" s="11">
        <f>AC140-BX140-BY140+BZ140</f>
        <v>5217.8500000000058</v>
      </c>
      <c r="CI140" s="11">
        <f>BY140-BZ140</f>
        <v>71484.36</v>
      </c>
      <c r="CJ140" s="11">
        <f>ROUND(SUMIF(AA127:AA138,"=60256405",GX127:GX138),2)</f>
        <v>0</v>
      </c>
      <c r="CK140" s="11">
        <f>ROUND(SUMIF(AA127:AA138,"=60256405",GY127:GY138),2)</f>
        <v>0</v>
      </c>
      <c r="CL140" s="11">
        <f>ROUND(SUMIF(AA127:AA138,"=60256405",GZ127:GZ138),2)</f>
        <v>0</v>
      </c>
      <c r="CM140" s="11">
        <f>ROUND(SUMIF(AA127:AA138,"=60256405",HD127:HD138),2)</f>
        <v>0</v>
      </c>
      <c r="CN140" s="11"/>
      <c r="CO140" s="11"/>
      <c r="CP140" s="11"/>
      <c r="CQ140" s="11"/>
      <c r="CR140" s="11"/>
      <c r="CS140" s="11"/>
      <c r="CT140" s="11"/>
      <c r="CU140" s="11"/>
      <c r="CV140" s="11"/>
      <c r="CW140" s="11"/>
      <c r="CX140" s="11"/>
      <c r="CY140" s="11"/>
      <c r="CZ140" s="11"/>
      <c r="DA140" s="11"/>
      <c r="DB140" s="11"/>
      <c r="DC140" s="11"/>
      <c r="DD140" s="11"/>
      <c r="DE140" s="11"/>
      <c r="DF140" s="11"/>
      <c r="DG140" s="12">
        <f t="shared" ref="DG140:DL140" si="129">ROUND(DT140,2)</f>
        <v>932648.66</v>
      </c>
      <c r="DH140" s="12">
        <f t="shared" si="129"/>
        <v>604538.06999999995</v>
      </c>
      <c r="DI140" s="12">
        <f t="shared" si="129"/>
        <v>1.76</v>
      </c>
      <c r="DJ140" s="12">
        <f t="shared" si="129"/>
        <v>0</v>
      </c>
      <c r="DK140" s="12">
        <f t="shared" si="129"/>
        <v>328108.83</v>
      </c>
      <c r="DL140" s="12">
        <f t="shared" si="129"/>
        <v>0</v>
      </c>
      <c r="DM140" s="12">
        <f>DZ140</f>
        <v>502.09513199999998</v>
      </c>
      <c r="DN140" s="12">
        <f>EA140</f>
        <v>0</v>
      </c>
      <c r="DO140" s="12">
        <f>ROUND(EB140,2)</f>
        <v>0</v>
      </c>
      <c r="DP140" s="12">
        <f>ROUND(EC140,2)</f>
        <v>311337.21000000002</v>
      </c>
      <c r="DQ140" s="12">
        <f>ROUND(ED140,2)</f>
        <v>173385.03</v>
      </c>
      <c r="DR140" s="12"/>
      <c r="DS140" s="12"/>
      <c r="DT140" s="12">
        <f>ROUND(SUMIF(AA127:AA138,"=60256402",O127:O138),2)</f>
        <v>932648.66</v>
      </c>
      <c r="DU140" s="12">
        <f>ROUND(SUMIF(AA127:AA138,"=60256402",P127:P138),2)</f>
        <v>604538.06999999995</v>
      </c>
      <c r="DV140" s="12">
        <f>ROUND(SUMIF(AA127:AA138,"=60256402",Q127:Q138),2)</f>
        <v>1.76</v>
      </c>
      <c r="DW140" s="12">
        <f>ROUND(SUMIF(AA127:AA138,"=60256402",R127:R138),2)</f>
        <v>0</v>
      </c>
      <c r="DX140" s="12">
        <f>ROUND(SUMIF(AA127:AA138,"=60256402",S127:S138),2)</f>
        <v>328108.83</v>
      </c>
      <c r="DY140" s="12">
        <f>ROUND(SUMIF(AA127:AA138,"=60256402",T127:T138),2)</f>
        <v>0</v>
      </c>
      <c r="DZ140" s="12">
        <f>SUMIF(AA127:AA138,"=60256402",U127:U138)</f>
        <v>502.09513199999998</v>
      </c>
      <c r="EA140" s="12">
        <f>SUMIF(AA127:AA138,"=60256402",V127:V138)</f>
        <v>0</v>
      </c>
      <c r="EB140" s="12">
        <f>ROUND(SUMIF(AA127:AA138,"=60256402",W127:W138),2)</f>
        <v>0</v>
      </c>
      <c r="EC140" s="12">
        <f>ROUND(SUMIF(AA127:AA138,"=60256402",X127:X138),2)</f>
        <v>311337.21000000002</v>
      </c>
      <c r="ED140" s="12">
        <f>ROUND(SUMIF(AA127:AA138,"=60256402",Y127:Y138),2)</f>
        <v>173385.03</v>
      </c>
      <c r="EE140" s="12"/>
      <c r="EF140" s="12"/>
      <c r="EG140" s="12">
        <f t="shared" ref="EG140:EV140" si="130">ROUND(FP140,2)</f>
        <v>0</v>
      </c>
      <c r="EH140" s="12">
        <f t="shared" si="130"/>
        <v>547570.19999999995</v>
      </c>
      <c r="EI140" s="12">
        <f t="shared" si="130"/>
        <v>0</v>
      </c>
      <c r="EJ140" s="12">
        <f t="shared" si="130"/>
        <v>1417370.9</v>
      </c>
      <c r="EK140" s="12">
        <f t="shared" si="130"/>
        <v>0</v>
      </c>
      <c r="EL140" s="12">
        <f t="shared" si="130"/>
        <v>869800.7</v>
      </c>
      <c r="EM140" s="12">
        <f t="shared" si="130"/>
        <v>0</v>
      </c>
      <c r="EN140" s="12">
        <f t="shared" si="130"/>
        <v>604538.06999999995</v>
      </c>
      <c r="EO140" s="12">
        <f t="shared" si="130"/>
        <v>56967.87</v>
      </c>
      <c r="EP140" s="12">
        <f t="shared" si="130"/>
        <v>0</v>
      </c>
      <c r="EQ140" s="12">
        <f t="shared" si="130"/>
        <v>56967.87</v>
      </c>
      <c r="ER140" s="12">
        <f t="shared" si="130"/>
        <v>547570.19999999995</v>
      </c>
      <c r="ES140" s="12">
        <f t="shared" si="130"/>
        <v>0</v>
      </c>
      <c r="ET140" s="12">
        <f t="shared" si="130"/>
        <v>0</v>
      </c>
      <c r="EU140" s="12">
        <f t="shared" si="130"/>
        <v>0</v>
      </c>
      <c r="EV140" s="12">
        <f t="shared" si="130"/>
        <v>0</v>
      </c>
      <c r="EW140" s="12"/>
      <c r="EX140" s="12"/>
      <c r="EY140" s="12"/>
      <c r="EZ140" s="12"/>
      <c r="FA140" s="12"/>
      <c r="FB140" s="12"/>
      <c r="FC140" s="12"/>
      <c r="FD140" s="12"/>
      <c r="FE140" s="12"/>
      <c r="FF140" s="12"/>
      <c r="FG140" s="12"/>
      <c r="FH140" s="12"/>
      <c r="FI140" s="12"/>
      <c r="FJ140" s="12"/>
      <c r="FK140" s="12"/>
      <c r="FL140" s="12"/>
      <c r="FM140" s="12"/>
      <c r="FN140" s="12"/>
      <c r="FO140" s="12"/>
      <c r="FP140" s="12">
        <f>ROUND(SUMIF(AA127:AA138,"=60256402",FQ127:FQ138),2)</f>
        <v>0</v>
      </c>
      <c r="FQ140" s="12">
        <f>ROUND(SUMIF(AA127:AA138,"=60256402",FR127:FR138),2)</f>
        <v>547570.19999999995</v>
      </c>
      <c r="FR140" s="12">
        <f>ROUND(SUMIF(AA127:AA138,"=60256402",GL127:GL138),2)</f>
        <v>0</v>
      </c>
      <c r="FS140" s="12">
        <f>ROUND(SUMIF(AA127:AA138,"=60256402",GM127:GM138),2)</f>
        <v>1417370.9</v>
      </c>
      <c r="FT140" s="12">
        <f>ROUND(SUMIF(AA127:AA138,"=60256402",GN127:GN138),2)</f>
        <v>0</v>
      </c>
      <c r="FU140" s="12">
        <f>ROUND(SUMIF(AA127:AA138,"=60256402",GO127:GO138),2)</f>
        <v>869800.7</v>
      </c>
      <c r="FV140" s="12">
        <f>ROUND(SUMIF(AA127:AA138,"=60256402",GP127:GP138),2)</f>
        <v>0</v>
      </c>
      <c r="FW140" s="12">
        <f>DU140-FP140</f>
        <v>604538.06999999995</v>
      </c>
      <c r="FX140" s="12">
        <f>DU140-FQ140</f>
        <v>56967.869999999995</v>
      </c>
      <c r="FY140" s="12">
        <f>FP140-FR140</f>
        <v>0</v>
      </c>
      <c r="FZ140" s="12">
        <f>DU140-FP140-FQ140+FR140</f>
        <v>56967.869999999995</v>
      </c>
      <c r="GA140" s="12">
        <f>FQ140-FR140</f>
        <v>547570.19999999995</v>
      </c>
      <c r="GB140" s="12">
        <f>ROUND(SUMIF(AA127:AA138,"=60256402",GX127:GX138),2)</f>
        <v>0</v>
      </c>
      <c r="GC140" s="12">
        <f>ROUND(SUMIF(AA127:AA138,"=60256402",GY127:GY138),2)</f>
        <v>0</v>
      </c>
      <c r="GD140" s="12">
        <f>ROUND(SUMIF(AA127:AA138,"=60256402",GZ127:GZ138),2)</f>
        <v>0</v>
      </c>
      <c r="GE140" s="12">
        <f>ROUND(SUMIF(AA127:AA138,"=60256402",HD127:HD138),2)</f>
        <v>0</v>
      </c>
      <c r="GF140" s="12"/>
      <c r="GG140" s="12"/>
      <c r="GH140" s="12"/>
      <c r="GI140" s="12"/>
      <c r="GJ140" s="12"/>
      <c r="GK140" s="12"/>
      <c r="GL140" s="12"/>
      <c r="GM140" s="12"/>
      <c r="GN140" s="12"/>
      <c r="GO140" s="12"/>
      <c r="GP140" s="12"/>
      <c r="GQ140" s="12"/>
      <c r="GR140" s="12"/>
      <c r="GS140" s="12"/>
      <c r="GT140" s="12"/>
      <c r="GU140" s="12"/>
      <c r="GV140" s="12"/>
      <c r="GW140" s="12"/>
      <c r="GX140" s="12">
        <v>0</v>
      </c>
    </row>
    <row r="142" spans="1:255" x14ac:dyDescent="0.2">
      <c r="A142" s="13">
        <v>50</v>
      </c>
      <c r="B142" s="13">
        <v>0</v>
      </c>
      <c r="C142" s="13">
        <v>0</v>
      </c>
      <c r="D142" s="13">
        <v>1</v>
      </c>
      <c r="E142" s="13">
        <v>201</v>
      </c>
      <c r="F142" s="13">
        <f>ROUND(Source!O140,O142)</f>
        <v>82669.119999999995</v>
      </c>
      <c r="G142" s="13" t="s">
        <v>132</v>
      </c>
      <c r="H142" s="13" t="s">
        <v>133</v>
      </c>
      <c r="I142" s="13"/>
      <c r="J142" s="13"/>
      <c r="K142" s="13">
        <v>201</v>
      </c>
      <c r="L142" s="13">
        <v>1</v>
      </c>
      <c r="M142" s="13">
        <v>3</v>
      </c>
      <c r="N142" s="13" t="s">
        <v>3</v>
      </c>
      <c r="O142" s="13">
        <v>2</v>
      </c>
      <c r="P142" s="13">
        <f>ROUND(Source!DG140,O142)</f>
        <v>932648.66</v>
      </c>
      <c r="Q142" s="13"/>
      <c r="R142" s="13"/>
      <c r="S142" s="13"/>
      <c r="T142" s="13"/>
      <c r="U142" s="13"/>
      <c r="V142" s="13"/>
      <c r="W142" s="13">
        <v>82669.119999999995</v>
      </c>
      <c r="X142" s="13">
        <v>1</v>
      </c>
      <c r="Y142" s="13">
        <v>82669.119999999995</v>
      </c>
      <c r="Z142" s="13">
        <v>932648.66</v>
      </c>
      <c r="AA142" s="13">
        <v>1</v>
      </c>
      <c r="AB142" s="13">
        <v>932648.66</v>
      </c>
    </row>
    <row r="143" spans="1:255" x14ac:dyDescent="0.2">
      <c r="A143" s="13">
        <v>50</v>
      </c>
      <c r="B143" s="13">
        <v>0</v>
      </c>
      <c r="C143" s="13">
        <v>0</v>
      </c>
      <c r="D143" s="13">
        <v>1</v>
      </c>
      <c r="E143" s="13">
        <v>202</v>
      </c>
      <c r="F143" s="13">
        <f>ROUND(Source!P140,O143)</f>
        <v>76702.210000000006</v>
      </c>
      <c r="G143" s="13" t="s">
        <v>134</v>
      </c>
      <c r="H143" s="13" t="s">
        <v>135</v>
      </c>
      <c r="I143" s="13"/>
      <c r="J143" s="13"/>
      <c r="K143" s="13">
        <v>202</v>
      </c>
      <c r="L143" s="13">
        <v>2</v>
      </c>
      <c r="M143" s="13">
        <v>3</v>
      </c>
      <c r="N143" s="13" t="s">
        <v>3</v>
      </c>
      <c r="O143" s="13">
        <v>2</v>
      </c>
      <c r="P143" s="13">
        <f>ROUND(Source!DH140,O143)</f>
        <v>604538.06999999995</v>
      </c>
      <c r="Q143" s="13"/>
      <c r="R143" s="13"/>
      <c r="S143" s="13"/>
      <c r="T143" s="13"/>
      <c r="U143" s="13"/>
      <c r="V143" s="13"/>
      <c r="W143" s="13">
        <v>76702.210000000006</v>
      </c>
      <c r="X143" s="13">
        <v>1</v>
      </c>
      <c r="Y143" s="13">
        <v>76702.210000000006</v>
      </c>
      <c r="Z143" s="13">
        <v>604538.06999999995</v>
      </c>
      <c r="AA143" s="13">
        <v>1</v>
      </c>
      <c r="AB143" s="13">
        <v>604538.06999999995</v>
      </c>
    </row>
    <row r="144" spans="1:255" x14ac:dyDescent="0.2">
      <c r="A144" s="13">
        <v>50</v>
      </c>
      <c r="B144" s="13">
        <v>0</v>
      </c>
      <c r="C144" s="13">
        <v>0</v>
      </c>
      <c r="D144" s="13">
        <v>1</v>
      </c>
      <c r="E144" s="13">
        <v>222</v>
      </c>
      <c r="F144" s="13">
        <f>ROUND(Source!AO140,O144)</f>
        <v>0</v>
      </c>
      <c r="G144" s="13" t="s">
        <v>136</v>
      </c>
      <c r="H144" s="13" t="s">
        <v>137</v>
      </c>
      <c r="I144" s="13"/>
      <c r="J144" s="13"/>
      <c r="K144" s="13">
        <v>222</v>
      </c>
      <c r="L144" s="13">
        <v>3</v>
      </c>
      <c r="M144" s="13">
        <v>3</v>
      </c>
      <c r="N144" s="13" t="s">
        <v>3</v>
      </c>
      <c r="O144" s="13">
        <v>2</v>
      </c>
      <c r="P144" s="13">
        <f>ROUND(Source!EG140,O144)</f>
        <v>0</v>
      </c>
      <c r="Q144" s="13"/>
      <c r="R144" s="13"/>
      <c r="S144" s="13"/>
      <c r="T144" s="13"/>
      <c r="U144" s="13"/>
      <c r="V144" s="13"/>
      <c r="W144" s="13">
        <v>0</v>
      </c>
      <c r="X144" s="13">
        <v>1</v>
      </c>
      <c r="Y144" s="13">
        <v>0</v>
      </c>
      <c r="Z144" s="13">
        <v>0</v>
      </c>
      <c r="AA144" s="13">
        <v>1</v>
      </c>
      <c r="AB144" s="13">
        <v>0</v>
      </c>
    </row>
    <row r="145" spans="1:28" x14ac:dyDescent="0.2">
      <c r="A145" s="13">
        <v>50</v>
      </c>
      <c r="B145" s="13">
        <v>0</v>
      </c>
      <c r="C145" s="13">
        <v>0</v>
      </c>
      <c r="D145" s="13">
        <v>1</v>
      </c>
      <c r="E145" s="13">
        <v>225</v>
      </c>
      <c r="F145" s="13">
        <f>ROUND(Source!AV140,O145)</f>
        <v>76702.210000000006</v>
      </c>
      <c r="G145" s="13" t="s">
        <v>138</v>
      </c>
      <c r="H145" s="13" t="s">
        <v>139</v>
      </c>
      <c r="I145" s="13"/>
      <c r="J145" s="13"/>
      <c r="K145" s="13">
        <v>225</v>
      </c>
      <c r="L145" s="13">
        <v>4</v>
      </c>
      <c r="M145" s="13">
        <v>3</v>
      </c>
      <c r="N145" s="13" t="s">
        <v>3</v>
      </c>
      <c r="O145" s="13">
        <v>2</v>
      </c>
      <c r="P145" s="13">
        <f>ROUND(Source!EN140,O145)</f>
        <v>604538.06999999995</v>
      </c>
      <c r="Q145" s="13"/>
      <c r="R145" s="13"/>
      <c r="S145" s="13"/>
      <c r="T145" s="13"/>
      <c r="U145" s="13"/>
      <c r="V145" s="13"/>
      <c r="W145" s="13">
        <v>76702.210000000006</v>
      </c>
      <c r="X145" s="13">
        <v>1</v>
      </c>
      <c r="Y145" s="13">
        <v>76702.210000000006</v>
      </c>
      <c r="Z145" s="13">
        <v>604538.06999999995</v>
      </c>
      <c r="AA145" s="13">
        <v>1</v>
      </c>
      <c r="AB145" s="13">
        <v>604538.06999999995</v>
      </c>
    </row>
    <row r="146" spans="1:28" x14ac:dyDescent="0.2">
      <c r="A146" s="13">
        <v>50</v>
      </c>
      <c r="B146" s="13">
        <v>0</v>
      </c>
      <c r="C146" s="13">
        <v>0</v>
      </c>
      <c r="D146" s="13">
        <v>1</v>
      </c>
      <c r="E146" s="13">
        <v>226</v>
      </c>
      <c r="F146" s="13">
        <f>ROUND(Source!AW140,O146)</f>
        <v>5217.8500000000004</v>
      </c>
      <c r="G146" s="13" t="s">
        <v>140</v>
      </c>
      <c r="H146" s="13" t="s">
        <v>141</v>
      </c>
      <c r="I146" s="13"/>
      <c r="J146" s="13"/>
      <c r="K146" s="13">
        <v>226</v>
      </c>
      <c r="L146" s="13">
        <v>5</v>
      </c>
      <c r="M146" s="13">
        <v>3</v>
      </c>
      <c r="N146" s="13" t="s">
        <v>3</v>
      </c>
      <c r="O146" s="13">
        <v>2</v>
      </c>
      <c r="P146" s="13">
        <f>ROUND(Source!EO140,O146)</f>
        <v>56967.87</v>
      </c>
      <c r="Q146" s="13"/>
      <c r="R146" s="13"/>
      <c r="S146" s="13"/>
      <c r="T146" s="13"/>
      <c r="U146" s="13"/>
      <c r="V146" s="13"/>
      <c r="W146" s="13">
        <v>5217.8500000000004</v>
      </c>
      <c r="X146" s="13">
        <v>1</v>
      </c>
      <c r="Y146" s="13">
        <v>5217.8500000000004</v>
      </c>
      <c r="Z146" s="13">
        <v>56967.87</v>
      </c>
      <c r="AA146" s="13">
        <v>1</v>
      </c>
      <c r="AB146" s="13">
        <v>56967.87</v>
      </c>
    </row>
    <row r="147" spans="1:28" x14ac:dyDescent="0.2">
      <c r="A147" s="13">
        <v>50</v>
      </c>
      <c r="B147" s="13">
        <v>0</v>
      </c>
      <c r="C147" s="13">
        <v>0</v>
      </c>
      <c r="D147" s="13">
        <v>1</v>
      </c>
      <c r="E147" s="13">
        <v>227</v>
      </c>
      <c r="F147" s="13">
        <f>ROUND(Source!AX140,O147)</f>
        <v>0</v>
      </c>
      <c r="G147" s="13" t="s">
        <v>142</v>
      </c>
      <c r="H147" s="13" t="s">
        <v>143</v>
      </c>
      <c r="I147" s="13"/>
      <c r="J147" s="13"/>
      <c r="K147" s="13">
        <v>227</v>
      </c>
      <c r="L147" s="13">
        <v>6</v>
      </c>
      <c r="M147" s="13">
        <v>3</v>
      </c>
      <c r="N147" s="13" t="s">
        <v>3</v>
      </c>
      <c r="O147" s="13">
        <v>2</v>
      </c>
      <c r="P147" s="13">
        <f>ROUND(Source!EP140,O147)</f>
        <v>0</v>
      </c>
      <c r="Q147" s="13"/>
      <c r="R147" s="13"/>
      <c r="S147" s="13"/>
      <c r="T147" s="13"/>
      <c r="U147" s="13"/>
      <c r="V147" s="13"/>
      <c r="W147" s="13">
        <v>0</v>
      </c>
      <c r="X147" s="13">
        <v>1</v>
      </c>
      <c r="Y147" s="13">
        <v>0</v>
      </c>
      <c r="Z147" s="13">
        <v>0</v>
      </c>
      <c r="AA147" s="13">
        <v>1</v>
      </c>
      <c r="AB147" s="13">
        <v>0</v>
      </c>
    </row>
    <row r="148" spans="1:28" x14ac:dyDescent="0.2">
      <c r="A148" s="13">
        <v>50</v>
      </c>
      <c r="B148" s="13">
        <v>0</v>
      </c>
      <c r="C148" s="13">
        <v>0</v>
      </c>
      <c r="D148" s="13">
        <v>1</v>
      </c>
      <c r="E148" s="13">
        <v>228</v>
      </c>
      <c r="F148" s="13">
        <f>ROUND(Source!AY140,O148)</f>
        <v>5217.8500000000004</v>
      </c>
      <c r="G148" s="13" t="s">
        <v>144</v>
      </c>
      <c r="H148" s="13" t="s">
        <v>145</v>
      </c>
      <c r="I148" s="13"/>
      <c r="J148" s="13"/>
      <c r="K148" s="13">
        <v>228</v>
      </c>
      <c r="L148" s="13">
        <v>7</v>
      </c>
      <c r="M148" s="13">
        <v>3</v>
      </c>
      <c r="N148" s="13" t="s">
        <v>3</v>
      </c>
      <c r="O148" s="13">
        <v>2</v>
      </c>
      <c r="P148" s="13">
        <f>ROUND(Source!EQ140,O148)</f>
        <v>56967.87</v>
      </c>
      <c r="Q148" s="13"/>
      <c r="R148" s="13"/>
      <c r="S148" s="13"/>
      <c r="T148" s="13"/>
      <c r="U148" s="13"/>
      <c r="V148" s="13"/>
      <c r="W148" s="13">
        <v>5217.8500000000004</v>
      </c>
      <c r="X148" s="13">
        <v>1</v>
      </c>
      <c r="Y148" s="13">
        <v>5217.8500000000004</v>
      </c>
      <c r="Z148" s="13">
        <v>56967.87</v>
      </c>
      <c r="AA148" s="13">
        <v>1</v>
      </c>
      <c r="AB148" s="13">
        <v>56967.87</v>
      </c>
    </row>
    <row r="149" spans="1:28" x14ac:dyDescent="0.2">
      <c r="A149" s="13">
        <v>50</v>
      </c>
      <c r="B149" s="13">
        <v>0</v>
      </c>
      <c r="C149" s="13">
        <v>0</v>
      </c>
      <c r="D149" s="13">
        <v>1</v>
      </c>
      <c r="E149" s="13">
        <v>216</v>
      </c>
      <c r="F149" s="13">
        <f>ROUND(Source!AP140,O149)</f>
        <v>71484.36</v>
      </c>
      <c r="G149" s="13" t="s">
        <v>146</v>
      </c>
      <c r="H149" s="13" t="s">
        <v>147</v>
      </c>
      <c r="I149" s="13"/>
      <c r="J149" s="13"/>
      <c r="K149" s="13">
        <v>216</v>
      </c>
      <c r="L149" s="13">
        <v>8</v>
      </c>
      <c r="M149" s="13">
        <v>3</v>
      </c>
      <c r="N149" s="13" t="s">
        <v>3</v>
      </c>
      <c r="O149" s="13">
        <v>2</v>
      </c>
      <c r="P149" s="13">
        <f>ROUND(Source!EH140,O149)</f>
        <v>547570.19999999995</v>
      </c>
      <c r="Q149" s="13"/>
      <c r="R149" s="13"/>
      <c r="S149" s="13"/>
      <c r="T149" s="13"/>
      <c r="U149" s="13"/>
      <c r="V149" s="13"/>
      <c r="W149" s="13">
        <v>71484.36</v>
      </c>
      <c r="X149" s="13">
        <v>1</v>
      </c>
      <c r="Y149" s="13">
        <v>71484.36</v>
      </c>
      <c r="Z149" s="13">
        <v>547570.19999999995</v>
      </c>
      <c r="AA149" s="13">
        <v>1</v>
      </c>
      <c r="AB149" s="13">
        <v>547570.19999999995</v>
      </c>
    </row>
    <row r="150" spans="1:28" x14ac:dyDescent="0.2">
      <c r="A150" s="13">
        <v>50</v>
      </c>
      <c r="B150" s="13">
        <v>0</v>
      </c>
      <c r="C150" s="13">
        <v>0</v>
      </c>
      <c r="D150" s="13">
        <v>1</v>
      </c>
      <c r="E150" s="13">
        <v>223</v>
      </c>
      <c r="F150" s="13">
        <f>ROUND(Source!AQ140,O150)</f>
        <v>0</v>
      </c>
      <c r="G150" s="13" t="s">
        <v>148</v>
      </c>
      <c r="H150" s="13" t="s">
        <v>149</v>
      </c>
      <c r="I150" s="13"/>
      <c r="J150" s="13"/>
      <c r="K150" s="13">
        <v>223</v>
      </c>
      <c r="L150" s="13">
        <v>9</v>
      </c>
      <c r="M150" s="13">
        <v>3</v>
      </c>
      <c r="N150" s="13" t="s">
        <v>3</v>
      </c>
      <c r="O150" s="13">
        <v>2</v>
      </c>
      <c r="P150" s="13">
        <f>ROUND(Source!EI140,O150)</f>
        <v>0</v>
      </c>
      <c r="Q150" s="13"/>
      <c r="R150" s="13"/>
      <c r="S150" s="13"/>
      <c r="T150" s="13"/>
      <c r="U150" s="13"/>
      <c r="V150" s="13"/>
      <c r="W150" s="13">
        <v>0</v>
      </c>
      <c r="X150" s="13">
        <v>1</v>
      </c>
      <c r="Y150" s="13">
        <v>0</v>
      </c>
      <c r="Z150" s="13">
        <v>0</v>
      </c>
      <c r="AA150" s="13">
        <v>1</v>
      </c>
      <c r="AB150" s="13">
        <v>0</v>
      </c>
    </row>
    <row r="151" spans="1:28" x14ac:dyDescent="0.2">
      <c r="A151" s="13">
        <v>50</v>
      </c>
      <c r="B151" s="13">
        <v>0</v>
      </c>
      <c r="C151" s="13">
        <v>0</v>
      </c>
      <c r="D151" s="13">
        <v>1</v>
      </c>
      <c r="E151" s="13">
        <v>229</v>
      </c>
      <c r="F151" s="13">
        <f>ROUND(Source!AZ140,O151)</f>
        <v>71484.36</v>
      </c>
      <c r="G151" s="13" t="s">
        <v>150</v>
      </c>
      <c r="H151" s="13" t="s">
        <v>151</v>
      </c>
      <c r="I151" s="13"/>
      <c r="J151" s="13"/>
      <c r="K151" s="13">
        <v>229</v>
      </c>
      <c r="L151" s="13">
        <v>10</v>
      </c>
      <c r="M151" s="13">
        <v>3</v>
      </c>
      <c r="N151" s="13" t="s">
        <v>3</v>
      </c>
      <c r="O151" s="13">
        <v>2</v>
      </c>
      <c r="P151" s="13">
        <f>ROUND(Source!ER140,O151)</f>
        <v>547570.19999999995</v>
      </c>
      <c r="Q151" s="13"/>
      <c r="R151" s="13"/>
      <c r="S151" s="13"/>
      <c r="T151" s="13"/>
      <c r="U151" s="13"/>
      <c r="V151" s="13"/>
      <c r="W151" s="13">
        <v>71484.36</v>
      </c>
      <c r="X151" s="13">
        <v>1</v>
      </c>
      <c r="Y151" s="13">
        <v>71484.36</v>
      </c>
      <c r="Z151" s="13">
        <v>547570.19999999995</v>
      </c>
      <c r="AA151" s="13">
        <v>1</v>
      </c>
      <c r="AB151" s="13">
        <v>547570.19999999995</v>
      </c>
    </row>
    <row r="152" spans="1:28" x14ac:dyDescent="0.2">
      <c r="A152" s="13">
        <v>50</v>
      </c>
      <c r="B152" s="13">
        <v>0</v>
      </c>
      <c r="C152" s="13">
        <v>0</v>
      </c>
      <c r="D152" s="13">
        <v>1</v>
      </c>
      <c r="E152" s="13">
        <v>203</v>
      </c>
      <c r="F152" s="13">
        <f>ROUND(Source!Q140,O152)</f>
        <v>0.21</v>
      </c>
      <c r="G152" s="13" t="s">
        <v>152</v>
      </c>
      <c r="H152" s="13" t="s">
        <v>153</v>
      </c>
      <c r="I152" s="13"/>
      <c r="J152" s="13"/>
      <c r="K152" s="13">
        <v>203</v>
      </c>
      <c r="L152" s="13">
        <v>11</v>
      </c>
      <c r="M152" s="13">
        <v>3</v>
      </c>
      <c r="N152" s="13" t="s">
        <v>3</v>
      </c>
      <c r="O152" s="13">
        <v>2</v>
      </c>
      <c r="P152" s="13">
        <f>ROUND(Source!DI140,O152)</f>
        <v>1.76</v>
      </c>
      <c r="Q152" s="13"/>
      <c r="R152" s="13"/>
      <c r="S152" s="13"/>
      <c r="T152" s="13"/>
      <c r="U152" s="13"/>
      <c r="V152" s="13"/>
      <c r="W152" s="13">
        <v>0.21</v>
      </c>
      <c r="X152" s="13">
        <v>1</v>
      </c>
      <c r="Y152" s="13">
        <v>0.21</v>
      </c>
      <c r="Z152" s="13">
        <v>1.76</v>
      </c>
      <c r="AA152" s="13">
        <v>1</v>
      </c>
      <c r="AB152" s="13">
        <v>1.76</v>
      </c>
    </row>
    <row r="153" spans="1:28" x14ac:dyDescent="0.2">
      <c r="A153" s="13">
        <v>50</v>
      </c>
      <c r="B153" s="13">
        <v>0</v>
      </c>
      <c r="C153" s="13">
        <v>0</v>
      </c>
      <c r="D153" s="13">
        <v>1</v>
      </c>
      <c r="E153" s="13">
        <v>231</v>
      </c>
      <c r="F153" s="13">
        <f>ROUND(Source!BB140,O153)</f>
        <v>0</v>
      </c>
      <c r="G153" s="13" t="s">
        <v>154</v>
      </c>
      <c r="H153" s="13" t="s">
        <v>155</v>
      </c>
      <c r="I153" s="13"/>
      <c r="J153" s="13"/>
      <c r="K153" s="13">
        <v>231</v>
      </c>
      <c r="L153" s="13">
        <v>12</v>
      </c>
      <c r="M153" s="13">
        <v>3</v>
      </c>
      <c r="N153" s="13" t="s">
        <v>3</v>
      </c>
      <c r="O153" s="13">
        <v>2</v>
      </c>
      <c r="P153" s="13">
        <f>ROUND(Source!ET140,O153)</f>
        <v>0</v>
      </c>
      <c r="Q153" s="13"/>
      <c r="R153" s="13"/>
      <c r="S153" s="13"/>
      <c r="T153" s="13"/>
      <c r="U153" s="13"/>
      <c r="V153" s="13"/>
      <c r="W153" s="13">
        <v>0</v>
      </c>
      <c r="X153" s="13">
        <v>1</v>
      </c>
      <c r="Y153" s="13">
        <v>0</v>
      </c>
      <c r="Z153" s="13">
        <v>0</v>
      </c>
      <c r="AA153" s="13">
        <v>1</v>
      </c>
      <c r="AB153" s="13">
        <v>0</v>
      </c>
    </row>
    <row r="154" spans="1:28" x14ac:dyDescent="0.2">
      <c r="A154" s="13">
        <v>50</v>
      </c>
      <c r="B154" s="13">
        <v>0</v>
      </c>
      <c r="C154" s="13">
        <v>0</v>
      </c>
      <c r="D154" s="13">
        <v>1</v>
      </c>
      <c r="E154" s="13">
        <v>204</v>
      </c>
      <c r="F154" s="13">
        <f>ROUND(Source!R140,O154)</f>
        <v>0</v>
      </c>
      <c r="G154" s="13" t="s">
        <v>156</v>
      </c>
      <c r="H154" s="13" t="s">
        <v>157</v>
      </c>
      <c r="I154" s="13"/>
      <c r="J154" s="13"/>
      <c r="K154" s="13">
        <v>204</v>
      </c>
      <c r="L154" s="13">
        <v>13</v>
      </c>
      <c r="M154" s="13">
        <v>3</v>
      </c>
      <c r="N154" s="13" t="s">
        <v>3</v>
      </c>
      <c r="O154" s="13">
        <v>2</v>
      </c>
      <c r="P154" s="13">
        <f>ROUND(Source!DJ140,O154)</f>
        <v>0</v>
      </c>
      <c r="Q154" s="13"/>
      <c r="R154" s="13"/>
      <c r="S154" s="13"/>
      <c r="T154" s="13"/>
      <c r="U154" s="13"/>
      <c r="V154" s="13"/>
      <c r="W154" s="13">
        <v>0</v>
      </c>
      <c r="X154" s="13">
        <v>1</v>
      </c>
      <c r="Y154" s="13">
        <v>0</v>
      </c>
      <c r="Z154" s="13">
        <v>0</v>
      </c>
      <c r="AA154" s="13">
        <v>1</v>
      </c>
      <c r="AB154" s="13">
        <v>0</v>
      </c>
    </row>
    <row r="155" spans="1:28" x14ac:dyDescent="0.2">
      <c r="A155" s="13">
        <v>50</v>
      </c>
      <c r="B155" s="13">
        <v>0</v>
      </c>
      <c r="C155" s="13">
        <v>0</v>
      </c>
      <c r="D155" s="13">
        <v>1</v>
      </c>
      <c r="E155" s="13">
        <v>205</v>
      </c>
      <c r="F155" s="13">
        <f>ROUND(Source!S140,O155)</f>
        <v>5966.7</v>
      </c>
      <c r="G155" s="13" t="s">
        <v>158</v>
      </c>
      <c r="H155" s="13" t="s">
        <v>159</v>
      </c>
      <c r="I155" s="13"/>
      <c r="J155" s="13"/>
      <c r="K155" s="13">
        <v>205</v>
      </c>
      <c r="L155" s="13">
        <v>14</v>
      </c>
      <c r="M155" s="13">
        <v>3</v>
      </c>
      <c r="N155" s="13" t="s">
        <v>3</v>
      </c>
      <c r="O155" s="13">
        <v>2</v>
      </c>
      <c r="P155" s="13">
        <f>ROUND(Source!DK140,O155)</f>
        <v>328108.83</v>
      </c>
      <c r="Q155" s="13"/>
      <c r="R155" s="13"/>
      <c r="S155" s="13"/>
      <c r="T155" s="13"/>
      <c r="U155" s="13"/>
      <c r="V155" s="13"/>
      <c r="W155" s="13">
        <v>5966.7</v>
      </c>
      <c r="X155" s="13">
        <v>1</v>
      </c>
      <c r="Y155" s="13">
        <v>5966.7</v>
      </c>
      <c r="Z155" s="13">
        <v>328108.83</v>
      </c>
      <c r="AA155" s="13">
        <v>1</v>
      </c>
      <c r="AB155" s="13">
        <v>328108.83</v>
      </c>
    </row>
    <row r="156" spans="1:28" x14ac:dyDescent="0.2">
      <c r="A156" s="13">
        <v>50</v>
      </c>
      <c r="B156" s="13">
        <v>0</v>
      </c>
      <c r="C156" s="13">
        <v>0</v>
      </c>
      <c r="D156" s="13">
        <v>1</v>
      </c>
      <c r="E156" s="13">
        <v>232</v>
      </c>
      <c r="F156" s="13">
        <f>ROUND(Source!BC140,O156)</f>
        <v>0</v>
      </c>
      <c r="G156" s="13" t="s">
        <v>160</v>
      </c>
      <c r="H156" s="13" t="s">
        <v>161</v>
      </c>
      <c r="I156" s="13"/>
      <c r="J156" s="13"/>
      <c r="K156" s="13">
        <v>232</v>
      </c>
      <c r="L156" s="13">
        <v>15</v>
      </c>
      <c r="M156" s="13">
        <v>3</v>
      </c>
      <c r="N156" s="13" t="s">
        <v>3</v>
      </c>
      <c r="O156" s="13">
        <v>2</v>
      </c>
      <c r="P156" s="13">
        <f>ROUND(Source!EU140,O156)</f>
        <v>0</v>
      </c>
      <c r="Q156" s="13"/>
      <c r="R156" s="13"/>
      <c r="S156" s="13"/>
      <c r="T156" s="13"/>
      <c r="U156" s="13"/>
      <c r="V156" s="13"/>
      <c r="W156" s="13">
        <v>0</v>
      </c>
      <c r="X156" s="13">
        <v>1</v>
      </c>
      <c r="Y156" s="13">
        <v>0</v>
      </c>
      <c r="Z156" s="13">
        <v>0</v>
      </c>
      <c r="AA156" s="13">
        <v>1</v>
      </c>
      <c r="AB156" s="13">
        <v>0</v>
      </c>
    </row>
    <row r="157" spans="1:28" x14ac:dyDescent="0.2">
      <c r="A157" s="13">
        <v>50</v>
      </c>
      <c r="B157" s="13">
        <v>0</v>
      </c>
      <c r="C157" s="13">
        <v>0</v>
      </c>
      <c r="D157" s="13">
        <v>1</v>
      </c>
      <c r="E157" s="13">
        <v>214</v>
      </c>
      <c r="F157" s="13">
        <f>ROUND(Source!AS140,O157)</f>
        <v>0</v>
      </c>
      <c r="G157" s="13" t="s">
        <v>162</v>
      </c>
      <c r="H157" s="13" t="s">
        <v>163</v>
      </c>
      <c r="I157" s="13"/>
      <c r="J157" s="13"/>
      <c r="K157" s="13">
        <v>214</v>
      </c>
      <c r="L157" s="13">
        <v>16</v>
      </c>
      <c r="M157" s="13">
        <v>3</v>
      </c>
      <c r="N157" s="13" t="s">
        <v>3</v>
      </c>
      <c r="O157" s="13">
        <v>2</v>
      </c>
      <c r="P157" s="13">
        <f>ROUND(Source!EK140,O157)</f>
        <v>0</v>
      </c>
      <c r="Q157" s="13"/>
      <c r="R157" s="13"/>
      <c r="S157" s="13"/>
      <c r="T157" s="13"/>
      <c r="U157" s="13"/>
      <c r="V157" s="13"/>
      <c r="W157" s="13">
        <v>0</v>
      </c>
      <c r="X157" s="13">
        <v>1</v>
      </c>
      <c r="Y157" s="13">
        <v>0</v>
      </c>
      <c r="Z157" s="13">
        <v>0</v>
      </c>
      <c r="AA157" s="13">
        <v>1</v>
      </c>
      <c r="AB157" s="13">
        <v>0</v>
      </c>
    </row>
    <row r="158" spans="1:28" x14ac:dyDescent="0.2">
      <c r="A158" s="13">
        <v>50</v>
      </c>
      <c r="B158" s="13">
        <v>0</v>
      </c>
      <c r="C158" s="13">
        <v>0</v>
      </c>
      <c r="D158" s="13">
        <v>1</v>
      </c>
      <c r="E158" s="13">
        <v>215</v>
      </c>
      <c r="F158" s="13">
        <f>ROUND(Source!AT140,O158)</f>
        <v>19999.509999999998</v>
      </c>
      <c r="G158" s="13" t="s">
        <v>164</v>
      </c>
      <c r="H158" s="13" t="s">
        <v>165</v>
      </c>
      <c r="I158" s="13"/>
      <c r="J158" s="13"/>
      <c r="K158" s="13">
        <v>215</v>
      </c>
      <c r="L158" s="13">
        <v>17</v>
      </c>
      <c r="M158" s="13">
        <v>3</v>
      </c>
      <c r="N158" s="13" t="s">
        <v>3</v>
      </c>
      <c r="O158" s="13">
        <v>2</v>
      </c>
      <c r="P158" s="13">
        <f>ROUND(Source!EL140,O158)</f>
        <v>869800.7</v>
      </c>
      <c r="Q158" s="13"/>
      <c r="R158" s="13"/>
      <c r="S158" s="13"/>
      <c r="T158" s="13"/>
      <c r="U158" s="13"/>
      <c r="V158" s="13"/>
      <c r="W158" s="13">
        <v>19999.509999999998</v>
      </c>
      <c r="X158" s="13">
        <v>1</v>
      </c>
      <c r="Y158" s="13">
        <v>19999.509999999998</v>
      </c>
      <c r="Z158" s="13">
        <v>869800.7</v>
      </c>
      <c r="AA158" s="13">
        <v>1</v>
      </c>
      <c r="AB158" s="13">
        <v>869800.7</v>
      </c>
    </row>
    <row r="159" spans="1:28" x14ac:dyDescent="0.2">
      <c r="A159" s="13">
        <v>50</v>
      </c>
      <c r="B159" s="13">
        <v>0</v>
      </c>
      <c r="C159" s="13">
        <v>0</v>
      </c>
      <c r="D159" s="13">
        <v>1</v>
      </c>
      <c r="E159" s="13">
        <v>217</v>
      </c>
      <c r="F159" s="13">
        <f>ROUND(Source!AU140,O159)</f>
        <v>0</v>
      </c>
      <c r="G159" s="13" t="s">
        <v>166</v>
      </c>
      <c r="H159" s="13" t="s">
        <v>167</v>
      </c>
      <c r="I159" s="13"/>
      <c r="J159" s="13"/>
      <c r="K159" s="13">
        <v>217</v>
      </c>
      <c r="L159" s="13">
        <v>18</v>
      </c>
      <c r="M159" s="13">
        <v>3</v>
      </c>
      <c r="N159" s="13" t="s">
        <v>3</v>
      </c>
      <c r="O159" s="13">
        <v>2</v>
      </c>
      <c r="P159" s="13">
        <f>ROUND(Source!EM140,O159)</f>
        <v>0</v>
      </c>
      <c r="Q159" s="13"/>
      <c r="R159" s="13"/>
      <c r="S159" s="13"/>
      <c r="T159" s="13"/>
      <c r="U159" s="13"/>
      <c r="V159" s="13"/>
      <c r="W159" s="13">
        <v>0</v>
      </c>
      <c r="X159" s="13">
        <v>1</v>
      </c>
      <c r="Y159" s="13">
        <v>0</v>
      </c>
      <c r="Z159" s="13">
        <v>0</v>
      </c>
      <c r="AA159" s="13">
        <v>1</v>
      </c>
      <c r="AB159" s="13">
        <v>0</v>
      </c>
    </row>
    <row r="160" spans="1:28" x14ac:dyDescent="0.2">
      <c r="A160" s="13">
        <v>50</v>
      </c>
      <c r="B160" s="13">
        <v>0</v>
      </c>
      <c r="C160" s="13">
        <v>0</v>
      </c>
      <c r="D160" s="13">
        <v>1</v>
      </c>
      <c r="E160" s="13">
        <v>230</v>
      </c>
      <c r="F160" s="13">
        <f>ROUND(Source!BA140,O160)</f>
        <v>0</v>
      </c>
      <c r="G160" s="13" t="s">
        <v>168</v>
      </c>
      <c r="H160" s="13" t="s">
        <v>169</v>
      </c>
      <c r="I160" s="13"/>
      <c r="J160" s="13"/>
      <c r="K160" s="13">
        <v>230</v>
      </c>
      <c r="L160" s="13">
        <v>19</v>
      </c>
      <c r="M160" s="13">
        <v>3</v>
      </c>
      <c r="N160" s="13" t="s">
        <v>3</v>
      </c>
      <c r="O160" s="13">
        <v>2</v>
      </c>
      <c r="P160" s="13">
        <f>ROUND(Source!ES140,O160)</f>
        <v>0</v>
      </c>
      <c r="Q160" s="13"/>
      <c r="R160" s="13"/>
      <c r="S160" s="13"/>
      <c r="T160" s="13"/>
      <c r="U160" s="13"/>
      <c r="V160" s="13"/>
      <c r="W160" s="13">
        <v>0</v>
      </c>
      <c r="X160" s="13">
        <v>1</v>
      </c>
      <c r="Y160" s="13">
        <v>0</v>
      </c>
      <c r="Z160" s="13">
        <v>0</v>
      </c>
      <c r="AA160" s="13">
        <v>1</v>
      </c>
      <c r="AB160" s="13">
        <v>0</v>
      </c>
    </row>
    <row r="161" spans="1:255" x14ac:dyDescent="0.2">
      <c r="A161" s="13">
        <v>50</v>
      </c>
      <c r="B161" s="13">
        <v>0</v>
      </c>
      <c r="C161" s="13">
        <v>0</v>
      </c>
      <c r="D161" s="13">
        <v>1</v>
      </c>
      <c r="E161" s="13">
        <v>206</v>
      </c>
      <c r="F161" s="13">
        <f>ROUND(Source!T140,O161)</f>
        <v>0</v>
      </c>
      <c r="G161" s="13" t="s">
        <v>170</v>
      </c>
      <c r="H161" s="13" t="s">
        <v>171</v>
      </c>
      <c r="I161" s="13"/>
      <c r="J161" s="13"/>
      <c r="K161" s="13">
        <v>206</v>
      </c>
      <c r="L161" s="13">
        <v>20</v>
      </c>
      <c r="M161" s="13">
        <v>3</v>
      </c>
      <c r="N161" s="13" t="s">
        <v>3</v>
      </c>
      <c r="O161" s="13">
        <v>2</v>
      </c>
      <c r="P161" s="13">
        <f>ROUND(Source!DL140,O161)</f>
        <v>0</v>
      </c>
      <c r="Q161" s="13"/>
      <c r="R161" s="13"/>
      <c r="S161" s="13"/>
      <c r="T161" s="13"/>
      <c r="U161" s="13"/>
      <c r="V161" s="13"/>
      <c r="W161" s="13">
        <v>0</v>
      </c>
      <c r="X161" s="13">
        <v>1</v>
      </c>
      <c r="Y161" s="13">
        <v>0</v>
      </c>
      <c r="Z161" s="13">
        <v>0</v>
      </c>
      <c r="AA161" s="13">
        <v>1</v>
      </c>
      <c r="AB161" s="13">
        <v>0</v>
      </c>
    </row>
    <row r="162" spans="1:255" x14ac:dyDescent="0.2">
      <c r="A162" s="13">
        <v>50</v>
      </c>
      <c r="B162" s="13">
        <v>0</v>
      </c>
      <c r="C162" s="13">
        <v>0</v>
      </c>
      <c r="D162" s="13">
        <v>1</v>
      </c>
      <c r="E162" s="13">
        <v>207</v>
      </c>
      <c r="F162" s="13">
        <f>Source!U140</f>
        <v>502.09513199999998</v>
      </c>
      <c r="G162" s="13" t="s">
        <v>172</v>
      </c>
      <c r="H162" s="13" t="s">
        <v>173</v>
      </c>
      <c r="I162" s="13"/>
      <c r="J162" s="13"/>
      <c r="K162" s="13">
        <v>207</v>
      </c>
      <c r="L162" s="13">
        <v>21</v>
      </c>
      <c r="M162" s="13">
        <v>3</v>
      </c>
      <c r="N162" s="13" t="s">
        <v>3</v>
      </c>
      <c r="O162" s="13">
        <v>-1</v>
      </c>
      <c r="P162" s="13">
        <f>Source!DM140</f>
        <v>502.09513199999998</v>
      </c>
      <c r="Q162" s="13"/>
      <c r="R162" s="13"/>
      <c r="S162" s="13"/>
      <c r="T162" s="13"/>
      <c r="U162" s="13"/>
      <c r="V162" s="13"/>
      <c r="W162" s="13">
        <v>502.09513199999998</v>
      </c>
      <c r="X162" s="13">
        <v>1</v>
      </c>
      <c r="Y162" s="13">
        <v>502.09513199999998</v>
      </c>
      <c r="Z162" s="13">
        <v>502.09513199999998</v>
      </c>
      <c r="AA162" s="13">
        <v>1</v>
      </c>
      <c r="AB162" s="13">
        <v>502.09513199999998</v>
      </c>
    </row>
    <row r="163" spans="1:255" x14ac:dyDescent="0.2">
      <c r="A163" s="13">
        <v>50</v>
      </c>
      <c r="B163" s="13">
        <v>0</v>
      </c>
      <c r="C163" s="13">
        <v>0</v>
      </c>
      <c r="D163" s="13">
        <v>1</v>
      </c>
      <c r="E163" s="13">
        <v>208</v>
      </c>
      <c r="F163" s="13">
        <f>Source!V140</f>
        <v>0</v>
      </c>
      <c r="G163" s="13" t="s">
        <v>174</v>
      </c>
      <c r="H163" s="13" t="s">
        <v>175</v>
      </c>
      <c r="I163" s="13"/>
      <c r="J163" s="13"/>
      <c r="K163" s="13">
        <v>208</v>
      </c>
      <c r="L163" s="13">
        <v>22</v>
      </c>
      <c r="M163" s="13">
        <v>3</v>
      </c>
      <c r="N163" s="13" t="s">
        <v>3</v>
      </c>
      <c r="O163" s="13">
        <v>-1</v>
      </c>
      <c r="P163" s="13">
        <f>Source!DN140</f>
        <v>0</v>
      </c>
      <c r="Q163" s="13"/>
      <c r="R163" s="13"/>
      <c r="S163" s="13"/>
      <c r="T163" s="13"/>
      <c r="U163" s="13"/>
      <c r="V163" s="13"/>
      <c r="W163" s="13">
        <v>0</v>
      </c>
      <c r="X163" s="13">
        <v>1</v>
      </c>
      <c r="Y163" s="13">
        <v>0</v>
      </c>
      <c r="Z163" s="13">
        <v>0</v>
      </c>
      <c r="AA163" s="13">
        <v>1</v>
      </c>
      <c r="AB163" s="13">
        <v>0</v>
      </c>
    </row>
    <row r="164" spans="1:255" x14ac:dyDescent="0.2">
      <c r="A164" s="13">
        <v>50</v>
      </c>
      <c r="B164" s="13">
        <v>0</v>
      </c>
      <c r="C164" s="13">
        <v>0</v>
      </c>
      <c r="D164" s="13">
        <v>1</v>
      </c>
      <c r="E164" s="13">
        <v>209</v>
      </c>
      <c r="F164" s="13">
        <f>ROUND(Source!W140,O164)</f>
        <v>0</v>
      </c>
      <c r="G164" s="13" t="s">
        <v>176</v>
      </c>
      <c r="H164" s="13" t="s">
        <v>177</v>
      </c>
      <c r="I164" s="13"/>
      <c r="J164" s="13"/>
      <c r="K164" s="13">
        <v>209</v>
      </c>
      <c r="L164" s="13">
        <v>23</v>
      </c>
      <c r="M164" s="13">
        <v>3</v>
      </c>
      <c r="N164" s="13" t="s">
        <v>3</v>
      </c>
      <c r="O164" s="13">
        <v>2</v>
      </c>
      <c r="P164" s="13">
        <f>ROUND(Source!DO140,O164)</f>
        <v>0</v>
      </c>
      <c r="Q164" s="13"/>
      <c r="R164" s="13"/>
      <c r="S164" s="13"/>
      <c r="T164" s="13"/>
      <c r="U164" s="13"/>
      <c r="V164" s="13"/>
      <c r="W164" s="13">
        <v>0</v>
      </c>
      <c r="X164" s="13">
        <v>1</v>
      </c>
      <c r="Y164" s="13">
        <v>0</v>
      </c>
      <c r="Z164" s="13">
        <v>0</v>
      </c>
      <c r="AA164" s="13">
        <v>1</v>
      </c>
      <c r="AB164" s="13">
        <v>0</v>
      </c>
    </row>
    <row r="165" spans="1:255" x14ac:dyDescent="0.2">
      <c r="A165" s="13">
        <v>50</v>
      </c>
      <c r="B165" s="13">
        <v>0</v>
      </c>
      <c r="C165" s="13">
        <v>0</v>
      </c>
      <c r="D165" s="13">
        <v>1</v>
      </c>
      <c r="E165" s="13">
        <v>233</v>
      </c>
      <c r="F165" s="13">
        <f>ROUND(Source!BD140,O165)</f>
        <v>0</v>
      </c>
      <c r="G165" s="13" t="s">
        <v>178</v>
      </c>
      <c r="H165" s="13" t="s">
        <v>179</v>
      </c>
      <c r="I165" s="13"/>
      <c r="J165" s="13"/>
      <c r="K165" s="13">
        <v>233</v>
      </c>
      <c r="L165" s="13">
        <v>24</v>
      </c>
      <c r="M165" s="13">
        <v>3</v>
      </c>
      <c r="N165" s="13" t="s">
        <v>3</v>
      </c>
      <c r="O165" s="13">
        <v>2</v>
      </c>
      <c r="P165" s="13">
        <f>ROUND(Source!EV140,O165)</f>
        <v>0</v>
      </c>
      <c r="Q165" s="13"/>
      <c r="R165" s="13"/>
      <c r="S165" s="13"/>
      <c r="T165" s="13"/>
      <c r="U165" s="13"/>
      <c r="V165" s="13"/>
      <c r="W165" s="13">
        <v>0</v>
      </c>
      <c r="X165" s="13">
        <v>1</v>
      </c>
      <c r="Y165" s="13">
        <v>0</v>
      </c>
      <c r="Z165" s="13">
        <v>0</v>
      </c>
      <c r="AA165" s="13">
        <v>1</v>
      </c>
      <c r="AB165" s="13">
        <v>0</v>
      </c>
    </row>
    <row r="166" spans="1:255" x14ac:dyDescent="0.2">
      <c r="A166" s="13">
        <v>50</v>
      </c>
      <c r="B166" s="13">
        <v>0</v>
      </c>
      <c r="C166" s="13">
        <v>0</v>
      </c>
      <c r="D166" s="13">
        <v>1</v>
      </c>
      <c r="E166" s="13">
        <v>210</v>
      </c>
      <c r="F166" s="13">
        <f>ROUND(Source!X140,O166)</f>
        <v>5661.71</v>
      </c>
      <c r="G166" s="13" t="s">
        <v>180</v>
      </c>
      <c r="H166" s="13" t="s">
        <v>181</v>
      </c>
      <c r="I166" s="13"/>
      <c r="J166" s="13"/>
      <c r="K166" s="13">
        <v>210</v>
      </c>
      <c r="L166" s="13">
        <v>25</v>
      </c>
      <c r="M166" s="13">
        <v>3</v>
      </c>
      <c r="N166" s="13" t="s">
        <v>3</v>
      </c>
      <c r="O166" s="13">
        <v>2</v>
      </c>
      <c r="P166" s="13">
        <f>ROUND(Source!DP140,O166)</f>
        <v>311337.21000000002</v>
      </c>
      <c r="Q166" s="13"/>
      <c r="R166" s="13"/>
      <c r="S166" s="13"/>
      <c r="T166" s="13"/>
      <c r="U166" s="13"/>
      <c r="V166" s="13"/>
      <c r="W166" s="13">
        <v>5661.71</v>
      </c>
      <c r="X166" s="13">
        <v>1</v>
      </c>
      <c r="Y166" s="13">
        <v>5661.71</v>
      </c>
      <c r="Z166" s="13">
        <v>311337.21000000002</v>
      </c>
      <c r="AA166" s="13">
        <v>1</v>
      </c>
      <c r="AB166" s="13">
        <v>311337.21000000002</v>
      </c>
    </row>
    <row r="167" spans="1:255" x14ac:dyDescent="0.2">
      <c r="A167" s="13">
        <v>50</v>
      </c>
      <c r="B167" s="13">
        <v>0</v>
      </c>
      <c r="C167" s="13">
        <v>0</v>
      </c>
      <c r="D167" s="13">
        <v>1</v>
      </c>
      <c r="E167" s="13">
        <v>211</v>
      </c>
      <c r="F167" s="13">
        <f>ROUND(Source!Y140,O167)</f>
        <v>3153.04</v>
      </c>
      <c r="G167" s="13" t="s">
        <v>182</v>
      </c>
      <c r="H167" s="13" t="s">
        <v>183</v>
      </c>
      <c r="I167" s="13"/>
      <c r="J167" s="13"/>
      <c r="K167" s="13">
        <v>211</v>
      </c>
      <c r="L167" s="13">
        <v>26</v>
      </c>
      <c r="M167" s="13">
        <v>3</v>
      </c>
      <c r="N167" s="13" t="s">
        <v>3</v>
      </c>
      <c r="O167" s="13">
        <v>2</v>
      </c>
      <c r="P167" s="13">
        <f>ROUND(Source!DQ140,O167)</f>
        <v>173385.03</v>
      </c>
      <c r="Q167" s="13"/>
      <c r="R167" s="13"/>
      <c r="S167" s="13"/>
      <c r="T167" s="13"/>
      <c r="U167" s="13"/>
      <c r="V167" s="13"/>
      <c r="W167" s="13">
        <v>3153.04</v>
      </c>
      <c r="X167" s="13">
        <v>1</v>
      </c>
      <c r="Y167" s="13">
        <v>3153.04</v>
      </c>
      <c r="Z167" s="13">
        <v>173385.03</v>
      </c>
      <c r="AA167" s="13">
        <v>1</v>
      </c>
      <c r="AB167" s="13">
        <v>173385.03</v>
      </c>
    </row>
    <row r="168" spans="1:255" x14ac:dyDescent="0.2">
      <c r="A168" s="13">
        <v>50</v>
      </c>
      <c r="B168" s="13">
        <v>0</v>
      </c>
      <c r="C168" s="13">
        <v>0</v>
      </c>
      <c r="D168" s="13">
        <v>1</v>
      </c>
      <c r="E168" s="13">
        <v>224</v>
      </c>
      <c r="F168" s="13">
        <f>ROUND(Source!AR140,O168)</f>
        <v>91483.87</v>
      </c>
      <c r="G168" s="13" t="s">
        <v>184</v>
      </c>
      <c r="H168" s="13" t="s">
        <v>185</v>
      </c>
      <c r="I168" s="13"/>
      <c r="J168" s="13"/>
      <c r="K168" s="13">
        <v>224</v>
      </c>
      <c r="L168" s="13">
        <v>27</v>
      </c>
      <c r="M168" s="13">
        <v>3</v>
      </c>
      <c r="N168" s="13" t="s">
        <v>3</v>
      </c>
      <c r="O168" s="13">
        <v>2</v>
      </c>
      <c r="P168" s="13">
        <f>ROUND(Source!EJ140,O168)</f>
        <v>1417370.9</v>
      </c>
      <c r="Q168" s="13"/>
      <c r="R168" s="13"/>
      <c r="S168" s="13"/>
      <c r="T168" s="13"/>
      <c r="U168" s="13"/>
      <c r="V168" s="13"/>
      <c r="W168" s="13">
        <v>91483.87</v>
      </c>
      <c r="X168" s="13">
        <v>1</v>
      </c>
      <c r="Y168" s="13">
        <v>91483.87</v>
      </c>
      <c r="Z168" s="13">
        <v>1417370.9</v>
      </c>
      <c r="AA168" s="13">
        <v>1</v>
      </c>
      <c r="AB168" s="13">
        <v>1417370.9</v>
      </c>
    </row>
    <row r="170" spans="1:255" x14ac:dyDescent="0.2">
      <c r="A170" s="10">
        <v>4</v>
      </c>
      <c r="B170" s="10">
        <v>1</v>
      </c>
      <c r="C170" s="10"/>
      <c r="D170" s="10">
        <f>ROW(A193)</f>
        <v>193</v>
      </c>
      <c r="E170" s="10"/>
      <c r="F170" s="10" t="s">
        <v>3</v>
      </c>
      <c r="G170" s="10" t="s">
        <v>214</v>
      </c>
      <c r="H170" s="10" t="s">
        <v>3</v>
      </c>
      <c r="I170" s="10">
        <v>0</v>
      </c>
      <c r="J170" s="10"/>
      <c r="K170" s="10">
        <v>-1</v>
      </c>
      <c r="L170" s="10"/>
      <c r="M170" s="10" t="s">
        <v>3</v>
      </c>
      <c r="N170" s="10"/>
      <c r="O170" s="10"/>
      <c r="P170" s="10"/>
      <c r="Q170" s="10"/>
      <c r="R170" s="10"/>
      <c r="S170" s="10">
        <v>0</v>
      </c>
      <c r="T170" s="10">
        <v>0</v>
      </c>
      <c r="U170" s="10" t="s">
        <v>3</v>
      </c>
      <c r="V170" s="10">
        <v>2</v>
      </c>
      <c r="W170" s="10"/>
      <c r="X170" s="10"/>
      <c r="Y170" s="10"/>
      <c r="Z170" s="10"/>
      <c r="AA170" s="10"/>
      <c r="AB170" s="10" t="s">
        <v>3</v>
      </c>
      <c r="AC170" s="10" t="s">
        <v>3</v>
      </c>
      <c r="AD170" s="10" t="s">
        <v>3</v>
      </c>
      <c r="AE170" s="10" t="s">
        <v>3</v>
      </c>
      <c r="AF170" s="10" t="s">
        <v>3</v>
      </c>
      <c r="AG170" s="10" t="s">
        <v>3</v>
      </c>
      <c r="AH170" s="10"/>
      <c r="AI170" s="10"/>
      <c r="AJ170" s="10"/>
      <c r="AK170" s="10"/>
      <c r="AL170" s="10"/>
      <c r="AM170" s="10"/>
      <c r="AN170" s="10"/>
      <c r="AO170" s="10"/>
      <c r="AP170" s="10" t="s">
        <v>3</v>
      </c>
      <c r="AQ170" s="10" t="s">
        <v>3</v>
      </c>
      <c r="AR170" s="10" t="s">
        <v>3</v>
      </c>
      <c r="AS170" s="10"/>
      <c r="AT170" s="10"/>
      <c r="AU170" s="10"/>
      <c r="AV170" s="10"/>
      <c r="AW170" s="10"/>
      <c r="AX170" s="10"/>
      <c r="AY170" s="10"/>
      <c r="AZ170" s="10" t="s">
        <v>3</v>
      </c>
      <c r="BA170" s="10"/>
      <c r="BB170" s="10" t="s">
        <v>3</v>
      </c>
      <c r="BC170" s="10" t="s">
        <v>3</v>
      </c>
      <c r="BD170" s="10" t="s">
        <v>3</v>
      </c>
      <c r="BE170" s="10" t="s">
        <v>3</v>
      </c>
      <c r="BF170" s="10" t="s">
        <v>3</v>
      </c>
      <c r="BG170" s="10" t="s">
        <v>3</v>
      </c>
      <c r="BH170" s="10" t="s">
        <v>3</v>
      </c>
      <c r="BI170" s="10" t="s">
        <v>3</v>
      </c>
      <c r="BJ170" s="10" t="s">
        <v>3</v>
      </c>
      <c r="BK170" s="10" t="s">
        <v>3</v>
      </c>
      <c r="BL170" s="10" t="s">
        <v>3</v>
      </c>
      <c r="BM170" s="10" t="s">
        <v>3</v>
      </c>
      <c r="BN170" s="10" t="s">
        <v>3</v>
      </c>
      <c r="BO170" s="10" t="s">
        <v>3</v>
      </c>
      <c r="BP170" s="10" t="s">
        <v>3</v>
      </c>
      <c r="BQ170" s="10"/>
      <c r="BR170" s="10"/>
      <c r="BS170" s="10"/>
      <c r="BT170" s="10"/>
      <c r="BU170" s="10"/>
      <c r="BV170" s="10"/>
      <c r="BW170" s="10"/>
      <c r="BX170" s="10">
        <v>0</v>
      </c>
      <c r="BY170" s="10"/>
      <c r="BZ170" s="10"/>
      <c r="CA170" s="10"/>
      <c r="CB170" s="10"/>
      <c r="CC170" s="10"/>
      <c r="CD170" s="10"/>
      <c r="CE170" s="10"/>
      <c r="CF170" s="10"/>
      <c r="CG170" s="10"/>
      <c r="CH170" s="10"/>
      <c r="CI170" s="10"/>
      <c r="CJ170" s="10">
        <v>0</v>
      </c>
    </row>
    <row r="172" spans="1:255" x14ac:dyDescent="0.2">
      <c r="A172" s="11">
        <v>52</v>
      </c>
      <c r="B172" s="11">
        <f t="shared" ref="B172:G172" si="131">B193</f>
        <v>1</v>
      </c>
      <c r="C172" s="11">
        <f t="shared" si="131"/>
        <v>4</v>
      </c>
      <c r="D172" s="11">
        <f t="shared" si="131"/>
        <v>170</v>
      </c>
      <c r="E172" s="11">
        <f t="shared" si="131"/>
        <v>0</v>
      </c>
      <c r="F172" s="11" t="str">
        <f t="shared" si="131"/>
        <v/>
      </c>
      <c r="G172" s="11" t="str">
        <f t="shared" si="131"/>
        <v>Кабельные изделия</v>
      </c>
      <c r="H172" s="11"/>
      <c r="I172" s="11"/>
      <c r="J172" s="11"/>
      <c r="K172" s="11"/>
      <c r="L172" s="11"/>
      <c r="M172" s="11"/>
      <c r="N172" s="11"/>
      <c r="O172" s="11">
        <f t="shared" ref="O172:AT172" si="132">O193</f>
        <v>33959.730000000003</v>
      </c>
      <c r="P172" s="11">
        <f t="shared" si="132"/>
        <v>28394.93</v>
      </c>
      <c r="Q172" s="11">
        <f t="shared" si="132"/>
        <v>75.56</v>
      </c>
      <c r="R172" s="11">
        <f t="shared" si="132"/>
        <v>0</v>
      </c>
      <c r="S172" s="11">
        <f t="shared" si="132"/>
        <v>5489.24</v>
      </c>
      <c r="T172" s="11">
        <f t="shared" si="132"/>
        <v>0</v>
      </c>
      <c r="U172" s="11">
        <f t="shared" si="132"/>
        <v>461.96069040000009</v>
      </c>
      <c r="V172" s="11">
        <f t="shared" si="132"/>
        <v>0</v>
      </c>
      <c r="W172" s="11">
        <f t="shared" si="132"/>
        <v>0</v>
      </c>
      <c r="X172" s="11">
        <f t="shared" si="132"/>
        <v>4940.3100000000004</v>
      </c>
      <c r="Y172" s="11">
        <f t="shared" si="132"/>
        <v>2525.0500000000002</v>
      </c>
      <c r="Z172" s="11">
        <f t="shared" si="132"/>
        <v>0</v>
      </c>
      <c r="AA172" s="11">
        <f t="shared" si="132"/>
        <v>0</v>
      </c>
      <c r="AB172" s="11">
        <f t="shared" si="132"/>
        <v>33959.730000000003</v>
      </c>
      <c r="AC172" s="11">
        <f t="shared" si="132"/>
        <v>28394.93</v>
      </c>
      <c r="AD172" s="11">
        <f t="shared" si="132"/>
        <v>75.56</v>
      </c>
      <c r="AE172" s="11">
        <f t="shared" si="132"/>
        <v>0</v>
      </c>
      <c r="AF172" s="11">
        <f t="shared" si="132"/>
        <v>5489.24</v>
      </c>
      <c r="AG172" s="11">
        <f t="shared" si="132"/>
        <v>0</v>
      </c>
      <c r="AH172" s="11">
        <f t="shared" si="132"/>
        <v>461.96069040000009</v>
      </c>
      <c r="AI172" s="11">
        <f t="shared" si="132"/>
        <v>0</v>
      </c>
      <c r="AJ172" s="11">
        <f t="shared" si="132"/>
        <v>0</v>
      </c>
      <c r="AK172" s="11">
        <f t="shared" si="132"/>
        <v>4940.3100000000004</v>
      </c>
      <c r="AL172" s="11">
        <f t="shared" si="132"/>
        <v>2525.0500000000002</v>
      </c>
      <c r="AM172" s="11">
        <f t="shared" si="132"/>
        <v>0</v>
      </c>
      <c r="AN172" s="11">
        <f t="shared" si="132"/>
        <v>0</v>
      </c>
      <c r="AO172" s="11">
        <f t="shared" si="132"/>
        <v>0</v>
      </c>
      <c r="AP172" s="11">
        <f t="shared" si="132"/>
        <v>0</v>
      </c>
      <c r="AQ172" s="11">
        <f t="shared" si="132"/>
        <v>0</v>
      </c>
      <c r="AR172" s="11">
        <f t="shared" si="132"/>
        <v>41425.089999999997</v>
      </c>
      <c r="AS172" s="11">
        <f t="shared" si="132"/>
        <v>0</v>
      </c>
      <c r="AT172" s="11">
        <f t="shared" si="132"/>
        <v>41425.089999999997</v>
      </c>
      <c r="AU172" s="11">
        <f t="shared" ref="AU172:BZ172" si="133">AU193</f>
        <v>0</v>
      </c>
      <c r="AV172" s="11">
        <f t="shared" si="133"/>
        <v>28394.93</v>
      </c>
      <c r="AW172" s="11">
        <f t="shared" si="133"/>
        <v>28394.93</v>
      </c>
      <c r="AX172" s="11">
        <f t="shared" si="133"/>
        <v>0</v>
      </c>
      <c r="AY172" s="11">
        <f t="shared" si="133"/>
        <v>28394.93</v>
      </c>
      <c r="AZ172" s="11">
        <f t="shared" si="133"/>
        <v>0</v>
      </c>
      <c r="BA172" s="11">
        <f t="shared" si="133"/>
        <v>0</v>
      </c>
      <c r="BB172" s="11">
        <f t="shared" si="133"/>
        <v>0</v>
      </c>
      <c r="BC172" s="11">
        <f t="shared" si="133"/>
        <v>0</v>
      </c>
      <c r="BD172" s="11">
        <f t="shared" si="133"/>
        <v>0</v>
      </c>
      <c r="BE172" s="11">
        <f t="shared" si="133"/>
        <v>0</v>
      </c>
      <c r="BF172" s="11">
        <f t="shared" si="133"/>
        <v>0</v>
      </c>
      <c r="BG172" s="11">
        <f t="shared" si="133"/>
        <v>0</v>
      </c>
      <c r="BH172" s="11">
        <f t="shared" si="133"/>
        <v>0</v>
      </c>
      <c r="BI172" s="11">
        <f t="shared" si="133"/>
        <v>0</v>
      </c>
      <c r="BJ172" s="11">
        <f t="shared" si="133"/>
        <v>0</v>
      </c>
      <c r="BK172" s="11">
        <f t="shared" si="133"/>
        <v>0</v>
      </c>
      <c r="BL172" s="11">
        <f t="shared" si="133"/>
        <v>0</v>
      </c>
      <c r="BM172" s="11">
        <f t="shared" si="133"/>
        <v>0</v>
      </c>
      <c r="BN172" s="11">
        <f t="shared" si="133"/>
        <v>0</v>
      </c>
      <c r="BO172" s="11">
        <f t="shared" si="133"/>
        <v>0</v>
      </c>
      <c r="BP172" s="11">
        <f t="shared" si="133"/>
        <v>0</v>
      </c>
      <c r="BQ172" s="11">
        <f t="shared" si="133"/>
        <v>0</v>
      </c>
      <c r="BR172" s="11">
        <f t="shared" si="133"/>
        <v>0</v>
      </c>
      <c r="BS172" s="11">
        <f t="shared" si="133"/>
        <v>0</v>
      </c>
      <c r="BT172" s="11">
        <f t="shared" si="133"/>
        <v>0</v>
      </c>
      <c r="BU172" s="11">
        <f t="shared" si="133"/>
        <v>0</v>
      </c>
      <c r="BV172" s="11">
        <f t="shared" si="133"/>
        <v>0</v>
      </c>
      <c r="BW172" s="11">
        <f t="shared" si="133"/>
        <v>0</v>
      </c>
      <c r="BX172" s="11">
        <f t="shared" si="133"/>
        <v>0</v>
      </c>
      <c r="BY172" s="11">
        <f t="shared" si="133"/>
        <v>0</v>
      </c>
      <c r="BZ172" s="11">
        <f t="shared" si="133"/>
        <v>0</v>
      </c>
      <c r="CA172" s="11">
        <f t="shared" ref="CA172:DF172" si="134">CA193</f>
        <v>41425.089999999997</v>
      </c>
      <c r="CB172" s="11">
        <f t="shared" si="134"/>
        <v>0</v>
      </c>
      <c r="CC172" s="11">
        <f t="shared" si="134"/>
        <v>41425.089999999997</v>
      </c>
      <c r="CD172" s="11">
        <f t="shared" si="134"/>
        <v>0</v>
      </c>
      <c r="CE172" s="11">
        <f t="shared" si="134"/>
        <v>28394.93</v>
      </c>
      <c r="CF172" s="11">
        <f t="shared" si="134"/>
        <v>28394.93</v>
      </c>
      <c r="CG172" s="11">
        <f t="shared" si="134"/>
        <v>0</v>
      </c>
      <c r="CH172" s="11">
        <f t="shared" si="134"/>
        <v>28394.93</v>
      </c>
      <c r="CI172" s="11">
        <f t="shared" si="134"/>
        <v>0</v>
      </c>
      <c r="CJ172" s="11">
        <f t="shared" si="134"/>
        <v>0</v>
      </c>
      <c r="CK172" s="11">
        <f t="shared" si="134"/>
        <v>0</v>
      </c>
      <c r="CL172" s="11">
        <f t="shared" si="134"/>
        <v>0</v>
      </c>
      <c r="CM172" s="11">
        <f t="shared" si="134"/>
        <v>0</v>
      </c>
      <c r="CN172" s="11">
        <f t="shared" si="134"/>
        <v>0</v>
      </c>
      <c r="CO172" s="11">
        <f t="shared" si="134"/>
        <v>0</v>
      </c>
      <c r="CP172" s="11">
        <f t="shared" si="134"/>
        <v>0</v>
      </c>
      <c r="CQ172" s="11">
        <f t="shared" si="134"/>
        <v>0</v>
      </c>
      <c r="CR172" s="11">
        <f t="shared" si="134"/>
        <v>0</v>
      </c>
      <c r="CS172" s="11">
        <f t="shared" si="134"/>
        <v>0</v>
      </c>
      <c r="CT172" s="11">
        <f t="shared" si="134"/>
        <v>0</v>
      </c>
      <c r="CU172" s="11">
        <f t="shared" si="134"/>
        <v>0</v>
      </c>
      <c r="CV172" s="11">
        <f t="shared" si="134"/>
        <v>0</v>
      </c>
      <c r="CW172" s="11">
        <f t="shared" si="134"/>
        <v>0</v>
      </c>
      <c r="CX172" s="11">
        <f t="shared" si="134"/>
        <v>0</v>
      </c>
      <c r="CY172" s="11">
        <f t="shared" si="134"/>
        <v>0</v>
      </c>
      <c r="CZ172" s="11">
        <f t="shared" si="134"/>
        <v>0</v>
      </c>
      <c r="DA172" s="11">
        <f t="shared" si="134"/>
        <v>0</v>
      </c>
      <c r="DB172" s="11">
        <f t="shared" si="134"/>
        <v>0</v>
      </c>
      <c r="DC172" s="11">
        <f t="shared" si="134"/>
        <v>0</v>
      </c>
      <c r="DD172" s="11">
        <f t="shared" si="134"/>
        <v>0</v>
      </c>
      <c r="DE172" s="11">
        <f t="shared" si="134"/>
        <v>0</v>
      </c>
      <c r="DF172" s="11">
        <f t="shared" si="134"/>
        <v>0</v>
      </c>
      <c r="DG172" s="12">
        <f t="shared" ref="DG172:EL172" si="135">DG193</f>
        <v>539726.17000000004</v>
      </c>
      <c r="DH172" s="12">
        <f t="shared" si="135"/>
        <v>237213.98</v>
      </c>
      <c r="DI172" s="12">
        <f t="shared" si="135"/>
        <v>658.88</v>
      </c>
      <c r="DJ172" s="12">
        <f t="shared" si="135"/>
        <v>0</v>
      </c>
      <c r="DK172" s="12">
        <f t="shared" si="135"/>
        <v>301853.31</v>
      </c>
      <c r="DL172" s="12">
        <f t="shared" si="135"/>
        <v>0</v>
      </c>
      <c r="DM172" s="12">
        <f t="shared" si="135"/>
        <v>461.96069040000009</v>
      </c>
      <c r="DN172" s="12">
        <f t="shared" si="135"/>
        <v>0</v>
      </c>
      <c r="DO172" s="12">
        <f t="shared" si="135"/>
        <v>0</v>
      </c>
      <c r="DP172" s="12">
        <f t="shared" si="135"/>
        <v>271667.98</v>
      </c>
      <c r="DQ172" s="12">
        <f t="shared" si="135"/>
        <v>138852.51999999999</v>
      </c>
      <c r="DR172" s="12">
        <f t="shared" si="135"/>
        <v>0</v>
      </c>
      <c r="DS172" s="12">
        <f t="shared" si="135"/>
        <v>0</v>
      </c>
      <c r="DT172" s="12">
        <f t="shared" si="135"/>
        <v>539726.17000000004</v>
      </c>
      <c r="DU172" s="12">
        <f t="shared" si="135"/>
        <v>237213.98</v>
      </c>
      <c r="DV172" s="12">
        <f t="shared" si="135"/>
        <v>658.88</v>
      </c>
      <c r="DW172" s="12">
        <f t="shared" si="135"/>
        <v>0</v>
      </c>
      <c r="DX172" s="12">
        <f t="shared" si="135"/>
        <v>301853.31</v>
      </c>
      <c r="DY172" s="12">
        <f t="shared" si="135"/>
        <v>0</v>
      </c>
      <c r="DZ172" s="12">
        <f t="shared" si="135"/>
        <v>461.96069040000009</v>
      </c>
      <c r="EA172" s="12">
        <f t="shared" si="135"/>
        <v>0</v>
      </c>
      <c r="EB172" s="12">
        <f t="shared" si="135"/>
        <v>0</v>
      </c>
      <c r="EC172" s="12">
        <f t="shared" si="135"/>
        <v>271667.98</v>
      </c>
      <c r="ED172" s="12">
        <f t="shared" si="135"/>
        <v>138852.51999999999</v>
      </c>
      <c r="EE172" s="12">
        <f t="shared" si="135"/>
        <v>0</v>
      </c>
      <c r="EF172" s="12">
        <f t="shared" si="135"/>
        <v>0</v>
      </c>
      <c r="EG172" s="12">
        <f t="shared" si="135"/>
        <v>0</v>
      </c>
      <c r="EH172" s="12">
        <f t="shared" si="135"/>
        <v>0</v>
      </c>
      <c r="EI172" s="12">
        <f t="shared" si="135"/>
        <v>0</v>
      </c>
      <c r="EJ172" s="12">
        <f t="shared" si="135"/>
        <v>950246.67</v>
      </c>
      <c r="EK172" s="12">
        <f t="shared" si="135"/>
        <v>0</v>
      </c>
      <c r="EL172" s="12">
        <f t="shared" si="135"/>
        <v>950246.67</v>
      </c>
      <c r="EM172" s="12">
        <f t="shared" ref="EM172:FR172" si="136">EM193</f>
        <v>0</v>
      </c>
      <c r="EN172" s="12">
        <f t="shared" si="136"/>
        <v>237213.98</v>
      </c>
      <c r="EO172" s="12">
        <f t="shared" si="136"/>
        <v>237213.98</v>
      </c>
      <c r="EP172" s="12">
        <f t="shared" si="136"/>
        <v>0</v>
      </c>
      <c r="EQ172" s="12">
        <f t="shared" si="136"/>
        <v>237213.98</v>
      </c>
      <c r="ER172" s="12">
        <f t="shared" si="136"/>
        <v>0</v>
      </c>
      <c r="ES172" s="12">
        <f t="shared" si="136"/>
        <v>0</v>
      </c>
      <c r="ET172" s="12">
        <f t="shared" si="136"/>
        <v>0</v>
      </c>
      <c r="EU172" s="12">
        <f t="shared" si="136"/>
        <v>0</v>
      </c>
      <c r="EV172" s="12">
        <f t="shared" si="136"/>
        <v>0</v>
      </c>
      <c r="EW172" s="12">
        <f t="shared" si="136"/>
        <v>0</v>
      </c>
      <c r="EX172" s="12">
        <f t="shared" si="136"/>
        <v>0</v>
      </c>
      <c r="EY172" s="12">
        <f t="shared" si="136"/>
        <v>0</v>
      </c>
      <c r="EZ172" s="12">
        <f t="shared" si="136"/>
        <v>0</v>
      </c>
      <c r="FA172" s="12">
        <f t="shared" si="136"/>
        <v>0</v>
      </c>
      <c r="FB172" s="12">
        <f t="shared" si="136"/>
        <v>0</v>
      </c>
      <c r="FC172" s="12">
        <f t="shared" si="136"/>
        <v>0</v>
      </c>
      <c r="FD172" s="12">
        <f t="shared" si="136"/>
        <v>0</v>
      </c>
      <c r="FE172" s="12">
        <f t="shared" si="136"/>
        <v>0</v>
      </c>
      <c r="FF172" s="12">
        <f t="shared" si="136"/>
        <v>0</v>
      </c>
      <c r="FG172" s="12">
        <f t="shared" si="136"/>
        <v>0</v>
      </c>
      <c r="FH172" s="12">
        <f t="shared" si="136"/>
        <v>0</v>
      </c>
      <c r="FI172" s="12">
        <f t="shared" si="136"/>
        <v>0</v>
      </c>
      <c r="FJ172" s="12">
        <f t="shared" si="136"/>
        <v>0</v>
      </c>
      <c r="FK172" s="12">
        <f t="shared" si="136"/>
        <v>0</v>
      </c>
      <c r="FL172" s="12">
        <f t="shared" si="136"/>
        <v>0</v>
      </c>
      <c r="FM172" s="12">
        <f t="shared" si="136"/>
        <v>0</v>
      </c>
      <c r="FN172" s="12">
        <f t="shared" si="136"/>
        <v>0</v>
      </c>
      <c r="FO172" s="12">
        <f t="shared" si="136"/>
        <v>0</v>
      </c>
      <c r="FP172" s="12">
        <f t="shared" si="136"/>
        <v>0</v>
      </c>
      <c r="FQ172" s="12">
        <f t="shared" si="136"/>
        <v>0</v>
      </c>
      <c r="FR172" s="12">
        <f t="shared" si="136"/>
        <v>0</v>
      </c>
      <c r="FS172" s="12">
        <f t="shared" ref="FS172:GX172" si="137">FS193</f>
        <v>950246.67</v>
      </c>
      <c r="FT172" s="12">
        <f t="shared" si="137"/>
        <v>0</v>
      </c>
      <c r="FU172" s="12">
        <f t="shared" si="137"/>
        <v>950246.67</v>
      </c>
      <c r="FV172" s="12">
        <f t="shared" si="137"/>
        <v>0</v>
      </c>
      <c r="FW172" s="12">
        <f t="shared" si="137"/>
        <v>237213.98</v>
      </c>
      <c r="FX172" s="12">
        <f t="shared" si="137"/>
        <v>237213.98</v>
      </c>
      <c r="FY172" s="12">
        <f t="shared" si="137"/>
        <v>0</v>
      </c>
      <c r="FZ172" s="12">
        <f t="shared" si="137"/>
        <v>237213.98</v>
      </c>
      <c r="GA172" s="12">
        <f t="shared" si="137"/>
        <v>0</v>
      </c>
      <c r="GB172" s="12">
        <f t="shared" si="137"/>
        <v>0</v>
      </c>
      <c r="GC172" s="12">
        <f t="shared" si="137"/>
        <v>0</v>
      </c>
      <c r="GD172" s="12">
        <f t="shared" si="137"/>
        <v>0</v>
      </c>
      <c r="GE172" s="12">
        <f t="shared" si="137"/>
        <v>0</v>
      </c>
      <c r="GF172" s="12">
        <f t="shared" si="137"/>
        <v>0</v>
      </c>
      <c r="GG172" s="12">
        <f t="shared" si="137"/>
        <v>0</v>
      </c>
      <c r="GH172" s="12">
        <f t="shared" si="137"/>
        <v>0</v>
      </c>
      <c r="GI172" s="12">
        <f t="shared" si="137"/>
        <v>0</v>
      </c>
      <c r="GJ172" s="12">
        <f t="shared" si="137"/>
        <v>0</v>
      </c>
      <c r="GK172" s="12">
        <f t="shared" si="137"/>
        <v>0</v>
      </c>
      <c r="GL172" s="12">
        <f t="shared" si="137"/>
        <v>0</v>
      </c>
      <c r="GM172" s="12">
        <f t="shared" si="137"/>
        <v>0</v>
      </c>
      <c r="GN172" s="12">
        <f t="shared" si="137"/>
        <v>0</v>
      </c>
      <c r="GO172" s="12">
        <f t="shared" si="137"/>
        <v>0</v>
      </c>
      <c r="GP172" s="12">
        <f t="shared" si="137"/>
        <v>0</v>
      </c>
      <c r="GQ172" s="12">
        <f t="shared" si="137"/>
        <v>0</v>
      </c>
      <c r="GR172" s="12">
        <f t="shared" si="137"/>
        <v>0</v>
      </c>
      <c r="GS172" s="12">
        <f t="shared" si="137"/>
        <v>0</v>
      </c>
      <c r="GT172" s="12">
        <f t="shared" si="137"/>
        <v>0</v>
      </c>
      <c r="GU172" s="12">
        <f t="shared" si="137"/>
        <v>0</v>
      </c>
      <c r="GV172" s="12">
        <f t="shared" si="137"/>
        <v>0</v>
      </c>
      <c r="GW172" s="12">
        <f t="shared" si="137"/>
        <v>0</v>
      </c>
      <c r="GX172" s="12">
        <f t="shared" si="137"/>
        <v>0</v>
      </c>
    </row>
    <row r="174" spans="1:255" x14ac:dyDescent="0.2">
      <c r="A174" s="2">
        <v>17</v>
      </c>
      <c r="B174" s="2">
        <v>1</v>
      </c>
      <c r="C174" s="2">
        <f>ROW(SmtRes!A101)</f>
        <v>101</v>
      </c>
      <c r="D174" s="2">
        <f>ROW(EtalonRes!A130)</f>
        <v>130</v>
      </c>
      <c r="E174" s="2" t="s">
        <v>215</v>
      </c>
      <c r="F174" s="2" t="s">
        <v>216</v>
      </c>
      <c r="G174" s="2" t="s">
        <v>217</v>
      </c>
      <c r="H174" s="2" t="s">
        <v>218</v>
      </c>
      <c r="I174" s="2">
        <f>ROUND(1600/100,9)</f>
        <v>16</v>
      </c>
      <c r="J174" s="2">
        <v>0</v>
      </c>
      <c r="K174" s="2">
        <f>ROUND(1600/100,9)</f>
        <v>16</v>
      </c>
      <c r="L174" s="2"/>
      <c r="M174" s="2"/>
      <c r="N174" s="2"/>
      <c r="O174" s="2">
        <f t="shared" ref="O174:O191" si="138">ROUND(CP174,2)</f>
        <v>5806.82</v>
      </c>
      <c r="P174" s="2">
        <f t="shared" ref="P174:P191" si="139">ROUND((ROUND((AC174*AW174*I174),2)*BC174),2)</f>
        <v>310.72000000000003</v>
      </c>
      <c r="Q174" s="2">
        <f>(ROUND((ROUND((((ET174*1.1))*AV174*I174),2)*BB174),2)+ROUND((ROUND(((AE174-((EU174*1.1)))*AV174*I174),2)*BS174),2))</f>
        <v>74.63</v>
      </c>
      <c r="R174" s="2">
        <f>(ROUND((ROUND((((EU174*1.1))*AV174*I174),2)*BS174),2)+ROUND((ROUND(((AE174-((EU174*1.1)))*AV174*I174),2)*BS174),2))</f>
        <v>0</v>
      </c>
      <c r="S174" s="2">
        <f t="shared" ref="S174:S191" si="140">ROUND((ROUND((AF174*AV174*I174),2)*BA174),2)</f>
        <v>5421.47</v>
      </c>
      <c r="T174" s="2">
        <f t="shared" ref="T174:T191" si="141">ROUND(CU174*I174,2)</f>
        <v>0</v>
      </c>
      <c r="U174" s="2">
        <f t="shared" ref="U174:U191" si="142">CV174*I174</f>
        <v>456.25747200000006</v>
      </c>
      <c r="V174" s="2">
        <f t="shared" ref="V174:V191" si="143">CW174*I174</f>
        <v>0</v>
      </c>
      <c r="W174" s="2">
        <f t="shared" ref="W174:W191" si="144">ROUND(CX174*I174,2)</f>
        <v>0</v>
      </c>
      <c r="X174" s="2">
        <f>(ROUND((((S174+ROUND((ROUND((((EU174*1.1))*AV174*I174),2)*BS174),2))*AT174)/100),2)+ROUND(((ROUND((ROUND(((AE174-((EU174*1.1)))*AV174*I174),2)*BS174),2)*AT174)/100),2))</f>
        <v>4879.32</v>
      </c>
      <c r="Y174" s="2">
        <f>(ROUND((((S174+ROUND((ROUND((((EU174*1.1))*AV174*I174),2)*BS174),2))*AU174)/100),2)+ROUND(((ROUND((ROUND(((AE174-((EU174*1.1)))*AV174*I174),2)*BS174),2)*AU174)/100),2))</f>
        <v>2493.88</v>
      </c>
      <c r="Z174" s="2"/>
      <c r="AA174" s="2">
        <v>60256405</v>
      </c>
      <c r="AB174" s="2">
        <f t="shared" ref="AB174:AB191" si="145">ROUND((AC174+AD174+AF174),6)</f>
        <v>347.50599999999997</v>
      </c>
      <c r="AC174" s="2">
        <f>ROUND(((ES174*1)),6)</f>
        <v>19.420000000000002</v>
      </c>
      <c r="AD174" s="2">
        <f>ROUND(((((ET174*1.1))-((EU174*1.1)))+AE174),6)</f>
        <v>4.4550000000000001</v>
      </c>
      <c r="AE174" s="2">
        <f>ROUND(((EU174*1.1)),6)</f>
        <v>0</v>
      </c>
      <c r="AF174" s="2">
        <f>ROUND(((EV174*1.1)),6)</f>
        <v>323.63099999999997</v>
      </c>
      <c r="AG174" s="2">
        <f t="shared" ref="AG174:AG191" si="146">ROUND((AP174),6)</f>
        <v>0</v>
      </c>
      <c r="AH174" s="2">
        <f>((EW174*1.1))</f>
        <v>27.236000000000004</v>
      </c>
      <c r="AI174" s="2">
        <f>((EX174*1.1))</f>
        <v>0</v>
      </c>
      <c r="AJ174" s="2">
        <f t="shared" ref="AJ174:AJ191" si="147">(AS174)</f>
        <v>0</v>
      </c>
      <c r="AK174" s="2">
        <v>317.68</v>
      </c>
      <c r="AL174" s="2">
        <v>19.420000000000002</v>
      </c>
      <c r="AM174" s="2">
        <v>4.05</v>
      </c>
      <c r="AN174" s="2">
        <v>0</v>
      </c>
      <c r="AO174" s="2">
        <v>294.20999999999998</v>
      </c>
      <c r="AP174" s="2">
        <v>0</v>
      </c>
      <c r="AQ174" s="2">
        <v>24.76</v>
      </c>
      <c r="AR174" s="2">
        <v>0</v>
      </c>
      <c r="AS174" s="2">
        <v>0</v>
      </c>
      <c r="AT174" s="2">
        <v>90</v>
      </c>
      <c r="AU174" s="2">
        <v>46</v>
      </c>
      <c r="AV174" s="2">
        <v>1.0469999999999999</v>
      </c>
      <c r="AW174" s="2">
        <v>1</v>
      </c>
      <c r="AX174" s="2"/>
      <c r="AY174" s="2"/>
      <c r="AZ174" s="2">
        <v>1</v>
      </c>
      <c r="BA174" s="2">
        <v>1</v>
      </c>
      <c r="BB174" s="2">
        <v>1</v>
      </c>
      <c r="BC174" s="2">
        <v>1</v>
      </c>
      <c r="BD174" s="2" t="s">
        <v>3</v>
      </c>
      <c r="BE174" s="2" t="s">
        <v>3</v>
      </c>
      <c r="BF174" s="2" t="s">
        <v>3</v>
      </c>
      <c r="BG174" s="2" t="s">
        <v>3</v>
      </c>
      <c r="BH174" s="2">
        <v>0</v>
      </c>
      <c r="BI174" s="2">
        <v>2</v>
      </c>
      <c r="BJ174" s="2" t="s">
        <v>219</v>
      </c>
      <c r="BK174" s="2"/>
      <c r="BL174" s="2"/>
      <c r="BM174" s="2">
        <v>68</v>
      </c>
      <c r="BN174" s="2">
        <v>58973116</v>
      </c>
      <c r="BO174" s="2" t="s">
        <v>216</v>
      </c>
      <c r="BP174" s="2">
        <v>1</v>
      </c>
      <c r="BQ174" s="2">
        <v>40</v>
      </c>
      <c r="BR174" s="2">
        <v>0</v>
      </c>
      <c r="BS174" s="2">
        <v>1</v>
      </c>
      <c r="BT174" s="2">
        <v>1</v>
      </c>
      <c r="BU174" s="2">
        <v>1</v>
      </c>
      <c r="BV174" s="2">
        <v>1</v>
      </c>
      <c r="BW174" s="2">
        <v>1</v>
      </c>
      <c r="BX174" s="2">
        <v>1</v>
      </c>
      <c r="BY174" s="2" t="s">
        <v>3</v>
      </c>
      <c r="BZ174" s="2">
        <v>90</v>
      </c>
      <c r="CA174" s="2">
        <v>46</v>
      </c>
      <c r="CB174" s="2" t="s">
        <v>3</v>
      </c>
      <c r="CC174" s="2"/>
      <c r="CD174" s="2"/>
      <c r="CE174" s="2">
        <v>1566</v>
      </c>
      <c r="CF174" s="2">
        <v>0</v>
      </c>
      <c r="CG174" s="2">
        <v>0</v>
      </c>
      <c r="CH174" s="2"/>
      <c r="CI174" s="2"/>
      <c r="CJ174" s="2"/>
      <c r="CK174" s="2"/>
      <c r="CL174" s="2"/>
      <c r="CM174" s="2">
        <v>0</v>
      </c>
      <c r="CN174" s="2" t="s">
        <v>369</v>
      </c>
      <c r="CO174" s="2">
        <v>0</v>
      </c>
      <c r="CP174" s="2">
        <f t="shared" ref="CP174:CP191" si="148">(P174+Q174+S174)</f>
        <v>5806.8200000000006</v>
      </c>
      <c r="CQ174" s="2">
        <f t="shared" ref="CQ174:CQ191" si="149">ROUND((ROUND((AC174*AW174*1),2)*BC174),2)</f>
        <v>19.420000000000002</v>
      </c>
      <c r="CR174" s="2">
        <f>(ROUND((ROUND((((ET174*1.1))*AV174*1),2)*BB174),2)+ROUND((ROUND(((AE174-((EU174*1.1)))*AV174*1),2)*BS174),2))</f>
        <v>4.66</v>
      </c>
      <c r="CS174" s="2">
        <f>(ROUND((ROUND((((EU174*1.1))*AV174*1),2)*BS174),2)+ROUND((ROUND(((AE174-((EU174*1.1)))*AV174*1),2)*BS174),2))</f>
        <v>0</v>
      </c>
      <c r="CT174" s="2">
        <f t="shared" ref="CT174:CT191" si="150">ROUND((ROUND((AF174*AV174*1),2)*BA174),2)</f>
        <v>338.84</v>
      </c>
      <c r="CU174" s="2">
        <f t="shared" ref="CU174:CU191" si="151">AG174</f>
        <v>0</v>
      </c>
      <c r="CV174" s="2">
        <f t="shared" ref="CV174:CV191" si="152">(AH174*AV174)</f>
        <v>28.516092000000004</v>
      </c>
      <c r="CW174" s="2">
        <f t="shared" ref="CW174:CW191" si="153">AI174</f>
        <v>0</v>
      </c>
      <c r="CX174" s="2">
        <f t="shared" ref="CX174:CX191" si="154">AJ174</f>
        <v>0</v>
      </c>
      <c r="CY174" s="2">
        <f>(ROUND((((S174+ROUND((ROUND((((EU174*1.1))*AV174*1),2)*BS174),2))*AT174)/100),2)+ROUND(((ROUND((ROUND(((AE174-((EU174*1.1)))*AV174*1),2)*BS174),2)*AT174)/100),2))</f>
        <v>4879.32</v>
      </c>
      <c r="CZ174" s="2">
        <f>(ROUND((((S174+ROUND((ROUND((((EU174*1.1))*AV174*1),2)*BS174),2))*AU174)/100),2)+ROUND(((ROUND((ROUND(((AE174-((EU174*1.1)))*AV174*1),2)*BS174),2)*AU174)/100),2))</f>
        <v>2493.88</v>
      </c>
      <c r="DA174" s="2"/>
      <c r="DB174" s="2">
        <v>31</v>
      </c>
      <c r="DC174" s="2" t="s">
        <v>3</v>
      </c>
      <c r="DD174" s="2" t="s">
        <v>24</v>
      </c>
      <c r="DE174" s="2" t="s">
        <v>25</v>
      </c>
      <c r="DF174" s="2" t="s">
        <v>25</v>
      </c>
      <c r="DG174" s="2" t="s">
        <v>25</v>
      </c>
      <c r="DH174" s="2" t="s">
        <v>3</v>
      </c>
      <c r="DI174" s="2" t="s">
        <v>25</v>
      </c>
      <c r="DJ174" s="2" t="s">
        <v>25</v>
      </c>
      <c r="DK174" s="2" t="s">
        <v>3</v>
      </c>
      <c r="DL174" s="2" t="s">
        <v>3</v>
      </c>
      <c r="DM174" s="2" t="s">
        <v>3</v>
      </c>
      <c r="DN174" s="2">
        <v>0</v>
      </c>
      <c r="DO174" s="2">
        <v>0</v>
      </c>
      <c r="DP174" s="2">
        <v>1</v>
      </c>
      <c r="DQ174" s="2">
        <v>1</v>
      </c>
      <c r="DR174" s="2"/>
      <c r="DS174" s="2"/>
      <c r="DT174" s="2"/>
      <c r="DU174" s="2">
        <v>1003</v>
      </c>
      <c r="DV174" s="2" t="s">
        <v>218</v>
      </c>
      <c r="DW174" s="2" t="s">
        <v>218</v>
      </c>
      <c r="DX174" s="2">
        <v>100</v>
      </c>
      <c r="DY174" s="2"/>
      <c r="DZ174" s="2" t="s">
        <v>3</v>
      </c>
      <c r="EA174" s="2" t="s">
        <v>3</v>
      </c>
      <c r="EB174" s="2" t="s">
        <v>3</v>
      </c>
      <c r="EC174" s="2" t="s">
        <v>3</v>
      </c>
      <c r="ED174" s="2"/>
      <c r="EE174" s="2">
        <v>60088532</v>
      </c>
      <c r="EF174" s="2">
        <v>40</v>
      </c>
      <c r="EG174" s="2" t="s">
        <v>26</v>
      </c>
      <c r="EH174" s="2">
        <v>0</v>
      </c>
      <c r="EI174" s="2" t="s">
        <v>3</v>
      </c>
      <c r="EJ174" s="2">
        <v>2</v>
      </c>
      <c r="EK174" s="2">
        <v>68</v>
      </c>
      <c r="EL174" s="2" t="s">
        <v>27</v>
      </c>
      <c r="EM174" s="2" t="s">
        <v>28</v>
      </c>
      <c r="EN174" s="2"/>
      <c r="EO174" s="2" t="s">
        <v>29</v>
      </c>
      <c r="EP174" s="2"/>
      <c r="EQ174" s="2">
        <v>0</v>
      </c>
      <c r="ER174" s="2">
        <v>317.68</v>
      </c>
      <c r="ES174" s="2">
        <v>19.420000000000002</v>
      </c>
      <c r="ET174" s="2">
        <v>4.05</v>
      </c>
      <c r="EU174" s="2">
        <v>0</v>
      </c>
      <c r="EV174" s="2">
        <v>294.20999999999998</v>
      </c>
      <c r="EW174" s="2">
        <v>24.76</v>
      </c>
      <c r="EX174" s="2">
        <v>0</v>
      </c>
      <c r="EY174" s="2">
        <v>0</v>
      </c>
      <c r="EZ174" s="2"/>
      <c r="FA174" s="2"/>
      <c r="FB174" s="2"/>
      <c r="FC174" s="2"/>
      <c r="FD174" s="2"/>
      <c r="FE174" s="2"/>
      <c r="FF174" s="2"/>
      <c r="FG174" s="2"/>
      <c r="FH174" s="2"/>
      <c r="FI174" s="2"/>
      <c r="FJ174" s="2"/>
      <c r="FK174" s="2"/>
      <c r="FL174" s="2"/>
      <c r="FM174" s="2"/>
      <c r="FN174" s="2"/>
      <c r="FO174" s="2"/>
      <c r="FP174" s="2"/>
      <c r="FQ174" s="2">
        <v>0</v>
      </c>
      <c r="FR174" s="2">
        <v>0</v>
      </c>
      <c r="FS174" s="2">
        <v>0</v>
      </c>
      <c r="FT174" s="2"/>
      <c r="FU174" s="2"/>
      <c r="FV174" s="2"/>
      <c r="FW174" s="2"/>
      <c r="FX174" s="2">
        <v>90</v>
      </c>
      <c r="FY174" s="2">
        <v>46</v>
      </c>
      <c r="FZ174" s="2"/>
      <c r="GA174" s="2" t="s">
        <v>3</v>
      </c>
      <c r="GB174" s="2"/>
      <c r="GC174" s="2"/>
      <c r="GD174" s="2">
        <v>1</v>
      </c>
      <c r="GE174" s="2"/>
      <c r="GF174" s="2">
        <v>-670664398</v>
      </c>
      <c r="GG174" s="2">
        <v>2</v>
      </c>
      <c r="GH174" s="2">
        <v>1</v>
      </c>
      <c r="GI174" s="2">
        <v>2</v>
      </c>
      <c r="GJ174" s="2">
        <v>0</v>
      </c>
      <c r="GK174" s="2">
        <v>0</v>
      </c>
      <c r="GL174" s="2">
        <f t="shared" ref="GL174:GL191" si="155">ROUND(IF(AND(BH174=3,BI174=3,FS174&lt;&gt;0),P174,0),2)</f>
        <v>0</v>
      </c>
      <c r="GM174" s="2">
        <f t="shared" ref="GM174:GM191" si="156">ROUND(O174+X174+Y174,2)+GX174</f>
        <v>13180.02</v>
      </c>
      <c r="GN174" s="2">
        <f t="shared" ref="GN174:GN191" si="157">IF(OR(BI174=0,BI174=1),GM174-GX174,0)</f>
        <v>0</v>
      </c>
      <c r="GO174" s="2">
        <f t="shared" ref="GO174:GO191" si="158">IF(BI174=2,GM174-GX174,0)</f>
        <v>13180.02</v>
      </c>
      <c r="GP174" s="2">
        <f t="shared" ref="GP174:GP191" si="159">IF(BI174=4,GM174-GX174,0)</f>
        <v>0</v>
      </c>
      <c r="GQ174" s="2"/>
      <c r="GR174" s="2">
        <v>0</v>
      </c>
      <c r="GS174" s="2">
        <v>3</v>
      </c>
      <c r="GT174" s="2">
        <v>0</v>
      </c>
      <c r="GU174" s="2" t="s">
        <v>3</v>
      </c>
      <c r="GV174" s="2">
        <f t="shared" ref="GV174:GV191" si="160">ROUND((GT174),6)</f>
        <v>0</v>
      </c>
      <c r="GW174" s="2">
        <v>1</v>
      </c>
      <c r="GX174" s="2">
        <f t="shared" ref="GX174:GX191" si="161">ROUND(HC174*I174,2)</f>
        <v>0</v>
      </c>
      <c r="GY174" s="2"/>
      <c r="GZ174" s="2"/>
      <c r="HA174" s="2">
        <v>0</v>
      </c>
      <c r="HB174" s="2">
        <v>0</v>
      </c>
      <c r="HC174" s="2">
        <f t="shared" ref="HC174:HC191" si="162">GV174*GW174</f>
        <v>0</v>
      </c>
      <c r="HD174" s="2"/>
      <c r="HE174" s="2" t="s">
        <v>3</v>
      </c>
      <c r="HF174" s="2" t="s">
        <v>3</v>
      </c>
      <c r="HG174" s="2"/>
      <c r="HH174" s="2"/>
      <c r="HI174" s="2"/>
      <c r="HJ174" s="2"/>
      <c r="HK174" s="2"/>
      <c r="HL174" s="2"/>
      <c r="HM174" s="2" t="s">
        <v>3</v>
      </c>
      <c r="HN174" s="2" t="s">
        <v>3</v>
      </c>
      <c r="HO174" s="2" t="s">
        <v>3</v>
      </c>
      <c r="HP174" s="2" t="s">
        <v>3</v>
      </c>
      <c r="HQ174" s="2" t="s">
        <v>3</v>
      </c>
      <c r="HR174" s="2"/>
      <c r="HS174" s="2">
        <v>0</v>
      </c>
      <c r="HT174" s="2"/>
      <c r="HU174" s="2"/>
      <c r="HV174" s="2"/>
      <c r="HW174" s="2"/>
      <c r="HX174" s="2"/>
      <c r="HY174" s="2"/>
      <c r="HZ174" s="2"/>
      <c r="IA174" s="2"/>
      <c r="IB174" s="2"/>
      <c r="IC174" s="2"/>
      <c r="ID174" s="2"/>
      <c r="IE174" s="2"/>
      <c r="IF174" s="2"/>
      <c r="IG174" s="2"/>
      <c r="IH174" s="2"/>
      <c r="II174" s="2"/>
      <c r="IJ174" s="2"/>
      <c r="IK174" s="2">
        <v>0</v>
      </c>
      <c r="IL174" s="2"/>
      <c r="IM174" s="2"/>
      <c r="IN174" s="2"/>
      <c r="IO174" s="2"/>
      <c r="IP174" s="2"/>
      <c r="IQ174" s="2"/>
      <c r="IR174" s="2"/>
      <c r="IS174" s="2"/>
      <c r="IT174" s="2"/>
      <c r="IU174" s="2"/>
    </row>
    <row r="175" spans="1:255" x14ac:dyDescent="0.2">
      <c r="A175" s="3">
        <v>17</v>
      </c>
      <c r="B175" s="3">
        <v>1</v>
      </c>
      <c r="C175" s="3">
        <f>ROW(SmtRes!A110)</f>
        <v>110</v>
      </c>
      <c r="D175" s="3">
        <f>ROW(EtalonRes!A140)</f>
        <v>140</v>
      </c>
      <c r="E175" s="3" t="s">
        <v>215</v>
      </c>
      <c r="F175" s="3" t="s">
        <v>216</v>
      </c>
      <c r="G175" s="3" t="s">
        <v>217</v>
      </c>
      <c r="H175" s="3" t="s">
        <v>218</v>
      </c>
      <c r="I175" s="3">
        <f>ROUND(1600/100,9)</f>
        <v>16</v>
      </c>
      <c r="J175" s="3">
        <v>0</v>
      </c>
      <c r="K175" s="3">
        <f>ROUND(1600/100,9)</f>
        <v>16</v>
      </c>
      <c r="O175" s="3">
        <f t="shared" si="138"/>
        <v>300846.81</v>
      </c>
      <c r="P175" s="3">
        <f t="shared" si="139"/>
        <v>2069.4</v>
      </c>
      <c r="Q175" s="3">
        <f>(ROUND((ROUND((((ET175*1.1))*AV175*I175),2)*BB175),2)+ROUND((ROUND(((AE175-((EU175*1.1)))*AV175*I175),2)*BS175),2))</f>
        <v>650.77</v>
      </c>
      <c r="R175" s="3">
        <f>(ROUND((ROUND((((EU175*1.1))*AV175*I175),2)*BS175),2)+ROUND((ROUND(((AE175-((EU175*1.1)))*AV175*I175),2)*BS175),2))</f>
        <v>0</v>
      </c>
      <c r="S175" s="3">
        <f t="shared" si="140"/>
        <v>298126.64</v>
      </c>
      <c r="T175" s="3">
        <f t="shared" si="141"/>
        <v>0</v>
      </c>
      <c r="U175" s="3">
        <f t="shared" si="142"/>
        <v>456.25747200000006</v>
      </c>
      <c r="V175" s="3">
        <f t="shared" si="143"/>
        <v>0</v>
      </c>
      <c r="W175" s="3">
        <f t="shared" si="144"/>
        <v>0</v>
      </c>
      <c r="X175" s="3">
        <f>(ROUND((((S175+ROUND((ROUND((((EU175*1.1))*AV175*I175),2)*BS175),2))*AT175)/100),2)+ROUND(((ROUND((ROUND(((AE175-((EU175*1.1)))*AV175*I175),2)*BS175),2)*AT175)/100),2))</f>
        <v>268313.98</v>
      </c>
      <c r="Y175" s="3">
        <f>(ROUND((((S175+ROUND((ROUND((((EU175*1.1))*AV175*I175),2)*BS175),2))*AU175)/100),2)+ROUND(((ROUND((ROUND(((AE175-((EU175*1.1)))*AV175*I175),2)*BS175),2)*AU175)/100),2))</f>
        <v>137138.25</v>
      </c>
      <c r="AA175" s="3">
        <v>60256402</v>
      </c>
      <c r="AB175" s="3">
        <f t="shared" si="145"/>
        <v>347.50599999999997</v>
      </c>
      <c r="AC175" s="3">
        <f>ROUND(((ES175*1)),6)</f>
        <v>19.420000000000002</v>
      </c>
      <c r="AD175" s="3">
        <f>ROUND(((((ET175*1.1))-((EU175*1.1)))+AE175),6)</f>
        <v>4.4550000000000001</v>
      </c>
      <c r="AE175" s="3">
        <f>ROUND(((EU175*1.1)),6)</f>
        <v>0</v>
      </c>
      <c r="AF175" s="3">
        <f>ROUND(((EV175*1.1)),6)</f>
        <v>323.63099999999997</v>
      </c>
      <c r="AG175" s="3">
        <f t="shared" si="146"/>
        <v>0</v>
      </c>
      <c r="AH175" s="3">
        <f>((EW175*1.1))</f>
        <v>27.236000000000004</v>
      </c>
      <c r="AI175" s="3">
        <f>((EX175*1.1))</f>
        <v>0</v>
      </c>
      <c r="AJ175" s="3">
        <f t="shared" si="147"/>
        <v>0</v>
      </c>
      <c r="AK175" s="3">
        <v>317.68</v>
      </c>
      <c r="AL175" s="3">
        <v>19.420000000000002</v>
      </c>
      <c r="AM175" s="3">
        <v>4.05</v>
      </c>
      <c r="AN175" s="3">
        <v>0</v>
      </c>
      <c r="AO175" s="3">
        <v>294.20999999999998</v>
      </c>
      <c r="AP175" s="3">
        <v>0</v>
      </c>
      <c r="AQ175" s="3">
        <v>24.76</v>
      </c>
      <c r="AR175" s="3">
        <v>0</v>
      </c>
      <c r="AS175" s="3">
        <v>0</v>
      </c>
      <c r="AT175" s="3">
        <v>90</v>
      </c>
      <c r="AU175" s="3">
        <v>46</v>
      </c>
      <c r="AV175" s="3">
        <v>1.0469999999999999</v>
      </c>
      <c r="AW175" s="3">
        <v>1</v>
      </c>
      <c r="AZ175" s="3">
        <v>1</v>
      </c>
      <c r="BA175" s="3">
        <v>54.99</v>
      </c>
      <c r="BB175" s="3">
        <v>8.7200000000000006</v>
      </c>
      <c r="BC175" s="3">
        <v>6.66</v>
      </c>
      <c r="BD175" s="3" t="s">
        <v>3</v>
      </c>
      <c r="BE175" s="3" t="s">
        <v>3</v>
      </c>
      <c r="BF175" s="3" t="s">
        <v>3</v>
      </c>
      <c r="BG175" s="3" t="s">
        <v>3</v>
      </c>
      <c r="BH175" s="3">
        <v>0</v>
      </c>
      <c r="BI175" s="3">
        <v>2</v>
      </c>
      <c r="BJ175" s="3" t="s">
        <v>219</v>
      </c>
      <c r="BM175" s="3">
        <v>68</v>
      </c>
      <c r="BN175" s="3">
        <v>58973116</v>
      </c>
      <c r="BO175" s="3" t="s">
        <v>216</v>
      </c>
      <c r="BP175" s="3">
        <v>1</v>
      </c>
      <c r="BQ175" s="3">
        <v>40</v>
      </c>
      <c r="BR175" s="3">
        <v>0</v>
      </c>
      <c r="BS175" s="3">
        <v>54.99</v>
      </c>
      <c r="BT175" s="3">
        <v>1</v>
      </c>
      <c r="BU175" s="3">
        <v>1</v>
      </c>
      <c r="BV175" s="3">
        <v>1</v>
      </c>
      <c r="BW175" s="3">
        <v>1</v>
      </c>
      <c r="BX175" s="3">
        <v>1</v>
      </c>
      <c r="BY175" s="3" t="s">
        <v>3</v>
      </c>
      <c r="BZ175" s="3">
        <v>90</v>
      </c>
      <c r="CA175" s="3">
        <v>46</v>
      </c>
      <c r="CB175" s="3" t="s">
        <v>3</v>
      </c>
      <c r="CE175" s="3">
        <v>1566</v>
      </c>
      <c r="CF175" s="3">
        <v>0</v>
      </c>
      <c r="CG175" s="3">
        <v>0</v>
      </c>
      <c r="CM175" s="3">
        <v>0</v>
      </c>
      <c r="CN175" s="3" t="s">
        <v>369</v>
      </c>
      <c r="CO175" s="3">
        <v>0</v>
      </c>
      <c r="CP175" s="3">
        <f t="shared" si="148"/>
        <v>300846.81</v>
      </c>
      <c r="CQ175" s="3">
        <f t="shared" si="149"/>
        <v>129.34</v>
      </c>
      <c r="CR175" s="3">
        <f>(ROUND((ROUND((((ET175*1.1))*AV175*1),2)*BB175),2)+ROUND((ROUND(((AE175-((EU175*1.1)))*AV175*1),2)*BS175),2))</f>
        <v>40.64</v>
      </c>
      <c r="CS175" s="3">
        <f>(ROUND((ROUND((((EU175*1.1))*AV175*1),2)*BS175),2)+ROUND((ROUND(((AE175-((EU175*1.1)))*AV175*1),2)*BS175),2))</f>
        <v>0</v>
      </c>
      <c r="CT175" s="3">
        <f t="shared" si="150"/>
        <v>18632.810000000001</v>
      </c>
      <c r="CU175" s="3">
        <f t="shared" si="151"/>
        <v>0</v>
      </c>
      <c r="CV175" s="3">
        <f t="shared" si="152"/>
        <v>28.516092000000004</v>
      </c>
      <c r="CW175" s="3">
        <f t="shared" si="153"/>
        <v>0</v>
      </c>
      <c r="CX175" s="3">
        <f t="shared" si="154"/>
        <v>0</v>
      </c>
      <c r="CY175" s="3">
        <f>(ROUND((((S175+ROUND((ROUND((((EU175*1.1))*AV175*1),2)*BS175),2))*AT175)/100),2)+ROUND(((ROUND((ROUND(((AE175-((EU175*1.1)))*AV175*1),2)*BS175),2)*AT175)/100),2))</f>
        <v>268313.98</v>
      </c>
      <c r="CZ175" s="3">
        <f>(ROUND((((S175+ROUND((ROUND((((EU175*1.1))*AV175*1),2)*BS175),2))*AU175)/100),2)+ROUND(((ROUND((ROUND(((AE175-((EU175*1.1)))*AV175*1),2)*BS175),2)*AU175)/100),2))</f>
        <v>137138.25</v>
      </c>
      <c r="DB175" s="3">
        <v>32</v>
      </c>
      <c r="DC175" s="3" t="s">
        <v>3</v>
      </c>
      <c r="DD175" s="3" t="s">
        <v>24</v>
      </c>
      <c r="DE175" s="3" t="s">
        <v>25</v>
      </c>
      <c r="DF175" s="3" t="s">
        <v>25</v>
      </c>
      <c r="DG175" s="3" t="s">
        <v>25</v>
      </c>
      <c r="DH175" s="3" t="s">
        <v>3</v>
      </c>
      <c r="DI175" s="3" t="s">
        <v>25</v>
      </c>
      <c r="DJ175" s="3" t="s">
        <v>25</v>
      </c>
      <c r="DK175" s="3" t="s">
        <v>3</v>
      </c>
      <c r="DL175" s="3" t="s">
        <v>3</v>
      </c>
      <c r="DM175" s="3" t="s">
        <v>3</v>
      </c>
      <c r="DN175" s="3">
        <v>0</v>
      </c>
      <c r="DO175" s="3">
        <v>0</v>
      </c>
      <c r="DP175" s="3">
        <v>1</v>
      </c>
      <c r="DQ175" s="3">
        <v>1</v>
      </c>
      <c r="DU175" s="3">
        <v>1003</v>
      </c>
      <c r="DV175" s="3" t="s">
        <v>218</v>
      </c>
      <c r="DW175" s="3" t="s">
        <v>218</v>
      </c>
      <c r="DX175" s="3">
        <v>100</v>
      </c>
      <c r="DZ175" s="3" t="s">
        <v>3</v>
      </c>
      <c r="EA175" s="3" t="s">
        <v>3</v>
      </c>
      <c r="EB175" s="3" t="s">
        <v>3</v>
      </c>
      <c r="EC175" s="3" t="s">
        <v>3</v>
      </c>
      <c r="EE175" s="3">
        <v>60088532</v>
      </c>
      <c r="EF175" s="3">
        <v>40</v>
      </c>
      <c r="EG175" s="3" t="s">
        <v>26</v>
      </c>
      <c r="EH175" s="3">
        <v>0</v>
      </c>
      <c r="EI175" s="3" t="s">
        <v>3</v>
      </c>
      <c r="EJ175" s="3">
        <v>2</v>
      </c>
      <c r="EK175" s="3">
        <v>68</v>
      </c>
      <c r="EL175" s="3" t="s">
        <v>27</v>
      </c>
      <c r="EM175" s="3" t="s">
        <v>28</v>
      </c>
      <c r="EO175" s="3" t="s">
        <v>29</v>
      </c>
      <c r="EQ175" s="3">
        <v>0</v>
      </c>
      <c r="ER175" s="3">
        <v>317.68</v>
      </c>
      <c r="ES175" s="3">
        <v>19.420000000000002</v>
      </c>
      <c r="ET175" s="3">
        <v>4.05</v>
      </c>
      <c r="EU175" s="3">
        <v>0</v>
      </c>
      <c r="EV175" s="3">
        <v>294.20999999999998</v>
      </c>
      <c r="EW175" s="3">
        <v>24.76</v>
      </c>
      <c r="EX175" s="3">
        <v>0</v>
      </c>
      <c r="EY175" s="3">
        <v>0</v>
      </c>
      <c r="FQ175" s="3">
        <v>0</v>
      </c>
      <c r="FR175" s="3">
        <v>0</v>
      </c>
      <c r="FS175" s="3">
        <v>0</v>
      </c>
      <c r="FX175" s="3">
        <v>90</v>
      </c>
      <c r="FY175" s="3">
        <v>46</v>
      </c>
      <c r="GA175" s="3" t="s">
        <v>3</v>
      </c>
      <c r="GD175" s="3">
        <v>1</v>
      </c>
      <c r="GF175" s="3">
        <v>-670664398</v>
      </c>
      <c r="GG175" s="3">
        <v>2</v>
      </c>
      <c r="GH175" s="3">
        <v>1</v>
      </c>
      <c r="GI175" s="3">
        <v>2</v>
      </c>
      <c r="GJ175" s="3">
        <v>0</v>
      </c>
      <c r="GK175" s="3">
        <v>0</v>
      </c>
      <c r="GL175" s="3">
        <f t="shared" si="155"/>
        <v>0</v>
      </c>
      <c r="GM175" s="3">
        <f t="shared" si="156"/>
        <v>706299.04</v>
      </c>
      <c r="GN175" s="3">
        <f t="shared" si="157"/>
        <v>0</v>
      </c>
      <c r="GO175" s="3">
        <f t="shared" si="158"/>
        <v>706299.04</v>
      </c>
      <c r="GP175" s="3">
        <f t="shared" si="159"/>
        <v>0</v>
      </c>
      <c r="GR175" s="3">
        <v>0</v>
      </c>
      <c r="GS175" s="3">
        <v>3</v>
      </c>
      <c r="GT175" s="3">
        <v>0</v>
      </c>
      <c r="GU175" s="3" t="s">
        <v>3</v>
      </c>
      <c r="GV175" s="3">
        <f t="shared" si="160"/>
        <v>0</v>
      </c>
      <c r="GW175" s="3">
        <v>1</v>
      </c>
      <c r="GX175" s="3">
        <f t="shared" si="161"/>
        <v>0</v>
      </c>
      <c r="HA175" s="3">
        <v>0</v>
      </c>
      <c r="HB175" s="3">
        <v>0</v>
      </c>
      <c r="HC175" s="3">
        <f t="shared" si="162"/>
        <v>0</v>
      </c>
      <c r="HE175" s="3" t="s">
        <v>3</v>
      </c>
      <c r="HF175" s="3" t="s">
        <v>3</v>
      </c>
      <c r="HM175" s="3" t="s">
        <v>3</v>
      </c>
      <c r="HN175" s="3" t="s">
        <v>3</v>
      </c>
      <c r="HO175" s="3" t="s">
        <v>3</v>
      </c>
      <c r="HP175" s="3" t="s">
        <v>3</v>
      </c>
      <c r="HQ175" s="3" t="s">
        <v>3</v>
      </c>
      <c r="HS175" s="3">
        <v>0</v>
      </c>
      <c r="IK175" s="3">
        <v>0</v>
      </c>
    </row>
    <row r="176" spans="1:255" x14ac:dyDescent="0.2">
      <c r="A176" s="2">
        <v>18</v>
      </c>
      <c r="B176" s="2">
        <v>1</v>
      </c>
      <c r="C176" s="2">
        <v>96</v>
      </c>
      <c r="D176" s="2"/>
      <c r="E176" s="2" t="s">
        <v>220</v>
      </c>
      <c r="F176" s="2" t="s">
        <v>221</v>
      </c>
      <c r="G176" s="2" t="s">
        <v>222</v>
      </c>
      <c r="H176" s="2" t="s">
        <v>223</v>
      </c>
      <c r="I176" s="2">
        <f>I174*J176</f>
        <v>1632</v>
      </c>
      <c r="J176" s="2">
        <v>102</v>
      </c>
      <c r="K176" s="2">
        <v>102</v>
      </c>
      <c r="L176" s="2"/>
      <c r="M176" s="2"/>
      <c r="N176" s="2"/>
      <c r="O176" s="2">
        <f t="shared" si="138"/>
        <v>5630.4</v>
      </c>
      <c r="P176" s="2">
        <f t="shared" si="139"/>
        <v>5630.4</v>
      </c>
      <c r="Q176" s="2">
        <f t="shared" ref="Q176:Q181" si="163">(ROUND((ROUND(((ET176)*AV176*I176),2)*BB176),2)+ROUND((ROUND(((AE176-(EU176))*AV176*I176),2)*BS176),2))</f>
        <v>0</v>
      </c>
      <c r="R176" s="2">
        <f t="shared" ref="R176:R181" si="164">(ROUND((ROUND(((EU176)*AV176*I176),2)*BS176),2)+ROUND((ROUND(((AE176-(EU176))*AV176*I176),2)*BS176),2))</f>
        <v>0</v>
      </c>
      <c r="S176" s="2">
        <f t="shared" si="140"/>
        <v>0</v>
      </c>
      <c r="T176" s="2">
        <f t="shared" si="141"/>
        <v>0</v>
      </c>
      <c r="U176" s="2">
        <f t="shared" si="142"/>
        <v>0</v>
      </c>
      <c r="V176" s="2">
        <f t="shared" si="143"/>
        <v>0</v>
      </c>
      <c r="W176" s="2">
        <f t="shared" si="144"/>
        <v>0</v>
      </c>
      <c r="X176" s="2">
        <f t="shared" ref="X176:X181" si="165">(ROUND((((S176+ROUND((ROUND(((EU176)*AV176*I176),2)*BS176),2))*AT176)/100),2)+ROUND(((ROUND((ROUND(((AE176-(EU176))*AV176*I176),2)*BS176),2)*AT176)/100),2))</f>
        <v>0</v>
      </c>
      <c r="Y176" s="2">
        <f t="shared" ref="Y176:Y181" si="166">(ROUND((((S176+ROUND((ROUND(((EU176)*AV176*I176),2)*BS176),2))*AU176)/100),2)+ROUND(((ROUND((ROUND(((AE176-(EU176))*AV176*I176),2)*BS176),2)*AU176)/100),2))</f>
        <v>0</v>
      </c>
      <c r="Z176" s="2"/>
      <c r="AA176" s="2">
        <v>60256405</v>
      </c>
      <c r="AB176" s="2">
        <f t="shared" si="145"/>
        <v>3.45</v>
      </c>
      <c r="AC176" s="2">
        <f t="shared" ref="AC176:AC191" si="167">ROUND((ES176),6)</f>
        <v>3.45</v>
      </c>
      <c r="AD176" s="2">
        <f t="shared" ref="AD176:AD181" si="168">ROUND((((ET176)-(EU176))+AE176),6)</f>
        <v>0</v>
      </c>
      <c r="AE176" s="2">
        <f t="shared" ref="AE176:AF181" si="169">ROUND((EU176),6)</f>
        <v>0</v>
      </c>
      <c r="AF176" s="2">
        <f t="shared" si="169"/>
        <v>0</v>
      </c>
      <c r="AG176" s="2">
        <f t="shared" si="146"/>
        <v>0</v>
      </c>
      <c r="AH176" s="2">
        <f t="shared" ref="AH176:AI181" si="170">(EW176)</f>
        <v>0</v>
      </c>
      <c r="AI176" s="2">
        <f t="shared" si="170"/>
        <v>0</v>
      </c>
      <c r="AJ176" s="2">
        <f t="shared" si="147"/>
        <v>0</v>
      </c>
      <c r="AK176" s="2">
        <v>3.45</v>
      </c>
      <c r="AL176" s="2">
        <v>3.45</v>
      </c>
      <c r="AM176" s="2">
        <v>0</v>
      </c>
      <c r="AN176" s="2">
        <v>0</v>
      </c>
      <c r="AO176" s="2">
        <v>0</v>
      </c>
      <c r="AP176" s="2">
        <v>0</v>
      </c>
      <c r="AQ176" s="2">
        <v>0</v>
      </c>
      <c r="AR176" s="2">
        <v>0</v>
      </c>
      <c r="AS176" s="2">
        <v>0</v>
      </c>
      <c r="AT176" s="2">
        <v>90</v>
      </c>
      <c r="AU176" s="2">
        <v>46</v>
      </c>
      <c r="AV176" s="2">
        <v>1</v>
      </c>
      <c r="AW176" s="2">
        <v>1</v>
      </c>
      <c r="AX176" s="2"/>
      <c r="AY176" s="2"/>
      <c r="AZ176" s="2">
        <v>1</v>
      </c>
      <c r="BA176" s="2">
        <v>1</v>
      </c>
      <c r="BB176" s="2">
        <v>1</v>
      </c>
      <c r="BC176" s="2">
        <v>1</v>
      </c>
      <c r="BD176" s="2" t="s">
        <v>3</v>
      </c>
      <c r="BE176" s="2" t="s">
        <v>3</v>
      </c>
      <c r="BF176" s="2" t="s">
        <v>3</v>
      </c>
      <c r="BG176" s="2" t="s">
        <v>3</v>
      </c>
      <c r="BH176" s="2">
        <v>3</v>
      </c>
      <c r="BI176" s="2">
        <v>2</v>
      </c>
      <c r="BJ176" s="2" t="s">
        <v>224</v>
      </c>
      <c r="BK176" s="2"/>
      <c r="BL176" s="2"/>
      <c r="BM176" s="2">
        <v>68</v>
      </c>
      <c r="BN176" s="2">
        <v>58973116</v>
      </c>
      <c r="BO176" s="2" t="s">
        <v>3</v>
      </c>
      <c r="BP176" s="2">
        <v>0</v>
      </c>
      <c r="BQ176" s="2">
        <v>40</v>
      </c>
      <c r="BR176" s="2">
        <v>0</v>
      </c>
      <c r="BS176" s="2">
        <v>1</v>
      </c>
      <c r="BT176" s="2">
        <v>1</v>
      </c>
      <c r="BU176" s="2">
        <v>1</v>
      </c>
      <c r="BV176" s="2">
        <v>1</v>
      </c>
      <c r="BW176" s="2">
        <v>1</v>
      </c>
      <c r="BX176" s="2">
        <v>1</v>
      </c>
      <c r="BY176" s="2" t="s">
        <v>3</v>
      </c>
      <c r="BZ176" s="2">
        <v>90</v>
      </c>
      <c r="CA176" s="2">
        <v>46</v>
      </c>
      <c r="CB176" s="2" t="s">
        <v>3</v>
      </c>
      <c r="CC176" s="2"/>
      <c r="CD176" s="2"/>
      <c r="CE176" s="2">
        <v>1566</v>
      </c>
      <c r="CF176" s="2">
        <v>0</v>
      </c>
      <c r="CG176" s="2">
        <v>0</v>
      </c>
      <c r="CH176" s="2"/>
      <c r="CI176" s="2"/>
      <c r="CJ176" s="2"/>
      <c r="CK176" s="2"/>
      <c r="CL176" s="2"/>
      <c r="CM176" s="2">
        <v>0</v>
      </c>
      <c r="CN176" s="2" t="s">
        <v>369</v>
      </c>
      <c r="CO176" s="2">
        <v>0</v>
      </c>
      <c r="CP176" s="2">
        <f t="shared" si="148"/>
        <v>5630.4</v>
      </c>
      <c r="CQ176" s="2">
        <f t="shared" si="149"/>
        <v>3.45</v>
      </c>
      <c r="CR176" s="2">
        <f t="shared" ref="CR176:CR181" si="171">(ROUND((ROUND(((ET176)*AV176*1),2)*BB176),2)+ROUND((ROUND(((AE176-(EU176))*AV176*1),2)*BS176),2))</f>
        <v>0</v>
      </c>
      <c r="CS176" s="2">
        <f t="shared" ref="CS176:CS181" si="172">(ROUND((ROUND(((EU176)*AV176*1),2)*BS176),2)+ROUND((ROUND(((AE176-(EU176))*AV176*1),2)*BS176),2))</f>
        <v>0</v>
      </c>
      <c r="CT176" s="2">
        <f t="shared" si="150"/>
        <v>0</v>
      </c>
      <c r="CU176" s="2">
        <f t="shared" si="151"/>
        <v>0</v>
      </c>
      <c r="CV176" s="2">
        <f t="shared" si="152"/>
        <v>0</v>
      </c>
      <c r="CW176" s="2">
        <f t="shared" si="153"/>
        <v>0</v>
      </c>
      <c r="CX176" s="2">
        <f t="shared" si="154"/>
        <v>0</v>
      </c>
      <c r="CY176" s="2">
        <f t="shared" ref="CY176:CY181" si="173">(ROUND((((S176+ROUND((ROUND(((EU176)*AV176*1),2)*BS176),2))*AT176)/100),2)+ROUND(((ROUND((ROUND(((AE176-(EU176))*AV176*1),2)*BS176),2)*AT176)/100),2))</f>
        <v>0</v>
      </c>
      <c r="CZ176" s="2">
        <f t="shared" ref="CZ176:CZ181" si="174">(ROUND((((S176+ROUND((ROUND(((EU176)*AV176*1),2)*BS176),2))*AU176)/100),2)+ROUND(((ROUND((ROUND(((AE176-(EU176))*AV176*1),2)*BS176),2)*AU176)/100),2))</f>
        <v>0</v>
      </c>
      <c r="DA176" s="2"/>
      <c r="DB176" s="2"/>
      <c r="DC176" s="2" t="s">
        <v>3</v>
      </c>
      <c r="DD176" s="2" t="s">
        <v>3</v>
      </c>
      <c r="DE176" s="2" t="s">
        <v>3</v>
      </c>
      <c r="DF176" s="2" t="s">
        <v>3</v>
      </c>
      <c r="DG176" s="2" t="s">
        <v>3</v>
      </c>
      <c r="DH176" s="2" t="s">
        <v>3</v>
      </c>
      <c r="DI176" s="2" t="s">
        <v>3</v>
      </c>
      <c r="DJ176" s="2" t="s">
        <v>3</v>
      </c>
      <c r="DK176" s="2" t="s">
        <v>3</v>
      </c>
      <c r="DL176" s="2" t="s">
        <v>3</v>
      </c>
      <c r="DM176" s="2" t="s">
        <v>3</v>
      </c>
      <c r="DN176" s="2">
        <v>0</v>
      </c>
      <c r="DO176" s="2">
        <v>0</v>
      </c>
      <c r="DP176" s="2">
        <v>1</v>
      </c>
      <c r="DQ176" s="2">
        <v>1</v>
      </c>
      <c r="DR176" s="2"/>
      <c r="DS176" s="2"/>
      <c r="DT176" s="2"/>
      <c r="DU176" s="2">
        <v>1003</v>
      </c>
      <c r="DV176" s="2" t="s">
        <v>223</v>
      </c>
      <c r="DW176" s="2" t="s">
        <v>223</v>
      </c>
      <c r="DX176" s="2">
        <v>1</v>
      </c>
      <c r="DY176" s="2"/>
      <c r="DZ176" s="2" t="s">
        <v>3</v>
      </c>
      <c r="EA176" s="2" t="s">
        <v>3</v>
      </c>
      <c r="EB176" s="2" t="s">
        <v>3</v>
      </c>
      <c r="EC176" s="2" t="s">
        <v>3</v>
      </c>
      <c r="ED176" s="2"/>
      <c r="EE176" s="2">
        <v>60088532</v>
      </c>
      <c r="EF176" s="2">
        <v>40</v>
      </c>
      <c r="EG176" s="2" t="s">
        <v>26</v>
      </c>
      <c r="EH176" s="2">
        <v>0</v>
      </c>
      <c r="EI176" s="2" t="s">
        <v>3</v>
      </c>
      <c r="EJ176" s="2">
        <v>2</v>
      </c>
      <c r="EK176" s="2">
        <v>68</v>
      </c>
      <c r="EL176" s="2" t="s">
        <v>27</v>
      </c>
      <c r="EM176" s="2" t="s">
        <v>28</v>
      </c>
      <c r="EN176" s="2"/>
      <c r="EO176" s="2" t="s">
        <v>29</v>
      </c>
      <c r="EP176" s="2"/>
      <c r="EQ176" s="2">
        <v>0</v>
      </c>
      <c r="ER176" s="2">
        <v>3.45</v>
      </c>
      <c r="ES176" s="2">
        <v>3.45</v>
      </c>
      <c r="ET176" s="2">
        <v>0</v>
      </c>
      <c r="EU176" s="2">
        <v>0</v>
      </c>
      <c r="EV176" s="2">
        <v>0</v>
      </c>
      <c r="EW176" s="2">
        <v>0</v>
      </c>
      <c r="EX176" s="2">
        <v>0</v>
      </c>
      <c r="EY176" s="2"/>
      <c r="EZ176" s="2"/>
      <c r="FA176" s="2"/>
      <c r="FB176" s="2"/>
      <c r="FC176" s="2"/>
      <c r="FD176" s="2"/>
      <c r="FE176" s="2"/>
      <c r="FF176" s="2"/>
      <c r="FG176" s="2"/>
      <c r="FH176" s="2"/>
      <c r="FI176" s="2"/>
      <c r="FJ176" s="2"/>
      <c r="FK176" s="2"/>
      <c r="FL176" s="2"/>
      <c r="FM176" s="2"/>
      <c r="FN176" s="2"/>
      <c r="FO176" s="2"/>
      <c r="FP176" s="2"/>
      <c r="FQ176" s="2">
        <v>0</v>
      </c>
      <c r="FR176" s="2">
        <v>0</v>
      </c>
      <c r="FS176" s="2">
        <v>0</v>
      </c>
      <c r="FT176" s="2"/>
      <c r="FU176" s="2"/>
      <c r="FV176" s="2"/>
      <c r="FW176" s="2"/>
      <c r="FX176" s="2">
        <v>90</v>
      </c>
      <c r="FY176" s="2">
        <v>46</v>
      </c>
      <c r="FZ176" s="2"/>
      <c r="GA176" s="2" t="s">
        <v>3</v>
      </c>
      <c r="GB176" s="2"/>
      <c r="GC176" s="2"/>
      <c r="GD176" s="2">
        <v>1</v>
      </c>
      <c r="GE176" s="2"/>
      <c r="GF176" s="2">
        <v>-1305428159</v>
      </c>
      <c r="GG176" s="2">
        <v>2</v>
      </c>
      <c r="GH176" s="2">
        <v>1</v>
      </c>
      <c r="GI176" s="2">
        <v>-2</v>
      </c>
      <c r="GJ176" s="2">
        <v>0</v>
      </c>
      <c r="GK176" s="2">
        <v>0</v>
      </c>
      <c r="GL176" s="2">
        <f t="shared" si="155"/>
        <v>0</v>
      </c>
      <c r="GM176" s="2">
        <f t="shared" si="156"/>
        <v>5630.4</v>
      </c>
      <c r="GN176" s="2">
        <f t="shared" si="157"/>
        <v>0</v>
      </c>
      <c r="GO176" s="2">
        <f t="shared" si="158"/>
        <v>5630.4</v>
      </c>
      <c r="GP176" s="2">
        <f t="shared" si="159"/>
        <v>0</v>
      </c>
      <c r="GQ176" s="2"/>
      <c r="GR176" s="2">
        <v>0</v>
      </c>
      <c r="GS176" s="2">
        <v>3</v>
      </c>
      <c r="GT176" s="2">
        <v>0</v>
      </c>
      <c r="GU176" s="2" t="s">
        <v>3</v>
      </c>
      <c r="GV176" s="2">
        <f t="shared" si="160"/>
        <v>0</v>
      </c>
      <c r="GW176" s="2">
        <v>1</v>
      </c>
      <c r="GX176" s="2">
        <f t="shared" si="161"/>
        <v>0</v>
      </c>
      <c r="GY176" s="2"/>
      <c r="GZ176" s="2"/>
      <c r="HA176" s="2">
        <v>0</v>
      </c>
      <c r="HB176" s="2">
        <v>0</v>
      </c>
      <c r="HC176" s="2">
        <f t="shared" si="162"/>
        <v>0</v>
      </c>
      <c r="HD176" s="2"/>
      <c r="HE176" s="2" t="s">
        <v>3</v>
      </c>
      <c r="HF176" s="2" t="s">
        <v>3</v>
      </c>
      <c r="HG176" s="2"/>
      <c r="HH176" s="2"/>
      <c r="HI176" s="2"/>
      <c r="HJ176" s="2"/>
      <c r="HK176" s="2"/>
      <c r="HL176" s="2"/>
      <c r="HM176" s="2" t="s">
        <v>24</v>
      </c>
      <c r="HN176" s="2" t="s">
        <v>3</v>
      </c>
      <c r="HO176" s="2" t="s">
        <v>3</v>
      </c>
      <c r="HP176" s="2" t="s">
        <v>3</v>
      </c>
      <c r="HQ176" s="2" t="s">
        <v>3</v>
      </c>
      <c r="HR176" s="2"/>
      <c r="HS176" s="2">
        <v>0</v>
      </c>
      <c r="HT176" s="2"/>
      <c r="HU176" s="2"/>
      <c r="HV176" s="2"/>
      <c r="HW176" s="2"/>
      <c r="HX176" s="2"/>
      <c r="HY176" s="2"/>
      <c r="HZ176" s="2"/>
      <c r="IA176" s="2"/>
      <c r="IB176" s="2"/>
      <c r="IC176" s="2"/>
      <c r="ID176" s="2"/>
      <c r="IE176" s="2"/>
      <c r="IF176" s="2"/>
      <c r="IG176" s="2"/>
      <c r="IH176" s="2"/>
      <c r="II176" s="2"/>
      <c r="IJ176" s="2"/>
      <c r="IK176" s="2">
        <v>0</v>
      </c>
      <c r="IL176" s="2"/>
      <c r="IM176" s="2"/>
      <c r="IN176" s="2"/>
      <c r="IO176" s="2"/>
      <c r="IP176" s="2"/>
      <c r="IQ176" s="2"/>
      <c r="IR176" s="2"/>
      <c r="IS176" s="2"/>
      <c r="IT176" s="2"/>
      <c r="IU176" s="2"/>
    </row>
    <row r="177" spans="1:255" x14ac:dyDescent="0.2">
      <c r="A177" s="3">
        <v>18</v>
      </c>
      <c r="B177" s="3">
        <v>1</v>
      </c>
      <c r="C177" s="3">
        <v>105</v>
      </c>
      <c r="E177" s="3" t="s">
        <v>220</v>
      </c>
      <c r="F177" s="3" t="s">
        <v>221</v>
      </c>
      <c r="G177" s="3" t="s">
        <v>222</v>
      </c>
      <c r="H177" s="3" t="s">
        <v>223</v>
      </c>
      <c r="I177" s="3">
        <f>I175*J177</f>
        <v>1632</v>
      </c>
      <c r="J177" s="3">
        <v>102</v>
      </c>
      <c r="K177" s="3">
        <v>102</v>
      </c>
      <c r="O177" s="3">
        <f t="shared" si="138"/>
        <v>22127.47</v>
      </c>
      <c r="P177" s="3">
        <f t="shared" si="139"/>
        <v>22127.47</v>
      </c>
      <c r="Q177" s="3">
        <f t="shared" si="163"/>
        <v>0</v>
      </c>
      <c r="R177" s="3">
        <f t="shared" si="164"/>
        <v>0</v>
      </c>
      <c r="S177" s="3">
        <f t="shared" si="140"/>
        <v>0</v>
      </c>
      <c r="T177" s="3">
        <f t="shared" si="141"/>
        <v>0</v>
      </c>
      <c r="U177" s="3">
        <f t="shared" si="142"/>
        <v>0</v>
      </c>
      <c r="V177" s="3">
        <f t="shared" si="143"/>
        <v>0</v>
      </c>
      <c r="W177" s="3">
        <f t="shared" si="144"/>
        <v>0</v>
      </c>
      <c r="X177" s="3">
        <f t="shared" si="165"/>
        <v>0</v>
      </c>
      <c r="Y177" s="3">
        <f t="shared" si="166"/>
        <v>0</v>
      </c>
      <c r="AA177" s="3">
        <v>60256402</v>
      </c>
      <c r="AB177" s="3">
        <f t="shared" si="145"/>
        <v>3.45</v>
      </c>
      <c r="AC177" s="3">
        <f t="shared" si="167"/>
        <v>3.45</v>
      </c>
      <c r="AD177" s="3">
        <f t="shared" si="168"/>
        <v>0</v>
      </c>
      <c r="AE177" s="3">
        <f t="shared" si="169"/>
        <v>0</v>
      </c>
      <c r="AF177" s="3">
        <f t="shared" si="169"/>
        <v>0</v>
      </c>
      <c r="AG177" s="3">
        <f t="shared" si="146"/>
        <v>0</v>
      </c>
      <c r="AH177" s="3">
        <f t="shared" si="170"/>
        <v>0</v>
      </c>
      <c r="AI177" s="3">
        <f t="shared" si="170"/>
        <v>0</v>
      </c>
      <c r="AJ177" s="3">
        <f t="shared" si="147"/>
        <v>0</v>
      </c>
      <c r="AK177" s="3">
        <v>3.45</v>
      </c>
      <c r="AL177" s="3">
        <v>3.45</v>
      </c>
      <c r="AM177" s="3">
        <v>0</v>
      </c>
      <c r="AN177" s="3">
        <v>0</v>
      </c>
      <c r="AO177" s="3">
        <v>0</v>
      </c>
      <c r="AP177" s="3">
        <v>0</v>
      </c>
      <c r="AQ177" s="3">
        <v>0</v>
      </c>
      <c r="AR177" s="3">
        <v>0</v>
      </c>
      <c r="AS177" s="3">
        <v>0</v>
      </c>
      <c r="AT177" s="3">
        <v>90</v>
      </c>
      <c r="AU177" s="3">
        <v>46</v>
      </c>
      <c r="AV177" s="3">
        <v>1</v>
      </c>
      <c r="AW177" s="3">
        <v>1</v>
      </c>
      <c r="AZ177" s="3">
        <v>1</v>
      </c>
      <c r="BA177" s="3">
        <v>1</v>
      </c>
      <c r="BB177" s="3">
        <v>1</v>
      </c>
      <c r="BC177" s="3">
        <v>3.93</v>
      </c>
      <c r="BD177" s="3" t="s">
        <v>3</v>
      </c>
      <c r="BE177" s="3" t="s">
        <v>3</v>
      </c>
      <c r="BF177" s="3" t="s">
        <v>3</v>
      </c>
      <c r="BG177" s="3" t="s">
        <v>3</v>
      </c>
      <c r="BH177" s="3">
        <v>3</v>
      </c>
      <c r="BI177" s="3">
        <v>2</v>
      </c>
      <c r="BJ177" s="3" t="s">
        <v>224</v>
      </c>
      <c r="BM177" s="3">
        <v>68</v>
      </c>
      <c r="BN177" s="3">
        <v>58973116</v>
      </c>
      <c r="BO177" s="3" t="s">
        <v>221</v>
      </c>
      <c r="BP177" s="3">
        <v>1</v>
      </c>
      <c r="BQ177" s="3">
        <v>40</v>
      </c>
      <c r="BR177" s="3">
        <v>0</v>
      </c>
      <c r="BS177" s="3">
        <v>1</v>
      </c>
      <c r="BT177" s="3">
        <v>1</v>
      </c>
      <c r="BU177" s="3">
        <v>1</v>
      </c>
      <c r="BV177" s="3">
        <v>1</v>
      </c>
      <c r="BW177" s="3">
        <v>1</v>
      </c>
      <c r="BX177" s="3">
        <v>1</v>
      </c>
      <c r="BY177" s="3" t="s">
        <v>3</v>
      </c>
      <c r="BZ177" s="3">
        <v>90</v>
      </c>
      <c r="CA177" s="3">
        <v>46</v>
      </c>
      <c r="CB177" s="3" t="s">
        <v>3</v>
      </c>
      <c r="CE177" s="3">
        <v>1566</v>
      </c>
      <c r="CF177" s="3">
        <v>0</v>
      </c>
      <c r="CG177" s="3">
        <v>0</v>
      </c>
      <c r="CM177" s="3">
        <v>0</v>
      </c>
      <c r="CN177" s="3" t="s">
        <v>369</v>
      </c>
      <c r="CO177" s="3">
        <v>0</v>
      </c>
      <c r="CP177" s="3">
        <f t="shared" si="148"/>
        <v>22127.47</v>
      </c>
      <c r="CQ177" s="3">
        <f t="shared" si="149"/>
        <v>13.56</v>
      </c>
      <c r="CR177" s="3">
        <f t="shared" si="171"/>
        <v>0</v>
      </c>
      <c r="CS177" s="3">
        <f t="shared" si="172"/>
        <v>0</v>
      </c>
      <c r="CT177" s="3">
        <f t="shared" si="150"/>
        <v>0</v>
      </c>
      <c r="CU177" s="3">
        <f t="shared" si="151"/>
        <v>0</v>
      </c>
      <c r="CV177" s="3">
        <f t="shared" si="152"/>
        <v>0</v>
      </c>
      <c r="CW177" s="3">
        <f t="shared" si="153"/>
        <v>0</v>
      </c>
      <c r="CX177" s="3">
        <f t="shared" si="154"/>
        <v>0</v>
      </c>
      <c r="CY177" s="3">
        <f t="shared" si="173"/>
        <v>0</v>
      </c>
      <c r="CZ177" s="3">
        <f t="shared" si="174"/>
        <v>0</v>
      </c>
      <c r="DC177" s="3" t="s">
        <v>3</v>
      </c>
      <c r="DD177" s="3" t="s">
        <v>3</v>
      </c>
      <c r="DE177" s="3" t="s">
        <v>3</v>
      </c>
      <c r="DF177" s="3" t="s">
        <v>3</v>
      </c>
      <c r="DG177" s="3" t="s">
        <v>3</v>
      </c>
      <c r="DH177" s="3" t="s">
        <v>3</v>
      </c>
      <c r="DI177" s="3" t="s">
        <v>3</v>
      </c>
      <c r="DJ177" s="3" t="s">
        <v>3</v>
      </c>
      <c r="DK177" s="3" t="s">
        <v>3</v>
      </c>
      <c r="DL177" s="3" t="s">
        <v>3</v>
      </c>
      <c r="DM177" s="3" t="s">
        <v>3</v>
      </c>
      <c r="DN177" s="3">
        <v>0</v>
      </c>
      <c r="DO177" s="3">
        <v>0</v>
      </c>
      <c r="DP177" s="3">
        <v>1</v>
      </c>
      <c r="DQ177" s="3">
        <v>1</v>
      </c>
      <c r="DU177" s="3">
        <v>1003</v>
      </c>
      <c r="DV177" s="3" t="s">
        <v>223</v>
      </c>
      <c r="DW177" s="3" t="s">
        <v>223</v>
      </c>
      <c r="DX177" s="3">
        <v>1</v>
      </c>
      <c r="DZ177" s="3" t="s">
        <v>3</v>
      </c>
      <c r="EA177" s="3" t="s">
        <v>3</v>
      </c>
      <c r="EB177" s="3" t="s">
        <v>3</v>
      </c>
      <c r="EC177" s="3" t="s">
        <v>3</v>
      </c>
      <c r="EE177" s="3">
        <v>60088532</v>
      </c>
      <c r="EF177" s="3">
        <v>40</v>
      </c>
      <c r="EG177" s="3" t="s">
        <v>26</v>
      </c>
      <c r="EH177" s="3">
        <v>0</v>
      </c>
      <c r="EI177" s="3" t="s">
        <v>3</v>
      </c>
      <c r="EJ177" s="3">
        <v>2</v>
      </c>
      <c r="EK177" s="3">
        <v>68</v>
      </c>
      <c r="EL177" s="3" t="s">
        <v>27</v>
      </c>
      <c r="EM177" s="3" t="s">
        <v>28</v>
      </c>
      <c r="EO177" s="3" t="s">
        <v>29</v>
      </c>
      <c r="EQ177" s="3">
        <v>0</v>
      </c>
      <c r="ER177" s="3">
        <v>3.45</v>
      </c>
      <c r="ES177" s="3">
        <v>3.45</v>
      </c>
      <c r="ET177" s="3">
        <v>0</v>
      </c>
      <c r="EU177" s="3">
        <v>0</v>
      </c>
      <c r="EV177" s="3">
        <v>0</v>
      </c>
      <c r="EW177" s="3">
        <v>0</v>
      </c>
      <c r="EX177" s="3">
        <v>0</v>
      </c>
      <c r="FQ177" s="3">
        <v>0</v>
      </c>
      <c r="FR177" s="3">
        <v>0</v>
      </c>
      <c r="FS177" s="3">
        <v>0</v>
      </c>
      <c r="FX177" s="3">
        <v>90</v>
      </c>
      <c r="FY177" s="3">
        <v>46</v>
      </c>
      <c r="GA177" s="3" t="s">
        <v>3</v>
      </c>
      <c r="GD177" s="3">
        <v>1</v>
      </c>
      <c r="GF177" s="3">
        <v>-1305428159</v>
      </c>
      <c r="GG177" s="3">
        <v>2</v>
      </c>
      <c r="GH177" s="3">
        <v>1</v>
      </c>
      <c r="GI177" s="3">
        <v>2</v>
      </c>
      <c r="GJ177" s="3">
        <v>0</v>
      </c>
      <c r="GK177" s="3">
        <v>0</v>
      </c>
      <c r="GL177" s="3">
        <f t="shared" si="155"/>
        <v>0</v>
      </c>
      <c r="GM177" s="3">
        <f t="shared" si="156"/>
        <v>22127.47</v>
      </c>
      <c r="GN177" s="3">
        <f t="shared" si="157"/>
        <v>0</v>
      </c>
      <c r="GO177" s="3">
        <f t="shared" si="158"/>
        <v>22127.47</v>
      </c>
      <c r="GP177" s="3">
        <f t="shared" si="159"/>
        <v>0</v>
      </c>
      <c r="GR177" s="3">
        <v>0</v>
      </c>
      <c r="GS177" s="3">
        <v>3</v>
      </c>
      <c r="GT177" s="3">
        <v>0</v>
      </c>
      <c r="GU177" s="3" t="s">
        <v>3</v>
      </c>
      <c r="GV177" s="3">
        <f t="shared" si="160"/>
        <v>0</v>
      </c>
      <c r="GW177" s="3">
        <v>1</v>
      </c>
      <c r="GX177" s="3">
        <f t="shared" si="161"/>
        <v>0</v>
      </c>
      <c r="HA177" s="3">
        <v>0</v>
      </c>
      <c r="HB177" s="3">
        <v>0</v>
      </c>
      <c r="HC177" s="3">
        <f t="shared" si="162"/>
        <v>0</v>
      </c>
      <c r="HE177" s="3" t="s">
        <v>3</v>
      </c>
      <c r="HF177" s="3" t="s">
        <v>3</v>
      </c>
      <c r="HM177" s="3" t="s">
        <v>24</v>
      </c>
      <c r="HN177" s="3" t="s">
        <v>3</v>
      </c>
      <c r="HO177" s="3" t="s">
        <v>3</v>
      </c>
      <c r="HP177" s="3" t="s">
        <v>3</v>
      </c>
      <c r="HQ177" s="3" t="s">
        <v>3</v>
      </c>
      <c r="HS177" s="3">
        <v>0</v>
      </c>
      <c r="IK177" s="3">
        <v>0</v>
      </c>
    </row>
    <row r="178" spans="1:255" x14ac:dyDescent="0.2">
      <c r="A178" s="2">
        <v>18</v>
      </c>
      <c r="B178" s="2">
        <v>1</v>
      </c>
      <c r="C178" s="2">
        <v>98</v>
      </c>
      <c r="D178" s="2"/>
      <c r="E178" s="2" t="s">
        <v>225</v>
      </c>
      <c r="F178" s="2" t="s">
        <v>226</v>
      </c>
      <c r="G178" s="2" t="s">
        <v>227</v>
      </c>
      <c r="H178" s="2" t="s">
        <v>228</v>
      </c>
      <c r="I178" s="2">
        <f>I174*J178</f>
        <v>3.8079999999999998</v>
      </c>
      <c r="J178" s="2">
        <v>0.23799999999999999</v>
      </c>
      <c r="K178" s="2">
        <v>0.23799999999999999</v>
      </c>
      <c r="L178" s="2"/>
      <c r="M178" s="2"/>
      <c r="N178" s="2"/>
      <c r="O178" s="2">
        <f t="shared" si="138"/>
        <v>1510.21</v>
      </c>
      <c r="P178" s="2">
        <f t="shared" si="139"/>
        <v>1510.21</v>
      </c>
      <c r="Q178" s="2">
        <f t="shared" si="163"/>
        <v>0</v>
      </c>
      <c r="R178" s="2">
        <f t="shared" si="164"/>
        <v>0</v>
      </c>
      <c r="S178" s="2">
        <f t="shared" si="140"/>
        <v>0</v>
      </c>
      <c r="T178" s="2">
        <f t="shared" si="141"/>
        <v>0</v>
      </c>
      <c r="U178" s="2">
        <f t="shared" si="142"/>
        <v>0</v>
      </c>
      <c r="V178" s="2">
        <f t="shared" si="143"/>
        <v>0</v>
      </c>
      <c r="W178" s="2">
        <f t="shared" si="144"/>
        <v>0</v>
      </c>
      <c r="X178" s="2">
        <f t="shared" si="165"/>
        <v>0</v>
      </c>
      <c r="Y178" s="2">
        <f t="shared" si="166"/>
        <v>0</v>
      </c>
      <c r="Z178" s="2"/>
      <c r="AA178" s="2">
        <v>60256405</v>
      </c>
      <c r="AB178" s="2">
        <f t="shared" si="145"/>
        <v>396.59</v>
      </c>
      <c r="AC178" s="2">
        <f t="shared" si="167"/>
        <v>396.59</v>
      </c>
      <c r="AD178" s="2">
        <f t="shared" si="168"/>
        <v>0</v>
      </c>
      <c r="AE178" s="2">
        <f t="shared" si="169"/>
        <v>0</v>
      </c>
      <c r="AF178" s="2">
        <f t="shared" si="169"/>
        <v>0</v>
      </c>
      <c r="AG178" s="2">
        <f t="shared" si="146"/>
        <v>0</v>
      </c>
      <c r="AH178" s="2">
        <f t="shared" si="170"/>
        <v>0</v>
      </c>
      <c r="AI178" s="2">
        <f t="shared" si="170"/>
        <v>0</v>
      </c>
      <c r="AJ178" s="2">
        <f t="shared" si="147"/>
        <v>0</v>
      </c>
      <c r="AK178" s="2">
        <v>396.59</v>
      </c>
      <c r="AL178" s="2">
        <v>396.59</v>
      </c>
      <c r="AM178" s="2">
        <v>0</v>
      </c>
      <c r="AN178" s="2">
        <v>0</v>
      </c>
      <c r="AO178" s="2">
        <v>0</v>
      </c>
      <c r="AP178" s="2">
        <v>0</v>
      </c>
      <c r="AQ178" s="2">
        <v>0</v>
      </c>
      <c r="AR178" s="2">
        <v>0</v>
      </c>
      <c r="AS178" s="2">
        <v>0</v>
      </c>
      <c r="AT178" s="2">
        <v>90</v>
      </c>
      <c r="AU178" s="2">
        <v>46</v>
      </c>
      <c r="AV178" s="2">
        <v>1</v>
      </c>
      <c r="AW178" s="2">
        <v>1</v>
      </c>
      <c r="AX178" s="2"/>
      <c r="AY178" s="2"/>
      <c r="AZ178" s="2">
        <v>1</v>
      </c>
      <c r="BA178" s="2">
        <v>1</v>
      </c>
      <c r="BB178" s="2">
        <v>1</v>
      </c>
      <c r="BC178" s="2">
        <v>1</v>
      </c>
      <c r="BD178" s="2" t="s">
        <v>3</v>
      </c>
      <c r="BE178" s="2" t="s">
        <v>3</v>
      </c>
      <c r="BF178" s="2" t="s">
        <v>3</v>
      </c>
      <c r="BG178" s="2" t="s">
        <v>3</v>
      </c>
      <c r="BH178" s="2">
        <v>3</v>
      </c>
      <c r="BI178" s="2">
        <v>2</v>
      </c>
      <c r="BJ178" s="2" t="s">
        <v>229</v>
      </c>
      <c r="BK178" s="2"/>
      <c r="BL178" s="2"/>
      <c r="BM178" s="2">
        <v>68</v>
      </c>
      <c r="BN178" s="2">
        <v>58973116</v>
      </c>
      <c r="BO178" s="2" t="s">
        <v>3</v>
      </c>
      <c r="BP178" s="2">
        <v>0</v>
      </c>
      <c r="BQ178" s="2">
        <v>40</v>
      </c>
      <c r="BR178" s="2">
        <v>0</v>
      </c>
      <c r="BS178" s="2">
        <v>1</v>
      </c>
      <c r="BT178" s="2">
        <v>1</v>
      </c>
      <c r="BU178" s="2">
        <v>1</v>
      </c>
      <c r="BV178" s="2">
        <v>1</v>
      </c>
      <c r="BW178" s="2">
        <v>1</v>
      </c>
      <c r="BX178" s="2">
        <v>1</v>
      </c>
      <c r="BY178" s="2" t="s">
        <v>3</v>
      </c>
      <c r="BZ178" s="2">
        <v>90</v>
      </c>
      <c r="CA178" s="2">
        <v>46</v>
      </c>
      <c r="CB178" s="2" t="s">
        <v>3</v>
      </c>
      <c r="CC178" s="2"/>
      <c r="CD178" s="2"/>
      <c r="CE178" s="2">
        <v>1566</v>
      </c>
      <c r="CF178" s="2">
        <v>0</v>
      </c>
      <c r="CG178" s="2">
        <v>0</v>
      </c>
      <c r="CH178" s="2"/>
      <c r="CI178" s="2"/>
      <c r="CJ178" s="2"/>
      <c r="CK178" s="2"/>
      <c r="CL178" s="2"/>
      <c r="CM178" s="2">
        <v>0</v>
      </c>
      <c r="CN178" s="2" t="s">
        <v>369</v>
      </c>
      <c r="CO178" s="2">
        <v>0</v>
      </c>
      <c r="CP178" s="2">
        <f t="shared" si="148"/>
        <v>1510.21</v>
      </c>
      <c r="CQ178" s="2">
        <f t="shared" si="149"/>
        <v>396.59</v>
      </c>
      <c r="CR178" s="2">
        <f t="shared" si="171"/>
        <v>0</v>
      </c>
      <c r="CS178" s="2">
        <f t="shared" si="172"/>
        <v>0</v>
      </c>
      <c r="CT178" s="2">
        <f t="shared" si="150"/>
        <v>0</v>
      </c>
      <c r="CU178" s="2">
        <f t="shared" si="151"/>
        <v>0</v>
      </c>
      <c r="CV178" s="2">
        <f t="shared" si="152"/>
        <v>0</v>
      </c>
      <c r="CW178" s="2">
        <f t="shared" si="153"/>
        <v>0</v>
      </c>
      <c r="CX178" s="2">
        <f t="shared" si="154"/>
        <v>0</v>
      </c>
      <c r="CY178" s="2">
        <f t="shared" si="173"/>
        <v>0</v>
      </c>
      <c r="CZ178" s="2">
        <f t="shared" si="174"/>
        <v>0</v>
      </c>
      <c r="DA178" s="2"/>
      <c r="DB178" s="2"/>
      <c r="DC178" s="2" t="s">
        <v>3</v>
      </c>
      <c r="DD178" s="2" t="s">
        <v>3</v>
      </c>
      <c r="DE178" s="2" t="s">
        <v>3</v>
      </c>
      <c r="DF178" s="2" t="s">
        <v>3</v>
      </c>
      <c r="DG178" s="2" t="s">
        <v>3</v>
      </c>
      <c r="DH178" s="2" t="s">
        <v>3</v>
      </c>
      <c r="DI178" s="2" t="s">
        <v>3</v>
      </c>
      <c r="DJ178" s="2" t="s">
        <v>3</v>
      </c>
      <c r="DK178" s="2" t="s">
        <v>3</v>
      </c>
      <c r="DL178" s="2" t="s">
        <v>3</v>
      </c>
      <c r="DM178" s="2" t="s">
        <v>3</v>
      </c>
      <c r="DN178" s="2">
        <v>0</v>
      </c>
      <c r="DO178" s="2">
        <v>0</v>
      </c>
      <c r="DP178" s="2">
        <v>1</v>
      </c>
      <c r="DQ178" s="2">
        <v>1</v>
      </c>
      <c r="DR178" s="2"/>
      <c r="DS178" s="2"/>
      <c r="DT178" s="2"/>
      <c r="DU178" s="2">
        <v>1010</v>
      </c>
      <c r="DV178" s="2" t="s">
        <v>228</v>
      </c>
      <c r="DW178" s="2" t="s">
        <v>228</v>
      </c>
      <c r="DX178" s="2">
        <v>1000</v>
      </c>
      <c r="DY178" s="2"/>
      <c r="DZ178" s="2" t="s">
        <v>3</v>
      </c>
      <c r="EA178" s="2" t="s">
        <v>3</v>
      </c>
      <c r="EB178" s="2" t="s">
        <v>3</v>
      </c>
      <c r="EC178" s="2" t="s">
        <v>3</v>
      </c>
      <c r="ED178" s="2"/>
      <c r="EE178" s="2">
        <v>60088532</v>
      </c>
      <c r="EF178" s="2">
        <v>40</v>
      </c>
      <c r="EG178" s="2" t="s">
        <v>26</v>
      </c>
      <c r="EH178" s="2">
        <v>0</v>
      </c>
      <c r="EI178" s="2" t="s">
        <v>3</v>
      </c>
      <c r="EJ178" s="2">
        <v>2</v>
      </c>
      <c r="EK178" s="2">
        <v>68</v>
      </c>
      <c r="EL178" s="2" t="s">
        <v>27</v>
      </c>
      <c r="EM178" s="2" t="s">
        <v>28</v>
      </c>
      <c r="EN178" s="2"/>
      <c r="EO178" s="2" t="s">
        <v>29</v>
      </c>
      <c r="EP178" s="2"/>
      <c r="EQ178" s="2">
        <v>0</v>
      </c>
      <c r="ER178" s="2">
        <v>396.59</v>
      </c>
      <c r="ES178" s="2">
        <v>396.59</v>
      </c>
      <c r="ET178" s="2">
        <v>0</v>
      </c>
      <c r="EU178" s="2">
        <v>0</v>
      </c>
      <c r="EV178" s="2">
        <v>0</v>
      </c>
      <c r="EW178" s="2">
        <v>0</v>
      </c>
      <c r="EX178" s="2">
        <v>0</v>
      </c>
      <c r="EY178" s="2"/>
      <c r="EZ178" s="2"/>
      <c r="FA178" s="2"/>
      <c r="FB178" s="2"/>
      <c r="FC178" s="2"/>
      <c r="FD178" s="2"/>
      <c r="FE178" s="2"/>
      <c r="FF178" s="2"/>
      <c r="FG178" s="2"/>
      <c r="FH178" s="2"/>
      <c r="FI178" s="2"/>
      <c r="FJ178" s="2"/>
      <c r="FK178" s="2"/>
      <c r="FL178" s="2"/>
      <c r="FM178" s="2"/>
      <c r="FN178" s="2"/>
      <c r="FO178" s="2"/>
      <c r="FP178" s="2"/>
      <c r="FQ178" s="2">
        <v>0</v>
      </c>
      <c r="FR178" s="2">
        <v>0</v>
      </c>
      <c r="FS178" s="2">
        <v>0</v>
      </c>
      <c r="FT178" s="2"/>
      <c r="FU178" s="2"/>
      <c r="FV178" s="2"/>
      <c r="FW178" s="2"/>
      <c r="FX178" s="2">
        <v>90</v>
      </c>
      <c r="FY178" s="2">
        <v>46</v>
      </c>
      <c r="FZ178" s="2"/>
      <c r="GA178" s="2" t="s">
        <v>3</v>
      </c>
      <c r="GB178" s="2"/>
      <c r="GC178" s="2"/>
      <c r="GD178" s="2">
        <v>1</v>
      </c>
      <c r="GE178" s="2"/>
      <c r="GF178" s="2">
        <v>179573335</v>
      </c>
      <c r="GG178" s="2">
        <v>2</v>
      </c>
      <c r="GH178" s="2">
        <v>1</v>
      </c>
      <c r="GI178" s="2">
        <v>-2</v>
      </c>
      <c r="GJ178" s="2">
        <v>0</v>
      </c>
      <c r="GK178" s="2">
        <v>0</v>
      </c>
      <c r="GL178" s="2">
        <f t="shared" si="155"/>
        <v>0</v>
      </c>
      <c r="GM178" s="2">
        <f t="shared" si="156"/>
        <v>1510.21</v>
      </c>
      <c r="GN178" s="2">
        <f t="shared" si="157"/>
        <v>0</v>
      </c>
      <c r="GO178" s="2">
        <f t="shared" si="158"/>
        <v>1510.21</v>
      </c>
      <c r="GP178" s="2">
        <f t="shared" si="159"/>
        <v>0</v>
      </c>
      <c r="GQ178" s="2"/>
      <c r="GR178" s="2">
        <v>0</v>
      </c>
      <c r="GS178" s="2">
        <v>3</v>
      </c>
      <c r="GT178" s="2">
        <v>0</v>
      </c>
      <c r="GU178" s="2" t="s">
        <v>3</v>
      </c>
      <c r="GV178" s="2">
        <f t="shared" si="160"/>
        <v>0</v>
      </c>
      <c r="GW178" s="2">
        <v>1</v>
      </c>
      <c r="GX178" s="2">
        <f t="shared" si="161"/>
        <v>0</v>
      </c>
      <c r="GY178" s="2"/>
      <c r="GZ178" s="2"/>
      <c r="HA178" s="2">
        <v>0</v>
      </c>
      <c r="HB178" s="2">
        <v>0</v>
      </c>
      <c r="HC178" s="2">
        <f t="shared" si="162"/>
        <v>0</v>
      </c>
      <c r="HD178" s="2"/>
      <c r="HE178" s="2" t="s">
        <v>3</v>
      </c>
      <c r="HF178" s="2" t="s">
        <v>3</v>
      </c>
      <c r="HG178" s="2"/>
      <c r="HH178" s="2"/>
      <c r="HI178" s="2"/>
      <c r="HJ178" s="2"/>
      <c r="HK178" s="2"/>
      <c r="HL178" s="2"/>
      <c r="HM178" s="2" t="s">
        <v>24</v>
      </c>
      <c r="HN178" s="2" t="s">
        <v>3</v>
      </c>
      <c r="HO178" s="2" t="s">
        <v>3</v>
      </c>
      <c r="HP178" s="2" t="s">
        <v>3</v>
      </c>
      <c r="HQ178" s="2" t="s">
        <v>3</v>
      </c>
      <c r="HR178" s="2"/>
      <c r="HS178" s="2">
        <v>0</v>
      </c>
      <c r="HT178" s="2"/>
      <c r="HU178" s="2"/>
      <c r="HV178" s="2"/>
      <c r="HW178" s="2"/>
      <c r="HX178" s="2"/>
      <c r="HY178" s="2"/>
      <c r="HZ178" s="2"/>
      <c r="IA178" s="2"/>
      <c r="IB178" s="2"/>
      <c r="IC178" s="2"/>
      <c r="ID178" s="2"/>
      <c r="IE178" s="2"/>
      <c r="IF178" s="2"/>
      <c r="IG178" s="2"/>
      <c r="IH178" s="2"/>
      <c r="II178" s="2"/>
      <c r="IJ178" s="2"/>
      <c r="IK178" s="2">
        <v>0</v>
      </c>
      <c r="IL178" s="2"/>
      <c r="IM178" s="2"/>
      <c r="IN178" s="2"/>
      <c r="IO178" s="2"/>
      <c r="IP178" s="2"/>
      <c r="IQ178" s="2"/>
      <c r="IR178" s="2"/>
      <c r="IS178" s="2"/>
      <c r="IT178" s="2"/>
      <c r="IU178" s="2"/>
    </row>
    <row r="179" spans="1:255" x14ac:dyDescent="0.2">
      <c r="A179" s="3">
        <v>18</v>
      </c>
      <c r="B179" s="3">
        <v>1</v>
      </c>
      <c r="C179" s="3">
        <v>107</v>
      </c>
      <c r="E179" s="3" t="s">
        <v>225</v>
      </c>
      <c r="F179" s="3" t="s">
        <v>226</v>
      </c>
      <c r="G179" s="3" t="s">
        <v>227</v>
      </c>
      <c r="H179" s="3" t="s">
        <v>228</v>
      </c>
      <c r="I179" s="3">
        <f>I175*J179</f>
        <v>3.8079999999999998</v>
      </c>
      <c r="J179" s="3">
        <v>0.23799999999999999</v>
      </c>
      <c r="K179" s="3">
        <v>0.23799999999999999</v>
      </c>
      <c r="O179" s="3">
        <f t="shared" si="138"/>
        <v>6992.27</v>
      </c>
      <c r="P179" s="3">
        <f t="shared" si="139"/>
        <v>6992.27</v>
      </c>
      <c r="Q179" s="3">
        <f t="shared" si="163"/>
        <v>0</v>
      </c>
      <c r="R179" s="3">
        <f t="shared" si="164"/>
        <v>0</v>
      </c>
      <c r="S179" s="3">
        <f t="shared" si="140"/>
        <v>0</v>
      </c>
      <c r="T179" s="3">
        <f t="shared" si="141"/>
        <v>0</v>
      </c>
      <c r="U179" s="3">
        <f t="shared" si="142"/>
        <v>0</v>
      </c>
      <c r="V179" s="3">
        <f t="shared" si="143"/>
        <v>0</v>
      </c>
      <c r="W179" s="3">
        <f t="shared" si="144"/>
        <v>0</v>
      </c>
      <c r="X179" s="3">
        <f t="shared" si="165"/>
        <v>0</v>
      </c>
      <c r="Y179" s="3">
        <f t="shared" si="166"/>
        <v>0</v>
      </c>
      <c r="AA179" s="3">
        <v>60256402</v>
      </c>
      <c r="AB179" s="3">
        <f t="shared" si="145"/>
        <v>396.59</v>
      </c>
      <c r="AC179" s="3">
        <f t="shared" si="167"/>
        <v>396.59</v>
      </c>
      <c r="AD179" s="3">
        <f t="shared" si="168"/>
        <v>0</v>
      </c>
      <c r="AE179" s="3">
        <f t="shared" si="169"/>
        <v>0</v>
      </c>
      <c r="AF179" s="3">
        <f t="shared" si="169"/>
        <v>0</v>
      </c>
      <c r="AG179" s="3">
        <f t="shared" si="146"/>
        <v>0</v>
      </c>
      <c r="AH179" s="3">
        <f t="shared" si="170"/>
        <v>0</v>
      </c>
      <c r="AI179" s="3">
        <f t="shared" si="170"/>
        <v>0</v>
      </c>
      <c r="AJ179" s="3">
        <f t="shared" si="147"/>
        <v>0</v>
      </c>
      <c r="AK179" s="3">
        <v>396.59</v>
      </c>
      <c r="AL179" s="3">
        <v>396.59</v>
      </c>
      <c r="AM179" s="3">
        <v>0</v>
      </c>
      <c r="AN179" s="3">
        <v>0</v>
      </c>
      <c r="AO179" s="3">
        <v>0</v>
      </c>
      <c r="AP179" s="3">
        <v>0</v>
      </c>
      <c r="AQ179" s="3">
        <v>0</v>
      </c>
      <c r="AR179" s="3">
        <v>0</v>
      </c>
      <c r="AS179" s="3">
        <v>0</v>
      </c>
      <c r="AT179" s="3">
        <v>90</v>
      </c>
      <c r="AU179" s="3">
        <v>46</v>
      </c>
      <c r="AV179" s="3">
        <v>1</v>
      </c>
      <c r="AW179" s="3">
        <v>1</v>
      </c>
      <c r="AZ179" s="3">
        <v>1</v>
      </c>
      <c r="BA179" s="3">
        <v>1</v>
      </c>
      <c r="BB179" s="3">
        <v>1</v>
      </c>
      <c r="BC179" s="3">
        <v>4.63</v>
      </c>
      <c r="BD179" s="3" t="s">
        <v>3</v>
      </c>
      <c r="BE179" s="3" t="s">
        <v>3</v>
      </c>
      <c r="BF179" s="3" t="s">
        <v>3</v>
      </c>
      <c r="BG179" s="3" t="s">
        <v>3</v>
      </c>
      <c r="BH179" s="3">
        <v>3</v>
      </c>
      <c r="BI179" s="3">
        <v>2</v>
      </c>
      <c r="BJ179" s="3" t="s">
        <v>229</v>
      </c>
      <c r="BM179" s="3">
        <v>68</v>
      </c>
      <c r="BN179" s="3">
        <v>58973116</v>
      </c>
      <c r="BO179" s="3" t="s">
        <v>226</v>
      </c>
      <c r="BP179" s="3">
        <v>1</v>
      </c>
      <c r="BQ179" s="3">
        <v>40</v>
      </c>
      <c r="BR179" s="3">
        <v>0</v>
      </c>
      <c r="BS179" s="3">
        <v>1</v>
      </c>
      <c r="BT179" s="3">
        <v>1</v>
      </c>
      <c r="BU179" s="3">
        <v>1</v>
      </c>
      <c r="BV179" s="3">
        <v>1</v>
      </c>
      <c r="BW179" s="3">
        <v>1</v>
      </c>
      <c r="BX179" s="3">
        <v>1</v>
      </c>
      <c r="BY179" s="3" t="s">
        <v>3</v>
      </c>
      <c r="BZ179" s="3">
        <v>90</v>
      </c>
      <c r="CA179" s="3">
        <v>46</v>
      </c>
      <c r="CB179" s="3" t="s">
        <v>3</v>
      </c>
      <c r="CE179" s="3">
        <v>1566</v>
      </c>
      <c r="CF179" s="3">
        <v>0</v>
      </c>
      <c r="CG179" s="3">
        <v>0</v>
      </c>
      <c r="CM179" s="3">
        <v>0</v>
      </c>
      <c r="CN179" s="3" t="s">
        <v>369</v>
      </c>
      <c r="CO179" s="3">
        <v>0</v>
      </c>
      <c r="CP179" s="3">
        <f t="shared" si="148"/>
        <v>6992.27</v>
      </c>
      <c r="CQ179" s="3">
        <f t="shared" si="149"/>
        <v>1836.21</v>
      </c>
      <c r="CR179" s="3">
        <f t="shared" si="171"/>
        <v>0</v>
      </c>
      <c r="CS179" s="3">
        <f t="shared" si="172"/>
        <v>0</v>
      </c>
      <c r="CT179" s="3">
        <f t="shared" si="150"/>
        <v>0</v>
      </c>
      <c r="CU179" s="3">
        <f t="shared" si="151"/>
        <v>0</v>
      </c>
      <c r="CV179" s="3">
        <f t="shared" si="152"/>
        <v>0</v>
      </c>
      <c r="CW179" s="3">
        <f t="shared" si="153"/>
        <v>0</v>
      </c>
      <c r="CX179" s="3">
        <f t="shared" si="154"/>
        <v>0</v>
      </c>
      <c r="CY179" s="3">
        <f t="shared" si="173"/>
        <v>0</v>
      </c>
      <c r="CZ179" s="3">
        <f t="shared" si="174"/>
        <v>0</v>
      </c>
      <c r="DC179" s="3" t="s">
        <v>3</v>
      </c>
      <c r="DD179" s="3" t="s">
        <v>3</v>
      </c>
      <c r="DE179" s="3" t="s">
        <v>3</v>
      </c>
      <c r="DF179" s="3" t="s">
        <v>3</v>
      </c>
      <c r="DG179" s="3" t="s">
        <v>3</v>
      </c>
      <c r="DH179" s="3" t="s">
        <v>3</v>
      </c>
      <c r="DI179" s="3" t="s">
        <v>3</v>
      </c>
      <c r="DJ179" s="3" t="s">
        <v>3</v>
      </c>
      <c r="DK179" s="3" t="s">
        <v>3</v>
      </c>
      <c r="DL179" s="3" t="s">
        <v>3</v>
      </c>
      <c r="DM179" s="3" t="s">
        <v>3</v>
      </c>
      <c r="DN179" s="3">
        <v>0</v>
      </c>
      <c r="DO179" s="3">
        <v>0</v>
      </c>
      <c r="DP179" s="3">
        <v>1</v>
      </c>
      <c r="DQ179" s="3">
        <v>1</v>
      </c>
      <c r="DU179" s="3">
        <v>1010</v>
      </c>
      <c r="DV179" s="3" t="s">
        <v>228</v>
      </c>
      <c r="DW179" s="3" t="s">
        <v>228</v>
      </c>
      <c r="DX179" s="3">
        <v>1000</v>
      </c>
      <c r="DZ179" s="3" t="s">
        <v>3</v>
      </c>
      <c r="EA179" s="3" t="s">
        <v>3</v>
      </c>
      <c r="EB179" s="3" t="s">
        <v>3</v>
      </c>
      <c r="EC179" s="3" t="s">
        <v>3</v>
      </c>
      <c r="EE179" s="3">
        <v>60088532</v>
      </c>
      <c r="EF179" s="3">
        <v>40</v>
      </c>
      <c r="EG179" s="3" t="s">
        <v>26</v>
      </c>
      <c r="EH179" s="3">
        <v>0</v>
      </c>
      <c r="EI179" s="3" t="s">
        <v>3</v>
      </c>
      <c r="EJ179" s="3">
        <v>2</v>
      </c>
      <c r="EK179" s="3">
        <v>68</v>
      </c>
      <c r="EL179" s="3" t="s">
        <v>27</v>
      </c>
      <c r="EM179" s="3" t="s">
        <v>28</v>
      </c>
      <c r="EO179" s="3" t="s">
        <v>29</v>
      </c>
      <c r="EQ179" s="3">
        <v>0</v>
      </c>
      <c r="ER179" s="3">
        <v>396.59</v>
      </c>
      <c r="ES179" s="3">
        <v>396.59</v>
      </c>
      <c r="ET179" s="3">
        <v>0</v>
      </c>
      <c r="EU179" s="3">
        <v>0</v>
      </c>
      <c r="EV179" s="3">
        <v>0</v>
      </c>
      <c r="EW179" s="3">
        <v>0</v>
      </c>
      <c r="EX179" s="3">
        <v>0</v>
      </c>
      <c r="FQ179" s="3">
        <v>0</v>
      </c>
      <c r="FR179" s="3">
        <v>0</v>
      </c>
      <c r="FS179" s="3">
        <v>0</v>
      </c>
      <c r="FX179" s="3">
        <v>90</v>
      </c>
      <c r="FY179" s="3">
        <v>46</v>
      </c>
      <c r="GA179" s="3" t="s">
        <v>3</v>
      </c>
      <c r="GD179" s="3">
        <v>1</v>
      </c>
      <c r="GF179" s="3">
        <v>179573335</v>
      </c>
      <c r="GG179" s="3">
        <v>2</v>
      </c>
      <c r="GH179" s="3">
        <v>1</v>
      </c>
      <c r="GI179" s="3">
        <v>2</v>
      </c>
      <c r="GJ179" s="3">
        <v>0</v>
      </c>
      <c r="GK179" s="3">
        <v>0</v>
      </c>
      <c r="GL179" s="3">
        <f t="shared" si="155"/>
        <v>0</v>
      </c>
      <c r="GM179" s="3">
        <f t="shared" si="156"/>
        <v>6992.27</v>
      </c>
      <c r="GN179" s="3">
        <f t="shared" si="157"/>
        <v>0</v>
      </c>
      <c r="GO179" s="3">
        <f t="shared" si="158"/>
        <v>6992.27</v>
      </c>
      <c r="GP179" s="3">
        <f t="shared" si="159"/>
        <v>0</v>
      </c>
      <c r="GR179" s="3">
        <v>0</v>
      </c>
      <c r="GS179" s="3">
        <v>3</v>
      </c>
      <c r="GT179" s="3">
        <v>0</v>
      </c>
      <c r="GU179" s="3" t="s">
        <v>3</v>
      </c>
      <c r="GV179" s="3">
        <f t="shared" si="160"/>
        <v>0</v>
      </c>
      <c r="GW179" s="3">
        <v>1</v>
      </c>
      <c r="GX179" s="3">
        <f t="shared" si="161"/>
        <v>0</v>
      </c>
      <c r="HA179" s="3">
        <v>0</v>
      </c>
      <c r="HB179" s="3">
        <v>0</v>
      </c>
      <c r="HC179" s="3">
        <f t="shared" si="162"/>
        <v>0</v>
      </c>
      <c r="HE179" s="3" t="s">
        <v>3</v>
      </c>
      <c r="HF179" s="3" t="s">
        <v>3</v>
      </c>
      <c r="HM179" s="3" t="s">
        <v>24</v>
      </c>
      <c r="HN179" s="3" t="s">
        <v>3</v>
      </c>
      <c r="HO179" s="3" t="s">
        <v>3</v>
      </c>
      <c r="HP179" s="3" t="s">
        <v>3</v>
      </c>
      <c r="HQ179" s="3" t="s">
        <v>3</v>
      </c>
      <c r="HS179" s="3">
        <v>0</v>
      </c>
      <c r="IK179" s="3">
        <v>0</v>
      </c>
    </row>
    <row r="180" spans="1:255" x14ac:dyDescent="0.2">
      <c r="A180" s="2">
        <v>18</v>
      </c>
      <c r="B180" s="2">
        <v>1</v>
      </c>
      <c r="C180" s="2">
        <v>101</v>
      </c>
      <c r="D180" s="2"/>
      <c r="E180" s="2" t="s">
        <v>230</v>
      </c>
      <c r="F180" s="2" t="s">
        <v>231</v>
      </c>
      <c r="G180" s="2" t="s">
        <v>232</v>
      </c>
      <c r="H180" s="2" t="s">
        <v>233</v>
      </c>
      <c r="I180" s="2">
        <f>I174*J180</f>
        <v>1.6319999999999999</v>
      </c>
      <c r="J180" s="2">
        <v>0.10199999999999999</v>
      </c>
      <c r="K180" s="2">
        <v>0.10199999999999999</v>
      </c>
      <c r="L180" s="2"/>
      <c r="M180" s="2"/>
      <c r="N180" s="2"/>
      <c r="O180" s="2">
        <f t="shared" si="138"/>
        <v>19955.740000000002</v>
      </c>
      <c r="P180" s="2">
        <f t="shared" si="139"/>
        <v>19955.740000000002</v>
      </c>
      <c r="Q180" s="2">
        <f t="shared" si="163"/>
        <v>0</v>
      </c>
      <c r="R180" s="2">
        <f t="shared" si="164"/>
        <v>0</v>
      </c>
      <c r="S180" s="2">
        <f t="shared" si="140"/>
        <v>0</v>
      </c>
      <c r="T180" s="2">
        <f t="shared" si="141"/>
        <v>0</v>
      </c>
      <c r="U180" s="2">
        <f t="shared" si="142"/>
        <v>0</v>
      </c>
      <c r="V180" s="2">
        <f t="shared" si="143"/>
        <v>0</v>
      </c>
      <c r="W180" s="2">
        <f t="shared" si="144"/>
        <v>0</v>
      </c>
      <c r="X180" s="2">
        <f t="shared" si="165"/>
        <v>0</v>
      </c>
      <c r="Y180" s="2">
        <f t="shared" si="166"/>
        <v>0</v>
      </c>
      <c r="Z180" s="2"/>
      <c r="AA180" s="2">
        <v>60256405</v>
      </c>
      <c r="AB180" s="2">
        <f t="shared" si="145"/>
        <v>12227.78</v>
      </c>
      <c r="AC180" s="2">
        <f t="shared" si="167"/>
        <v>12227.78</v>
      </c>
      <c r="AD180" s="2">
        <f t="shared" si="168"/>
        <v>0</v>
      </c>
      <c r="AE180" s="2">
        <f t="shared" si="169"/>
        <v>0</v>
      </c>
      <c r="AF180" s="2">
        <f t="shared" si="169"/>
        <v>0</v>
      </c>
      <c r="AG180" s="2">
        <f t="shared" si="146"/>
        <v>0</v>
      </c>
      <c r="AH180" s="2">
        <f t="shared" si="170"/>
        <v>0</v>
      </c>
      <c r="AI180" s="2">
        <f t="shared" si="170"/>
        <v>0</v>
      </c>
      <c r="AJ180" s="2">
        <f t="shared" si="147"/>
        <v>0</v>
      </c>
      <c r="AK180" s="2">
        <v>12227.78</v>
      </c>
      <c r="AL180" s="2">
        <v>12227.78</v>
      </c>
      <c r="AM180" s="2">
        <v>0</v>
      </c>
      <c r="AN180" s="2">
        <v>0</v>
      </c>
      <c r="AO180" s="2">
        <v>0</v>
      </c>
      <c r="AP180" s="2">
        <v>0</v>
      </c>
      <c r="AQ180" s="2">
        <v>0</v>
      </c>
      <c r="AR180" s="2">
        <v>0</v>
      </c>
      <c r="AS180" s="2">
        <v>0</v>
      </c>
      <c r="AT180" s="2">
        <v>90</v>
      </c>
      <c r="AU180" s="2">
        <v>46</v>
      </c>
      <c r="AV180" s="2">
        <v>1</v>
      </c>
      <c r="AW180" s="2">
        <v>1</v>
      </c>
      <c r="AX180" s="2"/>
      <c r="AY180" s="2"/>
      <c r="AZ180" s="2">
        <v>1</v>
      </c>
      <c r="BA180" s="2">
        <v>1</v>
      </c>
      <c r="BB180" s="2">
        <v>1</v>
      </c>
      <c r="BC180" s="2">
        <v>1</v>
      </c>
      <c r="BD180" s="2" t="s">
        <v>3</v>
      </c>
      <c r="BE180" s="2" t="s">
        <v>3</v>
      </c>
      <c r="BF180" s="2" t="s">
        <v>3</v>
      </c>
      <c r="BG180" s="2" t="s">
        <v>3</v>
      </c>
      <c r="BH180" s="2">
        <v>3</v>
      </c>
      <c r="BI180" s="2">
        <v>2</v>
      </c>
      <c r="BJ180" s="2" t="s">
        <v>3</v>
      </c>
      <c r="BK180" s="2"/>
      <c r="BL180" s="2"/>
      <c r="BM180" s="2">
        <v>68</v>
      </c>
      <c r="BN180" s="2">
        <v>0</v>
      </c>
      <c r="BO180" s="2" t="s">
        <v>3</v>
      </c>
      <c r="BP180" s="2">
        <v>0</v>
      </c>
      <c r="BQ180" s="2">
        <v>40</v>
      </c>
      <c r="BR180" s="2">
        <v>0</v>
      </c>
      <c r="BS180" s="2">
        <v>1</v>
      </c>
      <c r="BT180" s="2">
        <v>1</v>
      </c>
      <c r="BU180" s="2">
        <v>1</v>
      </c>
      <c r="BV180" s="2">
        <v>1</v>
      </c>
      <c r="BW180" s="2">
        <v>1</v>
      </c>
      <c r="BX180" s="2">
        <v>1</v>
      </c>
      <c r="BY180" s="2" t="s">
        <v>3</v>
      </c>
      <c r="BZ180" s="2">
        <v>90</v>
      </c>
      <c r="CA180" s="2">
        <v>46</v>
      </c>
      <c r="CB180" s="2" t="s">
        <v>3</v>
      </c>
      <c r="CC180" s="2"/>
      <c r="CD180" s="2"/>
      <c r="CE180" s="2">
        <v>1566</v>
      </c>
      <c r="CF180" s="2">
        <v>0</v>
      </c>
      <c r="CG180" s="2">
        <v>0</v>
      </c>
      <c r="CH180" s="2"/>
      <c r="CI180" s="2"/>
      <c r="CJ180" s="2"/>
      <c r="CK180" s="2"/>
      <c r="CL180" s="2"/>
      <c r="CM180" s="2">
        <v>0</v>
      </c>
      <c r="CN180" s="2" t="s">
        <v>369</v>
      </c>
      <c r="CO180" s="2">
        <v>0</v>
      </c>
      <c r="CP180" s="2">
        <f t="shared" si="148"/>
        <v>19955.740000000002</v>
      </c>
      <c r="CQ180" s="2">
        <f t="shared" si="149"/>
        <v>12227.78</v>
      </c>
      <c r="CR180" s="2">
        <f t="shared" si="171"/>
        <v>0</v>
      </c>
      <c r="CS180" s="2">
        <f t="shared" si="172"/>
        <v>0</v>
      </c>
      <c r="CT180" s="2">
        <f t="shared" si="150"/>
        <v>0</v>
      </c>
      <c r="CU180" s="2">
        <f t="shared" si="151"/>
        <v>0</v>
      </c>
      <c r="CV180" s="2">
        <f t="shared" si="152"/>
        <v>0</v>
      </c>
      <c r="CW180" s="2">
        <f t="shared" si="153"/>
        <v>0</v>
      </c>
      <c r="CX180" s="2">
        <f t="shared" si="154"/>
        <v>0</v>
      </c>
      <c r="CY180" s="2">
        <f t="shared" si="173"/>
        <v>0</v>
      </c>
      <c r="CZ180" s="2">
        <f t="shared" si="174"/>
        <v>0</v>
      </c>
      <c r="DA180" s="2"/>
      <c r="DB180" s="2"/>
      <c r="DC180" s="2" t="s">
        <v>3</v>
      </c>
      <c r="DD180" s="2" t="s">
        <v>3</v>
      </c>
      <c r="DE180" s="2" t="s">
        <v>3</v>
      </c>
      <c r="DF180" s="2" t="s">
        <v>3</v>
      </c>
      <c r="DG180" s="2" t="s">
        <v>3</v>
      </c>
      <c r="DH180" s="2" t="s">
        <v>3</v>
      </c>
      <c r="DI180" s="2" t="s">
        <v>3</v>
      </c>
      <c r="DJ180" s="2" t="s">
        <v>3</v>
      </c>
      <c r="DK180" s="2" t="s">
        <v>3</v>
      </c>
      <c r="DL180" s="2" t="s">
        <v>3</v>
      </c>
      <c r="DM180" s="2" t="s">
        <v>3</v>
      </c>
      <c r="DN180" s="2">
        <v>0</v>
      </c>
      <c r="DO180" s="2">
        <v>0</v>
      </c>
      <c r="DP180" s="2">
        <v>1</v>
      </c>
      <c r="DQ180" s="2">
        <v>1</v>
      </c>
      <c r="DR180" s="2"/>
      <c r="DS180" s="2"/>
      <c r="DT180" s="2"/>
      <c r="DU180" s="2">
        <v>1003</v>
      </c>
      <c r="DV180" s="2" t="s">
        <v>233</v>
      </c>
      <c r="DW180" s="2" t="s">
        <v>233</v>
      </c>
      <c r="DX180" s="2">
        <v>1000</v>
      </c>
      <c r="DY180" s="2"/>
      <c r="DZ180" s="2" t="s">
        <v>3</v>
      </c>
      <c r="EA180" s="2" t="s">
        <v>3</v>
      </c>
      <c r="EB180" s="2" t="s">
        <v>3</v>
      </c>
      <c r="EC180" s="2" t="s">
        <v>3</v>
      </c>
      <c r="ED180" s="2"/>
      <c r="EE180" s="2">
        <v>60088532</v>
      </c>
      <c r="EF180" s="2">
        <v>40</v>
      </c>
      <c r="EG180" s="2" t="s">
        <v>26</v>
      </c>
      <c r="EH180" s="2">
        <v>0</v>
      </c>
      <c r="EI180" s="2" t="s">
        <v>3</v>
      </c>
      <c r="EJ180" s="2">
        <v>2</v>
      </c>
      <c r="EK180" s="2">
        <v>68</v>
      </c>
      <c r="EL180" s="2" t="s">
        <v>27</v>
      </c>
      <c r="EM180" s="2" t="s">
        <v>28</v>
      </c>
      <c r="EN180" s="2"/>
      <c r="EO180" s="2" t="s">
        <v>29</v>
      </c>
      <c r="EP180" s="2"/>
      <c r="EQ180" s="2">
        <v>0</v>
      </c>
      <c r="ER180" s="2">
        <v>0</v>
      </c>
      <c r="ES180" s="2">
        <v>12227.78</v>
      </c>
      <c r="ET180" s="2">
        <v>0</v>
      </c>
      <c r="EU180" s="2">
        <v>0</v>
      </c>
      <c r="EV180" s="2">
        <v>0</v>
      </c>
      <c r="EW180" s="2">
        <v>0</v>
      </c>
      <c r="EX180" s="2">
        <v>0</v>
      </c>
      <c r="EY180" s="2"/>
      <c r="EZ180" s="2"/>
      <c r="FA180" s="2"/>
      <c r="FB180" s="2"/>
      <c r="FC180" s="2"/>
      <c r="FD180" s="2"/>
      <c r="FE180" s="2"/>
      <c r="FF180" s="2"/>
      <c r="FG180" s="2"/>
      <c r="FH180" s="2"/>
      <c r="FI180" s="2"/>
      <c r="FJ180" s="2"/>
      <c r="FK180" s="2"/>
      <c r="FL180" s="2"/>
      <c r="FM180" s="2"/>
      <c r="FN180" s="2"/>
      <c r="FO180" s="2"/>
      <c r="FP180" s="2"/>
      <c r="FQ180" s="2">
        <v>0</v>
      </c>
      <c r="FR180" s="2">
        <v>0</v>
      </c>
      <c r="FS180" s="2">
        <v>0</v>
      </c>
      <c r="FT180" s="2"/>
      <c r="FU180" s="2"/>
      <c r="FV180" s="2"/>
      <c r="FW180" s="2"/>
      <c r="FX180" s="2">
        <v>90</v>
      </c>
      <c r="FY180" s="2">
        <v>46</v>
      </c>
      <c r="FZ180" s="2"/>
      <c r="GA180" s="2" t="s">
        <v>234</v>
      </c>
      <c r="GB180" s="2"/>
      <c r="GC180" s="2"/>
      <c r="GD180" s="2">
        <v>1</v>
      </c>
      <c r="GE180" s="2"/>
      <c r="GF180" s="2">
        <v>2032324242</v>
      </c>
      <c r="GG180" s="2">
        <v>2</v>
      </c>
      <c r="GH180" s="2">
        <v>4</v>
      </c>
      <c r="GI180" s="2">
        <v>-2</v>
      </c>
      <c r="GJ180" s="2">
        <v>0</v>
      </c>
      <c r="GK180" s="2">
        <v>0</v>
      </c>
      <c r="GL180" s="2">
        <f t="shared" si="155"/>
        <v>0</v>
      </c>
      <c r="GM180" s="2">
        <f t="shared" si="156"/>
        <v>19955.740000000002</v>
      </c>
      <c r="GN180" s="2">
        <f t="shared" si="157"/>
        <v>0</v>
      </c>
      <c r="GO180" s="2">
        <f t="shared" si="158"/>
        <v>19955.740000000002</v>
      </c>
      <c r="GP180" s="2">
        <f t="shared" si="159"/>
        <v>0</v>
      </c>
      <c r="GQ180" s="2"/>
      <c r="GR180" s="2">
        <v>0</v>
      </c>
      <c r="GS180" s="2">
        <v>2</v>
      </c>
      <c r="GT180" s="2">
        <v>0</v>
      </c>
      <c r="GU180" s="2" t="s">
        <v>3</v>
      </c>
      <c r="GV180" s="2">
        <f t="shared" si="160"/>
        <v>0</v>
      </c>
      <c r="GW180" s="2">
        <v>1</v>
      </c>
      <c r="GX180" s="2">
        <f t="shared" si="161"/>
        <v>0</v>
      </c>
      <c r="GY180" s="2"/>
      <c r="GZ180" s="2"/>
      <c r="HA180" s="2">
        <v>0</v>
      </c>
      <c r="HB180" s="2">
        <v>0</v>
      </c>
      <c r="HC180" s="2">
        <f t="shared" si="162"/>
        <v>0</v>
      </c>
      <c r="HD180" s="2"/>
      <c r="HE180" s="2" t="s">
        <v>35</v>
      </c>
      <c r="HF180" s="2" t="s">
        <v>30</v>
      </c>
      <c r="HG180" s="2"/>
      <c r="HH180" s="2"/>
      <c r="HI180" s="2"/>
      <c r="HJ180" s="2"/>
      <c r="HK180" s="2"/>
      <c r="HL180" s="2"/>
      <c r="HM180" s="2" t="s">
        <v>24</v>
      </c>
      <c r="HN180" s="2" t="s">
        <v>3</v>
      </c>
      <c r="HO180" s="2" t="s">
        <v>3</v>
      </c>
      <c r="HP180" s="2" t="s">
        <v>3</v>
      </c>
      <c r="HQ180" s="2" t="s">
        <v>3</v>
      </c>
      <c r="HR180" s="2"/>
      <c r="HS180" s="2">
        <v>0</v>
      </c>
      <c r="HT180" s="2"/>
      <c r="HU180" s="2"/>
      <c r="HV180" s="2"/>
      <c r="HW180" s="2"/>
      <c r="HX180" s="2"/>
      <c r="HY180" s="2"/>
      <c r="HZ180" s="2"/>
      <c r="IA180" s="2"/>
      <c r="IB180" s="2"/>
      <c r="IC180" s="2"/>
      <c r="ID180" s="2"/>
      <c r="IE180" s="2"/>
      <c r="IF180" s="2"/>
      <c r="IG180" s="2"/>
      <c r="IH180" s="2"/>
      <c r="II180" s="2"/>
      <c r="IJ180" s="2"/>
      <c r="IK180" s="2">
        <v>0</v>
      </c>
      <c r="IL180" s="2"/>
      <c r="IM180" s="2"/>
      <c r="IN180" s="2"/>
      <c r="IO180" s="2"/>
      <c r="IP180" s="2"/>
      <c r="IQ180" s="2"/>
      <c r="IR180" s="2"/>
      <c r="IS180" s="2"/>
      <c r="IT180" s="2"/>
      <c r="IU180" s="2"/>
    </row>
    <row r="181" spans="1:255" x14ac:dyDescent="0.2">
      <c r="A181" s="3">
        <v>18</v>
      </c>
      <c r="B181" s="3">
        <v>1</v>
      </c>
      <c r="C181" s="3">
        <v>110</v>
      </c>
      <c r="E181" s="3" t="s">
        <v>230</v>
      </c>
      <c r="F181" s="3" t="s">
        <v>231</v>
      </c>
      <c r="G181" s="3" t="s">
        <v>232</v>
      </c>
      <c r="H181" s="3" t="s">
        <v>233</v>
      </c>
      <c r="I181" s="3">
        <f>I175*J181</f>
        <v>1.6319999999999999</v>
      </c>
      <c r="J181" s="3">
        <v>0.10199999999999999</v>
      </c>
      <c r="K181" s="3">
        <v>0.10199999999999999</v>
      </c>
      <c r="O181" s="3">
        <f t="shared" si="138"/>
        <v>197162.71</v>
      </c>
      <c r="P181" s="3">
        <f t="shared" si="139"/>
        <v>197162.71</v>
      </c>
      <c r="Q181" s="3">
        <f t="shared" si="163"/>
        <v>0</v>
      </c>
      <c r="R181" s="3">
        <f t="shared" si="164"/>
        <v>0</v>
      </c>
      <c r="S181" s="3">
        <f t="shared" si="140"/>
        <v>0</v>
      </c>
      <c r="T181" s="3">
        <f t="shared" si="141"/>
        <v>0</v>
      </c>
      <c r="U181" s="3">
        <f t="shared" si="142"/>
        <v>0</v>
      </c>
      <c r="V181" s="3">
        <f t="shared" si="143"/>
        <v>0</v>
      </c>
      <c r="W181" s="3">
        <f t="shared" si="144"/>
        <v>0</v>
      </c>
      <c r="X181" s="3">
        <f t="shared" si="165"/>
        <v>0</v>
      </c>
      <c r="Y181" s="3">
        <f t="shared" si="166"/>
        <v>0</v>
      </c>
      <c r="AA181" s="3">
        <v>60256402</v>
      </c>
      <c r="AB181" s="3">
        <f t="shared" si="145"/>
        <v>12227.78</v>
      </c>
      <c r="AC181" s="3">
        <f t="shared" si="167"/>
        <v>12227.78</v>
      </c>
      <c r="AD181" s="3">
        <f t="shared" si="168"/>
        <v>0</v>
      </c>
      <c r="AE181" s="3">
        <f t="shared" si="169"/>
        <v>0</v>
      </c>
      <c r="AF181" s="3">
        <f t="shared" si="169"/>
        <v>0</v>
      </c>
      <c r="AG181" s="3">
        <f t="shared" si="146"/>
        <v>0</v>
      </c>
      <c r="AH181" s="3">
        <f t="shared" si="170"/>
        <v>0</v>
      </c>
      <c r="AI181" s="3">
        <f t="shared" si="170"/>
        <v>0</v>
      </c>
      <c r="AJ181" s="3">
        <f t="shared" si="147"/>
        <v>0</v>
      </c>
      <c r="AK181" s="3">
        <v>12227.78</v>
      </c>
      <c r="AL181" s="3">
        <v>12227.78</v>
      </c>
      <c r="AM181" s="3">
        <v>0</v>
      </c>
      <c r="AN181" s="3">
        <v>0</v>
      </c>
      <c r="AO181" s="3">
        <v>0</v>
      </c>
      <c r="AP181" s="3">
        <v>0</v>
      </c>
      <c r="AQ181" s="3">
        <v>0</v>
      </c>
      <c r="AR181" s="3">
        <v>0</v>
      </c>
      <c r="AS181" s="3">
        <v>0</v>
      </c>
      <c r="AT181" s="3">
        <v>90</v>
      </c>
      <c r="AU181" s="3">
        <v>46</v>
      </c>
      <c r="AV181" s="3">
        <v>1</v>
      </c>
      <c r="AW181" s="3">
        <v>1</v>
      </c>
      <c r="AZ181" s="3">
        <v>1</v>
      </c>
      <c r="BA181" s="3">
        <v>1</v>
      </c>
      <c r="BB181" s="3">
        <v>1</v>
      </c>
      <c r="BC181" s="3">
        <v>9.8800000000000008</v>
      </c>
      <c r="BD181" s="3" t="s">
        <v>3</v>
      </c>
      <c r="BE181" s="3" t="s">
        <v>3</v>
      </c>
      <c r="BF181" s="3" t="s">
        <v>3</v>
      </c>
      <c r="BG181" s="3" t="s">
        <v>3</v>
      </c>
      <c r="BH181" s="3">
        <v>3</v>
      </c>
      <c r="BI181" s="3">
        <v>2</v>
      </c>
      <c r="BJ181" s="3" t="s">
        <v>3</v>
      </c>
      <c r="BM181" s="3">
        <v>68</v>
      </c>
      <c r="BN181" s="3">
        <v>0</v>
      </c>
      <c r="BO181" s="3" t="s">
        <v>3</v>
      </c>
      <c r="BP181" s="3">
        <v>0</v>
      </c>
      <c r="BQ181" s="3">
        <v>40</v>
      </c>
      <c r="BR181" s="3">
        <v>0</v>
      </c>
      <c r="BS181" s="3">
        <v>1</v>
      </c>
      <c r="BT181" s="3">
        <v>1</v>
      </c>
      <c r="BU181" s="3">
        <v>1</v>
      </c>
      <c r="BV181" s="3">
        <v>1</v>
      </c>
      <c r="BW181" s="3">
        <v>1</v>
      </c>
      <c r="BX181" s="3">
        <v>1</v>
      </c>
      <c r="BY181" s="3" t="s">
        <v>3</v>
      </c>
      <c r="BZ181" s="3">
        <v>90</v>
      </c>
      <c r="CA181" s="3">
        <v>46</v>
      </c>
      <c r="CB181" s="3" t="s">
        <v>3</v>
      </c>
      <c r="CE181" s="3">
        <v>1566</v>
      </c>
      <c r="CF181" s="3">
        <v>0</v>
      </c>
      <c r="CG181" s="3">
        <v>0</v>
      </c>
      <c r="CM181" s="3">
        <v>0</v>
      </c>
      <c r="CN181" s="3" t="s">
        <v>369</v>
      </c>
      <c r="CO181" s="3">
        <v>0</v>
      </c>
      <c r="CP181" s="3">
        <f t="shared" si="148"/>
        <v>197162.71</v>
      </c>
      <c r="CQ181" s="3">
        <f t="shared" si="149"/>
        <v>120810.47</v>
      </c>
      <c r="CR181" s="3">
        <f t="shared" si="171"/>
        <v>0</v>
      </c>
      <c r="CS181" s="3">
        <f t="shared" si="172"/>
        <v>0</v>
      </c>
      <c r="CT181" s="3">
        <f t="shared" si="150"/>
        <v>0</v>
      </c>
      <c r="CU181" s="3">
        <f t="shared" si="151"/>
        <v>0</v>
      </c>
      <c r="CV181" s="3">
        <f t="shared" si="152"/>
        <v>0</v>
      </c>
      <c r="CW181" s="3">
        <f t="shared" si="153"/>
        <v>0</v>
      </c>
      <c r="CX181" s="3">
        <f t="shared" si="154"/>
        <v>0</v>
      </c>
      <c r="CY181" s="3">
        <f t="shared" si="173"/>
        <v>0</v>
      </c>
      <c r="CZ181" s="3">
        <f t="shared" si="174"/>
        <v>0</v>
      </c>
      <c r="DC181" s="3" t="s">
        <v>3</v>
      </c>
      <c r="DD181" s="3" t="s">
        <v>3</v>
      </c>
      <c r="DE181" s="3" t="s">
        <v>3</v>
      </c>
      <c r="DF181" s="3" t="s">
        <v>3</v>
      </c>
      <c r="DG181" s="3" t="s">
        <v>3</v>
      </c>
      <c r="DH181" s="3" t="s">
        <v>3</v>
      </c>
      <c r="DI181" s="3" t="s">
        <v>3</v>
      </c>
      <c r="DJ181" s="3" t="s">
        <v>3</v>
      </c>
      <c r="DK181" s="3" t="s">
        <v>3</v>
      </c>
      <c r="DL181" s="3" t="s">
        <v>3</v>
      </c>
      <c r="DM181" s="3" t="s">
        <v>3</v>
      </c>
      <c r="DN181" s="3">
        <v>0</v>
      </c>
      <c r="DO181" s="3">
        <v>0</v>
      </c>
      <c r="DP181" s="3">
        <v>1</v>
      </c>
      <c r="DQ181" s="3">
        <v>1</v>
      </c>
      <c r="DU181" s="3">
        <v>1003</v>
      </c>
      <c r="DV181" s="3" t="s">
        <v>233</v>
      </c>
      <c r="DW181" s="3" t="s">
        <v>233</v>
      </c>
      <c r="DX181" s="3">
        <v>1000</v>
      </c>
      <c r="DZ181" s="3" t="s">
        <v>3</v>
      </c>
      <c r="EA181" s="3" t="s">
        <v>3</v>
      </c>
      <c r="EB181" s="3" t="s">
        <v>3</v>
      </c>
      <c r="EC181" s="3" t="s">
        <v>3</v>
      </c>
      <c r="EE181" s="3">
        <v>60088532</v>
      </c>
      <c r="EF181" s="3">
        <v>40</v>
      </c>
      <c r="EG181" s="3" t="s">
        <v>26</v>
      </c>
      <c r="EH181" s="3">
        <v>0</v>
      </c>
      <c r="EI181" s="3" t="s">
        <v>3</v>
      </c>
      <c r="EJ181" s="3">
        <v>2</v>
      </c>
      <c r="EK181" s="3">
        <v>68</v>
      </c>
      <c r="EL181" s="3" t="s">
        <v>27</v>
      </c>
      <c r="EM181" s="3" t="s">
        <v>28</v>
      </c>
      <c r="EO181" s="3" t="s">
        <v>29</v>
      </c>
      <c r="EQ181" s="3">
        <v>0</v>
      </c>
      <c r="ER181" s="3">
        <v>16117.340000000002</v>
      </c>
      <c r="ES181" s="3">
        <v>12227.78</v>
      </c>
      <c r="ET181" s="3">
        <v>0</v>
      </c>
      <c r="EU181" s="3">
        <v>0</v>
      </c>
      <c r="EV181" s="3">
        <v>0</v>
      </c>
      <c r="EW181" s="3">
        <v>0</v>
      </c>
      <c r="EX181" s="3">
        <v>0</v>
      </c>
      <c r="EZ181" s="3">
        <v>5</v>
      </c>
      <c r="FC181" s="3">
        <v>1</v>
      </c>
      <c r="FD181" s="3">
        <v>18</v>
      </c>
      <c r="FF181" s="3">
        <v>142130</v>
      </c>
      <c r="FQ181" s="3">
        <v>0</v>
      </c>
      <c r="FR181" s="3">
        <v>0</v>
      </c>
      <c r="FS181" s="3">
        <v>0</v>
      </c>
      <c r="FX181" s="3">
        <v>90</v>
      </c>
      <c r="FY181" s="3">
        <v>46</v>
      </c>
      <c r="GA181" s="3" t="s">
        <v>234</v>
      </c>
      <c r="GD181" s="3">
        <v>1</v>
      </c>
      <c r="GF181" s="3">
        <v>2032324242</v>
      </c>
      <c r="GG181" s="3">
        <v>2</v>
      </c>
      <c r="GH181" s="3">
        <v>3</v>
      </c>
      <c r="GI181" s="3">
        <v>5</v>
      </c>
      <c r="GJ181" s="3">
        <v>0</v>
      </c>
      <c r="GK181" s="3">
        <v>0</v>
      </c>
      <c r="GL181" s="3">
        <f t="shared" si="155"/>
        <v>0</v>
      </c>
      <c r="GM181" s="3">
        <f t="shared" si="156"/>
        <v>197162.71</v>
      </c>
      <c r="GN181" s="3">
        <f t="shared" si="157"/>
        <v>0</v>
      </c>
      <c r="GO181" s="3">
        <f t="shared" si="158"/>
        <v>197162.71</v>
      </c>
      <c r="GP181" s="3">
        <f t="shared" si="159"/>
        <v>0</v>
      </c>
      <c r="GR181" s="3">
        <v>1</v>
      </c>
      <c r="GS181" s="3">
        <v>1</v>
      </c>
      <c r="GT181" s="3">
        <v>0</v>
      </c>
      <c r="GU181" s="3" t="s">
        <v>3</v>
      </c>
      <c r="GV181" s="3">
        <f t="shared" si="160"/>
        <v>0</v>
      </c>
      <c r="GW181" s="3">
        <v>1</v>
      </c>
      <c r="GX181" s="3">
        <f t="shared" si="161"/>
        <v>0</v>
      </c>
      <c r="HA181" s="3">
        <v>0</v>
      </c>
      <c r="HB181" s="3">
        <v>0</v>
      </c>
      <c r="HC181" s="3">
        <f t="shared" si="162"/>
        <v>0</v>
      </c>
      <c r="HE181" s="3" t="s">
        <v>35</v>
      </c>
      <c r="HF181" s="3" t="s">
        <v>30</v>
      </c>
      <c r="HM181" s="3" t="s">
        <v>24</v>
      </c>
      <c r="HN181" s="3" t="s">
        <v>3</v>
      </c>
      <c r="HO181" s="3" t="s">
        <v>3</v>
      </c>
      <c r="HP181" s="3" t="s">
        <v>3</v>
      </c>
      <c r="HQ181" s="3" t="s">
        <v>3</v>
      </c>
      <c r="HS181" s="3">
        <v>0</v>
      </c>
      <c r="IK181" s="3">
        <v>0</v>
      </c>
    </row>
    <row r="182" spans="1:255" x14ac:dyDescent="0.2">
      <c r="A182" s="2">
        <v>17</v>
      </c>
      <c r="B182" s="2">
        <v>1</v>
      </c>
      <c r="C182" s="2">
        <f>ROW(SmtRes!A118)</f>
        <v>118</v>
      </c>
      <c r="D182" s="2">
        <f>ROW(EtalonRes!A150)</f>
        <v>150</v>
      </c>
      <c r="E182" s="2" t="s">
        <v>235</v>
      </c>
      <c r="F182" s="2" t="s">
        <v>216</v>
      </c>
      <c r="G182" s="2" t="s">
        <v>217</v>
      </c>
      <c r="H182" s="2" t="s">
        <v>218</v>
      </c>
      <c r="I182" s="2">
        <f>ROUND(20/100,9)</f>
        <v>0.2</v>
      </c>
      <c r="J182" s="2">
        <v>0</v>
      </c>
      <c r="K182" s="2">
        <f>ROUND(20/100,9)</f>
        <v>0.2</v>
      </c>
      <c r="L182" s="2"/>
      <c r="M182" s="2"/>
      <c r="N182" s="2"/>
      <c r="O182" s="2">
        <f t="shared" si="138"/>
        <v>72.58</v>
      </c>
      <c r="P182" s="2">
        <f t="shared" si="139"/>
        <v>3.88</v>
      </c>
      <c r="Q182" s="2">
        <f>(ROUND((ROUND((((ET182*1.1))*AV182*I182),2)*BB182),2)+ROUND((ROUND(((AE182-((EU182*1.1)))*AV182*I182),2)*BS182),2))</f>
        <v>0.93</v>
      </c>
      <c r="R182" s="2">
        <f>(ROUND((ROUND((((EU182*1.1))*AV182*I182),2)*BS182),2)+ROUND((ROUND(((AE182-((EU182*1.1)))*AV182*I182),2)*BS182),2))</f>
        <v>0</v>
      </c>
      <c r="S182" s="2">
        <f t="shared" si="140"/>
        <v>67.77</v>
      </c>
      <c r="T182" s="2">
        <f t="shared" si="141"/>
        <v>0</v>
      </c>
      <c r="U182" s="2">
        <f t="shared" si="142"/>
        <v>5.7032184000000008</v>
      </c>
      <c r="V182" s="2">
        <f t="shared" si="143"/>
        <v>0</v>
      </c>
      <c r="W182" s="2">
        <f t="shared" si="144"/>
        <v>0</v>
      </c>
      <c r="X182" s="2">
        <f>(ROUND((((S182+ROUND((ROUND((((EU182*1.1))*AV182*I182),2)*BS182),2))*AT182)/100),2)+ROUND(((ROUND((ROUND(((AE182-((EU182*1.1)))*AV182*I182),2)*BS182),2)*AT182)/100),2))</f>
        <v>60.99</v>
      </c>
      <c r="Y182" s="2">
        <f>(ROUND((((S182+ROUND((ROUND((((EU182*1.1))*AV182*I182),2)*BS182),2))*AU182)/100),2)+ROUND(((ROUND((ROUND(((AE182-((EU182*1.1)))*AV182*I182),2)*BS182),2)*AU182)/100),2))</f>
        <v>31.17</v>
      </c>
      <c r="Z182" s="2"/>
      <c r="AA182" s="2">
        <v>60256405</v>
      </c>
      <c r="AB182" s="2">
        <f t="shared" si="145"/>
        <v>347.50599999999997</v>
      </c>
      <c r="AC182" s="2">
        <f t="shared" si="167"/>
        <v>19.420000000000002</v>
      </c>
      <c r="AD182" s="2">
        <f>ROUND(((((ET182*1.1))-((EU182*1.1)))+AE182),6)</f>
        <v>4.4550000000000001</v>
      </c>
      <c r="AE182" s="2">
        <f>ROUND(((EU182*1.1)),6)</f>
        <v>0</v>
      </c>
      <c r="AF182" s="2">
        <f>ROUND(((EV182*1.1)),6)</f>
        <v>323.63099999999997</v>
      </c>
      <c r="AG182" s="2">
        <f t="shared" si="146"/>
        <v>0</v>
      </c>
      <c r="AH182" s="2">
        <f>((EW182*1.1))</f>
        <v>27.236000000000004</v>
      </c>
      <c r="AI182" s="2">
        <f>((EX182*1.1))</f>
        <v>0</v>
      </c>
      <c r="AJ182" s="2">
        <f t="shared" si="147"/>
        <v>0</v>
      </c>
      <c r="AK182" s="2">
        <v>317.68</v>
      </c>
      <c r="AL182" s="2">
        <v>19.420000000000002</v>
      </c>
      <c r="AM182" s="2">
        <v>4.05</v>
      </c>
      <c r="AN182" s="2">
        <v>0</v>
      </c>
      <c r="AO182" s="2">
        <v>294.20999999999998</v>
      </c>
      <c r="AP182" s="2">
        <v>0</v>
      </c>
      <c r="AQ182" s="2">
        <v>24.76</v>
      </c>
      <c r="AR182" s="2">
        <v>0</v>
      </c>
      <c r="AS182" s="2">
        <v>0</v>
      </c>
      <c r="AT182" s="2">
        <v>90</v>
      </c>
      <c r="AU182" s="2">
        <v>46</v>
      </c>
      <c r="AV182" s="2">
        <v>1.0469999999999999</v>
      </c>
      <c r="AW182" s="2">
        <v>1</v>
      </c>
      <c r="AX182" s="2"/>
      <c r="AY182" s="2"/>
      <c r="AZ182" s="2">
        <v>1</v>
      </c>
      <c r="BA182" s="2">
        <v>1</v>
      </c>
      <c r="BB182" s="2">
        <v>1</v>
      </c>
      <c r="BC182" s="2">
        <v>1</v>
      </c>
      <c r="BD182" s="2" t="s">
        <v>3</v>
      </c>
      <c r="BE182" s="2" t="s">
        <v>3</v>
      </c>
      <c r="BF182" s="2" t="s">
        <v>3</v>
      </c>
      <c r="BG182" s="2" t="s">
        <v>3</v>
      </c>
      <c r="BH182" s="2">
        <v>0</v>
      </c>
      <c r="BI182" s="2">
        <v>2</v>
      </c>
      <c r="BJ182" s="2" t="s">
        <v>219</v>
      </c>
      <c r="BK182" s="2"/>
      <c r="BL182" s="2"/>
      <c r="BM182" s="2">
        <v>68</v>
      </c>
      <c r="BN182" s="2">
        <v>0</v>
      </c>
      <c r="BO182" s="2" t="s">
        <v>216</v>
      </c>
      <c r="BP182" s="2">
        <v>1</v>
      </c>
      <c r="BQ182" s="2">
        <v>40</v>
      </c>
      <c r="BR182" s="2">
        <v>0</v>
      </c>
      <c r="BS182" s="2">
        <v>1</v>
      </c>
      <c r="BT182" s="2">
        <v>1</v>
      </c>
      <c r="BU182" s="2">
        <v>1</v>
      </c>
      <c r="BV182" s="2">
        <v>1</v>
      </c>
      <c r="BW182" s="2">
        <v>1</v>
      </c>
      <c r="BX182" s="2">
        <v>1</v>
      </c>
      <c r="BY182" s="2" t="s">
        <v>3</v>
      </c>
      <c r="BZ182" s="2">
        <v>90</v>
      </c>
      <c r="CA182" s="2">
        <v>46</v>
      </c>
      <c r="CB182" s="2" t="s">
        <v>3</v>
      </c>
      <c r="CC182" s="2"/>
      <c r="CD182" s="2"/>
      <c r="CE182" s="2">
        <v>1566</v>
      </c>
      <c r="CF182" s="2">
        <v>0</v>
      </c>
      <c r="CG182" s="2">
        <v>0</v>
      </c>
      <c r="CH182" s="2"/>
      <c r="CI182" s="2"/>
      <c r="CJ182" s="2"/>
      <c r="CK182" s="2"/>
      <c r="CL182" s="2"/>
      <c r="CM182" s="2">
        <v>0</v>
      </c>
      <c r="CN182" s="2" t="s">
        <v>371</v>
      </c>
      <c r="CO182" s="2">
        <v>0</v>
      </c>
      <c r="CP182" s="2">
        <f t="shared" si="148"/>
        <v>72.58</v>
      </c>
      <c r="CQ182" s="2">
        <f t="shared" si="149"/>
        <v>19.420000000000002</v>
      </c>
      <c r="CR182" s="2">
        <f>(ROUND((ROUND((((ET182*1.1))*AV182*1),2)*BB182),2)+ROUND((ROUND(((AE182-((EU182*1.1)))*AV182*1),2)*BS182),2))</f>
        <v>4.66</v>
      </c>
      <c r="CS182" s="2">
        <f>(ROUND((ROUND((((EU182*1.1))*AV182*1),2)*BS182),2)+ROUND((ROUND(((AE182-((EU182*1.1)))*AV182*1),2)*BS182),2))</f>
        <v>0</v>
      </c>
      <c r="CT182" s="2">
        <f t="shared" si="150"/>
        <v>338.84</v>
      </c>
      <c r="CU182" s="2">
        <f t="shared" si="151"/>
        <v>0</v>
      </c>
      <c r="CV182" s="2">
        <f t="shared" si="152"/>
        <v>28.516092000000004</v>
      </c>
      <c r="CW182" s="2">
        <f t="shared" si="153"/>
        <v>0</v>
      </c>
      <c r="CX182" s="2">
        <f t="shared" si="154"/>
        <v>0</v>
      </c>
      <c r="CY182" s="2">
        <f>(ROUND((((S182+ROUND((ROUND((((EU182*1.1))*AV182*1),2)*BS182),2))*AT182)/100),2)+ROUND(((ROUND((ROUND(((AE182-((EU182*1.1)))*AV182*1),2)*BS182),2)*AT182)/100),2))</f>
        <v>60.99</v>
      </c>
      <c r="CZ182" s="2">
        <f>(ROUND((((S182+ROUND((ROUND((((EU182*1.1))*AV182*1),2)*BS182),2))*AU182)/100),2)+ROUND(((ROUND((ROUND(((AE182-((EU182*1.1)))*AV182*1),2)*BS182),2)*AU182)/100),2))</f>
        <v>31.17</v>
      </c>
      <c r="DA182" s="2"/>
      <c r="DB182" s="2">
        <v>33</v>
      </c>
      <c r="DC182" s="2" t="s">
        <v>3</v>
      </c>
      <c r="DD182" s="2" t="s">
        <v>3</v>
      </c>
      <c r="DE182" s="2" t="s">
        <v>25</v>
      </c>
      <c r="DF182" s="2" t="s">
        <v>25</v>
      </c>
      <c r="DG182" s="2" t="s">
        <v>25</v>
      </c>
      <c r="DH182" s="2" t="s">
        <v>3</v>
      </c>
      <c r="DI182" s="2" t="s">
        <v>25</v>
      </c>
      <c r="DJ182" s="2" t="s">
        <v>25</v>
      </c>
      <c r="DK182" s="2" t="s">
        <v>3</v>
      </c>
      <c r="DL182" s="2" t="s">
        <v>3</v>
      </c>
      <c r="DM182" s="2" t="s">
        <v>3</v>
      </c>
      <c r="DN182" s="2">
        <v>0</v>
      </c>
      <c r="DO182" s="2">
        <v>0</v>
      </c>
      <c r="DP182" s="2">
        <v>1</v>
      </c>
      <c r="DQ182" s="2">
        <v>1</v>
      </c>
      <c r="DR182" s="2"/>
      <c r="DS182" s="2"/>
      <c r="DT182" s="2"/>
      <c r="DU182" s="2">
        <v>1003</v>
      </c>
      <c r="DV182" s="2" t="s">
        <v>218</v>
      </c>
      <c r="DW182" s="2" t="s">
        <v>218</v>
      </c>
      <c r="DX182" s="2">
        <v>100</v>
      </c>
      <c r="DY182" s="2"/>
      <c r="DZ182" s="2" t="s">
        <v>3</v>
      </c>
      <c r="EA182" s="2" t="s">
        <v>3</v>
      </c>
      <c r="EB182" s="2" t="s">
        <v>3</v>
      </c>
      <c r="EC182" s="2" t="s">
        <v>3</v>
      </c>
      <c r="ED182" s="2"/>
      <c r="EE182" s="2">
        <v>60088532</v>
      </c>
      <c r="EF182" s="2">
        <v>40</v>
      </c>
      <c r="EG182" s="2" t="s">
        <v>26</v>
      </c>
      <c r="EH182" s="2">
        <v>0</v>
      </c>
      <c r="EI182" s="2" t="s">
        <v>3</v>
      </c>
      <c r="EJ182" s="2">
        <v>2</v>
      </c>
      <c r="EK182" s="2">
        <v>68</v>
      </c>
      <c r="EL182" s="2" t="s">
        <v>27</v>
      </c>
      <c r="EM182" s="2" t="s">
        <v>28</v>
      </c>
      <c r="EN182" s="2"/>
      <c r="EO182" s="2" t="s">
        <v>236</v>
      </c>
      <c r="EP182" s="2"/>
      <c r="EQ182" s="2">
        <v>0</v>
      </c>
      <c r="ER182" s="2">
        <v>317.68</v>
      </c>
      <c r="ES182" s="2">
        <v>19.420000000000002</v>
      </c>
      <c r="ET182" s="2">
        <v>4.05</v>
      </c>
      <c r="EU182" s="2">
        <v>0</v>
      </c>
      <c r="EV182" s="2">
        <v>294.20999999999998</v>
      </c>
      <c r="EW182" s="2">
        <v>24.76</v>
      </c>
      <c r="EX182" s="2">
        <v>0</v>
      </c>
      <c r="EY182" s="2">
        <v>0</v>
      </c>
      <c r="EZ182" s="2"/>
      <c r="FA182" s="2"/>
      <c r="FB182" s="2"/>
      <c r="FC182" s="2"/>
      <c r="FD182" s="2"/>
      <c r="FE182" s="2"/>
      <c r="FF182" s="2"/>
      <c r="FG182" s="2"/>
      <c r="FH182" s="2"/>
      <c r="FI182" s="2"/>
      <c r="FJ182" s="2"/>
      <c r="FK182" s="2"/>
      <c r="FL182" s="2"/>
      <c r="FM182" s="2"/>
      <c r="FN182" s="2"/>
      <c r="FO182" s="2"/>
      <c r="FP182" s="2"/>
      <c r="FQ182" s="2">
        <v>0</v>
      </c>
      <c r="FR182" s="2">
        <v>0</v>
      </c>
      <c r="FS182" s="2">
        <v>0</v>
      </c>
      <c r="FT182" s="2"/>
      <c r="FU182" s="2"/>
      <c r="FV182" s="2"/>
      <c r="FW182" s="2"/>
      <c r="FX182" s="2">
        <v>90</v>
      </c>
      <c r="FY182" s="2">
        <v>46</v>
      </c>
      <c r="FZ182" s="2"/>
      <c r="GA182" s="2" t="s">
        <v>3</v>
      </c>
      <c r="GB182" s="2"/>
      <c r="GC182" s="2"/>
      <c r="GD182" s="2">
        <v>1</v>
      </c>
      <c r="GE182" s="2"/>
      <c r="GF182" s="2">
        <v>-670664398</v>
      </c>
      <c r="GG182" s="2">
        <v>2</v>
      </c>
      <c r="GH182" s="2">
        <v>1</v>
      </c>
      <c r="GI182" s="2">
        <v>2</v>
      </c>
      <c r="GJ182" s="2">
        <v>0</v>
      </c>
      <c r="GK182" s="2">
        <v>0</v>
      </c>
      <c r="GL182" s="2">
        <f t="shared" si="155"/>
        <v>0</v>
      </c>
      <c r="GM182" s="2">
        <f t="shared" si="156"/>
        <v>164.74</v>
      </c>
      <c r="GN182" s="2">
        <f t="shared" si="157"/>
        <v>0</v>
      </c>
      <c r="GO182" s="2">
        <f t="shared" si="158"/>
        <v>164.74</v>
      </c>
      <c r="GP182" s="2">
        <f t="shared" si="159"/>
        <v>0</v>
      </c>
      <c r="GQ182" s="2"/>
      <c r="GR182" s="2">
        <v>0</v>
      </c>
      <c r="GS182" s="2">
        <v>3</v>
      </c>
      <c r="GT182" s="2">
        <v>0</v>
      </c>
      <c r="GU182" s="2" t="s">
        <v>3</v>
      </c>
      <c r="GV182" s="2">
        <f t="shared" si="160"/>
        <v>0</v>
      </c>
      <c r="GW182" s="2">
        <v>1</v>
      </c>
      <c r="GX182" s="2">
        <f t="shared" si="161"/>
        <v>0</v>
      </c>
      <c r="GY182" s="2"/>
      <c r="GZ182" s="2"/>
      <c r="HA182" s="2">
        <v>0</v>
      </c>
      <c r="HB182" s="2">
        <v>0</v>
      </c>
      <c r="HC182" s="2">
        <f t="shared" si="162"/>
        <v>0</v>
      </c>
      <c r="HD182" s="2"/>
      <c r="HE182" s="2" t="s">
        <v>3</v>
      </c>
      <c r="HF182" s="2" t="s">
        <v>3</v>
      </c>
      <c r="HG182" s="2"/>
      <c r="HH182" s="2"/>
      <c r="HI182" s="2"/>
      <c r="HJ182" s="2"/>
      <c r="HK182" s="2"/>
      <c r="HL182" s="2"/>
      <c r="HM182" s="2" t="s">
        <v>3</v>
      </c>
      <c r="HN182" s="2" t="s">
        <v>3</v>
      </c>
      <c r="HO182" s="2" t="s">
        <v>3</v>
      </c>
      <c r="HP182" s="2" t="s">
        <v>3</v>
      </c>
      <c r="HQ182" s="2" t="s">
        <v>3</v>
      </c>
      <c r="HR182" s="2"/>
      <c r="HS182" s="2">
        <v>0</v>
      </c>
      <c r="HT182" s="2"/>
      <c r="HU182" s="2"/>
      <c r="HV182" s="2"/>
      <c r="HW182" s="2"/>
      <c r="HX182" s="2"/>
      <c r="HY182" s="2"/>
      <c r="HZ182" s="2"/>
      <c r="IA182" s="2"/>
      <c r="IB182" s="2"/>
      <c r="IC182" s="2"/>
      <c r="ID182" s="2"/>
      <c r="IE182" s="2"/>
      <c r="IF182" s="2"/>
      <c r="IG182" s="2"/>
      <c r="IH182" s="2"/>
      <c r="II182" s="2"/>
      <c r="IJ182" s="2"/>
      <c r="IK182" s="2">
        <v>0</v>
      </c>
      <c r="IL182" s="2"/>
      <c r="IM182" s="2"/>
      <c r="IN182" s="2"/>
      <c r="IO182" s="2"/>
      <c r="IP182" s="2"/>
      <c r="IQ182" s="2"/>
      <c r="IR182" s="2"/>
      <c r="IS182" s="2"/>
      <c r="IT182" s="2"/>
      <c r="IU182" s="2"/>
    </row>
    <row r="183" spans="1:255" x14ac:dyDescent="0.2">
      <c r="A183" s="3">
        <v>17</v>
      </c>
      <c r="B183" s="3">
        <v>1</v>
      </c>
      <c r="C183" s="3">
        <f>ROW(SmtRes!A126)</f>
        <v>126</v>
      </c>
      <c r="D183" s="3">
        <f>ROW(EtalonRes!A160)</f>
        <v>160</v>
      </c>
      <c r="E183" s="3" t="s">
        <v>235</v>
      </c>
      <c r="F183" s="3" t="s">
        <v>216</v>
      </c>
      <c r="G183" s="3" t="s">
        <v>217</v>
      </c>
      <c r="H183" s="3" t="s">
        <v>218</v>
      </c>
      <c r="I183" s="3">
        <f>ROUND(20/100,9)</f>
        <v>0.2</v>
      </c>
      <c r="J183" s="3">
        <v>0</v>
      </c>
      <c r="K183" s="3">
        <f>ROUND(20/100,9)</f>
        <v>0.2</v>
      </c>
      <c r="O183" s="3">
        <f t="shared" si="138"/>
        <v>3760.62</v>
      </c>
      <c r="P183" s="3">
        <f t="shared" si="139"/>
        <v>25.84</v>
      </c>
      <c r="Q183" s="3">
        <f>(ROUND((ROUND((((ET183*1.1))*AV183*I183),2)*BB183),2)+ROUND((ROUND(((AE183-((EU183*1.1)))*AV183*I183),2)*BS183),2))</f>
        <v>8.11</v>
      </c>
      <c r="R183" s="3">
        <f>(ROUND((ROUND((((EU183*1.1))*AV183*I183),2)*BS183),2)+ROUND((ROUND(((AE183-((EU183*1.1)))*AV183*I183),2)*BS183),2))</f>
        <v>0</v>
      </c>
      <c r="S183" s="3">
        <f t="shared" si="140"/>
        <v>3726.67</v>
      </c>
      <c r="T183" s="3">
        <f t="shared" si="141"/>
        <v>0</v>
      </c>
      <c r="U183" s="3">
        <f t="shared" si="142"/>
        <v>5.7032184000000008</v>
      </c>
      <c r="V183" s="3">
        <f t="shared" si="143"/>
        <v>0</v>
      </c>
      <c r="W183" s="3">
        <f t="shared" si="144"/>
        <v>0</v>
      </c>
      <c r="X183" s="3">
        <f>(ROUND((((S183+ROUND((ROUND((((EU183*1.1))*AV183*I183),2)*BS183),2))*AT183)/100),2)+ROUND(((ROUND((ROUND(((AE183-((EU183*1.1)))*AV183*I183),2)*BS183),2)*AT183)/100),2))</f>
        <v>3354</v>
      </c>
      <c r="Y183" s="3">
        <f>(ROUND((((S183+ROUND((ROUND((((EU183*1.1))*AV183*I183),2)*BS183),2))*AU183)/100),2)+ROUND(((ROUND((ROUND(((AE183-((EU183*1.1)))*AV183*I183),2)*BS183),2)*AU183)/100),2))</f>
        <v>1714.27</v>
      </c>
      <c r="AA183" s="3">
        <v>60256402</v>
      </c>
      <c r="AB183" s="3">
        <f t="shared" si="145"/>
        <v>347.50599999999997</v>
      </c>
      <c r="AC183" s="3">
        <f t="shared" si="167"/>
        <v>19.420000000000002</v>
      </c>
      <c r="AD183" s="3">
        <f>ROUND(((((ET183*1.1))-((EU183*1.1)))+AE183),6)</f>
        <v>4.4550000000000001</v>
      </c>
      <c r="AE183" s="3">
        <f>ROUND(((EU183*1.1)),6)</f>
        <v>0</v>
      </c>
      <c r="AF183" s="3">
        <f>ROUND(((EV183*1.1)),6)</f>
        <v>323.63099999999997</v>
      </c>
      <c r="AG183" s="3">
        <f t="shared" si="146"/>
        <v>0</v>
      </c>
      <c r="AH183" s="3">
        <f>((EW183*1.1))</f>
        <v>27.236000000000004</v>
      </c>
      <c r="AI183" s="3">
        <f>((EX183*1.1))</f>
        <v>0</v>
      </c>
      <c r="AJ183" s="3">
        <f t="shared" si="147"/>
        <v>0</v>
      </c>
      <c r="AK183" s="3">
        <v>317.68</v>
      </c>
      <c r="AL183" s="3">
        <v>19.420000000000002</v>
      </c>
      <c r="AM183" s="3">
        <v>4.05</v>
      </c>
      <c r="AN183" s="3">
        <v>0</v>
      </c>
      <c r="AO183" s="3">
        <v>294.20999999999998</v>
      </c>
      <c r="AP183" s="3">
        <v>0</v>
      </c>
      <c r="AQ183" s="3">
        <v>24.76</v>
      </c>
      <c r="AR183" s="3">
        <v>0</v>
      </c>
      <c r="AS183" s="3">
        <v>0</v>
      </c>
      <c r="AT183" s="3">
        <v>90</v>
      </c>
      <c r="AU183" s="3">
        <v>46</v>
      </c>
      <c r="AV183" s="3">
        <v>1.0469999999999999</v>
      </c>
      <c r="AW183" s="3">
        <v>1</v>
      </c>
      <c r="AZ183" s="3">
        <v>1</v>
      </c>
      <c r="BA183" s="3">
        <v>54.99</v>
      </c>
      <c r="BB183" s="3">
        <v>8.7200000000000006</v>
      </c>
      <c r="BC183" s="3">
        <v>6.66</v>
      </c>
      <c r="BD183" s="3" t="s">
        <v>3</v>
      </c>
      <c r="BE183" s="3" t="s">
        <v>3</v>
      </c>
      <c r="BF183" s="3" t="s">
        <v>3</v>
      </c>
      <c r="BG183" s="3" t="s">
        <v>3</v>
      </c>
      <c r="BH183" s="3">
        <v>0</v>
      </c>
      <c r="BI183" s="3">
        <v>2</v>
      </c>
      <c r="BJ183" s="3" t="s">
        <v>219</v>
      </c>
      <c r="BM183" s="3">
        <v>68</v>
      </c>
      <c r="BN183" s="3">
        <v>0</v>
      </c>
      <c r="BO183" s="3" t="s">
        <v>216</v>
      </c>
      <c r="BP183" s="3">
        <v>1</v>
      </c>
      <c r="BQ183" s="3">
        <v>40</v>
      </c>
      <c r="BR183" s="3">
        <v>0</v>
      </c>
      <c r="BS183" s="3">
        <v>54.99</v>
      </c>
      <c r="BT183" s="3">
        <v>1</v>
      </c>
      <c r="BU183" s="3">
        <v>1</v>
      </c>
      <c r="BV183" s="3">
        <v>1</v>
      </c>
      <c r="BW183" s="3">
        <v>1</v>
      </c>
      <c r="BX183" s="3">
        <v>1</v>
      </c>
      <c r="BY183" s="3" t="s">
        <v>3</v>
      </c>
      <c r="BZ183" s="3">
        <v>90</v>
      </c>
      <c r="CA183" s="3">
        <v>46</v>
      </c>
      <c r="CB183" s="3" t="s">
        <v>3</v>
      </c>
      <c r="CE183" s="3">
        <v>1566</v>
      </c>
      <c r="CF183" s="3">
        <v>0</v>
      </c>
      <c r="CG183" s="3">
        <v>0</v>
      </c>
      <c r="CM183" s="3">
        <v>0</v>
      </c>
      <c r="CN183" s="3" t="s">
        <v>371</v>
      </c>
      <c r="CO183" s="3">
        <v>0</v>
      </c>
      <c r="CP183" s="3">
        <f t="shared" si="148"/>
        <v>3760.62</v>
      </c>
      <c r="CQ183" s="3">
        <f t="shared" si="149"/>
        <v>129.34</v>
      </c>
      <c r="CR183" s="3">
        <f>(ROUND((ROUND((((ET183*1.1))*AV183*1),2)*BB183),2)+ROUND((ROUND(((AE183-((EU183*1.1)))*AV183*1),2)*BS183),2))</f>
        <v>40.64</v>
      </c>
      <c r="CS183" s="3">
        <f>(ROUND((ROUND((((EU183*1.1))*AV183*1),2)*BS183),2)+ROUND((ROUND(((AE183-((EU183*1.1)))*AV183*1),2)*BS183),2))</f>
        <v>0</v>
      </c>
      <c r="CT183" s="3">
        <f t="shared" si="150"/>
        <v>18632.810000000001</v>
      </c>
      <c r="CU183" s="3">
        <f t="shared" si="151"/>
        <v>0</v>
      </c>
      <c r="CV183" s="3">
        <f t="shared" si="152"/>
        <v>28.516092000000004</v>
      </c>
      <c r="CW183" s="3">
        <f t="shared" si="153"/>
        <v>0</v>
      </c>
      <c r="CX183" s="3">
        <f t="shared" si="154"/>
        <v>0</v>
      </c>
      <c r="CY183" s="3">
        <f>(ROUND((((S183+ROUND((ROUND((((EU183*1.1))*AV183*1),2)*BS183),2))*AT183)/100),2)+ROUND(((ROUND((ROUND(((AE183-((EU183*1.1)))*AV183*1),2)*BS183),2)*AT183)/100),2))</f>
        <v>3354</v>
      </c>
      <c r="CZ183" s="3">
        <f>(ROUND((((S183+ROUND((ROUND((((EU183*1.1))*AV183*1),2)*BS183),2))*AU183)/100),2)+ROUND(((ROUND((ROUND(((AE183-((EU183*1.1)))*AV183*1),2)*BS183),2)*AU183)/100),2))</f>
        <v>1714.27</v>
      </c>
      <c r="DB183" s="3">
        <v>34</v>
      </c>
      <c r="DC183" s="3" t="s">
        <v>3</v>
      </c>
      <c r="DD183" s="3" t="s">
        <v>3</v>
      </c>
      <c r="DE183" s="3" t="s">
        <v>25</v>
      </c>
      <c r="DF183" s="3" t="s">
        <v>25</v>
      </c>
      <c r="DG183" s="3" t="s">
        <v>25</v>
      </c>
      <c r="DH183" s="3" t="s">
        <v>3</v>
      </c>
      <c r="DI183" s="3" t="s">
        <v>25</v>
      </c>
      <c r="DJ183" s="3" t="s">
        <v>25</v>
      </c>
      <c r="DK183" s="3" t="s">
        <v>3</v>
      </c>
      <c r="DL183" s="3" t="s">
        <v>3</v>
      </c>
      <c r="DM183" s="3" t="s">
        <v>3</v>
      </c>
      <c r="DN183" s="3">
        <v>0</v>
      </c>
      <c r="DO183" s="3">
        <v>0</v>
      </c>
      <c r="DP183" s="3">
        <v>1</v>
      </c>
      <c r="DQ183" s="3">
        <v>1</v>
      </c>
      <c r="DU183" s="3">
        <v>1003</v>
      </c>
      <c r="DV183" s="3" t="s">
        <v>218</v>
      </c>
      <c r="DW183" s="3" t="s">
        <v>218</v>
      </c>
      <c r="DX183" s="3">
        <v>100</v>
      </c>
      <c r="DZ183" s="3" t="s">
        <v>3</v>
      </c>
      <c r="EA183" s="3" t="s">
        <v>3</v>
      </c>
      <c r="EB183" s="3" t="s">
        <v>3</v>
      </c>
      <c r="EC183" s="3" t="s">
        <v>3</v>
      </c>
      <c r="EE183" s="3">
        <v>60088532</v>
      </c>
      <c r="EF183" s="3">
        <v>40</v>
      </c>
      <c r="EG183" s="3" t="s">
        <v>26</v>
      </c>
      <c r="EH183" s="3">
        <v>0</v>
      </c>
      <c r="EI183" s="3" t="s">
        <v>3</v>
      </c>
      <c r="EJ183" s="3">
        <v>2</v>
      </c>
      <c r="EK183" s="3">
        <v>68</v>
      </c>
      <c r="EL183" s="3" t="s">
        <v>27</v>
      </c>
      <c r="EM183" s="3" t="s">
        <v>28</v>
      </c>
      <c r="EO183" s="3" t="s">
        <v>236</v>
      </c>
      <c r="EQ183" s="3">
        <v>0</v>
      </c>
      <c r="ER183" s="3">
        <v>317.68</v>
      </c>
      <c r="ES183" s="3">
        <v>19.420000000000002</v>
      </c>
      <c r="ET183" s="3">
        <v>4.05</v>
      </c>
      <c r="EU183" s="3">
        <v>0</v>
      </c>
      <c r="EV183" s="3">
        <v>294.20999999999998</v>
      </c>
      <c r="EW183" s="3">
        <v>24.76</v>
      </c>
      <c r="EX183" s="3">
        <v>0</v>
      </c>
      <c r="EY183" s="3">
        <v>0</v>
      </c>
      <c r="FQ183" s="3">
        <v>0</v>
      </c>
      <c r="FR183" s="3">
        <v>0</v>
      </c>
      <c r="FS183" s="3">
        <v>0</v>
      </c>
      <c r="FX183" s="3">
        <v>90</v>
      </c>
      <c r="FY183" s="3">
        <v>46</v>
      </c>
      <c r="GA183" s="3" t="s">
        <v>3</v>
      </c>
      <c r="GD183" s="3">
        <v>1</v>
      </c>
      <c r="GF183" s="3">
        <v>-670664398</v>
      </c>
      <c r="GG183" s="3">
        <v>2</v>
      </c>
      <c r="GH183" s="3">
        <v>1</v>
      </c>
      <c r="GI183" s="3">
        <v>2</v>
      </c>
      <c r="GJ183" s="3">
        <v>0</v>
      </c>
      <c r="GK183" s="3">
        <v>0</v>
      </c>
      <c r="GL183" s="3">
        <f t="shared" si="155"/>
        <v>0</v>
      </c>
      <c r="GM183" s="3">
        <f t="shared" si="156"/>
        <v>8828.89</v>
      </c>
      <c r="GN183" s="3">
        <f t="shared" si="157"/>
        <v>0</v>
      </c>
      <c r="GO183" s="3">
        <f t="shared" si="158"/>
        <v>8828.89</v>
      </c>
      <c r="GP183" s="3">
        <f t="shared" si="159"/>
        <v>0</v>
      </c>
      <c r="GR183" s="3">
        <v>0</v>
      </c>
      <c r="GS183" s="3">
        <v>3</v>
      </c>
      <c r="GT183" s="3">
        <v>0</v>
      </c>
      <c r="GU183" s="3" t="s">
        <v>3</v>
      </c>
      <c r="GV183" s="3">
        <f t="shared" si="160"/>
        <v>0</v>
      </c>
      <c r="GW183" s="3">
        <v>1</v>
      </c>
      <c r="GX183" s="3">
        <f t="shared" si="161"/>
        <v>0</v>
      </c>
      <c r="HA183" s="3">
        <v>0</v>
      </c>
      <c r="HB183" s="3">
        <v>0</v>
      </c>
      <c r="HC183" s="3">
        <f t="shared" si="162"/>
        <v>0</v>
      </c>
      <c r="HE183" s="3" t="s">
        <v>3</v>
      </c>
      <c r="HF183" s="3" t="s">
        <v>3</v>
      </c>
      <c r="HM183" s="3" t="s">
        <v>3</v>
      </c>
      <c r="HN183" s="3" t="s">
        <v>3</v>
      </c>
      <c r="HO183" s="3" t="s">
        <v>3</v>
      </c>
      <c r="HP183" s="3" t="s">
        <v>3</v>
      </c>
      <c r="HQ183" s="3" t="s">
        <v>3</v>
      </c>
      <c r="HS183" s="3">
        <v>0</v>
      </c>
      <c r="IK183" s="3">
        <v>0</v>
      </c>
    </row>
    <row r="184" spans="1:255" x14ac:dyDescent="0.2">
      <c r="A184" s="2">
        <v>18</v>
      </c>
      <c r="B184" s="2">
        <v>1</v>
      </c>
      <c r="C184" s="2">
        <v>114</v>
      </c>
      <c r="D184" s="2"/>
      <c r="E184" s="2" t="s">
        <v>237</v>
      </c>
      <c r="F184" s="2" t="s">
        <v>221</v>
      </c>
      <c r="G184" s="2" t="s">
        <v>222</v>
      </c>
      <c r="H184" s="2" t="s">
        <v>223</v>
      </c>
      <c r="I184" s="2">
        <f>I182*J184</f>
        <v>20.399999999999999</v>
      </c>
      <c r="J184" s="2">
        <v>101.99999999999999</v>
      </c>
      <c r="K184" s="2">
        <v>102</v>
      </c>
      <c r="L184" s="2"/>
      <c r="M184" s="2"/>
      <c r="N184" s="2"/>
      <c r="O184" s="2">
        <f t="shared" si="138"/>
        <v>70.38</v>
      </c>
      <c r="P184" s="2">
        <f t="shared" si="139"/>
        <v>70.38</v>
      </c>
      <c r="Q184" s="2">
        <f t="shared" ref="Q184:Q191" si="175">(ROUND((ROUND(((ET184)*AV184*I184),2)*BB184),2)+ROUND((ROUND(((AE184-(EU184))*AV184*I184),2)*BS184),2))</f>
        <v>0</v>
      </c>
      <c r="R184" s="2">
        <f t="shared" ref="R184:R191" si="176">(ROUND((ROUND(((EU184)*AV184*I184),2)*BS184),2)+ROUND((ROUND(((AE184-(EU184))*AV184*I184),2)*BS184),2))</f>
        <v>0</v>
      </c>
      <c r="S184" s="2">
        <f t="shared" si="140"/>
        <v>0</v>
      </c>
      <c r="T184" s="2">
        <f t="shared" si="141"/>
        <v>0</v>
      </c>
      <c r="U184" s="2">
        <f t="shared" si="142"/>
        <v>0</v>
      </c>
      <c r="V184" s="2">
        <f t="shared" si="143"/>
        <v>0</v>
      </c>
      <c r="W184" s="2">
        <f t="shared" si="144"/>
        <v>0</v>
      </c>
      <c r="X184" s="2">
        <f t="shared" ref="X184:X191" si="177">(ROUND((((S184+ROUND((ROUND(((EU184)*AV184*I184),2)*BS184),2))*AT184)/100),2)+ROUND(((ROUND((ROUND(((AE184-(EU184))*AV184*I184),2)*BS184),2)*AT184)/100),2))</f>
        <v>0</v>
      </c>
      <c r="Y184" s="2">
        <f t="shared" ref="Y184:Y191" si="178">(ROUND((((S184+ROUND((ROUND(((EU184)*AV184*I184),2)*BS184),2))*AU184)/100),2)+ROUND(((ROUND((ROUND(((AE184-(EU184))*AV184*I184),2)*BS184),2)*AU184)/100),2))</f>
        <v>0</v>
      </c>
      <c r="Z184" s="2"/>
      <c r="AA184" s="2">
        <v>60256405</v>
      </c>
      <c r="AB184" s="2">
        <f t="shared" si="145"/>
        <v>3.45</v>
      </c>
      <c r="AC184" s="2">
        <f t="shared" si="167"/>
        <v>3.45</v>
      </c>
      <c r="AD184" s="2">
        <f t="shared" ref="AD184:AD191" si="179">ROUND((((ET184)-(EU184))+AE184),6)</f>
        <v>0</v>
      </c>
      <c r="AE184" s="2">
        <f t="shared" ref="AE184:AF191" si="180">ROUND((EU184),6)</f>
        <v>0</v>
      </c>
      <c r="AF184" s="2">
        <f t="shared" si="180"/>
        <v>0</v>
      </c>
      <c r="AG184" s="2">
        <f t="shared" si="146"/>
        <v>0</v>
      </c>
      <c r="AH184" s="2">
        <f t="shared" ref="AH184:AI191" si="181">(EW184)</f>
        <v>0</v>
      </c>
      <c r="AI184" s="2">
        <f t="shared" si="181"/>
        <v>0</v>
      </c>
      <c r="AJ184" s="2">
        <f t="shared" si="147"/>
        <v>0</v>
      </c>
      <c r="AK184" s="2">
        <v>3.45</v>
      </c>
      <c r="AL184" s="2">
        <v>3.45</v>
      </c>
      <c r="AM184" s="2">
        <v>0</v>
      </c>
      <c r="AN184" s="2">
        <v>0</v>
      </c>
      <c r="AO184" s="2">
        <v>0</v>
      </c>
      <c r="AP184" s="2">
        <v>0</v>
      </c>
      <c r="AQ184" s="2">
        <v>0</v>
      </c>
      <c r="AR184" s="2">
        <v>0</v>
      </c>
      <c r="AS184" s="2">
        <v>0</v>
      </c>
      <c r="AT184" s="2">
        <v>90</v>
      </c>
      <c r="AU184" s="2">
        <v>46</v>
      </c>
      <c r="AV184" s="2">
        <v>1</v>
      </c>
      <c r="AW184" s="2">
        <v>1</v>
      </c>
      <c r="AX184" s="2"/>
      <c r="AY184" s="2"/>
      <c r="AZ184" s="2">
        <v>1</v>
      </c>
      <c r="BA184" s="2">
        <v>1</v>
      </c>
      <c r="BB184" s="2">
        <v>1</v>
      </c>
      <c r="BC184" s="2">
        <v>1</v>
      </c>
      <c r="BD184" s="2" t="s">
        <v>3</v>
      </c>
      <c r="BE184" s="2" t="s">
        <v>3</v>
      </c>
      <c r="BF184" s="2" t="s">
        <v>3</v>
      </c>
      <c r="BG184" s="2" t="s">
        <v>3</v>
      </c>
      <c r="BH184" s="2">
        <v>3</v>
      </c>
      <c r="BI184" s="2">
        <v>2</v>
      </c>
      <c r="BJ184" s="2" t="s">
        <v>224</v>
      </c>
      <c r="BK184" s="2"/>
      <c r="BL184" s="2"/>
      <c r="BM184" s="2">
        <v>68</v>
      </c>
      <c r="BN184" s="2">
        <v>0</v>
      </c>
      <c r="BO184" s="2" t="s">
        <v>3</v>
      </c>
      <c r="BP184" s="2">
        <v>0</v>
      </c>
      <c r="BQ184" s="2">
        <v>40</v>
      </c>
      <c r="BR184" s="2">
        <v>0</v>
      </c>
      <c r="BS184" s="2">
        <v>1</v>
      </c>
      <c r="BT184" s="2">
        <v>1</v>
      </c>
      <c r="BU184" s="2">
        <v>1</v>
      </c>
      <c r="BV184" s="2">
        <v>1</v>
      </c>
      <c r="BW184" s="2">
        <v>1</v>
      </c>
      <c r="BX184" s="2">
        <v>1</v>
      </c>
      <c r="BY184" s="2" t="s">
        <v>3</v>
      </c>
      <c r="BZ184" s="2">
        <v>90</v>
      </c>
      <c r="CA184" s="2">
        <v>46</v>
      </c>
      <c r="CB184" s="2" t="s">
        <v>3</v>
      </c>
      <c r="CC184" s="2"/>
      <c r="CD184" s="2"/>
      <c r="CE184" s="2">
        <v>1566</v>
      </c>
      <c r="CF184" s="2">
        <v>0</v>
      </c>
      <c r="CG184" s="2">
        <v>0</v>
      </c>
      <c r="CH184" s="2"/>
      <c r="CI184" s="2"/>
      <c r="CJ184" s="2"/>
      <c r="CK184" s="2"/>
      <c r="CL184" s="2"/>
      <c r="CM184" s="2">
        <v>0</v>
      </c>
      <c r="CN184" s="2" t="s">
        <v>3</v>
      </c>
      <c r="CO184" s="2">
        <v>0</v>
      </c>
      <c r="CP184" s="2">
        <f t="shared" si="148"/>
        <v>70.38</v>
      </c>
      <c r="CQ184" s="2">
        <f t="shared" si="149"/>
        <v>3.45</v>
      </c>
      <c r="CR184" s="2">
        <f t="shared" ref="CR184:CR191" si="182">(ROUND((ROUND(((ET184)*AV184*1),2)*BB184),2)+ROUND((ROUND(((AE184-(EU184))*AV184*1),2)*BS184),2))</f>
        <v>0</v>
      </c>
      <c r="CS184" s="2">
        <f t="shared" ref="CS184:CS191" si="183">(ROUND((ROUND(((EU184)*AV184*1),2)*BS184),2)+ROUND((ROUND(((AE184-(EU184))*AV184*1),2)*BS184),2))</f>
        <v>0</v>
      </c>
      <c r="CT184" s="2">
        <f t="shared" si="150"/>
        <v>0</v>
      </c>
      <c r="CU184" s="2">
        <f t="shared" si="151"/>
        <v>0</v>
      </c>
      <c r="CV184" s="2">
        <f t="shared" si="152"/>
        <v>0</v>
      </c>
      <c r="CW184" s="2">
        <f t="shared" si="153"/>
        <v>0</v>
      </c>
      <c r="CX184" s="2">
        <f t="shared" si="154"/>
        <v>0</v>
      </c>
      <c r="CY184" s="2">
        <f t="shared" ref="CY184:CY191" si="184">(ROUND((((S184+ROUND((ROUND(((EU184)*AV184*1),2)*BS184),2))*AT184)/100),2)+ROUND(((ROUND((ROUND(((AE184-(EU184))*AV184*1),2)*BS184),2)*AT184)/100),2))</f>
        <v>0</v>
      </c>
      <c r="CZ184" s="2">
        <f t="shared" ref="CZ184:CZ191" si="185">(ROUND((((S184+ROUND((ROUND(((EU184)*AV184*1),2)*BS184),2))*AU184)/100),2)+ROUND(((ROUND((ROUND(((AE184-(EU184))*AV184*1),2)*BS184),2)*AU184)/100),2))</f>
        <v>0</v>
      </c>
      <c r="DA184" s="2"/>
      <c r="DB184" s="2"/>
      <c r="DC184" s="2" t="s">
        <v>3</v>
      </c>
      <c r="DD184" s="2" t="s">
        <v>3</v>
      </c>
      <c r="DE184" s="2" t="s">
        <v>3</v>
      </c>
      <c r="DF184" s="2" t="s">
        <v>3</v>
      </c>
      <c r="DG184" s="2" t="s">
        <v>3</v>
      </c>
      <c r="DH184" s="2" t="s">
        <v>3</v>
      </c>
      <c r="DI184" s="2" t="s">
        <v>3</v>
      </c>
      <c r="DJ184" s="2" t="s">
        <v>3</v>
      </c>
      <c r="DK184" s="2" t="s">
        <v>3</v>
      </c>
      <c r="DL184" s="2" t="s">
        <v>3</v>
      </c>
      <c r="DM184" s="2" t="s">
        <v>3</v>
      </c>
      <c r="DN184" s="2">
        <v>0</v>
      </c>
      <c r="DO184" s="2">
        <v>0</v>
      </c>
      <c r="DP184" s="2">
        <v>1</v>
      </c>
      <c r="DQ184" s="2">
        <v>1</v>
      </c>
      <c r="DR184" s="2"/>
      <c r="DS184" s="2"/>
      <c r="DT184" s="2"/>
      <c r="DU184" s="2">
        <v>1003</v>
      </c>
      <c r="DV184" s="2" t="s">
        <v>223</v>
      </c>
      <c r="DW184" s="2" t="s">
        <v>223</v>
      </c>
      <c r="DX184" s="2">
        <v>1</v>
      </c>
      <c r="DY184" s="2"/>
      <c r="DZ184" s="2" t="s">
        <v>3</v>
      </c>
      <c r="EA184" s="2" t="s">
        <v>3</v>
      </c>
      <c r="EB184" s="2" t="s">
        <v>3</v>
      </c>
      <c r="EC184" s="2" t="s">
        <v>3</v>
      </c>
      <c r="ED184" s="2"/>
      <c r="EE184" s="2">
        <v>60088532</v>
      </c>
      <c r="EF184" s="2">
        <v>40</v>
      </c>
      <c r="EG184" s="2" t="s">
        <v>26</v>
      </c>
      <c r="EH184" s="2">
        <v>0</v>
      </c>
      <c r="EI184" s="2" t="s">
        <v>3</v>
      </c>
      <c r="EJ184" s="2">
        <v>2</v>
      </c>
      <c r="EK184" s="2">
        <v>68</v>
      </c>
      <c r="EL184" s="2" t="s">
        <v>27</v>
      </c>
      <c r="EM184" s="2" t="s">
        <v>28</v>
      </c>
      <c r="EN184" s="2"/>
      <c r="EO184" s="2" t="s">
        <v>3</v>
      </c>
      <c r="EP184" s="2"/>
      <c r="EQ184" s="2">
        <v>0</v>
      </c>
      <c r="ER184" s="2">
        <v>3.45</v>
      </c>
      <c r="ES184" s="2">
        <v>3.45</v>
      </c>
      <c r="ET184" s="2">
        <v>0</v>
      </c>
      <c r="EU184" s="2">
        <v>0</v>
      </c>
      <c r="EV184" s="2">
        <v>0</v>
      </c>
      <c r="EW184" s="2">
        <v>0</v>
      </c>
      <c r="EX184" s="2">
        <v>0</v>
      </c>
      <c r="EY184" s="2"/>
      <c r="EZ184" s="2"/>
      <c r="FA184" s="2"/>
      <c r="FB184" s="2"/>
      <c r="FC184" s="2"/>
      <c r="FD184" s="2"/>
      <c r="FE184" s="2"/>
      <c r="FF184" s="2"/>
      <c r="FG184" s="2"/>
      <c r="FH184" s="2"/>
      <c r="FI184" s="2"/>
      <c r="FJ184" s="2"/>
      <c r="FK184" s="2"/>
      <c r="FL184" s="2"/>
      <c r="FM184" s="2"/>
      <c r="FN184" s="2"/>
      <c r="FO184" s="2"/>
      <c r="FP184" s="2"/>
      <c r="FQ184" s="2">
        <v>0</v>
      </c>
      <c r="FR184" s="2">
        <v>0</v>
      </c>
      <c r="FS184" s="2">
        <v>0</v>
      </c>
      <c r="FT184" s="2"/>
      <c r="FU184" s="2"/>
      <c r="FV184" s="2"/>
      <c r="FW184" s="2"/>
      <c r="FX184" s="2">
        <v>90</v>
      </c>
      <c r="FY184" s="2">
        <v>46</v>
      </c>
      <c r="FZ184" s="2"/>
      <c r="GA184" s="2" t="s">
        <v>3</v>
      </c>
      <c r="GB184" s="2"/>
      <c r="GC184" s="2"/>
      <c r="GD184" s="2">
        <v>1</v>
      </c>
      <c r="GE184" s="2"/>
      <c r="GF184" s="2">
        <v>-1305428159</v>
      </c>
      <c r="GG184" s="2">
        <v>2</v>
      </c>
      <c r="GH184" s="2">
        <v>1</v>
      </c>
      <c r="GI184" s="2">
        <v>-2</v>
      </c>
      <c r="GJ184" s="2">
        <v>0</v>
      </c>
      <c r="GK184" s="2">
        <v>0</v>
      </c>
      <c r="GL184" s="2">
        <f t="shared" si="155"/>
        <v>0</v>
      </c>
      <c r="GM184" s="2">
        <f t="shared" si="156"/>
        <v>70.38</v>
      </c>
      <c r="GN184" s="2">
        <f t="shared" si="157"/>
        <v>0</v>
      </c>
      <c r="GO184" s="2">
        <f t="shared" si="158"/>
        <v>70.38</v>
      </c>
      <c r="GP184" s="2">
        <f t="shared" si="159"/>
        <v>0</v>
      </c>
      <c r="GQ184" s="2"/>
      <c r="GR184" s="2">
        <v>0</v>
      </c>
      <c r="GS184" s="2">
        <v>3</v>
      </c>
      <c r="GT184" s="2">
        <v>0</v>
      </c>
      <c r="GU184" s="2" t="s">
        <v>3</v>
      </c>
      <c r="GV184" s="2">
        <f t="shared" si="160"/>
        <v>0</v>
      </c>
      <c r="GW184" s="2">
        <v>1</v>
      </c>
      <c r="GX184" s="2">
        <f t="shared" si="161"/>
        <v>0</v>
      </c>
      <c r="GY184" s="2"/>
      <c r="GZ184" s="2"/>
      <c r="HA184" s="2">
        <v>0</v>
      </c>
      <c r="HB184" s="2">
        <v>0</v>
      </c>
      <c r="HC184" s="2">
        <f t="shared" si="162"/>
        <v>0</v>
      </c>
      <c r="HD184" s="2"/>
      <c r="HE184" s="2" t="s">
        <v>3</v>
      </c>
      <c r="HF184" s="2" t="s">
        <v>3</v>
      </c>
      <c r="HG184" s="2"/>
      <c r="HH184" s="2"/>
      <c r="HI184" s="2"/>
      <c r="HJ184" s="2"/>
      <c r="HK184" s="2"/>
      <c r="HL184" s="2"/>
      <c r="HM184" s="2" t="s">
        <v>3</v>
      </c>
      <c r="HN184" s="2" t="s">
        <v>3</v>
      </c>
      <c r="HO184" s="2" t="s">
        <v>3</v>
      </c>
      <c r="HP184" s="2" t="s">
        <v>3</v>
      </c>
      <c r="HQ184" s="2" t="s">
        <v>3</v>
      </c>
      <c r="HR184" s="2"/>
      <c r="HS184" s="2">
        <v>0</v>
      </c>
      <c r="HT184" s="2"/>
      <c r="HU184" s="2"/>
      <c r="HV184" s="2"/>
      <c r="HW184" s="2"/>
      <c r="HX184" s="2"/>
      <c r="HY184" s="2"/>
      <c r="HZ184" s="2"/>
      <c r="IA184" s="2"/>
      <c r="IB184" s="2"/>
      <c r="IC184" s="2"/>
      <c r="ID184" s="2"/>
      <c r="IE184" s="2"/>
      <c r="IF184" s="2"/>
      <c r="IG184" s="2"/>
      <c r="IH184" s="2"/>
      <c r="II184" s="2"/>
      <c r="IJ184" s="2"/>
      <c r="IK184" s="2">
        <v>0</v>
      </c>
      <c r="IL184" s="2"/>
      <c r="IM184" s="2"/>
      <c r="IN184" s="2"/>
      <c r="IO184" s="2"/>
      <c r="IP184" s="2"/>
      <c r="IQ184" s="2"/>
      <c r="IR184" s="2"/>
      <c r="IS184" s="2"/>
      <c r="IT184" s="2"/>
      <c r="IU184" s="2"/>
    </row>
    <row r="185" spans="1:255" x14ac:dyDescent="0.2">
      <c r="A185" s="3">
        <v>18</v>
      </c>
      <c r="B185" s="3">
        <v>1</v>
      </c>
      <c r="C185" s="3">
        <v>122</v>
      </c>
      <c r="E185" s="3" t="s">
        <v>237</v>
      </c>
      <c r="F185" s="3" t="s">
        <v>221</v>
      </c>
      <c r="G185" s="3" t="s">
        <v>222</v>
      </c>
      <c r="H185" s="3" t="s">
        <v>223</v>
      </c>
      <c r="I185" s="3">
        <f>I183*J185</f>
        <v>20.399999999999999</v>
      </c>
      <c r="J185" s="3">
        <v>101.99999999999999</v>
      </c>
      <c r="K185" s="3">
        <v>102</v>
      </c>
      <c r="O185" s="3">
        <f t="shared" si="138"/>
        <v>276.58999999999997</v>
      </c>
      <c r="P185" s="3">
        <f t="shared" si="139"/>
        <v>276.58999999999997</v>
      </c>
      <c r="Q185" s="3">
        <f t="shared" si="175"/>
        <v>0</v>
      </c>
      <c r="R185" s="3">
        <f t="shared" si="176"/>
        <v>0</v>
      </c>
      <c r="S185" s="3">
        <f t="shared" si="140"/>
        <v>0</v>
      </c>
      <c r="T185" s="3">
        <f t="shared" si="141"/>
        <v>0</v>
      </c>
      <c r="U185" s="3">
        <f t="shared" si="142"/>
        <v>0</v>
      </c>
      <c r="V185" s="3">
        <f t="shared" si="143"/>
        <v>0</v>
      </c>
      <c r="W185" s="3">
        <f t="shared" si="144"/>
        <v>0</v>
      </c>
      <c r="X185" s="3">
        <f t="shared" si="177"/>
        <v>0</v>
      </c>
      <c r="Y185" s="3">
        <f t="shared" si="178"/>
        <v>0</v>
      </c>
      <c r="AA185" s="3">
        <v>60256402</v>
      </c>
      <c r="AB185" s="3">
        <f t="shared" si="145"/>
        <v>3.45</v>
      </c>
      <c r="AC185" s="3">
        <f t="shared" si="167"/>
        <v>3.45</v>
      </c>
      <c r="AD185" s="3">
        <f t="shared" si="179"/>
        <v>0</v>
      </c>
      <c r="AE185" s="3">
        <f t="shared" si="180"/>
        <v>0</v>
      </c>
      <c r="AF185" s="3">
        <f t="shared" si="180"/>
        <v>0</v>
      </c>
      <c r="AG185" s="3">
        <f t="shared" si="146"/>
        <v>0</v>
      </c>
      <c r="AH185" s="3">
        <f t="shared" si="181"/>
        <v>0</v>
      </c>
      <c r="AI185" s="3">
        <f t="shared" si="181"/>
        <v>0</v>
      </c>
      <c r="AJ185" s="3">
        <f t="shared" si="147"/>
        <v>0</v>
      </c>
      <c r="AK185" s="3">
        <v>3.45</v>
      </c>
      <c r="AL185" s="3">
        <v>3.45</v>
      </c>
      <c r="AM185" s="3">
        <v>0</v>
      </c>
      <c r="AN185" s="3">
        <v>0</v>
      </c>
      <c r="AO185" s="3">
        <v>0</v>
      </c>
      <c r="AP185" s="3">
        <v>0</v>
      </c>
      <c r="AQ185" s="3">
        <v>0</v>
      </c>
      <c r="AR185" s="3">
        <v>0</v>
      </c>
      <c r="AS185" s="3">
        <v>0</v>
      </c>
      <c r="AT185" s="3">
        <v>90</v>
      </c>
      <c r="AU185" s="3">
        <v>46</v>
      </c>
      <c r="AV185" s="3">
        <v>1</v>
      </c>
      <c r="AW185" s="3">
        <v>1</v>
      </c>
      <c r="AZ185" s="3">
        <v>1</v>
      </c>
      <c r="BA185" s="3">
        <v>1</v>
      </c>
      <c r="BB185" s="3">
        <v>1</v>
      </c>
      <c r="BC185" s="3">
        <v>3.93</v>
      </c>
      <c r="BD185" s="3" t="s">
        <v>3</v>
      </c>
      <c r="BE185" s="3" t="s">
        <v>3</v>
      </c>
      <c r="BF185" s="3" t="s">
        <v>3</v>
      </c>
      <c r="BG185" s="3" t="s">
        <v>3</v>
      </c>
      <c r="BH185" s="3">
        <v>3</v>
      </c>
      <c r="BI185" s="3">
        <v>2</v>
      </c>
      <c r="BJ185" s="3" t="s">
        <v>224</v>
      </c>
      <c r="BM185" s="3">
        <v>68</v>
      </c>
      <c r="BN185" s="3">
        <v>0</v>
      </c>
      <c r="BO185" s="3" t="s">
        <v>221</v>
      </c>
      <c r="BP185" s="3">
        <v>1</v>
      </c>
      <c r="BQ185" s="3">
        <v>40</v>
      </c>
      <c r="BR185" s="3">
        <v>0</v>
      </c>
      <c r="BS185" s="3">
        <v>1</v>
      </c>
      <c r="BT185" s="3">
        <v>1</v>
      </c>
      <c r="BU185" s="3">
        <v>1</v>
      </c>
      <c r="BV185" s="3">
        <v>1</v>
      </c>
      <c r="BW185" s="3">
        <v>1</v>
      </c>
      <c r="BX185" s="3">
        <v>1</v>
      </c>
      <c r="BY185" s="3" t="s">
        <v>3</v>
      </c>
      <c r="BZ185" s="3">
        <v>90</v>
      </c>
      <c r="CA185" s="3">
        <v>46</v>
      </c>
      <c r="CB185" s="3" t="s">
        <v>3</v>
      </c>
      <c r="CE185" s="3">
        <v>1566</v>
      </c>
      <c r="CF185" s="3">
        <v>0</v>
      </c>
      <c r="CG185" s="3">
        <v>0</v>
      </c>
      <c r="CM185" s="3">
        <v>0</v>
      </c>
      <c r="CN185" s="3" t="s">
        <v>3</v>
      </c>
      <c r="CO185" s="3">
        <v>0</v>
      </c>
      <c r="CP185" s="3">
        <f t="shared" si="148"/>
        <v>276.58999999999997</v>
      </c>
      <c r="CQ185" s="3">
        <f t="shared" si="149"/>
        <v>13.56</v>
      </c>
      <c r="CR185" s="3">
        <f t="shared" si="182"/>
        <v>0</v>
      </c>
      <c r="CS185" s="3">
        <f t="shared" si="183"/>
        <v>0</v>
      </c>
      <c r="CT185" s="3">
        <f t="shared" si="150"/>
        <v>0</v>
      </c>
      <c r="CU185" s="3">
        <f t="shared" si="151"/>
        <v>0</v>
      </c>
      <c r="CV185" s="3">
        <f t="shared" si="152"/>
        <v>0</v>
      </c>
      <c r="CW185" s="3">
        <f t="shared" si="153"/>
        <v>0</v>
      </c>
      <c r="CX185" s="3">
        <f t="shared" si="154"/>
        <v>0</v>
      </c>
      <c r="CY185" s="3">
        <f t="shared" si="184"/>
        <v>0</v>
      </c>
      <c r="CZ185" s="3">
        <f t="shared" si="185"/>
        <v>0</v>
      </c>
      <c r="DC185" s="3" t="s">
        <v>3</v>
      </c>
      <c r="DD185" s="3" t="s">
        <v>3</v>
      </c>
      <c r="DE185" s="3" t="s">
        <v>3</v>
      </c>
      <c r="DF185" s="3" t="s">
        <v>3</v>
      </c>
      <c r="DG185" s="3" t="s">
        <v>3</v>
      </c>
      <c r="DH185" s="3" t="s">
        <v>3</v>
      </c>
      <c r="DI185" s="3" t="s">
        <v>3</v>
      </c>
      <c r="DJ185" s="3" t="s">
        <v>3</v>
      </c>
      <c r="DK185" s="3" t="s">
        <v>3</v>
      </c>
      <c r="DL185" s="3" t="s">
        <v>3</v>
      </c>
      <c r="DM185" s="3" t="s">
        <v>3</v>
      </c>
      <c r="DN185" s="3">
        <v>0</v>
      </c>
      <c r="DO185" s="3">
        <v>0</v>
      </c>
      <c r="DP185" s="3">
        <v>1</v>
      </c>
      <c r="DQ185" s="3">
        <v>1</v>
      </c>
      <c r="DU185" s="3">
        <v>1003</v>
      </c>
      <c r="DV185" s="3" t="s">
        <v>223</v>
      </c>
      <c r="DW185" s="3" t="s">
        <v>223</v>
      </c>
      <c r="DX185" s="3">
        <v>1</v>
      </c>
      <c r="DZ185" s="3" t="s">
        <v>3</v>
      </c>
      <c r="EA185" s="3" t="s">
        <v>3</v>
      </c>
      <c r="EB185" s="3" t="s">
        <v>3</v>
      </c>
      <c r="EC185" s="3" t="s">
        <v>3</v>
      </c>
      <c r="EE185" s="3">
        <v>60088532</v>
      </c>
      <c r="EF185" s="3">
        <v>40</v>
      </c>
      <c r="EG185" s="3" t="s">
        <v>26</v>
      </c>
      <c r="EH185" s="3">
        <v>0</v>
      </c>
      <c r="EI185" s="3" t="s">
        <v>3</v>
      </c>
      <c r="EJ185" s="3">
        <v>2</v>
      </c>
      <c r="EK185" s="3">
        <v>68</v>
      </c>
      <c r="EL185" s="3" t="s">
        <v>27</v>
      </c>
      <c r="EM185" s="3" t="s">
        <v>28</v>
      </c>
      <c r="EO185" s="3" t="s">
        <v>3</v>
      </c>
      <c r="EQ185" s="3">
        <v>0</v>
      </c>
      <c r="ER185" s="3">
        <v>3.45</v>
      </c>
      <c r="ES185" s="3">
        <v>3.45</v>
      </c>
      <c r="ET185" s="3">
        <v>0</v>
      </c>
      <c r="EU185" s="3">
        <v>0</v>
      </c>
      <c r="EV185" s="3">
        <v>0</v>
      </c>
      <c r="EW185" s="3">
        <v>0</v>
      </c>
      <c r="EX185" s="3">
        <v>0</v>
      </c>
      <c r="FQ185" s="3">
        <v>0</v>
      </c>
      <c r="FR185" s="3">
        <v>0</v>
      </c>
      <c r="FS185" s="3">
        <v>0</v>
      </c>
      <c r="FX185" s="3">
        <v>90</v>
      </c>
      <c r="FY185" s="3">
        <v>46</v>
      </c>
      <c r="GA185" s="3" t="s">
        <v>3</v>
      </c>
      <c r="GD185" s="3">
        <v>1</v>
      </c>
      <c r="GF185" s="3">
        <v>-1305428159</v>
      </c>
      <c r="GG185" s="3">
        <v>2</v>
      </c>
      <c r="GH185" s="3">
        <v>1</v>
      </c>
      <c r="GI185" s="3">
        <v>2</v>
      </c>
      <c r="GJ185" s="3">
        <v>0</v>
      </c>
      <c r="GK185" s="3">
        <v>0</v>
      </c>
      <c r="GL185" s="3">
        <f t="shared" si="155"/>
        <v>0</v>
      </c>
      <c r="GM185" s="3">
        <f t="shared" si="156"/>
        <v>276.58999999999997</v>
      </c>
      <c r="GN185" s="3">
        <f t="shared" si="157"/>
        <v>0</v>
      </c>
      <c r="GO185" s="3">
        <f t="shared" si="158"/>
        <v>276.58999999999997</v>
      </c>
      <c r="GP185" s="3">
        <f t="shared" si="159"/>
        <v>0</v>
      </c>
      <c r="GR185" s="3">
        <v>0</v>
      </c>
      <c r="GS185" s="3">
        <v>3</v>
      </c>
      <c r="GT185" s="3">
        <v>0</v>
      </c>
      <c r="GU185" s="3" t="s">
        <v>3</v>
      </c>
      <c r="GV185" s="3">
        <f t="shared" si="160"/>
        <v>0</v>
      </c>
      <c r="GW185" s="3">
        <v>1</v>
      </c>
      <c r="GX185" s="3">
        <f t="shared" si="161"/>
        <v>0</v>
      </c>
      <c r="HA185" s="3">
        <v>0</v>
      </c>
      <c r="HB185" s="3">
        <v>0</v>
      </c>
      <c r="HC185" s="3">
        <f t="shared" si="162"/>
        <v>0</v>
      </c>
      <c r="HE185" s="3" t="s">
        <v>3</v>
      </c>
      <c r="HF185" s="3" t="s">
        <v>3</v>
      </c>
      <c r="HM185" s="3" t="s">
        <v>3</v>
      </c>
      <c r="HN185" s="3" t="s">
        <v>3</v>
      </c>
      <c r="HO185" s="3" t="s">
        <v>3</v>
      </c>
      <c r="HP185" s="3" t="s">
        <v>3</v>
      </c>
      <c r="HQ185" s="3" t="s">
        <v>3</v>
      </c>
      <c r="HS185" s="3">
        <v>0</v>
      </c>
      <c r="IK185" s="3">
        <v>0</v>
      </c>
    </row>
    <row r="186" spans="1:255" x14ac:dyDescent="0.2">
      <c r="A186" s="2">
        <v>18</v>
      </c>
      <c r="B186" s="2">
        <v>1</v>
      </c>
      <c r="C186" s="2">
        <v>116</v>
      </c>
      <c r="D186" s="2"/>
      <c r="E186" s="2" t="s">
        <v>238</v>
      </c>
      <c r="F186" s="2" t="s">
        <v>226</v>
      </c>
      <c r="G186" s="2" t="s">
        <v>227</v>
      </c>
      <c r="H186" s="2" t="s">
        <v>228</v>
      </c>
      <c r="I186" s="2">
        <f>I182*J186</f>
        <v>4.7600000000000003E-2</v>
      </c>
      <c r="J186" s="2">
        <v>0.23800000000000002</v>
      </c>
      <c r="K186" s="2">
        <v>0.23799999999999999</v>
      </c>
      <c r="L186" s="2"/>
      <c r="M186" s="2"/>
      <c r="N186" s="2"/>
      <c r="O186" s="2">
        <f t="shared" si="138"/>
        <v>18.88</v>
      </c>
      <c r="P186" s="2">
        <f t="shared" si="139"/>
        <v>18.88</v>
      </c>
      <c r="Q186" s="2">
        <f t="shared" si="175"/>
        <v>0</v>
      </c>
      <c r="R186" s="2">
        <f t="shared" si="176"/>
        <v>0</v>
      </c>
      <c r="S186" s="2">
        <f t="shared" si="140"/>
        <v>0</v>
      </c>
      <c r="T186" s="2">
        <f t="shared" si="141"/>
        <v>0</v>
      </c>
      <c r="U186" s="2">
        <f t="shared" si="142"/>
        <v>0</v>
      </c>
      <c r="V186" s="2">
        <f t="shared" si="143"/>
        <v>0</v>
      </c>
      <c r="W186" s="2">
        <f t="shared" si="144"/>
        <v>0</v>
      </c>
      <c r="X186" s="2">
        <f t="shared" si="177"/>
        <v>0</v>
      </c>
      <c r="Y186" s="2">
        <f t="shared" si="178"/>
        <v>0</v>
      </c>
      <c r="Z186" s="2"/>
      <c r="AA186" s="2">
        <v>60256405</v>
      </c>
      <c r="AB186" s="2">
        <f t="shared" si="145"/>
        <v>396.59</v>
      </c>
      <c r="AC186" s="2">
        <f t="shared" si="167"/>
        <v>396.59</v>
      </c>
      <c r="AD186" s="2">
        <f t="shared" si="179"/>
        <v>0</v>
      </c>
      <c r="AE186" s="2">
        <f t="shared" si="180"/>
        <v>0</v>
      </c>
      <c r="AF186" s="2">
        <f t="shared" si="180"/>
        <v>0</v>
      </c>
      <c r="AG186" s="2">
        <f t="shared" si="146"/>
        <v>0</v>
      </c>
      <c r="AH186" s="2">
        <f t="shared" si="181"/>
        <v>0</v>
      </c>
      <c r="AI186" s="2">
        <f t="shared" si="181"/>
        <v>0</v>
      </c>
      <c r="AJ186" s="2">
        <f t="shared" si="147"/>
        <v>0</v>
      </c>
      <c r="AK186" s="2">
        <v>396.59</v>
      </c>
      <c r="AL186" s="2">
        <v>396.59</v>
      </c>
      <c r="AM186" s="2">
        <v>0</v>
      </c>
      <c r="AN186" s="2">
        <v>0</v>
      </c>
      <c r="AO186" s="2">
        <v>0</v>
      </c>
      <c r="AP186" s="2">
        <v>0</v>
      </c>
      <c r="AQ186" s="2">
        <v>0</v>
      </c>
      <c r="AR186" s="2">
        <v>0</v>
      </c>
      <c r="AS186" s="2">
        <v>0</v>
      </c>
      <c r="AT186" s="2">
        <v>90</v>
      </c>
      <c r="AU186" s="2">
        <v>46</v>
      </c>
      <c r="AV186" s="2">
        <v>1</v>
      </c>
      <c r="AW186" s="2">
        <v>1</v>
      </c>
      <c r="AX186" s="2"/>
      <c r="AY186" s="2"/>
      <c r="AZ186" s="2">
        <v>1</v>
      </c>
      <c r="BA186" s="2">
        <v>1</v>
      </c>
      <c r="BB186" s="2">
        <v>1</v>
      </c>
      <c r="BC186" s="2">
        <v>1</v>
      </c>
      <c r="BD186" s="2" t="s">
        <v>3</v>
      </c>
      <c r="BE186" s="2" t="s">
        <v>3</v>
      </c>
      <c r="BF186" s="2" t="s">
        <v>3</v>
      </c>
      <c r="BG186" s="2" t="s">
        <v>3</v>
      </c>
      <c r="BH186" s="2">
        <v>3</v>
      </c>
      <c r="BI186" s="2">
        <v>2</v>
      </c>
      <c r="BJ186" s="2" t="s">
        <v>229</v>
      </c>
      <c r="BK186" s="2"/>
      <c r="BL186" s="2"/>
      <c r="BM186" s="2">
        <v>68</v>
      </c>
      <c r="BN186" s="2">
        <v>0</v>
      </c>
      <c r="BO186" s="2" t="s">
        <v>3</v>
      </c>
      <c r="BP186" s="2">
        <v>0</v>
      </c>
      <c r="BQ186" s="2">
        <v>40</v>
      </c>
      <c r="BR186" s="2">
        <v>0</v>
      </c>
      <c r="BS186" s="2">
        <v>1</v>
      </c>
      <c r="BT186" s="2">
        <v>1</v>
      </c>
      <c r="BU186" s="2">
        <v>1</v>
      </c>
      <c r="BV186" s="2">
        <v>1</v>
      </c>
      <c r="BW186" s="2">
        <v>1</v>
      </c>
      <c r="BX186" s="2">
        <v>1</v>
      </c>
      <c r="BY186" s="2" t="s">
        <v>3</v>
      </c>
      <c r="BZ186" s="2">
        <v>90</v>
      </c>
      <c r="CA186" s="2">
        <v>46</v>
      </c>
      <c r="CB186" s="2" t="s">
        <v>3</v>
      </c>
      <c r="CC186" s="2"/>
      <c r="CD186" s="2"/>
      <c r="CE186" s="2">
        <v>1566</v>
      </c>
      <c r="CF186" s="2">
        <v>0</v>
      </c>
      <c r="CG186" s="2">
        <v>0</v>
      </c>
      <c r="CH186" s="2"/>
      <c r="CI186" s="2"/>
      <c r="CJ186" s="2"/>
      <c r="CK186" s="2"/>
      <c r="CL186" s="2"/>
      <c r="CM186" s="2">
        <v>0</v>
      </c>
      <c r="CN186" s="2" t="s">
        <v>3</v>
      </c>
      <c r="CO186" s="2">
        <v>0</v>
      </c>
      <c r="CP186" s="2">
        <f t="shared" si="148"/>
        <v>18.88</v>
      </c>
      <c r="CQ186" s="2">
        <f t="shared" si="149"/>
        <v>396.59</v>
      </c>
      <c r="CR186" s="2">
        <f t="shared" si="182"/>
        <v>0</v>
      </c>
      <c r="CS186" s="2">
        <f t="shared" si="183"/>
        <v>0</v>
      </c>
      <c r="CT186" s="2">
        <f t="shared" si="150"/>
        <v>0</v>
      </c>
      <c r="CU186" s="2">
        <f t="shared" si="151"/>
        <v>0</v>
      </c>
      <c r="CV186" s="2">
        <f t="shared" si="152"/>
        <v>0</v>
      </c>
      <c r="CW186" s="2">
        <f t="shared" si="153"/>
        <v>0</v>
      </c>
      <c r="CX186" s="2">
        <f t="shared" si="154"/>
        <v>0</v>
      </c>
      <c r="CY186" s="2">
        <f t="shared" si="184"/>
        <v>0</v>
      </c>
      <c r="CZ186" s="2">
        <f t="shared" si="185"/>
        <v>0</v>
      </c>
      <c r="DA186" s="2"/>
      <c r="DB186" s="2"/>
      <c r="DC186" s="2" t="s">
        <v>3</v>
      </c>
      <c r="DD186" s="2" t="s">
        <v>3</v>
      </c>
      <c r="DE186" s="2" t="s">
        <v>3</v>
      </c>
      <c r="DF186" s="2" t="s">
        <v>3</v>
      </c>
      <c r="DG186" s="2" t="s">
        <v>3</v>
      </c>
      <c r="DH186" s="2" t="s">
        <v>3</v>
      </c>
      <c r="DI186" s="2" t="s">
        <v>3</v>
      </c>
      <c r="DJ186" s="2" t="s">
        <v>3</v>
      </c>
      <c r="DK186" s="2" t="s">
        <v>3</v>
      </c>
      <c r="DL186" s="2" t="s">
        <v>3</v>
      </c>
      <c r="DM186" s="2" t="s">
        <v>3</v>
      </c>
      <c r="DN186" s="2">
        <v>0</v>
      </c>
      <c r="DO186" s="2">
        <v>0</v>
      </c>
      <c r="DP186" s="2">
        <v>1</v>
      </c>
      <c r="DQ186" s="2">
        <v>1</v>
      </c>
      <c r="DR186" s="2"/>
      <c r="DS186" s="2"/>
      <c r="DT186" s="2"/>
      <c r="DU186" s="2">
        <v>1010</v>
      </c>
      <c r="DV186" s="2" t="s">
        <v>228</v>
      </c>
      <c r="DW186" s="2" t="s">
        <v>228</v>
      </c>
      <c r="DX186" s="2">
        <v>1000</v>
      </c>
      <c r="DY186" s="2"/>
      <c r="DZ186" s="2" t="s">
        <v>3</v>
      </c>
      <c r="EA186" s="2" t="s">
        <v>3</v>
      </c>
      <c r="EB186" s="2" t="s">
        <v>3</v>
      </c>
      <c r="EC186" s="2" t="s">
        <v>3</v>
      </c>
      <c r="ED186" s="2"/>
      <c r="EE186" s="2">
        <v>60088532</v>
      </c>
      <c r="EF186" s="2">
        <v>40</v>
      </c>
      <c r="EG186" s="2" t="s">
        <v>26</v>
      </c>
      <c r="EH186" s="2">
        <v>0</v>
      </c>
      <c r="EI186" s="2" t="s">
        <v>3</v>
      </c>
      <c r="EJ186" s="2">
        <v>2</v>
      </c>
      <c r="EK186" s="2">
        <v>68</v>
      </c>
      <c r="EL186" s="2" t="s">
        <v>27</v>
      </c>
      <c r="EM186" s="2" t="s">
        <v>28</v>
      </c>
      <c r="EN186" s="2"/>
      <c r="EO186" s="2" t="s">
        <v>3</v>
      </c>
      <c r="EP186" s="2"/>
      <c r="EQ186" s="2">
        <v>0</v>
      </c>
      <c r="ER186" s="2">
        <v>396.59</v>
      </c>
      <c r="ES186" s="2">
        <v>396.59</v>
      </c>
      <c r="ET186" s="2">
        <v>0</v>
      </c>
      <c r="EU186" s="2">
        <v>0</v>
      </c>
      <c r="EV186" s="2">
        <v>0</v>
      </c>
      <c r="EW186" s="2">
        <v>0</v>
      </c>
      <c r="EX186" s="2">
        <v>0</v>
      </c>
      <c r="EY186" s="2"/>
      <c r="EZ186" s="2"/>
      <c r="FA186" s="2"/>
      <c r="FB186" s="2"/>
      <c r="FC186" s="2"/>
      <c r="FD186" s="2"/>
      <c r="FE186" s="2"/>
      <c r="FF186" s="2"/>
      <c r="FG186" s="2"/>
      <c r="FH186" s="2"/>
      <c r="FI186" s="2"/>
      <c r="FJ186" s="2"/>
      <c r="FK186" s="2"/>
      <c r="FL186" s="2"/>
      <c r="FM186" s="2"/>
      <c r="FN186" s="2"/>
      <c r="FO186" s="2"/>
      <c r="FP186" s="2"/>
      <c r="FQ186" s="2">
        <v>0</v>
      </c>
      <c r="FR186" s="2">
        <v>0</v>
      </c>
      <c r="FS186" s="2">
        <v>0</v>
      </c>
      <c r="FT186" s="2"/>
      <c r="FU186" s="2"/>
      <c r="FV186" s="2"/>
      <c r="FW186" s="2"/>
      <c r="FX186" s="2">
        <v>90</v>
      </c>
      <c r="FY186" s="2">
        <v>46</v>
      </c>
      <c r="FZ186" s="2"/>
      <c r="GA186" s="2" t="s">
        <v>3</v>
      </c>
      <c r="GB186" s="2"/>
      <c r="GC186" s="2"/>
      <c r="GD186" s="2">
        <v>1</v>
      </c>
      <c r="GE186" s="2"/>
      <c r="GF186" s="2">
        <v>179573335</v>
      </c>
      <c r="GG186" s="2">
        <v>2</v>
      </c>
      <c r="GH186" s="2">
        <v>1</v>
      </c>
      <c r="GI186" s="2">
        <v>-2</v>
      </c>
      <c r="GJ186" s="2">
        <v>0</v>
      </c>
      <c r="GK186" s="2">
        <v>0</v>
      </c>
      <c r="GL186" s="2">
        <f t="shared" si="155"/>
        <v>0</v>
      </c>
      <c r="GM186" s="2">
        <f t="shared" si="156"/>
        <v>18.88</v>
      </c>
      <c r="GN186" s="2">
        <f t="shared" si="157"/>
        <v>0</v>
      </c>
      <c r="GO186" s="2">
        <f t="shared" si="158"/>
        <v>18.88</v>
      </c>
      <c r="GP186" s="2">
        <f t="shared" si="159"/>
        <v>0</v>
      </c>
      <c r="GQ186" s="2"/>
      <c r="GR186" s="2">
        <v>0</v>
      </c>
      <c r="GS186" s="2">
        <v>3</v>
      </c>
      <c r="GT186" s="2">
        <v>0</v>
      </c>
      <c r="GU186" s="2" t="s">
        <v>3</v>
      </c>
      <c r="GV186" s="2">
        <f t="shared" si="160"/>
        <v>0</v>
      </c>
      <c r="GW186" s="2">
        <v>1</v>
      </c>
      <c r="GX186" s="2">
        <f t="shared" si="161"/>
        <v>0</v>
      </c>
      <c r="GY186" s="2"/>
      <c r="GZ186" s="2"/>
      <c r="HA186" s="2">
        <v>0</v>
      </c>
      <c r="HB186" s="2">
        <v>0</v>
      </c>
      <c r="HC186" s="2">
        <f t="shared" si="162"/>
        <v>0</v>
      </c>
      <c r="HD186" s="2"/>
      <c r="HE186" s="2" t="s">
        <v>3</v>
      </c>
      <c r="HF186" s="2" t="s">
        <v>3</v>
      </c>
      <c r="HG186" s="2"/>
      <c r="HH186" s="2"/>
      <c r="HI186" s="2"/>
      <c r="HJ186" s="2"/>
      <c r="HK186" s="2"/>
      <c r="HL186" s="2"/>
      <c r="HM186" s="2" t="s">
        <v>3</v>
      </c>
      <c r="HN186" s="2" t="s">
        <v>3</v>
      </c>
      <c r="HO186" s="2" t="s">
        <v>3</v>
      </c>
      <c r="HP186" s="2" t="s">
        <v>3</v>
      </c>
      <c r="HQ186" s="2" t="s">
        <v>3</v>
      </c>
      <c r="HR186" s="2"/>
      <c r="HS186" s="2">
        <v>0</v>
      </c>
      <c r="HT186" s="2"/>
      <c r="HU186" s="2"/>
      <c r="HV186" s="2"/>
      <c r="HW186" s="2"/>
      <c r="HX186" s="2"/>
      <c r="HY186" s="2"/>
      <c r="HZ186" s="2"/>
      <c r="IA186" s="2"/>
      <c r="IB186" s="2"/>
      <c r="IC186" s="2"/>
      <c r="ID186" s="2"/>
      <c r="IE186" s="2"/>
      <c r="IF186" s="2"/>
      <c r="IG186" s="2"/>
      <c r="IH186" s="2"/>
      <c r="II186" s="2"/>
      <c r="IJ186" s="2"/>
      <c r="IK186" s="2">
        <v>0</v>
      </c>
      <c r="IL186" s="2"/>
      <c r="IM186" s="2"/>
      <c r="IN186" s="2"/>
      <c r="IO186" s="2"/>
      <c r="IP186" s="2"/>
      <c r="IQ186" s="2"/>
      <c r="IR186" s="2"/>
      <c r="IS186" s="2"/>
      <c r="IT186" s="2"/>
      <c r="IU186" s="2"/>
    </row>
    <row r="187" spans="1:255" x14ac:dyDescent="0.2">
      <c r="A187" s="3">
        <v>18</v>
      </c>
      <c r="B187" s="3">
        <v>1</v>
      </c>
      <c r="C187" s="3">
        <v>124</v>
      </c>
      <c r="E187" s="3" t="s">
        <v>238</v>
      </c>
      <c r="F187" s="3" t="s">
        <v>226</v>
      </c>
      <c r="G187" s="3" t="s">
        <v>227</v>
      </c>
      <c r="H187" s="3" t="s">
        <v>228</v>
      </c>
      <c r="I187" s="3">
        <f>I183*J187</f>
        <v>4.7600000000000003E-2</v>
      </c>
      <c r="J187" s="3">
        <v>0.23800000000000002</v>
      </c>
      <c r="K187" s="3">
        <v>0.23799999999999999</v>
      </c>
      <c r="O187" s="3">
        <f t="shared" si="138"/>
        <v>87.41</v>
      </c>
      <c r="P187" s="3">
        <f t="shared" si="139"/>
        <v>87.41</v>
      </c>
      <c r="Q187" s="3">
        <f t="shared" si="175"/>
        <v>0</v>
      </c>
      <c r="R187" s="3">
        <f t="shared" si="176"/>
        <v>0</v>
      </c>
      <c r="S187" s="3">
        <f t="shared" si="140"/>
        <v>0</v>
      </c>
      <c r="T187" s="3">
        <f t="shared" si="141"/>
        <v>0</v>
      </c>
      <c r="U187" s="3">
        <f t="shared" si="142"/>
        <v>0</v>
      </c>
      <c r="V187" s="3">
        <f t="shared" si="143"/>
        <v>0</v>
      </c>
      <c r="W187" s="3">
        <f t="shared" si="144"/>
        <v>0</v>
      </c>
      <c r="X187" s="3">
        <f t="shared" si="177"/>
        <v>0</v>
      </c>
      <c r="Y187" s="3">
        <f t="shared" si="178"/>
        <v>0</v>
      </c>
      <c r="AA187" s="3">
        <v>60256402</v>
      </c>
      <c r="AB187" s="3">
        <f t="shared" si="145"/>
        <v>396.59</v>
      </c>
      <c r="AC187" s="3">
        <f t="shared" si="167"/>
        <v>396.59</v>
      </c>
      <c r="AD187" s="3">
        <f t="shared" si="179"/>
        <v>0</v>
      </c>
      <c r="AE187" s="3">
        <f t="shared" si="180"/>
        <v>0</v>
      </c>
      <c r="AF187" s="3">
        <f t="shared" si="180"/>
        <v>0</v>
      </c>
      <c r="AG187" s="3">
        <f t="shared" si="146"/>
        <v>0</v>
      </c>
      <c r="AH187" s="3">
        <f t="shared" si="181"/>
        <v>0</v>
      </c>
      <c r="AI187" s="3">
        <f t="shared" si="181"/>
        <v>0</v>
      </c>
      <c r="AJ187" s="3">
        <f t="shared" si="147"/>
        <v>0</v>
      </c>
      <c r="AK187" s="3">
        <v>396.59</v>
      </c>
      <c r="AL187" s="3">
        <v>396.59</v>
      </c>
      <c r="AM187" s="3">
        <v>0</v>
      </c>
      <c r="AN187" s="3">
        <v>0</v>
      </c>
      <c r="AO187" s="3">
        <v>0</v>
      </c>
      <c r="AP187" s="3">
        <v>0</v>
      </c>
      <c r="AQ187" s="3">
        <v>0</v>
      </c>
      <c r="AR187" s="3">
        <v>0</v>
      </c>
      <c r="AS187" s="3">
        <v>0</v>
      </c>
      <c r="AT187" s="3">
        <v>90</v>
      </c>
      <c r="AU187" s="3">
        <v>46</v>
      </c>
      <c r="AV187" s="3">
        <v>1</v>
      </c>
      <c r="AW187" s="3">
        <v>1</v>
      </c>
      <c r="AZ187" s="3">
        <v>1</v>
      </c>
      <c r="BA187" s="3">
        <v>1</v>
      </c>
      <c r="BB187" s="3">
        <v>1</v>
      </c>
      <c r="BC187" s="3">
        <v>4.63</v>
      </c>
      <c r="BD187" s="3" t="s">
        <v>3</v>
      </c>
      <c r="BE187" s="3" t="s">
        <v>3</v>
      </c>
      <c r="BF187" s="3" t="s">
        <v>3</v>
      </c>
      <c r="BG187" s="3" t="s">
        <v>3</v>
      </c>
      <c r="BH187" s="3">
        <v>3</v>
      </c>
      <c r="BI187" s="3">
        <v>2</v>
      </c>
      <c r="BJ187" s="3" t="s">
        <v>229</v>
      </c>
      <c r="BM187" s="3">
        <v>68</v>
      </c>
      <c r="BN187" s="3">
        <v>0</v>
      </c>
      <c r="BO187" s="3" t="s">
        <v>226</v>
      </c>
      <c r="BP187" s="3">
        <v>1</v>
      </c>
      <c r="BQ187" s="3">
        <v>40</v>
      </c>
      <c r="BR187" s="3">
        <v>0</v>
      </c>
      <c r="BS187" s="3">
        <v>1</v>
      </c>
      <c r="BT187" s="3">
        <v>1</v>
      </c>
      <c r="BU187" s="3">
        <v>1</v>
      </c>
      <c r="BV187" s="3">
        <v>1</v>
      </c>
      <c r="BW187" s="3">
        <v>1</v>
      </c>
      <c r="BX187" s="3">
        <v>1</v>
      </c>
      <c r="BY187" s="3" t="s">
        <v>3</v>
      </c>
      <c r="BZ187" s="3">
        <v>90</v>
      </c>
      <c r="CA187" s="3">
        <v>46</v>
      </c>
      <c r="CB187" s="3" t="s">
        <v>3</v>
      </c>
      <c r="CE187" s="3">
        <v>1566</v>
      </c>
      <c r="CF187" s="3">
        <v>0</v>
      </c>
      <c r="CG187" s="3">
        <v>0</v>
      </c>
      <c r="CM187" s="3">
        <v>0</v>
      </c>
      <c r="CN187" s="3" t="s">
        <v>3</v>
      </c>
      <c r="CO187" s="3">
        <v>0</v>
      </c>
      <c r="CP187" s="3">
        <f t="shared" si="148"/>
        <v>87.41</v>
      </c>
      <c r="CQ187" s="3">
        <f t="shared" si="149"/>
        <v>1836.21</v>
      </c>
      <c r="CR187" s="3">
        <f t="shared" si="182"/>
        <v>0</v>
      </c>
      <c r="CS187" s="3">
        <f t="shared" si="183"/>
        <v>0</v>
      </c>
      <c r="CT187" s="3">
        <f t="shared" si="150"/>
        <v>0</v>
      </c>
      <c r="CU187" s="3">
        <f t="shared" si="151"/>
        <v>0</v>
      </c>
      <c r="CV187" s="3">
        <f t="shared" si="152"/>
        <v>0</v>
      </c>
      <c r="CW187" s="3">
        <f t="shared" si="153"/>
        <v>0</v>
      </c>
      <c r="CX187" s="3">
        <f t="shared" si="154"/>
        <v>0</v>
      </c>
      <c r="CY187" s="3">
        <f t="shared" si="184"/>
        <v>0</v>
      </c>
      <c r="CZ187" s="3">
        <f t="shared" si="185"/>
        <v>0</v>
      </c>
      <c r="DC187" s="3" t="s">
        <v>3</v>
      </c>
      <c r="DD187" s="3" t="s">
        <v>3</v>
      </c>
      <c r="DE187" s="3" t="s">
        <v>3</v>
      </c>
      <c r="DF187" s="3" t="s">
        <v>3</v>
      </c>
      <c r="DG187" s="3" t="s">
        <v>3</v>
      </c>
      <c r="DH187" s="3" t="s">
        <v>3</v>
      </c>
      <c r="DI187" s="3" t="s">
        <v>3</v>
      </c>
      <c r="DJ187" s="3" t="s">
        <v>3</v>
      </c>
      <c r="DK187" s="3" t="s">
        <v>3</v>
      </c>
      <c r="DL187" s="3" t="s">
        <v>3</v>
      </c>
      <c r="DM187" s="3" t="s">
        <v>3</v>
      </c>
      <c r="DN187" s="3">
        <v>0</v>
      </c>
      <c r="DO187" s="3">
        <v>0</v>
      </c>
      <c r="DP187" s="3">
        <v>1</v>
      </c>
      <c r="DQ187" s="3">
        <v>1</v>
      </c>
      <c r="DU187" s="3">
        <v>1010</v>
      </c>
      <c r="DV187" s="3" t="s">
        <v>228</v>
      </c>
      <c r="DW187" s="3" t="s">
        <v>228</v>
      </c>
      <c r="DX187" s="3">
        <v>1000</v>
      </c>
      <c r="DZ187" s="3" t="s">
        <v>3</v>
      </c>
      <c r="EA187" s="3" t="s">
        <v>3</v>
      </c>
      <c r="EB187" s="3" t="s">
        <v>3</v>
      </c>
      <c r="EC187" s="3" t="s">
        <v>3</v>
      </c>
      <c r="EE187" s="3">
        <v>60088532</v>
      </c>
      <c r="EF187" s="3">
        <v>40</v>
      </c>
      <c r="EG187" s="3" t="s">
        <v>26</v>
      </c>
      <c r="EH187" s="3">
        <v>0</v>
      </c>
      <c r="EI187" s="3" t="s">
        <v>3</v>
      </c>
      <c r="EJ187" s="3">
        <v>2</v>
      </c>
      <c r="EK187" s="3">
        <v>68</v>
      </c>
      <c r="EL187" s="3" t="s">
        <v>27</v>
      </c>
      <c r="EM187" s="3" t="s">
        <v>28</v>
      </c>
      <c r="EO187" s="3" t="s">
        <v>3</v>
      </c>
      <c r="EQ187" s="3">
        <v>0</v>
      </c>
      <c r="ER187" s="3">
        <v>396.59</v>
      </c>
      <c r="ES187" s="3">
        <v>396.59</v>
      </c>
      <c r="ET187" s="3">
        <v>0</v>
      </c>
      <c r="EU187" s="3">
        <v>0</v>
      </c>
      <c r="EV187" s="3">
        <v>0</v>
      </c>
      <c r="EW187" s="3">
        <v>0</v>
      </c>
      <c r="EX187" s="3">
        <v>0</v>
      </c>
      <c r="FQ187" s="3">
        <v>0</v>
      </c>
      <c r="FR187" s="3">
        <v>0</v>
      </c>
      <c r="FS187" s="3">
        <v>0</v>
      </c>
      <c r="FX187" s="3">
        <v>90</v>
      </c>
      <c r="FY187" s="3">
        <v>46</v>
      </c>
      <c r="GA187" s="3" t="s">
        <v>3</v>
      </c>
      <c r="GD187" s="3">
        <v>1</v>
      </c>
      <c r="GF187" s="3">
        <v>179573335</v>
      </c>
      <c r="GG187" s="3">
        <v>2</v>
      </c>
      <c r="GH187" s="3">
        <v>1</v>
      </c>
      <c r="GI187" s="3">
        <v>2</v>
      </c>
      <c r="GJ187" s="3">
        <v>0</v>
      </c>
      <c r="GK187" s="3">
        <v>0</v>
      </c>
      <c r="GL187" s="3">
        <f t="shared" si="155"/>
        <v>0</v>
      </c>
      <c r="GM187" s="3">
        <f t="shared" si="156"/>
        <v>87.41</v>
      </c>
      <c r="GN187" s="3">
        <f t="shared" si="157"/>
        <v>0</v>
      </c>
      <c r="GO187" s="3">
        <f t="shared" si="158"/>
        <v>87.41</v>
      </c>
      <c r="GP187" s="3">
        <f t="shared" si="159"/>
        <v>0</v>
      </c>
      <c r="GR187" s="3">
        <v>0</v>
      </c>
      <c r="GS187" s="3">
        <v>3</v>
      </c>
      <c r="GT187" s="3">
        <v>0</v>
      </c>
      <c r="GU187" s="3" t="s">
        <v>3</v>
      </c>
      <c r="GV187" s="3">
        <f t="shared" si="160"/>
        <v>0</v>
      </c>
      <c r="GW187" s="3">
        <v>1</v>
      </c>
      <c r="GX187" s="3">
        <f t="shared" si="161"/>
        <v>0</v>
      </c>
      <c r="HA187" s="3">
        <v>0</v>
      </c>
      <c r="HB187" s="3">
        <v>0</v>
      </c>
      <c r="HC187" s="3">
        <f t="shared" si="162"/>
        <v>0</v>
      </c>
      <c r="HE187" s="3" t="s">
        <v>3</v>
      </c>
      <c r="HF187" s="3" t="s">
        <v>3</v>
      </c>
      <c r="HM187" s="3" t="s">
        <v>3</v>
      </c>
      <c r="HN187" s="3" t="s">
        <v>3</v>
      </c>
      <c r="HO187" s="3" t="s">
        <v>3</v>
      </c>
      <c r="HP187" s="3" t="s">
        <v>3</v>
      </c>
      <c r="HQ187" s="3" t="s">
        <v>3</v>
      </c>
      <c r="HS187" s="3">
        <v>0</v>
      </c>
      <c r="IK187" s="3">
        <v>0</v>
      </c>
    </row>
    <row r="188" spans="1:255" x14ac:dyDescent="0.2">
      <c r="A188" s="2">
        <v>17</v>
      </c>
      <c r="B188" s="2">
        <v>1</v>
      </c>
      <c r="C188" s="2"/>
      <c r="D188" s="2"/>
      <c r="E188" s="2" t="s">
        <v>239</v>
      </c>
      <c r="F188" s="2" t="s">
        <v>240</v>
      </c>
      <c r="G188" s="2" t="s">
        <v>241</v>
      </c>
      <c r="H188" s="2" t="s">
        <v>233</v>
      </c>
      <c r="I188" s="2">
        <f>ROUND((20*1.02)/1000,9)</f>
        <v>2.0400000000000001E-2</v>
      </c>
      <c r="J188" s="2">
        <v>0</v>
      </c>
      <c r="K188" s="2">
        <f>ROUND((20*1.02)/1000,9)</f>
        <v>2.0400000000000001E-2</v>
      </c>
      <c r="L188" s="2"/>
      <c r="M188" s="2"/>
      <c r="N188" s="2"/>
      <c r="O188" s="2">
        <f t="shared" si="138"/>
        <v>226.47</v>
      </c>
      <c r="P188" s="2">
        <f t="shared" si="139"/>
        <v>226.47</v>
      </c>
      <c r="Q188" s="2">
        <f t="shared" si="175"/>
        <v>0</v>
      </c>
      <c r="R188" s="2">
        <f t="shared" si="176"/>
        <v>0</v>
      </c>
      <c r="S188" s="2">
        <f t="shared" si="140"/>
        <v>0</v>
      </c>
      <c r="T188" s="2">
        <f t="shared" si="141"/>
        <v>0</v>
      </c>
      <c r="U188" s="2">
        <f t="shared" si="142"/>
        <v>0</v>
      </c>
      <c r="V188" s="2">
        <f t="shared" si="143"/>
        <v>0</v>
      </c>
      <c r="W188" s="2">
        <f t="shared" si="144"/>
        <v>0</v>
      </c>
      <c r="X188" s="2">
        <f t="shared" si="177"/>
        <v>0</v>
      </c>
      <c r="Y188" s="2">
        <f t="shared" si="178"/>
        <v>0</v>
      </c>
      <c r="Z188" s="2"/>
      <c r="AA188" s="2">
        <v>60256405</v>
      </c>
      <c r="AB188" s="2">
        <f t="shared" si="145"/>
        <v>11101.62</v>
      </c>
      <c r="AC188" s="2">
        <f t="shared" si="167"/>
        <v>11101.62</v>
      </c>
      <c r="AD188" s="2">
        <f t="shared" si="179"/>
        <v>0</v>
      </c>
      <c r="AE188" s="2">
        <f t="shared" si="180"/>
        <v>0</v>
      </c>
      <c r="AF188" s="2">
        <f t="shared" si="180"/>
        <v>0</v>
      </c>
      <c r="AG188" s="2">
        <f t="shared" si="146"/>
        <v>0</v>
      </c>
      <c r="AH188" s="2">
        <f t="shared" si="181"/>
        <v>0</v>
      </c>
      <c r="AI188" s="2">
        <f t="shared" si="181"/>
        <v>0</v>
      </c>
      <c r="AJ188" s="2">
        <f t="shared" si="147"/>
        <v>0</v>
      </c>
      <c r="AK188" s="2">
        <v>11101.62</v>
      </c>
      <c r="AL188" s="2">
        <v>11101.62</v>
      </c>
      <c r="AM188" s="2">
        <v>0</v>
      </c>
      <c r="AN188" s="2">
        <v>0</v>
      </c>
      <c r="AO188" s="2">
        <v>0</v>
      </c>
      <c r="AP188" s="2">
        <v>0</v>
      </c>
      <c r="AQ188" s="2">
        <v>0</v>
      </c>
      <c r="AR188" s="2">
        <v>0</v>
      </c>
      <c r="AS188" s="2">
        <v>0</v>
      </c>
      <c r="AT188" s="2">
        <v>97</v>
      </c>
      <c r="AU188" s="2">
        <v>51</v>
      </c>
      <c r="AV188" s="2">
        <v>1</v>
      </c>
      <c r="AW188" s="2">
        <v>1</v>
      </c>
      <c r="AX188" s="2"/>
      <c r="AY188" s="2"/>
      <c r="AZ188" s="2">
        <v>1</v>
      </c>
      <c r="BA188" s="2">
        <v>1</v>
      </c>
      <c r="BB188" s="2">
        <v>1</v>
      </c>
      <c r="BC188" s="2">
        <v>1</v>
      </c>
      <c r="BD188" s="2" t="s">
        <v>3</v>
      </c>
      <c r="BE188" s="2" t="s">
        <v>3</v>
      </c>
      <c r="BF188" s="2" t="s">
        <v>3</v>
      </c>
      <c r="BG188" s="2" t="s">
        <v>3</v>
      </c>
      <c r="BH188" s="2">
        <v>3</v>
      </c>
      <c r="BI188" s="2">
        <v>2</v>
      </c>
      <c r="BJ188" s="2" t="s">
        <v>3</v>
      </c>
      <c r="BK188" s="2"/>
      <c r="BL188" s="2"/>
      <c r="BM188" s="2">
        <v>67</v>
      </c>
      <c r="BN188" s="2">
        <v>0</v>
      </c>
      <c r="BO188" s="2" t="s">
        <v>3</v>
      </c>
      <c r="BP188" s="2">
        <v>0</v>
      </c>
      <c r="BQ188" s="2">
        <v>40</v>
      </c>
      <c r="BR188" s="2">
        <v>0</v>
      </c>
      <c r="BS188" s="2">
        <v>1</v>
      </c>
      <c r="BT188" s="2">
        <v>1</v>
      </c>
      <c r="BU188" s="2">
        <v>1</v>
      </c>
      <c r="BV188" s="2">
        <v>1</v>
      </c>
      <c r="BW188" s="2">
        <v>1</v>
      </c>
      <c r="BX188" s="2">
        <v>1</v>
      </c>
      <c r="BY188" s="2" t="s">
        <v>3</v>
      </c>
      <c r="BZ188" s="2">
        <v>97</v>
      </c>
      <c r="CA188" s="2">
        <v>51</v>
      </c>
      <c r="CB188" s="2" t="s">
        <v>3</v>
      </c>
      <c r="CC188" s="2"/>
      <c r="CD188" s="2"/>
      <c r="CE188" s="2">
        <v>1566</v>
      </c>
      <c r="CF188" s="2">
        <v>0</v>
      </c>
      <c r="CG188" s="2">
        <v>0</v>
      </c>
      <c r="CH188" s="2"/>
      <c r="CI188" s="2"/>
      <c r="CJ188" s="2"/>
      <c r="CK188" s="2"/>
      <c r="CL188" s="2"/>
      <c r="CM188" s="2">
        <v>0</v>
      </c>
      <c r="CN188" s="2" t="s">
        <v>3</v>
      </c>
      <c r="CO188" s="2">
        <v>0</v>
      </c>
      <c r="CP188" s="2">
        <f t="shared" si="148"/>
        <v>226.47</v>
      </c>
      <c r="CQ188" s="2">
        <f t="shared" si="149"/>
        <v>11101.62</v>
      </c>
      <c r="CR188" s="2">
        <f t="shared" si="182"/>
        <v>0</v>
      </c>
      <c r="CS188" s="2">
        <f t="shared" si="183"/>
        <v>0</v>
      </c>
      <c r="CT188" s="2">
        <f t="shared" si="150"/>
        <v>0</v>
      </c>
      <c r="CU188" s="2">
        <f t="shared" si="151"/>
        <v>0</v>
      </c>
      <c r="CV188" s="2">
        <f t="shared" si="152"/>
        <v>0</v>
      </c>
      <c r="CW188" s="2">
        <f t="shared" si="153"/>
        <v>0</v>
      </c>
      <c r="CX188" s="2">
        <f t="shared" si="154"/>
        <v>0</v>
      </c>
      <c r="CY188" s="2">
        <f t="shared" si="184"/>
        <v>0</v>
      </c>
      <c r="CZ188" s="2">
        <f t="shared" si="185"/>
        <v>0</v>
      </c>
      <c r="DA188" s="2"/>
      <c r="DB188" s="2"/>
      <c r="DC188" s="2" t="s">
        <v>3</v>
      </c>
      <c r="DD188" s="2" t="s">
        <v>3</v>
      </c>
      <c r="DE188" s="2" t="s">
        <v>3</v>
      </c>
      <c r="DF188" s="2" t="s">
        <v>3</v>
      </c>
      <c r="DG188" s="2" t="s">
        <v>3</v>
      </c>
      <c r="DH188" s="2" t="s">
        <v>3</v>
      </c>
      <c r="DI188" s="2" t="s">
        <v>3</v>
      </c>
      <c r="DJ188" s="2" t="s">
        <v>3</v>
      </c>
      <c r="DK188" s="2" t="s">
        <v>3</v>
      </c>
      <c r="DL188" s="2" t="s">
        <v>3</v>
      </c>
      <c r="DM188" s="2" t="s">
        <v>3</v>
      </c>
      <c r="DN188" s="2">
        <v>0</v>
      </c>
      <c r="DO188" s="2">
        <v>0</v>
      </c>
      <c r="DP188" s="2">
        <v>1</v>
      </c>
      <c r="DQ188" s="2">
        <v>1</v>
      </c>
      <c r="DR188" s="2"/>
      <c r="DS188" s="2"/>
      <c r="DT188" s="2"/>
      <c r="DU188" s="2">
        <v>1003</v>
      </c>
      <c r="DV188" s="2" t="s">
        <v>233</v>
      </c>
      <c r="DW188" s="2" t="s">
        <v>233</v>
      </c>
      <c r="DX188" s="2">
        <v>1000</v>
      </c>
      <c r="DY188" s="2"/>
      <c r="DZ188" s="2" t="s">
        <v>3</v>
      </c>
      <c r="EA188" s="2" t="s">
        <v>3</v>
      </c>
      <c r="EB188" s="2" t="s">
        <v>3</v>
      </c>
      <c r="EC188" s="2" t="s">
        <v>3</v>
      </c>
      <c r="ED188" s="2"/>
      <c r="EE188" s="2">
        <v>60088531</v>
      </c>
      <c r="EF188" s="2">
        <v>40</v>
      </c>
      <c r="EG188" s="2" t="s">
        <v>26</v>
      </c>
      <c r="EH188" s="2">
        <v>0</v>
      </c>
      <c r="EI188" s="2" t="s">
        <v>3</v>
      </c>
      <c r="EJ188" s="2">
        <v>2</v>
      </c>
      <c r="EK188" s="2">
        <v>67</v>
      </c>
      <c r="EL188" s="2" t="s">
        <v>242</v>
      </c>
      <c r="EM188" s="2" t="s">
        <v>243</v>
      </c>
      <c r="EN188" s="2"/>
      <c r="EO188" s="2" t="s">
        <v>3</v>
      </c>
      <c r="EP188" s="2"/>
      <c r="EQ188" s="2">
        <v>0</v>
      </c>
      <c r="ER188" s="2">
        <v>0</v>
      </c>
      <c r="ES188" s="2">
        <v>11101.62</v>
      </c>
      <c r="ET188" s="2">
        <v>0</v>
      </c>
      <c r="EU188" s="2">
        <v>0</v>
      </c>
      <c r="EV188" s="2">
        <v>0</v>
      </c>
      <c r="EW188" s="2">
        <v>0</v>
      </c>
      <c r="EX188" s="2">
        <v>0</v>
      </c>
      <c r="EY188" s="2">
        <v>0</v>
      </c>
      <c r="EZ188" s="2"/>
      <c r="FA188" s="2"/>
      <c r="FB188" s="2"/>
      <c r="FC188" s="2"/>
      <c r="FD188" s="2"/>
      <c r="FE188" s="2"/>
      <c r="FF188" s="2"/>
      <c r="FG188" s="2"/>
      <c r="FH188" s="2"/>
      <c r="FI188" s="2"/>
      <c r="FJ188" s="2"/>
      <c r="FK188" s="2"/>
      <c r="FL188" s="2"/>
      <c r="FM188" s="2"/>
      <c r="FN188" s="2"/>
      <c r="FO188" s="2"/>
      <c r="FP188" s="2"/>
      <c r="FQ188" s="2">
        <v>0</v>
      </c>
      <c r="FR188" s="2">
        <v>0</v>
      </c>
      <c r="FS188" s="2">
        <v>0</v>
      </c>
      <c r="FT188" s="2"/>
      <c r="FU188" s="2"/>
      <c r="FV188" s="2"/>
      <c r="FW188" s="2"/>
      <c r="FX188" s="2">
        <v>97</v>
      </c>
      <c r="FY188" s="2">
        <v>51</v>
      </c>
      <c r="FZ188" s="2"/>
      <c r="GA188" s="2" t="s">
        <v>244</v>
      </c>
      <c r="GB188" s="2"/>
      <c r="GC188" s="2"/>
      <c r="GD188" s="2">
        <v>1</v>
      </c>
      <c r="GE188" s="2"/>
      <c r="GF188" s="2">
        <v>-2129983484</v>
      </c>
      <c r="GG188" s="2">
        <v>2</v>
      </c>
      <c r="GH188" s="2">
        <v>4</v>
      </c>
      <c r="GI188" s="2">
        <v>-2</v>
      </c>
      <c r="GJ188" s="2">
        <v>0</v>
      </c>
      <c r="GK188" s="2">
        <v>0</v>
      </c>
      <c r="GL188" s="2">
        <f t="shared" si="155"/>
        <v>0</v>
      </c>
      <c r="GM188" s="2">
        <f t="shared" si="156"/>
        <v>226.47</v>
      </c>
      <c r="GN188" s="2">
        <f t="shared" si="157"/>
        <v>0</v>
      </c>
      <c r="GO188" s="2">
        <f t="shared" si="158"/>
        <v>226.47</v>
      </c>
      <c r="GP188" s="2">
        <f t="shared" si="159"/>
        <v>0</v>
      </c>
      <c r="GQ188" s="2"/>
      <c r="GR188" s="2">
        <v>0</v>
      </c>
      <c r="GS188" s="2">
        <v>2</v>
      </c>
      <c r="GT188" s="2">
        <v>0</v>
      </c>
      <c r="GU188" s="2" t="s">
        <v>3</v>
      </c>
      <c r="GV188" s="2">
        <f t="shared" si="160"/>
        <v>0</v>
      </c>
      <c r="GW188" s="2">
        <v>1</v>
      </c>
      <c r="GX188" s="2">
        <f t="shared" si="161"/>
        <v>0</v>
      </c>
      <c r="GY188" s="2"/>
      <c r="GZ188" s="2"/>
      <c r="HA188" s="2">
        <v>0</v>
      </c>
      <c r="HB188" s="2">
        <v>0</v>
      </c>
      <c r="HC188" s="2">
        <f t="shared" si="162"/>
        <v>0</v>
      </c>
      <c r="HD188" s="2"/>
      <c r="HE188" s="2" t="s">
        <v>35</v>
      </c>
      <c r="HF188" s="2" t="s">
        <v>30</v>
      </c>
      <c r="HG188" s="2"/>
      <c r="HH188" s="2"/>
      <c r="HI188" s="2"/>
      <c r="HJ188" s="2"/>
      <c r="HK188" s="2"/>
      <c r="HL188" s="2"/>
      <c r="HM188" s="2" t="s">
        <v>3</v>
      </c>
      <c r="HN188" s="2" t="s">
        <v>3</v>
      </c>
      <c r="HO188" s="2" t="s">
        <v>3</v>
      </c>
      <c r="HP188" s="2" t="s">
        <v>3</v>
      </c>
      <c r="HQ188" s="2" t="s">
        <v>3</v>
      </c>
      <c r="HR188" s="2"/>
      <c r="HS188" s="2">
        <v>0</v>
      </c>
      <c r="HT188" s="2"/>
      <c r="HU188" s="2"/>
      <c r="HV188" s="2"/>
      <c r="HW188" s="2"/>
      <c r="HX188" s="2"/>
      <c r="HY188" s="2"/>
      <c r="HZ188" s="2"/>
      <c r="IA188" s="2"/>
      <c r="IB188" s="2"/>
      <c r="IC188" s="2"/>
      <c r="ID188" s="2"/>
      <c r="IE188" s="2"/>
      <c r="IF188" s="2"/>
      <c r="IG188" s="2"/>
      <c r="IH188" s="2"/>
      <c r="II188" s="2"/>
      <c r="IJ188" s="2"/>
      <c r="IK188" s="2">
        <v>0</v>
      </c>
      <c r="IL188" s="2"/>
      <c r="IM188" s="2"/>
      <c r="IN188" s="2"/>
      <c r="IO188" s="2"/>
      <c r="IP188" s="2"/>
      <c r="IQ188" s="2"/>
      <c r="IR188" s="2"/>
      <c r="IS188" s="2"/>
      <c r="IT188" s="2"/>
      <c r="IU188" s="2"/>
    </row>
    <row r="189" spans="1:255" x14ac:dyDescent="0.2">
      <c r="A189" s="3">
        <v>17</v>
      </c>
      <c r="B189" s="3">
        <v>1</v>
      </c>
      <c r="E189" s="3" t="s">
        <v>239</v>
      </c>
      <c r="F189" s="3" t="s">
        <v>240</v>
      </c>
      <c r="G189" s="3" t="s">
        <v>241</v>
      </c>
      <c r="H189" s="3" t="s">
        <v>233</v>
      </c>
      <c r="I189" s="3">
        <f>ROUND((20*1.02)/1000,9)</f>
        <v>2.0400000000000001E-2</v>
      </c>
      <c r="J189" s="3">
        <v>0</v>
      </c>
      <c r="K189" s="3">
        <f>ROUND((20*1.02)/1000,9)</f>
        <v>2.0400000000000001E-2</v>
      </c>
      <c r="O189" s="3">
        <f t="shared" si="138"/>
        <v>2237.52</v>
      </c>
      <c r="P189" s="3">
        <f t="shared" si="139"/>
        <v>2237.52</v>
      </c>
      <c r="Q189" s="3">
        <f t="shared" si="175"/>
        <v>0</v>
      </c>
      <c r="R189" s="3">
        <f t="shared" si="176"/>
        <v>0</v>
      </c>
      <c r="S189" s="3">
        <f t="shared" si="140"/>
        <v>0</v>
      </c>
      <c r="T189" s="3">
        <f t="shared" si="141"/>
        <v>0</v>
      </c>
      <c r="U189" s="3">
        <f t="shared" si="142"/>
        <v>0</v>
      </c>
      <c r="V189" s="3">
        <f t="shared" si="143"/>
        <v>0</v>
      </c>
      <c r="W189" s="3">
        <f t="shared" si="144"/>
        <v>0</v>
      </c>
      <c r="X189" s="3">
        <f t="shared" si="177"/>
        <v>0</v>
      </c>
      <c r="Y189" s="3">
        <f t="shared" si="178"/>
        <v>0</v>
      </c>
      <c r="AA189" s="3">
        <v>60256402</v>
      </c>
      <c r="AB189" s="3">
        <f t="shared" si="145"/>
        <v>11101.62</v>
      </c>
      <c r="AC189" s="3">
        <f t="shared" si="167"/>
        <v>11101.62</v>
      </c>
      <c r="AD189" s="3">
        <f t="shared" si="179"/>
        <v>0</v>
      </c>
      <c r="AE189" s="3">
        <f t="shared" si="180"/>
        <v>0</v>
      </c>
      <c r="AF189" s="3">
        <f t="shared" si="180"/>
        <v>0</v>
      </c>
      <c r="AG189" s="3">
        <f t="shared" si="146"/>
        <v>0</v>
      </c>
      <c r="AH189" s="3">
        <f t="shared" si="181"/>
        <v>0</v>
      </c>
      <c r="AI189" s="3">
        <f t="shared" si="181"/>
        <v>0</v>
      </c>
      <c r="AJ189" s="3">
        <f t="shared" si="147"/>
        <v>0</v>
      </c>
      <c r="AK189" s="3">
        <v>11101.62</v>
      </c>
      <c r="AL189" s="3">
        <v>11101.62</v>
      </c>
      <c r="AM189" s="3">
        <v>0</v>
      </c>
      <c r="AN189" s="3">
        <v>0</v>
      </c>
      <c r="AO189" s="3">
        <v>0</v>
      </c>
      <c r="AP189" s="3">
        <v>0</v>
      </c>
      <c r="AQ189" s="3">
        <v>0</v>
      </c>
      <c r="AR189" s="3">
        <v>0</v>
      </c>
      <c r="AS189" s="3">
        <v>0</v>
      </c>
      <c r="AT189" s="3">
        <v>97</v>
      </c>
      <c r="AU189" s="3">
        <v>51</v>
      </c>
      <c r="AV189" s="3">
        <v>1</v>
      </c>
      <c r="AW189" s="3">
        <v>1</v>
      </c>
      <c r="AZ189" s="3">
        <v>1</v>
      </c>
      <c r="BA189" s="3">
        <v>1</v>
      </c>
      <c r="BB189" s="3">
        <v>1</v>
      </c>
      <c r="BC189" s="3">
        <v>9.8800000000000008</v>
      </c>
      <c r="BD189" s="3" t="s">
        <v>3</v>
      </c>
      <c r="BE189" s="3" t="s">
        <v>3</v>
      </c>
      <c r="BF189" s="3" t="s">
        <v>3</v>
      </c>
      <c r="BG189" s="3" t="s">
        <v>3</v>
      </c>
      <c r="BH189" s="3">
        <v>3</v>
      </c>
      <c r="BI189" s="3">
        <v>2</v>
      </c>
      <c r="BJ189" s="3" t="s">
        <v>3</v>
      </c>
      <c r="BM189" s="3">
        <v>67</v>
      </c>
      <c r="BN189" s="3">
        <v>0</v>
      </c>
      <c r="BO189" s="3" t="s">
        <v>3</v>
      </c>
      <c r="BP189" s="3">
        <v>0</v>
      </c>
      <c r="BQ189" s="3">
        <v>40</v>
      </c>
      <c r="BR189" s="3">
        <v>0</v>
      </c>
      <c r="BS189" s="3">
        <v>1</v>
      </c>
      <c r="BT189" s="3">
        <v>1</v>
      </c>
      <c r="BU189" s="3">
        <v>1</v>
      </c>
      <c r="BV189" s="3">
        <v>1</v>
      </c>
      <c r="BW189" s="3">
        <v>1</v>
      </c>
      <c r="BX189" s="3">
        <v>1</v>
      </c>
      <c r="BY189" s="3" t="s">
        <v>3</v>
      </c>
      <c r="BZ189" s="3">
        <v>97</v>
      </c>
      <c r="CA189" s="3">
        <v>51</v>
      </c>
      <c r="CB189" s="3" t="s">
        <v>3</v>
      </c>
      <c r="CE189" s="3">
        <v>1566</v>
      </c>
      <c r="CF189" s="3">
        <v>0</v>
      </c>
      <c r="CG189" s="3">
        <v>0</v>
      </c>
      <c r="CM189" s="3">
        <v>0</v>
      </c>
      <c r="CN189" s="3" t="s">
        <v>3</v>
      </c>
      <c r="CO189" s="3">
        <v>0</v>
      </c>
      <c r="CP189" s="3">
        <f t="shared" si="148"/>
        <v>2237.52</v>
      </c>
      <c r="CQ189" s="3">
        <f t="shared" si="149"/>
        <v>109684.01</v>
      </c>
      <c r="CR189" s="3">
        <f t="shared" si="182"/>
        <v>0</v>
      </c>
      <c r="CS189" s="3">
        <f t="shared" si="183"/>
        <v>0</v>
      </c>
      <c r="CT189" s="3">
        <f t="shared" si="150"/>
        <v>0</v>
      </c>
      <c r="CU189" s="3">
        <f t="shared" si="151"/>
        <v>0</v>
      </c>
      <c r="CV189" s="3">
        <f t="shared" si="152"/>
        <v>0</v>
      </c>
      <c r="CW189" s="3">
        <f t="shared" si="153"/>
        <v>0</v>
      </c>
      <c r="CX189" s="3">
        <f t="shared" si="154"/>
        <v>0</v>
      </c>
      <c r="CY189" s="3">
        <f t="shared" si="184"/>
        <v>0</v>
      </c>
      <c r="CZ189" s="3">
        <f t="shared" si="185"/>
        <v>0</v>
      </c>
      <c r="DC189" s="3" t="s">
        <v>3</v>
      </c>
      <c r="DD189" s="3" t="s">
        <v>3</v>
      </c>
      <c r="DE189" s="3" t="s">
        <v>3</v>
      </c>
      <c r="DF189" s="3" t="s">
        <v>3</v>
      </c>
      <c r="DG189" s="3" t="s">
        <v>3</v>
      </c>
      <c r="DH189" s="3" t="s">
        <v>3</v>
      </c>
      <c r="DI189" s="3" t="s">
        <v>3</v>
      </c>
      <c r="DJ189" s="3" t="s">
        <v>3</v>
      </c>
      <c r="DK189" s="3" t="s">
        <v>3</v>
      </c>
      <c r="DL189" s="3" t="s">
        <v>3</v>
      </c>
      <c r="DM189" s="3" t="s">
        <v>3</v>
      </c>
      <c r="DN189" s="3">
        <v>0</v>
      </c>
      <c r="DO189" s="3">
        <v>0</v>
      </c>
      <c r="DP189" s="3">
        <v>1</v>
      </c>
      <c r="DQ189" s="3">
        <v>1</v>
      </c>
      <c r="DU189" s="3">
        <v>1003</v>
      </c>
      <c r="DV189" s="3" t="s">
        <v>233</v>
      </c>
      <c r="DW189" s="3" t="s">
        <v>233</v>
      </c>
      <c r="DX189" s="3">
        <v>1000</v>
      </c>
      <c r="DZ189" s="3" t="s">
        <v>3</v>
      </c>
      <c r="EA189" s="3" t="s">
        <v>3</v>
      </c>
      <c r="EB189" s="3" t="s">
        <v>3</v>
      </c>
      <c r="EC189" s="3" t="s">
        <v>3</v>
      </c>
      <c r="EE189" s="3">
        <v>60088531</v>
      </c>
      <c r="EF189" s="3">
        <v>40</v>
      </c>
      <c r="EG189" s="3" t="s">
        <v>26</v>
      </c>
      <c r="EH189" s="3">
        <v>0</v>
      </c>
      <c r="EI189" s="3" t="s">
        <v>3</v>
      </c>
      <c r="EJ189" s="3">
        <v>2</v>
      </c>
      <c r="EK189" s="3">
        <v>67</v>
      </c>
      <c r="EL189" s="3" t="s">
        <v>242</v>
      </c>
      <c r="EM189" s="3" t="s">
        <v>243</v>
      </c>
      <c r="EO189" s="3" t="s">
        <v>3</v>
      </c>
      <c r="EQ189" s="3">
        <v>0</v>
      </c>
      <c r="ER189" s="3">
        <v>14632.95</v>
      </c>
      <c r="ES189" s="3">
        <v>11101.62</v>
      </c>
      <c r="ET189" s="3">
        <v>0</v>
      </c>
      <c r="EU189" s="3">
        <v>0</v>
      </c>
      <c r="EV189" s="3">
        <v>0</v>
      </c>
      <c r="EW189" s="3">
        <v>0</v>
      </c>
      <c r="EX189" s="3">
        <v>0</v>
      </c>
      <c r="EY189" s="3">
        <v>0</v>
      </c>
      <c r="EZ189" s="3">
        <v>5</v>
      </c>
      <c r="FC189" s="3">
        <v>1</v>
      </c>
      <c r="FD189" s="3">
        <v>18</v>
      </c>
      <c r="FF189" s="3">
        <v>129040</v>
      </c>
      <c r="FQ189" s="3">
        <v>0</v>
      </c>
      <c r="FR189" s="3">
        <v>0</v>
      </c>
      <c r="FS189" s="3">
        <v>0</v>
      </c>
      <c r="FX189" s="3">
        <v>97</v>
      </c>
      <c r="FY189" s="3">
        <v>51</v>
      </c>
      <c r="GA189" s="3" t="s">
        <v>244</v>
      </c>
      <c r="GD189" s="3">
        <v>1</v>
      </c>
      <c r="GF189" s="3">
        <v>-2129983484</v>
      </c>
      <c r="GG189" s="3">
        <v>2</v>
      </c>
      <c r="GH189" s="3">
        <v>3</v>
      </c>
      <c r="GI189" s="3">
        <v>5</v>
      </c>
      <c r="GJ189" s="3">
        <v>0</v>
      </c>
      <c r="GK189" s="3">
        <v>0</v>
      </c>
      <c r="GL189" s="3">
        <f t="shared" si="155"/>
        <v>0</v>
      </c>
      <c r="GM189" s="3">
        <f t="shared" si="156"/>
        <v>2237.52</v>
      </c>
      <c r="GN189" s="3">
        <f t="shared" si="157"/>
        <v>0</v>
      </c>
      <c r="GO189" s="3">
        <f t="shared" si="158"/>
        <v>2237.52</v>
      </c>
      <c r="GP189" s="3">
        <f t="shared" si="159"/>
        <v>0</v>
      </c>
      <c r="GR189" s="3">
        <v>1</v>
      </c>
      <c r="GS189" s="3">
        <v>1</v>
      </c>
      <c r="GT189" s="3">
        <v>0</v>
      </c>
      <c r="GU189" s="3" t="s">
        <v>3</v>
      </c>
      <c r="GV189" s="3">
        <f t="shared" si="160"/>
        <v>0</v>
      </c>
      <c r="GW189" s="3">
        <v>1</v>
      </c>
      <c r="GX189" s="3">
        <f t="shared" si="161"/>
        <v>0</v>
      </c>
      <c r="HA189" s="3">
        <v>0</v>
      </c>
      <c r="HB189" s="3">
        <v>0</v>
      </c>
      <c r="HC189" s="3">
        <f t="shared" si="162"/>
        <v>0</v>
      </c>
      <c r="HE189" s="3" t="s">
        <v>35</v>
      </c>
      <c r="HF189" s="3" t="s">
        <v>30</v>
      </c>
      <c r="HM189" s="3" t="s">
        <v>3</v>
      </c>
      <c r="HN189" s="3" t="s">
        <v>3</v>
      </c>
      <c r="HO189" s="3" t="s">
        <v>3</v>
      </c>
      <c r="HP189" s="3" t="s">
        <v>3</v>
      </c>
      <c r="HQ189" s="3" t="s">
        <v>3</v>
      </c>
      <c r="HS189" s="3">
        <v>0</v>
      </c>
      <c r="IK189" s="3">
        <v>0</v>
      </c>
    </row>
    <row r="190" spans="1:255" x14ac:dyDescent="0.2">
      <c r="A190" s="2">
        <v>17</v>
      </c>
      <c r="B190" s="2">
        <v>1</v>
      </c>
      <c r="C190" s="2"/>
      <c r="D190" s="2"/>
      <c r="E190" s="2" t="s">
        <v>245</v>
      </c>
      <c r="F190" s="2" t="s">
        <v>246</v>
      </c>
      <c r="G190" s="2" t="s">
        <v>372</v>
      </c>
      <c r="H190" s="2" t="s">
        <v>70</v>
      </c>
      <c r="I190" s="2">
        <v>5</v>
      </c>
      <c r="J190" s="2">
        <v>0</v>
      </c>
      <c r="K190" s="2">
        <v>5</v>
      </c>
      <c r="L190" s="2"/>
      <c r="M190" s="2"/>
      <c r="N190" s="2"/>
      <c r="O190" s="2">
        <f t="shared" si="138"/>
        <v>668.25</v>
      </c>
      <c r="P190" s="2">
        <f t="shared" si="139"/>
        <v>668.25</v>
      </c>
      <c r="Q190" s="2">
        <f t="shared" si="175"/>
        <v>0</v>
      </c>
      <c r="R190" s="2">
        <f t="shared" si="176"/>
        <v>0</v>
      </c>
      <c r="S190" s="2">
        <f t="shared" si="140"/>
        <v>0</v>
      </c>
      <c r="T190" s="2">
        <f t="shared" si="141"/>
        <v>0</v>
      </c>
      <c r="U190" s="2">
        <f t="shared" si="142"/>
        <v>0</v>
      </c>
      <c r="V190" s="2">
        <f t="shared" si="143"/>
        <v>0</v>
      </c>
      <c r="W190" s="2">
        <f t="shared" si="144"/>
        <v>0</v>
      </c>
      <c r="X190" s="2">
        <f t="shared" si="177"/>
        <v>0</v>
      </c>
      <c r="Y190" s="2">
        <f t="shared" si="178"/>
        <v>0</v>
      </c>
      <c r="Z190" s="2"/>
      <c r="AA190" s="2">
        <v>60256405</v>
      </c>
      <c r="AB190" s="2">
        <f t="shared" si="145"/>
        <v>133.65</v>
      </c>
      <c r="AC190" s="2">
        <f t="shared" si="167"/>
        <v>133.65</v>
      </c>
      <c r="AD190" s="2">
        <f t="shared" si="179"/>
        <v>0</v>
      </c>
      <c r="AE190" s="2">
        <f t="shared" si="180"/>
        <v>0</v>
      </c>
      <c r="AF190" s="2">
        <f t="shared" si="180"/>
        <v>0</v>
      </c>
      <c r="AG190" s="2">
        <f t="shared" si="146"/>
        <v>0</v>
      </c>
      <c r="AH190" s="2">
        <f t="shared" si="181"/>
        <v>0</v>
      </c>
      <c r="AI190" s="2">
        <f t="shared" si="181"/>
        <v>0</v>
      </c>
      <c r="AJ190" s="2">
        <f t="shared" si="147"/>
        <v>0</v>
      </c>
      <c r="AK190" s="2">
        <v>133.65</v>
      </c>
      <c r="AL190" s="2">
        <v>133.65</v>
      </c>
      <c r="AM190" s="2">
        <v>0</v>
      </c>
      <c r="AN190" s="2">
        <v>0</v>
      </c>
      <c r="AO190" s="2">
        <v>0</v>
      </c>
      <c r="AP190" s="2">
        <v>0</v>
      </c>
      <c r="AQ190" s="2">
        <v>0</v>
      </c>
      <c r="AR190" s="2">
        <v>0</v>
      </c>
      <c r="AS190" s="2">
        <v>0</v>
      </c>
      <c r="AT190" s="2">
        <v>0</v>
      </c>
      <c r="AU190" s="2">
        <v>0</v>
      </c>
      <c r="AV190" s="2">
        <v>1</v>
      </c>
      <c r="AW190" s="2">
        <v>1</v>
      </c>
      <c r="AX190" s="2"/>
      <c r="AY190" s="2"/>
      <c r="AZ190" s="2">
        <v>1</v>
      </c>
      <c r="BA190" s="2">
        <v>1</v>
      </c>
      <c r="BB190" s="2">
        <v>1</v>
      </c>
      <c r="BC190" s="2">
        <v>1</v>
      </c>
      <c r="BD190" s="2" t="s">
        <v>3</v>
      </c>
      <c r="BE190" s="2" t="s">
        <v>3</v>
      </c>
      <c r="BF190" s="2" t="s">
        <v>3</v>
      </c>
      <c r="BG190" s="2" t="s">
        <v>3</v>
      </c>
      <c r="BH190" s="2">
        <v>3</v>
      </c>
      <c r="BI190" s="2">
        <v>2</v>
      </c>
      <c r="BJ190" s="2" t="s">
        <v>247</v>
      </c>
      <c r="BK190" s="2"/>
      <c r="BL190" s="2"/>
      <c r="BM190" s="2">
        <v>1617</v>
      </c>
      <c r="BN190" s="2">
        <v>58973116</v>
      </c>
      <c r="BO190" s="2" t="s">
        <v>3</v>
      </c>
      <c r="BP190" s="2">
        <v>0</v>
      </c>
      <c r="BQ190" s="2">
        <v>200</v>
      </c>
      <c r="BR190" s="2">
        <v>0</v>
      </c>
      <c r="BS190" s="2">
        <v>1</v>
      </c>
      <c r="BT190" s="2">
        <v>1</v>
      </c>
      <c r="BU190" s="2">
        <v>1</v>
      </c>
      <c r="BV190" s="2">
        <v>1</v>
      </c>
      <c r="BW190" s="2">
        <v>1</v>
      </c>
      <c r="BX190" s="2">
        <v>1</v>
      </c>
      <c r="BY190" s="2" t="s">
        <v>3</v>
      </c>
      <c r="BZ190" s="2">
        <v>0</v>
      </c>
      <c r="CA190" s="2">
        <v>0</v>
      </c>
      <c r="CB190" s="2" t="s">
        <v>3</v>
      </c>
      <c r="CC190" s="2"/>
      <c r="CD190" s="2"/>
      <c r="CE190" s="2">
        <v>1566</v>
      </c>
      <c r="CF190" s="2">
        <v>0</v>
      </c>
      <c r="CG190" s="2">
        <v>0</v>
      </c>
      <c r="CH190" s="2"/>
      <c r="CI190" s="2"/>
      <c r="CJ190" s="2"/>
      <c r="CK190" s="2"/>
      <c r="CL190" s="2"/>
      <c r="CM190" s="2">
        <v>0</v>
      </c>
      <c r="CN190" s="2" t="s">
        <v>3</v>
      </c>
      <c r="CO190" s="2">
        <v>0</v>
      </c>
      <c r="CP190" s="2">
        <f t="shared" si="148"/>
        <v>668.25</v>
      </c>
      <c r="CQ190" s="2">
        <f t="shared" si="149"/>
        <v>133.65</v>
      </c>
      <c r="CR190" s="2">
        <f t="shared" si="182"/>
        <v>0</v>
      </c>
      <c r="CS190" s="2">
        <f t="shared" si="183"/>
        <v>0</v>
      </c>
      <c r="CT190" s="2">
        <f t="shared" si="150"/>
        <v>0</v>
      </c>
      <c r="CU190" s="2">
        <f t="shared" si="151"/>
        <v>0</v>
      </c>
      <c r="CV190" s="2">
        <f t="shared" si="152"/>
        <v>0</v>
      </c>
      <c r="CW190" s="2">
        <f t="shared" si="153"/>
        <v>0</v>
      </c>
      <c r="CX190" s="2">
        <f t="shared" si="154"/>
        <v>0</v>
      </c>
      <c r="CY190" s="2">
        <f t="shared" si="184"/>
        <v>0</v>
      </c>
      <c r="CZ190" s="2">
        <f t="shared" si="185"/>
        <v>0</v>
      </c>
      <c r="DA190" s="2"/>
      <c r="DB190" s="2"/>
      <c r="DC190" s="2" t="s">
        <v>3</v>
      </c>
      <c r="DD190" s="2" t="s">
        <v>3</v>
      </c>
      <c r="DE190" s="2" t="s">
        <v>3</v>
      </c>
      <c r="DF190" s="2" t="s">
        <v>3</v>
      </c>
      <c r="DG190" s="2" t="s">
        <v>3</v>
      </c>
      <c r="DH190" s="2" t="s">
        <v>3</v>
      </c>
      <c r="DI190" s="2" t="s">
        <v>3</v>
      </c>
      <c r="DJ190" s="2" t="s">
        <v>3</v>
      </c>
      <c r="DK190" s="2" t="s">
        <v>3</v>
      </c>
      <c r="DL190" s="2" t="s">
        <v>3</v>
      </c>
      <c r="DM190" s="2" t="s">
        <v>3</v>
      </c>
      <c r="DN190" s="2">
        <v>0</v>
      </c>
      <c r="DO190" s="2">
        <v>0</v>
      </c>
      <c r="DP190" s="2">
        <v>1</v>
      </c>
      <c r="DQ190" s="2">
        <v>1</v>
      </c>
      <c r="DR190" s="2"/>
      <c r="DS190" s="2"/>
      <c r="DT190" s="2"/>
      <c r="DU190" s="2">
        <v>1009</v>
      </c>
      <c r="DV190" s="2" t="s">
        <v>70</v>
      </c>
      <c r="DW190" s="2" t="s">
        <v>70</v>
      </c>
      <c r="DX190" s="2">
        <v>1</v>
      </c>
      <c r="DY190" s="2"/>
      <c r="DZ190" s="2" t="s">
        <v>3</v>
      </c>
      <c r="EA190" s="2" t="s">
        <v>3</v>
      </c>
      <c r="EB190" s="2" t="s">
        <v>3</v>
      </c>
      <c r="EC190" s="2" t="s">
        <v>3</v>
      </c>
      <c r="ED190" s="2"/>
      <c r="EE190" s="2">
        <v>60088560</v>
      </c>
      <c r="EF190" s="2">
        <v>200</v>
      </c>
      <c r="EG190" s="2" t="s">
        <v>248</v>
      </c>
      <c r="EH190" s="2">
        <v>0</v>
      </c>
      <c r="EI190" s="2" t="s">
        <v>3</v>
      </c>
      <c r="EJ190" s="2">
        <v>1</v>
      </c>
      <c r="EK190" s="2">
        <v>1617</v>
      </c>
      <c r="EL190" s="2" t="s">
        <v>249</v>
      </c>
      <c r="EM190" s="2" t="s">
        <v>250</v>
      </c>
      <c r="EN190" s="2"/>
      <c r="EO190" s="2" t="s">
        <v>3</v>
      </c>
      <c r="EP190" s="2"/>
      <c r="EQ190" s="2">
        <v>0</v>
      </c>
      <c r="ER190" s="2">
        <v>133.65</v>
      </c>
      <c r="ES190" s="2">
        <v>133.65</v>
      </c>
      <c r="ET190" s="2">
        <v>0</v>
      </c>
      <c r="EU190" s="2">
        <v>0</v>
      </c>
      <c r="EV190" s="2">
        <v>0</v>
      </c>
      <c r="EW190" s="2">
        <v>0</v>
      </c>
      <c r="EX190" s="2">
        <v>0</v>
      </c>
      <c r="EY190" s="2">
        <v>0</v>
      </c>
      <c r="EZ190" s="2"/>
      <c r="FA190" s="2"/>
      <c r="FB190" s="2"/>
      <c r="FC190" s="2"/>
      <c r="FD190" s="2"/>
      <c r="FE190" s="2"/>
      <c r="FF190" s="2"/>
      <c r="FG190" s="2"/>
      <c r="FH190" s="2"/>
      <c r="FI190" s="2"/>
      <c r="FJ190" s="2"/>
      <c r="FK190" s="2"/>
      <c r="FL190" s="2"/>
      <c r="FM190" s="2"/>
      <c r="FN190" s="2"/>
      <c r="FO190" s="2"/>
      <c r="FP190" s="2"/>
      <c r="FQ190" s="2">
        <v>0</v>
      </c>
      <c r="FR190" s="2">
        <v>0</v>
      </c>
      <c r="FS190" s="2">
        <v>0</v>
      </c>
      <c r="FT190" s="2"/>
      <c r="FU190" s="2"/>
      <c r="FV190" s="2"/>
      <c r="FW190" s="2"/>
      <c r="FX190" s="2">
        <v>0</v>
      </c>
      <c r="FY190" s="2">
        <v>0</v>
      </c>
      <c r="FZ190" s="2"/>
      <c r="GA190" s="2" t="s">
        <v>3</v>
      </c>
      <c r="GB190" s="2"/>
      <c r="GC190" s="2"/>
      <c r="GD190" s="2">
        <v>1</v>
      </c>
      <c r="GE190" s="2"/>
      <c r="GF190" s="2">
        <v>270845484</v>
      </c>
      <c r="GG190" s="2">
        <v>2</v>
      </c>
      <c r="GH190" s="2">
        <v>1</v>
      </c>
      <c r="GI190" s="2">
        <v>-2</v>
      </c>
      <c r="GJ190" s="2">
        <v>0</v>
      </c>
      <c r="GK190" s="2">
        <v>0</v>
      </c>
      <c r="GL190" s="2">
        <f t="shared" si="155"/>
        <v>0</v>
      </c>
      <c r="GM190" s="2">
        <f t="shared" si="156"/>
        <v>668.25</v>
      </c>
      <c r="GN190" s="2">
        <f t="shared" si="157"/>
        <v>0</v>
      </c>
      <c r="GO190" s="2">
        <f t="shared" si="158"/>
        <v>668.25</v>
      </c>
      <c r="GP190" s="2">
        <f t="shared" si="159"/>
        <v>0</v>
      </c>
      <c r="GQ190" s="2"/>
      <c r="GR190" s="2">
        <v>0</v>
      </c>
      <c r="GS190" s="2">
        <v>3</v>
      </c>
      <c r="GT190" s="2">
        <v>0</v>
      </c>
      <c r="GU190" s="2" t="s">
        <v>3</v>
      </c>
      <c r="GV190" s="2">
        <f t="shared" si="160"/>
        <v>0</v>
      </c>
      <c r="GW190" s="2">
        <v>1</v>
      </c>
      <c r="GX190" s="2">
        <f t="shared" si="161"/>
        <v>0</v>
      </c>
      <c r="GY190" s="2"/>
      <c r="GZ190" s="2"/>
      <c r="HA190" s="2">
        <v>0</v>
      </c>
      <c r="HB190" s="2">
        <v>0</v>
      </c>
      <c r="HC190" s="2">
        <f t="shared" si="162"/>
        <v>0</v>
      </c>
      <c r="HD190" s="2"/>
      <c r="HE190" s="2" t="s">
        <v>3</v>
      </c>
      <c r="HF190" s="2" t="s">
        <v>3</v>
      </c>
      <c r="HG190" s="2"/>
      <c r="HH190" s="2"/>
      <c r="HI190" s="2"/>
      <c r="HJ190" s="2"/>
      <c r="HK190" s="2"/>
      <c r="HL190" s="2"/>
      <c r="HM190" s="2" t="s">
        <v>3</v>
      </c>
      <c r="HN190" s="2" t="s">
        <v>3</v>
      </c>
      <c r="HO190" s="2" t="s">
        <v>3</v>
      </c>
      <c r="HP190" s="2" t="s">
        <v>3</v>
      </c>
      <c r="HQ190" s="2" t="s">
        <v>3</v>
      </c>
      <c r="HR190" s="2"/>
      <c r="HS190" s="2">
        <v>0</v>
      </c>
      <c r="HT190" s="2"/>
      <c r="HU190" s="2"/>
      <c r="HV190" s="2"/>
      <c r="HW190" s="2"/>
      <c r="HX190" s="2"/>
      <c r="HY190" s="2"/>
      <c r="HZ190" s="2"/>
      <c r="IA190" s="2"/>
      <c r="IB190" s="2"/>
      <c r="IC190" s="2"/>
      <c r="ID190" s="2"/>
      <c r="IE190" s="2"/>
      <c r="IF190" s="2"/>
      <c r="IG190" s="2"/>
      <c r="IH190" s="2"/>
      <c r="II190" s="2"/>
      <c r="IJ190" s="2"/>
      <c r="IK190" s="2">
        <v>0</v>
      </c>
      <c r="IL190" s="2"/>
      <c r="IM190" s="2"/>
      <c r="IN190" s="2"/>
      <c r="IO190" s="2"/>
      <c r="IP190" s="2"/>
      <c r="IQ190" s="2"/>
      <c r="IR190" s="2"/>
      <c r="IS190" s="2"/>
      <c r="IT190" s="2"/>
      <c r="IU190" s="2"/>
    </row>
    <row r="191" spans="1:255" x14ac:dyDescent="0.2">
      <c r="A191" s="3">
        <v>17</v>
      </c>
      <c r="B191" s="3">
        <v>1</v>
      </c>
      <c r="E191" s="3" t="s">
        <v>245</v>
      </c>
      <c r="F191" s="3" t="s">
        <v>246</v>
      </c>
      <c r="G191" s="3" t="s">
        <v>372</v>
      </c>
      <c r="H191" s="3" t="s">
        <v>70</v>
      </c>
      <c r="I191" s="3">
        <v>5</v>
      </c>
      <c r="J191" s="3">
        <v>0</v>
      </c>
      <c r="K191" s="3">
        <v>5</v>
      </c>
      <c r="O191" s="3">
        <f t="shared" si="138"/>
        <v>6234.77</v>
      </c>
      <c r="P191" s="3">
        <f t="shared" si="139"/>
        <v>6234.77</v>
      </c>
      <c r="Q191" s="3">
        <f t="shared" si="175"/>
        <v>0</v>
      </c>
      <c r="R191" s="3">
        <f t="shared" si="176"/>
        <v>0</v>
      </c>
      <c r="S191" s="3">
        <f t="shared" si="140"/>
        <v>0</v>
      </c>
      <c r="T191" s="3">
        <f t="shared" si="141"/>
        <v>0</v>
      </c>
      <c r="U191" s="3">
        <f t="shared" si="142"/>
        <v>0</v>
      </c>
      <c r="V191" s="3">
        <f t="shared" si="143"/>
        <v>0</v>
      </c>
      <c r="W191" s="3">
        <f t="shared" si="144"/>
        <v>0</v>
      </c>
      <c r="X191" s="3">
        <f t="shared" si="177"/>
        <v>0</v>
      </c>
      <c r="Y191" s="3">
        <f t="shared" si="178"/>
        <v>0</v>
      </c>
      <c r="AA191" s="3">
        <v>60256402</v>
      </c>
      <c r="AB191" s="3">
        <f t="shared" si="145"/>
        <v>133.65</v>
      </c>
      <c r="AC191" s="3">
        <f t="shared" si="167"/>
        <v>133.65</v>
      </c>
      <c r="AD191" s="3">
        <f t="shared" si="179"/>
        <v>0</v>
      </c>
      <c r="AE191" s="3">
        <f t="shared" si="180"/>
        <v>0</v>
      </c>
      <c r="AF191" s="3">
        <f t="shared" si="180"/>
        <v>0</v>
      </c>
      <c r="AG191" s="3">
        <f t="shared" si="146"/>
        <v>0</v>
      </c>
      <c r="AH191" s="3">
        <f t="shared" si="181"/>
        <v>0</v>
      </c>
      <c r="AI191" s="3">
        <f t="shared" si="181"/>
        <v>0</v>
      </c>
      <c r="AJ191" s="3">
        <f t="shared" si="147"/>
        <v>0</v>
      </c>
      <c r="AK191" s="3">
        <v>133.65</v>
      </c>
      <c r="AL191" s="3">
        <v>133.65</v>
      </c>
      <c r="AM191" s="3">
        <v>0</v>
      </c>
      <c r="AN191" s="3">
        <v>0</v>
      </c>
      <c r="AO191" s="3">
        <v>0</v>
      </c>
      <c r="AP191" s="3">
        <v>0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3">
        <v>1</v>
      </c>
      <c r="AW191" s="3">
        <v>1</v>
      </c>
      <c r="AZ191" s="3">
        <v>1</v>
      </c>
      <c r="BA191" s="3">
        <v>1</v>
      </c>
      <c r="BB191" s="3">
        <v>1</v>
      </c>
      <c r="BC191" s="3">
        <v>9.33</v>
      </c>
      <c r="BD191" s="3" t="s">
        <v>3</v>
      </c>
      <c r="BE191" s="3" t="s">
        <v>3</v>
      </c>
      <c r="BF191" s="3" t="s">
        <v>3</v>
      </c>
      <c r="BG191" s="3" t="s">
        <v>3</v>
      </c>
      <c r="BH191" s="3">
        <v>3</v>
      </c>
      <c r="BI191" s="3">
        <v>2</v>
      </c>
      <c r="BJ191" s="3" t="s">
        <v>247</v>
      </c>
      <c r="BM191" s="3">
        <v>1617</v>
      </c>
      <c r="BN191" s="3">
        <v>58973116</v>
      </c>
      <c r="BO191" s="3" t="s">
        <v>246</v>
      </c>
      <c r="BP191" s="3">
        <v>1</v>
      </c>
      <c r="BQ191" s="3">
        <v>200</v>
      </c>
      <c r="BR191" s="3">
        <v>0</v>
      </c>
      <c r="BS191" s="3">
        <v>1</v>
      </c>
      <c r="BT191" s="3">
        <v>1</v>
      </c>
      <c r="BU191" s="3">
        <v>1</v>
      </c>
      <c r="BV191" s="3">
        <v>1</v>
      </c>
      <c r="BW191" s="3">
        <v>1</v>
      </c>
      <c r="BX191" s="3">
        <v>1</v>
      </c>
      <c r="BY191" s="3" t="s">
        <v>3</v>
      </c>
      <c r="BZ191" s="3">
        <v>0</v>
      </c>
      <c r="CA191" s="3">
        <v>0</v>
      </c>
      <c r="CB191" s="3" t="s">
        <v>3</v>
      </c>
      <c r="CE191" s="3">
        <v>1566</v>
      </c>
      <c r="CF191" s="3">
        <v>0</v>
      </c>
      <c r="CG191" s="3">
        <v>0</v>
      </c>
      <c r="CM191" s="3">
        <v>0</v>
      </c>
      <c r="CN191" s="3" t="s">
        <v>3</v>
      </c>
      <c r="CO191" s="3">
        <v>0</v>
      </c>
      <c r="CP191" s="3">
        <f t="shared" si="148"/>
        <v>6234.77</v>
      </c>
      <c r="CQ191" s="3">
        <f t="shared" si="149"/>
        <v>1246.95</v>
      </c>
      <c r="CR191" s="3">
        <f t="shared" si="182"/>
        <v>0</v>
      </c>
      <c r="CS191" s="3">
        <f t="shared" si="183"/>
        <v>0</v>
      </c>
      <c r="CT191" s="3">
        <f t="shared" si="150"/>
        <v>0</v>
      </c>
      <c r="CU191" s="3">
        <f t="shared" si="151"/>
        <v>0</v>
      </c>
      <c r="CV191" s="3">
        <f t="shared" si="152"/>
        <v>0</v>
      </c>
      <c r="CW191" s="3">
        <f t="shared" si="153"/>
        <v>0</v>
      </c>
      <c r="CX191" s="3">
        <f t="shared" si="154"/>
        <v>0</v>
      </c>
      <c r="CY191" s="3">
        <f t="shared" si="184"/>
        <v>0</v>
      </c>
      <c r="CZ191" s="3">
        <f t="shared" si="185"/>
        <v>0</v>
      </c>
      <c r="DC191" s="3" t="s">
        <v>3</v>
      </c>
      <c r="DD191" s="3" t="s">
        <v>3</v>
      </c>
      <c r="DE191" s="3" t="s">
        <v>3</v>
      </c>
      <c r="DF191" s="3" t="s">
        <v>3</v>
      </c>
      <c r="DG191" s="3" t="s">
        <v>3</v>
      </c>
      <c r="DH191" s="3" t="s">
        <v>3</v>
      </c>
      <c r="DI191" s="3" t="s">
        <v>3</v>
      </c>
      <c r="DJ191" s="3" t="s">
        <v>3</v>
      </c>
      <c r="DK191" s="3" t="s">
        <v>3</v>
      </c>
      <c r="DL191" s="3" t="s">
        <v>3</v>
      </c>
      <c r="DM191" s="3" t="s">
        <v>3</v>
      </c>
      <c r="DN191" s="3">
        <v>0</v>
      </c>
      <c r="DO191" s="3">
        <v>0</v>
      </c>
      <c r="DP191" s="3">
        <v>1</v>
      </c>
      <c r="DQ191" s="3">
        <v>1</v>
      </c>
      <c r="DU191" s="3">
        <v>1009</v>
      </c>
      <c r="DV191" s="3" t="s">
        <v>70</v>
      </c>
      <c r="DW191" s="3" t="s">
        <v>70</v>
      </c>
      <c r="DX191" s="3">
        <v>1</v>
      </c>
      <c r="DZ191" s="3" t="s">
        <v>3</v>
      </c>
      <c r="EA191" s="3" t="s">
        <v>3</v>
      </c>
      <c r="EB191" s="3" t="s">
        <v>3</v>
      </c>
      <c r="EC191" s="3" t="s">
        <v>3</v>
      </c>
      <c r="EE191" s="3">
        <v>60088560</v>
      </c>
      <c r="EF191" s="3">
        <v>200</v>
      </c>
      <c r="EG191" s="3" t="s">
        <v>248</v>
      </c>
      <c r="EH191" s="3">
        <v>0</v>
      </c>
      <c r="EI191" s="3" t="s">
        <v>3</v>
      </c>
      <c r="EJ191" s="3">
        <v>1</v>
      </c>
      <c r="EK191" s="3">
        <v>1617</v>
      </c>
      <c r="EL191" s="3" t="s">
        <v>249</v>
      </c>
      <c r="EM191" s="3" t="s">
        <v>250</v>
      </c>
      <c r="EO191" s="3" t="s">
        <v>3</v>
      </c>
      <c r="EQ191" s="3">
        <v>0</v>
      </c>
      <c r="ER191" s="3">
        <v>133.65</v>
      </c>
      <c r="ES191" s="3">
        <v>133.65</v>
      </c>
      <c r="ET191" s="3">
        <v>0</v>
      </c>
      <c r="EU191" s="3">
        <v>0</v>
      </c>
      <c r="EV191" s="3">
        <v>0</v>
      </c>
      <c r="EW191" s="3">
        <v>0</v>
      </c>
      <c r="EX191" s="3">
        <v>0</v>
      </c>
      <c r="EY191" s="3">
        <v>0</v>
      </c>
      <c r="FQ191" s="3">
        <v>0</v>
      </c>
      <c r="FR191" s="3">
        <v>0</v>
      </c>
      <c r="FS191" s="3">
        <v>0</v>
      </c>
      <c r="FX191" s="3">
        <v>0</v>
      </c>
      <c r="FY191" s="3">
        <v>0</v>
      </c>
      <c r="GA191" s="3" t="s">
        <v>3</v>
      </c>
      <c r="GD191" s="3">
        <v>1</v>
      </c>
      <c r="GF191" s="3">
        <v>270845484</v>
      </c>
      <c r="GG191" s="3">
        <v>2</v>
      </c>
      <c r="GH191" s="3">
        <v>1</v>
      </c>
      <c r="GI191" s="3">
        <v>2</v>
      </c>
      <c r="GJ191" s="3">
        <v>0</v>
      </c>
      <c r="GK191" s="3">
        <v>0</v>
      </c>
      <c r="GL191" s="3">
        <f t="shared" si="155"/>
        <v>0</v>
      </c>
      <c r="GM191" s="3">
        <f t="shared" si="156"/>
        <v>6234.77</v>
      </c>
      <c r="GN191" s="3">
        <f t="shared" si="157"/>
        <v>0</v>
      </c>
      <c r="GO191" s="3">
        <f t="shared" si="158"/>
        <v>6234.77</v>
      </c>
      <c r="GP191" s="3">
        <f t="shared" si="159"/>
        <v>0</v>
      </c>
      <c r="GR191" s="3">
        <v>0</v>
      </c>
      <c r="GS191" s="3">
        <v>3</v>
      </c>
      <c r="GT191" s="3">
        <v>0</v>
      </c>
      <c r="GU191" s="3" t="s">
        <v>3</v>
      </c>
      <c r="GV191" s="3">
        <f t="shared" si="160"/>
        <v>0</v>
      </c>
      <c r="GW191" s="3">
        <v>1</v>
      </c>
      <c r="GX191" s="3">
        <f t="shared" si="161"/>
        <v>0</v>
      </c>
      <c r="HA191" s="3">
        <v>0</v>
      </c>
      <c r="HB191" s="3">
        <v>0</v>
      </c>
      <c r="HC191" s="3">
        <f t="shared" si="162"/>
        <v>0</v>
      </c>
      <c r="HE191" s="3" t="s">
        <v>3</v>
      </c>
      <c r="HF191" s="3" t="s">
        <v>3</v>
      </c>
      <c r="HM191" s="3" t="s">
        <v>3</v>
      </c>
      <c r="HN191" s="3" t="s">
        <v>3</v>
      </c>
      <c r="HO191" s="3" t="s">
        <v>3</v>
      </c>
      <c r="HP191" s="3" t="s">
        <v>3</v>
      </c>
      <c r="HQ191" s="3" t="s">
        <v>3</v>
      </c>
      <c r="HS191" s="3">
        <v>0</v>
      </c>
      <c r="IK191" s="3">
        <v>0</v>
      </c>
    </row>
    <row r="193" spans="1:206" x14ac:dyDescent="0.2">
      <c r="A193" s="11">
        <v>51</v>
      </c>
      <c r="B193" s="11">
        <f>B170</f>
        <v>1</v>
      </c>
      <c r="C193" s="11">
        <f>A170</f>
        <v>4</v>
      </c>
      <c r="D193" s="11">
        <f>ROW(A170)</f>
        <v>170</v>
      </c>
      <c r="E193" s="11"/>
      <c r="F193" s="11" t="str">
        <f>IF(F170&lt;&gt;"",F170,"")</f>
        <v/>
      </c>
      <c r="G193" s="11" t="str">
        <f>IF(G170&lt;&gt;"",G170,"")</f>
        <v>Кабельные изделия</v>
      </c>
      <c r="H193" s="11">
        <v>0</v>
      </c>
      <c r="I193" s="11"/>
      <c r="J193" s="11"/>
      <c r="K193" s="11"/>
      <c r="L193" s="11"/>
      <c r="M193" s="11"/>
      <c r="N193" s="11"/>
      <c r="O193" s="11">
        <f t="shared" ref="O193:T193" si="186">ROUND(AB193,2)</f>
        <v>33959.730000000003</v>
      </c>
      <c r="P193" s="11">
        <f t="shared" si="186"/>
        <v>28394.93</v>
      </c>
      <c r="Q193" s="11">
        <f t="shared" si="186"/>
        <v>75.56</v>
      </c>
      <c r="R193" s="11">
        <f t="shared" si="186"/>
        <v>0</v>
      </c>
      <c r="S193" s="11">
        <f t="shared" si="186"/>
        <v>5489.24</v>
      </c>
      <c r="T193" s="11">
        <f t="shared" si="186"/>
        <v>0</v>
      </c>
      <c r="U193" s="11">
        <f>AH193</f>
        <v>461.96069040000009</v>
      </c>
      <c r="V193" s="11">
        <f>AI193</f>
        <v>0</v>
      </c>
      <c r="W193" s="11">
        <f>ROUND(AJ193,2)</f>
        <v>0</v>
      </c>
      <c r="X193" s="11">
        <f>ROUND(AK193,2)</f>
        <v>4940.3100000000004</v>
      </c>
      <c r="Y193" s="11">
        <f>ROUND(AL193,2)</f>
        <v>2525.0500000000002</v>
      </c>
      <c r="Z193" s="11"/>
      <c r="AA193" s="11"/>
      <c r="AB193" s="11">
        <f>ROUND(SUMIF(AA174:AA191,"=60256405",O174:O191),2)</f>
        <v>33959.730000000003</v>
      </c>
      <c r="AC193" s="11">
        <f>ROUND(SUMIF(AA174:AA191,"=60256405",P174:P191),2)</f>
        <v>28394.93</v>
      </c>
      <c r="AD193" s="11">
        <f>ROUND(SUMIF(AA174:AA191,"=60256405",Q174:Q191),2)</f>
        <v>75.56</v>
      </c>
      <c r="AE193" s="11">
        <f>ROUND(SUMIF(AA174:AA191,"=60256405",R174:R191),2)</f>
        <v>0</v>
      </c>
      <c r="AF193" s="11">
        <f>ROUND(SUMIF(AA174:AA191,"=60256405",S174:S191),2)</f>
        <v>5489.24</v>
      </c>
      <c r="AG193" s="11">
        <f>ROUND(SUMIF(AA174:AA191,"=60256405",T174:T191),2)</f>
        <v>0</v>
      </c>
      <c r="AH193" s="11">
        <f>SUMIF(AA174:AA191,"=60256405",U174:U191)</f>
        <v>461.96069040000009</v>
      </c>
      <c r="AI193" s="11">
        <f>SUMIF(AA174:AA191,"=60256405",V174:V191)</f>
        <v>0</v>
      </c>
      <c r="AJ193" s="11">
        <f>ROUND(SUMIF(AA174:AA191,"=60256405",W174:W191),2)</f>
        <v>0</v>
      </c>
      <c r="AK193" s="11">
        <f>ROUND(SUMIF(AA174:AA191,"=60256405",X174:X191),2)</f>
        <v>4940.3100000000004</v>
      </c>
      <c r="AL193" s="11">
        <f>ROUND(SUMIF(AA174:AA191,"=60256405",Y174:Y191),2)</f>
        <v>2525.0500000000002</v>
      </c>
      <c r="AM193" s="11"/>
      <c r="AN193" s="11"/>
      <c r="AO193" s="11">
        <f t="shared" ref="AO193:BD193" si="187">ROUND(BX193,2)</f>
        <v>0</v>
      </c>
      <c r="AP193" s="11">
        <f t="shared" si="187"/>
        <v>0</v>
      </c>
      <c r="AQ193" s="11">
        <f t="shared" si="187"/>
        <v>0</v>
      </c>
      <c r="AR193" s="11">
        <f t="shared" si="187"/>
        <v>41425.089999999997</v>
      </c>
      <c r="AS193" s="11">
        <f t="shared" si="187"/>
        <v>0</v>
      </c>
      <c r="AT193" s="11">
        <f t="shared" si="187"/>
        <v>41425.089999999997</v>
      </c>
      <c r="AU193" s="11">
        <f t="shared" si="187"/>
        <v>0</v>
      </c>
      <c r="AV193" s="11">
        <f t="shared" si="187"/>
        <v>28394.93</v>
      </c>
      <c r="AW193" s="11">
        <f t="shared" si="187"/>
        <v>28394.93</v>
      </c>
      <c r="AX193" s="11">
        <f t="shared" si="187"/>
        <v>0</v>
      </c>
      <c r="AY193" s="11">
        <f t="shared" si="187"/>
        <v>28394.93</v>
      </c>
      <c r="AZ193" s="11">
        <f t="shared" si="187"/>
        <v>0</v>
      </c>
      <c r="BA193" s="11">
        <f t="shared" si="187"/>
        <v>0</v>
      </c>
      <c r="BB193" s="11">
        <f t="shared" si="187"/>
        <v>0</v>
      </c>
      <c r="BC193" s="11">
        <f t="shared" si="187"/>
        <v>0</v>
      </c>
      <c r="BD193" s="11">
        <f t="shared" si="187"/>
        <v>0</v>
      </c>
      <c r="BE193" s="11"/>
      <c r="BF193" s="11"/>
      <c r="BG193" s="11"/>
      <c r="BH193" s="11"/>
      <c r="BI193" s="11"/>
      <c r="BJ193" s="11"/>
      <c r="BK193" s="11"/>
      <c r="BL193" s="11"/>
      <c r="BM193" s="11"/>
      <c r="BN193" s="11"/>
      <c r="BO193" s="11"/>
      <c r="BP193" s="11"/>
      <c r="BQ193" s="11"/>
      <c r="BR193" s="11"/>
      <c r="BS193" s="11"/>
      <c r="BT193" s="11"/>
      <c r="BU193" s="11"/>
      <c r="BV193" s="11"/>
      <c r="BW193" s="11"/>
      <c r="BX193" s="11">
        <f>ROUND(SUMIF(AA174:AA191,"=60256405",FQ174:FQ191),2)</f>
        <v>0</v>
      </c>
      <c r="BY193" s="11">
        <f>ROUND(SUMIF(AA174:AA191,"=60256405",FR174:FR191),2)</f>
        <v>0</v>
      </c>
      <c r="BZ193" s="11">
        <f>ROUND(SUMIF(AA174:AA191,"=60256405",GL174:GL191),2)</f>
        <v>0</v>
      </c>
      <c r="CA193" s="11">
        <f>ROUND(SUMIF(AA174:AA191,"=60256405",GM174:GM191),2)</f>
        <v>41425.089999999997</v>
      </c>
      <c r="CB193" s="11">
        <f>ROUND(SUMIF(AA174:AA191,"=60256405",GN174:GN191),2)</f>
        <v>0</v>
      </c>
      <c r="CC193" s="11">
        <f>ROUND(SUMIF(AA174:AA191,"=60256405",GO174:GO191),2)</f>
        <v>41425.089999999997</v>
      </c>
      <c r="CD193" s="11">
        <f>ROUND(SUMIF(AA174:AA191,"=60256405",GP174:GP191),2)</f>
        <v>0</v>
      </c>
      <c r="CE193" s="11">
        <f>AC193-BX193</f>
        <v>28394.93</v>
      </c>
      <c r="CF193" s="11">
        <f>AC193-BY193</f>
        <v>28394.93</v>
      </c>
      <c r="CG193" s="11">
        <f>BX193-BZ193</f>
        <v>0</v>
      </c>
      <c r="CH193" s="11">
        <f>AC193-BX193-BY193+BZ193</f>
        <v>28394.93</v>
      </c>
      <c r="CI193" s="11">
        <f>BY193-BZ193</f>
        <v>0</v>
      </c>
      <c r="CJ193" s="11">
        <f>ROUND(SUMIF(AA174:AA191,"=60256405",GX174:GX191),2)</f>
        <v>0</v>
      </c>
      <c r="CK193" s="11">
        <f>ROUND(SUMIF(AA174:AA191,"=60256405",GY174:GY191),2)</f>
        <v>0</v>
      </c>
      <c r="CL193" s="11">
        <f>ROUND(SUMIF(AA174:AA191,"=60256405",GZ174:GZ191),2)</f>
        <v>0</v>
      </c>
      <c r="CM193" s="11">
        <f>ROUND(SUMIF(AA174:AA191,"=60256405",HD174:HD191),2)</f>
        <v>0</v>
      </c>
      <c r="CN193" s="11"/>
      <c r="CO193" s="11"/>
      <c r="CP193" s="11"/>
      <c r="CQ193" s="11"/>
      <c r="CR193" s="11"/>
      <c r="CS193" s="11"/>
      <c r="CT193" s="11"/>
      <c r="CU193" s="11"/>
      <c r="CV193" s="11"/>
      <c r="CW193" s="11"/>
      <c r="CX193" s="11"/>
      <c r="CY193" s="11"/>
      <c r="CZ193" s="11"/>
      <c r="DA193" s="11"/>
      <c r="DB193" s="11"/>
      <c r="DC193" s="11"/>
      <c r="DD193" s="11"/>
      <c r="DE193" s="11"/>
      <c r="DF193" s="11"/>
      <c r="DG193" s="12">
        <f t="shared" ref="DG193:DL193" si="188">ROUND(DT193,2)</f>
        <v>539726.17000000004</v>
      </c>
      <c r="DH193" s="12">
        <f t="shared" si="188"/>
        <v>237213.98</v>
      </c>
      <c r="DI193" s="12">
        <f t="shared" si="188"/>
        <v>658.88</v>
      </c>
      <c r="DJ193" s="12">
        <f t="shared" si="188"/>
        <v>0</v>
      </c>
      <c r="DK193" s="12">
        <f t="shared" si="188"/>
        <v>301853.31</v>
      </c>
      <c r="DL193" s="12">
        <f t="shared" si="188"/>
        <v>0</v>
      </c>
      <c r="DM193" s="12">
        <f>DZ193</f>
        <v>461.96069040000009</v>
      </c>
      <c r="DN193" s="12">
        <f>EA193</f>
        <v>0</v>
      </c>
      <c r="DO193" s="12">
        <f>ROUND(EB193,2)</f>
        <v>0</v>
      </c>
      <c r="DP193" s="12">
        <f>ROUND(EC193,2)</f>
        <v>271667.98</v>
      </c>
      <c r="DQ193" s="12">
        <f>ROUND(ED193,2)</f>
        <v>138852.51999999999</v>
      </c>
      <c r="DR193" s="12"/>
      <c r="DS193" s="12"/>
      <c r="DT193" s="12">
        <f>ROUND(SUMIF(AA174:AA191,"=60256402",O174:O191),2)</f>
        <v>539726.17000000004</v>
      </c>
      <c r="DU193" s="12">
        <f>ROUND(SUMIF(AA174:AA191,"=60256402",P174:P191),2)</f>
        <v>237213.98</v>
      </c>
      <c r="DV193" s="12">
        <f>ROUND(SUMIF(AA174:AA191,"=60256402",Q174:Q191),2)</f>
        <v>658.88</v>
      </c>
      <c r="DW193" s="12">
        <f>ROUND(SUMIF(AA174:AA191,"=60256402",R174:R191),2)</f>
        <v>0</v>
      </c>
      <c r="DX193" s="12">
        <f>ROUND(SUMIF(AA174:AA191,"=60256402",S174:S191),2)</f>
        <v>301853.31</v>
      </c>
      <c r="DY193" s="12">
        <f>ROUND(SUMIF(AA174:AA191,"=60256402",T174:T191),2)</f>
        <v>0</v>
      </c>
      <c r="DZ193" s="12">
        <f>SUMIF(AA174:AA191,"=60256402",U174:U191)</f>
        <v>461.96069040000009</v>
      </c>
      <c r="EA193" s="12">
        <f>SUMIF(AA174:AA191,"=60256402",V174:V191)</f>
        <v>0</v>
      </c>
      <c r="EB193" s="12">
        <f>ROUND(SUMIF(AA174:AA191,"=60256402",W174:W191),2)</f>
        <v>0</v>
      </c>
      <c r="EC193" s="12">
        <f>ROUND(SUMIF(AA174:AA191,"=60256402",X174:X191),2)</f>
        <v>271667.98</v>
      </c>
      <c r="ED193" s="12">
        <f>ROUND(SUMIF(AA174:AA191,"=60256402",Y174:Y191),2)</f>
        <v>138852.51999999999</v>
      </c>
      <c r="EE193" s="12"/>
      <c r="EF193" s="12"/>
      <c r="EG193" s="12">
        <f t="shared" ref="EG193:EV193" si="189">ROUND(FP193,2)</f>
        <v>0</v>
      </c>
      <c r="EH193" s="12">
        <f t="shared" si="189"/>
        <v>0</v>
      </c>
      <c r="EI193" s="12">
        <f t="shared" si="189"/>
        <v>0</v>
      </c>
      <c r="EJ193" s="12">
        <f t="shared" si="189"/>
        <v>950246.67</v>
      </c>
      <c r="EK193" s="12">
        <f t="shared" si="189"/>
        <v>0</v>
      </c>
      <c r="EL193" s="12">
        <f t="shared" si="189"/>
        <v>950246.67</v>
      </c>
      <c r="EM193" s="12">
        <f t="shared" si="189"/>
        <v>0</v>
      </c>
      <c r="EN193" s="12">
        <f t="shared" si="189"/>
        <v>237213.98</v>
      </c>
      <c r="EO193" s="12">
        <f t="shared" si="189"/>
        <v>237213.98</v>
      </c>
      <c r="EP193" s="12">
        <f t="shared" si="189"/>
        <v>0</v>
      </c>
      <c r="EQ193" s="12">
        <f t="shared" si="189"/>
        <v>237213.98</v>
      </c>
      <c r="ER193" s="12">
        <f t="shared" si="189"/>
        <v>0</v>
      </c>
      <c r="ES193" s="12">
        <f t="shared" si="189"/>
        <v>0</v>
      </c>
      <c r="ET193" s="12">
        <f t="shared" si="189"/>
        <v>0</v>
      </c>
      <c r="EU193" s="12">
        <f t="shared" si="189"/>
        <v>0</v>
      </c>
      <c r="EV193" s="12">
        <f t="shared" si="189"/>
        <v>0</v>
      </c>
      <c r="EW193" s="12"/>
      <c r="EX193" s="12"/>
      <c r="EY193" s="12"/>
      <c r="EZ193" s="12"/>
      <c r="FA193" s="12"/>
      <c r="FB193" s="12"/>
      <c r="FC193" s="12"/>
      <c r="FD193" s="12"/>
      <c r="FE193" s="12"/>
      <c r="FF193" s="12"/>
      <c r="FG193" s="12"/>
      <c r="FH193" s="12"/>
      <c r="FI193" s="12"/>
      <c r="FJ193" s="12"/>
      <c r="FK193" s="12"/>
      <c r="FL193" s="12"/>
      <c r="FM193" s="12"/>
      <c r="FN193" s="12"/>
      <c r="FO193" s="12"/>
      <c r="FP193" s="12">
        <f>ROUND(SUMIF(AA174:AA191,"=60256402",FQ174:FQ191),2)</f>
        <v>0</v>
      </c>
      <c r="FQ193" s="12">
        <f>ROUND(SUMIF(AA174:AA191,"=60256402",FR174:FR191),2)</f>
        <v>0</v>
      </c>
      <c r="FR193" s="12">
        <f>ROUND(SUMIF(AA174:AA191,"=60256402",GL174:GL191),2)</f>
        <v>0</v>
      </c>
      <c r="FS193" s="12">
        <f>ROUND(SUMIF(AA174:AA191,"=60256402",GM174:GM191),2)</f>
        <v>950246.67</v>
      </c>
      <c r="FT193" s="12">
        <f>ROUND(SUMIF(AA174:AA191,"=60256402",GN174:GN191),2)</f>
        <v>0</v>
      </c>
      <c r="FU193" s="12">
        <f>ROUND(SUMIF(AA174:AA191,"=60256402",GO174:GO191),2)</f>
        <v>950246.67</v>
      </c>
      <c r="FV193" s="12">
        <f>ROUND(SUMIF(AA174:AA191,"=60256402",GP174:GP191),2)</f>
        <v>0</v>
      </c>
      <c r="FW193" s="12">
        <f>DU193-FP193</f>
        <v>237213.98</v>
      </c>
      <c r="FX193" s="12">
        <f>DU193-FQ193</f>
        <v>237213.98</v>
      </c>
      <c r="FY193" s="12">
        <f>FP193-FR193</f>
        <v>0</v>
      </c>
      <c r="FZ193" s="12">
        <f>DU193-FP193-FQ193+FR193</f>
        <v>237213.98</v>
      </c>
      <c r="GA193" s="12">
        <f>FQ193-FR193</f>
        <v>0</v>
      </c>
      <c r="GB193" s="12">
        <f>ROUND(SUMIF(AA174:AA191,"=60256402",GX174:GX191),2)</f>
        <v>0</v>
      </c>
      <c r="GC193" s="12">
        <f>ROUND(SUMIF(AA174:AA191,"=60256402",GY174:GY191),2)</f>
        <v>0</v>
      </c>
      <c r="GD193" s="12">
        <f>ROUND(SUMIF(AA174:AA191,"=60256402",GZ174:GZ191),2)</f>
        <v>0</v>
      </c>
      <c r="GE193" s="12">
        <f>ROUND(SUMIF(AA174:AA191,"=60256402",HD174:HD191),2)</f>
        <v>0</v>
      </c>
      <c r="GF193" s="12"/>
      <c r="GG193" s="12"/>
      <c r="GH193" s="12"/>
      <c r="GI193" s="12"/>
      <c r="GJ193" s="12"/>
      <c r="GK193" s="12"/>
      <c r="GL193" s="12"/>
      <c r="GM193" s="12"/>
      <c r="GN193" s="12"/>
      <c r="GO193" s="12"/>
      <c r="GP193" s="12"/>
      <c r="GQ193" s="12"/>
      <c r="GR193" s="12"/>
      <c r="GS193" s="12"/>
      <c r="GT193" s="12"/>
      <c r="GU193" s="12"/>
      <c r="GV193" s="12"/>
      <c r="GW193" s="12"/>
      <c r="GX193" s="12">
        <v>0</v>
      </c>
    </row>
    <row r="195" spans="1:206" x14ac:dyDescent="0.2">
      <c r="A195" s="13">
        <v>50</v>
      </c>
      <c r="B195" s="13">
        <v>0</v>
      </c>
      <c r="C195" s="13">
        <v>0</v>
      </c>
      <c r="D195" s="13">
        <v>1</v>
      </c>
      <c r="E195" s="13">
        <v>201</v>
      </c>
      <c r="F195" s="13">
        <f>ROUND(Source!O193,O195)</f>
        <v>33959.730000000003</v>
      </c>
      <c r="G195" s="13" t="s">
        <v>132</v>
      </c>
      <c r="H195" s="13" t="s">
        <v>133</v>
      </c>
      <c r="I195" s="13"/>
      <c r="J195" s="13"/>
      <c r="K195" s="13">
        <v>201</v>
      </c>
      <c r="L195" s="13">
        <v>1</v>
      </c>
      <c r="M195" s="13">
        <v>3</v>
      </c>
      <c r="N195" s="13" t="s">
        <v>3</v>
      </c>
      <c r="O195" s="13">
        <v>2</v>
      </c>
      <c r="P195" s="13">
        <f>ROUND(Source!DG193,O195)</f>
        <v>539726.17000000004</v>
      </c>
      <c r="Q195" s="13"/>
      <c r="R195" s="13"/>
      <c r="S195" s="13"/>
      <c r="T195" s="13"/>
      <c r="U195" s="13"/>
      <c r="V195" s="13"/>
      <c r="W195" s="13">
        <v>33959.730000000003</v>
      </c>
      <c r="X195" s="13">
        <v>1</v>
      </c>
      <c r="Y195" s="13">
        <v>33959.730000000003</v>
      </c>
      <c r="Z195" s="13">
        <v>539726.17000000004</v>
      </c>
      <c r="AA195" s="13">
        <v>1</v>
      </c>
      <c r="AB195" s="13">
        <v>539726.17000000004</v>
      </c>
    </row>
    <row r="196" spans="1:206" x14ac:dyDescent="0.2">
      <c r="A196" s="13">
        <v>50</v>
      </c>
      <c r="B196" s="13">
        <v>0</v>
      </c>
      <c r="C196" s="13">
        <v>0</v>
      </c>
      <c r="D196" s="13">
        <v>1</v>
      </c>
      <c r="E196" s="13">
        <v>202</v>
      </c>
      <c r="F196" s="13">
        <f>ROUND(Source!P193,O196)</f>
        <v>28394.93</v>
      </c>
      <c r="G196" s="13" t="s">
        <v>134</v>
      </c>
      <c r="H196" s="13" t="s">
        <v>135</v>
      </c>
      <c r="I196" s="13"/>
      <c r="J196" s="13"/>
      <c r="K196" s="13">
        <v>202</v>
      </c>
      <c r="L196" s="13">
        <v>2</v>
      </c>
      <c r="M196" s="13">
        <v>3</v>
      </c>
      <c r="N196" s="13" t="s">
        <v>3</v>
      </c>
      <c r="O196" s="13">
        <v>2</v>
      </c>
      <c r="P196" s="13">
        <f>ROUND(Source!DH193,O196)</f>
        <v>237213.98</v>
      </c>
      <c r="Q196" s="13"/>
      <c r="R196" s="13"/>
      <c r="S196" s="13"/>
      <c r="T196" s="13"/>
      <c r="U196" s="13"/>
      <c r="V196" s="13"/>
      <c r="W196" s="13">
        <v>28394.93</v>
      </c>
      <c r="X196" s="13">
        <v>1</v>
      </c>
      <c r="Y196" s="13">
        <v>28394.93</v>
      </c>
      <c r="Z196" s="13">
        <v>237213.98</v>
      </c>
      <c r="AA196" s="13">
        <v>1</v>
      </c>
      <c r="AB196" s="13">
        <v>237213.98</v>
      </c>
    </row>
    <row r="197" spans="1:206" x14ac:dyDescent="0.2">
      <c r="A197" s="13">
        <v>50</v>
      </c>
      <c r="B197" s="13">
        <v>0</v>
      </c>
      <c r="C197" s="13">
        <v>0</v>
      </c>
      <c r="D197" s="13">
        <v>1</v>
      </c>
      <c r="E197" s="13">
        <v>222</v>
      </c>
      <c r="F197" s="13">
        <f>ROUND(Source!AO193,O197)</f>
        <v>0</v>
      </c>
      <c r="G197" s="13" t="s">
        <v>136</v>
      </c>
      <c r="H197" s="13" t="s">
        <v>137</v>
      </c>
      <c r="I197" s="13"/>
      <c r="J197" s="13"/>
      <c r="K197" s="13">
        <v>222</v>
      </c>
      <c r="L197" s="13">
        <v>3</v>
      </c>
      <c r="M197" s="13">
        <v>3</v>
      </c>
      <c r="N197" s="13" t="s">
        <v>3</v>
      </c>
      <c r="O197" s="13">
        <v>2</v>
      </c>
      <c r="P197" s="13">
        <f>ROUND(Source!EG193,O197)</f>
        <v>0</v>
      </c>
      <c r="Q197" s="13"/>
      <c r="R197" s="13"/>
      <c r="S197" s="13"/>
      <c r="T197" s="13"/>
      <c r="U197" s="13"/>
      <c r="V197" s="13"/>
      <c r="W197" s="13">
        <v>0</v>
      </c>
      <c r="X197" s="13">
        <v>1</v>
      </c>
      <c r="Y197" s="13">
        <v>0</v>
      </c>
      <c r="Z197" s="13">
        <v>0</v>
      </c>
      <c r="AA197" s="13">
        <v>1</v>
      </c>
      <c r="AB197" s="13">
        <v>0</v>
      </c>
    </row>
    <row r="198" spans="1:206" x14ac:dyDescent="0.2">
      <c r="A198" s="13">
        <v>50</v>
      </c>
      <c r="B198" s="13">
        <v>0</v>
      </c>
      <c r="C198" s="13">
        <v>0</v>
      </c>
      <c r="D198" s="13">
        <v>1</v>
      </c>
      <c r="E198" s="13">
        <v>225</v>
      </c>
      <c r="F198" s="13">
        <f>ROUND(Source!AV193,O198)</f>
        <v>28394.93</v>
      </c>
      <c r="G198" s="13" t="s">
        <v>138</v>
      </c>
      <c r="H198" s="13" t="s">
        <v>139</v>
      </c>
      <c r="I198" s="13"/>
      <c r="J198" s="13"/>
      <c r="K198" s="13">
        <v>225</v>
      </c>
      <c r="L198" s="13">
        <v>4</v>
      </c>
      <c r="M198" s="13">
        <v>3</v>
      </c>
      <c r="N198" s="13" t="s">
        <v>3</v>
      </c>
      <c r="O198" s="13">
        <v>2</v>
      </c>
      <c r="P198" s="13">
        <f>ROUND(Source!EN193,O198)</f>
        <v>237213.98</v>
      </c>
      <c r="Q198" s="13"/>
      <c r="R198" s="13"/>
      <c r="S198" s="13"/>
      <c r="T198" s="13"/>
      <c r="U198" s="13"/>
      <c r="V198" s="13"/>
      <c r="W198" s="13">
        <v>28394.93</v>
      </c>
      <c r="X198" s="13">
        <v>1</v>
      </c>
      <c r="Y198" s="13">
        <v>28394.93</v>
      </c>
      <c r="Z198" s="13">
        <v>237213.98</v>
      </c>
      <c r="AA198" s="13">
        <v>1</v>
      </c>
      <c r="AB198" s="13">
        <v>237213.98</v>
      </c>
    </row>
    <row r="199" spans="1:206" x14ac:dyDescent="0.2">
      <c r="A199" s="13">
        <v>50</v>
      </c>
      <c r="B199" s="13">
        <v>0</v>
      </c>
      <c r="C199" s="13">
        <v>0</v>
      </c>
      <c r="D199" s="13">
        <v>1</v>
      </c>
      <c r="E199" s="13">
        <v>226</v>
      </c>
      <c r="F199" s="13">
        <f>ROUND(Source!AW193,O199)</f>
        <v>28394.93</v>
      </c>
      <c r="G199" s="13" t="s">
        <v>140</v>
      </c>
      <c r="H199" s="13" t="s">
        <v>141</v>
      </c>
      <c r="I199" s="13"/>
      <c r="J199" s="13"/>
      <c r="K199" s="13">
        <v>226</v>
      </c>
      <c r="L199" s="13">
        <v>5</v>
      </c>
      <c r="M199" s="13">
        <v>3</v>
      </c>
      <c r="N199" s="13" t="s">
        <v>3</v>
      </c>
      <c r="O199" s="13">
        <v>2</v>
      </c>
      <c r="P199" s="13">
        <f>ROUND(Source!EO193,O199)</f>
        <v>237213.98</v>
      </c>
      <c r="Q199" s="13"/>
      <c r="R199" s="13"/>
      <c r="S199" s="13"/>
      <c r="T199" s="13"/>
      <c r="U199" s="13"/>
      <c r="V199" s="13"/>
      <c r="W199" s="13">
        <v>28394.93</v>
      </c>
      <c r="X199" s="13">
        <v>1</v>
      </c>
      <c r="Y199" s="13">
        <v>28394.93</v>
      </c>
      <c r="Z199" s="13">
        <v>237213.98</v>
      </c>
      <c r="AA199" s="13">
        <v>1</v>
      </c>
      <c r="AB199" s="13">
        <v>237213.98</v>
      </c>
    </row>
    <row r="200" spans="1:206" x14ac:dyDescent="0.2">
      <c r="A200" s="13">
        <v>50</v>
      </c>
      <c r="B200" s="13">
        <v>0</v>
      </c>
      <c r="C200" s="13">
        <v>0</v>
      </c>
      <c r="D200" s="13">
        <v>1</v>
      </c>
      <c r="E200" s="13">
        <v>227</v>
      </c>
      <c r="F200" s="13">
        <f>ROUND(Source!AX193,O200)</f>
        <v>0</v>
      </c>
      <c r="G200" s="13" t="s">
        <v>142</v>
      </c>
      <c r="H200" s="13" t="s">
        <v>143</v>
      </c>
      <c r="I200" s="13"/>
      <c r="J200" s="13"/>
      <c r="K200" s="13">
        <v>227</v>
      </c>
      <c r="L200" s="13">
        <v>6</v>
      </c>
      <c r="M200" s="13">
        <v>3</v>
      </c>
      <c r="N200" s="13" t="s">
        <v>3</v>
      </c>
      <c r="O200" s="13">
        <v>2</v>
      </c>
      <c r="P200" s="13">
        <f>ROUND(Source!EP193,O200)</f>
        <v>0</v>
      </c>
      <c r="Q200" s="13"/>
      <c r="R200" s="13"/>
      <c r="S200" s="13"/>
      <c r="T200" s="13"/>
      <c r="U200" s="13"/>
      <c r="V200" s="13"/>
      <c r="W200" s="13">
        <v>0</v>
      </c>
      <c r="X200" s="13">
        <v>1</v>
      </c>
      <c r="Y200" s="13">
        <v>0</v>
      </c>
      <c r="Z200" s="13">
        <v>0</v>
      </c>
      <c r="AA200" s="13">
        <v>1</v>
      </c>
      <c r="AB200" s="13">
        <v>0</v>
      </c>
    </row>
    <row r="201" spans="1:206" x14ac:dyDescent="0.2">
      <c r="A201" s="13">
        <v>50</v>
      </c>
      <c r="B201" s="13">
        <v>0</v>
      </c>
      <c r="C201" s="13">
        <v>0</v>
      </c>
      <c r="D201" s="13">
        <v>1</v>
      </c>
      <c r="E201" s="13">
        <v>228</v>
      </c>
      <c r="F201" s="13">
        <f>ROUND(Source!AY193,O201)</f>
        <v>28394.93</v>
      </c>
      <c r="G201" s="13" t="s">
        <v>144</v>
      </c>
      <c r="H201" s="13" t="s">
        <v>145</v>
      </c>
      <c r="I201" s="13"/>
      <c r="J201" s="13"/>
      <c r="K201" s="13">
        <v>228</v>
      </c>
      <c r="L201" s="13">
        <v>7</v>
      </c>
      <c r="M201" s="13">
        <v>3</v>
      </c>
      <c r="N201" s="13" t="s">
        <v>3</v>
      </c>
      <c r="O201" s="13">
        <v>2</v>
      </c>
      <c r="P201" s="13">
        <f>ROUND(Source!EQ193,O201)</f>
        <v>237213.98</v>
      </c>
      <c r="Q201" s="13"/>
      <c r="R201" s="13"/>
      <c r="S201" s="13"/>
      <c r="T201" s="13"/>
      <c r="U201" s="13"/>
      <c r="V201" s="13"/>
      <c r="W201" s="13">
        <v>28394.93</v>
      </c>
      <c r="X201" s="13">
        <v>1</v>
      </c>
      <c r="Y201" s="13">
        <v>28394.93</v>
      </c>
      <c r="Z201" s="13">
        <v>237213.98</v>
      </c>
      <c r="AA201" s="13">
        <v>1</v>
      </c>
      <c r="AB201" s="13">
        <v>237213.98</v>
      </c>
    </row>
    <row r="202" spans="1:206" x14ac:dyDescent="0.2">
      <c r="A202" s="13">
        <v>50</v>
      </c>
      <c r="B202" s="13">
        <v>0</v>
      </c>
      <c r="C202" s="13">
        <v>0</v>
      </c>
      <c r="D202" s="13">
        <v>1</v>
      </c>
      <c r="E202" s="13">
        <v>216</v>
      </c>
      <c r="F202" s="13">
        <f>ROUND(Source!AP193,O202)</f>
        <v>0</v>
      </c>
      <c r="G202" s="13" t="s">
        <v>146</v>
      </c>
      <c r="H202" s="13" t="s">
        <v>147</v>
      </c>
      <c r="I202" s="13"/>
      <c r="J202" s="13"/>
      <c r="K202" s="13">
        <v>216</v>
      </c>
      <c r="L202" s="13">
        <v>8</v>
      </c>
      <c r="M202" s="13">
        <v>3</v>
      </c>
      <c r="N202" s="13" t="s">
        <v>3</v>
      </c>
      <c r="O202" s="13">
        <v>2</v>
      </c>
      <c r="P202" s="13">
        <f>ROUND(Source!EH193,O202)</f>
        <v>0</v>
      </c>
      <c r="Q202" s="13"/>
      <c r="R202" s="13"/>
      <c r="S202" s="13"/>
      <c r="T202" s="13"/>
      <c r="U202" s="13"/>
      <c r="V202" s="13"/>
      <c r="W202" s="13">
        <v>0</v>
      </c>
      <c r="X202" s="13">
        <v>1</v>
      </c>
      <c r="Y202" s="13">
        <v>0</v>
      </c>
      <c r="Z202" s="13">
        <v>0</v>
      </c>
      <c r="AA202" s="13">
        <v>1</v>
      </c>
      <c r="AB202" s="13">
        <v>0</v>
      </c>
    </row>
    <row r="203" spans="1:206" x14ac:dyDescent="0.2">
      <c r="A203" s="13">
        <v>50</v>
      </c>
      <c r="B203" s="13">
        <v>0</v>
      </c>
      <c r="C203" s="13">
        <v>0</v>
      </c>
      <c r="D203" s="13">
        <v>1</v>
      </c>
      <c r="E203" s="13">
        <v>223</v>
      </c>
      <c r="F203" s="13">
        <f>ROUND(Source!AQ193,O203)</f>
        <v>0</v>
      </c>
      <c r="G203" s="13" t="s">
        <v>148</v>
      </c>
      <c r="H203" s="13" t="s">
        <v>149</v>
      </c>
      <c r="I203" s="13"/>
      <c r="J203" s="13"/>
      <c r="K203" s="13">
        <v>223</v>
      </c>
      <c r="L203" s="13">
        <v>9</v>
      </c>
      <c r="M203" s="13">
        <v>3</v>
      </c>
      <c r="N203" s="13" t="s">
        <v>3</v>
      </c>
      <c r="O203" s="13">
        <v>2</v>
      </c>
      <c r="P203" s="13">
        <f>ROUND(Source!EI193,O203)</f>
        <v>0</v>
      </c>
      <c r="Q203" s="13"/>
      <c r="R203" s="13"/>
      <c r="S203" s="13"/>
      <c r="T203" s="13"/>
      <c r="U203" s="13"/>
      <c r="V203" s="13"/>
      <c r="W203" s="13">
        <v>0</v>
      </c>
      <c r="X203" s="13">
        <v>1</v>
      </c>
      <c r="Y203" s="13">
        <v>0</v>
      </c>
      <c r="Z203" s="13">
        <v>0</v>
      </c>
      <c r="AA203" s="13">
        <v>1</v>
      </c>
      <c r="AB203" s="13">
        <v>0</v>
      </c>
    </row>
    <row r="204" spans="1:206" x14ac:dyDescent="0.2">
      <c r="A204" s="13">
        <v>50</v>
      </c>
      <c r="B204" s="13">
        <v>0</v>
      </c>
      <c r="C204" s="13">
        <v>0</v>
      </c>
      <c r="D204" s="13">
        <v>1</v>
      </c>
      <c r="E204" s="13">
        <v>229</v>
      </c>
      <c r="F204" s="13">
        <f>ROUND(Source!AZ193,O204)</f>
        <v>0</v>
      </c>
      <c r="G204" s="13" t="s">
        <v>150</v>
      </c>
      <c r="H204" s="13" t="s">
        <v>151</v>
      </c>
      <c r="I204" s="13"/>
      <c r="J204" s="13"/>
      <c r="K204" s="13">
        <v>229</v>
      </c>
      <c r="L204" s="13">
        <v>10</v>
      </c>
      <c r="M204" s="13">
        <v>3</v>
      </c>
      <c r="N204" s="13" t="s">
        <v>3</v>
      </c>
      <c r="O204" s="13">
        <v>2</v>
      </c>
      <c r="P204" s="13">
        <f>ROUND(Source!ER193,O204)</f>
        <v>0</v>
      </c>
      <c r="Q204" s="13"/>
      <c r="R204" s="13"/>
      <c r="S204" s="13"/>
      <c r="T204" s="13"/>
      <c r="U204" s="13"/>
      <c r="V204" s="13"/>
      <c r="W204" s="13">
        <v>0</v>
      </c>
      <c r="X204" s="13">
        <v>1</v>
      </c>
      <c r="Y204" s="13">
        <v>0</v>
      </c>
      <c r="Z204" s="13">
        <v>0</v>
      </c>
      <c r="AA204" s="13">
        <v>1</v>
      </c>
      <c r="AB204" s="13">
        <v>0</v>
      </c>
    </row>
    <row r="205" spans="1:206" x14ac:dyDescent="0.2">
      <c r="A205" s="13">
        <v>50</v>
      </c>
      <c r="B205" s="13">
        <v>0</v>
      </c>
      <c r="C205" s="13">
        <v>0</v>
      </c>
      <c r="D205" s="13">
        <v>1</v>
      </c>
      <c r="E205" s="13">
        <v>203</v>
      </c>
      <c r="F205" s="13">
        <f>ROUND(Source!Q193,O205)</f>
        <v>75.56</v>
      </c>
      <c r="G205" s="13" t="s">
        <v>152</v>
      </c>
      <c r="H205" s="13" t="s">
        <v>153</v>
      </c>
      <c r="I205" s="13"/>
      <c r="J205" s="13"/>
      <c r="K205" s="13">
        <v>203</v>
      </c>
      <c r="L205" s="13">
        <v>11</v>
      </c>
      <c r="M205" s="13">
        <v>3</v>
      </c>
      <c r="N205" s="13" t="s">
        <v>3</v>
      </c>
      <c r="O205" s="13">
        <v>2</v>
      </c>
      <c r="P205" s="13">
        <f>ROUND(Source!DI193,O205)</f>
        <v>658.88</v>
      </c>
      <c r="Q205" s="13"/>
      <c r="R205" s="13"/>
      <c r="S205" s="13"/>
      <c r="T205" s="13"/>
      <c r="U205" s="13"/>
      <c r="V205" s="13"/>
      <c r="W205" s="13">
        <v>75.56</v>
      </c>
      <c r="X205" s="13">
        <v>1</v>
      </c>
      <c r="Y205" s="13">
        <v>75.56</v>
      </c>
      <c r="Z205" s="13">
        <v>658.88</v>
      </c>
      <c r="AA205" s="13">
        <v>1</v>
      </c>
      <c r="AB205" s="13">
        <v>658.88</v>
      </c>
    </row>
    <row r="206" spans="1:206" x14ac:dyDescent="0.2">
      <c r="A206" s="13">
        <v>50</v>
      </c>
      <c r="B206" s="13">
        <v>0</v>
      </c>
      <c r="C206" s="13">
        <v>0</v>
      </c>
      <c r="D206" s="13">
        <v>1</v>
      </c>
      <c r="E206" s="13">
        <v>231</v>
      </c>
      <c r="F206" s="13">
        <f>ROUND(Source!BB193,O206)</f>
        <v>0</v>
      </c>
      <c r="G206" s="13" t="s">
        <v>154</v>
      </c>
      <c r="H206" s="13" t="s">
        <v>155</v>
      </c>
      <c r="I206" s="13"/>
      <c r="J206" s="13"/>
      <c r="K206" s="13">
        <v>231</v>
      </c>
      <c r="L206" s="13">
        <v>12</v>
      </c>
      <c r="M206" s="13">
        <v>3</v>
      </c>
      <c r="N206" s="13" t="s">
        <v>3</v>
      </c>
      <c r="O206" s="13">
        <v>2</v>
      </c>
      <c r="P206" s="13">
        <f>ROUND(Source!ET193,O206)</f>
        <v>0</v>
      </c>
      <c r="Q206" s="13"/>
      <c r="R206" s="13"/>
      <c r="S206" s="13"/>
      <c r="T206" s="13"/>
      <c r="U206" s="13"/>
      <c r="V206" s="13"/>
      <c r="W206" s="13">
        <v>0</v>
      </c>
      <c r="X206" s="13">
        <v>1</v>
      </c>
      <c r="Y206" s="13">
        <v>0</v>
      </c>
      <c r="Z206" s="13">
        <v>0</v>
      </c>
      <c r="AA206" s="13">
        <v>1</v>
      </c>
      <c r="AB206" s="13">
        <v>0</v>
      </c>
    </row>
    <row r="207" spans="1:206" x14ac:dyDescent="0.2">
      <c r="A207" s="13">
        <v>50</v>
      </c>
      <c r="B207" s="13">
        <v>0</v>
      </c>
      <c r="C207" s="13">
        <v>0</v>
      </c>
      <c r="D207" s="13">
        <v>1</v>
      </c>
      <c r="E207" s="13">
        <v>204</v>
      </c>
      <c r="F207" s="13">
        <f>ROUND(Source!R193,O207)</f>
        <v>0</v>
      </c>
      <c r="G207" s="13" t="s">
        <v>156</v>
      </c>
      <c r="H207" s="13" t="s">
        <v>157</v>
      </c>
      <c r="I207" s="13"/>
      <c r="J207" s="13"/>
      <c r="K207" s="13">
        <v>204</v>
      </c>
      <c r="L207" s="13">
        <v>13</v>
      </c>
      <c r="M207" s="13">
        <v>3</v>
      </c>
      <c r="N207" s="13" t="s">
        <v>3</v>
      </c>
      <c r="O207" s="13">
        <v>2</v>
      </c>
      <c r="P207" s="13">
        <f>ROUND(Source!DJ193,O207)</f>
        <v>0</v>
      </c>
      <c r="Q207" s="13"/>
      <c r="R207" s="13"/>
      <c r="S207" s="13"/>
      <c r="T207" s="13"/>
      <c r="U207" s="13"/>
      <c r="V207" s="13"/>
      <c r="W207" s="13">
        <v>0</v>
      </c>
      <c r="X207" s="13">
        <v>1</v>
      </c>
      <c r="Y207" s="13">
        <v>0</v>
      </c>
      <c r="Z207" s="13">
        <v>0</v>
      </c>
      <c r="AA207" s="13">
        <v>1</v>
      </c>
      <c r="AB207" s="13">
        <v>0</v>
      </c>
    </row>
    <row r="208" spans="1:206" x14ac:dyDescent="0.2">
      <c r="A208" s="13">
        <v>50</v>
      </c>
      <c r="B208" s="13">
        <v>0</v>
      </c>
      <c r="C208" s="13">
        <v>0</v>
      </c>
      <c r="D208" s="13">
        <v>1</v>
      </c>
      <c r="E208" s="13">
        <v>205</v>
      </c>
      <c r="F208" s="13">
        <f>ROUND(Source!S193,O208)</f>
        <v>5489.24</v>
      </c>
      <c r="G208" s="13" t="s">
        <v>158</v>
      </c>
      <c r="H208" s="13" t="s">
        <v>159</v>
      </c>
      <c r="I208" s="13"/>
      <c r="J208" s="13"/>
      <c r="K208" s="13">
        <v>205</v>
      </c>
      <c r="L208" s="13">
        <v>14</v>
      </c>
      <c r="M208" s="13">
        <v>3</v>
      </c>
      <c r="N208" s="13" t="s">
        <v>3</v>
      </c>
      <c r="O208" s="13">
        <v>2</v>
      </c>
      <c r="P208" s="13">
        <f>ROUND(Source!DK193,O208)</f>
        <v>301853.31</v>
      </c>
      <c r="Q208" s="13"/>
      <c r="R208" s="13"/>
      <c r="S208" s="13"/>
      <c r="T208" s="13"/>
      <c r="U208" s="13"/>
      <c r="V208" s="13"/>
      <c r="W208" s="13">
        <v>5489.24</v>
      </c>
      <c r="X208" s="13">
        <v>1</v>
      </c>
      <c r="Y208" s="13">
        <v>5489.24</v>
      </c>
      <c r="Z208" s="13">
        <v>301853.31</v>
      </c>
      <c r="AA208" s="13">
        <v>1</v>
      </c>
      <c r="AB208" s="13">
        <v>301853.31</v>
      </c>
    </row>
    <row r="209" spans="1:206" x14ac:dyDescent="0.2">
      <c r="A209" s="13">
        <v>50</v>
      </c>
      <c r="B209" s="13">
        <v>0</v>
      </c>
      <c r="C209" s="13">
        <v>0</v>
      </c>
      <c r="D209" s="13">
        <v>1</v>
      </c>
      <c r="E209" s="13">
        <v>232</v>
      </c>
      <c r="F209" s="13">
        <f>ROUND(Source!BC193,O209)</f>
        <v>0</v>
      </c>
      <c r="G209" s="13" t="s">
        <v>160</v>
      </c>
      <c r="H209" s="13" t="s">
        <v>161</v>
      </c>
      <c r="I209" s="13"/>
      <c r="J209" s="13"/>
      <c r="K209" s="13">
        <v>232</v>
      </c>
      <c r="L209" s="13">
        <v>15</v>
      </c>
      <c r="M209" s="13">
        <v>3</v>
      </c>
      <c r="N209" s="13" t="s">
        <v>3</v>
      </c>
      <c r="O209" s="13">
        <v>2</v>
      </c>
      <c r="P209" s="13">
        <f>ROUND(Source!EU193,O209)</f>
        <v>0</v>
      </c>
      <c r="Q209" s="13"/>
      <c r="R209" s="13"/>
      <c r="S209" s="13"/>
      <c r="T209" s="13"/>
      <c r="U209" s="13"/>
      <c r="V209" s="13"/>
      <c r="W209" s="13">
        <v>0</v>
      </c>
      <c r="X209" s="13">
        <v>1</v>
      </c>
      <c r="Y209" s="13">
        <v>0</v>
      </c>
      <c r="Z209" s="13">
        <v>0</v>
      </c>
      <c r="AA209" s="13">
        <v>1</v>
      </c>
      <c r="AB209" s="13">
        <v>0</v>
      </c>
    </row>
    <row r="210" spans="1:206" x14ac:dyDescent="0.2">
      <c r="A210" s="13">
        <v>50</v>
      </c>
      <c r="B210" s="13">
        <v>0</v>
      </c>
      <c r="C210" s="13">
        <v>0</v>
      </c>
      <c r="D210" s="13">
        <v>1</v>
      </c>
      <c r="E210" s="13">
        <v>214</v>
      </c>
      <c r="F210" s="13">
        <f>ROUND(Source!AS193,O210)</f>
        <v>0</v>
      </c>
      <c r="G210" s="13" t="s">
        <v>162</v>
      </c>
      <c r="H210" s="13" t="s">
        <v>163</v>
      </c>
      <c r="I210" s="13"/>
      <c r="J210" s="13"/>
      <c r="K210" s="13">
        <v>214</v>
      </c>
      <c r="L210" s="13">
        <v>16</v>
      </c>
      <c r="M210" s="13">
        <v>3</v>
      </c>
      <c r="N210" s="13" t="s">
        <v>3</v>
      </c>
      <c r="O210" s="13">
        <v>2</v>
      </c>
      <c r="P210" s="13">
        <f>ROUND(Source!EK193,O210)</f>
        <v>0</v>
      </c>
      <c r="Q210" s="13"/>
      <c r="R210" s="13"/>
      <c r="S210" s="13"/>
      <c r="T210" s="13"/>
      <c r="U210" s="13"/>
      <c r="V210" s="13"/>
      <c r="W210" s="13">
        <v>0</v>
      </c>
      <c r="X210" s="13">
        <v>1</v>
      </c>
      <c r="Y210" s="13">
        <v>0</v>
      </c>
      <c r="Z210" s="13">
        <v>0</v>
      </c>
      <c r="AA210" s="13">
        <v>1</v>
      </c>
      <c r="AB210" s="13">
        <v>0</v>
      </c>
    </row>
    <row r="211" spans="1:206" x14ac:dyDescent="0.2">
      <c r="A211" s="13">
        <v>50</v>
      </c>
      <c r="B211" s="13">
        <v>0</v>
      </c>
      <c r="C211" s="13">
        <v>0</v>
      </c>
      <c r="D211" s="13">
        <v>1</v>
      </c>
      <c r="E211" s="13">
        <v>215</v>
      </c>
      <c r="F211" s="13">
        <f>ROUND(Source!AT193,O211)</f>
        <v>41425.089999999997</v>
      </c>
      <c r="G211" s="13" t="s">
        <v>164</v>
      </c>
      <c r="H211" s="13" t="s">
        <v>165</v>
      </c>
      <c r="I211" s="13"/>
      <c r="J211" s="13"/>
      <c r="K211" s="13">
        <v>215</v>
      </c>
      <c r="L211" s="13">
        <v>17</v>
      </c>
      <c r="M211" s="13">
        <v>3</v>
      </c>
      <c r="N211" s="13" t="s">
        <v>3</v>
      </c>
      <c r="O211" s="13">
        <v>2</v>
      </c>
      <c r="P211" s="13">
        <f>ROUND(Source!EL193,O211)</f>
        <v>950246.67</v>
      </c>
      <c r="Q211" s="13"/>
      <c r="R211" s="13"/>
      <c r="S211" s="13"/>
      <c r="T211" s="13"/>
      <c r="U211" s="13"/>
      <c r="V211" s="13"/>
      <c r="W211" s="13">
        <v>41425.089999999997</v>
      </c>
      <c r="X211" s="13">
        <v>1</v>
      </c>
      <c r="Y211" s="13">
        <v>41425.089999999997</v>
      </c>
      <c r="Z211" s="13">
        <v>950246.67</v>
      </c>
      <c r="AA211" s="13">
        <v>1</v>
      </c>
      <c r="AB211" s="13">
        <v>950246.67</v>
      </c>
    </row>
    <row r="212" spans="1:206" x14ac:dyDescent="0.2">
      <c r="A212" s="13">
        <v>50</v>
      </c>
      <c r="B212" s="13">
        <v>0</v>
      </c>
      <c r="C212" s="13">
        <v>0</v>
      </c>
      <c r="D212" s="13">
        <v>1</v>
      </c>
      <c r="E212" s="13">
        <v>217</v>
      </c>
      <c r="F212" s="13">
        <f>ROUND(Source!AU193,O212)</f>
        <v>0</v>
      </c>
      <c r="G212" s="13" t="s">
        <v>166</v>
      </c>
      <c r="H212" s="13" t="s">
        <v>167</v>
      </c>
      <c r="I212" s="13"/>
      <c r="J212" s="13"/>
      <c r="K212" s="13">
        <v>217</v>
      </c>
      <c r="L212" s="13">
        <v>18</v>
      </c>
      <c r="M212" s="13">
        <v>3</v>
      </c>
      <c r="N212" s="13" t="s">
        <v>3</v>
      </c>
      <c r="O212" s="13">
        <v>2</v>
      </c>
      <c r="P212" s="13">
        <f>ROUND(Source!EM193,O212)</f>
        <v>0</v>
      </c>
      <c r="Q212" s="13"/>
      <c r="R212" s="13"/>
      <c r="S212" s="13"/>
      <c r="T212" s="13"/>
      <c r="U212" s="13"/>
      <c r="V212" s="13"/>
      <c r="W212" s="13">
        <v>0</v>
      </c>
      <c r="X212" s="13">
        <v>1</v>
      </c>
      <c r="Y212" s="13">
        <v>0</v>
      </c>
      <c r="Z212" s="13">
        <v>0</v>
      </c>
      <c r="AA212" s="13">
        <v>1</v>
      </c>
      <c r="AB212" s="13">
        <v>0</v>
      </c>
    </row>
    <row r="213" spans="1:206" x14ac:dyDescent="0.2">
      <c r="A213" s="13">
        <v>50</v>
      </c>
      <c r="B213" s="13">
        <v>0</v>
      </c>
      <c r="C213" s="13">
        <v>0</v>
      </c>
      <c r="D213" s="13">
        <v>1</v>
      </c>
      <c r="E213" s="13">
        <v>230</v>
      </c>
      <c r="F213" s="13">
        <f>ROUND(Source!BA193,O213)</f>
        <v>0</v>
      </c>
      <c r="G213" s="13" t="s">
        <v>168</v>
      </c>
      <c r="H213" s="13" t="s">
        <v>169</v>
      </c>
      <c r="I213" s="13"/>
      <c r="J213" s="13"/>
      <c r="K213" s="13">
        <v>230</v>
      </c>
      <c r="L213" s="13">
        <v>19</v>
      </c>
      <c r="M213" s="13">
        <v>3</v>
      </c>
      <c r="N213" s="13" t="s">
        <v>3</v>
      </c>
      <c r="O213" s="13">
        <v>2</v>
      </c>
      <c r="P213" s="13">
        <f>ROUND(Source!ES193,O213)</f>
        <v>0</v>
      </c>
      <c r="Q213" s="13"/>
      <c r="R213" s="13"/>
      <c r="S213" s="13"/>
      <c r="T213" s="13"/>
      <c r="U213" s="13"/>
      <c r="V213" s="13"/>
      <c r="W213" s="13">
        <v>0</v>
      </c>
      <c r="X213" s="13">
        <v>1</v>
      </c>
      <c r="Y213" s="13">
        <v>0</v>
      </c>
      <c r="Z213" s="13">
        <v>0</v>
      </c>
      <c r="AA213" s="13">
        <v>1</v>
      </c>
      <c r="AB213" s="13">
        <v>0</v>
      </c>
    </row>
    <row r="214" spans="1:206" x14ac:dyDescent="0.2">
      <c r="A214" s="13">
        <v>50</v>
      </c>
      <c r="B214" s="13">
        <v>0</v>
      </c>
      <c r="C214" s="13">
        <v>0</v>
      </c>
      <c r="D214" s="13">
        <v>1</v>
      </c>
      <c r="E214" s="13">
        <v>206</v>
      </c>
      <c r="F214" s="13">
        <f>ROUND(Source!T193,O214)</f>
        <v>0</v>
      </c>
      <c r="G214" s="13" t="s">
        <v>170</v>
      </c>
      <c r="H214" s="13" t="s">
        <v>171</v>
      </c>
      <c r="I214" s="13"/>
      <c r="J214" s="13"/>
      <c r="K214" s="13">
        <v>206</v>
      </c>
      <c r="L214" s="13">
        <v>20</v>
      </c>
      <c r="M214" s="13">
        <v>3</v>
      </c>
      <c r="N214" s="13" t="s">
        <v>3</v>
      </c>
      <c r="O214" s="13">
        <v>2</v>
      </c>
      <c r="P214" s="13">
        <f>ROUND(Source!DL193,O214)</f>
        <v>0</v>
      </c>
      <c r="Q214" s="13"/>
      <c r="R214" s="13"/>
      <c r="S214" s="13"/>
      <c r="T214" s="13"/>
      <c r="U214" s="13"/>
      <c r="V214" s="13"/>
      <c r="W214" s="13">
        <v>0</v>
      </c>
      <c r="X214" s="13">
        <v>1</v>
      </c>
      <c r="Y214" s="13">
        <v>0</v>
      </c>
      <c r="Z214" s="13">
        <v>0</v>
      </c>
      <c r="AA214" s="13">
        <v>1</v>
      </c>
      <c r="AB214" s="13">
        <v>0</v>
      </c>
    </row>
    <row r="215" spans="1:206" x14ac:dyDescent="0.2">
      <c r="A215" s="13">
        <v>50</v>
      </c>
      <c r="B215" s="13">
        <v>0</v>
      </c>
      <c r="C215" s="13">
        <v>0</v>
      </c>
      <c r="D215" s="13">
        <v>1</v>
      </c>
      <c r="E215" s="13">
        <v>207</v>
      </c>
      <c r="F215" s="13">
        <f>Source!U193</f>
        <v>461.96069040000009</v>
      </c>
      <c r="G215" s="13" t="s">
        <v>172</v>
      </c>
      <c r="H215" s="13" t="s">
        <v>173</v>
      </c>
      <c r="I215" s="13"/>
      <c r="J215" s="13"/>
      <c r="K215" s="13">
        <v>207</v>
      </c>
      <c r="L215" s="13">
        <v>21</v>
      </c>
      <c r="M215" s="13">
        <v>3</v>
      </c>
      <c r="N215" s="13" t="s">
        <v>3</v>
      </c>
      <c r="O215" s="13">
        <v>-1</v>
      </c>
      <c r="P215" s="13">
        <f>Source!DM193</f>
        <v>461.96069040000009</v>
      </c>
      <c r="Q215" s="13"/>
      <c r="R215" s="13"/>
      <c r="S215" s="13"/>
      <c r="T215" s="13"/>
      <c r="U215" s="13"/>
      <c r="V215" s="13"/>
      <c r="W215" s="13">
        <v>461.96069040000003</v>
      </c>
      <c r="X215" s="13">
        <v>1</v>
      </c>
      <c r="Y215" s="13">
        <v>461.96069040000003</v>
      </c>
      <c r="Z215" s="13">
        <v>461.96069040000003</v>
      </c>
      <c r="AA215" s="13">
        <v>1</v>
      </c>
      <c r="AB215" s="13">
        <v>461.96069040000003</v>
      </c>
    </row>
    <row r="216" spans="1:206" x14ac:dyDescent="0.2">
      <c r="A216" s="13">
        <v>50</v>
      </c>
      <c r="B216" s="13">
        <v>0</v>
      </c>
      <c r="C216" s="13">
        <v>0</v>
      </c>
      <c r="D216" s="13">
        <v>1</v>
      </c>
      <c r="E216" s="13">
        <v>208</v>
      </c>
      <c r="F216" s="13">
        <f>Source!V193</f>
        <v>0</v>
      </c>
      <c r="G216" s="13" t="s">
        <v>174</v>
      </c>
      <c r="H216" s="13" t="s">
        <v>175</v>
      </c>
      <c r="I216" s="13"/>
      <c r="J216" s="13"/>
      <c r="K216" s="13">
        <v>208</v>
      </c>
      <c r="L216" s="13">
        <v>22</v>
      </c>
      <c r="M216" s="13">
        <v>3</v>
      </c>
      <c r="N216" s="13" t="s">
        <v>3</v>
      </c>
      <c r="O216" s="13">
        <v>-1</v>
      </c>
      <c r="P216" s="13">
        <f>Source!DN193</f>
        <v>0</v>
      </c>
      <c r="Q216" s="13"/>
      <c r="R216" s="13"/>
      <c r="S216" s="13"/>
      <c r="T216" s="13"/>
      <c r="U216" s="13"/>
      <c r="V216" s="13"/>
      <c r="W216" s="13">
        <v>0</v>
      </c>
      <c r="X216" s="13">
        <v>1</v>
      </c>
      <c r="Y216" s="13">
        <v>0</v>
      </c>
      <c r="Z216" s="13">
        <v>0</v>
      </c>
      <c r="AA216" s="13">
        <v>1</v>
      </c>
      <c r="AB216" s="13">
        <v>0</v>
      </c>
    </row>
    <row r="217" spans="1:206" x14ac:dyDescent="0.2">
      <c r="A217" s="13">
        <v>50</v>
      </c>
      <c r="B217" s="13">
        <v>0</v>
      </c>
      <c r="C217" s="13">
        <v>0</v>
      </c>
      <c r="D217" s="13">
        <v>1</v>
      </c>
      <c r="E217" s="13">
        <v>209</v>
      </c>
      <c r="F217" s="13">
        <f>ROUND(Source!W193,O217)</f>
        <v>0</v>
      </c>
      <c r="G217" s="13" t="s">
        <v>176</v>
      </c>
      <c r="H217" s="13" t="s">
        <v>177</v>
      </c>
      <c r="I217" s="13"/>
      <c r="J217" s="13"/>
      <c r="K217" s="13">
        <v>209</v>
      </c>
      <c r="L217" s="13">
        <v>23</v>
      </c>
      <c r="M217" s="13">
        <v>3</v>
      </c>
      <c r="N217" s="13" t="s">
        <v>3</v>
      </c>
      <c r="O217" s="13">
        <v>2</v>
      </c>
      <c r="P217" s="13">
        <f>ROUND(Source!DO193,O217)</f>
        <v>0</v>
      </c>
      <c r="Q217" s="13"/>
      <c r="R217" s="13"/>
      <c r="S217" s="13"/>
      <c r="T217" s="13"/>
      <c r="U217" s="13"/>
      <c r="V217" s="13"/>
      <c r="W217" s="13">
        <v>0</v>
      </c>
      <c r="X217" s="13">
        <v>1</v>
      </c>
      <c r="Y217" s="13">
        <v>0</v>
      </c>
      <c r="Z217" s="13">
        <v>0</v>
      </c>
      <c r="AA217" s="13">
        <v>1</v>
      </c>
      <c r="AB217" s="13">
        <v>0</v>
      </c>
    </row>
    <row r="218" spans="1:206" x14ac:dyDescent="0.2">
      <c r="A218" s="13">
        <v>50</v>
      </c>
      <c r="B218" s="13">
        <v>0</v>
      </c>
      <c r="C218" s="13">
        <v>0</v>
      </c>
      <c r="D218" s="13">
        <v>1</v>
      </c>
      <c r="E218" s="13">
        <v>233</v>
      </c>
      <c r="F218" s="13">
        <f>ROUND(Source!BD193,O218)</f>
        <v>0</v>
      </c>
      <c r="G218" s="13" t="s">
        <v>178</v>
      </c>
      <c r="H218" s="13" t="s">
        <v>179</v>
      </c>
      <c r="I218" s="13"/>
      <c r="J218" s="13"/>
      <c r="K218" s="13">
        <v>233</v>
      </c>
      <c r="L218" s="13">
        <v>24</v>
      </c>
      <c r="M218" s="13">
        <v>3</v>
      </c>
      <c r="N218" s="13" t="s">
        <v>3</v>
      </c>
      <c r="O218" s="13">
        <v>2</v>
      </c>
      <c r="P218" s="13">
        <f>ROUND(Source!EV193,O218)</f>
        <v>0</v>
      </c>
      <c r="Q218" s="13"/>
      <c r="R218" s="13"/>
      <c r="S218" s="13"/>
      <c r="T218" s="13"/>
      <c r="U218" s="13"/>
      <c r="V218" s="13"/>
      <c r="W218" s="13">
        <v>0</v>
      </c>
      <c r="X218" s="13">
        <v>1</v>
      </c>
      <c r="Y218" s="13">
        <v>0</v>
      </c>
      <c r="Z218" s="13">
        <v>0</v>
      </c>
      <c r="AA218" s="13">
        <v>1</v>
      </c>
      <c r="AB218" s="13">
        <v>0</v>
      </c>
    </row>
    <row r="219" spans="1:206" x14ac:dyDescent="0.2">
      <c r="A219" s="13">
        <v>50</v>
      </c>
      <c r="B219" s="13">
        <v>0</v>
      </c>
      <c r="C219" s="13">
        <v>0</v>
      </c>
      <c r="D219" s="13">
        <v>1</v>
      </c>
      <c r="E219" s="13">
        <v>210</v>
      </c>
      <c r="F219" s="13">
        <f>ROUND(Source!X193,O219)</f>
        <v>4940.3100000000004</v>
      </c>
      <c r="G219" s="13" t="s">
        <v>180</v>
      </c>
      <c r="H219" s="13" t="s">
        <v>181</v>
      </c>
      <c r="I219" s="13"/>
      <c r="J219" s="13"/>
      <c r="K219" s="13">
        <v>210</v>
      </c>
      <c r="L219" s="13">
        <v>25</v>
      </c>
      <c r="M219" s="13">
        <v>3</v>
      </c>
      <c r="N219" s="13" t="s">
        <v>3</v>
      </c>
      <c r="O219" s="13">
        <v>2</v>
      </c>
      <c r="P219" s="13">
        <f>ROUND(Source!DP193,O219)</f>
        <v>271667.98</v>
      </c>
      <c r="Q219" s="13"/>
      <c r="R219" s="13"/>
      <c r="S219" s="13"/>
      <c r="T219" s="13"/>
      <c r="U219" s="13"/>
      <c r="V219" s="13"/>
      <c r="W219" s="13">
        <v>4940.3100000000004</v>
      </c>
      <c r="X219" s="13">
        <v>1</v>
      </c>
      <c r="Y219" s="13">
        <v>4940.3100000000004</v>
      </c>
      <c r="Z219" s="13">
        <v>271667.98</v>
      </c>
      <c r="AA219" s="13">
        <v>1</v>
      </c>
      <c r="AB219" s="13">
        <v>271667.98</v>
      </c>
    </row>
    <row r="220" spans="1:206" x14ac:dyDescent="0.2">
      <c r="A220" s="13">
        <v>50</v>
      </c>
      <c r="B220" s="13">
        <v>0</v>
      </c>
      <c r="C220" s="13">
        <v>0</v>
      </c>
      <c r="D220" s="13">
        <v>1</v>
      </c>
      <c r="E220" s="13">
        <v>211</v>
      </c>
      <c r="F220" s="13">
        <f>ROUND(Source!Y193,O220)</f>
        <v>2525.0500000000002</v>
      </c>
      <c r="G220" s="13" t="s">
        <v>182</v>
      </c>
      <c r="H220" s="13" t="s">
        <v>183</v>
      </c>
      <c r="I220" s="13"/>
      <c r="J220" s="13"/>
      <c r="K220" s="13">
        <v>211</v>
      </c>
      <c r="L220" s="13">
        <v>26</v>
      </c>
      <c r="M220" s="13">
        <v>3</v>
      </c>
      <c r="N220" s="13" t="s">
        <v>3</v>
      </c>
      <c r="O220" s="13">
        <v>2</v>
      </c>
      <c r="P220" s="13">
        <f>ROUND(Source!DQ193,O220)</f>
        <v>138852.51999999999</v>
      </c>
      <c r="Q220" s="13"/>
      <c r="R220" s="13"/>
      <c r="S220" s="13"/>
      <c r="T220" s="13"/>
      <c r="U220" s="13"/>
      <c r="V220" s="13"/>
      <c r="W220" s="13">
        <v>2525.0500000000002</v>
      </c>
      <c r="X220" s="13">
        <v>1</v>
      </c>
      <c r="Y220" s="13">
        <v>2525.0500000000002</v>
      </c>
      <c r="Z220" s="13">
        <v>138852.51999999999</v>
      </c>
      <c r="AA220" s="13">
        <v>1</v>
      </c>
      <c r="AB220" s="13">
        <v>138852.51999999999</v>
      </c>
    </row>
    <row r="221" spans="1:206" x14ac:dyDescent="0.2">
      <c r="A221" s="13">
        <v>50</v>
      </c>
      <c r="B221" s="13">
        <v>0</v>
      </c>
      <c r="C221" s="13">
        <v>0</v>
      </c>
      <c r="D221" s="13">
        <v>1</v>
      </c>
      <c r="E221" s="13">
        <v>224</v>
      </c>
      <c r="F221" s="13">
        <f>ROUND(Source!AR193,O221)</f>
        <v>41425.089999999997</v>
      </c>
      <c r="G221" s="13" t="s">
        <v>184</v>
      </c>
      <c r="H221" s="13" t="s">
        <v>185</v>
      </c>
      <c r="I221" s="13"/>
      <c r="J221" s="13"/>
      <c r="K221" s="13">
        <v>224</v>
      </c>
      <c r="L221" s="13">
        <v>27</v>
      </c>
      <c r="M221" s="13">
        <v>3</v>
      </c>
      <c r="N221" s="13" t="s">
        <v>3</v>
      </c>
      <c r="O221" s="13">
        <v>2</v>
      </c>
      <c r="P221" s="13">
        <f>ROUND(Source!EJ193,O221)</f>
        <v>950246.67</v>
      </c>
      <c r="Q221" s="13"/>
      <c r="R221" s="13"/>
      <c r="S221" s="13"/>
      <c r="T221" s="13"/>
      <c r="U221" s="13"/>
      <c r="V221" s="13"/>
      <c r="W221" s="13">
        <v>41425.089999999997</v>
      </c>
      <c r="X221" s="13">
        <v>1</v>
      </c>
      <c r="Y221" s="13">
        <v>41425.089999999997</v>
      </c>
      <c r="Z221" s="13">
        <v>950246.67</v>
      </c>
      <c r="AA221" s="13">
        <v>1</v>
      </c>
      <c r="AB221" s="13">
        <v>950246.67</v>
      </c>
    </row>
    <row r="223" spans="1:206" x14ac:dyDescent="0.2">
      <c r="A223" s="11">
        <v>51</v>
      </c>
      <c r="B223" s="11">
        <f>B20</f>
        <v>1</v>
      </c>
      <c r="C223" s="11">
        <f>A20</f>
        <v>3</v>
      </c>
      <c r="D223" s="11">
        <f>ROW(A20)</f>
        <v>20</v>
      </c>
      <c r="E223" s="11"/>
      <c r="F223" s="11" t="str">
        <f>IF(F20&lt;&gt;"",F20,"")</f>
        <v>02-01-09</v>
      </c>
      <c r="G223" s="11" t="str">
        <f>IF(G20&lt;&gt;"",G20,"")</f>
        <v>Система оповещения управления эвакуацией</v>
      </c>
      <c r="H223" s="11">
        <v>0</v>
      </c>
      <c r="I223" s="11"/>
      <c r="J223" s="11"/>
      <c r="K223" s="11"/>
      <c r="L223" s="11"/>
      <c r="M223" s="11"/>
      <c r="N223" s="11"/>
      <c r="O223" s="11">
        <f t="shared" ref="O223:T223" si="190">ROUND(O93+O140+O193+AB223,2)</f>
        <v>197064.51</v>
      </c>
      <c r="P223" s="11">
        <f t="shared" si="190"/>
        <v>185317.71</v>
      </c>
      <c r="Q223" s="11">
        <f t="shared" si="190"/>
        <v>79.81</v>
      </c>
      <c r="R223" s="11">
        <f t="shared" si="190"/>
        <v>0.49</v>
      </c>
      <c r="S223" s="11">
        <f t="shared" si="190"/>
        <v>11666.99</v>
      </c>
      <c r="T223" s="11">
        <f t="shared" si="190"/>
        <v>0</v>
      </c>
      <c r="U223" s="11">
        <f>U93+U140+U193+AH223</f>
        <v>980.90519340000003</v>
      </c>
      <c r="V223" s="11">
        <f>V93+V140+V193+AI223</f>
        <v>0</v>
      </c>
      <c r="W223" s="11">
        <f>ROUND(W93+W140+W193+AJ223,2)</f>
        <v>0</v>
      </c>
      <c r="X223" s="11">
        <f>ROUND(X93+X140+X193+AK223,2)</f>
        <v>10792.42</v>
      </c>
      <c r="Y223" s="11">
        <f>ROUND(Y93+Y140+Y193+AL223,2)</f>
        <v>5775.36</v>
      </c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  <c r="AJ223" s="11"/>
      <c r="AK223" s="11"/>
      <c r="AL223" s="11"/>
      <c r="AM223" s="11"/>
      <c r="AN223" s="11"/>
      <c r="AO223" s="11">
        <f t="shared" ref="AO223:BD223" si="191">ROUND(AO93+AO140+AO193+BX223,2)</f>
        <v>0</v>
      </c>
      <c r="AP223" s="11">
        <f t="shared" si="191"/>
        <v>148055.43</v>
      </c>
      <c r="AQ223" s="11">
        <f t="shared" si="191"/>
        <v>0</v>
      </c>
      <c r="AR223" s="11">
        <f t="shared" si="191"/>
        <v>213632.29</v>
      </c>
      <c r="AS223" s="11">
        <f t="shared" si="191"/>
        <v>0</v>
      </c>
      <c r="AT223" s="11">
        <f t="shared" si="191"/>
        <v>65576.86</v>
      </c>
      <c r="AU223" s="11">
        <f t="shared" si="191"/>
        <v>0</v>
      </c>
      <c r="AV223" s="11">
        <f t="shared" si="191"/>
        <v>185317.71</v>
      </c>
      <c r="AW223" s="11">
        <f t="shared" si="191"/>
        <v>37262.28</v>
      </c>
      <c r="AX223" s="11">
        <f t="shared" si="191"/>
        <v>0</v>
      </c>
      <c r="AY223" s="11">
        <f t="shared" si="191"/>
        <v>37262.28</v>
      </c>
      <c r="AZ223" s="11">
        <f t="shared" si="191"/>
        <v>148055.43</v>
      </c>
      <c r="BA223" s="11">
        <f t="shared" si="191"/>
        <v>0</v>
      </c>
      <c r="BB223" s="11">
        <f t="shared" si="191"/>
        <v>0</v>
      </c>
      <c r="BC223" s="11">
        <f t="shared" si="191"/>
        <v>0</v>
      </c>
      <c r="BD223" s="11">
        <f t="shared" si="191"/>
        <v>0</v>
      </c>
      <c r="BE223" s="11"/>
      <c r="BF223" s="11"/>
      <c r="BG223" s="11"/>
      <c r="BH223" s="11"/>
      <c r="BI223" s="11"/>
      <c r="BJ223" s="11"/>
      <c r="BK223" s="11"/>
      <c r="BL223" s="11"/>
      <c r="BM223" s="11"/>
      <c r="BN223" s="11"/>
      <c r="BO223" s="11"/>
      <c r="BP223" s="11"/>
      <c r="BQ223" s="11"/>
      <c r="BR223" s="11"/>
      <c r="BS223" s="11"/>
      <c r="BT223" s="11"/>
      <c r="BU223" s="11"/>
      <c r="BV223" s="11"/>
      <c r="BW223" s="11"/>
      <c r="BX223" s="11"/>
      <c r="BY223" s="11"/>
      <c r="BZ223" s="11"/>
      <c r="CA223" s="11"/>
      <c r="CB223" s="11"/>
      <c r="CC223" s="11"/>
      <c r="CD223" s="11"/>
      <c r="CE223" s="11"/>
      <c r="CF223" s="11"/>
      <c r="CG223" s="11"/>
      <c r="CH223" s="11"/>
      <c r="CI223" s="11"/>
      <c r="CJ223" s="11"/>
      <c r="CK223" s="11"/>
      <c r="CL223" s="11"/>
      <c r="CM223" s="11"/>
      <c r="CN223" s="11"/>
      <c r="CO223" s="11"/>
      <c r="CP223" s="11"/>
      <c r="CQ223" s="11"/>
      <c r="CR223" s="11"/>
      <c r="CS223" s="11"/>
      <c r="CT223" s="11"/>
      <c r="CU223" s="11"/>
      <c r="CV223" s="11"/>
      <c r="CW223" s="11"/>
      <c r="CX223" s="11"/>
      <c r="CY223" s="11"/>
      <c r="CZ223" s="11"/>
      <c r="DA223" s="11"/>
      <c r="DB223" s="11"/>
      <c r="DC223" s="11"/>
      <c r="DD223" s="11"/>
      <c r="DE223" s="11"/>
      <c r="DF223" s="11"/>
      <c r="DG223" s="12">
        <f t="shared" ref="DG223:DL223" si="192">ROUND(DG93+DG140+DG193+DT223,2)</f>
        <v>2106029.13</v>
      </c>
      <c r="DH223" s="12">
        <f t="shared" si="192"/>
        <v>1463741.06</v>
      </c>
      <c r="DI223" s="12">
        <f t="shared" si="192"/>
        <v>720.31</v>
      </c>
      <c r="DJ223" s="12">
        <f t="shared" si="192"/>
        <v>26.95</v>
      </c>
      <c r="DK223" s="12">
        <f t="shared" si="192"/>
        <v>641567.76</v>
      </c>
      <c r="DL223" s="12">
        <f t="shared" si="192"/>
        <v>0</v>
      </c>
      <c r="DM223" s="12">
        <f>DM93+DM140+DM193+DZ223</f>
        <v>980.90519340000003</v>
      </c>
      <c r="DN223" s="12">
        <f>DN93+DN140+DN193+EA223</f>
        <v>0</v>
      </c>
      <c r="DO223" s="12">
        <f>ROUND(DO93+DO140+DO193+EB223,2)</f>
        <v>0</v>
      </c>
      <c r="DP223" s="12">
        <f>ROUND(DP93+DP140+DP193+EC223,2)</f>
        <v>593474.5</v>
      </c>
      <c r="DQ223" s="12">
        <f>ROUND(DQ93+DQ140+DQ193+ED223,2)</f>
        <v>317588.51</v>
      </c>
      <c r="DR223" s="12"/>
      <c r="DS223" s="12"/>
      <c r="DT223" s="12"/>
      <c r="DU223" s="12"/>
      <c r="DV223" s="12"/>
      <c r="DW223" s="12"/>
      <c r="DX223" s="12"/>
      <c r="DY223" s="12"/>
      <c r="DZ223" s="12"/>
      <c r="EA223" s="12"/>
      <c r="EB223" s="12"/>
      <c r="EC223" s="12"/>
      <c r="ED223" s="12"/>
      <c r="EE223" s="12"/>
      <c r="EF223" s="12"/>
      <c r="EG223" s="12">
        <f t="shared" ref="EG223:EV223" si="193">ROUND(EG93+EG140+EG193+FP223,2)</f>
        <v>0</v>
      </c>
      <c r="EH223" s="12">
        <f t="shared" si="193"/>
        <v>1134104.5900000001</v>
      </c>
      <c r="EI223" s="12">
        <f t="shared" si="193"/>
        <v>0</v>
      </c>
      <c r="EJ223" s="12">
        <f t="shared" si="193"/>
        <v>3017092.14</v>
      </c>
      <c r="EK223" s="12">
        <f t="shared" si="193"/>
        <v>0</v>
      </c>
      <c r="EL223" s="12">
        <f t="shared" si="193"/>
        <v>1882987.55</v>
      </c>
      <c r="EM223" s="12">
        <f t="shared" si="193"/>
        <v>0</v>
      </c>
      <c r="EN223" s="12">
        <f t="shared" si="193"/>
        <v>1463741.06</v>
      </c>
      <c r="EO223" s="12">
        <f t="shared" si="193"/>
        <v>329636.46999999997</v>
      </c>
      <c r="EP223" s="12">
        <f t="shared" si="193"/>
        <v>0</v>
      </c>
      <c r="EQ223" s="12">
        <f t="shared" si="193"/>
        <v>329636.46999999997</v>
      </c>
      <c r="ER223" s="12">
        <f t="shared" si="193"/>
        <v>1134104.5900000001</v>
      </c>
      <c r="ES223" s="12">
        <f t="shared" si="193"/>
        <v>0</v>
      </c>
      <c r="ET223" s="12">
        <f t="shared" si="193"/>
        <v>0</v>
      </c>
      <c r="EU223" s="12">
        <f t="shared" si="193"/>
        <v>0</v>
      </c>
      <c r="EV223" s="12">
        <f t="shared" si="193"/>
        <v>0</v>
      </c>
      <c r="EW223" s="12"/>
      <c r="EX223" s="12"/>
      <c r="EY223" s="12"/>
      <c r="EZ223" s="12"/>
      <c r="FA223" s="12"/>
      <c r="FB223" s="12"/>
      <c r="FC223" s="12"/>
      <c r="FD223" s="12"/>
      <c r="FE223" s="12"/>
      <c r="FF223" s="12"/>
      <c r="FG223" s="12"/>
      <c r="FH223" s="12"/>
      <c r="FI223" s="12"/>
      <c r="FJ223" s="12"/>
      <c r="FK223" s="12"/>
      <c r="FL223" s="12"/>
      <c r="FM223" s="12"/>
      <c r="FN223" s="12"/>
      <c r="FO223" s="12"/>
      <c r="FP223" s="12"/>
      <c r="FQ223" s="12"/>
      <c r="FR223" s="12"/>
      <c r="FS223" s="12"/>
      <c r="FT223" s="12"/>
      <c r="FU223" s="12"/>
      <c r="FV223" s="12"/>
      <c r="FW223" s="12"/>
      <c r="FX223" s="12"/>
      <c r="FY223" s="12"/>
      <c r="FZ223" s="12"/>
      <c r="GA223" s="12"/>
      <c r="GB223" s="12"/>
      <c r="GC223" s="12"/>
      <c r="GD223" s="12"/>
      <c r="GE223" s="12"/>
      <c r="GF223" s="12"/>
      <c r="GG223" s="12"/>
      <c r="GH223" s="12"/>
      <c r="GI223" s="12"/>
      <c r="GJ223" s="12"/>
      <c r="GK223" s="12"/>
      <c r="GL223" s="12"/>
      <c r="GM223" s="12"/>
      <c r="GN223" s="12"/>
      <c r="GO223" s="12"/>
      <c r="GP223" s="12"/>
      <c r="GQ223" s="12"/>
      <c r="GR223" s="12"/>
      <c r="GS223" s="12"/>
      <c r="GT223" s="12"/>
      <c r="GU223" s="12"/>
      <c r="GV223" s="12"/>
      <c r="GW223" s="12"/>
      <c r="GX223" s="12">
        <v>0</v>
      </c>
    </row>
    <row r="225" spans="1:28" x14ac:dyDescent="0.2">
      <c r="A225" s="13">
        <v>50</v>
      </c>
      <c r="B225" s="13">
        <v>0</v>
      </c>
      <c r="C225" s="13">
        <v>0</v>
      </c>
      <c r="D225" s="13">
        <v>1</v>
      </c>
      <c r="E225" s="13">
        <v>201</v>
      </c>
      <c r="F225" s="13">
        <f>ROUND(Source!O223,O225)</f>
        <v>197064.51</v>
      </c>
      <c r="G225" s="13" t="s">
        <v>132</v>
      </c>
      <c r="H225" s="13" t="s">
        <v>133</v>
      </c>
      <c r="I225" s="13"/>
      <c r="J225" s="13"/>
      <c r="K225" s="13">
        <v>201</v>
      </c>
      <c r="L225" s="13">
        <v>1</v>
      </c>
      <c r="M225" s="13">
        <v>3</v>
      </c>
      <c r="N225" s="13" t="s">
        <v>3</v>
      </c>
      <c r="O225" s="13">
        <v>2</v>
      </c>
      <c r="P225" s="13">
        <f>ROUND(Source!DG223,O225)</f>
        <v>2106029.13</v>
      </c>
      <c r="Q225" s="13"/>
      <c r="R225" s="13"/>
      <c r="S225" s="13"/>
      <c r="T225" s="13"/>
      <c r="U225" s="13"/>
      <c r="V225" s="13"/>
      <c r="W225" s="13">
        <v>197064.51</v>
      </c>
      <c r="X225" s="13">
        <v>1</v>
      </c>
      <c r="Y225" s="13">
        <v>197064.51</v>
      </c>
      <c r="Z225" s="13">
        <v>2106029.13</v>
      </c>
      <c r="AA225" s="13">
        <v>1</v>
      </c>
      <c r="AB225" s="13">
        <v>2106029.13</v>
      </c>
    </row>
    <row r="226" spans="1:28" x14ac:dyDescent="0.2">
      <c r="A226" s="13">
        <v>50</v>
      </c>
      <c r="B226" s="13">
        <v>0</v>
      </c>
      <c r="C226" s="13">
        <v>0</v>
      </c>
      <c r="D226" s="13">
        <v>1</v>
      </c>
      <c r="E226" s="13">
        <v>202</v>
      </c>
      <c r="F226" s="13">
        <f>ROUND(Source!P223,O226)</f>
        <v>185317.71</v>
      </c>
      <c r="G226" s="13" t="s">
        <v>134</v>
      </c>
      <c r="H226" s="13" t="s">
        <v>135</v>
      </c>
      <c r="I226" s="13"/>
      <c r="J226" s="13"/>
      <c r="K226" s="13">
        <v>202</v>
      </c>
      <c r="L226" s="13">
        <v>2</v>
      </c>
      <c r="M226" s="13">
        <v>3</v>
      </c>
      <c r="N226" s="13" t="s">
        <v>3</v>
      </c>
      <c r="O226" s="13">
        <v>2</v>
      </c>
      <c r="P226" s="13">
        <f>ROUND(Source!DH223,O226)</f>
        <v>1463741.06</v>
      </c>
      <c r="Q226" s="13"/>
      <c r="R226" s="13"/>
      <c r="S226" s="13"/>
      <c r="T226" s="13"/>
      <c r="U226" s="13"/>
      <c r="V226" s="13"/>
      <c r="W226" s="13">
        <v>185317.71</v>
      </c>
      <c r="X226" s="13">
        <v>1</v>
      </c>
      <c r="Y226" s="13">
        <v>185317.71</v>
      </c>
      <c r="Z226" s="13">
        <v>1463741.06</v>
      </c>
      <c r="AA226" s="13">
        <v>1</v>
      </c>
      <c r="AB226" s="13">
        <v>1463741.06</v>
      </c>
    </row>
    <row r="227" spans="1:28" x14ac:dyDescent="0.2">
      <c r="A227" s="13">
        <v>50</v>
      </c>
      <c r="B227" s="13">
        <v>0</v>
      </c>
      <c r="C227" s="13">
        <v>0</v>
      </c>
      <c r="D227" s="13">
        <v>1</v>
      </c>
      <c r="E227" s="13">
        <v>222</v>
      </c>
      <c r="F227" s="13">
        <f>ROUND(Source!AO223,O227)</f>
        <v>0</v>
      </c>
      <c r="G227" s="13" t="s">
        <v>136</v>
      </c>
      <c r="H227" s="13" t="s">
        <v>137</v>
      </c>
      <c r="I227" s="13"/>
      <c r="J227" s="13"/>
      <c r="K227" s="13">
        <v>222</v>
      </c>
      <c r="L227" s="13">
        <v>3</v>
      </c>
      <c r="M227" s="13">
        <v>3</v>
      </c>
      <c r="N227" s="13" t="s">
        <v>3</v>
      </c>
      <c r="O227" s="13">
        <v>2</v>
      </c>
      <c r="P227" s="13">
        <f>ROUND(Source!EG223,O227)</f>
        <v>0</v>
      </c>
      <c r="Q227" s="13"/>
      <c r="R227" s="13"/>
      <c r="S227" s="13"/>
      <c r="T227" s="13"/>
      <c r="U227" s="13"/>
      <c r="V227" s="13"/>
      <c r="W227" s="13">
        <v>0</v>
      </c>
      <c r="X227" s="13">
        <v>1</v>
      </c>
      <c r="Y227" s="13">
        <v>0</v>
      </c>
      <c r="Z227" s="13">
        <v>0</v>
      </c>
      <c r="AA227" s="13">
        <v>1</v>
      </c>
      <c r="AB227" s="13">
        <v>0</v>
      </c>
    </row>
    <row r="228" spans="1:28" x14ac:dyDescent="0.2">
      <c r="A228" s="13">
        <v>50</v>
      </c>
      <c r="B228" s="13">
        <v>0</v>
      </c>
      <c r="C228" s="13">
        <v>0</v>
      </c>
      <c r="D228" s="13">
        <v>1</v>
      </c>
      <c r="E228" s="13">
        <v>225</v>
      </c>
      <c r="F228" s="13">
        <f>ROUND(Source!AV223,O228)</f>
        <v>185317.71</v>
      </c>
      <c r="G228" s="13" t="s">
        <v>138</v>
      </c>
      <c r="H228" s="13" t="s">
        <v>139</v>
      </c>
      <c r="I228" s="13"/>
      <c r="J228" s="13"/>
      <c r="K228" s="13">
        <v>225</v>
      </c>
      <c r="L228" s="13">
        <v>4</v>
      </c>
      <c r="M228" s="13">
        <v>3</v>
      </c>
      <c r="N228" s="13" t="s">
        <v>3</v>
      </c>
      <c r="O228" s="13">
        <v>2</v>
      </c>
      <c r="P228" s="13">
        <f>ROUND(Source!EN223,O228)</f>
        <v>1463741.06</v>
      </c>
      <c r="Q228" s="13"/>
      <c r="R228" s="13"/>
      <c r="S228" s="13"/>
      <c r="T228" s="13"/>
      <c r="U228" s="13"/>
      <c r="V228" s="13"/>
      <c r="W228" s="13">
        <v>185317.71</v>
      </c>
      <c r="X228" s="13">
        <v>1</v>
      </c>
      <c r="Y228" s="13">
        <v>185317.71</v>
      </c>
      <c r="Z228" s="13">
        <v>1463741.06</v>
      </c>
      <c r="AA228" s="13">
        <v>1</v>
      </c>
      <c r="AB228" s="13">
        <v>1463741.06</v>
      </c>
    </row>
    <row r="229" spans="1:28" x14ac:dyDescent="0.2">
      <c r="A229" s="13">
        <v>50</v>
      </c>
      <c r="B229" s="13">
        <v>0</v>
      </c>
      <c r="C229" s="13">
        <v>0</v>
      </c>
      <c r="D229" s="13">
        <v>1</v>
      </c>
      <c r="E229" s="13">
        <v>226</v>
      </c>
      <c r="F229" s="13">
        <f>ROUND(Source!AW223,O229)</f>
        <v>37262.28</v>
      </c>
      <c r="G229" s="13" t="s">
        <v>140</v>
      </c>
      <c r="H229" s="13" t="s">
        <v>141</v>
      </c>
      <c r="I229" s="13"/>
      <c r="J229" s="13"/>
      <c r="K229" s="13">
        <v>226</v>
      </c>
      <c r="L229" s="13">
        <v>5</v>
      </c>
      <c r="M229" s="13">
        <v>3</v>
      </c>
      <c r="N229" s="13" t="s">
        <v>3</v>
      </c>
      <c r="O229" s="13">
        <v>2</v>
      </c>
      <c r="P229" s="13">
        <f>ROUND(Source!EO223,O229)</f>
        <v>329636.46999999997</v>
      </c>
      <c r="Q229" s="13"/>
      <c r="R229" s="13"/>
      <c r="S229" s="13"/>
      <c r="T229" s="13"/>
      <c r="U229" s="13"/>
      <c r="V229" s="13"/>
      <c r="W229" s="13">
        <v>37262.28</v>
      </c>
      <c r="X229" s="13">
        <v>1</v>
      </c>
      <c r="Y229" s="13">
        <v>37262.28</v>
      </c>
      <c r="Z229" s="13">
        <v>329636.46999999997</v>
      </c>
      <c r="AA229" s="13">
        <v>1</v>
      </c>
      <c r="AB229" s="13">
        <v>329636.46999999997</v>
      </c>
    </row>
    <row r="230" spans="1:28" x14ac:dyDescent="0.2">
      <c r="A230" s="13">
        <v>50</v>
      </c>
      <c r="B230" s="13">
        <v>0</v>
      </c>
      <c r="C230" s="13">
        <v>0</v>
      </c>
      <c r="D230" s="13">
        <v>1</v>
      </c>
      <c r="E230" s="13">
        <v>227</v>
      </c>
      <c r="F230" s="13">
        <f>ROUND(Source!AX223,O230)</f>
        <v>0</v>
      </c>
      <c r="G230" s="13" t="s">
        <v>142</v>
      </c>
      <c r="H230" s="13" t="s">
        <v>143</v>
      </c>
      <c r="I230" s="13"/>
      <c r="J230" s="13"/>
      <c r="K230" s="13">
        <v>227</v>
      </c>
      <c r="L230" s="13">
        <v>6</v>
      </c>
      <c r="M230" s="13">
        <v>3</v>
      </c>
      <c r="N230" s="13" t="s">
        <v>3</v>
      </c>
      <c r="O230" s="13">
        <v>2</v>
      </c>
      <c r="P230" s="13">
        <f>ROUND(Source!EP223,O230)</f>
        <v>0</v>
      </c>
      <c r="Q230" s="13"/>
      <c r="R230" s="13"/>
      <c r="S230" s="13"/>
      <c r="T230" s="13"/>
      <c r="U230" s="13"/>
      <c r="V230" s="13"/>
      <c r="W230" s="13">
        <v>0</v>
      </c>
      <c r="X230" s="13">
        <v>1</v>
      </c>
      <c r="Y230" s="13">
        <v>0</v>
      </c>
      <c r="Z230" s="13">
        <v>0</v>
      </c>
      <c r="AA230" s="13">
        <v>1</v>
      </c>
      <c r="AB230" s="13">
        <v>0</v>
      </c>
    </row>
    <row r="231" spans="1:28" x14ac:dyDescent="0.2">
      <c r="A231" s="13">
        <v>50</v>
      </c>
      <c r="B231" s="13">
        <v>0</v>
      </c>
      <c r="C231" s="13">
        <v>0</v>
      </c>
      <c r="D231" s="13">
        <v>1</v>
      </c>
      <c r="E231" s="13">
        <v>228</v>
      </c>
      <c r="F231" s="13">
        <f>ROUND(Source!AY223,O231)</f>
        <v>37262.28</v>
      </c>
      <c r="G231" s="13" t="s">
        <v>144</v>
      </c>
      <c r="H231" s="13" t="s">
        <v>145</v>
      </c>
      <c r="I231" s="13"/>
      <c r="J231" s="13"/>
      <c r="K231" s="13">
        <v>228</v>
      </c>
      <c r="L231" s="13">
        <v>7</v>
      </c>
      <c r="M231" s="13">
        <v>3</v>
      </c>
      <c r="N231" s="13" t="s">
        <v>3</v>
      </c>
      <c r="O231" s="13">
        <v>2</v>
      </c>
      <c r="P231" s="13">
        <f>ROUND(Source!EQ223,O231)</f>
        <v>329636.46999999997</v>
      </c>
      <c r="Q231" s="13"/>
      <c r="R231" s="13"/>
      <c r="S231" s="13"/>
      <c r="T231" s="13"/>
      <c r="U231" s="13"/>
      <c r="V231" s="13"/>
      <c r="W231" s="13">
        <v>37262.28</v>
      </c>
      <c r="X231" s="13">
        <v>1</v>
      </c>
      <c r="Y231" s="13">
        <v>37262.28</v>
      </c>
      <c r="Z231" s="13">
        <v>329636.46999999997</v>
      </c>
      <c r="AA231" s="13">
        <v>1</v>
      </c>
      <c r="AB231" s="13">
        <v>329636.46999999997</v>
      </c>
    </row>
    <row r="232" spans="1:28" x14ac:dyDescent="0.2">
      <c r="A232" s="13">
        <v>50</v>
      </c>
      <c r="B232" s="13">
        <v>0</v>
      </c>
      <c r="C232" s="13">
        <v>0</v>
      </c>
      <c r="D232" s="13">
        <v>1</v>
      </c>
      <c r="E232" s="13">
        <v>216</v>
      </c>
      <c r="F232" s="13">
        <f>ROUND(Source!AP223,O232)</f>
        <v>148055.43</v>
      </c>
      <c r="G232" s="13" t="s">
        <v>146</v>
      </c>
      <c r="H232" s="13" t="s">
        <v>147</v>
      </c>
      <c r="I232" s="13"/>
      <c r="J232" s="13"/>
      <c r="K232" s="13">
        <v>216</v>
      </c>
      <c r="L232" s="13">
        <v>8</v>
      </c>
      <c r="M232" s="13">
        <v>3</v>
      </c>
      <c r="N232" s="13" t="s">
        <v>3</v>
      </c>
      <c r="O232" s="13">
        <v>2</v>
      </c>
      <c r="P232" s="13">
        <f>ROUND(Source!EH223,O232)</f>
        <v>1134104.5900000001</v>
      </c>
      <c r="Q232" s="13"/>
      <c r="R232" s="13"/>
      <c r="S232" s="13"/>
      <c r="T232" s="13"/>
      <c r="U232" s="13"/>
      <c r="V232" s="13"/>
      <c r="W232" s="13">
        <v>148055.43</v>
      </c>
      <c r="X232" s="13">
        <v>1</v>
      </c>
      <c r="Y232" s="13">
        <v>148055.43</v>
      </c>
      <c r="Z232" s="13">
        <v>1134104.5900000001</v>
      </c>
      <c r="AA232" s="13">
        <v>1</v>
      </c>
      <c r="AB232" s="13">
        <v>1134104.5900000001</v>
      </c>
    </row>
    <row r="233" spans="1:28" x14ac:dyDescent="0.2">
      <c r="A233" s="13">
        <v>50</v>
      </c>
      <c r="B233" s="13">
        <v>0</v>
      </c>
      <c r="C233" s="13">
        <v>0</v>
      </c>
      <c r="D233" s="13">
        <v>1</v>
      </c>
      <c r="E233" s="13">
        <v>223</v>
      </c>
      <c r="F233" s="13">
        <f>ROUND(Source!AQ223,O233)</f>
        <v>0</v>
      </c>
      <c r="G233" s="13" t="s">
        <v>148</v>
      </c>
      <c r="H233" s="13" t="s">
        <v>149</v>
      </c>
      <c r="I233" s="13"/>
      <c r="J233" s="13"/>
      <c r="K233" s="13">
        <v>223</v>
      </c>
      <c r="L233" s="13">
        <v>9</v>
      </c>
      <c r="M233" s="13">
        <v>3</v>
      </c>
      <c r="N233" s="13" t="s">
        <v>3</v>
      </c>
      <c r="O233" s="13">
        <v>2</v>
      </c>
      <c r="P233" s="13">
        <f>ROUND(Source!EI223,O233)</f>
        <v>0</v>
      </c>
      <c r="Q233" s="13"/>
      <c r="R233" s="13"/>
      <c r="S233" s="13"/>
      <c r="T233" s="13"/>
      <c r="U233" s="13"/>
      <c r="V233" s="13"/>
      <c r="W233" s="13">
        <v>0</v>
      </c>
      <c r="X233" s="13">
        <v>1</v>
      </c>
      <c r="Y233" s="13">
        <v>0</v>
      </c>
      <c r="Z233" s="13">
        <v>0</v>
      </c>
      <c r="AA233" s="13">
        <v>1</v>
      </c>
      <c r="AB233" s="13">
        <v>0</v>
      </c>
    </row>
    <row r="234" spans="1:28" x14ac:dyDescent="0.2">
      <c r="A234" s="13">
        <v>50</v>
      </c>
      <c r="B234" s="13">
        <v>0</v>
      </c>
      <c r="C234" s="13">
        <v>0</v>
      </c>
      <c r="D234" s="13">
        <v>1</v>
      </c>
      <c r="E234" s="13">
        <v>229</v>
      </c>
      <c r="F234" s="13">
        <f>ROUND(Source!AZ223,O234)</f>
        <v>148055.43</v>
      </c>
      <c r="G234" s="13" t="s">
        <v>150</v>
      </c>
      <c r="H234" s="13" t="s">
        <v>151</v>
      </c>
      <c r="I234" s="13"/>
      <c r="J234" s="13"/>
      <c r="K234" s="13">
        <v>229</v>
      </c>
      <c r="L234" s="13">
        <v>10</v>
      </c>
      <c r="M234" s="13">
        <v>3</v>
      </c>
      <c r="N234" s="13" t="s">
        <v>3</v>
      </c>
      <c r="O234" s="13">
        <v>2</v>
      </c>
      <c r="P234" s="13">
        <f>ROUND(Source!ER223,O234)</f>
        <v>1134104.5900000001</v>
      </c>
      <c r="Q234" s="13"/>
      <c r="R234" s="13"/>
      <c r="S234" s="13"/>
      <c r="T234" s="13"/>
      <c r="U234" s="13"/>
      <c r="V234" s="13"/>
      <c r="W234" s="13">
        <v>148055.43</v>
      </c>
      <c r="X234" s="13">
        <v>1</v>
      </c>
      <c r="Y234" s="13">
        <v>148055.43</v>
      </c>
      <c r="Z234" s="13">
        <v>1134104.5900000001</v>
      </c>
      <c r="AA234" s="13">
        <v>1</v>
      </c>
      <c r="AB234" s="13">
        <v>1134104.5900000001</v>
      </c>
    </row>
    <row r="235" spans="1:28" x14ac:dyDescent="0.2">
      <c r="A235" s="13">
        <v>50</v>
      </c>
      <c r="B235" s="13">
        <v>0</v>
      </c>
      <c r="C235" s="13">
        <v>0</v>
      </c>
      <c r="D235" s="13">
        <v>1</v>
      </c>
      <c r="E235" s="13">
        <v>203</v>
      </c>
      <c r="F235" s="13">
        <f>ROUND(Source!Q223,O235)</f>
        <v>79.81</v>
      </c>
      <c r="G235" s="13" t="s">
        <v>152</v>
      </c>
      <c r="H235" s="13" t="s">
        <v>153</v>
      </c>
      <c r="I235" s="13"/>
      <c r="J235" s="13"/>
      <c r="K235" s="13">
        <v>203</v>
      </c>
      <c r="L235" s="13">
        <v>11</v>
      </c>
      <c r="M235" s="13">
        <v>3</v>
      </c>
      <c r="N235" s="13" t="s">
        <v>3</v>
      </c>
      <c r="O235" s="13">
        <v>2</v>
      </c>
      <c r="P235" s="13">
        <f>ROUND(Source!DI223,O235)</f>
        <v>720.31</v>
      </c>
      <c r="Q235" s="13"/>
      <c r="R235" s="13"/>
      <c r="S235" s="13"/>
      <c r="T235" s="13"/>
      <c r="U235" s="13"/>
      <c r="V235" s="13"/>
      <c r="W235" s="13">
        <v>79.81</v>
      </c>
      <c r="X235" s="13">
        <v>1</v>
      </c>
      <c r="Y235" s="13">
        <v>79.81</v>
      </c>
      <c r="Z235" s="13">
        <v>720.31</v>
      </c>
      <c r="AA235" s="13">
        <v>1</v>
      </c>
      <c r="AB235" s="13">
        <v>720.31</v>
      </c>
    </row>
    <row r="236" spans="1:28" x14ac:dyDescent="0.2">
      <c r="A236" s="13">
        <v>50</v>
      </c>
      <c r="B236" s="13">
        <v>0</v>
      </c>
      <c r="C236" s="13">
        <v>0</v>
      </c>
      <c r="D236" s="13">
        <v>1</v>
      </c>
      <c r="E236" s="13">
        <v>231</v>
      </c>
      <c r="F236" s="13">
        <f>ROUND(Source!BB223,O236)</f>
        <v>0</v>
      </c>
      <c r="G236" s="13" t="s">
        <v>154</v>
      </c>
      <c r="H236" s="13" t="s">
        <v>155</v>
      </c>
      <c r="I236" s="13"/>
      <c r="J236" s="13"/>
      <c r="K236" s="13">
        <v>231</v>
      </c>
      <c r="L236" s="13">
        <v>12</v>
      </c>
      <c r="M236" s="13">
        <v>3</v>
      </c>
      <c r="N236" s="13" t="s">
        <v>3</v>
      </c>
      <c r="O236" s="13">
        <v>2</v>
      </c>
      <c r="P236" s="13">
        <f>ROUND(Source!ET223,O236)</f>
        <v>0</v>
      </c>
      <c r="Q236" s="13"/>
      <c r="R236" s="13"/>
      <c r="S236" s="13"/>
      <c r="T236" s="13"/>
      <c r="U236" s="13"/>
      <c r="V236" s="13"/>
      <c r="W236" s="13">
        <v>0</v>
      </c>
      <c r="X236" s="13">
        <v>1</v>
      </c>
      <c r="Y236" s="13">
        <v>0</v>
      </c>
      <c r="Z236" s="13">
        <v>0</v>
      </c>
      <c r="AA236" s="13">
        <v>1</v>
      </c>
      <c r="AB236" s="13">
        <v>0</v>
      </c>
    </row>
    <row r="237" spans="1:28" x14ac:dyDescent="0.2">
      <c r="A237" s="13">
        <v>50</v>
      </c>
      <c r="B237" s="13">
        <v>0</v>
      </c>
      <c r="C237" s="13">
        <v>0</v>
      </c>
      <c r="D237" s="13">
        <v>1</v>
      </c>
      <c r="E237" s="13">
        <v>204</v>
      </c>
      <c r="F237" s="13">
        <f>ROUND(Source!R223,O237)</f>
        <v>0.49</v>
      </c>
      <c r="G237" s="13" t="s">
        <v>156</v>
      </c>
      <c r="H237" s="13" t="s">
        <v>157</v>
      </c>
      <c r="I237" s="13"/>
      <c r="J237" s="13"/>
      <c r="K237" s="13">
        <v>204</v>
      </c>
      <c r="L237" s="13">
        <v>13</v>
      </c>
      <c r="M237" s="13">
        <v>3</v>
      </c>
      <c r="N237" s="13" t="s">
        <v>3</v>
      </c>
      <c r="O237" s="13">
        <v>2</v>
      </c>
      <c r="P237" s="13">
        <f>ROUND(Source!DJ223,O237)</f>
        <v>26.95</v>
      </c>
      <c r="Q237" s="13"/>
      <c r="R237" s="13"/>
      <c r="S237" s="13"/>
      <c r="T237" s="13"/>
      <c r="U237" s="13"/>
      <c r="V237" s="13"/>
      <c r="W237" s="13">
        <v>0.49</v>
      </c>
      <c r="X237" s="13">
        <v>1</v>
      </c>
      <c r="Y237" s="13">
        <v>0.49</v>
      </c>
      <c r="Z237" s="13">
        <v>26.95</v>
      </c>
      <c r="AA237" s="13">
        <v>1</v>
      </c>
      <c r="AB237" s="13">
        <v>26.95</v>
      </c>
    </row>
    <row r="238" spans="1:28" x14ac:dyDescent="0.2">
      <c r="A238" s="13">
        <v>50</v>
      </c>
      <c r="B238" s="13">
        <v>0</v>
      </c>
      <c r="C238" s="13">
        <v>0</v>
      </c>
      <c r="D238" s="13">
        <v>1</v>
      </c>
      <c r="E238" s="13">
        <v>205</v>
      </c>
      <c r="F238" s="13">
        <f>ROUND(Source!S223,O238)</f>
        <v>11666.99</v>
      </c>
      <c r="G238" s="13" t="s">
        <v>158</v>
      </c>
      <c r="H238" s="13" t="s">
        <v>159</v>
      </c>
      <c r="I238" s="13"/>
      <c r="J238" s="13"/>
      <c r="K238" s="13">
        <v>205</v>
      </c>
      <c r="L238" s="13">
        <v>14</v>
      </c>
      <c r="M238" s="13">
        <v>3</v>
      </c>
      <c r="N238" s="13" t="s">
        <v>3</v>
      </c>
      <c r="O238" s="13">
        <v>2</v>
      </c>
      <c r="P238" s="13">
        <f>ROUND(Source!DK223,O238)</f>
        <v>641567.76</v>
      </c>
      <c r="Q238" s="13"/>
      <c r="R238" s="13"/>
      <c r="S238" s="13"/>
      <c r="T238" s="13"/>
      <c r="U238" s="13"/>
      <c r="V238" s="13"/>
      <c r="W238" s="13">
        <v>11666.99</v>
      </c>
      <c r="X238" s="13">
        <v>1</v>
      </c>
      <c r="Y238" s="13">
        <v>11666.99</v>
      </c>
      <c r="Z238" s="13">
        <v>641567.76</v>
      </c>
      <c r="AA238" s="13">
        <v>1</v>
      </c>
      <c r="AB238" s="13">
        <v>641567.76</v>
      </c>
    </row>
    <row r="239" spans="1:28" x14ac:dyDescent="0.2">
      <c r="A239" s="13">
        <v>50</v>
      </c>
      <c r="B239" s="13">
        <v>0</v>
      </c>
      <c r="C239" s="13">
        <v>0</v>
      </c>
      <c r="D239" s="13">
        <v>1</v>
      </c>
      <c r="E239" s="13">
        <v>232</v>
      </c>
      <c r="F239" s="13">
        <f>ROUND(Source!BC223,O239)</f>
        <v>0</v>
      </c>
      <c r="G239" s="13" t="s">
        <v>160</v>
      </c>
      <c r="H239" s="13" t="s">
        <v>161</v>
      </c>
      <c r="I239" s="13"/>
      <c r="J239" s="13"/>
      <c r="K239" s="13">
        <v>232</v>
      </c>
      <c r="L239" s="13">
        <v>15</v>
      </c>
      <c r="M239" s="13">
        <v>3</v>
      </c>
      <c r="N239" s="13" t="s">
        <v>3</v>
      </c>
      <c r="O239" s="13">
        <v>2</v>
      </c>
      <c r="P239" s="13">
        <f>ROUND(Source!EU223,O239)</f>
        <v>0</v>
      </c>
      <c r="Q239" s="13"/>
      <c r="R239" s="13"/>
      <c r="S239" s="13"/>
      <c r="T239" s="13"/>
      <c r="U239" s="13"/>
      <c r="V239" s="13"/>
      <c r="W239" s="13">
        <v>0</v>
      </c>
      <c r="X239" s="13">
        <v>1</v>
      </c>
      <c r="Y239" s="13">
        <v>0</v>
      </c>
      <c r="Z239" s="13">
        <v>0</v>
      </c>
      <c r="AA239" s="13">
        <v>1</v>
      </c>
      <c r="AB239" s="13">
        <v>0</v>
      </c>
    </row>
    <row r="240" spans="1:28" x14ac:dyDescent="0.2">
      <c r="A240" s="13">
        <v>50</v>
      </c>
      <c r="B240" s="13">
        <v>0</v>
      </c>
      <c r="C240" s="13">
        <v>0</v>
      </c>
      <c r="D240" s="13">
        <v>1</v>
      </c>
      <c r="E240" s="13">
        <v>214</v>
      </c>
      <c r="F240" s="13">
        <f>ROUND(Source!AS223,O240)</f>
        <v>0</v>
      </c>
      <c r="G240" s="13" t="s">
        <v>162</v>
      </c>
      <c r="H240" s="13" t="s">
        <v>163</v>
      </c>
      <c r="I240" s="13"/>
      <c r="J240" s="13"/>
      <c r="K240" s="13">
        <v>214</v>
      </c>
      <c r="L240" s="13">
        <v>16</v>
      </c>
      <c r="M240" s="13">
        <v>3</v>
      </c>
      <c r="N240" s="13" t="s">
        <v>3</v>
      </c>
      <c r="O240" s="13">
        <v>2</v>
      </c>
      <c r="P240" s="13">
        <f>ROUND(Source!EK223,O240)</f>
        <v>0</v>
      </c>
      <c r="Q240" s="13"/>
      <c r="R240" s="13"/>
      <c r="S240" s="13"/>
      <c r="T240" s="13"/>
      <c r="U240" s="13"/>
      <c r="V240" s="13"/>
      <c r="W240" s="13">
        <v>0</v>
      </c>
      <c r="X240" s="13">
        <v>1</v>
      </c>
      <c r="Y240" s="13">
        <v>0</v>
      </c>
      <c r="Z240" s="13">
        <v>0</v>
      </c>
      <c r="AA240" s="13">
        <v>1</v>
      </c>
      <c r="AB240" s="13">
        <v>0</v>
      </c>
    </row>
    <row r="241" spans="1:206" x14ac:dyDescent="0.2">
      <c r="A241" s="13">
        <v>50</v>
      </c>
      <c r="B241" s="13">
        <v>0</v>
      </c>
      <c r="C241" s="13">
        <v>0</v>
      </c>
      <c r="D241" s="13">
        <v>1</v>
      </c>
      <c r="E241" s="13">
        <v>215</v>
      </c>
      <c r="F241" s="13">
        <f>ROUND(Source!AT223,O241)</f>
        <v>65576.86</v>
      </c>
      <c r="G241" s="13" t="s">
        <v>164</v>
      </c>
      <c r="H241" s="13" t="s">
        <v>165</v>
      </c>
      <c r="I241" s="13"/>
      <c r="J241" s="13"/>
      <c r="K241" s="13">
        <v>215</v>
      </c>
      <c r="L241" s="13">
        <v>17</v>
      </c>
      <c r="M241" s="13">
        <v>3</v>
      </c>
      <c r="N241" s="13" t="s">
        <v>3</v>
      </c>
      <c r="O241" s="13">
        <v>2</v>
      </c>
      <c r="P241" s="13">
        <f>ROUND(Source!EL223,O241)</f>
        <v>1882987.55</v>
      </c>
      <c r="Q241" s="13"/>
      <c r="R241" s="13"/>
      <c r="S241" s="13"/>
      <c r="T241" s="13"/>
      <c r="U241" s="13"/>
      <c r="V241" s="13"/>
      <c r="W241" s="13">
        <v>65576.86</v>
      </c>
      <c r="X241" s="13">
        <v>1</v>
      </c>
      <c r="Y241" s="13">
        <v>65576.86</v>
      </c>
      <c r="Z241" s="13">
        <v>1882987.55</v>
      </c>
      <c r="AA241" s="13">
        <v>1</v>
      </c>
      <c r="AB241" s="13">
        <v>1882987.55</v>
      </c>
    </row>
    <row r="242" spans="1:206" x14ac:dyDescent="0.2">
      <c r="A242" s="13">
        <v>50</v>
      </c>
      <c r="B242" s="13">
        <v>0</v>
      </c>
      <c r="C242" s="13">
        <v>0</v>
      </c>
      <c r="D242" s="13">
        <v>1</v>
      </c>
      <c r="E242" s="13">
        <v>217</v>
      </c>
      <c r="F242" s="13">
        <f>ROUND(Source!AU223,O242)</f>
        <v>0</v>
      </c>
      <c r="G242" s="13" t="s">
        <v>166</v>
      </c>
      <c r="H242" s="13" t="s">
        <v>167</v>
      </c>
      <c r="I242" s="13"/>
      <c r="J242" s="13"/>
      <c r="K242" s="13">
        <v>217</v>
      </c>
      <c r="L242" s="13">
        <v>18</v>
      </c>
      <c r="M242" s="13">
        <v>3</v>
      </c>
      <c r="N242" s="13" t="s">
        <v>3</v>
      </c>
      <c r="O242" s="13">
        <v>2</v>
      </c>
      <c r="P242" s="13">
        <f>ROUND(Source!EM223,O242)</f>
        <v>0</v>
      </c>
      <c r="Q242" s="13"/>
      <c r="R242" s="13"/>
      <c r="S242" s="13"/>
      <c r="T242" s="13"/>
      <c r="U242" s="13"/>
      <c r="V242" s="13"/>
      <c r="W242" s="13">
        <v>0</v>
      </c>
      <c r="X242" s="13">
        <v>1</v>
      </c>
      <c r="Y242" s="13">
        <v>0</v>
      </c>
      <c r="Z242" s="13">
        <v>0</v>
      </c>
      <c r="AA242" s="13">
        <v>1</v>
      </c>
      <c r="AB242" s="13">
        <v>0</v>
      </c>
    </row>
    <row r="243" spans="1:206" x14ac:dyDescent="0.2">
      <c r="A243" s="13">
        <v>50</v>
      </c>
      <c r="B243" s="13">
        <v>0</v>
      </c>
      <c r="C243" s="13">
        <v>0</v>
      </c>
      <c r="D243" s="13">
        <v>1</v>
      </c>
      <c r="E243" s="13">
        <v>230</v>
      </c>
      <c r="F243" s="13">
        <f>ROUND(Source!BA223,O243)</f>
        <v>0</v>
      </c>
      <c r="G243" s="13" t="s">
        <v>168</v>
      </c>
      <c r="H243" s="13" t="s">
        <v>169</v>
      </c>
      <c r="I243" s="13"/>
      <c r="J243" s="13"/>
      <c r="K243" s="13">
        <v>230</v>
      </c>
      <c r="L243" s="13">
        <v>19</v>
      </c>
      <c r="M243" s="13">
        <v>3</v>
      </c>
      <c r="N243" s="13" t="s">
        <v>3</v>
      </c>
      <c r="O243" s="13">
        <v>2</v>
      </c>
      <c r="P243" s="13">
        <f>ROUND(Source!ES223,O243)</f>
        <v>0</v>
      </c>
      <c r="Q243" s="13"/>
      <c r="R243" s="13"/>
      <c r="S243" s="13"/>
      <c r="T243" s="13"/>
      <c r="U243" s="13"/>
      <c r="V243" s="13"/>
      <c r="W243" s="13">
        <v>0</v>
      </c>
      <c r="X243" s="13">
        <v>1</v>
      </c>
      <c r="Y243" s="13">
        <v>0</v>
      </c>
      <c r="Z243" s="13">
        <v>0</v>
      </c>
      <c r="AA243" s="13">
        <v>1</v>
      </c>
      <c r="AB243" s="13">
        <v>0</v>
      </c>
    </row>
    <row r="244" spans="1:206" x14ac:dyDescent="0.2">
      <c r="A244" s="13">
        <v>50</v>
      </c>
      <c r="B244" s="13">
        <v>0</v>
      </c>
      <c r="C244" s="13">
        <v>0</v>
      </c>
      <c r="D244" s="13">
        <v>1</v>
      </c>
      <c r="E244" s="13">
        <v>206</v>
      </c>
      <c r="F244" s="13">
        <f>ROUND(Source!T223,O244)</f>
        <v>0</v>
      </c>
      <c r="G244" s="13" t="s">
        <v>170</v>
      </c>
      <c r="H244" s="13" t="s">
        <v>171</v>
      </c>
      <c r="I244" s="13"/>
      <c r="J244" s="13"/>
      <c r="K244" s="13">
        <v>206</v>
      </c>
      <c r="L244" s="13">
        <v>20</v>
      </c>
      <c r="M244" s="13">
        <v>3</v>
      </c>
      <c r="N244" s="13" t="s">
        <v>3</v>
      </c>
      <c r="O244" s="13">
        <v>2</v>
      </c>
      <c r="P244" s="13">
        <f>ROUND(Source!DL223,O244)</f>
        <v>0</v>
      </c>
      <c r="Q244" s="13"/>
      <c r="R244" s="13"/>
      <c r="S244" s="13"/>
      <c r="T244" s="13"/>
      <c r="U244" s="13"/>
      <c r="V244" s="13"/>
      <c r="W244" s="13">
        <v>0</v>
      </c>
      <c r="X244" s="13">
        <v>1</v>
      </c>
      <c r="Y244" s="13">
        <v>0</v>
      </c>
      <c r="Z244" s="13">
        <v>0</v>
      </c>
      <c r="AA244" s="13">
        <v>1</v>
      </c>
      <c r="AB244" s="13">
        <v>0</v>
      </c>
    </row>
    <row r="245" spans="1:206" x14ac:dyDescent="0.2">
      <c r="A245" s="13">
        <v>50</v>
      </c>
      <c r="B245" s="13">
        <v>0</v>
      </c>
      <c r="C245" s="13">
        <v>0</v>
      </c>
      <c r="D245" s="13">
        <v>1</v>
      </c>
      <c r="E245" s="13">
        <v>207</v>
      </c>
      <c r="F245" s="13">
        <f>Source!U223</f>
        <v>980.90519340000003</v>
      </c>
      <c r="G245" s="13" t="s">
        <v>172</v>
      </c>
      <c r="H245" s="13" t="s">
        <v>173</v>
      </c>
      <c r="I245" s="13"/>
      <c r="J245" s="13"/>
      <c r="K245" s="13">
        <v>207</v>
      </c>
      <c r="L245" s="13">
        <v>21</v>
      </c>
      <c r="M245" s="13">
        <v>3</v>
      </c>
      <c r="N245" s="13" t="s">
        <v>3</v>
      </c>
      <c r="O245" s="13">
        <v>-1</v>
      </c>
      <c r="P245" s="13">
        <f>Source!DM223</f>
        <v>980.90519340000003</v>
      </c>
      <c r="Q245" s="13"/>
      <c r="R245" s="13"/>
      <c r="S245" s="13"/>
      <c r="T245" s="13"/>
      <c r="U245" s="13"/>
      <c r="V245" s="13"/>
      <c r="W245" s="13">
        <v>980.90519340000003</v>
      </c>
      <c r="X245" s="13">
        <v>1</v>
      </c>
      <c r="Y245" s="13">
        <v>980.90519340000003</v>
      </c>
      <c r="Z245" s="13">
        <v>980.90519340000003</v>
      </c>
      <c r="AA245" s="13">
        <v>1</v>
      </c>
      <c r="AB245" s="13">
        <v>980.90519340000003</v>
      </c>
    </row>
    <row r="246" spans="1:206" x14ac:dyDescent="0.2">
      <c r="A246" s="13">
        <v>50</v>
      </c>
      <c r="B246" s="13">
        <v>0</v>
      </c>
      <c r="C246" s="13">
        <v>0</v>
      </c>
      <c r="D246" s="13">
        <v>1</v>
      </c>
      <c r="E246" s="13">
        <v>208</v>
      </c>
      <c r="F246" s="13">
        <f>Source!V223</f>
        <v>0</v>
      </c>
      <c r="G246" s="13" t="s">
        <v>174</v>
      </c>
      <c r="H246" s="13" t="s">
        <v>175</v>
      </c>
      <c r="I246" s="13"/>
      <c r="J246" s="13"/>
      <c r="K246" s="13">
        <v>208</v>
      </c>
      <c r="L246" s="13">
        <v>22</v>
      </c>
      <c r="M246" s="13">
        <v>3</v>
      </c>
      <c r="N246" s="13" t="s">
        <v>3</v>
      </c>
      <c r="O246" s="13">
        <v>-1</v>
      </c>
      <c r="P246" s="13">
        <f>Source!DN223</f>
        <v>0</v>
      </c>
      <c r="Q246" s="13"/>
      <c r="R246" s="13"/>
      <c r="S246" s="13"/>
      <c r="T246" s="13"/>
      <c r="U246" s="13"/>
      <c r="V246" s="13"/>
      <c r="W246" s="13">
        <v>0</v>
      </c>
      <c r="X246" s="13">
        <v>1</v>
      </c>
      <c r="Y246" s="13">
        <v>0</v>
      </c>
      <c r="Z246" s="13">
        <v>0</v>
      </c>
      <c r="AA246" s="13">
        <v>1</v>
      </c>
      <c r="AB246" s="13">
        <v>0</v>
      </c>
    </row>
    <row r="247" spans="1:206" x14ac:dyDescent="0.2">
      <c r="A247" s="13">
        <v>50</v>
      </c>
      <c r="B247" s="13">
        <v>0</v>
      </c>
      <c r="C247" s="13">
        <v>0</v>
      </c>
      <c r="D247" s="13">
        <v>1</v>
      </c>
      <c r="E247" s="13">
        <v>209</v>
      </c>
      <c r="F247" s="13">
        <f>ROUND(Source!W223,O247)</f>
        <v>0</v>
      </c>
      <c r="G247" s="13" t="s">
        <v>176</v>
      </c>
      <c r="H247" s="13" t="s">
        <v>177</v>
      </c>
      <c r="I247" s="13"/>
      <c r="J247" s="13"/>
      <c r="K247" s="13">
        <v>209</v>
      </c>
      <c r="L247" s="13">
        <v>23</v>
      </c>
      <c r="M247" s="13">
        <v>3</v>
      </c>
      <c r="N247" s="13" t="s">
        <v>3</v>
      </c>
      <c r="O247" s="13">
        <v>2</v>
      </c>
      <c r="P247" s="13">
        <f>ROUND(Source!DO223,O247)</f>
        <v>0</v>
      </c>
      <c r="Q247" s="13"/>
      <c r="R247" s="13"/>
      <c r="S247" s="13"/>
      <c r="T247" s="13"/>
      <c r="U247" s="13"/>
      <c r="V247" s="13"/>
      <c r="W247" s="13">
        <v>0</v>
      </c>
      <c r="X247" s="13">
        <v>1</v>
      </c>
      <c r="Y247" s="13">
        <v>0</v>
      </c>
      <c r="Z247" s="13">
        <v>0</v>
      </c>
      <c r="AA247" s="13">
        <v>1</v>
      </c>
      <c r="AB247" s="13">
        <v>0</v>
      </c>
    </row>
    <row r="248" spans="1:206" x14ac:dyDescent="0.2">
      <c r="A248" s="13">
        <v>50</v>
      </c>
      <c r="B248" s="13">
        <v>0</v>
      </c>
      <c r="C248" s="13">
        <v>0</v>
      </c>
      <c r="D248" s="13">
        <v>1</v>
      </c>
      <c r="E248" s="13">
        <v>233</v>
      </c>
      <c r="F248" s="13">
        <f>ROUND(Source!BD223,O248)</f>
        <v>0</v>
      </c>
      <c r="G248" s="13" t="s">
        <v>178</v>
      </c>
      <c r="H248" s="13" t="s">
        <v>179</v>
      </c>
      <c r="I248" s="13"/>
      <c r="J248" s="13"/>
      <c r="K248" s="13">
        <v>233</v>
      </c>
      <c r="L248" s="13">
        <v>24</v>
      </c>
      <c r="M248" s="13">
        <v>3</v>
      </c>
      <c r="N248" s="13" t="s">
        <v>3</v>
      </c>
      <c r="O248" s="13">
        <v>2</v>
      </c>
      <c r="P248" s="13">
        <f>ROUND(Source!EV223,O248)</f>
        <v>0</v>
      </c>
      <c r="Q248" s="13"/>
      <c r="R248" s="13"/>
      <c r="S248" s="13"/>
      <c r="T248" s="13"/>
      <c r="U248" s="13"/>
      <c r="V248" s="13"/>
      <c r="W248" s="13">
        <v>0</v>
      </c>
      <c r="X248" s="13">
        <v>1</v>
      </c>
      <c r="Y248" s="13">
        <v>0</v>
      </c>
      <c r="Z248" s="13">
        <v>0</v>
      </c>
      <c r="AA248" s="13">
        <v>1</v>
      </c>
      <c r="AB248" s="13">
        <v>0</v>
      </c>
    </row>
    <row r="249" spans="1:206" x14ac:dyDescent="0.2">
      <c r="A249" s="13">
        <v>50</v>
      </c>
      <c r="B249" s="13">
        <v>0</v>
      </c>
      <c r="C249" s="13">
        <v>0</v>
      </c>
      <c r="D249" s="13">
        <v>1</v>
      </c>
      <c r="E249" s="13">
        <v>210</v>
      </c>
      <c r="F249" s="13">
        <f>ROUND(Source!X223,O249)</f>
        <v>10792.42</v>
      </c>
      <c r="G249" s="13" t="s">
        <v>180</v>
      </c>
      <c r="H249" s="13" t="s">
        <v>181</v>
      </c>
      <c r="I249" s="13"/>
      <c r="J249" s="13"/>
      <c r="K249" s="13">
        <v>210</v>
      </c>
      <c r="L249" s="13">
        <v>25</v>
      </c>
      <c r="M249" s="13">
        <v>3</v>
      </c>
      <c r="N249" s="13" t="s">
        <v>3</v>
      </c>
      <c r="O249" s="13">
        <v>2</v>
      </c>
      <c r="P249" s="13">
        <f>ROUND(Source!DP223,O249)</f>
        <v>593474.5</v>
      </c>
      <c r="Q249" s="13"/>
      <c r="R249" s="13"/>
      <c r="S249" s="13"/>
      <c r="T249" s="13"/>
      <c r="U249" s="13"/>
      <c r="V249" s="13"/>
      <c r="W249" s="13">
        <v>10792.42</v>
      </c>
      <c r="X249" s="13">
        <v>1</v>
      </c>
      <c r="Y249" s="13">
        <v>10792.42</v>
      </c>
      <c r="Z249" s="13">
        <v>593474.5</v>
      </c>
      <c r="AA249" s="13">
        <v>1</v>
      </c>
      <c r="AB249" s="13">
        <v>593474.5</v>
      </c>
    </row>
    <row r="250" spans="1:206" x14ac:dyDescent="0.2">
      <c r="A250" s="13">
        <v>50</v>
      </c>
      <c r="B250" s="13">
        <v>0</v>
      </c>
      <c r="C250" s="13">
        <v>0</v>
      </c>
      <c r="D250" s="13">
        <v>1</v>
      </c>
      <c r="E250" s="13">
        <v>211</v>
      </c>
      <c r="F250" s="13">
        <f>ROUND(Source!Y223,O250)</f>
        <v>5775.36</v>
      </c>
      <c r="G250" s="13" t="s">
        <v>182</v>
      </c>
      <c r="H250" s="13" t="s">
        <v>183</v>
      </c>
      <c r="I250" s="13"/>
      <c r="J250" s="13"/>
      <c r="K250" s="13">
        <v>211</v>
      </c>
      <c r="L250" s="13">
        <v>26</v>
      </c>
      <c r="M250" s="13">
        <v>3</v>
      </c>
      <c r="N250" s="13" t="s">
        <v>3</v>
      </c>
      <c r="O250" s="13">
        <v>2</v>
      </c>
      <c r="P250" s="13">
        <f>ROUND(Source!DQ223,O250)</f>
        <v>317588.51</v>
      </c>
      <c r="Q250" s="13"/>
      <c r="R250" s="13"/>
      <c r="S250" s="13"/>
      <c r="T250" s="13"/>
      <c r="U250" s="13"/>
      <c r="V250" s="13"/>
      <c r="W250" s="13">
        <v>5775.36</v>
      </c>
      <c r="X250" s="13">
        <v>1</v>
      </c>
      <c r="Y250" s="13">
        <v>5775.36</v>
      </c>
      <c r="Z250" s="13">
        <v>317588.51</v>
      </c>
      <c r="AA250" s="13">
        <v>1</v>
      </c>
      <c r="AB250" s="13">
        <v>317588.51</v>
      </c>
    </row>
    <row r="251" spans="1:206" x14ac:dyDescent="0.2">
      <c r="A251" s="13">
        <v>50</v>
      </c>
      <c r="B251" s="13">
        <v>0</v>
      </c>
      <c r="C251" s="13">
        <v>0</v>
      </c>
      <c r="D251" s="13">
        <v>1</v>
      </c>
      <c r="E251" s="13">
        <v>224</v>
      </c>
      <c r="F251" s="13">
        <f>ROUND(Source!AR223,O251)</f>
        <v>213632.29</v>
      </c>
      <c r="G251" s="13" t="s">
        <v>184</v>
      </c>
      <c r="H251" s="13" t="s">
        <v>185</v>
      </c>
      <c r="I251" s="13"/>
      <c r="J251" s="13"/>
      <c r="K251" s="13">
        <v>224</v>
      </c>
      <c r="L251" s="13">
        <v>27</v>
      </c>
      <c r="M251" s="13">
        <v>3</v>
      </c>
      <c r="N251" s="13" t="s">
        <v>3</v>
      </c>
      <c r="O251" s="13">
        <v>2</v>
      </c>
      <c r="P251" s="13">
        <f>ROUND(Source!EJ223,O251)</f>
        <v>3017092.14</v>
      </c>
      <c r="Q251" s="13"/>
      <c r="R251" s="13"/>
      <c r="S251" s="13"/>
      <c r="T251" s="13"/>
      <c r="U251" s="13"/>
      <c r="V251" s="13"/>
      <c r="W251" s="13">
        <v>213632.29</v>
      </c>
      <c r="X251" s="13">
        <v>1</v>
      </c>
      <c r="Y251" s="13">
        <v>213632.29</v>
      </c>
      <c r="Z251" s="13">
        <v>3017092.14</v>
      </c>
      <c r="AA251" s="13">
        <v>1</v>
      </c>
      <c r="AB251" s="13">
        <v>3017092.14</v>
      </c>
    </row>
    <row r="253" spans="1:206" x14ac:dyDescent="0.2">
      <c r="A253" s="11">
        <v>51</v>
      </c>
      <c r="B253" s="11">
        <f>B12</f>
        <v>292</v>
      </c>
      <c r="C253" s="11">
        <f>A12</f>
        <v>1</v>
      </c>
      <c r="D253" s="11">
        <f>ROW(A12)</f>
        <v>12</v>
      </c>
      <c r="E253" s="11"/>
      <c r="F253" s="11" t="str">
        <f>IF(F12&lt;&gt;"",F12,"")</f>
        <v/>
      </c>
      <c r="G253" s="11" t="str">
        <f>IF(G12&lt;&gt;"",G12,"")</f>
        <v>02-01-09 СОУЭ</v>
      </c>
      <c r="H253" s="11">
        <v>0</v>
      </c>
      <c r="I253" s="11"/>
      <c r="J253" s="11"/>
      <c r="K253" s="11"/>
      <c r="L253" s="11"/>
      <c r="M253" s="11"/>
      <c r="N253" s="11"/>
      <c r="O253" s="11">
        <f t="shared" ref="O253:T253" si="194">ROUND(O223,2)</f>
        <v>197064.51</v>
      </c>
      <c r="P253" s="11">
        <f t="shared" si="194"/>
        <v>185317.71</v>
      </c>
      <c r="Q253" s="11">
        <f t="shared" si="194"/>
        <v>79.81</v>
      </c>
      <c r="R253" s="11">
        <f t="shared" si="194"/>
        <v>0.49</v>
      </c>
      <c r="S253" s="11">
        <f t="shared" si="194"/>
        <v>11666.99</v>
      </c>
      <c r="T253" s="11">
        <f t="shared" si="194"/>
        <v>0</v>
      </c>
      <c r="U253" s="11">
        <f>U223</f>
        <v>980.90519340000003</v>
      </c>
      <c r="V253" s="11">
        <f>V223</f>
        <v>0</v>
      </c>
      <c r="W253" s="11">
        <f>ROUND(W223,2)</f>
        <v>0</v>
      </c>
      <c r="X253" s="11">
        <f>ROUND(X223,2)</f>
        <v>10792.42</v>
      </c>
      <c r="Y253" s="11">
        <f>ROUND(Y223,2)</f>
        <v>5775.36</v>
      </c>
      <c r="Z253" s="11"/>
      <c r="AA253" s="11"/>
      <c r="AB253" s="11"/>
      <c r="AC253" s="11"/>
      <c r="AD253" s="11"/>
      <c r="AE253" s="11"/>
      <c r="AF253" s="11"/>
      <c r="AG253" s="11"/>
      <c r="AH253" s="11"/>
      <c r="AI253" s="11"/>
      <c r="AJ253" s="11"/>
      <c r="AK253" s="11"/>
      <c r="AL253" s="11"/>
      <c r="AM253" s="11"/>
      <c r="AN253" s="11"/>
      <c r="AO253" s="11">
        <f t="shared" ref="AO253:BD253" si="195">ROUND(AO223,2)</f>
        <v>0</v>
      </c>
      <c r="AP253" s="11">
        <f t="shared" si="195"/>
        <v>148055.43</v>
      </c>
      <c r="AQ253" s="11">
        <f t="shared" si="195"/>
        <v>0</v>
      </c>
      <c r="AR253" s="11">
        <f t="shared" si="195"/>
        <v>213632.29</v>
      </c>
      <c r="AS253" s="11">
        <f t="shared" si="195"/>
        <v>0</v>
      </c>
      <c r="AT253" s="11">
        <f t="shared" si="195"/>
        <v>65576.86</v>
      </c>
      <c r="AU253" s="11">
        <f t="shared" si="195"/>
        <v>0</v>
      </c>
      <c r="AV253" s="11">
        <f t="shared" si="195"/>
        <v>185317.71</v>
      </c>
      <c r="AW253" s="11">
        <f t="shared" si="195"/>
        <v>37262.28</v>
      </c>
      <c r="AX253" s="11">
        <f t="shared" si="195"/>
        <v>0</v>
      </c>
      <c r="AY253" s="11">
        <f t="shared" si="195"/>
        <v>37262.28</v>
      </c>
      <c r="AZ253" s="11">
        <f t="shared" si="195"/>
        <v>148055.43</v>
      </c>
      <c r="BA253" s="11">
        <f t="shared" si="195"/>
        <v>0</v>
      </c>
      <c r="BB253" s="11">
        <f t="shared" si="195"/>
        <v>0</v>
      </c>
      <c r="BC253" s="11">
        <f t="shared" si="195"/>
        <v>0</v>
      </c>
      <c r="BD253" s="11">
        <f t="shared" si="195"/>
        <v>0</v>
      </c>
      <c r="BE253" s="11"/>
      <c r="BF253" s="11"/>
      <c r="BG253" s="11"/>
      <c r="BH253" s="11"/>
      <c r="BI253" s="11"/>
      <c r="BJ253" s="11"/>
      <c r="BK253" s="11"/>
      <c r="BL253" s="11"/>
      <c r="BM253" s="11"/>
      <c r="BN253" s="11"/>
      <c r="BO253" s="11"/>
      <c r="BP253" s="11"/>
      <c r="BQ253" s="11"/>
      <c r="BR253" s="11"/>
      <c r="BS253" s="11"/>
      <c r="BT253" s="11"/>
      <c r="BU253" s="11"/>
      <c r="BV253" s="11"/>
      <c r="BW253" s="11"/>
      <c r="BX253" s="11"/>
      <c r="BY253" s="11"/>
      <c r="BZ253" s="11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2">
        <f t="shared" ref="DG253:DL253" si="196">ROUND(DG223,2)</f>
        <v>2106029.13</v>
      </c>
      <c r="DH253" s="12">
        <f t="shared" si="196"/>
        <v>1463741.06</v>
      </c>
      <c r="DI253" s="12">
        <f t="shared" si="196"/>
        <v>720.31</v>
      </c>
      <c r="DJ253" s="12">
        <f t="shared" si="196"/>
        <v>26.95</v>
      </c>
      <c r="DK253" s="12">
        <f t="shared" si="196"/>
        <v>641567.76</v>
      </c>
      <c r="DL253" s="12">
        <f t="shared" si="196"/>
        <v>0</v>
      </c>
      <c r="DM253" s="12">
        <f>DM223</f>
        <v>980.90519340000003</v>
      </c>
      <c r="DN253" s="12">
        <f>DN223</f>
        <v>0</v>
      </c>
      <c r="DO253" s="12">
        <f>ROUND(DO223,2)</f>
        <v>0</v>
      </c>
      <c r="DP253" s="12">
        <f>ROUND(DP223,2)</f>
        <v>593474.5</v>
      </c>
      <c r="DQ253" s="12">
        <f>ROUND(DQ223,2)</f>
        <v>317588.51</v>
      </c>
      <c r="DR253" s="12"/>
      <c r="DS253" s="12"/>
      <c r="DT253" s="12"/>
      <c r="DU253" s="12"/>
      <c r="DV253" s="12"/>
      <c r="DW253" s="12"/>
      <c r="DX253" s="12"/>
      <c r="DY253" s="12"/>
      <c r="DZ253" s="12"/>
      <c r="EA253" s="12"/>
      <c r="EB253" s="12"/>
      <c r="EC253" s="12"/>
      <c r="ED253" s="12"/>
      <c r="EE253" s="12"/>
      <c r="EF253" s="12"/>
      <c r="EG253" s="12">
        <f t="shared" ref="EG253:EV253" si="197">ROUND(EG223,2)</f>
        <v>0</v>
      </c>
      <c r="EH253" s="12">
        <f t="shared" si="197"/>
        <v>1134104.5900000001</v>
      </c>
      <c r="EI253" s="12">
        <f t="shared" si="197"/>
        <v>0</v>
      </c>
      <c r="EJ253" s="12">
        <f t="shared" si="197"/>
        <v>3017092.14</v>
      </c>
      <c r="EK253" s="12">
        <f t="shared" si="197"/>
        <v>0</v>
      </c>
      <c r="EL253" s="12">
        <f t="shared" si="197"/>
        <v>1882987.55</v>
      </c>
      <c r="EM253" s="12">
        <f t="shared" si="197"/>
        <v>0</v>
      </c>
      <c r="EN253" s="12">
        <f t="shared" si="197"/>
        <v>1463741.06</v>
      </c>
      <c r="EO253" s="12">
        <f t="shared" si="197"/>
        <v>329636.46999999997</v>
      </c>
      <c r="EP253" s="12">
        <f t="shared" si="197"/>
        <v>0</v>
      </c>
      <c r="EQ253" s="12">
        <f t="shared" si="197"/>
        <v>329636.46999999997</v>
      </c>
      <c r="ER253" s="12">
        <f t="shared" si="197"/>
        <v>1134104.5900000001</v>
      </c>
      <c r="ES253" s="12">
        <f t="shared" si="197"/>
        <v>0</v>
      </c>
      <c r="ET253" s="12">
        <f t="shared" si="197"/>
        <v>0</v>
      </c>
      <c r="EU253" s="12">
        <f t="shared" si="197"/>
        <v>0</v>
      </c>
      <c r="EV253" s="12">
        <f t="shared" si="197"/>
        <v>0</v>
      </c>
      <c r="EW253" s="12"/>
      <c r="EX253" s="12"/>
      <c r="EY253" s="12"/>
      <c r="EZ253" s="12"/>
      <c r="FA253" s="12"/>
      <c r="FB253" s="12"/>
      <c r="FC253" s="12"/>
      <c r="FD253" s="12"/>
      <c r="FE253" s="12"/>
      <c r="FF253" s="12"/>
      <c r="FG253" s="12"/>
      <c r="FH253" s="12"/>
      <c r="FI253" s="12"/>
      <c r="FJ253" s="12"/>
      <c r="FK253" s="12"/>
      <c r="FL253" s="12"/>
      <c r="FM253" s="12"/>
      <c r="FN253" s="12"/>
      <c r="FO253" s="12"/>
      <c r="FP253" s="12"/>
      <c r="FQ253" s="12"/>
      <c r="FR253" s="12"/>
      <c r="FS253" s="12"/>
      <c r="FT253" s="12"/>
      <c r="FU253" s="12"/>
      <c r="FV253" s="12"/>
      <c r="FW253" s="12"/>
      <c r="FX253" s="12"/>
      <c r="FY253" s="12"/>
      <c r="FZ253" s="12"/>
      <c r="GA253" s="12"/>
      <c r="GB253" s="12"/>
      <c r="GC253" s="12"/>
      <c r="GD253" s="12"/>
      <c r="GE253" s="12"/>
      <c r="GF253" s="12"/>
      <c r="GG253" s="12"/>
      <c r="GH253" s="12"/>
      <c r="GI253" s="12"/>
      <c r="GJ253" s="12"/>
      <c r="GK253" s="12"/>
      <c r="GL253" s="12"/>
      <c r="GM253" s="12"/>
      <c r="GN253" s="12"/>
      <c r="GO253" s="12"/>
      <c r="GP253" s="12"/>
      <c r="GQ253" s="12"/>
      <c r="GR253" s="12"/>
      <c r="GS253" s="12"/>
      <c r="GT253" s="12"/>
      <c r="GU253" s="12"/>
      <c r="GV253" s="12"/>
      <c r="GW253" s="12"/>
      <c r="GX253" s="12">
        <v>0</v>
      </c>
    </row>
    <row r="255" spans="1:206" x14ac:dyDescent="0.2">
      <c r="A255" s="13">
        <v>50</v>
      </c>
      <c r="B255" s="13">
        <v>0</v>
      </c>
      <c r="C255" s="13">
        <v>0</v>
      </c>
      <c r="D255" s="13">
        <v>1</v>
      </c>
      <c r="E255" s="13">
        <v>201</v>
      </c>
      <c r="F255" s="13">
        <f>ROUND(Source!O253,O255)</f>
        <v>197064.51</v>
      </c>
      <c r="G255" s="13" t="s">
        <v>132</v>
      </c>
      <c r="H255" s="13" t="s">
        <v>133</v>
      </c>
      <c r="I255" s="13"/>
      <c r="J255" s="13"/>
      <c r="K255" s="13">
        <v>201</v>
      </c>
      <c r="L255" s="13">
        <v>1</v>
      </c>
      <c r="M255" s="13">
        <v>3</v>
      </c>
      <c r="N255" s="13" t="s">
        <v>3</v>
      </c>
      <c r="O255" s="13">
        <v>2</v>
      </c>
      <c r="P255" s="13">
        <f>ROUND(Source!DG253,O255)</f>
        <v>2106029.13</v>
      </c>
      <c r="Q255" s="13"/>
      <c r="R255" s="13"/>
      <c r="S255" s="13"/>
      <c r="T255" s="13"/>
      <c r="U255" s="13"/>
      <c r="V255" s="13"/>
      <c r="W255" s="13">
        <v>197064.51</v>
      </c>
      <c r="X255" s="13">
        <v>1</v>
      </c>
      <c r="Y255" s="13">
        <v>197064.51</v>
      </c>
      <c r="Z255" s="13">
        <v>2106029.13</v>
      </c>
      <c r="AA255" s="13">
        <v>1</v>
      </c>
      <c r="AB255" s="13">
        <v>2106029.13</v>
      </c>
    </row>
    <row r="256" spans="1:206" x14ac:dyDescent="0.2">
      <c r="A256" s="13">
        <v>50</v>
      </c>
      <c r="B256" s="13">
        <v>0</v>
      </c>
      <c r="C256" s="13">
        <v>0</v>
      </c>
      <c r="D256" s="13">
        <v>1</v>
      </c>
      <c r="E256" s="13">
        <v>202</v>
      </c>
      <c r="F256" s="13">
        <f>ROUND(Source!P253,O256)</f>
        <v>185317.71</v>
      </c>
      <c r="G256" s="13" t="s">
        <v>134</v>
      </c>
      <c r="H256" s="13" t="s">
        <v>135</v>
      </c>
      <c r="I256" s="13"/>
      <c r="J256" s="13"/>
      <c r="K256" s="13">
        <v>202</v>
      </c>
      <c r="L256" s="13">
        <v>2</v>
      </c>
      <c r="M256" s="13">
        <v>3</v>
      </c>
      <c r="N256" s="13" t="s">
        <v>3</v>
      </c>
      <c r="O256" s="13">
        <v>2</v>
      </c>
      <c r="P256" s="13">
        <f>ROUND(Source!DH253,O256)</f>
        <v>1463741.06</v>
      </c>
      <c r="Q256" s="13"/>
      <c r="R256" s="13"/>
      <c r="S256" s="13"/>
      <c r="T256" s="13"/>
      <c r="U256" s="13"/>
      <c r="V256" s="13"/>
      <c r="W256" s="13">
        <v>185317.71</v>
      </c>
      <c r="X256" s="13">
        <v>1</v>
      </c>
      <c r="Y256" s="13">
        <v>185317.71</v>
      </c>
      <c r="Z256" s="13">
        <v>1463741.06</v>
      </c>
      <c r="AA256" s="13">
        <v>1</v>
      </c>
      <c r="AB256" s="13">
        <v>1463741.06</v>
      </c>
    </row>
    <row r="257" spans="1:28" x14ac:dyDescent="0.2">
      <c r="A257" s="13">
        <v>50</v>
      </c>
      <c r="B257" s="13">
        <v>0</v>
      </c>
      <c r="C257" s="13">
        <v>0</v>
      </c>
      <c r="D257" s="13">
        <v>1</v>
      </c>
      <c r="E257" s="13">
        <v>222</v>
      </c>
      <c r="F257" s="13">
        <f>ROUND(Source!AO253,O257)</f>
        <v>0</v>
      </c>
      <c r="G257" s="13" t="s">
        <v>136</v>
      </c>
      <c r="H257" s="13" t="s">
        <v>137</v>
      </c>
      <c r="I257" s="13"/>
      <c r="J257" s="13"/>
      <c r="K257" s="13">
        <v>222</v>
      </c>
      <c r="L257" s="13">
        <v>3</v>
      </c>
      <c r="M257" s="13">
        <v>3</v>
      </c>
      <c r="N257" s="13" t="s">
        <v>3</v>
      </c>
      <c r="O257" s="13">
        <v>2</v>
      </c>
      <c r="P257" s="13">
        <f>ROUND(Source!EG253,O257)</f>
        <v>0</v>
      </c>
      <c r="Q257" s="13"/>
      <c r="R257" s="13"/>
      <c r="S257" s="13"/>
      <c r="T257" s="13"/>
      <c r="U257" s="13"/>
      <c r="V257" s="13"/>
      <c r="W257" s="13">
        <v>0</v>
      </c>
      <c r="X257" s="13">
        <v>1</v>
      </c>
      <c r="Y257" s="13">
        <v>0</v>
      </c>
      <c r="Z257" s="13">
        <v>0</v>
      </c>
      <c r="AA257" s="13">
        <v>1</v>
      </c>
      <c r="AB257" s="13">
        <v>0</v>
      </c>
    </row>
    <row r="258" spans="1:28" x14ac:dyDescent="0.2">
      <c r="A258" s="13">
        <v>50</v>
      </c>
      <c r="B258" s="13">
        <v>0</v>
      </c>
      <c r="C258" s="13">
        <v>0</v>
      </c>
      <c r="D258" s="13">
        <v>1</v>
      </c>
      <c r="E258" s="13">
        <v>225</v>
      </c>
      <c r="F258" s="13">
        <f>ROUND(Source!AV253,O258)</f>
        <v>185317.71</v>
      </c>
      <c r="G258" s="13" t="s">
        <v>138</v>
      </c>
      <c r="H258" s="13" t="s">
        <v>139</v>
      </c>
      <c r="I258" s="13"/>
      <c r="J258" s="13"/>
      <c r="K258" s="13">
        <v>225</v>
      </c>
      <c r="L258" s="13">
        <v>4</v>
      </c>
      <c r="M258" s="13">
        <v>3</v>
      </c>
      <c r="N258" s="13" t="s">
        <v>3</v>
      </c>
      <c r="O258" s="13">
        <v>2</v>
      </c>
      <c r="P258" s="13">
        <f>ROUND(Source!EN253,O258)</f>
        <v>1463741.06</v>
      </c>
      <c r="Q258" s="13"/>
      <c r="R258" s="13"/>
      <c r="S258" s="13"/>
      <c r="T258" s="13"/>
      <c r="U258" s="13"/>
      <c r="V258" s="13"/>
      <c r="W258" s="13">
        <v>185317.71</v>
      </c>
      <c r="X258" s="13">
        <v>1</v>
      </c>
      <c r="Y258" s="13">
        <v>185317.71</v>
      </c>
      <c r="Z258" s="13">
        <v>1463741.06</v>
      </c>
      <c r="AA258" s="13">
        <v>1</v>
      </c>
      <c r="AB258" s="13">
        <v>1463741.06</v>
      </c>
    </row>
    <row r="259" spans="1:28" x14ac:dyDescent="0.2">
      <c r="A259" s="13">
        <v>50</v>
      </c>
      <c r="B259" s="13">
        <v>0</v>
      </c>
      <c r="C259" s="13">
        <v>0</v>
      </c>
      <c r="D259" s="13">
        <v>1</v>
      </c>
      <c r="E259" s="13">
        <v>226</v>
      </c>
      <c r="F259" s="13">
        <f>ROUND(Source!AW253,O259)</f>
        <v>37262.28</v>
      </c>
      <c r="G259" s="13" t="s">
        <v>140</v>
      </c>
      <c r="H259" s="13" t="s">
        <v>141</v>
      </c>
      <c r="I259" s="13"/>
      <c r="J259" s="13"/>
      <c r="K259" s="13">
        <v>226</v>
      </c>
      <c r="L259" s="13">
        <v>5</v>
      </c>
      <c r="M259" s="13">
        <v>3</v>
      </c>
      <c r="N259" s="13" t="s">
        <v>3</v>
      </c>
      <c r="O259" s="13">
        <v>2</v>
      </c>
      <c r="P259" s="13">
        <f>ROUND(Source!EO253,O259)</f>
        <v>329636.46999999997</v>
      </c>
      <c r="Q259" s="13"/>
      <c r="R259" s="13"/>
      <c r="S259" s="13"/>
      <c r="T259" s="13"/>
      <c r="U259" s="13"/>
      <c r="V259" s="13"/>
      <c r="W259" s="13">
        <v>37262.28</v>
      </c>
      <c r="X259" s="13">
        <v>1</v>
      </c>
      <c r="Y259" s="13">
        <v>37262.28</v>
      </c>
      <c r="Z259" s="13">
        <v>329636.46999999997</v>
      </c>
      <c r="AA259" s="13">
        <v>1</v>
      </c>
      <c r="AB259" s="13">
        <v>329636.46999999997</v>
      </c>
    </row>
    <row r="260" spans="1:28" x14ac:dyDescent="0.2">
      <c r="A260" s="13">
        <v>50</v>
      </c>
      <c r="B260" s="13">
        <v>0</v>
      </c>
      <c r="C260" s="13">
        <v>0</v>
      </c>
      <c r="D260" s="13">
        <v>1</v>
      </c>
      <c r="E260" s="13">
        <v>227</v>
      </c>
      <c r="F260" s="13">
        <f>ROUND(Source!AX253,O260)</f>
        <v>0</v>
      </c>
      <c r="G260" s="13" t="s">
        <v>142</v>
      </c>
      <c r="H260" s="13" t="s">
        <v>143</v>
      </c>
      <c r="I260" s="13"/>
      <c r="J260" s="13"/>
      <c r="K260" s="13">
        <v>227</v>
      </c>
      <c r="L260" s="13">
        <v>6</v>
      </c>
      <c r="M260" s="13">
        <v>3</v>
      </c>
      <c r="N260" s="13" t="s">
        <v>3</v>
      </c>
      <c r="O260" s="13">
        <v>2</v>
      </c>
      <c r="P260" s="13">
        <f>ROUND(Source!EP253,O260)</f>
        <v>0</v>
      </c>
      <c r="Q260" s="13"/>
      <c r="R260" s="13"/>
      <c r="S260" s="13"/>
      <c r="T260" s="13"/>
      <c r="U260" s="13"/>
      <c r="V260" s="13"/>
      <c r="W260" s="13">
        <v>0</v>
      </c>
      <c r="X260" s="13">
        <v>1</v>
      </c>
      <c r="Y260" s="13">
        <v>0</v>
      </c>
      <c r="Z260" s="13">
        <v>0</v>
      </c>
      <c r="AA260" s="13">
        <v>1</v>
      </c>
      <c r="AB260" s="13">
        <v>0</v>
      </c>
    </row>
    <row r="261" spans="1:28" x14ac:dyDescent="0.2">
      <c r="A261" s="13">
        <v>50</v>
      </c>
      <c r="B261" s="13">
        <v>0</v>
      </c>
      <c r="C261" s="13">
        <v>0</v>
      </c>
      <c r="D261" s="13">
        <v>1</v>
      </c>
      <c r="E261" s="13">
        <v>228</v>
      </c>
      <c r="F261" s="13">
        <f>ROUND(Source!AY253,O261)</f>
        <v>37262.28</v>
      </c>
      <c r="G261" s="13" t="s">
        <v>144</v>
      </c>
      <c r="H261" s="13" t="s">
        <v>145</v>
      </c>
      <c r="I261" s="13"/>
      <c r="J261" s="13"/>
      <c r="K261" s="13">
        <v>228</v>
      </c>
      <c r="L261" s="13">
        <v>7</v>
      </c>
      <c r="M261" s="13">
        <v>3</v>
      </c>
      <c r="N261" s="13" t="s">
        <v>3</v>
      </c>
      <c r="O261" s="13">
        <v>2</v>
      </c>
      <c r="P261" s="13">
        <f>ROUND(Source!EQ253,O261)</f>
        <v>329636.46999999997</v>
      </c>
      <c r="Q261" s="13"/>
      <c r="R261" s="13"/>
      <c r="S261" s="13"/>
      <c r="T261" s="13"/>
      <c r="U261" s="13"/>
      <c r="V261" s="13"/>
      <c r="W261" s="13">
        <v>37262.28</v>
      </c>
      <c r="X261" s="13">
        <v>1</v>
      </c>
      <c r="Y261" s="13">
        <v>37262.28</v>
      </c>
      <c r="Z261" s="13">
        <v>329636.46999999997</v>
      </c>
      <c r="AA261" s="13">
        <v>1</v>
      </c>
      <c r="AB261" s="13">
        <v>329636.46999999997</v>
      </c>
    </row>
    <row r="262" spans="1:28" x14ac:dyDescent="0.2">
      <c r="A262" s="13">
        <v>50</v>
      </c>
      <c r="B262" s="13">
        <v>0</v>
      </c>
      <c r="C262" s="13">
        <v>0</v>
      </c>
      <c r="D262" s="13">
        <v>1</v>
      </c>
      <c r="E262" s="13">
        <v>216</v>
      </c>
      <c r="F262" s="13">
        <f>ROUND(Source!AP253,O262)</f>
        <v>148055.43</v>
      </c>
      <c r="G262" s="13" t="s">
        <v>146</v>
      </c>
      <c r="H262" s="13" t="s">
        <v>147</v>
      </c>
      <c r="I262" s="13"/>
      <c r="J262" s="13"/>
      <c r="K262" s="13">
        <v>216</v>
      </c>
      <c r="L262" s="13">
        <v>8</v>
      </c>
      <c r="M262" s="13">
        <v>3</v>
      </c>
      <c r="N262" s="13" t="s">
        <v>3</v>
      </c>
      <c r="O262" s="13">
        <v>2</v>
      </c>
      <c r="P262" s="13">
        <f>ROUND(Source!EH253,O262)</f>
        <v>1134104.5900000001</v>
      </c>
      <c r="Q262" s="13"/>
      <c r="R262" s="13"/>
      <c r="S262" s="13"/>
      <c r="T262" s="13"/>
      <c r="U262" s="13"/>
      <c r="V262" s="13"/>
      <c r="W262" s="13">
        <v>148055.43</v>
      </c>
      <c r="X262" s="13">
        <v>1</v>
      </c>
      <c r="Y262" s="13">
        <v>148055.43</v>
      </c>
      <c r="Z262" s="13">
        <v>1134104.5900000001</v>
      </c>
      <c r="AA262" s="13">
        <v>1</v>
      </c>
      <c r="AB262" s="13">
        <v>1134104.5900000001</v>
      </c>
    </row>
    <row r="263" spans="1:28" x14ac:dyDescent="0.2">
      <c r="A263" s="13">
        <v>50</v>
      </c>
      <c r="B263" s="13">
        <v>0</v>
      </c>
      <c r="C263" s="13">
        <v>0</v>
      </c>
      <c r="D263" s="13">
        <v>1</v>
      </c>
      <c r="E263" s="13">
        <v>223</v>
      </c>
      <c r="F263" s="13">
        <f>ROUND(Source!AQ253,O263)</f>
        <v>0</v>
      </c>
      <c r="G263" s="13" t="s">
        <v>148</v>
      </c>
      <c r="H263" s="13" t="s">
        <v>149</v>
      </c>
      <c r="I263" s="13"/>
      <c r="J263" s="13"/>
      <c r="K263" s="13">
        <v>223</v>
      </c>
      <c r="L263" s="13">
        <v>9</v>
      </c>
      <c r="M263" s="13">
        <v>3</v>
      </c>
      <c r="N263" s="13" t="s">
        <v>3</v>
      </c>
      <c r="O263" s="13">
        <v>2</v>
      </c>
      <c r="P263" s="13">
        <f>ROUND(Source!EI253,O263)</f>
        <v>0</v>
      </c>
      <c r="Q263" s="13"/>
      <c r="R263" s="13"/>
      <c r="S263" s="13"/>
      <c r="T263" s="13"/>
      <c r="U263" s="13"/>
      <c r="V263" s="13"/>
      <c r="W263" s="13">
        <v>0</v>
      </c>
      <c r="X263" s="13">
        <v>1</v>
      </c>
      <c r="Y263" s="13">
        <v>0</v>
      </c>
      <c r="Z263" s="13">
        <v>0</v>
      </c>
      <c r="AA263" s="13">
        <v>1</v>
      </c>
      <c r="AB263" s="13">
        <v>0</v>
      </c>
    </row>
    <row r="264" spans="1:28" x14ac:dyDescent="0.2">
      <c r="A264" s="13">
        <v>50</v>
      </c>
      <c r="B264" s="13">
        <v>0</v>
      </c>
      <c r="C264" s="13">
        <v>0</v>
      </c>
      <c r="D264" s="13">
        <v>1</v>
      </c>
      <c r="E264" s="13">
        <v>229</v>
      </c>
      <c r="F264" s="13">
        <f>ROUND(Source!AZ253,O264)</f>
        <v>148055.43</v>
      </c>
      <c r="G264" s="13" t="s">
        <v>150</v>
      </c>
      <c r="H264" s="13" t="s">
        <v>151</v>
      </c>
      <c r="I264" s="13"/>
      <c r="J264" s="13"/>
      <c r="K264" s="13">
        <v>229</v>
      </c>
      <c r="L264" s="13">
        <v>10</v>
      </c>
      <c r="M264" s="13">
        <v>3</v>
      </c>
      <c r="N264" s="13" t="s">
        <v>3</v>
      </c>
      <c r="O264" s="13">
        <v>2</v>
      </c>
      <c r="P264" s="13">
        <f>ROUND(Source!ER253,O264)</f>
        <v>1134104.5900000001</v>
      </c>
      <c r="Q264" s="13"/>
      <c r="R264" s="13"/>
      <c r="S264" s="13"/>
      <c r="T264" s="13"/>
      <c r="U264" s="13"/>
      <c r="V264" s="13"/>
      <c r="W264" s="13">
        <v>148055.43</v>
      </c>
      <c r="X264" s="13">
        <v>1</v>
      </c>
      <c r="Y264" s="13">
        <v>148055.43</v>
      </c>
      <c r="Z264" s="13">
        <v>1134104.5900000001</v>
      </c>
      <c r="AA264" s="13">
        <v>1</v>
      </c>
      <c r="AB264" s="13">
        <v>1134104.5900000001</v>
      </c>
    </row>
    <row r="265" spans="1:28" x14ac:dyDescent="0.2">
      <c r="A265" s="13">
        <v>50</v>
      </c>
      <c r="B265" s="13">
        <v>0</v>
      </c>
      <c r="C265" s="13">
        <v>0</v>
      </c>
      <c r="D265" s="13">
        <v>1</v>
      </c>
      <c r="E265" s="13">
        <v>203</v>
      </c>
      <c r="F265" s="13">
        <f>ROUND(Source!Q253,O265)</f>
        <v>79.81</v>
      </c>
      <c r="G265" s="13" t="s">
        <v>152</v>
      </c>
      <c r="H265" s="13" t="s">
        <v>153</v>
      </c>
      <c r="I265" s="13"/>
      <c r="J265" s="13"/>
      <c r="K265" s="13">
        <v>203</v>
      </c>
      <c r="L265" s="13">
        <v>11</v>
      </c>
      <c r="M265" s="13">
        <v>3</v>
      </c>
      <c r="N265" s="13" t="s">
        <v>3</v>
      </c>
      <c r="O265" s="13">
        <v>2</v>
      </c>
      <c r="P265" s="13">
        <f>ROUND(Source!DI253,O265)</f>
        <v>720.31</v>
      </c>
      <c r="Q265" s="13"/>
      <c r="R265" s="13"/>
      <c r="S265" s="13"/>
      <c r="T265" s="13"/>
      <c r="U265" s="13"/>
      <c r="V265" s="13"/>
      <c r="W265" s="13">
        <v>79.81</v>
      </c>
      <c r="X265" s="13">
        <v>1</v>
      </c>
      <c r="Y265" s="13">
        <v>79.81</v>
      </c>
      <c r="Z265" s="13">
        <v>720.31</v>
      </c>
      <c r="AA265" s="13">
        <v>1</v>
      </c>
      <c r="AB265" s="13">
        <v>720.31</v>
      </c>
    </row>
    <row r="266" spans="1:28" x14ac:dyDescent="0.2">
      <c r="A266" s="13">
        <v>50</v>
      </c>
      <c r="B266" s="13">
        <v>0</v>
      </c>
      <c r="C266" s="13">
        <v>0</v>
      </c>
      <c r="D266" s="13">
        <v>1</v>
      </c>
      <c r="E266" s="13">
        <v>231</v>
      </c>
      <c r="F266" s="13">
        <f>ROUND(Source!BB253,O266)</f>
        <v>0</v>
      </c>
      <c r="G266" s="13" t="s">
        <v>154</v>
      </c>
      <c r="H266" s="13" t="s">
        <v>155</v>
      </c>
      <c r="I266" s="13"/>
      <c r="J266" s="13"/>
      <c r="K266" s="13">
        <v>231</v>
      </c>
      <c r="L266" s="13">
        <v>12</v>
      </c>
      <c r="M266" s="13">
        <v>3</v>
      </c>
      <c r="N266" s="13" t="s">
        <v>3</v>
      </c>
      <c r="O266" s="13">
        <v>2</v>
      </c>
      <c r="P266" s="13">
        <f>ROUND(Source!ET253,O266)</f>
        <v>0</v>
      </c>
      <c r="Q266" s="13"/>
      <c r="R266" s="13"/>
      <c r="S266" s="13"/>
      <c r="T266" s="13"/>
      <c r="U266" s="13"/>
      <c r="V266" s="13"/>
      <c r="W266" s="13">
        <v>0</v>
      </c>
      <c r="X266" s="13">
        <v>1</v>
      </c>
      <c r="Y266" s="13">
        <v>0</v>
      </c>
      <c r="Z266" s="13">
        <v>0</v>
      </c>
      <c r="AA266" s="13">
        <v>1</v>
      </c>
      <c r="AB266" s="13">
        <v>0</v>
      </c>
    </row>
    <row r="267" spans="1:28" x14ac:dyDescent="0.2">
      <c r="A267" s="13">
        <v>50</v>
      </c>
      <c r="B267" s="13">
        <v>0</v>
      </c>
      <c r="C267" s="13">
        <v>0</v>
      </c>
      <c r="D267" s="13">
        <v>1</v>
      </c>
      <c r="E267" s="13">
        <v>204</v>
      </c>
      <c r="F267" s="13">
        <f>ROUND(Source!R253,O267)</f>
        <v>0.49</v>
      </c>
      <c r="G267" s="13" t="s">
        <v>156</v>
      </c>
      <c r="H267" s="13" t="s">
        <v>157</v>
      </c>
      <c r="I267" s="13"/>
      <c r="J267" s="13"/>
      <c r="K267" s="13">
        <v>204</v>
      </c>
      <c r="L267" s="13">
        <v>13</v>
      </c>
      <c r="M267" s="13">
        <v>3</v>
      </c>
      <c r="N267" s="13" t="s">
        <v>3</v>
      </c>
      <c r="O267" s="13">
        <v>2</v>
      </c>
      <c r="P267" s="13">
        <f>ROUND(Source!DJ253,O267)</f>
        <v>26.95</v>
      </c>
      <c r="Q267" s="13"/>
      <c r="R267" s="13"/>
      <c r="S267" s="13"/>
      <c r="T267" s="13"/>
      <c r="U267" s="13"/>
      <c r="V267" s="13"/>
      <c r="W267" s="13">
        <v>0.49</v>
      </c>
      <c r="X267" s="13">
        <v>1</v>
      </c>
      <c r="Y267" s="13">
        <v>0.49</v>
      </c>
      <c r="Z267" s="13">
        <v>26.95</v>
      </c>
      <c r="AA267" s="13">
        <v>1</v>
      </c>
      <c r="AB267" s="13">
        <v>26.95</v>
      </c>
    </row>
    <row r="268" spans="1:28" x14ac:dyDescent="0.2">
      <c r="A268" s="13">
        <v>50</v>
      </c>
      <c r="B268" s="13">
        <v>0</v>
      </c>
      <c r="C268" s="13">
        <v>0</v>
      </c>
      <c r="D268" s="13">
        <v>1</v>
      </c>
      <c r="E268" s="13">
        <v>205</v>
      </c>
      <c r="F268" s="13">
        <f>ROUND(Source!S253,O268)</f>
        <v>11666.99</v>
      </c>
      <c r="G268" s="13" t="s">
        <v>158</v>
      </c>
      <c r="H268" s="13" t="s">
        <v>159</v>
      </c>
      <c r="I268" s="13"/>
      <c r="J268" s="13"/>
      <c r="K268" s="13">
        <v>205</v>
      </c>
      <c r="L268" s="13">
        <v>14</v>
      </c>
      <c r="M268" s="13">
        <v>3</v>
      </c>
      <c r="N268" s="13" t="s">
        <v>3</v>
      </c>
      <c r="O268" s="13">
        <v>2</v>
      </c>
      <c r="P268" s="13">
        <f>ROUND(Source!DK253,O268)</f>
        <v>641567.76</v>
      </c>
      <c r="Q268" s="13"/>
      <c r="R268" s="13"/>
      <c r="S268" s="13"/>
      <c r="T268" s="13"/>
      <c r="U268" s="13"/>
      <c r="V268" s="13"/>
      <c r="W268" s="13">
        <v>11666.99</v>
      </c>
      <c r="X268" s="13">
        <v>1</v>
      </c>
      <c r="Y268" s="13">
        <v>11666.99</v>
      </c>
      <c r="Z268" s="13">
        <v>641567.76</v>
      </c>
      <c r="AA268" s="13">
        <v>1</v>
      </c>
      <c r="AB268" s="13">
        <v>641567.76</v>
      </c>
    </row>
    <row r="269" spans="1:28" x14ac:dyDescent="0.2">
      <c r="A269" s="13">
        <v>50</v>
      </c>
      <c r="B269" s="13">
        <v>0</v>
      </c>
      <c r="C269" s="13">
        <v>0</v>
      </c>
      <c r="D269" s="13">
        <v>1</v>
      </c>
      <c r="E269" s="13">
        <v>232</v>
      </c>
      <c r="F269" s="13">
        <f>ROUND(Source!BC253,O269)</f>
        <v>0</v>
      </c>
      <c r="G269" s="13" t="s">
        <v>160</v>
      </c>
      <c r="H269" s="13" t="s">
        <v>161</v>
      </c>
      <c r="I269" s="13"/>
      <c r="J269" s="13"/>
      <c r="K269" s="13">
        <v>232</v>
      </c>
      <c r="L269" s="13">
        <v>15</v>
      </c>
      <c r="M269" s="13">
        <v>3</v>
      </c>
      <c r="N269" s="13" t="s">
        <v>3</v>
      </c>
      <c r="O269" s="13">
        <v>2</v>
      </c>
      <c r="P269" s="13">
        <f>ROUND(Source!EU253,O269)</f>
        <v>0</v>
      </c>
      <c r="Q269" s="13"/>
      <c r="R269" s="13"/>
      <c r="S269" s="13"/>
      <c r="T269" s="13"/>
      <c r="U269" s="13"/>
      <c r="V269" s="13"/>
      <c r="W269" s="13">
        <v>0</v>
      </c>
      <c r="X269" s="13">
        <v>1</v>
      </c>
      <c r="Y269" s="13">
        <v>0</v>
      </c>
      <c r="Z269" s="13">
        <v>0</v>
      </c>
      <c r="AA269" s="13">
        <v>1</v>
      </c>
      <c r="AB269" s="13">
        <v>0</v>
      </c>
    </row>
    <row r="270" spans="1:28" x14ac:dyDescent="0.2">
      <c r="A270" s="13">
        <v>50</v>
      </c>
      <c r="B270" s="13">
        <v>0</v>
      </c>
      <c r="C270" s="13">
        <v>0</v>
      </c>
      <c r="D270" s="13">
        <v>1</v>
      </c>
      <c r="E270" s="13">
        <v>214</v>
      </c>
      <c r="F270" s="13">
        <f>ROUND(Source!AS253,O270)</f>
        <v>0</v>
      </c>
      <c r="G270" s="13" t="s">
        <v>162</v>
      </c>
      <c r="H270" s="13" t="s">
        <v>163</v>
      </c>
      <c r="I270" s="13"/>
      <c r="J270" s="13"/>
      <c r="K270" s="13">
        <v>214</v>
      </c>
      <c r="L270" s="13">
        <v>16</v>
      </c>
      <c r="M270" s="13">
        <v>3</v>
      </c>
      <c r="N270" s="13" t="s">
        <v>3</v>
      </c>
      <c r="O270" s="13">
        <v>2</v>
      </c>
      <c r="P270" s="13">
        <f>ROUND(Source!EK253,O270)</f>
        <v>0</v>
      </c>
      <c r="Q270" s="13"/>
      <c r="R270" s="13"/>
      <c r="S270" s="13"/>
      <c r="T270" s="13"/>
      <c r="U270" s="13"/>
      <c r="V270" s="13"/>
      <c r="W270" s="13">
        <v>0</v>
      </c>
      <c r="X270" s="13">
        <v>1</v>
      </c>
      <c r="Y270" s="13">
        <v>0</v>
      </c>
      <c r="Z270" s="13">
        <v>0</v>
      </c>
      <c r="AA270" s="13">
        <v>1</v>
      </c>
      <c r="AB270" s="13">
        <v>0</v>
      </c>
    </row>
    <row r="271" spans="1:28" x14ac:dyDescent="0.2">
      <c r="A271" s="13">
        <v>50</v>
      </c>
      <c r="B271" s="13">
        <v>0</v>
      </c>
      <c r="C271" s="13">
        <v>0</v>
      </c>
      <c r="D271" s="13">
        <v>1</v>
      </c>
      <c r="E271" s="13">
        <v>215</v>
      </c>
      <c r="F271" s="13">
        <f>ROUND(Source!AT253,O271)</f>
        <v>65576.86</v>
      </c>
      <c r="G271" s="13" t="s">
        <v>164</v>
      </c>
      <c r="H271" s="13" t="s">
        <v>165</v>
      </c>
      <c r="I271" s="13"/>
      <c r="J271" s="13"/>
      <c r="K271" s="13">
        <v>215</v>
      </c>
      <c r="L271" s="13">
        <v>17</v>
      </c>
      <c r="M271" s="13">
        <v>3</v>
      </c>
      <c r="N271" s="13" t="s">
        <v>3</v>
      </c>
      <c r="O271" s="13">
        <v>2</v>
      </c>
      <c r="P271" s="13">
        <f>ROUND(Source!EL253,O271)</f>
        <v>1882987.55</v>
      </c>
      <c r="Q271" s="13"/>
      <c r="R271" s="13"/>
      <c r="S271" s="13"/>
      <c r="T271" s="13"/>
      <c r="U271" s="13"/>
      <c r="V271" s="13"/>
      <c r="W271" s="13">
        <v>65576.86</v>
      </c>
      <c r="X271" s="13">
        <v>1</v>
      </c>
      <c r="Y271" s="13">
        <v>65576.86</v>
      </c>
      <c r="Z271" s="13">
        <v>1882987.55</v>
      </c>
      <c r="AA271" s="13">
        <v>1</v>
      </c>
      <c r="AB271" s="13">
        <v>1882987.55</v>
      </c>
    </row>
    <row r="272" spans="1:28" x14ac:dyDescent="0.2">
      <c r="A272" s="13">
        <v>50</v>
      </c>
      <c r="B272" s="13">
        <v>0</v>
      </c>
      <c r="C272" s="13">
        <v>0</v>
      </c>
      <c r="D272" s="13">
        <v>1</v>
      </c>
      <c r="E272" s="13">
        <v>217</v>
      </c>
      <c r="F272" s="13">
        <f>ROUND(Source!AU253,O272)</f>
        <v>0</v>
      </c>
      <c r="G272" s="13" t="s">
        <v>166</v>
      </c>
      <c r="H272" s="13" t="s">
        <v>167</v>
      </c>
      <c r="I272" s="13"/>
      <c r="J272" s="13"/>
      <c r="K272" s="13">
        <v>217</v>
      </c>
      <c r="L272" s="13">
        <v>18</v>
      </c>
      <c r="M272" s="13">
        <v>3</v>
      </c>
      <c r="N272" s="13" t="s">
        <v>3</v>
      </c>
      <c r="O272" s="13">
        <v>2</v>
      </c>
      <c r="P272" s="13">
        <f>ROUND(Source!EM253,O272)</f>
        <v>0</v>
      </c>
      <c r="Q272" s="13"/>
      <c r="R272" s="13"/>
      <c r="S272" s="13"/>
      <c r="T272" s="13"/>
      <c r="U272" s="13"/>
      <c r="V272" s="13"/>
      <c r="W272" s="13">
        <v>0</v>
      </c>
      <c r="X272" s="13">
        <v>1</v>
      </c>
      <c r="Y272" s="13">
        <v>0</v>
      </c>
      <c r="Z272" s="13">
        <v>0</v>
      </c>
      <c r="AA272" s="13">
        <v>1</v>
      </c>
      <c r="AB272" s="13">
        <v>0</v>
      </c>
    </row>
    <row r="273" spans="1:28" x14ac:dyDescent="0.2">
      <c r="A273" s="13">
        <v>50</v>
      </c>
      <c r="B273" s="13">
        <v>0</v>
      </c>
      <c r="C273" s="13">
        <v>0</v>
      </c>
      <c r="D273" s="13">
        <v>1</v>
      </c>
      <c r="E273" s="13">
        <v>230</v>
      </c>
      <c r="F273" s="13">
        <f>ROUND(Source!BA253,O273)</f>
        <v>0</v>
      </c>
      <c r="G273" s="13" t="s">
        <v>168</v>
      </c>
      <c r="H273" s="13" t="s">
        <v>169</v>
      </c>
      <c r="I273" s="13"/>
      <c r="J273" s="13"/>
      <c r="K273" s="13">
        <v>230</v>
      </c>
      <c r="L273" s="13">
        <v>19</v>
      </c>
      <c r="M273" s="13">
        <v>3</v>
      </c>
      <c r="N273" s="13" t="s">
        <v>3</v>
      </c>
      <c r="O273" s="13">
        <v>2</v>
      </c>
      <c r="P273" s="13">
        <f>ROUND(Source!ES253,O273)</f>
        <v>0</v>
      </c>
      <c r="Q273" s="13"/>
      <c r="R273" s="13"/>
      <c r="S273" s="13"/>
      <c r="T273" s="13"/>
      <c r="U273" s="13"/>
      <c r="V273" s="13"/>
      <c r="W273" s="13">
        <v>0</v>
      </c>
      <c r="X273" s="13">
        <v>1</v>
      </c>
      <c r="Y273" s="13">
        <v>0</v>
      </c>
      <c r="Z273" s="13">
        <v>0</v>
      </c>
      <c r="AA273" s="13">
        <v>1</v>
      </c>
      <c r="AB273" s="13">
        <v>0</v>
      </c>
    </row>
    <row r="274" spans="1:28" x14ac:dyDescent="0.2">
      <c r="A274" s="13">
        <v>50</v>
      </c>
      <c r="B274" s="13">
        <v>0</v>
      </c>
      <c r="C274" s="13">
        <v>0</v>
      </c>
      <c r="D274" s="13">
        <v>1</v>
      </c>
      <c r="E274" s="13">
        <v>206</v>
      </c>
      <c r="F274" s="13">
        <f>ROUND(Source!T253,O274)</f>
        <v>0</v>
      </c>
      <c r="G274" s="13" t="s">
        <v>170</v>
      </c>
      <c r="H274" s="13" t="s">
        <v>171</v>
      </c>
      <c r="I274" s="13"/>
      <c r="J274" s="13"/>
      <c r="K274" s="13">
        <v>206</v>
      </c>
      <c r="L274" s="13">
        <v>20</v>
      </c>
      <c r="M274" s="13">
        <v>3</v>
      </c>
      <c r="N274" s="13" t="s">
        <v>3</v>
      </c>
      <c r="O274" s="13">
        <v>2</v>
      </c>
      <c r="P274" s="13">
        <f>ROUND(Source!DL253,O274)</f>
        <v>0</v>
      </c>
      <c r="Q274" s="13"/>
      <c r="R274" s="13"/>
      <c r="S274" s="13"/>
      <c r="T274" s="13"/>
      <c r="U274" s="13"/>
      <c r="V274" s="13"/>
      <c r="W274" s="13">
        <v>0</v>
      </c>
      <c r="X274" s="13">
        <v>1</v>
      </c>
      <c r="Y274" s="13">
        <v>0</v>
      </c>
      <c r="Z274" s="13">
        <v>0</v>
      </c>
      <c r="AA274" s="13">
        <v>1</v>
      </c>
      <c r="AB274" s="13">
        <v>0</v>
      </c>
    </row>
    <row r="275" spans="1:28" x14ac:dyDescent="0.2">
      <c r="A275" s="13">
        <v>50</v>
      </c>
      <c r="B275" s="13">
        <v>0</v>
      </c>
      <c r="C275" s="13">
        <v>0</v>
      </c>
      <c r="D275" s="13">
        <v>1</v>
      </c>
      <c r="E275" s="13">
        <v>207</v>
      </c>
      <c r="F275" s="13">
        <f>Source!U253</f>
        <v>980.90519340000003</v>
      </c>
      <c r="G275" s="13" t="s">
        <v>172</v>
      </c>
      <c r="H275" s="13" t="s">
        <v>173</v>
      </c>
      <c r="I275" s="13"/>
      <c r="J275" s="13"/>
      <c r="K275" s="13">
        <v>207</v>
      </c>
      <c r="L275" s="13">
        <v>21</v>
      </c>
      <c r="M275" s="13">
        <v>3</v>
      </c>
      <c r="N275" s="13" t="s">
        <v>3</v>
      </c>
      <c r="O275" s="13">
        <v>-1</v>
      </c>
      <c r="P275" s="13">
        <f>Source!DM253</f>
        <v>980.90519340000003</v>
      </c>
      <c r="Q275" s="13"/>
      <c r="R275" s="13"/>
      <c r="S275" s="13"/>
      <c r="T275" s="13"/>
      <c r="U275" s="13"/>
      <c r="V275" s="13"/>
      <c r="W275" s="13">
        <v>980.90519340000003</v>
      </c>
      <c r="X275" s="13">
        <v>1</v>
      </c>
      <c r="Y275" s="13">
        <v>980.90519340000003</v>
      </c>
      <c r="Z275" s="13">
        <v>980.90519340000003</v>
      </c>
      <c r="AA275" s="13">
        <v>1</v>
      </c>
      <c r="AB275" s="13">
        <v>980.90519340000003</v>
      </c>
    </row>
    <row r="276" spans="1:28" x14ac:dyDescent="0.2">
      <c r="A276" s="13">
        <v>50</v>
      </c>
      <c r="B276" s="13">
        <v>0</v>
      </c>
      <c r="C276" s="13">
        <v>0</v>
      </c>
      <c r="D276" s="13">
        <v>1</v>
      </c>
      <c r="E276" s="13">
        <v>208</v>
      </c>
      <c r="F276" s="13">
        <f>Source!V253</f>
        <v>0</v>
      </c>
      <c r="G276" s="13" t="s">
        <v>174</v>
      </c>
      <c r="H276" s="13" t="s">
        <v>175</v>
      </c>
      <c r="I276" s="13"/>
      <c r="J276" s="13"/>
      <c r="K276" s="13">
        <v>208</v>
      </c>
      <c r="L276" s="13">
        <v>22</v>
      </c>
      <c r="M276" s="13">
        <v>3</v>
      </c>
      <c r="N276" s="13" t="s">
        <v>3</v>
      </c>
      <c r="O276" s="13">
        <v>-1</v>
      </c>
      <c r="P276" s="13">
        <f>Source!DN253</f>
        <v>0</v>
      </c>
      <c r="Q276" s="13"/>
      <c r="R276" s="13"/>
      <c r="S276" s="13"/>
      <c r="T276" s="13"/>
      <c r="U276" s="13"/>
      <c r="V276" s="13"/>
      <c r="W276" s="13">
        <v>0</v>
      </c>
      <c r="X276" s="13">
        <v>1</v>
      </c>
      <c r="Y276" s="13">
        <v>0</v>
      </c>
      <c r="Z276" s="13">
        <v>0</v>
      </c>
      <c r="AA276" s="13">
        <v>1</v>
      </c>
      <c r="AB276" s="13">
        <v>0</v>
      </c>
    </row>
    <row r="277" spans="1:28" x14ac:dyDescent="0.2">
      <c r="A277" s="13">
        <v>50</v>
      </c>
      <c r="B277" s="13">
        <v>0</v>
      </c>
      <c r="C277" s="13">
        <v>0</v>
      </c>
      <c r="D277" s="13">
        <v>1</v>
      </c>
      <c r="E277" s="13">
        <v>209</v>
      </c>
      <c r="F277" s="13">
        <f>ROUND(Source!W253,O277)</f>
        <v>0</v>
      </c>
      <c r="G277" s="13" t="s">
        <v>176</v>
      </c>
      <c r="H277" s="13" t="s">
        <v>177</v>
      </c>
      <c r="I277" s="13"/>
      <c r="J277" s="13"/>
      <c r="K277" s="13">
        <v>209</v>
      </c>
      <c r="L277" s="13">
        <v>23</v>
      </c>
      <c r="M277" s="13">
        <v>3</v>
      </c>
      <c r="N277" s="13" t="s">
        <v>3</v>
      </c>
      <c r="O277" s="13">
        <v>2</v>
      </c>
      <c r="P277" s="13">
        <f>ROUND(Source!DO253,O277)</f>
        <v>0</v>
      </c>
      <c r="Q277" s="13"/>
      <c r="R277" s="13"/>
      <c r="S277" s="13"/>
      <c r="T277" s="13"/>
      <c r="U277" s="13"/>
      <c r="V277" s="13"/>
      <c r="W277" s="13">
        <v>0</v>
      </c>
      <c r="X277" s="13">
        <v>1</v>
      </c>
      <c r="Y277" s="13">
        <v>0</v>
      </c>
      <c r="Z277" s="13">
        <v>0</v>
      </c>
      <c r="AA277" s="13">
        <v>1</v>
      </c>
      <c r="AB277" s="13">
        <v>0</v>
      </c>
    </row>
    <row r="278" spans="1:28" x14ac:dyDescent="0.2">
      <c r="A278" s="13">
        <v>50</v>
      </c>
      <c r="B278" s="13">
        <v>0</v>
      </c>
      <c r="C278" s="13">
        <v>0</v>
      </c>
      <c r="D278" s="13">
        <v>1</v>
      </c>
      <c r="E278" s="13">
        <v>233</v>
      </c>
      <c r="F278" s="13">
        <f>ROUND(Source!BD253,O278)</f>
        <v>0</v>
      </c>
      <c r="G278" s="13" t="s">
        <v>178</v>
      </c>
      <c r="H278" s="13" t="s">
        <v>179</v>
      </c>
      <c r="I278" s="13"/>
      <c r="J278" s="13"/>
      <c r="K278" s="13">
        <v>233</v>
      </c>
      <c r="L278" s="13">
        <v>24</v>
      </c>
      <c r="M278" s="13">
        <v>3</v>
      </c>
      <c r="N278" s="13" t="s">
        <v>3</v>
      </c>
      <c r="O278" s="13">
        <v>2</v>
      </c>
      <c r="P278" s="13">
        <f>ROUND(Source!EV253,O278)</f>
        <v>0</v>
      </c>
      <c r="Q278" s="13"/>
      <c r="R278" s="13"/>
      <c r="S278" s="13"/>
      <c r="T278" s="13"/>
      <c r="U278" s="13"/>
      <c r="V278" s="13"/>
      <c r="W278" s="13">
        <v>0</v>
      </c>
      <c r="X278" s="13">
        <v>1</v>
      </c>
      <c r="Y278" s="13">
        <v>0</v>
      </c>
      <c r="Z278" s="13">
        <v>0</v>
      </c>
      <c r="AA278" s="13">
        <v>1</v>
      </c>
      <c r="AB278" s="13">
        <v>0</v>
      </c>
    </row>
    <row r="279" spans="1:28" x14ac:dyDescent="0.2">
      <c r="A279" s="13">
        <v>50</v>
      </c>
      <c r="B279" s="13">
        <v>0</v>
      </c>
      <c r="C279" s="13">
        <v>0</v>
      </c>
      <c r="D279" s="13">
        <v>1</v>
      </c>
      <c r="E279" s="13">
        <v>210</v>
      </c>
      <c r="F279" s="13">
        <f>ROUND(Source!X253,O279)</f>
        <v>10792.42</v>
      </c>
      <c r="G279" s="13" t="s">
        <v>180</v>
      </c>
      <c r="H279" s="13" t="s">
        <v>181</v>
      </c>
      <c r="I279" s="13"/>
      <c r="J279" s="13"/>
      <c r="K279" s="13">
        <v>210</v>
      </c>
      <c r="L279" s="13">
        <v>25</v>
      </c>
      <c r="M279" s="13">
        <v>3</v>
      </c>
      <c r="N279" s="13" t="s">
        <v>3</v>
      </c>
      <c r="O279" s="13">
        <v>2</v>
      </c>
      <c r="P279" s="13">
        <f>ROUND(Source!DP253,O279)</f>
        <v>593474.5</v>
      </c>
      <c r="Q279" s="13"/>
      <c r="R279" s="13"/>
      <c r="S279" s="13"/>
      <c r="T279" s="13"/>
      <c r="U279" s="13"/>
      <c r="V279" s="13"/>
      <c r="W279" s="13">
        <v>10792.42</v>
      </c>
      <c r="X279" s="13">
        <v>1</v>
      </c>
      <c r="Y279" s="13">
        <v>10792.42</v>
      </c>
      <c r="Z279" s="13">
        <v>593474.5</v>
      </c>
      <c r="AA279" s="13">
        <v>1</v>
      </c>
      <c r="AB279" s="13">
        <v>593474.5</v>
      </c>
    </row>
    <row r="280" spans="1:28" x14ac:dyDescent="0.2">
      <c r="A280" s="13">
        <v>50</v>
      </c>
      <c r="B280" s="13">
        <v>0</v>
      </c>
      <c r="C280" s="13">
        <v>0</v>
      </c>
      <c r="D280" s="13">
        <v>1</v>
      </c>
      <c r="E280" s="13">
        <v>211</v>
      </c>
      <c r="F280" s="13">
        <f>ROUND(Source!Y253,O280)</f>
        <v>5775.36</v>
      </c>
      <c r="G280" s="13" t="s">
        <v>182</v>
      </c>
      <c r="H280" s="13" t="s">
        <v>183</v>
      </c>
      <c r="I280" s="13"/>
      <c r="J280" s="13"/>
      <c r="K280" s="13">
        <v>211</v>
      </c>
      <c r="L280" s="13">
        <v>26</v>
      </c>
      <c r="M280" s="13">
        <v>3</v>
      </c>
      <c r="N280" s="13" t="s">
        <v>3</v>
      </c>
      <c r="O280" s="13">
        <v>2</v>
      </c>
      <c r="P280" s="13">
        <f>ROUND(Source!DQ253,O280)</f>
        <v>317588.51</v>
      </c>
      <c r="Q280" s="13"/>
      <c r="R280" s="13"/>
      <c r="S280" s="13"/>
      <c r="T280" s="13"/>
      <c r="U280" s="13"/>
      <c r="V280" s="13"/>
      <c r="W280" s="13">
        <v>5775.36</v>
      </c>
      <c r="X280" s="13">
        <v>1</v>
      </c>
      <c r="Y280" s="13">
        <v>5775.36</v>
      </c>
      <c r="Z280" s="13">
        <v>317588.51</v>
      </c>
      <c r="AA280" s="13">
        <v>1</v>
      </c>
      <c r="AB280" s="13">
        <v>317588.51</v>
      </c>
    </row>
    <row r="281" spans="1:28" x14ac:dyDescent="0.2">
      <c r="A281" s="13">
        <v>50</v>
      </c>
      <c r="B281" s="13">
        <v>0</v>
      </c>
      <c r="C281" s="13">
        <v>0</v>
      </c>
      <c r="D281" s="13">
        <v>1</v>
      </c>
      <c r="E281" s="13">
        <v>224</v>
      </c>
      <c r="F281" s="13">
        <f>ROUND(Source!AR253,O281)</f>
        <v>213632.29</v>
      </c>
      <c r="G281" s="13" t="s">
        <v>184</v>
      </c>
      <c r="H281" s="13" t="s">
        <v>185</v>
      </c>
      <c r="I281" s="13"/>
      <c r="J281" s="13"/>
      <c r="K281" s="13">
        <v>224</v>
      </c>
      <c r="L281" s="13">
        <v>27</v>
      </c>
      <c r="M281" s="13">
        <v>3</v>
      </c>
      <c r="N281" s="13" t="s">
        <v>3</v>
      </c>
      <c r="O281" s="13">
        <v>2</v>
      </c>
      <c r="P281" s="13">
        <f>ROUND(Source!EJ253,O281)</f>
        <v>3017092.14</v>
      </c>
      <c r="Q281" s="13"/>
      <c r="R281" s="13"/>
      <c r="S281" s="13"/>
      <c r="T281" s="13"/>
      <c r="U281" s="13"/>
      <c r="V281" s="13"/>
      <c r="W281" s="13">
        <v>213632.29</v>
      </c>
      <c r="X281" s="13">
        <v>1</v>
      </c>
      <c r="Y281" s="13">
        <v>213632.29</v>
      </c>
      <c r="Z281" s="13">
        <v>3017092.14</v>
      </c>
      <c r="AA281" s="13">
        <v>1</v>
      </c>
      <c r="AB281" s="13">
        <v>3017092.14</v>
      </c>
    </row>
    <row r="284" spans="1:28" x14ac:dyDescent="0.2">
      <c r="A284" s="3">
        <v>70</v>
      </c>
      <c r="B284" s="3">
        <v>1</v>
      </c>
      <c r="D284" s="3">
        <v>1</v>
      </c>
      <c r="E284" s="3" t="s">
        <v>251</v>
      </c>
      <c r="F284" s="3" t="s">
        <v>252</v>
      </c>
      <c r="G284" s="3">
        <v>0</v>
      </c>
      <c r="H284" s="3">
        <v>0</v>
      </c>
      <c r="I284" s="3" t="s">
        <v>3</v>
      </c>
      <c r="J284" s="3">
        <v>1</v>
      </c>
      <c r="K284" s="3">
        <v>0</v>
      </c>
      <c r="L284" s="3" t="s">
        <v>3</v>
      </c>
      <c r="M284" s="3" t="s">
        <v>3</v>
      </c>
      <c r="N284" s="3">
        <v>0</v>
      </c>
      <c r="O284" s="3">
        <v>0</v>
      </c>
      <c r="P284" s="3" t="s">
        <v>3</v>
      </c>
    </row>
    <row r="285" spans="1:28" x14ac:dyDescent="0.2">
      <c r="A285" s="3">
        <v>70</v>
      </c>
      <c r="B285" s="3">
        <v>1</v>
      </c>
      <c r="D285" s="3">
        <v>2</v>
      </c>
      <c r="E285" s="3" t="s">
        <v>253</v>
      </c>
      <c r="F285" s="3" t="s">
        <v>254</v>
      </c>
      <c r="G285" s="3">
        <v>1</v>
      </c>
      <c r="H285" s="3">
        <v>0</v>
      </c>
      <c r="I285" s="3" t="s">
        <v>3</v>
      </c>
      <c r="J285" s="3">
        <v>1</v>
      </c>
      <c r="K285" s="3">
        <v>0</v>
      </c>
      <c r="L285" s="3" t="s">
        <v>3</v>
      </c>
      <c r="M285" s="3" t="s">
        <v>3</v>
      </c>
      <c r="N285" s="3">
        <v>0</v>
      </c>
      <c r="O285" s="3">
        <v>1</v>
      </c>
      <c r="P285" s="3" t="s">
        <v>3</v>
      </c>
    </row>
    <row r="286" spans="1:28" x14ac:dyDescent="0.2">
      <c r="A286" s="3">
        <v>70</v>
      </c>
      <c r="B286" s="3">
        <v>1</v>
      </c>
      <c r="D286" s="3">
        <v>3</v>
      </c>
      <c r="E286" s="3" t="s">
        <v>255</v>
      </c>
      <c r="F286" s="3" t="s">
        <v>256</v>
      </c>
      <c r="G286" s="3">
        <v>1</v>
      </c>
      <c r="H286" s="3">
        <v>0</v>
      </c>
      <c r="I286" s="3" t="s">
        <v>3</v>
      </c>
      <c r="J286" s="3">
        <v>0</v>
      </c>
      <c r="K286" s="3">
        <v>0</v>
      </c>
      <c r="L286" s="3" t="s">
        <v>3</v>
      </c>
      <c r="M286" s="3" t="s">
        <v>3</v>
      </c>
      <c r="N286" s="3">
        <v>0</v>
      </c>
      <c r="O286" s="3">
        <v>1</v>
      </c>
      <c r="P286" s="3" t="s">
        <v>3</v>
      </c>
    </row>
    <row r="287" spans="1:28" x14ac:dyDescent="0.2">
      <c r="A287" s="3">
        <v>70</v>
      </c>
      <c r="B287" s="3">
        <v>1</v>
      </c>
      <c r="D287" s="3">
        <v>4</v>
      </c>
      <c r="E287" s="3" t="s">
        <v>257</v>
      </c>
      <c r="F287" s="3" t="s">
        <v>258</v>
      </c>
      <c r="G287" s="3">
        <v>1</v>
      </c>
      <c r="H287" s="3">
        <v>0</v>
      </c>
      <c r="I287" s="3" t="s">
        <v>3</v>
      </c>
      <c r="J287" s="3">
        <v>0</v>
      </c>
      <c r="K287" s="3">
        <v>0</v>
      </c>
      <c r="L287" s="3" t="s">
        <v>3</v>
      </c>
      <c r="M287" s="3" t="s">
        <v>3</v>
      </c>
      <c r="N287" s="3">
        <v>0</v>
      </c>
      <c r="O287" s="3">
        <v>1</v>
      </c>
      <c r="P287" s="3" t="s">
        <v>3</v>
      </c>
    </row>
    <row r="288" spans="1:28" x14ac:dyDescent="0.2">
      <c r="A288" s="3">
        <v>70</v>
      </c>
      <c r="B288" s="3">
        <v>1</v>
      </c>
      <c r="D288" s="3">
        <v>5</v>
      </c>
      <c r="E288" s="3" t="s">
        <v>259</v>
      </c>
      <c r="F288" s="3" t="s">
        <v>260</v>
      </c>
      <c r="G288" s="3">
        <v>0</v>
      </c>
      <c r="H288" s="3">
        <v>0</v>
      </c>
      <c r="I288" s="3" t="s">
        <v>3</v>
      </c>
      <c r="J288" s="3">
        <v>0</v>
      </c>
      <c r="K288" s="3">
        <v>0</v>
      </c>
      <c r="L288" s="3" t="s">
        <v>3</v>
      </c>
      <c r="M288" s="3" t="s">
        <v>3</v>
      </c>
      <c r="N288" s="3">
        <v>0</v>
      </c>
      <c r="O288" s="3">
        <v>0</v>
      </c>
      <c r="P288" s="3" t="s">
        <v>3</v>
      </c>
    </row>
    <row r="290" spans="1:50" x14ac:dyDescent="0.2">
      <c r="A290" s="3">
        <v>-1</v>
      </c>
    </row>
    <row r="292" spans="1:50" x14ac:dyDescent="0.2">
      <c r="A292" s="12">
        <v>75</v>
      </c>
      <c r="B292" s="12" t="s">
        <v>261</v>
      </c>
      <c r="C292" s="12">
        <v>2025</v>
      </c>
      <c r="D292" s="12">
        <v>3</v>
      </c>
      <c r="E292" s="12">
        <v>0</v>
      </c>
      <c r="F292" s="12"/>
      <c r="G292" s="12">
        <v>0</v>
      </c>
      <c r="H292" s="12">
        <v>1</v>
      </c>
      <c r="I292" s="12">
        <v>1</v>
      </c>
      <c r="J292" s="12">
        <v>3</v>
      </c>
      <c r="K292" s="12">
        <v>0</v>
      </c>
      <c r="L292" s="12">
        <v>0</v>
      </c>
      <c r="M292" s="12">
        <v>1</v>
      </c>
      <c r="N292" s="12">
        <v>60256402</v>
      </c>
      <c r="O292" s="12">
        <v>1</v>
      </c>
    </row>
    <row r="293" spans="1:50" x14ac:dyDescent="0.2">
      <c r="A293" s="14">
        <v>1</v>
      </c>
      <c r="B293" s="14" t="s">
        <v>262</v>
      </c>
      <c r="C293" s="14" t="s">
        <v>263</v>
      </c>
      <c r="D293" s="14">
        <v>2025</v>
      </c>
      <c r="E293" s="14">
        <v>9</v>
      </c>
      <c r="F293" s="14">
        <v>1</v>
      </c>
      <c r="G293" s="14">
        <v>1</v>
      </c>
      <c r="H293" s="14">
        <v>0</v>
      </c>
      <c r="I293" s="14">
        <v>2</v>
      </c>
      <c r="J293" s="14">
        <v>1</v>
      </c>
      <c r="K293" s="14">
        <v>9.8800000000000008</v>
      </c>
      <c r="L293" s="14">
        <v>7.66</v>
      </c>
      <c r="M293" s="14">
        <v>1</v>
      </c>
      <c r="N293" s="14">
        <v>1</v>
      </c>
      <c r="O293" s="14">
        <v>9.8800000000000008</v>
      </c>
      <c r="P293" s="14">
        <v>7.66</v>
      </c>
      <c r="Q293" s="14">
        <v>1</v>
      </c>
      <c r="R293" s="14" t="s">
        <v>3</v>
      </c>
      <c r="S293" s="14" t="s">
        <v>3</v>
      </c>
      <c r="T293" s="14" t="s">
        <v>3</v>
      </c>
      <c r="U293" s="14" t="s">
        <v>3</v>
      </c>
      <c r="V293" s="14" t="s">
        <v>3</v>
      </c>
      <c r="W293" s="14" t="s">
        <v>3</v>
      </c>
      <c r="X293" s="14" t="s">
        <v>3</v>
      </c>
      <c r="Y293" s="14" t="s">
        <v>3</v>
      </c>
      <c r="Z293" s="14" t="s">
        <v>3</v>
      </c>
      <c r="AA293" s="14" t="s">
        <v>264</v>
      </c>
      <c r="AB293" s="14"/>
      <c r="AC293" s="14"/>
      <c r="AD293" s="14"/>
      <c r="AE293" s="14"/>
      <c r="AF293" s="14"/>
      <c r="AG293" s="14"/>
      <c r="AH293" s="14"/>
      <c r="AI293" s="14"/>
      <c r="AJ293" s="14"/>
      <c r="AK293" s="14"/>
      <c r="AL293" s="14"/>
      <c r="AM293" s="14"/>
      <c r="AN293" s="14">
        <v>60256403</v>
      </c>
      <c r="AO293" s="14"/>
      <c r="AP293" s="14"/>
      <c r="AQ293" s="14"/>
      <c r="AR293" s="14"/>
      <c r="AS293" s="14"/>
      <c r="AT293" s="14"/>
      <c r="AU293" s="14"/>
      <c r="AV293" s="14"/>
      <c r="AW293" s="14"/>
      <c r="AX293" s="14"/>
    </row>
    <row r="294" spans="1:50" x14ac:dyDescent="0.2">
      <c r="A294" s="14">
        <v>1</v>
      </c>
      <c r="B294" s="14" t="s">
        <v>262</v>
      </c>
      <c r="C294" s="14" t="s">
        <v>265</v>
      </c>
      <c r="D294" s="14">
        <v>2025</v>
      </c>
      <c r="E294" s="14">
        <v>7</v>
      </c>
      <c r="F294" s="14">
        <v>1</v>
      </c>
      <c r="G294" s="14">
        <v>1</v>
      </c>
      <c r="H294" s="14">
        <v>0</v>
      </c>
      <c r="I294" s="14">
        <v>2</v>
      </c>
      <c r="J294" s="14">
        <v>1</v>
      </c>
      <c r="K294" s="14">
        <v>1</v>
      </c>
      <c r="L294" s="14">
        <v>1</v>
      </c>
      <c r="M294" s="14">
        <v>1</v>
      </c>
      <c r="N294" s="14">
        <v>1</v>
      </c>
      <c r="O294" s="14">
        <v>1</v>
      </c>
      <c r="P294" s="14">
        <v>1</v>
      </c>
      <c r="Q294" s="14">
        <v>1</v>
      </c>
      <c r="R294" s="14" t="s">
        <v>3</v>
      </c>
      <c r="S294" s="14" t="s">
        <v>3</v>
      </c>
      <c r="T294" s="14" t="s">
        <v>3</v>
      </c>
      <c r="U294" s="14" t="s">
        <v>3</v>
      </c>
      <c r="V294" s="14" t="s">
        <v>3</v>
      </c>
      <c r="W294" s="14" t="s">
        <v>3</v>
      </c>
      <c r="X294" s="14" t="s">
        <v>3</v>
      </c>
      <c r="Y294" s="14" t="s">
        <v>3</v>
      </c>
      <c r="Z294" s="14" t="s">
        <v>3</v>
      </c>
      <c r="AA294" s="14" t="s">
        <v>266</v>
      </c>
      <c r="AB294" s="14"/>
      <c r="AC294" s="14"/>
      <c r="AD294" s="14"/>
      <c r="AE294" s="14"/>
      <c r="AF294" s="14"/>
      <c r="AG294" s="14"/>
      <c r="AH294" s="14"/>
      <c r="AI294" s="14"/>
      <c r="AJ294" s="14"/>
      <c r="AK294" s="14"/>
      <c r="AL294" s="14"/>
      <c r="AM294" s="14"/>
      <c r="AN294" s="14">
        <v>60256404</v>
      </c>
      <c r="AO294" s="14"/>
      <c r="AP294" s="14"/>
      <c r="AQ294" s="14"/>
      <c r="AR294" s="14"/>
      <c r="AS294" s="14"/>
      <c r="AT294" s="14"/>
      <c r="AU294" s="14"/>
      <c r="AV294" s="14"/>
      <c r="AW294" s="14"/>
      <c r="AX294" s="14"/>
    </row>
    <row r="295" spans="1:50" x14ac:dyDescent="0.2">
      <c r="A295" s="12">
        <v>75</v>
      </c>
      <c r="B295" s="12" t="s">
        <v>267</v>
      </c>
      <c r="C295" s="12">
        <v>2000</v>
      </c>
      <c r="D295" s="12">
        <v>0</v>
      </c>
      <c r="E295" s="12">
        <v>1</v>
      </c>
      <c r="F295" s="12"/>
      <c r="G295" s="12">
        <v>0</v>
      </c>
      <c r="H295" s="12">
        <v>1</v>
      </c>
      <c r="I295" s="12">
        <v>1</v>
      </c>
      <c r="J295" s="12">
        <v>1</v>
      </c>
      <c r="K295" s="12">
        <v>0</v>
      </c>
      <c r="L295" s="12">
        <v>0</v>
      </c>
      <c r="M295" s="12">
        <v>0</v>
      </c>
      <c r="N295" s="12">
        <v>60256405</v>
      </c>
      <c r="O295" s="12">
        <v>2</v>
      </c>
    </row>
    <row r="296" spans="1:50" x14ac:dyDescent="0.2">
      <c r="A296" s="14">
        <v>1</v>
      </c>
      <c r="B296" s="14" t="s">
        <v>262</v>
      </c>
      <c r="C296" s="14" t="s">
        <v>263</v>
      </c>
      <c r="D296" s="14">
        <v>2000</v>
      </c>
      <c r="E296" s="14">
        <v>1</v>
      </c>
      <c r="F296" s="14">
        <v>1</v>
      </c>
      <c r="G296" s="14">
        <v>1</v>
      </c>
      <c r="H296" s="14">
        <v>0</v>
      </c>
      <c r="I296" s="14">
        <v>2</v>
      </c>
      <c r="J296" s="14">
        <v>1</v>
      </c>
      <c r="K296" s="14">
        <v>1</v>
      </c>
      <c r="L296" s="14">
        <v>1</v>
      </c>
      <c r="M296" s="14">
        <v>1</v>
      </c>
      <c r="N296" s="14">
        <v>1</v>
      </c>
      <c r="O296" s="14">
        <v>1</v>
      </c>
      <c r="P296" s="14">
        <v>1</v>
      </c>
      <c r="Q296" s="14">
        <v>1</v>
      </c>
      <c r="R296" s="14" t="s">
        <v>3</v>
      </c>
      <c r="S296" s="14" t="s">
        <v>3</v>
      </c>
      <c r="T296" s="14" t="s">
        <v>3</v>
      </c>
      <c r="U296" s="14" t="s">
        <v>3</v>
      </c>
      <c r="V296" s="14" t="s">
        <v>3</v>
      </c>
      <c r="W296" s="14" t="s">
        <v>3</v>
      </c>
      <c r="X296" s="14" t="s">
        <v>3</v>
      </c>
      <c r="Y296" s="14" t="s">
        <v>3</v>
      </c>
      <c r="Z296" s="14" t="s">
        <v>3</v>
      </c>
      <c r="AA296" s="14" t="s">
        <v>35</v>
      </c>
      <c r="AB296" s="14"/>
      <c r="AC296" s="14"/>
      <c r="AD296" s="14"/>
      <c r="AE296" s="14"/>
      <c r="AF296" s="14"/>
      <c r="AG296" s="14"/>
      <c r="AH296" s="14"/>
      <c r="AI296" s="14"/>
      <c r="AJ296" s="14"/>
      <c r="AK296" s="14"/>
      <c r="AL296" s="14"/>
      <c r="AM296" s="14"/>
      <c r="AN296" s="14">
        <v>60256406</v>
      </c>
      <c r="AO296" s="14"/>
      <c r="AP296" s="14"/>
      <c r="AQ296" s="14"/>
      <c r="AR296" s="14"/>
      <c r="AS296" s="14"/>
      <c r="AT296" s="14"/>
      <c r="AU296" s="14"/>
      <c r="AV296" s="14"/>
      <c r="AW296" s="14"/>
      <c r="AX296" s="14"/>
    </row>
    <row r="300" spans="1:50" x14ac:dyDescent="0.2">
      <c r="A300" s="3">
        <v>65</v>
      </c>
      <c r="C300" s="3">
        <v>1</v>
      </c>
      <c r="D300" s="3">
        <v>0</v>
      </c>
      <c r="E300" s="3">
        <v>245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C55"/>
  <sheetViews>
    <sheetView workbookViewId="0"/>
  </sheetViews>
  <sheetFormatPr defaultColWidth="9.140625" defaultRowHeight="12.75" x14ac:dyDescent="0.2"/>
  <cols>
    <col min="1" max="256" width="9.140625" customWidth="1"/>
  </cols>
  <sheetData>
    <row r="1" spans="1:133" x14ac:dyDescent="0.2">
      <c r="A1">
        <v>0</v>
      </c>
      <c r="B1" t="s">
        <v>0</v>
      </c>
      <c r="D1" t="s">
        <v>268</v>
      </c>
      <c r="F1">
        <v>0</v>
      </c>
      <c r="G1">
        <v>0</v>
      </c>
      <c r="H1">
        <v>0</v>
      </c>
      <c r="I1" t="s">
        <v>2</v>
      </c>
      <c r="J1" t="s">
        <v>3</v>
      </c>
      <c r="K1">
        <v>1</v>
      </c>
      <c r="L1">
        <v>74563</v>
      </c>
      <c r="M1">
        <v>10</v>
      </c>
      <c r="N1">
        <v>12</v>
      </c>
      <c r="O1">
        <v>1</v>
      </c>
      <c r="P1">
        <v>0</v>
      </c>
      <c r="Q1">
        <v>0</v>
      </c>
    </row>
    <row r="4" spans="1:133" x14ac:dyDescent="0.2">
      <c r="A4" s="1">
        <v>1</v>
      </c>
      <c r="B4" s="1">
        <v>1</v>
      </c>
      <c r="C4" s="1">
        <v>-1</v>
      </c>
      <c r="D4" s="1"/>
      <c r="E4" s="1"/>
      <c r="F4" s="1"/>
      <c r="G4" s="1" t="s">
        <v>4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>
        <v>0</v>
      </c>
    </row>
    <row r="12" spans="1:133" x14ac:dyDescent="0.2">
      <c r="A12" s="1">
        <v>1</v>
      </c>
      <c r="B12" s="1">
        <v>51</v>
      </c>
      <c r="C12" s="1">
        <v>0</v>
      </c>
      <c r="D12" s="1"/>
      <c r="E12" s="1">
        <v>0</v>
      </c>
      <c r="F12" s="1" t="s">
        <v>3</v>
      </c>
      <c r="G12" s="1" t="s">
        <v>5</v>
      </c>
      <c r="H12" s="1" t="s">
        <v>3</v>
      </c>
      <c r="I12" s="1">
        <v>0</v>
      </c>
      <c r="J12" s="1" t="s">
        <v>6</v>
      </c>
      <c r="K12" s="1">
        <v>0</v>
      </c>
      <c r="L12" s="1">
        <v>0</v>
      </c>
      <c r="M12" s="1">
        <v>4098</v>
      </c>
      <c r="N12" s="1"/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1</v>
      </c>
      <c r="U12" s="1" t="s">
        <v>3</v>
      </c>
      <c r="V12" s="1">
        <v>0</v>
      </c>
      <c r="W12" s="1" t="s">
        <v>3</v>
      </c>
      <c r="X12" s="1" t="s">
        <v>3</v>
      </c>
      <c r="Y12" s="1" t="s">
        <v>3</v>
      </c>
      <c r="Z12" s="1" t="s">
        <v>3</v>
      </c>
      <c r="AA12" s="1" t="s">
        <v>3</v>
      </c>
      <c r="AB12" s="1" t="s">
        <v>7</v>
      </c>
      <c r="AC12" s="1" t="s">
        <v>3</v>
      </c>
      <c r="AD12" s="1" t="s">
        <v>3</v>
      </c>
      <c r="AE12" s="1" t="s">
        <v>3</v>
      </c>
      <c r="AF12" s="1" t="s">
        <v>3</v>
      </c>
      <c r="AG12" s="1" t="s">
        <v>3</v>
      </c>
      <c r="AH12" s="1" t="s">
        <v>3</v>
      </c>
      <c r="AI12" s="1" t="s">
        <v>3</v>
      </c>
      <c r="AJ12" s="1" t="s">
        <v>3</v>
      </c>
      <c r="AK12" s="1"/>
      <c r="AL12" s="1" t="s">
        <v>3</v>
      </c>
      <c r="AM12" s="1" t="s">
        <v>3</v>
      </c>
      <c r="AN12" s="1" t="s">
        <v>3</v>
      </c>
      <c r="AO12" s="1"/>
      <c r="AP12" s="1" t="s">
        <v>3</v>
      </c>
      <c r="AQ12" s="1" t="s">
        <v>3</v>
      </c>
      <c r="AR12" s="1" t="s">
        <v>3</v>
      </c>
      <c r="AS12" s="1"/>
      <c r="AT12" s="1"/>
      <c r="AU12" s="1"/>
      <c r="AV12" s="1"/>
      <c r="AW12" s="1"/>
      <c r="AX12" s="1" t="s">
        <v>3</v>
      </c>
      <c r="AY12" s="1" t="s">
        <v>3</v>
      </c>
      <c r="AZ12" s="1" t="s">
        <v>3</v>
      </c>
      <c r="BA12" s="1"/>
      <c r="BB12" s="1">
        <v>0</v>
      </c>
      <c r="BC12" s="1"/>
      <c r="BD12" s="1"/>
      <c r="BE12" s="1"/>
      <c r="BF12" s="1"/>
      <c r="BG12" s="1"/>
      <c r="BH12" s="1" t="s">
        <v>8</v>
      </c>
      <c r="BI12" s="1" t="s">
        <v>9</v>
      </c>
      <c r="BJ12" s="1">
        <v>1</v>
      </c>
      <c r="BK12" s="1">
        <v>1</v>
      </c>
      <c r="BL12" s="1">
        <v>0</v>
      </c>
      <c r="BM12" s="1">
        <v>0</v>
      </c>
      <c r="BN12" s="1">
        <v>1</v>
      </c>
      <c r="BO12" s="1">
        <v>0</v>
      </c>
      <c r="BP12" s="1">
        <v>6</v>
      </c>
      <c r="BQ12" s="1">
        <v>2</v>
      </c>
      <c r="BR12" s="1">
        <v>1</v>
      </c>
      <c r="BS12" s="1">
        <v>1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 t="s">
        <v>3</v>
      </c>
      <c r="BZ12" s="1" t="s">
        <v>10</v>
      </c>
      <c r="CA12" s="1" t="s">
        <v>11</v>
      </c>
      <c r="CB12" s="1" t="s">
        <v>11</v>
      </c>
      <c r="CC12" s="1" t="s">
        <v>11</v>
      </c>
      <c r="CD12" s="1" t="s">
        <v>11</v>
      </c>
      <c r="CE12" s="1" t="s">
        <v>12</v>
      </c>
      <c r="CF12" s="1">
        <v>0</v>
      </c>
      <c r="CG12" s="1">
        <v>0</v>
      </c>
      <c r="CH12" s="1">
        <v>8200</v>
      </c>
      <c r="CI12" s="1" t="s">
        <v>3</v>
      </c>
      <c r="CJ12" s="1" t="s">
        <v>3</v>
      </c>
      <c r="CK12" s="1">
        <v>81</v>
      </c>
      <c r="CL12" s="1"/>
      <c r="CM12" s="1"/>
      <c r="CN12" s="1"/>
      <c r="CO12" s="1"/>
      <c r="CP12" s="1"/>
      <c r="CQ12" s="1" t="s">
        <v>13</v>
      </c>
      <c r="CR12" s="1" t="s">
        <v>14</v>
      </c>
      <c r="CS12" s="1">
        <v>41660</v>
      </c>
      <c r="CT12" s="1">
        <v>1</v>
      </c>
      <c r="CU12" s="1">
        <v>80</v>
      </c>
      <c r="CV12" s="1"/>
      <c r="CW12" s="1"/>
      <c r="CX12" s="1"/>
      <c r="CY12" s="1">
        <v>0</v>
      </c>
      <c r="CZ12" s="1" t="s">
        <v>3</v>
      </c>
      <c r="DA12" s="1" t="s">
        <v>3</v>
      </c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>
        <v>0</v>
      </c>
    </row>
    <row r="14" spans="1:133" x14ac:dyDescent="0.2">
      <c r="A14" s="1">
        <v>22</v>
      </c>
      <c r="B14" s="1">
        <v>1</v>
      </c>
      <c r="C14" s="1">
        <v>0</v>
      </c>
      <c r="D14" s="1">
        <v>60256402</v>
      </c>
      <c r="E14" s="1">
        <v>60256405</v>
      </c>
      <c r="F14" s="1">
        <v>2</v>
      </c>
      <c r="G14" s="1">
        <v>1</v>
      </c>
      <c r="H14" s="1"/>
      <c r="I14" s="1"/>
      <c r="J14" s="1"/>
      <c r="K14" s="1"/>
      <c r="L14" s="1"/>
      <c r="M14" s="1"/>
      <c r="N14" s="1"/>
      <c r="O14" s="1"/>
    </row>
    <row r="16" spans="1:133" x14ac:dyDescent="0.2">
      <c r="A16" s="7">
        <v>3</v>
      </c>
      <c r="B16" s="7">
        <v>1</v>
      </c>
      <c r="C16" s="7" t="s">
        <v>15</v>
      </c>
      <c r="D16" s="7" t="s">
        <v>16</v>
      </c>
      <c r="E16" s="8">
        <f>ROUND((Source!P240)/1000,2)</f>
        <v>0</v>
      </c>
      <c r="F16" s="8">
        <f>ROUND((Source!P241)/1000,2)</f>
        <v>1882.99</v>
      </c>
      <c r="G16" s="8">
        <f>ROUND((Source!P232)/1000,2)</f>
        <v>1134.0999999999999</v>
      </c>
      <c r="H16" s="8">
        <f>ROUND((Source!P242)/1000+(Source!P243)/1000,2)</f>
        <v>0</v>
      </c>
      <c r="I16" s="8">
        <f>E16+F16+G16+H16</f>
        <v>3017.09</v>
      </c>
      <c r="J16" s="8">
        <f>ROUND((Source!P238+Source!P237)/1000,2)</f>
        <v>641.59</v>
      </c>
      <c r="K16" s="8">
        <v>3569.77</v>
      </c>
      <c r="L16" s="8">
        <v>0</v>
      </c>
      <c r="M16" s="8">
        <v>0</v>
      </c>
      <c r="N16" s="8">
        <f>I16+L16+M16</f>
        <v>3017.09</v>
      </c>
      <c r="T16" s="9">
        <f>ROUND((Source!F240)/1000,2)</f>
        <v>0</v>
      </c>
      <c r="U16" s="9">
        <f>ROUND((Source!F241)/1000,2)</f>
        <v>65.58</v>
      </c>
      <c r="V16" s="9">
        <f>ROUND((Source!F232)/1000,2)</f>
        <v>148.06</v>
      </c>
      <c r="W16" s="9">
        <f>ROUND((Source!F242)/1000+(Source!F243)/1000,2)</f>
        <v>0</v>
      </c>
      <c r="X16" s="9">
        <f>T16+U16+V16+W16</f>
        <v>213.64</v>
      </c>
      <c r="Y16" s="9">
        <f>ROUND((Source!F238+Source!F237)/1000,2)</f>
        <v>11.67</v>
      </c>
      <c r="Z16" s="9">
        <v>382.38</v>
      </c>
      <c r="AA16" s="9">
        <v>0</v>
      </c>
      <c r="AB16" s="9">
        <v>0</v>
      </c>
      <c r="AC16" s="9">
        <f>X16+AA16+AB16</f>
        <v>213.64</v>
      </c>
      <c r="AI16" s="7">
        <v>2</v>
      </c>
      <c r="AJ16" s="7">
        <v>-1</v>
      </c>
      <c r="AK16" s="7" t="s">
        <v>3</v>
      </c>
      <c r="AL16" s="7" t="s">
        <v>3</v>
      </c>
      <c r="AM16" s="7" t="s">
        <v>3</v>
      </c>
      <c r="AN16" s="7">
        <v>0</v>
      </c>
      <c r="AO16" s="7" t="s">
        <v>3</v>
      </c>
      <c r="AP16" s="7" t="s">
        <v>3</v>
      </c>
      <c r="AT16" s="8">
        <v>2106029.13</v>
      </c>
      <c r="AU16" s="8">
        <v>1463741.06</v>
      </c>
      <c r="AV16" s="8">
        <v>0</v>
      </c>
      <c r="AW16" s="8">
        <v>1134104.5900000001</v>
      </c>
      <c r="AX16" s="8">
        <v>0</v>
      </c>
      <c r="AY16" s="8">
        <v>720.31</v>
      </c>
      <c r="AZ16" s="8">
        <v>26.95</v>
      </c>
      <c r="BA16" s="8">
        <v>641567.76</v>
      </c>
      <c r="BB16" s="8">
        <v>0</v>
      </c>
      <c r="BC16" s="8">
        <v>1882987.55</v>
      </c>
      <c r="BD16" s="8">
        <v>0</v>
      </c>
      <c r="BE16" s="8">
        <v>0</v>
      </c>
      <c r="BF16" s="8">
        <v>980.90519340000003</v>
      </c>
      <c r="BG16" s="8">
        <v>0</v>
      </c>
      <c r="BH16" s="8">
        <v>0</v>
      </c>
      <c r="BI16" s="8">
        <v>593474.5</v>
      </c>
      <c r="BJ16" s="8">
        <v>317588.51</v>
      </c>
      <c r="BK16" s="8">
        <v>3017092.14</v>
      </c>
      <c r="BR16" s="9">
        <v>197064.51</v>
      </c>
      <c r="BS16" s="9">
        <v>185317.71</v>
      </c>
      <c r="BT16" s="9">
        <v>0</v>
      </c>
      <c r="BU16" s="9">
        <v>148055.43</v>
      </c>
      <c r="BV16" s="9">
        <v>0</v>
      </c>
      <c r="BW16" s="9">
        <v>79.81</v>
      </c>
      <c r="BX16" s="9">
        <v>0.49</v>
      </c>
      <c r="BY16" s="9">
        <v>11666.99</v>
      </c>
      <c r="BZ16" s="9">
        <v>0</v>
      </c>
      <c r="CA16" s="9">
        <v>65576.86</v>
      </c>
      <c r="CB16" s="9">
        <v>0</v>
      </c>
      <c r="CC16" s="9">
        <v>0</v>
      </c>
      <c r="CD16" s="9">
        <v>980.90519340000003</v>
      </c>
      <c r="CE16" s="9">
        <v>0</v>
      </c>
      <c r="CF16" s="9">
        <v>0</v>
      </c>
      <c r="CG16" s="9">
        <v>10792.42</v>
      </c>
      <c r="CH16" s="9">
        <v>5775.36</v>
      </c>
      <c r="CI16" s="9">
        <v>213632.29</v>
      </c>
    </row>
    <row r="18" spans="1:29" x14ac:dyDescent="0.2">
      <c r="A18">
        <v>51</v>
      </c>
      <c r="E18">
        <v>0</v>
      </c>
      <c r="F18">
        <v>1882.99</v>
      </c>
      <c r="G18">
        <v>1134.0999999999999</v>
      </c>
      <c r="H18">
        <v>0</v>
      </c>
      <c r="I18">
        <v>3017.09</v>
      </c>
      <c r="J18">
        <v>641.59</v>
      </c>
      <c r="K18">
        <v>3569.77</v>
      </c>
      <c r="L18">
        <v>0</v>
      </c>
      <c r="M18">
        <v>0</v>
      </c>
      <c r="N18">
        <v>3017.09</v>
      </c>
      <c r="T18">
        <v>0</v>
      </c>
      <c r="U18">
        <v>65.58</v>
      </c>
      <c r="V18">
        <v>148.06</v>
      </c>
      <c r="W18">
        <v>0</v>
      </c>
      <c r="X18">
        <v>213.64</v>
      </c>
      <c r="Y18">
        <v>11.67</v>
      </c>
      <c r="Z18">
        <v>382.38</v>
      </c>
      <c r="AA18">
        <v>0</v>
      </c>
      <c r="AB18">
        <v>0</v>
      </c>
      <c r="AC18">
        <v>213.64</v>
      </c>
    </row>
    <row r="20" spans="1:29" x14ac:dyDescent="0.2">
      <c r="A20" s="5">
        <v>50</v>
      </c>
      <c r="B20" s="5">
        <v>0</v>
      </c>
      <c r="C20" s="5">
        <v>0</v>
      </c>
      <c r="D20" s="5">
        <v>1</v>
      </c>
      <c r="E20" s="5">
        <v>201</v>
      </c>
      <c r="F20" s="5">
        <v>2106029.13</v>
      </c>
      <c r="G20" s="5" t="s">
        <v>132</v>
      </c>
      <c r="H20" s="5" t="s">
        <v>133</v>
      </c>
      <c r="I20" s="5"/>
      <c r="J20" s="5"/>
      <c r="K20" s="5">
        <v>201</v>
      </c>
      <c r="L20" s="5">
        <v>1</v>
      </c>
      <c r="M20" s="5">
        <v>3</v>
      </c>
      <c r="N20" s="5" t="s">
        <v>3</v>
      </c>
      <c r="O20" s="5">
        <v>2</v>
      </c>
      <c r="P20" s="5">
        <v>197064.51</v>
      </c>
    </row>
    <row r="21" spans="1:29" x14ac:dyDescent="0.2">
      <c r="A21" s="5">
        <v>50</v>
      </c>
      <c r="B21" s="5">
        <v>0</v>
      </c>
      <c r="C21" s="5">
        <v>0</v>
      </c>
      <c r="D21" s="5">
        <v>1</v>
      </c>
      <c r="E21" s="5">
        <v>202</v>
      </c>
      <c r="F21" s="5">
        <v>1463741.06</v>
      </c>
      <c r="G21" s="5" t="s">
        <v>134</v>
      </c>
      <c r="H21" s="5" t="s">
        <v>135</v>
      </c>
      <c r="I21" s="5"/>
      <c r="J21" s="5"/>
      <c r="K21" s="5">
        <v>202</v>
      </c>
      <c r="L21" s="5">
        <v>2</v>
      </c>
      <c r="M21" s="5">
        <v>3</v>
      </c>
      <c r="N21" s="5" t="s">
        <v>3</v>
      </c>
      <c r="O21" s="5">
        <v>2</v>
      </c>
      <c r="P21" s="5">
        <v>185317.71</v>
      </c>
    </row>
    <row r="22" spans="1:29" x14ac:dyDescent="0.2">
      <c r="A22" s="5">
        <v>50</v>
      </c>
      <c r="B22" s="5">
        <v>0</v>
      </c>
      <c r="C22" s="5">
        <v>0</v>
      </c>
      <c r="D22" s="5">
        <v>1</v>
      </c>
      <c r="E22" s="5">
        <v>222</v>
      </c>
      <c r="F22" s="5">
        <v>0</v>
      </c>
      <c r="G22" s="5" t="s">
        <v>136</v>
      </c>
      <c r="H22" s="5" t="s">
        <v>137</v>
      </c>
      <c r="I22" s="5"/>
      <c r="J22" s="5"/>
      <c r="K22" s="5">
        <v>222</v>
      </c>
      <c r="L22" s="5">
        <v>3</v>
      </c>
      <c r="M22" s="5">
        <v>3</v>
      </c>
      <c r="N22" s="5" t="s">
        <v>3</v>
      </c>
      <c r="O22" s="5">
        <v>2</v>
      </c>
      <c r="P22" s="5">
        <v>0</v>
      </c>
    </row>
    <row r="23" spans="1:29" x14ac:dyDescent="0.2">
      <c r="A23" s="5">
        <v>50</v>
      </c>
      <c r="B23" s="5">
        <v>0</v>
      </c>
      <c r="C23" s="5">
        <v>0</v>
      </c>
      <c r="D23" s="5">
        <v>1</v>
      </c>
      <c r="E23" s="5">
        <v>225</v>
      </c>
      <c r="F23" s="5">
        <v>1463741.06</v>
      </c>
      <c r="G23" s="5" t="s">
        <v>138</v>
      </c>
      <c r="H23" s="5" t="s">
        <v>139</v>
      </c>
      <c r="I23" s="5"/>
      <c r="J23" s="5"/>
      <c r="K23" s="5">
        <v>225</v>
      </c>
      <c r="L23" s="5">
        <v>4</v>
      </c>
      <c r="M23" s="5">
        <v>3</v>
      </c>
      <c r="N23" s="5" t="s">
        <v>3</v>
      </c>
      <c r="O23" s="5">
        <v>2</v>
      </c>
      <c r="P23" s="5">
        <v>185317.71</v>
      </c>
    </row>
    <row r="24" spans="1:29" x14ac:dyDescent="0.2">
      <c r="A24" s="5">
        <v>50</v>
      </c>
      <c r="B24" s="5">
        <v>0</v>
      </c>
      <c r="C24" s="5">
        <v>0</v>
      </c>
      <c r="D24" s="5">
        <v>1</v>
      </c>
      <c r="E24" s="5">
        <v>226</v>
      </c>
      <c r="F24" s="5">
        <v>329636.46999999997</v>
      </c>
      <c r="G24" s="5" t="s">
        <v>140</v>
      </c>
      <c r="H24" s="5" t="s">
        <v>141</v>
      </c>
      <c r="I24" s="5"/>
      <c r="J24" s="5"/>
      <c r="K24" s="5">
        <v>226</v>
      </c>
      <c r="L24" s="5">
        <v>5</v>
      </c>
      <c r="M24" s="5">
        <v>3</v>
      </c>
      <c r="N24" s="5" t="s">
        <v>3</v>
      </c>
      <c r="O24" s="5">
        <v>2</v>
      </c>
      <c r="P24" s="5">
        <v>37262.28</v>
      </c>
    </row>
    <row r="25" spans="1:29" x14ac:dyDescent="0.2">
      <c r="A25" s="5">
        <v>50</v>
      </c>
      <c r="B25" s="5">
        <v>0</v>
      </c>
      <c r="C25" s="5">
        <v>0</v>
      </c>
      <c r="D25" s="5">
        <v>1</v>
      </c>
      <c r="E25" s="5">
        <v>227</v>
      </c>
      <c r="F25" s="5">
        <v>0</v>
      </c>
      <c r="G25" s="5" t="s">
        <v>142</v>
      </c>
      <c r="H25" s="5" t="s">
        <v>143</v>
      </c>
      <c r="I25" s="5"/>
      <c r="J25" s="5"/>
      <c r="K25" s="5">
        <v>227</v>
      </c>
      <c r="L25" s="5">
        <v>6</v>
      </c>
      <c r="M25" s="5">
        <v>3</v>
      </c>
      <c r="N25" s="5" t="s">
        <v>3</v>
      </c>
      <c r="O25" s="5">
        <v>2</v>
      </c>
      <c r="P25" s="5">
        <v>0</v>
      </c>
    </row>
    <row r="26" spans="1:29" x14ac:dyDescent="0.2">
      <c r="A26" s="5">
        <v>50</v>
      </c>
      <c r="B26" s="5">
        <v>0</v>
      </c>
      <c r="C26" s="5">
        <v>0</v>
      </c>
      <c r="D26" s="5">
        <v>1</v>
      </c>
      <c r="E26" s="5">
        <v>228</v>
      </c>
      <c r="F26" s="5">
        <v>329636.46999999997</v>
      </c>
      <c r="G26" s="5" t="s">
        <v>144</v>
      </c>
      <c r="H26" s="5" t="s">
        <v>145</v>
      </c>
      <c r="I26" s="5"/>
      <c r="J26" s="5"/>
      <c r="K26" s="5">
        <v>228</v>
      </c>
      <c r="L26" s="5">
        <v>7</v>
      </c>
      <c r="M26" s="5">
        <v>3</v>
      </c>
      <c r="N26" s="5" t="s">
        <v>3</v>
      </c>
      <c r="O26" s="5">
        <v>2</v>
      </c>
      <c r="P26" s="5">
        <v>37262.28</v>
      </c>
    </row>
    <row r="27" spans="1:29" x14ac:dyDescent="0.2">
      <c r="A27" s="5">
        <v>50</v>
      </c>
      <c r="B27" s="5">
        <v>0</v>
      </c>
      <c r="C27" s="5">
        <v>0</v>
      </c>
      <c r="D27" s="5">
        <v>1</v>
      </c>
      <c r="E27" s="5">
        <v>216</v>
      </c>
      <c r="F27" s="5">
        <v>1134104.5900000001</v>
      </c>
      <c r="G27" s="5" t="s">
        <v>146</v>
      </c>
      <c r="H27" s="5" t="s">
        <v>147</v>
      </c>
      <c r="I27" s="5"/>
      <c r="J27" s="5"/>
      <c r="K27" s="5">
        <v>216</v>
      </c>
      <c r="L27" s="5">
        <v>8</v>
      </c>
      <c r="M27" s="5">
        <v>3</v>
      </c>
      <c r="N27" s="5" t="s">
        <v>3</v>
      </c>
      <c r="O27" s="5">
        <v>2</v>
      </c>
      <c r="P27" s="5">
        <v>148055.43</v>
      </c>
    </row>
    <row r="28" spans="1:29" x14ac:dyDescent="0.2">
      <c r="A28" s="5">
        <v>50</v>
      </c>
      <c r="B28" s="5">
        <v>0</v>
      </c>
      <c r="C28" s="5">
        <v>0</v>
      </c>
      <c r="D28" s="5">
        <v>1</v>
      </c>
      <c r="E28" s="5">
        <v>223</v>
      </c>
      <c r="F28" s="5">
        <v>0</v>
      </c>
      <c r="G28" s="5" t="s">
        <v>148</v>
      </c>
      <c r="H28" s="5" t="s">
        <v>149</v>
      </c>
      <c r="I28" s="5"/>
      <c r="J28" s="5"/>
      <c r="K28" s="5">
        <v>223</v>
      </c>
      <c r="L28" s="5">
        <v>9</v>
      </c>
      <c r="M28" s="5">
        <v>3</v>
      </c>
      <c r="N28" s="5" t="s">
        <v>3</v>
      </c>
      <c r="O28" s="5">
        <v>2</v>
      </c>
      <c r="P28" s="5">
        <v>0</v>
      </c>
    </row>
    <row r="29" spans="1:29" x14ac:dyDescent="0.2">
      <c r="A29" s="5">
        <v>50</v>
      </c>
      <c r="B29" s="5">
        <v>0</v>
      </c>
      <c r="C29" s="5">
        <v>0</v>
      </c>
      <c r="D29" s="5">
        <v>1</v>
      </c>
      <c r="E29" s="5">
        <v>229</v>
      </c>
      <c r="F29" s="5">
        <v>1134104.5900000001</v>
      </c>
      <c r="G29" s="5" t="s">
        <v>150</v>
      </c>
      <c r="H29" s="5" t="s">
        <v>151</v>
      </c>
      <c r="I29" s="5"/>
      <c r="J29" s="5"/>
      <c r="K29" s="5">
        <v>229</v>
      </c>
      <c r="L29" s="5">
        <v>10</v>
      </c>
      <c r="M29" s="5">
        <v>3</v>
      </c>
      <c r="N29" s="5" t="s">
        <v>3</v>
      </c>
      <c r="O29" s="5">
        <v>2</v>
      </c>
      <c r="P29" s="5">
        <v>148055.43</v>
      </c>
    </row>
    <row r="30" spans="1:29" x14ac:dyDescent="0.2">
      <c r="A30" s="5">
        <v>50</v>
      </c>
      <c r="B30" s="5">
        <v>0</v>
      </c>
      <c r="C30" s="5">
        <v>0</v>
      </c>
      <c r="D30" s="5">
        <v>1</v>
      </c>
      <c r="E30" s="5">
        <v>203</v>
      </c>
      <c r="F30" s="5">
        <v>720.31</v>
      </c>
      <c r="G30" s="5" t="s">
        <v>152</v>
      </c>
      <c r="H30" s="5" t="s">
        <v>153</v>
      </c>
      <c r="I30" s="5"/>
      <c r="J30" s="5"/>
      <c r="K30" s="5">
        <v>203</v>
      </c>
      <c r="L30" s="5">
        <v>11</v>
      </c>
      <c r="M30" s="5">
        <v>3</v>
      </c>
      <c r="N30" s="5" t="s">
        <v>3</v>
      </c>
      <c r="O30" s="5">
        <v>2</v>
      </c>
      <c r="P30" s="5">
        <v>79.81</v>
      </c>
    </row>
    <row r="31" spans="1:29" x14ac:dyDescent="0.2">
      <c r="A31" s="5">
        <v>50</v>
      </c>
      <c r="B31" s="5">
        <v>0</v>
      </c>
      <c r="C31" s="5">
        <v>0</v>
      </c>
      <c r="D31" s="5">
        <v>1</v>
      </c>
      <c r="E31" s="5">
        <v>231</v>
      </c>
      <c r="F31" s="5">
        <v>0</v>
      </c>
      <c r="G31" s="5" t="s">
        <v>154</v>
      </c>
      <c r="H31" s="5" t="s">
        <v>155</v>
      </c>
      <c r="I31" s="5"/>
      <c r="J31" s="5"/>
      <c r="K31" s="5">
        <v>231</v>
      </c>
      <c r="L31" s="5">
        <v>12</v>
      </c>
      <c r="M31" s="5">
        <v>3</v>
      </c>
      <c r="N31" s="5" t="s">
        <v>3</v>
      </c>
      <c r="O31" s="5">
        <v>2</v>
      </c>
      <c r="P31" s="5">
        <v>0</v>
      </c>
    </row>
    <row r="32" spans="1:29" x14ac:dyDescent="0.2">
      <c r="A32" s="5">
        <v>50</v>
      </c>
      <c r="B32" s="5">
        <v>0</v>
      </c>
      <c r="C32" s="5">
        <v>0</v>
      </c>
      <c r="D32" s="5">
        <v>1</v>
      </c>
      <c r="E32" s="5">
        <v>204</v>
      </c>
      <c r="F32" s="5">
        <v>26.95</v>
      </c>
      <c r="G32" s="5" t="s">
        <v>156</v>
      </c>
      <c r="H32" s="5" t="s">
        <v>157</v>
      </c>
      <c r="I32" s="5"/>
      <c r="J32" s="5"/>
      <c r="K32" s="5">
        <v>204</v>
      </c>
      <c r="L32" s="5">
        <v>13</v>
      </c>
      <c r="M32" s="5">
        <v>3</v>
      </c>
      <c r="N32" s="5" t="s">
        <v>3</v>
      </c>
      <c r="O32" s="5">
        <v>2</v>
      </c>
      <c r="P32" s="5">
        <v>0.49</v>
      </c>
    </row>
    <row r="33" spans="1:16" x14ac:dyDescent="0.2">
      <c r="A33" s="5">
        <v>50</v>
      </c>
      <c r="B33" s="5">
        <v>0</v>
      </c>
      <c r="C33" s="5">
        <v>0</v>
      </c>
      <c r="D33" s="5">
        <v>1</v>
      </c>
      <c r="E33" s="5">
        <v>205</v>
      </c>
      <c r="F33" s="5">
        <v>641567.76</v>
      </c>
      <c r="G33" s="5" t="s">
        <v>158</v>
      </c>
      <c r="H33" s="5" t="s">
        <v>159</v>
      </c>
      <c r="I33" s="5"/>
      <c r="J33" s="5"/>
      <c r="K33" s="5">
        <v>205</v>
      </c>
      <c r="L33" s="5">
        <v>14</v>
      </c>
      <c r="M33" s="5">
        <v>3</v>
      </c>
      <c r="N33" s="5" t="s">
        <v>3</v>
      </c>
      <c r="O33" s="5">
        <v>2</v>
      </c>
      <c r="P33" s="5">
        <v>11666.99</v>
      </c>
    </row>
    <row r="34" spans="1:16" x14ac:dyDescent="0.2">
      <c r="A34" s="5">
        <v>50</v>
      </c>
      <c r="B34" s="5">
        <v>0</v>
      </c>
      <c r="C34" s="5">
        <v>0</v>
      </c>
      <c r="D34" s="5">
        <v>1</v>
      </c>
      <c r="E34" s="5">
        <v>232</v>
      </c>
      <c r="F34" s="5">
        <v>0</v>
      </c>
      <c r="G34" s="5" t="s">
        <v>160</v>
      </c>
      <c r="H34" s="5" t="s">
        <v>161</v>
      </c>
      <c r="I34" s="5"/>
      <c r="J34" s="5"/>
      <c r="K34" s="5">
        <v>232</v>
      </c>
      <c r="L34" s="5">
        <v>15</v>
      </c>
      <c r="M34" s="5">
        <v>3</v>
      </c>
      <c r="N34" s="5" t="s">
        <v>3</v>
      </c>
      <c r="O34" s="5">
        <v>2</v>
      </c>
      <c r="P34" s="5">
        <v>0</v>
      </c>
    </row>
    <row r="35" spans="1:16" x14ac:dyDescent="0.2">
      <c r="A35" s="5">
        <v>50</v>
      </c>
      <c r="B35" s="5">
        <v>0</v>
      </c>
      <c r="C35" s="5">
        <v>0</v>
      </c>
      <c r="D35" s="5">
        <v>1</v>
      </c>
      <c r="E35" s="5">
        <v>214</v>
      </c>
      <c r="F35" s="5">
        <v>0</v>
      </c>
      <c r="G35" s="5" t="s">
        <v>162</v>
      </c>
      <c r="H35" s="5" t="s">
        <v>163</v>
      </c>
      <c r="I35" s="5"/>
      <c r="J35" s="5"/>
      <c r="K35" s="5">
        <v>214</v>
      </c>
      <c r="L35" s="5">
        <v>16</v>
      </c>
      <c r="M35" s="5">
        <v>3</v>
      </c>
      <c r="N35" s="5" t="s">
        <v>3</v>
      </c>
      <c r="O35" s="5">
        <v>2</v>
      </c>
      <c r="P35" s="5">
        <v>0</v>
      </c>
    </row>
    <row r="36" spans="1:16" x14ac:dyDescent="0.2">
      <c r="A36" s="5">
        <v>50</v>
      </c>
      <c r="B36" s="5">
        <v>0</v>
      </c>
      <c r="C36" s="5">
        <v>0</v>
      </c>
      <c r="D36" s="5">
        <v>1</v>
      </c>
      <c r="E36" s="5">
        <v>215</v>
      </c>
      <c r="F36" s="5">
        <v>1882987.55</v>
      </c>
      <c r="G36" s="5" t="s">
        <v>164</v>
      </c>
      <c r="H36" s="5" t="s">
        <v>165</v>
      </c>
      <c r="I36" s="5"/>
      <c r="J36" s="5"/>
      <c r="K36" s="5">
        <v>215</v>
      </c>
      <c r="L36" s="5">
        <v>17</v>
      </c>
      <c r="M36" s="5">
        <v>3</v>
      </c>
      <c r="N36" s="5" t="s">
        <v>3</v>
      </c>
      <c r="O36" s="5">
        <v>2</v>
      </c>
      <c r="P36" s="5">
        <v>65576.86</v>
      </c>
    </row>
    <row r="37" spans="1:16" x14ac:dyDescent="0.2">
      <c r="A37" s="5">
        <v>50</v>
      </c>
      <c r="B37" s="5">
        <v>0</v>
      </c>
      <c r="C37" s="5">
        <v>0</v>
      </c>
      <c r="D37" s="5">
        <v>1</v>
      </c>
      <c r="E37" s="5">
        <v>217</v>
      </c>
      <c r="F37" s="5">
        <v>0</v>
      </c>
      <c r="G37" s="5" t="s">
        <v>166</v>
      </c>
      <c r="H37" s="5" t="s">
        <v>167</v>
      </c>
      <c r="I37" s="5"/>
      <c r="J37" s="5"/>
      <c r="K37" s="5">
        <v>217</v>
      </c>
      <c r="L37" s="5">
        <v>18</v>
      </c>
      <c r="M37" s="5">
        <v>3</v>
      </c>
      <c r="N37" s="5" t="s">
        <v>3</v>
      </c>
      <c r="O37" s="5">
        <v>2</v>
      </c>
      <c r="P37" s="5">
        <v>0</v>
      </c>
    </row>
    <row r="38" spans="1:16" x14ac:dyDescent="0.2">
      <c r="A38" s="5">
        <v>50</v>
      </c>
      <c r="B38" s="5">
        <v>0</v>
      </c>
      <c r="C38" s="5">
        <v>0</v>
      </c>
      <c r="D38" s="5">
        <v>1</v>
      </c>
      <c r="E38" s="5">
        <v>230</v>
      </c>
      <c r="F38" s="5">
        <v>0</v>
      </c>
      <c r="G38" s="5" t="s">
        <v>168</v>
      </c>
      <c r="H38" s="5" t="s">
        <v>169</v>
      </c>
      <c r="I38" s="5"/>
      <c r="J38" s="5"/>
      <c r="K38" s="5">
        <v>230</v>
      </c>
      <c r="L38" s="5">
        <v>19</v>
      </c>
      <c r="M38" s="5">
        <v>3</v>
      </c>
      <c r="N38" s="5" t="s">
        <v>3</v>
      </c>
      <c r="O38" s="5">
        <v>2</v>
      </c>
      <c r="P38" s="5">
        <v>0</v>
      </c>
    </row>
    <row r="39" spans="1:16" x14ac:dyDescent="0.2">
      <c r="A39" s="5">
        <v>50</v>
      </c>
      <c r="B39" s="5">
        <v>0</v>
      </c>
      <c r="C39" s="5">
        <v>0</v>
      </c>
      <c r="D39" s="5">
        <v>1</v>
      </c>
      <c r="E39" s="5">
        <v>206</v>
      </c>
      <c r="F39" s="5">
        <v>0</v>
      </c>
      <c r="G39" s="5" t="s">
        <v>170</v>
      </c>
      <c r="H39" s="5" t="s">
        <v>171</v>
      </c>
      <c r="I39" s="5"/>
      <c r="J39" s="5"/>
      <c r="K39" s="5">
        <v>206</v>
      </c>
      <c r="L39" s="5">
        <v>20</v>
      </c>
      <c r="M39" s="5">
        <v>3</v>
      </c>
      <c r="N39" s="5" t="s">
        <v>3</v>
      </c>
      <c r="O39" s="5">
        <v>2</v>
      </c>
      <c r="P39" s="5">
        <v>0</v>
      </c>
    </row>
    <row r="40" spans="1:16" x14ac:dyDescent="0.2">
      <c r="A40" s="5">
        <v>50</v>
      </c>
      <c r="B40" s="5">
        <v>0</v>
      </c>
      <c r="C40" s="5">
        <v>0</v>
      </c>
      <c r="D40" s="5">
        <v>1</v>
      </c>
      <c r="E40" s="5">
        <v>207</v>
      </c>
      <c r="F40" s="5">
        <v>980.90519340000003</v>
      </c>
      <c r="G40" s="5" t="s">
        <v>172</v>
      </c>
      <c r="H40" s="5" t="s">
        <v>173</v>
      </c>
      <c r="I40" s="5"/>
      <c r="J40" s="5"/>
      <c r="K40" s="5">
        <v>207</v>
      </c>
      <c r="L40" s="5">
        <v>21</v>
      </c>
      <c r="M40" s="5">
        <v>3</v>
      </c>
      <c r="N40" s="5" t="s">
        <v>3</v>
      </c>
      <c r="O40" s="5">
        <v>-1</v>
      </c>
      <c r="P40" s="5">
        <v>980.90519340000003</v>
      </c>
    </row>
    <row r="41" spans="1:16" x14ac:dyDescent="0.2">
      <c r="A41" s="5">
        <v>50</v>
      </c>
      <c r="B41" s="5">
        <v>0</v>
      </c>
      <c r="C41" s="5">
        <v>0</v>
      </c>
      <c r="D41" s="5">
        <v>1</v>
      </c>
      <c r="E41" s="5">
        <v>208</v>
      </c>
      <c r="F41" s="5">
        <v>0</v>
      </c>
      <c r="G41" s="5" t="s">
        <v>174</v>
      </c>
      <c r="H41" s="5" t="s">
        <v>175</v>
      </c>
      <c r="I41" s="5"/>
      <c r="J41" s="5"/>
      <c r="K41" s="5">
        <v>208</v>
      </c>
      <c r="L41" s="5">
        <v>22</v>
      </c>
      <c r="M41" s="5">
        <v>3</v>
      </c>
      <c r="N41" s="5" t="s">
        <v>3</v>
      </c>
      <c r="O41" s="5">
        <v>-1</v>
      </c>
      <c r="P41" s="5">
        <v>0</v>
      </c>
    </row>
    <row r="42" spans="1:16" x14ac:dyDescent="0.2">
      <c r="A42" s="5">
        <v>50</v>
      </c>
      <c r="B42" s="5">
        <v>0</v>
      </c>
      <c r="C42" s="5">
        <v>0</v>
      </c>
      <c r="D42" s="5">
        <v>1</v>
      </c>
      <c r="E42" s="5">
        <v>209</v>
      </c>
      <c r="F42" s="5">
        <v>0</v>
      </c>
      <c r="G42" s="5" t="s">
        <v>176</v>
      </c>
      <c r="H42" s="5" t="s">
        <v>177</v>
      </c>
      <c r="I42" s="5"/>
      <c r="J42" s="5"/>
      <c r="K42" s="5">
        <v>209</v>
      </c>
      <c r="L42" s="5">
        <v>23</v>
      </c>
      <c r="M42" s="5">
        <v>3</v>
      </c>
      <c r="N42" s="5" t="s">
        <v>3</v>
      </c>
      <c r="O42" s="5">
        <v>2</v>
      </c>
      <c r="P42" s="5">
        <v>0</v>
      </c>
    </row>
    <row r="43" spans="1:16" x14ac:dyDescent="0.2">
      <c r="A43" s="5">
        <v>50</v>
      </c>
      <c r="B43" s="5">
        <v>0</v>
      </c>
      <c r="C43" s="5">
        <v>0</v>
      </c>
      <c r="D43" s="5">
        <v>1</v>
      </c>
      <c r="E43" s="5">
        <v>233</v>
      </c>
      <c r="F43" s="5">
        <v>0</v>
      </c>
      <c r="G43" s="5" t="s">
        <v>178</v>
      </c>
      <c r="H43" s="5" t="s">
        <v>179</v>
      </c>
      <c r="I43" s="5"/>
      <c r="J43" s="5"/>
      <c r="K43" s="5">
        <v>233</v>
      </c>
      <c r="L43" s="5">
        <v>24</v>
      </c>
      <c r="M43" s="5">
        <v>3</v>
      </c>
      <c r="N43" s="5" t="s">
        <v>3</v>
      </c>
      <c r="O43" s="5">
        <v>2</v>
      </c>
      <c r="P43" s="5">
        <v>0</v>
      </c>
    </row>
    <row r="44" spans="1:16" x14ac:dyDescent="0.2">
      <c r="A44" s="5">
        <v>50</v>
      </c>
      <c r="B44" s="5">
        <v>0</v>
      </c>
      <c r="C44" s="5">
        <v>0</v>
      </c>
      <c r="D44" s="5">
        <v>1</v>
      </c>
      <c r="E44" s="5">
        <v>210</v>
      </c>
      <c r="F44" s="5">
        <v>593474.5</v>
      </c>
      <c r="G44" s="5" t="s">
        <v>180</v>
      </c>
      <c r="H44" s="5" t="s">
        <v>181</v>
      </c>
      <c r="I44" s="5"/>
      <c r="J44" s="5"/>
      <c r="K44" s="5">
        <v>210</v>
      </c>
      <c r="L44" s="5">
        <v>25</v>
      </c>
      <c r="M44" s="5">
        <v>3</v>
      </c>
      <c r="N44" s="5" t="s">
        <v>3</v>
      </c>
      <c r="O44" s="5">
        <v>2</v>
      </c>
      <c r="P44" s="5">
        <v>10792.42</v>
      </c>
    </row>
    <row r="45" spans="1:16" x14ac:dyDescent="0.2">
      <c r="A45" s="5">
        <v>50</v>
      </c>
      <c r="B45" s="5">
        <v>0</v>
      </c>
      <c r="C45" s="5">
        <v>0</v>
      </c>
      <c r="D45" s="5">
        <v>1</v>
      </c>
      <c r="E45" s="5">
        <v>211</v>
      </c>
      <c r="F45" s="5">
        <v>317588.51</v>
      </c>
      <c r="G45" s="5" t="s">
        <v>182</v>
      </c>
      <c r="H45" s="5" t="s">
        <v>183</v>
      </c>
      <c r="I45" s="5"/>
      <c r="J45" s="5"/>
      <c r="K45" s="5">
        <v>211</v>
      </c>
      <c r="L45" s="5">
        <v>26</v>
      </c>
      <c r="M45" s="5">
        <v>3</v>
      </c>
      <c r="N45" s="5" t="s">
        <v>3</v>
      </c>
      <c r="O45" s="5">
        <v>2</v>
      </c>
      <c r="P45" s="5">
        <v>5775.36</v>
      </c>
    </row>
    <row r="46" spans="1:16" x14ac:dyDescent="0.2">
      <c r="A46" s="5">
        <v>50</v>
      </c>
      <c r="B46" s="5">
        <v>0</v>
      </c>
      <c r="C46" s="5">
        <v>0</v>
      </c>
      <c r="D46" s="5">
        <v>1</v>
      </c>
      <c r="E46" s="5">
        <v>224</v>
      </c>
      <c r="F46" s="5">
        <v>3017092.14</v>
      </c>
      <c r="G46" s="5" t="s">
        <v>184</v>
      </c>
      <c r="H46" s="5" t="s">
        <v>185</v>
      </c>
      <c r="I46" s="5"/>
      <c r="J46" s="5"/>
      <c r="K46" s="5">
        <v>224</v>
      </c>
      <c r="L46" s="5">
        <v>27</v>
      </c>
      <c r="M46" s="5">
        <v>3</v>
      </c>
      <c r="N46" s="5" t="s">
        <v>3</v>
      </c>
      <c r="O46" s="5">
        <v>2</v>
      </c>
      <c r="P46" s="5">
        <v>213632.29</v>
      </c>
    </row>
    <row r="48" spans="1:16" x14ac:dyDescent="0.2">
      <c r="A48">
        <v>-1</v>
      </c>
    </row>
    <row r="51" spans="1:50" x14ac:dyDescent="0.2">
      <c r="A51" s="4">
        <v>75</v>
      </c>
      <c r="B51" s="4" t="s">
        <v>261</v>
      </c>
      <c r="C51" s="4">
        <v>2025</v>
      </c>
      <c r="D51" s="4">
        <v>3</v>
      </c>
      <c r="E51" s="4">
        <v>0</v>
      </c>
      <c r="F51" s="4"/>
      <c r="G51" s="4">
        <v>0</v>
      </c>
      <c r="H51" s="4">
        <v>1</v>
      </c>
      <c r="I51" s="4">
        <v>1</v>
      </c>
      <c r="J51" s="4">
        <v>3</v>
      </c>
      <c r="K51" s="4">
        <v>0</v>
      </c>
      <c r="L51" s="4">
        <v>0</v>
      </c>
      <c r="M51" s="4">
        <v>1</v>
      </c>
      <c r="N51" s="4">
        <v>60256402</v>
      </c>
      <c r="O51" s="4">
        <v>1</v>
      </c>
    </row>
    <row r="52" spans="1:50" x14ac:dyDescent="0.2">
      <c r="A52" s="6">
        <v>1</v>
      </c>
      <c r="B52" s="6" t="s">
        <v>262</v>
      </c>
      <c r="C52" s="6" t="s">
        <v>263</v>
      </c>
      <c r="D52" s="6">
        <v>2025</v>
      </c>
      <c r="E52" s="6">
        <v>9</v>
      </c>
      <c r="F52" s="6">
        <v>1</v>
      </c>
      <c r="G52" s="6">
        <v>1</v>
      </c>
      <c r="H52" s="6">
        <v>0</v>
      </c>
      <c r="I52" s="6">
        <v>2</v>
      </c>
      <c r="J52" s="6">
        <v>1</v>
      </c>
      <c r="K52" s="6">
        <v>9.8800000000000008</v>
      </c>
      <c r="L52" s="6">
        <v>7.66</v>
      </c>
      <c r="M52" s="6">
        <v>1</v>
      </c>
      <c r="N52" s="6">
        <v>1</v>
      </c>
      <c r="O52" s="6">
        <v>9.8800000000000008</v>
      </c>
      <c r="P52" s="6">
        <v>7.66</v>
      </c>
      <c r="Q52" s="6">
        <v>1</v>
      </c>
      <c r="R52" s="6" t="s">
        <v>3</v>
      </c>
      <c r="S52" s="6" t="s">
        <v>3</v>
      </c>
      <c r="T52" s="6" t="s">
        <v>3</v>
      </c>
      <c r="U52" s="6" t="s">
        <v>3</v>
      </c>
      <c r="V52" s="6" t="s">
        <v>3</v>
      </c>
      <c r="W52" s="6" t="s">
        <v>3</v>
      </c>
      <c r="X52" s="6" t="s">
        <v>3</v>
      </c>
      <c r="Y52" s="6" t="s">
        <v>3</v>
      </c>
      <c r="Z52" s="6" t="s">
        <v>3</v>
      </c>
      <c r="AA52" s="6" t="s">
        <v>264</v>
      </c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>
        <v>60256403</v>
      </c>
      <c r="AO52" s="6"/>
      <c r="AP52" s="6"/>
      <c r="AQ52" s="6"/>
      <c r="AR52" s="6"/>
      <c r="AS52" s="6"/>
      <c r="AT52" s="6"/>
      <c r="AU52" s="6"/>
      <c r="AV52" s="6"/>
      <c r="AW52" s="6"/>
      <c r="AX52" s="6"/>
    </row>
    <row r="53" spans="1:50" x14ac:dyDescent="0.2">
      <c r="A53" s="6">
        <v>1</v>
      </c>
      <c r="B53" s="6" t="s">
        <v>262</v>
      </c>
      <c r="C53" s="6" t="s">
        <v>265</v>
      </c>
      <c r="D53" s="6">
        <v>2025</v>
      </c>
      <c r="E53" s="6">
        <v>7</v>
      </c>
      <c r="F53" s="6">
        <v>1</v>
      </c>
      <c r="G53" s="6">
        <v>1</v>
      </c>
      <c r="H53" s="6">
        <v>0</v>
      </c>
      <c r="I53" s="6">
        <v>2</v>
      </c>
      <c r="J53" s="6">
        <v>1</v>
      </c>
      <c r="K53" s="6">
        <v>1</v>
      </c>
      <c r="L53" s="6">
        <v>1</v>
      </c>
      <c r="M53" s="6">
        <v>1</v>
      </c>
      <c r="N53" s="6">
        <v>1</v>
      </c>
      <c r="O53" s="6">
        <v>1</v>
      </c>
      <c r="P53" s="6">
        <v>1</v>
      </c>
      <c r="Q53" s="6">
        <v>1</v>
      </c>
      <c r="R53" s="6" t="s">
        <v>3</v>
      </c>
      <c r="S53" s="6" t="s">
        <v>3</v>
      </c>
      <c r="T53" s="6" t="s">
        <v>3</v>
      </c>
      <c r="U53" s="6" t="s">
        <v>3</v>
      </c>
      <c r="V53" s="6" t="s">
        <v>3</v>
      </c>
      <c r="W53" s="6" t="s">
        <v>3</v>
      </c>
      <c r="X53" s="6" t="s">
        <v>3</v>
      </c>
      <c r="Y53" s="6" t="s">
        <v>3</v>
      </c>
      <c r="Z53" s="6" t="s">
        <v>3</v>
      </c>
      <c r="AA53" s="6" t="s">
        <v>266</v>
      </c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>
        <v>60256404</v>
      </c>
      <c r="AO53" s="6"/>
      <c r="AP53" s="6"/>
      <c r="AQ53" s="6"/>
      <c r="AR53" s="6"/>
      <c r="AS53" s="6"/>
      <c r="AT53" s="6"/>
      <c r="AU53" s="6"/>
      <c r="AV53" s="6"/>
      <c r="AW53" s="6"/>
      <c r="AX53" s="6"/>
    </row>
    <row r="54" spans="1:50" x14ac:dyDescent="0.2">
      <c r="A54" s="4">
        <v>75</v>
      </c>
      <c r="B54" s="4" t="s">
        <v>267</v>
      </c>
      <c r="C54" s="4">
        <v>2000</v>
      </c>
      <c r="D54" s="4">
        <v>0</v>
      </c>
      <c r="E54" s="4">
        <v>1</v>
      </c>
      <c r="F54" s="4"/>
      <c r="G54" s="4">
        <v>0</v>
      </c>
      <c r="H54" s="4">
        <v>1</v>
      </c>
      <c r="I54" s="4">
        <v>1</v>
      </c>
      <c r="J54" s="4">
        <v>1</v>
      </c>
      <c r="K54" s="4">
        <v>0</v>
      </c>
      <c r="L54" s="4">
        <v>0</v>
      </c>
      <c r="M54" s="4">
        <v>0</v>
      </c>
      <c r="N54" s="4">
        <v>60256405</v>
      </c>
      <c r="O54" s="4">
        <v>2</v>
      </c>
    </row>
    <row r="55" spans="1:50" x14ac:dyDescent="0.2">
      <c r="A55" s="6">
        <v>1</v>
      </c>
      <c r="B55" s="6" t="s">
        <v>262</v>
      </c>
      <c r="C55" s="6" t="s">
        <v>263</v>
      </c>
      <c r="D55" s="6">
        <v>2000</v>
      </c>
      <c r="E55" s="6">
        <v>1</v>
      </c>
      <c r="F55" s="6">
        <v>1</v>
      </c>
      <c r="G55" s="6">
        <v>1</v>
      </c>
      <c r="H55" s="6">
        <v>0</v>
      </c>
      <c r="I55" s="6">
        <v>2</v>
      </c>
      <c r="J55" s="6">
        <v>1</v>
      </c>
      <c r="K55" s="6">
        <v>1</v>
      </c>
      <c r="L55" s="6">
        <v>1</v>
      </c>
      <c r="M55" s="6">
        <v>1</v>
      </c>
      <c r="N55" s="6">
        <v>1</v>
      </c>
      <c r="O55" s="6">
        <v>1</v>
      </c>
      <c r="P55" s="6">
        <v>1</v>
      </c>
      <c r="Q55" s="6">
        <v>1</v>
      </c>
      <c r="R55" s="6" t="s">
        <v>3</v>
      </c>
      <c r="S55" s="6" t="s">
        <v>3</v>
      </c>
      <c r="T55" s="6" t="s">
        <v>3</v>
      </c>
      <c r="U55" s="6" t="s">
        <v>3</v>
      </c>
      <c r="V55" s="6" t="s">
        <v>3</v>
      </c>
      <c r="W55" s="6" t="s">
        <v>3</v>
      </c>
      <c r="X55" s="6" t="s">
        <v>3</v>
      </c>
      <c r="Y55" s="6" t="s">
        <v>3</v>
      </c>
      <c r="Z55" s="6" t="s">
        <v>3</v>
      </c>
      <c r="AA55" s="6" t="s">
        <v>35</v>
      </c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>
        <v>60256406</v>
      </c>
      <c r="AO55" s="6"/>
      <c r="AP55" s="6"/>
      <c r="AQ55" s="6"/>
      <c r="AR55" s="6"/>
      <c r="AS55" s="6"/>
      <c r="AT55" s="6"/>
      <c r="AU55" s="6"/>
      <c r="AV55" s="6"/>
      <c r="AW55" s="6"/>
      <c r="AX55" s="6"/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O126"/>
  <sheetViews>
    <sheetView workbookViewId="0"/>
  </sheetViews>
  <sheetFormatPr defaultColWidth="9.140625" defaultRowHeight="12.75" x14ac:dyDescent="0.2"/>
  <cols>
    <col min="1" max="256" width="9.140625" customWidth="1"/>
  </cols>
  <sheetData>
    <row r="1" spans="1:119" x14ac:dyDescent="0.2">
      <c r="A1">
        <f>ROW(Source!A28)</f>
        <v>28</v>
      </c>
      <c r="B1">
        <v>60256405</v>
      </c>
      <c r="C1">
        <v>60256519</v>
      </c>
      <c r="D1">
        <v>58999254</v>
      </c>
      <c r="E1">
        <v>1080</v>
      </c>
      <c r="F1">
        <v>1</v>
      </c>
      <c r="G1">
        <v>1080</v>
      </c>
      <c r="H1">
        <v>1</v>
      </c>
      <c r="I1" t="s">
        <v>269</v>
      </c>
      <c r="J1" t="s">
        <v>3</v>
      </c>
      <c r="K1" t="s">
        <v>270</v>
      </c>
      <c r="L1">
        <v>1191</v>
      </c>
      <c r="N1">
        <v>1013</v>
      </c>
      <c r="O1" t="s">
        <v>271</v>
      </c>
      <c r="P1" t="s">
        <v>271</v>
      </c>
      <c r="Q1">
        <v>1</v>
      </c>
      <c r="W1">
        <v>0</v>
      </c>
      <c r="X1">
        <v>476480486</v>
      </c>
      <c r="Y1">
        <f>(AT1*1.1)</f>
        <v>2.2000000000000002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1</v>
      </c>
      <c r="AJ1">
        <v>1</v>
      </c>
      <c r="AK1">
        <v>1</v>
      </c>
      <c r="AL1">
        <v>1</v>
      </c>
      <c r="AM1">
        <v>-2</v>
      </c>
      <c r="AN1">
        <v>0</v>
      </c>
      <c r="AO1">
        <v>1</v>
      </c>
      <c r="AP1">
        <v>1</v>
      </c>
      <c r="AQ1">
        <v>0</v>
      </c>
      <c r="AR1">
        <v>0</v>
      </c>
      <c r="AS1" t="s">
        <v>3</v>
      </c>
      <c r="AT1">
        <v>2</v>
      </c>
      <c r="AU1" t="s">
        <v>25</v>
      </c>
      <c r="AV1">
        <v>1</v>
      </c>
      <c r="AW1">
        <v>2</v>
      </c>
      <c r="AX1">
        <v>60256831</v>
      </c>
      <c r="AY1">
        <v>1</v>
      </c>
      <c r="AZ1">
        <v>0</v>
      </c>
      <c r="BA1">
        <v>1</v>
      </c>
      <c r="BB1">
        <v>0</v>
      </c>
      <c r="BC1">
        <v>0</v>
      </c>
      <c r="BD1">
        <v>0</v>
      </c>
      <c r="BE1">
        <v>0</v>
      </c>
      <c r="BF1">
        <v>0</v>
      </c>
      <c r="BG1">
        <v>0</v>
      </c>
      <c r="BH1">
        <v>0</v>
      </c>
      <c r="BI1">
        <v>0</v>
      </c>
      <c r="BJ1">
        <v>0</v>
      </c>
      <c r="BK1">
        <v>0</v>
      </c>
      <c r="BL1">
        <v>0</v>
      </c>
      <c r="BM1">
        <v>0</v>
      </c>
      <c r="BN1">
        <v>0</v>
      </c>
      <c r="BO1">
        <v>0</v>
      </c>
      <c r="BP1">
        <v>0</v>
      </c>
      <c r="BQ1">
        <v>0</v>
      </c>
      <c r="BR1">
        <v>0</v>
      </c>
      <c r="BS1">
        <v>0</v>
      </c>
      <c r="BT1">
        <v>0</v>
      </c>
      <c r="BU1">
        <v>0</v>
      </c>
      <c r="BV1">
        <v>0</v>
      </c>
      <c r="BW1">
        <v>0</v>
      </c>
      <c r="CU1">
        <f>ROUND(AT1*Source!I28*AH1*AL1,2)</f>
        <v>0</v>
      </c>
      <c r="CV1">
        <f>ROUND(Y1*Source!I28,9)</f>
        <v>2.2000000000000002</v>
      </c>
      <c r="CW1">
        <v>0</v>
      </c>
      <c r="CX1">
        <f>ROUND(Y1*Source!I28,9)</f>
        <v>2.2000000000000002</v>
      </c>
      <c r="CY1">
        <f>AD1</f>
        <v>0</v>
      </c>
      <c r="CZ1">
        <f>AH1</f>
        <v>0</v>
      </c>
      <c r="DA1">
        <f>AL1</f>
        <v>1</v>
      </c>
      <c r="DB1">
        <f>ROUND((ROUND(AT1*CZ1,2)*1.1),6)</f>
        <v>0</v>
      </c>
      <c r="DC1">
        <f>ROUND((ROUND(AT1*AG1,2)*1.1),6)</f>
        <v>0</v>
      </c>
      <c r="DD1" t="s">
        <v>3</v>
      </c>
      <c r="DE1" t="s">
        <v>3</v>
      </c>
      <c r="DF1">
        <f t="shared" ref="DF1:DF9" si="0">ROUND(ROUND(AE1,2)*CX1,2)</f>
        <v>0</v>
      </c>
      <c r="DG1">
        <f t="shared" ref="DG1:DG8" si="1">ROUND(ROUND(AF1,2)*CX1,2)</f>
        <v>0</v>
      </c>
      <c r="DH1">
        <f t="shared" ref="DH1:DH8" si="2">ROUND(ROUND(AG1,2)*CX1,2)</f>
        <v>0</v>
      </c>
      <c r="DI1">
        <f t="shared" ref="DI1:DI32" si="3">ROUND(ROUND(AH1,2)*CX1,2)</f>
        <v>0</v>
      </c>
      <c r="DJ1">
        <f>DI1</f>
        <v>0</v>
      </c>
      <c r="DK1">
        <v>0</v>
      </c>
      <c r="DL1" t="s">
        <v>3</v>
      </c>
      <c r="DM1">
        <v>0</v>
      </c>
      <c r="DN1" t="s">
        <v>3</v>
      </c>
      <c r="DO1">
        <v>0</v>
      </c>
    </row>
    <row r="2" spans="1:119" x14ac:dyDescent="0.2">
      <c r="A2">
        <f>ROW(Source!A28)</f>
        <v>28</v>
      </c>
      <c r="B2">
        <v>60256405</v>
      </c>
      <c r="C2">
        <v>60256519</v>
      </c>
      <c r="D2">
        <v>59070671</v>
      </c>
      <c r="E2">
        <v>1</v>
      </c>
      <c r="F2">
        <v>1</v>
      </c>
      <c r="G2">
        <v>1080</v>
      </c>
      <c r="H2">
        <v>2</v>
      </c>
      <c r="I2" t="s">
        <v>272</v>
      </c>
      <c r="J2" t="s">
        <v>273</v>
      </c>
      <c r="K2" t="s">
        <v>274</v>
      </c>
      <c r="L2">
        <v>1368</v>
      </c>
      <c r="N2">
        <v>1011</v>
      </c>
      <c r="O2" t="s">
        <v>275</v>
      </c>
      <c r="P2" t="s">
        <v>275</v>
      </c>
      <c r="Q2">
        <v>1</v>
      </c>
      <c r="W2">
        <v>0</v>
      </c>
      <c r="X2">
        <v>1346534067</v>
      </c>
      <c r="Y2">
        <f>(AT2*1.1)</f>
        <v>2.2000000000000002E-2</v>
      </c>
      <c r="AA2">
        <v>0</v>
      </c>
      <c r="AB2">
        <v>124.67</v>
      </c>
      <c r="AC2">
        <v>13.21</v>
      </c>
      <c r="AD2">
        <v>0</v>
      </c>
      <c r="AE2">
        <v>0</v>
      </c>
      <c r="AF2">
        <v>119.07</v>
      </c>
      <c r="AG2">
        <v>12.62</v>
      </c>
      <c r="AH2">
        <v>0</v>
      </c>
      <c r="AI2">
        <v>1</v>
      </c>
      <c r="AJ2">
        <v>1</v>
      </c>
      <c r="AK2">
        <v>1</v>
      </c>
      <c r="AL2">
        <v>1</v>
      </c>
      <c r="AM2">
        <v>-2</v>
      </c>
      <c r="AN2">
        <v>0</v>
      </c>
      <c r="AO2">
        <v>1</v>
      </c>
      <c r="AP2">
        <v>1</v>
      </c>
      <c r="AQ2">
        <v>0</v>
      </c>
      <c r="AR2">
        <v>0</v>
      </c>
      <c r="AS2" t="s">
        <v>3</v>
      </c>
      <c r="AT2">
        <v>0.02</v>
      </c>
      <c r="AU2" t="s">
        <v>25</v>
      </c>
      <c r="AV2">
        <v>0</v>
      </c>
      <c r="AW2">
        <v>2</v>
      </c>
      <c r="AX2">
        <v>60256832</v>
      </c>
      <c r="AY2">
        <v>1</v>
      </c>
      <c r="AZ2">
        <v>0</v>
      </c>
      <c r="BA2">
        <v>2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CV2">
        <v>0</v>
      </c>
      <c r="CW2">
        <f>ROUND(Y2*Source!I28*DO2,9)</f>
        <v>0.27764</v>
      </c>
      <c r="CX2">
        <f>ROUND(Y2*Source!I28,9)</f>
        <v>2.1999999999999999E-2</v>
      </c>
      <c r="CY2">
        <f>AB2</f>
        <v>124.67</v>
      </c>
      <c r="CZ2">
        <f>AF2</f>
        <v>119.07</v>
      </c>
      <c r="DA2">
        <f>AJ2</f>
        <v>1</v>
      </c>
      <c r="DB2">
        <f>ROUND((ROUND(AT2*CZ2,2)*1.1),6)</f>
        <v>2.6179999999999999</v>
      </c>
      <c r="DC2">
        <f>ROUND((ROUND(AT2*AG2,2)*1.1),6)</f>
        <v>0.27500000000000002</v>
      </c>
      <c r="DD2" t="s">
        <v>3</v>
      </c>
      <c r="DE2" t="s">
        <v>3</v>
      </c>
      <c r="DF2">
        <f t="shared" si="0"/>
        <v>0</v>
      </c>
      <c r="DG2">
        <f t="shared" si="1"/>
        <v>2.62</v>
      </c>
      <c r="DH2">
        <f t="shared" si="2"/>
        <v>0.28000000000000003</v>
      </c>
      <c r="DI2">
        <f t="shared" si="3"/>
        <v>0</v>
      </c>
      <c r="DJ2">
        <f>DG2</f>
        <v>2.62</v>
      </c>
      <c r="DK2">
        <v>0</v>
      </c>
      <c r="DL2" t="s">
        <v>276</v>
      </c>
      <c r="DM2">
        <v>0</v>
      </c>
      <c r="DN2" t="s">
        <v>271</v>
      </c>
      <c r="DO2">
        <v>12.62</v>
      </c>
    </row>
    <row r="3" spans="1:119" x14ac:dyDescent="0.2">
      <c r="A3">
        <f>ROW(Source!A28)</f>
        <v>28</v>
      </c>
      <c r="B3">
        <v>60256405</v>
      </c>
      <c r="C3">
        <v>60256519</v>
      </c>
      <c r="D3">
        <v>59039985</v>
      </c>
      <c r="E3">
        <v>1</v>
      </c>
      <c r="F3">
        <v>1</v>
      </c>
      <c r="G3">
        <v>1080</v>
      </c>
      <c r="H3">
        <v>3</v>
      </c>
      <c r="I3" t="s">
        <v>277</v>
      </c>
      <c r="J3" t="s">
        <v>278</v>
      </c>
      <c r="K3" t="s">
        <v>279</v>
      </c>
      <c r="L3">
        <v>1346</v>
      </c>
      <c r="N3">
        <v>1009</v>
      </c>
      <c r="O3" t="s">
        <v>70</v>
      </c>
      <c r="P3" t="s">
        <v>70</v>
      </c>
      <c r="Q3">
        <v>1</v>
      </c>
      <c r="W3">
        <v>0</v>
      </c>
      <c r="X3">
        <v>444134433</v>
      </c>
      <c r="Y3">
        <f>(AT3*1)</f>
        <v>0.66</v>
      </c>
      <c r="AA3">
        <v>104.63</v>
      </c>
      <c r="AB3">
        <v>0</v>
      </c>
      <c r="AC3">
        <v>0</v>
      </c>
      <c r="AD3">
        <v>0</v>
      </c>
      <c r="AE3">
        <v>104.63</v>
      </c>
      <c r="AF3">
        <v>0</v>
      </c>
      <c r="AG3">
        <v>0</v>
      </c>
      <c r="AH3">
        <v>0</v>
      </c>
      <c r="AI3">
        <v>1</v>
      </c>
      <c r="AJ3">
        <v>1</v>
      </c>
      <c r="AK3">
        <v>1</v>
      </c>
      <c r="AL3">
        <v>1</v>
      </c>
      <c r="AM3">
        <v>-2</v>
      </c>
      <c r="AN3">
        <v>0</v>
      </c>
      <c r="AO3">
        <v>1</v>
      </c>
      <c r="AP3">
        <v>1</v>
      </c>
      <c r="AQ3">
        <v>0</v>
      </c>
      <c r="AR3">
        <v>0</v>
      </c>
      <c r="AS3" t="s">
        <v>3</v>
      </c>
      <c r="AT3">
        <v>0.66</v>
      </c>
      <c r="AU3" t="s">
        <v>24</v>
      </c>
      <c r="AV3">
        <v>0</v>
      </c>
      <c r="AW3">
        <v>2</v>
      </c>
      <c r="AX3">
        <v>60256833</v>
      </c>
      <c r="AY3">
        <v>1</v>
      </c>
      <c r="AZ3">
        <v>0</v>
      </c>
      <c r="BA3">
        <v>3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CV3">
        <v>0</v>
      </c>
      <c r="CW3">
        <v>0</v>
      </c>
      <c r="CX3">
        <f>ROUND(Y3*Source!I28,9)</f>
        <v>0.66</v>
      </c>
      <c r="CY3">
        <f>AA3</f>
        <v>104.63</v>
      </c>
      <c r="CZ3">
        <f>AE3</f>
        <v>104.63</v>
      </c>
      <c r="DA3">
        <f>AI3</f>
        <v>1</v>
      </c>
      <c r="DB3">
        <f>ROUND((ROUND(AT3*CZ3,2)*1),6)</f>
        <v>69.06</v>
      </c>
      <c r="DC3">
        <f>ROUND((ROUND(AT3*AG3,2)*1),6)</f>
        <v>0</v>
      </c>
      <c r="DD3" t="s">
        <v>3</v>
      </c>
      <c r="DE3" t="s">
        <v>3</v>
      </c>
      <c r="DF3">
        <f t="shared" si="0"/>
        <v>69.06</v>
      </c>
      <c r="DG3">
        <f t="shared" si="1"/>
        <v>0</v>
      </c>
      <c r="DH3">
        <f t="shared" si="2"/>
        <v>0</v>
      </c>
      <c r="DI3">
        <f t="shared" si="3"/>
        <v>0</v>
      </c>
      <c r="DJ3">
        <f>DF3</f>
        <v>69.06</v>
      </c>
      <c r="DK3">
        <v>0</v>
      </c>
      <c r="DL3" t="s">
        <v>3</v>
      </c>
      <c r="DM3">
        <v>0</v>
      </c>
      <c r="DN3" t="s">
        <v>3</v>
      </c>
      <c r="DO3">
        <v>0</v>
      </c>
    </row>
    <row r="4" spans="1:119" x14ac:dyDescent="0.2">
      <c r="A4">
        <f>ROW(Source!A28)</f>
        <v>28</v>
      </c>
      <c r="B4">
        <v>60256405</v>
      </c>
      <c r="C4">
        <v>60256519</v>
      </c>
      <c r="D4">
        <v>59040737</v>
      </c>
      <c r="E4">
        <v>1</v>
      </c>
      <c r="F4">
        <v>1</v>
      </c>
      <c r="G4">
        <v>1080</v>
      </c>
      <c r="H4">
        <v>3</v>
      </c>
      <c r="I4" t="s">
        <v>280</v>
      </c>
      <c r="J4" t="s">
        <v>281</v>
      </c>
      <c r="K4" t="s">
        <v>282</v>
      </c>
      <c r="L4">
        <v>1348</v>
      </c>
      <c r="N4">
        <v>1009</v>
      </c>
      <c r="O4" t="s">
        <v>283</v>
      </c>
      <c r="P4" t="s">
        <v>283</v>
      </c>
      <c r="Q4">
        <v>1000</v>
      </c>
      <c r="W4">
        <v>0</v>
      </c>
      <c r="X4">
        <v>-1151823103</v>
      </c>
      <c r="Y4">
        <f>(AT4*1)</f>
        <v>5.0000000000000002E-5</v>
      </c>
      <c r="AA4">
        <v>13649.62</v>
      </c>
      <c r="AB4">
        <v>0</v>
      </c>
      <c r="AC4">
        <v>0</v>
      </c>
      <c r="AD4">
        <v>0</v>
      </c>
      <c r="AE4">
        <v>13649.62</v>
      </c>
      <c r="AF4">
        <v>0</v>
      </c>
      <c r="AG4">
        <v>0</v>
      </c>
      <c r="AH4">
        <v>0</v>
      </c>
      <c r="AI4">
        <v>1</v>
      </c>
      <c r="AJ4">
        <v>1</v>
      </c>
      <c r="AK4">
        <v>1</v>
      </c>
      <c r="AL4">
        <v>1</v>
      </c>
      <c r="AM4">
        <v>-2</v>
      </c>
      <c r="AN4">
        <v>0</v>
      </c>
      <c r="AO4">
        <v>1</v>
      </c>
      <c r="AP4">
        <v>1</v>
      </c>
      <c r="AQ4">
        <v>0</v>
      </c>
      <c r="AR4">
        <v>0</v>
      </c>
      <c r="AS4" t="s">
        <v>3</v>
      </c>
      <c r="AT4">
        <v>5.0000000000000002E-5</v>
      </c>
      <c r="AU4" t="s">
        <v>24</v>
      </c>
      <c r="AV4">
        <v>0</v>
      </c>
      <c r="AW4">
        <v>2</v>
      </c>
      <c r="AX4">
        <v>60256834</v>
      </c>
      <c r="AY4">
        <v>1</v>
      </c>
      <c r="AZ4">
        <v>0</v>
      </c>
      <c r="BA4">
        <v>4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CV4">
        <v>0</v>
      </c>
      <c r="CW4">
        <v>0</v>
      </c>
      <c r="CX4">
        <f>ROUND(Y4*Source!I28,9)</f>
        <v>5.0000000000000002E-5</v>
      </c>
      <c r="CY4">
        <f>AA4</f>
        <v>13649.62</v>
      </c>
      <c r="CZ4">
        <f>AE4</f>
        <v>13649.62</v>
      </c>
      <c r="DA4">
        <f>AI4</f>
        <v>1</v>
      </c>
      <c r="DB4">
        <f>ROUND((ROUND(AT4*CZ4,2)*1),6)</f>
        <v>0.68</v>
      </c>
      <c r="DC4">
        <f>ROUND((ROUND(AT4*AG4,2)*1),6)</f>
        <v>0</v>
      </c>
      <c r="DD4" t="s">
        <v>3</v>
      </c>
      <c r="DE4" t="s">
        <v>3</v>
      </c>
      <c r="DF4">
        <f t="shared" si="0"/>
        <v>0.68</v>
      </c>
      <c r="DG4">
        <f t="shared" si="1"/>
        <v>0</v>
      </c>
      <c r="DH4">
        <f t="shared" si="2"/>
        <v>0</v>
      </c>
      <c r="DI4">
        <f t="shared" si="3"/>
        <v>0</v>
      </c>
      <c r="DJ4">
        <f>DF4</f>
        <v>0.68</v>
      </c>
      <c r="DK4">
        <v>0</v>
      </c>
      <c r="DL4" t="s">
        <v>3</v>
      </c>
      <c r="DM4">
        <v>0</v>
      </c>
      <c r="DN4" t="s">
        <v>3</v>
      </c>
      <c r="DO4">
        <v>0</v>
      </c>
    </row>
    <row r="5" spans="1:119" x14ac:dyDescent="0.2">
      <c r="A5">
        <f>ROW(Source!A28)</f>
        <v>28</v>
      </c>
      <c r="B5">
        <v>60256405</v>
      </c>
      <c r="C5">
        <v>60256519</v>
      </c>
      <c r="D5">
        <v>59041430</v>
      </c>
      <c r="E5">
        <v>1</v>
      </c>
      <c r="F5">
        <v>1</v>
      </c>
      <c r="G5">
        <v>1080</v>
      </c>
      <c r="H5">
        <v>3</v>
      </c>
      <c r="I5" t="s">
        <v>284</v>
      </c>
      <c r="J5" t="s">
        <v>285</v>
      </c>
      <c r="K5" t="s">
        <v>286</v>
      </c>
      <c r="L5">
        <v>1348</v>
      </c>
      <c r="N5">
        <v>1009</v>
      </c>
      <c r="O5" t="s">
        <v>283</v>
      </c>
      <c r="P5" t="s">
        <v>283</v>
      </c>
      <c r="Q5">
        <v>1000</v>
      </c>
      <c r="W5">
        <v>0</v>
      </c>
      <c r="X5">
        <v>-1088991852</v>
      </c>
      <c r="Y5">
        <f>(AT5*1)</f>
        <v>2.0999999999999999E-5</v>
      </c>
      <c r="AA5">
        <v>18898.84</v>
      </c>
      <c r="AB5">
        <v>0</v>
      </c>
      <c r="AC5">
        <v>0</v>
      </c>
      <c r="AD5">
        <v>0</v>
      </c>
      <c r="AE5">
        <v>18898.84</v>
      </c>
      <c r="AF5">
        <v>0</v>
      </c>
      <c r="AG5">
        <v>0</v>
      </c>
      <c r="AH5">
        <v>0</v>
      </c>
      <c r="AI5">
        <v>1</v>
      </c>
      <c r="AJ5">
        <v>1</v>
      </c>
      <c r="AK5">
        <v>1</v>
      </c>
      <c r="AL5">
        <v>1</v>
      </c>
      <c r="AM5">
        <v>-2</v>
      </c>
      <c r="AN5">
        <v>0</v>
      </c>
      <c r="AO5">
        <v>1</v>
      </c>
      <c r="AP5">
        <v>1</v>
      </c>
      <c r="AQ5">
        <v>0</v>
      </c>
      <c r="AR5">
        <v>0</v>
      </c>
      <c r="AS5" t="s">
        <v>3</v>
      </c>
      <c r="AT5">
        <v>2.0999999999999999E-5</v>
      </c>
      <c r="AU5" t="s">
        <v>24</v>
      </c>
      <c r="AV5">
        <v>0</v>
      </c>
      <c r="AW5">
        <v>2</v>
      </c>
      <c r="AX5">
        <v>60256835</v>
      </c>
      <c r="AY5">
        <v>1</v>
      </c>
      <c r="AZ5">
        <v>0</v>
      </c>
      <c r="BA5">
        <v>5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CV5">
        <v>0</v>
      </c>
      <c r="CW5">
        <v>0</v>
      </c>
      <c r="CX5">
        <f>ROUND(Y5*Source!I28,9)</f>
        <v>2.0999999999999999E-5</v>
      </c>
      <c r="CY5">
        <f>AA5</f>
        <v>18898.84</v>
      </c>
      <c r="CZ5">
        <f>AE5</f>
        <v>18898.84</v>
      </c>
      <c r="DA5">
        <f>AI5</f>
        <v>1</v>
      </c>
      <c r="DB5">
        <f>ROUND((ROUND(AT5*CZ5,2)*1),6)</f>
        <v>0.4</v>
      </c>
      <c r="DC5">
        <f>ROUND((ROUND(AT5*AG5,2)*1),6)</f>
        <v>0</v>
      </c>
      <c r="DD5" t="s">
        <v>3</v>
      </c>
      <c r="DE5" t="s">
        <v>3</v>
      </c>
      <c r="DF5">
        <f t="shared" si="0"/>
        <v>0.4</v>
      </c>
      <c r="DG5">
        <f t="shared" si="1"/>
        <v>0</v>
      </c>
      <c r="DH5">
        <f t="shared" si="2"/>
        <v>0</v>
      </c>
      <c r="DI5">
        <f t="shared" si="3"/>
        <v>0</v>
      </c>
      <c r="DJ5">
        <f>DF5</f>
        <v>0.4</v>
      </c>
      <c r="DK5">
        <v>0</v>
      </c>
      <c r="DL5" t="s">
        <v>3</v>
      </c>
      <c r="DM5">
        <v>0</v>
      </c>
      <c r="DN5" t="s">
        <v>3</v>
      </c>
      <c r="DO5">
        <v>0</v>
      </c>
    </row>
    <row r="6" spans="1:119" x14ac:dyDescent="0.2">
      <c r="A6">
        <f>ROW(Source!A28)</f>
        <v>28</v>
      </c>
      <c r="B6">
        <v>60256405</v>
      </c>
      <c r="C6">
        <v>60256519</v>
      </c>
      <c r="D6">
        <v>59041431</v>
      </c>
      <c r="E6">
        <v>1</v>
      </c>
      <c r="F6">
        <v>1</v>
      </c>
      <c r="G6">
        <v>1080</v>
      </c>
      <c r="H6">
        <v>3</v>
      </c>
      <c r="I6" t="s">
        <v>287</v>
      </c>
      <c r="J6" t="s">
        <v>288</v>
      </c>
      <c r="K6" t="s">
        <v>289</v>
      </c>
      <c r="L6">
        <v>1348</v>
      </c>
      <c r="N6">
        <v>1009</v>
      </c>
      <c r="O6" t="s">
        <v>283</v>
      </c>
      <c r="P6" t="s">
        <v>283</v>
      </c>
      <c r="Q6">
        <v>1000</v>
      </c>
      <c r="W6">
        <v>0</v>
      </c>
      <c r="X6">
        <v>-233339728</v>
      </c>
      <c r="Y6">
        <f>(AT6*1)</f>
        <v>1.9999999999999999E-6</v>
      </c>
      <c r="AA6">
        <v>17047.89</v>
      </c>
      <c r="AB6">
        <v>0</v>
      </c>
      <c r="AC6">
        <v>0</v>
      </c>
      <c r="AD6">
        <v>0</v>
      </c>
      <c r="AE6">
        <v>17047.89</v>
      </c>
      <c r="AF6">
        <v>0</v>
      </c>
      <c r="AG6">
        <v>0</v>
      </c>
      <c r="AH6">
        <v>0</v>
      </c>
      <c r="AI6">
        <v>1</v>
      </c>
      <c r="AJ6">
        <v>1</v>
      </c>
      <c r="AK6">
        <v>1</v>
      </c>
      <c r="AL6">
        <v>1</v>
      </c>
      <c r="AM6">
        <v>-2</v>
      </c>
      <c r="AN6">
        <v>0</v>
      </c>
      <c r="AO6">
        <v>1</v>
      </c>
      <c r="AP6">
        <v>1</v>
      </c>
      <c r="AQ6">
        <v>0</v>
      </c>
      <c r="AR6">
        <v>0</v>
      </c>
      <c r="AS6" t="s">
        <v>3</v>
      </c>
      <c r="AT6">
        <v>1.9999999999999999E-6</v>
      </c>
      <c r="AU6" t="s">
        <v>24</v>
      </c>
      <c r="AV6">
        <v>0</v>
      </c>
      <c r="AW6">
        <v>2</v>
      </c>
      <c r="AX6">
        <v>60256836</v>
      </c>
      <c r="AY6">
        <v>1</v>
      </c>
      <c r="AZ6">
        <v>0</v>
      </c>
      <c r="BA6">
        <v>6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CV6">
        <v>0</v>
      </c>
      <c r="CW6">
        <v>0</v>
      </c>
      <c r="CX6">
        <f>ROUND(Y6*Source!I28,9)</f>
        <v>1.9999999999999999E-6</v>
      </c>
      <c r="CY6">
        <f>AA6</f>
        <v>17047.89</v>
      </c>
      <c r="CZ6">
        <f>AE6</f>
        <v>17047.89</v>
      </c>
      <c r="DA6">
        <f>AI6</f>
        <v>1</v>
      </c>
      <c r="DB6">
        <f>ROUND((ROUND(AT6*CZ6,2)*1),6)</f>
        <v>0.03</v>
      </c>
      <c r="DC6">
        <f>ROUND((ROUND(AT6*AG6,2)*1),6)</f>
        <v>0</v>
      </c>
      <c r="DD6" t="s">
        <v>3</v>
      </c>
      <c r="DE6" t="s">
        <v>3</v>
      </c>
      <c r="DF6">
        <f t="shared" si="0"/>
        <v>0.03</v>
      </c>
      <c r="DG6">
        <f t="shared" si="1"/>
        <v>0</v>
      </c>
      <c r="DH6">
        <f t="shared" si="2"/>
        <v>0</v>
      </c>
      <c r="DI6">
        <f t="shared" si="3"/>
        <v>0</v>
      </c>
      <c r="DJ6">
        <f>DF6</f>
        <v>0.03</v>
      </c>
      <c r="DK6">
        <v>0</v>
      </c>
      <c r="DL6" t="s">
        <v>3</v>
      </c>
      <c r="DM6">
        <v>0</v>
      </c>
      <c r="DN6" t="s">
        <v>3</v>
      </c>
      <c r="DO6">
        <v>0</v>
      </c>
    </row>
    <row r="7" spans="1:119" x14ac:dyDescent="0.2">
      <c r="A7">
        <f>ROW(Source!A28)</f>
        <v>28</v>
      </c>
      <c r="B7">
        <v>60256405</v>
      </c>
      <c r="C7">
        <v>60256519</v>
      </c>
      <c r="D7">
        <v>59004256</v>
      </c>
      <c r="E7">
        <v>1080</v>
      </c>
      <c r="F7">
        <v>1</v>
      </c>
      <c r="G7">
        <v>1080</v>
      </c>
      <c r="H7">
        <v>3</v>
      </c>
      <c r="I7" t="s">
        <v>290</v>
      </c>
      <c r="J7" t="s">
        <v>3</v>
      </c>
      <c r="K7" t="s">
        <v>291</v>
      </c>
      <c r="L7">
        <v>1348</v>
      </c>
      <c r="N7">
        <v>1009</v>
      </c>
      <c r="O7" t="s">
        <v>283</v>
      </c>
      <c r="P7" t="s">
        <v>283</v>
      </c>
      <c r="Q7">
        <v>1000</v>
      </c>
      <c r="W7">
        <v>0</v>
      </c>
      <c r="X7">
        <v>-783086922</v>
      </c>
      <c r="Y7">
        <f>(AT7*1)</f>
        <v>0.02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1</v>
      </c>
      <c r="AJ7">
        <v>1</v>
      </c>
      <c r="AK7">
        <v>1</v>
      </c>
      <c r="AL7">
        <v>1</v>
      </c>
      <c r="AM7">
        <v>-2</v>
      </c>
      <c r="AN7">
        <v>0</v>
      </c>
      <c r="AO7">
        <v>1</v>
      </c>
      <c r="AP7">
        <v>1</v>
      </c>
      <c r="AQ7">
        <v>0</v>
      </c>
      <c r="AR7">
        <v>0</v>
      </c>
      <c r="AS7" t="s">
        <v>3</v>
      </c>
      <c r="AT7">
        <v>0.02</v>
      </c>
      <c r="AU7" t="s">
        <v>24</v>
      </c>
      <c r="AV7">
        <v>0</v>
      </c>
      <c r="AW7">
        <v>2</v>
      </c>
      <c r="AX7">
        <v>60256838</v>
      </c>
      <c r="AY7">
        <v>1</v>
      </c>
      <c r="AZ7">
        <v>0</v>
      </c>
      <c r="BA7">
        <v>8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CV7">
        <v>0</v>
      </c>
      <c r="CW7">
        <v>0</v>
      </c>
      <c r="CX7">
        <f>ROUND(Y7*Source!I28,9)</f>
        <v>0.02</v>
      </c>
      <c r="CY7">
        <f>AA7</f>
        <v>0</v>
      </c>
      <c r="CZ7">
        <f>AE7</f>
        <v>0</v>
      </c>
      <c r="DA7">
        <f>AI7</f>
        <v>1</v>
      </c>
      <c r="DB7">
        <f>ROUND((ROUND(AT7*CZ7,2)*1),6)</f>
        <v>0</v>
      </c>
      <c r="DC7">
        <f>ROUND((ROUND(AT7*AG7,2)*1),6)</f>
        <v>0</v>
      </c>
      <c r="DD7" t="s">
        <v>3</v>
      </c>
      <c r="DE7" t="s">
        <v>3</v>
      </c>
      <c r="DF7">
        <f t="shared" si="0"/>
        <v>0</v>
      </c>
      <c r="DG7">
        <f t="shared" si="1"/>
        <v>0</v>
      </c>
      <c r="DH7">
        <f t="shared" si="2"/>
        <v>0</v>
      </c>
      <c r="DI7">
        <f t="shared" si="3"/>
        <v>0</v>
      </c>
      <c r="DJ7">
        <f>DF7</f>
        <v>0</v>
      </c>
      <c r="DK7">
        <v>0</v>
      </c>
      <c r="DL7" t="s">
        <v>3</v>
      </c>
      <c r="DM7">
        <v>0</v>
      </c>
      <c r="DN7" t="s">
        <v>3</v>
      </c>
      <c r="DO7">
        <v>0</v>
      </c>
    </row>
    <row r="8" spans="1:119" x14ac:dyDescent="0.2">
      <c r="A8">
        <f>ROW(Source!A29)</f>
        <v>29</v>
      </c>
      <c r="B8">
        <v>60256402</v>
      </c>
      <c r="C8">
        <v>60256519</v>
      </c>
      <c r="D8">
        <v>58999254</v>
      </c>
      <c r="E8">
        <v>1080</v>
      </c>
      <c r="F8">
        <v>1</v>
      </c>
      <c r="G8">
        <v>1080</v>
      </c>
      <c r="H8">
        <v>1</v>
      </c>
      <c r="I8" t="s">
        <v>269</v>
      </c>
      <c r="J8" t="s">
        <v>3</v>
      </c>
      <c r="K8" t="s">
        <v>270</v>
      </c>
      <c r="L8">
        <v>1191</v>
      </c>
      <c r="N8">
        <v>1013</v>
      </c>
      <c r="O8" t="s">
        <v>271</v>
      </c>
      <c r="P8" t="s">
        <v>271</v>
      </c>
      <c r="Q8">
        <v>1</v>
      </c>
      <c r="W8">
        <v>0</v>
      </c>
      <c r="X8">
        <v>476480486</v>
      </c>
      <c r="Y8">
        <f>(AT8*1.1)</f>
        <v>2.2000000000000002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1</v>
      </c>
      <c r="AJ8">
        <v>1</v>
      </c>
      <c r="AK8">
        <v>1</v>
      </c>
      <c r="AL8">
        <v>1</v>
      </c>
      <c r="AM8">
        <v>5</v>
      </c>
      <c r="AN8">
        <v>0</v>
      </c>
      <c r="AO8">
        <v>1</v>
      </c>
      <c r="AP8">
        <v>1</v>
      </c>
      <c r="AQ8">
        <v>0</v>
      </c>
      <c r="AR8">
        <v>0</v>
      </c>
      <c r="AS8" t="s">
        <v>3</v>
      </c>
      <c r="AT8">
        <v>2</v>
      </c>
      <c r="AU8" t="s">
        <v>25</v>
      </c>
      <c r="AV8">
        <v>1</v>
      </c>
      <c r="AW8">
        <v>2</v>
      </c>
      <c r="AX8">
        <v>60256831</v>
      </c>
      <c r="AY8">
        <v>1</v>
      </c>
      <c r="AZ8">
        <v>0</v>
      </c>
      <c r="BA8">
        <v>9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CU8">
        <f>ROUND(AT8*Source!I29*AH8*AL8,2)</f>
        <v>0</v>
      </c>
      <c r="CV8">
        <f>ROUND(Y8*Source!I29,9)</f>
        <v>2.2000000000000002</v>
      </c>
      <c r="CW8">
        <v>0</v>
      </c>
      <c r="CX8">
        <f>ROUND(Y8*Source!I29,9)</f>
        <v>2.2000000000000002</v>
      </c>
      <c r="CY8">
        <f>AD8</f>
        <v>0</v>
      </c>
      <c r="CZ8">
        <f>AH8</f>
        <v>0</v>
      </c>
      <c r="DA8">
        <f>AL8</f>
        <v>1</v>
      </c>
      <c r="DB8">
        <f>ROUND((ROUND(AT8*CZ8,2)*1.1),6)</f>
        <v>0</v>
      </c>
      <c r="DC8">
        <f>ROUND((ROUND(AT8*AG8,2)*1.1),6)</f>
        <v>0</v>
      </c>
      <c r="DD8" t="s">
        <v>3</v>
      </c>
      <c r="DE8" t="s">
        <v>3</v>
      </c>
      <c r="DF8">
        <f t="shared" si="0"/>
        <v>0</v>
      </c>
      <c r="DG8">
        <f t="shared" si="1"/>
        <v>0</v>
      </c>
      <c r="DH8">
        <f t="shared" si="2"/>
        <v>0</v>
      </c>
      <c r="DI8">
        <f t="shared" si="3"/>
        <v>0</v>
      </c>
      <c r="DJ8">
        <f>DI8</f>
        <v>0</v>
      </c>
      <c r="DK8">
        <v>0</v>
      </c>
      <c r="DL8" t="s">
        <v>3</v>
      </c>
      <c r="DM8">
        <v>0</v>
      </c>
      <c r="DN8" t="s">
        <v>3</v>
      </c>
      <c r="DO8">
        <v>0</v>
      </c>
    </row>
    <row r="9" spans="1:119" x14ac:dyDescent="0.2">
      <c r="A9">
        <f>ROW(Source!A29)</f>
        <v>29</v>
      </c>
      <c r="B9">
        <v>60256402</v>
      </c>
      <c r="C9">
        <v>60256519</v>
      </c>
      <c r="D9">
        <v>59070671</v>
      </c>
      <c r="E9">
        <v>1</v>
      </c>
      <c r="F9">
        <v>1</v>
      </c>
      <c r="G9">
        <v>1080</v>
      </c>
      <c r="H9">
        <v>2</v>
      </c>
      <c r="I9" t="s">
        <v>272</v>
      </c>
      <c r="J9" t="s">
        <v>273</v>
      </c>
      <c r="K9" t="s">
        <v>274</v>
      </c>
      <c r="L9">
        <v>1368</v>
      </c>
      <c r="N9">
        <v>1011</v>
      </c>
      <c r="O9" t="s">
        <v>275</v>
      </c>
      <c r="P9" t="s">
        <v>275</v>
      </c>
      <c r="Q9">
        <v>1</v>
      </c>
      <c r="W9">
        <v>0</v>
      </c>
      <c r="X9">
        <v>1346534067</v>
      </c>
      <c r="Y9">
        <f>(AT9*1.1)</f>
        <v>2.2000000000000002E-2</v>
      </c>
      <c r="AA9">
        <v>0</v>
      </c>
      <c r="AB9">
        <v>1742.83</v>
      </c>
      <c r="AC9">
        <v>726.59</v>
      </c>
      <c r="AD9">
        <v>0</v>
      </c>
      <c r="AE9">
        <v>0</v>
      </c>
      <c r="AF9">
        <v>119.07</v>
      </c>
      <c r="AG9">
        <v>12.62</v>
      </c>
      <c r="AH9">
        <v>0</v>
      </c>
      <c r="AI9">
        <v>1</v>
      </c>
      <c r="AJ9">
        <v>13.98</v>
      </c>
      <c r="AK9">
        <v>54.99</v>
      </c>
      <c r="AL9">
        <v>1</v>
      </c>
      <c r="AM9">
        <v>2</v>
      </c>
      <c r="AN9">
        <v>0</v>
      </c>
      <c r="AO9">
        <v>1</v>
      </c>
      <c r="AP9">
        <v>1</v>
      </c>
      <c r="AQ9">
        <v>0</v>
      </c>
      <c r="AR9">
        <v>0</v>
      </c>
      <c r="AS9" t="s">
        <v>3</v>
      </c>
      <c r="AT9">
        <v>0.02</v>
      </c>
      <c r="AU9" t="s">
        <v>25</v>
      </c>
      <c r="AV9">
        <v>0</v>
      </c>
      <c r="AW9">
        <v>2</v>
      </c>
      <c r="AX9">
        <v>60256832</v>
      </c>
      <c r="AY9">
        <v>1</v>
      </c>
      <c r="AZ9">
        <v>0</v>
      </c>
      <c r="BA9">
        <v>10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CV9">
        <v>0</v>
      </c>
      <c r="CW9">
        <f>ROUND(Y9*Source!I29*DO9,9)</f>
        <v>0.27764</v>
      </c>
      <c r="CX9">
        <f>ROUND(Y9*Source!I29,9)</f>
        <v>2.1999999999999999E-2</v>
      </c>
      <c r="CY9">
        <f>AB9</f>
        <v>1742.83</v>
      </c>
      <c r="CZ9">
        <f>AF9</f>
        <v>119.07</v>
      </c>
      <c r="DA9">
        <f>AJ9</f>
        <v>13.98</v>
      </c>
      <c r="DB9">
        <f>ROUND((ROUND(AT9*CZ9,2)*1.1),6)</f>
        <v>2.6179999999999999</v>
      </c>
      <c r="DC9">
        <f>ROUND((ROUND(AT9*AG9,2)*1.1),6)</f>
        <v>0.27500000000000002</v>
      </c>
      <c r="DD9" t="s">
        <v>3</v>
      </c>
      <c r="DE9" t="s">
        <v>3</v>
      </c>
      <c r="DF9">
        <f t="shared" si="0"/>
        <v>0</v>
      </c>
      <c r="DG9">
        <f>ROUND(ROUND(AF9*AJ9,2)*CX9,2)</f>
        <v>36.619999999999997</v>
      </c>
      <c r="DH9">
        <f>ROUND(ROUND(AG9*AK9,2)*CX9,2)</f>
        <v>15.27</v>
      </c>
      <c r="DI9">
        <f t="shared" si="3"/>
        <v>0</v>
      </c>
      <c r="DJ9">
        <f>DG9</f>
        <v>36.619999999999997</v>
      </c>
      <c r="DK9">
        <v>0</v>
      </c>
      <c r="DL9" t="s">
        <v>276</v>
      </c>
      <c r="DM9">
        <v>0</v>
      </c>
      <c r="DN9" t="s">
        <v>271</v>
      </c>
      <c r="DO9">
        <v>12.62</v>
      </c>
    </row>
    <row r="10" spans="1:119" x14ac:dyDescent="0.2">
      <c r="A10">
        <f>ROW(Source!A29)</f>
        <v>29</v>
      </c>
      <c r="B10">
        <v>60256402</v>
      </c>
      <c r="C10">
        <v>60256519</v>
      </c>
      <c r="D10">
        <v>59039985</v>
      </c>
      <c r="E10">
        <v>1</v>
      </c>
      <c r="F10">
        <v>1</v>
      </c>
      <c r="G10">
        <v>1080</v>
      </c>
      <c r="H10">
        <v>3</v>
      </c>
      <c r="I10" t="s">
        <v>277</v>
      </c>
      <c r="J10" t="s">
        <v>278</v>
      </c>
      <c r="K10" t="s">
        <v>279</v>
      </c>
      <c r="L10">
        <v>1346</v>
      </c>
      <c r="N10">
        <v>1009</v>
      </c>
      <c r="O10" t="s">
        <v>70</v>
      </c>
      <c r="P10" t="s">
        <v>70</v>
      </c>
      <c r="Q10">
        <v>1</v>
      </c>
      <c r="W10">
        <v>0</v>
      </c>
      <c r="X10">
        <v>444134433</v>
      </c>
      <c r="Y10">
        <f>(AT10*1)</f>
        <v>0.66</v>
      </c>
      <c r="AA10">
        <v>183.1</v>
      </c>
      <c r="AB10">
        <v>0</v>
      </c>
      <c r="AC10">
        <v>0</v>
      </c>
      <c r="AD10">
        <v>0</v>
      </c>
      <c r="AE10">
        <v>104.63</v>
      </c>
      <c r="AF10">
        <v>0</v>
      </c>
      <c r="AG10">
        <v>0</v>
      </c>
      <c r="AH10">
        <v>0</v>
      </c>
      <c r="AI10">
        <v>1.75</v>
      </c>
      <c r="AJ10">
        <v>1</v>
      </c>
      <c r="AK10">
        <v>1</v>
      </c>
      <c r="AL10">
        <v>1</v>
      </c>
      <c r="AM10">
        <v>2</v>
      </c>
      <c r="AN10">
        <v>0</v>
      </c>
      <c r="AO10">
        <v>1</v>
      </c>
      <c r="AP10">
        <v>1</v>
      </c>
      <c r="AQ10">
        <v>0</v>
      </c>
      <c r="AR10">
        <v>0</v>
      </c>
      <c r="AS10" t="s">
        <v>3</v>
      </c>
      <c r="AT10">
        <v>0.66</v>
      </c>
      <c r="AU10" t="s">
        <v>24</v>
      </c>
      <c r="AV10">
        <v>0</v>
      </c>
      <c r="AW10">
        <v>2</v>
      </c>
      <c r="AX10">
        <v>60256833</v>
      </c>
      <c r="AY10">
        <v>1</v>
      </c>
      <c r="AZ10">
        <v>0</v>
      </c>
      <c r="BA10">
        <v>11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CV10">
        <v>0</v>
      </c>
      <c r="CW10">
        <v>0</v>
      </c>
      <c r="CX10">
        <f>ROUND(Y10*Source!I29,9)</f>
        <v>0.66</v>
      </c>
      <c r="CY10">
        <f>AA10</f>
        <v>183.1</v>
      </c>
      <c r="CZ10">
        <f>AE10</f>
        <v>104.63</v>
      </c>
      <c r="DA10">
        <f>AI10</f>
        <v>1.75</v>
      </c>
      <c r="DB10">
        <f>ROUND((ROUND(AT10*CZ10,2)*1),6)</f>
        <v>69.06</v>
      </c>
      <c r="DC10">
        <f>ROUND((ROUND(AT10*AG10,2)*1),6)</f>
        <v>0</v>
      </c>
      <c r="DD10" t="s">
        <v>3</v>
      </c>
      <c r="DE10" t="s">
        <v>3</v>
      </c>
      <c r="DF10">
        <f>ROUND(ROUND(AE10*AI10,2)*CX10,2)</f>
        <v>120.85</v>
      </c>
      <c r="DG10">
        <f t="shared" ref="DG10:DG25" si="4">ROUND(ROUND(AF10,2)*CX10,2)</f>
        <v>0</v>
      </c>
      <c r="DH10">
        <f t="shared" ref="DH10:DH25" si="5">ROUND(ROUND(AG10,2)*CX10,2)</f>
        <v>0</v>
      </c>
      <c r="DI10">
        <f t="shared" si="3"/>
        <v>0</v>
      </c>
      <c r="DJ10">
        <f>DF10</f>
        <v>120.85</v>
      </c>
      <c r="DK10">
        <v>0</v>
      </c>
      <c r="DL10" t="s">
        <v>3</v>
      </c>
      <c r="DM10">
        <v>0</v>
      </c>
      <c r="DN10" t="s">
        <v>3</v>
      </c>
      <c r="DO10">
        <v>0</v>
      </c>
    </row>
    <row r="11" spans="1:119" x14ac:dyDescent="0.2">
      <c r="A11">
        <f>ROW(Source!A29)</f>
        <v>29</v>
      </c>
      <c r="B11">
        <v>60256402</v>
      </c>
      <c r="C11">
        <v>60256519</v>
      </c>
      <c r="D11">
        <v>59040737</v>
      </c>
      <c r="E11">
        <v>1</v>
      </c>
      <c r="F11">
        <v>1</v>
      </c>
      <c r="G11">
        <v>1080</v>
      </c>
      <c r="H11">
        <v>3</v>
      </c>
      <c r="I11" t="s">
        <v>280</v>
      </c>
      <c r="J11" t="s">
        <v>281</v>
      </c>
      <c r="K11" t="s">
        <v>282</v>
      </c>
      <c r="L11">
        <v>1348</v>
      </c>
      <c r="N11">
        <v>1009</v>
      </c>
      <c r="O11" t="s">
        <v>283</v>
      </c>
      <c r="P11" t="s">
        <v>283</v>
      </c>
      <c r="Q11">
        <v>1000</v>
      </c>
      <c r="W11">
        <v>0</v>
      </c>
      <c r="X11">
        <v>-1151823103</v>
      </c>
      <c r="Y11">
        <f>(AT11*1)</f>
        <v>5.0000000000000002E-5</v>
      </c>
      <c r="AA11">
        <v>131855.32999999999</v>
      </c>
      <c r="AB11">
        <v>0</v>
      </c>
      <c r="AC11">
        <v>0</v>
      </c>
      <c r="AD11">
        <v>0</v>
      </c>
      <c r="AE11">
        <v>13649.62</v>
      </c>
      <c r="AF11">
        <v>0</v>
      </c>
      <c r="AG11">
        <v>0</v>
      </c>
      <c r="AH11">
        <v>0</v>
      </c>
      <c r="AI11">
        <v>9.66</v>
      </c>
      <c r="AJ11">
        <v>1</v>
      </c>
      <c r="AK11">
        <v>1</v>
      </c>
      <c r="AL11">
        <v>1</v>
      </c>
      <c r="AM11">
        <v>2</v>
      </c>
      <c r="AN11">
        <v>0</v>
      </c>
      <c r="AO11">
        <v>1</v>
      </c>
      <c r="AP11">
        <v>1</v>
      </c>
      <c r="AQ11">
        <v>0</v>
      </c>
      <c r="AR11">
        <v>0</v>
      </c>
      <c r="AS11" t="s">
        <v>3</v>
      </c>
      <c r="AT11">
        <v>5.0000000000000002E-5</v>
      </c>
      <c r="AU11" t="s">
        <v>24</v>
      </c>
      <c r="AV11">
        <v>0</v>
      </c>
      <c r="AW11">
        <v>2</v>
      </c>
      <c r="AX11">
        <v>60256834</v>
      </c>
      <c r="AY11">
        <v>1</v>
      </c>
      <c r="AZ11">
        <v>0</v>
      </c>
      <c r="BA11">
        <v>12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CV11">
        <v>0</v>
      </c>
      <c r="CW11">
        <v>0</v>
      </c>
      <c r="CX11">
        <f>ROUND(Y11*Source!I29,9)</f>
        <v>5.0000000000000002E-5</v>
      </c>
      <c r="CY11">
        <f>AA11</f>
        <v>131855.32999999999</v>
      </c>
      <c r="CZ11">
        <f>AE11</f>
        <v>13649.62</v>
      </c>
      <c r="DA11">
        <f>AI11</f>
        <v>9.66</v>
      </c>
      <c r="DB11">
        <f>ROUND((ROUND(AT11*CZ11,2)*1),6)</f>
        <v>0.68</v>
      </c>
      <c r="DC11">
        <f>ROUND((ROUND(AT11*AG11,2)*1),6)</f>
        <v>0</v>
      </c>
      <c r="DD11" t="s">
        <v>3</v>
      </c>
      <c r="DE11" t="s">
        <v>3</v>
      </c>
      <c r="DF11">
        <f>ROUND(ROUND(AE11*AI11,2)*CX11,2)</f>
        <v>6.59</v>
      </c>
      <c r="DG11">
        <f t="shared" si="4"/>
        <v>0</v>
      </c>
      <c r="DH11">
        <f t="shared" si="5"/>
        <v>0</v>
      </c>
      <c r="DI11">
        <f t="shared" si="3"/>
        <v>0</v>
      </c>
      <c r="DJ11">
        <f>DF11</f>
        <v>6.59</v>
      </c>
      <c r="DK11">
        <v>0</v>
      </c>
      <c r="DL11" t="s">
        <v>3</v>
      </c>
      <c r="DM11">
        <v>0</v>
      </c>
      <c r="DN11" t="s">
        <v>3</v>
      </c>
      <c r="DO11">
        <v>0</v>
      </c>
    </row>
    <row r="12" spans="1:119" x14ac:dyDescent="0.2">
      <c r="A12">
        <f>ROW(Source!A29)</f>
        <v>29</v>
      </c>
      <c r="B12">
        <v>60256402</v>
      </c>
      <c r="C12">
        <v>60256519</v>
      </c>
      <c r="D12">
        <v>59041430</v>
      </c>
      <c r="E12">
        <v>1</v>
      </c>
      <c r="F12">
        <v>1</v>
      </c>
      <c r="G12">
        <v>1080</v>
      </c>
      <c r="H12">
        <v>3</v>
      </c>
      <c r="I12" t="s">
        <v>284</v>
      </c>
      <c r="J12" t="s">
        <v>285</v>
      </c>
      <c r="K12" t="s">
        <v>286</v>
      </c>
      <c r="L12">
        <v>1348</v>
      </c>
      <c r="N12">
        <v>1009</v>
      </c>
      <c r="O12" t="s">
        <v>283</v>
      </c>
      <c r="P12" t="s">
        <v>283</v>
      </c>
      <c r="Q12">
        <v>1000</v>
      </c>
      <c r="W12">
        <v>0</v>
      </c>
      <c r="X12">
        <v>-1088991852</v>
      </c>
      <c r="Y12">
        <f>(AT12*1)</f>
        <v>2.0999999999999999E-5</v>
      </c>
      <c r="AA12">
        <v>130779.97</v>
      </c>
      <c r="AB12">
        <v>0</v>
      </c>
      <c r="AC12">
        <v>0</v>
      </c>
      <c r="AD12">
        <v>0</v>
      </c>
      <c r="AE12">
        <v>18898.84</v>
      </c>
      <c r="AF12">
        <v>0</v>
      </c>
      <c r="AG12">
        <v>0</v>
      </c>
      <c r="AH12">
        <v>0</v>
      </c>
      <c r="AI12">
        <v>6.92</v>
      </c>
      <c r="AJ12">
        <v>1</v>
      </c>
      <c r="AK12">
        <v>1</v>
      </c>
      <c r="AL12">
        <v>1</v>
      </c>
      <c r="AM12">
        <v>2</v>
      </c>
      <c r="AN12">
        <v>0</v>
      </c>
      <c r="AO12">
        <v>1</v>
      </c>
      <c r="AP12">
        <v>1</v>
      </c>
      <c r="AQ12">
        <v>0</v>
      </c>
      <c r="AR12">
        <v>0</v>
      </c>
      <c r="AS12" t="s">
        <v>3</v>
      </c>
      <c r="AT12">
        <v>2.0999999999999999E-5</v>
      </c>
      <c r="AU12" t="s">
        <v>24</v>
      </c>
      <c r="AV12">
        <v>0</v>
      </c>
      <c r="AW12">
        <v>2</v>
      </c>
      <c r="AX12">
        <v>60256835</v>
      </c>
      <c r="AY12">
        <v>1</v>
      </c>
      <c r="AZ12">
        <v>0</v>
      </c>
      <c r="BA12">
        <v>13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CV12">
        <v>0</v>
      </c>
      <c r="CW12">
        <v>0</v>
      </c>
      <c r="CX12">
        <f>ROUND(Y12*Source!I29,9)</f>
        <v>2.0999999999999999E-5</v>
      </c>
      <c r="CY12">
        <f>AA12</f>
        <v>130779.97</v>
      </c>
      <c r="CZ12">
        <f>AE12</f>
        <v>18898.84</v>
      </c>
      <c r="DA12">
        <f>AI12</f>
        <v>6.92</v>
      </c>
      <c r="DB12">
        <f>ROUND((ROUND(AT12*CZ12,2)*1),6)</f>
        <v>0.4</v>
      </c>
      <c r="DC12">
        <f>ROUND((ROUND(AT12*AG12,2)*1),6)</f>
        <v>0</v>
      </c>
      <c r="DD12" t="s">
        <v>3</v>
      </c>
      <c r="DE12" t="s">
        <v>3</v>
      </c>
      <c r="DF12">
        <f>ROUND(ROUND(AE12*AI12,2)*CX12,2)</f>
        <v>2.75</v>
      </c>
      <c r="DG12">
        <f t="shared" si="4"/>
        <v>0</v>
      </c>
      <c r="DH12">
        <f t="shared" si="5"/>
        <v>0</v>
      </c>
      <c r="DI12">
        <f t="shared" si="3"/>
        <v>0</v>
      </c>
      <c r="DJ12">
        <f>DF12</f>
        <v>2.75</v>
      </c>
      <c r="DK12">
        <v>0</v>
      </c>
      <c r="DL12" t="s">
        <v>3</v>
      </c>
      <c r="DM12">
        <v>0</v>
      </c>
      <c r="DN12" t="s">
        <v>3</v>
      </c>
      <c r="DO12">
        <v>0</v>
      </c>
    </row>
    <row r="13" spans="1:119" x14ac:dyDescent="0.2">
      <c r="A13">
        <f>ROW(Source!A29)</f>
        <v>29</v>
      </c>
      <c r="B13">
        <v>60256402</v>
      </c>
      <c r="C13">
        <v>60256519</v>
      </c>
      <c r="D13">
        <v>59041431</v>
      </c>
      <c r="E13">
        <v>1</v>
      </c>
      <c r="F13">
        <v>1</v>
      </c>
      <c r="G13">
        <v>1080</v>
      </c>
      <c r="H13">
        <v>3</v>
      </c>
      <c r="I13" t="s">
        <v>287</v>
      </c>
      <c r="J13" t="s">
        <v>288</v>
      </c>
      <c r="K13" t="s">
        <v>289</v>
      </c>
      <c r="L13">
        <v>1348</v>
      </c>
      <c r="N13">
        <v>1009</v>
      </c>
      <c r="O13" t="s">
        <v>283</v>
      </c>
      <c r="P13" t="s">
        <v>283</v>
      </c>
      <c r="Q13">
        <v>1000</v>
      </c>
      <c r="W13">
        <v>0</v>
      </c>
      <c r="X13">
        <v>-233339728</v>
      </c>
      <c r="Y13">
        <f>(AT13*1)</f>
        <v>1.9999999999999999E-6</v>
      </c>
      <c r="AA13">
        <v>139281.26</v>
      </c>
      <c r="AB13">
        <v>0</v>
      </c>
      <c r="AC13">
        <v>0</v>
      </c>
      <c r="AD13">
        <v>0</v>
      </c>
      <c r="AE13">
        <v>17047.89</v>
      </c>
      <c r="AF13">
        <v>0</v>
      </c>
      <c r="AG13">
        <v>0</v>
      </c>
      <c r="AH13">
        <v>0</v>
      </c>
      <c r="AI13">
        <v>8.17</v>
      </c>
      <c r="AJ13">
        <v>1</v>
      </c>
      <c r="AK13">
        <v>1</v>
      </c>
      <c r="AL13">
        <v>1</v>
      </c>
      <c r="AM13">
        <v>2</v>
      </c>
      <c r="AN13">
        <v>0</v>
      </c>
      <c r="AO13">
        <v>1</v>
      </c>
      <c r="AP13">
        <v>1</v>
      </c>
      <c r="AQ13">
        <v>0</v>
      </c>
      <c r="AR13">
        <v>0</v>
      </c>
      <c r="AS13" t="s">
        <v>3</v>
      </c>
      <c r="AT13">
        <v>1.9999999999999999E-6</v>
      </c>
      <c r="AU13" t="s">
        <v>24</v>
      </c>
      <c r="AV13">
        <v>0</v>
      </c>
      <c r="AW13">
        <v>2</v>
      </c>
      <c r="AX13">
        <v>60256836</v>
      </c>
      <c r="AY13">
        <v>1</v>
      </c>
      <c r="AZ13">
        <v>0</v>
      </c>
      <c r="BA13">
        <v>14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CV13">
        <v>0</v>
      </c>
      <c r="CW13">
        <v>0</v>
      </c>
      <c r="CX13">
        <f>ROUND(Y13*Source!I29,9)</f>
        <v>1.9999999999999999E-6</v>
      </c>
      <c r="CY13">
        <f>AA13</f>
        <v>139281.26</v>
      </c>
      <c r="CZ13">
        <f>AE13</f>
        <v>17047.89</v>
      </c>
      <c r="DA13">
        <f>AI13</f>
        <v>8.17</v>
      </c>
      <c r="DB13">
        <f>ROUND((ROUND(AT13*CZ13,2)*1),6)</f>
        <v>0.03</v>
      </c>
      <c r="DC13">
        <f>ROUND((ROUND(AT13*AG13,2)*1),6)</f>
        <v>0</v>
      </c>
      <c r="DD13" t="s">
        <v>3</v>
      </c>
      <c r="DE13" t="s">
        <v>3</v>
      </c>
      <c r="DF13">
        <f>ROUND(ROUND(AE13*AI13,2)*CX13,2)</f>
        <v>0.28000000000000003</v>
      </c>
      <c r="DG13">
        <f t="shared" si="4"/>
        <v>0</v>
      </c>
      <c r="DH13">
        <f t="shared" si="5"/>
        <v>0</v>
      </c>
      <c r="DI13">
        <f t="shared" si="3"/>
        <v>0</v>
      </c>
      <c r="DJ13">
        <f>DF13</f>
        <v>0.28000000000000003</v>
      </c>
      <c r="DK13">
        <v>0</v>
      </c>
      <c r="DL13" t="s">
        <v>3</v>
      </c>
      <c r="DM13">
        <v>0</v>
      </c>
      <c r="DN13" t="s">
        <v>3</v>
      </c>
      <c r="DO13">
        <v>0</v>
      </c>
    </row>
    <row r="14" spans="1:119" x14ac:dyDescent="0.2">
      <c r="A14">
        <f>ROW(Source!A29)</f>
        <v>29</v>
      </c>
      <c r="B14">
        <v>60256402</v>
      </c>
      <c r="C14">
        <v>60256519</v>
      </c>
      <c r="D14">
        <v>59004256</v>
      </c>
      <c r="E14">
        <v>1080</v>
      </c>
      <c r="F14">
        <v>1</v>
      </c>
      <c r="G14">
        <v>1080</v>
      </c>
      <c r="H14">
        <v>3</v>
      </c>
      <c r="I14" t="s">
        <v>290</v>
      </c>
      <c r="J14" t="s">
        <v>3</v>
      </c>
      <c r="K14" t="s">
        <v>291</v>
      </c>
      <c r="L14">
        <v>1348</v>
      </c>
      <c r="N14">
        <v>1009</v>
      </c>
      <c r="O14" t="s">
        <v>283</v>
      </c>
      <c r="P14" t="s">
        <v>283</v>
      </c>
      <c r="Q14">
        <v>1000</v>
      </c>
      <c r="W14">
        <v>0</v>
      </c>
      <c r="X14">
        <v>-783086922</v>
      </c>
      <c r="Y14">
        <f>(AT14*1)</f>
        <v>0.02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9.8800000000000008</v>
      </c>
      <c r="AJ14">
        <v>1</v>
      </c>
      <c r="AK14">
        <v>1</v>
      </c>
      <c r="AL14">
        <v>1</v>
      </c>
      <c r="AM14">
        <v>5</v>
      </c>
      <c r="AN14">
        <v>0</v>
      </c>
      <c r="AO14">
        <v>1</v>
      </c>
      <c r="AP14">
        <v>1</v>
      </c>
      <c r="AQ14">
        <v>0</v>
      </c>
      <c r="AR14">
        <v>0</v>
      </c>
      <c r="AS14" t="s">
        <v>3</v>
      </c>
      <c r="AT14">
        <v>0.02</v>
      </c>
      <c r="AU14" t="s">
        <v>24</v>
      </c>
      <c r="AV14">
        <v>0</v>
      </c>
      <c r="AW14">
        <v>2</v>
      </c>
      <c r="AX14">
        <v>60256838</v>
      </c>
      <c r="AY14">
        <v>1</v>
      </c>
      <c r="AZ14">
        <v>0</v>
      </c>
      <c r="BA14">
        <v>16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CV14">
        <v>0</v>
      </c>
      <c r="CW14">
        <v>0</v>
      </c>
      <c r="CX14">
        <f>ROUND(Y14*Source!I29,9)</f>
        <v>0.02</v>
      </c>
      <c r="CY14">
        <f>AA14</f>
        <v>0</v>
      </c>
      <c r="CZ14">
        <f>AE14</f>
        <v>0</v>
      </c>
      <c r="DA14">
        <f>AI14</f>
        <v>9.8800000000000008</v>
      </c>
      <c r="DB14">
        <f>ROUND((ROUND(AT14*CZ14,2)*1),6)</f>
        <v>0</v>
      </c>
      <c r="DC14">
        <f>ROUND((ROUND(AT14*AG14,2)*1),6)</f>
        <v>0</v>
      </c>
      <c r="DD14" t="s">
        <v>3</v>
      </c>
      <c r="DE14" t="s">
        <v>3</v>
      </c>
      <c r="DF14">
        <f>ROUND(ROUND(AE14*AI14,2)*CX14,2)</f>
        <v>0</v>
      </c>
      <c r="DG14">
        <f t="shared" si="4"/>
        <v>0</v>
      </c>
      <c r="DH14">
        <f t="shared" si="5"/>
        <v>0</v>
      </c>
      <c r="DI14">
        <f t="shared" si="3"/>
        <v>0</v>
      </c>
      <c r="DJ14">
        <f>DF14</f>
        <v>0</v>
      </c>
      <c r="DK14">
        <v>0</v>
      </c>
      <c r="DL14" t="s">
        <v>3</v>
      </c>
      <c r="DM14">
        <v>0</v>
      </c>
      <c r="DN14" t="s">
        <v>3</v>
      </c>
      <c r="DO14">
        <v>0</v>
      </c>
    </row>
    <row r="15" spans="1:119" x14ac:dyDescent="0.2">
      <c r="A15">
        <f>ROW(Source!A32)</f>
        <v>32</v>
      </c>
      <c r="B15">
        <v>60256405</v>
      </c>
      <c r="C15">
        <v>60256536</v>
      </c>
      <c r="D15">
        <v>58999254</v>
      </c>
      <c r="E15">
        <v>1080</v>
      </c>
      <c r="F15">
        <v>1</v>
      </c>
      <c r="G15">
        <v>1080</v>
      </c>
      <c r="H15">
        <v>1</v>
      </c>
      <c r="I15" t="s">
        <v>269</v>
      </c>
      <c r="J15" t="s">
        <v>3</v>
      </c>
      <c r="K15" t="s">
        <v>270</v>
      </c>
      <c r="L15">
        <v>1191</v>
      </c>
      <c r="N15">
        <v>1013</v>
      </c>
      <c r="O15" t="s">
        <v>271</v>
      </c>
      <c r="P15" t="s">
        <v>271</v>
      </c>
      <c r="Q15">
        <v>1</v>
      </c>
      <c r="W15">
        <v>0</v>
      </c>
      <c r="X15">
        <v>476480486</v>
      </c>
      <c r="Y15">
        <f>(AT15*1.1)</f>
        <v>2.915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1</v>
      </c>
      <c r="AJ15">
        <v>1</v>
      </c>
      <c r="AK15">
        <v>1</v>
      </c>
      <c r="AL15">
        <v>1</v>
      </c>
      <c r="AM15">
        <v>-2</v>
      </c>
      <c r="AN15">
        <v>0</v>
      </c>
      <c r="AO15">
        <v>1</v>
      </c>
      <c r="AP15">
        <v>1</v>
      </c>
      <c r="AQ15">
        <v>0</v>
      </c>
      <c r="AR15">
        <v>0</v>
      </c>
      <c r="AS15" t="s">
        <v>3</v>
      </c>
      <c r="AT15">
        <v>2.65</v>
      </c>
      <c r="AU15" t="s">
        <v>25</v>
      </c>
      <c r="AV15">
        <v>1</v>
      </c>
      <c r="AW15">
        <v>2</v>
      </c>
      <c r="AX15">
        <v>60256839</v>
      </c>
      <c r="AY15">
        <v>1</v>
      </c>
      <c r="AZ15">
        <v>0</v>
      </c>
      <c r="BA15">
        <v>17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CU15">
        <f>ROUND(AT15*Source!I32*AH15*AL15,2)</f>
        <v>0</v>
      </c>
      <c r="CV15">
        <f>ROUND(Y15*Source!I32,9)</f>
        <v>2.915</v>
      </c>
      <c r="CW15">
        <v>0</v>
      </c>
      <c r="CX15">
        <f>ROUND(Y15*Source!I32,9)</f>
        <v>2.915</v>
      </c>
      <c r="CY15">
        <f>AD15</f>
        <v>0</v>
      </c>
      <c r="CZ15">
        <f>AH15</f>
        <v>0</v>
      </c>
      <c r="DA15">
        <f>AL15</f>
        <v>1</v>
      </c>
      <c r="DB15">
        <f>ROUND((ROUND(AT15*CZ15,2)*1.1),6)</f>
        <v>0</v>
      </c>
      <c r="DC15">
        <f>ROUND((ROUND(AT15*AG15,2)*1.1),6)</f>
        <v>0</v>
      </c>
      <c r="DD15" t="s">
        <v>3</v>
      </c>
      <c r="DE15" t="s">
        <v>3</v>
      </c>
      <c r="DF15">
        <f>ROUND(ROUND(AE15,2)*CX15,2)</f>
        <v>0</v>
      </c>
      <c r="DG15">
        <f t="shared" si="4"/>
        <v>0</v>
      </c>
      <c r="DH15">
        <f t="shared" si="5"/>
        <v>0</v>
      </c>
      <c r="DI15">
        <f t="shared" si="3"/>
        <v>0</v>
      </c>
      <c r="DJ15">
        <f>DI15</f>
        <v>0</v>
      </c>
      <c r="DK15">
        <v>0</v>
      </c>
      <c r="DL15" t="s">
        <v>3</v>
      </c>
      <c r="DM15">
        <v>0</v>
      </c>
      <c r="DN15" t="s">
        <v>3</v>
      </c>
      <c r="DO15">
        <v>0</v>
      </c>
    </row>
    <row r="16" spans="1:119" x14ac:dyDescent="0.2">
      <c r="A16">
        <f>ROW(Source!A32)</f>
        <v>32</v>
      </c>
      <c r="B16">
        <v>60256405</v>
      </c>
      <c r="C16">
        <v>60256536</v>
      </c>
      <c r="D16">
        <v>59040743</v>
      </c>
      <c r="E16">
        <v>1</v>
      </c>
      <c r="F16">
        <v>1</v>
      </c>
      <c r="G16">
        <v>1080</v>
      </c>
      <c r="H16">
        <v>3</v>
      </c>
      <c r="I16" t="s">
        <v>292</v>
      </c>
      <c r="J16" t="s">
        <v>293</v>
      </c>
      <c r="K16" t="s">
        <v>294</v>
      </c>
      <c r="L16">
        <v>1346</v>
      </c>
      <c r="N16">
        <v>1009</v>
      </c>
      <c r="O16" t="s">
        <v>70</v>
      </c>
      <c r="P16" t="s">
        <v>70</v>
      </c>
      <c r="Q16">
        <v>1</v>
      </c>
      <c r="W16">
        <v>0</v>
      </c>
      <c r="X16">
        <v>1225168167</v>
      </c>
      <c r="Y16">
        <f>(AT16*1)</f>
        <v>6.2700000000000004E-3</v>
      </c>
      <c r="AA16">
        <v>27.62</v>
      </c>
      <c r="AB16">
        <v>0</v>
      </c>
      <c r="AC16">
        <v>0</v>
      </c>
      <c r="AD16">
        <v>0</v>
      </c>
      <c r="AE16">
        <v>27.62</v>
      </c>
      <c r="AF16">
        <v>0</v>
      </c>
      <c r="AG16">
        <v>0</v>
      </c>
      <c r="AH16">
        <v>0</v>
      </c>
      <c r="AI16">
        <v>1</v>
      </c>
      <c r="AJ16">
        <v>1</v>
      </c>
      <c r="AK16">
        <v>1</v>
      </c>
      <c r="AL16">
        <v>1</v>
      </c>
      <c r="AM16">
        <v>-2</v>
      </c>
      <c r="AN16">
        <v>0</v>
      </c>
      <c r="AO16">
        <v>1</v>
      </c>
      <c r="AP16">
        <v>1</v>
      </c>
      <c r="AQ16">
        <v>0</v>
      </c>
      <c r="AR16">
        <v>0</v>
      </c>
      <c r="AS16" t="s">
        <v>3</v>
      </c>
      <c r="AT16">
        <v>6.2700000000000004E-3</v>
      </c>
      <c r="AU16" t="s">
        <v>24</v>
      </c>
      <c r="AV16">
        <v>0</v>
      </c>
      <c r="AW16">
        <v>2</v>
      </c>
      <c r="AX16">
        <v>60256840</v>
      </c>
      <c r="AY16">
        <v>1</v>
      </c>
      <c r="AZ16">
        <v>0</v>
      </c>
      <c r="BA16">
        <v>18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CV16">
        <v>0</v>
      </c>
      <c r="CW16">
        <v>0</v>
      </c>
      <c r="CX16">
        <f>ROUND(Y16*Source!I32,9)</f>
        <v>6.2700000000000004E-3</v>
      </c>
      <c r="CY16">
        <f>AA16</f>
        <v>27.62</v>
      </c>
      <c r="CZ16">
        <f>AE16</f>
        <v>27.62</v>
      </c>
      <c r="DA16">
        <f>AI16</f>
        <v>1</v>
      </c>
      <c r="DB16">
        <f>ROUND((ROUND(AT16*CZ16,2)*1),6)</f>
        <v>0.17</v>
      </c>
      <c r="DC16">
        <f>ROUND((ROUND(AT16*AG16,2)*1),6)</f>
        <v>0</v>
      </c>
      <c r="DD16" t="s">
        <v>3</v>
      </c>
      <c r="DE16" t="s">
        <v>3</v>
      </c>
      <c r="DF16">
        <f>ROUND(ROUND(AE16,2)*CX16,2)</f>
        <v>0.17</v>
      </c>
      <c r="DG16">
        <f t="shared" si="4"/>
        <v>0</v>
      </c>
      <c r="DH16">
        <f t="shared" si="5"/>
        <v>0</v>
      </c>
      <c r="DI16">
        <f t="shared" si="3"/>
        <v>0</v>
      </c>
      <c r="DJ16">
        <f>DF16</f>
        <v>0.17</v>
      </c>
      <c r="DK16">
        <v>0</v>
      </c>
      <c r="DL16" t="s">
        <v>3</v>
      </c>
      <c r="DM16">
        <v>0</v>
      </c>
      <c r="DN16" t="s">
        <v>3</v>
      </c>
      <c r="DO16">
        <v>0</v>
      </c>
    </row>
    <row r="17" spans="1:119" x14ac:dyDescent="0.2">
      <c r="A17">
        <f>ROW(Source!A32)</f>
        <v>32</v>
      </c>
      <c r="B17">
        <v>60256405</v>
      </c>
      <c r="C17">
        <v>60256536</v>
      </c>
      <c r="D17">
        <v>59039462</v>
      </c>
      <c r="E17">
        <v>1</v>
      </c>
      <c r="F17">
        <v>1</v>
      </c>
      <c r="G17">
        <v>1080</v>
      </c>
      <c r="H17">
        <v>3</v>
      </c>
      <c r="I17" t="s">
        <v>295</v>
      </c>
      <c r="J17" t="s">
        <v>296</v>
      </c>
      <c r="K17" t="s">
        <v>297</v>
      </c>
      <c r="L17">
        <v>1348</v>
      </c>
      <c r="N17">
        <v>1009</v>
      </c>
      <c r="O17" t="s">
        <v>283</v>
      </c>
      <c r="P17" t="s">
        <v>283</v>
      </c>
      <c r="Q17">
        <v>1000</v>
      </c>
      <c r="W17">
        <v>0</v>
      </c>
      <c r="X17">
        <v>-1945031955</v>
      </c>
      <c r="Y17">
        <f>(AT17*1)</f>
        <v>1.0000000000000001E-5</v>
      </c>
      <c r="AA17">
        <v>64123.05</v>
      </c>
      <c r="AB17">
        <v>0</v>
      </c>
      <c r="AC17">
        <v>0</v>
      </c>
      <c r="AD17">
        <v>0</v>
      </c>
      <c r="AE17">
        <v>64123.05</v>
      </c>
      <c r="AF17">
        <v>0</v>
      </c>
      <c r="AG17">
        <v>0</v>
      </c>
      <c r="AH17">
        <v>0</v>
      </c>
      <c r="AI17">
        <v>1</v>
      </c>
      <c r="AJ17">
        <v>1</v>
      </c>
      <c r="AK17">
        <v>1</v>
      </c>
      <c r="AL17">
        <v>1</v>
      </c>
      <c r="AM17">
        <v>-2</v>
      </c>
      <c r="AN17">
        <v>0</v>
      </c>
      <c r="AO17">
        <v>1</v>
      </c>
      <c r="AP17">
        <v>1</v>
      </c>
      <c r="AQ17">
        <v>0</v>
      </c>
      <c r="AR17">
        <v>0</v>
      </c>
      <c r="AS17" t="s">
        <v>3</v>
      </c>
      <c r="AT17">
        <v>1.0000000000000001E-5</v>
      </c>
      <c r="AU17" t="s">
        <v>24</v>
      </c>
      <c r="AV17">
        <v>0</v>
      </c>
      <c r="AW17">
        <v>2</v>
      </c>
      <c r="AX17">
        <v>60256841</v>
      </c>
      <c r="AY17">
        <v>1</v>
      </c>
      <c r="AZ17">
        <v>0</v>
      </c>
      <c r="BA17">
        <v>19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CV17">
        <v>0</v>
      </c>
      <c r="CW17">
        <v>0</v>
      </c>
      <c r="CX17">
        <f>ROUND(Y17*Source!I32,9)</f>
        <v>1.0000000000000001E-5</v>
      </c>
      <c r="CY17">
        <f>AA17</f>
        <v>64123.05</v>
      </c>
      <c r="CZ17">
        <f>AE17</f>
        <v>64123.05</v>
      </c>
      <c r="DA17">
        <f>AI17</f>
        <v>1</v>
      </c>
      <c r="DB17">
        <f>ROUND((ROUND(AT17*CZ17,2)*1),6)</f>
        <v>0.64</v>
      </c>
      <c r="DC17">
        <f>ROUND((ROUND(AT17*AG17,2)*1),6)</f>
        <v>0</v>
      </c>
      <c r="DD17" t="s">
        <v>3</v>
      </c>
      <c r="DE17" t="s">
        <v>3</v>
      </c>
      <c r="DF17">
        <f>ROUND(ROUND(AE17,2)*CX17,2)</f>
        <v>0.64</v>
      </c>
      <c r="DG17">
        <f t="shared" si="4"/>
        <v>0</v>
      </c>
      <c r="DH17">
        <f t="shared" si="5"/>
        <v>0</v>
      </c>
      <c r="DI17">
        <f t="shared" si="3"/>
        <v>0</v>
      </c>
      <c r="DJ17">
        <f>DF17</f>
        <v>0.64</v>
      </c>
      <c r="DK17">
        <v>0</v>
      </c>
      <c r="DL17" t="s">
        <v>3</v>
      </c>
      <c r="DM17">
        <v>0</v>
      </c>
      <c r="DN17" t="s">
        <v>3</v>
      </c>
      <c r="DO17">
        <v>0</v>
      </c>
    </row>
    <row r="18" spans="1:119" x14ac:dyDescent="0.2">
      <c r="A18">
        <f>ROW(Source!A32)</f>
        <v>32</v>
      </c>
      <c r="B18">
        <v>60256405</v>
      </c>
      <c r="C18">
        <v>60256536</v>
      </c>
      <c r="D18">
        <v>59049354</v>
      </c>
      <c r="E18">
        <v>1</v>
      </c>
      <c r="F18">
        <v>1</v>
      </c>
      <c r="G18">
        <v>1080</v>
      </c>
      <c r="H18">
        <v>3</v>
      </c>
      <c r="I18" t="s">
        <v>298</v>
      </c>
      <c r="J18" t="s">
        <v>299</v>
      </c>
      <c r="K18" t="s">
        <v>300</v>
      </c>
      <c r="L18">
        <v>1354</v>
      </c>
      <c r="N18">
        <v>1010</v>
      </c>
      <c r="O18" t="s">
        <v>33</v>
      </c>
      <c r="P18" t="s">
        <v>33</v>
      </c>
      <c r="Q18">
        <v>1</v>
      </c>
      <c r="W18">
        <v>0</v>
      </c>
      <c r="X18">
        <v>314181591</v>
      </c>
      <c r="Y18">
        <f>(AT18*1)</f>
        <v>0.1</v>
      </c>
      <c r="AA18">
        <v>15.25</v>
      </c>
      <c r="AB18">
        <v>0</v>
      </c>
      <c r="AC18">
        <v>0</v>
      </c>
      <c r="AD18">
        <v>0</v>
      </c>
      <c r="AE18">
        <v>15.25</v>
      </c>
      <c r="AF18">
        <v>0</v>
      </c>
      <c r="AG18">
        <v>0</v>
      </c>
      <c r="AH18">
        <v>0</v>
      </c>
      <c r="AI18">
        <v>1</v>
      </c>
      <c r="AJ18">
        <v>1</v>
      </c>
      <c r="AK18">
        <v>1</v>
      </c>
      <c r="AL18">
        <v>1</v>
      </c>
      <c r="AM18">
        <v>-2</v>
      </c>
      <c r="AN18">
        <v>0</v>
      </c>
      <c r="AO18">
        <v>1</v>
      </c>
      <c r="AP18">
        <v>1</v>
      </c>
      <c r="AQ18">
        <v>0</v>
      </c>
      <c r="AR18">
        <v>0</v>
      </c>
      <c r="AS18" t="s">
        <v>3</v>
      </c>
      <c r="AT18">
        <v>0.1</v>
      </c>
      <c r="AU18" t="s">
        <v>24</v>
      </c>
      <c r="AV18">
        <v>0</v>
      </c>
      <c r="AW18">
        <v>2</v>
      </c>
      <c r="AX18">
        <v>60256842</v>
      </c>
      <c r="AY18">
        <v>1</v>
      </c>
      <c r="AZ18">
        <v>0</v>
      </c>
      <c r="BA18">
        <v>20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CV18">
        <v>0</v>
      </c>
      <c r="CW18">
        <v>0</v>
      </c>
      <c r="CX18">
        <f>ROUND(Y18*Source!I32,9)</f>
        <v>0.1</v>
      </c>
      <c r="CY18">
        <f>AA18</f>
        <v>15.25</v>
      </c>
      <c r="CZ18">
        <f>AE18</f>
        <v>15.25</v>
      </c>
      <c r="DA18">
        <f>AI18</f>
        <v>1</v>
      </c>
      <c r="DB18">
        <f>ROUND((ROUND(AT18*CZ18,2)*1),6)</f>
        <v>1.53</v>
      </c>
      <c r="DC18">
        <f>ROUND((ROUND(AT18*AG18,2)*1),6)</f>
        <v>0</v>
      </c>
      <c r="DD18" t="s">
        <v>3</v>
      </c>
      <c r="DE18" t="s">
        <v>3</v>
      </c>
      <c r="DF18">
        <f>ROUND(ROUND(AE18,2)*CX18,2)</f>
        <v>1.53</v>
      </c>
      <c r="DG18">
        <f t="shared" si="4"/>
        <v>0</v>
      </c>
      <c r="DH18">
        <f t="shared" si="5"/>
        <v>0</v>
      </c>
      <c r="DI18">
        <f t="shared" si="3"/>
        <v>0</v>
      </c>
      <c r="DJ18">
        <f>DF18</f>
        <v>1.53</v>
      </c>
      <c r="DK18">
        <v>0</v>
      </c>
      <c r="DL18" t="s">
        <v>3</v>
      </c>
      <c r="DM18">
        <v>0</v>
      </c>
      <c r="DN18" t="s">
        <v>3</v>
      </c>
      <c r="DO18">
        <v>0</v>
      </c>
    </row>
    <row r="19" spans="1:119" x14ac:dyDescent="0.2">
      <c r="A19">
        <f>ROW(Source!A33)</f>
        <v>33</v>
      </c>
      <c r="B19">
        <v>60256402</v>
      </c>
      <c r="C19">
        <v>60256536</v>
      </c>
      <c r="D19">
        <v>58999254</v>
      </c>
      <c r="E19">
        <v>1080</v>
      </c>
      <c r="F19">
        <v>1</v>
      </c>
      <c r="G19">
        <v>1080</v>
      </c>
      <c r="H19">
        <v>1</v>
      </c>
      <c r="I19" t="s">
        <v>269</v>
      </c>
      <c r="J19" t="s">
        <v>3</v>
      </c>
      <c r="K19" t="s">
        <v>270</v>
      </c>
      <c r="L19">
        <v>1191</v>
      </c>
      <c r="N19">
        <v>1013</v>
      </c>
      <c r="O19" t="s">
        <v>271</v>
      </c>
      <c r="P19" t="s">
        <v>271</v>
      </c>
      <c r="Q19">
        <v>1</v>
      </c>
      <c r="W19">
        <v>0</v>
      </c>
      <c r="X19">
        <v>476480486</v>
      </c>
      <c r="Y19">
        <f>(AT19*1.1)</f>
        <v>2.915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1</v>
      </c>
      <c r="AJ19">
        <v>1</v>
      </c>
      <c r="AK19">
        <v>1</v>
      </c>
      <c r="AL19">
        <v>1</v>
      </c>
      <c r="AM19">
        <v>5</v>
      </c>
      <c r="AN19">
        <v>0</v>
      </c>
      <c r="AO19">
        <v>1</v>
      </c>
      <c r="AP19">
        <v>1</v>
      </c>
      <c r="AQ19">
        <v>0</v>
      </c>
      <c r="AR19">
        <v>0</v>
      </c>
      <c r="AS19" t="s">
        <v>3</v>
      </c>
      <c r="AT19">
        <v>2.65</v>
      </c>
      <c r="AU19" t="s">
        <v>25</v>
      </c>
      <c r="AV19">
        <v>1</v>
      </c>
      <c r="AW19">
        <v>2</v>
      </c>
      <c r="AX19">
        <v>60256839</v>
      </c>
      <c r="AY19">
        <v>1</v>
      </c>
      <c r="AZ19">
        <v>0</v>
      </c>
      <c r="BA19">
        <v>22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CU19">
        <f>ROUND(AT19*Source!I33*AH19*AL19,2)</f>
        <v>0</v>
      </c>
      <c r="CV19">
        <f>ROUND(Y19*Source!I33,9)</f>
        <v>2.915</v>
      </c>
      <c r="CW19">
        <v>0</v>
      </c>
      <c r="CX19">
        <f>ROUND(Y19*Source!I33,9)</f>
        <v>2.915</v>
      </c>
      <c r="CY19">
        <f>AD19</f>
        <v>0</v>
      </c>
      <c r="CZ19">
        <f>AH19</f>
        <v>0</v>
      </c>
      <c r="DA19">
        <f>AL19</f>
        <v>1</v>
      </c>
      <c r="DB19">
        <f>ROUND((ROUND(AT19*CZ19,2)*1.1),6)</f>
        <v>0</v>
      </c>
      <c r="DC19">
        <f>ROUND((ROUND(AT19*AG19,2)*1.1),6)</f>
        <v>0</v>
      </c>
      <c r="DD19" t="s">
        <v>3</v>
      </c>
      <c r="DE19" t="s">
        <v>3</v>
      </c>
      <c r="DF19">
        <f>ROUND(ROUND(AE19,2)*CX19,2)</f>
        <v>0</v>
      </c>
      <c r="DG19">
        <f t="shared" si="4"/>
        <v>0</v>
      </c>
      <c r="DH19">
        <f t="shared" si="5"/>
        <v>0</v>
      </c>
      <c r="DI19">
        <f t="shared" si="3"/>
        <v>0</v>
      </c>
      <c r="DJ19">
        <f>DI19</f>
        <v>0</v>
      </c>
      <c r="DK19">
        <v>0</v>
      </c>
      <c r="DL19" t="s">
        <v>3</v>
      </c>
      <c r="DM19">
        <v>0</v>
      </c>
      <c r="DN19" t="s">
        <v>3</v>
      </c>
      <c r="DO19">
        <v>0</v>
      </c>
    </row>
    <row r="20" spans="1:119" x14ac:dyDescent="0.2">
      <c r="A20">
        <f>ROW(Source!A33)</f>
        <v>33</v>
      </c>
      <c r="B20">
        <v>60256402</v>
      </c>
      <c r="C20">
        <v>60256536</v>
      </c>
      <c r="D20">
        <v>59040743</v>
      </c>
      <c r="E20">
        <v>1</v>
      </c>
      <c r="F20">
        <v>1</v>
      </c>
      <c r="G20">
        <v>1080</v>
      </c>
      <c r="H20">
        <v>3</v>
      </c>
      <c r="I20" t="s">
        <v>292</v>
      </c>
      <c r="J20" t="s">
        <v>293</v>
      </c>
      <c r="K20" t="s">
        <v>294</v>
      </c>
      <c r="L20">
        <v>1346</v>
      </c>
      <c r="N20">
        <v>1009</v>
      </c>
      <c r="O20" t="s">
        <v>70</v>
      </c>
      <c r="P20" t="s">
        <v>70</v>
      </c>
      <c r="Q20">
        <v>1</v>
      </c>
      <c r="W20">
        <v>0</v>
      </c>
      <c r="X20">
        <v>1225168167</v>
      </c>
      <c r="Y20">
        <f>(AT20*1)</f>
        <v>6.2700000000000004E-3</v>
      </c>
      <c r="AA20">
        <v>172.35</v>
      </c>
      <c r="AB20">
        <v>0</v>
      </c>
      <c r="AC20">
        <v>0</v>
      </c>
      <c r="AD20">
        <v>0</v>
      </c>
      <c r="AE20">
        <v>27.62</v>
      </c>
      <c r="AF20">
        <v>0</v>
      </c>
      <c r="AG20">
        <v>0</v>
      </c>
      <c r="AH20">
        <v>0</v>
      </c>
      <c r="AI20">
        <v>6.24</v>
      </c>
      <c r="AJ20">
        <v>1</v>
      </c>
      <c r="AK20">
        <v>1</v>
      </c>
      <c r="AL20">
        <v>1</v>
      </c>
      <c r="AM20">
        <v>2</v>
      </c>
      <c r="AN20">
        <v>0</v>
      </c>
      <c r="AO20">
        <v>1</v>
      </c>
      <c r="AP20">
        <v>1</v>
      </c>
      <c r="AQ20">
        <v>0</v>
      </c>
      <c r="AR20">
        <v>0</v>
      </c>
      <c r="AS20" t="s">
        <v>3</v>
      </c>
      <c r="AT20">
        <v>6.2700000000000004E-3</v>
      </c>
      <c r="AU20" t="s">
        <v>24</v>
      </c>
      <c r="AV20">
        <v>0</v>
      </c>
      <c r="AW20">
        <v>2</v>
      </c>
      <c r="AX20">
        <v>60256840</v>
      </c>
      <c r="AY20">
        <v>1</v>
      </c>
      <c r="AZ20">
        <v>0</v>
      </c>
      <c r="BA20">
        <v>23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CV20">
        <v>0</v>
      </c>
      <c r="CW20">
        <v>0</v>
      </c>
      <c r="CX20">
        <f>ROUND(Y20*Source!I33,9)</f>
        <v>6.2700000000000004E-3</v>
      </c>
      <c r="CY20">
        <f>AA20</f>
        <v>172.35</v>
      </c>
      <c r="CZ20">
        <f>AE20</f>
        <v>27.62</v>
      </c>
      <c r="DA20">
        <f>AI20</f>
        <v>6.24</v>
      </c>
      <c r="DB20">
        <f>ROUND((ROUND(AT20*CZ20,2)*1),6)</f>
        <v>0.17</v>
      </c>
      <c r="DC20">
        <f>ROUND((ROUND(AT20*AG20,2)*1),6)</f>
        <v>0</v>
      </c>
      <c r="DD20" t="s">
        <v>3</v>
      </c>
      <c r="DE20" t="s">
        <v>3</v>
      </c>
      <c r="DF20">
        <f>ROUND(ROUND(AE20*AI20,2)*CX20,2)</f>
        <v>1.08</v>
      </c>
      <c r="DG20">
        <f t="shared" si="4"/>
        <v>0</v>
      </c>
      <c r="DH20">
        <f t="shared" si="5"/>
        <v>0</v>
      </c>
      <c r="DI20">
        <f t="shared" si="3"/>
        <v>0</v>
      </c>
      <c r="DJ20">
        <f>DF20</f>
        <v>1.08</v>
      </c>
      <c r="DK20">
        <v>0</v>
      </c>
      <c r="DL20" t="s">
        <v>3</v>
      </c>
      <c r="DM20">
        <v>0</v>
      </c>
      <c r="DN20" t="s">
        <v>3</v>
      </c>
      <c r="DO20">
        <v>0</v>
      </c>
    </row>
    <row r="21" spans="1:119" x14ac:dyDescent="0.2">
      <c r="A21">
        <f>ROW(Source!A33)</f>
        <v>33</v>
      </c>
      <c r="B21">
        <v>60256402</v>
      </c>
      <c r="C21">
        <v>60256536</v>
      </c>
      <c r="D21">
        <v>59039462</v>
      </c>
      <c r="E21">
        <v>1</v>
      </c>
      <c r="F21">
        <v>1</v>
      </c>
      <c r="G21">
        <v>1080</v>
      </c>
      <c r="H21">
        <v>3</v>
      </c>
      <c r="I21" t="s">
        <v>295</v>
      </c>
      <c r="J21" t="s">
        <v>296</v>
      </c>
      <c r="K21" t="s">
        <v>297</v>
      </c>
      <c r="L21">
        <v>1348</v>
      </c>
      <c r="N21">
        <v>1009</v>
      </c>
      <c r="O21" t="s">
        <v>283</v>
      </c>
      <c r="P21" t="s">
        <v>283</v>
      </c>
      <c r="Q21">
        <v>1000</v>
      </c>
      <c r="W21">
        <v>0</v>
      </c>
      <c r="X21">
        <v>-1945031955</v>
      </c>
      <c r="Y21">
        <f>(AT21*1)</f>
        <v>1.0000000000000001E-5</v>
      </c>
      <c r="AA21">
        <v>1930103.81</v>
      </c>
      <c r="AB21">
        <v>0</v>
      </c>
      <c r="AC21">
        <v>0</v>
      </c>
      <c r="AD21">
        <v>0</v>
      </c>
      <c r="AE21">
        <v>64123.05</v>
      </c>
      <c r="AF21">
        <v>0</v>
      </c>
      <c r="AG21">
        <v>0</v>
      </c>
      <c r="AH21">
        <v>0</v>
      </c>
      <c r="AI21">
        <v>30.1</v>
      </c>
      <c r="AJ21">
        <v>1</v>
      </c>
      <c r="AK21">
        <v>1</v>
      </c>
      <c r="AL21">
        <v>1</v>
      </c>
      <c r="AM21">
        <v>2</v>
      </c>
      <c r="AN21">
        <v>0</v>
      </c>
      <c r="AO21">
        <v>1</v>
      </c>
      <c r="AP21">
        <v>1</v>
      </c>
      <c r="AQ21">
        <v>0</v>
      </c>
      <c r="AR21">
        <v>0</v>
      </c>
      <c r="AS21" t="s">
        <v>3</v>
      </c>
      <c r="AT21">
        <v>1.0000000000000001E-5</v>
      </c>
      <c r="AU21" t="s">
        <v>24</v>
      </c>
      <c r="AV21">
        <v>0</v>
      </c>
      <c r="AW21">
        <v>2</v>
      </c>
      <c r="AX21">
        <v>60256841</v>
      </c>
      <c r="AY21">
        <v>1</v>
      </c>
      <c r="AZ21">
        <v>0</v>
      </c>
      <c r="BA21">
        <v>24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CV21">
        <v>0</v>
      </c>
      <c r="CW21">
        <v>0</v>
      </c>
      <c r="CX21">
        <f>ROUND(Y21*Source!I33,9)</f>
        <v>1.0000000000000001E-5</v>
      </c>
      <c r="CY21">
        <f>AA21</f>
        <v>1930103.81</v>
      </c>
      <c r="CZ21">
        <f>AE21</f>
        <v>64123.05</v>
      </c>
      <c r="DA21">
        <f>AI21</f>
        <v>30.1</v>
      </c>
      <c r="DB21">
        <f>ROUND((ROUND(AT21*CZ21,2)*1),6)</f>
        <v>0.64</v>
      </c>
      <c r="DC21">
        <f>ROUND((ROUND(AT21*AG21,2)*1),6)</f>
        <v>0</v>
      </c>
      <c r="DD21" t="s">
        <v>3</v>
      </c>
      <c r="DE21" t="s">
        <v>3</v>
      </c>
      <c r="DF21">
        <f>ROUND(ROUND(AE21*AI21,2)*CX21,2)</f>
        <v>19.3</v>
      </c>
      <c r="DG21">
        <f t="shared" si="4"/>
        <v>0</v>
      </c>
      <c r="DH21">
        <f t="shared" si="5"/>
        <v>0</v>
      </c>
      <c r="DI21">
        <f t="shared" si="3"/>
        <v>0</v>
      </c>
      <c r="DJ21">
        <f>DF21</f>
        <v>19.3</v>
      </c>
      <c r="DK21">
        <v>0</v>
      </c>
      <c r="DL21" t="s">
        <v>3</v>
      </c>
      <c r="DM21">
        <v>0</v>
      </c>
      <c r="DN21" t="s">
        <v>3</v>
      </c>
      <c r="DO21">
        <v>0</v>
      </c>
    </row>
    <row r="22" spans="1:119" x14ac:dyDescent="0.2">
      <c r="A22">
        <f>ROW(Source!A33)</f>
        <v>33</v>
      </c>
      <c r="B22">
        <v>60256402</v>
      </c>
      <c r="C22">
        <v>60256536</v>
      </c>
      <c r="D22">
        <v>59049354</v>
      </c>
      <c r="E22">
        <v>1</v>
      </c>
      <c r="F22">
        <v>1</v>
      </c>
      <c r="G22">
        <v>1080</v>
      </c>
      <c r="H22">
        <v>3</v>
      </c>
      <c r="I22" t="s">
        <v>298</v>
      </c>
      <c r="J22" t="s">
        <v>299</v>
      </c>
      <c r="K22" t="s">
        <v>300</v>
      </c>
      <c r="L22">
        <v>1354</v>
      </c>
      <c r="N22">
        <v>1010</v>
      </c>
      <c r="O22" t="s">
        <v>33</v>
      </c>
      <c r="P22" t="s">
        <v>33</v>
      </c>
      <c r="Q22">
        <v>1</v>
      </c>
      <c r="W22">
        <v>0</v>
      </c>
      <c r="X22">
        <v>314181591</v>
      </c>
      <c r="Y22">
        <f>(AT22*1)</f>
        <v>0.1</v>
      </c>
      <c r="AA22">
        <v>36.14</v>
      </c>
      <c r="AB22">
        <v>0</v>
      </c>
      <c r="AC22">
        <v>0</v>
      </c>
      <c r="AD22">
        <v>0</v>
      </c>
      <c r="AE22">
        <v>15.25</v>
      </c>
      <c r="AF22">
        <v>0</v>
      </c>
      <c r="AG22">
        <v>0</v>
      </c>
      <c r="AH22">
        <v>0</v>
      </c>
      <c r="AI22">
        <v>2.37</v>
      </c>
      <c r="AJ22">
        <v>1</v>
      </c>
      <c r="AK22">
        <v>1</v>
      </c>
      <c r="AL22">
        <v>1</v>
      </c>
      <c r="AM22">
        <v>2</v>
      </c>
      <c r="AN22">
        <v>0</v>
      </c>
      <c r="AO22">
        <v>1</v>
      </c>
      <c r="AP22">
        <v>1</v>
      </c>
      <c r="AQ22">
        <v>0</v>
      </c>
      <c r="AR22">
        <v>0</v>
      </c>
      <c r="AS22" t="s">
        <v>3</v>
      </c>
      <c r="AT22">
        <v>0.1</v>
      </c>
      <c r="AU22" t="s">
        <v>24</v>
      </c>
      <c r="AV22">
        <v>0</v>
      </c>
      <c r="AW22">
        <v>2</v>
      </c>
      <c r="AX22">
        <v>60256842</v>
      </c>
      <c r="AY22">
        <v>1</v>
      </c>
      <c r="AZ22">
        <v>0</v>
      </c>
      <c r="BA22">
        <v>25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CV22">
        <v>0</v>
      </c>
      <c r="CW22">
        <v>0</v>
      </c>
      <c r="CX22">
        <f>ROUND(Y22*Source!I33,9)</f>
        <v>0.1</v>
      </c>
      <c r="CY22">
        <f>AA22</f>
        <v>36.14</v>
      </c>
      <c r="CZ22">
        <f>AE22</f>
        <v>15.25</v>
      </c>
      <c r="DA22">
        <f>AI22</f>
        <v>2.37</v>
      </c>
      <c r="DB22">
        <f>ROUND((ROUND(AT22*CZ22,2)*1),6)</f>
        <v>1.53</v>
      </c>
      <c r="DC22">
        <f>ROUND((ROUND(AT22*AG22,2)*1),6)</f>
        <v>0</v>
      </c>
      <c r="DD22" t="s">
        <v>3</v>
      </c>
      <c r="DE22" t="s">
        <v>3</v>
      </c>
      <c r="DF22">
        <f>ROUND(ROUND(AE22*AI22,2)*CX22,2)</f>
        <v>3.61</v>
      </c>
      <c r="DG22">
        <f t="shared" si="4"/>
        <v>0</v>
      </c>
      <c r="DH22">
        <f t="shared" si="5"/>
        <v>0</v>
      </c>
      <c r="DI22">
        <f t="shared" si="3"/>
        <v>0</v>
      </c>
      <c r="DJ22">
        <f>DF22</f>
        <v>3.61</v>
      </c>
      <c r="DK22">
        <v>0</v>
      </c>
      <c r="DL22" t="s">
        <v>3</v>
      </c>
      <c r="DM22">
        <v>0</v>
      </c>
      <c r="DN22" t="s">
        <v>3</v>
      </c>
      <c r="DO22">
        <v>0</v>
      </c>
    </row>
    <row r="23" spans="1:119" x14ac:dyDescent="0.2">
      <c r="A23">
        <f>ROW(Source!A36)</f>
        <v>36</v>
      </c>
      <c r="B23">
        <v>60256405</v>
      </c>
      <c r="C23">
        <v>60256547</v>
      </c>
      <c r="D23">
        <v>58999254</v>
      </c>
      <c r="E23">
        <v>1080</v>
      </c>
      <c r="F23">
        <v>1</v>
      </c>
      <c r="G23">
        <v>1080</v>
      </c>
      <c r="H23">
        <v>1</v>
      </c>
      <c r="I23" t="s">
        <v>269</v>
      </c>
      <c r="J23" t="s">
        <v>3</v>
      </c>
      <c r="K23" t="s">
        <v>270</v>
      </c>
      <c r="L23">
        <v>1191</v>
      </c>
      <c r="N23">
        <v>1013</v>
      </c>
      <c r="O23" t="s">
        <v>271</v>
      </c>
      <c r="P23" t="s">
        <v>271</v>
      </c>
      <c r="Q23">
        <v>1</v>
      </c>
      <c r="W23">
        <v>0</v>
      </c>
      <c r="X23">
        <v>476480486</v>
      </c>
      <c r="Y23">
        <f t="shared" ref="Y23:Y31" si="6">(AT23*1.1)</f>
        <v>1.1330000000000002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1</v>
      </c>
      <c r="AJ23">
        <v>1</v>
      </c>
      <c r="AK23">
        <v>1</v>
      </c>
      <c r="AL23">
        <v>1</v>
      </c>
      <c r="AM23">
        <v>-2</v>
      </c>
      <c r="AN23">
        <v>0</v>
      </c>
      <c r="AO23">
        <v>1</v>
      </c>
      <c r="AP23">
        <v>1</v>
      </c>
      <c r="AQ23">
        <v>0</v>
      </c>
      <c r="AR23">
        <v>0</v>
      </c>
      <c r="AS23" t="s">
        <v>3</v>
      </c>
      <c r="AT23">
        <v>1.03</v>
      </c>
      <c r="AU23" t="s">
        <v>25</v>
      </c>
      <c r="AV23">
        <v>1</v>
      </c>
      <c r="AW23">
        <v>2</v>
      </c>
      <c r="AX23">
        <v>60256844</v>
      </c>
      <c r="AY23">
        <v>1</v>
      </c>
      <c r="AZ23">
        <v>0</v>
      </c>
      <c r="BA23">
        <v>27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CU23">
        <f>ROUND(AT23*Source!I36*AH23*AL23,2)</f>
        <v>0</v>
      </c>
      <c r="CV23">
        <f>ROUND(Y23*Source!I36,9)</f>
        <v>1.133</v>
      </c>
      <c r="CW23">
        <v>0</v>
      </c>
      <c r="CX23">
        <f>ROUND(Y23*Source!I36,9)</f>
        <v>1.133</v>
      </c>
      <c r="CY23">
        <f>AD23</f>
        <v>0</v>
      </c>
      <c r="CZ23">
        <f>AH23</f>
        <v>0</v>
      </c>
      <c r="DA23">
        <f>AL23</f>
        <v>1</v>
      </c>
      <c r="DB23">
        <f t="shared" ref="DB23:DB31" si="7">ROUND((ROUND(AT23*CZ23,2)*1.1),6)</f>
        <v>0</v>
      </c>
      <c r="DC23">
        <f t="shared" ref="DC23:DC31" si="8">ROUND((ROUND(AT23*AG23,2)*1.1),6)</f>
        <v>0</v>
      </c>
      <c r="DD23" t="s">
        <v>3</v>
      </c>
      <c r="DE23" t="s">
        <v>3</v>
      </c>
      <c r="DF23">
        <f t="shared" ref="DF23:DF33" si="9">ROUND(ROUND(AE23,2)*CX23,2)</f>
        <v>0</v>
      </c>
      <c r="DG23">
        <f t="shared" si="4"/>
        <v>0</v>
      </c>
      <c r="DH23">
        <f t="shared" si="5"/>
        <v>0</v>
      </c>
      <c r="DI23">
        <f t="shared" si="3"/>
        <v>0</v>
      </c>
      <c r="DJ23">
        <f>DI23</f>
        <v>0</v>
      </c>
      <c r="DK23">
        <v>0</v>
      </c>
      <c r="DL23" t="s">
        <v>3</v>
      </c>
      <c r="DM23">
        <v>0</v>
      </c>
      <c r="DN23" t="s">
        <v>3</v>
      </c>
      <c r="DO23">
        <v>0</v>
      </c>
    </row>
    <row r="24" spans="1:119" x14ac:dyDescent="0.2">
      <c r="A24">
        <f>ROW(Source!A36)</f>
        <v>36</v>
      </c>
      <c r="B24">
        <v>60256405</v>
      </c>
      <c r="C24">
        <v>60256547</v>
      </c>
      <c r="D24">
        <v>59070669</v>
      </c>
      <c r="E24">
        <v>1</v>
      </c>
      <c r="F24">
        <v>1</v>
      </c>
      <c r="G24">
        <v>1080</v>
      </c>
      <c r="H24">
        <v>2</v>
      </c>
      <c r="I24" t="s">
        <v>301</v>
      </c>
      <c r="J24" t="s">
        <v>302</v>
      </c>
      <c r="K24" t="s">
        <v>303</v>
      </c>
      <c r="L24">
        <v>1368</v>
      </c>
      <c r="N24">
        <v>1011</v>
      </c>
      <c r="O24" t="s">
        <v>275</v>
      </c>
      <c r="P24" t="s">
        <v>275</v>
      </c>
      <c r="Q24">
        <v>1</v>
      </c>
      <c r="W24">
        <v>0</v>
      </c>
      <c r="X24">
        <v>-1985943078</v>
      </c>
      <c r="Y24">
        <f t="shared" si="6"/>
        <v>6.6000000000000008E-3</v>
      </c>
      <c r="AA24">
        <v>0</v>
      </c>
      <c r="AB24">
        <v>87.01</v>
      </c>
      <c r="AC24">
        <v>13.21</v>
      </c>
      <c r="AD24">
        <v>0</v>
      </c>
      <c r="AE24">
        <v>0</v>
      </c>
      <c r="AF24">
        <v>83.1</v>
      </c>
      <c r="AG24">
        <v>12.62</v>
      </c>
      <c r="AH24">
        <v>0</v>
      </c>
      <c r="AI24">
        <v>1</v>
      </c>
      <c r="AJ24">
        <v>1</v>
      </c>
      <c r="AK24">
        <v>1</v>
      </c>
      <c r="AL24">
        <v>1</v>
      </c>
      <c r="AM24">
        <v>-2</v>
      </c>
      <c r="AN24">
        <v>0</v>
      </c>
      <c r="AO24">
        <v>1</v>
      </c>
      <c r="AP24">
        <v>1</v>
      </c>
      <c r="AQ24">
        <v>0</v>
      </c>
      <c r="AR24">
        <v>0</v>
      </c>
      <c r="AS24" t="s">
        <v>3</v>
      </c>
      <c r="AT24">
        <v>6.0000000000000001E-3</v>
      </c>
      <c r="AU24" t="s">
        <v>25</v>
      </c>
      <c r="AV24">
        <v>0</v>
      </c>
      <c r="AW24">
        <v>2</v>
      </c>
      <c r="AX24">
        <v>60256845</v>
      </c>
      <c r="AY24">
        <v>1</v>
      </c>
      <c r="AZ24">
        <v>0</v>
      </c>
      <c r="BA24">
        <v>28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CV24">
        <v>0</v>
      </c>
      <c r="CW24">
        <f>ROUND(Y24*Source!I36*DO24,9)</f>
        <v>8.3292000000000005E-2</v>
      </c>
      <c r="CX24">
        <f>ROUND(Y24*Source!I36,9)</f>
        <v>6.6E-3</v>
      </c>
      <c r="CY24">
        <f>AB24</f>
        <v>87.01</v>
      </c>
      <c r="CZ24">
        <f>AF24</f>
        <v>83.1</v>
      </c>
      <c r="DA24">
        <f>AJ24</f>
        <v>1</v>
      </c>
      <c r="DB24">
        <f t="shared" si="7"/>
        <v>0.55000000000000004</v>
      </c>
      <c r="DC24">
        <f t="shared" si="8"/>
        <v>8.7999999999999995E-2</v>
      </c>
      <c r="DD24" t="s">
        <v>3</v>
      </c>
      <c r="DE24" t="s">
        <v>3</v>
      </c>
      <c r="DF24">
        <f t="shared" si="9"/>
        <v>0</v>
      </c>
      <c r="DG24">
        <f t="shared" si="4"/>
        <v>0.55000000000000004</v>
      </c>
      <c r="DH24">
        <f t="shared" si="5"/>
        <v>0.08</v>
      </c>
      <c r="DI24">
        <f t="shared" si="3"/>
        <v>0</v>
      </c>
      <c r="DJ24">
        <f>DG24</f>
        <v>0.55000000000000004</v>
      </c>
      <c r="DK24">
        <v>0</v>
      </c>
      <c r="DL24" t="s">
        <v>276</v>
      </c>
      <c r="DM24">
        <v>0</v>
      </c>
      <c r="DN24" t="s">
        <v>271</v>
      </c>
      <c r="DO24">
        <v>12.62</v>
      </c>
    </row>
    <row r="25" spans="1:119" x14ac:dyDescent="0.2">
      <c r="A25">
        <f>ROW(Source!A37)</f>
        <v>37</v>
      </c>
      <c r="B25">
        <v>60256402</v>
      </c>
      <c r="C25">
        <v>60256547</v>
      </c>
      <c r="D25">
        <v>58999254</v>
      </c>
      <c r="E25">
        <v>1080</v>
      </c>
      <c r="F25">
        <v>1</v>
      </c>
      <c r="G25">
        <v>1080</v>
      </c>
      <c r="H25">
        <v>1</v>
      </c>
      <c r="I25" t="s">
        <v>269</v>
      </c>
      <c r="J25" t="s">
        <v>3</v>
      </c>
      <c r="K25" t="s">
        <v>270</v>
      </c>
      <c r="L25">
        <v>1191</v>
      </c>
      <c r="N25">
        <v>1013</v>
      </c>
      <c r="O25" t="s">
        <v>271</v>
      </c>
      <c r="P25" t="s">
        <v>271</v>
      </c>
      <c r="Q25">
        <v>1</v>
      </c>
      <c r="W25">
        <v>0</v>
      </c>
      <c r="X25">
        <v>476480486</v>
      </c>
      <c r="Y25">
        <f t="shared" si="6"/>
        <v>1.1330000000000002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1</v>
      </c>
      <c r="AJ25">
        <v>1</v>
      </c>
      <c r="AK25">
        <v>1</v>
      </c>
      <c r="AL25">
        <v>1</v>
      </c>
      <c r="AM25">
        <v>5</v>
      </c>
      <c r="AN25">
        <v>0</v>
      </c>
      <c r="AO25">
        <v>1</v>
      </c>
      <c r="AP25">
        <v>1</v>
      </c>
      <c r="AQ25">
        <v>0</v>
      </c>
      <c r="AR25">
        <v>0</v>
      </c>
      <c r="AS25" t="s">
        <v>3</v>
      </c>
      <c r="AT25">
        <v>1.03</v>
      </c>
      <c r="AU25" t="s">
        <v>25</v>
      </c>
      <c r="AV25">
        <v>1</v>
      </c>
      <c r="AW25">
        <v>2</v>
      </c>
      <c r="AX25">
        <v>60256844</v>
      </c>
      <c r="AY25">
        <v>1</v>
      </c>
      <c r="AZ25">
        <v>0</v>
      </c>
      <c r="BA25">
        <v>30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CU25">
        <f>ROUND(AT25*Source!I37*AH25*AL25,2)</f>
        <v>0</v>
      </c>
      <c r="CV25">
        <f>ROUND(Y25*Source!I37,9)</f>
        <v>1.133</v>
      </c>
      <c r="CW25">
        <v>0</v>
      </c>
      <c r="CX25">
        <f>ROUND(Y25*Source!I37,9)</f>
        <v>1.133</v>
      </c>
      <c r="CY25">
        <f>AD25</f>
        <v>0</v>
      </c>
      <c r="CZ25">
        <f>AH25</f>
        <v>0</v>
      </c>
      <c r="DA25">
        <f>AL25</f>
        <v>1</v>
      </c>
      <c r="DB25">
        <f t="shared" si="7"/>
        <v>0</v>
      </c>
      <c r="DC25">
        <f t="shared" si="8"/>
        <v>0</v>
      </c>
      <c r="DD25" t="s">
        <v>3</v>
      </c>
      <c r="DE25" t="s">
        <v>3</v>
      </c>
      <c r="DF25">
        <f t="shared" si="9"/>
        <v>0</v>
      </c>
      <c r="DG25">
        <f t="shared" si="4"/>
        <v>0</v>
      </c>
      <c r="DH25">
        <f t="shared" si="5"/>
        <v>0</v>
      </c>
      <c r="DI25">
        <f t="shared" si="3"/>
        <v>0</v>
      </c>
      <c r="DJ25">
        <f>DI25</f>
        <v>0</v>
      </c>
      <c r="DK25">
        <v>0</v>
      </c>
      <c r="DL25" t="s">
        <v>3</v>
      </c>
      <c r="DM25">
        <v>0</v>
      </c>
      <c r="DN25" t="s">
        <v>3</v>
      </c>
      <c r="DO25">
        <v>0</v>
      </c>
    </row>
    <row r="26" spans="1:119" x14ac:dyDescent="0.2">
      <c r="A26">
        <f>ROW(Source!A37)</f>
        <v>37</v>
      </c>
      <c r="B26">
        <v>60256402</v>
      </c>
      <c r="C26">
        <v>60256547</v>
      </c>
      <c r="D26">
        <v>59070669</v>
      </c>
      <c r="E26">
        <v>1</v>
      </c>
      <c r="F26">
        <v>1</v>
      </c>
      <c r="G26">
        <v>1080</v>
      </c>
      <c r="H26">
        <v>2</v>
      </c>
      <c r="I26" t="s">
        <v>301</v>
      </c>
      <c r="J26" t="s">
        <v>302</v>
      </c>
      <c r="K26" t="s">
        <v>303</v>
      </c>
      <c r="L26">
        <v>1368</v>
      </c>
      <c r="N26">
        <v>1011</v>
      </c>
      <c r="O26" t="s">
        <v>275</v>
      </c>
      <c r="P26" t="s">
        <v>275</v>
      </c>
      <c r="Q26">
        <v>1</v>
      </c>
      <c r="W26">
        <v>0</v>
      </c>
      <c r="X26">
        <v>-1985943078</v>
      </c>
      <c r="Y26">
        <f t="shared" si="6"/>
        <v>6.6000000000000008E-3</v>
      </c>
      <c r="AA26">
        <v>0</v>
      </c>
      <c r="AB26">
        <v>1418.19</v>
      </c>
      <c r="AC26">
        <v>726.59</v>
      </c>
      <c r="AD26">
        <v>0</v>
      </c>
      <c r="AE26">
        <v>0</v>
      </c>
      <c r="AF26">
        <v>83.1</v>
      </c>
      <c r="AG26">
        <v>12.62</v>
      </c>
      <c r="AH26">
        <v>0</v>
      </c>
      <c r="AI26">
        <v>1</v>
      </c>
      <c r="AJ26">
        <v>16.3</v>
      </c>
      <c r="AK26">
        <v>54.99</v>
      </c>
      <c r="AL26">
        <v>1</v>
      </c>
      <c r="AM26">
        <v>2</v>
      </c>
      <c r="AN26">
        <v>0</v>
      </c>
      <c r="AO26">
        <v>1</v>
      </c>
      <c r="AP26">
        <v>1</v>
      </c>
      <c r="AQ26">
        <v>0</v>
      </c>
      <c r="AR26">
        <v>0</v>
      </c>
      <c r="AS26" t="s">
        <v>3</v>
      </c>
      <c r="AT26">
        <v>6.0000000000000001E-3</v>
      </c>
      <c r="AU26" t="s">
        <v>25</v>
      </c>
      <c r="AV26">
        <v>0</v>
      </c>
      <c r="AW26">
        <v>2</v>
      </c>
      <c r="AX26">
        <v>60256845</v>
      </c>
      <c r="AY26">
        <v>1</v>
      </c>
      <c r="AZ26">
        <v>0</v>
      </c>
      <c r="BA26">
        <v>31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CV26">
        <v>0</v>
      </c>
      <c r="CW26">
        <f>ROUND(Y26*Source!I37*DO26,9)</f>
        <v>8.3292000000000005E-2</v>
      </c>
      <c r="CX26">
        <f>ROUND(Y26*Source!I37,9)</f>
        <v>6.6E-3</v>
      </c>
      <c r="CY26">
        <f>AB26</f>
        <v>1418.19</v>
      </c>
      <c r="CZ26">
        <f>AF26</f>
        <v>83.1</v>
      </c>
      <c r="DA26">
        <f>AJ26</f>
        <v>16.3</v>
      </c>
      <c r="DB26">
        <f t="shared" si="7"/>
        <v>0.55000000000000004</v>
      </c>
      <c r="DC26">
        <f t="shared" si="8"/>
        <v>8.7999999999999995E-2</v>
      </c>
      <c r="DD26" t="s">
        <v>3</v>
      </c>
      <c r="DE26" t="s">
        <v>3</v>
      </c>
      <c r="DF26">
        <f t="shared" si="9"/>
        <v>0</v>
      </c>
      <c r="DG26">
        <f>ROUND(ROUND(AF26*AJ26,2)*CX26,2)</f>
        <v>8.94</v>
      </c>
      <c r="DH26">
        <f>ROUND(ROUND(AG26*AK26,2)*CX26,2)</f>
        <v>4.58</v>
      </c>
      <c r="DI26">
        <f t="shared" si="3"/>
        <v>0</v>
      </c>
      <c r="DJ26">
        <f>DG26</f>
        <v>8.94</v>
      </c>
      <c r="DK26">
        <v>0</v>
      </c>
      <c r="DL26" t="s">
        <v>276</v>
      </c>
      <c r="DM26">
        <v>0</v>
      </c>
      <c r="DN26" t="s">
        <v>271</v>
      </c>
      <c r="DO26">
        <v>12.62</v>
      </c>
    </row>
    <row r="27" spans="1:119" x14ac:dyDescent="0.2">
      <c r="A27">
        <f>ROW(Source!A40)</f>
        <v>40</v>
      </c>
      <c r="B27">
        <v>60256405</v>
      </c>
      <c r="C27">
        <v>60256554</v>
      </c>
      <c r="D27">
        <v>58999254</v>
      </c>
      <c r="E27">
        <v>1080</v>
      </c>
      <c r="F27">
        <v>1</v>
      </c>
      <c r="G27">
        <v>1080</v>
      </c>
      <c r="H27">
        <v>1</v>
      </c>
      <c r="I27" t="s">
        <v>269</v>
      </c>
      <c r="J27" t="s">
        <v>3</v>
      </c>
      <c r="K27" t="s">
        <v>270</v>
      </c>
      <c r="L27">
        <v>1191</v>
      </c>
      <c r="N27">
        <v>1013</v>
      </c>
      <c r="O27" t="s">
        <v>271</v>
      </c>
      <c r="P27" t="s">
        <v>271</v>
      </c>
      <c r="Q27">
        <v>1</v>
      </c>
      <c r="W27">
        <v>0</v>
      </c>
      <c r="X27">
        <v>476480486</v>
      </c>
      <c r="Y27">
        <f t="shared" si="6"/>
        <v>1.1330000000000002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1</v>
      </c>
      <c r="AJ27">
        <v>1</v>
      </c>
      <c r="AK27">
        <v>1</v>
      </c>
      <c r="AL27">
        <v>1</v>
      </c>
      <c r="AM27">
        <v>-2</v>
      </c>
      <c r="AN27">
        <v>0</v>
      </c>
      <c r="AO27">
        <v>1</v>
      </c>
      <c r="AP27">
        <v>1</v>
      </c>
      <c r="AQ27">
        <v>0</v>
      </c>
      <c r="AR27">
        <v>0</v>
      </c>
      <c r="AS27" t="s">
        <v>3</v>
      </c>
      <c r="AT27">
        <v>1.03</v>
      </c>
      <c r="AU27" t="s">
        <v>25</v>
      </c>
      <c r="AV27">
        <v>1</v>
      </c>
      <c r="AW27">
        <v>2</v>
      </c>
      <c r="AX27">
        <v>60256847</v>
      </c>
      <c r="AY27">
        <v>1</v>
      </c>
      <c r="AZ27">
        <v>0</v>
      </c>
      <c r="BA27">
        <v>33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CU27">
        <f>ROUND(AT27*Source!I40*AH27*AL27,2)</f>
        <v>0</v>
      </c>
      <c r="CV27">
        <f>ROUND(Y27*Source!I40,9)</f>
        <v>1.133</v>
      </c>
      <c r="CW27">
        <v>0</v>
      </c>
      <c r="CX27">
        <f>ROUND(Y27*Source!I40,9)</f>
        <v>1.133</v>
      </c>
      <c r="CY27">
        <f>AD27</f>
        <v>0</v>
      </c>
      <c r="CZ27">
        <f>AH27</f>
        <v>0</v>
      </c>
      <c r="DA27">
        <f>AL27</f>
        <v>1</v>
      </c>
      <c r="DB27">
        <f t="shared" si="7"/>
        <v>0</v>
      </c>
      <c r="DC27">
        <f t="shared" si="8"/>
        <v>0</v>
      </c>
      <c r="DD27" t="s">
        <v>3</v>
      </c>
      <c r="DE27" t="s">
        <v>3</v>
      </c>
      <c r="DF27">
        <f t="shared" si="9"/>
        <v>0</v>
      </c>
      <c r="DG27">
        <f>ROUND(ROUND(AF27,2)*CX27,2)</f>
        <v>0</v>
      </c>
      <c r="DH27">
        <f>ROUND(ROUND(AG27,2)*CX27,2)</f>
        <v>0</v>
      </c>
      <c r="DI27">
        <f t="shared" si="3"/>
        <v>0</v>
      </c>
      <c r="DJ27">
        <f>DI27</f>
        <v>0</v>
      </c>
      <c r="DK27">
        <v>0</v>
      </c>
      <c r="DL27" t="s">
        <v>3</v>
      </c>
      <c r="DM27">
        <v>0</v>
      </c>
      <c r="DN27" t="s">
        <v>3</v>
      </c>
      <c r="DO27">
        <v>0</v>
      </c>
    </row>
    <row r="28" spans="1:119" x14ac:dyDescent="0.2">
      <c r="A28">
        <f>ROW(Source!A40)</f>
        <v>40</v>
      </c>
      <c r="B28">
        <v>60256405</v>
      </c>
      <c r="C28">
        <v>60256554</v>
      </c>
      <c r="D28">
        <v>59070669</v>
      </c>
      <c r="E28">
        <v>1</v>
      </c>
      <c r="F28">
        <v>1</v>
      </c>
      <c r="G28">
        <v>1080</v>
      </c>
      <c r="H28">
        <v>2</v>
      </c>
      <c r="I28" t="s">
        <v>301</v>
      </c>
      <c r="J28" t="s">
        <v>302</v>
      </c>
      <c r="K28" t="s">
        <v>303</v>
      </c>
      <c r="L28">
        <v>1368</v>
      </c>
      <c r="N28">
        <v>1011</v>
      </c>
      <c r="O28" t="s">
        <v>275</v>
      </c>
      <c r="P28" t="s">
        <v>275</v>
      </c>
      <c r="Q28">
        <v>1</v>
      </c>
      <c r="W28">
        <v>0</v>
      </c>
      <c r="X28">
        <v>-1985943078</v>
      </c>
      <c r="Y28">
        <f t="shared" si="6"/>
        <v>6.6000000000000008E-3</v>
      </c>
      <c r="AA28">
        <v>0</v>
      </c>
      <c r="AB28">
        <v>87.01</v>
      </c>
      <c r="AC28">
        <v>13.21</v>
      </c>
      <c r="AD28">
        <v>0</v>
      </c>
      <c r="AE28">
        <v>0</v>
      </c>
      <c r="AF28">
        <v>83.1</v>
      </c>
      <c r="AG28">
        <v>12.62</v>
      </c>
      <c r="AH28">
        <v>0</v>
      </c>
      <c r="AI28">
        <v>1</v>
      </c>
      <c r="AJ28">
        <v>1</v>
      </c>
      <c r="AK28">
        <v>1</v>
      </c>
      <c r="AL28">
        <v>1</v>
      </c>
      <c r="AM28">
        <v>-2</v>
      </c>
      <c r="AN28">
        <v>0</v>
      </c>
      <c r="AO28">
        <v>1</v>
      </c>
      <c r="AP28">
        <v>1</v>
      </c>
      <c r="AQ28">
        <v>0</v>
      </c>
      <c r="AR28">
        <v>0</v>
      </c>
      <c r="AS28" t="s">
        <v>3</v>
      </c>
      <c r="AT28">
        <v>6.0000000000000001E-3</v>
      </c>
      <c r="AU28" t="s">
        <v>25</v>
      </c>
      <c r="AV28">
        <v>0</v>
      </c>
      <c r="AW28">
        <v>2</v>
      </c>
      <c r="AX28">
        <v>60256848</v>
      </c>
      <c r="AY28">
        <v>1</v>
      </c>
      <c r="AZ28">
        <v>0</v>
      </c>
      <c r="BA28">
        <v>34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CV28">
        <v>0</v>
      </c>
      <c r="CW28">
        <f>ROUND(Y28*Source!I40*DO28,9)</f>
        <v>8.3292000000000005E-2</v>
      </c>
      <c r="CX28">
        <f>ROUND(Y28*Source!I40,9)</f>
        <v>6.6E-3</v>
      </c>
      <c r="CY28">
        <f>AB28</f>
        <v>87.01</v>
      </c>
      <c r="CZ28">
        <f>AF28</f>
        <v>83.1</v>
      </c>
      <c r="DA28">
        <f>AJ28</f>
        <v>1</v>
      </c>
      <c r="DB28">
        <f t="shared" si="7"/>
        <v>0.55000000000000004</v>
      </c>
      <c r="DC28">
        <f t="shared" si="8"/>
        <v>8.7999999999999995E-2</v>
      </c>
      <c r="DD28" t="s">
        <v>3</v>
      </c>
      <c r="DE28" t="s">
        <v>3</v>
      </c>
      <c r="DF28">
        <f t="shared" si="9"/>
        <v>0</v>
      </c>
      <c r="DG28">
        <f>ROUND(ROUND(AF28,2)*CX28,2)</f>
        <v>0.55000000000000004</v>
      </c>
      <c r="DH28">
        <f>ROUND(ROUND(AG28,2)*CX28,2)</f>
        <v>0.08</v>
      </c>
      <c r="DI28">
        <f t="shared" si="3"/>
        <v>0</v>
      </c>
      <c r="DJ28">
        <f>DG28</f>
        <v>0.55000000000000004</v>
      </c>
      <c r="DK28">
        <v>0</v>
      </c>
      <c r="DL28" t="s">
        <v>276</v>
      </c>
      <c r="DM28">
        <v>0</v>
      </c>
      <c r="DN28" t="s">
        <v>271</v>
      </c>
      <c r="DO28">
        <v>12.62</v>
      </c>
    </row>
    <row r="29" spans="1:119" x14ac:dyDescent="0.2">
      <c r="A29">
        <f>ROW(Source!A41)</f>
        <v>41</v>
      </c>
      <c r="B29">
        <v>60256402</v>
      </c>
      <c r="C29">
        <v>60256554</v>
      </c>
      <c r="D29">
        <v>58999254</v>
      </c>
      <c r="E29">
        <v>1080</v>
      </c>
      <c r="F29">
        <v>1</v>
      </c>
      <c r="G29">
        <v>1080</v>
      </c>
      <c r="H29">
        <v>1</v>
      </c>
      <c r="I29" t="s">
        <v>269</v>
      </c>
      <c r="J29" t="s">
        <v>3</v>
      </c>
      <c r="K29" t="s">
        <v>270</v>
      </c>
      <c r="L29">
        <v>1191</v>
      </c>
      <c r="N29">
        <v>1013</v>
      </c>
      <c r="O29" t="s">
        <v>271</v>
      </c>
      <c r="P29" t="s">
        <v>271</v>
      </c>
      <c r="Q29">
        <v>1</v>
      </c>
      <c r="W29">
        <v>0</v>
      </c>
      <c r="X29">
        <v>476480486</v>
      </c>
      <c r="Y29">
        <f t="shared" si="6"/>
        <v>1.1330000000000002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1</v>
      </c>
      <c r="AJ29">
        <v>1</v>
      </c>
      <c r="AK29">
        <v>1</v>
      </c>
      <c r="AL29">
        <v>1</v>
      </c>
      <c r="AM29">
        <v>5</v>
      </c>
      <c r="AN29">
        <v>0</v>
      </c>
      <c r="AO29">
        <v>1</v>
      </c>
      <c r="AP29">
        <v>1</v>
      </c>
      <c r="AQ29">
        <v>0</v>
      </c>
      <c r="AR29">
        <v>0</v>
      </c>
      <c r="AS29" t="s">
        <v>3</v>
      </c>
      <c r="AT29">
        <v>1.03</v>
      </c>
      <c r="AU29" t="s">
        <v>25</v>
      </c>
      <c r="AV29">
        <v>1</v>
      </c>
      <c r="AW29">
        <v>2</v>
      </c>
      <c r="AX29">
        <v>60256847</v>
      </c>
      <c r="AY29">
        <v>1</v>
      </c>
      <c r="AZ29">
        <v>0</v>
      </c>
      <c r="BA29">
        <v>36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CU29">
        <f>ROUND(AT29*Source!I41*AH29*AL29,2)</f>
        <v>0</v>
      </c>
      <c r="CV29">
        <f>ROUND(Y29*Source!I41,9)</f>
        <v>1.133</v>
      </c>
      <c r="CW29">
        <v>0</v>
      </c>
      <c r="CX29">
        <f>ROUND(Y29*Source!I41,9)</f>
        <v>1.133</v>
      </c>
      <c r="CY29">
        <f>AD29</f>
        <v>0</v>
      </c>
      <c r="CZ29">
        <f>AH29</f>
        <v>0</v>
      </c>
      <c r="DA29">
        <f>AL29</f>
        <v>1</v>
      </c>
      <c r="DB29">
        <f t="shared" si="7"/>
        <v>0</v>
      </c>
      <c r="DC29">
        <f t="shared" si="8"/>
        <v>0</v>
      </c>
      <c r="DD29" t="s">
        <v>3</v>
      </c>
      <c r="DE29" t="s">
        <v>3</v>
      </c>
      <c r="DF29">
        <f t="shared" si="9"/>
        <v>0</v>
      </c>
      <c r="DG29">
        <f>ROUND(ROUND(AF29,2)*CX29,2)</f>
        <v>0</v>
      </c>
      <c r="DH29">
        <f>ROUND(ROUND(AG29,2)*CX29,2)</f>
        <v>0</v>
      </c>
      <c r="DI29">
        <f t="shared" si="3"/>
        <v>0</v>
      </c>
      <c r="DJ29">
        <f>DI29</f>
        <v>0</v>
      </c>
      <c r="DK29">
        <v>0</v>
      </c>
      <c r="DL29" t="s">
        <v>3</v>
      </c>
      <c r="DM29">
        <v>0</v>
      </c>
      <c r="DN29" t="s">
        <v>3</v>
      </c>
      <c r="DO29">
        <v>0</v>
      </c>
    </row>
    <row r="30" spans="1:119" x14ac:dyDescent="0.2">
      <c r="A30">
        <f>ROW(Source!A41)</f>
        <v>41</v>
      </c>
      <c r="B30">
        <v>60256402</v>
      </c>
      <c r="C30">
        <v>60256554</v>
      </c>
      <c r="D30">
        <v>59070669</v>
      </c>
      <c r="E30">
        <v>1</v>
      </c>
      <c r="F30">
        <v>1</v>
      </c>
      <c r="G30">
        <v>1080</v>
      </c>
      <c r="H30">
        <v>2</v>
      </c>
      <c r="I30" t="s">
        <v>301</v>
      </c>
      <c r="J30" t="s">
        <v>302</v>
      </c>
      <c r="K30" t="s">
        <v>303</v>
      </c>
      <c r="L30">
        <v>1368</v>
      </c>
      <c r="N30">
        <v>1011</v>
      </c>
      <c r="O30" t="s">
        <v>275</v>
      </c>
      <c r="P30" t="s">
        <v>275</v>
      </c>
      <c r="Q30">
        <v>1</v>
      </c>
      <c r="W30">
        <v>0</v>
      </c>
      <c r="X30">
        <v>-1985943078</v>
      </c>
      <c r="Y30">
        <f t="shared" si="6"/>
        <v>6.6000000000000008E-3</v>
      </c>
      <c r="AA30">
        <v>0</v>
      </c>
      <c r="AB30">
        <v>1418.19</v>
      </c>
      <c r="AC30">
        <v>726.59</v>
      </c>
      <c r="AD30">
        <v>0</v>
      </c>
      <c r="AE30">
        <v>0</v>
      </c>
      <c r="AF30">
        <v>83.1</v>
      </c>
      <c r="AG30">
        <v>12.62</v>
      </c>
      <c r="AH30">
        <v>0</v>
      </c>
      <c r="AI30">
        <v>1</v>
      </c>
      <c r="AJ30">
        <v>16.3</v>
      </c>
      <c r="AK30">
        <v>54.99</v>
      </c>
      <c r="AL30">
        <v>1</v>
      </c>
      <c r="AM30">
        <v>2</v>
      </c>
      <c r="AN30">
        <v>0</v>
      </c>
      <c r="AO30">
        <v>1</v>
      </c>
      <c r="AP30">
        <v>1</v>
      </c>
      <c r="AQ30">
        <v>0</v>
      </c>
      <c r="AR30">
        <v>0</v>
      </c>
      <c r="AS30" t="s">
        <v>3</v>
      </c>
      <c r="AT30">
        <v>6.0000000000000001E-3</v>
      </c>
      <c r="AU30" t="s">
        <v>25</v>
      </c>
      <c r="AV30">
        <v>0</v>
      </c>
      <c r="AW30">
        <v>2</v>
      </c>
      <c r="AX30">
        <v>60256848</v>
      </c>
      <c r="AY30">
        <v>1</v>
      </c>
      <c r="AZ30">
        <v>0</v>
      </c>
      <c r="BA30">
        <v>37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CV30">
        <v>0</v>
      </c>
      <c r="CW30">
        <f>ROUND(Y30*Source!I41*DO30,9)</f>
        <v>8.3292000000000005E-2</v>
      </c>
      <c r="CX30">
        <f>ROUND(Y30*Source!I41,9)</f>
        <v>6.6E-3</v>
      </c>
      <c r="CY30">
        <f>AB30</f>
        <v>1418.19</v>
      </c>
      <c r="CZ30">
        <f>AF30</f>
        <v>83.1</v>
      </c>
      <c r="DA30">
        <f>AJ30</f>
        <v>16.3</v>
      </c>
      <c r="DB30">
        <f t="shared" si="7"/>
        <v>0.55000000000000004</v>
      </c>
      <c r="DC30">
        <f t="shared" si="8"/>
        <v>8.7999999999999995E-2</v>
      </c>
      <c r="DD30" t="s">
        <v>3</v>
      </c>
      <c r="DE30" t="s">
        <v>3</v>
      </c>
      <c r="DF30">
        <f t="shared" si="9"/>
        <v>0</v>
      </c>
      <c r="DG30">
        <f>ROUND(ROUND(AF30*AJ30,2)*CX30,2)</f>
        <v>8.94</v>
      </c>
      <c r="DH30">
        <f>ROUND(ROUND(AG30*AK30,2)*CX30,2)</f>
        <v>4.58</v>
      </c>
      <c r="DI30">
        <f t="shared" si="3"/>
        <v>0</v>
      </c>
      <c r="DJ30">
        <f>DG30</f>
        <v>8.94</v>
      </c>
      <c r="DK30">
        <v>0</v>
      </c>
      <c r="DL30" t="s">
        <v>276</v>
      </c>
      <c r="DM30">
        <v>0</v>
      </c>
      <c r="DN30" t="s">
        <v>271</v>
      </c>
      <c r="DO30">
        <v>12.62</v>
      </c>
    </row>
    <row r="31" spans="1:119" x14ac:dyDescent="0.2">
      <c r="A31">
        <f>ROW(Source!A44)</f>
        <v>44</v>
      </c>
      <c r="B31">
        <v>60256405</v>
      </c>
      <c r="C31">
        <v>60256561</v>
      </c>
      <c r="D31">
        <v>58999254</v>
      </c>
      <c r="E31">
        <v>1080</v>
      </c>
      <c r="F31">
        <v>1</v>
      </c>
      <c r="G31">
        <v>1080</v>
      </c>
      <c r="H31">
        <v>1</v>
      </c>
      <c r="I31" t="s">
        <v>269</v>
      </c>
      <c r="J31" t="s">
        <v>3</v>
      </c>
      <c r="K31" t="s">
        <v>270</v>
      </c>
      <c r="L31">
        <v>1191</v>
      </c>
      <c r="N31">
        <v>1013</v>
      </c>
      <c r="O31" t="s">
        <v>271</v>
      </c>
      <c r="P31" t="s">
        <v>271</v>
      </c>
      <c r="Q31">
        <v>1</v>
      </c>
      <c r="W31">
        <v>0</v>
      </c>
      <c r="X31">
        <v>476480486</v>
      </c>
      <c r="Y31">
        <f t="shared" si="6"/>
        <v>0.57200000000000006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1</v>
      </c>
      <c r="AJ31">
        <v>1</v>
      </c>
      <c r="AK31">
        <v>1</v>
      </c>
      <c r="AL31">
        <v>1</v>
      </c>
      <c r="AM31">
        <v>-2</v>
      </c>
      <c r="AN31">
        <v>0</v>
      </c>
      <c r="AO31">
        <v>1</v>
      </c>
      <c r="AP31">
        <v>1</v>
      </c>
      <c r="AQ31">
        <v>0</v>
      </c>
      <c r="AR31">
        <v>0</v>
      </c>
      <c r="AS31" t="s">
        <v>3</v>
      </c>
      <c r="AT31">
        <v>0.52</v>
      </c>
      <c r="AU31" t="s">
        <v>25</v>
      </c>
      <c r="AV31">
        <v>1</v>
      </c>
      <c r="AW31">
        <v>2</v>
      </c>
      <c r="AX31">
        <v>60256850</v>
      </c>
      <c r="AY31">
        <v>1</v>
      </c>
      <c r="AZ31">
        <v>0</v>
      </c>
      <c r="BA31">
        <v>39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CU31">
        <f>ROUND(AT31*Source!I44*AH31*AL31,2)</f>
        <v>0</v>
      </c>
      <c r="CV31">
        <f>ROUND(Y31*Source!I44,9)</f>
        <v>0.57199999999999995</v>
      </c>
      <c r="CW31">
        <v>0</v>
      </c>
      <c r="CX31">
        <f>ROUND(Y31*Source!I44,9)</f>
        <v>0.57199999999999995</v>
      </c>
      <c r="CY31">
        <f>AD31</f>
        <v>0</v>
      </c>
      <c r="CZ31">
        <f>AH31</f>
        <v>0</v>
      </c>
      <c r="DA31">
        <f>AL31</f>
        <v>1</v>
      </c>
      <c r="DB31">
        <f t="shared" si="7"/>
        <v>0</v>
      </c>
      <c r="DC31">
        <f t="shared" si="8"/>
        <v>0</v>
      </c>
      <c r="DD31" t="s">
        <v>3</v>
      </c>
      <c r="DE31" t="s">
        <v>3</v>
      </c>
      <c r="DF31">
        <f t="shared" si="9"/>
        <v>0</v>
      </c>
      <c r="DG31">
        <f t="shared" ref="DG31:DG41" si="10">ROUND(ROUND(AF31,2)*CX31,2)</f>
        <v>0</v>
      </c>
      <c r="DH31">
        <f t="shared" ref="DH31:DH41" si="11">ROUND(ROUND(AG31,2)*CX31,2)</f>
        <v>0</v>
      </c>
      <c r="DI31">
        <f t="shared" si="3"/>
        <v>0</v>
      </c>
      <c r="DJ31">
        <f>DI31</f>
        <v>0</v>
      </c>
      <c r="DK31">
        <v>0</v>
      </c>
      <c r="DL31" t="s">
        <v>3</v>
      </c>
      <c r="DM31">
        <v>0</v>
      </c>
      <c r="DN31" t="s">
        <v>3</v>
      </c>
      <c r="DO31">
        <v>0</v>
      </c>
    </row>
    <row r="32" spans="1:119" x14ac:dyDescent="0.2">
      <c r="A32">
        <f>ROW(Source!A44)</f>
        <v>44</v>
      </c>
      <c r="B32">
        <v>60256405</v>
      </c>
      <c r="C32">
        <v>60256561</v>
      </c>
      <c r="D32">
        <v>59045781</v>
      </c>
      <c r="E32">
        <v>1</v>
      </c>
      <c r="F32">
        <v>1</v>
      </c>
      <c r="G32">
        <v>1080</v>
      </c>
      <c r="H32">
        <v>3</v>
      </c>
      <c r="I32" t="s">
        <v>68</v>
      </c>
      <c r="J32" t="s">
        <v>71</v>
      </c>
      <c r="K32" t="s">
        <v>69</v>
      </c>
      <c r="L32">
        <v>1346</v>
      </c>
      <c r="N32">
        <v>1009</v>
      </c>
      <c r="O32" t="s">
        <v>70</v>
      </c>
      <c r="P32" t="s">
        <v>70</v>
      </c>
      <c r="Q32">
        <v>1</v>
      </c>
      <c r="W32">
        <v>0</v>
      </c>
      <c r="X32">
        <v>1143487818</v>
      </c>
      <c r="Y32">
        <f>(AT32*1)</f>
        <v>3.5000000000000003E-2</v>
      </c>
      <c r="AA32">
        <v>31.08</v>
      </c>
      <c r="AB32">
        <v>0</v>
      </c>
      <c r="AC32">
        <v>0</v>
      </c>
      <c r="AD32">
        <v>0</v>
      </c>
      <c r="AE32">
        <v>31.08</v>
      </c>
      <c r="AF32">
        <v>0</v>
      </c>
      <c r="AG32">
        <v>0</v>
      </c>
      <c r="AH32">
        <v>0</v>
      </c>
      <c r="AI32">
        <v>1</v>
      </c>
      <c r="AJ32">
        <v>1</v>
      </c>
      <c r="AK32">
        <v>1</v>
      </c>
      <c r="AL32">
        <v>1</v>
      </c>
      <c r="AM32">
        <v>0</v>
      </c>
      <c r="AN32">
        <v>0</v>
      </c>
      <c r="AO32">
        <v>0</v>
      </c>
      <c r="AP32">
        <v>1</v>
      </c>
      <c r="AQ32">
        <v>0</v>
      </c>
      <c r="AR32">
        <v>0</v>
      </c>
      <c r="AS32" t="s">
        <v>3</v>
      </c>
      <c r="AT32">
        <v>3.5000000000000003E-2</v>
      </c>
      <c r="AU32" t="s">
        <v>24</v>
      </c>
      <c r="AV32">
        <v>0</v>
      </c>
      <c r="AW32">
        <v>1</v>
      </c>
      <c r="AX32">
        <v>-1</v>
      </c>
      <c r="AY32">
        <v>0</v>
      </c>
      <c r="AZ32">
        <v>0</v>
      </c>
      <c r="BA32" t="s">
        <v>3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CV32">
        <v>0</v>
      </c>
      <c r="CW32">
        <v>0</v>
      </c>
      <c r="CX32">
        <f>ROUND(Y32*Source!I44,9)</f>
        <v>3.5000000000000003E-2</v>
      </c>
      <c r="CY32">
        <f>AA32</f>
        <v>31.08</v>
      </c>
      <c r="CZ32">
        <f>AE32</f>
        <v>31.08</v>
      </c>
      <c r="DA32">
        <f>AI32</f>
        <v>1</v>
      </c>
      <c r="DB32">
        <f>ROUND((ROUND(AT32*CZ32,2)*1),6)</f>
        <v>1.0900000000000001</v>
      </c>
      <c r="DC32">
        <f>ROUND((ROUND(AT32*AG32,2)*1),6)</f>
        <v>0</v>
      </c>
      <c r="DD32" t="s">
        <v>3</v>
      </c>
      <c r="DE32" t="s">
        <v>3</v>
      </c>
      <c r="DF32">
        <f t="shared" si="9"/>
        <v>1.0900000000000001</v>
      </c>
      <c r="DG32">
        <f t="shared" si="10"/>
        <v>0</v>
      </c>
      <c r="DH32">
        <f t="shared" si="11"/>
        <v>0</v>
      </c>
      <c r="DI32">
        <f t="shared" si="3"/>
        <v>0</v>
      </c>
      <c r="DJ32">
        <f>DF32</f>
        <v>1.0900000000000001</v>
      </c>
      <c r="DK32">
        <v>0</v>
      </c>
      <c r="DL32" t="s">
        <v>3</v>
      </c>
      <c r="DM32">
        <v>0</v>
      </c>
      <c r="DN32" t="s">
        <v>3</v>
      </c>
      <c r="DO32">
        <v>0</v>
      </c>
    </row>
    <row r="33" spans="1:119" x14ac:dyDescent="0.2">
      <c r="A33">
        <f>ROW(Source!A45)</f>
        <v>45</v>
      </c>
      <c r="B33">
        <v>60256402</v>
      </c>
      <c r="C33">
        <v>60256561</v>
      </c>
      <c r="D33">
        <v>58999254</v>
      </c>
      <c r="E33">
        <v>1080</v>
      </c>
      <c r="F33">
        <v>1</v>
      </c>
      <c r="G33">
        <v>1080</v>
      </c>
      <c r="H33">
        <v>1</v>
      </c>
      <c r="I33" t="s">
        <v>269</v>
      </c>
      <c r="J33" t="s">
        <v>3</v>
      </c>
      <c r="K33" t="s">
        <v>270</v>
      </c>
      <c r="L33">
        <v>1191</v>
      </c>
      <c r="N33">
        <v>1013</v>
      </c>
      <c r="O33" t="s">
        <v>271</v>
      </c>
      <c r="P33" t="s">
        <v>271</v>
      </c>
      <c r="Q33">
        <v>1</v>
      </c>
      <c r="W33">
        <v>0</v>
      </c>
      <c r="X33">
        <v>476480486</v>
      </c>
      <c r="Y33">
        <f>(AT33*1.1)</f>
        <v>0.57200000000000006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1</v>
      </c>
      <c r="AJ33">
        <v>1</v>
      </c>
      <c r="AK33">
        <v>1</v>
      </c>
      <c r="AL33">
        <v>1</v>
      </c>
      <c r="AM33">
        <v>5</v>
      </c>
      <c r="AN33">
        <v>0</v>
      </c>
      <c r="AO33">
        <v>1</v>
      </c>
      <c r="AP33">
        <v>1</v>
      </c>
      <c r="AQ33">
        <v>0</v>
      </c>
      <c r="AR33">
        <v>0</v>
      </c>
      <c r="AS33" t="s">
        <v>3</v>
      </c>
      <c r="AT33">
        <v>0.52</v>
      </c>
      <c r="AU33" t="s">
        <v>25</v>
      </c>
      <c r="AV33">
        <v>1</v>
      </c>
      <c r="AW33">
        <v>2</v>
      </c>
      <c r="AX33">
        <v>60256850</v>
      </c>
      <c r="AY33">
        <v>1</v>
      </c>
      <c r="AZ33">
        <v>0</v>
      </c>
      <c r="BA33">
        <v>42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CU33">
        <f>ROUND(AT33*Source!I45*AH33*AL33,2)</f>
        <v>0</v>
      </c>
      <c r="CV33">
        <f>ROUND(Y33*Source!I45,9)</f>
        <v>0.57199999999999995</v>
      </c>
      <c r="CW33">
        <v>0</v>
      </c>
      <c r="CX33">
        <f>ROUND(Y33*Source!I45,9)</f>
        <v>0.57199999999999995</v>
      </c>
      <c r="CY33">
        <f>AD33</f>
        <v>0</v>
      </c>
      <c r="CZ33">
        <f>AH33</f>
        <v>0</v>
      </c>
      <c r="DA33">
        <f>AL33</f>
        <v>1</v>
      </c>
      <c r="DB33">
        <f>ROUND((ROUND(AT33*CZ33,2)*1.1),6)</f>
        <v>0</v>
      </c>
      <c r="DC33">
        <f>ROUND((ROUND(AT33*AG33,2)*1.1),6)</f>
        <v>0</v>
      </c>
      <c r="DD33" t="s">
        <v>3</v>
      </c>
      <c r="DE33" t="s">
        <v>3</v>
      </c>
      <c r="DF33">
        <f t="shared" si="9"/>
        <v>0</v>
      </c>
      <c r="DG33">
        <f t="shared" si="10"/>
        <v>0</v>
      </c>
      <c r="DH33">
        <f t="shared" si="11"/>
        <v>0</v>
      </c>
      <c r="DI33">
        <f t="shared" ref="DI33:DI64" si="12">ROUND(ROUND(AH33,2)*CX33,2)</f>
        <v>0</v>
      </c>
      <c r="DJ33">
        <f>DI33</f>
        <v>0</v>
      </c>
      <c r="DK33">
        <v>0</v>
      </c>
      <c r="DL33" t="s">
        <v>3</v>
      </c>
      <c r="DM33">
        <v>0</v>
      </c>
      <c r="DN33" t="s">
        <v>3</v>
      </c>
      <c r="DO33">
        <v>0</v>
      </c>
    </row>
    <row r="34" spans="1:119" x14ac:dyDescent="0.2">
      <c r="A34">
        <f>ROW(Source!A45)</f>
        <v>45</v>
      </c>
      <c r="B34">
        <v>60256402</v>
      </c>
      <c r="C34">
        <v>60256561</v>
      </c>
      <c r="D34">
        <v>59045781</v>
      </c>
      <c r="E34">
        <v>1</v>
      </c>
      <c r="F34">
        <v>1</v>
      </c>
      <c r="G34">
        <v>1080</v>
      </c>
      <c r="H34">
        <v>3</v>
      </c>
      <c r="I34" t="s">
        <v>68</v>
      </c>
      <c r="J34" t="s">
        <v>71</v>
      </c>
      <c r="K34" t="s">
        <v>69</v>
      </c>
      <c r="L34">
        <v>1346</v>
      </c>
      <c r="N34">
        <v>1009</v>
      </c>
      <c r="O34" t="s">
        <v>70</v>
      </c>
      <c r="P34" t="s">
        <v>70</v>
      </c>
      <c r="Q34">
        <v>1</v>
      </c>
      <c r="W34">
        <v>0</v>
      </c>
      <c r="X34">
        <v>1143487818</v>
      </c>
      <c r="Y34">
        <f>(AT34*1)</f>
        <v>3.5000000000000003E-2</v>
      </c>
      <c r="AA34">
        <v>159.13</v>
      </c>
      <c r="AB34">
        <v>0</v>
      </c>
      <c r="AC34">
        <v>0</v>
      </c>
      <c r="AD34">
        <v>0</v>
      </c>
      <c r="AE34">
        <v>31.08</v>
      </c>
      <c r="AF34">
        <v>0</v>
      </c>
      <c r="AG34">
        <v>0</v>
      </c>
      <c r="AH34">
        <v>0</v>
      </c>
      <c r="AI34">
        <v>5.12</v>
      </c>
      <c r="AJ34">
        <v>1</v>
      </c>
      <c r="AK34">
        <v>1</v>
      </c>
      <c r="AL34">
        <v>1</v>
      </c>
      <c r="AM34">
        <v>0</v>
      </c>
      <c r="AN34">
        <v>0</v>
      </c>
      <c r="AO34">
        <v>0</v>
      </c>
      <c r="AP34">
        <v>1</v>
      </c>
      <c r="AQ34">
        <v>0</v>
      </c>
      <c r="AR34">
        <v>0</v>
      </c>
      <c r="AS34" t="s">
        <v>3</v>
      </c>
      <c r="AT34">
        <v>3.5000000000000003E-2</v>
      </c>
      <c r="AU34" t="s">
        <v>24</v>
      </c>
      <c r="AV34">
        <v>0</v>
      </c>
      <c r="AW34">
        <v>1</v>
      </c>
      <c r="AX34">
        <v>-1</v>
      </c>
      <c r="AY34">
        <v>0</v>
      </c>
      <c r="AZ34">
        <v>0</v>
      </c>
      <c r="BA34" t="s">
        <v>3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CV34">
        <v>0</v>
      </c>
      <c r="CW34">
        <v>0</v>
      </c>
      <c r="CX34">
        <f>ROUND(Y34*Source!I45,9)</f>
        <v>3.5000000000000003E-2</v>
      </c>
      <c r="CY34">
        <f>AA34</f>
        <v>159.13</v>
      </c>
      <c r="CZ34">
        <f>AE34</f>
        <v>31.08</v>
      </c>
      <c r="DA34">
        <f>AI34</f>
        <v>5.12</v>
      </c>
      <c r="DB34">
        <f>ROUND((ROUND(AT34*CZ34,2)*1),6)</f>
        <v>1.0900000000000001</v>
      </c>
      <c r="DC34">
        <f>ROUND((ROUND(AT34*AG34,2)*1),6)</f>
        <v>0</v>
      </c>
      <c r="DD34" t="s">
        <v>3</v>
      </c>
      <c r="DE34" t="s">
        <v>3</v>
      </c>
      <c r="DF34">
        <f>ROUND(ROUND(AE34*AI34,2)*CX34,2)</f>
        <v>5.57</v>
      </c>
      <c r="DG34">
        <f t="shared" si="10"/>
        <v>0</v>
      </c>
      <c r="DH34">
        <f t="shared" si="11"/>
        <v>0</v>
      </c>
      <c r="DI34">
        <f t="shared" si="12"/>
        <v>0</v>
      </c>
      <c r="DJ34">
        <f>DF34</f>
        <v>5.57</v>
      </c>
      <c r="DK34">
        <v>0</v>
      </c>
      <c r="DL34" t="s">
        <v>3</v>
      </c>
      <c r="DM34">
        <v>0</v>
      </c>
      <c r="DN34" t="s">
        <v>3</v>
      </c>
      <c r="DO34">
        <v>0</v>
      </c>
    </row>
    <row r="35" spans="1:119" x14ac:dyDescent="0.2">
      <c r="A35">
        <f>ROW(Source!A50)</f>
        <v>50</v>
      </c>
      <c r="B35">
        <v>60256405</v>
      </c>
      <c r="C35">
        <v>60256569</v>
      </c>
      <c r="D35">
        <v>58999254</v>
      </c>
      <c r="E35">
        <v>1080</v>
      </c>
      <c r="F35">
        <v>1</v>
      </c>
      <c r="G35">
        <v>1080</v>
      </c>
      <c r="H35">
        <v>1</v>
      </c>
      <c r="I35" t="s">
        <v>269</v>
      </c>
      <c r="J35" t="s">
        <v>3</v>
      </c>
      <c r="K35" t="s">
        <v>270</v>
      </c>
      <c r="L35">
        <v>1191</v>
      </c>
      <c r="N35">
        <v>1013</v>
      </c>
      <c r="O35" t="s">
        <v>271</v>
      </c>
      <c r="P35" t="s">
        <v>271</v>
      </c>
      <c r="Q35">
        <v>1</v>
      </c>
      <c r="W35">
        <v>0</v>
      </c>
      <c r="X35">
        <v>476480486</v>
      </c>
      <c r="Y35">
        <f>(AT35*1.1)</f>
        <v>1.4960000000000002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1</v>
      </c>
      <c r="AJ35">
        <v>1</v>
      </c>
      <c r="AK35">
        <v>1</v>
      </c>
      <c r="AL35">
        <v>1</v>
      </c>
      <c r="AM35">
        <v>-2</v>
      </c>
      <c r="AN35">
        <v>0</v>
      </c>
      <c r="AO35">
        <v>1</v>
      </c>
      <c r="AP35">
        <v>1</v>
      </c>
      <c r="AQ35">
        <v>0</v>
      </c>
      <c r="AR35">
        <v>0</v>
      </c>
      <c r="AS35" t="s">
        <v>3</v>
      </c>
      <c r="AT35">
        <v>1.36</v>
      </c>
      <c r="AU35" t="s">
        <v>25</v>
      </c>
      <c r="AV35">
        <v>1</v>
      </c>
      <c r="AW35">
        <v>2</v>
      </c>
      <c r="AX35">
        <v>60256853</v>
      </c>
      <c r="AY35">
        <v>1</v>
      </c>
      <c r="AZ35">
        <v>0</v>
      </c>
      <c r="BA35">
        <v>45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CU35">
        <f>ROUND(AT35*Source!I50*AH35*AL35,2)</f>
        <v>0</v>
      </c>
      <c r="CV35">
        <f>ROUND(Y35*Source!I50,9)</f>
        <v>1.496</v>
      </c>
      <c r="CW35">
        <v>0</v>
      </c>
      <c r="CX35">
        <f>ROUND(Y35*Source!I50,9)</f>
        <v>1.496</v>
      </c>
      <c r="CY35">
        <f>AD35</f>
        <v>0</v>
      </c>
      <c r="CZ35">
        <f>AH35</f>
        <v>0</v>
      </c>
      <c r="DA35">
        <f>AL35</f>
        <v>1</v>
      </c>
      <c r="DB35">
        <f>ROUND((ROUND(AT35*CZ35,2)*1.1),6)</f>
        <v>0</v>
      </c>
      <c r="DC35">
        <f>ROUND((ROUND(AT35*AG35,2)*1.1),6)</f>
        <v>0</v>
      </c>
      <c r="DD35" t="s">
        <v>3</v>
      </c>
      <c r="DE35" t="s">
        <v>3</v>
      </c>
      <c r="DF35">
        <f t="shared" ref="DF35:DF43" si="13">ROUND(ROUND(AE35,2)*CX35,2)</f>
        <v>0</v>
      </c>
      <c r="DG35">
        <f t="shared" si="10"/>
        <v>0</v>
      </c>
      <c r="DH35">
        <f t="shared" si="11"/>
        <v>0</v>
      </c>
      <c r="DI35">
        <f t="shared" si="12"/>
        <v>0</v>
      </c>
      <c r="DJ35">
        <f>DI35</f>
        <v>0</v>
      </c>
      <c r="DK35">
        <v>0</v>
      </c>
      <c r="DL35" t="s">
        <v>3</v>
      </c>
      <c r="DM35">
        <v>0</v>
      </c>
      <c r="DN35" t="s">
        <v>3</v>
      </c>
      <c r="DO35">
        <v>0</v>
      </c>
    </row>
    <row r="36" spans="1:119" x14ac:dyDescent="0.2">
      <c r="A36">
        <f>ROW(Source!A50)</f>
        <v>50</v>
      </c>
      <c r="B36">
        <v>60256405</v>
      </c>
      <c r="C36">
        <v>60256569</v>
      </c>
      <c r="D36">
        <v>59070788</v>
      </c>
      <c r="E36">
        <v>1</v>
      </c>
      <c r="F36">
        <v>1</v>
      </c>
      <c r="G36">
        <v>1080</v>
      </c>
      <c r="H36">
        <v>2</v>
      </c>
      <c r="I36" t="s">
        <v>304</v>
      </c>
      <c r="J36" t="s">
        <v>305</v>
      </c>
      <c r="K36" t="s">
        <v>306</v>
      </c>
      <c r="L36">
        <v>1368</v>
      </c>
      <c r="N36">
        <v>1011</v>
      </c>
      <c r="O36" t="s">
        <v>275</v>
      </c>
      <c r="P36" t="s">
        <v>275</v>
      </c>
      <c r="Q36">
        <v>1</v>
      </c>
      <c r="W36">
        <v>0</v>
      </c>
      <c r="X36">
        <v>2147454900</v>
      </c>
      <c r="Y36">
        <f>(AT36*1.1)</f>
        <v>1.8700000000000001E-2</v>
      </c>
      <c r="AA36">
        <v>0</v>
      </c>
      <c r="AB36">
        <v>0.84</v>
      </c>
      <c r="AC36">
        <v>0</v>
      </c>
      <c r="AD36">
        <v>0</v>
      </c>
      <c r="AE36">
        <v>0</v>
      </c>
      <c r="AF36">
        <v>0.8</v>
      </c>
      <c r="AG36">
        <v>0</v>
      </c>
      <c r="AH36">
        <v>0</v>
      </c>
      <c r="AI36">
        <v>1</v>
      </c>
      <c r="AJ36">
        <v>1</v>
      </c>
      <c r="AK36">
        <v>1</v>
      </c>
      <c r="AL36">
        <v>1</v>
      </c>
      <c r="AM36">
        <v>-2</v>
      </c>
      <c r="AN36">
        <v>0</v>
      </c>
      <c r="AO36">
        <v>1</v>
      </c>
      <c r="AP36">
        <v>1</v>
      </c>
      <c r="AQ36">
        <v>0</v>
      </c>
      <c r="AR36">
        <v>0</v>
      </c>
      <c r="AS36" t="s">
        <v>3</v>
      </c>
      <c r="AT36">
        <v>1.7000000000000001E-2</v>
      </c>
      <c r="AU36" t="s">
        <v>25</v>
      </c>
      <c r="AV36">
        <v>0</v>
      </c>
      <c r="AW36">
        <v>2</v>
      </c>
      <c r="AX36">
        <v>60256854</v>
      </c>
      <c r="AY36">
        <v>1</v>
      </c>
      <c r="AZ36">
        <v>0</v>
      </c>
      <c r="BA36">
        <v>46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CV36">
        <v>0</v>
      </c>
      <c r="CW36">
        <f>ROUND(Y36*Source!I50*DO36,9)</f>
        <v>0</v>
      </c>
      <c r="CX36">
        <f>ROUND(Y36*Source!I50,9)</f>
        <v>1.8700000000000001E-2</v>
      </c>
      <c r="CY36">
        <f>AB36</f>
        <v>0.84</v>
      </c>
      <c r="CZ36">
        <f>AF36</f>
        <v>0.8</v>
      </c>
      <c r="DA36">
        <f>AJ36</f>
        <v>1</v>
      </c>
      <c r="DB36">
        <f>ROUND((ROUND(AT36*CZ36,2)*1.1),6)</f>
        <v>1.0999999999999999E-2</v>
      </c>
      <c r="DC36">
        <f>ROUND((ROUND(AT36*AG36,2)*1.1),6)</f>
        <v>0</v>
      </c>
      <c r="DD36" t="s">
        <v>3</v>
      </c>
      <c r="DE36" t="s">
        <v>3</v>
      </c>
      <c r="DF36">
        <f t="shared" si="13"/>
        <v>0</v>
      </c>
      <c r="DG36">
        <f t="shared" si="10"/>
        <v>0.01</v>
      </c>
      <c r="DH36">
        <f t="shared" si="11"/>
        <v>0</v>
      </c>
      <c r="DI36">
        <f t="shared" si="12"/>
        <v>0</v>
      </c>
      <c r="DJ36">
        <f>DG36</f>
        <v>0.01</v>
      </c>
      <c r="DK36">
        <v>0</v>
      </c>
      <c r="DL36" t="s">
        <v>3</v>
      </c>
      <c r="DM36">
        <v>0</v>
      </c>
      <c r="DN36" t="s">
        <v>3</v>
      </c>
      <c r="DO36">
        <v>0</v>
      </c>
    </row>
    <row r="37" spans="1:119" x14ac:dyDescent="0.2">
      <c r="A37">
        <f>ROW(Source!A50)</f>
        <v>50</v>
      </c>
      <c r="B37">
        <v>60256405</v>
      </c>
      <c r="C37">
        <v>60256569</v>
      </c>
      <c r="D37">
        <v>59070754</v>
      </c>
      <c r="E37">
        <v>1</v>
      </c>
      <c r="F37">
        <v>1</v>
      </c>
      <c r="G37">
        <v>1080</v>
      </c>
      <c r="H37">
        <v>2</v>
      </c>
      <c r="I37" t="s">
        <v>307</v>
      </c>
      <c r="J37" t="s">
        <v>308</v>
      </c>
      <c r="K37" t="s">
        <v>309</v>
      </c>
      <c r="L37">
        <v>1368</v>
      </c>
      <c r="N37">
        <v>1011</v>
      </c>
      <c r="O37" t="s">
        <v>275</v>
      </c>
      <c r="P37" t="s">
        <v>275</v>
      </c>
      <c r="Q37">
        <v>1</v>
      </c>
      <c r="W37">
        <v>0</v>
      </c>
      <c r="X37">
        <v>1645565003</v>
      </c>
      <c r="Y37">
        <f>(AT37*1.1)</f>
        <v>2.2000000000000002E-2</v>
      </c>
      <c r="AA37">
        <v>0</v>
      </c>
      <c r="AB37">
        <v>0.49</v>
      </c>
      <c r="AC37">
        <v>0</v>
      </c>
      <c r="AD37">
        <v>0</v>
      </c>
      <c r="AE37">
        <v>0</v>
      </c>
      <c r="AF37">
        <v>0.47</v>
      </c>
      <c r="AG37">
        <v>0</v>
      </c>
      <c r="AH37">
        <v>0</v>
      </c>
      <c r="AI37">
        <v>1</v>
      </c>
      <c r="AJ37">
        <v>1</v>
      </c>
      <c r="AK37">
        <v>1</v>
      </c>
      <c r="AL37">
        <v>1</v>
      </c>
      <c r="AM37">
        <v>-2</v>
      </c>
      <c r="AN37">
        <v>0</v>
      </c>
      <c r="AO37">
        <v>1</v>
      </c>
      <c r="AP37">
        <v>1</v>
      </c>
      <c r="AQ37">
        <v>0</v>
      </c>
      <c r="AR37">
        <v>0</v>
      </c>
      <c r="AS37" t="s">
        <v>3</v>
      </c>
      <c r="AT37">
        <v>0.02</v>
      </c>
      <c r="AU37" t="s">
        <v>25</v>
      </c>
      <c r="AV37">
        <v>0</v>
      </c>
      <c r="AW37">
        <v>2</v>
      </c>
      <c r="AX37">
        <v>60256855</v>
      </c>
      <c r="AY37">
        <v>1</v>
      </c>
      <c r="AZ37">
        <v>0</v>
      </c>
      <c r="BA37">
        <v>47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CV37">
        <v>0</v>
      </c>
      <c r="CW37">
        <f>ROUND(Y37*Source!I50*DO37,9)</f>
        <v>0</v>
      </c>
      <c r="CX37">
        <f>ROUND(Y37*Source!I50,9)</f>
        <v>2.1999999999999999E-2</v>
      </c>
      <c r="CY37">
        <f>AB37</f>
        <v>0.49</v>
      </c>
      <c r="CZ37">
        <f>AF37</f>
        <v>0.47</v>
      </c>
      <c r="DA37">
        <f>AJ37</f>
        <v>1</v>
      </c>
      <c r="DB37">
        <f>ROUND((ROUND(AT37*CZ37,2)*1.1),6)</f>
        <v>1.0999999999999999E-2</v>
      </c>
      <c r="DC37">
        <f>ROUND((ROUND(AT37*AG37,2)*1.1),6)</f>
        <v>0</v>
      </c>
      <c r="DD37" t="s">
        <v>3</v>
      </c>
      <c r="DE37" t="s">
        <v>3</v>
      </c>
      <c r="DF37">
        <f t="shared" si="13"/>
        <v>0</v>
      </c>
      <c r="DG37">
        <f t="shared" si="10"/>
        <v>0.01</v>
      </c>
      <c r="DH37">
        <f t="shared" si="11"/>
        <v>0</v>
      </c>
      <c r="DI37">
        <f t="shared" si="12"/>
        <v>0</v>
      </c>
      <c r="DJ37">
        <f>DG37</f>
        <v>0.01</v>
      </c>
      <c r="DK37">
        <v>0</v>
      </c>
      <c r="DL37" t="s">
        <v>3</v>
      </c>
      <c r="DM37">
        <v>0</v>
      </c>
      <c r="DN37" t="s">
        <v>3</v>
      </c>
      <c r="DO37">
        <v>0</v>
      </c>
    </row>
    <row r="38" spans="1:119" x14ac:dyDescent="0.2">
      <c r="A38">
        <f>ROW(Source!A50)</f>
        <v>50</v>
      </c>
      <c r="B38">
        <v>60256405</v>
      </c>
      <c r="C38">
        <v>60256569</v>
      </c>
      <c r="D38">
        <v>59040743</v>
      </c>
      <c r="E38">
        <v>1</v>
      </c>
      <c r="F38">
        <v>1</v>
      </c>
      <c r="G38">
        <v>1080</v>
      </c>
      <c r="H38">
        <v>3</v>
      </c>
      <c r="I38" t="s">
        <v>292</v>
      </c>
      <c r="J38" t="s">
        <v>293</v>
      </c>
      <c r="K38" t="s">
        <v>294</v>
      </c>
      <c r="L38">
        <v>1346</v>
      </c>
      <c r="N38">
        <v>1009</v>
      </c>
      <c r="O38" t="s">
        <v>70</v>
      </c>
      <c r="P38" t="s">
        <v>70</v>
      </c>
      <c r="Q38">
        <v>1</v>
      </c>
      <c r="W38">
        <v>0</v>
      </c>
      <c r="X38">
        <v>1225168167</v>
      </c>
      <c r="Y38">
        <f>(AT38*1)</f>
        <v>6.2700000000000004E-3</v>
      </c>
      <c r="AA38">
        <v>27.62</v>
      </c>
      <c r="AB38">
        <v>0</v>
      </c>
      <c r="AC38">
        <v>0</v>
      </c>
      <c r="AD38">
        <v>0</v>
      </c>
      <c r="AE38">
        <v>27.62</v>
      </c>
      <c r="AF38">
        <v>0</v>
      </c>
      <c r="AG38">
        <v>0</v>
      </c>
      <c r="AH38">
        <v>0</v>
      </c>
      <c r="AI38">
        <v>1</v>
      </c>
      <c r="AJ38">
        <v>1</v>
      </c>
      <c r="AK38">
        <v>1</v>
      </c>
      <c r="AL38">
        <v>1</v>
      </c>
      <c r="AM38">
        <v>-2</v>
      </c>
      <c r="AN38">
        <v>0</v>
      </c>
      <c r="AO38">
        <v>1</v>
      </c>
      <c r="AP38">
        <v>1</v>
      </c>
      <c r="AQ38">
        <v>0</v>
      </c>
      <c r="AR38">
        <v>0</v>
      </c>
      <c r="AS38" t="s">
        <v>3</v>
      </c>
      <c r="AT38">
        <v>6.2700000000000004E-3</v>
      </c>
      <c r="AU38" t="s">
        <v>24</v>
      </c>
      <c r="AV38">
        <v>0</v>
      </c>
      <c r="AW38">
        <v>2</v>
      </c>
      <c r="AX38">
        <v>60256856</v>
      </c>
      <c r="AY38">
        <v>1</v>
      </c>
      <c r="AZ38">
        <v>0</v>
      </c>
      <c r="BA38">
        <v>48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CV38">
        <v>0</v>
      </c>
      <c r="CW38">
        <v>0</v>
      </c>
      <c r="CX38">
        <f>ROUND(Y38*Source!I50,9)</f>
        <v>6.2700000000000004E-3</v>
      </c>
      <c r="CY38">
        <f>AA38</f>
        <v>27.62</v>
      </c>
      <c r="CZ38">
        <f>AE38</f>
        <v>27.62</v>
      </c>
      <c r="DA38">
        <f>AI38</f>
        <v>1</v>
      </c>
      <c r="DB38">
        <f>ROUND((ROUND(AT38*CZ38,2)*1),6)</f>
        <v>0.17</v>
      </c>
      <c r="DC38">
        <f>ROUND((ROUND(AT38*AG38,2)*1),6)</f>
        <v>0</v>
      </c>
      <c r="DD38" t="s">
        <v>3</v>
      </c>
      <c r="DE38" t="s">
        <v>3</v>
      </c>
      <c r="DF38">
        <f t="shared" si="13"/>
        <v>0.17</v>
      </c>
      <c r="DG38">
        <f t="shared" si="10"/>
        <v>0</v>
      </c>
      <c r="DH38">
        <f t="shared" si="11"/>
        <v>0</v>
      </c>
      <c r="DI38">
        <f t="shared" si="12"/>
        <v>0</v>
      </c>
      <c r="DJ38">
        <f>DF38</f>
        <v>0.17</v>
      </c>
      <c r="DK38">
        <v>0</v>
      </c>
      <c r="DL38" t="s">
        <v>3</v>
      </c>
      <c r="DM38">
        <v>0</v>
      </c>
      <c r="DN38" t="s">
        <v>3</v>
      </c>
      <c r="DO38">
        <v>0</v>
      </c>
    </row>
    <row r="39" spans="1:119" x14ac:dyDescent="0.2">
      <c r="A39">
        <f>ROW(Source!A50)</f>
        <v>50</v>
      </c>
      <c r="B39">
        <v>60256405</v>
      </c>
      <c r="C39">
        <v>60256569</v>
      </c>
      <c r="D39">
        <v>59039462</v>
      </c>
      <c r="E39">
        <v>1</v>
      </c>
      <c r="F39">
        <v>1</v>
      </c>
      <c r="G39">
        <v>1080</v>
      </c>
      <c r="H39">
        <v>3</v>
      </c>
      <c r="I39" t="s">
        <v>295</v>
      </c>
      <c r="J39" t="s">
        <v>296</v>
      </c>
      <c r="K39" t="s">
        <v>297</v>
      </c>
      <c r="L39">
        <v>1348</v>
      </c>
      <c r="N39">
        <v>1009</v>
      </c>
      <c r="O39" t="s">
        <v>283</v>
      </c>
      <c r="P39" t="s">
        <v>283</v>
      </c>
      <c r="Q39">
        <v>1000</v>
      </c>
      <c r="W39">
        <v>0</v>
      </c>
      <c r="X39">
        <v>-1945031955</v>
      </c>
      <c r="Y39">
        <f>(AT39*1)</f>
        <v>1.0000000000000001E-5</v>
      </c>
      <c r="AA39">
        <v>64123.05</v>
      </c>
      <c r="AB39">
        <v>0</v>
      </c>
      <c r="AC39">
        <v>0</v>
      </c>
      <c r="AD39">
        <v>0</v>
      </c>
      <c r="AE39">
        <v>64123.05</v>
      </c>
      <c r="AF39">
        <v>0</v>
      </c>
      <c r="AG39">
        <v>0</v>
      </c>
      <c r="AH39">
        <v>0</v>
      </c>
      <c r="AI39">
        <v>1</v>
      </c>
      <c r="AJ39">
        <v>1</v>
      </c>
      <c r="AK39">
        <v>1</v>
      </c>
      <c r="AL39">
        <v>1</v>
      </c>
      <c r="AM39">
        <v>-2</v>
      </c>
      <c r="AN39">
        <v>0</v>
      </c>
      <c r="AO39">
        <v>1</v>
      </c>
      <c r="AP39">
        <v>1</v>
      </c>
      <c r="AQ39">
        <v>0</v>
      </c>
      <c r="AR39">
        <v>0</v>
      </c>
      <c r="AS39" t="s">
        <v>3</v>
      </c>
      <c r="AT39">
        <v>1.0000000000000001E-5</v>
      </c>
      <c r="AU39" t="s">
        <v>24</v>
      </c>
      <c r="AV39">
        <v>0</v>
      </c>
      <c r="AW39">
        <v>2</v>
      </c>
      <c r="AX39">
        <v>60256857</v>
      </c>
      <c r="AY39">
        <v>1</v>
      </c>
      <c r="AZ39">
        <v>0</v>
      </c>
      <c r="BA39">
        <v>49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CV39">
        <v>0</v>
      </c>
      <c r="CW39">
        <v>0</v>
      </c>
      <c r="CX39">
        <f>ROUND(Y39*Source!I50,9)</f>
        <v>1.0000000000000001E-5</v>
      </c>
      <c r="CY39">
        <f>AA39</f>
        <v>64123.05</v>
      </c>
      <c r="CZ39">
        <f>AE39</f>
        <v>64123.05</v>
      </c>
      <c r="DA39">
        <f>AI39</f>
        <v>1</v>
      </c>
      <c r="DB39">
        <f>ROUND((ROUND(AT39*CZ39,2)*1),6)</f>
        <v>0.64</v>
      </c>
      <c r="DC39">
        <f>ROUND((ROUND(AT39*AG39,2)*1),6)</f>
        <v>0</v>
      </c>
      <c r="DD39" t="s">
        <v>3</v>
      </c>
      <c r="DE39" t="s">
        <v>3</v>
      </c>
      <c r="DF39">
        <f t="shared" si="13"/>
        <v>0.64</v>
      </c>
      <c r="DG39">
        <f t="shared" si="10"/>
        <v>0</v>
      </c>
      <c r="DH39">
        <f t="shared" si="11"/>
        <v>0</v>
      </c>
      <c r="DI39">
        <f t="shared" si="12"/>
        <v>0</v>
      </c>
      <c r="DJ39">
        <f>DF39</f>
        <v>0.64</v>
      </c>
      <c r="DK39">
        <v>0</v>
      </c>
      <c r="DL39" t="s">
        <v>3</v>
      </c>
      <c r="DM39">
        <v>0</v>
      </c>
      <c r="DN39" t="s">
        <v>3</v>
      </c>
      <c r="DO39">
        <v>0</v>
      </c>
    </row>
    <row r="40" spans="1:119" x14ac:dyDescent="0.2">
      <c r="A40">
        <f>ROW(Source!A50)</f>
        <v>50</v>
      </c>
      <c r="B40">
        <v>60256405</v>
      </c>
      <c r="C40">
        <v>60256569</v>
      </c>
      <c r="D40">
        <v>59049354</v>
      </c>
      <c r="E40">
        <v>1</v>
      </c>
      <c r="F40">
        <v>1</v>
      </c>
      <c r="G40">
        <v>1080</v>
      </c>
      <c r="H40">
        <v>3</v>
      </c>
      <c r="I40" t="s">
        <v>298</v>
      </c>
      <c r="J40" t="s">
        <v>299</v>
      </c>
      <c r="K40" t="s">
        <v>300</v>
      </c>
      <c r="L40">
        <v>1354</v>
      </c>
      <c r="N40">
        <v>1010</v>
      </c>
      <c r="O40" t="s">
        <v>33</v>
      </c>
      <c r="P40" t="s">
        <v>33</v>
      </c>
      <c r="Q40">
        <v>1</v>
      </c>
      <c r="W40">
        <v>0</v>
      </c>
      <c r="X40">
        <v>314181591</v>
      </c>
      <c r="Y40">
        <f>(AT40*1)</f>
        <v>0.1</v>
      </c>
      <c r="AA40">
        <v>15.25</v>
      </c>
      <c r="AB40">
        <v>0</v>
      </c>
      <c r="AC40">
        <v>0</v>
      </c>
      <c r="AD40">
        <v>0</v>
      </c>
      <c r="AE40">
        <v>15.25</v>
      </c>
      <c r="AF40">
        <v>0</v>
      </c>
      <c r="AG40">
        <v>0</v>
      </c>
      <c r="AH40">
        <v>0</v>
      </c>
      <c r="AI40">
        <v>1</v>
      </c>
      <c r="AJ40">
        <v>1</v>
      </c>
      <c r="AK40">
        <v>1</v>
      </c>
      <c r="AL40">
        <v>1</v>
      </c>
      <c r="AM40">
        <v>-2</v>
      </c>
      <c r="AN40">
        <v>0</v>
      </c>
      <c r="AO40">
        <v>1</v>
      </c>
      <c r="AP40">
        <v>1</v>
      </c>
      <c r="AQ40">
        <v>0</v>
      </c>
      <c r="AR40">
        <v>0</v>
      </c>
      <c r="AS40" t="s">
        <v>3</v>
      </c>
      <c r="AT40">
        <v>0.1</v>
      </c>
      <c r="AU40" t="s">
        <v>24</v>
      </c>
      <c r="AV40">
        <v>0</v>
      </c>
      <c r="AW40">
        <v>2</v>
      </c>
      <c r="AX40">
        <v>60256858</v>
      </c>
      <c r="AY40">
        <v>1</v>
      </c>
      <c r="AZ40">
        <v>0</v>
      </c>
      <c r="BA40">
        <v>50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CV40">
        <v>0</v>
      </c>
      <c r="CW40">
        <v>0</v>
      </c>
      <c r="CX40">
        <f>ROUND(Y40*Source!I50,9)</f>
        <v>0.1</v>
      </c>
      <c r="CY40">
        <f>AA40</f>
        <v>15.25</v>
      </c>
      <c r="CZ40">
        <f>AE40</f>
        <v>15.25</v>
      </c>
      <c r="DA40">
        <f>AI40</f>
        <v>1</v>
      </c>
      <c r="DB40">
        <f>ROUND((ROUND(AT40*CZ40,2)*1),6)</f>
        <v>1.53</v>
      </c>
      <c r="DC40">
        <f>ROUND((ROUND(AT40*AG40,2)*1),6)</f>
        <v>0</v>
      </c>
      <c r="DD40" t="s">
        <v>3</v>
      </c>
      <c r="DE40" t="s">
        <v>3</v>
      </c>
      <c r="DF40">
        <f t="shared" si="13"/>
        <v>1.53</v>
      </c>
      <c r="DG40">
        <f t="shared" si="10"/>
        <v>0</v>
      </c>
      <c r="DH40">
        <f t="shared" si="11"/>
        <v>0</v>
      </c>
      <c r="DI40">
        <f t="shared" si="12"/>
        <v>0</v>
      </c>
      <c r="DJ40">
        <f>DF40</f>
        <v>1.53</v>
      </c>
      <c r="DK40">
        <v>0</v>
      </c>
      <c r="DL40" t="s">
        <v>3</v>
      </c>
      <c r="DM40">
        <v>0</v>
      </c>
      <c r="DN40" t="s">
        <v>3</v>
      </c>
      <c r="DO40">
        <v>0</v>
      </c>
    </row>
    <row r="41" spans="1:119" x14ac:dyDescent="0.2">
      <c r="A41">
        <f>ROW(Source!A51)</f>
        <v>51</v>
      </c>
      <c r="B41">
        <v>60256402</v>
      </c>
      <c r="C41">
        <v>60256569</v>
      </c>
      <c r="D41">
        <v>58999254</v>
      </c>
      <c r="E41">
        <v>1080</v>
      </c>
      <c r="F41">
        <v>1</v>
      </c>
      <c r="G41">
        <v>1080</v>
      </c>
      <c r="H41">
        <v>1</v>
      </c>
      <c r="I41" t="s">
        <v>269</v>
      </c>
      <c r="J41" t="s">
        <v>3</v>
      </c>
      <c r="K41" t="s">
        <v>270</v>
      </c>
      <c r="L41">
        <v>1191</v>
      </c>
      <c r="N41">
        <v>1013</v>
      </c>
      <c r="O41" t="s">
        <v>271</v>
      </c>
      <c r="P41" t="s">
        <v>271</v>
      </c>
      <c r="Q41">
        <v>1</v>
      </c>
      <c r="W41">
        <v>0</v>
      </c>
      <c r="X41">
        <v>476480486</v>
      </c>
      <c r="Y41">
        <f>(AT41*1.1)</f>
        <v>1.4960000000000002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1</v>
      </c>
      <c r="AJ41">
        <v>1</v>
      </c>
      <c r="AK41">
        <v>1</v>
      </c>
      <c r="AL41">
        <v>1</v>
      </c>
      <c r="AM41">
        <v>5</v>
      </c>
      <c r="AN41">
        <v>0</v>
      </c>
      <c r="AO41">
        <v>1</v>
      </c>
      <c r="AP41">
        <v>1</v>
      </c>
      <c r="AQ41">
        <v>0</v>
      </c>
      <c r="AR41">
        <v>0</v>
      </c>
      <c r="AS41" t="s">
        <v>3</v>
      </c>
      <c r="AT41">
        <v>1.36</v>
      </c>
      <c r="AU41" t="s">
        <v>25</v>
      </c>
      <c r="AV41">
        <v>1</v>
      </c>
      <c r="AW41">
        <v>2</v>
      </c>
      <c r="AX41">
        <v>60256853</v>
      </c>
      <c r="AY41">
        <v>1</v>
      </c>
      <c r="AZ41">
        <v>0</v>
      </c>
      <c r="BA41">
        <v>52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CU41">
        <f>ROUND(AT41*Source!I51*AH41*AL41,2)</f>
        <v>0</v>
      </c>
      <c r="CV41">
        <f>ROUND(Y41*Source!I51,9)</f>
        <v>1.496</v>
      </c>
      <c r="CW41">
        <v>0</v>
      </c>
      <c r="CX41">
        <f>ROUND(Y41*Source!I51,9)</f>
        <v>1.496</v>
      </c>
      <c r="CY41">
        <f>AD41</f>
        <v>0</v>
      </c>
      <c r="CZ41">
        <f>AH41</f>
        <v>0</v>
      </c>
      <c r="DA41">
        <f>AL41</f>
        <v>1</v>
      </c>
      <c r="DB41">
        <f>ROUND((ROUND(AT41*CZ41,2)*1.1),6)</f>
        <v>0</v>
      </c>
      <c r="DC41">
        <f>ROUND((ROUND(AT41*AG41,2)*1.1),6)</f>
        <v>0</v>
      </c>
      <c r="DD41" t="s">
        <v>3</v>
      </c>
      <c r="DE41" t="s">
        <v>3</v>
      </c>
      <c r="DF41">
        <f t="shared" si="13"/>
        <v>0</v>
      </c>
      <c r="DG41">
        <f t="shared" si="10"/>
        <v>0</v>
      </c>
      <c r="DH41">
        <f t="shared" si="11"/>
        <v>0</v>
      </c>
      <c r="DI41">
        <f t="shared" si="12"/>
        <v>0</v>
      </c>
      <c r="DJ41">
        <f>DI41</f>
        <v>0</v>
      </c>
      <c r="DK41">
        <v>0</v>
      </c>
      <c r="DL41" t="s">
        <v>3</v>
      </c>
      <c r="DM41">
        <v>0</v>
      </c>
      <c r="DN41" t="s">
        <v>3</v>
      </c>
      <c r="DO41">
        <v>0</v>
      </c>
    </row>
    <row r="42" spans="1:119" x14ac:dyDescent="0.2">
      <c r="A42">
        <f>ROW(Source!A51)</f>
        <v>51</v>
      </c>
      <c r="B42">
        <v>60256402</v>
      </c>
      <c r="C42">
        <v>60256569</v>
      </c>
      <c r="D42">
        <v>59070788</v>
      </c>
      <c r="E42">
        <v>1</v>
      </c>
      <c r="F42">
        <v>1</v>
      </c>
      <c r="G42">
        <v>1080</v>
      </c>
      <c r="H42">
        <v>2</v>
      </c>
      <c r="I42" t="s">
        <v>304</v>
      </c>
      <c r="J42" t="s">
        <v>305</v>
      </c>
      <c r="K42" t="s">
        <v>306</v>
      </c>
      <c r="L42">
        <v>1368</v>
      </c>
      <c r="N42">
        <v>1011</v>
      </c>
      <c r="O42" t="s">
        <v>275</v>
      </c>
      <c r="P42" t="s">
        <v>275</v>
      </c>
      <c r="Q42">
        <v>1</v>
      </c>
      <c r="W42">
        <v>0</v>
      </c>
      <c r="X42">
        <v>2147454900</v>
      </c>
      <c r="Y42">
        <f>(AT42*1.1)</f>
        <v>1.8700000000000001E-2</v>
      </c>
      <c r="AA42">
        <v>0</v>
      </c>
      <c r="AB42">
        <v>7.19</v>
      </c>
      <c r="AC42">
        <v>0</v>
      </c>
      <c r="AD42">
        <v>0</v>
      </c>
      <c r="AE42">
        <v>0</v>
      </c>
      <c r="AF42">
        <v>0.8</v>
      </c>
      <c r="AG42">
        <v>0</v>
      </c>
      <c r="AH42">
        <v>0</v>
      </c>
      <c r="AI42">
        <v>1</v>
      </c>
      <c r="AJ42">
        <v>8.59</v>
      </c>
      <c r="AK42">
        <v>54.99</v>
      </c>
      <c r="AL42">
        <v>1</v>
      </c>
      <c r="AM42">
        <v>2</v>
      </c>
      <c r="AN42">
        <v>0</v>
      </c>
      <c r="AO42">
        <v>1</v>
      </c>
      <c r="AP42">
        <v>1</v>
      </c>
      <c r="AQ42">
        <v>0</v>
      </c>
      <c r="AR42">
        <v>0</v>
      </c>
      <c r="AS42" t="s">
        <v>3</v>
      </c>
      <c r="AT42">
        <v>1.7000000000000001E-2</v>
      </c>
      <c r="AU42" t="s">
        <v>25</v>
      </c>
      <c r="AV42">
        <v>0</v>
      </c>
      <c r="AW42">
        <v>2</v>
      </c>
      <c r="AX42">
        <v>60256854</v>
      </c>
      <c r="AY42">
        <v>1</v>
      </c>
      <c r="AZ42">
        <v>0</v>
      </c>
      <c r="BA42">
        <v>53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CV42">
        <v>0</v>
      </c>
      <c r="CW42">
        <f>ROUND(Y42*Source!I51*DO42,9)</f>
        <v>0</v>
      </c>
      <c r="CX42">
        <f>ROUND(Y42*Source!I51,9)</f>
        <v>1.8700000000000001E-2</v>
      </c>
      <c r="CY42">
        <f>AB42</f>
        <v>7.19</v>
      </c>
      <c r="CZ42">
        <f>AF42</f>
        <v>0.8</v>
      </c>
      <c r="DA42">
        <f>AJ42</f>
        <v>8.59</v>
      </c>
      <c r="DB42">
        <f>ROUND((ROUND(AT42*CZ42,2)*1.1),6)</f>
        <v>1.0999999999999999E-2</v>
      </c>
      <c r="DC42">
        <f>ROUND((ROUND(AT42*AG42,2)*1.1),6)</f>
        <v>0</v>
      </c>
      <c r="DD42" t="s">
        <v>3</v>
      </c>
      <c r="DE42" t="s">
        <v>3</v>
      </c>
      <c r="DF42">
        <f t="shared" si="13"/>
        <v>0</v>
      </c>
      <c r="DG42">
        <f>ROUND(ROUND(AF42*AJ42,2)*CX42,2)</f>
        <v>0.13</v>
      </c>
      <c r="DH42">
        <f>ROUND(ROUND(AG42*AK42,2)*CX42,2)</f>
        <v>0</v>
      </c>
      <c r="DI42">
        <f t="shared" si="12"/>
        <v>0</v>
      </c>
      <c r="DJ42">
        <f>DG42</f>
        <v>0.13</v>
      </c>
      <c r="DK42">
        <v>0</v>
      </c>
      <c r="DL42" t="s">
        <v>3</v>
      </c>
      <c r="DM42">
        <v>0</v>
      </c>
      <c r="DN42" t="s">
        <v>3</v>
      </c>
      <c r="DO42">
        <v>0</v>
      </c>
    </row>
    <row r="43" spans="1:119" x14ac:dyDescent="0.2">
      <c r="A43">
        <f>ROW(Source!A51)</f>
        <v>51</v>
      </c>
      <c r="B43">
        <v>60256402</v>
      </c>
      <c r="C43">
        <v>60256569</v>
      </c>
      <c r="D43">
        <v>59070754</v>
      </c>
      <c r="E43">
        <v>1</v>
      </c>
      <c r="F43">
        <v>1</v>
      </c>
      <c r="G43">
        <v>1080</v>
      </c>
      <c r="H43">
        <v>2</v>
      </c>
      <c r="I43" t="s">
        <v>307</v>
      </c>
      <c r="J43" t="s">
        <v>308</v>
      </c>
      <c r="K43" t="s">
        <v>309</v>
      </c>
      <c r="L43">
        <v>1368</v>
      </c>
      <c r="N43">
        <v>1011</v>
      </c>
      <c r="O43" t="s">
        <v>275</v>
      </c>
      <c r="P43" t="s">
        <v>275</v>
      </c>
      <c r="Q43">
        <v>1</v>
      </c>
      <c r="W43">
        <v>0</v>
      </c>
      <c r="X43">
        <v>1645565003</v>
      </c>
      <c r="Y43">
        <f>(AT43*1.1)</f>
        <v>2.2000000000000002E-2</v>
      </c>
      <c r="AA43">
        <v>0</v>
      </c>
      <c r="AB43">
        <v>4.3</v>
      </c>
      <c r="AC43">
        <v>0</v>
      </c>
      <c r="AD43">
        <v>0</v>
      </c>
      <c r="AE43">
        <v>0</v>
      </c>
      <c r="AF43">
        <v>0.47</v>
      </c>
      <c r="AG43">
        <v>0</v>
      </c>
      <c r="AH43">
        <v>0</v>
      </c>
      <c r="AI43">
        <v>1</v>
      </c>
      <c r="AJ43">
        <v>8.74</v>
      </c>
      <c r="AK43">
        <v>54.99</v>
      </c>
      <c r="AL43">
        <v>1</v>
      </c>
      <c r="AM43">
        <v>2</v>
      </c>
      <c r="AN43">
        <v>0</v>
      </c>
      <c r="AO43">
        <v>1</v>
      </c>
      <c r="AP43">
        <v>1</v>
      </c>
      <c r="AQ43">
        <v>0</v>
      </c>
      <c r="AR43">
        <v>0</v>
      </c>
      <c r="AS43" t="s">
        <v>3</v>
      </c>
      <c r="AT43">
        <v>0.02</v>
      </c>
      <c r="AU43" t="s">
        <v>25</v>
      </c>
      <c r="AV43">
        <v>0</v>
      </c>
      <c r="AW43">
        <v>2</v>
      </c>
      <c r="AX43">
        <v>60256855</v>
      </c>
      <c r="AY43">
        <v>1</v>
      </c>
      <c r="AZ43">
        <v>0</v>
      </c>
      <c r="BA43">
        <v>54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CV43">
        <v>0</v>
      </c>
      <c r="CW43">
        <f>ROUND(Y43*Source!I51*DO43,9)</f>
        <v>0</v>
      </c>
      <c r="CX43">
        <f>ROUND(Y43*Source!I51,9)</f>
        <v>2.1999999999999999E-2</v>
      </c>
      <c r="CY43">
        <f>AB43</f>
        <v>4.3</v>
      </c>
      <c r="CZ43">
        <f>AF43</f>
        <v>0.47</v>
      </c>
      <c r="DA43">
        <f>AJ43</f>
        <v>8.74</v>
      </c>
      <c r="DB43">
        <f>ROUND((ROUND(AT43*CZ43,2)*1.1),6)</f>
        <v>1.0999999999999999E-2</v>
      </c>
      <c r="DC43">
        <f>ROUND((ROUND(AT43*AG43,2)*1.1),6)</f>
        <v>0</v>
      </c>
      <c r="DD43" t="s">
        <v>3</v>
      </c>
      <c r="DE43" t="s">
        <v>3</v>
      </c>
      <c r="DF43">
        <f t="shared" si="13"/>
        <v>0</v>
      </c>
      <c r="DG43">
        <f>ROUND(ROUND(AF43*AJ43,2)*CX43,2)</f>
        <v>0.09</v>
      </c>
      <c r="DH43">
        <f>ROUND(ROUND(AG43*AK43,2)*CX43,2)</f>
        <v>0</v>
      </c>
      <c r="DI43">
        <f t="shared" si="12"/>
        <v>0</v>
      </c>
      <c r="DJ43">
        <f>DG43</f>
        <v>0.09</v>
      </c>
      <c r="DK43">
        <v>0</v>
      </c>
      <c r="DL43" t="s">
        <v>3</v>
      </c>
      <c r="DM43">
        <v>0</v>
      </c>
      <c r="DN43" t="s">
        <v>3</v>
      </c>
      <c r="DO43">
        <v>0</v>
      </c>
    </row>
    <row r="44" spans="1:119" x14ac:dyDescent="0.2">
      <c r="A44">
        <f>ROW(Source!A51)</f>
        <v>51</v>
      </c>
      <c r="B44">
        <v>60256402</v>
      </c>
      <c r="C44">
        <v>60256569</v>
      </c>
      <c r="D44">
        <v>59040743</v>
      </c>
      <c r="E44">
        <v>1</v>
      </c>
      <c r="F44">
        <v>1</v>
      </c>
      <c r="G44">
        <v>1080</v>
      </c>
      <c r="H44">
        <v>3</v>
      </c>
      <c r="I44" t="s">
        <v>292</v>
      </c>
      <c r="J44" t="s">
        <v>293</v>
      </c>
      <c r="K44" t="s">
        <v>294</v>
      </c>
      <c r="L44">
        <v>1346</v>
      </c>
      <c r="N44">
        <v>1009</v>
      </c>
      <c r="O44" t="s">
        <v>70</v>
      </c>
      <c r="P44" t="s">
        <v>70</v>
      </c>
      <c r="Q44">
        <v>1</v>
      </c>
      <c r="W44">
        <v>0</v>
      </c>
      <c r="X44">
        <v>1225168167</v>
      </c>
      <c r="Y44">
        <f>(AT44*1)</f>
        <v>6.2700000000000004E-3</v>
      </c>
      <c r="AA44">
        <v>172.35</v>
      </c>
      <c r="AB44">
        <v>0</v>
      </c>
      <c r="AC44">
        <v>0</v>
      </c>
      <c r="AD44">
        <v>0</v>
      </c>
      <c r="AE44">
        <v>27.62</v>
      </c>
      <c r="AF44">
        <v>0</v>
      </c>
      <c r="AG44">
        <v>0</v>
      </c>
      <c r="AH44">
        <v>0</v>
      </c>
      <c r="AI44">
        <v>6.24</v>
      </c>
      <c r="AJ44">
        <v>1</v>
      </c>
      <c r="AK44">
        <v>1</v>
      </c>
      <c r="AL44">
        <v>1</v>
      </c>
      <c r="AM44">
        <v>2</v>
      </c>
      <c r="AN44">
        <v>0</v>
      </c>
      <c r="AO44">
        <v>1</v>
      </c>
      <c r="AP44">
        <v>1</v>
      </c>
      <c r="AQ44">
        <v>0</v>
      </c>
      <c r="AR44">
        <v>0</v>
      </c>
      <c r="AS44" t="s">
        <v>3</v>
      </c>
      <c r="AT44">
        <v>6.2700000000000004E-3</v>
      </c>
      <c r="AU44" t="s">
        <v>24</v>
      </c>
      <c r="AV44">
        <v>0</v>
      </c>
      <c r="AW44">
        <v>2</v>
      </c>
      <c r="AX44">
        <v>60256856</v>
      </c>
      <c r="AY44">
        <v>1</v>
      </c>
      <c r="AZ44">
        <v>0</v>
      </c>
      <c r="BA44">
        <v>55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CV44">
        <v>0</v>
      </c>
      <c r="CW44">
        <v>0</v>
      </c>
      <c r="CX44">
        <f>ROUND(Y44*Source!I51,9)</f>
        <v>6.2700000000000004E-3</v>
      </c>
      <c r="CY44">
        <f>AA44</f>
        <v>172.35</v>
      </c>
      <c r="CZ44">
        <f>AE44</f>
        <v>27.62</v>
      </c>
      <c r="DA44">
        <f>AI44</f>
        <v>6.24</v>
      </c>
      <c r="DB44">
        <f>ROUND((ROUND(AT44*CZ44,2)*1),6)</f>
        <v>0.17</v>
      </c>
      <c r="DC44">
        <f>ROUND((ROUND(AT44*AG44,2)*1),6)</f>
        <v>0</v>
      </c>
      <c r="DD44" t="s">
        <v>3</v>
      </c>
      <c r="DE44" t="s">
        <v>3</v>
      </c>
      <c r="DF44">
        <f>ROUND(ROUND(AE44*AI44,2)*CX44,2)</f>
        <v>1.08</v>
      </c>
      <c r="DG44">
        <f t="shared" ref="DG44:DG90" si="14">ROUND(ROUND(AF44,2)*CX44,2)</f>
        <v>0</v>
      </c>
      <c r="DH44">
        <f t="shared" ref="DH44:DH90" si="15">ROUND(ROUND(AG44,2)*CX44,2)</f>
        <v>0</v>
      </c>
      <c r="DI44">
        <f t="shared" si="12"/>
        <v>0</v>
      </c>
      <c r="DJ44">
        <f>DF44</f>
        <v>1.08</v>
      </c>
      <c r="DK44">
        <v>0</v>
      </c>
      <c r="DL44" t="s">
        <v>3</v>
      </c>
      <c r="DM44">
        <v>0</v>
      </c>
      <c r="DN44" t="s">
        <v>3</v>
      </c>
      <c r="DO44">
        <v>0</v>
      </c>
    </row>
    <row r="45" spans="1:119" x14ac:dyDescent="0.2">
      <c r="A45">
        <f>ROW(Source!A51)</f>
        <v>51</v>
      </c>
      <c r="B45">
        <v>60256402</v>
      </c>
      <c r="C45">
        <v>60256569</v>
      </c>
      <c r="D45">
        <v>59039462</v>
      </c>
      <c r="E45">
        <v>1</v>
      </c>
      <c r="F45">
        <v>1</v>
      </c>
      <c r="G45">
        <v>1080</v>
      </c>
      <c r="H45">
        <v>3</v>
      </c>
      <c r="I45" t="s">
        <v>295</v>
      </c>
      <c r="J45" t="s">
        <v>296</v>
      </c>
      <c r="K45" t="s">
        <v>297</v>
      </c>
      <c r="L45">
        <v>1348</v>
      </c>
      <c r="N45">
        <v>1009</v>
      </c>
      <c r="O45" t="s">
        <v>283</v>
      </c>
      <c r="P45" t="s">
        <v>283</v>
      </c>
      <c r="Q45">
        <v>1000</v>
      </c>
      <c r="W45">
        <v>0</v>
      </c>
      <c r="X45">
        <v>-1945031955</v>
      </c>
      <c r="Y45">
        <f>(AT45*1)</f>
        <v>1.0000000000000001E-5</v>
      </c>
      <c r="AA45">
        <v>1930103.81</v>
      </c>
      <c r="AB45">
        <v>0</v>
      </c>
      <c r="AC45">
        <v>0</v>
      </c>
      <c r="AD45">
        <v>0</v>
      </c>
      <c r="AE45">
        <v>64123.05</v>
      </c>
      <c r="AF45">
        <v>0</v>
      </c>
      <c r="AG45">
        <v>0</v>
      </c>
      <c r="AH45">
        <v>0</v>
      </c>
      <c r="AI45">
        <v>30.1</v>
      </c>
      <c r="AJ45">
        <v>1</v>
      </c>
      <c r="AK45">
        <v>1</v>
      </c>
      <c r="AL45">
        <v>1</v>
      </c>
      <c r="AM45">
        <v>2</v>
      </c>
      <c r="AN45">
        <v>0</v>
      </c>
      <c r="AO45">
        <v>1</v>
      </c>
      <c r="AP45">
        <v>1</v>
      </c>
      <c r="AQ45">
        <v>0</v>
      </c>
      <c r="AR45">
        <v>0</v>
      </c>
      <c r="AS45" t="s">
        <v>3</v>
      </c>
      <c r="AT45">
        <v>1.0000000000000001E-5</v>
      </c>
      <c r="AU45" t="s">
        <v>24</v>
      </c>
      <c r="AV45">
        <v>0</v>
      </c>
      <c r="AW45">
        <v>2</v>
      </c>
      <c r="AX45">
        <v>60256857</v>
      </c>
      <c r="AY45">
        <v>1</v>
      </c>
      <c r="AZ45">
        <v>0</v>
      </c>
      <c r="BA45">
        <v>56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CV45">
        <v>0</v>
      </c>
      <c r="CW45">
        <v>0</v>
      </c>
      <c r="CX45">
        <f>ROUND(Y45*Source!I51,9)</f>
        <v>1.0000000000000001E-5</v>
      </c>
      <c r="CY45">
        <f>AA45</f>
        <v>1930103.81</v>
      </c>
      <c r="CZ45">
        <f>AE45</f>
        <v>64123.05</v>
      </c>
      <c r="DA45">
        <f>AI45</f>
        <v>30.1</v>
      </c>
      <c r="DB45">
        <f>ROUND((ROUND(AT45*CZ45,2)*1),6)</f>
        <v>0.64</v>
      </c>
      <c r="DC45">
        <f>ROUND((ROUND(AT45*AG45,2)*1),6)</f>
        <v>0</v>
      </c>
      <c r="DD45" t="s">
        <v>3</v>
      </c>
      <c r="DE45" t="s">
        <v>3</v>
      </c>
      <c r="DF45">
        <f>ROUND(ROUND(AE45*AI45,2)*CX45,2)</f>
        <v>19.3</v>
      </c>
      <c r="DG45">
        <f t="shared" si="14"/>
        <v>0</v>
      </c>
      <c r="DH45">
        <f t="shared" si="15"/>
        <v>0</v>
      </c>
      <c r="DI45">
        <f t="shared" si="12"/>
        <v>0</v>
      </c>
      <c r="DJ45">
        <f>DF45</f>
        <v>19.3</v>
      </c>
      <c r="DK45">
        <v>0</v>
      </c>
      <c r="DL45" t="s">
        <v>3</v>
      </c>
      <c r="DM45">
        <v>0</v>
      </c>
      <c r="DN45" t="s">
        <v>3</v>
      </c>
      <c r="DO45">
        <v>0</v>
      </c>
    </row>
    <row r="46" spans="1:119" x14ac:dyDescent="0.2">
      <c r="A46">
        <f>ROW(Source!A51)</f>
        <v>51</v>
      </c>
      <c r="B46">
        <v>60256402</v>
      </c>
      <c r="C46">
        <v>60256569</v>
      </c>
      <c r="D46">
        <v>59049354</v>
      </c>
      <c r="E46">
        <v>1</v>
      </c>
      <c r="F46">
        <v>1</v>
      </c>
      <c r="G46">
        <v>1080</v>
      </c>
      <c r="H46">
        <v>3</v>
      </c>
      <c r="I46" t="s">
        <v>298</v>
      </c>
      <c r="J46" t="s">
        <v>299</v>
      </c>
      <c r="K46" t="s">
        <v>300</v>
      </c>
      <c r="L46">
        <v>1354</v>
      </c>
      <c r="N46">
        <v>1010</v>
      </c>
      <c r="O46" t="s">
        <v>33</v>
      </c>
      <c r="P46" t="s">
        <v>33</v>
      </c>
      <c r="Q46">
        <v>1</v>
      </c>
      <c r="W46">
        <v>0</v>
      </c>
      <c r="X46">
        <v>314181591</v>
      </c>
      <c r="Y46">
        <f>(AT46*1)</f>
        <v>0.1</v>
      </c>
      <c r="AA46">
        <v>36.14</v>
      </c>
      <c r="AB46">
        <v>0</v>
      </c>
      <c r="AC46">
        <v>0</v>
      </c>
      <c r="AD46">
        <v>0</v>
      </c>
      <c r="AE46">
        <v>15.25</v>
      </c>
      <c r="AF46">
        <v>0</v>
      </c>
      <c r="AG46">
        <v>0</v>
      </c>
      <c r="AH46">
        <v>0</v>
      </c>
      <c r="AI46">
        <v>2.37</v>
      </c>
      <c r="AJ46">
        <v>1</v>
      </c>
      <c r="AK46">
        <v>1</v>
      </c>
      <c r="AL46">
        <v>1</v>
      </c>
      <c r="AM46">
        <v>2</v>
      </c>
      <c r="AN46">
        <v>0</v>
      </c>
      <c r="AO46">
        <v>1</v>
      </c>
      <c r="AP46">
        <v>1</v>
      </c>
      <c r="AQ46">
        <v>0</v>
      </c>
      <c r="AR46">
        <v>0</v>
      </c>
      <c r="AS46" t="s">
        <v>3</v>
      </c>
      <c r="AT46">
        <v>0.1</v>
      </c>
      <c r="AU46" t="s">
        <v>24</v>
      </c>
      <c r="AV46">
        <v>0</v>
      </c>
      <c r="AW46">
        <v>2</v>
      </c>
      <c r="AX46">
        <v>60256858</v>
      </c>
      <c r="AY46">
        <v>1</v>
      </c>
      <c r="AZ46">
        <v>0</v>
      </c>
      <c r="BA46">
        <v>57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CV46">
        <v>0</v>
      </c>
      <c r="CW46">
        <v>0</v>
      </c>
      <c r="CX46">
        <f>ROUND(Y46*Source!I51,9)</f>
        <v>0.1</v>
      </c>
      <c r="CY46">
        <f>AA46</f>
        <v>36.14</v>
      </c>
      <c r="CZ46">
        <f>AE46</f>
        <v>15.25</v>
      </c>
      <c r="DA46">
        <f>AI46</f>
        <v>2.37</v>
      </c>
      <c r="DB46">
        <f>ROUND((ROUND(AT46*CZ46,2)*1),6)</f>
        <v>1.53</v>
      </c>
      <c r="DC46">
        <f>ROUND((ROUND(AT46*AG46,2)*1),6)</f>
        <v>0</v>
      </c>
      <c r="DD46" t="s">
        <v>3</v>
      </c>
      <c r="DE46" t="s">
        <v>3</v>
      </c>
      <c r="DF46">
        <f>ROUND(ROUND(AE46*AI46,2)*CX46,2)</f>
        <v>3.61</v>
      </c>
      <c r="DG46">
        <f t="shared" si="14"/>
        <v>0</v>
      </c>
      <c r="DH46">
        <f t="shared" si="15"/>
        <v>0</v>
      </c>
      <c r="DI46">
        <f t="shared" si="12"/>
        <v>0</v>
      </c>
      <c r="DJ46">
        <f>DF46</f>
        <v>3.61</v>
      </c>
      <c r="DK46">
        <v>0</v>
      </c>
      <c r="DL46" t="s">
        <v>3</v>
      </c>
      <c r="DM46">
        <v>0</v>
      </c>
      <c r="DN46" t="s">
        <v>3</v>
      </c>
      <c r="DO46">
        <v>0</v>
      </c>
    </row>
    <row r="47" spans="1:119" x14ac:dyDescent="0.2">
      <c r="A47">
        <f>ROW(Source!A54)</f>
        <v>54</v>
      </c>
      <c r="B47">
        <v>60256405</v>
      </c>
      <c r="C47">
        <v>60256584</v>
      </c>
      <c r="D47">
        <v>58999254</v>
      </c>
      <c r="E47">
        <v>1080</v>
      </c>
      <c r="F47">
        <v>1</v>
      </c>
      <c r="G47">
        <v>1080</v>
      </c>
      <c r="H47">
        <v>1</v>
      </c>
      <c r="I47" t="s">
        <v>269</v>
      </c>
      <c r="J47" t="s">
        <v>3</v>
      </c>
      <c r="K47" t="s">
        <v>270</v>
      </c>
      <c r="L47">
        <v>1191</v>
      </c>
      <c r="N47">
        <v>1013</v>
      </c>
      <c r="O47" t="s">
        <v>271</v>
      </c>
      <c r="P47" t="s">
        <v>271</v>
      </c>
      <c r="Q47">
        <v>1</v>
      </c>
      <c r="W47">
        <v>0</v>
      </c>
      <c r="X47">
        <v>476480486</v>
      </c>
      <c r="Y47">
        <f>(AT47*1.1)</f>
        <v>0.57200000000000006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1</v>
      </c>
      <c r="AJ47">
        <v>1</v>
      </c>
      <c r="AK47">
        <v>1</v>
      </c>
      <c r="AL47">
        <v>1</v>
      </c>
      <c r="AM47">
        <v>-2</v>
      </c>
      <c r="AN47">
        <v>0</v>
      </c>
      <c r="AO47">
        <v>1</v>
      </c>
      <c r="AP47">
        <v>1</v>
      </c>
      <c r="AQ47">
        <v>0</v>
      </c>
      <c r="AR47">
        <v>0</v>
      </c>
      <c r="AS47" t="s">
        <v>3</v>
      </c>
      <c r="AT47">
        <v>0.52</v>
      </c>
      <c r="AU47" t="s">
        <v>25</v>
      </c>
      <c r="AV47">
        <v>1</v>
      </c>
      <c r="AW47">
        <v>2</v>
      </c>
      <c r="AX47">
        <v>60256860</v>
      </c>
      <c r="AY47">
        <v>1</v>
      </c>
      <c r="AZ47">
        <v>0</v>
      </c>
      <c r="BA47">
        <v>59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CU47">
        <f>ROUND(AT47*Source!I54*AH47*AL47,2)</f>
        <v>0</v>
      </c>
      <c r="CV47">
        <f>ROUND(Y47*Source!I54,9)</f>
        <v>0.57199999999999995</v>
      </c>
      <c r="CW47">
        <v>0</v>
      </c>
      <c r="CX47">
        <f>ROUND(Y47*Source!I54,9)</f>
        <v>0.57199999999999995</v>
      </c>
      <c r="CY47">
        <f>AD47</f>
        <v>0</v>
      </c>
      <c r="CZ47">
        <f>AH47</f>
        <v>0</v>
      </c>
      <c r="DA47">
        <f>AL47</f>
        <v>1</v>
      </c>
      <c r="DB47">
        <f>ROUND((ROUND(AT47*CZ47,2)*1.1),6)</f>
        <v>0</v>
      </c>
      <c r="DC47">
        <f>ROUND((ROUND(AT47*AG47,2)*1.1),6)</f>
        <v>0</v>
      </c>
      <c r="DD47" t="s">
        <v>3</v>
      </c>
      <c r="DE47" t="s">
        <v>3</v>
      </c>
      <c r="DF47">
        <f>ROUND(ROUND(AE47,2)*CX47,2)</f>
        <v>0</v>
      </c>
      <c r="DG47">
        <f t="shared" si="14"/>
        <v>0</v>
      </c>
      <c r="DH47">
        <f t="shared" si="15"/>
        <v>0</v>
      </c>
      <c r="DI47">
        <f t="shared" si="12"/>
        <v>0</v>
      </c>
      <c r="DJ47">
        <f>DI47</f>
        <v>0</v>
      </c>
      <c r="DK47">
        <v>0</v>
      </c>
      <c r="DL47" t="s">
        <v>3</v>
      </c>
      <c r="DM47">
        <v>0</v>
      </c>
      <c r="DN47" t="s">
        <v>3</v>
      </c>
      <c r="DO47">
        <v>0</v>
      </c>
    </row>
    <row r="48" spans="1:119" x14ac:dyDescent="0.2">
      <c r="A48">
        <f>ROW(Source!A54)</f>
        <v>54</v>
      </c>
      <c r="B48">
        <v>60256405</v>
      </c>
      <c r="C48">
        <v>60256584</v>
      </c>
      <c r="D48">
        <v>59045781</v>
      </c>
      <c r="E48">
        <v>1</v>
      </c>
      <c r="F48">
        <v>1</v>
      </c>
      <c r="G48">
        <v>1080</v>
      </c>
      <c r="H48">
        <v>3</v>
      </c>
      <c r="I48" t="s">
        <v>68</v>
      </c>
      <c r="J48" t="s">
        <v>71</v>
      </c>
      <c r="K48" t="s">
        <v>69</v>
      </c>
      <c r="L48">
        <v>1346</v>
      </c>
      <c r="N48">
        <v>1009</v>
      </c>
      <c r="O48" t="s">
        <v>70</v>
      </c>
      <c r="P48" t="s">
        <v>70</v>
      </c>
      <c r="Q48">
        <v>1</v>
      </c>
      <c r="W48">
        <v>0</v>
      </c>
      <c r="X48">
        <v>1143487818</v>
      </c>
      <c r="Y48">
        <f>(AT48*1)</f>
        <v>3.5000000000000003E-2</v>
      </c>
      <c r="AA48">
        <v>31.08</v>
      </c>
      <c r="AB48">
        <v>0</v>
      </c>
      <c r="AC48">
        <v>0</v>
      </c>
      <c r="AD48">
        <v>0</v>
      </c>
      <c r="AE48">
        <v>31.08</v>
      </c>
      <c r="AF48">
        <v>0</v>
      </c>
      <c r="AG48">
        <v>0</v>
      </c>
      <c r="AH48">
        <v>0</v>
      </c>
      <c r="AI48">
        <v>1</v>
      </c>
      <c r="AJ48">
        <v>1</v>
      </c>
      <c r="AK48">
        <v>1</v>
      </c>
      <c r="AL48">
        <v>1</v>
      </c>
      <c r="AM48">
        <v>0</v>
      </c>
      <c r="AN48">
        <v>0</v>
      </c>
      <c r="AO48">
        <v>0</v>
      </c>
      <c r="AP48">
        <v>1</v>
      </c>
      <c r="AQ48">
        <v>0</v>
      </c>
      <c r="AR48">
        <v>0</v>
      </c>
      <c r="AS48" t="s">
        <v>3</v>
      </c>
      <c r="AT48">
        <v>3.5000000000000003E-2</v>
      </c>
      <c r="AU48" t="s">
        <v>24</v>
      </c>
      <c r="AV48">
        <v>0</v>
      </c>
      <c r="AW48">
        <v>1</v>
      </c>
      <c r="AX48">
        <v>-1</v>
      </c>
      <c r="AY48">
        <v>0</v>
      </c>
      <c r="AZ48">
        <v>0</v>
      </c>
      <c r="BA48" t="s">
        <v>3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CV48">
        <v>0</v>
      </c>
      <c r="CW48">
        <v>0</v>
      </c>
      <c r="CX48">
        <f>ROUND(Y48*Source!I54,9)</f>
        <v>3.5000000000000003E-2</v>
      </c>
      <c r="CY48">
        <f>AA48</f>
        <v>31.08</v>
      </c>
      <c r="CZ48">
        <f>AE48</f>
        <v>31.08</v>
      </c>
      <c r="DA48">
        <f>AI48</f>
        <v>1</v>
      </c>
      <c r="DB48">
        <f>ROUND((ROUND(AT48*CZ48,2)*1),6)</f>
        <v>1.0900000000000001</v>
      </c>
      <c r="DC48">
        <f>ROUND((ROUND(AT48*AG48,2)*1),6)</f>
        <v>0</v>
      </c>
      <c r="DD48" t="s">
        <v>3</v>
      </c>
      <c r="DE48" t="s">
        <v>3</v>
      </c>
      <c r="DF48">
        <f>ROUND(ROUND(AE48,2)*CX48,2)</f>
        <v>1.0900000000000001</v>
      </c>
      <c r="DG48">
        <f t="shared" si="14"/>
        <v>0</v>
      </c>
      <c r="DH48">
        <f t="shared" si="15"/>
        <v>0</v>
      </c>
      <c r="DI48">
        <f t="shared" si="12"/>
        <v>0</v>
      </c>
      <c r="DJ48">
        <f>DF48</f>
        <v>1.0900000000000001</v>
      </c>
      <c r="DK48">
        <v>0</v>
      </c>
      <c r="DL48" t="s">
        <v>3</v>
      </c>
      <c r="DM48">
        <v>0</v>
      </c>
      <c r="DN48" t="s">
        <v>3</v>
      </c>
      <c r="DO48">
        <v>0</v>
      </c>
    </row>
    <row r="49" spans="1:119" x14ac:dyDescent="0.2">
      <c r="A49">
        <f>ROW(Source!A55)</f>
        <v>55</v>
      </c>
      <c r="B49">
        <v>60256402</v>
      </c>
      <c r="C49">
        <v>60256584</v>
      </c>
      <c r="D49">
        <v>58999254</v>
      </c>
      <c r="E49">
        <v>1080</v>
      </c>
      <c r="F49">
        <v>1</v>
      </c>
      <c r="G49">
        <v>1080</v>
      </c>
      <c r="H49">
        <v>1</v>
      </c>
      <c r="I49" t="s">
        <v>269</v>
      </c>
      <c r="J49" t="s">
        <v>3</v>
      </c>
      <c r="K49" t="s">
        <v>270</v>
      </c>
      <c r="L49">
        <v>1191</v>
      </c>
      <c r="N49">
        <v>1013</v>
      </c>
      <c r="O49" t="s">
        <v>271</v>
      </c>
      <c r="P49" t="s">
        <v>271</v>
      </c>
      <c r="Q49">
        <v>1</v>
      </c>
      <c r="W49">
        <v>0</v>
      </c>
      <c r="X49">
        <v>476480486</v>
      </c>
      <c r="Y49">
        <f>(AT49*1.1)</f>
        <v>0.57200000000000006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1</v>
      </c>
      <c r="AJ49">
        <v>1</v>
      </c>
      <c r="AK49">
        <v>1</v>
      </c>
      <c r="AL49">
        <v>1</v>
      </c>
      <c r="AM49">
        <v>5</v>
      </c>
      <c r="AN49">
        <v>0</v>
      </c>
      <c r="AO49">
        <v>1</v>
      </c>
      <c r="AP49">
        <v>1</v>
      </c>
      <c r="AQ49">
        <v>0</v>
      </c>
      <c r="AR49">
        <v>0</v>
      </c>
      <c r="AS49" t="s">
        <v>3</v>
      </c>
      <c r="AT49">
        <v>0.52</v>
      </c>
      <c r="AU49" t="s">
        <v>25</v>
      </c>
      <c r="AV49">
        <v>1</v>
      </c>
      <c r="AW49">
        <v>2</v>
      </c>
      <c r="AX49">
        <v>60256860</v>
      </c>
      <c r="AY49">
        <v>1</v>
      </c>
      <c r="AZ49">
        <v>0</v>
      </c>
      <c r="BA49">
        <v>62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CU49">
        <f>ROUND(AT49*Source!I55*AH49*AL49,2)</f>
        <v>0</v>
      </c>
      <c r="CV49">
        <f>ROUND(Y49*Source!I55,9)</f>
        <v>0.57199999999999995</v>
      </c>
      <c r="CW49">
        <v>0</v>
      </c>
      <c r="CX49">
        <f>ROUND(Y49*Source!I55,9)</f>
        <v>0.57199999999999995</v>
      </c>
      <c r="CY49">
        <f>AD49</f>
        <v>0</v>
      </c>
      <c r="CZ49">
        <f>AH49</f>
        <v>0</v>
      </c>
      <c r="DA49">
        <f>AL49</f>
        <v>1</v>
      </c>
      <c r="DB49">
        <f>ROUND((ROUND(AT49*CZ49,2)*1.1),6)</f>
        <v>0</v>
      </c>
      <c r="DC49">
        <f>ROUND((ROUND(AT49*AG49,2)*1.1),6)</f>
        <v>0</v>
      </c>
      <c r="DD49" t="s">
        <v>3</v>
      </c>
      <c r="DE49" t="s">
        <v>3</v>
      </c>
      <c r="DF49">
        <f>ROUND(ROUND(AE49,2)*CX49,2)</f>
        <v>0</v>
      </c>
      <c r="DG49">
        <f t="shared" si="14"/>
        <v>0</v>
      </c>
      <c r="DH49">
        <f t="shared" si="15"/>
        <v>0</v>
      </c>
      <c r="DI49">
        <f t="shared" si="12"/>
        <v>0</v>
      </c>
      <c r="DJ49">
        <f>DI49</f>
        <v>0</v>
      </c>
      <c r="DK49">
        <v>0</v>
      </c>
      <c r="DL49" t="s">
        <v>3</v>
      </c>
      <c r="DM49">
        <v>0</v>
      </c>
      <c r="DN49" t="s">
        <v>3</v>
      </c>
      <c r="DO49">
        <v>0</v>
      </c>
    </row>
    <row r="50" spans="1:119" x14ac:dyDescent="0.2">
      <c r="A50">
        <f>ROW(Source!A55)</f>
        <v>55</v>
      </c>
      <c r="B50">
        <v>60256402</v>
      </c>
      <c r="C50">
        <v>60256584</v>
      </c>
      <c r="D50">
        <v>59045781</v>
      </c>
      <c r="E50">
        <v>1</v>
      </c>
      <c r="F50">
        <v>1</v>
      </c>
      <c r="G50">
        <v>1080</v>
      </c>
      <c r="H50">
        <v>3</v>
      </c>
      <c r="I50" t="s">
        <v>68</v>
      </c>
      <c r="J50" t="s">
        <v>71</v>
      </c>
      <c r="K50" t="s">
        <v>69</v>
      </c>
      <c r="L50">
        <v>1346</v>
      </c>
      <c r="N50">
        <v>1009</v>
      </c>
      <c r="O50" t="s">
        <v>70</v>
      </c>
      <c r="P50" t="s">
        <v>70</v>
      </c>
      <c r="Q50">
        <v>1</v>
      </c>
      <c r="W50">
        <v>0</v>
      </c>
      <c r="X50">
        <v>1143487818</v>
      </c>
      <c r="Y50">
        <f>(AT50*1)</f>
        <v>3.5000000000000003E-2</v>
      </c>
      <c r="AA50">
        <v>159.13</v>
      </c>
      <c r="AB50">
        <v>0</v>
      </c>
      <c r="AC50">
        <v>0</v>
      </c>
      <c r="AD50">
        <v>0</v>
      </c>
      <c r="AE50">
        <v>31.08</v>
      </c>
      <c r="AF50">
        <v>0</v>
      </c>
      <c r="AG50">
        <v>0</v>
      </c>
      <c r="AH50">
        <v>0</v>
      </c>
      <c r="AI50">
        <v>5.12</v>
      </c>
      <c r="AJ50">
        <v>1</v>
      </c>
      <c r="AK50">
        <v>1</v>
      </c>
      <c r="AL50">
        <v>1</v>
      </c>
      <c r="AM50">
        <v>0</v>
      </c>
      <c r="AN50">
        <v>0</v>
      </c>
      <c r="AO50">
        <v>0</v>
      </c>
      <c r="AP50">
        <v>1</v>
      </c>
      <c r="AQ50">
        <v>0</v>
      </c>
      <c r="AR50">
        <v>0</v>
      </c>
      <c r="AS50" t="s">
        <v>3</v>
      </c>
      <c r="AT50">
        <v>3.5000000000000003E-2</v>
      </c>
      <c r="AU50" t="s">
        <v>24</v>
      </c>
      <c r="AV50">
        <v>0</v>
      </c>
      <c r="AW50">
        <v>1</v>
      </c>
      <c r="AX50">
        <v>-1</v>
      </c>
      <c r="AY50">
        <v>0</v>
      </c>
      <c r="AZ50">
        <v>0</v>
      </c>
      <c r="BA50" t="s">
        <v>3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CV50">
        <v>0</v>
      </c>
      <c r="CW50">
        <v>0</v>
      </c>
      <c r="CX50">
        <f>ROUND(Y50*Source!I55,9)</f>
        <v>3.5000000000000003E-2</v>
      </c>
      <c r="CY50">
        <f>AA50</f>
        <v>159.13</v>
      </c>
      <c r="CZ50">
        <f>AE50</f>
        <v>31.08</v>
      </c>
      <c r="DA50">
        <f>AI50</f>
        <v>5.12</v>
      </c>
      <c r="DB50">
        <f>ROUND((ROUND(AT50*CZ50,2)*1),6)</f>
        <v>1.0900000000000001</v>
      </c>
      <c r="DC50">
        <f>ROUND((ROUND(AT50*AG50,2)*1),6)</f>
        <v>0</v>
      </c>
      <c r="DD50" t="s">
        <v>3</v>
      </c>
      <c r="DE50" t="s">
        <v>3</v>
      </c>
      <c r="DF50">
        <f>ROUND(ROUND(AE50*AI50,2)*CX50,2)</f>
        <v>5.57</v>
      </c>
      <c r="DG50">
        <f t="shared" si="14"/>
        <v>0</v>
      </c>
      <c r="DH50">
        <f t="shared" si="15"/>
        <v>0</v>
      </c>
      <c r="DI50">
        <f t="shared" si="12"/>
        <v>0</v>
      </c>
      <c r="DJ50">
        <f>DF50</f>
        <v>5.57</v>
      </c>
      <c r="DK50">
        <v>0</v>
      </c>
      <c r="DL50" t="s">
        <v>3</v>
      </c>
      <c r="DM50">
        <v>0</v>
      </c>
      <c r="DN50" t="s">
        <v>3</v>
      </c>
      <c r="DO50">
        <v>0</v>
      </c>
    </row>
    <row r="51" spans="1:119" x14ac:dyDescent="0.2">
      <c r="A51">
        <f>ROW(Source!A60)</f>
        <v>60</v>
      </c>
      <c r="B51">
        <v>60256405</v>
      </c>
      <c r="C51">
        <v>60256592</v>
      </c>
      <c r="D51">
        <v>58999254</v>
      </c>
      <c r="E51">
        <v>1080</v>
      </c>
      <c r="F51">
        <v>1</v>
      </c>
      <c r="G51">
        <v>1080</v>
      </c>
      <c r="H51">
        <v>1</v>
      </c>
      <c r="I51" t="s">
        <v>269</v>
      </c>
      <c r="J51" t="s">
        <v>3</v>
      </c>
      <c r="K51" t="s">
        <v>270</v>
      </c>
      <c r="L51">
        <v>1191</v>
      </c>
      <c r="N51">
        <v>1013</v>
      </c>
      <c r="O51" t="s">
        <v>271</v>
      </c>
      <c r="P51" t="s">
        <v>271</v>
      </c>
      <c r="Q51">
        <v>1</v>
      </c>
      <c r="W51">
        <v>0</v>
      </c>
      <c r="X51">
        <v>476480486</v>
      </c>
      <c r="Y51">
        <f>(AT51*1.1)</f>
        <v>0.57200000000000006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1</v>
      </c>
      <c r="AJ51">
        <v>1</v>
      </c>
      <c r="AK51">
        <v>1</v>
      </c>
      <c r="AL51">
        <v>1</v>
      </c>
      <c r="AM51">
        <v>-2</v>
      </c>
      <c r="AN51">
        <v>0</v>
      </c>
      <c r="AO51">
        <v>1</v>
      </c>
      <c r="AP51">
        <v>1</v>
      </c>
      <c r="AQ51">
        <v>0</v>
      </c>
      <c r="AR51">
        <v>0</v>
      </c>
      <c r="AS51" t="s">
        <v>3</v>
      </c>
      <c r="AT51">
        <v>0.52</v>
      </c>
      <c r="AU51" t="s">
        <v>25</v>
      </c>
      <c r="AV51">
        <v>1</v>
      </c>
      <c r="AW51">
        <v>2</v>
      </c>
      <c r="AX51">
        <v>60256863</v>
      </c>
      <c r="AY51">
        <v>1</v>
      </c>
      <c r="AZ51">
        <v>0</v>
      </c>
      <c r="BA51">
        <v>65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CU51">
        <f>ROUND(AT51*Source!I60*AH51*AL51,2)</f>
        <v>0</v>
      </c>
      <c r="CV51">
        <f>ROUND(Y51*Source!I60,9)</f>
        <v>0.57199999999999995</v>
      </c>
      <c r="CW51">
        <v>0</v>
      </c>
      <c r="CX51">
        <f>ROUND(Y51*Source!I60,9)</f>
        <v>0.57199999999999995</v>
      </c>
      <c r="CY51">
        <f>AD51</f>
        <v>0</v>
      </c>
      <c r="CZ51">
        <f>AH51</f>
        <v>0</v>
      </c>
      <c r="DA51">
        <f>AL51</f>
        <v>1</v>
      </c>
      <c r="DB51">
        <f>ROUND((ROUND(AT51*CZ51,2)*1.1),6)</f>
        <v>0</v>
      </c>
      <c r="DC51">
        <f>ROUND((ROUND(AT51*AG51,2)*1.1),6)</f>
        <v>0</v>
      </c>
      <c r="DD51" t="s">
        <v>3</v>
      </c>
      <c r="DE51" t="s">
        <v>3</v>
      </c>
      <c r="DF51">
        <f>ROUND(ROUND(AE51,2)*CX51,2)</f>
        <v>0</v>
      </c>
      <c r="DG51">
        <f t="shared" si="14"/>
        <v>0</v>
      </c>
      <c r="DH51">
        <f t="shared" si="15"/>
        <v>0</v>
      </c>
      <c r="DI51">
        <f t="shared" si="12"/>
        <v>0</v>
      </c>
      <c r="DJ51">
        <f>DI51</f>
        <v>0</v>
      </c>
      <c r="DK51">
        <v>0</v>
      </c>
      <c r="DL51" t="s">
        <v>3</v>
      </c>
      <c r="DM51">
        <v>0</v>
      </c>
      <c r="DN51" t="s">
        <v>3</v>
      </c>
      <c r="DO51">
        <v>0</v>
      </c>
    </row>
    <row r="52" spans="1:119" x14ac:dyDescent="0.2">
      <c r="A52">
        <f>ROW(Source!A60)</f>
        <v>60</v>
      </c>
      <c r="B52">
        <v>60256405</v>
      </c>
      <c r="C52">
        <v>60256592</v>
      </c>
      <c r="D52">
        <v>59045781</v>
      </c>
      <c r="E52">
        <v>1</v>
      </c>
      <c r="F52">
        <v>1</v>
      </c>
      <c r="G52">
        <v>1080</v>
      </c>
      <c r="H52">
        <v>3</v>
      </c>
      <c r="I52" t="s">
        <v>68</v>
      </c>
      <c r="J52" t="s">
        <v>71</v>
      </c>
      <c r="K52" t="s">
        <v>69</v>
      </c>
      <c r="L52">
        <v>1346</v>
      </c>
      <c r="N52">
        <v>1009</v>
      </c>
      <c r="O52" t="s">
        <v>70</v>
      </c>
      <c r="P52" t="s">
        <v>70</v>
      </c>
      <c r="Q52">
        <v>1</v>
      </c>
      <c r="W52">
        <v>0</v>
      </c>
      <c r="X52">
        <v>1143487818</v>
      </c>
      <c r="Y52">
        <f>(AT52*1)</f>
        <v>3.5000000000000003E-2</v>
      </c>
      <c r="AA52">
        <v>31.08</v>
      </c>
      <c r="AB52">
        <v>0</v>
      </c>
      <c r="AC52">
        <v>0</v>
      </c>
      <c r="AD52">
        <v>0</v>
      </c>
      <c r="AE52">
        <v>31.08</v>
      </c>
      <c r="AF52">
        <v>0</v>
      </c>
      <c r="AG52">
        <v>0</v>
      </c>
      <c r="AH52">
        <v>0</v>
      </c>
      <c r="AI52">
        <v>1</v>
      </c>
      <c r="AJ52">
        <v>1</v>
      </c>
      <c r="AK52">
        <v>1</v>
      </c>
      <c r="AL52">
        <v>1</v>
      </c>
      <c r="AM52">
        <v>0</v>
      </c>
      <c r="AN52">
        <v>0</v>
      </c>
      <c r="AO52">
        <v>0</v>
      </c>
      <c r="AP52">
        <v>1</v>
      </c>
      <c r="AQ52">
        <v>0</v>
      </c>
      <c r="AR52">
        <v>0</v>
      </c>
      <c r="AS52" t="s">
        <v>3</v>
      </c>
      <c r="AT52">
        <v>3.5000000000000003E-2</v>
      </c>
      <c r="AU52" t="s">
        <v>24</v>
      </c>
      <c r="AV52">
        <v>0</v>
      </c>
      <c r="AW52">
        <v>1</v>
      </c>
      <c r="AX52">
        <v>-1</v>
      </c>
      <c r="AY52">
        <v>0</v>
      </c>
      <c r="AZ52">
        <v>0</v>
      </c>
      <c r="BA52" t="s">
        <v>3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CV52">
        <v>0</v>
      </c>
      <c r="CW52">
        <v>0</v>
      </c>
      <c r="CX52">
        <f>ROUND(Y52*Source!I60,9)</f>
        <v>3.5000000000000003E-2</v>
      </c>
      <c r="CY52">
        <f>AA52</f>
        <v>31.08</v>
      </c>
      <c r="CZ52">
        <f>AE52</f>
        <v>31.08</v>
      </c>
      <c r="DA52">
        <f>AI52</f>
        <v>1</v>
      </c>
      <c r="DB52">
        <f>ROUND((ROUND(AT52*CZ52,2)*1),6)</f>
        <v>1.0900000000000001</v>
      </c>
      <c r="DC52">
        <f>ROUND((ROUND(AT52*AG52,2)*1),6)</f>
        <v>0</v>
      </c>
      <c r="DD52" t="s">
        <v>3</v>
      </c>
      <c r="DE52" t="s">
        <v>3</v>
      </c>
      <c r="DF52">
        <f>ROUND(ROUND(AE52,2)*CX52,2)</f>
        <v>1.0900000000000001</v>
      </c>
      <c r="DG52">
        <f t="shared" si="14"/>
        <v>0</v>
      </c>
      <c r="DH52">
        <f t="shared" si="15"/>
        <v>0</v>
      </c>
      <c r="DI52">
        <f t="shared" si="12"/>
        <v>0</v>
      </c>
      <c r="DJ52">
        <f>DF52</f>
        <v>1.0900000000000001</v>
      </c>
      <c r="DK52">
        <v>0</v>
      </c>
      <c r="DL52" t="s">
        <v>3</v>
      </c>
      <c r="DM52">
        <v>0</v>
      </c>
      <c r="DN52" t="s">
        <v>3</v>
      </c>
      <c r="DO52">
        <v>0</v>
      </c>
    </row>
    <row r="53" spans="1:119" x14ac:dyDescent="0.2">
      <c r="A53">
        <f>ROW(Source!A61)</f>
        <v>61</v>
      </c>
      <c r="B53">
        <v>60256402</v>
      </c>
      <c r="C53">
        <v>60256592</v>
      </c>
      <c r="D53">
        <v>58999254</v>
      </c>
      <c r="E53">
        <v>1080</v>
      </c>
      <c r="F53">
        <v>1</v>
      </c>
      <c r="G53">
        <v>1080</v>
      </c>
      <c r="H53">
        <v>1</v>
      </c>
      <c r="I53" t="s">
        <v>269</v>
      </c>
      <c r="J53" t="s">
        <v>3</v>
      </c>
      <c r="K53" t="s">
        <v>270</v>
      </c>
      <c r="L53">
        <v>1191</v>
      </c>
      <c r="N53">
        <v>1013</v>
      </c>
      <c r="O53" t="s">
        <v>271</v>
      </c>
      <c r="P53" t="s">
        <v>271</v>
      </c>
      <c r="Q53">
        <v>1</v>
      </c>
      <c r="W53">
        <v>0</v>
      </c>
      <c r="X53">
        <v>476480486</v>
      </c>
      <c r="Y53">
        <f>(AT53*1.1)</f>
        <v>0.57200000000000006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1</v>
      </c>
      <c r="AJ53">
        <v>1</v>
      </c>
      <c r="AK53">
        <v>1</v>
      </c>
      <c r="AL53">
        <v>1</v>
      </c>
      <c r="AM53">
        <v>5</v>
      </c>
      <c r="AN53">
        <v>0</v>
      </c>
      <c r="AO53">
        <v>1</v>
      </c>
      <c r="AP53">
        <v>1</v>
      </c>
      <c r="AQ53">
        <v>0</v>
      </c>
      <c r="AR53">
        <v>0</v>
      </c>
      <c r="AS53" t="s">
        <v>3</v>
      </c>
      <c r="AT53">
        <v>0.52</v>
      </c>
      <c r="AU53" t="s">
        <v>25</v>
      </c>
      <c r="AV53">
        <v>1</v>
      </c>
      <c r="AW53">
        <v>2</v>
      </c>
      <c r="AX53">
        <v>60256863</v>
      </c>
      <c r="AY53">
        <v>1</v>
      </c>
      <c r="AZ53">
        <v>0</v>
      </c>
      <c r="BA53">
        <v>68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CU53">
        <f>ROUND(AT53*Source!I61*AH53*AL53,2)</f>
        <v>0</v>
      </c>
      <c r="CV53">
        <f>ROUND(Y53*Source!I61,9)</f>
        <v>0.57199999999999995</v>
      </c>
      <c r="CW53">
        <v>0</v>
      </c>
      <c r="CX53">
        <f>ROUND(Y53*Source!I61,9)</f>
        <v>0.57199999999999995</v>
      </c>
      <c r="CY53">
        <f>AD53</f>
        <v>0</v>
      </c>
      <c r="CZ53">
        <f>AH53</f>
        <v>0</v>
      </c>
      <c r="DA53">
        <f>AL53</f>
        <v>1</v>
      </c>
      <c r="DB53">
        <f>ROUND((ROUND(AT53*CZ53,2)*1.1),6)</f>
        <v>0</v>
      </c>
      <c r="DC53">
        <f>ROUND((ROUND(AT53*AG53,2)*1.1),6)</f>
        <v>0</v>
      </c>
      <c r="DD53" t="s">
        <v>3</v>
      </c>
      <c r="DE53" t="s">
        <v>3</v>
      </c>
      <c r="DF53">
        <f>ROUND(ROUND(AE53,2)*CX53,2)</f>
        <v>0</v>
      </c>
      <c r="DG53">
        <f t="shared" si="14"/>
        <v>0</v>
      </c>
      <c r="DH53">
        <f t="shared" si="15"/>
        <v>0</v>
      </c>
      <c r="DI53">
        <f t="shared" si="12"/>
        <v>0</v>
      </c>
      <c r="DJ53">
        <f>DI53</f>
        <v>0</v>
      </c>
      <c r="DK53">
        <v>0</v>
      </c>
      <c r="DL53" t="s">
        <v>3</v>
      </c>
      <c r="DM53">
        <v>0</v>
      </c>
      <c r="DN53" t="s">
        <v>3</v>
      </c>
      <c r="DO53">
        <v>0</v>
      </c>
    </row>
    <row r="54" spans="1:119" x14ac:dyDescent="0.2">
      <c r="A54">
        <f>ROW(Source!A61)</f>
        <v>61</v>
      </c>
      <c r="B54">
        <v>60256402</v>
      </c>
      <c r="C54">
        <v>60256592</v>
      </c>
      <c r="D54">
        <v>59045781</v>
      </c>
      <c r="E54">
        <v>1</v>
      </c>
      <c r="F54">
        <v>1</v>
      </c>
      <c r="G54">
        <v>1080</v>
      </c>
      <c r="H54">
        <v>3</v>
      </c>
      <c r="I54" t="s">
        <v>68</v>
      </c>
      <c r="J54" t="s">
        <v>71</v>
      </c>
      <c r="K54" t="s">
        <v>69</v>
      </c>
      <c r="L54">
        <v>1346</v>
      </c>
      <c r="N54">
        <v>1009</v>
      </c>
      <c r="O54" t="s">
        <v>70</v>
      </c>
      <c r="P54" t="s">
        <v>70</v>
      </c>
      <c r="Q54">
        <v>1</v>
      </c>
      <c r="W54">
        <v>0</v>
      </c>
      <c r="X54">
        <v>1143487818</v>
      </c>
      <c r="Y54">
        <f>(AT54*1)</f>
        <v>3.5000000000000003E-2</v>
      </c>
      <c r="AA54">
        <v>159.13</v>
      </c>
      <c r="AB54">
        <v>0</v>
      </c>
      <c r="AC54">
        <v>0</v>
      </c>
      <c r="AD54">
        <v>0</v>
      </c>
      <c r="AE54">
        <v>31.08</v>
      </c>
      <c r="AF54">
        <v>0</v>
      </c>
      <c r="AG54">
        <v>0</v>
      </c>
      <c r="AH54">
        <v>0</v>
      </c>
      <c r="AI54">
        <v>5.12</v>
      </c>
      <c r="AJ54">
        <v>1</v>
      </c>
      <c r="AK54">
        <v>1</v>
      </c>
      <c r="AL54">
        <v>1</v>
      </c>
      <c r="AM54">
        <v>0</v>
      </c>
      <c r="AN54">
        <v>0</v>
      </c>
      <c r="AO54">
        <v>0</v>
      </c>
      <c r="AP54">
        <v>1</v>
      </c>
      <c r="AQ54">
        <v>0</v>
      </c>
      <c r="AR54">
        <v>0</v>
      </c>
      <c r="AS54" t="s">
        <v>3</v>
      </c>
      <c r="AT54">
        <v>3.5000000000000003E-2</v>
      </c>
      <c r="AU54" t="s">
        <v>24</v>
      </c>
      <c r="AV54">
        <v>0</v>
      </c>
      <c r="AW54">
        <v>1</v>
      </c>
      <c r="AX54">
        <v>-1</v>
      </c>
      <c r="AY54">
        <v>0</v>
      </c>
      <c r="AZ54">
        <v>0</v>
      </c>
      <c r="BA54" t="s">
        <v>3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CV54">
        <v>0</v>
      </c>
      <c r="CW54">
        <v>0</v>
      </c>
      <c r="CX54">
        <f>ROUND(Y54*Source!I61,9)</f>
        <v>3.5000000000000003E-2</v>
      </c>
      <c r="CY54">
        <f>AA54</f>
        <v>159.13</v>
      </c>
      <c r="CZ54">
        <f>AE54</f>
        <v>31.08</v>
      </c>
      <c r="DA54">
        <f>AI54</f>
        <v>5.12</v>
      </c>
      <c r="DB54">
        <f>ROUND((ROUND(AT54*CZ54,2)*1),6)</f>
        <v>1.0900000000000001</v>
      </c>
      <c r="DC54">
        <f>ROUND((ROUND(AT54*AG54,2)*1),6)</f>
        <v>0</v>
      </c>
      <c r="DD54" t="s">
        <v>3</v>
      </c>
      <c r="DE54" t="s">
        <v>3</v>
      </c>
      <c r="DF54">
        <f>ROUND(ROUND(AE54*AI54,2)*CX54,2)</f>
        <v>5.57</v>
      </c>
      <c r="DG54">
        <f t="shared" si="14"/>
        <v>0</v>
      </c>
      <c r="DH54">
        <f t="shared" si="15"/>
        <v>0</v>
      </c>
      <c r="DI54">
        <f t="shared" si="12"/>
        <v>0</v>
      </c>
      <c r="DJ54">
        <f>DF54</f>
        <v>5.57</v>
      </c>
      <c r="DK54">
        <v>0</v>
      </c>
      <c r="DL54" t="s">
        <v>3</v>
      </c>
      <c r="DM54">
        <v>0</v>
      </c>
      <c r="DN54" t="s">
        <v>3</v>
      </c>
      <c r="DO54">
        <v>0</v>
      </c>
    </row>
    <row r="55" spans="1:119" x14ac:dyDescent="0.2">
      <c r="A55">
        <f>ROW(Source!A66)</f>
        <v>66</v>
      </c>
      <c r="B55">
        <v>60256405</v>
      </c>
      <c r="C55">
        <v>60256600</v>
      </c>
      <c r="D55">
        <v>58999254</v>
      </c>
      <c r="E55">
        <v>1080</v>
      </c>
      <c r="F55">
        <v>1</v>
      </c>
      <c r="G55">
        <v>1080</v>
      </c>
      <c r="H55">
        <v>1</v>
      </c>
      <c r="I55" t="s">
        <v>269</v>
      </c>
      <c r="J55" t="s">
        <v>3</v>
      </c>
      <c r="K55" t="s">
        <v>270</v>
      </c>
      <c r="L55">
        <v>1191</v>
      </c>
      <c r="N55">
        <v>1013</v>
      </c>
      <c r="O55" t="s">
        <v>271</v>
      </c>
      <c r="P55" t="s">
        <v>271</v>
      </c>
      <c r="Q55">
        <v>1</v>
      </c>
      <c r="W55">
        <v>0</v>
      </c>
      <c r="X55">
        <v>476480486</v>
      </c>
      <c r="Y55">
        <f>(AT55*1.1)</f>
        <v>1.32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1</v>
      </c>
      <c r="AJ55">
        <v>1</v>
      </c>
      <c r="AK55">
        <v>1</v>
      </c>
      <c r="AL55">
        <v>1</v>
      </c>
      <c r="AM55">
        <v>-2</v>
      </c>
      <c r="AN55">
        <v>0</v>
      </c>
      <c r="AO55">
        <v>1</v>
      </c>
      <c r="AP55">
        <v>1</v>
      </c>
      <c r="AQ55">
        <v>0</v>
      </c>
      <c r="AR55">
        <v>0</v>
      </c>
      <c r="AS55" t="s">
        <v>3</v>
      </c>
      <c r="AT55">
        <v>1.2</v>
      </c>
      <c r="AU55" t="s">
        <v>25</v>
      </c>
      <c r="AV55">
        <v>1</v>
      </c>
      <c r="AW55">
        <v>2</v>
      </c>
      <c r="AX55">
        <v>60256866</v>
      </c>
      <c r="AY55">
        <v>1</v>
      </c>
      <c r="AZ55">
        <v>0</v>
      </c>
      <c r="BA55">
        <v>71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CU55">
        <f>ROUND(AT55*Source!I66*AH55*AL55,2)</f>
        <v>0</v>
      </c>
      <c r="CV55">
        <f>ROUND(Y55*Source!I66,9)</f>
        <v>2.64</v>
      </c>
      <c r="CW55">
        <v>0</v>
      </c>
      <c r="CX55">
        <f>ROUND(Y55*Source!I66,9)</f>
        <v>2.64</v>
      </c>
      <c r="CY55">
        <f>AD55</f>
        <v>0</v>
      </c>
      <c r="CZ55">
        <f>AH55</f>
        <v>0</v>
      </c>
      <c r="DA55">
        <f>AL55</f>
        <v>1</v>
      </c>
      <c r="DB55">
        <f>ROUND((ROUND(AT55*CZ55,2)*1.1),6)</f>
        <v>0</v>
      </c>
      <c r="DC55">
        <f>ROUND((ROUND(AT55*AG55,2)*1.1),6)</f>
        <v>0</v>
      </c>
      <c r="DD55" t="s">
        <v>3</v>
      </c>
      <c r="DE55" t="s">
        <v>3</v>
      </c>
      <c r="DF55">
        <f>ROUND(ROUND(AE55,2)*CX55,2)</f>
        <v>0</v>
      </c>
      <c r="DG55">
        <f t="shared" si="14"/>
        <v>0</v>
      </c>
      <c r="DH55">
        <f t="shared" si="15"/>
        <v>0</v>
      </c>
      <c r="DI55">
        <f t="shared" si="12"/>
        <v>0</v>
      </c>
      <c r="DJ55">
        <f>DI55</f>
        <v>0</v>
      </c>
      <c r="DK55">
        <v>0</v>
      </c>
      <c r="DL55" t="s">
        <v>3</v>
      </c>
      <c r="DM55">
        <v>0</v>
      </c>
      <c r="DN55" t="s">
        <v>3</v>
      </c>
      <c r="DO55">
        <v>0</v>
      </c>
    </row>
    <row r="56" spans="1:119" x14ac:dyDescent="0.2">
      <c r="A56">
        <f>ROW(Source!A67)</f>
        <v>67</v>
      </c>
      <c r="B56">
        <v>60256402</v>
      </c>
      <c r="C56">
        <v>60256600</v>
      </c>
      <c r="D56">
        <v>58999254</v>
      </c>
      <c r="E56">
        <v>1080</v>
      </c>
      <c r="F56">
        <v>1</v>
      </c>
      <c r="G56">
        <v>1080</v>
      </c>
      <c r="H56">
        <v>1</v>
      </c>
      <c r="I56" t="s">
        <v>269</v>
      </c>
      <c r="J56" t="s">
        <v>3</v>
      </c>
      <c r="K56" t="s">
        <v>270</v>
      </c>
      <c r="L56">
        <v>1191</v>
      </c>
      <c r="N56">
        <v>1013</v>
      </c>
      <c r="O56" t="s">
        <v>271</v>
      </c>
      <c r="P56" t="s">
        <v>271</v>
      </c>
      <c r="Q56">
        <v>1</v>
      </c>
      <c r="W56">
        <v>0</v>
      </c>
      <c r="X56">
        <v>476480486</v>
      </c>
      <c r="Y56">
        <f>(AT56*1.1)</f>
        <v>1.32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1</v>
      </c>
      <c r="AJ56">
        <v>1</v>
      </c>
      <c r="AK56">
        <v>1</v>
      </c>
      <c r="AL56">
        <v>1</v>
      </c>
      <c r="AM56">
        <v>5</v>
      </c>
      <c r="AN56">
        <v>0</v>
      </c>
      <c r="AO56">
        <v>1</v>
      </c>
      <c r="AP56">
        <v>1</v>
      </c>
      <c r="AQ56">
        <v>0</v>
      </c>
      <c r="AR56">
        <v>0</v>
      </c>
      <c r="AS56" t="s">
        <v>3</v>
      </c>
      <c r="AT56">
        <v>1.2</v>
      </c>
      <c r="AU56" t="s">
        <v>25</v>
      </c>
      <c r="AV56">
        <v>1</v>
      </c>
      <c r="AW56">
        <v>2</v>
      </c>
      <c r="AX56">
        <v>60256866</v>
      </c>
      <c r="AY56">
        <v>1</v>
      </c>
      <c r="AZ56">
        <v>0</v>
      </c>
      <c r="BA56">
        <v>72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CU56">
        <f>ROUND(AT56*Source!I67*AH56*AL56,2)</f>
        <v>0</v>
      </c>
      <c r="CV56">
        <f>ROUND(Y56*Source!I67,9)</f>
        <v>2.64</v>
      </c>
      <c r="CW56">
        <v>0</v>
      </c>
      <c r="CX56">
        <f>ROUND(Y56*Source!I67,9)</f>
        <v>2.64</v>
      </c>
      <c r="CY56">
        <f>AD56</f>
        <v>0</v>
      </c>
      <c r="CZ56">
        <f>AH56</f>
        <v>0</v>
      </c>
      <c r="DA56">
        <f>AL56</f>
        <v>1</v>
      </c>
      <c r="DB56">
        <f>ROUND((ROUND(AT56*CZ56,2)*1.1),6)</f>
        <v>0</v>
      </c>
      <c r="DC56">
        <f>ROUND((ROUND(AT56*AG56,2)*1.1),6)</f>
        <v>0</v>
      </c>
      <c r="DD56" t="s">
        <v>3</v>
      </c>
      <c r="DE56" t="s">
        <v>3</v>
      </c>
      <c r="DF56">
        <f>ROUND(ROUND(AE56,2)*CX56,2)</f>
        <v>0</v>
      </c>
      <c r="DG56">
        <f t="shared" si="14"/>
        <v>0</v>
      </c>
      <c r="DH56">
        <f t="shared" si="15"/>
        <v>0</v>
      </c>
      <c r="DI56">
        <f t="shared" si="12"/>
        <v>0</v>
      </c>
      <c r="DJ56">
        <f>DI56</f>
        <v>0</v>
      </c>
      <c r="DK56">
        <v>0</v>
      </c>
      <c r="DL56" t="s">
        <v>3</v>
      </c>
      <c r="DM56">
        <v>0</v>
      </c>
      <c r="DN56" t="s">
        <v>3</v>
      </c>
      <c r="DO56">
        <v>0</v>
      </c>
    </row>
    <row r="57" spans="1:119" x14ac:dyDescent="0.2">
      <c r="A57">
        <f>ROW(Source!A70)</f>
        <v>70</v>
      </c>
      <c r="B57">
        <v>60256405</v>
      </c>
      <c r="C57">
        <v>60256604</v>
      </c>
      <c r="D57">
        <v>58999254</v>
      </c>
      <c r="E57">
        <v>1080</v>
      </c>
      <c r="F57">
        <v>1</v>
      </c>
      <c r="G57">
        <v>1080</v>
      </c>
      <c r="H57">
        <v>1</v>
      </c>
      <c r="I57" t="s">
        <v>269</v>
      </c>
      <c r="J57" t="s">
        <v>3</v>
      </c>
      <c r="K57" t="s">
        <v>270</v>
      </c>
      <c r="L57">
        <v>1191</v>
      </c>
      <c r="N57">
        <v>1013</v>
      </c>
      <c r="O57" t="s">
        <v>271</v>
      </c>
      <c r="P57" t="s">
        <v>271</v>
      </c>
      <c r="Q57">
        <v>1</v>
      </c>
      <c r="W57">
        <v>0</v>
      </c>
      <c r="X57">
        <v>476480486</v>
      </c>
      <c r="Y57">
        <f>(AT57*1.1)</f>
        <v>0.57200000000000006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1</v>
      </c>
      <c r="AJ57">
        <v>1</v>
      </c>
      <c r="AK57">
        <v>1</v>
      </c>
      <c r="AL57">
        <v>1</v>
      </c>
      <c r="AM57">
        <v>-2</v>
      </c>
      <c r="AN57">
        <v>0</v>
      </c>
      <c r="AO57">
        <v>1</v>
      </c>
      <c r="AP57">
        <v>1</v>
      </c>
      <c r="AQ57">
        <v>0</v>
      </c>
      <c r="AR57">
        <v>0</v>
      </c>
      <c r="AS57" t="s">
        <v>3</v>
      </c>
      <c r="AT57">
        <v>0.52</v>
      </c>
      <c r="AU57" t="s">
        <v>25</v>
      </c>
      <c r="AV57">
        <v>1</v>
      </c>
      <c r="AW57">
        <v>2</v>
      </c>
      <c r="AX57">
        <v>60256867</v>
      </c>
      <c r="AY57">
        <v>1</v>
      </c>
      <c r="AZ57">
        <v>0</v>
      </c>
      <c r="BA57">
        <v>73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CU57">
        <f>ROUND(AT57*Source!I70*AH57*AL57,2)</f>
        <v>0</v>
      </c>
      <c r="CV57">
        <f>ROUND(Y57*Source!I70,9)</f>
        <v>1.1439999999999999</v>
      </c>
      <c r="CW57">
        <v>0</v>
      </c>
      <c r="CX57">
        <f>ROUND(Y57*Source!I70,9)</f>
        <v>1.1439999999999999</v>
      </c>
      <c r="CY57">
        <f>AD57</f>
        <v>0</v>
      </c>
      <c r="CZ57">
        <f>AH57</f>
        <v>0</v>
      </c>
      <c r="DA57">
        <f>AL57</f>
        <v>1</v>
      </c>
      <c r="DB57">
        <f>ROUND((ROUND(AT57*CZ57,2)*1.1),6)</f>
        <v>0</v>
      </c>
      <c r="DC57">
        <f>ROUND((ROUND(AT57*AG57,2)*1.1),6)</f>
        <v>0</v>
      </c>
      <c r="DD57" t="s">
        <v>3</v>
      </c>
      <c r="DE57" t="s">
        <v>3</v>
      </c>
      <c r="DF57">
        <f>ROUND(ROUND(AE57,2)*CX57,2)</f>
        <v>0</v>
      </c>
      <c r="DG57">
        <f t="shared" si="14"/>
        <v>0</v>
      </c>
      <c r="DH57">
        <f t="shared" si="15"/>
        <v>0</v>
      </c>
      <c r="DI57">
        <f t="shared" si="12"/>
        <v>0</v>
      </c>
      <c r="DJ57">
        <f>DI57</f>
        <v>0</v>
      </c>
      <c r="DK57">
        <v>0</v>
      </c>
      <c r="DL57" t="s">
        <v>3</v>
      </c>
      <c r="DM57">
        <v>0</v>
      </c>
      <c r="DN57" t="s">
        <v>3</v>
      </c>
      <c r="DO57">
        <v>0</v>
      </c>
    </row>
    <row r="58" spans="1:119" x14ac:dyDescent="0.2">
      <c r="A58">
        <f>ROW(Source!A70)</f>
        <v>70</v>
      </c>
      <c r="B58">
        <v>60256405</v>
      </c>
      <c r="C58">
        <v>60256604</v>
      </c>
      <c r="D58">
        <v>59045781</v>
      </c>
      <c r="E58">
        <v>1</v>
      </c>
      <c r="F58">
        <v>1</v>
      </c>
      <c r="G58">
        <v>1080</v>
      </c>
      <c r="H58">
        <v>3</v>
      </c>
      <c r="I58" t="s">
        <v>68</v>
      </c>
      <c r="J58" t="s">
        <v>71</v>
      </c>
      <c r="K58" t="s">
        <v>69</v>
      </c>
      <c r="L58">
        <v>1346</v>
      </c>
      <c r="N58">
        <v>1009</v>
      </c>
      <c r="O58" t="s">
        <v>70</v>
      </c>
      <c r="P58" t="s">
        <v>70</v>
      </c>
      <c r="Q58">
        <v>1</v>
      </c>
      <c r="W58">
        <v>0</v>
      </c>
      <c r="X58">
        <v>1143487818</v>
      </c>
      <c r="Y58">
        <f>(AT58*1)</f>
        <v>3.5000000000000003E-2</v>
      </c>
      <c r="AA58">
        <v>31.08</v>
      </c>
      <c r="AB58">
        <v>0</v>
      </c>
      <c r="AC58">
        <v>0</v>
      </c>
      <c r="AD58">
        <v>0</v>
      </c>
      <c r="AE58">
        <v>31.08</v>
      </c>
      <c r="AF58">
        <v>0</v>
      </c>
      <c r="AG58">
        <v>0</v>
      </c>
      <c r="AH58">
        <v>0</v>
      </c>
      <c r="AI58">
        <v>1</v>
      </c>
      <c r="AJ58">
        <v>1</v>
      </c>
      <c r="AK58">
        <v>1</v>
      </c>
      <c r="AL58">
        <v>1</v>
      </c>
      <c r="AM58">
        <v>0</v>
      </c>
      <c r="AN58">
        <v>0</v>
      </c>
      <c r="AO58">
        <v>0</v>
      </c>
      <c r="AP58">
        <v>1</v>
      </c>
      <c r="AQ58">
        <v>0</v>
      </c>
      <c r="AR58">
        <v>0</v>
      </c>
      <c r="AS58" t="s">
        <v>3</v>
      </c>
      <c r="AT58">
        <v>3.5000000000000003E-2</v>
      </c>
      <c r="AU58" t="s">
        <v>24</v>
      </c>
      <c r="AV58">
        <v>0</v>
      </c>
      <c r="AW58">
        <v>1</v>
      </c>
      <c r="AX58">
        <v>-1</v>
      </c>
      <c r="AY58">
        <v>0</v>
      </c>
      <c r="AZ58">
        <v>0</v>
      </c>
      <c r="BA58" t="s">
        <v>3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CV58">
        <v>0</v>
      </c>
      <c r="CW58">
        <v>0</v>
      </c>
      <c r="CX58">
        <f>ROUND(Y58*Source!I70,9)</f>
        <v>7.0000000000000007E-2</v>
      </c>
      <c r="CY58">
        <f>AA58</f>
        <v>31.08</v>
      </c>
      <c r="CZ58">
        <f>AE58</f>
        <v>31.08</v>
      </c>
      <c r="DA58">
        <f>AI58</f>
        <v>1</v>
      </c>
      <c r="DB58">
        <f>ROUND((ROUND(AT58*CZ58,2)*1),6)</f>
        <v>1.0900000000000001</v>
      </c>
      <c r="DC58">
        <f>ROUND((ROUND(AT58*AG58,2)*1),6)</f>
        <v>0</v>
      </c>
      <c r="DD58" t="s">
        <v>3</v>
      </c>
      <c r="DE58" t="s">
        <v>3</v>
      </c>
      <c r="DF58">
        <f>ROUND(ROUND(AE58,2)*CX58,2)</f>
        <v>2.1800000000000002</v>
      </c>
      <c r="DG58">
        <f t="shared" si="14"/>
        <v>0</v>
      </c>
      <c r="DH58">
        <f t="shared" si="15"/>
        <v>0</v>
      </c>
      <c r="DI58">
        <f t="shared" si="12"/>
        <v>0</v>
      </c>
      <c r="DJ58">
        <f>DF58</f>
        <v>2.1800000000000002</v>
      </c>
      <c r="DK58">
        <v>0</v>
      </c>
      <c r="DL58" t="s">
        <v>3</v>
      </c>
      <c r="DM58">
        <v>0</v>
      </c>
      <c r="DN58" t="s">
        <v>3</v>
      </c>
      <c r="DO58">
        <v>0</v>
      </c>
    </row>
    <row r="59" spans="1:119" x14ac:dyDescent="0.2">
      <c r="A59">
        <f>ROW(Source!A71)</f>
        <v>71</v>
      </c>
      <c r="B59">
        <v>60256402</v>
      </c>
      <c r="C59">
        <v>60256604</v>
      </c>
      <c r="D59">
        <v>58999254</v>
      </c>
      <c r="E59">
        <v>1080</v>
      </c>
      <c r="F59">
        <v>1</v>
      </c>
      <c r="G59">
        <v>1080</v>
      </c>
      <c r="H59">
        <v>1</v>
      </c>
      <c r="I59" t="s">
        <v>269</v>
      </c>
      <c r="J59" t="s">
        <v>3</v>
      </c>
      <c r="K59" t="s">
        <v>270</v>
      </c>
      <c r="L59">
        <v>1191</v>
      </c>
      <c r="N59">
        <v>1013</v>
      </c>
      <c r="O59" t="s">
        <v>271</v>
      </c>
      <c r="P59" t="s">
        <v>271</v>
      </c>
      <c r="Q59">
        <v>1</v>
      </c>
      <c r="W59">
        <v>0</v>
      </c>
      <c r="X59">
        <v>476480486</v>
      </c>
      <c r="Y59">
        <f>(AT59*1.1)</f>
        <v>0.57200000000000006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1</v>
      </c>
      <c r="AJ59">
        <v>1</v>
      </c>
      <c r="AK59">
        <v>1</v>
      </c>
      <c r="AL59">
        <v>1</v>
      </c>
      <c r="AM59">
        <v>5</v>
      </c>
      <c r="AN59">
        <v>0</v>
      </c>
      <c r="AO59">
        <v>1</v>
      </c>
      <c r="AP59">
        <v>1</v>
      </c>
      <c r="AQ59">
        <v>0</v>
      </c>
      <c r="AR59">
        <v>0</v>
      </c>
      <c r="AS59" t="s">
        <v>3</v>
      </c>
      <c r="AT59">
        <v>0.52</v>
      </c>
      <c r="AU59" t="s">
        <v>25</v>
      </c>
      <c r="AV59">
        <v>1</v>
      </c>
      <c r="AW59">
        <v>2</v>
      </c>
      <c r="AX59">
        <v>60256867</v>
      </c>
      <c r="AY59">
        <v>1</v>
      </c>
      <c r="AZ59">
        <v>0</v>
      </c>
      <c r="BA59">
        <v>76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CU59">
        <f>ROUND(AT59*Source!I71*AH59*AL59,2)</f>
        <v>0</v>
      </c>
      <c r="CV59">
        <f>ROUND(Y59*Source!I71,9)</f>
        <v>1.1439999999999999</v>
      </c>
      <c r="CW59">
        <v>0</v>
      </c>
      <c r="CX59">
        <f>ROUND(Y59*Source!I71,9)</f>
        <v>1.1439999999999999</v>
      </c>
      <c r="CY59">
        <f>AD59</f>
        <v>0</v>
      </c>
      <c r="CZ59">
        <f>AH59</f>
        <v>0</v>
      </c>
      <c r="DA59">
        <f>AL59</f>
        <v>1</v>
      </c>
      <c r="DB59">
        <f>ROUND((ROUND(AT59*CZ59,2)*1.1),6)</f>
        <v>0</v>
      </c>
      <c r="DC59">
        <f>ROUND((ROUND(AT59*AG59,2)*1.1),6)</f>
        <v>0</v>
      </c>
      <c r="DD59" t="s">
        <v>3</v>
      </c>
      <c r="DE59" t="s">
        <v>3</v>
      </c>
      <c r="DF59">
        <f>ROUND(ROUND(AE59,2)*CX59,2)</f>
        <v>0</v>
      </c>
      <c r="DG59">
        <f t="shared" si="14"/>
        <v>0</v>
      </c>
      <c r="DH59">
        <f t="shared" si="15"/>
        <v>0</v>
      </c>
      <c r="DI59">
        <f t="shared" si="12"/>
        <v>0</v>
      </c>
      <c r="DJ59">
        <f>DI59</f>
        <v>0</v>
      </c>
      <c r="DK59">
        <v>0</v>
      </c>
      <c r="DL59" t="s">
        <v>3</v>
      </c>
      <c r="DM59">
        <v>0</v>
      </c>
      <c r="DN59" t="s">
        <v>3</v>
      </c>
      <c r="DO59">
        <v>0</v>
      </c>
    </row>
    <row r="60" spans="1:119" x14ac:dyDescent="0.2">
      <c r="A60">
        <f>ROW(Source!A71)</f>
        <v>71</v>
      </c>
      <c r="B60">
        <v>60256402</v>
      </c>
      <c r="C60">
        <v>60256604</v>
      </c>
      <c r="D60">
        <v>59045781</v>
      </c>
      <c r="E60">
        <v>1</v>
      </c>
      <c r="F60">
        <v>1</v>
      </c>
      <c r="G60">
        <v>1080</v>
      </c>
      <c r="H60">
        <v>3</v>
      </c>
      <c r="I60" t="s">
        <v>68</v>
      </c>
      <c r="J60" t="s">
        <v>71</v>
      </c>
      <c r="K60" t="s">
        <v>69</v>
      </c>
      <c r="L60">
        <v>1346</v>
      </c>
      <c r="N60">
        <v>1009</v>
      </c>
      <c r="O60" t="s">
        <v>70</v>
      </c>
      <c r="P60" t="s">
        <v>70</v>
      </c>
      <c r="Q60">
        <v>1</v>
      </c>
      <c r="W60">
        <v>0</v>
      </c>
      <c r="X60">
        <v>1143487818</v>
      </c>
      <c r="Y60">
        <f>(AT60*1)</f>
        <v>3.5000000000000003E-2</v>
      </c>
      <c r="AA60">
        <v>159.13</v>
      </c>
      <c r="AB60">
        <v>0</v>
      </c>
      <c r="AC60">
        <v>0</v>
      </c>
      <c r="AD60">
        <v>0</v>
      </c>
      <c r="AE60">
        <v>31.08</v>
      </c>
      <c r="AF60">
        <v>0</v>
      </c>
      <c r="AG60">
        <v>0</v>
      </c>
      <c r="AH60">
        <v>0</v>
      </c>
      <c r="AI60">
        <v>5.12</v>
      </c>
      <c r="AJ60">
        <v>1</v>
      </c>
      <c r="AK60">
        <v>1</v>
      </c>
      <c r="AL60">
        <v>1</v>
      </c>
      <c r="AM60">
        <v>0</v>
      </c>
      <c r="AN60">
        <v>0</v>
      </c>
      <c r="AO60">
        <v>0</v>
      </c>
      <c r="AP60">
        <v>1</v>
      </c>
      <c r="AQ60">
        <v>0</v>
      </c>
      <c r="AR60">
        <v>0</v>
      </c>
      <c r="AS60" t="s">
        <v>3</v>
      </c>
      <c r="AT60">
        <v>3.5000000000000003E-2</v>
      </c>
      <c r="AU60" t="s">
        <v>24</v>
      </c>
      <c r="AV60">
        <v>0</v>
      </c>
      <c r="AW60">
        <v>1</v>
      </c>
      <c r="AX60">
        <v>-1</v>
      </c>
      <c r="AY60">
        <v>0</v>
      </c>
      <c r="AZ60">
        <v>0</v>
      </c>
      <c r="BA60" t="s">
        <v>3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CV60">
        <v>0</v>
      </c>
      <c r="CW60">
        <v>0</v>
      </c>
      <c r="CX60">
        <f>ROUND(Y60*Source!I71,9)</f>
        <v>7.0000000000000007E-2</v>
      </c>
      <c r="CY60">
        <f>AA60</f>
        <v>159.13</v>
      </c>
      <c r="CZ60">
        <f>AE60</f>
        <v>31.08</v>
      </c>
      <c r="DA60">
        <f>AI60</f>
        <v>5.12</v>
      </c>
      <c r="DB60">
        <f>ROUND((ROUND(AT60*CZ60,2)*1),6)</f>
        <v>1.0900000000000001</v>
      </c>
      <c r="DC60">
        <f>ROUND((ROUND(AT60*AG60,2)*1),6)</f>
        <v>0</v>
      </c>
      <c r="DD60" t="s">
        <v>3</v>
      </c>
      <c r="DE60" t="s">
        <v>3</v>
      </c>
      <c r="DF60">
        <f>ROUND(ROUND(AE60*AI60,2)*CX60,2)</f>
        <v>11.14</v>
      </c>
      <c r="DG60">
        <f t="shared" si="14"/>
        <v>0</v>
      </c>
      <c r="DH60">
        <f t="shared" si="15"/>
        <v>0</v>
      </c>
      <c r="DI60">
        <f t="shared" si="12"/>
        <v>0</v>
      </c>
      <c r="DJ60">
        <f>DF60</f>
        <v>11.14</v>
      </c>
      <c r="DK60">
        <v>0</v>
      </c>
      <c r="DL60" t="s">
        <v>3</v>
      </c>
      <c r="DM60">
        <v>0</v>
      </c>
      <c r="DN60" t="s">
        <v>3</v>
      </c>
      <c r="DO60">
        <v>0</v>
      </c>
    </row>
    <row r="61" spans="1:119" x14ac:dyDescent="0.2">
      <c r="A61">
        <f>ROW(Source!A76)</f>
        <v>76</v>
      </c>
      <c r="B61">
        <v>60256405</v>
      </c>
      <c r="C61">
        <v>60256612</v>
      </c>
      <c r="D61">
        <v>58999254</v>
      </c>
      <c r="E61">
        <v>1080</v>
      </c>
      <c r="F61">
        <v>1</v>
      </c>
      <c r="G61">
        <v>1080</v>
      </c>
      <c r="H61">
        <v>1</v>
      </c>
      <c r="I61" t="s">
        <v>269</v>
      </c>
      <c r="J61" t="s">
        <v>3</v>
      </c>
      <c r="K61" t="s">
        <v>270</v>
      </c>
      <c r="L61">
        <v>1191</v>
      </c>
      <c r="N61">
        <v>1013</v>
      </c>
      <c r="O61" t="s">
        <v>271</v>
      </c>
      <c r="P61" t="s">
        <v>271</v>
      </c>
      <c r="Q61">
        <v>1</v>
      </c>
      <c r="W61">
        <v>0</v>
      </c>
      <c r="X61">
        <v>476480486</v>
      </c>
      <c r="Y61">
        <f>(AT61*1.1)</f>
        <v>0.57200000000000006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1</v>
      </c>
      <c r="AJ61">
        <v>1</v>
      </c>
      <c r="AK61">
        <v>1</v>
      </c>
      <c r="AL61">
        <v>1</v>
      </c>
      <c r="AM61">
        <v>-2</v>
      </c>
      <c r="AN61">
        <v>0</v>
      </c>
      <c r="AO61">
        <v>1</v>
      </c>
      <c r="AP61">
        <v>1</v>
      </c>
      <c r="AQ61">
        <v>0</v>
      </c>
      <c r="AR61">
        <v>0</v>
      </c>
      <c r="AS61" t="s">
        <v>3</v>
      </c>
      <c r="AT61">
        <v>0.52</v>
      </c>
      <c r="AU61" t="s">
        <v>25</v>
      </c>
      <c r="AV61">
        <v>1</v>
      </c>
      <c r="AW61">
        <v>2</v>
      </c>
      <c r="AX61">
        <v>60256870</v>
      </c>
      <c r="AY61">
        <v>1</v>
      </c>
      <c r="AZ61">
        <v>0</v>
      </c>
      <c r="BA61">
        <v>79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CU61">
        <f>ROUND(AT61*Source!I76*AH61*AL61,2)</f>
        <v>0</v>
      </c>
      <c r="CV61">
        <f>ROUND(Y61*Source!I76,9)</f>
        <v>0.57199999999999995</v>
      </c>
      <c r="CW61">
        <v>0</v>
      </c>
      <c r="CX61">
        <f>ROUND(Y61*Source!I76,9)</f>
        <v>0.57199999999999995</v>
      </c>
      <c r="CY61">
        <f>AD61</f>
        <v>0</v>
      </c>
      <c r="CZ61">
        <f>AH61</f>
        <v>0</v>
      </c>
      <c r="DA61">
        <f>AL61</f>
        <v>1</v>
      </c>
      <c r="DB61">
        <f>ROUND((ROUND(AT61*CZ61,2)*1.1),6)</f>
        <v>0</v>
      </c>
      <c r="DC61">
        <f>ROUND((ROUND(AT61*AG61,2)*1.1),6)</f>
        <v>0</v>
      </c>
      <c r="DD61" t="s">
        <v>3</v>
      </c>
      <c r="DE61" t="s">
        <v>3</v>
      </c>
      <c r="DF61">
        <f>ROUND(ROUND(AE61,2)*CX61,2)</f>
        <v>0</v>
      </c>
      <c r="DG61">
        <f t="shared" si="14"/>
        <v>0</v>
      </c>
      <c r="DH61">
        <f t="shared" si="15"/>
        <v>0</v>
      </c>
      <c r="DI61">
        <f t="shared" si="12"/>
        <v>0</v>
      </c>
      <c r="DJ61">
        <f>DI61</f>
        <v>0</v>
      </c>
      <c r="DK61">
        <v>0</v>
      </c>
      <c r="DL61" t="s">
        <v>3</v>
      </c>
      <c r="DM61">
        <v>0</v>
      </c>
      <c r="DN61" t="s">
        <v>3</v>
      </c>
      <c r="DO61">
        <v>0</v>
      </c>
    </row>
    <row r="62" spans="1:119" x14ac:dyDescent="0.2">
      <c r="A62">
        <f>ROW(Source!A76)</f>
        <v>76</v>
      </c>
      <c r="B62">
        <v>60256405</v>
      </c>
      <c r="C62">
        <v>60256612</v>
      </c>
      <c r="D62">
        <v>59045781</v>
      </c>
      <c r="E62">
        <v>1</v>
      </c>
      <c r="F62">
        <v>1</v>
      </c>
      <c r="G62">
        <v>1080</v>
      </c>
      <c r="H62">
        <v>3</v>
      </c>
      <c r="I62" t="s">
        <v>68</v>
      </c>
      <c r="J62" t="s">
        <v>71</v>
      </c>
      <c r="K62" t="s">
        <v>69</v>
      </c>
      <c r="L62">
        <v>1346</v>
      </c>
      <c r="N62">
        <v>1009</v>
      </c>
      <c r="O62" t="s">
        <v>70</v>
      </c>
      <c r="P62" t="s">
        <v>70</v>
      </c>
      <c r="Q62">
        <v>1</v>
      </c>
      <c r="W62">
        <v>0</v>
      </c>
      <c r="X62">
        <v>1143487818</v>
      </c>
      <c r="Y62">
        <f>(AT62*1)</f>
        <v>3.5000000000000003E-2</v>
      </c>
      <c r="AA62">
        <v>31.08</v>
      </c>
      <c r="AB62">
        <v>0</v>
      </c>
      <c r="AC62">
        <v>0</v>
      </c>
      <c r="AD62">
        <v>0</v>
      </c>
      <c r="AE62">
        <v>31.08</v>
      </c>
      <c r="AF62">
        <v>0</v>
      </c>
      <c r="AG62">
        <v>0</v>
      </c>
      <c r="AH62">
        <v>0</v>
      </c>
      <c r="AI62">
        <v>1</v>
      </c>
      <c r="AJ62">
        <v>1</v>
      </c>
      <c r="AK62">
        <v>1</v>
      </c>
      <c r="AL62">
        <v>1</v>
      </c>
      <c r="AM62">
        <v>0</v>
      </c>
      <c r="AN62">
        <v>0</v>
      </c>
      <c r="AO62">
        <v>0</v>
      </c>
      <c r="AP62">
        <v>1</v>
      </c>
      <c r="AQ62">
        <v>0</v>
      </c>
      <c r="AR62">
        <v>0</v>
      </c>
      <c r="AS62" t="s">
        <v>3</v>
      </c>
      <c r="AT62">
        <v>3.5000000000000003E-2</v>
      </c>
      <c r="AU62" t="s">
        <v>24</v>
      </c>
      <c r="AV62">
        <v>0</v>
      </c>
      <c r="AW62">
        <v>1</v>
      </c>
      <c r="AX62">
        <v>-1</v>
      </c>
      <c r="AY62">
        <v>0</v>
      </c>
      <c r="AZ62">
        <v>0</v>
      </c>
      <c r="BA62" t="s">
        <v>3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CV62">
        <v>0</v>
      </c>
      <c r="CW62">
        <v>0</v>
      </c>
      <c r="CX62">
        <f>ROUND(Y62*Source!I76,9)</f>
        <v>3.5000000000000003E-2</v>
      </c>
      <c r="CY62">
        <f>AA62</f>
        <v>31.08</v>
      </c>
      <c r="CZ62">
        <f>AE62</f>
        <v>31.08</v>
      </c>
      <c r="DA62">
        <f>AI62</f>
        <v>1</v>
      </c>
      <c r="DB62">
        <f>ROUND((ROUND(AT62*CZ62,2)*1),6)</f>
        <v>1.0900000000000001</v>
      </c>
      <c r="DC62">
        <f>ROUND((ROUND(AT62*AG62,2)*1),6)</f>
        <v>0</v>
      </c>
      <c r="DD62" t="s">
        <v>3</v>
      </c>
      <c r="DE62" t="s">
        <v>3</v>
      </c>
      <c r="DF62">
        <f>ROUND(ROUND(AE62,2)*CX62,2)</f>
        <v>1.0900000000000001</v>
      </c>
      <c r="DG62">
        <f t="shared" si="14"/>
        <v>0</v>
      </c>
      <c r="DH62">
        <f t="shared" si="15"/>
        <v>0</v>
      </c>
      <c r="DI62">
        <f t="shared" si="12"/>
        <v>0</v>
      </c>
      <c r="DJ62">
        <f>DF62</f>
        <v>1.0900000000000001</v>
      </c>
      <c r="DK62">
        <v>0</v>
      </c>
      <c r="DL62" t="s">
        <v>3</v>
      </c>
      <c r="DM62">
        <v>0</v>
      </c>
      <c r="DN62" t="s">
        <v>3</v>
      </c>
      <c r="DO62">
        <v>0</v>
      </c>
    </row>
    <row r="63" spans="1:119" x14ac:dyDescent="0.2">
      <c r="A63">
        <f>ROW(Source!A77)</f>
        <v>77</v>
      </c>
      <c r="B63">
        <v>60256402</v>
      </c>
      <c r="C63">
        <v>60256612</v>
      </c>
      <c r="D63">
        <v>58999254</v>
      </c>
      <c r="E63">
        <v>1080</v>
      </c>
      <c r="F63">
        <v>1</v>
      </c>
      <c r="G63">
        <v>1080</v>
      </c>
      <c r="H63">
        <v>1</v>
      </c>
      <c r="I63" t="s">
        <v>269</v>
      </c>
      <c r="J63" t="s">
        <v>3</v>
      </c>
      <c r="K63" t="s">
        <v>270</v>
      </c>
      <c r="L63">
        <v>1191</v>
      </c>
      <c r="N63">
        <v>1013</v>
      </c>
      <c r="O63" t="s">
        <v>271</v>
      </c>
      <c r="P63" t="s">
        <v>271</v>
      </c>
      <c r="Q63">
        <v>1</v>
      </c>
      <c r="W63">
        <v>0</v>
      </c>
      <c r="X63">
        <v>476480486</v>
      </c>
      <c r="Y63">
        <f>(AT63*1.1)</f>
        <v>0.57200000000000006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1</v>
      </c>
      <c r="AJ63">
        <v>1</v>
      </c>
      <c r="AK63">
        <v>1</v>
      </c>
      <c r="AL63">
        <v>1</v>
      </c>
      <c r="AM63">
        <v>5</v>
      </c>
      <c r="AN63">
        <v>0</v>
      </c>
      <c r="AO63">
        <v>1</v>
      </c>
      <c r="AP63">
        <v>1</v>
      </c>
      <c r="AQ63">
        <v>0</v>
      </c>
      <c r="AR63">
        <v>0</v>
      </c>
      <c r="AS63" t="s">
        <v>3</v>
      </c>
      <c r="AT63">
        <v>0.52</v>
      </c>
      <c r="AU63" t="s">
        <v>25</v>
      </c>
      <c r="AV63">
        <v>1</v>
      </c>
      <c r="AW63">
        <v>2</v>
      </c>
      <c r="AX63">
        <v>60256870</v>
      </c>
      <c r="AY63">
        <v>1</v>
      </c>
      <c r="AZ63">
        <v>0</v>
      </c>
      <c r="BA63">
        <v>82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CU63">
        <f>ROUND(AT63*Source!I77*AH63*AL63,2)</f>
        <v>0</v>
      </c>
      <c r="CV63">
        <f>ROUND(Y63*Source!I77,9)</f>
        <v>0.57199999999999995</v>
      </c>
      <c r="CW63">
        <v>0</v>
      </c>
      <c r="CX63">
        <f>ROUND(Y63*Source!I77,9)</f>
        <v>0.57199999999999995</v>
      </c>
      <c r="CY63">
        <f>AD63</f>
        <v>0</v>
      </c>
      <c r="CZ63">
        <f>AH63</f>
        <v>0</v>
      </c>
      <c r="DA63">
        <f>AL63</f>
        <v>1</v>
      </c>
      <c r="DB63">
        <f>ROUND((ROUND(AT63*CZ63,2)*1.1),6)</f>
        <v>0</v>
      </c>
      <c r="DC63">
        <f>ROUND((ROUND(AT63*AG63,2)*1.1),6)</f>
        <v>0</v>
      </c>
      <c r="DD63" t="s">
        <v>3</v>
      </c>
      <c r="DE63" t="s">
        <v>3</v>
      </c>
      <c r="DF63">
        <f>ROUND(ROUND(AE63,2)*CX63,2)</f>
        <v>0</v>
      </c>
      <c r="DG63">
        <f t="shared" si="14"/>
        <v>0</v>
      </c>
      <c r="DH63">
        <f t="shared" si="15"/>
        <v>0</v>
      </c>
      <c r="DI63">
        <f t="shared" si="12"/>
        <v>0</v>
      </c>
      <c r="DJ63">
        <f>DI63</f>
        <v>0</v>
      </c>
      <c r="DK63">
        <v>0</v>
      </c>
      <c r="DL63" t="s">
        <v>3</v>
      </c>
      <c r="DM63">
        <v>0</v>
      </c>
      <c r="DN63" t="s">
        <v>3</v>
      </c>
      <c r="DO63">
        <v>0</v>
      </c>
    </row>
    <row r="64" spans="1:119" x14ac:dyDescent="0.2">
      <c r="A64">
        <f>ROW(Source!A77)</f>
        <v>77</v>
      </c>
      <c r="B64">
        <v>60256402</v>
      </c>
      <c r="C64">
        <v>60256612</v>
      </c>
      <c r="D64">
        <v>59045781</v>
      </c>
      <c r="E64">
        <v>1</v>
      </c>
      <c r="F64">
        <v>1</v>
      </c>
      <c r="G64">
        <v>1080</v>
      </c>
      <c r="H64">
        <v>3</v>
      </c>
      <c r="I64" t="s">
        <v>68</v>
      </c>
      <c r="J64" t="s">
        <v>71</v>
      </c>
      <c r="K64" t="s">
        <v>69</v>
      </c>
      <c r="L64">
        <v>1346</v>
      </c>
      <c r="N64">
        <v>1009</v>
      </c>
      <c r="O64" t="s">
        <v>70</v>
      </c>
      <c r="P64" t="s">
        <v>70</v>
      </c>
      <c r="Q64">
        <v>1</v>
      </c>
      <c r="W64">
        <v>0</v>
      </c>
      <c r="X64">
        <v>1143487818</v>
      </c>
      <c r="Y64">
        <f>(AT64*1)</f>
        <v>3.5000000000000003E-2</v>
      </c>
      <c r="AA64">
        <v>159.13</v>
      </c>
      <c r="AB64">
        <v>0</v>
      </c>
      <c r="AC64">
        <v>0</v>
      </c>
      <c r="AD64">
        <v>0</v>
      </c>
      <c r="AE64">
        <v>31.08</v>
      </c>
      <c r="AF64">
        <v>0</v>
      </c>
      <c r="AG64">
        <v>0</v>
      </c>
      <c r="AH64">
        <v>0</v>
      </c>
      <c r="AI64">
        <v>5.12</v>
      </c>
      <c r="AJ64">
        <v>1</v>
      </c>
      <c r="AK64">
        <v>1</v>
      </c>
      <c r="AL64">
        <v>1</v>
      </c>
      <c r="AM64">
        <v>0</v>
      </c>
      <c r="AN64">
        <v>0</v>
      </c>
      <c r="AO64">
        <v>0</v>
      </c>
      <c r="AP64">
        <v>1</v>
      </c>
      <c r="AQ64">
        <v>0</v>
      </c>
      <c r="AR64">
        <v>0</v>
      </c>
      <c r="AS64" t="s">
        <v>3</v>
      </c>
      <c r="AT64">
        <v>3.5000000000000003E-2</v>
      </c>
      <c r="AU64" t="s">
        <v>24</v>
      </c>
      <c r="AV64">
        <v>0</v>
      </c>
      <c r="AW64">
        <v>1</v>
      </c>
      <c r="AX64">
        <v>-1</v>
      </c>
      <c r="AY64">
        <v>0</v>
      </c>
      <c r="AZ64">
        <v>0</v>
      </c>
      <c r="BA64" t="s">
        <v>3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CV64">
        <v>0</v>
      </c>
      <c r="CW64">
        <v>0</v>
      </c>
      <c r="CX64">
        <f>ROUND(Y64*Source!I77,9)</f>
        <v>3.5000000000000003E-2</v>
      </c>
      <c r="CY64">
        <f>AA64</f>
        <v>159.13</v>
      </c>
      <c r="CZ64">
        <f>AE64</f>
        <v>31.08</v>
      </c>
      <c r="DA64">
        <f>AI64</f>
        <v>5.12</v>
      </c>
      <c r="DB64">
        <f>ROUND((ROUND(AT64*CZ64,2)*1),6)</f>
        <v>1.0900000000000001</v>
      </c>
      <c r="DC64">
        <f>ROUND((ROUND(AT64*AG64,2)*1),6)</f>
        <v>0</v>
      </c>
      <c r="DD64" t="s">
        <v>3</v>
      </c>
      <c r="DE64" t="s">
        <v>3</v>
      </c>
      <c r="DF64">
        <f>ROUND(ROUND(AE64*AI64,2)*CX64,2)</f>
        <v>5.57</v>
      </c>
      <c r="DG64">
        <f t="shared" si="14"/>
        <v>0</v>
      </c>
      <c r="DH64">
        <f t="shared" si="15"/>
        <v>0</v>
      </c>
      <c r="DI64">
        <f t="shared" si="12"/>
        <v>0</v>
      </c>
      <c r="DJ64">
        <f>DF64</f>
        <v>5.57</v>
      </c>
      <c r="DK64">
        <v>0</v>
      </c>
      <c r="DL64" t="s">
        <v>3</v>
      </c>
      <c r="DM64">
        <v>0</v>
      </c>
      <c r="DN64" t="s">
        <v>3</v>
      </c>
      <c r="DO64">
        <v>0</v>
      </c>
    </row>
    <row r="65" spans="1:119" x14ac:dyDescent="0.2">
      <c r="A65">
        <f>ROW(Source!A82)</f>
        <v>82</v>
      </c>
      <c r="B65">
        <v>60256405</v>
      </c>
      <c r="C65">
        <v>60256620</v>
      </c>
      <c r="D65">
        <v>58999254</v>
      </c>
      <c r="E65">
        <v>1080</v>
      </c>
      <c r="F65">
        <v>1</v>
      </c>
      <c r="G65">
        <v>1080</v>
      </c>
      <c r="H65">
        <v>1</v>
      </c>
      <c r="I65" t="s">
        <v>269</v>
      </c>
      <c r="J65" t="s">
        <v>3</v>
      </c>
      <c r="K65" t="s">
        <v>270</v>
      </c>
      <c r="L65">
        <v>1191</v>
      </c>
      <c r="N65">
        <v>1013</v>
      </c>
      <c r="O65" t="s">
        <v>271</v>
      </c>
      <c r="P65" t="s">
        <v>271</v>
      </c>
      <c r="Q65">
        <v>1</v>
      </c>
      <c r="W65">
        <v>0</v>
      </c>
      <c r="X65">
        <v>476480486</v>
      </c>
      <c r="Y65">
        <f>(AT65*1.1)</f>
        <v>0.57200000000000006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1</v>
      </c>
      <c r="AJ65">
        <v>1</v>
      </c>
      <c r="AK65">
        <v>1</v>
      </c>
      <c r="AL65">
        <v>1</v>
      </c>
      <c r="AM65">
        <v>-2</v>
      </c>
      <c r="AN65">
        <v>0</v>
      </c>
      <c r="AO65">
        <v>1</v>
      </c>
      <c r="AP65">
        <v>1</v>
      </c>
      <c r="AQ65">
        <v>0</v>
      </c>
      <c r="AR65">
        <v>0</v>
      </c>
      <c r="AS65" t="s">
        <v>3</v>
      </c>
      <c r="AT65">
        <v>0.52</v>
      </c>
      <c r="AU65" t="s">
        <v>25</v>
      </c>
      <c r="AV65">
        <v>1</v>
      </c>
      <c r="AW65">
        <v>2</v>
      </c>
      <c r="AX65">
        <v>60256873</v>
      </c>
      <c r="AY65">
        <v>1</v>
      </c>
      <c r="AZ65">
        <v>0</v>
      </c>
      <c r="BA65">
        <v>85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CU65">
        <f>ROUND(AT65*Source!I82*AH65*AL65,2)</f>
        <v>0</v>
      </c>
      <c r="CV65">
        <f>ROUND(Y65*Source!I82,9)</f>
        <v>1.1439999999999999</v>
      </c>
      <c r="CW65">
        <v>0</v>
      </c>
      <c r="CX65">
        <f>ROUND(Y65*Source!I82,9)</f>
        <v>1.1439999999999999</v>
      </c>
      <c r="CY65">
        <f>AD65</f>
        <v>0</v>
      </c>
      <c r="CZ65">
        <f>AH65</f>
        <v>0</v>
      </c>
      <c r="DA65">
        <f>AL65</f>
        <v>1</v>
      </c>
      <c r="DB65">
        <f>ROUND((ROUND(AT65*CZ65,2)*1.1),6)</f>
        <v>0</v>
      </c>
      <c r="DC65">
        <f>ROUND((ROUND(AT65*AG65,2)*1.1),6)</f>
        <v>0</v>
      </c>
      <c r="DD65" t="s">
        <v>3</v>
      </c>
      <c r="DE65" t="s">
        <v>3</v>
      </c>
      <c r="DF65">
        <f>ROUND(ROUND(AE65,2)*CX65,2)</f>
        <v>0</v>
      </c>
      <c r="DG65">
        <f t="shared" si="14"/>
        <v>0</v>
      </c>
      <c r="DH65">
        <f t="shared" si="15"/>
        <v>0</v>
      </c>
      <c r="DI65">
        <f t="shared" ref="DI65:DI96" si="16">ROUND(ROUND(AH65,2)*CX65,2)</f>
        <v>0</v>
      </c>
      <c r="DJ65">
        <f>DI65</f>
        <v>0</v>
      </c>
      <c r="DK65">
        <v>0</v>
      </c>
      <c r="DL65" t="s">
        <v>3</v>
      </c>
      <c r="DM65">
        <v>0</v>
      </c>
      <c r="DN65" t="s">
        <v>3</v>
      </c>
      <c r="DO65">
        <v>0</v>
      </c>
    </row>
    <row r="66" spans="1:119" x14ac:dyDescent="0.2">
      <c r="A66">
        <f>ROW(Source!A82)</f>
        <v>82</v>
      </c>
      <c r="B66">
        <v>60256405</v>
      </c>
      <c r="C66">
        <v>60256620</v>
      </c>
      <c r="D66">
        <v>59045781</v>
      </c>
      <c r="E66">
        <v>1</v>
      </c>
      <c r="F66">
        <v>1</v>
      </c>
      <c r="G66">
        <v>1080</v>
      </c>
      <c r="H66">
        <v>3</v>
      </c>
      <c r="I66" t="s">
        <v>68</v>
      </c>
      <c r="J66" t="s">
        <v>71</v>
      </c>
      <c r="K66" t="s">
        <v>69</v>
      </c>
      <c r="L66">
        <v>1346</v>
      </c>
      <c r="N66">
        <v>1009</v>
      </c>
      <c r="O66" t="s">
        <v>70</v>
      </c>
      <c r="P66" t="s">
        <v>70</v>
      </c>
      <c r="Q66">
        <v>1</v>
      </c>
      <c r="W66">
        <v>0</v>
      </c>
      <c r="X66">
        <v>1143487818</v>
      </c>
      <c r="Y66">
        <f>(AT66*1)</f>
        <v>3.5000000000000003E-2</v>
      </c>
      <c r="AA66">
        <v>31.08</v>
      </c>
      <c r="AB66">
        <v>0</v>
      </c>
      <c r="AC66">
        <v>0</v>
      </c>
      <c r="AD66">
        <v>0</v>
      </c>
      <c r="AE66">
        <v>31.08</v>
      </c>
      <c r="AF66">
        <v>0</v>
      </c>
      <c r="AG66">
        <v>0</v>
      </c>
      <c r="AH66">
        <v>0</v>
      </c>
      <c r="AI66">
        <v>1</v>
      </c>
      <c r="AJ66">
        <v>1</v>
      </c>
      <c r="AK66">
        <v>1</v>
      </c>
      <c r="AL66">
        <v>1</v>
      </c>
      <c r="AM66">
        <v>0</v>
      </c>
      <c r="AN66">
        <v>0</v>
      </c>
      <c r="AO66">
        <v>0</v>
      </c>
      <c r="AP66">
        <v>1</v>
      </c>
      <c r="AQ66">
        <v>0</v>
      </c>
      <c r="AR66">
        <v>0</v>
      </c>
      <c r="AS66" t="s">
        <v>3</v>
      </c>
      <c r="AT66">
        <v>3.5000000000000003E-2</v>
      </c>
      <c r="AU66" t="s">
        <v>24</v>
      </c>
      <c r="AV66">
        <v>0</v>
      </c>
      <c r="AW66">
        <v>1</v>
      </c>
      <c r="AX66">
        <v>-1</v>
      </c>
      <c r="AY66">
        <v>0</v>
      </c>
      <c r="AZ66">
        <v>0</v>
      </c>
      <c r="BA66" t="s">
        <v>3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CV66">
        <v>0</v>
      </c>
      <c r="CW66">
        <v>0</v>
      </c>
      <c r="CX66">
        <f>ROUND(Y66*Source!I82,9)</f>
        <v>7.0000000000000007E-2</v>
      </c>
      <c r="CY66">
        <f>AA66</f>
        <v>31.08</v>
      </c>
      <c r="CZ66">
        <f>AE66</f>
        <v>31.08</v>
      </c>
      <c r="DA66">
        <f>AI66</f>
        <v>1</v>
      </c>
      <c r="DB66">
        <f>ROUND((ROUND(AT66*CZ66,2)*1),6)</f>
        <v>1.0900000000000001</v>
      </c>
      <c r="DC66">
        <f>ROUND((ROUND(AT66*AG66,2)*1),6)</f>
        <v>0</v>
      </c>
      <c r="DD66" t="s">
        <v>3</v>
      </c>
      <c r="DE66" t="s">
        <v>3</v>
      </c>
      <c r="DF66">
        <f>ROUND(ROUND(AE66,2)*CX66,2)</f>
        <v>2.1800000000000002</v>
      </c>
      <c r="DG66">
        <f t="shared" si="14"/>
        <v>0</v>
      </c>
      <c r="DH66">
        <f t="shared" si="15"/>
        <v>0</v>
      </c>
      <c r="DI66">
        <f t="shared" si="16"/>
        <v>0</v>
      </c>
      <c r="DJ66">
        <f>DF66</f>
        <v>2.1800000000000002</v>
      </c>
      <c r="DK66">
        <v>0</v>
      </c>
      <c r="DL66" t="s">
        <v>3</v>
      </c>
      <c r="DM66">
        <v>0</v>
      </c>
      <c r="DN66" t="s">
        <v>3</v>
      </c>
      <c r="DO66">
        <v>0</v>
      </c>
    </row>
    <row r="67" spans="1:119" x14ac:dyDescent="0.2">
      <c r="A67">
        <f>ROW(Source!A83)</f>
        <v>83</v>
      </c>
      <c r="B67">
        <v>60256402</v>
      </c>
      <c r="C67">
        <v>60256620</v>
      </c>
      <c r="D67">
        <v>58999254</v>
      </c>
      <c r="E67">
        <v>1080</v>
      </c>
      <c r="F67">
        <v>1</v>
      </c>
      <c r="G67">
        <v>1080</v>
      </c>
      <c r="H67">
        <v>1</v>
      </c>
      <c r="I67" t="s">
        <v>269</v>
      </c>
      <c r="J67" t="s">
        <v>3</v>
      </c>
      <c r="K67" t="s">
        <v>270</v>
      </c>
      <c r="L67">
        <v>1191</v>
      </c>
      <c r="N67">
        <v>1013</v>
      </c>
      <c r="O67" t="s">
        <v>271</v>
      </c>
      <c r="P67" t="s">
        <v>271</v>
      </c>
      <c r="Q67">
        <v>1</v>
      </c>
      <c r="W67">
        <v>0</v>
      </c>
      <c r="X67">
        <v>476480486</v>
      </c>
      <c r="Y67">
        <f>(AT67*1.1)</f>
        <v>0.57200000000000006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1</v>
      </c>
      <c r="AJ67">
        <v>1</v>
      </c>
      <c r="AK67">
        <v>1</v>
      </c>
      <c r="AL67">
        <v>1</v>
      </c>
      <c r="AM67">
        <v>5</v>
      </c>
      <c r="AN67">
        <v>0</v>
      </c>
      <c r="AO67">
        <v>1</v>
      </c>
      <c r="AP67">
        <v>1</v>
      </c>
      <c r="AQ67">
        <v>0</v>
      </c>
      <c r="AR67">
        <v>0</v>
      </c>
      <c r="AS67" t="s">
        <v>3</v>
      </c>
      <c r="AT67">
        <v>0.52</v>
      </c>
      <c r="AU67" t="s">
        <v>25</v>
      </c>
      <c r="AV67">
        <v>1</v>
      </c>
      <c r="AW67">
        <v>2</v>
      </c>
      <c r="AX67">
        <v>60256873</v>
      </c>
      <c r="AY67">
        <v>1</v>
      </c>
      <c r="AZ67">
        <v>0</v>
      </c>
      <c r="BA67">
        <v>88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CU67">
        <f>ROUND(AT67*Source!I83*AH67*AL67,2)</f>
        <v>0</v>
      </c>
      <c r="CV67">
        <f>ROUND(Y67*Source!I83,9)</f>
        <v>1.1439999999999999</v>
      </c>
      <c r="CW67">
        <v>0</v>
      </c>
      <c r="CX67">
        <f>ROUND(Y67*Source!I83,9)</f>
        <v>1.1439999999999999</v>
      </c>
      <c r="CY67">
        <f>AD67</f>
        <v>0</v>
      </c>
      <c r="CZ67">
        <f>AH67</f>
        <v>0</v>
      </c>
      <c r="DA67">
        <f>AL67</f>
        <v>1</v>
      </c>
      <c r="DB67">
        <f>ROUND((ROUND(AT67*CZ67,2)*1.1),6)</f>
        <v>0</v>
      </c>
      <c r="DC67">
        <f>ROUND((ROUND(AT67*AG67,2)*1.1),6)</f>
        <v>0</v>
      </c>
      <c r="DD67" t="s">
        <v>3</v>
      </c>
      <c r="DE67" t="s">
        <v>3</v>
      </c>
      <c r="DF67">
        <f>ROUND(ROUND(AE67,2)*CX67,2)</f>
        <v>0</v>
      </c>
      <c r="DG67">
        <f t="shared" si="14"/>
        <v>0</v>
      </c>
      <c r="DH67">
        <f t="shared" si="15"/>
        <v>0</v>
      </c>
      <c r="DI67">
        <f t="shared" si="16"/>
        <v>0</v>
      </c>
      <c r="DJ67">
        <f>DI67</f>
        <v>0</v>
      </c>
      <c r="DK67">
        <v>0</v>
      </c>
      <c r="DL67" t="s">
        <v>3</v>
      </c>
      <c r="DM67">
        <v>0</v>
      </c>
      <c r="DN67" t="s">
        <v>3</v>
      </c>
      <c r="DO67">
        <v>0</v>
      </c>
    </row>
    <row r="68" spans="1:119" x14ac:dyDescent="0.2">
      <c r="A68">
        <f>ROW(Source!A83)</f>
        <v>83</v>
      </c>
      <c r="B68">
        <v>60256402</v>
      </c>
      <c r="C68">
        <v>60256620</v>
      </c>
      <c r="D68">
        <v>59045781</v>
      </c>
      <c r="E68">
        <v>1</v>
      </c>
      <c r="F68">
        <v>1</v>
      </c>
      <c r="G68">
        <v>1080</v>
      </c>
      <c r="H68">
        <v>3</v>
      </c>
      <c r="I68" t="s">
        <v>68</v>
      </c>
      <c r="J68" t="s">
        <v>71</v>
      </c>
      <c r="K68" t="s">
        <v>69</v>
      </c>
      <c r="L68">
        <v>1346</v>
      </c>
      <c r="N68">
        <v>1009</v>
      </c>
      <c r="O68" t="s">
        <v>70</v>
      </c>
      <c r="P68" t="s">
        <v>70</v>
      </c>
      <c r="Q68">
        <v>1</v>
      </c>
      <c r="W68">
        <v>0</v>
      </c>
      <c r="X68">
        <v>1143487818</v>
      </c>
      <c r="Y68">
        <f>(AT68*1)</f>
        <v>3.5000000000000003E-2</v>
      </c>
      <c r="AA68">
        <v>159.13</v>
      </c>
      <c r="AB68">
        <v>0</v>
      </c>
      <c r="AC68">
        <v>0</v>
      </c>
      <c r="AD68">
        <v>0</v>
      </c>
      <c r="AE68">
        <v>31.08</v>
      </c>
      <c r="AF68">
        <v>0</v>
      </c>
      <c r="AG68">
        <v>0</v>
      </c>
      <c r="AH68">
        <v>0</v>
      </c>
      <c r="AI68">
        <v>5.12</v>
      </c>
      <c r="AJ68">
        <v>1</v>
      </c>
      <c r="AK68">
        <v>1</v>
      </c>
      <c r="AL68">
        <v>1</v>
      </c>
      <c r="AM68">
        <v>0</v>
      </c>
      <c r="AN68">
        <v>0</v>
      </c>
      <c r="AO68">
        <v>0</v>
      </c>
      <c r="AP68">
        <v>1</v>
      </c>
      <c r="AQ68">
        <v>0</v>
      </c>
      <c r="AR68">
        <v>0</v>
      </c>
      <c r="AS68" t="s">
        <v>3</v>
      </c>
      <c r="AT68">
        <v>3.5000000000000003E-2</v>
      </c>
      <c r="AU68" t="s">
        <v>24</v>
      </c>
      <c r="AV68">
        <v>0</v>
      </c>
      <c r="AW68">
        <v>1</v>
      </c>
      <c r="AX68">
        <v>-1</v>
      </c>
      <c r="AY68">
        <v>0</v>
      </c>
      <c r="AZ68">
        <v>0</v>
      </c>
      <c r="BA68" t="s">
        <v>3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CV68">
        <v>0</v>
      </c>
      <c r="CW68">
        <v>0</v>
      </c>
      <c r="CX68">
        <f>ROUND(Y68*Source!I83,9)</f>
        <v>7.0000000000000007E-2</v>
      </c>
      <c r="CY68">
        <f>AA68</f>
        <v>159.13</v>
      </c>
      <c r="CZ68">
        <f>AE68</f>
        <v>31.08</v>
      </c>
      <c r="DA68">
        <f>AI68</f>
        <v>5.12</v>
      </c>
      <c r="DB68">
        <f>ROUND((ROUND(AT68*CZ68,2)*1),6)</f>
        <v>1.0900000000000001</v>
      </c>
      <c r="DC68">
        <f>ROUND((ROUND(AT68*AG68,2)*1),6)</f>
        <v>0</v>
      </c>
      <c r="DD68" t="s">
        <v>3</v>
      </c>
      <c r="DE68" t="s">
        <v>3</v>
      </c>
      <c r="DF68">
        <f>ROUND(ROUND(AE68*AI68,2)*CX68,2)</f>
        <v>11.14</v>
      </c>
      <c r="DG68">
        <f t="shared" si="14"/>
        <v>0</v>
      </c>
      <c r="DH68">
        <f t="shared" si="15"/>
        <v>0</v>
      </c>
      <c r="DI68">
        <f t="shared" si="16"/>
        <v>0</v>
      </c>
      <c r="DJ68">
        <f>DF68</f>
        <v>11.14</v>
      </c>
      <c r="DK68">
        <v>0</v>
      </c>
      <c r="DL68" t="s">
        <v>3</v>
      </c>
      <c r="DM68">
        <v>0</v>
      </c>
      <c r="DN68" t="s">
        <v>3</v>
      </c>
      <c r="DO68">
        <v>0</v>
      </c>
    </row>
    <row r="69" spans="1:119" x14ac:dyDescent="0.2">
      <c r="A69">
        <f>ROW(Source!A127)</f>
        <v>127</v>
      </c>
      <c r="B69">
        <v>60256405</v>
      </c>
      <c r="C69">
        <v>60256686</v>
      </c>
      <c r="D69">
        <v>58999254</v>
      </c>
      <c r="E69">
        <v>1080</v>
      </c>
      <c r="F69">
        <v>1</v>
      </c>
      <c r="G69">
        <v>1080</v>
      </c>
      <c r="H69">
        <v>1</v>
      </c>
      <c r="I69" t="s">
        <v>269</v>
      </c>
      <c r="J69" t="s">
        <v>3</v>
      </c>
      <c r="K69" t="s">
        <v>270</v>
      </c>
      <c r="L69">
        <v>1191</v>
      </c>
      <c r="N69">
        <v>1013</v>
      </c>
      <c r="O69" t="s">
        <v>271</v>
      </c>
      <c r="P69" t="s">
        <v>271</v>
      </c>
      <c r="Q69">
        <v>1</v>
      </c>
      <c r="W69">
        <v>0</v>
      </c>
      <c r="X69">
        <v>476480486</v>
      </c>
      <c r="Y69">
        <f>(AT69*1.1)</f>
        <v>2.2000000000000002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1</v>
      </c>
      <c r="AJ69">
        <v>1</v>
      </c>
      <c r="AK69">
        <v>1</v>
      </c>
      <c r="AL69">
        <v>1</v>
      </c>
      <c r="AM69">
        <v>-2</v>
      </c>
      <c r="AN69">
        <v>0</v>
      </c>
      <c r="AO69">
        <v>1</v>
      </c>
      <c r="AP69">
        <v>1</v>
      </c>
      <c r="AQ69">
        <v>0</v>
      </c>
      <c r="AR69">
        <v>0</v>
      </c>
      <c r="AS69" t="s">
        <v>3</v>
      </c>
      <c r="AT69">
        <v>2</v>
      </c>
      <c r="AU69" t="s">
        <v>25</v>
      </c>
      <c r="AV69">
        <v>1</v>
      </c>
      <c r="AW69">
        <v>2</v>
      </c>
      <c r="AX69">
        <v>60256876</v>
      </c>
      <c r="AY69">
        <v>1</v>
      </c>
      <c r="AZ69">
        <v>0</v>
      </c>
      <c r="BA69">
        <v>91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CU69">
        <f>ROUND(AT69*Source!I127*AH69*AL69,2)</f>
        <v>0</v>
      </c>
      <c r="CV69">
        <f>ROUND(Y69*Source!I127,9)</f>
        <v>468.6</v>
      </c>
      <c r="CW69">
        <v>0</v>
      </c>
      <c r="CX69">
        <f>ROUND(Y69*Source!I127,9)</f>
        <v>468.6</v>
      </c>
      <c r="CY69">
        <f>AD69</f>
        <v>0</v>
      </c>
      <c r="CZ69">
        <f>AH69</f>
        <v>0</v>
      </c>
      <c r="DA69">
        <f>AL69</f>
        <v>1</v>
      </c>
      <c r="DB69">
        <f>ROUND((ROUND(AT69*CZ69,2)*1.1),6)</f>
        <v>0</v>
      </c>
      <c r="DC69">
        <f>ROUND((ROUND(AT69*AG69,2)*1.1),6)</f>
        <v>0</v>
      </c>
      <c r="DD69" t="s">
        <v>3</v>
      </c>
      <c r="DE69" t="s">
        <v>3</v>
      </c>
      <c r="DF69">
        <f>ROUND(ROUND(AE69,2)*CX69,2)</f>
        <v>0</v>
      </c>
      <c r="DG69">
        <f t="shared" si="14"/>
        <v>0</v>
      </c>
      <c r="DH69">
        <f t="shared" si="15"/>
        <v>0</v>
      </c>
      <c r="DI69">
        <f t="shared" si="16"/>
        <v>0</v>
      </c>
      <c r="DJ69">
        <f>DI69</f>
        <v>0</v>
      </c>
      <c r="DK69">
        <v>0</v>
      </c>
      <c r="DL69" t="s">
        <v>3</v>
      </c>
      <c r="DM69">
        <v>0</v>
      </c>
      <c r="DN69" t="s">
        <v>3</v>
      </c>
      <c r="DO69">
        <v>0</v>
      </c>
    </row>
    <row r="70" spans="1:119" x14ac:dyDescent="0.2">
      <c r="A70">
        <f>ROW(Source!A127)</f>
        <v>127</v>
      </c>
      <c r="B70">
        <v>60256405</v>
      </c>
      <c r="C70">
        <v>60256686</v>
      </c>
      <c r="D70">
        <v>59039909</v>
      </c>
      <c r="E70">
        <v>1</v>
      </c>
      <c r="F70">
        <v>1</v>
      </c>
      <c r="G70">
        <v>1080</v>
      </c>
      <c r="H70">
        <v>3</v>
      </c>
      <c r="I70" t="s">
        <v>310</v>
      </c>
      <c r="J70" t="s">
        <v>311</v>
      </c>
      <c r="K70" t="s">
        <v>312</v>
      </c>
      <c r="L70">
        <v>1348</v>
      </c>
      <c r="N70">
        <v>1009</v>
      </c>
      <c r="O70" t="s">
        <v>283</v>
      </c>
      <c r="P70" t="s">
        <v>283</v>
      </c>
      <c r="Q70">
        <v>1000</v>
      </c>
      <c r="W70">
        <v>0</v>
      </c>
      <c r="X70">
        <v>-1335589694</v>
      </c>
      <c r="Y70">
        <f>(AT70*1)</f>
        <v>1.4999999999999999E-4</v>
      </c>
      <c r="AA70">
        <v>17742.23</v>
      </c>
      <c r="AB70">
        <v>0</v>
      </c>
      <c r="AC70">
        <v>0</v>
      </c>
      <c r="AD70">
        <v>0</v>
      </c>
      <c r="AE70">
        <v>17742.23</v>
      </c>
      <c r="AF70">
        <v>0</v>
      </c>
      <c r="AG70">
        <v>0</v>
      </c>
      <c r="AH70">
        <v>0</v>
      </c>
      <c r="AI70">
        <v>1</v>
      </c>
      <c r="AJ70">
        <v>1</v>
      </c>
      <c r="AK70">
        <v>1</v>
      </c>
      <c r="AL70">
        <v>1</v>
      </c>
      <c r="AM70">
        <v>-2</v>
      </c>
      <c r="AN70">
        <v>0</v>
      </c>
      <c r="AO70">
        <v>1</v>
      </c>
      <c r="AP70">
        <v>1</v>
      </c>
      <c r="AQ70">
        <v>0</v>
      </c>
      <c r="AR70">
        <v>0</v>
      </c>
      <c r="AS70" t="s">
        <v>3</v>
      </c>
      <c r="AT70">
        <v>1.4999999999999999E-4</v>
      </c>
      <c r="AU70" t="s">
        <v>24</v>
      </c>
      <c r="AV70">
        <v>0</v>
      </c>
      <c r="AW70">
        <v>2</v>
      </c>
      <c r="AX70">
        <v>60256877</v>
      </c>
      <c r="AY70">
        <v>1</v>
      </c>
      <c r="AZ70">
        <v>0</v>
      </c>
      <c r="BA70">
        <v>92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CV70">
        <v>0</v>
      </c>
      <c r="CW70">
        <v>0</v>
      </c>
      <c r="CX70">
        <f>ROUND(Y70*Source!I127,9)</f>
        <v>3.1949999999999999E-2</v>
      </c>
      <c r="CY70">
        <f>AA70</f>
        <v>17742.23</v>
      </c>
      <c r="CZ70">
        <f>AE70</f>
        <v>17742.23</v>
      </c>
      <c r="DA70">
        <f>AI70</f>
        <v>1</v>
      </c>
      <c r="DB70">
        <f>ROUND((ROUND(AT70*CZ70,2)*1),6)</f>
        <v>2.66</v>
      </c>
      <c r="DC70">
        <f>ROUND((ROUND(AT70*AG70,2)*1),6)</f>
        <v>0</v>
      </c>
      <c r="DD70" t="s">
        <v>3</v>
      </c>
      <c r="DE70" t="s">
        <v>3</v>
      </c>
      <c r="DF70">
        <f>ROUND(ROUND(AE70,2)*CX70,2)</f>
        <v>566.86</v>
      </c>
      <c r="DG70">
        <f t="shared" si="14"/>
        <v>0</v>
      </c>
      <c r="DH70">
        <f t="shared" si="15"/>
        <v>0</v>
      </c>
      <c r="DI70">
        <f t="shared" si="16"/>
        <v>0</v>
      </c>
      <c r="DJ70">
        <f>DF70</f>
        <v>566.86</v>
      </c>
      <c r="DK70">
        <v>0</v>
      </c>
      <c r="DL70" t="s">
        <v>3</v>
      </c>
      <c r="DM70">
        <v>0</v>
      </c>
      <c r="DN70" t="s">
        <v>3</v>
      </c>
      <c r="DO70">
        <v>0</v>
      </c>
    </row>
    <row r="71" spans="1:119" x14ac:dyDescent="0.2">
      <c r="A71">
        <f>ROW(Source!A127)</f>
        <v>127</v>
      </c>
      <c r="B71">
        <v>60256405</v>
      </c>
      <c r="C71">
        <v>60256686</v>
      </c>
      <c r="D71">
        <v>59062764</v>
      </c>
      <c r="E71">
        <v>1</v>
      </c>
      <c r="F71">
        <v>1</v>
      </c>
      <c r="G71">
        <v>1080</v>
      </c>
      <c r="H71">
        <v>3</v>
      </c>
      <c r="I71" t="s">
        <v>313</v>
      </c>
      <c r="J71" t="s">
        <v>314</v>
      </c>
      <c r="K71" t="s">
        <v>315</v>
      </c>
      <c r="L71">
        <v>1346</v>
      </c>
      <c r="N71">
        <v>1009</v>
      </c>
      <c r="O71" t="s">
        <v>70</v>
      </c>
      <c r="P71" t="s">
        <v>70</v>
      </c>
      <c r="Q71">
        <v>1</v>
      </c>
      <c r="W71">
        <v>0</v>
      </c>
      <c r="X71">
        <v>-164740653</v>
      </c>
      <c r="Y71">
        <f>(AT71*1)</f>
        <v>1.4999999999999999E-2</v>
      </c>
      <c r="AA71">
        <v>493.08</v>
      </c>
      <c r="AB71">
        <v>0</v>
      </c>
      <c r="AC71">
        <v>0</v>
      </c>
      <c r="AD71">
        <v>0</v>
      </c>
      <c r="AE71">
        <v>493.08</v>
      </c>
      <c r="AF71">
        <v>0</v>
      </c>
      <c r="AG71">
        <v>0</v>
      </c>
      <c r="AH71">
        <v>0</v>
      </c>
      <c r="AI71">
        <v>1</v>
      </c>
      <c r="AJ71">
        <v>1</v>
      </c>
      <c r="AK71">
        <v>1</v>
      </c>
      <c r="AL71">
        <v>1</v>
      </c>
      <c r="AM71">
        <v>-2</v>
      </c>
      <c r="AN71">
        <v>0</v>
      </c>
      <c r="AO71">
        <v>1</v>
      </c>
      <c r="AP71">
        <v>1</v>
      </c>
      <c r="AQ71">
        <v>0</v>
      </c>
      <c r="AR71">
        <v>0</v>
      </c>
      <c r="AS71" t="s">
        <v>3</v>
      </c>
      <c r="AT71">
        <v>1.4999999999999999E-2</v>
      </c>
      <c r="AU71" t="s">
        <v>24</v>
      </c>
      <c r="AV71">
        <v>0</v>
      </c>
      <c r="AW71">
        <v>2</v>
      </c>
      <c r="AX71">
        <v>60256878</v>
      </c>
      <c r="AY71">
        <v>1</v>
      </c>
      <c r="AZ71">
        <v>0</v>
      </c>
      <c r="BA71">
        <v>93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CV71">
        <v>0</v>
      </c>
      <c r="CW71">
        <v>0</v>
      </c>
      <c r="CX71">
        <f>ROUND(Y71*Source!I127,9)</f>
        <v>3.1949999999999998</v>
      </c>
      <c r="CY71">
        <f>AA71</f>
        <v>493.08</v>
      </c>
      <c r="CZ71">
        <f>AE71</f>
        <v>493.08</v>
      </c>
      <c r="DA71">
        <f>AI71</f>
        <v>1</v>
      </c>
      <c r="DB71">
        <f>ROUND((ROUND(AT71*CZ71,2)*1),6)</f>
        <v>7.4</v>
      </c>
      <c r="DC71">
        <f>ROUND((ROUND(AT71*AG71,2)*1),6)</f>
        <v>0</v>
      </c>
      <c r="DD71" t="s">
        <v>3</v>
      </c>
      <c r="DE71" t="s">
        <v>3</v>
      </c>
      <c r="DF71">
        <f>ROUND(ROUND(AE71,2)*CX71,2)</f>
        <v>1575.39</v>
      </c>
      <c r="DG71">
        <f t="shared" si="14"/>
        <v>0</v>
      </c>
      <c r="DH71">
        <f t="shared" si="15"/>
        <v>0</v>
      </c>
      <c r="DI71">
        <f t="shared" si="16"/>
        <v>0</v>
      </c>
      <c r="DJ71">
        <f>DF71</f>
        <v>1575.39</v>
      </c>
      <c r="DK71">
        <v>0</v>
      </c>
      <c r="DL71" t="s">
        <v>3</v>
      </c>
      <c r="DM71">
        <v>0</v>
      </c>
      <c r="DN71" t="s">
        <v>3</v>
      </c>
      <c r="DO71">
        <v>0</v>
      </c>
    </row>
    <row r="72" spans="1:119" x14ac:dyDescent="0.2">
      <c r="A72">
        <f>ROW(Source!A127)</f>
        <v>127</v>
      </c>
      <c r="B72">
        <v>60256405</v>
      </c>
      <c r="C72">
        <v>60256686</v>
      </c>
      <c r="D72">
        <v>59068598</v>
      </c>
      <c r="E72">
        <v>1</v>
      </c>
      <c r="F72">
        <v>1</v>
      </c>
      <c r="G72">
        <v>1080</v>
      </c>
      <c r="H72">
        <v>3</v>
      </c>
      <c r="I72" t="s">
        <v>316</v>
      </c>
      <c r="J72" t="s">
        <v>317</v>
      </c>
      <c r="K72" t="s">
        <v>318</v>
      </c>
      <c r="L72">
        <v>1303</v>
      </c>
      <c r="N72">
        <v>1003</v>
      </c>
      <c r="O72" t="s">
        <v>233</v>
      </c>
      <c r="P72" t="s">
        <v>233</v>
      </c>
      <c r="Q72">
        <v>1000</v>
      </c>
      <c r="W72">
        <v>0</v>
      </c>
      <c r="X72">
        <v>1670324766</v>
      </c>
      <c r="Y72">
        <f>(AT72*1)</f>
        <v>5.0000000000000001E-3</v>
      </c>
      <c r="AA72">
        <v>2880.4</v>
      </c>
      <c r="AB72">
        <v>0</v>
      </c>
      <c r="AC72">
        <v>0</v>
      </c>
      <c r="AD72">
        <v>0</v>
      </c>
      <c r="AE72">
        <v>2880.4</v>
      </c>
      <c r="AF72">
        <v>0</v>
      </c>
      <c r="AG72">
        <v>0</v>
      </c>
      <c r="AH72">
        <v>0</v>
      </c>
      <c r="AI72">
        <v>1</v>
      </c>
      <c r="AJ72">
        <v>1</v>
      </c>
      <c r="AK72">
        <v>1</v>
      </c>
      <c r="AL72">
        <v>1</v>
      </c>
      <c r="AM72">
        <v>-2</v>
      </c>
      <c r="AN72">
        <v>0</v>
      </c>
      <c r="AO72">
        <v>1</v>
      </c>
      <c r="AP72">
        <v>1</v>
      </c>
      <c r="AQ72">
        <v>0</v>
      </c>
      <c r="AR72">
        <v>0</v>
      </c>
      <c r="AS72" t="s">
        <v>3</v>
      </c>
      <c r="AT72">
        <v>5.0000000000000001E-3</v>
      </c>
      <c r="AU72" t="s">
        <v>24</v>
      </c>
      <c r="AV72">
        <v>0</v>
      </c>
      <c r="AW72">
        <v>2</v>
      </c>
      <c r="AX72">
        <v>60256879</v>
      </c>
      <c r="AY72">
        <v>1</v>
      </c>
      <c r="AZ72">
        <v>0</v>
      </c>
      <c r="BA72">
        <v>94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CV72">
        <v>0</v>
      </c>
      <c r="CW72">
        <v>0</v>
      </c>
      <c r="CX72">
        <f>ROUND(Y72*Source!I127,9)</f>
        <v>1.0649999999999999</v>
      </c>
      <c r="CY72">
        <f>AA72</f>
        <v>2880.4</v>
      </c>
      <c r="CZ72">
        <f>AE72</f>
        <v>2880.4</v>
      </c>
      <c r="DA72">
        <f>AI72</f>
        <v>1</v>
      </c>
      <c r="DB72">
        <f>ROUND((ROUND(AT72*CZ72,2)*1),6)</f>
        <v>14.4</v>
      </c>
      <c r="DC72">
        <f>ROUND((ROUND(AT72*AG72,2)*1),6)</f>
        <v>0</v>
      </c>
      <c r="DD72" t="s">
        <v>3</v>
      </c>
      <c r="DE72" t="s">
        <v>3</v>
      </c>
      <c r="DF72">
        <f>ROUND(ROUND(AE72,2)*CX72,2)</f>
        <v>3067.63</v>
      </c>
      <c r="DG72">
        <f t="shared" si="14"/>
        <v>0</v>
      </c>
      <c r="DH72">
        <f t="shared" si="15"/>
        <v>0</v>
      </c>
      <c r="DI72">
        <f t="shared" si="16"/>
        <v>0</v>
      </c>
      <c r="DJ72">
        <f>DF72</f>
        <v>3067.63</v>
      </c>
      <c r="DK72">
        <v>0</v>
      </c>
      <c r="DL72" t="s">
        <v>3</v>
      </c>
      <c r="DM72">
        <v>0</v>
      </c>
      <c r="DN72" t="s">
        <v>3</v>
      </c>
      <c r="DO72">
        <v>0</v>
      </c>
    </row>
    <row r="73" spans="1:119" x14ac:dyDescent="0.2">
      <c r="A73">
        <f>ROW(Source!A128)</f>
        <v>128</v>
      </c>
      <c r="B73">
        <v>60256402</v>
      </c>
      <c r="C73">
        <v>60256686</v>
      </c>
      <c r="D73">
        <v>58999254</v>
      </c>
      <c r="E73">
        <v>1080</v>
      </c>
      <c r="F73">
        <v>1</v>
      </c>
      <c r="G73">
        <v>1080</v>
      </c>
      <c r="H73">
        <v>1</v>
      </c>
      <c r="I73" t="s">
        <v>269</v>
      </c>
      <c r="J73" t="s">
        <v>3</v>
      </c>
      <c r="K73" t="s">
        <v>270</v>
      </c>
      <c r="L73">
        <v>1191</v>
      </c>
      <c r="N73">
        <v>1013</v>
      </c>
      <c r="O73" t="s">
        <v>271</v>
      </c>
      <c r="P73" t="s">
        <v>271</v>
      </c>
      <c r="Q73">
        <v>1</v>
      </c>
      <c r="W73">
        <v>0</v>
      </c>
      <c r="X73">
        <v>476480486</v>
      </c>
      <c r="Y73">
        <f>(AT73*1.1)</f>
        <v>2.2000000000000002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1</v>
      </c>
      <c r="AJ73">
        <v>1</v>
      </c>
      <c r="AK73">
        <v>1</v>
      </c>
      <c r="AL73">
        <v>1</v>
      </c>
      <c r="AM73">
        <v>5</v>
      </c>
      <c r="AN73">
        <v>0</v>
      </c>
      <c r="AO73">
        <v>1</v>
      </c>
      <c r="AP73">
        <v>1</v>
      </c>
      <c r="AQ73">
        <v>0</v>
      </c>
      <c r="AR73">
        <v>0</v>
      </c>
      <c r="AS73" t="s">
        <v>3</v>
      </c>
      <c r="AT73">
        <v>2</v>
      </c>
      <c r="AU73" t="s">
        <v>25</v>
      </c>
      <c r="AV73">
        <v>1</v>
      </c>
      <c r="AW73">
        <v>2</v>
      </c>
      <c r="AX73">
        <v>60256876</v>
      </c>
      <c r="AY73">
        <v>1</v>
      </c>
      <c r="AZ73">
        <v>0</v>
      </c>
      <c r="BA73">
        <v>96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CU73">
        <f>ROUND(AT73*Source!I128*AH73*AL73,2)</f>
        <v>0</v>
      </c>
      <c r="CV73">
        <f>ROUND(Y73*Source!I128,9)</f>
        <v>468.6</v>
      </c>
      <c r="CW73">
        <v>0</v>
      </c>
      <c r="CX73">
        <f>ROUND(Y73*Source!I128,9)</f>
        <v>468.6</v>
      </c>
      <c r="CY73">
        <f>AD73</f>
        <v>0</v>
      </c>
      <c r="CZ73">
        <f>AH73</f>
        <v>0</v>
      </c>
      <c r="DA73">
        <f>AL73</f>
        <v>1</v>
      </c>
      <c r="DB73">
        <f>ROUND((ROUND(AT73*CZ73,2)*1.1),6)</f>
        <v>0</v>
      </c>
      <c r="DC73">
        <f>ROUND((ROUND(AT73*AG73,2)*1.1),6)</f>
        <v>0</v>
      </c>
      <c r="DD73" t="s">
        <v>3</v>
      </c>
      <c r="DE73" t="s">
        <v>3</v>
      </c>
      <c r="DF73">
        <f>ROUND(ROUND(AE73,2)*CX73,2)</f>
        <v>0</v>
      </c>
      <c r="DG73">
        <f t="shared" si="14"/>
        <v>0</v>
      </c>
      <c r="DH73">
        <f t="shared" si="15"/>
        <v>0</v>
      </c>
      <c r="DI73">
        <f t="shared" si="16"/>
        <v>0</v>
      </c>
      <c r="DJ73">
        <f>DI73</f>
        <v>0</v>
      </c>
      <c r="DK73">
        <v>0</v>
      </c>
      <c r="DL73" t="s">
        <v>3</v>
      </c>
      <c r="DM73">
        <v>0</v>
      </c>
      <c r="DN73" t="s">
        <v>3</v>
      </c>
      <c r="DO73">
        <v>0</v>
      </c>
    </row>
    <row r="74" spans="1:119" x14ac:dyDescent="0.2">
      <c r="A74">
        <f>ROW(Source!A128)</f>
        <v>128</v>
      </c>
      <c r="B74">
        <v>60256402</v>
      </c>
      <c r="C74">
        <v>60256686</v>
      </c>
      <c r="D74">
        <v>59039909</v>
      </c>
      <c r="E74">
        <v>1</v>
      </c>
      <c r="F74">
        <v>1</v>
      </c>
      <c r="G74">
        <v>1080</v>
      </c>
      <c r="H74">
        <v>3</v>
      </c>
      <c r="I74" t="s">
        <v>310</v>
      </c>
      <c r="J74" t="s">
        <v>311</v>
      </c>
      <c r="K74" t="s">
        <v>312</v>
      </c>
      <c r="L74">
        <v>1348</v>
      </c>
      <c r="N74">
        <v>1009</v>
      </c>
      <c r="O74" t="s">
        <v>283</v>
      </c>
      <c r="P74" t="s">
        <v>283</v>
      </c>
      <c r="Q74">
        <v>1000</v>
      </c>
      <c r="W74">
        <v>0</v>
      </c>
      <c r="X74">
        <v>-1335589694</v>
      </c>
      <c r="Y74">
        <f>(AT74*1)</f>
        <v>1.4999999999999999E-4</v>
      </c>
      <c r="AA74">
        <v>105034</v>
      </c>
      <c r="AB74">
        <v>0</v>
      </c>
      <c r="AC74">
        <v>0</v>
      </c>
      <c r="AD74">
        <v>0</v>
      </c>
      <c r="AE74">
        <v>17742.23</v>
      </c>
      <c r="AF74">
        <v>0</v>
      </c>
      <c r="AG74">
        <v>0</v>
      </c>
      <c r="AH74">
        <v>0</v>
      </c>
      <c r="AI74">
        <v>5.92</v>
      </c>
      <c r="AJ74">
        <v>1</v>
      </c>
      <c r="AK74">
        <v>1</v>
      </c>
      <c r="AL74">
        <v>1</v>
      </c>
      <c r="AM74">
        <v>2</v>
      </c>
      <c r="AN74">
        <v>0</v>
      </c>
      <c r="AO74">
        <v>1</v>
      </c>
      <c r="AP74">
        <v>1</v>
      </c>
      <c r="AQ74">
        <v>0</v>
      </c>
      <c r="AR74">
        <v>0</v>
      </c>
      <c r="AS74" t="s">
        <v>3</v>
      </c>
      <c r="AT74">
        <v>1.4999999999999999E-4</v>
      </c>
      <c r="AU74" t="s">
        <v>24</v>
      </c>
      <c r="AV74">
        <v>0</v>
      </c>
      <c r="AW74">
        <v>2</v>
      </c>
      <c r="AX74">
        <v>60256877</v>
      </c>
      <c r="AY74">
        <v>1</v>
      </c>
      <c r="AZ74">
        <v>0</v>
      </c>
      <c r="BA74">
        <v>97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CV74">
        <v>0</v>
      </c>
      <c r="CW74">
        <v>0</v>
      </c>
      <c r="CX74">
        <f>ROUND(Y74*Source!I128,9)</f>
        <v>3.1949999999999999E-2</v>
      </c>
      <c r="CY74">
        <f>AA74</f>
        <v>105034</v>
      </c>
      <c r="CZ74">
        <f>AE74</f>
        <v>17742.23</v>
      </c>
      <c r="DA74">
        <f>AI74</f>
        <v>5.92</v>
      </c>
      <c r="DB74">
        <f>ROUND((ROUND(AT74*CZ74,2)*1),6)</f>
        <v>2.66</v>
      </c>
      <c r="DC74">
        <f>ROUND((ROUND(AT74*AG74,2)*1),6)</f>
        <v>0</v>
      </c>
      <c r="DD74" t="s">
        <v>3</v>
      </c>
      <c r="DE74" t="s">
        <v>3</v>
      </c>
      <c r="DF74">
        <f>ROUND(ROUND(AE74*AI74,2)*CX74,2)</f>
        <v>3355.84</v>
      </c>
      <c r="DG74">
        <f t="shared" si="14"/>
        <v>0</v>
      </c>
      <c r="DH74">
        <f t="shared" si="15"/>
        <v>0</v>
      </c>
      <c r="DI74">
        <f t="shared" si="16"/>
        <v>0</v>
      </c>
      <c r="DJ74">
        <f>DF74</f>
        <v>3355.84</v>
      </c>
      <c r="DK74">
        <v>0</v>
      </c>
      <c r="DL74" t="s">
        <v>3</v>
      </c>
      <c r="DM74">
        <v>0</v>
      </c>
      <c r="DN74" t="s">
        <v>3</v>
      </c>
      <c r="DO74">
        <v>0</v>
      </c>
    </row>
    <row r="75" spans="1:119" x14ac:dyDescent="0.2">
      <c r="A75">
        <f>ROW(Source!A128)</f>
        <v>128</v>
      </c>
      <c r="B75">
        <v>60256402</v>
      </c>
      <c r="C75">
        <v>60256686</v>
      </c>
      <c r="D75">
        <v>59062764</v>
      </c>
      <c r="E75">
        <v>1</v>
      </c>
      <c r="F75">
        <v>1</v>
      </c>
      <c r="G75">
        <v>1080</v>
      </c>
      <c r="H75">
        <v>3</v>
      </c>
      <c r="I75" t="s">
        <v>313</v>
      </c>
      <c r="J75" t="s">
        <v>314</v>
      </c>
      <c r="K75" t="s">
        <v>315</v>
      </c>
      <c r="L75">
        <v>1346</v>
      </c>
      <c r="N75">
        <v>1009</v>
      </c>
      <c r="O75" t="s">
        <v>70</v>
      </c>
      <c r="P75" t="s">
        <v>70</v>
      </c>
      <c r="Q75">
        <v>1</v>
      </c>
      <c r="W75">
        <v>0</v>
      </c>
      <c r="X75">
        <v>-164740653</v>
      </c>
      <c r="Y75">
        <f>(AT75*1)</f>
        <v>1.4999999999999999E-2</v>
      </c>
      <c r="AA75">
        <v>3047.23</v>
      </c>
      <c r="AB75">
        <v>0</v>
      </c>
      <c r="AC75">
        <v>0</v>
      </c>
      <c r="AD75">
        <v>0</v>
      </c>
      <c r="AE75">
        <v>493.08</v>
      </c>
      <c r="AF75">
        <v>0</v>
      </c>
      <c r="AG75">
        <v>0</v>
      </c>
      <c r="AH75">
        <v>0</v>
      </c>
      <c r="AI75">
        <v>6.18</v>
      </c>
      <c r="AJ75">
        <v>1</v>
      </c>
      <c r="AK75">
        <v>1</v>
      </c>
      <c r="AL75">
        <v>1</v>
      </c>
      <c r="AM75">
        <v>2</v>
      </c>
      <c r="AN75">
        <v>0</v>
      </c>
      <c r="AO75">
        <v>1</v>
      </c>
      <c r="AP75">
        <v>1</v>
      </c>
      <c r="AQ75">
        <v>0</v>
      </c>
      <c r="AR75">
        <v>0</v>
      </c>
      <c r="AS75" t="s">
        <v>3</v>
      </c>
      <c r="AT75">
        <v>1.4999999999999999E-2</v>
      </c>
      <c r="AU75" t="s">
        <v>24</v>
      </c>
      <c r="AV75">
        <v>0</v>
      </c>
      <c r="AW75">
        <v>2</v>
      </c>
      <c r="AX75">
        <v>60256878</v>
      </c>
      <c r="AY75">
        <v>1</v>
      </c>
      <c r="AZ75">
        <v>0</v>
      </c>
      <c r="BA75">
        <v>98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CV75">
        <v>0</v>
      </c>
      <c r="CW75">
        <v>0</v>
      </c>
      <c r="CX75">
        <f>ROUND(Y75*Source!I128,9)</f>
        <v>3.1949999999999998</v>
      </c>
      <c r="CY75">
        <f>AA75</f>
        <v>3047.23</v>
      </c>
      <c r="CZ75">
        <f>AE75</f>
        <v>493.08</v>
      </c>
      <c r="DA75">
        <f>AI75</f>
        <v>6.18</v>
      </c>
      <c r="DB75">
        <f>ROUND((ROUND(AT75*CZ75,2)*1),6)</f>
        <v>7.4</v>
      </c>
      <c r="DC75">
        <f>ROUND((ROUND(AT75*AG75,2)*1),6)</f>
        <v>0</v>
      </c>
      <c r="DD75" t="s">
        <v>3</v>
      </c>
      <c r="DE75" t="s">
        <v>3</v>
      </c>
      <c r="DF75">
        <f>ROUND(ROUND(AE75*AI75,2)*CX75,2)</f>
        <v>9735.9</v>
      </c>
      <c r="DG75">
        <f t="shared" si="14"/>
        <v>0</v>
      </c>
      <c r="DH75">
        <f t="shared" si="15"/>
        <v>0</v>
      </c>
      <c r="DI75">
        <f t="shared" si="16"/>
        <v>0</v>
      </c>
      <c r="DJ75">
        <f>DF75</f>
        <v>9735.9</v>
      </c>
      <c r="DK75">
        <v>0</v>
      </c>
      <c r="DL75" t="s">
        <v>3</v>
      </c>
      <c r="DM75">
        <v>0</v>
      </c>
      <c r="DN75" t="s">
        <v>3</v>
      </c>
      <c r="DO75">
        <v>0</v>
      </c>
    </row>
    <row r="76" spans="1:119" x14ac:dyDescent="0.2">
      <c r="A76">
        <f>ROW(Source!A128)</f>
        <v>128</v>
      </c>
      <c r="B76">
        <v>60256402</v>
      </c>
      <c r="C76">
        <v>60256686</v>
      </c>
      <c r="D76">
        <v>59068598</v>
      </c>
      <c r="E76">
        <v>1</v>
      </c>
      <c r="F76">
        <v>1</v>
      </c>
      <c r="G76">
        <v>1080</v>
      </c>
      <c r="H76">
        <v>3</v>
      </c>
      <c r="I76" t="s">
        <v>316</v>
      </c>
      <c r="J76" t="s">
        <v>317</v>
      </c>
      <c r="K76" t="s">
        <v>318</v>
      </c>
      <c r="L76">
        <v>1303</v>
      </c>
      <c r="N76">
        <v>1003</v>
      </c>
      <c r="O76" t="s">
        <v>233</v>
      </c>
      <c r="P76" t="s">
        <v>233</v>
      </c>
      <c r="Q76">
        <v>1000</v>
      </c>
      <c r="W76">
        <v>0</v>
      </c>
      <c r="X76">
        <v>1670324766</v>
      </c>
      <c r="Y76">
        <f>(AT76*1)</f>
        <v>5.0000000000000001E-3</v>
      </c>
      <c r="AA76">
        <v>41189.72</v>
      </c>
      <c r="AB76">
        <v>0</v>
      </c>
      <c r="AC76">
        <v>0</v>
      </c>
      <c r="AD76">
        <v>0</v>
      </c>
      <c r="AE76">
        <v>2880.4</v>
      </c>
      <c r="AF76">
        <v>0</v>
      </c>
      <c r="AG76">
        <v>0</v>
      </c>
      <c r="AH76">
        <v>0</v>
      </c>
      <c r="AI76">
        <v>14.3</v>
      </c>
      <c r="AJ76">
        <v>1</v>
      </c>
      <c r="AK76">
        <v>1</v>
      </c>
      <c r="AL76">
        <v>1</v>
      </c>
      <c r="AM76">
        <v>2</v>
      </c>
      <c r="AN76">
        <v>0</v>
      </c>
      <c r="AO76">
        <v>1</v>
      </c>
      <c r="AP76">
        <v>1</v>
      </c>
      <c r="AQ76">
        <v>0</v>
      </c>
      <c r="AR76">
        <v>0</v>
      </c>
      <c r="AS76" t="s">
        <v>3</v>
      </c>
      <c r="AT76">
        <v>5.0000000000000001E-3</v>
      </c>
      <c r="AU76" t="s">
        <v>24</v>
      </c>
      <c r="AV76">
        <v>0</v>
      </c>
      <c r="AW76">
        <v>2</v>
      </c>
      <c r="AX76">
        <v>60256879</v>
      </c>
      <c r="AY76">
        <v>1</v>
      </c>
      <c r="AZ76">
        <v>0</v>
      </c>
      <c r="BA76">
        <v>99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CV76">
        <v>0</v>
      </c>
      <c r="CW76">
        <v>0</v>
      </c>
      <c r="CX76">
        <f>ROUND(Y76*Source!I128,9)</f>
        <v>1.0649999999999999</v>
      </c>
      <c r="CY76">
        <f>AA76</f>
        <v>41189.72</v>
      </c>
      <c r="CZ76">
        <f>AE76</f>
        <v>2880.4</v>
      </c>
      <c r="DA76">
        <f>AI76</f>
        <v>14.3</v>
      </c>
      <c r="DB76">
        <f>ROUND((ROUND(AT76*CZ76,2)*1),6)</f>
        <v>14.4</v>
      </c>
      <c r="DC76">
        <f>ROUND((ROUND(AT76*AG76,2)*1),6)</f>
        <v>0</v>
      </c>
      <c r="DD76" t="s">
        <v>3</v>
      </c>
      <c r="DE76" t="s">
        <v>3</v>
      </c>
      <c r="DF76">
        <f>ROUND(ROUND(AE76*AI76,2)*CX76,2)</f>
        <v>43867.05</v>
      </c>
      <c r="DG76">
        <f t="shared" si="14"/>
        <v>0</v>
      </c>
      <c r="DH76">
        <f t="shared" si="15"/>
        <v>0</v>
      </c>
      <c r="DI76">
        <f t="shared" si="16"/>
        <v>0</v>
      </c>
      <c r="DJ76">
        <f>DF76</f>
        <v>43867.05</v>
      </c>
      <c r="DK76">
        <v>0</v>
      </c>
      <c r="DL76" t="s">
        <v>3</v>
      </c>
      <c r="DM76">
        <v>0</v>
      </c>
      <c r="DN76" t="s">
        <v>3</v>
      </c>
      <c r="DO76">
        <v>0</v>
      </c>
    </row>
    <row r="77" spans="1:119" x14ac:dyDescent="0.2">
      <c r="A77">
        <f>ROW(Source!A131)</f>
        <v>131</v>
      </c>
      <c r="B77">
        <v>60256405</v>
      </c>
      <c r="C77">
        <v>60256697</v>
      </c>
      <c r="D77">
        <v>58999254</v>
      </c>
      <c r="E77">
        <v>1080</v>
      </c>
      <c r="F77">
        <v>1</v>
      </c>
      <c r="G77">
        <v>1080</v>
      </c>
      <c r="H77">
        <v>1</v>
      </c>
      <c r="I77" t="s">
        <v>269</v>
      </c>
      <c r="J77" t="s">
        <v>3</v>
      </c>
      <c r="K77" t="s">
        <v>270</v>
      </c>
      <c r="L77">
        <v>1191</v>
      </c>
      <c r="N77">
        <v>1013</v>
      </c>
      <c r="O77" t="s">
        <v>271</v>
      </c>
      <c r="P77" t="s">
        <v>271</v>
      </c>
      <c r="Q77">
        <v>1</v>
      </c>
      <c r="W77">
        <v>0</v>
      </c>
      <c r="X77">
        <v>476480486</v>
      </c>
      <c r="Y77">
        <f>(AT77*1.1)</f>
        <v>26.400000000000002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1</v>
      </c>
      <c r="AJ77">
        <v>1</v>
      </c>
      <c r="AK77">
        <v>1</v>
      </c>
      <c r="AL77">
        <v>1</v>
      </c>
      <c r="AM77">
        <v>-2</v>
      </c>
      <c r="AN77">
        <v>0</v>
      </c>
      <c r="AO77">
        <v>1</v>
      </c>
      <c r="AP77">
        <v>1</v>
      </c>
      <c r="AQ77">
        <v>0</v>
      </c>
      <c r="AR77">
        <v>0</v>
      </c>
      <c r="AS77" t="s">
        <v>3</v>
      </c>
      <c r="AT77">
        <v>24</v>
      </c>
      <c r="AU77" t="s">
        <v>25</v>
      </c>
      <c r="AV77">
        <v>1</v>
      </c>
      <c r="AW77">
        <v>2</v>
      </c>
      <c r="AX77">
        <v>60256881</v>
      </c>
      <c r="AY77">
        <v>1</v>
      </c>
      <c r="AZ77">
        <v>0</v>
      </c>
      <c r="BA77">
        <v>101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CU77">
        <f>ROUND(AT77*Source!I131*AH77*AL77,2)</f>
        <v>0</v>
      </c>
      <c r="CV77">
        <f>ROUND(Y77*Source!I131,9)</f>
        <v>1.056</v>
      </c>
      <c r="CW77">
        <v>0</v>
      </c>
      <c r="CX77">
        <f>ROUND(Y77*Source!I131,9)</f>
        <v>1.056</v>
      </c>
      <c r="CY77">
        <f>AD77</f>
        <v>0</v>
      </c>
      <c r="CZ77">
        <f>AH77</f>
        <v>0</v>
      </c>
      <c r="DA77">
        <f>AL77</f>
        <v>1</v>
      </c>
      <c r="DB77">
        <f>ROUND((ROUND(AT77*CZ77,2)*1.1),6)</f>
        <v>0</v>
      </c>
      <c r="DC77">
        <f>ROUND((ROUND(AT77*AG77,2)*1.1),6)</f>
        <v>0</v>
      </c>
      <c r="DD77" t="s">
        <v>3</v>
      </c>
      <c r="DE77" t="s">
        <v>3</v>
      </c>
      <c r="DF77">
        <f t="shared" ref="DF77:DF82" si="17">ROUND(ROUND(AE77,2)*CX77,2)</f>
        <v>0</v>
      </c>
      <c r="DG77">
        <f t="shared" si="14"/>
        <v>0</v>
      </c>
      <c r="DH77">
        <f t="shared" si="15"/>
        <v>0</v>
      </c>
      <c r="DI77">
        <f t="shared" si="16"/>
        <v>0</v>
      </c>
      <c r="DJ77">
        <f>DI77</f>
        <v>0</v>
      </c>
      <c r="DK77">
        <v>0</v>
      </c>
      <c r="DL77" t="s">
        <v>3</v>
      </c>
      <c r="DM77">
        <v>0</v>
      </c>
      <c r="DN77" t="s">
        <v>3</v>
      </c>
      <c r="DO77">
        <v>0</v>
      </c>
    </row>
    <row r="78" spans="1:119" x14ac:dyDescent="0.2">
      <c r="A78">
        <f>ROW(Source!A131)</f>
        <v>131</v>
      </c>
      <c r="B78">
        <v>60256405</v>
      </c>
      <c r="C78">
        <v>60256697</v>
      </c>
      <c r="D78">
        <v>59039576</v>
      </c>
      <c r="E78">
        <v>1</v>
      </c>
      <c r="F78">
        <v>1</v>
      </c>
      <c r="G78">
        <v>1080</v>
      </c>
      <c r="H78">
        <v>3</v>
      </c>
      <c r="I78" t="s">
        <v>319</v>
      </c>
      <c r="J78" t="s">
        <v>320</v>
      </c>
      <c r="K78" t="s">
        <v>321</v>
      </c>
      <c r="L78">
        <v>1348</v>
      </c>
      <c r="N78">
        <v>1009</v>
      </c>
      <c r="O78" t="s">
        <v>283</v>
      </c>
      <c r="P78" t="s">
        <v>283</v>
      </c>
      <c r="Q78">
        <v>1000</v>
      </c>
      <c r="W78">
        <v>0</v>
      </c>
      <c r="X78">
        <v>1286623552</v>
      </c>
      <c r="Y78">
        <f>(AT78*1)</f>
        <v>6.0000000000000001E-3</v>
      </c>
      <c r="AA78">
        <v>7246.05</v>
      </c>
      <c r="AB78">
        <v>0</v>
      </c>
      <c r="AC78">
        <v>0</v>
      </c>
      <c r="AD78">
        <v>0</v>
      </c>
      <c r="AE78">
        <v>7246.05</v>
      </c>
      <c r="AF78">
        <v>0</v>
      </c>
      <c r="AG78">
        <v>0</v>
      </c>
      <c r="AH78">
        <v>0</v>
      </c>
      <c r="AI78">
        <v>1</v>
      </c>
      <c r="AJ78">
        <v>1</v>
      </c>
      <c r="AK78">
        <v>1</v>
      </c>
      <c r="AL78">
        <v>1</v>
      </c>
      <c r="AM78">
        <v>-2</v>
      </c>
      <c r="AN78">
        <v>0</v>
      </c>
      <c r="AO78">
        <v>1</v>
      </c>
      <c r="AP78">
        <v>1</v>
      </c>
      <c r="AQ78">
        <v>0</v>
      </c>
      <c r="AR78">
        <v>0</v>
      </c>
      <c r="AS78" t="s">
        <v>3</v>
      </c>
      <c r="AT78">
        <v>6.0000000000000001E-3</v>
      </c>
      <c r="AU78" t="s">
        <v>24</v>
      </c>
      <c r="AV78">
        <v>0</v>
      </c>
      <c r="AW78">
        <v>2</v>
      </c>
      <c r="AX78">
        <v>60256882</v>
      </c>
      <c r="AY78">
        <v>1</v>
      </c>
      <c r="AZ78">
        <v>0</v>
      </c>
      <c r="BA78">
        <v>102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CV78">
        <v>0</v>
      </c>
      <c r="CW78">
        <v>0</v>
      </c>
      <c r="CX78">
        <f>ROUND(Y78*Source!I131,9)</f>
        <v>2.4000000000000001E-4</v>
      </c>
      <c r="CY78">
        <f>AA78</f>
        <v>7246.05</v>
      </c>
      <c r="CZ78">
        <f>AE78</f>
        <v>7246.05</v>
      </c>
      <c r="DA78">
        <f>AI78</f>
        <v>1</v>
      </c>
      <c r="DB78">
        <f>ROUND((ROUND(AT78*CZ78,2)*1),6)</f>
        <v>43.48</v>
      </c>
      <c r="DC78">
        <f>ROUND((ROUND(AT78*AG78,2)*1),6)</f>
        <v>0</v>
      </c>
      <c r="DD78" t="s">
        <v>3</v>
      </c>
      <c r="DE78" t="s">
        <v>3</v>
      </c>
      <c r="DF78">
        <f t="shared" si="17"/>
        <v>1.74</v>
      </c>
      <c r="DG78">
        <f t="shared" si="14"/>
        <v>0</v>
      </c>
      <c r="DH78">
        <f t="shared" si="15"/>
        <v>0</v>
      </c>
      <c r="DI78">
        <f t="shared" si="16"/>
        <v>0</v>
      </c>
      <c r="DJ78">
        <f>DF78</f>
        <v>1.74</v>
      </c>
      <c r="DK78">
        <v>0</v>
      </c>
      <c r="DL78" t="s">
        <v>3</v>
      </c>
      <c r="DM78">
        <v>0</v>
      </c>
      <c r="DN78" t="s">
        <v>3</v>
      </c>
      <c r="DO78">
        <v>0</v>
      </c>
    </row>
    <row r="79" spans="1:119" x14ac:dyDescent="0.2">
      <c r="A79">
        <f>ROW(Source!A131)</f>
        <v>131</v>
      </c>
      <c r="B79">
        <v>60256405</v>
      </c>
      <c r="C79">
        <v>60256697</v>
      </c>
      <c r="D79">
        <v>59039985</v>
      </c>
      <c r="E79">
        <v>1</v>
      </c>
      <c r="F79">
        <v>1</v>
      </c>
      <c r="G79">
        <v>1080</v>
      </c>
      <c r="H79">
        <v>3</v>
      </c>
      <c r="I79" t="s">
        <v>277</v>
      </c>
      <c r="J79" t="s">
        <v>278</v>
      </c>
      <c r="K79" t="s">
        <v>279</v>
      </c>
      <c r="L79">
        <v>1346</v>
      </c>
      <c r="N79">
        <v>1009</v>
      </c>
      <c r="O79" t="s">
        <v>70</v>
      </c>
      <c r="P79" t="s">
        <v>70</v>
      </c>
      <c r="Q79">
        <v>1</v>
      </c>
      <c r="W79">
        <v>0</v>
      </c>
      <c r="X79">
        <v>444134433</v>
      </c>
      <c r="Y79">
        <f>(AT79*1)</f>
        <v>0.2</v>
      </c>
      <c r="AA79">
        <v>104.63</v>
      </c>
      <c r="AB79">
        <v>0</v>
      </c>
      <c r="AC79">
        <v>0</v>
      </c>
      <c r="AD79">
        <v>0</v>
      </c>
      <c r="AE79">
        <v>104.63</v>
      </c>
      <c r="AF79">
        <v>0</v>
      </c>
      <c r="AG79">
        <v>0</v>
      </c>
      <c r="AH79">
        <v>0</v>
      </c>
      <c r="AI79">
        <v>1</v>
      </c>
      <c r="AJ79">
        <v>1</v>
      </c>
      <c r="AK79">
        <v>1</v>
      </c>
      <c r="AL79">
        <v>1</v>
      </c>
      <c r="AM79">
        <v>-2</v>
      </c>
      <c r="AN79">
        <v>0</v>
      </c>
      <c r="AO79">
        <v>1</v>
      </c>
      <c r="AP79">
        <v>1</v>
      </c>
      <c r="AQ79">
        <v>0</v>
      </c>
      <c r="AR79">
        <v>0</v>
      </c>
      <c r="AS79" t="s">
        <v>3</v>
      </c>
      <c r="AT79">
        <v>0.2</v>
      </c>
      <c r="AU79" t="s">
        <v>24</v>
      </c>
      <c r="AV79">
        <v>0</v>
      </c>
      <c r="AW79">
        <v>2</v>
      </c>
      <c r="AX79">
        <v>60256883</v>
      </c>
      <c r="AY79">
        <v>1</v>
      </c>
      <c r="AZ79">
        <v>0</v>
      </c>
      <c r="BA79">
        <v>103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CV79">
        <v>0</v>
      </c>
      <c r="CW79">
        <v>0</v>
      </c>
      <c r="CX79">
        <f>ROUND(Y79*Source!I131,9)</f>
        <v>8.0000000000000002E-3</v>
      </c>
      <c r="CY79">
        <f>AA79</f>
        <v>104.63</v>
      </c>
      <c r="CZ79">
        <f>AE79</f>
        <v>104.63</v>
      </c>
      <c r="DA79">
        <f>AI79</f>
        <v>1</v>
      </c>
      <c r="DB79">
        <f>ROUND((ROUND(AT79*CZ79,2)*1),6)</f>
        <v>20.93</v>
      </c>
      <c r="DC79">
        <f>ROUND((ROUND(AT79*AG79,2)*1),6)</f>
        <v>0</v>
      </c>
      <c r="DD79" t="s">
        <v>3</v>
      </c>
      <c r="DE79" t="s">
        <v>3</v>
      </c>
      <c r="DF79">
        <f t="shared" si="17"/>
        <v>0.84</v>
      </c>
      <c r="DG79">
        <f t="shared" si="14"/>
        <v>0</v>
      </c>
      <c r="DH79">
        <f t="shared" si="15"/>
        <v>0</v>
      </c>
      <c r="DI79">
        <f t="shared" si="16"/>
        <v>0</v>
      </c>
      <c r="DJ79">
        <f>DF79</f>
        <v>0.84</v>
      </c>
      <c r="DK79">
        <v>0</v>
      </c>
      <c r="DL79" t="s">
        <v>3</v>
      </c>
      <c r="DM79">
        <v>0</v>
      </c>
      <c r="DN79" t="s">
        <v>3</v>
      </c>
      <c r="DO79">
        <v>0</v>
      </c>
    </row>
    <row r="80" spans="1:119" x14ac:dyDescent="0.2">
      <c r="A80">
        <f>ROW(Source!A131)</f>
        <v>131</v>
      </c>
      <c r="B80">
        <v>60256405</v>
      </c>
      <c r="C80">
        <v>60256697</v>
      </c>
      <c r="D80">
        <v>59041461</v>
      </c>
      <c r="E80">
        <v>1</v>
      </c>
      <c r="F80">
        <v>1</v>
      </c>
      <c r="G80">
        <v>1080</v>
      </c>
      <c r="H80">
        <v>3</v>
      </c>
      <c r="I80" t="s">
        <v>322</v>
      </c>
      <c r="J80" t="s">
        <v>323</v>
      </c>
      <c r="K80" t="s">
        <v>324</v>
      </c>
      <c r="L80">
        <v>1355</v>
      </c>
      <c r="N80">
        <v>1010</v>
      </c>
      <c r="O80" t="s">
        <v>200</v>
      </c>
      <c r="P80" t="s">
        <v>200</v>
      </c>
      <c r="Q80">
        <v>100</v>
      </c>
      <c r="W80">
        <v>0</v>
      </c>
      <c r="X80">
        <v>558684665</v>
      </c>
      <c r="Y80">
        <f>(AT80*1)</f>
        <v>2</v>
      </c>
      <c r="AA80">
        <v>10.6</v>
      </c>
      <c r="AB80">
        <v>0</v>
      </c>
      <c r="AC80">
        <v>0</v>
      </c>
      <c r="AD80">
        <v>0</v>
      </c>
      <c r="AE80">
        <v>10.6</v>
      </c>
      <c r="AF80">
        <v>0</v>
      </c>
      <c r="AG80">
        <v>0</v>
      </c>
      <c r="AH80">
        <v>0</v>
      </c>
      <c r="AI80">
        <v>1</v>
      </c>
      <c r="AJ80">
        <v>1</v>
      </c>
      <c r="AK80">
        <v>1</v>
      </c>
      <c r="AL80">
        <v>1</v>
      </c>
      <c r="AM80">
        <v>-2</v>
      </c>
      <c r="AN80">
        <v>0</v>
      </c>
      <c r="AO80">
        <v>1</v>
      </c>
      <c r="AP80">
        <v>1</v>
      </c>
      <c r="AQ80">
        <v>0</v>
      </c>
      <c r="AR80">
        <v>0</v>
      </c>
      <c r="AS80" t="s">
        <v>3</v>
      </c>
      <c r="AT80">
        <v>2</v>
      </c>
      <c r="AU80" t="s">
        <v>24</v>
      </c>
      <c r="AV80">
        <v>0</v>
      </c>
      <c r="AW80">
        <v>2</v>
      </c>
      <c r="AX80">
        <v>60256884</v>
      </c>
      <c r="AY80">
        <v>1</v>
      </c>
      <c r="AZ80">
        <v>0</v>
      </c>
      <c r="BA80">
        <v>104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CV80">
        <v>0</v>
      </c>
      <c r="CW80">
        <v>0</v>
      </c>
      <c r="CX80">
        <f>ROUND(Y80*Source!I131,9)</f>
        <v>0.08</v>
      </c>
      <c r="CY80">
        <f>AA80</f>
        <v>10.6</v>
      </c>
      <c r="CZ80">
        <f>AE80</f>
        <v>10.6</v>
      </c>
      <c r="DA80">
        <f>AI80</f>
        <v>1</v>
      </c>
      <c r="DB80">
        <f>ROUND((ROUND(AT80*CZ80,2)*1),6)</f>
        <v>21.2</v>
      </c>
      <c r="DC80">
        <f>ROUND((ROUND(AT80*AG80,2)*1),6)</f>
        <v>0</v>
      </c>
      <c r="DD80" t="s">
        <v>3</v>
      </c>
      <c r="DE80" t="s">
        <v>3</v>
      </c>
      <c r="DF80">
        <f t="shared" si="17"/>
        <v>0.85</v>
      </c>
      <c r="DG80">
        <f t="shared" si="14"/>
        <v>0</v>
      </c>
      <c r="DH80">
        <f t="shared" si="15"/>
        <v>0</v>
      </c>
      <c r="DI80">
        <f t="shared" si="16"/>
        <v>0</v>
      </c>
      <c r="DJ80">
        <f>DF80</f>
        <v>0.85</v>
      </c>
      <c r="DK80">
        <v>0</v>
      </c>
      <c r="DL80" t="s">
        <v>3</v>
      </c>
      <c r="DM80">
        <v>0</v>
      </c>
      <c r="DN80" t="s">
        <v>3</v>
      </c>
      <c r="DO80">
        <v>0</v>
      </c>
    </row>
    <row r="81" spans="1:119" x14ac:dyDescent="0.2">
      <c r="A81">
        <f>ROW(Source!A131)</f>
        <v>131</v>
      </c>
      <c r="B81">
        <v>60256405</v>
      </c>
      <c r="C81">
        <v>60256697</v>
      </c>
      <c r="D81">
        <v>59004256</v>
      </c>
      <c r="E81">
        <v>1080</v>
      </c>
      <c r="F81">
        <v>1</v>
      </c>
      <c r="G81">
        <v>1080</v>
      </c>
      <c r="H81">
        <v>3</v>
      </c>
      <c r="I81" t="s">
        <v>290</v>
      </c>
      <c r="J81" t="s">
        <v>3</v>
      </c>
      <c r="K81" t="s">
        <v>291</v>
      </c>
      <c r="L81">
        <v>1348</v>
      </c>
      <c r="N81">
        <v>1009</v>
      </c>
      <c r="O81" t="s">
        <v>283</v>
      </c>
      <c r="P81" t="s">
        <v>283</v>
      </c>
      <c r="Q81">
        <v>1000</v>
      </c>
      <c r="W81">
        <v>0</v>
      </c>
      <c r="X81">
        <v>-783086922</v>
      </c>
      <c r="Y81">
        <f>(AT81*1)</f>
        <v>0.03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1</v>
      </c>
      <c r="AJ81">
        <v>1</v>
      </c>
      <c r="AK81">
        <v>1</v>
      </c>
      <c r="AL81">
        <v>1</v>
      </c>
      <c r="AM81">
        <v>-2</v>
      </c>
      <c r="AN81">
        <v>0</v>
      </c>
      <c r="AO81">
        <v>1</v>
      </c>
      <c r="AP81">
        <v>1</v>
      </c>
      <c r="AQ81">
        <v>0</v>
      </c>
      <c r="AR81">
        <v>0</v>
      </c>
      <c r="AS81" t="s">
        <v>3</v>
      </c>
      <c r="AT81">
        <v>0.03</v>
      </c>
      <c r="AU81" t="s">
        <v>24</v>
      </c>
      <c r="AV81">
        <v>0</v>
      </c>
      <c r="AW81">
        <v>2</v>
      </c>
      <c r="AX81">
        <v>60256886</v>
      </c>
      <c r="AY81">
        <v>1</v>
      </c>
      <c r="AZ81">
        <v>0</v>
      </c>
      <c r="BA81">
        <v>106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CV81">
        <v>0</v>
      </c>
      <c r="CW81">
        <v>0</v>
      </c>
      <c r="CX81">
        <f>ROUND(Y81*Source!I131,9)</f>
        <v>1.1999999999999999E-3</v>
      </c>
      <c r="CY81">
        <f>AA81</f>
        <v>0</v>
      </c>
      <c r="CZ81">
        <f>AE81</f>
        <v>0</v>
      </c>
      <c r="DA81">
        <f>AI81</f>
        <v>1</v>
      </c>
      <c r="DB81">
        <f>ROUND((ROUND(AT81*CZ81,2)*1),6)</f>
        <v>0</v>
      </c>
      <c r="DC81">
        <f>ROUND((ROUND(AT81*AG81,2)*1),6)</f>
        <v>0</v>
      </c>
      <c r="DD81" t="s">
        <v>3</v>
      </c>
      <c r="DE81" t="s">
        <v>3</v>
      </c>
      <c r="DF81">
        <f t="shared" si="17"/>
        <v>0</v>
      </c>
      <c r="DG81">
        <f t="shared" si="14"/>
        <v>0</v>
      </c>
      <c r="DH81">
        <f t="shared" si="15"/>
        <v>0</v>
      </c>
      <c r="DI81">
        <f t="shared" si="16"/>
        <v>0</v>
      </c>
      <c r="DJ81">
        <f>DF81</f>
        <v>0</v>
      </c>
      <c r="DK81">
        <v>0</v>
      </c>
      <c r="DL81" t="s">
        <v>3</v>
      </c>
      <c r="DM81">
        <v>0</v>
      </c>
      <c r="DN81" t="s">
        <v>3</v>
      </c>
      <c r="DO81">
        <v>0</v>
      </c>
    </row>
    <row r="82" spans="1:119" x14ac:dyDescent="0.2">
      <c r="A82">
        <f>ROW(Source!A132)</f>
        <v>132</v>
      </c>
      <c r="B82">
        <v>60256402</v>
      </c>
      <c r="C82">
        <v>60256697</v>
      </c>
      <c r="D82">
        <v>58999254</v>
      </c>
      <c r="E82">
        <v>1080</v>
      </c>
      <c r="F82">
        <v>1</v>
      </c>
      <c r="G82">
        <v>1080</v>
      </c>
      <c r="H82">
        <v>1</v>
      </c>
      <c r="I82" t="s">
        <v>269</v>
      </c>
      <c r="J82" t="s">
        <v>3</v>
      </c>
      <c r="K82" t="s">
        <v>270</v>
      </c>
      <c r="L82">
        <v>1191</v>
      </c>
      <c r="N82">
        <v>1013</v>
      </c>
      <c r="O82" t="s">
        <v>271</v>
      </c>
      <c r="P82" t="s">
        <v>271</v>
      </c>
      <c r="Q82">
        <v>1</v>
      </c>
      <c r="W82">
        <v>0</v>
      </c>
      <c r="X82">
        <v>476480486</v>
      </c>
      <c r="Y82">
        <f>(AT82*1.1)</f>
        <v>26.400000000000002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1</v>
      </c>
      <c r="AJ82">
        <v>1</v>
      </c>
      <c r="AK82">
        <v>1</v>
      </c>
      <c r="AL82">
        <v>1</v>
      </c>
      <c r="AM82">
        <v>5</v>
      </c>
      <c r="AN82">
        <v>0</v>
      </c>
      <c r="AO82">
        <v>1</v>
      </c>
      <c r="AP82">
        <v>1</v>
      </c>
      <c r="AQ82">
        <v>0</v>
      </c>
      <c r="AR82">
        <v>0</v>
      </c>
      <c r="AS82" t="s">
        <v>3</v>
      </c>
      <c r="AT82">
        <v>24</v>
      </c>
      <c r="AU82" t="s">
        <v>25</v>
      </c>
      <c r="AV82">
        <v>1</v>
      </c>
      <c r="AW82">
        <v>2</v>
      </c>
      <c r="AX82">
        <v>60256881</v>
      </c>
      <c r="AY82">
        <v>1</v>
      </c>
      <c r="AZ82">
        <v>0</v>
      </c>
      <c r="BA82">
        <v>107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CU82">
        <f>ROUND(AT82*Source!I132*AH82*AL82,2)</f>
        <v>0</v>
      </c>
      <c r="CV82">
        <f>ROUND(Y82*Source!I132,9)</f>
        <v>1.056</v>
      </c>
      <c r="CW82">
        <v>0</v>
      </c>
      <c r="CX82">
        <f>ROUND(Y82*Source!I132,9)</f>
        <v>1.056</v>
      </c>
      <c r="CY82">
        <f>AD82</f>
        <v>0</v>
      </c>
      <c r="CZ82">
        <f>AH82</f>
        <v>0</v>
      </c>
      <c r="DA82">
        <f>AL82</f>
        <v>1</v>
      </c>
      <c r="DB82">
        <f>ROUND((ROUND(AT82*CZ82,2)*1.1),6)</f>
        <v>0</v>
      </c>
      <c r="DC82">
        <f>ROUND((ROUND(AT82*AG82,2)*1.1),6)</f>
        <v>0</v>
      </c>
      <c r="DD82" t="s">
        <v>3</v>
      </c>
      <c r="DE82" t="s">
        <v>3</v>
      </c>
      <c r="DF82">
        <f t="shared" si="17"/>
        <v>0</v>
      </c>
      <c r="DG82">
        <f t="shared" si="14"/>
        <v>0</v>
      </c>
      <c r="DH82">
        <f t="shared" si="15"/>
        <v>0</v>
      </c>
      <c r="DI82">
        <f t="shared" si="16"/>
        <v>0</v>
      </c>
      <c r="DJ82">
        <f>DI82</f>
        <v>0</v>
      </c>
      <c r="DK82">
        <v>0</v>
      </c>
      <c r="DL82" t="s">
        <v>3</v>
      </c>
      <c r="DM82">
        <v>0</v>
      </c>
      <c r="DN82" t="s">
        <v>3</v>
      </c>
      <c r="DO82">
        <v>0</v>
      </c>
    </row>
    <row r="83" spans="1:119" x14ac:dyDescent="0.2">
      <c r="A83">
        <f>ROW(Source!A132)</f>
        <v>132</v>
      </c>
      <c r="B83">
        <v>60256402</v>
      </c>
      <c r="C83">
        <v>60256697</v>
      </c>
      <c r="D83">
        <v>59039576</v>
      </c>
      <c r="E83">
        <v>1</v>
      </c>
      <c r="F83">
        <v>1</v>
      </c>
      <c r="G83">
        <v>1080</v>
      </c>
      <c r="H83">
        <v>3</v>
      </c>
      <c r="I83" t="s">
        <v>319</v>
      </c>
      <c r="J83" t="s">
        <v>320</v>
      </c>
      <c r="K83" t="s">
        <v>321</v>
      </c>
      <c r="L83">
        <v>1348</v>
      </c>
      <c r="N83">
        <v>1009</v>
      </c>
      <c r="O83" t="s">
        <v>283</v>
      </c>
      <c r="P83" t="s">
        <v>283</v>
      </c>
      <c r="Q83">
        <v>1000</v>
      </c>
      <c r="W83">
        <v>0</v>
      </c>
      <c r="X83">
        <v>1286623552</v>
      </c>
      <c r="Y83">
        <f>(AT83*1)</f>
        <v>6.0000000000000001E-3</v>
      </c>
      <c r="AA83">
        <v>65214.45</v>
      </c>
      <c r="AB83">
        <v>0</v>
      </c>
      <c r="AC83">
        <v>0</v>
      </c>
      <c r="AD83">
        <v>0</v>
      </c>
      <c r="AE83">
        <v>7246.05</v>
      </c>
      <c r="AF83">
        <v>0</v>
      </c>
      <c r="AG83">
        <v>0</v>
      </c>
      <c r="AH83">
        <v>0</v>
      </c>
      <c r="AI83">
        <v>9</v>
      </c>
      <c r="AJ83">
        <v>1</v>
      </c>
      <c r="AK83">
        <v>1</v>
      </c>
      <c r="AL83">
        <v>1</v>
      </c>
      <c r="AM83">
        <v>2</v>
      </c>
      <c r="AN83">
        <v>0</v>
      </c>
      <c r="AO83">
        <v>1</v>
      </c>
      <c r="AP83">
        <v>1</v>
      </c>
      <c r="AQ83">
        <v>0</v>
      </c>
      <c r="AR83">
        <v>0</v>
      </c>
      <c r="AS83" t="s">
        <v>3</v>
      </c>
      <c r="AT83">
        <v>6.0000000000000001E-3</v>
      </c>
      <c r="AU83" t="s">
        <v>24</v>
      </c>
      <c r="AV83">
        <v>0</v>
      </c>
      <c r="AW83">
        <v>2</v>
      </c>
      <c r="AX83">
        <v>60256882</v>
      </c>
      <c r="AY83">
        <v>1</v>
      </c>
      <c r="AZ83">
        <v>0</v>
      </c>
      <c r="BA83">
        <v>108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CV83">
        <v>0</v>
      </c>
      <c r="CW83">
        <v>0</v>
      </c>
      <c r="CX83">
        <f>ROUND(Y83*Source!I132,9)</f>
        <v>2.4000000000000001E-4</v>
      </c>
      <c r="CY83">
        <f>AA83</f>
        <v>65214.45</v>
      </c>
      <c r="CZ83">
        <f>AE83</f>
        <v>7246.05</v>
      </c>
      <c r="DA83">
        <f>AI83</f>
        <v>9</v>
      </c>
      <c r="DB83">
        <f>ROUND((ROUND(AT83*CZ83,2)*1),6)</f>
        <v>43.48</v>
      </c>
      <c r="DC83">
        <f>ROUND((ROUND(AT83*AG83,2)*1),6)</f>
        <v>0</v>
      </c>
      <c r="DD83" t="s">
        <v>3</v>
      </c>
      <c r="DE83" t="s">
        <v>3</v>
      </c>
      <c r="DF83">
        <f>ROUND(ROUND(AE83*AI83,2)*CX83,2)</f>
        <v>15.65</v>
      </c>
      <c r="DG83">
        <f t="shared" si="14"/>
        <v>0</v>
      </c>
      <c r="DH83">
        <f t="shared" si="15"/>
        <v>0</v>
      </c>
      <c r="DI83">
        <f t="shared" si="16"/>
        <v>0</v>
      </c>
      <c r="DJ83">
        <f>DF83</f>
        <v>15.65</v>
      </c>
      <c r="DK83">
        <v>0</v>
      </c>
      <c r="DL83" t="s">
        <v>3</v>
      </c>
      <c r="DM83">
        <v>0</v>
      </c>
      <c r="DN83" t="s">
        <v>3</v>
      </c>
      <c r="DO83">
        <v>0</v>
      </c>
    </row>
    <row r="84" spans="1:119" x14ac:dyDescent="0.2">
      <c r="A84">
        <f>ROW(Source!A132)</f>
        <v>132</v>
      </c>
      <c r="B84">
        <v>60256402</v>
      </c>
      <c r="C84">
        <v>60256697</v>
      </c>
      <c r="D84">
        <v>59039985</v>
      </c>
      <c r="E84">
        <v>1</v>
      </c>
      <c r="F84">
        <v>1</v>
      </c>
      <c r="G84">
        <v>1080</v>
      </c>
      <c r="H84">
        <v>3</v>
      </c>
      <c r="I84" t="s">
        <v>277</v>
      </c>
      <c r="J84" t="s">
        <v>278</v>
      </c>
      <c r="K84" t="s">
        <v>279</v>
      </c>
      <c r="L84">
        <v>1346</v>
      </c>
      <c r="N84">
        <v>1009</v>
      </c>
      <c r="O84" t="s">
        <v>70</v>
      </c>
      <c r="P84" t="s">
        <v>70</v>
      </c>
      <c r="Q84">
        <v>1</v>
      </c>
      <c r="W84">
        <v>0</v>
      </c>
      <c r="X84">
        <v>444134433</v>
      </c>
      <c r="Y84">
        <f>(AT84*1)</f>
        <v>0.2</v>
      </c>
      <c r="AA84">
        <v>183.1</v>
      </c>
      <c r="AB84">
        <v>0</v>
      </c>
      <c r="AC84">
        <v>0</v>
      </c>
      <c r="AD84">
        <v>0</v>
      </c>
      <c r="AE84">
        <v>104.63</v>
      </c>
      <c r="AF84">
        <v>0</v>
      </c>
      <c r="AG84">
        <v>0</v>
      </c>
      <c r="AH84">
        <v>0</v>
      </c>
      <c r="AI84">
        <v>1.75</v>
      </c>
      <c r="AJ84">
        <v>1</v>
      </c>
      <c r="AK84">
        <v>1</v>
      </c>
      <c r="AL84">
        <v>1</v>
      </c>
      <c r="AM84">
        <v>2</v>
      </c>
      <c r="AN84">
        <v>0</v>
      </c>
      <c r="AO84">
        <v>1</v>
      </c>
      <c r="AP84">
        <v>1</v>
      </c>
      <c r="AQ84">
        <v>0</v>
      </c>
      <c r="AR84">
        <v>0</v>
      </c>
      <c r="AS84" t="s">
        <v>3</v>
      </c>
      <c r="AT84">
        <v>0.2</v>
      </c>
      <c r="AU84" t="s">
        <v>24</v>
      </c>
      <c r="AV84">
        <v>0</v>
      </c>
      <c r="AW84">
        <v>2</v>
      </c>
      <c r="AX84">
        <v>60256883</v>
      </c>
      <c r="AY84">
        <v>1</v>
      </c>
      <c r="AZ84">
        <v>0</v>
      </c>
      <c r="BA84">
        <v>109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CV84">
        <v>0</v>
      </c>
      <c r="CW84">
        <v>0</v>
      </c>
      <c r="CX84">
        <f>ROUND(Y84*Source!I132,9)</f>
        <v>8.0000000000000002E-3</v>
      </c>
      <c r="CY84">
        <f>AA84</f>
        <v>183.1</v>
      </c>
      <c r="CZ84">
        <f>AE84</f>
        <v>104.63</v>
      </c>
      <c r="DA84">
        <f>AI84</f>
        <v>1.75</v>
      </c>
      <c r="DB84">
        <f>ROUND((ROUND(AT84*CZ84,2)*1),6)</f>
        <v>20.93</v>
      </c>
      <c r="DC84">
        <f>ROUND((ROUND(AT84*AG84,2)*1),6)</f>
        <v>0</v>
      </c>
      <c r="DD84" t="s">
        <v>3</v>
      </c>
      <c r="DE84" t="s">
        <v>3</v>
      </c>
      <c r="DF84">
        <f>ROUND(ROUND(AE84*AI84,2)*CX84,2)</f>
        <v>1.46</v>
      </c>
      <c r="DG84">
        <f t="shared" si="14"/>
        <v>0</v>
      </c>
      <c r="DH84">
        <f t="shared" si="15"/>
        <v>0</v>
      </c>
      <c r="DI84">
        <f t="shared" si="16"/>
        <v>0</v>
      </c>
      <c r="DJ84">
        <f>DF84</f>
        <v>1.46</v>
      </c>
      <c r="DK84">
        <v>0</v>
      </c>
      <c r="DL84" t="s">
        <v>3</v>
      </c>
      <c r="DM84">
        <v>0</v>
      </c>
      <c r="DN84" t="s">
        <v>3</v>
      </c>
      <c r="DO84">
        <v>0</v>
      </c>
    </row>
    <row r="85" spans="1:119" x14ac:dyDescent="0.2">
      <c r="A85">
        <f>ROW(Source!A132)</f>
        <v>132</v>
      </c>
      <c r="B85">
        <v>60256402</v>
      </c>
      <c r="C85">
        <v>60256697</v>
      </c>
      <c r="D85">
        <v>59041461</v>
      </c>
      <c r="E85">
        <v>1</v>
      </c>
      <c r="F85">
        <v>1</v>
      </c>
      <c r="G85">
        <v>1080</v>
      </c>
      <c r="H85">
        <v>3</v>
      </c>
      <c r="I85" t="s">
        <v>322</v>
      </c>
      <c r="J85" t="s">
        <v>323</v>
      </c>
      <c r="K85" t="s">
        <v>324</v>
      </c>
      <c r="L85">
        <v>1355</v>
      </c>
      <c r="N85">
        <v>1010</v>
      </c>
      <c r="O85" t="s">
        <v>200</v>
      </c>
      <c r="P85" t="s">
        <v>200</v>
      </c>
      <c r="Q85">
        <v>100</v>
      </c>
      <c r="W85">
        <v>0</v>
      </c>
      <c r="X85">
        <v>558684665</v>
      </c>
      <c r="Y85">
        <f>(AT85*1)</f>
        <v>2</v>
      </c>
      <c r="AA85">
        <v>20.88</v>
      </c>
      <c r="AB85">
        <v>0</v>
      </c>
      <c r="AC85">
        <v>0</v>
      </c>
      <c r="AD85">
        <v>0</v>
      </c>
      <c r="AE85">
        <v>10.6</v>
      </c>
      <c r="AF85">
        <v>0</v>
      </c>
      <c r="AG85">
        <v>0</v>
      </c>
      <c r="AH85">
        <v>0</v>
      </c>
      <c r="AI85">
        <v>1.97</v>
      </c>
      <c r="AJ85">
        <v>1</v>
      </c>
      <c r="AK85">
        <v>1</v>
      </c>
      <c r="AL85">
        <v>1</v>
      </c>
      <c r="AM85">
        <v>2</v>
      </c>
      <c r="AN85">
        <v>0</v>
      </c>
      <c r="AO85">
        <v>1</v>
      </c>
      <c r="AP85">
        <v>1</v>
      </c>
      <c r="AQ85">
        <v>0</v>
      </c>
      <c r="AR85">
        <v>0</v>
      </c>
      <c r="AS85" t="s">
        <v>3</v>
      </c>
      <c r="AT85">
        <v>2</v>
      </c>
      <c r="AU85" t="s">
        <v>24</v>
      </c>
      <c r="AV85">
        <v>0</v>
      </c>
      <c r="AW85">
        <v>2</v>
      </c>
      <c r="AX85">
        <v>60256884</v>
      </c>
      <c r="AY85">
        <v>1</v>
      </c>
      <c r="AZ85">
        <v>0</v>
      </c>
      <c r="BA85">
        <v>110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CV85">
        <v>0</v>
      </c>
      <c r="CW85">
        <v>0</v>
      </c>
      <c r="CX85">
        <f>ROUND(Y85*Source!I132,9)</f>
        <v>0.08</v>
      </c>
      <c r="CY85">
        <f>AA85</f>
        <v>20.88</v>
      </c>
      <c r="CZ85">
        <f>AE85</f>
        <v>10.6</v>
      </c>
      <c r="DA85">
        <f>AI85</f>
        <v>1.97</v>
      </c>
      <c r="DB85">
        <f>ROUND((ROUND(AT85*CZ85,2)*1),6)</f>
        <v>21.2</v>
      </c>
      <c r="DC85">
        <f>ROUND((ROUND(AT85*AG85,2)*1),6)</f>
        <v>0</v>
      </c>
      <c r="DD85" t="s">
        <v>3</v>
      </c>
      <c r="DE85" t="s">
        <v>3</v>
      </c>
      <c r="DF85">
        <f>ROUND(ROUND(AE85*AI85,2)*CX85,2)</f>
        <v>1.67</v>
      </c>
      <c r="DG85">
        <f t="shared" si="14"/>
        <v>0</v>
      </c>
      <c r="DH85">
        <f t="shared" si="15"/>
        <v>0</v>
      </c>
      <c r="DI85">
        <f t="shared" si="16"/>
        <v>0</v>
      </c>
      <c r="DJ85">
        <f>DF85</f>
        <v>1.67</v>
      </c>
      <c r="DK85">
        <v>0</v>
      </c>
      <c r="DL85" t="s">
        <v>3</v>
      </c>
      <c r="DM85">
        <v>0</v>
      </c>
      <c r="DN85" t="s">
        <v>3</v>
      </c>
      <c r="DO85">
        <v>0</v>
      </c>
    </row>
    <row r="86" spans="1:119" x14ac:dyDescent="0.2">
      <c r="A86">
        <f>ROW(Source!A132)</f>
        <v>132</v>
      </c>
      <c r="B86">
        <v>60256402</v>
      </c>
      <c r="C86">
        <v>60256697</v>
      </c>
      <c r="D86">
        <v>59004256</v>
      </c>
      <c r="E86">
        <v>1080</v>
      </c>
      <c r="F86">
        <v>1</v>
      </c>
      <c r="G86">
        <v>1080</v>
      </c>
      <c r="H86">
        <v>3</v>
      </c>
      <c r="I86" t="s">
        <v>290</v>
      </c>
      <c r="J86" t="s">
        <v>3</v>
      </c>
      <c r="K86" t="s">
        <v>291</v>
      </c>
      <c r="L86">
        <v>1348</v>
      </c>
      <c r="N86">
        <v>1009</v>
      </c>
      <c r="O86" t="s">
        <v>283</v>
      </c>
      <c r="P86" t="s">
        <v>283</v>
      </c>
      <c r="Q86">
        <v>1000</v>
      </c>
      <c r="W86">
        <v>0</v>
      </c>
      <c r="X86">
        <v>-783086922</v>
      </c>
      <c r="Y86">
        <f>(AT86*1)</f>
        <v>0.03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9.8800000000000008</v>
      </c>
      <c r="AJ86">
        <v>1</v>
      </c>
      <c r="AK86">
        <v>1</v>
      </c>
      <c r="AL86">
        <v>1</v>
      </c>
      <c r="AM86">
        <v>5</v>
      </c>
      <c r="AN86">
        <v>0</v>
      </c>
      <c r="AO86">
        <v>1</v>
      </c>
      <c r="AP86">
        <v>1</v>
      </c>
      <c r="AQ86">
        <v>0</v>
      </c>
      <c r="AR86">
        <v>0</v>
      </c>
      <c r="AS86" t="s">
        <v>3</v>
      </c>
      <c r="AT86">
        <v>0.03</v>
      </c>
      <c r="AU86" t="s">
        <v>24</v>
      </c>
      <c r="AV86">
        <v>0</v>
      </c>
      <c r="AW86">
        <v>2</v>
      </c>
      <c r="AX86">
        <v>60256886</v>
      </c>
      <c r="AY86">
        <v>1</v>
      </c>
      <c r="AZ86">
        <v>0</v>
      </c>
      <c r="BA86">
        <v>112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CV86">
        <v>0</v>
      </c>
      <c r="CW86">
        <v>0</v>
      </c>
      <c r="CX86">
        <f>ROUND(Y86*Source!I132,9)</f>
        <v>1.1999999999999999E-3</v>
      </c>
      <c r="CY86">
        <f>AA86</f>
        <v>0</v>
      </c>
      <c r="CZ86">
        <f>AE86</f>
        <v>0</v>
      </c>
      <c r="DA86">
        <f>AI86</f>
        <v>9.8800000000000008</v>
      </c>
      <c r="DB86">
        <f>ROUND((ROUND(AT86*CZ86,2)*1),6)</f>
        <v>0</v>
      </c>
      <c r="DC86">
        <f>ROUND((ROUND(AT86*AG86,2)*1),6)</f>
        <v>0</v>
      </c>
      <c r="DD86" t="s">
        <v>3</v>
      </c>
      <c r="DE86" t="s">
        <v>3</v>
      </c>
      <c r="DF86">
        <f>ROUND(ROUND(AE86*AI86,2)*CX86,2)</f>
        <v>0</v>
      </c>
      <c r="DG86">
        <f t="shared" si="14"/>
        <v>0</v>
      </c>
      <c r="DH86">
        <f t="shared" si="15"/>
        <v>0</v>
      </c>
      <c r="DI86">
        <f t="shared" si="16"/>
        <v>0</v>
      </c>
      <c r="DJ86">
        <f>DF86</f>
        <v>0</v>
      </c>
      <c r="DK86">
        <v>0</v>
      </c>
      <c r="DL86" t="s">
        <v>3</v>
      </c>
      <c r="DM86">
        <v>0</v>
      </c>
      <c r="DN86" t="s">
        <v>3</v>
      </c>
      <c r="DO86">
        <v>0</v>
      </c>
    </row>
    <row r="87" spans="1:119" x14ac:dyDescent="0.2">
      <c r="A87">
        <f>ROW(Source!A135)</f>
        <v>135</v>
      </c>
      <c r="B87">
        <v>60256405</v>
      </c>
      <c r="C87">
        <v>60256710</v>
      </c>
      <c r="D87">
        <v>58999254</v>
      </c>
      <c r="E87">
        <v>1080</v>
      </c>
      <c r="F87">
        <v>1</v>
      </c>
      <c r="G87">
        <v>1080</v>
      </c>
      <c r="H87">
        <v>1</v>
      </c>
      <c r="I87" t="s">
        <v>269</v>
      </c>
      <c r="J87" t="s">
        <v>3</v>
      </c>
      <c r="K87" t="s">
        <v>270</v>
      </c>
      <c r="L87">
        <v>1191</v>
      </c>
      <c r="N87">
        <v>1013</v>
      </c>
      <c r="O87" t="s">
        <v>271</v>
      </c>
      <c r="P87" t="s">
        <v>271</v>
      </c>
      <c r="Q87">
        <v>1</v>
      </c>
      <c r="W87">
        <v>0</v>
      </c>
      <c r="X87">
        <v>476480486</v>
      </c>
      <c r="Y87">
        <f>(AT87*1.1)</f>
        <v>9.9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1</v>
      </c>
      <c r="AJ87">
        <v>1</v>
      </c>
      <c r="AK87">
        <v>1</v>
      </c>
      <c r="AL87">
        <v>1</v>
      </c>
      <c r="AM87">
        <v>-2</v>
      </c>
      <c r="AN87">
        <v>0</v>
      </c>
      <c r="AO87">
        <v>1</v>
      </c>
      <c r="AP87">
        <v>1</v>
      </c>
      <c r="AQ87">
        <v>0</v>
      </c>
      <c r="AR87">
        <v>0</v>
      </c>
      <c r="AS87" t="s">
        <v>3</v>
      </c>
      <c r="AT87">
        <v>9</v>
      </c>
      <c r="AU87" t="s">
        <v>25</v>
      </c>
      <c r="AV87">
        <v>1</v>
      </c>
      <c r="AW87">
        <v>2</v>
      </c>
      <c r="AX87">
        <v>60256887</v>
      </c>
      <c r="AY87">
        <v>1</v>
      </c>
      <c r="AZ87">
        <v>0</v>
      </c>
      <c r="BA87">
        <v>113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CU87">
        <f>ROUND(AT87*Source!I135*AH87*AL87,2)</f>
        <v>0</v>
      </c>
      <c r="CV87">
        <f>ROUND(Y87*Source!I135,9)</f>
        <v>9.9</v>
      </c>
      <c r="CW87">
        <v>0</v>
      </c>
      <c r="CX87">
        <f>ROUND(Y87*Source!I135,9)</f>
        <v>9.9</v>
      </c>
      <c r="CY87">
        <f>AD87</f>
        <v>0</v>
      </c>
      <c r="CZ87">
        <f>AH87</f>
        <v>0</v>
      </c>
      <c r="DA87">
        <f>AL87</f>
        <v>1</v>
      </c>
      <c r="DB87">
        <f>ROUND((ROUND(AT87*CZ87,2)*1.1),6)</f>
        <v>0</v>
      </c>
      <c r="DC87">
        <f>ROUND((ROUND(AT87*AG87,2)*1.1),6)</f>
        <v>0</v>
      </c>
      <c r="DD87" t="s">
        <v>3</v>
      </c>
      <c r="DE87" t="s">
        <v>3</v>
      </c>
      <c r="DF87">
        <f>ROUND(ROUND(AE87,2)*CX87,2)</f>
        <v>0</v>
      </c>
      <c r="DG87">
        <f t="shared" si="14"/>
        <v>0</v>
      </c>
      <c r="DH87">
        <f t="shared" si="15"/>
        <v>0</v>
      </c>
      <c r="DI87">
        <f t="shared" si="16"/>
        <v>0</v>
      </c>
      <c r="DJ87">
        <f>DI87</f>
        <v>0</v>
      </c>
      <c r="DK87">
        <v>0</v>
      </c>
      <c r="DL87" t="s">
        <v>3</v>
      </c>
      <c r="DM87">
        <v>0</v>
      </c>
      <c r="DN87" t="s">
        <v>3</v>
      </c>
      <c r="DO87">
        <v>0</v>
      </c>
    </row>
    <row r="88" spans="1:119" x14ac:dyDescent="0.2">
      <c r="A88">
        <f>ROW(Source!A135)</f>
        <v>135</v>
      </c>
      <c r="B88">
        <v>60256405</v>
      </c>
      <c r="C88">
        <v>60256710</v>
      </c>
      <c r="D88">
        <v>59070788</v>
      </c>
      <c r="E88">
        <v>1</v>
      </c>
      <c r="F88">
        <v>1</v>
      </c>
      <c r="G88">
        <v>1080</v>
      </c>
      <c r="H88">
        <v>2</v>
      </c>
      <c r="I88" t="s">
        <v>304</v>
      </c>
      <c r="J88" t="s">
        <v>305</v>
      </c>
      <c r="K88" t="s">
        <v>306</v>
      </c>
      <c r="L88">
        <v>1368</v>
      </c>
      <c r="N88">
        <v>1011</v>
      </c>
      <c r="O88" t="s">
        <v>275</v>
      </c>
      <c r="P88" t="s">
        <v>275</v>
      </c>
      <c r="Q88">
        <v>1</v>
      </c>
      <c r="W88">
        <v>0</v>
      </c>
      <c r="X88">
        <v>2147454900</v>
      </c>
      <c r="Y88">
        <f>(AT88*1.1)</f>
        <v>0.24200000000000002</v>
      </c>
      <c r="AA88">
        <v>0</v>
      </c>
      <c r="AB88">
        <v>0.84</v>
      </c>
      <c r="AC88">
        <v>0</v>
      </c>
      <c r="AD88">
        <v>0</v>
      </c>
      <c r="AE88">
        <v>0</v>
      </c>
      <c r="AF88">
        <v>0.8</v>
      </c>
      <c r="AG88">
        <v>0</v>
      </c>
      <c r="AH88">
        <v>0</v>
      </c>
      <c r="AI88">
        <v>1</v>
      </c>
      <c r="AJ88">
        <v>1</v>
      </c>
      <c r="AK88">
        <v>1</v>
      </c>
      <c r="AL88">
        <v>1</v>
      </c>
      <c r="AM88">
        <v>-2</v>
      </c>
      <c r="AN88">
        <v>0</v>
      </c>
      <c r="AO88">
        <v>1</v>
      </c>
      <c r="AP88">
        <v>1</v>
      </c>
      <c r="AQ88">
        <v>0</v>
      </c>
      <c r="AR88">
        <v>0</v>
      </c>
      <c r="AS88" t="s">
        <v>3</v>
      </c>
      <c r="AT88">
        <v>0.22</v>
      </c>
      <c r="AU88" t="s">
        <v>25</v>
      </c>
      <c r="AV88">
        <v>0</v>
      </c>
      <c r="AW88">
        <v>2</v>
      </c>
      <c r="AX88">
        <v>60256888</v>
      </c>
      <c r="AY88">
        <v>1</v>
      </c>
      <c r="AZ88">
        <v>0</v>
      </c>
      <c r="BA88">
        <v>114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CV88">
        <v>0</v>
      </c>
      <c r="CW88">
        <f>ROUND(Y88*Source!I135*DO88,9)</f>
        <v>0</v>
      </c>
      <c r="CX88">
        <f>ROUND(Y88*Source!I135,9)</f>
        <v>0.24199999999999999</v>
      </c>
      <c r="CY88">
        <f>AB88</f>
        <v>0.84</v>
      </c>
      <c r="CZ88">
        <f>AF88</f>
        <v>0.8</v>
      </c>
      <c r="DA88">
        <f>AJ88</f>
        <v>1</v>
      </c>
      <c r="DB88">
        <f>ROUND((ROUND(AT88*CZ88,2)*1.1),6)</f>
        <v>0.19800000000000001</v>
      </c>
      <c r="DC88">
        <f>ROUND((ROUND(AT88*AG88,2)*1.1),6)</f>
        <v>0</v>
      </c>
      <c r="DD88" t="s">
        <v>3</v>
      </c>
      <c r="DE88" t="s">
        <v>3</v>
      </c>
      <c r="DF88">
        <f>ROUND(ROUND(AE88,2)*CX88,2)</f>
        <v>0</v>
      </c>
      <c r="DG88">
        <f t="shared" si="14"/>
        <v>0.19</v>
      </c>
      <c r="DH88">
        <f t="shared" si="15"/>
        <v>0</v>
      </c>
      <c r="DI88">
        <f t="shared" si="16"/>
        <v>0</v>
      </c>
      <c r="DJ88">
        <f>DG88</f>
        <v>0.19</v>
      </c>
      <c r="DK88">
        <v>0</v>
      </c>
      <c r="DL88" t="s">
        <v>3</v>
      </c>
      <c r="DM88">
        <v>0</v>
      </c>
      <c r="DN88" t="s">
        <v>3</v>
      </c>
      <c r="DO88">
        <v>0</v>
      </c>
    </row>
    <row r="89" spans="1:119" x14ac:dyDescent="0.2">
      <c r="A89">
        <f>ROW(Source!A135)</f>
        <v>135</v>
      </c>
      <c r="B89">
        <v>60256405</v>
      </c>
      <c r="C89">
        <v>60256710</v>
      </c>
      <c r="D89">
        <v>59039008</v>
      </c>
      <c r="E89">
        <v>1</v>
      </c>
      <c r="F89">
        <v>1</v>
      </c>
      <c r="G89">
        <v>1080</v>
      </c>
      <c r="H89">
        <v>3</v>
      </c>
      <c r="I89" t="s">
        <v>325</v>
      </c>
      <c r="J89" t="s">
        <v>326</v>
      </c>
      <c r="K89" t="s">
        <v>327</v>
      </c>
      <c r="L89">
        <v>1354</v>
      </c>
      <c r="N89">
        <v>1010</v>
      </c>
      <c r="O89" t="s">
        <v>33</v>
      </c>
      <c r="P89" t="s">
        <v>33</v>
      </c>
      <c r="Q89">
        <v>1</v>
      </c>
      <c r="W89">
        <v>0</v>
      </c>
      <c r="X89">
        <v>-40224714</v>
      </c>
      <c r="Y89">
        <f>(AT89*1)</f>
        <v>5</v>
      </c>
      <c r="AA89">
        <v>0.89</v>
      </c>
      <c r="AB89">
        <v>0</v>
      </c>
      <c r="AC89">
        <v>0</v>
      </c>
      <c r="AD89">
        <v>0</v>
      </c>
      <c r="AE89">
        <v>0.89</v>
      </c>
      <c r="AF89">
        <v>0</v>
      </c>
      <c r="AG89">
        <v>0</v>
      </c>
      <c r="AH89">
        <v>0</v>
      </c>
      <c r="AI89">
        <v>1</v>
      </c>
      <c r="AJ89">
        <v>1</v>
      </c>
      <c r="AK89">
        <v>1</v>
      </c>
      <c r="AL89">
        <v>1</v>
      </c>
      <c r="AM89">
        <v>-2</v>
      </c>
      <c r="AN89">
        <v>0</v>
      </c>
      <c r="AO89">
        <v>1</v>
      </c>
      <c r="AP89">
        <v>1</v>
      </c>
      <c r="AQ89">
        <v>0</v>
      </c>
      <c r="AR89">
        <v>0</v>
      </c>
      <c r="AS89" t="s">
        <v>3</v>
      </c>
      <c r="AT89">
        <v>5</v>
      </c>
      <c r="AU89" t="s">
        <v>24</v>
      </c>
      <c r="AV89">
        <v>0</v>
      </c>
      <c r="AW89">
        <v>2</v>
      </c>
      <c r="AX89">
        <v>60256889</v>
      </c>
      <c r="AY89">
        <v>1</v>
      </c>
      <c r="AZ89">
        <v>0</v>
      </c>
      <c r="BA89">
        <v>115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CV89">
        <v>0</v>
      </c>
      <c r="CW89">
        <v>0</v>
      </c>
      <c r="CX89">
        <f>ROUND(Y89*Source!I135,9)</f>
        <v>5</v>
      </c>
      <c r="CY89">
        <f>AA89</f>
        <v>0.89</v>
      </c>
      <c r="CZ89">
        <f>AE89</f>
        <v>0.89</v>
      </c>
      <c r="DA89">
        <f>AI89</f>
        <v>1</v>
      </c>
      <c r="DB89">
        <f>ROUND((ROUND(AT89*CZ89,2)*1),6)</f>
        <v>4.45</v>
      </c>
      <c r="DC89">
        <f>ROUND((ROUND(AT89*AG89,2)*1),6)</f>
        <v>0</v>
      </c>
      <c r="DD89" t="s">
        <v>3</v>
      </c>
      <c r="DE89" t="s">
        <v>3</v>
      </c>
      <c r="DF89">
        <f>ROUND(ROUND(AE89,2)*CX89,2)</f>
        <v>4.45</v>
      </c>
      <c r="DG89">
        <f t="shared" si="14"/>
        <v>0</v>
      </c>
      <c r="DH89">
        <f t="shared" si="15"/>
        <v>0</v>
      </c>
      <c r="DI89">
        <f t="shared" si="16"/>
        <v>0</v>
      </c>
      <c r="DJ89">
        <f>DF89</f>
        <v>4.45</v>
      </c>
      <c r="DK89">
        <v>0</v>
      </c>
      <c r="DL89" t="s">
        <v>3</v>
      </c>
      <c r="DM89">
        <v>0</v>
      </c>
      <c r="DN89" t="s">
        <v>3</v>
      </c>
      <c r="DO89">
        <v>0</v>
      </c>
    </row>
    <row r="90" spans="1:119" x14ac:dyDescent="0.2">
      <c r="A90">
        <f>ROW(Source!A136)</f>
        <v>136</v>
      </c>
      <c r="B90">
        <v>60256402</v>
      </c>
      <c r="C90">
        <v>60256710</v>
      </c>
      <c r="D90">
        <v>58999254</v>
      </c>
      <c r="E90">
        <v>1080</v>
      </c>
      <c r="F90">
        <v>1</v>
      </c>
      <c r="G90">
        <v>1080</v>
      </c>
      <c r="H90">
        <v>1</v>
      </c>
      <c r="I90" t="s">
        <v>269</v>
      </c>
      <c r="J90" t="s">
        <v>3</v>
      </c>
      <c r="K90" t="s">
        <v>270</v>
      </c>
      <c r="L90">
        <v>1191</v>
      </c>
      <c r="N90">
        <v>1013</v>
      </c>
      <c r="O90" t="s">
        <v>271</v>
      </c>
      <c r="P90" t="s">
        <v>271</v>
      </c>
      <c r="Q90">
        <v>1</v>
      </c>
      <c r="W90">
        <v>0</v>
      </c>
      <c r="X90">
        <v>476480486</v>
      </c>
      <c r="Y90">
        <f>(AT90*1.1)</f>
        <v>9.9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1</v>
      </c>
      <c r="AJ90">
        <v>1</v>
      </c>
      <c r="AK90">
        <v>1</v>
      </c>
      <c r="AL90">
        <v>1</v>
      </c>
      <c r="AM90">
        <v>5</v>
      </c>
      <c r="AN90">
        <v>0</v>
      </c>
      <c r="AO90">
        <v>1</v>
      </c>
      <c r="AP90">
        <v>1</v>
      </c>
      <c r="AQ90">
        <v>0</v>
      </c>
      <c r="AR90">
        <v>0</v>
      </c>
      <c r="AS90" t="s">
        <v>3</v>
      </c>
      <c r="AT90">
        <v>9</v>
      </c>
      <c r="AU90" t="s">
        <v>25</v>
      </c>
      <c r="AV90">
        <v>1</v>
      </c>
      <c r="AW90">
        <v>2</v>
      </c>
      <c r="AX90">
        <v>60256887</v>
      </c>
      <c r="AY90">
        <v>1</v>
      </c>
      <c r="AZ90">
        <v>0</v>
      </c>
      <c r="BA90">
        <v>117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CU90">
        <f>ROUND(AT90*Source!I136*AH90*AL90,2)</f>
        <v>0</v>
      </c>
      <c r="CV90">
        <f>ROUND(Y90*Source!I136,9)</f>
        <v>9.9</v>
      </c>
      <c r="CW90">
        <v>0</v>
      </c>
      <c r="CX90">
        <f>ROUND(Y90*Source!I136,9)</f>
        <v>9.9</v>
      </c>
      <c r="CY90">
        <f>AD90</f>
        <v>0</v>
      </c>
      <c r="CZ90">
        <f>AH90</f>
        <v>0</v>
      </c>
      <c r="DA90">
        <f>AL90</f>
        <v>1</v>
      </c>
      <c r="DB90">
        <f>ROUND((ROUND(AT90*CZ90,2)*1.1),6)</f>
        <v>0</v>
      </c>
      <c r="DC90">
        <f>ROUND((ROUND(AT90*AG90,2)*1.1),6)</f>
        <v>0</v>
      </c>
      <c r="DD90" t="s">
        <v>3</v>
      </c>
      <c r="DE90" t="s">
        <v>3</v>
      </c>
      <c r="DF90">
        <f>ROUND(ROUND(AE90,2)*CX90,2)</f>
        <v>0</v>
      </c>
      <c r="DG90">
        <f t="shared" si="14"/>
        <v>0</v>
      </c>
      <c r="DH90">
        <f t="shared" si="15"/>
        <v>0</v>
      </c>
      <c r="DI90">
        <f t="shared" si="16"/>
        <v>0</v>
      </c>
      <c r="DJ90">
        <f>DI90</f>
        <v>0</v>
      </c>
      <c r="DK90">
        <v>0</v>
      </c>
      <c r="DL90" t="s">
        <v>3</v>
      </c>
      <c r="DM90">
        <v>0</v>
      </c>
      <c r="DN90" t="s">
        <v>3</v>
      </c>
      <c r="DO90">
        <v>0</v>
      </c>
    </row>
    <row r="91" spans="1:119" x14ac:dyDescent="0.2">
      <c r="A91">
        <f>ROW(Source!A136)</f>
        <v>136</v>
      </c>
      <c r="B91">
        <v>60256402</v>
      </c>
      <c r="C91">
        <v>60256710</v>
      </c>
      <c r="D91">
        <v>59070788</v>
      </c>
      <c r="E91">
        <v>1</v>
      </c>
      <c r="F91">
        <v>1</v>
      </c>
      <c r="G91">
        <v>1080</v>
      </c>
      <c r="H91">
        <v>2</v>
      </c>
      <c r="I91" t="s">
        <v>304</v>
      </c>
      <c r="J91" t="s">
        <v>305</v>
      </c>
      <c r="K91" t="s">
        <v>306</v>
      </c>
      <c r="L91">
        <v>1368</v>
      </c>
      <c r="N91">
        <v>1011</v>
      </c>
      <c r="O91" t="s">
        <v>275</v>
      </c>
      <c r="P91" t="s">
        <v>275</v>
      </c>
      <c r="Q91">
        <v>1</v>
      </c>
      <c r="W91">
        <v>0</v>
      </c>
      <c r="X91">
        <v>2147454900</v>
      </c>
      <c r="Y91">
        <f>(AT91*1.1)</f>
        <v>0.24200000000000002</v>
      </c>
      <c r="AA91">
        <v>0</v>
      </c>
      <c r="AB91">
        <v>7.19</v>
      </c>
      <c r="AC91">
        <v>0</v>
      </c>
      <c r="AD91">
        <v>0</v>
      </c>
      <c r="AE91">
        <v>0</v>
      </c>
      <c r="AF91">
        <v>0.8</v>
      </c>
      <c r="AG91">
        <v>0</v>
      </c>
      <c r="AH91">
        <v>0</v>
      </c>
      <c r="AI91">
        <v>1</v>
      </c>
      <c r="AJ91">
        <v>8.59</v>
      </c>
      <c r="AK91">
        <v>54.99</v>
      </c>
      <c r="AL91">
        <v>1</v>
      </c>
      <c r="AM91">
        <v>2</v>
      </c>
      <c r="AN91">
        <v>0</v>
      </c>
      <c r="AO91">
        <v>1</v>
      </c>
      <c r="AP91">
        <v>1</v>
      </c>
      <c r="AQ91">
        <v>0</v>
      </c>
      <c r="AR91">
        <v>0</v>
      </c>
      <c r="AS91" t="s">
        <v>3</v>
      </c>
      <c r="AT91">
        <v>0.22</v>
      </c>
      <c r="AU91" t="s">
        <v>25</v>
      </c>
      <c r="AV91">
        <v>0</v>
      </c>
      <c r="AW91">
        <v>2</v>
      </c>
      <c r="AX91">
        <v>60256888</v>
      </c>
      <c r="AY91">
        <v>1</v>
      </c>
      <c r="AZ91">
        <v>0</v>
      </c>
      <c r="BA91">
        <v>118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CV91">
        <v>0</v>
      </c>
      <c r="CW91">
        <f>ROUND(Y91*Source!I136*DO91,9)</f>
        <v>0</v>
      </c>
      <c r="CX91">
        <f>ROUND(Y91*Source!I136,9)</f>
        <v>0.24199999999999999</v>
      </c>
      <c r="CY91">
        <f>AB91</f>
        <v>7.19</v>
      </c>
      <c r="CZ91">
        <f>AF91</f>
        <v>0.8</v>
      </c>
      <c r="DA91">
        <f>AJ91</f>
        <v>8.59</v>
      </c>
      <c r="DB91">
        <f>ROUND((ROUND(AT91*CZ91,2)*1.1),6)</f>
        <v>0.19800000000000001</v>
      </c>
      <c r="DC91">
        <f>ROUND((ROUND(AT91*AG91,2)*1.1),6)</f>
        <v>0</v>
      </c>
      <c r="DD91" t="s">
        <v>3</v>
      </c>
      <c r="DE91" t="s">
        <v>3</v>
      </c>
      <c r="DF91">
        <f>ROUND(ROUND(AE91,2)*CX91,2)</f>
        <v>0</v>
      </c>
      <c r="DG91">
        <f>ROUND(ROUND(AF91*AJ91,2)*CX91,2)</f>
        <v>1.66</v>
      </c>
      <c r="DH91">
        <f>ROUND(ROUND(AG91*AK91,2)*CX91,2)</f>
        <v>0</v>
      </c>
      <c r="DI91">
        <f t="shared" si="16"/>
        <v>0</v>
      </c>
      <c r="DJ91">
        <f>DG91</f>
        <v>1.66</v>
      </c>
      <c r="DK91">
        <v>0</v>
      </c>
      <c r="DL91" t="s">
        <v>3</v>
      </c>
      <c r="DM91">
        <v>0</v>
      </c>
      <c r="DN91" t="s">
        <v>3</v>
      </c>
      <c r="DO91">
        <v>0</v>
      </c>
    </row>
    <row r="92" spans="1:119" x14ac:dyDescent="0.2">
      <c r="A92">
        <f>ROW(Source!A136)</f>
        <v>136</v>
      </c>
      <c r="B92">
        <v>60256402</v>
      </c>
      <c r="C92">
        <v>60256710</v>
      </c>
      <c r="D92">
        <v>59039008</v>
      </c>
      <c r="E92">
        <v>1</v>
      </c>
      <c r="F92">
        <v>1</v>
      </c>
      <c r="G92">
        <v>1080</v>
      </c>
      <c r="H92">
        <v>3</v>
      </c>
      <c r="I92" t="s">
        <v>325</v>
      </c>
      <c r="J92" t="s">
        <v>326</v>
      </c>
      <c r="K92" t="s">
        <v>327</v>
      </c>
      <c r="L92">
        <v>1354</v>
      </c>
      <c r="N92">
        <v>1010</v>
      </c>
      <c r="O92" t="s">
        <v>33</v>
      </c>
      <c r="P92" t="s">
        <v>33</v>
      </c>
      <c r="Q92">
        <v>1</v>
      </c>
      <c r="W92">
        <v>0</v>
      </c>
      <c r="X92">
        <v>-40224714</v>
      </c>
      <c r="Y92">
        <f>(AT92*1)</f>
        <v>5</v>
      </c>
      <c r="AA92">
        <v>0.8</v>
      </c>
      <c r="AB92">
        <v>0</v>
      </c>
      <c r="AC92">
        <v>0</v>
      </c>
      <c r="AD92">
        <v>0</v>
      </c>
      <c r="AE92">
        <v>0.89</v>
      </c>
      <c r="AF92">
        <v>0</v>
      </c>
      <c r="AG92">
        <v>0</v>
      </c>
      <c r="AH92">
        <v>0</v>
      </c>
      <c r="AI92">
        <v>0.9</v>
      </c>
      <c r="AJ92">
        <v>1</v>
      </c>
      <c r="AK92">
        <v>1</v>
      </c>
      <c r="AL92">
        <v>1</v>
      </c>
      <c r="AM92">
        <v>2</v>
      </c>
      <c r="AN92">
        <v>0</v>
      </c>
      <c r="AO92">
        <v>1</v>
      </c>
      <c r="AP92">
        <v>1</v>
      </c>
      <c r="AQ92">
        <v>0</v>
      </c>
      <c r="AR92">
        <v>0</v>
      </c>
      <c r="AS92" t="s">
        <v>3</v>
      </c>
      <c r="AT92">
        <v>5</v>
      </c>
      <c r="AU92" t="s">
        <v>24</v>
      </c>
      <c r="AV92">
        <v>0</v>
      </c>
      <c r="AW92">
        <v>2</v>
      </c>
      <c r="AX92">
        <v>60256889</v>
      </c>
      <c r="AY92">
        <v>1</v>
      </c>
      <c r="AZ92">
        <v>0</v>
      </c>
      <c r="BA92">
        <v>119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CV92">
        <v>0</v>
      </c>
      <c r="CW92">
        <v>0</v>
      </c>
      <c r="CX92">
        <f>ROUND(Y92*Source!I136,9)</f>
        <v>5</v>
      </c>
      <c r="CY92">
        <f>AA92</f>
        <v>0.8</v>
      </c>
      <c r="CZ92">
        <f>AE92</f>
        <v>0.89</v>
      </c>
      <c r="DA92">
        <f>AI92</f>
        <v>0.9</v>
      </c>
      <c r="DB92">
        <f>ROUND((ROUND(AT92*CZ92,2)*1),6)</f>
        <v>4.45</v>
      </c>
      <c r="DC92">
        <f>ROUND((ROUND(AT92*AG92,2)*1),6)</f>
        <v>0</v>
      </c>
      <c r="DD92" t="s">
        <v>3</v>
      </c>
      <c r="DE92" t="s">
        <v>3</v>
      </c>
      <c r="DF92">
        <f>ROUND(ROUND(AE92*AI92,2)*CX92,2)</f>
        <v>4</v>
      </c>
      <c r="DG92">
        <f t="shared" ref="DG92:DG102" si="18">ROUND(ROUND(AF92,2)*CX92,2)</f>
        <v>0</v>
      </c>
      <c r="DH92">
        <f t="shared" ref="DH92:DH102" si="19">ROUND(ROUND(AG92,2)*CX92,2)</f>
        <v>0</v>
      </c>
      <c r="DI92">
        <f t="shared" si="16"/>
        <v>0</v>
      </c>
      <c r="DJ92">
        <f>DF92</f>
        <v>4</v>
      </c>
      <c r="DK92">
        <v>0</v>
      </c>
      <c r="DL92" t="s">
        <v>3</v>
      </c>
      <c r="DM92">
        <v>0</v>
      </c>
      <c r="DN92" t="s">
        <v>3</v>
      </c>
      <c r="DO92">
        <v>0</v>
      </c>
    </row>
    <row r="93" spans="1:119" x14ac:dyDescent="0.2">
      <c r="A93">
        <f>ROW(Source!A174)</f>
        <v>174</v>
      </c>
      <c r="B93">
        <v>60256405</v>
      </c>
      <c r="C93">
        <v>60256775</v>
      </c>
      <c r="D93">
        <v>58999254</v>
      </c>
      <c r="E93">
        <v>1080</v>
      </c>
      <c r="F93">
        <v>1</v>
      </c>
      <c r="G93">
        <v>1080</v>
      </c>
      <c r="H93">
        <v>1</v>
      </c>
      <c r="I93" t="s">
        <v>269</v>
      </c>
      <c r="J93" t="s">
        <v>3</v>
      </c>
      <c r="K93" t="s">
        <v>270</v>
      </c>
      <c r="L93">
        <v>1191</v>
      </c>
      <c r="N93">
        <v>1013</v>
      </c>
      <c r="O93" t="s">
        <v>271</v>
      </c>
      <c r="P93" t="s">
        <v>271</v>
      </c>
      <c r="Q93">
        <v>1</v>
      </c>
      <c r="W93">
        <v>0</v>
      </c>
      <c r="X93">
        <v>476480486</v>
      </c>
      <c r="Y93">
        <f>(AT93*1.1)</f>
        <v>27.236000000000004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1</v>
      </c>
      <c r="AJ93">
        <v>1</v>
      </c>
      <c r="AK93">
        <v>1</v>
      </c>
      <c r="AL93">
        <v>1</v>
      </c>
      <c r="AM93">
        <v>-2</v>
      </c>
      <c r="AN93">
        <v>0</v>
      </c>
      <c r="AO93">
        <v>1</v>
      </c>
      <c r="AP93">
        <v>1</v>
      </c>
      <c r="AQ93">
        <v>0</v>
      </c>
      <c r="AR93">
        <v>0</v>
      </c>
      <c r="AS93" t="s">
        <v>3</v>
      </c>
      <c r="AT93">
        <v>24.76</v>
      </c>
      <c r="AU93" t="s">
        <v>25</v>
      </c>
      <c r="AV93">
        <v>1</v>
      </c>
      <c r="AW93">
        <v>2</v>
      </c>
      <c r="AX93">
        <v>60256891</v>
      </c>
      <c r="AY93">
        <v>1</v>
      </c>
      <c r="AZ93">
        <v>0</v>
      </c>
      <c r="BA93">
        <v>121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CU93">
        <f>ROUND(AT93*Source!I174*AH93*AL93,2)</f>
        <v>0</v>
      </c>
      <c r="CV93">
        <f>ROUND(Y93*Source!I174,9)</f>
        <v>435.77600000000001</v>
      </c>
      <c r="CW93">
        <v>0</v>
      </c>
      <c r="CX93">
        <f>ROUND(Y93*Source!I174,9)</f>
        <v>435.77600000000001</v>
      </c>
      <c r="CY93">
        <f>AD93</f>
        <v>0</v>
      </c>
      <c r="CZ93">
        <f>AH93</f>
        <v>0</v>
      </c>
      <c r="DA93">
        <f>AL93</f>
        <v>1</v>
      </c>
      <c r="DB93">
        <f>ROUND((ROUND(AT93*CZ93,2)*1.1),6)</f>
        <v>0</v>
      </c>
      <c r="DC93">
        <f>ROUND((ROUND(AT93*AG93,2)*1.1),6)</f>
        <v>0</v>
      </c>
      <c r="DD93" t="s">
        <v>3</v>
      </c>
      <c r="DE93" t="s">
        <v>3</v>
      </c>
      <c r="DF93">
        <f t="shared" ref="DF93:DF104" si="20">ROUND(ROUND(AE93,2)*CX93,2)</f>
        <v>0</v>
      </c>
      <c r="DG93">
        <f t="shared" si="18"/>
        <v>0</v>
      </c>
      <c r="DH93">
        <f t="shared" si="19"/>
        <v>0</v>
      </c>
      <c r="DI93">
        <f t="shared" si="16"/>
        <v>0</v>
      </c>
      <c r="DJ93">
        <f>DI93</f>
        <v>0</v>
      </c>
      <c r="DK93">
        <v>0</v>
      </c>
      <c r="DL93" t="s">
        <v>3</v>
      </c>
      <c r="DM93">
        <v>0</v>
      </c>
      <c r="DN93" t="s">
        <v>3</v>
      </c>
      <c r="DO93">
        <v>0</v>
      </c>
    </row>
    <row r="94" spans="1:119" x14ac:dyDescent="0.2">
      <c r="A94">
        <f>ROW(Source!A174)</f>
        <v>174</v>
      </c>
      <c r="B94">
        <v>60256405</v>
      </c>
      <c r="C94">
        <v>60256775</v>
      </c>
      <c r="D94">
        <v>59070721</v>
      </c>
      <c r="E94">
        <v>1</v>
      </c>
      <c r="F94">
        <v>1</v>
      </c>
      <c r="G94">
        <v>1080</v>
      </c>
      <c r="H94">
        <v>2</v>
      </c>
      <c r="I94" t="s">
        <v>328</v>
      </c>
      <c r="J94" t="s">
        <v>329</v>
      </c>
      <c r="K94" t="s">
        <v>330</v>
      </c>
      <c r="L94">
        <v>1368</v>
      </c>
      <c r="N94">
        <v>1011</v>
      </c>
      <c r="O94" t="s">
        <v>275</v>
      </c>
      <c r="P94" t="s">
        <v>275</v>
      </c>
      <c r="Q94">
        <v>1</v>
      </c>
      <c r="W94">
        <v>0</v>
      </c>
      <c r="X94">
        <v>1387779639</v>
      </c>
      <c r="Y94">
        <f>(AT94*1.1)</f>
        <v>2.6840000000000002</v>
      </c>
      <c r="AA94">
        <v>0</v>
      </c>
      <c r="AB94">
        <v>0.81</v>
      </c>
      <c r="AC94">
        <v>0</v>
      </c>
      <c r="AD94">
        <v>0</v>
      </c>
      <c r="AE94">
        <v>0</v>
      </c>
      <c r="AF94">
        <v>0.77</v>
      </c>
      <c r="AG94">
        <v>0</v>
      </c>
      <c r="AH94">
        <v>0</v>
      </c>
      <c r="AI94">
        <v>1</v>
      </c>
      <c r="AJ94">
        <v>1</v>
      </c>
      <c r="AK94">
        <v>1</v>
      </c>
      <c r="AL94">
        <v>1</v>
      </c>
      <c r="AM94">
        <v>-2</v>
      </c>
      <c r="AN94">
        <v>0</v>
      </c>
      <c r="AO94">
        <v>1</v>
      </c>
      <c r="AP94">
        <v>1</v>
      </c>
      <c r="AQ94">
        <v>0</v>
      </c>
      <c r="AR94">
        <v>0</v>
      </c>
      <c r="AS94" t="s">
        <v>3</v>
      </c>
      <c r="AT94">
        <v>2.44</v>
      </c>
      <c r="AU94" t="s">
        <v>25</v>
      </c>
      <c r="AV94">
        <v>0</v>
      </c>
      <c r="AW94">
        <v>2</v>
      </c>
      <c r="AX94">
        <v>60256892</v>
      </c>
      <c r="AY94">
        <v>1</v>
      </c>
      <c r="AZ94">
        <v>0</v>
      </c>
      <c r="BA94">
        <v>122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CV94">
        <v>0</v>
      </c>
      <c r="CW94">
        <f>ROUND(Y94*Source!I174*DO94,9)</f>
        <v>0</v>
      </c>
      <c r="CX94">
        <f>ROUND(Y94*Source!I174,9)</f>
        <v>42.944000000000003</v>
      </c>
      <c r="CY94">
        <f>AB94</f>
        <v>0.81</v>
      </c>
      <c r="CZ94">
        <f>AF94</f>
        <v>0.77</v>
      </c>
      <c r="DA94">
        <f>AJ94</f>
        <v>1</v>
      </c>
      <c r="DB94">
        <f>ROUND((ROUND(AT94*CZ94,2)*1.1),6)</f>
        <v>2.0680000000000001</v>
      </c>
      <c r="DC94">
        <f>ROUND((ROUND(AT94*AG94,2)*1.1),6)</f>
        <v>0</v>
      </c>
      <c r="DD94" t="s">
        <v>3</v>
      </c>
      <c r="DE94" t="s">
        <v>3</v>
      </c>
      <c r="DF94">
        <f t="shared" si="20"/>
        <v>0</v>
      </c>
      <c r="DG94">
        <f t="shared" si="18"/>
        <v>33.07</v>
      </c>
      <c r="DH94">
        <f t="shared" si="19"/>
        <v>0</v>
      </c>
      <c r="DI94">
        <f t="shared" si="16"/>
        <v>0</v>
      </c>
      <c r="DJ94">
        <f>DG94</f>
        <v>33.07</v>
      </c>
      <c r="DK94">
        <v>0</v>
      </c>
      <c r="DL94" t="s">
        <v>3</v>
      </c>
      <c r="DM94">
        <v>0</v>
      </c>
      <c r="DN94" t="s">
        <v>3</v>
      </c>
      <c r="DO94">
        <v>0</v>
      </c>
    </row>
    <row r="95" spans="1:119" x14ac:dyDescent="0.2">
      <c r="A95">
        <f>ROW(Source!A174)</f>
        <v>174</v>
      </c>
      <c r="B95">
        <v>60256405</v>
      </c>
      <c r="C95">
        <v>60256775</v>
      </c>
      <c r="D95">
        <v>59070754</v>
      </c>
      <c r="E95">
        <v>1</v>
      </c>
      <c r="F95">
        <v>1</v>
      </c>
      <c r="G95">
        <v>1080</v>
      </c>
      <c r="H95">
        <v>2</v>
      </c>
      <c r="I95" t="s">
        <v>307</v>
      </c>
      <c r="J95" t="s">
        <v>308</v>
      </c>
      <c r="K95" t="s">
        <v>309</v>
      </c>
      <c r="L95">
        <v>1368</v>
      </c>
      <c r="N95">
        <v>1011</v>
      </c>
      <c r="O95" t="s">
        <v>275</v>
      </c>
      <c r="P95" t="s">
        <v>275</v>
      </c>
      <c r="Q95">
        <v>1</v>
      </c>
      <c r="W95">
        <v>0</v>
      </c>
      <c r="X95">
        <v>1645565003</v>
      </c>
      <c r="Y95">
        <f>(AT95*1.1)</f>
        <v>5.093</v>
      </c>
      <c r="AA95">
        <v>0</v>
      </c>
      <c r="AB95">
        <v>0.49</v>
      </c>
      <c r="AC95">
        <v>0</v>
      </c>
      <c r="AD95">
        <v>0</v>
      </c>
      <c r="AE95">
        <v>0</v>
      </c>
      <c r="AF95">
        <v>0.47</v>
      </c>
      <c r="AG95">
        <v>0</v>
      </c>
      <c r="AH95">
        <v>0</v>
      </c>
      <c r="AI95">
        <v>1</v>
      </c>
      <c r="AJ95">
        <v>1</v>
      </c>
      <c r="AK95">
        <v>1</v>
      </c>
      <c r="AL95">
        <v>1</v>
      </c>
      <c r="AM95">
        <v>-2</v>
      </c>
      <c r="AN95">
        <v>0</v>
      </c>
      <c r="AO95">
        <v>1</v>
      </c>
      <c r="AP95">
        <v>1</v>
      </c>
      <c r="AQ95">
        <v>0</v>
      </c>
      <c r="AR95">
        <v>0</v>
      </c>
      <c r="AS95" t="s">
        <v>3</v>
      </c>
      <c r="AT95">
        <v>4.63</v>
      </c>
      <c r="AU95" t="s">
        <v>25</v>
      </c>
      <c r="AV95">
        <v>0</v>
      </c>
      <c r="AW95">
        <v>2</v>
      </c>
      <c r="AX95">
        <v>60256893</v>
      </c>
      <c r="AY95">
        <v>1</v>
      </c>
      <c r="AZ95">
        <v>0</v>
      </c>
      <c r="BA95">
        <v>123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CV95">
        <v>0</v>
      </c>
      <c r="CW95">
        <f>ROUND(Y95*Source!I174*DO95,9)</f>
        <v>0</v>
      </c>
      <c r="CX95">
        <f>ROUND(Y95*Source!I174,9)</f>
        <v>81.488</v>
      </c>
      <c r="CY95">
        <f>AB95</f>
        <v>0.49</v>
      </c>
      <c r="CZ95">
        <f>AF95</f>
        <v>0.47</v>
      </c>
      <c r="DA95">
        <f>AJ95</f>
        <v>1</v>
      </c>
      <c r="DB95">
        <f>ROUND((ROUND(AT95*CZ95,2)*1.1),6)</f>
        <v>2.3980000000000001</v>
      </c>
      <c r="DC95">
        <f>ROUND((ROUND(AT95*AG95,2)*1.1),6)</f>
        <v>0</v>
      </c>
      <c r="DD95" t="s">
        <v>3</v>
      </c>
      <c r="DE95" t="s">
        <v>3</v>
      </c>
      <c r="DF95">
        <f t="shared" si="20"/>
        <v>0</v>
      </c>
      <c r="DG95">
        <f t="shared" si="18"/>
        <v>38.299999999999997</v>
      </c>
      <c r="DH95">
        <f t="shared" si="19"/>
        <v>0</v>
      </c>
      <c r="DI95">
        <f t="shared" si="16"/>
        <v>0</v>
      </c>
      <c r="DJ95">
        <f>DG95</f>
        <v>38.299999999999997</v>
      </c>
      <c r="DK95">
        <v>0</v>
      </c>
      <c r="DL95" t="s">
        <v>3</v>
      </c>
      <c r="DM95">
        <v>0</v>
      </c>
      <c r="DN95" t="s">
        <v>3</v>
      </c>
      <c r="DO95">
        <v>0</v>
      </c>
    </row>
    <row r="96" spans="1:119" x14ac:dyDescent="0.2">
      <c r="A96">
        <f>ROW(Source!A174)</f>
        <v>174</v>
      </c>
      <c r="B96">
        <v>60256405</v>
      </c>
      <c r="C96">
        <v>60256775</v>
      </c>
      <c r="D96">
        <v>59052976</v>
      </c>
      <c r="E96">
        <v>1</v>
      </c>
      <c r="F96">
        <v>1</v>
      </c>
      <c r="G96">
        <v>1080</v>
      </c>
      <c r="H96">
        <v>3</v>
      </c>
      <c r="I96" t="s">
        <v>221</v>
      </c>
      <c r="J96" t="s">
        <v>224</v>
      </c>
      <c r="K96" t="s">
        <v>222</v>
      </c>
      <c r="L96">
        <v>1301</v>
      </c>
      <c r="N96">
        <v>1003</v>
      </c>
      <c r="O96" t="s">
        <v>223</v>
      </c>
      <c r="P96" t="s">
        <v>223</v>
      </c>
      <c r="Q96">
        <v>1</v>
      </c>
      <c r="W96">
        <v>0</v>
      </c>
      <c r="X96">
        <v>-1305428159</v>
      </c>
      <c r="Y96">
        <f t="shared" ref="Y96:Y101" si="21">(AT96*1)</f>
        <v>102</v>
      </c>
      <c r="AA96">
        <v>3.45</v>
      </c>
      <c r="AB96">
        <v>0</v>
      </c>
      <c r="AC96">
        <v>0</v>
      </c>
      <c r="AD96">
        <v>0</v>
      </c>
      <c r="AE96">
        <v>3.45</v>
      </c>
      <c r="AF96">
        <v>0</v>
      </c>
      <c r="AG96">
        <v>0</v>
      </c>
      <c r="AH96">
        <v>0</v>
      </c>
      <c r="AI96">
        <v>1</v>
      </c>
      <c r="AJ96">
        <v>1</v>
      </c>
      <c r="AK96">
        <v>1</v>
      </c>
      <c r="AL96">
        <v>1</v>
      </c>
      <c r="AM96">
        <v>0</v>
      </c>
      <c r="AN96">
        <v>0</v>
      </c>
      <c r="AO96">
        <v>0</v>
      </c>
      <c r="AP96">
        <v>1</v>
      </c>
      <c r="AQ96">
        <v>0</v>
      </c>
      <c r="AR96">
        <v>0</v>
      </c>
      <c r="AS96" t="s">
        <v>3</v>
      </c>
      <c r="AT96">
        <v>102</v>
      </c>
      <c r="AU96" t="s">
        <v>24</v>
      </c>
      <c r="AV96">
        <v>0</v>
      </c>
      <c r="AW96">
        <v>1</v>
      </c>
      <c r="AX96">
        <v>-1</v>
      </c>
      <c r="AY96">
        <v>0</v>
      </c>
      <c r="AZ96">
        <v>0</v>
      </c>
      <c r="BA96" t="s">
        <v>3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CV96">
        <v>0</v>
      </c>
      <c r="CW96">
        <v>0</v>
      </c>
      <c r="CX96">
        <f>ROUND(Y96*Source!I174,9)</f>
        <v>1632</v>
      </c>
      <c r="CY96">
        <f t="shared" ref="CY96:CY101" si="22">AA96</f>
        <v>3.45</v>
      </c>
      <c r="CZ96">
        <f t="shared" ref="CZ96:CZ101" si="23">AE96</f>
        <v>3.45</v>
      </c>
      <c r="DA96">
        <f t="shared" ref="DA96:DA101" si="24">AI96</f>
        <v>1</v>
      </c>
      <c r="DB96">
        <f t="shared" ref="DB96:DB101" si="25">ROUND((ROUND(AT96*CZ96,2)*1),6)</f>
        <v>351.9</v>
      </c>
      <c r="DC96">
        <f t="shared" ref="DC96:DC101" si="26">ROUND((ROUND(AT96*AG96,2)*1),6)</f>
        <v>0</v>
      </c>
      <c r="DD96" t="s">
        <v>3</v>
      </c>
      <c r="DE96" t="s">
        <v>3</v>
      </c>
      <c r="DF96">
        <f t="shared" si="20"/>
        <v>5630.4</v>
      </c>
      <c r="DG96">
        <f t="shared" si="18"/>
        <v>0</v>
      </c>
      <c r="DH96">
        <f t="shared" si="19"/>
        <v>0</v>
      </c>
      <c r="DI96">
        <f t="shared" si="16"/>
        <v>0</v>
      </c>
      <c r="DJ96">
        <f t="shared" ref="DJ96:DJ101" si="27">DF96</f>
        <v>5630.4</v>
      </c>
      <c r="DK96">
        <v>0</v>
      </c>
      <c r="DL96" t="s">
        <v>3</v>
      </c>
      <c r="DM96">
        <v>0</v>
      </c>
      <c r="DN96" t="s">
        <v>3</v>
      </c>
      <c r="DO96">
        <v>0</v>
      </c>
    </row>
    <row r="97" spans="1:119" x14ac:dyDescent="0.2">
      <c r="A97">
        <f>ROW(Source!A174)</f>
        <v>174</v>
      </c>
      <c r="B97">
        <v>60256405</v>
      </c>
      <c r="C97">
        <v>60256775</v>
      </c>
      <c r="D97">
        <v>59062734</v>
      </c>
      <c r="E97">
        <v>1</v>
      </c>
      <c r="F97">
        <v>1</v>
      </c>
      <c r="G97">
        <v>1080</v>
      </c>
      <c r="H97">
        <v>3</v>
      </c>
      <c r="I97" t="s">
        <v>331</v>
      </c>
      <c r="J97" t="s">
        <v>332</v>
      </c>
      <c r="K97" t="s">
        <v>333</v>
      </c>
      <c r="L97">
        <v>1356</v>
      </c>
      <c r="N97">
        <v>1010</v>
      </c>
      <c r="O97" t="s">
        <v>228</v>
      </c>
      <c r="P97" t="s">
        <v>228</v>
      </c>
      <c r="Q97">
        <v>1000</v>
      </c>
      <c r="W97">
        <v>0</v>
      </c>
      <c r="X97">
        <v>-1221558404</v>
      </c>
      <c r="Y97">
        <f t="shared" si="21"/>
        <v>3.1E-2</v>
      </c>
      <c r="AA97">
        <v>226.66</v>
      </c>
      <c r="AB97">
        <v>0</v>
      </c>
      <c r="AC97">
        <v>0</v>
      </c>
      <c r="AD97">
        <v>0</v>
      </c>
      <c r="AE97">
        <v>226.66</v>
      </c>
      <c r="AF97">
        <v>0</v>
      </c>
      <c r="AG97">
        <v>0</v>
      </c>
      <c r="AH97">
        <v>0</v>
      </c>
      <c r="AI97">
        <v>1</v>
      </c>
      <c r="AJ97">
        <v>1</v>
      </c>
      <c r="AK97">
        <v>1</v>
      </c>
      <c r="AL97">
        <v>1</v>
      </c>
      <c r="AM97">
        <v>-2</v>
      </c>
      <c r="AN97">
        <v>0</v>
      </c>
      <c r="AO97">
        <v>1</v>
      </c>
      <c r="AP97">
        <v>1</v>
      </c>
      <c r="AQ97">
        <v>0</v>
      </c>
      <c r="AR97">
        <v>0</v>
      </c>
      <c r="AS97" t="s">
        <v>3</v>
      </c>
      <c r="AT97">
        <v>3.1E-2</v>
      </c>
      <c r="AU97" t="s">
        <v>24</v>
      </c>
      <c r="AV97">
        <v>0</v>
      </c>
      <c r="AW97">
        <v>2</v>
      </c>
      <c r="AX97">
        <v>60256894</v>
      </c>
      <c r="AY97">
        <v>1</v>
      </c>
      <c r="AZ97">
        <v>0</v>
      </c>
      <c r="BA97">
        <v>124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CV97">
        <v>0</v>
      </c>
      <c r="CW97">
        <v>0</v>
      </c>
      <c r="CX97">
        <f>ROUND(Y97*Source!I174,9)</f>
        <v>0.496</v>
      </c>
      <c r="CY97">
        <f t="shared" si="22"/>
        <v>226.66</v>
      </c>
      <c r="CZ97">
        <f t="shared" si="23"/>
        <v>226.66</v>
      </c>
      <c r="DA97">
        <f t="shared" si="24"/>
        <v>1</v>
      </c>
      <c r="DB97">
        <f t="shared" si="25"/>
        <v>7.03</v>
      </c>
      <c r="DC97">
        <f t="shared" si="26"/>
        <v>0</v>
      </c>
      <c r="DD97" t="s">
        <v>3</v>
      </c>
      <c r="DE97" t="s">
        <v>3</v>
      </c>
      <c r="DF97">
        <f t="shared" si="20"/>
        <v>112.42</v>
      </c>
      <c r="DG97">
        <f t="shared" si="18"/>
        <v>0</v>
      </c>
      <c r="DH97">
        <f t="shared" si="19"/>
        <v>0</v>
      </c>
      <c r="DI97">
        <f t="shared" ref="DI97:DI126" si="28">ROUND(ROUND(AH97,2)*CX97,2)</f>
        <v>0</v>
      </c>
      <c r="DJ97">
        <f t="shared" si="27"/>
        <v>112.42</v>
      </c>
      <c r="DK97">
        <v>0</v>
      </c>
      <c r="DL97" t="s">
        <v>3</v>
      </c>
      <c r="DM97">
        <v>0</v>
      </c>
      <c r="DN97" t="s">
        <v>3</v>
      </c>
      <c r="DO97">
        <v>0</v>
      </c>
    </row>
    <row r="98" spans="1:119" x14ac:dyDescent="0.2">
      <c r="A98">
        <f>ROW(Source!A174)</f>
        <v>174</v>
      </c>
      <c r="B98">
        <v>60256405</v>
      </c>
      <c r="C98">
        <v>60256775</v>
      </c>
      <c r="D98">
        <v>59062979</v>
      </c>
      <c r="E98">
        <v>1</v>
      </c>
      <c r="F98">
        <v>1</v>
      </c>
      <c r="G98">
        <v>1080</v>
      </c>
      <c r="H98">
        <v>3</v>
      </c>
      <c r="I98" t="s">
        <v>226</v>
      </c>
      <c r="J98" t="s">
        <v>229</v>
      </c>
      <c r="K98" t="s">
        <v>227</v>
      </c>
      <c r="L98">
        <v>1356</v>
      </c>
      <c r="N98">
        <v>1010</v>
      </c>
      <c r="O98" t="s">
        <v>228</v>
      </c>
      <c r="P98" t="s">
        <v>228</v>
      </c>
      <c r="Q98">
        <v>1000</v>
      </c>
      <c r="W98">
        <v>0</v>
      </c>
      <c r="X98">
        <v>179573335</v>
      </c>
      <c r="Y98">
        <f t="shared" si="21"/>
        <v>0.23799999999999999</v>
      </c>
      <c r="AA98">
        <v>396.59</v>
      </c>
      <c r="AB98">
        <v>0</v>
      </c>
      <c r="AC98">
        <v>0</v>
      </c>
      <c r="AD98">
        <v>0</v>
      </c>
      <c r="AE98">
        <v>396.59</v>
      </c>
      <c r="AF98">
        <v>0</v>
      </c>
      <c r="AG98">
        <v>0</v>
      </c>
      <c r="AH98">
        <v>0</v>
      </c>
      <c r="AI98">
        <v>1</v>
      </c>
      <c r="AJ98">
        <v>1</v>
      </c>
      <c r="AK98">
        <v>1</v>
      </c>
      <c r="AL98">
        <v>1</v>
      </c>
      <c r="AM98">
        <v>0</v>
      </c>
      <c r="AN98">
        <v>0</v>
      </c>
      <c r="AO98">
        <v>0</v>
      </c>
      <c r="AP98">
        <v>1</v>
      </c>
      <c r="AQ98">
        <v>0</v>
      </c>
      <c r="AR98">
        <v>0</v>
      </c>
      <c r="AS98" t="s">
        <v>3</v>
      </c>
      <c r="AT98">
        <v>0.23799999999999999</v>
      </c>
      <c r="AU98" t="s">
        <v>24</v>
      </c>
      <c r="AV98">
        <v>0</v>
      </c>
      <c r="AW98">
        <v>1</v>
      </c>
      <c r="AX98">
        <v>-1</v>
      </c>
      <c r="AY98">
        <v>0</v>
      </c>
      <c r="AZ98">
        <v>0</v>
      </c>
      <c r="BA98" t="s">
        <v>3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CV98">
        <v>0</v>
      </c>
      <c r="CW98">
        <v>0</v>
      </c>
      <c r="CX98">
        <f>ROUND(Y98*Source!I174,9)</f>
        <v>3.8079999999999998</v>
      </c>
      <c r="CY98">
        <f t="shared" si="22"/>
        <v>396.59</v>
      </c>
      <c r="CZ98">
        <f t="shared" si="23"/>
        <v>396.59</v>
      </c>
      <c r="DA98">
        <f t="shared" si="24"/>
        <v>1</v>
      </c>
      <c r="DB98">
        <f t="shared" si="25"/>
        <v>94.39</v>
      </c>
      <c r="DC98">
        <f t="shared" si="26"/>
        <v>0</v>
      </c>
      <c r="DD98" t="s">
        <v>3</v>
      </c>
      <c r="DE98" t="s">
        <v>3</v>
      </c>
      <c r="DF98">
        <f t="shared" si="20"/>
        <v>1510.21</v>
      </c>
      <c r="DG98">
        <f t="shared" si="18"/>
        <v>0</v>
      </c>
      <c r="DH98">
        <f t="shared" si="19"/>
        <v>0</v>
      </c>
      <c r="DI98">
        <f t="shared" si="28"/>
        <v>0</v>
      </c>
      <c r="DJ98">
        <f t="shared" si="27"/>
        <v>1510.21</v>
      </c>
      <c r="DK98">
        <v>0</v>
      </c>
      <c r="DL98" t="s">
        <v>3</v>
      </c>
      <c r="DM98">
        <v>0</v>
      </c>
      <c r="DN98" t="s">
        <v>3</v>
      </c>
      <c r="DO98">
        <v>0</v>
      </c>
    </row>
    <row r="99" spans="1:119" x14ac:dyDescent="0.2">
      <c r="A99">
        <f>ROW(Source!A174)</f>
        <v>174</v>
      </c>
      <c r="B99">
        <v>60256405</v>
      </c>
      <c r="C99">
        <v>60256775</v>
      </c>
      <c r="D99">
        <v>59062508</v>
      </c>
      <c r="E99">
        <v>1</v>
      </c>
      <c r="F99">
        <v>1</v>
      </c>
      <c r="G99">
        <v>1080</v>
      </c>
      <c r="H99">
        <v>3</v>
      </c>
      <c r="I99" t="s">
        <v>334</v>
      </c>
      <c r="J99" t="s">
        <v>335</v>
      </c>
      <c r="K99" t="s">
        <v>336</v>
      </c>
      <c r="L99">
        <v>1355</v>
      </c>
      <c r="N99">
        <v>1010</v>
      </c>
      <c r="O99" t="s">
        <v>200</v>
      </c>
      <c r="P99" t="s">
        <v>200</v>
      </c>
      <c r="Q99">
        <v>100</v>
      </c>
      <c r="W99">
        <v>0</v>
      </c>
      <c r="X99">
        <v>-210805237</v>
      </c>
      <c r="Y99">
        <f t="shared" si="21"/>
        <v>0.315</v>
      </c>
      <c r="AA99">
        <v>26.71</v>
      </c>
      <c r="AB99">
        <v>0</v>
      </c>
      <c r="AC99">
        <v>0</v>
      </c>
      <c r="AD99">
        <v>0</v>
      </c>
      <c r="AE99">
        <v>26.71</v>
      </c>
      <c r="AF99">
        <v>0</v>
      </c>
      <c r="AG99">
        <v>0</v>
      </c>
      <c r="AH99">
        <v>0</v>
      </c>
      <c r="AI99">
        <v>1</v>
      </c>
      <c r="AJ99">
        <v>1</v>
      </c>
      <c r="AK99">
        <v>1</v>
      </c>
      <c r="AL99">
        <v>1</v>
      </c>
      <c r="AM99">
        <v>-2</v>
      </c>
      <c r="AN99">
        <v>0</v>
      </c>
      <c r="AO99">
        <v>1</v>
      </c>
      <c r="AP99">
        <v>1</v>
      </c>
      <c r="AQ99">
        <v>0</v>
      </c>
      <c r="AR99">
        <v>0</v>
      </c>
      <c r="AS99" t="s">
        <v>3</v>
      </c>
      <c r="AT99">
        <v>0.315</v>
      </c>
      <c r="AU99" t="s">
        <v>24</v>
      </c>
      <c r="AV99">
        <v>0</v>
      </c>
      <c r="AW99">
        <v>2</v>
      </c>
      <c r="AX99">
        <v>60256895</v>
      </c>
      <c r="AY99">
        <v>1</v>
      </c>
      <c r="AZ99">
        <v>0</v>
      </c>
      <c r="BA99">
        <v>125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CV99">
        <v>0</v>
      </c>
      <c r="CW99">
        <v>0</v>
      </c>
      <c r="CX99">
        <f>ROUND(Y99*Source!I174,9)</f>
        <v>5.04</v>
      </c>
      <c r="CY99">
        <f t="shared" si="22"/>
        <v>26.71</v>
      </c>
      <c r="CZ99">
        <f t="shared" si="23"/>
        <v>26.71</v>
      </c>
      <c r="DA99">
        <f t="shared" si="24"/>
        <v>1</v>
      </c>
      <c r="DB99">
        <f t="shared" si="25"/>
        <v>8.41</v>
      </c>
      <c r="DC99">
        <f t="shared" si="26"/>
        <v>0</v>
      </c>
      <c r="DD99" t="s">
        <v>3</v>
      </c>
      <c r="DE99" t="s">
        <v>3</v>
      </c>
      <c r="DF99">
        <f t="shared" si="20"/>
        <v>134.62</v>
      </c>
      <c r="DG99">
        <f t="shared" si="18"/>
        <v>0</v>
      </c>
      <c r="DH99">
        <f t="shared" si="19"/>
        <v>0</v>
      </c>
      <c r="DI99">
        <f t="shared" si="28"/>
        <v>0</v>
      </c>
      <c r="DJ99">
        <f t="shared" si="27"/>
        <v>134.62</v>
      </c>
      <c r="DK99">
        <v>0</v>
      </c>
      <c r="DL99" t="s">
        <v>3</v>
      </c>
      <c r="DM99">
        <v>0</v>
      </c>
      <c r="DN99" t="s">
        <v>3</v>
      </c>
      <c r="DO99">
        <v>0</v>
      </c>
    </row>
    <row r="100" spans="1:119" x14ac:dyDescent="0.2">
      <c r="A100">
        <f>ROW(Source!A174)</f>
        <v>174</v>
      </c>
      <c r="B100">
        <v>60256405</v>
      </c>
      <c r="C100">
        <v>60256775</v>
      </c>
      <c r="D100">
        <v>59049364</v>
      </c>
      <c r="E100">
        <v>1</v>
      </c>
      <c r="F100">
        <v>1</v>
      </c>
      <c r="G100">
        <v>1080</v>
      </c>
      <c r="H100">
        <v>3</v>
      </c>
      <c r="I100" t="s">
        <v>337</v>
      </c>
      <c r="J100" t="s">
        <v>338</v>
      </c>
      <c r="K100" t="s">
        <v>339</v>
      </c>
      <c r="L100">
        <v>1354</v>
      </c>
      <c r="N100">
        <v>1010</v>
      </c>
      <c r="O100" t="s">
        <v>33</v>
      </c>
      <c r="P100" t="s">
        <v>33</v>
      </c>
      <c r="Q100">
        <v>1</v>
      </c>
      <c r="W100">
        <v>0</v>
      </c>
      <c r="X100">
        <v>309799599</v>
      </c>
      <c r="Y100">
        <f t="shared" si="21"/>
        <v>0.28000000000000003</v>
      </c>
      <c r="AA100">
        <v>14.22</v>
      </c>
      <c r="AB100">
        <v>0</v>
      </c>
      <c r="AC100">
        <v>0</v>
      </c>
      <c r="AD100">
        <v>0</v>
      </c>
      <c r="AE100">
        <v>14.22</v>
      </c>
      <c r="AF100">
        <v>0</v>
      </c>
      <c r="AG100">
        <v>0</v>
      </c>
      <c r="AH100">
        <v>0</v>
      </c>
      <c r="AI100">
        <v>1</v>
      </c>
      <c r="AJ100">
        <v>1</v>
      </c>
      <c r="AK100">
        <v>1</v>
      </c>
      <c r="AL100">
        <v>1</v>
      </c>
      <c r="AM100">
        <v>-2</v>
      </c>
      <c r="AN100">
        <v>0</v>
      </c>
      <c r="AO100">
        <v>1</v>
      </c>
      <c r="AP100">
        <v>1</v>
      </c>
      <c r="AQ100">
        <v>0</v>
      </c>
      <c r="AR100">
        <v>0</v>
      </c>
      <c r="AS100" t="s">
        <v>3</v>
      </c>
      <c r="AT100">
        <v>0.28000000000000003</v>
      </c>
      <c r="AU100" t="s">
        <v>24</v>
      </c>
      <c r="AV100">
        <v>0</v>
      </c>
      <c r="AW100">
        <v>2</v>
      </c>
      <c r="AX100">
        <v>60256896</v>
      </c>
      <c r="AY100">
        <v>1</v>
      </c>
      <c r="AZ100">
        <v>0</v>
      </c>
      <c r="BA100">
        <v>126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CV100">
        <v>0</v>
      </c>
      <c r="CW100">
        <v>0</v>
      </c>
      <c r="CX100">
        <f>ROUND(Y100*Source!I174,9)</f>
        <v>4.4800000000000004</v>
      </c>
      <c r="CY100">
        <f t="shared" si="22"/>
        <v>14.22</v>
      </c>
      <c r="CZ100">
        <f t="shared" si="23"/>
        <v>14.22</v>
      </c>
      <c r="DA100">
        <f t="shared" si="24"/>
        <v>1</v>
      </c>
      <c r="DB100">
        <f t="shared" si="25"/>
        <v>3.98</v>
      </c>
      <c r="DC100">
        <f t="shared" si="26"/>
        <v>0</v>
      </c>
      <c r="DD100" t="s">
        <v>3</v>
      </c>
      <c r="DE100" t="s">
        <v>3</v>
      </c>
      <c r="DF100">
        <f t="shared" si="20"/>
        <v>63.71</v>
      </c>
      <c r="DG100">
        <f t="shared" si="18"/>
        <v>0</v>
      </c>
      <c r="DH100">
        <f t="shared" si="19"/>
        <v>0</v>
      </c>
      <c r="DI100">
        <f t="shared" si="28"/>
        <v>0</v>
      </c>
      <c r="DJ100">
        <f t="shared" si="27"/>
        <v>63.71</v>
      </c>
      <c r="DK100">
        <v>0</v>
      </c>
      <c r="DL100" t="s">
        <v>3</v>
      </c>
      <c r="DM100">
        <v>0</v>
      </c>
      <c r="DN100" t="s">
        <v>3</v>
      </c>
      <c r="DO100">
        <v>0</v>
      </c>
    </row>
    <row r="101" spans="1:119" x14ac:dyDescent="0.2">
      <c r="A101">
        <f>ROW(Source!A174)</f>
        <v>174</v>
      </c>
      <c r="B101">
        <v>60256405</v>
      </c>
      <c r="C101">
        <v>60256775</v>
      </c>
      <c r="D101">
        <v>0</v>
      </c>
      <c r="E101">
        <v>1080</v>
      </c>
      <c r="F101">
        <v>1</v>
      </c>
      <c r="G101">
        <v>1080</v>
      </c>
      <c r="H101">
        <v>3</v>
      </c>
      <c r="I101" t="s">
        <v>231</v>
      </c>
      <c r="J101" t="s">
        <v>3</v>
      </c>
      <c r="K101" t="s">
        <v>232</v>
      </c>
      <c r="L101">
        <v>1303</v>
      </c>
      <c r="N101">
        <v>1003</v>
      </c>
      <c r="O101" t="s">
        <v>233</v>
      </c>
      <c r="P101" t="s">
        <v>233</v>
      </c>
      <c r="Q101">
        <v>1000</v>
      </c>
      <c r="W101">
        <v>0</v>
      </c>
      <c r="X101">
        <v>2032324242</v>
      </c>
      <c r="Y101">
        <f t="shared" si="21"/>
        <v>0.10199999999999999</v>
      </c>
      <c r="AA101">
        <v>12227.78</v>
      </c>
      <c r="AB101">
        <v>0</v>
      </c>
      <c r="AC101">
        <v>0</v>
      </c>
      <c r="AD101">
        <v>0</v>
      </c>
      <c r="AE101">
        <v>12227.78</v>
      </c>
      <c r="AF101">
        <v>0</v>
      </c>
      <c r="AG101">
        <v>0</v>
      </c>
      <c r="AH101">
        <v>0</v>
      </c>
      <c r="AI101">
        <v>1</v>
      </c>
      <c r="AJ101">
        <v>1</v>
      </c>
      <c r="AK101">
        <v>1</v>
      </c>
      <c r="AL101">
        <v>1</v>
      </c>
      <c r="AM101">
        <v>0</v>
      </c>
      <c r="AN101">
        <v>0</v>
      </c>
      <c r="AO101">
        <v>0</v>
      </c>
      <c r="AP101">
        <v>1</v>
      </c>
      <c r="AQ101">
        <v>0</v>
      </c>
      <c r="AR101">
        <v>0</v>
      </c>
      <c r="AS101" t="s">
        <v>3</v>
      </c>
      <c r="AT101">
        <v>0.10199999999999999</v>
      </c>
      <c r="AU101" t="s">
        <v>24</v>
      </c>
      <c r="AV101">
        <v>0</v>
      </c>
      <c r="AW101">
        <v>1</v>
      </c>
      <c r="AX101">
        <v>-1</v>
      </c>
      <c r="AY101">
        <v>0</v>
      </c>
      <c r="AZ101">
        <v>0</v>
      </c>
      <c r="BA101" t="s">
        <v>3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CV101">
        <v>0</v>
      </c>
      <c r="CW101">
        <v>0</v>
      </c>
      <c r="CX101">
        <f>ROUND(Y101*Source!I174,9)</f>
        <v>1.6319999999999999</v>
      </c>
      <c r="CY101">
        <f t="shared" si="22"/>
        <v>12227.78</v>
      </c>
      <c r="CZ101">
        <f t="shared" si="23"/>
        <v>12227.78</v>
      </c>
      <c r="DA101">
        <f t="shared" si="24"/>
        <v>1</v>
      </c>
      <c r="DB101">
        <f t="shared" si="25"/>
        <v>1247.23</v>
      </c>
      <c r="DC101">
        <f t="shared" si="26"/>
        <v>0</v>
      </c>
      <c r="DD101" t="s">
        <v>3</v>
      </c>
      <c r="DE101" t="s">
        <v>3</v>
      </c>
      <c r="DF101">
        <f t="shared" si="20"/>
        <v>19955.740000000002</v>
      </c>
      <c r="DG101">
        <f t="shared" si="18"/>
        <v>0</v>
      </c>
      <c r="DH101">
        <f t="shared" si="19"/>
        <v>0</v>
      </c>
      <c r="DI101">
        <f t="shared" si="28"/>
        <v>0</v>
      </c>
      <c r="DJ101">
        <f t="shared" si="27"/>
        <v>19955.740000000002</v>
      </c>
      <c r="DK101">
        <v>0</v>
      </c>
      <c r="DL101" t="s">
        <v>3</v>
      </c>
      <c r="DM101">
        <v>0</v>
      </c>
      <c r="DN101" t="s">
        <v>3</v>
      </c>
      <c r="DO101">
        <v>0</v>
      </c>
    </row>
    <row r="102" spans="1:119" x14ac:dyDescent="0.2">
      <c r="A102">
        <f>ROW(Source!A175)</f>
        <v>175</v>
      </c>
      <c r="B102">
        <v>60256402</v>
      </c>
      <c r="C102">
        <v>60256775</v>
      </c>
      <c r="D102">
        <v>58999254</v>
      </c>
      <c r="E102">
        <v>1080</v>
      </c>
      <c r="F102">
        <v>1</v>
      </c>
      <c r="G102">
        <v>1080</v>
      </c>
      <c r="H102">
        <v>1</v>
      </c>
      <c r="I102" t="s">
        <v>269</v>
      </c>
      <c r="J102" t="s">
        <v>3</v>
      </c>
      <c r="K102" t="s">
        <v>270</v>
      </c>
      <c r="L102">
        <v>1191</v>
      </c>
      <c r="N102">
        <v>1013</v>
      </c>
      <c r="O102" t="s">
        <v>271</v>
      </c>
      <c r="P102" t="s">
        <v>271</v>
      </c>
      <c r="Q102">
        <v>1</v>
      </c>
      <c r="W102">
        <v>0</v>
      </c>
      <c r="X102">
        <v>476480486</v>
      </c>
      <c r="Y102">
        <f>(AT102*1.1)</f>
        <v>27.236000000000004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1</v>
      </c>
      <c r="AJ102">
        <v>1</v>
      </c>
      <c r="AK102">
        <v>1</v>
      </c>
      <c r="AL102">
        <v>1</v>
      </c>
      <c r="AM102">
        <v>5</v>
      </c>
      <c r="AN102">
        <v>0</v>
      </c>
      <c r="AO102">
        <v>1</v>
      </c>
      <c r="AP102">
        <v>1</v>
      </c>
      <c r="AQ102">
        <v>0</v>
      </c>
      <c r="AR102">
        <v>0</v>
      </c>
      <c r="AS102" t="s">
        <v>3</v>
      </c>
      <c r="AT102">
        <v>24.76</v>
      </c>
      <c r="AU102" t="s">
        <v>25</v>
      </c>
      <c r="AV102">
        <v>1</v>
      </c>
      <c r="AW102">
        <v>2</v>
      </c>
      <c r="AX102">
        <v>60256891</v>
      </c>
      <c r="AY102">
        <v>1</v>
      </c>
      <c r="AZ102">
        <v>0</v>
      </c>
      <c r="BA102">
        <v>131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CU102">
        <f>ROUND(AT102*Source!I175*AH102*AL102,2)</f>
        <v>0</v>
      </c>
      <c r="CV102">
        <f>ROUND(Y102*Source!I175,9)</f>
        <v>435.77600000000001</v>
      </c>
      <c r="CW102">
        <v>0</v>
      </c>
      <c r="CX102">
        <f>ROUND(Y102*Source!I175,9)</f>
        <v>435.77600000000001</v>
      </c>
      <c r="CY102">
        <f>AD102</f>
        <v>0</v>
      </c>
      <c r="CZ102">
        <f>AH102</f>
        <v>0</v>
      </c>
      <c r="DA102">
        <f>AL102</f>
        <v>1</v>
      </c>
      <c r="DB102">
        <f>ROUND((ROUND(AT102*CZ102,2)*1.1),6)</f>
        <v>0</v>
      </c>
      <c r="DC102">
        <f>ROUND((ROUND(AT102*AG102,2)*1.1),6)</f>
        <v>0</v>
      </c>
      <c r="DD102" t="s">
        <v>3</v>
      </c>
      <c r="DE102" t="s">
        <v>3</v>
      </c>
      <c r="DF102">
        <f t="shared" si="20"/>
        <v>0</v>
      </c>
      <c r="DG102">
        <f t="shared" si="18"/>
        <v>0</v>
      </c>
      <c r="DH102">
        <f t="shared" si="19"/>
        <v>0</v>
      </c>
      <c r="DI102">
        <f t="shared" si="28"/>
        <v>0</v>
      </c>
      <c r="DJ102">
        <f>DI102</f>
        <v>0</v>
      </c>
      <c r="DK102">
        <v>0</v>
      </c>
      <c r="DL102" t="s">
        <v>3</v>
      </c>
      <c r="DM102">
        <v>0</v>
      </c>
      <c r="DN102" t="s">
        <v>3</v>
      </c>
      <c r="DO102">
        <v>0</v>
      </c>
    </row>
    <row r="103" spans="1:119" x14ac:dyDescent="0.2">
      <c r="A103">
        <f>ROW(Source!A175)</f>
        <v>175</v>
      </c>
      <c r="B103">
        <v>60256402</v>
      </c>
      <c r="C103">
        <v>60256775</v>
      </c>
      <c r="D103">
        <v>59070721</v>
      </c>
      <c r="E103">
        <v>1</v>
      </c>
      <c r="F103">
        <v>1</v>
      </c>
      <c r="G103">
        <v>1080</v>
      </c>
      <c r="H103">
        <v>2</v>
      </c>
      <c r="I103" t="s">
        <v>328</v>
      </c>
      <c r="J103" t="s">
        <v>329</v>
      </c>
      <c r="K103" t="s">
        <v>330</v>
      </c>
      <c r="L103">
        <v>1368</v>
      </c>
      <c r="N103">
        <v>1011</v>
      </c>
      <c r="O103" t="s">
        <v>275</v>
      </c>
      <c r="P103" t="s">
        <v>275</v>
      </c>
      <c r="Q103">
        <v>1</v>
      </c>
      <c r="W103">
        <v>0</v>
      </c>
      <c r="X103">
        <v>1387779639</v>
      </c>
      <c r="Y103">
        <f>(AT103*1.1)</f>
        <v>2.6840000000000002</v>
      </c>
      <c r="AA103">
        <v>0</v>
      </c>
      <c r="AB103">
        <v>6.98</v>
      </c>
      <c r="AC103">
        <v>0</v>
      </c>
      <c r="AD103">
        <v>0</v>
      </c>
      <c r="AE103">
        <v>0</v>
      </c>
      <c r="AF103">
        <v>0.77</v>
      </c>
      <c r="AG103">
        <v>0</v>
      </c>
      <c r="AH103">
        <v>0</v>
      </c>
      <c r="AI103">
        <v>1</v>
      </c>
      <c r="AJ103">
        <v>8.66</v>
      </c>
      <c r="AK103">
        <v>54.99</v>
      </c>
      <c r="AL103">
        <v>1</v>
      </c>
      <c r="AM103">
        <v>2</v>
      </c>
      <c r="AN103">
        <v>0</v>
      </c>
      <c r="AO103">
        <v>1</v>
      </c>
      <c r="AP103">
        <v>1</v>
      </c>
      <c r="AQ103">
        <v>0</v>
      </c>
      <c r="AR103">
        <v>0</v>
      </c>
      <c r="AS103" t="s">
        <v>3</v>
      </c>
      <c r="AT103">
        <v>2.44</v>
      </c>
      <c r="AU103" t="s">
        <v>25</v>
      </c>
      <c r="AV103">
        <v>0</v>
      </c>
      <c r="AW103">
        <v>2</v>
      </c>
      <c r="AX103">
        <v>60256892</v>
      </c>
      <c r="AY103">
        <v>1</v>
      </c>
      <c r="AZ103">
        <v>0</v>
      </c>
      <c r="BA103">
        <v>132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CV103">
        <v>0</v>
      </c>
      <c r="CW103">
        <f>ROUND(Y103*Source!I175*DO103,9)</f>
        <v>0</v>
      </c>
      <c r="CX103">
        <f>ROUND(Y103*Source!I175,9)</f>
        <v>42.944000000000003</v>
      </c>
      <c r="CY103">
        <f>AB103</f>
        <v>6.98</v>
      </c>
      <c r="CZ103">
        <f>AF103</f>
        <v>0.77</v>
      </c>
      <c r="DA103">
        <f>AJ103</f>
        <v>8.66</v>
      </c>
      <c r="DB103">
        <f>ROUND((ROUND(AT103*CZ103,2)*1.1),6)</f>
        <v>2.0680000000000001</v>
      </c>
      <c r="DC103">
        <f>ROUND((ROUND(AT103*AG103,2)*1.1),6)</f>
        <v>0</v>
      </c>
      <c r="DD103" t="s">
        <v>3</v>
      </c>
      <c r="DE103" t="s">
        <v>3</v>
      </c>
      <c r="DF103">
        <f t="shared" si="20"/>
        <v>0</v>
      </c>
      <c r="DG103">
        <f>ROUND(ROUND(AF103*AJ103,2)*CX103,2)</f>
        <v>286.44</v>
      </c>
      <c r="DH103">
        <f>ROUND(ROUND(AG103*AK103,2)*CX103,2)</f>
        <v>0</v>
      </c>
      <c r="DI103">
        <f t="shared" si="28"/>
        <v>0</v>
      </c>
      <c r="DJ103">
        <f>DG103</f>
        <v>286.44</v>
      </c>
      <c r="DK103">
        <v>0</v>
      </c>
      <c r="DL103" t="s">
        <v>3</v>
      </c>
      <c r="DM103">
        <v>0</v>
      </c>
      <c r="DN103" t="s">
        <v>3</v>
      </c>
      <c r="DO103">
        <v>0</v>
      </c>
    </row>
    <row r="104" spans="1:119" x14ac:dyDescent="0.2">
      <c r="A104">
        <f>ROW(Source!A175)</f>
        <v>175</v>
      </c>
      <c r="B104">
        <v>60256402</v>
      </c>
      <c r="C104">
        <v>60256775</v>
      </c>
      <c r="D104">
        <v>59070754</v>
      </c>
      <c r="E104">
        <v>1</v>
      </c>
      <c r="F104">
        <v>1</v>
      </c>
      <c r="G104">
        <v>1080</v>
      </c>
      <c r="H104">
        <v>2</v>
      </c>
      <c r="I104" t="s">
        <v>307</v>
      </c>
      <c r="J104" t="s">
        <v>308</v>
      </c>
      <c r="K104" t="s">
        <v>309</v>
      </c>
      <c r="L104">
        <v>1368</v>
      </c>
      <c r="N104">
        <v>1011</v>
      </c>
      <c r="O104" t="s">
        <v>275</v>
      </c>
      <c r="P104" t="s">
        <v>275</v>
      </c>
      <c r="Q104">
        <v>1</v>
      </c>
      <c r="W104">
        <v>0</v>
      </c>
      <c r="X104">
        <v>1645565003</v>
      </c>
      <c r="Y104">
        <f>(AT104*1.1)</f>
        <v>5.093</v>
      </c>
      <c r="AA104">
        <v>0</v>
      </c>
      <c r="AB104">
        <v>4.3</v>
      </c>
      <c r="AC104">
        <v>0</v>
      </c>
      <c r="AD104">
        <v>0</v>
      </c>
      <c r="AE104">
        <v>0</v>
      </c>
      <c r="AF104">
        <v>0.47</v>
      </c>
      <c r="AG104">
        <v>0</v>
      </c>
      <c r="AH104">
        <v>0</v>
      </c>
      <c r="AI104">
        <v>1</v>
      </c>
      <c r="AJ104">
        <v>8.74</v>
      </c>
      <c r="AK104">
        <v>54.99</v>
      </c>
      <c r="AL104">
        <v>1</v>
      </c>
      <c r="AM104">
        <v>2</v>
      </c>
      <c r="AN104">
        <v>0</v>
      </c>
      <c r="AO104">
        <v>1</v>
      </c>
      <c r="AP104">
        <v>1</v>
      </c>
      <c r="AQ104">
        <v>0</v>
      </c>
      <c r="AR104">
        <v>0</v>
      </c>
      <c r="AS104" t="s">
        <v>3</v>
      </c>
      <c r="AT104">
        <v>4.63</v>
      </c>
      <c r="AU104" t="s">
        <v>25</v>
      </c>
      <c r="AV104">
        <v>0</v>
      </c>
      <c r="AW104">
        <v>2</v>
      </c>
      <c r="AX104">
        <v>60256893</v>
      </c>
      <c r="AY104">
        <v>1</v>
      </c>
      <c r="AZ104">
        <v>0</v>
      </c>
      <c r="BA104">
        <v>133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CV104">
        <v>0</v>
      </c>
      <c r="CW104">
        <f>ROUND(Y104*Source!I175*DO104,9)</f>
        <v>0</v>
      </c>
      <c r="CX104">
        <f>ROUND(Y104*Source!I175,9)</f>
        <v>81.488</v>
      </c>
      <c r="CY104">
        <f>AB104</f>
        <v>4.3</v>
      </c>
      <c r="CZ104">
        <f>AF104</f>
        <v>0.47</v>
      </c>
      <c r="DA104">
        <f>AJ104</f>
        <v>8.74</v>
      </c>
      <c r="DB104">
        <f>ROUND((ROUND(AT104*CZ104,2)*1.1),6)</f>
        <v>2.3980000000000001</v>
      </c>
      <c r="DC104">
        <f>ROUND((ROUND(AT104*AG104,2)*1.1),6)</f>
        <v>0</v>
      </c>
      <c r="DD104" t="s">
        <v>3</v>
      </c>
      <c r="DE104" t="s">
        <v>3</v>
      </c>
      <c r="DF104">
        <f t="shared" si="20"/>
        <v>0</v>
      </c>
      <c r="DG104">
        <f>ROUND(ROUND(AF104*AJ104,2)*CX104,2)</f>
        <v>334.92</v>
      </c>
      <c r="DH104">
        <f>ROUND(ROUND(AG104*AK104,2)*CX104,2)</f>
        <v>0</v>
      </c>
      <c r="DI104">
        <f t="shared" si="28"/>
        <v>0</v>
      </c>
      <c r="DJ104">
        <f>DG104</f>
        <v>334.92</v>
      </c>
      <c r="DK104">
        <v>0</v>
      </c>
      <c r="DL104" t="s">
        <v>3</v>
      </c>
      <c r="DM104">
        <v>0</v>
      </c>
      <c r="DN104" t="s">
        <v>3</v>
      </c>
      <c r="DO104">
        <v>0</v>
      </c>
    </row>
    <row r="105" spans="1:119" x14ac:dyDescent="0.2">
      <c r="A105">
        <f>ROW(Source!A175)</f>
        <v>175</v>
      </c>
      <c r="B105">
        <v>60256402</v>
      </c>
      <c r="C105">
        <v>60256775</v>
      </c>
      <c r="D105">
        <v>59052976</v>
      </c>
      <c r="E105">
        <v>1</v>
      </c>
      <c r="F105">
        <v>1</v>
      </c>
      <c r="G105">
        <v>1080</v>
      </c>
      <c r="H105">
        <v>3</v>
      </c>
      <c r="I105" t="s">
        <v>221</v>
      </c>
      <c r="J105" t="s">
        <v>224</v>
      </c>
      <c r="K105" t="s">
        <v>222</v>
      </c>
      <c r="L105">
        <v>1301</v>
      </c>
      <c r="N105">
        <v>1003</v>
      </c>
      <c r="O105" t="s">
        <v>223</v>
      </c>
      <c r="P105" t="s">
        <v>223</v>
      </c>
      <c r="Q105">
        <v>1</v>
      </c>
      <c r="W105">
        <v>0</v>
      </c>
      <c r="X105">
        <v>-1305428159</v>
      </c>
      <c r="Y105">
        <f t="shared" ref="Y105:Y110" si="29">(AT105*1)</f>
        <v>102</v>
      </c>
      <c r="AA105">
        <v>13.56</v>
      </c>
      <c r="AB105">
        <v>0</v>
      </c>
      <c r="AC105">
        <v>0</v>
      </c>
      <c r="AD105">
        <v>0</v>
      </c>
      <c r="AE105">
        <v>3.45</v>
      </c>
      <c r="AF105">
        <v>0</v>
      </c>
      <c r="AG105">
        <v>0</v>
      </c>
      <c r="AH105">
        <v>0</v>
      </c>
      <c r="AI105">
        <v>3.93</v>
      </c>
      <c r="AJ105">
        <v>1</v>
      </c>
      <c r="AK105">
        <v>1</v>
      </c>
      <c r="AL105">
        <v>1</v>
      </c>
      <c r="AM105">
        <v>0</v>
      </c>
      <c r="AN105">
        <v>0</v>
      </c>
      <c r="AO105">
        <v>0</v>
      </c>
      <c r="AP105">
        <v>1</v>
      </c>
      <c r="AQ105">
        <v>0</v>
      </c>
      <c r="AR105">
        <v>0</v>
      </c>
      <c r="AS105" t="s">
        <v>3</v>
      </c>
      <c r="AT105">
        <v>102</v>
      </c>
      <c r="AU105" t="s">
        <v>24</v>
      </c>
      <c r="AV105">
        <v>0</v>
      </c>
      <c r="AW105">
        <v>1</v>
      </c>
      <c r="AX105">
        <v>-1</v>
      </c>
      <c r="AY105">
        <v>0</v>
      </c>
      <c r="AZ105">
        <v>0</v>
      </c>
      <c r="BA105" t="s">
        <v>3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CV105">
        <v>0</v>
      </c>
      <c r="CW105">
        <v>0</v>
      </c>
      <c r="CX105">
        <f>ROUND(Y105*Source!I175,9)</f>
        <v>1632</v>
      </c>
      <c r="CY105">
        <f t="shared" ref="CY105:CY110" si="30">AA105</f>
        <v>13.56</v>
      </c>
      <c r="CZ105">
        <f t="shared" ref="CZ105:CZ110" si="31">AE105</f>
        <v>3.45</v>
      </c>
      <c r="DA105">
        <f t="shared" ref="DA105:DA110" si="32">AI105</f>
        <v>3.93</v>
      </c>
      <c r="DB105">
        <f t="shared" ref="DB105:DB110" si="33">ROUND((ROUND(AT105*CZ105,2)*1),6)</f>
        <v>351.9</v>
      </c>
      <c r="DC105">
        <f t="shared" ref="DC105:DC110" si="34">ROUND((ROUND(AT105*AG105,2)*1),6)</f>
        <v>0</v>
      </c>
      <c r="DD105" t="s">
        <v>3</v>
      </c>
      <c r="DE105" t="s">
        <v>3</v>
      </c>
      <c r="DF105">
        <f t="shared" ref="DF105:DF110" si="35">ROUND(ROUND(AE105*AI105,2)*CX105,2)</f>
        <v>22129.919999999998</v>
      </c>
      <c r="DG105">
        <f t="shared" ref="DG105:DG119" si="36">ROUND(ROUND(AF105,2)*CX105,2)</f>
        <v>0</v>
      </c>
      <c r="DH105">
        <f t="shared" ref="DH105:DH119" si="37">ROUND(ROUND(AG105,2)*CX105,2)</f>
        <v>0</v>
      </c>
      <c r="DI105">
        <f t="shared" si="28"/>
        <v>0</v>
      </c>
      <c r="DJ105">
        <f t="shared" ref="DJ105:DJ110" si="38">DF105</f>
        <v>22129.919999999998</v>
      </c>
      <c r="DK105">
        <v>0</v>
      </c>
      <c r="DL105" t="s">
        <v>3</v>
      </c>
      <c r="DM105">
        <v>0</v>
      </c>
      <c r="DN105" t="s">
        <v>3</v>
      </c>
      <c r="DO105">
        <v>0</v>
      </c>
    </row>
    <row r="106" spans="1:119" x14ac:dyDescent="0.2">
      <c r="A106">
        <f>ROW(Source!A175)</f>
        <v>175</v>
      </c>
      <c r="B106">
        <v>60256402</v>
      </c>
      <c r="C106">
        <v>60256775</v>
      </c>
      <c r="D106">
        <v>59062734</v>
      </c>
      <c r="E106">
        <v>1</v>
      </c>
      <c r="F106">
        <v>1</v>
      </c>
      <c r="G106">
        <v>1080</v>
      </c>
      <c r="H106">
        <v>3</v>
      </c>
      <c r="I106" t="s">
        <v>331</v>
      </c>
      <c r="J106" t="s">
        <v>332</v>
      </c>
      <c r="K106" t="s">
        <v>333</v>
      </c>
      <c r="L106">
        <v>1356</v>
      </c>
      <c r="N106">
        <v>1010</v>
      </c>
      <c r="O106" t="s">
        <v>228</v>
      </c>
      <c r="P106" t="s">
        <v>228</v>
      </c>
      <c r="Q106">
        <v>1000</v>
      </c>
      <c r="W106">
        <v>0</v>
      </c>
      <c r="X106">
        <v>-1221558404</v>
      </c>
      <c r="Y106">
        <f t="shared" si="29"/>
        <v>3.1E-2</v>
      </c>
      <c r="AA106">
        <v>1602.49</v>
      </c>
      <c r="AB106">
        <v>0</v>
      </c>
      <c r="AC106">
        <v>0</v>
      </c>
      <c r="AD106">
        <v>0</v>
      </c>
      <c r="AE106">
        <v>226.66</v>
      </c>
      <c r="AF106">
        <v>0</v>
      </c>
      <c r="AG106">
        <v>0</v>
      </c>
      <c r="AH106">
        <v>0</v>
      </c>
      <c r="AI106">
        <v>7.07</v>
      </c>
      <c r="AJ106">
        <v>1</v>
      </c>
      <c r="AK106">
        <v>1</v>
      </c>
      <c r="AL106">
        <v>1</v>
      </c>
      <c r="AM106">
        <v>2</v>
      </c>
      <c r="AN106">
        <v>0</v>
      </c>
      <c r="AO106">
        <v>1</v>
      </c>
      <c r="AP106">
        <v>1</v>
      </c>
      <c r="AQ106">
        <v>0</v>
      </c>
      <c r="AR106">
        <v>0</v>
      </c>
      <c r="AS106" t="s">
        <v>3</v>
      </c>
      <c r="AT106">
        <v>3.1E-2</v>
      </c>
      <c r="AU106" t="s">
        <v>24</v>
      </c>
      <c r="AV106">
        <v>0</v>
      </c>
      <c r="AW106">
        <v>2</v>
      </c>
      <c r="AX106">
        <v>60256894</v>
      </c>
      <c r="AY106">
        <v>1</v>
      </c>
      <c r="AZ106">
        <v>0</v>
      </c>
      <c r="BA106">
        <v>134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CV106">
        <v>0</v>
      </c>
      <c r="CW106">
        <v>0</v>
      </c>
      <c r="CX106">
        <f>ROUND(Y106*Source!I175,9)</f>
        <v>0.496</v>
      </c>
      <c r="CY106">
        <f t="shared" si="30"/>
        <v>1602.49</v>
      </c>
      <c r="CZ106">
        <f t="shared" si="31"/>
        <v>226.66</v>
      </c>
      <c r="DA106">
        <f t="shared" si="32"/>
        <v>7.07</v>
      </c>
      <c r="DB106">
        <f t="shared" si="33"/>
        <v>7.03</v>
      </c>
      <c r="DC106">
        <f t="shared" si="34"/>
        <v>0</v>
      </c>
      <c r="DD106" t="s">
        <v>3</v>
      </c>
      <c r="DE106" t="s">
        <v>3</v>
      </c>
      <c r="DF106">
        <f t="shared" si="35"/>
        <v>794.84</v>
      </c>
      <c r="DG106">
        <f t="shared" si="36"/>
        <v>0</v>
      </c>
      <c r="DH106">
        <f t="shared" si="37"/>
        <v>0</v>
      </c>
      <c r="DI106">
        <f t="shared" si="28"/>
        <v>0</v>
      </c>
      <c r="DJ106">
        <f t="shared" si="38"/>
        <v>794.84</v>
      </c>
      <c r="DK106">
        <v>0</v>
      </c>
      <c r="DL106" t="s">
        <v>3</v>
      </c>
      <c r="DM106">
        <v>0</v>
      </c>
      <c r="DN106" t="s">
        <v>3</v>
      </c>
      <c r="DO106">
        <v>0</v>
      </c>
    </row>
    <row r="107" spans="1:119" x14ac:dyDescent="0.2">
      <c r="A107">
        <f>ROW(Source!A175)</f>
        <v>175</v>
      </c>
      <c r="B107">
        <v>60256402</v>
      </c>
      <c r="C107">
        <v>60256775</v>
      </c>
      <c r="D107">
        <v>59062979</v>
      </c>
      <c r="E107">
        <v>1</v>
      </c>
      <c r="F107">
        <v>1</v>
      </c>
      <c r="G107">
        <v>1080</v>
      </c>
      <c r="H107">
        <v>3</v>
      </c>
      <c r="I107" t="s">
        <v>226</v>
      </c>
      <c r="J107" t="s">
        <v>229</v>
      </c>
      <c r="K107" t="s">
        <v>227</v>
      </c>
      <c r="L107">
        <v>1356</v>
      </c>
      <c r="N107">
        <v>1010</v>
      </c>
      <c r="O107" t="s">
        <v>228</v>
      </c>
      <c r="P107" t="s">
        <v>228</v>
      </c>
      <c r="Q107">
        <v>1000</v>
      </c>
      <c r="W107">
        <v>0</v>
      </c>
      <c r="X107">
        <v>179573335</v>
      </c>
      <c r="Y107">
        <f t="shared" si="29"/>
        <v>0.23799999999999999</v>
      </c>
      <c r="AA107">
        <v>1836.21</v>
      </c>
      <c r="AB107">
        <v>0</v>
      </c>
      <c r="AC107">
        <v>0</v>
      </c>
      <c r="AD107">
        <v>0</v>
      </c>
      <c r="AE107">
        <v>396.59</v>
      </c>
      <c r="AF107">
        <v>0</v>
      </c>
      <c r="AG107">
        <v>0</v>
      </c>
      <c r="AH107">
        <v>0</v>
      </c>
      <c r="AI107">
        <v>4.63</v>
      </c>
      <c r="AJ107">
        <v>1</v>
      </c>
      <c r="AK107">
        <v>1</v>
      </c>
      <c r="AL107">
        <v>1</v>
      </c>
      <c r="AM107">
        <v>0</v>
      </c>
      <c r="AN107">
        <v>0</v>
      </c>
      <c r="AO107">
        <v>0</v>
      </c>
      <c r="AP107">
        <v>1</v>
      </c>
      <c r="AQ107">
        <v>0</v>
      </c>
      <c r="AR107">
        <v>0</v>
      </c>
      <c r="AS107" t="s">
        <v>3</v>
      </c>
      <c r="AT107">
        <v>0.23799999999999999</v>
      </c>
      <c r="AU107" t="s">
        <v>24</v>
      </c>
      <c r="AV107">
        <v>0</v>
      </c>
      <c r="AW107">
        <v>1</v>
      </c>
      <c r="AX107">
        <v>-1</v>
      </c>
      <c r="AY107">
        <v>0</v>
      </c>
      <c r="AZ107">
        <v>0</v>
      </c>
      <c r="BA107" t="s">
        <v>3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CV107">
        <v>0</v>
      </c>
      <c r="CW107">
        <v>0</v>
      </c>
      <c r="CX107">
        <f>ROUND(Y107*Source!I175,9)</f>
        <v>3.8079999999999998</v>
      </c>
      <c r="CY107">
        <f t="shared" si="30"/>
        <v>1836.21</v>
      </c>
      <c r="CZ107">
        <f t="shared" si="31"/>
        <v>396.59</v>
      </c>
      <c r="DA107">
        <f t="shared" si="32"/>
        <v>4.63</v>
      </c>
      <c r="DB107">
        <f t="shared" si="33"/>
        <v>94.39</v>
      </c>
      <c r="DC107">
        <f t="shared" si="34"/>
        <v>0</v>
      </c>
      <c r="DD107" t="s">
        <v>3</v>
      </c>
      <c r="DE107" t="s">
        <v>3</v>
      </c>
      <c r="DF107">
        <f t="shared" si="35"/>
        <v>6992.29</v>
      </c>
      <c r="DG107">
        <f t="shared" si="36"/>
        <v>0</v>
      </c>
      <c r="DH107">
        <f t="shared" si="37"/>
        <v>0</v>
      </c>
      <c r="DI107">
        <f t="shared" si="28"/>
        <v>0</v>
      </c>
      <c r="DJ107">
        <f t="shared" si="38"/>
        <v>6992.29</v>
      </c>
      <c r="DK107">
        <v>0</v>
      </c>
      <c r="DL107" t="s">
        <v>3</v>
      </c>
      <c r="DM107">
        <v>0</v>
      </c>
      <c r="DN107" t="s">
        <v>3</v>
      </c>
      <c r="DO107">
        <v>0</v>
      </c>
    </row>
    <row r="108" spans="1:119" x14ac:dyDescent="0.2">
      <c r="A108">
        <f>ROW(Source!A175)</f>
        <v>175</v>
      </c>
      <c r="B108">
        <v>60256402</v>
      </c>
      <c r="C108">
        <v>60256775</v>
      </c>
      <c r="D108">
        <v>59062508</v>
      </c>
      <c r="E108">
        <v>1</v>
      </c>
      <c r="F108">
        <v>1</v>
      </c>
      <c r="G108">
        <v>1080</v>
      </c>
      <c r="H108">
        <v>3</v>
      </c>
      <c r="I108" t="s">
        <v>334</v>
      </c>
      <c r="J108" t="s">
        <v>335</v>
      </c>
      <c r="K108" t="s">
        <v>336</v>
      </c>
      <c r="L108">
        <v>1355</v>
      </c>
      <c r="N108">
        <v>1010</v>
      </c>
      <c r="O108" t="s">
        <v>200</v>
      </c>
      <c r="P108" t="s">
        <v>200</v>
      </c>
      <c r="Q108">
        <v>100</v>
      </c>
      <c r="W108">
        <v>0</v>
      </c>
      <c r="X108">
        <v>-210805237</v>
      </c>
      <c r="Y108">
        <f t="shared" si="29"/>
        <v>0.315</v>
      </c>
      <c r="AA108">
        <v>105.5</v>
      </c>
      <c r="AB108">
        <v>0</v>
      </c>
      <c r="AC108">
        <v>0</v>
      </c>
      <c r="AD108">
        <v>0</v>
      </c>
      <c r="AE108">
        <v>26.71</v>
      </c>
      <c r="AF108">
        <v>0</v>
      </c>
      <c r="AG108">
        <v>0</v>
      </c>
      <c r="AH108">
        <v>0</v>
      </c>
      <c r="AI108">
        <v>3.95</v>
      </c>
      <c r="AJ108">
        <v>1</v>
      </c>
      <c r="AK108">
        <v>1</v>
      </c>
      <c r="AL108">
        <v>1</v>
      </c>
      <c r="AM108">
        <v>2</v>
      </c>
      <c r="AN108">
        <v>0</v>
      </c>
      <c r="AO108">
        <v>1</v>
      </c>
      <c r="AP108">
        <v>1</v>
      </c>
      <c r="AQ108">
        <v>0</v>
      </c>
      <c r="AR108">
        <v>0</v>
      </c>
      <c r="AS108" t="s">
        <v>3</v>
      </c>
      <c r="AT108">
        <v>0.315</v>
      </c>
      <c r="AU108" t="s">
        <v>24</v>
      </c>
      <c r="AV108">
        <v>0</v>
      </c>
      <c r="AW108">
        <v>2</v>
      </c>
      <c r="AX108">
        <v>60256895</v>
      </c>
      <c r="AY108">
        <v>1</v>
      </c>
      <c r="AZ108">
        <v>0</v>
      </c>
      <c r="BA108">
        <v>135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CV108">
        <v>0</v>
      </c>
      <c r="CW108">
        <v>0</v>
      </c>
      <c r="CX108">
        <f>ROUND(Y108*Source!I175,9)</f>
        <v>5.04</v>
      </c>
      <c r="CY108">
        <f t="shared" si="30"/>
        <v>105.5</v>
      </c>
      <c r="CZ108">
        <f t="shared" si="31"/>
        <v>26.71</v>
      </c>
      <c r="DA108">
        <f t="shared" si="32"/>
        <v>3.95</v>
      </c>
      <c r="DB108">
        <f t="shared" si="33"/>
        <v>8.41</v>
      </c>
      <c r="DC108">
        <f t="shared" si="34"/>
        <v>0</v>
      </c>
      <c r="DD108" t="s">
        <v>3</v>
      </c>
      <c r="DE108" t="s">
        <v>3</v>
      </c>
      <c r="DF108">
        <f t="shared" si="35"/>
        <v>531.72</v>
      </c>
      <c r="DG108">
        <f t="shared" si="36"/>
        <v>0</v>
      </c>
      <c r="DH108">
        <f t="shared" si="37"/>
        <v>0</v>
      </c>
      <c r="DI108">
        <f t="shared" si="28"/>
        <v>0</v>
      </c>
      <c r="DJ108">
        <f t="shared" si="38"/>
        <v>531.72</v>
      </c>
      <c r="DK108">
        <v>0</v>
      </c>
      <c r="DL108" t="s">
        <v>3</v>
      </c>
      <c r="DM108">
        <v>0</v>
      </c>
      <c r="DN108" t="s">
        <v>3</v>
      </c>
      <c r="DO108">
        <v>0</v>
      </c>
    </row>
    <row r="109" spans="1:119" x14ac:dyDescent="0.2">
      <c r="A109">
        <f>ROW(Source!A175)</f>
        <v>175</v>
      </c>
      <c r="B109">
        <v>60256402</v>
      </c>
      <c r="C109">
        <v>60256775</v>
      </c>
      <c r="D109">
        <v>59049364</v>
      </c>
      <c r="E109">
        <v>1</v>
      </c>
      <c r="F109">
        <v>1</v>
      </c>
      <c r="G109">
        <v>1080</v>
      </c>
      <c r="H109">
        <v>3</v>
      </c>
      <c r="I109" t="s">
        <v>337</v>
      </c>
      <c r="J109" t="s">
        <v>338</v>
      </c>
      <c r="K109" t="s">
        <v>339</v>
      </c>
      <c r="L109">
        <v>1354</v>
      </c>
      <c r="N109">
        <v>1010</v>
      </c>
      <c r="O109" t="s">
        <v>33</v>
      </c>
      <c r="P109" t="s">
        <v>33</v>
      </c>
      <c r="Q109">
        <v>1</v>
      </c>
      <c r="W109">
        <v>0</v>
      </c>
      <c r="X109">
        <v>309799599</v>
      </c>
      <c r="Y109">
        <f t="shared" si="29"/>
        <v>0.28000000000000003</v>
      </c>
      <c r="AA109">
        <v>165.81</v>
      </c>
      <c r="AB109">
        <v>0</v>
      </c>
      <c r="AC109">
        <v>0</v>
      </c>
      <c r="AD109">
        <v>0</v>
      </c>
      <c r="AE109">
        <v>14.22</v>
      </c>
      <c r="AF109">
        <v>0</v>
      </c>
      <c r="AG109">
        <v>0</v>
      </c>
      <c r="AH109">
        <v>0</v>
      </c>
      <c r="AI109">
        <v>11.66</v>
      </c>
      <c r="AJ109">
        <v>1</v>
      </c>
      <c r="AK109">
        <v>1</v>
      </c>
      <c r="AL109">
        <v>1</v>
      </c>
      <c r="AM109">
        <v>2</v>
      </c>
      <c r="AN109">
        <v>0</v>
      </c>
      <c r="AO109">
        <v>1</v>
      </c>
      <c r="AP109">
        <v>1</v>
      </c>
      <c r="AQ109">
        <v>0</v>
      </c>
      <c r="AR109">
        <v>0</v>
      </c>
      <c r="AS109" t="s">
        <v>3</v>
      </c>
      <c r="AT109">
        <v>0.28000000000000003</v>
      </c>
      <c r="AU109" t="s">
        <v>24</v>
      </c>
      <c r="AV109">
        <v>0</v>
      </c>
      <c r="AW109">
        <v>2</v>
      </c>
      <c r="AX109">
        <v>60256896</v>
      </c>
      <c r="AY109">
        <v>1</v>
      </c>
      <c r="AZ109">
        <v>0</v>
      </c>
      <c r="BA109">
        <v>136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CV109">
        <v>0</v>
      </c>
      <c r="CW109">
        <v>0</v>
      </c>
      <c r="CX109">
        <f>ROUND(Y109*Source!I175,9)</f>
        <v>4.4800000000000004</v>
      </c>
      <c r="CY109">
        <f t="shared" si="30"/>
        <v>165.81</v>
      </c>
      <c r="CZ109">
        <f t="shared" si="31"/>
        <v>14.22</v>
      </c>
      <c r="DA109">
        <f t="shared" si="32"/>
        <v>11.66</v>
      </c>
      <c r="DB109">
        <f t="shared" si="33"/>
        <v>3.98</v>
      </c>
      <c r="DC109">
        <f t="shared" si="34"/>
        <v>0</v>
      </c>
      <c r="DD109" t="s">
        <v>3</v>
      </c>
      <c r="DE109" t="s">
        <v>3</v>
      </c>
      <c r="DF109">
        <f t="shared" si="35"/>
        <v>742.83</v>
      </c>
      <c r="DG109">
        <f t="shared" si="36"/>
        <v>0</v>
      </c>
      <c r="DH109">
        <f t="shared" si="37"/>
        <v>0</v>
      </c>
      <c r="DI109">
        <f t="shared" si="28"/>
        <v>0</v>
      </c>
      <c r="DJ109">
        <f t="shared" si="38"/>
        <v>742.83</v>
      </c>
      <c r="DK109">
        <v>0</v>
      </c>
      <c r="DL109" t="s">
        <v>3</v>
      </c>
      <c r="DM109">
        <v>0</v>
      </c>
      <c r="DN109" t="s">
        <v>3</v>
      </c>
      <c r="DO109">
        <v>0</v>
      </c>
    </row>
    <row r="110" spans="1:119" x14ac:dyDescent="0.2">
      <c r="A110">
        <f>ROW(Source!A175)</f>
        <v>175</v>
      </c>
      <c r="B110">
        <v>60256402</v>
      </c>
      <c r="C110">
        <v>60256775</v>
      </c>
      <c r="D110">
        <v>0</v>
      </c>
      <c r="E110">
        <v>1080</v>
      </c>
      <c r="F110">
        <v>1</v>
      </c>
      <c r="G110">
        <v>1080</v>
      </c>
      <c r="H110">
        <v>3</v>
      </c>
      <c r="I110" t="s">
        <v>231</v>
      </c>
      <c r="J110" t="s">
        <v>3</v>
      </c>
      <c r="K110" t="s">
        <v>232</v>
      </c>
      <c r="L110">
        <v>1303</v>
      </c>
      <c r="N110">
        <v>1003</v>
      </c>
      <c r="O110" t="s">
        <v>233</v>
      </c>
      <c r="P110" t="s">
        <v>233</v>
      </c>
      <c r="Q110">
        <v>1000</v>
      </c>
      <c r="W110">
        <v>0</v>
      </c>
      <c r="X110">
        <v>2032324242</v>
      </c>
      <c r="Y110">
        <f t="shared" si="29"/>
        <v>0.10199999999999999</v>
      </c>
      <c r="AA110">
        <v>120810.47</v>
      </c>
      <c r="AB110">
        <v>0</v>
      </c>
      <c r="AC110">
        <v>0</v>
      </c>
      <c r="AD110">
        <v>0</v>
      </c>
      <c r="AE110">
        <v>12227.78</v>
      </c>
      <c r="AF110">
        <v>0</v>
      </c>
      <c r="AG110">
        <v>0</v>
      </c>
      <c r="AH110">
        <v>0</v>
      </c>
      <c r="AI110">
        <v>9.8800000000000008</v>
      </c>
      <c r="AJ110">
        <v>1</v>
      </c>
      <c r="AK110">
        <v>1</v>
      </c>
      <c r="AL110">
        <v>1</v>
      </c>
      <c r="AM110">
        <v>0</v>
      </c>
      <c r="AN110">
        <v>0</v>
      </c>
      <c r="AO110">
        <v>0</v>
      </c>
      <c r="AP110">
        <v>1</v>
      </c>
      <c r="AQ110">
        <v>0</v>
      </c>
      <c r="AR110">
        <v>0</v>
      </c>
      <c r="AS110" t="s">
        <v>3</v>
      </c>
      <c r="AT110">
        <v>0.10199999999999999</v>
      </c>
      <c r="AU110" t="s">
        <v>24</v>
      </c>
      <c r="AV110">
        <v>0</v>
      </c>
      <c r="AW110">
        <v>1</v>
      </c>
      <c r="AX110">
        <v>-1</v>
      </c>
      <c r="AY110">
        <v>0</v>
      </c>
      <c r="AZ110">
        <v>0</v>
      </c>
      <c r="BA110" t="s">
        <v>3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CV110">
        <v>0</v>
      </c>
      <c r="CW110">
        <v>0</v>
      </c>
      <c r="CX110">
        <f>ROUND(Y110*Source!I175,9)</f>
        <v>1.6319999999999999</v>
      </c>
      <c r="CY110">
        <f t="shared" si="30"/>
        <v>120810.47</v>
      </c>
      <c r="CZ110">
        <f t="shared" si="31"/>
        <v>12227.78</v>
      </c>
      <c r="DA110">
        <f t="shared" si="32"/>
        <v>9.8800000000000008</v>
      </c>
      <c r="DB110">
        <f t="shared" si="33"/>
        <v>1247.23</v>
      </c>
      <c r="DC110">
        <f t="shared" si="34"/>
        <v>0</v>
      </c>
      <c r="DD110" t="s">
        <v>3</v>
      </c>
      <c r="DE110" t="s">
        <v>3</v>
      </c>
      <c r="DF110">
        <f t="shared" si="35"/>
        <v>197162.69</v>
      </c>
      <c r="DG110">
        <f t="shared" si="36"/>
        <v>0</v>
      </c>
      <c r="DH110">
        <f t="shared" si="37"/>
        <v>0</v>
      </c>
      <c r="DI110">
        <f t="shared" si="28"/>
        <v>0</v>
      </c>
      <c r="DJ110">
        <f t="shared" si="38"/>
        <v>197162.69</v>
      </c>
      <c r="DK110">
        <v>0</v>
      </c>
      <c r="DL110" t="s">
        <v>3</v>
      </c>
      <c r="DM110">
        <v>0</v>
      </c>
      <c r="DN110" t="s">
        <v>3</v>
      </c>
      <c r="DO110">
        <v>0</v>
      </c>
    </row>
    <row r="111" spans="1:119" x14ac:dyDescent="0.2">
      <c r="A111">
        <f>ROW(Source!A182)</f>
        <v>182</v>
      </c>
      <c r="B111">
        <v>60256405</v>
      </c>
      <c r="C111">
        <v>61620678</v>
      </c>
      <c r="D111">
        <v>58999254</v>
      </c>
      <c r="E111">
        <v>1080</v>
      </c>
      <c r="F111">
        <v>1</v>
      </c>
      <c r="G111">
        <v>1080</v>
      </c>
      <c r="H111">
        <v>1</v>
      </c>
      <c r="I111" t="s">
        <v>269</v>
      </c>
      <c r="J111" t="s">
        <v>3</v>
      </c>
      <c r="K111" t="s">
        <v>270</v>
      </c>
      <c r="L111">
        <v>1191</v>
      </c>
      <c r="N111">
        <v>1013</v>
      </c>
      <c r="O111" t="s">
        <v>271</v>
      </c>
      <c r="P111" t="s">
        <v>271</v>
      </c>
      <c r="Q111">
        <v>1</v>
      </c>
      <c r="W111">
        <v>0</v>
      </c>
      <c r="X111">
        <v>476480486</v>
      </c>
      <c r="Y111">
        <f>(AT111*1.1)</f>
        <v>27.236000000000004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1</v>
      </c>
      <c r="AJ111">
        <v>1</v>
      </c>
      <c r="AK111">
        <v>1</v>
      </c>
      <c r="AL111">
        <v>1</v>
      </c>
      <c r="AM111">
        <v>-2</v>
      </c>
      <c r="AN111">
        <v>0</v>
      </c>
      <c r="AO111">
        <v>1</v>
      </c>
      <c r="AP111">
        <v>1</v>
      </c>
      <c r="AQ111">
        <v>0</v>
      </c>
      <c r="AR111">
        <v>0</v>
      </c>
      <c r="AS111" t="s">
        <v>3</v>
      </c>
      <c r="AT111">
        <v>24.76</v>
      </c>
      <c r="AU111" t="s">
        <v>25</v>
      </c>
      <c r="AV111">
        <v>1</v>
      </c>
      <c r="AW111">
        <v>2</v>
      </c>
      <c r="AX111">
        <v>61620679</v>
      </c>
      <c r="AY111">
        <v>1</v>
      </c>
      <c r="AZ111">
        <v>0</v>
      </c>
      <c r="BA111">
        <v>141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CU111">
        <f>ROUND(AT111*Source!I182*AH111*AL111,2)</f>
        <v>0</v>
      </c>
      <c r="CV111">
        <f>ROUND(Y111*Source!I182,9)</f>
        <v>5.4471999999999996</v>
      </c>
      <c r="CW111">
        <v>0</v>
      </c>
      <c r="CX111">
        <f>ROUND(Y111*Source!I182,9)</f>
        <v>5.4471999999999996</v>
      </c>
      <c r="CY111">
        <f>AD111</f>
        <v>0</v>
      </c>
      <c r="CZ111">
        <f>AH111</f>
        <v>0</v>
      </c>
      <c r="DA111">
        <f>AL111</f>
        <v>1</v>
      </c>
      <c r="DB111">
        <f>ROUND((ROUND(AT111*CZ111,2)*1.1),6)</f>
        <v>0</v>
      </c>
      <c r="DC111">
        <f>ROUND((ROUND(AT111*AG111,2)*1.1),6)</f>
        <v>0</v>
      </c>
      <c r="DD111" t="s">
        <v>3</v>
      </c>
      <c r="DE111" t="s">
        <v>3</v>
      </c>
      <c r="DF111">
        <f t="shared" ref="DF111:DF121" si="39">ROUND(ROUND(AE111,2)*CX111,2)</f>
        <v>0</v>
      </c>
      <c r="DG111">
        <f t="shared" si="36"/>
        <v>0</v>
      </c>
      <c r="DH111">
        <f t="shared" si="37"/>
        <v>0</v>
      </c>
      <c r="DI111">
        <f t="shared" si="28"/>
        <v>0</v>
      </c>
      <c r="DJ111">
        <f>DI111</f>
        <v>0</v>
      </c>
      <c r="DK111">
        <v>0</v>
      </c>
      <c r="DL111" t="s">
        <v>3</v>
      </c>
      <c r="DM111">
        <v>0</v>
      </c>
      <c r="DN111" t="s">
        <v>3</v>
      </c>
      <c r="DO111">
        <v>0</v>
      </c>
    </row>
    <row r="112" spans="1:119" x14ac:dyDescent="0.2">
      <c r="A112">
        <f>ROW(Source!A182)</f>
        <v>182</v>
      </c>
      <c r="B112">
        <v>60256405</v>
      </c>
      <c r="C112">
        <v>61620678</v>
      </c>
      <c r="D112">
        <v>59070721</v>
      </c>
      <c r="E112">
        <v>1</v>
      </c>
      <c r="F112">
        <v>1</v>
      </c>
      <c r="G112">
        <v>1080</v>
      </c>
      <c r="H112">
        <v>2</v>
      </c>
      <c r="I112" t="s">
        <v>328</v>
      </c>
      <c r="J112" t="s">
        <v>329</v>
      </c>
      <c r="K112" t="s">
        <v>330</v>
      </c>
      <c r="L112">
        <v>1368</v>
      </c>
      <c r="N112">
        <v>1011</v>
      </c>
      <c r="O112" t="s">
        <v>275</v>
      </c>
      <c r="P112" t="s">
        <v>275</v>
      </c>
      <c r="Q112">
        <v>1</v>
      </c>
      <c r="W112">
        <v>0</v>
      </c>
      <c r="X112">
        <v>1387779639</v>
      </c>
      <c r="Y112">
        <f>(AT112*1.1)</f>
        <v>2.6840000000000002</v>
      </c>
      <c r="AA112">
        <v>0</v>
      </c>
      <c r="AB112">
        <v>0.81</v>
      </c>
      <c r="AC112">
        <v>0</v>
      </c>
      <c r="AD112">
        <v>0</v>
      </c>
      <c r="AE112">
        <v>0</v>
      </c>
      <c r="AF112">
        <v>0.77</v>
      </c>
      <c r="AG112">
        <v>0</v>
      </c>
      <c r="AH112">
        <v>0</v>
      </c>
      <c r="AI112">
        <v>1</v>
      </c>
      <c r="AJ112">
        <v>1</v>
      </c>
      <c r="AK112">
        <v>1</v>
      </c>
      <c r="AL112">
        <v>1</v>
      </c>
      <c r="AM112">
        <v>-2</v>
      </c>
      <c r="AN112">
        <v>0</v>
      </c>
      <c r="AO112">
        <v>1</v>
      </c>
      <c r="AP112">
        <v>1</v>
      </c>
      <c r="AQ112">
        <v>0</v>
      </c>
      <c r="AR112">
        <v>0</v>
      </c>
      <c r="AS112" t="s">
        <v>3</v>
      </c>
      <c r="AT112">
        <v>2.44</v>
      </c>
      <c r="AU112" t="s">
        <v>25</v>
      </c>
      <c r="AV112">
        <v>0</v>
      </c>
      <c r="AW112">
        <v>2</v>
      </c>
      <c r="AX112">
        <v>61620680</v>
      </c>
      <c r="AY112">
        <v>1</v>
      </c>
      <c r="AZ112">
        <v>0</v>
      </c>
      <c r="BA112">
        <v>142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CV112">
        <v>0</v>
      </c>
      <c r="CW112">
        <f>ROUND(Y112*Source!I182*DO112,9)</f>
        <v>0</v>
      </c>
      <c r="CX112">
        <f>ROUND(Y112*Source!I182,9)</f>
        <v>0.53680000000000005</v>
      </c>
      <c r="CY112">
        <f>AB112</f>
        <v>0.81</v>
      </c>
      <c r="CZ112">
        <f>AF112</f>
        <v>0.77</v>
      </c>
      <c r="DA112">
        <f>AJ112</f>
        <v>1</v>
      </c>
      <c r="DB112">
        <f>ROUND((ROUND(AT112*CZ112,2)*1.1),6)</f>
        <v>2.0680000000000001</v>
      </c>
      <c r="DC112">
        <f>ROUND((ROUND(AT112*AG112,2)*1.1),6)</f>
        <v>0</v>
      </c>
      <c r="DD112" t="s">
        <v>3</v>
      </c>
      <c r="DE112" t="s">
        <v>3</v>
      </c>
      <c r="DF112">
        <f t="shared" si="39"/>
        <v>0</v>
      </c>
      <c r="DG112">
        <f t="shared" si="36"/>
        <v>0.41</v>
      </c>
      <c r="DH112">
        <f t="shared" si="37"/>
        <v>0</v>
      </c>
      <c r="DI112">
        <f t="shared" si="28"/>
        <v>0</v>
      </c>
      <c r="DJ112">
        <f>DG112</f>
        <v>0.41</v>
      </c>
      <c r="DK112">
        <v>0</v>
      </c>
      <c r="DL112" t="s">
        <v>3</v>
      </c>
      <c r="DM112">
        <v>0</v>
      </c>
      <c r="DN112" t="s">
        <v>3</v>
      </c>
      <c r="DO112">
        <v>0</v>
      </c>
    </row>
    <row r="113" spans="1:119" x14ac:dyDescent="0.2">
      <c r="A113">
        <f>ROW(Source!A182)</f>
        <v>182</v>
      </c>
      <c r="B113">
        <v>60256405</v>
      </c>
      <c r="C113">
        <v>61620678</v>
      </c>
      <c r="D113">
        <v>59070754</v>
      </c>
      <c r="E113">
        <v>1</v>
      </c>
      <c r="F113">
        <v>1</v>
      </c>
      <c r="G113">
        <v>1080</v>
      </c>
      <c r="H113">
        <v>2</v>
      </c>
      <c r="I113" t="s">
        <v>307</v>
      </c>
      <c r="J113" t="s">
        <v>308</v>
      </c>
      <c r="K113" t="s">
        <v>309</v>
      </c>
      <c r="L113">
        <v>1368</v>
      </c>
      <c r="N113">
        <v>1011</v>
      </c>
      <c r="O113" t="s">
        <v>275</v>
      </c>
      <c r="P113" t="s">
        <v>275</v>
      </c>
      <c r="Q113">
        <v>1</v>
      </c>
      <c r="W113">
        <v>0</v>
      </c>
      <c r="X113">
        <v>1645565003</v>
      </c>
      <c r="Y113">
        <f>(AT113*1.1)</f>
        <v>5.093</v>
      </c>
      <c r="AA113">
        <v>0</v>
      </c>
      <c r="AB113">
        <v>0.49</v>
      </c>
      <c r="AC113">
        <v>0</v>
      </c>
      <c r="AD113">
        <v>0</v>
      </c>
      <c r="AE113">
        <v>0</v>
      </c>
      <c r="AF113">
        <v>0.47</v>
      </c>
      <c r="AG113">
        <v>0</v>
      </c>
      <c r="AH113">
        <v>0</v>
      </c>
      <c r="AI113">
        <v>1</v>
      </c>
      <c r="AJ113">
        <v>1</v>
      </c>
      <c r="AK113">
        <v>1</v>
      </c>
      <c r="AL113">
        <v>1</v>
      </c>
      <c r="AM113">
        <v>-2</v>
      </c>
      <c r="AN113">
        <v>0</v>
      </c>
      <c r="AO113">
        <v>1</v>
      </c>
      <c r="AP113">
        <v>1</v>
      </c>
      <c r="AQ113">
        <v>0</v>
      </c>
      <c r="AR113">
        <v>0</v>
      </c>
      <c r="AS113" t="s">
        <v>3</v>
      </c>
      <c r="AT113">
        <v>4.63</v>
      </c>
      <c r="AU113" t="s">
        <v>25</v>
      </c>
      <c r="AV113">
        <v>0</v>
      </c>
      <c r="AW113">
        <v>2</v>
      </c>
      <c r="AX113">
        <v>61620681</v>
      </c>
      <c r="AY113">
        <v>1</v>
      </c>
      <c r="AZ113">
        <v>0</v>
      </c>
      <c r="BA113">
        <v>143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CV113">
        <v>0</v>
      </c>
      <c r="CW113">
        <f>ROUND(Y113*Source!I182*DO113,9)</f>
        <v>0</v>
      </c>
      <c r="CX113">
        <f>ROUND(Y113*Source!I182,9)</f>
        <v>1.0185999999999999</v>
      </c>
      <c r="CY113">
        <f>AB113</f>
        <v>0.49</v>
      </c>
      <c r="CZ113">
        <f>AF113</f>
        <v>0.47</v>
      </c>
      <c r="DA113">
        <f>AJ113</f>
        <v>1</v>
      </c>
      <c r="DB113">
        <f>ROUND((ROUND(AT113*CZ113,2)*1.1),6)</f>
        <v>2.3980000000000001</v>
      </c>
      <c r="DC113">
        <f>ROUND((ROUND(AT113*AG113,2)*1.1),6)</f>
        <v>0</v>
      </c>
      <c r="DD113" t="s">
        <v>3</v>
      </c>
      <c r="DE113" t="s">
        <v>3</v>
      </c>
      <c r="DF113">
        <f t="shared" si="39"/>
        <v>0</v>
      </c>
      <c r="DG113">
        <f t="shared" si="36"/>
        <v>0.48</v>
      </c>
      <c r="DH113">
        <f t="shared" si="37"/>
        <v>0</v>
      </c>
      <c r="DI113">
        <f t="shared" si="28"/>
        <v>0</v>
      </c>
      <c r="DJ113">
        <f>DG113</f>
        <v>0.48</v>
      </c>
      <c r="DK113">
        <v>0</v>
      </c>
      <c r="DL113" t="s">
        <v>3</v>
      </c>
      <c r="DM113">
        <v>0</v>
      </c>
      <c r="DN113" t="s">
        <v>3</v>
      </c>
      <c r="DO113">
        <v>0</v>
      </c>
    </row>
    <row r="114" spans="1:119" x14ac:dyDescent="0.2">
      <c r="A114">
        <f>ROW(Source!A182)</f>
        <v>182</v>
      </c>
      <c r="B114">
        <v>60256405</v>
      </c>
      <c r="C114">
        <v>61620678</v>
      </c>
      <c r="D114">
        <v>59052976</v>
      </c>
      <c r="E114">
        <v>1</v>
      </c>
      <c r="F114">
        <v>1</v>
      </c>
      <c r="G114">
        <v>1080</v>
      </c>
      <c r="H114">
        <v>3</v>
      </c>
      <c r="I114" t="s">
        <v>221</v>
      </c>
      <c r="J114" t="s">
        <v>224</v>
      </c>
      <c r="K114" t="s">
        <v>222</v>
      </c>
      <c r="L114">
        <v>1301</v>
      </c>
      <c r="N114">
        <v>1003</v>
      </c>
      <c r="O114" t="s">
        <v>223</v>
      </c>
      <c r="P114" t="s">
        <v>223</v>
      </c>
      <c r="Q114">
        <v>1</v>
      </c>
      <c r="W114">
        <v>0</v>
      </c>
      <c r="X114">
        <v>-1305428159</v>
      </c>
      <c r="Y114">
        <f>AT114</f>
        <v>102</v>
      </c>
      <c r="AA114">
        <v>3.45</v>
      </c>
      <c r="AB114">
        <v>0</v>
      </c>
      <c r="AC114">
        <v>0</v>
      </c>
      <c r="AD114">
        <v>0</v>
      </c>
      <c r="AE114">
        <v>3.45</v>
      </c>
      <c r="AF114">
        <v>0</v>
      </c>
      <c r="AG114">
        <v>0</v>
      </c>
      <c r="AH114">
        <v>0</v>
      </c>
      <c r="AI114">
        <v>1</v>
      </c>
      <c r="AJ114">
        <v>1</v>
      </c>
      <c r="AK114">
        <v>1</v>
      </c>
      <c r="AL114">
        <v>1</v>
      </c>
      <c r="AM114">
        <v>0</v>
      </c>
      <c r="AN114">
        <v>0</v>
      </c>
      <c r="AO114">
        <v>0</v>
      </c>
      <c r="AP114">
        <v>1</v>
      </c>
      <c r="AQ114">
        <v>0</v>
      </c>
      <c r="AR114">
        <v>0</v>
      </c>
      <c r="AS114" t="s">
        <v>3</v>
      </c>
      <c r="AT114">
        <v>102</v>
      </c>
      <c r="AU114" t="s">
        <v>3</v>
      </c>
      <c r="AV114">
        <v>0</v>
      </c>
      <c r="AW114">
        <v>1</v>
      </c>
      <c r="AX114">
        <v>-1</v>
      </c>
      <c r="AY114">
        <v>0</v>
      </c>
      <c r="AZ114">
        <v>0</v>
      </c>
      <c r="BA114" t="s">
        <v>3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CV114">
        <v>0</v>
      </c>
      <c r="CW114">
        <v>0</v>
      </c>
      <c r="CX114">
        <f>ROUND(Y114*Source!I182,9)</f>
        <v>20.399999999999999</v>
      </c>
      <c r="CY114">
        <f>AA114</f>
        <v>3.45</v>
      </c>
      <c r="CZ114">
        <f>AE114</f>
        <v>3.45</v>
      </c>
      <c r="DA114">
        <f>AI114</f>
        <v>1</v>
      </c>
      <c r="DB114">
        <f>ROUND(ROUND(AT114*CZ114,2),6)</f>
        <v>351.9</v>
      </c>
      <c r="DC114">
        <f>ROUND(ROUND(AT114*AG114,2),6)</f>
        <v>0</v>
      </c>
      <c r="DD114" t="s">
        <v>3</v>
      </c>
      <c r="DE114" t="s">
        <v>3</v>
      </c>
      <c r="DF114">
        <f t="shared" si="39"/>
        <v>70.38</v>
      </c>
      <c r="DG114">
        <f t="shared" si="36"/>
        <v>0</v>
      </c>
      <c r="DH114">
        <f t="shared" si="37"/>
        <v>0</v>
      </c>
      <c r="DI114">
        <f t="shared" si="28"/>
        <v>0</v>
      </c>
      <c r="DJ114">
        <f>DF114</f>
        <v>70.38</v>
      </c>
      <c r="DK114">
        <v>0</v>
      </c>
      <c r="DL114" t="s">
        <v>3</v>
      </c>
      <c r="DM114">
        <v>0</v>
      </c>
      <c r="DN114" t="s">
        <v>3</v>
      </c>
      <c r="DO114">
        <v>0</v>
      </c>
    </row>
    <row r="115" spans="1:119" x14ac:dyDescent="0.2">
      <c r="A115">
        <f>ROW(Source!A182)</f>
        <v>182</v>
      </c>
      <c r="B115">
        <v>60256405</v>
      </c>
      <c r="C115">
        <v>61620678</v>
      </c>
      <c r="D115">
        <v>59062734</v>
      </c>
      <c r="E115">
        <v>1</v>
      </c>
      <c r="F115">
        <v>1</v>
      </c>
      <c r="G115">
        <v>1080</v>
      </c>
      <c r="H115">
        <v>3</v>
      </c>
      <c r="I115" t="s">
        <v>331</v>
      </c>
      <c r="J115" t="s">
        <v>332</v>
      </c>
      <c r="K115" t="s">
        <v>333</v>
      </c>
      <c r="L115">
        <v>1356</v>
      </c>
      <c r="N115">
        <v>1010</v>
      </c>
      <c r="O115" t="s">
        <v>228</v>
      </c>
      <c r="P115" t="s">
        <v>228</v>
      </c>
      <c r="Q115">
        <v>1000</v>
      </c>
      <c r="W115">
        <v>0</v>
      </c>
      <c r="X115">
        <v>-1221558404</v>
      </c>
      <c r="Y115">
        <f>AT115</f>
        <v>3.1E-2</v>
      </c>
      <c r="AA115">
        <v>226.66</v>
      </c>
      <c r="AB115">
        <v>0</v>
      </c>
      <c r="AC115">
        <v>0</v>
      </c>
      <c r="AD115">
        <v>0</v>
      </c>
      <c r="AE115">
        <v>226.66</v>
      </c>
      <c r="AF115">
        <v>0</v>
      </c>
      <c r="AG115">
        <v>0</v>
      </c>
      <c r="AH115">
        <v>0</v>
      </c>
      <c r="AI115">
        <v>1</v>
      </c>
      <c r="AJ115">
        <v>1</v>
      </c>
      <c r="AK115">
        <v>1</v>
      </c>
      <c r="AL115">
        <v>1</v>
      </c>
      <c r="AM115">
        <v>-2</v>
      </c>
      <c r="AN115">
        <v>0</v>
      </c>
      <c r="AO115">
        <v>1</v>
      </c>
      <c r="AP115">
        <v>1</v>
      </c>
      <c r="AQ115">
        <v>0</v>
      </c>
      <c r="AR115">
        <v>0</v>
      </c>
      <c r="AS115" t="s">
        <v>3</v>
      </c>
      <c r="AT115">
        <v>3.1E-2</v>
      </c>
      <c r="AU115" t="s">
        <v>3</v>
      </c>
      <c r="AV115">
        <v>0</v>
      </c>
      <c r="AW115">
        <v>2</v>
      </c>
      <c r="AX115">
        <v>61620682</v>
      </c>
      <c r="AY115">
        <v>1</v>
      </c>
      <c r="AZ115">
        <v>0</v>
      </c>
      <c r="BA115">
        <v>144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CV115">
        <v>0</v>
      </c>
      <c r="CW115">
        <v>0</v>
      </c>
      <c r="CX115">
        <f>ROUND(Y115*Source!I182,9)</f>
        <v>6.1999999999999998E-3</v>
      </c>
      <c r="CY115">
        <f>AA115</f>
        <v>226.66</v>
      </c>
      <c r="CZ115">
        <f>AE115</f>
        <v>226.66</v>
      </c>
      <c r="DA115">
        <f>AI115</f>
        <v>1</v>
      </c>
      <c r="DB115">
        <f>ROUND(ROUND(AT115*CZ115,2),6)</f>
        <v>7.03</v>
      </c>
      <c r="DC115">
        <f>ROUND(ROUND(AT115*AG115,2),6)</f>
        <v>0</v>
      </c>
      <c r="DD115" t="s">
        <v>3</v>
      </c>
      <c r="DE115" t="s">
        <v>3</v>
      </c>
      <c r="DF115">
        <f t="shared" si="39"/>
        <v>1.41</v>
      </c>
      <c r="DG115">
        <f t="shared" si="36"/>
        <v>0</v>
      </c>
      <c r="DH115">
        <f t="shared" si="37"/>
        <v>0</v>
      </c>
      <c r="DI115">
        <f t="shared" si="28"/>
        <v>0</v>
      </c>
      <c r="DJ115">
        <f>DF115</f>
        <v>1.41</v>
      </c>
      <c r="DK115">
        <v>0</v>
      </c>
      <c r="DL115" t="s">
        <v>3</v>
      </c>
      <c r="DM115">
        <v>0</v>
      </c>
      <c r="DN115" t="s">
        <v>3</v>
      </c>
      <c r="DO115">
        <v>0</v>
      </c>
    </row>
    <row r="116" spans="1:119" x14ac:dyDescent="0.2">
      <c r="A116">
        <f>ROW(Source!A182)</f>
        <v>182</v>
      </c>
      <c r="B116">
        <v>60256405</v>
      </c>
      <c r="C116">
        <v>61620678</v>
      </c>
      <c r="D116">
        <v>59062979</v>
      </c>
      <c r="E116">
        <v>1</v>
      </c>
      <c r="F116">
        <v>1</v>
      </c>
      <c r="G116">
        <v>1080</v>
      </c>
      <c r="H116">
        <v>3</v>
      </c>
      <c r="I116" t="s">
        <v>226</v>
      </c>
      <c r="J116" t="s">
        <v>229</v>
      </c>
      <c r="K116" t="s">
        <v>227</v>
      </c>
      <c r="L116">
        <v>1356</v>
      </c>
      <c r="N116">
        <v>1010</v>
      </c>
      <c r="O116" t="s">
        <v>228</v>
      </c>
      <c r="P116" t="s">
        <v>228</v>
      </c>
      <c r="Q116">
        <v>1000</v>
      </c>
      <c r="W116">
        <v>0</v>
      </c>
      <c r="X116">
        <v>179573335</v>
      </c>
      <c r="Y116">
        <f>AT116</f>
        <v>0.23799999999999999</v>
      </c>
      <c r="AA116">
        <v>396.59</v>
      </c>
      <c r="AB116">
        <v>0</v>
      </c>
      <c r="AC116">
        <v>0</v>
      </c>
      <c r="AD116">
        <v>0</v>
      </c>
      <c r="AE116">
        <v>396.59</v>
      </c>
      <c r="AF116">
        <v>0</v>
      </c>
      <c r="AG116">
        <v>0</v>
      </c>
      <c r="AH116">
        <v>0</v>
      </c>
      <c r="AI116">
        <v>1</v>
      </c>
      <c r="AJ116">
        <v>1</v>
      </c>
      <c r="AK116">
        <v>1</v>
      </c>
      <c r="AL116">
        <v>1</v>
      </c>
      <c r="AM116">
        <v>0</v>
      </c>
      <c r="AN116">
        <v>0</v>
      </c>
      <c r="AO116">
        <v>0</v>
      </c>
      <c r="AP116">
        <v>1</v>
      </c>
      <c r="AQ116">
        <v>0</v>
      </c>
      <c r="AR116">
        <v>0</v>
      </c>
      <c r="AS116" t="s">
        <v>3</v>
      </c>
      <c r="AT116">
        <v>0.23799999999999999</v>
      </c>
      <c r="AU116" t="s">
        <v>3</v>
      </c>
      <c r="AV116">
        <v>0</v>
      </c>
      <c r="AW116">
        <v>1</v>
      </c>
      <c r="AX116">
        <v>-1</v>
      </c>
      <c r="AY116">
        <v>0</v>
      </c>
      <c r="AZ116">
        <v>0</v>
      </c>
      <c r="BA116" t="s">
        <v>3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CV116">
        <v>0</v>
      </c>
      <c r="CW116">
        <v>0</v>
      </c>
      <c r="CX116">
        <f>ROUND(Y116*Source!I182,9)</f>
        <v>4.7600000000000003E-2</v>
      </c>
      <c r="CY116">
        <f>AA116</f>
        <v>396.59</v>
      </c>
      <c r="CZ116">
        <f>AE116</f>
        <v>396.59</v>
      </c>
      <c r="DA116">
        <f>AI116</f>
        <v>1</v>
      </c>
      <c r="DB116">
        <f>ROUND(ROUND(AT116*CZ116,2),6)</f>
        <v>94.39</v>
      </c>
      <c r="DC116">
        <f>ROUND(ROUND(AT116*AG116,2),6)</f>
        <v>0</v>
      </c>
      <c r="DD116" t="s">
        <v>3</v>
      </c>
      <c r="DE116" t="s">
        <v>3</v>
      </c>
      <c r="DF116">
        <f t="shared" si="39"/>
        <v>18.88</v>
      </c>
      <c r="DG116">
        <f t="shared" si="36"/>
        <v>0</v>
      </c>
      <c r="DH116">
        <f t="shared" si="37"/>
        <v>0</v>
      </c>
      <c r="DI116">
        <f t="shared" si="28"/>
        <v>0</v>
      </c>
      <c r="DJ116">
        <f>DF116</f>
        <v>18.88</v>
      </c>
      <c r="DK116">
        <v>0</v>
      </c>
      <c r="DL116" t="s">
        <v>3</v>
      </c>
      <c r="DM116">
        <v>0</v>
      </c>
      <c r="DN116" t="s">
        <v>3</v>
      </c>
      <c r="DO116">
        <v>0</v>
      </c>
    </row>
    <row r="117" spans="1:119" x14ac:dyDescent="0.2">
      <c r="A117">
        <f>ROW(Source!A182)</f>
        <v>182</v>
      </c>
      <c r="B117">
        <v>60256405</v>
      </c>
      <c r="C117">
        <v>61620678</v>
      </c>
      <c r="D117">
        <v>59062508</v>
      </c>
      <c r="E117">
        <v>1</v>
      </c>
      <c r="F117">
        <v>1</v>
      </c>
      <c r="G117">
        <v>1080</v>
      </c>
      <c r="H117">
        <v>3</v>
      </c>
      <c r="I117" t="s">
        <v>334</v>
      </c>
      <c r="J117" t="s">
        <v>335</v>
      </c>
      <c r="K117" t="s">
        <v>336</v>
      </c>
      <c r="L117">
        <v>1355</v>
      </c>
      <c r="N117">
        <v>1010</v>
      </c>
      <c r="O117" t="s">
        <v>200</v>
      </c>
      <c r="P117" t="s">
        <v>200</v>
      </c>
      <c r="Q117">
        <v>100</v>
      </c>
      <c r="W117">
        <v>0</v>
      </c>
      <c r="X117">
        <v>-210805237</v>
      </c>
      <c r="Y117">
        <f>AT117</f>
        <v>0.315</v>
      </c>
      <c r="AA117">
        <v>26.71</v>
      </c>
      <c r="AB117">
        <v>0</v>
      </c>
      <c r="AC117">
        <v>0</v>
      </c>
      <c r="AD117">
        <v>0</v>
      </c>
      <c r="AE117">
        <v>26.71</v>
      </c>
      <c r="AF117">
        <v>0</v>
      </c>
      <c r="AG117">
        <v>0</v>
      </c>
      <c r="AH117">
        <v>0</v>
      </c>
      <c r="AI117">
        <v>1</v>
      </c>
      <c r="AJ117">
        <v>1</v>
      </c>
      <c r="AK117">
        <v>1</v>
      </c>
      <c r="AL117">
        <v>1</v>
      </c>
      <c r="AM117">
        <v>-2</v>
      </c>
      <c r="AN117">
        <v>0</v>
      </c>
      <c r="AO117">
        <v>1</v>
      </c>
      <c r="AP117">
        <v>1</v>
      </c>
      <c r="AQ117">
        <v>0</v>
      </c>
      <c r="AR117">
        <v>0</v>
      </c>
      <c r="AS117" t="s">
        <v>3</v>
      </c>
      <c r="AT117">
        <v>0.315</v>
      </c>
      <c r="AU117" t="s">
        <v>3</v>
      </c>
      <c r="AV117">
        <v>0</v>
      </c>
      <c r="AW117">
        <v>2</v>
      </c>
      <c r="AX117">
        <v>61620683</v>
      </c>
      <c r="AY117">
        <v>1</v>
      </c>
      <c r="AZ117">
        <v>0</v>
      </c>
      <c r="BA117">
        <v>145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CV117">
        <v>0</v>
      </c>
      <c r="CW117">
        <v>0</v>
      </c>
      <c r="CX117">
        <f>ROUND(Y117*Source!I182,9)</f>
        <v>6.3E-2</v>
      </c>
      <c r="CY117">
        <f>AA117</f>
        <v>26.71</v>
      </c>
      <c r="CZ117">
        <f>AE117</f>
        <v>26.71</v>
      </c>
      <c r="DA117">
        <f>AI117</f>
        <v>1</v>
      </c>
      <c r="DB117">
        <f>ROUND(ROUND(AT117*CZ117,2),6)</f>
        <v>8.41</v>
      </c>
      <c r="DC117">
        <f>ROUND(ROUND(AT117*AG117,2),6)</f>
        <v>0</v>
      </c>
      <c r="DD117" t="s">
        <v>3</v>
      </c>
      <c r="DE117" t="s">
        <v>3</v>
      </c>
      <c r="DF117">
        <f t="shared" si="39"/>
        <v>1.68</v>
      </c>
      <c r="DG117">
        <f t="shared" si="36"/>
        <v>0</v>
      </c>
      <c r="DH117">
        <f t="shared" si="37"/>
        <v>0</v>
      </c>
      <c r="DI117">
        <f t="shared" si="28"/>
        <v>0</v>
      </c>
      <c r="DJ117">
        <f>DF117</f>
        <v>1.68</v>
      </c>
      <c r="DK117">
        <v>0</v>
      </c>
      <c r="DL117" t="s">
        <v>3</v>
      </c>
      <c r="DM117">
        <v>0</v>
      </c>
      <c r="DN117" t="s">
        <v>3</v>
      </c>
      <c r="DO117">
        <v>0</v>
      </c>
    </row>
    <row r="118" spans="1:119" x14ac:dyDescent="0.2">
      <c r="A118">
        <f>ROW(Source!A182)</f>
        <v>182</v>
      </c>
      <c r="B118">
        <v>60256405</v>
      </c>
      <c r="C118">
        <v>61620678</v>
      </c>
      <c r="D118">
        <v>59049364</v>
      </c>
      <c r="E118">
        <v>1</v>
      </c>
      <c r="F118">
        <v>1</v>
      </c>
      <c r="G118">
        <v>1080</v>
      </c>
      <c r="H118">
        <v>3</v>
      </c>
      <c r="I118" t="s">
        <v>337</v>
      </c>
      <c r="J118" t="s">
        <v>338</v>
      </c>
      <c r="K118" t="s">
        <v>339</v>
      </c>
      <c r="L118">
        <v>1354</v>
      </c>
      <c r="N118">
        <v>1010</v>
      </c>
      <c r="O118" t="s">
        <v>33</v>
      </c>
      <c r="P118" t="s">
        <v>33</v>
      </c>
      <c r="Q118">
        <v>1</v>
      </c>
      <c r="W118">
        <v>0</v>
      </c>
      <c r="X118">
        <v>309799599</v>
      </c>
      <c r="Y118">
        <f>AT118</f>
        <v>0.28000000000000003</v>
      </c>
      <c r="AA118">
        <v>14.22</v>
      </c>
      <c r="AB118">
        <v>0</v>
      </c>
      <c r="AC118">
        <v>0</v>
      </c>
      <c r="AD118">
        <v>0</v>
      </c>
      <c r="AE118">
        <v>14.22</v>
      </c>
      <c r="AF118">
        <v>0</v>
      </c>
      <c r="AG118">
        <v>0</v>
      </c>
      <c r="AH118">
        <v>0</v>
      </c>
      <c r="AI118">
        <v>1</v>
      </c>
      <c r="AJ118">
        <v>1</v>
      </c>
      <c r="AK118">
        <v>1</v>
      </c>
      <c r="AL118">
        <v>1</v>
      </c>
      <c r="AM118">
        <v>-2</v>
      </c>
      <c r="AN118">
        <v>0</v>
      </c>
      <c r="AO118">
        <v>1</v>
      </c>
      <c r="AP118">
        <v>1</v>
      </c>
      <c r="AQ118">
        <v>0</v>
      </c>
      <c r="AR118">
        <v>0</v>
      </c>
      <c r="AS118" t="s">
        <v>3</v>
      </c>
      <c r="AT118">
        <v>0.28000000000000003</v>
      </c>
      <c r="AU118" t="s">
        <v>3</v>
      </c>
      <c r="AV118">
        <v>0</v>
      </c>
      <c r="AW118">
        <v>2</v>
      </c>
      <c r="AX118">
        <v>61620684</v>
      </c>
      <c r="AY118">
        <v>1</v>
      </c>
      <c r="AZ118">
        <v>0</v>
      </c>
      <c r="BA118">
        <v>146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CV118">
        <v>0</v>
      </c>
      <c r="CW118">
        <v>0</v>
      </c>
      <c r="CX118">
        <f>ROUND(Y118*Source!I182,9)</f>
        <v>5.6000000000000001E-2</v>
      </c>
      <c r="CY118">
        <f>AA118</f>
        <v>14.22</v>
      </c>
      <c r="CZ118">
        <f>AE118</f>
        <v>14.22</v>
      </c>
      <c r="DA118">
        <f>AI118</f>
        <v>1</v>
      </c>
      <c r="DB118">
        <f>ROUND(ROUND(AT118*CZ118,2),6)</f>
        <v>3.98</v>
      </c>
      <c r="DC118">
        <f>ROUND(ROUND(AT118*AG118,2),6)</f>
        <v>0</v>
      </c>
      <c r="DD118" t="s">
        <v>3</v>
      </c>
      <c r="DE118" t="s">
        <v>3</v>
      </c>
      <c r="DF118">
        <f t="shared" si="39"/>
        <v>0.8</v>
      </c>
      <c r="DG118">
        <f t="shared" si="36"/>
        <v>0</v>
      </c>
      <c r="DH118">
        <f t="shared" si="37"/>
        <v>0</v>
      </c>
      <c r="DI118">
        <f t="shared" si="28"/>
        <v>0</v>
      </c>
      <c r="DJ118">
        <f>DF118</f>
        <v>0.8</v>
      </c>
      <c r="DK118">
        <v>0</v>
      </c>
      <c r="DL118" t="s">
        <v>3</v>
      </c>
      <c r="DM118">
        <v>0</v>
      </c>
      <c r="DN118" t="s">
        <v>3</v>
      </c>
      <c r="DO118">
        <v>0</v>
      </c>
    </row>
    <row r="119" spans="1:119" x14ac:dyDescent="0.2">
      <c r="A119">
        <f>ROW(Source!A183)</f>
        <v>183</v>
      </c>
      <c r="B119">
        <v>60256402</v>
      </c>
      <c r="C119">
        <v>61620678</v>
      </c>
      <c r="D119">
        <v>58999254</v>
      </c>
      <c r="E119">
        <v>1080</v>
      </c>
      <c r="F119">
        <v>1</v>
      </c>
      <c r="G119">
        <v>1080</v>
      </c>
      <c r="H119">
        <v>1</v>
      </c>
      <c r="I119" t="s">
        <v>269</v>
      </c>
      <c r="J119" t="s">
        <v>3</v>
      </c>
      <c r="K119" t="s">
        <v>270</v>
      </c>
      <c r="L119">
        <v>1191</v>
      </c>
      <c r="N119">
        <v>1013</v>
      </c>
      <c r="O119" t="s">
        <v>271</v>
      </c>
      <c r="P119" t="s">
        <v>271</v>
      </c>
      <c r="Q119">
        <v>1</v>
      </c>
      <c r="W119">
        <v>0</v>
      </c>
      <c r="X119">
        <v>476480486</v>
      </c>
      <c r="Y119">
        <f>(AT119*1.1)</f>
        <v>27.236000000000004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1</v>
      </c>
      <c r="AJ119">
        <v>1</v>
      </c>
      <c r="AK119">
        <v>1</v>
      </c>
      <c r="AL119">
        <v>1</v>
      </c>
      <c r="AM119">
        <v>5</v>
      </c>
      <c r="AN119">
        <v>0</v>
      </c>
      <c r="AO119">
        <v>1</v>
      </c>
      <c r="AP119">
        <v>1</v>
      </c>
      <c r="AQ119">
        <v>0</v>
      </c>
      <c r="AR119">
        <v>0</v>
      </c>
      <c r="AS119" t="s">
        <v>3</v>
      </c>
      <c r="AT119">
        <v>24.76</v>
      </c>
      <c r="AU119" t="s">
        <v>25</v>
      </c>
      <c r="AV119">
        <v>1</v>
      </c>
      <c r="AW119">
        <v>2</v>
      </c>
      <c r="AX119">
        <v>61620679</v>
      </c>
      <c r="AY119">
        <v>1</v>
      </c>
      <c r="AZ119">
        <v>0</v>
      </c>
      <c r="BA119">
        <v>151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CU119">
        <f>ROUND(AT119*Source!I183*AH119*AL119,2)</f>
        <v>0</v>
      </c>
      <c r="CV119">
        <f>ROUND(Y119*Source!I183,9)</f>
        <v>5.4471999999999996</v>
      </c>
      <c r="CW119">
        <v>0</v>
      </c>
      <c r="CX119">
        <f>ROUND(Y119*Source!I183,9)</f>
        <v>5.4471999999999996</v>
      </c>
      <c r="CY119">
        <f>AD119</f>
        <v>0</v>
      </c>
      <c r="CZ119">
        <f>AH119</f>
        <v>0</v>
      </c>
      <c r="DA119">
        <f>AL119</f>
        <v>1</v>
      </c>
      <c r="DB119">
        <f>ROUND((ROUND(AT119*CZ119,2)*1.1),6)</f>
        <v>0</v>
      </c>
      <c r="DC119">
        <f>ROUND((ROUND(AT119*AG119,2)*1.1),6)</f>
        <v>0</v>
      </c>
      <c r="DD119" t="s">
        <v>3</v>
      </c>
      <c r="DE119" t="s">
        <v>3</v>
      </c>
      <c r="DF119">
        <f t="shared" si="39"/>
        <v>0</v>
      </c>
      <c r="DG119">
        <f t="shared" si="36"/>
        <v>0</v>
      </c>
      <c r="DH119">
        <f t="shared" si="37"/>
        <v>0</v>
      </c>
      <c r="DI119">
        <f t="shared" si="28"/>
        <v>0</v>
      </c>
      <c r="DJ119">
        <f>DI119</f>
        <v>0</v>
      </c>
      <c r="DK119">
        <v>0</v>
      </c>
      <c r="DL119" t="s">
        <v>3</v>
      </c>
      <c r="DM119">
        <v>0</v>
      </c>
      <c r="DN119" t="s">
        <v>3</v>
      </c>
      <c r="DO119">
        <v>0</v>
      </c>
    </row>
    <row r="120" spans="1:119" x14ac:dyDescent="0.2">
      <c r="A120">
        <f>ROW(Source!A183)</f>
        <v>183</v>
      </c>
      <c r="B120">
        <v>60256402</v>
      </c>
      <c r="C120">
        <v>61620678</v>
      </c>
      <c r="D120">
        <v>59070721</v>
      </c>
      <c r="E120">
        <v>1</v>
      </c>
      <c r="F120">
        <v>1</v>
      </c>
      <c r="G120">
        <v>1080</v>
      </c>
      <c r="H120">
        <v>2</v>
      </c>
      <c r="I120" t="s">
        <v>328</v>
      </c>
      <c r="J120" t="s">
        <v>329</v>
      </c>
      <c r="K120" t="s">
        <v>330</v>
      </c>
      <c r="L120">
        <v>1368</v>
      </c>
      <c r="N120">
        <v>1011</v>
      </c>
      <c r="O120" t="s">
        <v>275</v>
      </c>
      <c r="P120" t="s">
        <v>275</v>
      </c>
      <c r="Q120">
        <v>1</v>
      </c>
      <c r="W120">
        <v>0</v>
      </c>
      <c r="X120">
        <v>1387779639</v>
      </c>
      <c r="Y120">
        <f>(AT120*1.1)</f>
        <v>2.6840000000000002</v>
      </c>
      <c r="AA120">
        <v>0</v>
      </c>
      <c r="AB120">
        <v>6.98</v>
      </c>
      <c r="AC120">
        <v>0</v>
      </c>
      <c r="AD120">
        <v>0</v>
      </c>
      <c r="AE120">
        <v>0</v>
      </c>
      <c r="AF120">
        <v>0.77</v>
      </c>
      <c r="AG120">
        <v>0</v>
      </c>
      <c r="AH120">
        <v>0</v>
      </c>
      <c r="AI120">
        <v>1</v>
      </c>
      <c r="AJ120">
        <v>8.66</v>
      </c>
      <c r="AK120">
        <v>54.99</v>
      </c>
      <c r="AL120">
        <v>1</v>
      </c>
      <c r="AM120">
        <v>2</v>
      </c>
      <c r="AN120">
        <v>0</v>
      </c>
      <c r="AO120">
        <v>1</v>
      </c>
      <c r="AP120">
        <v>1</v>
      </c>
      <c r="AQ120">
        <v>0</v>
      </c>
      <c r="AR120">
        <v>0</v>
      </c>
      <c r="AS120" t="s">
        <v>3</v>
      </c>
      <c r="AT120">
        <v>2.44</v>
      </c>
      <c r="AU120" t="s">
        <v>25</v>
      </c>
      <c r="AV120">
        <v>0</v>
      </c>
      <c r="AW120">
        <v>2</v>
      </c>
      <c r="AX120">
        <v>61620680</v>
      </c>
      <c r="AY120">
        <v>1</v>
      </c>
      <c r="AZ120">
        <v>0</v>
      </c>
      <c r="BA120">
        <v>152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CV120">
        <v>0</v>
      </c>
      <c r="CW120">
        <f>ROUND(Y120*Source!I183*DO120,9)</f>
        <v>0</v>
      </c>
      <c r="CX120">
        <f>ROUND(Y120*Source!I183,9)</f>
        <v>0.53680000000000005</v>
      </c>
      <c r="CY120">
        <f>AB120</f>
        <v>6.98</v>
      </c>
      <c r="CZ120">
        <f>AF120</f>
        <v>0.77</v>
      </c>
      <c r="DA120">
        <f>AJ120</f>
        <v>8.66</v>
      </c>
      <c r="DB120">
        <f>ROUND((ROUND(AT120*CZ120,2)*1.1),6)</f>
        <v>2.0680000000000001</v>
      </c>
      <c r="DC120">
        <f>ROUND((ROUND(AT120*AG120,2)*1.1),6)</f>
        <v>0</v>
      </c>
      <c r="DD120" t="s">
        <v>3</v>
      </c>
      <c r="DE120" t="s">
        <v>3</v>
      </c>
      <c r="DF120">
        <f t="shared" si="39"/>
        <v>0</v>
      </c>
      <c r="DG120">
        <f>ROUND(ROUND(AF120*AJ120,2)*CX120,2)</f>
        <v>3.58</v>
      </c>
      <c r="DH120">
        <f>ROUND(ROUND(AG120*AK120,2)*CX120,2)</f>
        <v>0</v>
      </c>
      <c r="DI120">
        <f t="shared" si="28"/>
        <v>0</v>
      </c>
      <c r="DJ120">
        <f>DG120</f>
        <v>3.58</v>
      </c>
      <c r="DK120">
        <v>0</v>
      </c>
      <c r="DL120" t="s">
        <v>3</v>
      </c>
      <c r="DM120">
        <v>0</v>
      </c>
      <c r="DN120" t="s">
        <v>3</v>
      </c>
      <c r="DO120">
        <v>0</v>
      </c>
    </row>
    <row r="121" spans="1:119" x14ac:dyDescent="0.2">
      <c r="A121">
        <f>ROW(Source!A183)</f>
        <v>183</v>
      </c>
      <c r="B121">
        <v>60256402</v>
      </c>
      <c r="C121">
        <v>61620678</v>
      </c>
      <c r="D121">
        <v>59070754</v>
      </c>
      <c r="E121">
        <v>1</v>
      </c>
      <c r="F121">
        <v>1</v>
      </c>
      <c r="G121">
        <v>1080</v>
      </c>
      <c r="H121">
        <v>2</v>
      </c>
      <c r="I121" t="s">
        <v>307</v>
      </c>
      <c r="J121" t="s">
        <v>308</v>
      </c>
      <c r="K121" t="s">
        <v>309</v>
      </c>
      <c r="L121">
        <v>1368</v>
      </c>
      <c r="N121">
        <v>1011</v>
      </c>
      <c r="O121" t="s">
        <v>275</v>
      </c>
      <c r="P121" t="s">
        <v>275</v>
      </c>
      <c r="Q121">
        <v>1</v>
      </c>
      <c r="W121">
        <v>0</v>
      </c>
      <c r="X121">
        <v>1645565003</v>
      </c>
      <c r="Y121">
        <f>(AT121*1.1)</f>
        <v>5.093</v>
      </c>
      <c r="AA121">
        <v>0</v>
      </c>
      <c r="AB121">
        <v>4.3</v>
      </c>
      <c r="AC121">
        <v>0</v>
      </c>
      <c r="AD121">
        <v>0</v>
      </c>
      <c r="AE121">
        <v>0</v>
      </c>
      <c r="AF121">
        <v>0.47</v>
      </c>
      <c r="AG121">
        <v>0</v>
      </c>
      <c r="AH121">
        <v>0</v>
      </c>
      <c r="AI121">
        <v>1</v>
      </c>
      <c r="AJ121">
        <v>8.74</v>
      </c>
      <c r="AK121">
        <v>54.99</v>
      </c>
      <c r="AL121">
        <v>1</v>
      </c>
      <c r="AM121">
        <v>2</v>
      </c>
      <c r="AN121">
        <v>0</v>
      </c>
      <c r="AO121">
        <v>1</v>
      </c>
      <c r="AP121">
        <v>1</v>
      </c>
      <c r="AQ121">
        <v>0</v>
      </c>
      <c r="AR121">
        <v>0</v>
      </c>
      <c r="AS121" t="s">
        <v>3</v>
      </c>
      <c r="AT121">
        <v>4.63</v>
      </c>
      <c r="AU121" t="s">
        <v>25</v>
      </c>
      <c r="AV121">
        <v>0</v>
      </c>
      <c r="AW121">
        <v>2</v>
      </c>
      <c r="AX121">
        <v>61620681</v>
      </c>
      <c r="AY121">
        <v>1</v>
      </c>
      <c r="AZ121">
        <v>0</v>
      </c>
      <c r="BA121">
        <v>153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CV121">
        <v>0</v>
      </c>
      <c r="CW121">
        <f>ROUND(Y121*Source!I183*DO121,9)</f>
        <v>0</v>
      </c>
      <c r="CX121">
        <f>ROUND(Y121*Source!I183,9)</f>
        <v>1.0185999999999999</v>
      </c>
      <c r="CY121">
        <f>AB121</f>
        <v>4.3</v>
      </c>
      <c r="CZ121">
        <f>AF121</f>
        <v>0.47</v>
      </c>
      <c r="DA121">
        <f>AJ121</f>
        <v>8.74</v>
      </c>
      <c r="DB121">
        <f>ROUND((ROUND(AT121*CZ121,2)*1.1),6)</f>
        <v>2.3980000000000001</v>
      </c>
      <c r="DC121">
        <f>ROUND((ROUND(AT121*AG121,2)*1.1),6)</f>
        <v>0</v>
      </c>
      <c r="DD121" t="s">
        <v>3</v>
      </c>
      <c r="DE121" t="s">
        <v>3</v>
      </c>
      <c r="DF121">
        <f t="shared" si="39"/>
        <v>0</v>
      </c>
      <c r="DG121">
        <f>ROUND(ROUND(AF121*AJ121,2)*CX121,2)</f>
        <v>4.1900000000000004</v>
      </c>
      <c r="DH121">
        <f>ROUND(ROUND(AG121*AK121,2)*CX121,2)</f>
        <v>0</v>
      </c>
      <c r="DI121">
        <f t="shared" si="28"/>
        <v>0</v>
      </c>
      <c r="DJ121">
        <f>DG121</f>
        <v>4.1900000000000004</v>
      </c>
      <c r="DK121">
        <v>0</v>
      </c>
      <c r="DL121" t="s">
        <v>3</v>
      </c>
      <c r="DM121">
        <v>0</v>
      </c>
      <c r="DN121" t="s">
        <v>3</v>
      </c>
      <c r="DO121">
        <v>0</v>
      </c>
    </row>
    <row r="122" spans="1:119" x14ac:dyDescent="0.2">
      <c r="A122">
        <f>ROW(Source!A183)</f>
        <v>183</v>
      </c>
      <c r="B122">
        <v>60256402</v>
      </c>
      <c r="C122">
        <v>61620678</v>
      </c>
      <c r="D122">
        <v>59052976</v>
      </c>
      <c r="E122">
        <v>1</v>
      </c>
      <c r="F122">
        <v>1</v>
      </c>
      <c r="G122">
        <v>1080</v>
      </c>
      <c r="H122">
        <v>3</v>
      </c>
      <c r="I122" t="s">
        <v>221</v>
      </c>
      <c r="J122" t="s">
        <v>224</v>
      </c>
      <c r="K122" t="s">
        <v>222</v>
      </c>
      <c r="L122">
        <v>1301</v>
      </c>
      <c r="N122">
        <v>1003</v>
      </c>
      <c r="O122" t="s">
        <v>223</v>
      </c>
      <c r="P122" t="s">
        <v>223</v>
      </c>
      <c r="Q122">
        <v>1</v>
      </c>
      <c r="W122">
        <v>0</v>
      </c>
      <c r="X122">
        <v>-1305428159</v>
      </c>
      <c r="Y122">
        <f>AT122</f>
        <v>102</v>
      </c>
      <c r="AA122">
        <v>13.56</v>
      </c>
      <c r="AB122">
        <v>0</v>
      </c>
      <c r="AC122">
        <v>0</v>
      </c>
      <c r="AD122">
        <v>0</v>
      </c>
      <c r="AE122">
        <v>3.45</v>
      </c>
      <c r="AF122">
        <v>0</v>
      </c>
      <c r="AG122">
        <v>0</v>
      </c>
      <c r="AH122">
        <v>0</v>
      </c>
      <c r="AI122">
        <v>3.93</v>
      </c>
      <c r="AJ122">
        <v>1</v>
      </c>
      <c r="AK122">
        <v>1</v>
      </c>
      <c r="AL122">
        <v>1</v>
      </c>
      <c r="AM122">
        <v>0</v>
      </c>
      <c r="AN122">
        <v>0</v>
      </c>
      <c r="AO122">
        <v>0</v>
      </c>
      <c r="AP122">
        <v>1</v>
      </c>
      <c r="AQ122">
        <v>0</v>
      </c>
      <c r="AR122">
        <v>0</v>
      </c>
      <c r="AS122" t="s">
        <v>3</v>
      </c>
      <c r="AT122">
        <v>102</v>
      </c>
      <c r="AU122" t="s">
        <v>3</v>
      </c>
      <c r="AV122">
        <v>0</v>
      </c>
      <c r="AW122">
        <v>1</v>
      </c>
      <c r="AX122">
        <v>-1</v>
      </c>
      <c r="AY122">
        <v>0</v>
      </c>
      <c r="AZ122">
        <v>0</v>
      </c>
      <c r="BA122" t="s">
        <v>3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CV122">
        <v>0</v>
      </c>
      <c r="CW122">
        <v>0</v>
      </c>
      <c r="CX122">
        <f>ROUND(Y122*Source!I183,9)</f>
        <v>20.399999999999999</v>
      </c>
      <c r="CY122">
        <f>AA122</f>
        <v>13.56</v>
      </c>
      <c r="CZ122">
        <f>AE122</f>
        <v>3.45</v>
      </c>
      <c r="DA122">
        <f>AI122</f>
        <v>3.93</v>
      </c>
      <c r="DB122">
        <f>ROUND(ROUND(AT122*CZ122,2),6)</f>
        <v>351.9</v>
      </c>
      <c r="DC122">
        <f>ROUND(ROUND(AT122*AG122,2),6)</f>
        <v>0</v>
      </c>
      <c r="DD122" t="s">
        <v>3</v>
      </c>
      <c r="DE122" t="s">
        <v>3</v>
      </c>
      <c r="DF122">
        <f>ROUND(ROUND(AE122*AI122,2)*CX122,2)</f>
        <v>276.62</v>
      </c>
      <c r="DG122">
        <f>ROUND(ROUND(AF122,2)*CX122,2)</f>
        <v>0</v>
      </c>
      <c r="DH122">
        <f>ROUND(ROUND(AG122,2)*CX122,2)</f>
        <v>0</v>
      </c>
      <c r="DI122">
        <f t="shared" si="28"/>
        <v>0</v>
      </c>
      <c r="DJ122">
        <f>DF122</f>
        <v>276.62</v>
      </c>
      <c r="DK122">
        <v>0</v>
      </c>
      <c r="DL122" t="s">
        <v>3</v>
      </c>
      <c r="DM122">
        <v>0</v>
      </c>
      <c r="DN122" t="s">
        <v>3</v>
      </c>
      <c r="DO122">
        <v>0</v>
      </c>
    </row>
    <row r="123" spans="1:119" x14ac:dyDescent="0.2">
      <c r="A123">
        <f>ROW(Source!A183)</f>
        <v>183</v>
      </c>
      <c r="B123">
        <v>60256402</v>
      </c>
      <c r="C123">
        <v>61620678</v>
      </c>
      <c r="D123">
        <v>59062734</v>
      </c>
      <c r="E123">
        <v>1</v>
      </c>
      <c r="F123">
        <v>1</v>
      </c>
      <c r="G123">
        <v>1080</v>
      </c>
      <c r="H123">
        <v>3</v>
      </c>
      <c r="I123" t="s">
        <v>331</v>
      </c>
      <c r="J123" t="s">
        <v>332</v>
      </c>
      <c r="K123" t="s">
        <v>333</v>
      </c>
      <c r="L123">
        <v>1356</v>
      </c>
      <c r="N123">
        <v>1010</v>
      </c>
      <c r="O123" t="s">
        <v>228</v>
      </c>
      <c r="P123" t="s">
        <v>228</v>
      </c>
      <c r="Q123">
        <v>1000</v>
      </c>
      <c r="W123">
        <v>0</v>
      </c>
      <c r="X123">
        <v>-1221558404</v>
      </c>
      <c r="Y123">
        <f>AT123</f>
        <v>3.1E-2</v>
      </c>
      <c r="AA123">
        <v>1602.49</v>
      </c>
      <c r="AB123">
        <v>0</v>
      </c>
      <c r="AC123">
        <v>0</v>
      </c>
      <c r="AD123">
        <v>0</v>
      </c>
      <c r="AE123">
        <v>226.66</v>
      </c>
      <c r="AF123">
        <v>0</v>
      </c>
      <c r="AG123">
        <v>0</v>
      </c>
      <c r="AH123">
        <v>0</v>
      </c>
      <c r="AI123">
        <v>7.07</v>
      </c>
      <c r="AJ123">
        <v>1</v>
      </c>
      <c r="AK123">
        <v>1</v>
      </c>
      <c r="AL123">
        <v>1</v>
      </c>
      <c r="AM123">
        <v>2</v>
      </c>
      <c r="AN123">
        <v>0</v>
      </c>
      <c r="AO123">
        <v>1</v>
      </c>
      <c r="AP123">
        <v>1</v>
      </c>
      <c r="AQ123">
        <v>0</v>
      </c>
      <c r="AR123">
        <v>0</v>
      </c>
      <c r="AS123" t="s">
        <v>3</v>
      </c>
      <c r="AT123">
        <v>3.1E-2</v>
      </c>
      <c r="AU123" t="s">
        <v>3</v>
      </c>
      <c r="AV123">
        <v>0</v>
      </c>
      <c r="AW123">
        <v>2</v>
      </c>
      <c r="AX123">
        <v>61620682</v>
      </c>
      <c r="AY123">
        <v>1</v>
      </c>
      <c r="AZ123">
        <v>0</v>
      </c>
      <c r="BA123">
        <v>154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CV123">
        <v>0</v>
      </c>
      <c r="CW123">
        <v>0</v>
      </c>
      <c r="CX123">
        <f>ROUND(Y123*Source!I183,9)</f>
        <v>6.1999999999999998E-3</v>
      </c>
      <c r="CY123">
        <f>AA123</f>
        <v>1602.49</v>
      </c>
      <c r="CZ123">
        <f>AE123</f>
        <v>226.66</v>
      </c>
      <c r="DA123">
        <f>AI123</f>
        <v>7.07</v>
      </c>
      <c r="DB123">
        <f>ROUND(ROUND(AT123*CZ123,2),6)</f>
        <v>7.03</v>
      </c>
      <c r="DC123">
        <f>ROUND(ROUND(AT123*AG123,2),6)</f>
        <v>0</v>
      </c>
      <c r="DD123" t="s">
        <v>3</v>
      </c>
      <c r="DE123" t="s">
        <v>3</v>
      </c>
      <c r="DF123">
        <f>ROUND(ROUND(AE123*AI123,2)*CX123,2)</f>
        <v>9.94</v>
      </c>
      <c r="DG123">
        <f>ROUND(ROUND(AF123,2)*CX123,2)</f>
        <v>0</v>
      </c>
      <c r="DH123">
        <f>ROUND(ROUND(AG123,2)*CX123,2)</f>
        <v>0</v>
      </c>
      <c r="DI123">
        <f t="shared" si="28"/>
        <v>0</v>
      </c>
      <c r="DJ123">
        <f>DF123</f>
        <v>9.94</v>
      </c>
      <c r="DK123">
        <v>0</v>
      </c>
      <c r="DL123" t="s">
        <v>3</v>
      </c>
      <c r="DM123">
        <v>0</v>
      </c>
      <c r="DN123" t="s">
        <v>3</v>
      </c>
      <c r="DO123">
        <v>0</v>
      </c>
    </row>
    <row r="124" spans="1:119" x14ac:dyDescent="0.2">
      <c r="A124">
        <f>ROW(Source!A183)</f>
        <v>183</v>
      </c>
      <c r="B124">
        <v>60256402</v>
      </c>
      <c r="C124">
        <v>61620678</v>
      </c>
      <c r="D124">
        <v>59062979</v>
      </c>
      <c r="E124">
        <v>1</v>
      </c>
      <c r="F124">
        <v>1</v>
      </c>
      <c r="G124">
        <v>1080</v>
      </c>
      <c r="H124">
        <v>3</v>
      </c>
      <c r="I124" t="s">
        <v>226</v>
      </c>
      <c r="J124" t="s">
        <v>229</v>
      </c>
      <c r="K124" t="s">
        <v>227</v>
      </c>
      <c r="L124">
        <v>1356</v>
      </c>
      <c r="N124">
        <v>1010</v>
      </c>
      <c r="O124" t="s">
        <v>228</v>
      </c>
      <c r="P124" t="s">
        <v>228</v>
      </c>
      <c r="Q124">
        <v>1000</v>
      </c>
      <c r="W124">
        <v>0</v>
      </c>
      <c r="X124">
        <v>179573335</v>
      </c>
      <c r="Y124">
        <f>AT124</f>
        <v>0.23799999999999999</v>
      </c>
      <c r="AA124">
        <v>1836.21</v>
      </c>
      <c r="AB124">
        <v>0</v>
      </c>
      <c r="AC124">
        <v>0</v>
      </c>
      <c r="AD124">
        <v>0</v>
      </c>
      <c r="AE124">
        <v>396.59</v>
      </c>
      <c r="AF124">
        <v>0</v>
      </c>
      <c r="AG124">
        <v>0</v>
      </c>
      <c r="AH124">
        <v>0</v>
      </c>
      <c r="AI124">
        <v>4.63</v>
      </c>
      <c r="AJ124">
        <v>1</v>
      </c>
      <c r="AK124">
        <v>1</v>
      </c>
      <c r="AL124">
        <v>1</v>
      </c>
      <c r="AM124">
        <v>0</v>
      </c>
      <c r="AN124">
        <v>0</v>
      </c>
      <c r="AO124">
        <v>0</v>
      </c>
      <c r="AP124">
        <v>1</v>
      </c>
      <c r="AQ124">
        <v>0</v>
      </c>
      <c r="AR124">
        <v>0</v>
      </c>
      <c r="AS124" t="s">
        <v>3</v>
      </c>
      <c r="AT124">
        <v>0.23799999999999999</v>
      </c>
      <c r="AU124" t="s">
        <v>3</v>
      </c>
      <c r="AV124">
        <v>0</v>
      </c>
      <c r="AW124">
        <v>1</v>
      </c>
      <c r="AX124">
        <v>-1</v>
      </c>
      <c r="AY124">
        <v>0</v>
      </c>
      <c r="AZ124">
        <v>0</v>
      </c>
      <c r="BA124" t="s">
        <v>3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CV124">
        <v>0</v>
      </c>
      <c r="CW124">
        <v>0</v>
      </c>
      <c r="CX124">
        <f>ROUND(Y124*Source!I183,9)</f>
        <v>4.7600000000000003E-2</v>
      </c>
      <c r="CY124">
        <f>AA124</f>
        <v>1836.21</v>
      </c>
      <c r="CZ124">
        <f>AE124</f>
        <v>396.59</v>
      </c>
      <c r="DA124">
        <f>AI124</f>
        <v>4.63</v>
      </c>
      <c r="DB124">
        <f>ROUND(ROUND(AT124*CZ124,2),6)</f>
        <v>94.39</v>
      </c>
      <c r="DC124">
        <f>ROUND(ROUND(AT124*AG124,2),6)</f>
        <v>0</v>
      </c>
      <c r="DD124" t="s">
        <v>3</v>
      </c>
      <c r="DE124" t="s">
        <v>3</v>
      </c>
      <c r="DF124">
        <f>ROUND(ROUND(AE124*AI124,2)*CX124,2)</f>
        <v>87.4</v>
      </c>
      <c r="DG124">
        <f>ROUND(ROUND(AF124,2)*CX124,2)</f>
        <v>0</v>
      </c>
      <c r="DH124">
        <f>ROUND(ROUND(AG124,2)*CX124,2)</f>
        <v>0</v>
      </c>
      <c r="DI124">
        <f t="shared" si="28"/>
        <v>0</v>
      </c>
      <c r="DJ124">
        <f>DF124</f>
        <v>87.4</v>
      </c>
      <c r="DK124">
        <v>0</v>
      </c>
      <c r="DL124" t="s">
        <v>3</v>
      </c>
      <c r="DM124">
        <v>0</v>
      </c>
      <c r="DN124" t="s">
        <v>3</v>
      </c>
      <c r="DO124">
        <v>0</v>
      </c>
    </row>
    <row r="125" spans="1:119" x14ac:dyDescent="0.2">
      <c r="A125">
        <f>ROW(Source!A183)</f>
        <v>183</v>
      </c>
      <c r="B125">
        <v>60256402</v>
      </c>
      <c r="C125">
        <v>61620678</v>
      </c>
      <c r="D125">
        <v>59062508</v>
      </c>
      <c r="E125">
        <v>1</v>
      </c>
      <c r="F125">
        <v>1</v>
      </c>
      <c r="G125">
        <v>1080</v>
      </c>
      <c r="H125">
        <v>3</v>
      </c>
      <c r="I125" t="s">
        <v>334</v>
      </c>
      <c r="J125" t="s">
        <v>335</v>
      </c>
      <c r="K125" t="s">
        <v>336</v>
      </c>
      <c r="L125">
        <v>1355</v>
      </c>
      <c r="N125">
        <v>1010</v>
      </c>
      <c r="O125" t="s">
        <v>200</v>
      </c>
      <c r="P125" t="s">
        <v>200</v>
      </c>
      <c r="Q125">
        <v>100</v>
      </c>
      <c r="W125">
        <v>0</v>
      </c>
      <c r="X125">
        <v>-210805237</v>
      </c>
      <c r="Y125">
        <f>AT125</f>
        <v>0.315</v>
      </c>
      <c r="AA125">
        <v>105.5</v>
      </c>
      <c r="AB125">
        <v>0</v>
      </c>
      <c r="AC125">
        <v>0</v>
      </c>
      <c r="AD125">
        <v>0</v>
      </c>
      <c r="AE125">
        <v>26.71</v>
      </c>
      <c r="AF125">
        <v>0</v>
      </c>
      <c r="AG125">
        <v>0</v>
      </c>
      <c r="AH125">
        <v>0</v>
      </c>
      <c r="AI125">
        <v>3.95</v>
      </c>
      <c r="AJ125">
        <v>1</v>
      </c>
      <c r="AK125">
        <v>1</v>
      </c>
      <c r="AL125">
        <v>1</v>
      </c>
      <c r="AM125">
        <v>2</v>
      </c>
      <c r="AN125">
        <v>0</v>
      </c>
      <c r="AO125">
        <v>1</v>
      </c>
      <c r="AP125">
        <v>1</v>
      </c>
      <c r="AQ125">
        <v>0</v>
      </c>
      <c r="AR125">
        <v>0</v>
      </c>
      <c r="AS125" t="s">
        <v>3</v>
      </c>
      <c r="AT125">
        <v>0.315</v>
      </c>
      <c r="AU125" t="s">
        <v>3</v>
      </c>
      <c r="AV125">
        <v>0</v>
      </c>
      <c r="AW125">
        <v>2</v>
      </c>
      <c r="AX125">
        <v>61620683</v>
      </c>
      <c r="AY125">
        <v>1</v>
      </c>
      <c r="AZ125">
        <v>0</v>
      </c>
      <c r="BA125">
        <v>155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CV125">
        <v>0</v>
      </c>
      <c r="CW125">
        <v>0</v>
      </c>
      <c r="CX125">
        <f>ROUND(Y125*Source!I183,9)</f>
        <v>6.3E-2</v>
      </c>
      <c r="CY125">
        <f>AA125</f>
        <v>105.5</v>
      </c>
      <c r="CZ125">
        <f>AE125</f>
        <v>26.71</v>
      </c>
      <c r="DA125">
        <f>AI125</f>
        <v>3.95</v>
      </c>
      <c r="DB125">
        <f>ROUND(ROUND(AT125*CZ125,2),6)</f>
        <v>8.41</v>
      </c>
      <c r="DC125">
        <f>ROUND(ROUND(AT125*AG125,2),6)</f>
        <v>0</v>
      </c>
      <c r="DD125" t="s">
        <v>3</v>
      </c>
      <c r="DE125" t="s">
        <v>3</v>
      </c>
      <c r="DF125">
        <f>ROUND(ROUND(AE125*AI125,2)*CX125,2)</f>
        <v>6.65</v>
      </c>
      <c r="DG125">
        <f>ROUND(ROUND(AF125,2)*CX125,2)</f>
        <v>0</v>
      </c>
      <c r="DH125">
        <f>ROUND(ROUND(AG125,2)*CX125,2)</f>
        <v>0</v>
      </c>
      <c r="DI125">
        <f t="shared" si="28"/>
        <v>0</v>
      </c>
      <c r="DJ125">
        <f>DF125</f>
        <v>6.65</v>
      </c>
      <c r="DK125">
        <v>0</v>
      </c>
      <c r="DL125" t="s">
        <v>3</v>
      </c>
      <c r="DM125">
        <v>0</v>
      </c>
      <c r="DN125" t="s">
        <v>3</v>
      </c>
      <c r="DO125">
        <v>0</v>
      </c>
    </row>
    <row r="126" spans="1:119" x14ac:dyDescent="0.2">
      <c r="A126">
        <f>ROW(Source!A183)</f>
        <v>183</v>
      </c>
      <c r="B126">
        <v>60256402</v>
      </c>
      <c r="C126">
        <v>61620678</v>
      </c>
      <c r="D126">
        <v>59049364</v>
      </c>
      <c r="E126">
        <v>1</v>
      </c>
      <c r="F126">
        <v>1</v>
      </c>
      <c r="G126">
        <v>1080</v>
      </c>
      <c r="H126">
        <v>3</v>
      </c>
      <c r="I126" t="s">
        <v>337</v>
      </c>
      <c r="J126" t="s">
        <v>338</v>
      </c>
      <c r="K126" t="s">
        <v>339</v>
      </c>
      <c r="L126">
        <v>1354</v>
      </c>
      <c r="N126">
        <v>1010</v>
      </c>
      <c r="O126" t="s">
        <v>33</v>
      </c>
      <c r="P126" t="s">
        <v>33</v>
      </c>
      <c r="Q126">
        <v>1</v>
      </c>
      <c r="W126">
        <v>0</v>
      </c>
      <c r="X126">
        <v>309799599</v>
      </c>
      <c r="Y126">
        <f>AT126</f>
        <v>0.28000000000000003</v>
      </c>
      <c r="AA126">
        <v>165.81</v>
      </c>
      <c r="AB126">
        <v>0</v>
      </c>
      <c r="AC126">
        <v>0</v>
      </c>
      <c r="AD126">
        <v>0</v>
      </c>
      <c r="AE126">
        <v>14.22</v>
      </c>
      <c r="AF126">
        <v>0</v>
      </c>
      <c r="AG126">
        <v>0</v>
      </c>
      <c r="AH126">
        <v>0</v>
      </c>
      <c r="AI126">
        <v>11.66</v>
      </c>
      <c r="AJ126">
        <v>1</v>
      </c>
      <c r="AK126">
        <v>1</v>
      </c>
      <c r="AL126">
        <v>1</v>
      </c>
      <c r="AM126">
        <v>2</v>
      </c>
      <c r="AN126">
        <v>0</v>
      </c>
      <c r="AO126">
        <v>1</v>
      </c>
      <c r="AP126">
        <v>1</v>
      </c>
      <c r="AQ126">
        <v>0</v>
      </c>
      <c r="AR126">
        <v>0</v>
      </c>
      <c r="AS126" t="s">
        <v>3</v>
      </c>
      <c r="AT126">
        <v>0.28000000000000003</v>
      </c>
      <c r="AU126" t="s">
        <v>3</v>
      </c>
      <c r="AV126">
        <v>0</v>
      </c>
      <c r="AW126">
        <v>2</v>
      </c>
      <c r="AX126">
        <v>61620684</v>
      </c>
      <c r="AY126">
        <v>1</v>
      </c>
      <c r="AZ126">
        <v>0</v>
      </c>
      <c r="BA126">
        <v>156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CV126">
        <v>0</v>
      </c>
      <c r="CW126">
        <v>0</v>
      </c>
      <c r="CX126">
        <f>ROUND(Y126*Source!I183,9)</f>
        <v>5.6000000000000001E-2</v>
      </c>
      <c r="CY126">
        <f>AA126</f>
        <v>165.81</v>
      </c>
      <c r="CZ126">
        <f>AE126</f>
        <v>14.22</v>
      </c>
      <c r="DA126">
        <f>AI126</f>
        <v>11.66</v>
      </c>
      <c r="DB126">
        <f>ROUND(ROUND(AT126*CZ126,2),6)</f>
        <v>3.98</v>
      </c>
      <c r="DC126">
        <f>ROUND(ROUND(AT126*AG126,2),6)</f>
        <v>0</v>
      </c>
      <c r="DD126" t="s">
        <v>3</v>
      </c>
      <c r="DE126" t="s">
        <v>3</v>
      </c>
      <c r="DF126">
        <f>ROUND(ROUND(AE126*AI126,2)*CX126,2)</f>
        <v>9.2899999999999991</v>
      </c>
      <c r="DG126">
        <f>ROUND(ROUND(AF126,2)*CX126,2)</f>
        <v>0</v>
      </c>
      <c r="DH126">
        <f>ROUND(ROUND(AG126,2)*CX126,2)</f>
        <v>0</v>
      </c>
      <c r="DI126">
        <f t="shared" si="28"/>
        <v>0</v>
      </c>
      <c r="DJ126">
        <f>DF126</f>
        <v>9.2899999999999991</v>
      </c>
      <c r="DK126">
        <v>0</v>
      </c>
      <c r="DL126" t="s">
        <v>3</v>
      </c>
      <c r="DM126">
        <v>0</v>
      </c>
      <c r="DN126" t="s">
        <v>3</v>
      </c>
      <c r="DO126">
        <v>0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160"/>
  <sheetViews>
    <sheetView workbookViewId="0"/>
  </sheetViews>
  <sheetFormatPr defaultColWidth="9.140625" defaultRowHeight="12.75" x14ac:dyDescent="0.2"/>
  <cols>
    <col min="1" max="256" width="9.140625" customWidth="1"/>
  </cols>
  <sheetData>
    <row r="1" spans="1:44" x14ac:dyDescent="0.2">
      <c r="A1">
        <f>ROW(Source!A28)</f>
        <v>28</v>
      </c>
      <c r="B1">
        <v>60256831</v>
      </c>
      <c r="C1">
        <v>60256519</v>
      </c>
      <c r="D1">
        <v>58999254</v>
      </c>
      <c r="E1">
        <v>1080</v>
      </c>
      <c r="F1">
        <v>1</v>
      </c>
      <c r="G1">
        <v>1080</v>
      </c>
      <c r="H1">
        <v>1</v>
      </c>
      <c r="I1" t="s">
        <v>269</v>
      </c>
      <c r="J1" t="s">
        <v>3</v>
      </c>
      <c r="K1" t="s">
        <v>270</v>
      </c>
      <c r="L1">
        <v>1191</v>
      </c>
      <c r="N1">
        <v>1013</v>
      </c>
      <c r="O1" t="s">
        <v>271</v>
      </c>
      <c r="P1" t="s">
        <v>271</v>
      </c>
      <c r="Q1">
        <v>1</v>
      </c>
      <c r="X1">
        <v>2</v>
      </c>
      <c r="Y1">
        <v>0</v>
      </c>
      <c r="Z1">
        <v>0</v>
      </c>
      <c r="AA1">
        <v>0</v>
      </c>
      <c r="AB1">
        <v>0</v>
      </c>
      <c r="AC1">
        <v>0</v>
      </c>
      <c r="AD1">
        <v>1</v>
      </c>
      <c r="AE1">
        <v>1</v>
      </c>
      <c r="AF1" t="s">
        <v>25</v>
      </c>
      <c r="AG1">
        <v>2.2000000000000002</v>
      </c>
      <c r="AH1">
        <v>2</v>
      </c>
      <c r="AI1">
        <v>60256520</v>
      </c>
      <c r="AJ1">
        <v>1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</row>
    <row r="2" spans="1:44" x14ac:dyDescent="0.2">
      <c r="A2">
        <f>ROW(Source!A28)</f>
        <v>28</v>
      </c>
      <c r="B2">
        <v>60256832</v>
      </c>
      <c r="C2">
        <v>60256519</v>
      </c>
      <c r="D2">
        <v>59070671</v>
      </c>
      <c r="E2">
        <v>1</v>
      </c>
      <c r="F2">
        <v>1</v>
      </c>
      <c r="G2">
        <v>1080</v>
      </c>
      <c r="H2">
        <v>2</v>
      </c>
      <c r="I2" t="s">
        <v>272</v>
      </c>
      <c r="J2" t="s">
        <v>273</v>
      </c>
      <c r="K2" t="s">
        <v>274</v>
      </c>
      <c r="L2">
        <v>1368</v>
      </c>
      <c r="N2">
        <v>1011</v>
      </c>
      <c r="O2" t="s">
        <v>275</v>
      </c>
      <c r="P2" t="s">
        <v>275</v>
      </c>
      <c r="Q2">
        <v>1</v>
      </c>
      <c r="X2">
        <v>0.02</v>
      </c>
      <c r="Y2">
        <v>0</v>
      </c>
      <c r="Z2">
        <v>119.07</v>
      </c>
      <c r="AA2">
        <v>12.62</v>
      </c>
      <c r="AB2">
        <v>0</v>
      </c>
      <c r="AC2">
        <v>0</v>
      </c>
      <c r="AD2">
        <v>1</v>
      </c>
      <c r="AE2">
        <v>0</v>
      </c>
      <c r="AF2" t="s">
        <v>25</v>
      </c>
      <c r="AG2">
        <v>2.2000000000000002E-2</v>
      </c>
      <c r="AH2">
        <v>2</v>
      </c>
      <c r="AI2">
        <v>60256521</v>
      </c>
      <c r="AJ2">
        <v>2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</row>
    <row r="3" spans="1:44" x14ac:dyDescent="0.2">
      <c r="A3">
        <f>ROW(Source!A28)</f>
        <v>28</v>
      </c>
      <c r="B3">
        <v>60256833</v>
      </c>
      <c r="C3">
        <v>60256519</v>
      </c>
      <c r="D3">
        <v>59039985</v>
      </c>
      <c r="E3">
        <v>1</v>
      </c>
      <c r="F3">
        <v>1</v>
      </c>
      <c r="G3">
        <v>1080</v>
      </c>
      <c r="H3">
        <v>3</v>
      </c>
      <c r="I3" t="s">
        <v>277</v>
      </c>
      <c r="J3" t="s">
        <v>278</v>
      </c>
      <c r="K3" t="s">
        <v>279</v>
      </c>
      <c r="L3">
        <v>1346</v>
      </c>
      <c r="N3">
        <v>1009</v>
      </c>
      <c r="O3" t="s">
        <v>70</v>
      </c>
      <c r="P3" t="s">
        <v>70</v>
      </c>
      <c r="Q3">
        <v>1</v>
      </c>
      <c r="X3">
        <v>0.66</v>
      </c>
      <c r="Y3">
        <v>104.63</v>
      </c>
      <c r="Z3">
        <v>0</v>
      </c>
      <c r="AA3">
        <v>0</v>
      </c>
      <c r="AB3">
        <v>0</v>
      </c>
      <c r="AC3">
        <v>0</v>
      </c>
      <c r="AD3">
        <v>1</v>
      </c>
      <c r="AE3">
        <v>0</v>
      </c>
      <c r="AF3" t="s">
        <v>24</v>
      </c>
      <c r="AG3">
        <v>0.66</v>
      </c>
      <c r="AH3">
        <v>2</v>
      </c>
      <c r="AI3">
        <v>60256522</v>
      </c>
      <c r="AJ3">
        <v>3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</row>
    <row r="4" spans="1:44" x14ac:dyDescent="0.2">
      <c r="A4">
        <f>ROW(Source!A28)</f>
        <v>28</v>
      </c>
      <c r="B4">
        <v>60256834</v>
      </c>
      <c r="C4">
        <v>60256519</v>
      </c>
      <c r="D4">
        <v>59040737</v>
      </c>
      <c r="E4">
        <v>1</v>
      </c>
      <c r="F4">
        <v>1</v>
      </c>
      <c r="G4">
        <v>1080</v>
      </c>
      <c r="H4">
        <v>3</v>
      </c>
      <c r="I4" t="s">
        <v>280</v>
      </c>
      <c r="J4" t="s">
        <v>281</v>
      </c>
      <c r="K4" t="s">
        <v>282</v>
      </c>
      <c r="L4">
        <v>1348</v>
      </c>
      <c r="N4">
        <v>1009</v>
      </c>
      <c r="O4" t="s">
        <v>283</v>
      </c>
      <c r="P4" t="s">
        <v>283</v>
      </c>
      <c r="Q4">
        <v>1000</v>
      </c>
      <c r="X4">
        <v>5.0000000000000002E-5</v>
      </c>
      <c r="Y4">
        <v>13649.62</v>
      </c>
      <c r="Z4">
        <v>0</v>
      </c>
      <c r="AA4">
        <v>0</v>
      </c>
      <c r="AB4">
        <v>0</v>
      </c>
      <c r="AC4">
        <v>0</v>
      </c>
      <c r="AD4">
        <v>1</v>
      </c>
      <c r="AE4">
        <v>0</v>
      </c>
      <c r="AF4" t="s">
        <v>24</v>
      </c>
      <c r="AG4">
        <v>5.0000000000000002E-5</v>
      </c>
      <c r="AH4">
        <v>2</v>
      </c>
      <c r="AI4">
        <v>60256523</v>
      </c>
      <c r="AJ4">
        <v>4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</row>
    <row r="5" spans="1:44" x14ac:dyDescent="0.2">
      <c r="A5">
        <f>ROW(Source!A28)</f>
        <v>28</v>
      </c>
      <c r="B5">
        <v>60256835</v>
      </c>
      <c r="C5">
        <v>60256519</v>
      </c>
      <c r="D5">
        <v>59041430</v>
      </c>
      <c r="E5">
        <v>1</v>
      </c>
      <c r="F5">
        <v>1</v>
      </c>
      <c r="G5">
        <v>1080</v>
      </c>
      <c r="H5">
        <v>3</v>
      </c>
      <c r="I5" t="s">
        <v>284</v>
      </c>
      <c r="J5" t="s">
        <v>285</v>
      </c>
      <c r="K5" t="s">
        <v>286</v>
      </c>
      <c r="L5">
        <v>1348</v>
      </c>
      <c r="N5">
        <v>1009</v>
      </c>
      <c r="O5" t="s">
        <v>283</v>
      </c>
      <c r="P5" t="s">
        <v>283</v>
      </c>
      <c r="Q5">
        <v>1000</v>
      </c>
      <c r="X5">
        <v>2.0999999999999999E-5</v>
      </c>
      <c r="Y5">
        <v>18898.84</v>
      </c>
      <c r="Z5">
        <v>0</v>
      </c>
      <c r="AA5">
        <v>0</v>
      </c>
      <c r="AB5">
        <v>0</v>
      </c>
      <c r="AC5">
        <v>0</v>
      </c>
      <c r="AD5">
        <v>1</v>
      </c>
      <c r="AE5">
        <v>0</v>
      </c>
      <c r="AF5" t="s">
        <v>24</v>
      </c>
      <c r="AG5">
        <v>2.0999999999999999E-5</v>
      </c>
      <c r="AH5">
        <v>2</v>
      </c>
      <c r="AI5">
        <v>60256524</v>
      </c>
      <c r="AJ5">
        <v>5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</row>
    <row r="6" spans="1:44" x14ac:dyDescent="0.2">
      <c r="A6">
        <f>ROW(Source!A28)</f>
        <v>28</v>
      </c>
      <c r="B6">
        <v>60256836</v>
      </c>
      <c r="C6">
        <v>60256519</v>
      </c>
      <c r="D6">
        <v>59041431</v>
      </c>
      <c r="E6">
        <v>1</v>
      </c>
      <c r="F6">
        <v>1</v>
      </c>
      <c r="G6">
        <v>1080</v>
      </c>
      <c r="H6">
        <v>3</v>
      </c>
      <c r="I6" t="s">
        <v>287</v>
      </c>
      <c r="J6" t="s">
        <v>288</v>
      </c>
      <c r="K6" t="s">
        <v>289</v>
      </c>
      <c r="L6">
        <v>1348</v>
      </c>
      <c r="N6">
        <v>1009</v>
      </c>
      <c r="O6" t="s">
        <v>283</v>
      </c>
      <c r="P6" t="s">
        <v>283</v>
      </c>
      <c r="Q6">
        <v>1000</v>
      </c>
      <c r="X6">
        <v>1.9999999999999999E-6</v>
      </c>
      <c r="Y6">
        <v>17047.89</v>
      </c>
      <c r="Z6">
        <v>0</v>
      </c>
      <c r="AA6">
        <v>0</v>
      </c>
      <c r="AB6">
        <v>0</v>
      </c>
      <c r="AC6">
        <v>0</v>
      </c>
      <c r="AD6">
        <v>1</v>
      </c>
      <c r="AE6">
        <v>0</v>
      </c>
      <c r="AF6" t="s">
        <v>24</v>
      </c>
      <c r="AG6">
        <v>1.9999999999999999E-6</v>
      </c>
      <c r="AH6">
        <v>2</v>
      </c>
      <c r="AI6">
        <v>60256525</v>
      </c>
      <c r="AJ6">
        <v>6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</row>
    <row r="7" spans="1:44" x14ac:dyDescent="0.2">
      <c r="A7">
        <f>ROW(Source!A28)</f>
        <v>28</v>
      </c>
      <c r="B7">
        <v>60256837</v>
      </c>
      <c r="C7">
        <v>60256519</v>
      </c>
      <c r="D7">
        <v>59029966</v>
      </c>
      <c r="E7">
        <v>1080</v>
      </c>
      <c r="F7">
        <v>1</v>
      </c>
      <c r="G7">
        <v>1080</v>
      </c>
      <c r="H7">
        <v>3</v>
      </c>
      <c r="I7" t="s">
        <v>340</v>
      </c>
      <c r="J7" t="s">
        <v>3</v>
      </c>
      <c r="K7" t="s">
        <v>341</v>
      </c>
      <c r="L7">
        <v>1354</v>
      </c>
      <c r="N7">
        <v>1010</v>
      </c>
      <c r="O7" t="s">
        <v>33</v>
      </c>
      <c r="P7" t="s">
        <v>33</v>
      </c>
      <c r="Q7">
        <v>1</v>
      </c>
      <c r="X7">
        <v>1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 t="s">
        <v>24</v>
      </c>
      <c r="AG7">
        <v>1</v>
      </c>
      <c r="AH7">
        <v>3</v>
      </c>
      <c r="AI7">
        <v>-1</v>
      </c>
      <c r="AJ7" t="s">
        <v>3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</row>
    <row r="8" spans="1:44" x14ac:dyDescent="0.2">
      <c r="A8">
        <f>ROW(Source!A28)</f>
        <v>28</v>
      </c>
      <c r="B8">
        <v>60256838</v>
      </c>
      <c r="C8">
        <v>60256519</v>
      </c>
      <c r="D8">
        <v>59004256</v>
      </c>
      <c r="E8">
        <v>1080</v>
      </c>
      <c r="F8">
        <v>1</v>
      </c>
      <c r="G8">
        <v>1080</v>
      </c>
      <c r="H8">
        <v>3</v>
      </c>
      <c r="I8" t="s">
        <v>290</v>
      </c>
      <c r="J8" t="s">
        <v>3</v>
      </c>
      <c r="K8" t="s">
        <v>291</v>
      </c>
      <c r="L8">
        <v>1348</v>
      </c>
      <c r="N8">
        <v>1009</v>
      </c>
      <c r="O8" t="s">
        <v>283</v>
      </c>
      <c r="P8" t="s">
        <v>283</v>
      </c>
      <c r="Q8">
        <v>1000</v>
      </c>
      <c r="X8">
        <v>0.02</v>
      </c>
      <c r="Y8">
        <v>0</v>
      </c>
      <c r="Z8">
        <v>0</v>
      </c>
      <c r="AA8">
        <v>0</v>
      </c>
      <c r="AB8">
        <v>0</v>
      </c>
      <c r="AC8">
        <v>0</v>
      </c>
      <c r="AD8">
        <v>1</v>
      </c>
      <c r="AE8">
        <v>0</v>
      </c>
      <c r="AF8" t="s">
        <v>24</v>
      </c>
      <c r="AG8">
        <v>0.02</v>
      </c>
      <c r="AH8">
        <v>2</v>
      </c>
      <c r="AI8">
        <v>60256526</v>
      </c>
      <c r="AJ8">
        <v>7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</row>
    <row r="9" spans="1:44" x14ac:dyDescent="0.2">
      <c r="A9">
        <f>ROW(Source!A29)</f>
        <v>29</v>
      </c>
      <c r="B9">
        <v>60256831</v>
      </c>
      <c r="C9">
        <v>60256519</v>
      </c>
      <c r="D9">
        <v>58999254</v>
      </c>
      <c r="E9">
        <v>1080</v>
      </c>
      <c r="F9">
        <v>1</v>
      </c>
      <c r="G9">
        <v>1080</v>
      </c>
      <c r="H9">
        <v>1</v>
      </c>
      <c r="I9" t="s">
        <v>269</v>
      </c>
      <c r="J9" t="s">
        <v>3</v>
      </c>
      <c r="K9" t="s">
        <v>270</v>
      </c>
      <c r="L9">
        <v>1191</v>
      </c>
      <c r="N9">
        <v>1013</v>
      </c>
      <c r="O9" t="s">
        <v>271</v>
      </c>
      <c r="P9" t="s">
        <v>271</v>
      </c>
      <c r="Q9">
        <v>1</v>
      </c>
      <c r="X9">
        <v>2</v>
      </c>
      <c r="Y9">
        <v>0</v>
      </c>
      <c r="Z9">
        <v>0</v>
      </c>
      <c r="AA9">
        <v>0</v>
      </c>
      <c r="AB9">
        <v>0</v>
      </c>
      <c r="AC9">
        <v>0</v>
      </c>
      <c r="AD9">
        <v>1</v>
      </c>
      <c r="AE9">
        <v>1</v>
      </c>
      <c r="AF9" t="s">
        <v>25</v>
      </c>
      <c r="AG9">
        <v>2.2000000000000002</v>
      </c>
      <c r="AH9">
        <v>2</v>
      </c>
      <c r="AI9">
        <v>60256520</v>
      </c>
      <c r="AJ9">
        <v>8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</row>
    <row r="10" spans="1:44" x14ac:dyDescent="0.2">
      <c r="A10">
        <f>ROW(Source!A29)</f>
        <v>29</v>
      </c>
      <c r="B10">
        <v>60256832</v>
      </c>
      <c r="C10">
        <v>60256519</v>
      </c>
      <c r="D10">
        <v>59070671</v>
      </c>
      <c r="E10">
        <v>1</v>
      </c>
      <c r="F10">
        <v>1</v>
      </c>
      <c r="G10">
        <v>1080</v>
      </c>
      <c r="H10">
        <v>2</v>
      </c>
      <c r="I10" t="s">
        <v>272</v>
      </c>
      <c r="J10" t="s">
        <v>273</v>
      </c>
      <c r="K10" t="s">
        <v>274</v>
      </c>
      <c r="L10">
        <v>1368</v>
      </c>
      <c r="N10">
        <v>1011</v>
      </c>
      <c r="O10" t="s">
        <v>275</v>
      </c>
      <c r="P10" t="s">
        <v>275</v>
      </c>
      <c r="Q10">
        <v>1</v>
      </c>
      <c r="X10">
        <v>0.02</v>
      </c>
      <c r="Y10">
        <v>0</v>
      </c>
      <c r="Z10">
        <v>119.07</v>
      </c>
      <c r="AA10">
        <v>12.62</v>
      </c>
      <c r="AB10">
        <v>0</v>
      </c>
      <c r="AC10">
        <v>0</v>
      </c>
      <c r="AD10">
        <v>1</v>
      </c>
      <c r="AE10">
        <v>0</v>
      </c>
      <c r="AF10" t="s">
        <v>25</v>
      </c>
      <c r="AG10">
        <v>2.2000000000000002E-2</v>
      </c>
      <c r="AH10">
        <v>2</v>
      </c>
      <c r="AI10">
        <v>60256521</v>
      </c>
      <c r="AJ10">
        <v>9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</row>
    <row r="11" spans="1:44" x14ac:dyDescent="0.2">
      <c r="A11">
        <f>ROW(Source!A29)</f>
        <v>29</v>
      </c>
      <c r="B11">
        <v>60256833</v>
      </c>
      <c r="C11">
        <v>60256519</v>
      </c>
      <c r="D11">
        <v>59039985</v>
      </c>
      <c r="E11">
        <v>1</v>
      </c>
      <c r="F11">
        <v>1</v>
      </c>
      <c r="G11">
        <v>1080</v>
      </c>
      <c r="H11">
        <v>3</v>
      </c>
      <c r="I11" t="s">
        <v>277</v>
      </c>
      <c r="J11" t="s">
        <v>278</v>
      </c>
      <c r="K11" t="s">
        <v>279</v>
      </c>
      <c r="L11">
        <v>1346</v>
      </c>
      <c r="N11">
        <v>1009</v>
      </c>
      <c r="O11" t="s">
        <v>70</v>
      </c>
      <c r="P11" t="s">
        <v>70</v>
      </c>
      <c r="Q11">
        <v>1</v>
      </c>
      <c r="X11">
        <v>0.66</v>
      </c>
      <c r="Y11">
        <v>104.63</v>
      </c>
      <c r="Z11">
        <v>0</v>
      </c>
      <c r="AA11">
        <v>0</v>
      </c>
      <c r="AB11">
        <v>0</v>
      </c>
      <c r="AC11">
        <v>0</v>
      </c>
      <c r="AD11">
        <v>1</v>
      </c>
      <c r="AE11">
        <v>0</v>
      </c>
      <c r="AF11" t="s">
        <v>24</v>
      </c>
      <c r="AG11">
        <v>0.66</v>
      </c>
      <c r="AH11">
        <v>2</v>
      </c>
      <c r="AI11">
        <v>60256522</v>
      </c>
      <c r="AJ11">
        <v>10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</row>
    <row r="12" spans="1:44" x14ac:dyDescent="0.2">
      <c r="A12">
        <f>ROW(Source!A29)</f>
        <v>29</v>
      </c>
      <c r="B12">
        <v>60256834</v>
      </c>
      <c r="C12">
        <v>60256519</v>
      </c>
      <c r="D12">
        <v>59040737</v>
      </c>
      <c r="E12">
        <v>1</v>
      </c>
      <c r="F12">
        <v>1</v>
      </c>
      <c r="G12">
        <v>1080</v>
      </c>
      <c r="H12">
        <v>3</v>
      </c>
      <c r="I12" t="s">
        <v>280</v>
      </c>
      <c r="J12" t="s">
        <v>281</v>
      </c>
      <c r="K12" t="s">
        <v>282</v>
      </c>
      <c r="L12">
        <v>1348</v>
      </c>
      <c r="N12">
        <v>1009</v>
      </c>
      <c r="O12" t="s">
        <v>283</v>
      </c>
      <c r="P12" t="s">
        <v>283</v>
      </c>
      <c r="Q12">
        <v>1000</v>
      </c>
      <c r="X12">
        <v>5.0000000000000002E-5</v>
      </c>
      <c r="Y12">
        <v>13649.62</v>
      </c>
      <c r="Z12">
        <v>0</v>
      </c>
      <c r="AA12">
        <v>0</v>
      </c>
      <c r="AB12">
        <v>0</v>
      </c>
      <c r="AC12">
        <v>0</v>
      </c>
      <c r="AD12">
        <v>1</v>
      </c>
      <c r="AE12">
        <v>0</v>
      </c>
      <c r="AF12" t="s">
        <v>24</v>
      </c>
      <c r="AG12">
        <v>5.0000000000000002E-5</v>
      </c>
      <c r="AH12">
        <v>2</v>
      </c>
      <c r="AI12">
        <v>60256523</v>
      </c>
      <c r="AJ12">
        <v>11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</row>
    <row r="13" spans="1:44" x14ac:dyDescent="0.2">
      <c r="A13">
        <f>ROW(Source!A29)</f>
        <v>29</v>
      </c>
      <c r="B13">
        <v>60256835</v>
      </c>
      <c r="C13">
        <v>60256519</v>
      </c>
      <c r="D13">
        <v>59041430</v>
      </c>
      <c r="E13">
        <v>1</v>
      </c>
      <c r="F13">
        <v>1</v>
      </c>
      <c r="G13">
        <v>1080</v>
      </c>
      <c r="H13">
        <v>3</v>
      </c>
      <c r="I13" t="s">
        <v>284</v>
      </c>
      <c r="J13" t="s">
        <v>285</v>
      </c>
      <c r="K13" t="s">
        <v>286</v>
      </c>
      <c r="L13">
        <v>1348</v>
      </c>
      <c r="N13">
        <v>1009</v>
      </c>
      <c r="O13" t="s">
        <v>283</v>
      </c>
      <c r="P13" t="s">
        <v>283</v>
      </c>
      <c r="Q13">
        <v>1000</v>
      </c>
      <c r="X13">
        <v>2.0999999999999999E-5</v>
      </c>
      <c r="Y13">
        <v>18898.84</v>
      </c>
      <c r="Z13">
        <v>0</v>
      </c>
      <c r="AA13">
        <v>0</v>
      </c>
      <c r="AB13">
        <v>0</v>
      </c>
      <c r="AC13">
        <v>0</v>
      </c>
      <c r="AD13">
        <v>1</v>
      </c>
      <c r="AE13">
        <v>0</v>
      </c>
      <c r="AF13" t="s">
        <v>24</v>
      </c>
      <c r="AG13">
        <v>2.0999999999999999E-5</v>
      </c>
      <c r="AH13">
        <v>2</v>
      </c>
      <c r="AI13">
        <v>60256524</v>
      </c>
      <c r="AJ13">
        <v>12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</row>
    <row r="14" spans="1:44" x14ac:dyDescent="0.2">
      <c r="A14">
        <f>ROW(Source!A29)</f>
        <v>29</v>
      </c>
      <c r="B14">
        <v>60256836</v>
      </c>
      <c r="C14">
        <v>60256519</v>
      </c>
      <c r="D14">
        <v>59041431</v>
      </c>
      <c r="E14">
        <v>1</v>
      </c>
      <c r="F14">
        <v>1</v>
      </c>
      <c r="G14">
        <v>1080</v>
      </c>
      <c r="H14">
        <v>3</v>
      </c>
      <c r="I14" t="s">
        <v>287</v>
      </c>
      <c r="J14" t="s">
        <v>288</v>
      </c>
      <c r="K14" t="s">
        <v>289</v>
      </c>
      <c r="L14">
        <v>1348</v>
      </c>
      <c r="N14">
        <v>1009</v>
      </c>
      <c r="O14" t="s">
        <v>283</v>
      </c>
      <c r="P14" t="s">
        <v>283</v>
      </c>
      <c r="Q14">
        <v>1000</v>
      </c>
      <c r="X14">
        <v>1.9999999999999999E-6</v>
      </c>
      <c r="Y14">
        <v>17047.89</v>
      </c>
      <c r="Z14">
        <v>0</v>
      </c>
      <c r="AA14">
        <v>0</v>
      </c>
      <c r="AB14">
        <v>0</v>
      </c>
      <c r="AC14">
        <v>0</v>
      </c>
      <c r="AD14">
        <v>1</v>
      </c>
      <c r="AE14">
        <v>0</v>
      </c>
      <c r="AF14" t="s">
        <v>24</v>
      </c>
      <c r="AG14">
        <v>1.9999999999999999E-6</v>
      </c>
      <c r="AH14">
        <v>2</v>
      </c>
      <c r="AI14">
        <v>60256525</v>
      </c>
      <c r="AJ14">
        <v>13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</row>
    <row r="15" spans="1:44" x14ac:dyDescent="0.2">
      <c r="A15">
        <f>ROW(Source!A29)</f>
        <v>29</v>
      </c>
      <c r="B15">
        <v>60256837</v>
      </c>
      <c r="C15">
        <v>60256519</v>
      </c>
      <c r="D15">
        <v>59029966</v>
      </c>
      <c r="E15">
        <v>1080</v>
      </c>
      <c r="F15">
        <v>1</v>
      </c>
      <c r="G15">
        <v>1080</v>
      </c>
      <c r="H15">
        <v>3</v>
      </c>
      <c r="I15" t="s">
        <v>340</v>
      </c>
      <c r="J15" t="s">
        <v>3</v>
      </c>
      <c r="K15" t="s">
        <v>341</v>
      </c>
      <c r="L15">
        <v>1354</v>
      </c>
      <c r="N15">
        <v>1010</v>
      </c>
      <c r="O15" t="s">
        <v>33</v>
      </c>
      <c r="P15" t="s">
        <v>33</v>
      </c>
      <c r="Q15">
        <v>1</v>
      </c>
      <c r="X15">
        <v>1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 t="s">
        <v>24</v>
      </c>
      <c r="AG15">
        <v>1</v>
      </c>
      <c r="AH15">
        <v>3</v>
      </c>
      <c r="AI15">
        <v>-1</v>
      </c>
      <c r="AJ15" t="s">
        <v>3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</row>
    <row r="16" spans="1:44" x14ac:dyDescent="0.2">
      <c r="A16">
        <f>ROW(Source!A29)</f>
        <v>29</v>
      </c>
      <c r="B16">
        <v>60256838</v>
      </c>
      <c r="C16">
        <v>60256519</v>
      </c>
      <c r="D16">
        <v>59004256</v>
      </c>
      <c r="E16">
        <v>1080</v>
      </c>
      <c r="F16">
        <v>1</v>
      </c>
      <c r="G16">
        <v>1080</v>
      </c>
      <c r="H16">
        <v>3</v>
      </c>
      <c r="I16" t="s">
        <v>290</v>
      </c>
      <c r="J16" t="s">
        <v>3</v>
      </c>
      <c r="K16" t="s">
        <v>291</v>
      </c>
      <c r="L16">
        <v>1348</v>
      </c>
      <c r="N16">
        <v>1009</v>
      </c>
      <c r="O16" t="s">
        <v>283</v>
      </c>
      <c r="P16" t="s">
        <v>283</v>
      </c>
      <c r="Q16">
        <v>1000</v>
      </c>
      <c r="X16">
        <v>0.02</v>
      </c>
      <c r="Y16">
        <v>0</v>
      </c>
      <c r="Z16">
        <v>0</v>
      </c>
      <c r="AA16">
        <v>0</v>
      </c>
      <c r="AB16">
        <v>0</v>
      </c>
      <c r="AC16">
        <v>0</v>
      </c>
      <c r="AD16">
        <v>1</v>
      </c>
      <c r="AE16">
        <v>0</v>
      </c>
      <c r="AF16" t="s">
        <v>24</v>
      </c>
      <c r="AG16">
        <v>0.02</v>
      </c>
      <c r="AH16">
        <v>2</v>
      </c>
      <c r="AI16">
        <v>60256526</v>
      </c>
      <c r="AJ16">
        <v>14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</row>
    <row r="17" spans="1:44" x14ac:dyDescent="0.2">
      <c r="A17">
        <f>ROW(Source!A32)</f>
        <v>32</v>
      </c>
      <c r="B17">
        <v>60256839</v>
      </c>
      <c r="C17">
        <v>60256536</v>
      </c>
      <c r="D17">
        <v>58999254</v>
      </c>
      <c r="E17">
        <v>1080</v>
      </c>
      <c r="F17">
        <v>1</v>
      </c>
      <c r="G17">
        <v>1080</v>
      </c>
      <c r="H17">
        <v>1</v>
      </c>
      <c r="I17" t="s">
        <v>269</v>
      </c>
      <c r="J17" t="s">
        <v>3</v>
      </c>
      <c r="K17" t="s">
        <v>270</v>
      </c>
      <c r="L17">
        <v>1191</v>
      </c>
      <c r="N17">
        <v>1013</v>
      </c>
      <c r="O17" t="s">
        <v>271</v>
      </c>
      <c r="P17" t="s">
        <v>271</v>
      </c>
      <c r="Q17">
        <v>1</v>
      </c>
      <c r="X17">
        <v>2.65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</v>
      </c>
      <c r="AE17">
        <v>1</v>
      </c>
      <c r="AF17" t="s">
        <v>25</v>
      </c>
      <c r="AG17">
        <v>2.915</v>
      </c>
      <c r="AH17">
        <v>2</v>
      </c>
      <c r="AI17">
        <v>60256537</v>
      </c>
      <c r="AJ17">
        <v>15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</row>
    <row r="18" spans="1:44" x14ac:dyDescent="0.2">
      <c r="A18">
        <f>ROW(Source!A32)</f>
        <v>32</v>
      </c>
      <c r="B18">
        <v>60256840</v>
      </c>
      <c r="C18">
        <v>60256536</v>
      </c>
      <c r="D18">
        <v>59040743</v>
      </c>
      <c r="E18">
        <v>1</v>
      </c>
      <c r="F18">
        <v>1</v>
      </c>
      <c r="G18">
        <v>1080</v>
      </c>
      <c r="H18">
        <v>3</v>
      </c>
      <c r="I18" t="s">
        <v>292</v>
      </c>
      <c r="J18" t="s">
        <v>293</v>
      </c>
      <c r="K18" t="s">
        <v>294</v>
      </c>
      <c r="L18">
        <v>1346</v>
      </c>
      <c r="N18">
        <v>1009</v>
      </c>
      <c r="O18" t="s">
        <v>70</v>
      </c>
      <c r="P18" t="s">
        <v>70</v>
      </c>
      <c r="Q18">
        <v>1</v>
      </c>
      <c r="X18">
        <v>6.2700000000000004E-3</v>
      </c>
      <c r="Y18">
        <v>27.62</v>
      </c>
      <c r="Z18">
        <v>0</v>
      </c>
      <c r="AA18">
        <v>0</v>
      </c>
      <c r="AB18">
        <v>0</v>
      </c>
      <c r="AC18">
        <v>0</v>
      </c>
      <c r="AD18">
        <v>1</v>
      </c>
      <c r="AE18">
        <v>0</v>
      </c>
      <c r="AF18" t="s">
        <v>24</v>
      </c>
      <c r="AG18">
        <v>6.2700000000000004E-3</v>
      </c>
      <c r="AH18">
        <v>2</v>
      </c>
      <c r="AI18">
        <v>60256538</v>
      </c>
      <c r="AJ18">
        <v>16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</row>
    <row r="19" spans="1:44" x14ac:dyDescent="0.2">
      <c r="A19">
        <f>ROW(Source!A32)</f>
        <v>32</v>
      </c>
      <c r="B19">
        <v>60256841</v>
      </c>
      <c r="C19">
        <v>60256536</v>
      </c>
      <c r="D19">
        <v>59039462</v>
      </c>
      <c r="E19">
        <v>1</v>
      </c>
      <c r="F19">
        <v>1</v>
      </c>
      <c r="G19">
        <v>1080</v>
      </c>
      <c r="H19">
        <v>3</v>
      </c>
      <c r="I19" t="s">
        <v>295</v>
      </c>
      <c r="J19" t="s">
        <v>296</v>
      </c>
      <c r="K19" t="s">
        <v>297</v>
      </c>
      <c r="L19">
        <v>1348</v>
      </c>
      <c r="N19">
        <v>1009</v>
      </c>
      <c r="O19" t="s">
        <v>283</v>
      </c>
      <c r="P19" t="s">
        <v>283</v>
      </c>
      <c r="Q19">
        <v>1000</v>
      </c>
      <c r="X19">
        <v>1.0000000000000001E-5</v>
      </c>
      <c r="Y19">
        <v>64123.05</v>
      </c>
      <c r="Z19">
        <v>0</v>
      </c>
      <c r="AA19">
        <v>0</v>
      </c>
      <c r="AB19">
        <v>0</v>
      </c>
      <c r="AC19">
        <v>0</v>
      </c>
      <c r="AD19">
        <v>1</v>
      </c>
      <c r="AE19">
        <v>0</v>
      </c>
      <c r="AF19" t="s">
        <v>24</v>
      </c>
      <c r="AG19">
        <v>1.0000000000000001E-5</v>
      </c>
      <c r="AH19">
        <v>2</v>
      </c>
      <c r="AI19">
        <v>60256539</v>
      </c>
      <c r="AJ19">
        <v>17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</row>
    <row r="20" spans="1:44" x14ac:dyDescent="0.2">
      <c r="A20">
        <f>ROW(Source!A32)</f>
        <v>32</v>
      </c>
      <c r="B20">
        <v>60256842</v>
      </c>
      <c r="C20">
        <v>60256536</v>
      </c>
      <c r="D20">
        <v>59049354</v>
      </c>
      <c r="E20">
        <v>1</v>
      </c>
      <c r="F20">
        <v>1</v>
      </c>
      <c r="G20">
        <v>1080</v>
      </c>
      <c r="H20">
        <v>3</v>
      </c>
      <c r="I20" t="s">
        <v>298</v>
      </c>
      <c r="J20" t="s">
        <v>299</v>
      </c>
      <c r="K20" t="s">
        <v>300</v>
      </c>
      <c r="L20">
        <v>1354</v>
      </c>
      <c r="N20">
        <v>1010</v>
      </c>
      <c r="O20" t="s">
        <v>33</v>
      </c>
      <c r="P20" t="s">
        <v>33</v>
      </c>
      <c r="Q20">
        <v>1</v>
      </c>
      <c r="X20">
        <v>0.1</v>
      </c>
      <c r="Y20">
        <v>15.25</v>
      </c>
      <c r="Z20">
        <v>0</v>
      </c>
      <c r="AA20">
        <v>0</v>
      </c>
      <c r="AB20">
        <v>0</v>
      </c>
      <c r="AC20">
        <v>0</v>
      </c>
      <c r="AD20">
        <v>1</v>
      </c>
      <c r="AE20">
        <v>0</v>
      </c>
      <c r="AF20" t="s">
        <v>24</v>
      </c>
      <c r="AG20">
        <v>0.1</v>
      </c>
      <c r="AH20">
        <v>2</v>
      </c>
      <c r="AI20">
        <v>60256540</v>
      </c>
      <c r="AJ20">
        <v>18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</row>
    <row r="21" spans="1:44" x14ac:dyDescent="0.2">
      <c r="A21">
        <f>ROW(Source!A32)</f>
        <v>32</v>
      </c>
      <c r="B21">
        <v>60256843</v>
      </c>
      <c r="C21">
        <v>60256536</v>
      </c>
      <c r="D21">
        <v>59021301</v>
      </c>
      <c r="E21">
        <v>1080</v>
      </c>
      <c r="F21">
        <v>1</v>
      </c>
      <c r="G21">
        <v>1080</v>
      </c>
      <c r="H21">
        <v>3</v>
      </c>
      <c r="I21" t="s">
        <v>342</v>
      </c>
      <c r="J21" t="s">
        <v>3</v>
      </c>
      <c r="K21" t="s">
        <v>343</v>
      </c>
      <c r="L21">
        <v>1354</v>
      </c>
      <c r="N21">
        <v>1010</v>
      </c>
      <c r="O21" t="s">
        <v>33</v>
      </c>
      <c r="P21" t="s">
        <v>33</v>
      </c>
      <c r="Q21">
        <v>1</v>
      </c>
      <c r="X21">
        <v>1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 t="s">
        <v>24</v>
      </c>
      <c r="AG21">
        <v>1</v>
      </c>
      <c r="AH21">
        <v>3</v>
      </c>
      <c r="AI21">
        <v>-1</v>
      </c>
      <c r="AJ21" t="s">
        <v>3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</row>
    <row r="22" spans="1:44" x14ac:dyDescent="0.2">
      <c r="A22">
        <f>ROW(Source!A33)</f>
        <v>33</v>
      </c>
      <c r="B22">
        <v>60256839</v>
      </c>
      <c r="C22">
        <v>60256536</v>
      </c>
      <c r="D22">
        <v>58999254</v>
      </c>
      <c r="E22">
        <v>1080</v>
      </c>
      <c r="F22">
        <v>1</v>
      </c>
      <c r="G22">
        <v>1080</v>
      </c>
      <c r="H22">
        <v>1</v>
      </c>
      <c r="I22" t="s">
        <v>269</v>
      </c>
      <c r="J22" t="s">
        <v>3</v>
      </c>
      <c r="K22" t="s">
        <v>270</v>
      </c>
      <c r="L22">
        <v>1191</v>
      </c>
      <c r="N22">
        <v>1013</v>
      </c>
      <c r="O22" t="s">
        <v>271</v>
      </c>
      <c r="P22" t="s">
        <v>271</v>
      </c>
      <c r="Q22">
        <v>1</v>
      </c>
      <c r="X22">
        <v>2.65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</v>
      </c>
      <c r="AE22">
        <v>1</v>
      </c>
      <c r="AF22" t="s">
        <v>25</v>
      </c>
      <c r="AG22">
        <v>2.915</v>
      </c>
      <c r="AH22">
        <v>2</v>
      </c>
      <c r="AI22">
        <v>60256537</v>
      </c>
      <c r="AJ22">
        <v>19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</row>
    <row r="23" spans="1:44" x14ac:dyDescent="0.2">
      <c r="A23">
        <f>ROW(Source!A33)</f>
        <v>33</v>
      </c>
      <c r="B23">
        <v>60256840</v>
      </c>
      <c r="C23">
        <v>60256536</v>
      </c>
      <c r="D23">
        <v>59040743</v>
      </c>
      <c r="E23">
        <v>1</v>
      </c>
      <c r="F23">
        <v>1</v>
      </c>
      <c r="G23">
        <v>1080</v>
      </c>
      <c r="H23">
        <v>3</v>
      </c>
      <c r="I23" t="s">
        <v>292</v>
      </c>
      <c r="J23" t="s">
        <v>293</v>
      </c>
      <c r="K23" t="s">
        <v>294</v>
      </c>
      <c r="L23">
        <v>1346</v>
      </c>
      <c r="N23">
        <v>1009</v>
      </c>
      <c r="O23" t="s">
        <v>70</v>
      </c>
      <c r="P23" t="s">
        <v>70</v>
      </c>
      <c r="Q23">
        <v>1</v>
      </c>
      <c r="X23">
        <v>6.2700000000000004E-3</v>
      </c>
      <c r="Y23">
        <v>27.62</v>
      </c>
      <c r="Z23">
        <v>0</v>
      </c>
      <c r="AA23">
        <v>0</v>
      </c>
      <c r="AB23">
        <v>0</v>
      </c>
      <c r="AC23">
        <v>0</v>
      </c>
      <c r="AD23">
        <v>1</v>
      </c>
      <c r="AE23">
        <v>0</v>
      </c>
      <c r="AF23" t="s">
        <v>24</v>
      </c>
      <c r="AG23">
        <v>6.2700000000000004E-3</v>
      </c>
      <c r="AH23">
        <v>2</v>
      </c>
      <c r="AI23">
        <v>60256538</v>
      </c>
      <c r="AJ23">
        <v>20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</row>
    <row r="24" spans="1:44" x14ac:dyDescent="0.2">
      <c r="A24">
        <f>ROW(Source!A33)</f>
        <v>33</v>
      </c>
      <c r="B24">
        <v>60256841</v>
      </c>
      <c r="C24">
        <v>60256536</v>
      </c>
      <c r="D24">
        <v>59039462</v>
      </c>
      <c r="E24">
        <v>1</v>
      </c>
      <c r="F24">
        <v>1</v>
      </c>
      <c r="G24">
        <v>1080</v>
      </c>
      <c r="H24">
        <v>3</v>
      </c>
      <c r="I24" t="s">
        <v>295</v>
      </c>
      <c r="J24" t="s">
        <v>296</v>
      </c>
      <c r="K24" t="s">
        <v>297</v>
      </c>
      <c r="L24">
        <v>1348</v>
      </c>
      <c r="N24">
        <v>1009</v>
      </c>
      <c r="O24" t="s">
        <v>283</v>
      </c>
      <c r="P24" t="s">
        <v>283</v>
      </c>
      <c r="Q24">
        <v>1000</v>
      </c>
      <c r="X24">
        <v>1.0000000000000001E-5</v>
      </c>
      <c r="Y24">
        <v>64123.05</v>
      </c>
      <c r="Z24">
        <v>0</v>
      </c>
      <c r="AA24">
        <v>0</v>
      </c>
      <c r="AB24">
        <v>0</v>
      </c>
      <c r="AC24">
        <v>0</v>
      </c>
      <c r="AD24">
        <v>1</v>
      </c>
      <c r="AE24">
        <v>0</v>
      </c>
      <c r="AF24" t="s">
        <v>24</v>
      </c>
      <c r="AG24">
        <v>1.0000000000000001E-5</v>
      </c>
      <c r="AH24">
        <v>2</v>
      </c>
      <c r="AI24">
        <v>60256539</v>
      </c>
      <c r="AJ24">
        <v>21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</row>
    <row r="25" spans="1:44" x14ac:dyDescent="0.2">
      <c r="A25">
        <f>ROW(Source!A33)</f>
        <v>33</v>
      </c>
      <c r="B25">
        <v>60256842</v>
      </c>
      <c r="C25">
        <v>60256536</v>
      </c>
      <c r="D25">
        <v>59049354</v>
      </c>
      <c r="E25">
        <v>1</v>
      </c>
      <c r="F25">
        <v>1</v>
      </c>
      <c r="G25">
        <v>1080</v>
      </c>
      <c r="H25">
        <v>3</v>
      </c>
      <c r="I25" t="s">
        <v>298</v>
      </c>
      <c r="J25" t="s">
        <v>299</v>
      </c>
      <c r="K25" t="s">
        <v>300</v>
      </c>
      <c r="L25">
        <v>1354</v>
      </c>
      <c r="N25">
        <v>1010</v>
      </c>
      <c r="O25" t="s">
        <v>33</v>
      </c>
      <c r="P25" t="s">
        <v>33</v>
      </c>
      <c r="Q25">
        <v>1</v>
      </c>
      <c r="X25">
        <v>0.1</v>
      </c>
      <c r="Y25">
        <v>15.25</v>
      </c>
      <c r="Z25">
        <v>0</v>
      </c>
      <c r="AA25">
        <v>0</v>
      </c>
      <c r="AB25">
        <v>0</v>
      </c>
      <c r="AC25">
        <v>0</v>
      </c>
      <c r="AD25">
        <v>1</v>
      </c>
      <c r="AE25">
        <v>0</v>
      </c>
      <c r="AF25" t="s">
        <v>24</v>
      </c>
      <c r="AG25">
        <v>0.1</v>
      </c>
      <c r="AH25">
        <v>2</v>
      </c>
      <c r="AI25">
        <v>60256540</v>
      </c>
      <c r="AJ25">
        <v>22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</row>
    <row r="26" spans="1:44" x14ac:dyDescent="0.2">
      <c r="A26">
        <f>ROW(Source!A33)</f>
        <v>33</v>
      </c>
      <c r="B26">
        <v>60256843</v>
      </c>
      <c r="C26">
        <v>60256536</v>
      </c>
      <c r="D26">
        <v>59021301</v>
      </c>
      <c r="E26">
        <v>1080</v>
      </c>
      <c r="F26">
        <v>1</v>
      </c>
      <c r="G26">
        <v>1080</v>
      </c>
      <c r="H26">
        <v>3</v>
      </c>
      <c r="I26" t="s">
        <v>342</v>
      </c>
      <c r="J26" t="s">
        <v>3</v>
      </c>
      <c r="K26" t="s">
        <v>343</v>
      </c>
      <c r="L26">
        <v>1354</v>
      </c>
      <c r="N26">
        <v>1010</v>
      </c>
      <c r="O26" t="s">
        <v>33</v>
      </c>
      <c r="P26" t="s">
        <v>33</v>
      </c>
      <c r="Q26">
        <v>1</v>
      </c>
      <c r="X26">
        <v>1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 t="s">
        <v>24</v>
      </c>
      <c r="AG26">
        <v>1</v>
      </c>
      <c r="AH26">
        <v>3</v>
      </c>
      <c r="AI26">
        <v>-1</v>
      </c>
      <c r="AJ26" t="s">
        <v>3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</row>
    <row r="27" spans="1:44" x14ac:dyDescent="0.2">
      <c r="A27">
        <f>ROW(Source!A36)</f>
        <v>36</v>
      </c>
      <c r="B27">
        <v>60256844</v>
      </c>
      <c r="C27">
        <v>60256547</v>
      </c>
      <c r="D27">
        <v>58999254</v>
      </c>
      <c r="E27">
        <v>1080</v>
      </c>
      <c r="F27">
        <v>1</v>
      </c>
      <c r="G27">
        <v>1080</v>
      </c>
      <c r="H27">
        <v>1</v>
      </c>
      <c r="I27" t="s">
        <v>269</v>
      </c>
      <c r="J27" t="s">
        <v>3</v>
      </c>
      <c r="K27" t="s">
        <v>270</v>
      </c>
      <c r="L27">
        <v>1191</v>
      </c>
      <c r="N27">
        <v>1013</v>
      </c>
      <c r="O27" t="s">
        <v>271</v>
      </c>
      <c r="P27" t="s">
        <v>271</v>
      </c>
      <c r="Q27">
        <v>1</v>
      </c>
      <c r="X27">
        <v>1.03</v>
      </c>
      <c r="Y27">
        <v>0</v>
      </c>
      <c r="Z27">
        <v>0</v>
      </c>
      <c r="AA27">
        <v>0</v>
      </c>
      <c r="AB27">
        <v>0</v>
      </c>
      <c r="AC27">
        <v>0</v>
      </c>
      <c r="AD27">
        <v>1</v>
      </c>
      <c r="AE27">
        <v>1</v>
      </c>
      <c r="AF27" t="s">
        <v>25</v>
      </c>
      <c r="AG27">
        <v>1.1330000000000002</v>
      </c>
      <c r="AH27">
        <v>2</v>
      </c>
      <c r="AI27">
        <v>60256548</v>
      </c>
      <c r="AJ27">
        <v>23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</row>
    <row r="28" spans="1:44" x14ac:dyDescent="0.2">
      <c r="A28">
        <f>ROW(Source!A36)</f>
        <v>36</v>
      </c>
      <c r="B28">
        <v>60256845</v>
      </c>
      <c r="C28">
        <v>60256547</v>
      </c>
      <c r="D28">
        <v>59070669</v>
      </c>
      <c r="E28">
        <v>1</v>
      </c>
      <c r="F28">
        <v>1</v>
      </c>
      <c r="G28">
        <v>1080</v>
      </c>
      <c r="H28">
        <v>2</v>
      </c>
      <c r="I28" t="s">
        <v>301</v>
      </c>
      <c r="J28" t="s">
        <v>302</v>
      </c>
      <c r="K28" t="s">
        <v>303</v>
      </c>
      <c r="L28">
        <v>1368</v>
      </c>
      <c r="N28">
        <v>1011</v>
      </c>
      <c r="O28" t="s">
        <v>275</v>
      </c>
      <c r="P28" t="s">
        <v>275</v>
      </c>
      <c r="Q28">
        <v>1</v>
      </c>
      <c r="X28">
        <v>6.0000000000000001E-3</v>
      </c>
      <c r="Y28">
        <v>0</v>
      </c>
      <c r="Z28">
        <v>83.1</v>
      </c>
      <c r="AA28">
        <v>12.62</v>
      </c>
      <c r="AB28">
        <v>0</v>
      </c>
      <c r="AC28">
        <v>0</v>
      </c>
      <c r="AD28">
        <v>1</v>
      </c>
      <c r="AE28">
        <v>0</v>
      </c>
      <c r="AF28" t="s">
        <v>25</v>
      </c>
      <c r="AG28">
        <v>6.6000000000000008E-3</v>
      </c>
      <c r="AH28">
        <v>2</v>
      </c>
      <c r="AI28">
        <v>60256549</v>
      </c>
      <c r="AJ28">
        <v>24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</row>
    <row r="29" spans="1:44" x14ac:dyDescent="0.2">
      <c r="A29">
        <f>ROW(Source!A36)</f>
        <v>36</v>
      </c>
      <c r="B29">
        <v>60256846</v>
      </c>
      <c r="C29">
        <v>60256547</v>
      </c>
      <c r="D29">
        <v>59021131</v>
      </c>
      <c r="E29">
        <v>1080</v>
      </c>
      <c r="F29">
        <v>1</v>
      </c>
      <c r="G29">
        <v>1080</v>
      </c>
      <c r="H29">
        <v>3</v>
      </c>
      <c r="I29" t="s">
        <v>344</v>
      </c>
      <c r="J29" t="s">
        <v>3</v>
      </c>
      <c r="K29" t="s">
        <v>345</v>
      </c>
      <c r="L29">
        <v>1354</v>
      </c>
      <c r="N29">
        <v>1010</v>
      </c>
      <c r="O29" t="s">
        <v>33</v>
      </c>
      <c r="P29" t="s">
        <v>33</v>
      </c>
      <c r="Q29">
        <v>1</v>
      </c>
      <c r="X29">
        <v>1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 t="s">
        <v>24</v>
      </c>
      <c r="AG29">
        <v>1</v>
      </c>
      <c r="AH29">
        <v>3</v>
      </c>
      <c r="AI29">
        <v>-1</v>
      </c>
      <c r="AJ29" t="s">
        <v>3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</row>
    <row r="30" spans="1:44" x14ac:dyDescent="0.2">
      <c r="A30">
        <f>ROW(Source!A37)</f>
        <v>37</v>
      </c>
      <c r="B30">
        <v>60256844</v>
      </c>
      <c r="C30">
        <v>60256547</v>
      </c>
      <c r="D30">
        <v>58999254</v>
      </c>
      <c r="E30">
        <v>1080</v>
      </c>
      <c r="F30">
        <v>1</v>
      </c>
      <c r="G30">
        <v>1080</v>
      </c>
      <c r="H30">
        <v>1</v>
      </c>
      <c r="I30" t="s">
        <v>269</v>
      </c>
      <c r="J30" t="s">
        <v>3</v>
      </c>
      <c r="K30" t="s">
        <v>270</v>
      </c>
      <c r="L30">
        <v>1191</v>
      </c>
      <c r="N30">
        <v>1013</v>
      </c>
      <c r="O30" t="s">
        <v>271</v>
      </c>
      <c r="P30" t="s">
        <v>271</v>
      </c>
      <c r="Q30">
        <v>1</v>
      </c>
      <c r="X30">
        <v>1.03</v>
      </c>
      <c r="Y30">
        <v>0</v>
      </c>
      <c r="Z30">
        <v>0</v>
      </c>
      <c r="AA30">
        <v>0</v>
      </c>
      <c r="AB30">
        <v>0</v>
      </c>
      <c r="AC30">
        <v>0</v>
      </c>
      <c r="AD30">
        <v>1</v>
      </c>
      <c r="AE30">
        <v>1</v>
      </c>
      <c r="AF30" t="s">
        <v>25</v>
      </c>
      <c r="AG30">
        <v>1.1330000000000002</v>
      </c>
      <c r="AH30">
        <v>2</v>
      </c>
      <c r="AI30">
        <v>60256548</v>
      </c>
      <c r="AJ30">
        <v>25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</row>
    <row r="31" spans="1:44" x14ac:dyDescent="0.2">
      <c r="A31">
        <f>ROW(Source!A37)</f>
        <v>37</v>
      </c>
      <c r="B31">
        <v>60256845</v>
      </c>
      <c r="C31">
        <v>60256547</v>
      </c>
      <c r="D31">
        <v>59070669</v>
      </c>
      <c r="E31">
        <v>1</v>
      </c>
      <c r="F31">
        <v>1</v>
      </c>
      <c r="G31">
        <v>1080</v>
      </c>
      <c r="H31">
        <v>2</v>
      </c>
      <c r="I31" t="s">
        <v>301</v>
      </c>
      <c r="J31" t="s">
        <v>302</v>
      </c>
      <c r="K31" t="s">
        <v>303</v>
      </c>
      <c r="L31">
        <v>1368</v>
      </c>
      <c r="N31">
        <v>1011</v>
      </c>
      <c r="O31" t="s">
        <v>275</v>
      </c>
      <c r="P31" t="s">
        <v>275</v>
      </c>
      <c r="Q31">
        <v>1</v>
      </c>
      <c r="X31">
        <v>6.0000000000000001E-3</v>
      </c>
      <c r="Y31">
        <v>0</v>
      </c>
      <c r="Z31">
        <v>83.1</v>
      </c>
      <c r="AA31">
        <v>12.62</v>
      </c>
      <c r="AB31">
        <v>0</v>
      </c>
      <c r="AC31">
        <v>0</v>
      </c>
      <c r="AD31">
        <v>1</v>
      </c>
      <c r="AE31">
        <v>0</v>
      </c>
      <c r="AF31" t="s">
        <v>25</v>
      </c>
      <c r="AG31">
        <v>6.6000000000000008E-3</v>
      </c>
      <c r="AH31">
        <v>2</v>
      </c>
      <c r="AI31">
        <v>60256549</v>
      </c>
      <c r="AJ31">
        <v>26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</row>
    <row r="32" spans="1:44" x14ac:dyDescent="0.2">
      <c r="A32">
        <f>ROW(Source!A37)</f>
        <v>37</v>
      </c>
      <c r="B32">
        <v>60256846</v>
      </c>
      <c r="C32">
        <v>60256547</v>
      </c>
      <c r="D32">
        <v>59021131</v>
      </c>
      <c r="E32">
        <v>1080</v>
      </c>
      <c r="F32">
        <v>1</v>
      </c>
      <c r="G32">
        <v>1080</v>
      </c>
      <c r="H32">
        <v>3</v>
      </c>
      <c r="I32" t="s">
        <v>344</v>
      </c>
      <c r="J32" t="s">
        <v>3</v>
      </c>
      <c r="K32" t="s">
        <v>345</v>
      </c>
      <c r="L32">
        <v>1354</v>
      </c>
      <c r="N32">
        <v>1010</v>
      </c>
      <c r="O32" t="s">
        <v>33</v>
      </c>
      <c r="P32" t="s">
        <v>33</v>
      </c>
      <c r="Q32">
        <v>1</v>
      </c>
      <c r="X32">
        <v>1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 t="s">
        <v>24</v>
      </c>
      <c r="AG32">
        <v>1</v>
      </c>
      <c r="AH32">
        <v>3</v>
      </c>
      <c r="AI32">
        <v>-1</v>
      </c>
      <c r="AJ32" t="s">
        <v>3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</row>
    <row r="33" spans="1:44" x14ac:dyDescent="0.2">
      <c r="A33">
        <f>ROW(Source!A40)</f>
        <v>40</v>
      </c>
      <c r="B33">
        <v>60256847</v>
      </c>
      <c r="C33">
        <v>60256554</v>
      </c>
      <c r="D33">
        <v>58999254</v>
      </c>
      <c r="E33">
        <v>1080</v>
      </c>
      <c r="F33">
        <v>1</v>
      </c>
      <c r="G33">
        <v>1080</v>
      </c>
      <c r="H33">
        <v>1</v>
      </c>
      <c r="I33" t="s">
        <v>269</v>
      </c>
      <c r="J33" t="s">
        <v>3</v>
      </c>
      <c r="K33" t="s">
        <v>270</v>
      </c>
      <c r="L33">
        <v>1191</v>
      </c>
      <c r="N33">
        <v>1013</v>
      </c>
      <c r="O33" t="s">
        <v>271</v>
      </c>
      <c r="P33" t="s">
        <v>271</v>
      </c>
      <c r="Q33">
        <v>1</v>
      </c>
      <c r="X33">
        <v>1.03</v>
      </c>
      <c r="Y33">
        <v>0</v>
      </c>
      <c r="Z33">
        <v>0</v>
      </c>
      <c r="AA33">
        <v>0</v>
      </c>
      <c r="AB33">
        <v>0</v>
      </c>
      <c r="AC33">
        <v>0</v>
      </c>
      <c r="AD33">
        <v>1</v>
      </c>
      <c r="AE33">
        <v>1</v>
      </c>
      <c r="AF33" t="s">
        <v>25</v>
      </c>
      <c r="AG33">
        <v>1.1330000000000002</v>
      </c>
      <c r="AH33">
        <v>2</v>
      </c>
      <c r="AI33">
        <v>60256555</v>
      </c>
      <c r="AJ33">
        <v>27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</row>
    <row r="34" spans="1:44" x14ac:dyDescent="0.2">
      <c r="A34">
        <f>ROW(Source!A40)</f>
        <v>40</v>
      </c>
      <c r="B34">
        <v>60256848</v>
      </c>
      <c r="C34">
        <v>60256554</v>
      </c>
      <c r="D34">
        <v>59070669</v>
      </c>
      <c r="E34">
        <v>1</v>
      </c>
      <c r="F34">
        <v>1</v>
      </c>
      <c r="G34">
        <v>1080</v>
      </c>
      <c r="H34">
        <v>2</v>
      </c>
      <c r="I34" t="s">
        <v>301</v>
      </c>
      <c r="J34" t="s">
        <v>302</v>
      </c>
      <c r="K34" t="s">
        <v>303</v>
      </c>
      <c r="L34">
        <v>1368</v>
      </c>
      <c r="N34">
        <v>1011</v>
      </c>
      <c r="O34" t="s">
        <v>275</v>
      </c>
      <c r="P34" t="s">
        <v>275</v>
      </c>
      <c r="Q34">
        <v>1</v>
      </c>
      <c r="X34">
        <v>6.0000000000000001E-3</v>
      </c>
      <c r="Y34">
        <v>0</v>
      </c>
      <c r="Z34">
        <v>83.1</v>
      </c>
      <c r="AA34">
        <v>12.62</v>
      </c>
      <c r="AB34">
        <v>0</v>
      </c>
      <c r="AC34">
        <v>0</v>
      </c>
      <c r="AD34">
        <v>1</v>
      </c>
      <c r="AE34">
        <v>0</v>
      </c>
      <c r="AF34" t="s">
        <v>25</v>
      </c>
      <c r="AG34">
        <v>6.6000000000000008E-3</v>
      </c>
      <c r="AH34">
        <v>2</v>
      </c>
      <c r="AI34">
        <v>60256556</v>
      </c>
      <c r="AJ34">
        <v>28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</row>
    <row r="35" spans="1:44" x14ac:dyDescent="0.2">
      <c r="A35">
        <f>ROW(Source!A40)</f>
        <v>40</v>
      </c>
      <c r="B35">
        <v>60256849</v>
      </c>
      <c r="C35">
        <v>60256554</v>
      </c>
      <c r="D35">
        <v>59021131</v>
      </c>
      <c r="E35">
        <v>1080</v>
      </c>
      <c r="F35">
        <v>1</v>
      </c>
      <c r="G35">
        <v>1080</v>
      </c>
      <c r="H35">
        <v>3</v>
      </c>
      <c r="I35" t="s">
        <v>344</v>
      </c>
      <c r="J35" t="s">
        <v>3</v>
      </c>
      <c r="K35" t="s">
        <v>345</v>
      </c>
      <c r="L35">
        <v>1354</v>
      </c>
      <c r="N35">
        <v>1010</v>
      </c>
      <c r="O35" t="s">
        <v>33</v>
      </c>
      <c r="P35" t="s">
        <v>33</v>
      </c>
      <c r="Q35">
        <v>1</v>
      </c>
      <c r="X35">
        <v>1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 t="s">
        <v>24</v>
      </c>
      <c r="AG35">
        <v>1</v>
      </c>
      <c r="AH35">
        <v>3</v>
      </c>
      <c r="AI35">
        <v>-1</v>
      </c>
      <c r="AJ35" t="s">
        <v>3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</row>
    <row r="36" spans="1:44" x14ac:dyDescent="0.2">
      <c r="A36">
        <f>ROW(Source!A41)</f>
        <v>41</v>
      </c>
      <c r="B36">
        <v>60256847</v>
      </c>
      <c r="C36">
        <v>60256554</v>
      </c>
      <c r="D36">
        <v>58999254</v>
      </c>
      <c r="E36">
        <v>1080</v>
      </c>
      <c r="F36">
        <v>1</v>
      </c>
      <c r="G36">
        <v>1080</v>
      </c>
      <c r="H36">
        <v>1</v>
      </c>
      <c r="I36" t="s">
        <v>269</v>
      </c>
      <c r="J36" t="s">
        <v>3</v>
      </c>
      <c r="K36" t="s">
        <v>270</v>
      </c>
      <c r="L36">
        <v>1191</v>
      </c>
      <c r="N36">
        <v>1013</v>
      </c>
      <c r="O36" t="s">
        <v>271</v>
      </c>
      <c r="P36" t="s">
        <v>271</v>
      </c>
      <c r="Q36">
        <v>1</v>
      </c>
      <c r="X36">
        <v>1.03</v>
      </c>
      <c r="Y36">
        <v>0</v>
      </c>
      <c r="Z36">
        <v>0</v>
      </c>
      <c r="AA36">
        <v>0</v>
      </c>
      <c r="AB36">
        <v>0</v>
      </c>
      <c r="AC36">
        <v>0</v>
      </c>
      <c r="AD36">
        <v>1</v>
      </c>
      <c r="AE36">
        <v>1</v>
      </c>
      <c r="AF36" t="s">
        <v>25</v>
      </c>
      <c r="AG36">
        <v>1.1330000000000002</v>
      </c>
      <c r="AH36">
        <v>2</v>
      </c>
      <c r="AI36">
        <v>60256555</v>
      </c>
      <c r="AJ36">
        <v>29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</row>
    <row r="37" spans="1:44" x14ac:dyDescent="0.2">
      <c r="A37">
        <f>ROW(Source!A41)</f>
        <v>41</v>
      </c>
      <c r="B37">
        <v>60256848</v>
      </c>
      <c r="C37">
        <v>60256554</v>
      </c>
      <c r="D37">
        <v>59070669</v>
      </c>
      <c r="E37">
        <v>1</v>
      </c>
      <c r="F37">
        <v>1</v>
      </c>
      <c r="G37">
        <v>1080</v>
      </c>
      <c r="H37">
        <v>2</v>
      </c>
      <c r="I37" t="s">
        <v>301</v>
      </c>
      <c r="J37" t="s">
        <v>302</v>
      </c>
      <c r="K37" t="s">
        <v>303</v>
      </c>
      <c r="L37">
        <v>1368</v>
      </c>
      <c r="N37">
        <v>1011</v>
      </c>
      <c r="O37" t="s">
        <v>275</v>
      </c>
      <c r="P37" t="s">
        <v>275</v>
      </c>
      <c r="Q37">
        <v>1</v>
      </c>
      <c r="X37">
        <v>6.0000000000000001E-3</v>
      </c>
      <c r="Y37">
        <v>0</v>
      </c>
      <c r="Z37">
        <v>83.1</v>
      </c>
      <c r="AA37">
        <v>12.62</v>
      </c>
      <c r="AB37">
        <v>0</v>
      </c>
      <c r="AC37">
        <v>0</v>
      </c>
      <c r="AD37">
        <v>1</v>
      </c>
      <c r="AE37">
        <v>0</v>
      </c>
      <c r="AF37" t="s">
        <v>25</v>
      </c>
      <c r="AG37">
        <v>6.6000000000000008E-3</v>
      </c>
      <c r="AH37">
        <v>2</v>
      </c>
      <c r="AI37">
        <v>60256556</v>
      </c>
      <c r="AJ37">
        <v>30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</row>
    <row r="38" spans="1:44" x14ac:dyDescent="0.2">
      <c r="A38">
        <f>ROW(Source!A41)</f>
        <v>41</v>
      </c>
      <c r="B38">
        <v>60256849</v>
      </c>
      <c r="C38">
        <v>60256554</v>
      </c>
      <c r="D38">
        <v>59021131</v>
      </c>
      <c r="E38">
        <v>1080</v>
      </c>
      <c r="F38">
        <v>1</v>
      </c>
      <c r="G38">
        <v>1080</v>
      </c>
      <c r="H38">
        <v>3</v>
      </c>
      <c r="I38" t="s">
        <v>344</v>
      </c>
      <c r="J38" t="s">
        <v>3</v>
      </c>
      <c r="K38" t="s">
        <v>345</v>
      </c>
      <c r="L38">
        <v>1354</v>
      </c>
      <c r="N38">
        <v>1010</v>
      </c>
      <c r="O38" t="s">
        <v>33</v>
      </c>
      <c r="P38" t="s">
        <v>33</v>
      </c>
      <c r="Q38">
        <v>1</v>
      </c>
      <c r="X38">
        <v>1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 t="s">
        <v>24</v>
      </c>
      <c r="AG38">
        <v>1</v>
      </c>
      <c r="AH38">
        <v>3</v>
      </c>
      <c r="AI38">
        <v>-1</v>
      </c>
      <c r="AJ38" t="s">
        <v>3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</row>
    <row r="39" spans="1:44" x14ac:dyDescent="0.2">
      <c r="A39">
        <f>ROW(Source!A44)</f>
        <v>44</v>
      </c>
      <c r="B39">
        <v>60256850</v>
      </c>
      <c r="C39">
        <v>60256561</v>
      </c>
      <c r="D39">
        <v>58999254</v>
      </c>
      <c r="E39">
        <v>1080</v>
      </c>
      <c r="F39">
        <v>1</v>
      </c>
      <c r="G39">
        <v>1080</v>
      </c>
      <c r="H39">
        <v>1</v>
      </c>
      <c r="I39" t="s">
        <v>269</v>
      </c>
      <c r="J39" t="s">
        <v>3</v>
      </c>
      <c r="K39" t="s">
        <v>270</v>
      </c>
      <c r="L39">
        <v>1191</v>
      </c>
      <c r="N39">
        <v>1013</v>
      </c>
      <c r="O39" t="s">
        <v>271</v>
      </c>
      <c r="P39" t="s">
        <v>271</v>
      </c>
      <c r="Q39">
        <v>1</v>
      </c>
      <c r="X39">
        <v>0.52</v>
      </c>
      <c r="Y39">
        <v>0</v>
      </c>
      <c r="Z39">
        <v>0</v>
      </c>
      <c r="AA39">
        <v>0</v>
      </c>
      <c r="AB39">
        <v>0</v>
      </c>
      <c r="AC39">
        <v>0</v>
      </c>
      <c r="AD39">
        <v>1</v>
      </c>
      <c r="AE39">
        <v>1</v>
      </c>
      <c r="AF39" t="s">
        <v>25</v>
      </c>
      <c r="AG39">
        <v>0.57200000000000006</v>
      </c>
      <c r="AH39">
        <v>2</v>
      </c>
      <c r="AI39">
        <v>60256562</v>
      </c>
      <c r="AJ39">
        <v>31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</row>
    <row r="40" spans="1:44" x14ac:dyDescent="0.2">
      <c r="A40">
        <f>ROW(Source!A44)</f>
        <v>44</v>
      </c>
      <c r="B40">
        <v>60256851</v>
      </c>
      <c r="C40">
        <v>60256561</v>
      </c>
      <c r="D40">
        <v>58996482</v>
      </c>
      <c r="E40">
        <v>1080</v>
      </c>
      <c r="F40">
        <v>1</v>
      </c>
      <c r="G40">
        <v>1080</v>
      </c>
      <c r="H40">
        <v>3</v>
      </c>
      <c r="I40" t="s">
        <v>346</v>
      </c>
      <c r="J40" t="s">
        <v>3</v>
      </c>
      <c r="K40" t="s">
        <v>347</v>
      </c>
      <c r="L40">
        <v>1346</v>
      </c>
      <c r="N40">
        <v>1009</v>
      </c>
      <c r="O40" t="s">
        <v>70</v>
      </c>
      <c r="P40" t="s">
        <v>70</v>
      </c>
      <c r="Q40">
        <v>1</v>
      </c>
      <c r="X40">
        <v>3.5000000000000003E-2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 t="s">
        <v>24</v>
      </c>
      <c r="AG40">
        <v>3.5000000000000003E-2</v>
      </c>
      <c r="AH40">
        <v>3</v>
      </c>
      <c r="AI40">
        <v>-1</v>
      </c>
      <c r="AJ40" t="s">
        <v>3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</row>
    <row r="41" spans="1:44" x14ac:dyDescent="0.2">
      <c r="A41">
        <f>ROW(Source!A44)</f>
        <v>44</v>
      </c>
      <c r="B41">
        <v>60256852</v>
      </c>
      <c r="C41">
        <v>60256561</v>
      </c>
      <c r="D41">
        <v>59021127</v>
      </c>
      <c r="E41">
        <v>1080</v>
      </c>
      <c r="F41">
        <v>1</v>
      </c>
      <c r="G41">
        <v>1080</v>
      </c>
      <c r="H41">
        <v>3</v>
      </c>
      <c r="I41" t="s">
        <v>344</v>
      </c>
      <c r="J41" t="s">
        <v>3</v>
      </c>
      <c r="K41" t="s">
        <v>348</v>
      </c>
      <c r="L41">
        <v>1354</v>
      </c>
      <c r="N41">
        <v>1010</v>
      </c>
      <c r="O41" t="s">
        <v>33</v>
      </c>
      <c r="P41" t="s">
        <v>33</v>
      </c>
      <c r="Q41">
        <v>1</v>
      </c>
      <c r="X41">
        <v>1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 t="s">
        <v>24</v>
      </c>
      <c r="AG41">
        <v>1</v>
      </c>
      <c r="AH41">
        <v>3</v>
      </c>
      <c r="AI41">
        <v>-1</v>
      </c>
      <c r="AJ41" t="s">
        <v>3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</row>
    <row r="42" spans="1:44" x14ac:dyDescent="0.2">
      <c r="A42">
        <f>ROW(Source!A45)</f>
        <v>45</v>
      </c>
      <c r="B42">
        <v>60256850</v>
      </c>
      <c r="C42">
        <v>60256561</v>
      </c>
      <c r="D42">
        <v>58999254</v>
      </c>
      <c r="E42">
        <v>1080</v>
      </c>
      <c r="F42">
        <v>1</v>
      </c>
      <c r="G42">
        <v>1080</v>
      </c>
      <c r="H42">
        <v>1</v>
      </c>
      <c r="I42" t="s">
        <v>269</v>
      </c>
      <c r="J42" t="s">
        <v>3</v>
      </c>
      <c r="K42" t="s">
        <v>270</v>
      </c>
      <c r="L42">
        <v>1191</v>
      </c>
      <c r="N42">
        <v>1013</v>
      </c>
      <c r="O42" t="s">
        <v>271</v>
      </c>
      <c r="P42" t="s">
        <v>271</v>
      </c>
      <c r="Q42">
        <v>1</v>
      </c>
      <c r="X42">
        <v>0.52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</v>
      </c>
      <c r="AE42">
        <v>1</v>
      </c>
      <c r="AF42" t="s">
        <v>25</v>
      </c>
      <c r="AG42">
        <v>0.57200000000000006</v>
      </c>
      <c r="AH42">
        <v>2</v>
      </c>
      <c r="AI42">
        <v>60256562</v>
      </c>
      <c r="AJ42">
        <v>33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</row>
    <row r="43" spans="1:44" x14ac:dyDescent="0.2">
      <c r="A43">
        <f>ROW(Source!A45)</f>
        <v>45</v>
      </c>
      <c r="B43">
        <v>60256851</v>
      </c>
      <c r="C43">
        <v>60256561</v>
      </c>
      <c r="D43">
        <v>58996482</v>
      </c>
      <c r="E43">
        <v>1080</v>
      </c>
      <c r="F43">
        <v>1</v>
      </c>
      <c r="G43">
        <v>1080</v>
      </c>
      <c r="H43">
        <v>3</v>
      </c>
      <c r="I43" t="s">
        <v>346</v>
      </c>
      <c r="J43" t="s">
        <v>3</v>
      </c>
      <c r="K43" t="s">
        <v>347</v>
      </c>
      <c r="L43">
        <v>1346</v>
      </c>
      <c r="N43">
        <v>1009</v>
      </c>
      <c r="O43" t="s">
        <v>70</v>
      </c>
      <c r="P43" t="s">
        <v>70</v>
      </c>
      <c r="Q43">
        <v>1</v>
      </c>
      <c r="X43">
        <v>3.5000000000000003E-2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 t="s">
        <v>24</v>
      </c>
      <c r="AG43">
        <v>3.5000000000000003E-2</v>
      </c>
      <c r="AH43">
        <v>3</v>
      </c>
      <c r="AI43">
        <v>-1</v>
      </c>
      <c r="AJ43" t="s">
        <v>3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</row>
    <row r="44" spans="1:44" x14ac:dyDescent="0.2">
      <c r="A44">
        <f>ROW(Source!A45)</f>
        <v>45</v>
      </c>
      <c r="B44">
        <v>60256852</v>
      </c>
      <c r="C44">
        <v>60256561</v>
      </c>
      <c r="D44">
        <v>59021127</v>
      </c>
      <c r="E44">
        <v>1080</v>
      </c>
      <c r="F44">
        <v>1</v>
      </c>
      <c r="G44">
        <v>1080</v>
      </c>
      <c r="H44">
        <v>3</v>
      </c>
      <c r="I44" t="s">
        <v>344</v>
      </c>
      <c r="J44" t="s">
        <v>3</v>
      </c>
      <c r="K44" t="s">
        <v>348</v>
      </c>
      <c r="L44">
        <v>1354</v>
      </c>
      <c r="N44">
        <v>1010</v>
      </c>
      <c r="O44" t="s">
        <v>33</v>
      </c>
      <c r="P44" t="s">
        <v>33</v>
      </c>
      <c r="Q44">
        <v>1</v>
      </c>
      <c r="X44">
        <v>1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 t="s">
        <v>24</v>
      </c>
      <c r="AG44">
        <v>1</v>
      </c>
      <c r="AH44">
        <v>3</v>
      </c>
      <c r="AI44">
        <v>-1</v>
      </c>
      <c r="AJ44" t="s">
        <v>3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</row>
    <row r="45" spans="1:44" x14ac:dyDescent="0.2">
      <c r="A45">
        <f>ROW(Source!A50)</f>
        <v>50</v>
      </c>
      <c r="B45">
        <v>60256853</v>
      </c>
      <c r="C45">
        <v>60256569</v>
      </c>
      <c r="D45">
        <v>58999254</v>
      </c>
      <c r="E45">
        <v>1080</v>
      </c>
      <c r="F45">
        <v>1</v>
      </c>
      <c r="G45">
        <v>1080</v>
      </c>
      <c r="H45">
        <v>1</v>
      </c>
      <c r="I45" t="s">
        <v>269</v>
      </c>
      <c r="J45" t="s">
        <v>3</v>
      </c>
      <c r="K45" t="s">
        <v>270</v>
      </c>
      <c r="L45">
        <v>1191</v>
      </c>
      <c r="N45">
        <v>1013</v>
      </c>
      <c r="O45" t="s">
        <v>271</v>
      </c>
      <c r="P45" t="s">
        <v>271</v>
      </c>
      <c r="Q45">
        <v>1</v>
      </c>
      <c r="X45">
        <v>1.36</v>
      </c>
      <c r="Y45">
        <v>0</v>
      </c>
      <c r="Z45">
        <v>0</v>
      </c>
      <c r="AA45">
        <v>0</v>
      </c>
      <c r="AB45">
        <v>0</v>
      </c>
      <c r="AC45">
        <v>0</v>
      </c>
      <c r="AD45">
        <v>1</v>
      </c>
      <c r="AE45">
        <v>1</v>
      </c>
      <c r="AF45" t="s">
        <v>25</v>
      </c>
      <c r="AG45">
        <v>1.4960000000000002</v>
      </c>
      <c r="AH45">
        <v>2</v>
      </c>
      <c r="AI45">
        <v>60256570</v>
      </c>
      <c r="AJ45">
        <v>35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</row>
    <row r="46" spans="1:44" x14ac:dyDescent="0.2">
      <c r="A46">
        <f>ROW(Source!A50)</f>
        <v>50</v>
      </c>
      <c r="B46">
        <v>60256854</v>
      </c>
      <c r="C46">
        <v>60256569</v>
      </c>
      <c r="D46">
        <v>59070788</v>
      </c>
      <c r="E46">
        <v>1</v>
      </c>
      <c r="F46">
        <v>1</v>
      </c>
      <c r="G46">
        <v>1080</v>
      </c>
      <c r="H46">
        <v>2</v>
      </c>
      <c r="I46" t="s">
        <v>304</v>
      </c>
      <c r="J46" t="s">
        <v>305</v>
      </c>
      <c r="K46" t="s">
        <v>306</v>
      </c>
      <c r="L46">
        <v>1368</v>
      </c>
      <c r="N46">
        <v>1011</v>
      </c>
      <c r="O46" t="s">
        <v>275</v>
      </c>
      <c r="P46" t="s">
        <v>275</v>
      </c>
      <c r="Q46">
        <v>1</v>
      </c>
      <c r="X46">
        <v>1.7000000000000001E-2</v>
      </c>
      <c r="Y46">
        <v>0</v>
      </c>
      <c r="Z46">
        <v>0.8</v>
      </c>
      <c r="AA46">
        <v>0</v>
      </c>
      <c r="AB46">
        <v>0</v>
      </c>
      <c r="AC46">
        <v>0</v>
      </c>
      <c r="AD46">
        <v>1</v>
      </c>
      <c r="AE46">
        <v>0</v>
      </c>
      <c r="AF46" t="s">
        <v>25</v>
      </c>
      <c r="AG46">
        <v>1.8700000000000001E-2</v>
      </c>
      <c r="AH46">
        <v>2</v>
      </c>
      <c r="AI46">
        <v>60256571</v>
      </c>
      <c r="AJ46">
        <v>36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</row>
    <row r="47" spans="1:44" x14ac:dyDescent="0.2">
      <c r="A47">
        <f>ROW(Source!A50)</f>
        <v>50</v>
      </c>
      <c r="B47">
        <v>60256855</v>
      </c>
      <c r="C47">
        <v>60256569</v>
      </c>
      <c r="D47">
        <v>59070754</v>
      </c>
      <c r="E47">
        <v>1</v>
      </c>
      <c r="F47">
        <v>1</v>
      </c>
      <c r="G47">
        <v>1080</v>
      </c>
      <c r="H47">
        <v>2</v>
      </c>
      <c r="I47" t="s">
        <v>307</v>
      </c>
      <c r="J47" t="s">
        <v>308</v>
      </c>
      <c r="K47" t="s">
        <v>309</v>
      </c>
      <c r="L47">
        <v>1368</v>
      </c>
      <c r="N47">
        <v>1011</v>
      </c>
      <c r="O47" t="s">
        <v>275</v>
      </c>
      <c r="P47" t="s">
        <v>275</v>
      </c>
      <c r="Q47">
        <v>1</v>
      </c>
      <c r="X47">
        <v>0.02</v>
      </c>
      <c r="Y47">
        <v>0</v>
      </c>
      <c r="Z47">
        <v>0.47</v>
      </c>
      <c r="AA47">
        <v>0</v>
      </c>
      <c r="AB47">
        <v>0</v>
      </c>
      <c r="AC47">
        <v>0</v>
      </c>
      <c r="AD47">
        <v>1</v>
      </c>
      <c r="AE47">
        <v>0</v>
      </c>
      <c r="AF47" t="s">
        <v>25</v>
      </c>
      <c r="AG47">
        <v>2.2000000000000002E-2</v>
      </c>
      <c r="AH47">
        <v>2</v>
      </c>
      <c r="AI47">
        <v>60256572</v>
      </c>
      <c r="AJ47">
        <v>37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</row>
    <row r="48" spans="1:44" x14ac:dyDescent="0.2">
      <c r="A48">
        <f>ROW(Source!A50)</f>
        <v>50</v>
      </c>
      <c r="B48">
        <v>60256856</v>
      </c>
      <c r="C48">
        <v>60256569</v>
      </c>
      <c r="D48">
        <v>59040743</v>
      </c>
      <c r="E48">
        <v>1</v>
      </c>
      <c r="F48">
        <v>1</v>
      </c>
      <c r="G48">
        <v>1080</v>
      </c>
      <c r="H48">
        <v>3</v>
      </c>
      <c r="I48" t="s">
        <v>292</v>
      </c>
      <c r="J48" t="s">
        <v>293</v>
      </c>
      <c r="K48" t="s">
        <v>294</v>
      </c>
      <c r="L48">
        <v>1346</v>
      </c>
      <c r="N48">
        <v>1009</v>
      </c>
      <c r="O48" t="s">
        <v>70</v>
      </c>
      <c r="P48" t="s">
        <v>70</v>
      </c>
      <c r="Q48">
        <v>1</v>
      </c>
      <c r="X48">
        <v>6.2700000000000004E-3</v>
      </c>
      <c r="Y48">
        <v>27.62</v>
      </c>
      <c r="Z48">
        <v>0</v>
      </c>
      <c r="AA48">
        <v>0</v>
      </c>
      <c r="AB48">
        <v>0</v>
      </c>
      <c r="AC48">
        <v>0</v>
      </c>
      <c r="AD48">
        <v>1</v>
      </c>
      <c r="AE48">
        <v>0</v>
      </c>
      <c r="AF48" t="s">
        <v>24</v>
      </c>
      <c r="AG48">
        <v>6.2700000000000004E-3</v>
      </c>
      <c r="AH48">
        <v>2</v>
      </c>
      <c r="AI48">
        <v>60256573</v>
      </c>
      <c r="AJ48">
        <v>38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</row>
    <row r="49" spans="1:44" x14ac:dyDescent="0.2">
      <c r="A49">
        <f>ROW(Source!A50)</f>
        <v>50</v>
      </c>
      <c r="B49">
        <v>60256857</v>
      </c>
      <c r="C49">
        <v>60256569</v>
      </c>
      <c r="D49">
        <v>59039462</v>
      </c>
      <c r="E49">
        <v>1</v>
      </c>
      <c r="F49">
        <v>1</v>
      </c>
      <c r="G49">
        <v>1080</v>
      </c>
      <c r="H49">
        <v>3</v>
      </c>
      <c r="I49" t="s">
        <v>295</v>
      </c>
      <c r="J49" t="s">
        <v>296</v>
      </c>
      <c r="K49" t="s">
        <v>297</v>
      </c>
      <c r="L49">
        <v>1348</v>
      </c>
      <c r="N49">
        <v>1009</v>
      </c>
      <c r="O49" t="s">
        <v>283</v>
      </c>
      <c r="P49" t="s">
        <v>283</v>
      </c>
      <c r="Q49">
        <v>1000</v>
      </c>
      <c r="X49">
        <v>1.0000000000000001E-5</v>
      </c>
      <c r="Y49">
        <v>64123.05</v>
      </c>
      <c r="Z49">
        <v>0</v>
      </c>
      <c r="AA49">
        <v>0</v>
      </c>
      <c r="AB49">
        <v>0</v>
      </c>
      <c r="AC49">
        <v>0</v>
      </c>
      <c r="AD49">
        <v>1</v>
      </c>
      <c r="AE49">
        <v>0</v>
      </c>
      <c r="AF49" t="s">
        <v>24</v>
      </c>
      <c r="AG49">
        <v>1.0000000000000001E-5</v>
      </c>
      <c r="AH49">
        <v>2</v>
      </c>
      <c r="AI49">
        <v>60256574</v>
      </c>
      <c r="AJ49">
        <v>39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</row>
    <row r="50" spans="1:44" x14ac:dyDescent="0.2">
      <c r="A50">
        <f>ROW(Source!A50)</f>
        <v>50</v>
      </c>
      <c r="B50">
        <v>60256858</v>
      </c>
      <c r="C50">
        <v>60256569</v>
      </c>
      <c r="D50">
        <v>59049354</v>
      </c>
      <c r="E50">
        <v>1</v>
      </c>
      <c r="F50">
        <v>1</v>
      </c>
      <c r="G50">
        <v>1080</v>
      </c>
      <c r="H50">
        <v>3</v>
      </c>
      <c r="I50" t="s">
        <v>298</v>
      </c>
      <c r="J50" t="s">
        <v>299</v>
      </c>
      <c r="K50" t="s">
        <v>300</v>
      </c>
      <c r="L50">
        <v>1354</v>
      </c>
      <c r="N50">
        <v>1010</v>
      </c>
      <c r="O50" t="s">
        <v>33</v>
      </c>
      <c r="P50" t="s">
        <v>33</v>
      </c>
      <c r="Q50">
        <v>1</v>
      </c>
      <c r="X50">
        <v>0.1</v>
      </c>
      <c r="Y50">
        <v>15.25</v>
      </c>
      <c r="Z50">
        <v>0</v>
      </c>
      <c r="AA50">
        <v>0</v>
      </c>
      <c r="AB50">
        <v>0</v>
      </c>
      <c r="AC50">
        <v>0</v>
      </c>
      <c r="AD50">
        <v>1</v>
      </c>
      <c r="AE50">
        <v>0</v>
      </c>
      <c r="AF50" t="s">
        <v>24</v>
      </c>
      <c r="AG50">
        <v>0.1</v>
      </c>
      <c r="AH50">
        <v>2</v>
      </c>
      <c r="AI50">
        <v>60256575</v>
      </c>
      <c r="AJ50">
        <v>40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</row>
    <row r="51" spans="1:44" x14ac:dyDescent="0.2">
      <c r="A51">
        <f>ROW(Source!A50)</f>
        <v>50</v>
      </c>
      <c r="B51">
        <v>60256859</v>
      </c>
      <c r="C51">
        <v>60256569</v>
      </c>
      <c r="D51">
        <v>59021307</v>
      </c>
      <c r="E51">
        <v>1080</v>
      </c>
      <c r="F51">
        <v>1</v>
      </c>
      <c r="G51">
        <v>1080</v>
      </c>
      <c r="H51">
        <v>3</v>
      </c>
      <c r="I51" t="s">
        <v>349</v>
      </c>
      <c r="J51" t="s">
        <v>3</v>
      </c>
      <c r="K51" t="s">
        <v>350</v>
      </c>
      <c r="L51">
        <v>1354</v>
      </c>
      <c r="N51">
        <v>1010</v>
      </c>
      <c r="O51" t="s">
        <v>33</v>
      </c>
      <c r="P51" t="s">
        <v>33</v>
      </c>
      <c r="Q51">
        <v>1</v>
      </c>
      <c r="X51">
        <v>1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 t="s">
        <v>24</v>
      </c>
      <c r="AG51">
        <v>1</v>
      </c>
      <c r="AH51">
        <v>3</v>
      </c>
      <c r="AI51">
        <v>-1</v>
      </c>
      <c r="AJ51" t="s">
        <v>3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</row>
    <row r="52" spans="1:44" x14ac:dyDescent="0.2">
      <c r="A52">
        <f>ROW(Source!A51)</f>
        <v>51</v>
      </c>
      <c r="B52">
        <v>60256853</v>
      </c>
      <c r="C52">
        <v>60256569</v>
      </c>
      <c r="D52">
        <v>58999254</v>
      </c>
      <c r="E52">
        <v>1080</v>
      </c>
      <c r="F52">
        <v>1</v>
      </c>
      <c r="G52">
        <v>1080</v>
      </c>
      <c r="H52">
        <v>1</v>
      </c>
      <c r="I52" t="s">
        <v>269</v>
      </c>
      <c r="J52" t="s">
        <v>3</v>
      </c>
      <c r="K52" t="s">
        <v>270</v>
      </c>
      <c r="L52">
        <v>1191</v>
      </c>
      <c r="N52">
        <v>1013</v>
      </c>
      <c r="O52" t="s">
        <v>271</v>
      </c>
      <c r="P52" t="s">
        <v>271</v>
      </c>
      <c r="Q52">
        <v>1</v>
      </c>
      <c r="X52">
        <v>1.36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</v>
      </c>
      <c r="AE52">
        <v>1</v>
      </c>
      <c r="AF52" t="s">
        <v>25</v>
      </c>
      <c r="AG52">
        <v>1.4960000000000002</v>
      </c>
      <c r="AH52">
        <v>2</v>
      </c>
      <c r="AI52">
        <v>60256570</v>
      </c>
      <c r="AJ52">
        <v>41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</row>
    <row r="53" spans="1:44" x14ac:dyDescent="0.2">
      <c r="A53">
        <f>ROW(Source!A51)</f>
        <v>51</v>
      </c>
      <c r="B53">
        <v>60256854</v>
      </c>
      <c r="C53">
        <v>60256569</v>
      </c>
      <c r="D53">
        <v>59070788</v>
      </c>
      <c r="E53">
        <v>1</v>
      </c>
      <c r="F53">
        <v>1</v>
      </c>
      <c r="G53">
        <v>1080</v>
      </c>
      <c r="H53">
        <v>2</v>
      </c>
      <c r="I53" t="s">
        <v>304</v>
      </c>
      <c r="J53" t="s">
        <v>305</v>
      </c>
      <c r="K53" t="s">
        <v>306</v>
      </c>
      <c r="L53">
        <v>1368</v>
      </c>
      <c r="N53">
        <v>1011</v>
      </c>
      <c r="O53" t="s">
        <v>275</v>
      </c>
      <c r="P53" t="s">
        <v>275</v>
      </c>
      <c r="Q53">
        <v>1</v>
      </c>
      <c r="X53">
        <v>1.7000000000000001E-2</v>
      </c>
      <c r="Y53">
        <v>0</v>
      </c>
      <c r="Z53">
        <v>0.8</v>
      </c>
      <c r="AA53">
        <v>0</v>
      </c>
      <c r="AB53">
        <v>0</v>
      </c>
      <c r="AC53">
        <v>0</v>
      </c>
      <c r="AD53">
        <v>1</v>
      </c>
      <c r="AE53">
        <v>0</v>
      </c>
      <c r="AF53" t="s">
        <v>25</v>
      </c>
      <c r="AG53">
        <v>1.8700000000000001E-2</v>
      </c>
      <c r="AH53">
        <v>2</v>
      </c>
      <c r="AI53">
        <v>60256571</v>
      </c>
      <c r="AJ53">
        <v>42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</row>
    <row r="54" spans="1:44" x14ac:dyDescent="0.2">
      <c r="A54">
        <f>ROW(Source!A51)</f>
        <v>51</v>
      </c>
      <c r="B54">
        <v>60256855</v>
      </c>
      <c r="C54">
        <v>60256569</v>
      </c>
      <c r="D54">
        <v>59070754</v>
      </c>
      <c r="E54">
        <v>1</v>
      </c>
      <c r="F54">
        <v>1</v>
      </c>
      <c r="G54">
        <v>1080</v>
      </c>
      <c r="H54">
        <v>2</v>
      </c>
      <c r="I54" t="s">
        <v>307</v>
      </c>
      <c r="J54" t="s">
        <v>308</v>
      </c>
      <c r="K54" t="s">
        <v>309</v>
      </c>
      <c r="L54">
        <v>1368</v>
      </c>
      <c r="N54">
        <v>1011</v>
      </c>
      <c r="O54" t="s">
        <v>275</v>
      </c>
      <c r="P54" t="s">
        <v>275</v>
      </c>
      <c r="Q54">
        <v>1</v>
      </c>
      <c r="X54">
        <v>0.02</v>
      </c>
      <c r="Y54">
        <v>0</v>
      </c>
      <c r="Z54">
        <v>0.47</v>
      </c>
      <c r="AA54">
        <v>0</v>
      </c>
      <c r="AB54">
        <v>0</v>
      </c>
      <c r="AC54">
        <v>0</v>
      </c>
      <c r="AD54">
        <v>1</v>
      </c>
      <c r="AE54">
        <v>0</v>
      </c>
      <c r="AF54" t="s">
        <v>25</v>
      </c>
      <c r="AG54">
        <v>2.2000000000000002E-2</v>
      </c>
      <c r="AH54">
        <v>2</v>
      </c>
      <c r="AI54">
        <v>60256572</v>
      </c>
      <c r="AJ54">
        <v>43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</row>
    <row r="55" spans="1:44" x14ac:dyDescent="0.2">
      <c r="A55">
        <f>ROW(Source!A51)</f>
        <v>51</v>
      </c>
      <c r="B55">
        <v>60256856</v>
      </c>
      <c r="C55">
        <v>60256569</v>
      </c>
      <c r="D55">
        <v>59040743</v>
      </c>
      <c r="E55">
        <v>1</v>
      </c>
      <c r="F55">
        <v>1</v>
      </c>
      <c r="G55">
        <v>1080</v>
      </c>
      <c r="H55">
        <v>3</v>
      </c>
      <c r="I55" t="s">
        <v>292</v>
      </c>
      <c r="J55" t="s">
        <v>293</v>
      </c>
      <c r="K55" t="s">
        <v>294</v>
      </c>
      <c r="L55">
        <v>1346</v>
      </c>
      <c r="N55">
        <v>1009</v>
      </c>
      <c r="O55" t="s">
        <v>70</v>
      </c>
      <c r="P55" t="s">
        <v>70</v>
      </c>
      <c r="Q55">
        <v>1</v>
      </c>
      <c r="X55">
        <v>6.2700000000000004E-3</v>
      </c>
      <c r="Y55">
        <v>27.62</v>
      </c>
      <c r="Z55">
        <v>0</v>
      </c>
      <c r="AA55">
        <v>0</v>
      </c>
      <c r="AB55">
        <v>0</v>
      </c>
      <c r="AC55">
        <v>0</v>
      </c>
      <c r="AD55">
        <v>1</v>
      </c>
      <c r="AE55">
        <v>0</v>
      </c>
      <c r="AF55" t="s">
        <v>24</v>
      </c>
      <c r="AG55">
        <v>6.2700000000000004E-3</v>
      </c>
      <c r="AH55">
        <v>2</v>
      </c>
      <c r="AI55">
        <v>60256573</v>
      </c>
      <c r="AJ55">
        <v>44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</row>
    <row r="56" spans="1:44" x14ac:dyDescent="0.2">
      <c r="A56">
        <f>ROW(Source!A51)</f>
        <v>51</v>
      </c>
      <c r="B56">
        <v>60256857</v>
      </c>
      <c r="C56">
        <v>60256569</v>
      </c>
      <c r="D56">
        <v>59039462</v>
      </c>
      <c r="E56">
        <v>1</v>
      </c>
      <c r="F56">
        <v>1</v>
      </c>
      <c r="G56">
        <v>1080</v>
      </c>
      <c r="H56">
        <v>3</v>
      </c>
      <c r="I56" t="s">
        <v>295</v>
      </c>
      <c r="J56" t="s">
        <v>296</v>
      </c>
      <c r="K56" t="s">
        <v>297</v>
      </c>
      <c r="L56">
        <v>1348</v>
      </c>
      <c r="N56">
        <v>1009</v>
      </c>
      <c r="O56" t="s">
        <v>283</v>
      </c>
      <c r="P56" t="s">
        <v>283</v>
      </c>
      <c r="Q56">
        <v>1000</v>
      </c>
      <c r="X56">
        <v>1.0000000000000001E-5</v>
      </c>
      <c r="Y56">
        <v>64123.05</v>
      </c>
      <c r="Z56">
        <v>0</v>
      </c>
      <c r="AA56">
        <v>0</v>
      </c>
      <c r="AB56">
        <v>0</v>
      </c>
      <c r="AC56">
        <v>0</v>
      </c>
      <c r="AD56">
        <v>1</v>
      </c>
      <c r="AE56">
        <v>0</v>
      </c>
      <c r="AF56" t="s">
        <v>24</v>
      </c>
      <c r="AG56">
        <v>1.0000000000000001E-5</v>
      </c>
      <c r="AH56">
        <v>2</v>
      </c>
      <c r="AI56">
        <v>60256574</v>
      </c>
      <c r="AJ56">
        <v>45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</row>
    <row r="57" spans="1:44" x14ac:dyDescent="0.2">
      <c r="A57">
        <f>ROW(Source!A51)</f>
        <v>51</v>
      </c>
      <c r="B57">
        <v>60256858</v>
      </c>
      <c r="C57">
        <v>60256569</v>
      </c>
      <c r="D57">
        <v>59049354</v>
      </c>
      <c r="E57">
        <v>1</v>
      </c>
      <c r="F57">
        <v>1</v>
      </c>
      <c r="G57">
        <v>1080</v>
      </c>
      <c r="H57">
        <v>3</v>
      </c>
      <c r="I57" t="s">
        <v>298</v>
      </c>
      <c r="J57" t="s">
        <v>299</v>
      </c>
      <c r="K57" t="s">
        <v>300</v>
      </c>
      <c r="L57">
        <v>1354</v>
      </c>
      <c r="N57">
        <v>1010</v>
      </c>
      <c r="O57" t="s">
        <v>33</v>
      </c>
      <c r="P57" t="s">
        <v>33</v>
      </c>
      <c r="Q57">
        <v>1</v>
      </c>
      <c r="X57">
        <v>0.1</v>
      </c>
      <c r="Y57">
        <v>15.25</v>
      </c>
      <c r="Z57">
        <v>0</v>
      </c>
      <c r="AA57">
        <v>0</v>
      </c>
      <c r="AB57">
        <v>0</v>
      </c>
      <c r="AC57">
        <v>0</v>
      </c>
      <c r="AD57">
        <v>1</v>
      </c>
      <c r="AE57">
        <v>0</v>
      </c>
      <c r="AF57" t="s">
        <v>24</v>
      </c>
      <c r="AG57">
        <v>0.1</v>
      </c>
      <c r="AH57">
        <v>2</v>
      </c>
      <c r="AI57">
        <v>60256575</v>
      </c>
      <c r="AJ57">
        <v>46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</row>
    <row r="58" spans="1:44" x14ac:dyDescent="0.2">
      <c r="A58">
        <f>ROW(Source!A51)</f>
        <v>51</v>
      </c>
      <c r="B58">
        <v>60256859</v>
      </c>
      <c r="C58">
        <v>60256569</v>
      </c>
      <c r="D58">
        <v>59021307</v>
      </c>
      <c r="E58">
        <v>1080</v>
      </c>
      <c r="F58">
        <v>1</v>
      </c>
      <c r="G58">
        <v>1080</v>
      </c>
      <c r="H58">
        <v>3</v>
      </c>
      <c r="I58" t="s">
        <v>349</v>
      </c>
      <c r="J58" t="s">
        <v>3</v>
      </c>
      <c r="K58" t="s">
        <v>350</v>
      </c>
      <c r="L58">
        <v>1354</v>
      </c>
      <c r="N58">
        <v>1010</v>
      </c>
      <c r="O58" t="s">
        <v>33</v>
      </c>
      <c r="P58" t="s">
        <v>33</v>
      </c>
      <c r="Q58">
        <v>1</v>
      </c>
      <c r="X58">
        <v>1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 t="s">
        <v>24</v>
      </c>
      <c r="AG58">
        <v>1</v>
      </c>
      <c r="AH58">
        <v>3</v>
      </c>
      <c r="AI58">
        <v>-1</v>
      </c>
      <c r="AJ58" t="s">
        <v>3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</row>
    <row r="59" spans="1:44" x14ac:dyDescent="0.2">
      <c r="A59">
        <f>ROW(Source!A54)</f>
        <v>54</v>
      </c>
      <c r="B59">
        <v>60256860</v>
      </c>
      <c r="C59">
        <v>60256584</v>
      </c>
      <c r="D59">
        <v>58999254</v>
      </c>
      <c r="E59">
        <v>1080</v>
      </c>
      <c r="F59">
        <v>1</v>
      </c>
      <c r="G59">
        <v>1080</v>
      </c>
      <c r="H59">
        <v>1</v>
      </c>
      <c r="I59" t="s">
        <v>269</v>
      </c>
      <c r="J59" t="s">
        <v>3</v>
      </c>
      <c r="K59" t="s">
        <v>270</v>
      </c>
      <c r="L59">
        <v>1191</v>
      </c>
      <c r="N59">
        <v>1013</v>
      </c>
      <c r="O59" t="s">
        <v>271</v>
      </c>
      <c r="P59" t="s">
        <v>271</v>
      </c>
      <c r="Q59">
        <v>1</v>
      </c>
      <c r="X59">
        <v>0.52</v>
      </c>
      <c r="Y59">
        <v>0</v>
      </c>
      <c r="Z59">
        <v>0</v>
      </c>
      <c r="AA59">
        <v>0</v>
      </c>
      <c r="AB59">
        <v>0</v>
      </c>
      <c r="AC59">
        <v>0</v>
      </c>
      <c r="AD59">
        <v>1</v>
      </c>
      <c r="AE59">
        <v>1</v>
      </c>
      <c r="AF59" t="s">
        <v>25</v>
      </c>
      <c r="AG59">
        <v>0.57200000000000006</v>
      </c>
      <c r="AH59">
        <v>2</v>
      </c>
      <c r="AI59">
        <v>60256585</v>
      </c>
      <c r="AJ59">
        <v>47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</row>
    <row r="60" spans="1:44" x14ac:dyDescent="0.2">
      <c r="A60">
        <f>ROW(Source!A54)</f>
        <v>54</v>
      </c>
      <c r="B60">
        <v>60256861</v>
      </c>
      <c r="C60">
        <v>60256584</v>
      </c>
      <c r="D60">
        <v>58996482</v>
      </c>
      <c r="E60">
        <v>1080</v>
      </c>
      <c r="F60">
        <v>1</v>
      </c>
      <c r="G60">
        <v>1080</v>
      </c>
      <c r="H60">
        <v>3</v>
      </c>
      <c r="I60" t="s">
        <v>346</v>
      </c>
      <c r="J60" t="s">
        <v>3</v>
      </c>
      <c r="K60" t="s">
        <v>347</v>
      </c>
      <c r="L60">
        <v>1346</v>
      </c>
      <c r="N60">
        <v>1009</v>
      </c>
      <c r="O60" t="s">
        <v>70</v>
      </c>
      <c r="P60" t="s">
        <v>70</v>
      </c>
      <c r="Q60">
        <v>1</v>
      </c>
      <c r="X60">
        <v>3.5000000000000003E-2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 t="s">
        <v>24</v>
      </c>
      <c r="AG60">
        <v>3.5000000000000003E-2</v>
      </c>
      <c r="AH60">
        <v>3</v>
      </c>
      <c r="AI60">
        <v>-1</v>
      </c>
      <c r="AJ60" t="s">
        <v>3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</row>
    <row r="61" spans="1:44" x14ac:dyDescent="0.2">
      <c r="A61">
        <f>ROW(Source!A54)</f>
        <v>54</v>
      </c>
      <c r="B61">
        <v>60256862</v>
      </c>
      <c r="C61">
        <v>60256584</v>
      </c>
      <c r="D61">
        <v>59021127</v>
      </c>
      <c r="E61">
        <v>1080</v>
      </c>
      <c r="F61">
        <v>1</v>
      </c>
      <c r="G61">
        <v>1080</v>
      </c>
      <c r="H61">
        <v>3</v>
      </c>
      <c r="I61" t="s">
        <v>344</v>
      </c>
      <c r="J61" t="s">
        <v>3</v>
      </c>
      <c r="K61" t="s">
        <v>348</v>
      </c>
      <c r="L61">
        <v>1354</v>
      </c>
      <c r="N61">
        <v>1010</v>
      </c>
      <c r="O61" t="s">
        <v>33</v>
      </c>
      <c r="P61" t="s">
        <v>33</v>
      </c>
      <c r="Q61">
        <v>1</v>
      </c>
      <c r="X61">
        <v>1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 t="s">
        <v>24</v>
      </c>
      <c r="AG61">
        <v>1</v>
      </c>
      <c r="AH61">
        <v>3</v>
      </c>
      <c r="AI61">
        <v>-1</v>
      </c>
      <c r="AJ61" t="s">
        <v>3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</row>
    <row r="62" spans="1:44" x14ac:dyDescent="0.2">
      <c r="A62">
        <f>ROW(Source!A55)</f>
        <v>55</v>
      </c>
      <c r="B62">
        <v>60256860</v>
      </c>
      <c r="C62">
        <v>60256584</v>
      </c>
      <c r="D62">
        <v>58999254</v>
      </c>
      <c r="E62">
        <v>1080</v>
      </c>
      <c r="F62">
        <v>1</v>
      </c>
      <c r="G62">
        <v>1080</v>
      </c>
      <c r="H62">
        <v>1</v>
      </c>
      <c r="I62" t="s">
        <v>269</v>
      </c>
      <c r="J62" t="s">
        <v>3</v>
      </c>
      <c r="K62" t="s">
        <v>270</v>
      </c>
      <c r="L62">
        <v>1191</v>
      </c>
      <c r="N62">
        <v>1013</v>
      </c>
      <c r="O62" t="s">
        <v>271</v>
      </c>
      <c r="P62" t="s">
        <v>271</v>
      </c>
      <c r="Q62">
        <v>1</v>
      </c>
      <c r="X62">
        <v>0.52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</v>
      </c>
      <c r="AE62">
        <v>1</v>
      </c>
      <c r="AF62" t="s">
        <v>25</v>
      </c>
      <c r="AG62">
        <v>0.57200000000000006</v>
      </c>
      <c r="AH62">
        <v>2</v>
      </c>
      <c r="AI62">
        <v>60256585</v>
      </c>
      <c r="AJ62">
        <v>49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</row>
    <row r="63" spans="1:44" x14ac:dyDescent="0.2">
      <c r="A63">
        <f>ROW(Source!A55)</f>
        <v>55</v>
      </c>
      <c r="B63">
        <v>60256861</v>
      </c>
      <c r="C63">
        <v>60256584</v>
      </c>
      <c r="D63">
        <v>58996482</v>
      </c>
      <c r="E63">
        <v>1080</v>
      </c>
      <c r="F63">
        <v>1</v>
      </c>
      <c r="G63">
        <v>1080</v>
      </c>
      <c r="H63">
        <v>3</v>
      </c>
      <c r="I63" t="s">
        <v>346</v>
      </c>
      <c r="J63" t="s">
        <v>3</v>
      </c>
      <c r="K63" t="s">
        <v>347</v>
      </c>
      <c r="L63">
        <v>1346</v>
      </c>
      <c r="N63">
        <v>1009</v>
      </c>
      <c r="O63" t="s">
        <v>70</v>
      </c>
      <c r="P63" t="s">
        <v>70</v>
      </c>
      <c r="Q63">
        <v>1</v>
      </c>
      <c r="X63">
        <v>3.5000000000000003E-2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 t="s">
        <v>24</v>
      </c>
      <c r="AG63">
        <v>3.5000000000000003E-2</v>
      </c>
      <c r="AH63">
        <v>3</v>
      </c>
      <c r="AI63">
        <v>-1</v>
      </c>
      <c r="AJ63" t="s">
        <v>3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</row>
    <row r="64" spans="1:44" x14ac:dyDescent="0.2">
      <c r="A64">
        <f>ROW(Source!A55)</f>
        <v>55</v>
      </c>
      <c r="B64">
        <v>60256862</v>
      </c>
      <c r="C64">
        <v>60256584</v>
      </c>
      <c r="D64">
        <v>59021127</v>
      </c>
      <c r="E64">
        <v>1080</v>
      </c>
      <c r="F64">
        <v>1</v>
      </c>
      <c r="G64">
        <v>1080</v>
      </c>
      <c r="H64">
        <v>3</v>
      </c>
      <c r="I64" t="s">
        <v>344</v>
      </c>
      <c r="J64" t="s">
        <v>3</v>
      </c>
      <c r="K64" t="s">
        <v>348</v>
      </c>
      <c r="L64">
        <v>1354</v>
      </c>
      <c r="N64">
        <v>1010</v>
      </c>
      <c r="O64" t="s">
        <v>33</v>
      </c>
      <c r="P64" t="s">
        <v>33</v>
      </c>
      <c r="Q64">
        <v>1</v>
      </c>
      <c r="X64">
        <v>1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 t="s">
        <v>24</v>
      </c>
      <c r="AG64">
        <v>1</v>
      </c>
      <c r="AH64">
        <v>3</v>
      </c>
      <c r="AI64">
        <v>-1</v>
      </c>
      <c r="AJ64" t="s">
        <v>3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</row>
    <row r="65" spans="1:44" x14ac:dyDescent="0.2">
      <c r="A65">
        <f>ROW(Source!A60)</f>
        <v>60</v>
      </c>
      <c r="B65">
        <v>60256863</v>
      </c>
      <c r="C65">
        <v>60256592</v>
      </c>
      <c r="D65">
        <v>58999254</v>
      </c>
      <c r="E65">
        <v>1080</v>
      </c>
      <c r="F65">
        <v>1</v>
      </c>
      <c r="G65">
        <v>1080</v>
      </c>
      <c r="H65">
        <v>1</v>
      </c>
      <c r="I65" t="s">
        <v>269</v>
      </c>
      <c r="J65" t="s">
        <v>3</v>
      </c>
      <c r="K65" t="s">
        <v>270</v>
      </c>
      <c r="L65">
        <v>1191</v>
      </c>
      <c r="N65">
        <v>1013</v>
      </c>
      <c r="O65" t="s">
        <v>271</v>
      </c>
      <c r="P65" t="s">
        <v>271</v>
      </c>
      <c r="Q65">
        <v>1</v>
      </c>
      <c r="X65">
        <v>0.52</v>
      </c>
      <c r="Y65">
        <v>0</v>
      </c>
      <c r="Z65">
        <v>0</v>
      </c>
      <c r="AA65">
        <v>0</v>
      </c>
      <c r="AB65">
        <v>0</v>
      </c>
      <c r="AC65">
        <v>0</v>
      </c>
      <c r="AD65">
        <v>1</v>
      </c>
      <c r="AE65">
        <v>1</v>
      </c>
      <c r="AF65" t="s">
        <v>25</v>
      </c>
      <c r="AG65">
        <v>0.57200000000000006</v>
      </c>
      <c r="AH65">
        <v>2</v>
      </c>
      <c r="AI65">
        <v>60256593</v>
      </c>
      <c r="AJ65">
        <v>51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</row>
    <row r="66" spans="1:44" x14ac:dyDescent="0.2">
      <c r="A66">
        <f>ROW(Source!A60)</f>
        <v>60</v>
      </c>
      <c r="B66">
        <v>60256864</v>
      </c>
      <c r="C66">
        <v>60256592</v>
      </c>
      <c r="D66">
        <v>58996482</v>
      </c>
      <c r="E66">
        <v>1080</v>
      </c>
      <c r="F66">
        <v>1</v>
      </c>
      <c r="G66">
        <v>1080</v>
      </c>
      <c r="H66">
        <v>3</v>
      </c>
      <c r="I66" t="s">
        <v>346</v>
      </c>
      <c r="J66" t="s">
        <v>3</v>
      </c>
      <c r="K66" t="s">
        <v>347</v>
      </c>
      <c r="L66">
        <v>1346</v>
      </c>
      <c r="N66">
        <v>1009</v>
      </c>
      <c r="O66" t="s">
        <v>70</v>
      </c>
      <c r="P66" t="s">
        <v>70</v>
      </c>
      <c r="Q66">
        <v>1</v>
      </c>
      <c r="X66">
        <v>3.5000000000000003E-2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 t="s">
        <v>24</v>
      </c>
      <c r="AG66">
        <v>3.5000000000000003E-2</v>
      </c>
      <c r="AH66">
        <v>3</v>
      </c>
      <c r="AI66">
        <v>-1</v>
      </c>
      <c r="AJ66" t="s">
        <v>3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</row>
    <row r="67" spans="1:44" x14ac:dyDescent="0.2">
      <c r="A67">
        <f>ROW(Source!A60)</f>
        <v>60</v>
      </c>
      <c r="B67">
        <v>60256865</v>
      </c>
      <c r="C67">
        <v>60256592</v>
      </c>
      <c r="D67">
        <v>59021127</v>
      </c>
      <c r="E67">
        <v>1080</v>
      </c>
      <c r="F67">
        <v>1</v>
      </c>
      <c r="G67">
        <v>1080</v>
      </c>
      <c r="H67">
        <v>3</v>
      </c>
      <c r="I67" t="s">
        <v>344</v>
      </c>
      <c r="J67" t="s">
        <v>3</v>
      </c>
      <c r="K67" t="s">
        <v>348</v>
      </c>
      <c r="L67">
        <v>1354</v>
      </c>
      <c r="N67">
        <v>1010</v>
      </c>
      <c r="O67" t="s">
        <v>33</v>
      </c>
      <c r="P67" t="s">
        <v>33</v>
      </c>
      <c r="Q67">
        <v>1</v>
      </c>
      <c r="X67">
        <v>1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 t="s">
        <v>24</v>
      </c>
      <c r="AG67">
        <v>1</v>
      </c>
      <c r="AH67">
        <v>3</v>
      </c>
      <c r="AI67">
        <v>-1</v>
      </c>
      <c r="AJ67" t="s">
        <v>3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</row>
    <row r="68" spans="1:44" x14ac:dyDescent="0.2">
      <c r="A68">
        <f>ROW(Source!A61)</f>
        <v>61</v>
      </c>
      <c r="B68">
        <v>60256863</v>
      </c>
      <c r="C68">
        <v>60256592</v>
      </c>
      <c r="D68">
        <v>58999254</v>
      </c>
      <c r="E68">
        <v>1080</v>
      </c>
      <c r="F68">
        <v>1</v>
      </c>
      <c r="G68">
        <v>1080</v>
      </c>
      <c r="H68">
        <v>1</v>
      </c>
      <c r="I68" t="s">
        <v>269</v>
      </c>
      <c r="J68" t="s">
        <v>3</v>
      </c>
      <c r="K68" t="s">
        <v>270</v>
      </c>
      <c r="L68">
        <v>1191</v>
      </c>
      <c r="N68">
        <v>1013</v>
      </c>
      <c r="O68" t="s">
        <v>271</v>
      </c>
      <c r="P68" t="s">
        <v>271</v>
      </c>
      <c r="Q68">
        <v>1</v>
      </c>
      <c r="X68">
        <v>0.52</v>
      </c>
      <c r="Y68">
        <v>0</v>
      </c>
      <c r="Z68">
        <v>0</v>
      </c>
      <c r="AA68">
        <v>0</v>
      </c>
      <c r="AB68">
        <v>0</v>
      </c>
      <c r="AC68">
        <v>0</v>
      </c>
      <c r="AD68">
        <v>1</v>
      </c>
      <c r="AE68">
        <v>1</v>
      </c>
      <c r="AF68" t="s">
        <v>25</v>
      </c>
      <c r="AG68">
        <v>0.57200000000000006</v>
      </c>
      <c r="AH68">
        <v>2</v>
      </c>
      <c r="AI68">
        <v>60256593</v>
      </c>
      <c r="AJ68">
        <v>53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</row>
    <row r="69" spans="1:44" x14ac:dyDescent="0.2">
      <c r="A69">
        <f>ROW(Source!A61)</f>
        <v>61</v>
      </c>
      <c r="B69">
        <v>60256864</v>
      </c>
      <c r="C69">
        <v>60256592</v>
      </c>
      <c r="D69">
        <v>58996482</v>
      </c>
      <c r="E69">
        <v>1080</v>
      </c>
      <c r="F69">
        <v>1</v>
      </c>
      <c r="G69">
        <v>1080</v>
      </c>
      <c r="H69">
        <v>3</v>
      </c>
      <c r="I69" t="s">
        <v>346</v>
      </c>
      <c r="J69" t="s">
        <v>3</v>
      </c>
      <c r="K69" t="s">
        <v>347</v>
      </c>
      <c r="L69">
        <v>1346</v>
      </c>
      <c r="N69">
        <v>1009</v>
      </c>
      <c r="O69" t="s">
        <v>70</v>
      </c>
      <c r="P69" t="s">
        <v>70</v>
      </c>
      <c r="Q69">
        <v>1</v>
      </c>
      <c r="X69">
        <v>3.5000000000000003E-2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 t="s">
        <v>24</v>
      </c>
      <c r="AG69">
        <v>3.5000000000000003E-2</v>
      </c>
      <c r="AH69">
        <v>3</v>
      </c>
      <c r="AI69">
        <v>-1</v>
      </c>
      <c r="AJ69" t="s">
        <v>3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</row>
    <row r="70" spans="1:44" x14ac:dyDescent="0.2">
      <c r="A70">
        <f>ROW(Source!A61)</f>
        <v>61</v>
      </c>
      <c r="B70">
        <v>60256865</v>
      </c>
      <c r="C70">
        <v>60256592</v>
      </c>
      <c r="D70">
        <v>59021127</v>
      </c>
      <c r="E70">
        <v>1080</v>
      </c>
      <c r="F70">
        <v>1</v>
      </c>
      <c r="G70">
        <v>1080</v>
      </c>
      <c r="H70">
        <v>3</v>
      </c>
      <c r="I70" t="s">
        <v>344</v>
      </c>
      <c r="J70" t="s">
        <v>3</v>
      </c>
      <c r="K70" t="s">
        <v>348</v>
      </c>
      <c r="L70">
        <v>1354</v>
      </c>
      <c r="N70">
        <v>1010</v>
      </c>
      <c r="O70" t="s">
        <v>33</v>
      </c>
      <c r="P70" t="s">
        <v>33</v>
      </c>
      <c r="Q70">
        <v>1</v>
      </c>
      <c r="X70">
        <v>1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 t="s">
        <v>24</v>
      </c>
      <c r="AG70">
        <v>1</v>
      </c>
      <c r="AH70">
        <v>3</v>
      </c>
      <c r="AI70">
        <v>-1</v>
      </c>
      <c r="AJ70" t="s">
        <v>3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</row>
    <row r="71" spans="1:44" x14ac:dyDescent="0.2">
      <c r="A71">
        <f>ROW(Source!A66)</f>
        <v>66</v>
      </c>
      <c r="B71">
        <v>60256866</v>
      </c>
      <c r="C71">
        <v>60256600</v>
      </c>
      <c r="D71">
        <v>58999254</v>
      </c>
      <c r="E71">
        <v>1080</v>
      </c>
      <c r="F71">
        <v>1</v>
      </c>
      <c r="G71">
        <v>1080</v>
      </c>
      <c r="H71">
        <v>1</v>
      </c>
      <c r="I71" t="s">
        <v>269</v>
      </c>
      <c r="J71" t="s">
        <v>3</v>
      </c>
      <c r="K71" t="s">
        <v>270</v>
      </c>
      <c r="L71">
        <v>1191</v>
      </c>
      <c r="N71">
        <v>1013</v>
      </c>
      <c r="O71" t="s">
        <v>271</v>
      </c>
      <c r="P71" t="s">
        <v>271</v>
      </c>
      <c r="Q71">
        <v>1</v>
      </c>
      <c r="X71">
        <v>1.2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</v>
      </c>
      <c r="AE71">
        <v>1</v>
      </c>
      <c r="AF71" t="s">
        <v>25</v>
      </c>
      <c r="AG71">
        <v>1.32</v>
      </c>
      <c r="AH71">
        <v>2</v>
      </c>
      <c r="AI71">
        <v>60256601</v>
      </c>
      <c r="AJ71">
        <v>55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</row>
    <row r="72" spans="1:44" x14ac:dyDescent="0.2">
      <c r="A72">
        <f>ROW(Source!A67)</f>
        <v>67</v>
      </c>
      <c r="B72">
        <v>60256866</v>
      </c>
      <c r="C72">
        <v>60256600</v>
      </c>
      <c r="D72">
        <v>58999254</v>
      </c>
      <c r="E72">
        <v>1080</v>
      </c>
      <c r="F72">
        <v>1</v>
      </c>
      <c r="G72">
        <v>1080</v>
      </c>
      <c r="H72">
        <v>1</v>
      </c>
      <c r="I72" t="s">
        <v>269</v>
      </c>
      <c r="J72" t="s">
        <v>3</v>
      </c>
      <c r="K72" t="s">
        <v>270</v>
      </c>
      <c r="L72">
        <v>1191</v>
      </c>
      <c r="N72">
        <v>1013</v>
      </c>
      <c r="O72" t="s">
        <v>271</v>
      </c>
      <c r="P72" t="s">
        <v>271</v>
      </c>
      <c r="Q72">
        <v>1</v>
      </c>
      <c r="X72">
        <v>1.2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</v>
      </c>
      <c r="AE72">
        <v>1</v>
      </c>
      <c r="AF72" t="s">
        <v>25</v>
      </c>
      <c r="AG72">
        <v>1.32</v>
      </c>
      <c r="AH72">
        <v>2</v>
      </c>
      <c r="AI72">
        <v>60256601</v>
      </c>
      <c r="AJ72">
        <v>56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</row>
    <row r="73" spans="1:44" x14ac:dyDescent="0.2">
      <c r="A73">
        <f>ROW(Source!A70)</f>
        <v>70</v>
      </c>
      <c r="B73">
        <v>60256867</v>
      </c>
      <c r="C73">
        <v>60256604</v>
      </c>
      <c r="D73">
        <v>58999254</v>
      </c>
      <c r="E73">
        <v>1080</v>
      </c>
      <c r="F73">
        <v>1</v>
      </c>
      <c r="G73">
        <v>1080</v>
      </c>
      <c r="H73">
        <v>1</v>
      </c>
      <c r="I73" t="s">
        <v>269</v>
      </c>
      <c r="J73" t="s">
        <v>3</v>
      </c>
      <c r="K73" t="s">
        <v>270</v>
      </c>
      <c r="L73">
        <v>1191</v>
      </c>
      <c r="N73">
        <v>1013</v>
      </c>
      <c r="O73" t="s">
        <v>271</v>
      </c>
      <c r="P73" t="s">
        <v>271</v>
      </c>
      <c r="Q73">
        <v>1</v>
      </c>
      <c r="X73">
        <v>0.52</v>
      </c>
      <c r="Y73">
        <v>0</v>
      </c>
      <c r="Z73">
        <v>0</v>
      </c>
      <c r="AA73">
        <v>0</v>
      </c>
      <c r="AB73">
        <v>0</v>
      </c>
      <c r="AC73">
        <v>0</v>
      </c>
      <c r="AD73">
        <v>1</v>
      </c>
      <c r="AE73">
        <v>1</v>
      </c>
      <c r="AF73" t="s">
        <v>25</v>
      </c>
      <c r="AG73">
        <v>0.57200000000000006</v>
      </c>
      <c r="AH73">
        <v>2</v>
      </c>
      <c r="AI73">
        <v>60256605</v>
      </c>
      <c r="AJ73">
        <v>57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</row>
    <row r="74" spans="1:44" x14ac:dyDescent="0.2">
      <c r="A74">
        <f>ROW(Source!A70)</f>
        <v>70</v>
      </c>
      <c r="B74">
        <v>60256868</v>
      </c>
      <c r="C74">
        <v>60256604</v>
      </c>
      <c r="D74">
        <v>58996482</v>
      </c>
      <c r="E74">
        <v>1080</v>
      </c>
      <c r="F74">
        <v>1</v>
      </c>
      <c r="G74">
        <v>1080</v>
      </c>
      <c r="H74">
        <v>3</v>
      </c>
      <c r="I74" t="s">
        <v>346</v>
      </c>
      <c r="J74" t="s">
        <v>3</v>
      </c>
      <c r="K74" t="s">
        <v>347</v>
      </c>
      <c r="L74">
        <v>1346</v>
      </c>
      <c r="N74">
        <v>1009</v>
      </c>
      <c r="O74" t="s">
        <v>70</v>
      </c>
      <c r="P74" t="s">
        <v>70</v>
      </c>
      <c r="Q74">
        <v>1</v>
      </c>
      <c r="X74">
        <v>3.5000000000000003E-2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 t="s">
        <v>24</v>
      </c>
      <c r="AG74">
        <v>3.5000000000000003E-2</v>
      </c>
      <c r="AH74">
        <v>3</v>
      </c>
      <c r="AI74">
        <v>-1</v>
      </c>
      <c r="AJ74" t="s">
        <v>3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</row>
    <row r="75" spans="1:44" x14ac:dyDescent="0.2">
      <c r="A75">
        <f>ROW(Source!A70)</f>
        <v>70</v>
      </c>
      <c r="B75">
        <v>60256869</v>
      </c>
      <c r="C75">
        <v>60256604</v>
      </c>
      <c r="D75">
        <v>59021127</v>
      </c>
      <c r="E75">
        <v>1080</v>
      </c>
      <c r="F75">
        <v>1</v>
      </c>
      <c r="G75">
        <v>1080</v>
      </c>
      <c r="H75">
        <v>3</v>
      </c>
      <c r="I75" t="s">
        <v>344</v>
      </c>
      <c r="J75" t="s">
        <v>3</v>
      </c>
      <c r="K75" t="s">
        <v>348</v>
      </c>
      <c r="L75">
        <v>1354</v>
      </c>
      <c r="N75">
        <v>1010</v>
      </c>
      <c r="O75" t="s">
        <v>33</v>
      </c>
      <c r="P75" t="s">
        <v>33</v>
      </c>
      <c r="Q75">
        <v>1</v>
      </c>
      <c r="X75">
        <v>1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 t="s">
        <v>24</v>
      </c>
      <c r="AG75">
        <v>1</v>
      </c>
      <c r="AH75">
        <v>3</v>
      </c>
      <c r="AI75">
        <v>-1</v>
      </c>
      <c r="AJ75" t="s">
        <v>3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</row>
    <row r="76" spans="1:44" x14ac:dyDescent="0.2">
      <c r="A76">
        <f>ROW(Source!A71)</f>
        <v>71</v>
      </c>
      <c r="B76">
        <v>60256867</v>
      </c>
      <c r="C76">
        <v>60256604</v>
      </c>
      <c r="D76">
        <v>58999254</v>
      </c>
      <c r="E76">
        <v>1080</v>
      </c>
      <c r="F76">
        <v>1</v>
      </c>
      <c r="G76">
        <v>1080</v>
      </c>
      <c r="H76">
        <v>1</v>
      </c>
      <c r="I76" t="s">
        <v>269</v>
      </c>
      <c r="J76" t="s">
        <v>3</v>
      </c>
      <c r="K76" t="s">
        <v>270</v>
      </c>
      <c r="L76">
        <v>1191</v>
      </c>
      <c r="N76">
        <v>1013</v>
      </c>
      <c r="O76" t="s">
        <v>271</v>
      </c>
      <c r="P76" t="s">
        <v>271</v>
      </c>
      <c r="Q76">
        <v>1</v>
      </c>
      <c r="X76">
        <v>0.52</v>
      </c>
      <c r="Y76">
        <v>0</v>
      </c>
      <c r="Z76">
        <v>0</v>
      </c>
      <c r="AA76">
        <v>0</v>
      </c>
      <c r="AB76">
        <v>0</v>
      </c>
      <c r="AC76">
        <v>0</v>
      </c>
      <c r="AD76">
        <v>1</v>
      </c>
      <c r="AE76">
        <v>1</v>
      </c>
      <c r="AF76" t="s">
        <v>25</v>
      </c>
      <c r="AG76">
        <v>0.57200000000000006</v>
      </c>
      <c r="AH76">
        <v>2</v>
      </c>
      <c r="AI76">
        <v>60256605</v>
      </c>
      <c r="AJ76">
        <v>59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</row>
    <row r="77" spans="1:44" x14ac:dyDescent="0.2">
      <c r="A77">
        <f>ROW(Source!A71)</f>
        <v>71</v>
      </c>
      <c r="B77">
        <v>60256868</v>
      </c>
      <c r="C77">
        <v>60256604</v>
      </c>
      <c r="D77">
        <v>58996482</v>
      </c>
      <c r="E77">
        <v>1080</v>
      </c>
      <c r="F77">
        <v>1</v>
      </c>
      <c r="G77">
        <v>1080</v>
      </c>
      <c r="H77">
        <v>3</v>
      </c>
      <c r="I77" t="s">
        <v>346</v>
      </c>
      <c r="J77" t="s">
        <v>3</v>
      </c>
      <c r="K77" t="s">
        <v>347</v>
      </c>
      <c r="L77">
        <v>1346</v>
      </c>
      <c r="N77">
        <v>1009</v>
      </c>
      <c r="O77" t="s">
        <v>70</v>
      </c>
      <c r="P77" t="s">
        <v>70</v>
      </c>
      <c r="Q77">
        <v>1</v>
      </c>
      <c r="X77">
        <v>3.5000000000000003E-2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 t="s">
        <v>24</v>
      </c>
      <c r="AG77">
        <v>3.5000000000000003E-2</v>
      </c>
      <c r="AH77">
        <v>3</v>
      </c>
      <c r="AI77">
        <v>-1</v>
      </c>
      <c r="AJ77" t="s">
        <v>3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</row>
    <row r="78" spans="1:44" x14ac:dyDescent="0.2">
      <c r="A78">
        <f>ROW(Source!A71)</f>
        <v>71</v>
      </c>
      <c r="B78">
        <v>60256869</v>
      </c>
      <c r="C78">
        <v>60256604</v>
      </c>
      <c r="D78">
        <v>59021127</v>
      </c>
      <c r="E78">
        <v>1080</v>
      </c>
      <c r="F78">
        <v>1</v>
      </c>
      <c r="G78">
        <v>1080</v>
      </c>
      <c r="H78">
        <v>3</v>
      </c>
      <c r="I78" t="s">
        <v>344</v>
      </c>
      <c r="J78" t="s">
        <v>3</v>
      </c>
      <c r="K78" t="s">
        <v>348</v>
      </c>
      <c r="L78">
        <v>1354</v>
      </c>
      <c r="N78">
        <v>1010</v>
      </c>
      <c r="O78" t="s">
        <v>33</v>
      </c>
      <c r="P78" t="s">
        <v>33</v>
      </c>
      <c r="Q78">
        <v>1</v>
      </c>
      <c r="X78">
        <v>1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 t="s">
        <v>24</v>
      </c>
      <c r="AG78">
        <v>1</v>
      </c>
      <c r="AH78">
        <v>3</v>
      </c>
      <c r="AI78">
        <v>-1</v>
      </c>
      <c r="AJ78" t="s">
        <v>3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</row>
    <row r="79" spans="1:44" x14ac:dyDescent="0.2">
      <c r="A79">
        <f>ROW(Source!A76)</f>
        <v>76</v>
      </c>
      <c r="B79">
        <v>60256870</v>
      </c>
      <c r="C79">
        <v>60256612</v>
      </c>
      <c r="D79">
        <v>58999254</v>
      </c>
      <c r="E79">
        <v>1080</v>
      </c>
      <c r="F79">
        <v>1</v>
      </c>
      <c r="G79">
        <v>1080</v>
      </c>
      <c r="H79">
        <v>1</v>
      </c>
      <c r="I79" t="s">
        <v>269</v>
      </c>
      <c r="J79" t="s">
        <v>3</v>
      </c>
      <c r="K79" t="s">
        <v>270</v>
      </c>
      <c r="L79">
        <v>1191</v>
      </c>
      <c r="N79">
        <v>1013</v>
      </c>
      <c r="O79" t="s">
        <v>271</v>
      </c>
      <c r="P79" t="s">
        <v>271</v>
      </c>
      <c r="Q79">
        <v>1</v>
      </c>
      <c r="X79">
        <v>0.52</v>
      </c>
      <c r="Y79">
        <v>0</v>
      </c>
      <c r="Z79">
        <v>0</v>
      </c>
      <c r="AA79">
        <v>0</v>
      </c>
      <c r="AB79">
        <v>0</v>
      </c>
      <c r="AC79">
        <v>0</v>
      </c>
      <c r="AD79">
        <v>1</v>
      </c>
      <c r="AE79">
        <v>1</v>
      </c>
      <c r="AF79" t="s">
        <v>25</v>
      </c>
      <c r="AG79">
        <v>0.57200000000000006</v>
      </c>
      <c r="AH79">
        <v>2</v>
      </c>
      <c r="AI79">
        <v>60256613</v>
      </c>
      <c r="AJ79">
        <v>61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</row>
    <row r="80" spans="1:44" x14ac:dyDescent="0.2">
      <c r="A80">
        <f>ROW(Source!A76)</f>
        <v>76</v>
      </c>
      <c r="B80">
        <v>60256871</v>
      </c>
      <c r="C80">
        <v>60256612</v>
      </c>
      <c r="D80">
        <v>58996482</v>
      </c>
      <c r="E80">
        <v>1080</v>
      </c>
      <c r="F80">
        <v>1</v>
      </c>
      <c r="G80">
        <v>1080</v>
      </c>
      <c r="H80">
        <v>3</v>
      </c>
      <c r="I80" t="s">
        <v>346</v>
      </c>
      <c r="J80" t="s">
        <v>3</v>
      </c>
      <c r="K80" t="s">
        <v>347</v>
      </c>
      <c r="L80">
        <v>1346</v>
      </c>
      <c r="N80">
        <v>1009</v>
      </c>
      <c r="O80" t="s">
        <v>70</v>
      </c>
      <c r="P80" t="s">
        <v>70</v>
      </c>
      <c r="Q80">
        <v>1</v>
      </c>
      <c r="X80">
        <v>3.5000000000000003E-2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 t="s">
        <v>24</v>
      </c>
      <c r="AG80">
        <v>3.5000000000000003E-2</v>
      </c>
      <c r="AH80">
        <v>3</v>
      </c>
      <c r="AI80">
        <v>-1</v>
      </c>
      <c r="AJ80" t="s">
        <v>3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</row>
    <row r="81" spans="1:44" x14ac:dyDescent="0.2">
      <c r="A81">
        <f>ROW(Source!A76)</f>
        <v>76</v>
      </c>
      <c r="B81">
        <v>60256872</v>
      </c>
      <c r="C81">
        <v>60256612</v>
      </c>
      <c r="D81">
        <v>59021127</v>
      </c>
      <c r="E81">
        <v>1080</v>
      </c>
      <c r="F81">
        <v>1</v>
      </c>
      <c r="G81">
        <v>1080</v>
      </c>
      <c r="H81">
        <v>3</v>
      </c>
      <c r="I81" t="s">
        <v>344</v>
      </c>
      <c r="J81" t="s">
        <v>3</v>
      </c>
      <c r="K81" t="s">
        <v>348</v>
      </c>
      <c r="L81">
        <v>1354</v>
      </c>
      <c r="N81">
        <v>1010</v>
      </c>
      <c r="O81" t="s">
        <v>33</v>
      </c>
      <c r="P81" t="s">
        <v>33</v>
      </c>
      <c r="Q81">
        <v>1</v>
      </c>
      <c r="X81">
        <v>1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 t="s">
        <v>24</v>
      </c>
      <c r="AG81">
        <v>1</v>
      </c>
      <c r="AH81">
        <v>3</v>
      </c>
      <c r="AI81">
        <v>-1</v>
      </c>
      <c r="AJ81" t="s">
        <v>3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</row>
    <row r="82" spans="1:44" x14ac:dyDescent="0.2">
      <c r="A82">
        <f>ROW(Source!A77)</f>
        <v>77</v>
      </c>
      <c r="B82">
        <v>60256870</v>
      </c>
      <c r="C82">
        <v>60256612</v>
      </c>
      <c r="D82">
        <v>58999254</v>
      </c>
      <c r="E82">
        <v>1080</v>
      </c>
      <c r="F82">
        <v>1</v>
      </c>
      <c r="G82">
        <v>1080</v>
      </c>
      <c r="H82">
        <v>1</v>
      </c>
      <c r="I82" t="s">
        <v>269</v>
      </c>
      <c r="J82" t="s">
        <v>3</v>
      </c>
      <c r="K82" t="s">
        <v>270</v>
      </c>
      <c r="L82">
        <v>1191</v>
      </c>
      <c r="N82">
        <v>1013</v>
      </c>
      <c r="O82" t="s">
        <v>271</v>
      </c>
      <c r="P82" t="s">
        <v>271</v>
      </c>
      <c r="Q82">
        <v>1</v>
      </c>
      <c r="X82">
        <v>0.52</v>
      </c>
      <c r="Y82">
        <v>0</v>
      </c>
      <c r="Z82">
        <v>0</v>
      </c>
      <c r="AA82">
        <v>0</v>
      </c>
      <c r="AB82">
        <v>0</v>
      </c>
      <c r="AC82">
        <v>0</v>
      </c>
      <c r="AD82">
        <v>1</v>
      </c>
      <c r="AE82">
        <v>1</v>
      </c>
      <c r="AF82" t="s">
        <v>25</v>
      </c>
      <c r="AG82">
        <v>0.57200000000000006</v>
      </c>
      <c r="AH82">
        <v>2</v>
      </c>
      <c r="AI82">
        <v>60256613</v>
      </c>
      <c r="AJ82">
        <v>63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</row>
    <row r="83" spans="1:44" x14ac:dyDescent="0.2">
      <c r="A83">
        <f>ROW(Source!A77)</f>
        <v>77</v>
      </c>
      <c r="B83">
        <v>60256871</v>
      </c>
      <c r="C83">
        <v>60256612</v>
      </c>
      <c r="D83">
        <v>58996482</v>
      </c>
      <c r="E83">
        <v>1080</v>
      </c>
      <c r="F83">
        <v>1</v>
      </c>
      <c r="G83">
        <v>1080</v>
      </c>
      <c r="H83">
        <v>3</v>
      </c>
      <c r="I83" t="s">
        <v>346</v>
      </c>
      <c r="J83" t="s">
        <v>3</v>
      </c>
      <c r="K83" t="s">
        <v>347</v>
      </c>
      <c r="L83">
        <v>1346</v>
      </c>
      <c r="N83">
        <v>1009</v>
      </c>
      <c r="O83" t="s">
        <v>70</v>
      </c>
      <c r="P83" t="s">
        <v>70</v>
      </c>
      <c r="Q83">
        <v>1</v>
      </c>
      <c r="X83">
        <v>3.5000000000000003E-2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 t="s">
        <v>24</v>
      </c>
      <c r="AG83">
        <v>3.5000000000000003E-2</v>
      </c>
      <c r="AH83">
        <v>3</v>
      </c>
      <c r="AI83">
        <v>-1</v>
      </c>
      <c r="AJ83" t="s">
        <v>3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</row>
    <row r="84" spans="1:44" x14ac:dyDescent="0.2">
      <c r="A84">
        <f>ROW(Source!A77)</f>
        <v>77</v>
      </c>
      <c r="B84">
        <v>60256872</v>
      </c>
      <c r="C84">
        <v>60256612</v>
      </c>
      <c r="D84">
        <v>59021127</v>
      </c>
      <c r="E84">
        <v>1080</v>
      </c>
      <c r="F84">
        <v>1</v>
      </c>
      <c r="G84">
        <v>1080</v>
      </c>
      <c r="H84">
        <v>3</v>
      </c>
      <c r="I84" t="s">
        <v>344</v>
      </c>
      <c r="J84" t="s">
        <v>3</v>
      </c>
      <c r="K84" t="s">
        <v>348</v>
      </c>
      <c r="L84">
        <v>1354</v>
      </c>
      <c r="N84">
        <v>1010</v>
      </c>
      <c r="O84" t="s">
        <v>33</v>
      </c>
      <c r="P84" t="s">
        <v>33</v>
      </c>
      <c r="Q84">
        <v>1</v>
      </c>
      <c r="X84">
        <v>1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 t="s">
        <v>24</v>
      </c>
      <c r="AG84">
        <v>1</v>
      </c>
      <c r="AH84">
        <v>3</v>
      </c>
      <c r="AI84">
        <v>-1</v>
      </c>
      <c r="AJ84" t="s">
        <v>3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</row>
    <row r="85" spans="1:44" x14ac:dyDescent="0.2">
      <c r="A85">
        <f>ROW(Source!A82)</f>
        <v>82</v>
      </c>
      <c r="B85">
        <v>60256873</v>
      </c>
      <c r="C85">
        <v>60256620</v>
      </c>
      <c r="D85">
        <v>58999254</v>
      </c>
      <c r="E85">
        <v>1080</v>
      </c>
      <c r="F85">
        <v>1</v>
      </c>
      <c r="G85">
        <v>1080</v>
      </c>
      <c r="H85">
        <v>1</v>
      </c>
      <c r="I85" t="s">
        <v>269</v>
      </c>
      <c r="J85" t="s">
        <v>3</v>
      </c>
      <c r="K85" t="s">
        <v>270</v>
      </c>
      <c r="L85">
        <v>1191</v>
      </c>
      <c r="N85">
        <v>1013</v>
      </c>
      <c r="O85" t="s">
        <v>271</v>
      </c>
      <c r="P85" t="s">
        <v>271</v>
      </c>
      <c r="Q85">
        <v>1</v>
      </c>
      <c r="X85">
        <v>0.52</v>
      </c>
      <c r="Y85">
        <v>0</v>
      </c>
      <c r="Z85">
        <v>0</v>
      </c>
      <c r="AA85">
        <v>0</v>
      </c>
      <c r="AB85">
        <v>0</v>
      </c>
      <c r="AC85">
        <v>0</v>
      </c>
      <c r="AD85">
        <v>1</v>
      </c>
      <c r="AE85">
        <v>1</v>
      </c>
      <c r="AF85" t="s">
        <v>25</v>
      </c>
      <c r="AG85">
        <v>0.57200000000000006</v>
      </c>
      <c r="AH85">
        <v>2</v>
      </c>
      <c r="AI85">
        <v>60256621</v>
      </c>
      <c r="AJ85">
        <v>65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</row>
    <row r="86" spans="1:44" x14ac:dyDescent="0.2">
      <c r="A86">
        <f>ROW(Source!A82)</f>
        <v>82</v>
      </c>
      <c r="B86">
        <v>60256874</v>
      </c>
      <c r="C86">
        <v>60256620</v>
      </c>
      <c r="D86">
        <v>58996482</v>
      </c>
      <c r="E86">
        <v>1080</v>
      </c>
      <c r="F86">
        <v>1</v>
      </c>
      <c r="G86">
        <v>1080</v>
      </c>
      <c r="H86">
        <v>3</v>
      </c>
      <c r="I86" t="s">
        <v>346</v>
      </c>
      <c r="J86" t="s">
        <v>3</v>
      </c>
      <c r="K86" t="s">
        <v>347</v>
      </c>
      <c r="L86">
        <v>1346</v>
      </c>
      <c r="N86">
        <v>1009</v>
      </c>
      <c r="O86" t="s">
        <v>70</v>
      </c>
      <c r="P86" t="s">
        <v>70</v>
      </c>
      <c r="Q86">
        <v>1</v>
      </c>
      <c r="X86">
        <v>3.5000000000000003E-2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 t="s">
        <v>24</v>
      </c>
      <c r="AG86">
        <v>3.5000000000000003E-2</v>
      </c>
      <c r="AH86">
        <v>3</v>
      </c>
      <c r="AI86">
        <v>-1</v>
      </c>
      <c r="AJ86" t="s">
        <v>3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</row>
    <row r="87" spans="1:44" x14ac:dyDescent="0.2">
      <c r="A87">
        <f>ROW(Source!A82)</f>
        <v>82</v>
      </c>
      <c r="B87">
        <v>60256875</v>
      </c>
      <c r="C87">
        <v>60256620</v>
      </c>
      <c r="D87">
        <v>59021127</v>
      </c>
      <c r="E87">
        <v>1080</v>
      </c>
      <c r="F87">
        <v>1</v>
      </c>
      <c r="G87">
        <v>1080</v>
      </c>
      <c r="H87">
        <v>3</v>
      </c>
      <c r="I87" t="s">
        <v>344</v>
      </c>
      <c r="J87" t="s">
        <v>3</v>
      </c>
      <c r="K87" t="s">
        <v>348</v>
      </c>
      <c r="L87">
        <v>1354</v>
      </c>
      <c r="N87">
        <v>1010</v>
      </c>
      <c r="O87" t="s">
        <v>33</v>
      </c>
      <c r="P87" t="s">
        <v>33</v>
      </c>
      <c r="Q87">
        <v>1</v>
      </c>
      <c r="X87">
        <v>1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 t="s">
        <v>24</v>
      </c>
      <c r="AG87">
        <v>1</v>
      </c>
      <c r="AH87">
        <v>3</v>
      </c>
      <c r="AI87">
        <v>-1</v>
      </c>
      <c r="AJ87" t="s">
        <v>3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</row>
    <row r="88" spans="1:44" x14ac:dyDescent="0.2">
      <c r="A88">
        <f>ROW(Source!A83)</f>
        <v>83</v>
      </c>
      <c r="B88">
        <v>60256873</v>
      </c>
      <c r="C88">
        <v>60256620</v>
      </c>
      <c r="D88">
        <v>58999254</v>
      </c>
      <c r="E88">
        <v>1080</v>
      </c>
      <c r="F88">
        <v>1</v>
      </c>
      <c r="G88">
        <v>1080</v>
      </c>
      <c r="H88">
        <v>1</v>
      </c>
      <c r="I88" t="s">
        <v>269</v>
      </c>
      <c r="J88" t="s">
        <v>3</v>
      </c>
      <c r="K88" t="s">
        <v>270</v>
      </c>
      <c r="L88">
        <v>1191</v>
      </c>
      <c r="N88">
        <v>1013</v>
      </c>
      <c r="O88" t="s">
        <v>271</v>
      </c>
      <c r="P88" t="s">
        <v>271</v>
      </c>
      <c r="Q88">
        <v>1</v>
      </c>
      <c r="X88">
        <v>0.52</v>
      </c>
      <c r="Y88">
        <v>0</v>
      </c>
      <c r="Z88">
        <v>0</v>
      </c>
      <c r="AA88">
        <v>0</v>
      </c>
      <c r="AB88">
        <v>0</v>
      </c>
      <c r="AC88">
        <v>0</v>
      </c>
      <c r="AD88">
        <v>1</v>
      </c>
      <c r="AE88">
        <v>1</v>
      </c>
      <c r="AF88" t="s">
        <v>25</v>
      </c>
      <c r="AG88">
        <v>0.57200000000000006</v>
      </c>
      <c r="AH88">
        <v>2</v>
      </c>
      <c r="AI88">
        <v>60256621</v>
      </c>
      <c r="AJ88">
        <v>67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</row>
    <row r="89" spans="1:44" x14ac:dyDescent="0.2">
      <c r="A89">
        <f>ROW(Source!A83)</f>
        <v>83</v>
      </c>
      <c r="B89">
        <v>60256874</v>
      </c>
      <c r="C89">
        <v>60256620</v>
      </c>
      <c r="D89">
        <v>58996482</v>
      </c>
      <c r="E89">
        <v>1080</v>
      </c>
      <c r="F89">
        <v>1</v>
      </c>
      <c r="G89">
        <v>1080</v>
      </c>
      <c r="H89">
        <v>3</v>
      </c>
      <c r="I89" t="s">
        <v>346</v>
      </c>
      <c r="J89" t="s">
        <v>3</v>
      </c>
      <c r="K89" t="s">
        <v>347</v>
      </c>
      <c r="L89">
        <v>1346</v>
      </c>
      <c r="N89">
        <v>1009</v>
      </c>
      <c r="O89" t="s">
        <v>70</v>
      </c>
      <c r="P89" t="s">
        <v>70</v>
      </c>
      <c r="Q89">
        <v>1</v>
      </c>
      <c r="X89">
        <v>3.5000000000000003E-2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 t="s">
        <v>24</v>
      </c>
      <c r="AG89">
        <v>3.5000000000000003E-2</v>
      </c>
      <c r="AH89">
        <v>3</v>
      </c>
      <c r="AI89">
        <v>-1</v>
      </c>
      <c r="AJ89" t="s">
        <v>3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</row>
    <row r="90" spans="1:44" x14ac:dyDescent="0.2">
      <c r="A90">
        <f>ROW(Source!A83)</f>
        <v>83</v>
      </c>
      <c r="B90">
        <v>60256875</v>
      </c>
      <c r="C90">
        <v>60256620</v>
      </c>
      <c r="D90">
        <v>59021127</v>
      </c>
      <c r="E90">
        <v>1080</v>
      </c>
      <c r="F90">
        <v>1</v>
      </c>
      <c r="G90">
        <v>1080</v>
      </c>
      <c r="H90">
        <v>3</v>
      </c>
      <c r="I90" t="s">
        <v>344</v>
      </c>
      <c r="J90" t="s">
        <v>3</v>
      </c>
      <c r="K90" t="s">
        <v>348</v>
      </c>
      <c r="L90">
        <v>1354</v>
      </c>
      <c r="N90">
        <v>1010</v>
      </c>
      <c r="O90" t="s">
        <v>33</v>
      </c>
      <c r="P90" t="s">
        <v>33</v>
      </c>
      <c r="Q90">
        <v>1</v>
      </c>
      <c r="X90">
        <v>1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 t="s">
        <v>24</v>
      </c>
      <c r="AG90">
        <v>1</v>
      </c>
      <c r="AH90">
        <v>3</v>
      </c>
      <c r="AI90">
        <v>-1</v>
      </c>
      <c r="AJ90" t="s">
        <v>3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</row>
    <row r="91" spans="1:44" x14ac:dyDescent="0.2">
      <c r="A91">
        <f>ROW(Source!A127)</f>
        <v>127</v>
      </c>
      <c r="B91">
        <v>60256876</v>
      </c>
      <c r="C91">
        <v>60256686</v>
      </c>
      <c r="D91">
        <v>58999254</v>
      </c>
      <c r="E91">
        <v>1080</v>
      </c>
      <c r="F91">
        <v>1</v>
      </c>
      <c r="G91">
        <v>1080</v>
      </c>
      <c r="H91">
        <v>1</v>
      </c>
      <c r="I91" t="s">
        <v>269</v>
      </c>
      <c r="J91" t="s">
        <v>3</v>
      </c>
      <c r="K91" t="s">
        <v>270</v>
      </c>
      <c r="L91">
        <v>1191</v>
      </c>
      <c r="N91">
        <v>1013</v>
      </c>
      <c r="O91" t="s">
        <v>271</v>
      </c>
      <c r="P91" t="s">
        <v>271</v>
      </c>
      <c r="Q91">
        <v>1</v>
      </c>
      <c r="X91">
        <v>2</v>
      </c>
      <c r="Y91">
        <v>0</v>
      </c>
      <c r="Z91">
        <v>0</v>
      </c>
      <c r="AA91">
        <v>0</v>
      </c>
      <c r="AB91">
        <v>0</v>
      </c>
      <c r="AC91">
        <v>0</v>
      </c>
      <c r="AD91">
        <v>1</v>
      </c>
      <c r="AE91">
        <v>1</v>
      </c>
      <c r="AF91" t="s">
        <v>25</v>
      </c>
      <c r="AG91">
        <v>2.2000000000000002</v>
      </c>
      <c r="AH91">
        <v>2</v>
      </c>
      <c r="AI91">
        <v>60256687</v>
      </c>
      <c r="AJ91">
        <v>69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</row>
    <row r="92" spans="1:44" x14ac:dyDescent="0.2">
      <c r="A92">
        <f>ROW(Source!A127)</f>
        <v>127</v>
      </c>
      <c r="B92">
        <v>60256877</v>
      </c>
      <c r="C92">
        <v>60256686</v>
      </c>
      <c r="D92">
        <v>59039909</v>
      </c>
      <c r="E92">
        <v>1</v>
      </c>
      <c r="F92">
        <v>1</v>
      </c>
      <c r="G92">
        <v>1080</v>
      </c>
      <c r="H92">
        <v>3</v>
      </c>
      <c r="I92" t="s">
        <v>310</v>
      </c>
      <c r="J92" t="s">
        <v>311</v>
      </c>
      <c r="K92" t="s">
        <v>312</v>
      </c>
      <c r="L92">
        <v>1348</v>
      </c>
      <c r="N92">
        <v>1009</v>
      </c>
      <c r="O92" t="s">
        <v>283</v>
      </c>
      <c r="P92" t="s">
        <v>283</v>
      </c>
      <c r="Q92">
        <v>1000</v>
      </c>
      <c r="X92">
        <v>1.4999999999999999E-4</v>
      </c>
      <c r="Y92">
        <v>17742.23</v>
      </c>
      <c r="Z92">
        <v>0</v>
      </c>
      <c r="AA92">
        <v>0</v>
      </c>
      <c r="AB92">
        <v>0</v>
      </c>
      <c r="AC92">
        <v>0</v>
      </c>
      <c r="AD92">
        <v>1</v>
      </c>
      <c r="AE92">
        <v>0</v>
      </c>
      <c r="AF92" t="s">
        <v>24</v>
      </c>
      <c r="AG92">
        <v>1.4999999999999999E-4</v>
      </c>
      <c r="AH92">
        <v>2</v>
      </c>
      <c r="AI92">
        <v>60256688</v>
      </c>
      <c r="AJ92">
        <v>70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</row>
    <row r="93" spans="1:44" x14ac:dyDescent="0.2">
      <c r="A93">
        <f>ROW(Source!A127)</f>
        <v>127</v>
      </c>
      <c r="B93">
        <v>60256878</v>
      </c>
      <c r="C93">
        <v>60256686</v>
      </c>
      <c r="D93">
        <v>59062764</v>
      </c>
      <c r="E93">
        <v>1</v>
      </c>
      <c r="F93">
        <v>1</v>
      </c>
      <c r="G93">
        <v>1080</v>
      </c>
      <c r="H93">
        <v>3</v>
      </c>
      <c r="I93" t="s">
        <v>313</v>
      </c>
      <c r="J93" t="s">
        <v>314</v>
      </c>
      <c r="K93" t="s">
        <v>315</v>
      </c>
      <c r="L93">
        <v>1346</v>
      </c>
      <c r="N93">
        <v>1009</v>
      </c>
      <c r="O93" t="s">
        <v>70</v>
      </c>
      <c r="P93" t="s">
        <v>70</v>
      </c>
      <c r="Q93">
        <v>1</v>
      </c>
      <c r="X93">
        <v>1.4999999999999999E-2</v>
      </c>
      <c r="Y93">
        <v>493.08</v>
      </c>
      <c r="Z93">
        <v>0</v>
      </c>
      <c r="AA93">
        <v>0</v>
      </c>
      <c r="AB93">
        <v>0</v>
      </c>
      <c r="AC93">
        <v>0</v>
      </c>
      <c r="AD93">
        <v>1</v>
      </c>
      <c r="AE93">
        <v>0</v>
      </c>
      <c r="AF93" t="s">
        <v>24</v>
      </c>
      <c r="AG93">
        <v>1.4999999999999999E-2</v>
      </c>
      <c r="AH93">
        <v>2</v>
      </c>
      <c r="AI93">
        <v>60256689</v>
      </c>
      <c r="AJ93">
        <v>71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</row>
    <row r="94" spans="1:44" x14ac:dyDescent="0.2">
      <c r="A94">
        <f>ROW(Source!A127)</f>
        <v>127</v>
      </c>
      <c r="B94">
        <v>60256879</v>
      </c>
      <c r="C94">
        <v>60256686</v>
      </c>
      <c r="D94">
        <v>59068598</v>
      </c>
      <c r="E94">
        <v>1</v>
      </c>
      <c r="F94">
        <v>1</v>
      </c>
      <c r="G94">
        <v>1080</v>
      </c>
      <c r="H94">
        <v>3</v>
      </c>
      <c r="I94" t="s">
        <v>316</v>
      </c>
      <c r="J94" t="s">
        <v>317</v>
      </c>
      <c r="K94" t="s">
        <v>318</v>
      </c>
      <c r="L94">
        <v>1303</v>
      </c>
      <c r="N94">
        <v>1003</v>
      </c>
      <c r="O94" t="s">
        <v>233</v>
      </c>
      <c r="P94" t="s">
        <v>233</v>
      </c>
      <c r="Q94">
        <v>1000</v>
      </c>
      <c r="X94">
        <v>5.0000000000000001E-3</v>
      </c>
      <c r="Y94">
        <v>2880.4</v>
      </c>
      <c r="Z94">
        <v>0</v>
      </c>
      <c r="AA94">
        <v>0</v>
      </c>
      <c r="AB94">
        <v>0</v>
      </c>
      <c r="AC94">
        <v>0</v>
      </c>
      <c r="AD94">
        <v>1</v>
      </c>
      <c r="AE94">
        <v>0</v>
      </c>
      <c r="AF94" t="s">
        <v>24</v>
      </c>
      <c r="AG94">
        <v>5.0000000000000001E-3</v>
      </c>
      <c r="AH94">
        <v>2</v>
      </c>
      <c r="AI94">
        <v>60256690</v>
      </c>
      <c r="AJ94">
        <v>72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</row>
    <row r="95" spans="1:44" x14ac:dyDescent="0.2">
      <c r="A95">
        <f>ROW(Source!A127)</f>
        <v>127</v>
      </c>
      <c r="B95">
        <v>60256880</v>
      </c>
      <c r="C95">
        <v>60256686</v>
      </c>
      <c r="D95">
        <v>59037405</v>
      </c>
      <c r="E95">
        <v>1080</v>
      </c>
      <c r="F95">
        <v>1</v>
      </c>
      <c r="G95">
        <v>1080</v>
      </c>
      <c r="H95">
        <v>3</v>
      </c>
      <c r="I95" t="s">
        <v>351</v>
      </c>
      <c r="J95" t="s">
        <v>3</v>
      </c>
      <c r="K95" t="s">
        <v>352</v>
      </c>
      <c r="L95">
        <v>1354</v>
      </c>
      <c r="N95">
        <v>1010</v>
      </c>
      <c r="O95" t="s">
        <v>33</v>
      </c>
      <c r="P95" t="s">
        <v>33</v>
      </c>
      <c r="Q95">
        <v>1</v>
      </c>
      <c r="X95">
        <v>1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 t="s">
        <v>24</v>
      </c>
      <c r="AG95">
        <v>1</v>
      </c>
      <c r="AH95">
        <v>3</v>
      </c>
      <c r="AI95">
        <v>-1</v>
      </c>
      <c r="AJ95" t="s">
        <v>3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</row>
    <row r="96" spans="1:44" x14ac:dyDescent="0.2">
      <c r="A96">
        <f>ROW(Source!A128)</f>
        <v>128</v>
      </c>
      <c r="B96">
        <v>60256876</v>
      </c>
      <c r="C96">
        <v>60256686</v>
      </c>
      <c r="D96">
        <v>58999254</v>
      </c>
      <c r="E96">
        <v>1080</v>
      </c>
      <c r="F96">
        <v>1</v>
      </c>
      <c r="G96">
        <v>1080</v>
      </c>
      <c r="H96">
        <v>1</v>
      </c>
      <c r="I96" t="s">
        <v>269</v>
      </c>
      <c r="J96" t="s">
        <v>3</v>
      </c>
      <c r="K96" t="s">
        <v>270</v>
      </c>
      <c r="L96">
        <v>1191</v>
      </c>
      <c r="N96">
        <v>1013</v>
      </c>
      <c r="O96" t="s">
        <v>271</v>
      </c>
      <c r="P96" t="s">
        <v>271</v>
      </c>
      <c r="Q96">
        <v>1</v>
      </c>
      <c r="X96">
        <v>2</v>
      </c>
      <c r="Y96">
        <v>0</v>
      </c>
      <c r="Z96">
        <v>0</v>
      </c>
      <c r="AA96">
        <v>0</v>
      </c>
      <c r="AB96">
        <v>0</v>
      </c>
      <c r="AC96">
        <v>0</v>
      </c>
      <c r="AD96">
        <v>1</v>
      </c>
      <c r="AE96">
        <v>1</v>
      </c>
      <c r="AF96" t="s">
        <v>25</v>
      </c>
      <c r="AG96">
        <v>2.2000000000000002</v>
      </c>
      <c r="AH96">
        <v>2</v>
      </c>
      <c r="AI96">
        <v>60256687</v>
      </c>
      <c r="AJ96">
        <v>73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</row>
    <row r="97" spans="1:44" x14ac:dyDescent="0.2">
      <c r="A97">
        <f>ROW(Source!A128)</f>
        <v>128</v>
      </c>
      <c r="B97">
        <v>60256877</v>
      </c>
      <c r="C97">
        <v>60256686</v>
      </c>
      <c r="D97">
        <v>59039909</v>
      </c>
      <c r="E97">
        <v>1</v>
      </c>
      <c r="F97">
        <v>1</v>
      </c>
      <c r="G97">
        <v>1080</v>
      </c>
      <c r="H97">
        <v>3</v>
      </c>
      <c r="I97" t="s">
        <v>310</v>
      </c>
      <c r="J97" t="s">
        <v>311</v>
      </c>
      <c r="K97" t="s">
        <v>312</v>
      </c>
      <c r="L97">
        <v>1348</v>
      </c>
      <c r="N97">
        <v>1009</v>
      </c>
      <c r="O97" t="s">
        <v>283</v>
      </c>
      <c r="P97" t="s">
        <v>283</v>
      </c>
      <c r="Q97">
        <v>1000</v>
      </c>
      <c r="X97">
        <v>1.4999999999999999E-4</v>
      </c>
      <c r="Y97">
        <v>17742.23</v>
      </c>
      <c r="Z97">
        <v>0</v>
      </c>
      <c r="AA97">
        <v>0</v>
      </c>
      <c r="AB97">
        <v>0</v>
      </c>
      <c r="AC97">
        <v>0</v>
      </c>
      <c r="AD97">
        <v>1</v>
      </c>
      <c r="AE97">
        <v>0</v>
      </c>
      <c r="AF97" t="s">
        <v>24</v>
      </c>
      <c r="AG97">
        <v>1.4999999999999999E-4</v>
      </c>
      <c r="AH97">
        <v>2</v>
      </c>
      <c r="AI97">
        <v>60256688</v>
      </c>
      <c r="AJ97">
        <v>74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</row>
    <row r="98" spans="1:44" x14ac:dyDescent="0.2">
      <c r="A98">
        <f>ROW(Source!A128)</f>
        <v>128</v>
      </c>
      <c r="B98">
        <v>60256878</v>
      </c>
      <c r="C98">
        <v>60256686</v>
      </c>
      <c r="D98">
        <v>59062764</v>
      </c>
      <c r="E98">
        <v>1</v>
      </c>
      <c r="F98">
        <v>1</v>
      </c>
      <c r="G98">
        <v>1080</v>
      </c>
      <c r="H98">
        <v>3</v>
      </c>
      <c r="I98" t="s">
        <v>313</v>
      </c>
      <c r="J98" t="s">
        <v>314</v>
      </c>
      <c r="K98" t="s">
        <v>315</v>
      </c>
      <c r="L98">
        <v>1346</v>
      </c>
      <c r="N98">
        <v>1009</v>
      </c>
      <c r="O98" t="s">
        <v>70</v>
      </c>
      <c r="P98" t="s">
        <v>70</v>
      </c>
      <c r="Q98">
        <v>1</v>
      </c>
      <c r="X98">
        <v>1.4999999999999999E-2</v>
      </c>
      <c r="Y98">
        <v>493.08</v>
      </c>
      <c r="Z98">
        <v>0</v>
      </c>
      <c r="AA98">
        <v>0</v>
      </c>
      <c r="AB98">
        <v>0</v>
      </c>
      <c r="AC98">
        <v>0</v>
      </c>
      <c r="AD98">
        <v>1</v>
      </c>
      <c r="AE98">
        <v>0</v>
      </c>
      <c r="AF98" t="s">
        <v>24</v>
      </c>
      <c r="AG98">
        <v>1.4999999999999999E-2</v>
      </c>
      <c r="AH98">
        <v>2</v>
      </c>
      <c r="AI98">
        <v>60256689</v>
      </c>
      <c r="AJ98">
        <v>75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</row>
    <row r="99" spans="1:44" x14ac:dyDescent="0.2">
      <c r="A99">
        <f>ROW(Source!A128)</f>
        <v>128</v>
      </c>
      <c r="B99">
        <v>60256879</v>
      </c>
      <c r="C99">
        <v>60256686</v>
      </c>
      <c r="D99">
        <v>59068598</v>
      </c>
      <c r="E99">
        <v>1</v>
      </c>
      <c r="F99">
        <v>1</v>
      </c>
      <c r="G99">
        <v>1080</v>
      </c>
      <c r="H99">
        <v>3</v>
      </c>
      <c r="I99" t="s">
        <v>316</v>
      </c>
      <c r="J99" t="s">
        <v>317</v>
      </c>
      <c r="K99" t="s">
        <v>318</v>
      </c>
      <c r="L99">
        <v>1303</v>
      </c>
      <c r="N99">
        <v>1003</v>
      </c>
      <c r="O99" t="s">
        <v>233</v>
      </c>
      <c r="P99" t="s">
        <v>233</v>
      </c>
      <c r="Q99">
        <v>1000</v>
      </c>
      <c r="X99">
        <v>5.0000000000000001E-3</v>
      </c>
      <c r="Y99">
        <v>2880.4</v>
      </c>
      <c r="Z99">
        <v>0</v>
      </c>
      <c r="AA99">
        <v>0</v>
      </c>
      <c r="AB99">
        <v>0</v>
      </c>
      <c r="AC99">
        <v>0</v>
      </c>
      <c r="AD99">
        <v>1</v>
      </c>
      <c r="AE99">
        <v>0</v>
      </c>
      <c r="AF99" t="s">
        <v>24</v>
      </c>
      <c r="AG99">
        <v>5.0000000000000001E-3</v>
      </c>
      <c r="AH99">
        <v>2</v>
      </c>
      <c r="AI99">
        <v>60256690</v>
      </c>
      <c r="AJ99">
        <v>76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</row>
    <row r="100" spans="1:44" x14ac:dyDescent="0.2">
      <c r="A100">
        <f>ROW(Source!A128)</f>
        <v>128</v>
      </c>
      <c r="B100">
        <v>60256880</v>
      </c>
      <c r="C100">
        <v>60256686</v>
      </c>
      <c r="D100">
        <v>59037405</v>
      </c>
      <c r="E100">
        <v>1080</v>
      </c>
      <c r="F100">
        <v>1</v>
      </c>
      <c r="G100">
        <v>1080</v>
      </c>
      <c r="H100">
        <v>3</v>
      </c>
      <c r="I100" t="s">
        <v>351</v>
      </c>
      <c r="J100" t="s">
        <v>3</v>
      </c>
      <c r="K100" t="s">
        <v>352</v>
      </c>
      <c r="L100">
        <v>1354</v>
      </c>
      <c r="N100">
        <v>1010</v>
      </c>
      <c r="O100" t="s">
        <v>33</v>
      </c>
      <c r="P100" t="s">
        <v>33</v>
      </c>
      <c r="Q100">
        <v>1</v>
      </c>
      <c r="X100">
        <v>1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 t="s">
        <v>24</v>
      </c>
      <c r="AG100">
        <v>1</v>
      </c>
      <c r="AH100">
        <v>3</v>
      </c>
      <c r="AI100">
        <v>-1</v>
      </c>
      <c r="AJ100" t="s">
        <v>3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</row>
    <row r="101" spans="1:44" x14ac:dyDescent="0.2">
      <c r="A101">
        <f>ROW(Source!A131)</f>
        <v>131</v>
      </c>
      <c r="B101">
        <v>60256881</v>
      </c>
      <c r="C101">
        <v>60256697</v>
      </c>
      <c r="D101">
        <v>58999254</v>
      </c>
      <c r="E101">
        <v>1080</v>
      </c>
      <c r="F101">
        <v>1</v>
      </c>
      <c r="G101">
        <v>1080</v>
      </c>
      <c r="H101">
        <v>1</v>
      </c>
      <c r="I101" t="s">
        <v>269</v>
      </c>
      <c r="J101" t="s">
        <v>3</v>
      </c>
      <c r="K101" t="s">
        <v>270</v>
      </c>
      <c r="L101">
        <v>1191</v>
      </c>
      <c r="N101">
        <v>1013</v>
      </c>
      <c r="O101" t="s">
        <v>271</v>
      </c>
      <c r="P101" t="s">
        <v>271</v>
      </c>
      <c r="Q101">
        <v>1</v>
      </c>
      <c r="X101">
        <v>24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1</v>
      </c>
      <c r="AE101">
        <v>1</v>
      </c>
      <c r="AF101" t="s">
        <v>25</v>
      </c>
      <c r="AG101">
        <v>26.400000000000002</v>
      </c>
      <c r="AH101">
        <v>2</v>
      </c>
      <c r="AI101">
        <v>60256698</v>
      </c>
      <c r="AJ101">
        <v>77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</row>
    <row r="102" spans="1:44" x14ac:dyDescent="0.2">
      <c r="A102">
        <f>ROW(Source!A131)</f>
        <v>131</v>
      </c>
      <c r="B102">
        <v>60256882</v>
      </c>
      <c r="C102">
        <v>60256697</v>
      </c>
      <c r="D102">
        <v>59039576</v>
      </c>
      <c r="E102">
        <v>1</v>
      </c>
      <c r="F102">
        <v>1</v>
      </c>
      <c r="G102">
        <v>1080</v>
      </c>
      <c r="H102">
        <v>3</v>
      </c>
      <c r="I102" t="s">
        <v>319</v>
      </c>
      <c r="J102" t="s">
        <v>320</v>
      </c>
      <c r="K102" t="s">
        <v>321</v>
      </c>
      <c r="L102">
        <v>1348</v>
      </c>
      <c r="N102">
        <v>1009</v>
      </c>
      <c r="O102" t="s">
        <v>283</v>
      </c>
      <c r="P102" t="s">
        <v>283</v>
      </c>
      <c r="Q102">
        <v>1000</v>
      </c>
      <c r="X102">
        <v>6.0000000000000001E-3</v>
      </c>
      <c r="Y102">
        <v>7246.05</v>
      </c>
      <c r="Z102">
        <v>0</v>
      </c>
      <c r="AA102">
        <v>0</v>
      </c>
      <c r="AB102">
        <v>0</v>
      </c>
      <c r="AC102">
        <v>0</v>
      </c>
      <c r="AD102">
        <v>1</v>
      </c>
      <c r="AE102">
        <v>0</v>
      </c>
      <c r="AF102" t="s">
        <v>24</v>
      </c>
      <c r="AG102">
        <v>6.0000000000000001E-3</v>
      </c>
      <c r="AH102">
        <v>2</v>
      </c>
      <c r="AI102">
        <v>60256699</v>
      </c>
      <c r="AJ102">
        <v>78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</row>
    <row r="103" spans="1:44" x14ac:dyDescent="0.2">
      <c r="A103">
        <f>ROW(Source!A131)</f>
        <v>131</v>
      </c>
      <c r="B103">
        <v>60256883</v>
      </c>
      <c r="C103">
        <v>60256697</v>
      </c>
      <c r="D103">
        <v>59039985</v>
      </c>
      <c r="E103">
        <v>1</v>
      </c>
      <c r="F103">
        <v>1</v>
      </c>
      <c r="G103">
        <v>1080</v>
      </c>
      <c r="H103">
        <v>3</v>
      </c>
      <c r="I103" t="s">
        <v>277</v>
      </c>
      <c r="J103" t="s">
        <v>278</v>
      </c>
      <c r="K103" t="s">
        <v>279</v>
      </c>
      <c r="L103">
        <v>1346</v>
      </c>
      <c r="N103">
        <v>1009</v>
      </c>
      <c r="O103" t="s">
        <v>70</v>
      </c>
      <c r="P103" t="s">
        <v>70</v>
      </c>
      <c r="Q103">
        <v>1</v>
      </c>
      <c r="X103">
        <v>0.2</v>
      </c>
      <c r="Y103">
        <v>104.63</v>
      </c>
      <c r="Z103">
        <v>0</v>
      </c>
      <c r="AA103">
        <v>0</v>
      </c>
      <c r="AB103">
        <v>0</v>
      </c>
      <c r="AC103">
        <v>0</v>
      </c>
      <c r="AD103">
        <v>1</v>
      </c>
      <c r="AE103">
        <v>0</v>
      </c>
      <c r="AF103" t="s">
        <v>24</v>
      </c>
      <c r="AG103">
        <v>0.2</v>
      </c>
      <c r="AH103">
        <v>2</v>
      </c>
      <c r="AI103">
        <v>60256700</v>
      </c>
      <c r="AJ103">
        <v>79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</row>
    <row r="104" spans="1:44" x14ac:dyDescent="0.2">
      <c r="A104">
        <f>ROW(Source!A131)</f>
        <v>131</v>
      </c>
      <c r="B104">
        <v>60256884</v>
      </c>
      <c r="C104">
        <v>60256697</v>
      </c>
      <c r="D104">
        <v>59041461</v>
      </c>
      <c r="E104">
        <v>1</v>
      </c>
      <c r="F104">
        <v>1</v>
      </c>
      <c r="G104">
        <v>1080</v>
      </c>
      <c r="H104">
        <v>3</v>
      </c>
      <c r="I104" t="s">
        <v>322</v>
      </c>
      <c r="J104" t="s">
        <v>323</v>
      </c>
      <c r="K104" t="s">
        <v>324</v>
      </c>
      <c r="L104">
        <v>1355</v>
      </c>
      <c r="N104">
        <v>1010</v>
      </c>
      <c r="O104" t="s">
        <v>200</v>
      </c>
      <c r="P104" t="s">
        <v>200</v>
      </c>
      <c r="Q104">
        <v>100</v>
      </c>
      <c r="X104">
        <v>2</v>
      </c>
      <c r="Y104">
        <v>10.6</v>
      </c>
      <c r="Z104">
        <v>0</v>
      </c>
      <c r="AA104">
        <v>0</v>
      </c>
      <c r="AB104">
        <v>0</v>
      </c>
      <c r="AC104">
        <v>0</v>
      </c>
      <c r="AD104">
        <v>1</v>
      </c>
      <c r="AE104">
        <v>0</v>
      </c>
      <c r="AF104" t="s">
        <v>24</v>
      </c>
      <c r="AG104">
        <v>2</v>
      </c>
      <c r="AH104">
        <v>2</v>
      </c>
      <c r="AI104">
        <v>60256701</v>
      </c>
      <c r="AJ104">
        <v>80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</row>
    <row r="105" spans="1:44" x14ac:dyDescent="0.2">
      <c r="A105">
        <f>ROW(Source!A131)</f>
        <v>131</v>
      </c>
      <c r="B105">
        <v>60256885</v>
      </c>
      <c r="C105">
        <v>60256697</v>
      </c>
      <c r="D105">
        <v>59029925</v>
      </c>
      <c r="E105">
        <v>1080</v>
      </c>
      <c r="F105">
        <v>1</v>
      </c>
      <c r="G105">
        <v>1080</v>
      </c>
      <c r="H105">
        <v>3</v>
      </c>
      <c r="I105" t="s">
        <v>353</v>
      </c>
      <c r="J105" t="s">
        <v>3</v>
      </c>
      <c r="K105" t="s">
        <v>354</v>
      </c>
      <c r="L105">
        <v>1354</v>
      </c>
      <c r="N105">
        <v>1010</v>
      </c>
      <c r="O105" t="s">
        <v>33</v>
      </c>
      <c r="P105" t="s">
        <v>33</v>
      </c>
      <c r="Q105">
        <v>1</v>
      </c>
      <c r="X105">
        <v>100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 t="s">
        <v>24</v>
      </c>
      <c r="AG105">
        <v>100</v>
      </c>
      <c r="AH105">
        <v>3</v>
      </c>
      <c r="AI105">
        <v>-1</v>
      </c>
      <c r="AJ105" t="s">
        <v>3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</row>
    <row r="106" spans="1:44" x14ac:dyDescent="0.2">
      <c r="A106">
        <f>ROW(Source!A131)</f>
        <v>131</v>
      </c>
      <c r="B106">
        <v>60256886</v>
      </c>
      <c r="C106">
        <v>60256697</v>
      </c>
      <c r="D106">
        <v>59004256</v>
      </c>
      <c r="E106">
        <v>1080</v>
      </c>
      <c r="F106">
        <v>1</v>
      </c>
      <c r="G106">
        <v>1080</v>
      </c>
      <c r="H106">
        <v>3</v>
      </c>
      <c r="I106" t="s">
        <v>290</v>
      </c>
      <c r="J106" t="s">
        <v>3</v>
      </c>
      <c r="K106" t="s">
        <v>291</v>
      </c>
      <c r="L106">
        <v>1348</v>
      </c>
      <c r="N106">
        <v>1009</v>
      </c>
      <c r="O106" t="s">
        <v>283</v>
      </c>
      <c r="P106" t="s">
        <v>283</v>
      </c>
      <c r="Q106">
        <v>1000</v>
      </c>
      <c r="X106">
        <v>0.03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1</v>
      </c>
      <c r="AE106">
        <v>0</v>
      </c>
      <c r="AF106" t="s">
        <v>24</v>
      </c>
      <c r="AG106">
        <v>0.03</v>
      </c>
      <c r="AH106">
        <v>2</v>
      </c>
      <c r="AI106">
        <v>60256702</v>
      </c>
      <c r="AJ106">
        <v>81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</row>
    <row r="107" spans="1:44" x14ac:dyDescent="0.2">
      <c r="A107">
        <f>ROW(Source!A132)</f>
        <v>132</v>
      </c>
      <c r="B107">
        <v>60256881</v>
      </c>
      <c r="C107">
        <v>60256697</v>
      </c>
      <c r="D107">
        <v>58999254</v>
      </c>
      <c r="E107">
        <v>1080</v>
      </c>
      <c r="F107">
        <v>1</v>
      </c>
      <c r="G107">
        <v>1080</v>
      </c>
      <c r="H107">
        <v>1</v>
      </c>
      <c r="I107" t="s">
        <v>269</v>
      </c>
      <c r="J107" t="s">
        <v>3</v>
      </c>
      <c r="K107" t="s">
        <v>270</v>
      </c>
      <c r="L107">
        <v>1191</v>
      </c>
      <c r="N107">
        <v>1013</v>
      </c>
      <c r="O107" t="s">
        <v>271</v>
      </c>
      <c r="P107" t="s">
        <v>271</v>
      </c>
      <c r="Q107">
        <v>1</v>
      </c>
      <c r="X107">
        <v>24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1</v>
      </c>
      <c r="AE107">
        <v>1</v>
      </c>
      <c r="AF107" t="s">
        <v>25</v>
      </c>
      <c r="AG107">
        <v>26.400000000000002</v>
      </c>
      <c r="AH107">
        <v>2</v>
      </c>
      <c r="AI107">
        <v>60256698</v>
      </c>
      <c r="AJ107">
        <v>82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</row>
    <row r="108" spans="1:44" x14ac:dyDescent="0.2">
      <c r="A108">
        <f>ROW(Source!A132)</f>
        <v>132</v>
      </c>
      <c r="B108">
        <v>60256882</v>
      </c>
      <c r="C108">
        <v>60256697</v>
      </c>
      <c r="D108">
        <v>59039576</v>
      </c>
      <c r="E108">
        <v>1</v>
      </c>
      <c r="F108">
        <v>1</v>
      </c>
      <c r="G108">
        <v>1080</v>
      </c>
      <c r="H108">
        <v>3</v>
      </c>
      <c r="I108" t="s">
        <v>319</v>
      </c>
      <c r="J108" t="s">
        <v>320</v>
      </c>
      <c r="K108" t="s">
        <v>321</v>
      </c>
      <c r="L108">
        <v>1348</v>
      </c>
      <c r="N108">
        <v>1009</v>
      </c>
      <c r="O108" t="s">
        <v>283</v>
      </c>
      <c r="P108" t="s">
        <v>283</v>
      </c>
      <c r="Q108">
        <v>1000</v>
      </c>
      <c r="X108">
        <v>6.0000000000000001E-3</v>
      </c>
      <c r="Y108">
        <v>7246.05</v>
      </c>
      <c r="Z108">
        <v>0</v>
      </c>
      <c r="AA108">
        <v>0</v>
      </c>
      <c r="AB108">
        <v>0</v>
      </c>
      <c r="AC108">
        <v>0</v>
      </c>
      <c r="AD108">
        <v>1</v>
      </c>
      <c r="AE108">
        <v>0</v>
      </c>
      <c r="AF108" t="s">
        <v>24</v>
      </c>
      <c r="AG108">
        <v>6.0000000000000001E-3</v>
      </c>
      <c r="AH108">
        <v>2</v>
      </c>
      <c r="AI108">
        <v>60256699</v>
      </c>
      <c r="AJ108">
        <v>83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</row>
    <row r="109" spans="1:44" x14ac:dyDescent="0.2">
      <c r="A109">
        <f>ROW(Source!A132)</f>
        <v>132</v>
      </c>
      <c r="B109">
        <v>60256883</v>
      </c>
      <c r="C109">
        <v>60256697</v>
      </c>
      <c r="D109">
        <v>59039985</v>
      </c>
      <c r="E109">
        <v>1</v>
      </c>
      <c r="F109">
        <v>1</v>
      </c>
      <c r="G109">
        <v>1080</v>
      </c>
      <c r="H109">
        <v>3</v>
      </c>
      <c r="I109" t="s">
        <v>277</v>
      </c>
      <c r="J109" t="s">
        <v>278</v>
      </c>
      <c r="K109" t="s">
        <v>279</v>
      </c>
      <c r="L109">
        <v>1346</v>
      </c>
      <c r="N109">
        <v>1009</v>
      </c>
      <c r="O109" t="s">
        <v>70</v>
      </c>
      <c r="P109" t="s">
        <v>70</v>
      </c>
      <c r="Q109">
        <v>1</v>
      </c>
      <c r="X109">
        <v>0.2</v>
      </c>
      <c r="Y109">
        <v>104.63</v>
      </c>
      <c r="Z109">
        <v>0</v>
      </c>
      <c r="AA109">
        <v>0</v>
      </c>
      <c r="AB109">
        <v>0</v>
      </c>
      <c r="AC109">
        <v>0</v>
      </c>
      <c r="AD109">
        <v>1</v>
      </c>
      <c r="AE109">
        <v>0</v>
      </c>
      <c r="AF109" t="s">
        <v>24</v>
      </c>
      <c r="AG109">
        <v>0.2</v>
      </c>
      <c r="AH109">
        <v>2</v>
      </c>
      <c r="AI109">
        <v>60256700</v>
      </c>
      <c r="AJ109">
        <v>84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</row>
    <row r="110" spans="1:44" x14ac:dyDescent="0.2">
      <c r="A110">
        <f>ROW(Source!A132)</f>
        <v>132</v>
      </c>
      <c r="B110">
        <v>60256884</v>
      </c>
      <c r="C110">
        <v>60256697</v>
      </c>
      <c r="D110">
        <v>59041461</v>
      </c>
      <c r="E110">
        <v>1</v>
      </c>
      <c r="F110">
        <v>1</v>
      </c>
      <c r="G110">
        <v>1080</v>
      </c>
      <c r="H110">
        <v>3</v>
      </c>
      <c r="I110" t="s">
        <v>322</v>
      </c>
      <c r="J110" t="s">
        <v>323</v>
      </c>
      <c r="K110" t="s">
        <v>324</v>
      </c>
      <c r="L110">
        <v>1355</v>
      </c>
      <c r="N110">
        <v>1010</v>
      </c>
      <c r="O110" t="s">
        <v>200</v>
      </c>
      <c r="P110" t="s">
        <v>200</v>
      </c>
      <c r="Q110">
        <v>100</v>
      </c>
      <c r="X110">
        <v>2</v>
      </c>
      <c r="Y110">
        <v>10.6</v>
      </c>
      <c r="Z110">
        <v>0</v>
      </c>
      <c r="AA110">
        <v>0</v>
      </c>
      <c r="AB110">
        <v>0</v>
      </c>
      <c r="AC110">
        <v>0</v>
      </c>
      <c r="AD110">
        <v>1</v>
      </c>
      <c r="AE110">
        <v>0</v>
      </c>
      <c r="AF110" t="s">
        <v>24</v>
      </c>
      <c r="AG110">
        <v>2</v>
      </c>
      <c r="AH110">
        <v>2</v>
      </c>
      <c r="AI110">
        <v>60256701</v>
      </c>
      <c r="AJ110">
        <v>85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</row>
    <row r="111" spans="1:44" x14ac:dyDescent="0.2">
      <c r="A111">
        <f>ROW(Source!A132)</f>
        <v>132</v>
      </c>
      <c r="B111">
        <v>60256885</v>
      </c>
      <c r="C111">
        <v>60256697</v>
      </c>
      <c r="D111">
        <v>59029925</v>
      </c>
      <c r="E111">
        <v>1080</v>
      </c>
      <c r="F111">
        <v>1</v>
      </c>
      <c r="G111">
        <v>1080</v>
      </c>
      <c r="H111">
        <v>3</v>
      </c>
      <c r="I111" t="s">
        <v>353</v>
      </c>
      <c r="J111" t="s">
        <v>3</v>
      </c>
      <c r="K111" t="s">
        <v>354</v>
      </c>
      <c r="L111">
        <v>1354</v>
      </c>
      <c r="N111">
        <v>1010</v>
      </c>
      <c r="O111" t="s">
        <v>33</v>
      </c>
      <c r="P111" t="s">
        <v>33</v>
      </c>
      <c r="Q111">
        <v>1</v>
      </c>
      <c r="X111">
        <v>100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 t="s">
        <v>24</v>
      </c>
      <c r="AG111">
        <v>100</v>
      </c>
      <c r="AH111">
        <v>3</v>
      </c>
      <c r="AI111">
        <v>-1</v>
      </c>
      <c r="AJ111" t="s">
        <v>3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</row>
    <row r="112" spans="1:44" x14ac:dyDescent="0.2">
      <c r="A112">
        <f>ROW(Source!A132)</f>
        <v>132</v>
      </c>
      <c r="B112">
        <v>60256886</v>
      </c>
      <c r="C112">
        <v>60256697</v>
      </c>
      <c r="D112">
        <v>59004256</v>
      </c>
      <c r="E112">
        <v>1080</v>
      </c>
      <c r="F112">
        <v>1</v>
      </c>
      <c r="G112">
        <v>1080</v>
      </c>
      <c r="H112">
        <v>3</v>
      </c>
      <c r="I112" t="s">
        <v>290</v>
      </c>
      <c r="J112" t="s">
        <v>3</v>
      </c>
      <c r="K112" t="s">
        <v>291</v>
      </c>
      <c r="L112">
        <v>1348</v>
      </c>
      <c r="N112">
        <v>1009</v>
      </c>
      <c r="O112" t="s">
        <v>283</v>
      </c>
      <c r="P112" t="s">
        <v>283</v>
      </c>
      <c r="Q112">
        <v>1000</v>
      </c>
      <c r="X112">
        <v>0.03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1</v>
      </c>
      <c r="AE112">
        <v>0</v>
      </c>
      <c r="AF112" t="s">
        <v>24</v>
      </c>
      <c r="AG112">
        <v>0.03</v>
      </c>
      <c r="AH112">
        <v>2</v>
      </c>
      <c r="AI112">
        <v>60256702</v>
      </c>
      <c r="AJ112">
        <v>86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</row>
    <row r="113" spans="1:44" x14ac:dyDescent="0.2">
      <c r="A113">
        <f>ROW(Source!A135)</f>
        <v>135</v>
      </c>
      <c r="B113">
        <v>60256887</v>
      </c>
      <c r="C113">
        <v>60256710</v>
      </c>
      <c r="D113">
        <v>58999254</v>
      </c>
      <c r="E113">
        <v>1080</v>
      </c>
      <c r="F113">
        <v>1</v>
      </c>
      <c r="G113">
        <v>1080</v>
      </c>
      <c r="H113">
        <v>1</v>
      </c>
      <c r="I113" t="s">
        <v>269</v>
      </c>
      <c r="J113" t="s">
        <v>3</v>
      </c>
      <c r="K113" t="s">
        <v>270</v>
      </c>
      <c r="L113">
        <v>1191</v>
      </c>
      <c r="N113">
        <v>1013</v>
      </c>
      <c r="O113" t="s">
        <v>271</v>
      </c>
      <c r="P113" t="s">
        <v>271</v>
      </c>
      <c r="Q113">
        <v>1</v>
      </c>
      <c r="X113">
        <v>9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1</v>
      </c>
      <c r="AE113">
        <v>1</v>
      </c>
      <c r="AF113" t="s">
        <v>25</v>
      </c>
      <c r="AG113">
        <v>9.9</v>
      </c>
      <c r="AH113">
        <v>2</v>
      </c>
      <c r="AI113">
        <v>60256711</v>
      </c>
      <c r="AJ113">
        <v>87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</row>
    <row r="114" spans="1:44" x14ac:dyDescent="0.2">
      <c r="A114">
        <f>ROW(Source!A135)</f>
        <v>135</v>
      </c>
      <c r="B114">
        <v>60256888</v>
      </c>
      <c r="C114">
        <v>60256710</v>
      </c>
      <c r="D114">
        <v>59070788</v>
      </c>
      <c r="E114">
        <v>1</v>
      </c>
      <c r="F114">
        <v>1</v>
      </c>
      <c r="G114">
        <v>1080</v>
      </c>
      <c r="H114">
        <v>2</v>
      </c>
      <c r="I114" t="s">
        <v>304</v>
      </c>
      <c r="J114" t="s">
        <v>305</v>
      </c>
      <c r="K114" t="s">
        <v>306</v>
      </c>
      <c r="L114">
        <v>1368</v>
      </c>
      <c r="N114">
        <v>1011</v>
      </c>
      <c r="O114" t="s">
        <v>275</v>
      </c>
      <c r="P114" t="s">
        <v>275</v>
      </c>
      <c r="Q114">
        <v>1</v>
      </c>
      <c r="X114">
        <v>0.22</v>
      </c>
      <c r="Y114">
        <v>0</v>
      </c>
      <c r="Z114">
        <v>0.8</v>
      </c>
      <c r="AA114">
        <v>0</v>
      </c>
      <c r="AB114">
        <v>0</v>
      </c>
      <c r="AC114">
        <v>0</v>
      </c>
      <c r="AD114">
        <v>1</v>
      </c>
      <c r="AE114">
        <v>0</v>
      </c>
      <c r="AF114" t="s">
        <v>25</v>
      </c>
      <c r="AG114">
        <v>0.24200000000000002</v>
      </c>
      <c r="AH114">
        <v>2</v>
      </c>
      <c r="AI114">
        <v>60256712</v>
      </c>
      <c r="AJ114">
        <v>88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</row>
    <row r="115" spans="1:44" x14ac:dyDescent="0.2">
      <c r="A115">
        <f>ROW(Source!A135)</f>
        <v>135</v>
      </c>
      <c r="B115">
        <v>60256889</v>
      </c>
      <c r="C115">
        <v>60256710</v>
      </c>
      <c r="D115">
        <v>59039008</v>
      </c>
      <c r="E115">
        <v>1</v>
      </c>
      <c r="F115">
        <v>1</v>
      </c>
      <c r="G115">
        <v>1080</v>
      </c>
      <c r="H115">
        <v>3</v>
      </c>
      <c r="I115" t="s">
        <v>325</v>
      </c>
      <c r="J115" t="s">
        <v>326</v>
      </c>
      <c r="K115" t="s">
        <v>327</v>
      </c>
      <c r="L115">
        <v>1354</v>
      </c>
      <c r="N115">
        <v>1010</v>
      </c>
      <c r="O115" t="s">
        <v>33</v>
      </c>
      <c r="P115" t="s">
        <v>33</v>
      </c>
      <c r="Q115">
        <v>1</v>
      </c>
      <c r="X115">
        <v>5</v>
      </c>
      <c r="Y115">
        <v>0.89</v>
      </c>
      <c r="Z115">
        <v>0</v>
      </c>
      <c r="AA115">
        <v>0</v>
      </c>
      <c r="AB115">
        <v>0</v>
      </c>
      <c r="AC115">
        <v>0</v>
      </c>
      <c r="AD115">
        <v>1</v>
      </c>
      <c r="AE115">
        <v>0</v>
      </c>
      <c r="AF115" t="s">
        <v>24</v>
      </c>
      <c r="AG115">
        <v>5</v>
      </c>
      <c r="AH115">
        <v>2</v>
      </c>
      <c r="AI115">
        <v>60256713</v>
      </c>
      <c r="AJ115">
        <v>89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</row>
    <row r="116" spans="1:44" x14ac:dyDescent="0.2">
      <c r="A116">
        <f>ROW(Source!A135)</f>
        <v>135</v>
      </c>
      <c r="B116">
        <v>60256890</v>
      </c>
      <c r="C116">
        <v>60256710</v>
      </c>
      <c r="D116">
        <v>59037402</v>
      </c>
      <c r="E116">
        <v>1080</v>
      </c>
      <c r="F116">
        <v>1</v>
      </c>
      <c r="G116">
        <v>1080</v>
      </c>
      <c r="H116">
        <v>3</v>
      </c>
      <c r="I116" t="s">
        <v>355</v>
      </c>
      <c r="J116" t="s">
        <v>3</v>
      </c>
      <c r="K116" t="s">
        <v>356</v>
      </c>
      <c r="L116">
        <v>1354</v>
      </c>
      <c r="N116">
        <v>1010</v>
      </c>
      <c r="O116" t="s">
        <v>33</v>
      </c>
      <c r="P116" t="s">
        <v>33</v>
      </c>
      <c r="Q116">
        <v>1</v>
      </c>
      <c r="X116">
        <v>1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 t="s">
        <v>24</v>
      </c>
      <c r="AG116">
        <v>1</v>
      </c>
      <c r="AH116">
        <v>3</v>
      </c>
      <c r="AI116">
        <v>-1</v>
      </c>
      <c r="AJ116" t="s">
        <v>3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</row>
    <row r="117" spans="1:44" x14ac:dyDescent="0.2">
      <c r="A117">
        <f>ROW(Source!A136)</f>
        <v>136</v>
      </c>
      <c r="B117">
        <v>60256887</v>
      </c>
      <c r="C117">
        <v>60256710</v>
      </c>
      <c r="D117">
        <v>58999254</v>
      </c>
      <c r="E117">
        <v>1080</v>
      </c>
      <c r="F117">
        <v>1</v>
      </c>
      <c r="G117">
        <v>1080</v>
      </c>
      <c r="H117">
        <v>1</v>
      </c>
      <c r="I117" t="s">
        <v>269</v>
      </c>
      <c r="J117" t="s">
        <v>3</v>
      </c>
      <c r="K117" t="s">
        <v>270</v>
      </c>
      <c r="L117">
        <v>1191</v>
      </c>
      <c r="N117">
        <v>1013</v>
      </c>
      <c r="O117" t="s">
        <v>271</v>
      </c>
      <c r="P117" t="s">
        <v>271</v>
      </c>
      <c r="Q117">
        <v>1</v>
      </c>
      <c r="X117">
        <v>9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1</v>
      </c>
      <c r="AE117">
        <v>1</v>
      </c>
      <c r="AF117" t="s">
        <v>25</v>
      </c>
      <c r="AG117">
        <v>9.9</v>
      </c>
      <c r="AH117">
        <v>2</v>
      </c>
      <c r="AI117">
        <v>60256711</v>
      </c>
      <c r="AJ117">
        <v>90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</row>
    <row r="118" spans="1:44" x14ac:dyDescent="0.2">
      <c r="A118">
        <f>ROW(Source!A136)</f>
        <v>136</v>
      </c>
      <c r="B118">
        <v>60256888</v>
      </c>
      <c r="C118">
        <v>60256710</v>
      </c>
      <c r="D118">
        <v>59070788</v>
      </c>
      <c r="E118">
        <v>1</v>
      </c>
      <c r="F118">
        <v>1</v>
      </c>
      <c r="G118">
        <v>1080</v>
      </c>
      <c r="H118">
        <v>2</v>
      </c>
      <c r="I118" t="s">
        <v>304</v>
      </c>
      <c r="J118" t="s">
        <v>305</v>
      </c>
      <c r="K118" t="s">
        <v>306</v>
      </c>
      <c r="L118">
        <v>1368</v>
      </c>
      <c r="N118">
        <v>1011</v>
      </c>
      <c r="O118" t="s">
        <v>275</v>
      </c>
      <c r="P118" t="s">
        <v>275</v>
      </c>
      <c r="Q118">
        <v>1</v>
      </c>
      <c r="X118">
        <v>0.22</v>
      </c>
      <c r="Y118">
        <v>0</v>
      </c>
      <c r="Z118">
        <v>0.8</v>
      </c>
      <c r="AA118">
        <v>0</v>
      </c>
      <c r="AB118">
        <v>0</v>
      </c>
      <c r="AC118">
        <v>0</v>
      </c>
      <c r="AD118">
        <v>1</v>
      </c>
      <c r="AE118">
        <v>0</v>
      </c>
      <c r="AF118" t="s">
        <v>25</v>
      </c>
      <c r="AG118">
        <v>0.24200000000000002</v>
      </c>
      <c r="AH118">
        <v>2</v>
      </c>
      <c r="AI118">
        <v>60256712</v>
      </c>
      <c r="AJ118">
        <v>91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</row>
    <row r="119" spans="1:44" x14ac:dyDescent="0.2">
      <c r="A119">
        <f>ROW(Source!A136)</f>
        <v>136</v>
      </c>
      <c r="B119">
        <v>60256889</v>
      </c>
      <c r="C119">
        <v>60256710</v>
      </c>
      <c r="D119">
        <v>59039008</v>
      </c>
      <c r="E119">
        <v>1</v>
      </c>
      <c r="F119">
        <v>1</v>
      </c>
      <c r="G119">
        <v>1080</v>
      </c>
      <c r="H119">
        <v>3</v>
      </c>
      <c r="I119" t="s">
        <v>325</v>
      </c>
      <c r="J119" t="s">
        <v>326</v>
      </c>
      <c r="K119" t="s">
        <v>327</v>
      </c>
      <c r="L119">
        <v>1354</v>
      </c>
      <c r="N119">
        <v>1010</v>
      </c>
      <c r="O119" t="s">
        <v>33</v>
      </c>
      <c r="P119" t="s">
        <v>33</v>
      </c>
      <c r="Q119">
        <v>1</v>
      </c>
      <c r="X119">
        <v>5</v>
      </c>
      <c r="Y119">
        <v>0.89</v>
      </c>
      <c r="Z119">
        <v>0</v>
      </c>
      <c r="AA119">
        <v>0</v>
      </c>
      <c r="AB119">
        <v>0</v>
      </c>
      <c r="AC119">
        <v>0</v>
      </c>
      <c r="AD119">
        <v>1</v>
      </c>
      <c r="AE119">
        <v>0</v>
      </c>
      <c r="AF119" t="s">
        <v>24</v>
      </c>
      <c r="AG119">
        <v>5</v>
      </c>
      <c r="AH119">
        <v>2</v>
      </c>
      <c r="AI119">
        <v>60256713</v>
      </c>
      <c r="AJ119">
        <v>92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</row>
    <row r="120" spans="1:44" x14ac:dyDescent="0.2">
      <c r="A120">
        <f>ROW(Source!A136)</f>
        <v>136</v>
      </c>
      <c r="B120">
        <v>60256890</v>
      </c>
      <c r="C120">
        <v>60256710</v>
      </c>
      <c r="D120">
        <v>59037402</v>
      </c>
      <c r="E120">
        <v>1080</v>
      </c>
      <c r="F120">
        <v>1</v>
      </c>
      <c r="G120">
        <v>1080</v>
      </c>
      <c r="H120">
        <v>3</v>
      </c>
      <c r="I120" t="s">
        <v>355</v>
      </c>
      <c r="J120" t="s">
        <v>3</v>
      </c>
      <c r="K120" t="s">
        <v>356</v>
      </c>
      <c r="L120">
        <v>1354</v>
      </c>
      <c r="N120">
        <v>1010</v>
      </c>
      <c r="O120" t="s">
        <v>33</v>
      </c>
      <c r="P120" t="s">
        <v>33</v>
      </c>
      <c r="Q120">
        <v>1</v>
      </c>
      <c r="X120">
        <v>1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 t="s">
        <v>24</v>
      </c>
      <c r="AG120">
        <v>1</v>
      </c>
      <c r="AH120">
        <v>3</v>
      </c>
      <c r="AI120">
        <v>-1</v>
      </c>
      <c r="AJ120" t="s">
        <v>3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</row>
    <row r="121" spans="1:44" x14ac:dyDescent="0.2">
      <c r="A121">
        <f>ROW(Source!A174)</f>
        <v>174</v>
      </c>
      <c r="B121">
        <v>60256891</v>
      </c>
      <c r="C121">
        <v>60256775</v>
      </c>
      <c r="D121">
        <v>58999254</v>
      </c>
      <c r="E121">
        <v>1080</v>
      </c>
      <c r="F121">
        <v>1</v>
      </c>
      <c r="G121">
        <v>1080</v>
      </c>
      <c r="H121">
        <v>1</v>
      </c>
      <c r="I121" t="s">
        <v>269</v>
      </c>
      <c r="J121" t="s">
        <v>3</v>
      </c>
      <c r="K121" t="s">
        <v>270</v>
      </c>
      <c r="L121">
        <v>1191</v>
      </c>
      <c r="N121">
        <v>1013</v>
      </c>
      <c r="O121" t="s">
        <v>271</v>
      </c>
      <c r="P121" t="s">
        <v>271</v>
      </c>
      <c r="Q121">
        <v>1</v>
      </c>
      <c r="X121">
        <v>24.76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1</v>
      </c>
      <c r="AE121">
        <v>1</v>
      </c>
      <c r="AF121" t="s">
        <v>25</v>
      </c>
      <c r="AG121">
        <v>27.236000000000004</v>
      </c>
      <c r="AH121">
        <v>2</v>
      </c>
      <c r="AI121">
        <v>60256776</v>
      </c>
      <c r="AJ121">
        <v>93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</row>
    <row r="122" spans="1:44" x14ac:dyDescent="0.2">
      <c r="A122">
        <f>ROW(Source!A174)</f>
        <v>174</v>
      </c>
      <c r="B122">
        <v>60256892</v>
      </c>
      <c r="C122">
        <v>60256775</v>
      </c>
      <c r="D122">
        <v>59070721</v>
      </c>
      <c r="E122">
        <v>1</v>
      </c>
      <c r="F122">
        <v>1</v>
      </c>
      <c r="G122">
        <v>1080</v>
      </c>
      <c r="H122">
        <v>2</v>
      </c>
      <c r="I122" t="s">
        <v>328</v>
      </c>
      <c r="J122" t="s">
        <v>329</v>
      </c>
      <c r="K122" t="s">
        <v>330</v>
      </c>
      <c r="L122">
        <v>1368</v>
      </c>
      <c r="N122">
        <v>1011</v>
      </c>
      <c r="O122" t="s">
        <v>275</v>
      </c>
      <c r="P122" t="s">
        <v>275</v>
      </c>
      <c r="Q122">
        <v>1</v>
      </c>
      <c r="X122">
        <v>2.44</v>
      </c>
      <c r="Y122">
        <v>0</v>
      </c>
      <c r="Z122">
        <v>0.77</v>
      </c>
      <c r="AA122">
        <v>0</v>
      </c>
      <c r="AB122">
        <v>0</v>
      </c>
      <c r="AC122">
        <v>0</v>
      </c>
      <c r="AD122">
        <v>1</v>
      </c>
      <c r="AE122">
        <v>0</v>
      </c>
      <c r="AF122" t="s">
        <v>25</v>
      </c>
      <c r="AG122">
        <v>2.6840000000000002</v>
      </c>
      <c r="AH122">
        <v>2</v>
      </c>
      <c r="AI122">
        <v>60256777</v>
      </c>
      <c r="AJ122">
        <v>94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</row>
    <row r="123" spans="1:44" x14ac:dyDescent="0.2">
      <c r="A123">
        <f>ROW(Source!A174)</f>
        <v>174</v>
      </c>
      <c r="B123">
        <v>60256893</v>
      </c>
      <c r="C123">
        <v>60256775</v>
      </c>
      <c r="D123">
        <v>59070754</v>
      </c>
      <c r="E123">
        <v>1</v>
      </c>
      <c r="F123">
        <v>1</v>
      </c>
      <c r="G123">
        <v>1080</v>
      </c>
      <c r="H123">
        <v>2</v>
      </c>
      <c r="I123" t="s">
        <v>307</v>
      </c>
      <c r="J123" t="s">
        <v>308</v>
      </c>
      <c r="K123" t="s">
        <v>309</v>
      </c>
      <c r="L123">
        <v>1368</v>
      </c>
      <c r="N123">
        <v>1011</v>
      </c>
      <c r="O123" t="s">
        <v>275</v>
      </c>
      <c r="P123" t="s">
        <v>275</v>
      </c>
      <c r="Q123">
        <v>1</v>
      </c>
      <c r="X123">
        <v>4.63</v>
      </c>
      <c r="Y123">
        <v>0</v>
      </c>
      <c r="Z123">
        <v>0.47</v>
      </c>
      <c r="AA123">
        <v>0</v>
      </c>
      <c r="AB123">
        <v>0</v>
      </c>
      <c r="AC123">
        <v>0</v>
      </c>
      <c r="AD123">
        <v>1</v>
      </c>
      <c r="AE123">
        <v>0</v>
      </c>
      <c r="AF123" t="s">
        <v>25</v>
      </c>
      <c r="AG123">
        <v>5.093</v>
      </c>
      <c r="AH123">
        <v>2</v>
      </c>
      <c r="AI123">
        <v>60256778</v>
      </c>
      <c r="AJ123">
        <v>95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</row>
    <row r="124" spans="1:44" x14ac:dyDescent="0.2">
      <c r="A124">
        <f>ROW(Source!A174)</f>
        <v>174</v>
      </c>
      <c r="B124">
        <v>60256894</v>
      </c>
      <c r="C124">
        <v>60256775</v>
      </c>
      <c r="D124">
        <v>59062734</v>
      </c>
      <c r="E124">
        <v>1</v>
      </c>
      <c r="F124">
        <v>1</v>
      </c>
      <c r="G124">
        <v>1080</v>
      </c>
      <c r="H124">
        <v>3</v>
      </c>
      <c r="I124" t="s">
        <v>331</v>
      </c>
      <c r="J124" t="s">
        <v>332</v>
      </c>
      <c r="K124" t="s">
        <v>333</v>
      </c>
      <c r="L124">
        <v>1356</v>
      </c>
      <c r="N124">
        <v>1010</v>
      </c>
      <c r="O124" t="s">
        <v>228</v>
      </c>
      <c r="P124" t="s">
        <v>228</v>
      </c>
      <c r="Q124">
        <v>1000</v>
      </c>
      <c r="X124">
        <v>3.1E-2</v>
      </c>
      <c r="Y124">
        <v>226.66</v>
      </c>
      <c r="Z124">
        <v>0</v>
      </c>
      <c r="AA124">
        <v>0</v>
      </c>
      <c r="AB124">
        <v>0</v>
      </c>
      <c r="AC124">
        <v>0</v>
      </c>
      <c r="AD124">
        <v>1</v>
      </c>
      <c r="AE124">
        <v>0</v>
      </c>
      <c r="AF124" t="s">
        <v>24</v>
      </c>
      <c r="AG124">
        <v>3.1E-2</v>
      </c>
      <c r="AH124">
        <v>2</v>
      </c>
      <c r="AI124">
        <v>60256779</v>
      </c>
      <c r="AJ124">
        <v>97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</row>
    <row r="125" spans="1:44" x14ac:dyDescent="0.2">
      <c r="A125">
        <f>ROW(Source!A174)</f>
        <v>174</v>
      </c>
      <c r="B125">
        <v>60256895</v>
      </c>
      <c r="C125">
        <v>60256775</v>
      </c>
      <c r="D125">
        <v>59062508</v>
      </c>
      <c r="E125">
        <v>1</v>
      </c>
      <c r="F125">
        <v>1</v>
      </c>
      <c r="G125">
        <v>1080</v>
      </c>
      <c r="H125">
        <v>3</v>
      </c>
      <c r="I125" t="s">
        <v>334</v>
      </c>
      <c r="J125" t="s">
        <v>335</v>
      </c>
      <c r="K125" t="s">
        <v>336</v>
      </c>
      <c r="L125">
        <v>1355</v>
      </c>
      <c r="N125">
        <v>1010</v>
      </c>
      <c r="O125" t="s">
        <v>200</v>
      </c>
      <c r="P125" t="s">
        <v>200</v>
      </c>
      <c r="Q125">
        <v>100</v>
      </c>
      <c r="X125">
        <v>0.315</v>
      </c>
      <c r="Y125">
        <v>26.71</v>
      </c>
      <c r="Z125">
        <v>0</v>
      </c>
      <c r="AA125">
        <v>0</v>
      </c>
      <c r="AB125">
        <v>0</v>
      </c>
      <c r="AC125">
        <v>0</v>
      </c>
      <c r="AD125">
        <v>1</v>
      </c>
      <c r="AE125">
        <v>0</v>
      </c>
      <c r="AF125" t="s">
        <v>24</v>
      </c>
      <c r="AG125">
        <v>0.315</v>
      </c>
      <c r="AH125">
        <v>2</v>
      </c>
      <c r="AI125">
        <v>60256780</v>
      </c>
      <c r="AJ125">
        <v>99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</row>
    <row r="126" spans="1:44" x14ac:dyDescent="0.2">
      <c r="A126">
        <f>ROW(Source!A174)</f>
        <v>174</v>
      </c>
      <c r="B126">
        <v>60256896</v>
      </c>
      <c r="C126">
        <v>60256775</v>
      </c>
      <c r="D126">
        <v>59049364</v>
      </c>
      <c r="E126">
        <v>1</v>
      </c>
      <c r="F126">
        <v>1</v>
      </c>
      <c r="G126">
        <v>1080</v>
      </c>
      <c r="H126">
        <v>3</v>
      </c>
      <c r="I126" t="s">
        <v>337</v>
      </c>
      <c r="J126" t="s">
        <v>338</v>
      </c>
      <c r="K126" t="s">
        <v>339</v>
      </c>
      <c r="L126">
        <v>1354</v>
      </c>
      <c r="N126">
        <v>1010</v>
      </c>
      <c r="O126" t="s">
        <v>33</v>
      </c>
      <c r="P126" t="s">
        <v>33</v>
      </c>
      <c r="Q126">
        <v>1</v>
      </c>
      <c r="X126">
        <v>0.28000000000000003</v>
      </c>
      <c r="Y126">
        <v>14.22</v>
      </c>
      <c r="Z126">
        <v>0</v>
      </c>
      <c r="AA126">
        <v>0</v>
      </c>
      <c r="AB126">
        <v>0</v>
      </c>
      <c r="AC126">
        <v>0</v>
      </c>
      <c r="AD126">
        <v>1</v>
      </c>
      <c r="AE126">
        <v>0</v>
      </c>
      <c r="AF126" t="s">
        <v>24</v>
      </c>
      <c r="AG126">
        <v>0.28000000000000003</v>
      </c>
      <c r="AH126">
        <v>2</v>
      </c>
      <c r="AI126">
        <v>60256781</v>
      </c>
      <c r="AJ126">
        <v>100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</row>
    <row r="127" spans="1:44" x14ac:dyDescent="0.2">
      <c r="A127">
        <f>ROW(Source!A174)</f>
        <v>174</v>
      </c>
      <c r="B127">
        <v>60256897</v>
      </c>
      <c r="C127">
        <v>60256775</v>
      </c>
      <c r="D127">
        <v>59008659</v>
      </c>
      <c r="E127">
        <v>1080</v>
      </c>
      <c r="F127">
        <v>1</v>
      </c>
      <c r="G127">
        <v>1080</v>
      </c>
      <c r="H127">
        <v>3</v>
      </c>
      <c r="I127" t="s">
        <v>357</v>
      </c>
      <c r="J127" t="s">
        <v>3</v>
      </c>
      <c r="K127" t="s">
        <v>358</v>
      </c>
      <c r="L127">
        <v>1301</v>
      </c>
      <c r="N127">
        <v>1003</v>
      </c>
      <c r="O127" t="s">
        <v>223</v>
      </c>
      <c r="P127" t="s">
        <v>223</v>
      </c>
      <c r="Q127">
        <v>1</v>
      </c>
      <c r="X127">
        <v>102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 t="s">
        <v>24</v>
      </c>
      <c r="AG127">
        <v>102</v>
      </c>
      <c r="AH127">
        <v>3</v>
      </c>
      <c r="AI127">
        <v>-1</v>
      </c>
      <c r="AJ127" t="s">
        <v>3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</row>
    <row r="128" spans="1:44" x14ac:dyDescent="0.2">
      <c r="A128">
        <f>ROW(Source!A174)</f>
        <v>174</v>
      </c>
      <c r="B128">
        <v>60256898</v>
      </c>
      <c r="C128">
        <v>60256775</v>
      </c>
      <c r="D128">
        <v>59013737</v>
      </c>
      <c r="E128">
        <v>1080</v>
      </c>
      <c r="F128">
        <v>1</v>
      </c>
      <c r="G128">
        <v>1080</v>
      </c>
      <c r="H128">
        <v>3</v>
      </c>
      <c r="I128" t="s">
        <v>359</v>
      </c>
      <c r="J128" t="s">
        <v>3</v>
      </c>
      <c r="K128" t="s">
        <v>360</v>
      </c>
      <c r="L128">
        <v>1356</v>
      </c>
      <c r="N128">
        <v>1010</v>
      </c>
      <c r="O128" t="s">
        <v>228</v>
      </c>
      <c r="P128" t="s">
        <v>228</v>
      </c>
      <c r="Q128">
        <v>1000</v>
      </c>
      <c r="X128">
        <v>0.23799999999999999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 t="s">
        <v>24</v>
      </c>
      <c r="AG128">
        <v>0.23799999999999999</v>
      </c>
      <c r="AH128">
        <v>3</v>
      </c>
      <c r="AI128">
        <v>-1</v>
      </c>
      <c r="AJ128" t="s">
        <v>3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</row>
    <row r="129" spans="1:44" x14ac:dyDescent="0.2">
      <c r="A129">
        <f>ROW(Source!A174)</f>
        <v>174</v>
      </c>
      <c r="B129">
        <v>60256899</v>
      </c>
      <c r="C129">
        <v>60256775</v>
      </c>
      <c r="D129">
        <v>59019228</v>
      </c>
      <c r="E129">
        <v>1080</v>
      </c>
      <c r="F129">
        <v>1</v>
      </c>
      <c r="G129">
        <v>1080</v>
      </c>
      <c r="H129">
        <v>3</v>
      </c>
      <c r="I129" t="s">
        <v>361</v>
      </c>
      <c r="J129" t="s">
        <v>3</v>
      </c>
      <c r="K129" t="s">
        <v>362</v>
      </c>
      <c r="L129">
        <v>1303</v>
      </c>
      <c r="N129">
        <v>1003</v>
      </c>
      <c r="O129" t="s">
        <v>233</v>
      </c>
      <c r="P129" t="s">
        <v>233</v>
      </c>
      <c r="Q129">
        <v>1000</v>
      </c>
      <c r="X129">
        <v>0.10199999999999999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 t="s">
        <v>24</v>
      </c>
      <c r="AG129">
        <v>0.10199999999999999</v>
      </c>
      <c r="AH129">
        <v>3</v>
      </c>
      <c r="AI129">
        <v>-1</v>
      </c>
      <c r="AJ129" t="s">
        <v>3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</row>
    <row r="130" spans="1:44" x14ac:dyDescent="0.2">
      <c r="A130">
        <f>ROW(Source!A174)</f>
        <v>174</v>
      </c>
      <c r="B130">
        <v>60256900</v>
      </c>
      <c r="C130">
        <v>60256775</v>
      </c>
      <c r="D130">
        <v>59029455</v>
      </c>
      <c r="E130">
        <v>1080</v>
      </c>
      <c r="F130">
        <v>1</v>
      </c>
      <c r="G130">
        <v>1080</v>
      </c>
      <c r="H130">
        <v>3</v>
      </c>
      <c r="I130" t="s">
        <v>363</v>
      </c>
      <c r="J130" t="s">
        <v>3</v>
      </c>
      <c r="K130" t="s">
        <v>364</v>
      </c>
      <c r="L130">
        <v>1355</v>
      </c>
      <c r="N130">
        <v>1010</v>
      </c>
      <c r="O130" t="s">
        <v>200</v>
      </c>
      <c r="P130" t="s">
        <v>200</v>
      </c>
      <c r="Q130">
        <v>100</v>
      </c>
      <c r="X130">
        <v>2.36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 t="s">
        <v>24</v>
      </c>
      <c r="AG130">
        <v>2.36</v>
      </c>
      <c r="AH130">
        <v>3</v>
      </c>
      <c r="AI130">
        <v>-1</v>
      </c>
      <c r="AJ130" t="s">
        <v>3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</row>
    <row r="131" spans="1:44" x14ac:dyDescent="0.2">
      <c r="A131">
        <f>ROW(Source!A175)</f>
        <v>175</v>
      </c>
      <c r="B131">
        <v>60256891</v>
      </c>
      <c r="C131">
        <v>60256775</v>
      </c>
      <c r="D131">
        <v>58999254</v>
      </c>
      <c r="E131">
        <v>1080</v>
      </c>
      <c r="F131">
        <v>1</v>
      </c>
      <c r="G131">
        <v>1080</v>
      </c>
      <c r="H131">
        <v>1</v>
      </c>
      <c r="I131" t="s">
        <v>269</v>
      </c>
      <c r="J131" t="s">
        <v>3</v>
      </c>
      <c r="K131" t="s">
        <v>270</v>
      </c>
      <c r="L131">
        <v>1191</v>
      </c>
      <c r="N131">
        <v>1013</v>
      </c>
      <c r="O131" t="s">
        <v>271</v>
      </c>
      <c r="P131" t="s">
        <v>271</v>
      </c>
      <c r="Q131">
        <v>1</v>
      </c>
      <c r="X131">
        <v>24.76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1</v>
      </c>
      <c r="AE131">
        <v>1</v>
      </c>
      <c r="AF131" t="s">
        <v>25</v>
      </c>
      <c r="AG131">
        <v>27.236000000000004</v>
      </c>
      <c r="AH131">
        <v>2</v>
      </c>
      <c r="AI131">
        <v>60256776</v>
      </c>
      <c r="AJ131">
        <v>102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</row>
    <row r="132" spans="1:44" x14ac:dyDescent="0.2">
      <c r="A132">
        <f>ROW(Source!A175)</f>
        <v>175</v>
      </c>
      <c r="B132">
        <v>60256892</v>
      </c>
      <c r="C132">
        <v>60256775</v>
      </c>
      <c r="D132">
        <v>59070721</v>
      </c>
      <c r="E132">
        <v>1</v>
      </c>
      <c r="F132">
        <v>1</v>
      </c>
      <c r="G132">
        <v>1080</v>
      </c>
      <c r="H132">
        <v>2</v>
      </c>
      <c r="I132" t="s">
        <v>328</v>
      </c>
      <c r="J132" t="s">
        <v>329</v>
      </c>
      <c r="K132" t="s">
        <v>330</v>
      </c>
      <c r="L132">
        <v>1368</v>
      </c>
      <c r="N132">
        <v>1011</v>
      </c>
      <c r="O132" t="s">
        <v>275</v>
      </c>
      <c r="P132" t="s">
        <v>275</v>
      </c>
      <c r="Q132">
        <v>1</v>
      </c>
      <c r="X132">
        <v>2.44</v>
      </c>
      <c r="Y132">
        <v>0</v>
      </c>
      <c r="Z132">
        <v>0.77</v>
      </c>
      <c r="AA132">
        <v>0</v>
      </c>
      <c r="AB132">
        <v>0</v>
      </c>
      <c r="AC132">
        <v>0</v>
      </c>
      <c r="AD132">
        <v>1</v>
      </c>
      <c r="AE132">
        <v>0</v>
      </c>
      <c r="AF132" t="s">
        <v>25</v>
      </c>
      <c r="AG132">
        <v>2.6840000000000002</v>
      </c>
      <c r="AH132">
        <v>2</v>
      </c>
      <c r="AI132">
        <v>60256777</v>
      </c>
      <c r="AJ132">
        <v>103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</row>
    <row r="133" spans="1:44" x14ac:dyDescent="0.2">
      <c r="A133">
        <f>ROW(Source!A175)</f>
        <v>175</v>
      </c>
      <c r="B133">
        <v>60256893</v>
      </c>
      <c r="C133">
        <v>60256775</v>
      </c>
      <c r="D133">
        <v>59070754</v>
      </c>
      <c r="E133">
        <v>1</v>
      </c>
      <c r="F133">
        <v>1</v>
      </c>
      <c r="G133">
        <v>1080</v>
      </c>
      <c r="H133">
        <v>2</v>
      </c>
      <c r="I133" t="s">
        <v>307</v>
      </c>
      <c r="J133" t="s">
        <v>308</v>
      </c>
      <c r="K133" t="s">
        <v>309</v>
      </c>
      <c r="L133">
        <v>1368</v>
      </c>
      <c r="N133">
        <v>1011</v>
      </c>
      <c r="O133" t="s">
        <v>275</v>
      </c>
      <c r="P133" t="s">
        <v>275</v>
      </c>
      <c r="Q133">
        <v>1</v>
      </c>
      <c r="X133">
        <v>4.63</v>
      </c>
      <c r="Y133">
        <v>0</v>
      </c>
      <c r="Z133">
        <v>0.47</v>
      </c>
      <c r="AA133">
        <v>0</v>
      </c>
      <c r="AB133">
        <v>0</v>
      </c>
      <c r="AC133">
        <v>0</v>
      </c>
      <c r="AD133">
        <v>1</v>
      </c>
      <c r="AE133">
        <v>0</v>
      </c>
      <c r="AF133" t="s">
        <v>25</v>
      </c>
      <c r="AG133">
        <v>5.093</v>
      </c>
      <c r="AH133">
        <v>2</v>
      </c>
      <c r="AI133">
        <v>60256778</v>
      </c>
      <c r="AJ133">
        <v>104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</row>
    <row r="134" spans="1:44" x14ac:dyDescent="0.2">
      <c r="A134">
        <f>ROW(Source!A175)</f>
        <v>175</v>
      </c>
      <c r="B134">
        <v>60256894</v>
      </c>
      <c r="C134">
        <v>60256775</v>
      </c>
      <c r="D134">
        <v>59062734</v>
      </c>
      <c r="E134">
        <v>1</v>
      </c>
      <c r="F134">
        <v>1</v>
      </c>
      <c r="G134">
        <v>1080</v>
      </c>
      <c r="H134">
        <v>3</v>
      </c>
      <c r="I134" t="s">
        <v>331</v>
      </c>
      <c r="J134" t="s">
        <v>332</v>
      </c>
      <c r="K134" t="s">
        <v>333</v>
      </c>
      <c r="L134">
        <v>1356</v>
      </c>
      <c r="N134">
        <v>1010</v>
      </c>
      <c r="O134" t="s">
        <v>228</v>
      </c>
      <c r="P134" t="s">
        <v>228</v>
      </c>
      <c r="Q134">
        <v>1000</v>
      </c>
      <c r="X134">
        <v>3.1E-2</v>
      </c>
      <c r="Y134">
        <v>226.66</v>
      </c>
      <c r="Z134">
        <v>0</v>
      </c>
      <c r="AA134">
        <v>0</v>
      </c>
      <c r="AB134">
        <v>0</v>
      </c>
      <c r="AC134">
        <v>0</v>
      </c>
      <c r="AD134">
        <v>1</v>
      </c>
      <c r="AE134">
        <v>0</v>
      </c>
      <c r="AF134" t="s">
        <v>24</v>
      </c>
      <c r="AG134">
        <v>3.1E-2</v>
      </c>
      <c r="AH134">
        <v>2</v>
      </c>
      <c r="AI134">
        <v>60256779</v>
      </c>
      <c r="AJ134">
        <v>106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</row>
    <row r="135" spans="1:44" x14ac:dyDescent="0.2">
      <c r="A135">
        <f>ROW(Source!A175)</f>
        <v>175</v>
      </c>
      <c r="B135">
        <v>60256895</v>
      </c>
      <c r="C135">
        <v>60256775</v>
      </c>
      <c r="D135">
        <v>59062508</v>
      </c>
      <c r="E135">
        <v>1</v>
      </c>
      <c r="F135">
        <v>1</v>
      </c>
      <c r="G135">
        <v>1080</v>
      </c>
      <c r="H135">
        <v>3</v>
      </c>
      <c r="I135" t="s">
        <v>334</v>
      </c>
      <c r="J135" t="s">
        <v>335</v>
      </c>
      <c r="K135" t="s">
        <v>336</v>
      </c>
      <c r="L135">
        <v>1355</v>
      </c>
      <c r="N135">
        <v>1010</v>
      </c>
      <c r="O135" t="s">
        <v>200</v>
      </c>
      <c r="P135" t="s">
        <v>200</v>
      </c>
      <c r="Q135">
        <v>100</v>
      </c>
      <c r="X135">
        <v>0.315</v>
      </c>
      <c r="Y135">
        <v>26.71</v>
      </c>
      <c r="Z135">
        <v>0</v>
      </c>
      <c r="AA135">
        <v>0</v>
      </c>
      <c r="AB135">
        <v>0</v>
      </c>
      <c r="AC135">
        <v>0</v>
      </c>
      <c r="AD135">
        <v>1</v>
      </c>
      <c r="AE135">
        <v>0</v>
      </c>
      <c r="AF135" t="s">
        <v>24</v>
      </c>
      <c r="AG135">
        <v>0.315</v>
      </c>
      <c r="AH135">
        <v>2</v>
      </c>
      <c r="AI135">
        <v>60256780</v>
      </c>
      <c r="AJ135">
        <v>108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</row>
    <row r="136" spans="1:44" x14ac:dyDescent="0.2">
      <c r="A136">
        <f>ROW(Source!A175)</f>
        <v>175</v>
      </c>
      <c r="B136">
        <v>60256896</v>
      </c>
      <c r="C136">
        <v>60256775</v>
      </c>
      <c r="D136">
        <v>59049364</v>
      </c>
      <c r="E136">
        <v>1</v>
      </c>
      <c r="F136">
        <v>1</v>
      </c>
      <c r="G136">
        <v>1080</v>
      </c>
      <c r="H136">
        <v>3</v>
      </c>
      <c r="I136" t="s">
        <v>337</v>
      </c>
      <c r="J136" t="s">
        <v>338</v>
      </c>
      <c r="K136" t="s">
        <v>339</v>
      </c>
      <c r="L136">
        <v>1354</v>
      </c>
      <c r="N136">
        <v>1010</v>
      </c>
      <c r="O136" t="s">
        <v>33</v>
      </c>
      <c r="P136" t="s">
        <v>33</v>
      </c>
      <c r="Q136">
        <v>1</v>
      </c>
      <c r="X136">
        <v>0.28000000000000003</v>
      </c>
      <c r="Y136">
        <v>14.22</v>
      </c>
      <c r="Z136">
        <v>0</v>
      </c>
      <c r="AA136">
        <v>0</v>
      </c>
      <c r="AB136">
        <v>0</v>
      </c>
      <c r="AC136">
        <v>0</v>
      </c>
      <c r="AD136">
        <v>1</v>
      </c>
      <c r="AE136">
        <v>0</v>
      </c>
      <c r="AF136" t="s">
        <v>24</v>
      </c>
      <c r="AG136">
        <v>0.28000000000000003</v>
      </c>
      <c r="AH136">
        <v>2</v>
      </c>
      <c r="AI136">
        <v>60256781</v>
      </c>
      <c r="AJ136">
        <v>109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</row>
    <row r="137" spans="1:44" x14ac:dyDescent="0.2">
      <c r="A137">
        <f>ROW(Source!A175)</f>
        <v>175</v>
      </c>
      <c r="B137">
        <v>60256897</v>
      </c>
      <c r="C137">
        <v>60256775</v>
      </c>
      <c r="D137">
        <v>59008659</v>
      </c>
      <c r="E137">
        <v>1080</v>
      </c>
      <c r="F137">
        <v>1</v>
      </c>
      <c r="G137">
        <v>1080</v>
      </c>
      <c r="H137">
        <v>3</v>
      </c>
      <c r="I137" t="s">
        <v>357</v>
      </c>
      <c r="J137" t="s">
        <v>3</v>
      </c>
      <c r="K137" t="s">
        <v>358</v>
      </c>
      <c r="L137">
        <v>1301</v>
      </c>
      <c r="N137">
        <v>1003</v>
      </c>
      <c r="O137" t="s">
        <v>223</v>
      </c>
      <c r="P137" t="s">
        <v>223</v>
      </c>
      <c r="Q137">
        <v>1</v>
      </c>
      <c r="X137">
        <v>102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 t="s">
        <v>24</v>
      </c>
      <c r="AG137">
        <v>102</v>
      </c>
      <c r="AH137">
        <v>3</v>
      </c>
      <c r="AI137">
        <v>-1</v>
      </c>
      <c r="AJ137" t="s">
        <v>3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</row>
    <row r="138" spans="1:44" x14ac:dyDescent="0.2">
      <c r="A138">
        <f>ROW(Source!A175)</f>
        <v>175</v>
      </c>
      <c r="B138">
        <v>60256898</v>
      </c>
      <c r="C138">
        <v>60256775</v>
      </c>
      <c r="D138">
        <v>59013737</v>
      </c>
      <c r="E138">
        <v>1080</v>
      </c>
      <c r="F138">
        <v>1</v>
      </c>
      <c r="G138">
        <v>1080</v>
      </c>
      <c r="H138">
        <v>3</v>
      </c>
      <c r="I138" t="s">
        <v>359</v>
      </c>
      <c r="J138" t="s">
        <v>3</v>
      </c>
      <c r="K138" t="s">
        <v>360</v>
      </c>
      <c r="L138">
        <v>1356</v>
      </c>
      <c r="N138">
        <v>1010</v>
      </c>
      <c r="O138" t="s">
        <v>228</v>
      </c>
      <c r="P138" t="s">
        <v>228</v>
      </c>
      <c r="Q138">
        <v>1000</v>
      </c>
      <c r="X138">
        <v>0.23799999999999999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 t="s">
        <v>24</v>
      </c>
      <c r="AG138">
        <v>0.23799999999999999</v>
      </c>
      <c r="AH138">
        <v>3</v>
      </c>
      <c r="AI138">
        <v>-1</v>
      </c>
      <c r="AJ138" t="s">
        <v>3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</row>
    <row r="139" spans="1:44" x14ac:dyDescent="0.2">
      <c r="A139">
        <f>ROW(Source!A175)</f>
        <v>175</v>
      </c>
      <c r="B139">
        <v>60256899</v>
      </c>
      <c r="C139">
        <v>60256775</v>
      </c>
      <c r="D139">
        <v>59019228</v>
      </c>
      <c r="E139">
        <v>1080</v>
      </c>
      <c r="F139">
        <v>1</v>
      </c>
      <c r="G139">
        <v>1080</v>
      </c>
      <c r="H139">
        <v>3</v>
      </c>
      <c r="I139" t="s">
        <v>361</v>
      </c>
      <c r="J139" t="s">
        <v>3</v>
      </c>
      <c r="K139" t="s">
        <v>362</v>
      </c>
      <c r="L139">
        <v>1303</v>
      </c>
      <c r="N139">
        <v>1003</v>
      </c>
      <c r="O139" t="s">
        <v>233</v>
      </c>
      <c r="P139" t="s">
        <v>233</v>
      </c>
      <c r="Q139">
        <v>1000</v>
      </c>
      <c r="X139">
        <v>0.10199999999999999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 t="s">
        <v>24</v>
      </c>
      <c r="AG139">
        <v>0.10199999999999999</v>
      </c>
      <c r="AH139">
        <v>3</v>
      </c>
      <c r="AI139">
        <v>-1</v>
      </c>
      <c r="AJ139" t="s">
        <v>3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</row>
    <row r="140" spans="1:44" x14ac:dyDescent="0.2">
      <c r="A140">
        <f>ROW(Source!A175)</f>
        <v>175</v>
      </c>
      <c r="B140">
        <v>60256900</v>
      </c>
      <c r="C140">
        <v>60256775</v>
      </c>
      <c r="D140">
        <v>59029455</v>
      </c>
      <c r="E140">
        <v>1080</v>
      </c>
      <c r="F140">
        <v>1</v>
      </c>
      <c r="G140">
        <v>1080</v>
      </c>
      <c r="H140">
        <v>3</v>
      </c>
      <c r="I140" t="s">
        <v>363</v>
      </c>
      <c r="J140" t="s">
        <v>3</v>
      </c>
      <c r="K140" t="s">
        <v>364</v>
      </c>
      <c r="L140">
        <v>1355</v>
      </c>
      <c r="N140">
        <v>1010</v>
      </c>
      <c r="O140" t="s">
        <v>200</v>
      </c>
      <c r="P140" t="s">
        <v>200</v>
      </c>
      <c r="Q140">
        <v>100</v>
      </c>
      <c r="X140">
        <v>2.36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 t="s">
        <v>24</v>
      </c>
      <c r="AG140">
        <v>2.36</v>
      </c>
      <c r="AH140">
        <v>3</v>
      </c>
      <c r="AI140">
        <v>-1</v>
      </c>
      <c r="AJ140" t="s">
        <v>3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</row>
    <row r="141" spans="1:44" x14ac:dyDescent="0.2">
      <c r="A141">
        <f>ROW(Source!A182)</f>
        <v>182</v>
      </c>
      <c r="B141">
        <v>61620679</v>
      </c>
      <c r="C141">
        <v>61620678</v>
      </c>
      <c r="D141">
        <v>58999254</v>
      </c>
      <c r="E141">
        <v>1080</v>
      </c>
      <c r="F141">
        <v>1</v>
      </c>
      <c r="G141">
        <v>1080</v>
      </c>
      <c r="H141">
        <v>1</v>
      </c>
      <c r="I141" t="s">
        <v>269</v>
      </c>
      <c r="J141" t="s">
        <v>3</v>
      </c>
      <c r="K141" t="s">
        <v>270</v>
      </c>
      <c r="L141">
        <v>1191</v>
      </c>
      <c r="N141">
        <v>1013</v>
      </c>
      <c r="O141" t="s">
        <v>271</v>
      </c>
      <c r="P141" t="s">
        <v>271</v>
      </c>
      <c r="Q141">
        <v>1</v>
      </c>
      <c r="X141">
        <v>24.76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1</v>
      </c>
      <c r="AE141">
        <v>1</v>
      </c>
      <c r="AF141" t="s">
        <v>25</v>
      </c>
      <c r="AG141">
        <v>27.236000000000004</v>
      </c>
      <c r="AH141">
        <v>2</v>
      </c>
      <c r="AI141">
        <v>61620679</v>
      </c>
      <c r="AJ141">
        <v>111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</row>
    <row r="142" spans="1:44" x14ac:dyDescent="0.2">
      <c r="A142">
        <f>ROW(Source!A182)</f>
        <v>182</v>
      </c>
      <c r="B142">
        <v>61620680</v>
      </c>
      <c r="C142">
        <v>61620678</v>
      </c>
      <c r="D142">
        <v>59070721</v>
      </c>
      <c r="E142">
        <v>1</v>
      </c>
      <c r="F142">
        <v>1</v>
      </c>
      <c r="G142">
        <v>1080</v>
      </c>
      <c r="H142">
        <v>2</v>
      </c>
      <c r="I142" t="s">
        <v>328</v>
      </c>
      <c r="J142" t="s">
        <v>329</v>
      </c>
      <c r="K142" t="s">
        <v>330</v>
      </c>
      <c r="L142">
        <v>1368</v>
      </c>
      <c r="N142">
        <v>1011</v>
      </c>
      <c r="O142" t="s">
        <v>275</v>
      </c>
      <c r="P142" t="s">
        <v>275</v>
      </c>
      <c r="Q142">
        <v>1</v>
      </c>
      <c r="X142">
        <v>2.44</v>
      </c>
      <c r="Y142">
        <v>0</v>
      </c>
      <c r="Z142">
        <v>0.77</v>
      </c>
      <c r="AA142">
        <v>0</v>
      </c>
      <c r="AB142">
        <v>0</v>
      </c>
      <c r="AC142">
        <v>0</v>
      </c>
      <c r="AD142">
        <v>1</v>
      </c>
      <c r="AE142">
        <v>0</v>
      </c>
      <c r="AF142" t="s">
        <v>25</v>
      </c>
      <c r="AG142">
        <v>2.6840000000000002</v>
      </c>
      <c r="AH142">
        <v>2</v>
      </c>
      <c r="AI142">
        <v>61620680</v>
      </c>
      <c r="AJ142">
        <v>112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</row>
    <row r="143" spans="1:44" x14ac:dyDescent="0.2">
      <c r="A143">
        <f>ROW(Source!A182)</f>
        <v>182</v>
      </c>
      <c r="B143">
        <v>61620681</v>
      </c>
      <c r="C143">
        <v>61620678</v>
      </c>
      <c r="D143">
        <v>59070754</v>
      </c>
      <c r="E143">
        <v>1</v>
      </c>
      <c r="F143">
        <v>1</v>
      </c>
      <c r="G143">
        <v>1080</v>
      </c>
      <c r="H143">
        <v>2</v>
      </c>
      <c r="I143" t="s">
        <v>307</v>
      </c>
      <c r="J143" t="s">
        <v>308</v>
      </c>
      <c r="K143" t="s">
        <v>309</v>
      </c>
      <c r="L143">
        <v>1368</v>
      </c>
      <c r="N143">
        <v>1011</v>
      </c>
      <c r="O143" t="s">
        <v>275</v>
      </c>
      <c r="P143" t="s">
        <v>275</v>
      </c>
      <c r="Q143">
        <v>1</v>
      </c>
      <c r="X143">
        <v>4.63</v>
      </c>
      <c r="Y143">
        <v>0</v>
      </c>
      <c r="Z143">
        <v>0.47</v>
      </c>
      <c r="AA143">
        <v>0</v>
      </c>
      <c r="AB143">
        <v>0</v>
      </c>
      <c r="AC143">
        <v>0</v>
      </c>
      <c r="AD143">
        <v>1</v>
      </c>
      <c r="AE143">
        <v>0</v>
      </c>
      <c r="AF143" t="s">
        <v>25</v>
      </c>
      <c r="AG143">
        <v>5.093</v>
      </c>
      <c r="AH143">
        <v>2</v>
      </c>
      <c r="AI143">
        <v>61620681</v>
      </c>
      <c r="AJ143">
        <v>113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</row>
    <row r="144" spans="1:44" x14ac:dyDescent="0.2">
      <c r="A144">
        <f>ROW(Source!A182)</f>
        <v>182</v>
      </c>
      <c r="B144">
        <v>61620682</v>
      </c>
      <c r="C144">
        <v>61620678</v>
      </c>
      <c r="D144">
        <v>59062734</v>
      </c>
      <c r="E144">
        <v>1</v>
      </c>
      <c r="F144">
        <v>1</v>
      </c>
      <c r="G144">
        <v>1080</v>
      </c>
      <c r="H144">
        <v>3</v>
      </c>
      <c r="I144" t="s">
        <v>331</v>
      </c>
      <c r="J144" t="s">
        <v>332</v>
      </c>
      <c r="K144" t="s">
        <v>333</v>
      </c>
      <c r="L144">
        <v>1356</v>
      </c>
      <c r="N144">
        <v>1010</v>
      </c>
      <c r="O144" t="s">
        <v>228</v>
      </c>
      <c r="P144" t="s">
        <v>228</v>
      </c>
      <c r="Q144">
        <v>1000</v>
      </c>
      <c r="X144">
        <v>3.1E-2</v>
      </c>
      <c r="Y144">
        <v>226.66</v>
      </c>
      <c r="Z144">
        <v>0</v>
      </c>
      <c r="AA144">
        <v>0</v>
      </c>
      <c r="AB144">
        <v>0</v>
      </c>
      <c r="AC144">
        <v>0</v>
      </c>
      <c r="AD144">
        <v>1</v>
      </c>
      <c r="AE144">
        <v>0</v>
      </c>
      <c r="AF144" t="s">
        <v>3</v>
      </c>
      <c r="AG144">
        <v>3.1E-2</v>
      </c>
      <c r="AH144">
        <v>2</v>
      </c>
      <c r="AI144">
        <v>61620682</v>
      </c>
      <c r="AJ144">
        <v>115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</row>
    <row r="145" spans="1:44" x14ac:dyDescent="0.2">
      <c r="A145">
        <f>ROW(Source!A182)</f>
        <v>182</v>
      </c>
      <c r="B145">
        <v>61620683</v>
      </c>
      <c r="C145">
        <v>61620678</v>
      </c>
      <c r="D145">
        <v>59062508</v>
      </c>
      <c r="E145">
        <v>1</v>
      </c>
      <c r="F145">
        <v>1</v>
      </c>
      <c r="G145">
        <v>1080</v>
      </c>
      <c r="H145">
        <v>3</v>
      </c>
      <c r="I145" t="s">
        <v>334</v>
      </c>
      <c r="J145" t="s">
        <v>335</v>
      </c>
      <c r="K145" t="s">
        <v>336</v>
      </c>
      <c r="L145">
        <v>1355</v>
      </c>
      <c r="N145">
        <v>1010</v>
      </c>
      <c r="O145" t="s">
        <v>200</v>
      </c>
      <c r="P145" t="s">
        <v>200</v>
      </c>
      <c r="Q145">
        <v>100</v>
      </c>
      <c r="X145">
        <v>0.315</v>
      </c>
      <c r="Y145">
        <v>26.71</v>
      </c>
      <c r="Z145">
        <v>0</v>
      </c>
      <c r="AA145">
        <v>0</v>
      </c>
      <c r="AB145">
        <v>0</v>
      </c>
      <c r="AC145">
        <v>0</v>
      </c>
      <c r="AD145">
        <v>1</v>
      </c>
      <c r="AE145">
        <v>0</v>
      </c>
      <c r="AF145" t="s">
        <v>3</v>
      </c>
      <c r="AG145">
        <v>0.315</v>
      </c>
      <c r="AH145">
        <v>2</v>
      </c>
      <c r="AI145">
        <v>61620683</v>
      </c>
      <c r="AJ145">
        <v>117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</row>
    <row r="146" spans="1:44" x14ac:dyDescent="0.2">
      <c r="A146">
        <f>ROW(Source!A182)</f>
        <v>182</v>
      </c>
      <c r="B146">
        <v>61620684</v>
      </c>
      <c r="C146">
        <v>61620678</v>
      </c>
      <c r="D146">
        <v>59049364</v>
      </c>
      <c r="E146">
        <v>1</v>
      </c>
      <c r="F146">
        <v>1</v>
      </c>
      <c r="G146">
        <v>1080</v>
      </c>
      <c r="H146">
        <v>3</v>
      </c>
      <c r="I146" t="s">
        <v>337</v>
      </c>
      <c r="J146" t="s">
        <v>338</v>
      </c>
      <c r="K146" t="s">
        <v>339</v>
      </c>
      <c r="L146">
        <v>1354</v>
      </c>
      <c r="N146">
        <v>1010</v>
      </c>
      <c r="O146" t="s">
        <v>33</v>
      </c>
      <c r="P146" t="s">
        <v>33</v>
      </c>
      <c r="Q146">
        <v>1</v>
      </c>
      <c r="X146">
        <v>0.28000000000000003</v>
      </c>
      <c r="Y146">
        <v>14.22</v>
      </c>
      <c r="Z146">
        <v>0</v>
      </c>
      <c r="AA146">
        <v>0</v>
      </c>
      <c r="AB146">
        <v>0</v>
      </c>
      <c r="AC146">
        <v>0</v>
      </c>
      <c r="AD146">
        <v>1</v>
      </c>
      <c r="AE146">
        <v>0</v>
      </c>
      <c r="AF146" t="s">
        <v>3</v>
      </c>
      <c r="AG146">
        <v>0.28000000000000003</v>
      </c>
      <c r="AH146">
        <v>2</v>
      </c>
      <c r="AI146">
        <v>61620684</v>
      </c>
      <c r="AJ146">
        <v>118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</row>
    <row r="147" spans="1:44" x14ac:dyDescent="0.2">
      <c r="A147">
        <f>ROW(Source!A182)</f>
        <v>182</v>
      </c>
      <c r="B147">
        <v>61620685</v>
      </c>
      <c r="C147">
        <v>61620678</v>
      </c>
      <c r="D147">
        <v>59008659</v>
      </c>
      <c r="E147">
        <v>1080</v>
      </c>
      <c r="F147">
        <v>1</v>
      </c>
      <c r="G147">
        <v>1080</v>
      </c>
      <c r="H147">
        <v>3</v>
      </c>
      <c r="I147" t="s">
        <v>357</v>
      </c>
      <c r="J147" t="s">
        <v>3</v>
      </c>
      <c r="K147" t="s">
        <v>358</v>
      </c>
      <c r="L147">
        <v>1301</v>
      </c>
      <c r="N147">
        <v>1003</v>
      </c>
      <c r="O147" t="s">
        <v>223</v>
      </c>
      <c r="P147" t="s">
        <v>223</v>
      </c>
      <c r="Q147">
        <v>1</v>
      </c>
      <c r="X147">
        <v>102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 t="s">
        <v>3</v>
      </c>
      <c r="AG147">
        <v>102</v>
      </c>
      <c r="AH147">
        <v>3</v>
      </c>
      <c r="AI147">
        <v>-1</v>
      </c>
      <c r="AJ147" t="s">
        <v>3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</row>
    <row r="148" spans="1:44" x14ac:dyDescent="0.2">
      <c r="A148">
        <f>ROW(Source!A182)</f>
        <v>182</v>
      </c>
      <c r="B148">
        <v>61620686</v>
      </c>
      <c r="C148">
        <v>61620678</v>
      </c>
      <c r="D148">
        <v>59013737</v>
      </c>
      <c r="E148">
        <v>1080</v>
      </c>
      <c r="F148">
        <v>1</v>
      </c>
      <c r="G148">
        <v>1080</v>
      </c>
      <c r="H148">
        <v>3</v>
      </c>
      <c r="I148" t="s">
        <v>359</v>
      </c>
      <c r="J148" t="s">
        <v>3</v>
      </c>
      <c r="K148" t="s">
        <v>360</v>
      </c>
      <c r="L148">
        <v>1356</v>
      </c>
      <c r="N148">
        <v>1010</v>
      </c>
      <c r="O148" t="s">
        <v>228</v>
      </c>
      <c r="P148" t="s">
        <v>228</v>
      </c>
      <c r="Q148">
        <v>1000</v>
      </c>
      <c r="X148">
        <v>0.23799999999999999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 t="s">
        <v>3</v>
      </c>
      <c r="AG148">
        <v>0.23799999999999999</v>
      </c>
      <c r="AH148">
        <v>3</v>
      </c>
      <c r="AI148">
        <v>-1</v>
      </c>
      <c r="AJ148" t="s">
        <v>3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</row>
    <row r="149" spans="1:44" x14ac:dyDescent="0.2">
      <c r="A149">
        <f>ROW(Source!A182)</f>
        <v>182</v>
      </c>
      <c r="B149">
        <v>61620687</v>
      </c>
      <c r="C149">
        <v>61620678</v>
      </c>
      <c r="D149">
        <v>59019228</v>
      </c>
      <c r="E149">
        <v>1080</v>
      </c>
      <c r="F149">
        <v>1</v>
      </c>
      <c r="G149">
        <v>1080</v>
      </c>
      <c r="H149">
        <v>3</v>
      </c>
      <c r="I149" t="s">
        <v>361</v>
      </c>
      <c r="J149" t="s">
        <v>3</v>
      </c>
      <c r="K149" t="s">
        <v>362</v>
      </c>
      <c r="L149">
        <v>1303</v>
      </c>
      <c r="N149">
        <v>1003</v>
      </c>
      <c r="O149" t="s">
        <v>233</v>
      </c>
      <c r="P149" t="s">
        <v>233</v>
      </c>
      <c r="Q149">
        <v>1000</v>
      </c>
      <c r="X149">
        <v>0.10199999999999999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 t="s">
        <v>3</v>
      </c>
      <c r="AG149">
        <v>0.10199999999999999</v>
      </c>
      <c r="AH149">
        <v>3</v>
      </c>
      <c r="AI149">
        <v>-1</v>
      </c>
      <c r="AJ149" t="s">
        <v>3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</row>
    <row r="150" spans="1:44" x14ac:dyDescent="0.2">
      <c r="A150">
        <f>ROW(Source!A182)</f>
        <v>182</v>
      </c>
      <c r="B150">
        <v>61620688</v>
      </c>
      <c r="C150">
        <v>61620678</v>
      </c>
      <c r="D150">
        <v>59029455</v>
      </c>
      <c r="E150">
        <v>1080</v>
      </c>
      <c r="F150">
        <v>1</v>
      </c>
      <c r="G150">
        <v>1080</v>
      </c>
      <c r="H150">
        <v>3</v>
      </c>
      <c r="I150" t="s">
        <v>363</v>
      </c>
      <c r="J150" t="s">
        <v>3</v>
      </c>
      <c r="K150" t="s">
        <v>364</v>
      </c>
      <c r="L150">
        <v>1355</v>
      </c>
      <c r="N150">
        <v>1010</v>
      </c>
      <c r="O150" t="s">
        <v>200</v>
      </c>
      <c r="P150" t="s">
        <v>200</v>
      </c>
      <c r="Q150">
        <v>100</v>
      </c>
      <c r="X150">
        <v>2.36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 t="s">
        <v>3</v>
      </c>
      <c r="AG150">
        <v>2.36</v>
      </c>
      <c r="AH150">
        <v>3</v>
      </c>
      <c r="AI150">
        <v>-1</v>
      </c>
      <c r="AJ150" t="s">
        <v>3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</row>
    <row r="151" spans="1:44" x14ac:dyDescent="0.2">
      <c r="A151">
        <f>ROW(Source!A183)</f>
        <v>183</v>
      </c>
      <c r="B151">
        <v>61620679</v>
      </c>
      <c r="C151">
        <v>61620678</v>
      </c>
      <c r="D151">
        <v>58999254</v>
      </c>
      <c r="E151">
        <v>1080</v>
      </c>
      <c r="F151">
        <v>1</v>
      </c>
      <c r="G151">
        <v>1080</v>
      </c>
      <c r="H151">
        <v>1</v>
      </c>
      <c r="I151" t="s">
        <v>269</v>
      </c>
      <c r="J151" t="s">
        <v>3</v>
      </c>
      <c r="K151" t="s">
        <v>270</v>
      </c>
      <c r="L151">
        <v>1191</v>
      </c>
      <c r="N151">
        <v>1013</v>
      </c>
      <c r="O151" t="s">
        <v>271</v>
      </c>
      <c r="P151" t="s">
        <v>271</v>
      </c>
      <c r="Q151">
        <v>1</v>
      </c>
      <c r="X151">
        <v>24.76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1</v>
      </c>
      <c r="AE151">
        <v>1</v>
      </c>
      <c r="AF151" t="s">
        <v>25</v>
      </c>
      <c r="AG151">
        <v>27.236000000000004</v>
      </c>
      <c r="AH151">
        <v>2</v>
      </c>
      <c r="AI151">
        <v>61620679</v>
      </c>
      <c r="AJ151">
        <v>119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</row>
    <row r="152" spans="1:44" x14ac:dyDescent="0.2">
      <c r="A152">
        <f>ROW(Source!A183)</f>
        <v>183</v>
      </c>
      <c r="B152">
        <v>61620680</v>
      </c>
      <c r="C152">
        <v>61620678</v>
      </c>
      <c r="D152">
        <v>59070721</v>
      </c>
      <c r="E152">
        <v>1</v>
      </c>
      <c r="F152">
        <v>1</v>
      </c>
      <c r="G152">
        <v>1080</v>
      </c>
      <c r="H152">
        <v>2</v>
      </c>
      <c r="I152" t="s">
        <v>328</v>
      </c>
      <c r="J152" t="s">
        <v>329</v>
      </c>
      <c r="K152" t="s">
        <v>330</v>
      </c>
      <c r="L152">
        <v>1368</v>
      </c>
      <c r="N152">
        <v>1011</v>
      </c>
      <c r="O152" t="s">
        <v>275</v>
      </c>
      <c r="P152" t="s">
        <v>275</v>
      </c>
      <c r="Q152">
        <v>1</v>
      </c>
      <c r="X152">
        <v>2.44</v>
      </c>
      <c r="Y152">
        <v>0</v>
      </c>
      <c r="Z152">
        <v>0.77</v>
      </c>
      <c r="AA152">
        <v>0</v>
      </c>
      <c r="AB152">
        <v>0</v>
      </c>
      <c r="AC152">
        <v>0</v>
      </c>
      <c r="AD152">
        <v>1</v>
      </c>
      <c r="AE152">
        <v>0</v>
      </c>
      <c r="AF152" t="s">
        <v>25</v>
      </c>
      <c r="AG152">
        <v>2.6840000000000002</v>
      </c>
      <c r="AH152">
        <v>2</v>
      </c>
      <c r="AI152">
        <v>61620680</v>
      </c>
      <c r="AJ152">
        <v>120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</row>
    <row r="153" spans="1:44" x14ac:dyDescent="0.2">
      <c r="A153">
        <f>ROW(Source!A183)</f>
        <v>183</v>
      </c>
      <c r="B153">
        <v>61620681</v>
      </c>
      <c r="C153">
        <v>61620678</v>
      </c>
      <c r="D153">
        <v>59070754</v>
      </c>
      <c r="E153">
        <v>1</v>
      </c>
      <c r="F153">
        <v>1</v>
      </c>
      <c r="G153">
        <v>1080</v>
      </c>
      <c r="H153">
        <v>2</v>
      </c>
      <c r="I153" t="s">
        <v>307</v>
      </c>
      <c r="J153" t="s">
        <v>308</v>
      </c>
      <c r="K153" t="s">
        <v>309</v>
      </c>
      <c r="L153">
        <v>1368</v>
      </c>
      <c r="N153">
        <v>1011</v>
      </c>
      <c r="O153" t="s">
        <v>275</v>
      </c>
      <c r="P153" t="s">
        <v>275</v>
      </c>
      <c r="Q153">
        <v>1</v>
      </c>
      <c r="X153">
        <v>4.63</v>
      </c>
      <c r="Y153">
        <v>0</v>
      </c>
      <c r="Z153">
        <v>0.47</v>
      </c>
      <c r="AA153">
        <v>0</v>
      </c>
      <c r="AB153">
        <v>0</v>
      </c>
      <c r="AC153">
        <v>0</v>
      </c>
      <c r="AD153">
        <v>1</v>
      </c>
      <c r="AE153">
        <v>0</v>
      </c>
      <c r="AF153" t="s">
        <v>25</v>
      </c>
      <c r="AG153">
        <v>5.093</v>
      </c>
      <c r="AH153">
        <v>2</v>
      </c>
      <c r="AI153">
        <v>61620681</v>
      </c>
      <c r="AJ153">
        <v>121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</row>
    <row r="154" spans="1:44" x14ac:dyDescent="0.2">
      <c r="A154">
        <f>ROW(Source!A183)</f>
        <v>183</v>
      </c>
      <c r="B154">
        <v>61620682</v>
      </c>
      <c r="C154">
        <v>61620678</v>
      </c>
      <c r="D154">
        <v>59062734</v>
      </c>
      <c r="E154">
        <v>1</v>
      </c>
      <c r="F154">
        <v>1</v>
      </c>
      <c r="G154">
        <v>1080</v>
      </c>
      <c r="H154">
        <v>3</v>
      </c>
      <c r="I154" t="s">
        <v>331</v>
      </c>
      <c r="J154" t="s">
        <v>332</v>
      </c>
      <c r="K154" t="s">
        <v>333</v>
      </c>
      <c r="L154">
        <v>1356</v>
      </c>
      <c r="N154">
        <v>1010</v>
      </c>
      <c r="O154" t="s">
        <v>228</v>
      </c>
      <c r="P154" t="s">
        <v>228</v>
      </c>
      <c r="Q154">
        <v>1000</v>
      </c>
      <c r="X154">
        <v>3.1E-2</v>
      </c>
      <c r="Y154">
        <v>226.66</v>
      </c>
      <c r="Z154">
        <v>0</v>
      </c>
      <c r="AA154">
        <v>0</v>
      </c>
      <c r="AB154">
        <v>0</v>
      </c>
      <c r="AC154">
        <v>0</v>
      </c>
      <c r="AD154">
        <v>1</v>
      </c>
      <c r="AE154">
        <v>0</v>
      </c>
      <c r="AF154" t="s">
        <v>3</v>
      </c>
      <c r="AG154">
        <v>3.1E-2</v>
      </c>
      <c r="AH154">
        <v>2</v>
      </c>
      <c r="AI154">
        <v>61620682</v>
      </c>
      <c r="AJ154">
        <v>123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</row>
    <row r="155" spans="1:44" x14ac:dyDescent="0.2">
      <c r="A155">
        <f>ROW(Source!A183)</f>
        <v>183</v>
      </c>
      <c r="B155">
        <v>61620683</v>
      </c>
      <c r="C155">
        <v>61620678</v>
      </c>
      <c r="D155">
        <v>59062508</v>
      </c>
      <c r="E155">
        <v>1</v>
      </c>
      <c r="F155">
        <v>1</v>
      </c>
      <c r="G155">
        <v>1080</v>
      </c>
      <c r="H155">
        <v>3</v>
      </c>
      <c r="I155" t="s">
        <v>334</v>
      </c>
      <c r="J155" t="s">
        <v>335</v>
      </c>
      <c r="K155" t="s">
        <v>336</v>
      </c>
      <c r="L155">
        <v>1355</v>
      </c>
      <c r="N155">
        <v>1010</v>
      </c>
      <c r="O155" t="s">
        <v>200</v>
      </c>
      <c r="P155" t="s">
        <v>200</v>
      </c>
      <c r="Q155">
        <v>100</v>
      </c>
      <c r="X155">
        <v>0.315</v>
      </c>
      <c r="Y155">
        <v>26.71</v>
      </c>
      <c r="Z155">
        <v>0</v>
      </c>
      <c r="AA155">
        <v>0</v>
      </c>
      <c r="AB155">
        <v>0</v>
      </c>
      <c r="AC155">
        <v>0</v>
      </c>
      <c r="AD155">
        <v>1</v>
      </c>
      <c r="AE155">
        <v>0</v>
      </c>
      <c r="AF155" t="s">
        <v>3</v>
      </c>
      <c r="AG155">
        <v>0.315</v>
      </c>
      <c r="AH155">
        <v>2</v>
      </c>
      <c r="AI155">
        <v>61620683</v>
      </c>
      <c r="AJ155">
        <v>125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</row>
    <row r="156" spans="1:44" x14ac:dyDescent="0.2">
      <c r="A156">
        <f>ROW(Source!A183)</f>
        <v>183</v>
      </c>
      <c r="B156">
        <v>61620684</v>
      </c>
      <c r="C156">
        <v>61620678</v>
      </c>
      <c r="D156">
        <v>59049364</v>
      </c>
      <c r="E156">
        <v>1</v>
      </c>
      <c r="F156">
        <v>1</v>
      </c>
      <c r="G156">
        <v>1080</v>
      </c>
      <c r="H156">
        <v>3</v>
      </c>
      <c r="I156" t="s">
        <v>337</v>
      </c>
      <c r="J156" t="s">
        <v>338</v>
      </c>
      <c r="K156" t="s">
        <v>339</v>
      </c>
      <c r="L156">
        <v>1354</v>
      </c>
      <c r="N156">
        <v>1010</v>
      </c>
      <c r="O156" t="s">
        <v>33</v>
      </c>
      <c r="P156" t="s">
        <v>33</v>
      </c>
      <c r="Q156">
        <v>1</v>
      </c>
      <c r="X156">
        <v>0.28000000000000003</v>
      </c>
      <c r="Y156">
        <v>14.22</v>
      </c>
      <c r="Z156">
        <v>0</v>
      </c>
      <c r="AA156">
        <v>0</v>
      </c>
      <c r="AB156">
        <v>0</v>
      </c>
      <c r="AC156">
        <v>0</v>
      </c>
      <c r="AD156">
        <v>1</v>
      </c>
      <c r="AE156">
        <v>0</v>
      </c>
      <c r="AF156" t="s">
        <v>3</v>
      </c>
      <c r="AG156">
        <v>0.28000000000000003</v>
      </c>
      <c r="AH156">
        <v>2</v>
      </c>
      <c r="AI156">
        <v>61620684</v>
      </c>
      <c r="AJ156">
        <v>126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</row>
    <row r="157" spans="1:44" x14ac:dyDescent="0.2">
      <c r="A157">
        <f>ROW(Source!A183)</f>
        <v>183</v>
      </c>
      <c r="B157">
        <v>61620685</v>
      </c>
      <c r="C157">
        <v>61620678</v>
      </c>
      <c r="D157">
        <v>59008659</v>
      </c>
      <c r="E157">
        <v>1080</v>
      </c>
      <c r="F157">
        <v>1</v>
      </c>
      <c r="G157">
        <v>1080</v>
      </c>
      <c r="H157">
        <v>3</v>
      </c>
      <c r="I157" t="s">
        <v>357</v>
      </c>
      <c r="J157" t="s">
        <v>3</v>
      </c>
      <c r="K157" t="s">
        <v>358</v>
      </c>
      <c r="L157">
        <v>1301</v>
      </c>
      <c r="N157">
        <v>1003</v>
      </c>
      <c r="O157" t="s">
        <v>223</v>
      </c>
      <c r="P157" t="s">
        <v>223</v>
      </c>
      <c r="Q157">
        <v>1</v>
      </c>
      <c r="X157">
        <v>102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 t="s">
        <v>3</v>
      </c>
      <c r="AG157">
        <v>102</v>
      </c>
      <c r="AH157">
        <v>3</v>
      </c>
      <c r="AI157">
        <v>-1</v>
      </c>
      <c r="AJ157" t="s">
        <v>3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</row>
    <row r="158" spans="1:44" x14ac:dyDescent="0.2">
      <c r="A158">
        <f>ROW(Source!A183)</f>
        <v>183</v>
      </c>
      <c r="B158">
        <v>61620686</v>
      </c>
      <c r="C158">
        <v>61620678</v>
      </c>
      <c r="D158">
        <v>59013737</v>
      </c>
      <c r="E158">
        <v>1080</v>
      </c>
      <c r="F158">
        <v>1</v>
      </c>
      <c r="G158">
        <v>1080</v>
      </c>
      <c r="H158">
        <v>3</v>
      </c>
      <c r="I158" t="s">
        <v>359</v>
      </c>
      <c r="J158" t="s">
        <v>3</v>
      </c>
      <c r="K158" t="s">
        <v>360</v>
      </c>
      <c r="L158">
        <v>1356</v>
      </c>
      <c r="N158">
        <v>1010</v>
      </c>
      <c r="O158" t="s">
        <v>228</v>
      </c>
      <c r="P158" t="s">
        <v>228</v>
      </c>
      <c r="Q158">
        <v>1000</v>
      </c>
      <c r="X158">
        <v>0.23799999999999999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 t="s">
        <v>3</v>
      </c>
      <c r="AG158">
        <v>0.23799999999999999</v>
      </c>
      <c r="AH158">
        <v>3</v>
      </c>
      <c r="AI158">
        <v>-1</v>
      </c>
      <c r="AJ158" t="s">
        <v>3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</row>
    <row r="159" spans="1:44" x14ac:dyDescent="0.2">
      <c r="A159">
        <f>ROW(Source!A183)</f>
        <v>183</v>
      </c>
      <c r="B159">
        <v>61620687</v>
      </c>
      <c r="C159">
        <v>61620678</v>
      </c>
      <c r="D159">
        <v>59019228</v>
      </c>
      <c r="E159">
        <v>1080</v>
      </c>
      <c r="F159">
        <v>1</v>
      </c>
      <c r="G159">
        <v>1080</v>
      </c>
      <c r="H159">
        <v>3</v>
      </c>
      <c r="I159" t="s">
        <v>361</v>
      </c>
      <c r="J159" t="s">
        <v>3</v>
      </c>
      <c r="K159" t="s">
        <v>362</v>
      </c>
      <c r="L159">
        <v>1303</v>
      </c>
      <c r="N159">
        <v>1003</v>
      </c>
      <c r="O159" t="s">
        <v>233</v>
      </c>
      <c r="P159" t="s">
        <v>233</v>
      </c>
      <c r="Q159">
        <v>1000</v>
      </c>
      <c r="X159">
        <v>0.10199999999999999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 t="s">
        <v>3</v>
      </c>
      <c r="AG159">
        <v>0.10199999999999999</v>
      </c>
      <c r="AH159">
        <v>3</v>
      </c>
      <c r="AI159">
        <v>-1</v>
      </c>
      <c r="AJ159" t="s">
        <v>3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</row>
    <row r="160" spans="1:44" x14ac:dyDescent="0.2">
      <c r="A160">
        <f>ROW(Source!A183)</f>
        <v>183</v>
      </c>
      <c r="B160">
        <v>61620688</v>
      </c>
      <c r="C160">
        <v>61620678</v>
      </c>
      <c r="D160">
        <v>59029455</v>
      </c>
      <c r="E160">
        <v>1080</v>
      </c>
      <c r="F160">
        <v>1</v>
      </c>
      <c r="G160">
        <v>1080</v>
      </c>
      <c r="H160">
        <v>3</v>
      </c>
      <c r="I160" t="s">
        <v>363</v>
      </c>
      <c r="J160" t="s">
        <v>3</v>
      </c>
      <c r="K160" t="s">
        <v>364</v>
      </c>
      <c r="L160">
        <v>1355</v>
      </c>
      <c r="N160">
        <v>1010</v>
      </c>
      <c r="O160" t="s">
        <v>200</v>
      </c>
      <c r="P160" t="s">
        <v>200</v>
      </c>
      <c r="Q160">
        <v>100</v>
      </c>
      <c r="X160">
        <v>2.36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 t="s">
        <v>3</v>
      </c>
      <c r="AG160">
        <v>2.36</v>
      </c>
      <c r="AH160">
        <v>3</v>
      </c>
      <c r="AI160">
        <v>-1</v>
      </c>
      <c r="AJ160" t="s">
        <v>3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4"/>
  <sheetViews>
    <sheetView workbookViewId="0"/>
  </sheetViews>
  <sheetFormatPr defaultColWidth="9.140625" defaultRowHeight="12.75" x14ac:dyDescent="0.2"/>
  <cols>
    <col min="1" max="256" width="9.140625" customWidth="1"/>
  </cols>
  <sheetData>
    <row r="1" spans="1:21" x14ac:dyDescent="0.2">
      <c r="A1">
        <v>28</v>
      </c>
      <c r="B1">
        <v>1</v>
      </c>
      <c r="C1" t="s">
        <v>3</v>
      </c>
      <c r="D1" t="s">
        <v>24</v>
      </c>
      <c r="E1" t="s">
        <v>25</v>
      </c>
      <c r="F1" t="s">
        <v>25</v>
      </c>
      <c r="G1" t="s">
        <v>25</v>
      </c>
      <c r="H1" t="s">
        <v>3</v>
      </c>
      <c r="I1" t="s">
        <v>25</v>
      </c>
      <c r="J1" t="s">
        <v>25</v>
      </c>
      <c r="K1" t="s">
        <v>3</v>
      </c>
      <c r="L1" t="s">
        <v>3</v>
      </c>
      <c r="M1" t="s">
        <v>3</v>
      </c>
      <c r="N1" t="s">
        <v>24</v>
      </c>
      <c r="O1" t="s">
        <v>25</v>
      </c>
      <c r="P1" t="s">
        <v>3</v>
      </c>
      <c r="Q1" t="s">
        <v>3</v>
      </c>
      <c r="R1" t="s">
        <v>3</v>
      </c>
      <c r="S1" t="s">
        <v>365</v>
      </c>
      <c r="T1" t="s">
        <v>368</v>
      </c>
      <c r="U1" t="s">
        <v>366</v>
      </c>
    </row>
    <row r="2" spans="1:21" x14ac:dyDescent="0.2">
      <c r="A2">
        <v>29</v>
      </c>
      <c r="B2">
        <v>1</v>
      </c>
      <c r="C2" t="s">
        <v>3</v>
      </c>
      <c r="D2" t="s">
        <v>24</v>
      </c>
      <c r="E2" t="s">
        <v>25</v>
      </c>
      <c r="F2" t="s">
        <v>25</v>
      </c>
      <c r="G2" t="s">
        <v>25</v>
      </c>
      <c r="H2" t="s">
        <v>3</v>
      </c>
      <c r="I2" t="s">
        <v>25</v>
      </c>
      <c r="J2" t="s">
        <v>25</v>
      </c>
      <c r="K2" t="s">
        <v>3</v>
      </c>
      <c r="L2" t="s">
        <v>3</v>
      </c>
      <c r="M2" t="s">
        <v>3</v>
      </c>
      <c r="N2" t="s">
        <v>24</v>
      </c>
      <c r="O2" t="s">
        <v>25</v>
      </c>
      <c r="P2" t="s">
        <v>3</v>
      </c>
      <c r="Q2" t="s">
        <v>3</v>
      </c>
      <c r="R2" t="s">
        <v>3</v>
      </c>
      <c r="S2" t="s">
        <v>365</v>
      </c>
      <c r="T2" t="s">
        <v>368</v>
      </c>
      <c r="U2" t="s">
        <v>366</v>
      </c>
    </row>
    <row r="3" spans="1:21" x14ac:dyDescent="0.2">
      <c r="A3">
        <v>32</v>
      </c>
      <c r="B3">
        <v>1</v>
      </c>
      <c r="C3" t="s">
        <v>3</v>
      </c>
      <c r="D3" t="s">
        <v>24</v>
      </c>
      <c r="E3" t="s">
        <v>25</v>
      </c>
      <c r="F3" t="s">
        <v>25</v>
      </c>
      <c r="G3" t="s">
        <v>25</v>
      </c>
      <c r="H3" t="s">
        <v>3</v>
      </c>
      <c r="I3" t="s">
        <v>25</v>
      </c>
      <c r="J3" t="s">
        <v>25</v>
      </c>
      <c r="K3" t="s">
        <v>3</v>
      </c>
      <c r="L3" t="s">
        <v>3</v>
      </c>
      <c r="M3" t="s">
        <v>3</v>
      </c>
      <c r="N3" t="s">
        <v>24</v>
      </c>
      <c r="O3" t="s">
        <v>25</v>
      </c>
      <c r="P3" t="s">
        <v>3</v>
      </c>
      <c r="Q3" t="s">
        <v>3</v>
      </c>
      <c r="R3" t="s">
        <v>3</v>
      </c>
      <c r="S3" t="s">
        <v>365</v>
      </c>
      <c r="T3" t="s">
        <v>368</v>
      </c>
      <c r="U3" t="s">
        <v>366</v>
      </c>
    </row>
    <row r="4" spans="1:21" x14ac:dyDescent="0.2">
      <c r="A4">
        <v>33</v>
      </c>
      <c r="B4">
        <v>1</v>
      </c>
      <c r="C4" t="s">
        <v>3</v>
      </c>
      <c r="D4" t="s">
        <v>24</v>
      </c>
      <c r="E4" t="s">
        <v>25</v>
      </c>
      <c r="F4" t="s">
        <v>25</v>
      </c>
      <c r="G4" t="s">
        <v>25</v>
      </c>
      <c r="H4" t="s">
        <v>3</v>
      </c>
      <c r="I4" t="s">
        <v>25</v>
      </c>
      <c r="J4" t="s">
        <v>25</v>
      </c>
      <c r="K4" t="s">
        <v>3</v>
      </c>
      <c r="L4" t="s">
        <v>3</v>
      </c>
      <c r="M4" t="s">
        <v>3</v>
      </c>
      <c r="N4" t="s">
        <v>24</v>
      </c>
      <c r="O4" t="s">
        <v>25</v>
      </c>
      <c r="P4" t="s">
        <v>3</v>
      </c>
      <c r="Q4" t="s">
        <v>3</v>
      </c>
      <c r="R4" t="s">
        <v>3</v>
      </c>
      <c r="S4" t="s">
        <v>365</v>
      </c>
      <c r="T4" t="s">
        <v>368</v>
      </c>
      <c r="U4" t="s">
        <v>366</v>
      </c>
    </row>
    <row r="5" spans="1:21" x14ac:dyDescent="0.2">
      <c r="A5">
        <v>36</v>
      </c>
      <c r="B5">
        <v>1</v>
      </c>
      <c r="C5" t="s">
        <v>3</v>
      </c>
      <c r="D5" t="s">
        <v>24</v>
      </c>
      <c r="E5" t="s">
        <v>25</v>
      </c>
      <c r="F5" t="s">
        <v>25</v>
      </c>
      <c r="G5" t="s">
        <v>25</v>
      </c>
      <c r="H5" t="s">
        <v>3</v>
      </c>
      <c r="I5" t="s">
        <v>25</v>
      </c>
      <c r="J5" t="s">
        <v>25</v>
      </c>
      <c r="K5" t="s">
        <v>3</v>
      </c>
      <c r="L5" t="s">
        <v>3</v>
      </c>
      <c r="M5" t="s">
        <v>3</v>
      </c>
      <c r="N5" t="s">
        <v>24</v>
      </c>
      <c r="O5" t="s">
        <v>25</v>
      </c>
      <c r="P5" t="s">
        <v>3</v>
      </c>
      <c r="Q5" t="s">
        <v>3</v>
      </c>
      <c r="R5" t="s">
        <v>3</v>
      </c>
      <c r="S5" t="s">
        <v>365</v>
      </c>
      <c r="T5" t="s">
        <v>368</v>
      </c>
      <c r="U5" t="s">
        <v>366</v>
      </c>
    </row>
    <row r="6" spans="1:21" x14ac:dyDescent="0.2">
      <c r="A6">
        <v>37</v>
      </c>
      <c r="B6">
        <v>1</v>
      </c>
      <c r="C6" t="s">
        <v>3</v>
      </c>
      <c r="D6" t="s">
        <v>24</v>
      </c>
      <c r="E6" t="s">
        <v>25</v>
      </c>
      <c r="F6" t="s">
        <v>25</v>
      </c>
      <c r="G6" t="s">
        <v>25</v>
      </c>
      <c r="H6" t="s">
        <v>3</v>
      </c>
      <c r="I6" t="s">
        <v>25</v>
      </c>
      <c r="J6" t="s">
        <v>25</v>
      </c>
      <c r="K6" t="s">
        <v>3</v>
      </c>
      <c r="L6" t="s">
        <v>3</v>
      </c>
      <c r="M6" t="s">
        <v>3</v>
      </c>
      <c r="N6" t="s">
        <v>24</v>
      </c>
      <c r="O6" t="s">
        <v>25</v>
      </c>
      <c r="P6" t="s">
        <v>3</v>
      </c>
      <c r="Q6" t="s">
        <v>3</v>
      </c>
      <c r="R6" t="s">
        <v>3</v>
      </c>
      <c r="S6" t="s">
        <v>365</v>
      </c>
      <c r="T6" t="s">
        <v>368</v>
      </c>
      <c r="U6" t="s">
        <v>366</v>
      </c>
    </row>
    <row r="7" spans="1:21" x14ac:dyDescent="0.2">
      <c r="A7">
        <v>40</v>
      </c>
      <c r="B7">
        <v>1</v>
      </c>
      <c r="C7" t="s">
        <v>3</v>
      </c>
      <c r="D7" t="s">
        <v>24</v>
      </c>
      <c r="E7" t="s">
        <v>25</v>
      </c>
      <c r="F7" t="s">
        <v>25</v>
      </c>
      <c r="G7" t="s">
        <v>25</v>
      </c>
      <c r="H7" t="s">
        <v>3</v>
      </c>
      <c r="I7" t="s">
        <v>25</v>
      </c>
      <c r="J7" t="s">
        <v>25</v>
      </c>
      <c r="K7" t="s">
        <v>3</v>
      </c>
      <c r="L7" t="s">
        <v>3</v>
      </c>
      <c r="M7" t="s">
        <v>3</v>
      </c>
      <c r="N7" t="s">
        <v>24</v>
      </c>
      <c r="O7" t="s">
        <v>25</v>
      </c>
      <c r="P7" t="s">
        <v>3</v>
      </c>
      <c r="Q7" t="s">
        <v>3</v>
      </c>
      <c r="R7" t="s">
        <v>3</v>
      </c>
      <c r="S7" t="s">
        <v>365</v>
      </c>
      <c r="T7" t="s">
        <v>368</v>
      </c>
      <c r="U7" t="s">
        <v>366</v>
      </c>
    </row>
    <row r="8" spans="1:21" x14ac:dyDescent="0.2">
      <c r="A8">
        <v>41</v>
      </c>
      <c r="B8">
        <v>1</v>
      </c>
      <c r="C8" t="s">
        <v>3</v>
      </c>
      <c r="D8" t="s">
        <v>24</v>
      </c>
      <c r="E8" t="s">
        <v>25</v>
      </c>
      <c r="F8" t="s">
        <v>25</v>
      </c>
      <c r="G8" t="s">
        <v>25</v>
      </c>
      <c r="H8" t="s">
        <v>3</v>
      </c>
      <c r="I8" t="s">
        <v>25</v>
      </c>
      <c r="J8" t="s">
        <v>25</v>
      </c>
      <c r="K8" t="s">
        <v>3</v>
      </c>
      <c r="L8" t="s">
        <v>3</v>
      </c>
      <c r="M8" t="s">
        <v>3</v>
      </c>
      <c r="N8" t="s">
        <v>24</v>
      </c>
      <c r="O8" t="s">
        <v>25</v>
      </c>
      <c r="P8" t="s">
        <v>3</v>
      </c>
      <c r="Q8" t="s">
        <v>3</v>
      </c>
      <c r="R8" t="s">
        <v>3</v>
      </c>
      <c r="S8" t="s">
        <v>365</v>
      </c>
      <c r="T8" t="s">
        <v>368</v>
      </c>
      <c r="U8" t="s">
        <v>366</v>
      </c>
    </row>
    <row r="9" spans="1:21" x14ac:dyDescent="0.2">
      <c r="A9">
        <v>44</v>
      </c>
      <c r="B9">
        <v>1</v>
      </c>
      <c r="C9" t="s">
        <v>3</v>
      </c>
      <c r="D9" t="s">
        <v>24</v>
      </c>
      <c r="E9" t="s">
        <v>25</v>
      </c>
      <c r="F9" t="s">
        <v>25</v>
      </c>
      <c r="G9" t="s">
        <v>25</v>
      </c>
      <c r="H9" t="s">
        <v>3</v>
      </c>
      <c r="I9" t="s">
        <v>25</v>
      </c>
      <c r="J9" t="s">
        <v>25</v>
      </c>
      <c r="K9" t="s">
        <v>3</v>
      </c>
      <c r="L9" t="s">
        <v>3</v>
      </c>
      <c r="M9" t="s">
        <v>3</v>
      </c>
      <c r="N9" t="s">
        <v>24</v>
      </c>
      <c r="O9" t="s">
        <v>25</v>
      </c>
      <c r="P9" t="s">
        <v>3</v>
      </c>
      <c r="Q9" t="s">
        <v>3</v>
      </c>
      <c r="R9" t="s">
        <v>3</v>
      </c>
      <c r="S9" t="s">
        <v>365</v>
      </c>
      <c r="T9" t="s">
        <v>368</v>
      </c>
      <c r="U9" t="s">
        <v>366</v>
      </c>
    </row>
    <row r="10" spans="1:21" x14ac:dyDescent="0.2">
      <c r="A10">
        <v>45</v>
      </c>
      <c r="B10">
        <v>1</v>
      </c>
      <c r="C10" t="s">
        <v>3</v>
      </c>
      <c r="D10" t="s">
        <v>24</v>
      </c>
      <c r="E10" t="s">
        <v>25</v>
      </c>
      <c r="F10" t="s">
        <v>25</v>
      </c>
      <c r="G10" t="s">
        <v>25</v>
      </c>
      <c r="H10" t="s">
        <v>3</v>
      </c>
      <c r="I10" t="s">
        <v>25</v>
      </c>
      <c r="J10" t="s">
        <v>25</v>
      </c>
      <c r="K10" t="s">
        <v>3</v>
      </c>
      <c r="L10" t="s">
        <v>3</v>
      </c>
      <c r="M10" t="s">
        <v>3</v>
      </c>
      <c r="N10" t="s">
        <v>24</v>
      </c>
      <c r="O10" t="s">
        <v>25</v>
      </c>
      <c r="P10" t="s">
        <v>3</v>
      </c>
      <c r="Q10" t="s">
        <v>3</v>
      </c>
      <c r="R10" t="s">
        <v>3</v>
      </c>
      <c r="S10" t="s">
        <v>365</v>
      </c>
      <c r="T10" t="s">
        <v>368</v>
      </c>
      <c r="U10" t="s">
        <v>366</v>
      </c>
    </row>
    <row r="11" spans="1:21" x14ac:dyDescent="0.2">
      <c r="A11">
        <v>50</v>
      </c>
      <c r="B11">
        <v>1</v>
      </c>
      <c r="C11" t="s">
        <v>3</v>
      </c>
      <c r="D11" t="s">
        <v>24</v>
      </c>
      <c r="E11" t="s">
        <v>25</v>
      </c>
      <c r="F11" t="s">
        <v>25</v>
      </c>
      <c r="G11" t="s">
        <v>25</v>
      </c>
      <c r="H11" t="s">
        <v>3</v>
      </c>
      <c r="I11" t="s">
        <v>25</v>
      </c>
      <c r="J11" t="s">
        <v>25</v>
      </c>
      <c r="K11" t="s">
        <v>3</v>
      </c>
      <c r="L11" t="s">
        <v>3</v>
      </c>
      <c r="M11" t="s">
        <v>3</v>
      </c>
      <c r="N11" t="s">
        <v>24</v>
      </c>
      <c r="O11" t="s">
        <v>25</v>
      </c>
      <c r="P11" t="s">
        <v>3</v>
      </c>
      <c r="Q11" t="s">
        <v>3</v>
      </c>
      <c r="R11" t="s">
        <v>3</v>
      </c>
      <c r="S11" t="s">
        <v>365</v>
      </c>
      <c r="T11" t="s">
        <v>368</v>
      </c>
      <c r="U11" t="s">
        <v>366</v>
      </c>
    </row>
    <row r="12" spans="1:21" x14ac:dyDescent="0.2">
      <c r="A12">
        <v>51</v>
      </c>
      <c r="B12">
        <v>1</v>
      </c>
      <c r="C12" t="s">
        <v>3</v>
      </c>
      <c r="D12" t="s">
        <v>24</v>
      </c>
      <c r="E12" t="s">
        <v>25</v>
      </c>
      <c r="F12" t="s">
        <v>25</v>
      </c>
      <c r="G12" t="s">
        <v>25</v>
      </c>
      <c r="H12" t="s">
        <v>3</v>
      </c>
      <c r="I12" t="s">
        <v>25</v>
      </c>
      <c r="J12" t="s">
        <v>25</v>
      </c>
      <c r="K12" t="s">
        <v>3</v>
      </c>
      <c r="L12" t="s">
        <v>3</v>
      </c>
      <c r="M12" t="s">
        <v>3</v>
      </c>
      <c r="N12" t="s">
        <v>24</v>
      </c>
      <c r="O12" t="s">
        <v>25</v>
      </c>
      <c r="P12" t="s">
        <v>3</v>
      </c>
      <c r="Q12" t="s">
        <v>3</v>
      </c>
      <c r="R12" t="s">
        <v>3</v>
      </c>
      <c r="S12" t="s">
        <v>365</v>
      </c>
      <c r="T12" t="s">
        <v>368</v>
      </c>
      <c r="U12" t="s">
        <v>366</v>
      </c>
    </row>
    <row r="13" spans="1:21" x14ac:dyDescent="0.2">
      <c r="A13">
        <v>54</v>
      </c>
      <c r="B13">
        <v>1</v>
      </c>
      <c r="C13" t="s">
        <v>3</v>
      </c>
      <c r="D13" t="s">
        <v>24</v>
      </c>
      <c r="E13" t="s">
        <v>25</v>
      </c>
      <c r="F13" t="s">
        <v>25</v>
      </c>
      <c r="G13" t="s">
        <v>25</v>
      </c>
      <c r="H13" t="s">
        <v>3</v>
      </c>
      <c r="I13" t="s">
        <v>25</v>
      </c>
      <c r="J13" t="s">
        <v>25</v>
      </c>
      <c r="K13" t="s">
        <v>3</v>
      </c>
      <c r="L13" t="s">
        <v>3</v>
      </c>
      <c r="M13" t="s">
        <v>3</v>
      </c>
      <c r="N13" t="s">
        <v>24</v>
      </c>
      <c r="O13" t="s">
        <v>25</v>
      </c>
      <c r="P13" t="s">
        <v>3</v>
      </c>
      <c r="Q13" t="s">
        <v>3</v>
      </c>
      <c r="R13" t="s">
        <v>3</v>
      </c>
      <c r="S13" t="s">
        <v>365</v>
      </c>
      <c r="T13" t="s">
        <v>368</v>
      </c>
      <c r="U13" t="s">
        <v>366</v>
      </c>
    </row>
    <row r="14" spans="1:21" x14ac:dyDescent="0.2">
      <c r="A14">
        <v>55</v>
      </c>
      <c r="B14">
        <v>1</v>
      </c>
      <c r="C14" t="s">
        <v>3</v>
      </c>
      <c r="D14" t="s">
        <v>24</v>
      </c>
      <c r="E14" t="s">
        <v>25</v>
      </c>
      <c r="F14" t="s">
        <v>25</v>
      </c>
      <c r="G14" t="s">
        <v>25</v>
      </c>
      <c r="H14" t="s">
        <v>3</v>
      </c>
      <c r="I14" t="s">
        <v>25</v>
      </c>
      <c r="J14" t="s">
        <v>25</v>
      </c>
      <c r="K14" t="s">
        <v>3</v>
      </c>
      <c r="L14" t="s">
        <v>3</v>
      </c>
      <c r="M14" t="s">
        <v>3</v>
      </c>
      <c r="N14" t="s">
        <v>24</v>
      </c>
      <c r="O14" t="s">
        <v>25</v>
      </c>
      <c r="P14" t="s">
        <v>3</v>
      </c>
      <c r="Q14" t="s">
        <v>3</v>
      </c>
      <c r="R14" t="s">
        <v>3</v>
      </c>
      <c r="S14" t="s">
        <v>365</v>
      </c>
      <c r="T14" t="s">
        <v>368</v>
      </c>
      <c r="U14" t="s">
        <v>366</v>
      </c>
    </row>
    <row r="15" spans="1:21" x14ac:dyDescent="0.2">
      <c r="A15">
        <v>60</v>
      </c>
      <c r="B15">
        <v>1</v>
      </c>
      <c r="C15" t="s">
        <v>3</v>
      </c>
      <c r="D15" t="s">
        <v>24</v>
      </c>
      <c r="E15" t="s">
        <v>25</v>
      </c>
      <c r="F15" t="s">
        <v>25</v>
      </c>
      <c r="G15" t="s">
        <v>25</v>
      </c>
      <c r="H15" t="s">
        <v>3</v>
      </c>
      <c r="I15" t="s">
        <v>25</v>
      </c>
      <c r="J15" t="s">
        <v>25</v>
      </c>
      <c r="K15" t="s">
        <v>3</v>
      </c>
      <c r="L15" t="s">
        <v>3</v>
      </c>
      <c r="M15" t="s">
        <v>3</v>
      </c>
      <c r="N15" t="s">
        <v>24</v>
      </c>
      <c r="O15" t="s">
        <v>25</v>
      </c>
      <c r="P15" t="s">
        <v>3</v>
      </c>
      <c r="Q15" t="s">
        <v>3</v>
      </c>
      <c r="R15" t="s">
        <v>3</v>
      </c>
      <c r="S15" t="s">
        <v>365</v>
      </c>
      <c r="T15" t="s">
        <v>368</v>
      </c>
      <c r="U15" t="s">
        <v>366</v>
      </c>
    </row>
    <row r="16" spans="1:21" x14ac:dyDescent="0.2">
      <c r="A16">
        <v>61</v>
      </c>
      <c r="B16">
        <v>1</v>
      </c>
      <c r="C16" t="s">
        <v>3</v>
      </c>
      <c r="D16" t="s">
        <v>24</v>
      </c>
      <c r="E16" t="s">
        <v>25</v>
      </c>
      <c r="F16" t="s">
        <v>25</v>
      </c>
      <c r="G16" t="s">
        <v>25</v>
      </c>
      <c r="H16" t="s">
        <v>3</v>
      </c>
      <c r="I16" t="s">
        <v>25</v>
      </c>
      <c r="J16" t="s">
        <v>25</v>
      </c>
      <c r="K16" t="s">
        <v>3</v>
      </c>
      <c r="L16" t="s">
        <v>3</v>
      </c>
      <c r="M16" t="s">
        <v>3</v>
      </c>
      <c r="N16" t="s">
        <v>24</v>
      </c>
      <c r="O16" t="s">
        <v>25</v>
      </c>
      <c r="P16" t="s">
        <v>3</v>
      </c>
      <c r="Q16" t="s">
        <v>3</v>
      </c>
      <c r="R16" t="s">
        <v>3</v>
      </c>
      <c r="S16" t="s">
        <v>365</v>
      </c>
      <c r="T16" t="s">
        <v>368</v>
      </c>
      <c r="U16" t="s">
        <v>366</v>
      </c>
    </row>
    <row r="17" spans="1:21" x14ac:dyDescent="0.2">
      <c r="A17">
        <v>66</v>
      </c>
      <c r="B17">
        <v>1</v>
      </c>
      <c r="C17" t="s">
        <v>3</v>
      </c>
      <c r="D17" t="s">
        <v>24</v>
      </c>
      <c r="E17" t="s">
        <v>25</v>
      </c>
      <c r="F17" t="s">
        <v>25</v>
      </c>
      <c r="G17" t="s">
        <v>25</v>
      </c>
      <c r="H17" t="s">
        <v>3</v>
      </c>
      <c r="I17" t="s">
        <v>25</v>
      </c>
      <c r="J17" t="s">
        <v>25</v>
      </c>
      <c r="K17" t="s">
        <v>3</v>
      </c>
      <c r="L17" t="s">
        <v>3</v>
      </c>
      <c r="M17" t="s">
        <v>3</v>
      </c>
      <c r="N17" t="s">
        <v>24</v>
      </c>
      <c r="O17" t="s">
        <v>25</v>
      </c>
      <c r="P17" t="s">
        <v>3</v>
      </c>
      <c r="Q17" t="s">
        <v>3</v>
      </c>
      <c r="R17" t="s">
        <v>3</v>
      </c>
      <c r="S17" t="s">
        <v>365</v>
      </c>
      <c r="T17" t="s">
        <v>368</v>
      </c>
      <c r="U17" t="s">
        <v>366</v>
      </c>
    </row>
    <row r="18" spans="1:21" x14ac:dyDescent="0.2">
      <c r="A18">
        <v>67</v>
      </c>
      <c r="B18">
        <v>1</v>
      </c>
      <c r="C18" t="s">
        <v>3</v>
      </c>
      <c r="D18" t="s">
        <v>24</v>
      </c>
      <c r="E18" t="s">
        <v>25</v>
      </c>
      <c r="F18" t="s">
        <v>25</v>
      </c>
      <c r="G18" t="s">
        <v>25</v>
      </c>
      <c r="H18" t="s">
        <v>3</v>
      </c>
      <c r="I18" t="s">
        <v>25</v>
      </c>
      <c r="J18" t="s">
        <v>25</v>
      </c>
      <c r="K18" t="s">
        <v>3</v>
      </c>
      <c r="L18" t="s">
        <v>3</v>
      </c>
      <c r="M18" t="s">
        <v>3</v>
      </c>
      <c r="N18" t="s">
        <v>24</v>
      </c>
      <c r="O18" t="s">
        <v>25</v>
      </c>
      <c r="P18" t="s">
        <v>3</v>
      </c>
      <c r="Q18" t="s">
        <v>3</v>
      </c>
      <c r="R18" t="s">
        <v>3</v>
      </c>
      <c r="S18" t="s">
        <v>365</v>
      </c>
      <c r="T18" t="s">
        <v>368</v>
      </c>
      <c r="U18" t="s">
        <v>366</v>
      </c>
    </row>
    <row r="19" spans="1:21" x14ac:dyDescent="0.2">
      <c r="A19">
        <v>70</v>
      </c>
      <c r="B19">
        <v>1</v>
      </c>
      <c r="C19" t="s">
        <v>3</v>
      </c>
      <c r="D19" t="s">
        <v>24</v>
      </c>
      <c r="E19" t="s">
        <v>25</v>
      </c>
      <c r="F19" t="s">
        <v>25</v>
      </c>
      <c r="G19" t="s">
        <v>25</v>
      </c>
      <c r="H19" t="s">
        <v>3</v>
      </c>
      <c r="I19" t="s">
        <v>25</v>
      </c>
      <c r="J19" t="s">
        <v>25</v>
      </c>
      <c r="K19" t="s">
        <v>3</v>
      </c>
      <c r="L19" t="s">
        <v>3</v>
      </c>
      <c r="M19" t="s">
        <v>3</v>
      </c>
      <c r="N19" t="s">
        <v>24</v>
      </c>
      <c r="O19" t="s">
        <v>25</v>
      </c>
      <c r="P19" t="s">
        <v>3</v>
      </c>
      <c r="Q19" t="s">
        <v>3</v>
      </c>
      <c r="R19" t="s">
        <v>3</v>
      </c>
      <c r="S19" t="s">
        <v>365</v>
      </c>
      <c r="T19" t="s">
        <v>368</v>
      </c>
      <c r="U19" t="s">
        <v>366</v>
      </c>
    </row>
    <row r="20" spans="1:21" x14ac:dyDescent="0.2">
      <c r="A20">
        <v>71</v>
      </c>
      <c r="B20">
        <v>1</v>
      </c>
      <c r="C20" t="s">
        <v>3</v>
      </c>
      <c r="D20" t="s">
        <v>24</v>
      </c>
      <c r="E20" t="s">
        <v>25</v>
      </c>
      <c r="F20" t="s">
        <v>25</v>
      </c>
      <c r="G20" t="s">
        <v>25</v>
      </c>
      <c r="H20" t="s">
        <v>3</v>
      </c>
      <c r="I20" t="s">
        <v>25</v>
      </c>
      <c r="J20" t="s">
        <v>25</v>
      </c>
      <c r="K20" t="s">
        <v>3</v>
      </c>
      <c r="L20" t="s">
        <v>3</v>
      </c>
      <c r="M20" t="s">
        <v>3</v>
      </c>
      <c r="N20" t="s">
        <v>24</v>
      </c>
      <c r="O20" t="s">
        <v>25</v>
      </c>
      <c r="P20" t="s">
        <v>3</v>
      </c>
      <c r="Q20" t="s">
        <v>3</v>
      </c>
      <c r="R20" t="s">
        <v>3</v>
      </c>
      <c r="S20" t="s">
        <v>365</v>
      </c>
      <c r="T20" t="s">
        <v>368</v>
      </c>
      <c r="U20" t="s">
        <v>366</v>
      </c>
    </row>
    <row r="21" spans="1:21" x14ac:dyDescent="0.2">
      <c r="A21">
        <v>76</v>
      </c>
      <c r="B21">
        <v>1</v>
      </c>
      <c r="C21" t="s">
        <v>3</v>
      </c>
      <c r="D21" t="s">
        <v>24</v>
      </c>
      <c r="E21" t="s">
        <v>25</v>
      </c>
      <c r="F21" t="s">
        <v>25</v>
      </c>
      <c r="G21" t="s">
        <v>25</v>
      </c>
      <c r="H21" t="s">
        <v>3</v>
      </c>
      <c r="I21" t="s">
        <v>25</v>
      </c>
      <c r="J21" t="s">
        <v>25</v>
      </c>
      <c r="K21" t="s">
        <v>3</v>
      </c>
      <c r="L21" t="s">
        <v>3</v>
      </c>
      <c r="M21" t="s">
        <v>3</v>
      </c>
      <c r="N21" t="s">
        <v>24</v>
      </c>
      <c r="O21" t="s">
        <v>25</v>
      </c>
      <c r="P21" t="s">
        <v>3</v>
      </c>
      <c r="Q21" t="s">
        <v>3</v>
      </c>
      <c r="R21" t="s">
        <v>3</v>
      </c>
      <c r="S21" t="s">
        <v>365</v>
      </c>
      <c r="T21" t="s">
        <v>368</v>
      </c>
      <c r="U21" t="s">
        <v>366</v>
      </c>
    </row>
    <row r="22" spans="1:21" x14ac:dyDescent="0.2">
      <c r="A22">
        <v>77</v>
      </c>
      <c r="B22">
        <v>1</v>
      </c>
      <c r="C22" t="s">
        <v>3</v>
      </c>
      <c r="D22" t="s">
        <v>24</v>
      </c>
      <c r="E22" t="s">
        <v>25</v>
      </c>
      <c r="F22" t="s">
        <v>25</v>
      </c>
      <c r="G22" t="s">
        <v>25</v>
      </c>
      <c r="H22" t="s">
        <v>3</v>
      </c>
      <c r="I22" t="s">
        <v>25</v>
      </c>
      <c r="J22" t="s">
        <v>25</v>
      </c>
      <c r="K22" t="s">
        <v>3</v>
      </c>
      <c r="L22" t="s">
        <v>3</v>
      </c>
      <c r="M22" t="s">
        <v>3</v>
      </c>
      <c r="N22" t="s">
        <v>24</v>
      </c>
      <c r="O22" t="s">
        <v>25</v>
      </c>
      <c r="P22" t="s">
        <v>3</v>
      </c>
      <c r="Q22" t="s">
        <v>3</v>
      </c>
      <c r="R22" t="s">
        <v>3</v>
      </c>
      <c r="S22" t="s">
        <v>365</v>
      </c>
      <c r="T22" t="s">
        <v>368</v>
      </c>
      <c r="U22" t="s">
        <v>366</v>
      </c>
    </row>
    <row r="23" spans="1:21" x14ac:dyDescent="0.2">
      <c r="A23">
        <v>82</v>
      </c>
      <c r="B23">
        <v>1</v>
      </c>
      <c r="C23" t="s">
        <v>3</v>
      </c>
      <c r="D23" t="s">
        <v>24</v>
      </c>
      <c r="E23" t="s">
        <v>25</v>
      </c>
      <c r="F23" t="s">
        <v>25</v>
      </c>
      <c r="G23" t="s">
        <v>25</v>
      </c>
      <c r="H23" t="s">
        <v>3</v>
      </c>
      <c r="I23" t="s">
        <v>25</v>
      </c>
      <c r="J23" t="s">
        <v>25</v>
      </c>
      <c r="K23" t="s">
        <v>3</v>
      </c>
      <c r="L23" t="s">
        <v>3</v>
      </c>
      <c r="M23" t="s">
        <v>3</v>
      </c>
      <c r="N23" t="s">
        <v>24</v>
      </c>
      <c r="O23" t="s">
        <v>25</v>
      </c>
      <c r="P23" t="s">
        <v>3</v>
      </c>
      <c r="Q23" t="s">
        <v>3</v>
      </c>
      <c r="R23" t="s">
        <v>3</v>
      </c>
      <c r="S23" t="s">
        <v>365</v>
      </c>
      <c r="T23" t="s">
        <v>368</v>
      </c>
      <c r="U23" t="s">
        <v>366</v>
      </c>
    </row>
    <row r="24" spans="1:21" x14ac:dyDescent="0.2">
      <c r="A24">
        <v>83</v>
      </c>
      <c r="B24">
        <v>1</v>
      </c>
      <c r="C24" t="s">
        <v>3</v>
      </c>
      <c r="D24" t="s">
        <v>24</v>
      </c>
      <c r="E24" t="s">
        <v>25</v>
      </c>
      <c r="F24" t="s">
        <v>25</v>
      </c>
      <c r="G24" t="s">
        <v>25</v>
      </c>
      <c r="H24" t="s">
        <v>3</v>
      </c>
      <c r="I24" t="s">
        <v>25</v>
      </c>
      <c r="J24" t="s">
        <v>25</v>
      </c>
      <c r="K24" t="s">
        <v>3</v>
      </c>
      <c r="L24" t="s">
        <v>3</v>
      </c>
      <c r="M24" t="s">
        <v>3</v>
      </c>
      <c r="N24" t="s">
        <v>24</v>
      </c>
      <c r="O24" t="s">
        <v>25</v>
      </c>
      <c r="P24" t="s">
        <v>3</v>
      </c>
      <c r="Q24" t="s">
        <v>3</v>
      </c>
      <c r="R24" t="s">
        <v>3</v>
      </c>
      <c r="S24" t="s">
        <v>365</v>
      </c>
      <c r="T24" t="s">
        <v>368</v>
      </c>
      <c r="U24" t="s">
        <v>366</v>
      </c>
    </row>
    <row r="25" spans="1:21" x14ac:dyDescent="0.2">
      <c r="A25">
        <v>127</v>
      </c>
      <c r="B25">
        <v>1</v>
      </c>
      <c r="C25" t="s">
        <v>3</v>
      </c>
      <c r="D25" t="s">
        <v>24</v>
      </c>
      <c r="E25" t="s">
        <v>25</v>
      </c>
      <c r="F25" t="s">
        <v>25</v>
      </c>
      <c r="G25" t="s">
        <v>25</v>
      </c>
      <c r="H25" t="s">
        <v>3</v>
      </c>
      <c r="I25" t="s">
        <v>25</v>
      </c>
      <c r="J25" t="s">
        <v>25</v>
      </c>
      <c r="K25" t="s">
        <v>3</v>
      </c>
      <c r="L25" t="s">
        <v>3</v>
      </c>
      <c r="M25" t="s">
        <v>3</v>
      </c>
      <c r="N25" t="s">
        <v>24</v>
      </c>
      <c r="O25" t="s">
        <v>25</v>
      </c>
      <c r="P25" t="s">
        <v>3</v>
      </c>
      <c r="Q25" t="s">
        <v>3</v>
      </c>
      <c r="R25" t="s">
        <v>3</v>
      </c>
      <c r="S25" t="s">
        <v>365</v>
      </c>
      <c r="T25" t="s">
        <v>368</v>
      </c>
      <c r="U25" t="s">
        <v>366</v>
      </c>
    </row>
    <row r="26" spans="1:21" x14ac:dyDescent="0.2">
      <c r="A26">
        <v>128</v>
      </c>
      <c r="B26">
        <v>1</v>
      </c>
      <c r="C26" t="s">
        <v>3</v>
      </c>
      <c r="D26" t="s">
        <v>24</v>
      </c>
      <c r="E26" t="s">
        <v>25</v>
      </c>
      <c r="F26" t="s">
        <v>25</v>
      </c>
      <c r="G26" t="s">
        <v>25</v>
      </c>
      <c r="H26" t="s">
        <v>3</v>
      </c>
      <c r="I26" t="s">
        <v>25</v>
      </c>
      <c r="J26" t="s">
        <v>25</v>
      </c>
      <c r="K26" t="s">
        <v>3</v>
      </c>
      <c r="L26" t="s">
        <v>3</v>
      </c>
      <c r="M26" t="s">
        <v>3</v>
      </c>
      <c r="N26" t="s">
        <v>24</v>
      </c>
      <c r="O26" t="s">
        <v>25</v>
      </c>
      <c r="P26" t="s">
        <v>3</v>
      </c>
      <c r="Q26" t="s">
        <v>3</v>
      </c>
      <c r="R26" t="s">
        <v>3</v>
      </c>
      <c r="S26" t="s">
        <v>365</v>
      </c>
      <c r="T26" t="s">
        <v>368</v>
      </c>
      <c r="U26" t="s">
        <v>366</v>
      </c>
    </row>
    <row r="27" spans="1:21" x14ac:dyDescent="0.2">
      <c r="A27">
        <v>131</v>
      </c>
      <c r="B27">
        <v>1</v>
      </c>
      <c r="C27" t="s">
        <v>3</v>
      </c>
      <c r="D27" t="s">
        <v>24</v>
      </c>
      <c r="E27" t="s">
        <v>25</v>
      </c>
      <c r="F27" t="s">
        <v>25</v>
      </c>
      <c r="G27" t="s">
        <v>25</v>
      </c>
      <c r="H27" t="s">
        <v>3</v>
      </c>
      <c r="I27" t="s">
        <v>25</v>
      </c>
      <c r="J27" t="s">
        <v>25</v>
      </c>
      <c r="K27" t="s">
        <v>3</v>
      </c>
      <c r="L27" t="s">
        <v>3</v>
      </c>
      <c r="M27" t="s">
        <v>3</v>
      </c>
      <c r="N27" t="s">
        <v>24</v>
      </c>
      <c r="O27" t="s">
        <v>25</v>
      </c>
      <c r="P27" t="s">
        <v>3</v>
      </c>
      <c r="Q27" t="s">
        <v>3</v>
      </c>
      <c r="R27" t="s">
        <v>3</v>
      </c>
      <c r="S27" t="s">
        <v>365</v>
      </c>
      <c r="T27" t="s">
        <v>368</v>
      </c>
      <c r="U27" t="s">
        <v>366</v>
      </c>
    </row>
    <row r="28" spans="1:21" x14ac:dyDescent="0.2">
      <c r="A28">
        <v>132</v>
      </c>
      <c r="B28">
        <v>1</v>
      </c>
      <c r="C28" t="s">
        <v>3</v>
      </c>
      <c r="D28" t="s">
        <v>24</v>
      </c>
      <c r="E28" t="s">
        <v>25</v>
      </c>
      <c r="F28" t="s">
        <v>25</v>
      </c>
      <c r="G28" t="s">
        <v>25</v>
      </c>
      <c r="H28" t="s">
        <v>3</v>
      </c>
      <c r="I28" t="s">
        <v>25</v>
      </c>
      <c r="J28" t="s">
        <v>25</v>
      </c>
      <c r="K28" t="s">
        <v>3</v>
      </c>
      <c r="L28" t="s">
        <v>3</v>
      </c>
      <c r="M28" t="s">
        <v>3</v>
      </c>
      <c r="N28" t="s">
        <v>24</v>
      </c>
      <c r="O28" t="s">
        <v>25</v>
      </c>
      <c r="P28" t="s">
        <v>3</v>
      </c>
      <c r="Q28" t="s">
        <v>3</v>
      </c>
      <c r="R28" t="s">
        <v>3</v>
      </c>
      <c r="S28" t="s">
        <v>365</v>
      </c>
      <c r="T28" t="s">
        <v>368</v>
      </c>
      <c r="U28" t="s">
        <v>366</v>
      </c>
    </row>
    <row r="29" spans="1:21" x14ac:dyDescent="0.2">
      <c r="A29">
        <v>135</v>
      </c>
      <c r="B29">
        <v>1</v>
      </c>
      <c r="C29" t="s">
        <v>3</v>
      </c>
      <c r="D29" t="s">
        <v>24</v>
      </c>
      <c r="E29" t="s">
        <v>25</v>
      </c>
      <c r="F29" t="s">
        <v>25</v>
      </c>
      <c r="G29" t="s">
        <v>25</v>
      </c>
      <c r="H29" t="s">
        <v>3</v>
      </c>
      <c r="I29" t="s">
        <v>25</v>
      </c>
      <c r="J29" t="s">
        <v>25</v>
      </c>
      <c r="K29" t="s">
        <v>3</v>
      </c>
      <c r="L29" t="s">
        <v>3</v>
      </c>
      <c r="M29" t="s">
        <v>3</v>
      </c>
      <c r="N29" t="s">
        <v>24</v>
      </c>
      <c r="O29" t="s">
        <v>25</v>
      </c>
      <c r="P29" t="s">
        <v>3</v>
      </c>
      <c r="Q29" t="s">
        <v>3</v>
      </c>
      <c r="R29" t="s">
        <v>3</v>
      </c>
      <c r="S29" t="s">
        <v>365</v>
      </c>
      <c r="T29" t="s">
        <v>368</v>
      </c>
      <c r="U29" t="s">
        <v>366</v>
      </c>
    </row>
    <row r="30" spans="1:21" x14ac:dyDescent="0.2">
      <c r="A30">
        <v>136</v>
      </c>
      <c r="B30">
        <v>1</v>
      </c>
      <c r="C30" t="s">
        <v>3</v>
      </c>
      <c r="D30" t="s">
        <v>24</v>
      </c>
      <c r="E30" t="s">
        <v>25</v>
      </c>
      <c r="F30" t="s">
        <v>25</v>
      </c>
      <c r="G30" t="s">
        <v>25</v>
      </c>
      <c r="H30" t="s">
        <v>3</v>
      </c>
      <c r="I30" t="s">
        <v>25</v>
      </c>
      <c r="J30" t="s">
        <v>25</v>
      </c>
      <c r="K30" t="s">
        <v>3</v>
      </c>
      <c r="L30" t="s">
        <v>3</v>
      </c>
      <c r="M30" t="s">
        <v>3</v>
      </c>
      <c r="N30" t="s">
        <v>24</v>
      </c>
      <c r="O30" t="s">
        <v>25</v>
      </c>
      <c r="P30" t="s">
        <v>3</v>
      </c>
      <c r="Q30" t="s">
        <v>3</v>
      </c>
      <c r="R30" t="s">
        <v>3</v>
      </c>
      <c r="S30" t="s">
        <v>365</v>
      </c>
      <c r="T30" t="s">
        <v>368</v>
      </c>
      <c r="U30" t="s">
        <v>366</v>
      </c>
    </row>
    <row r="31" spans="1:21" x14ac:dyDescent="0.2">
      <c r="A31">
        <v>174</v>
      </c>
      <c r="B31">
        <v>1</v>
      </c>
      <c r="C31" t="s">
        <v>3</v>
      </c>
      <c r="D31" t="s">
        <v>24</v>
      </c>
      <c r="E31" t="s">
        <v>25</v>
      </c>
      <c r="F31" t="s">
        <v>25</v>
      </c>
      <c r="G31" t="s">
        <v>25</v>
      </c>
      <c r="H31" t="s">
        <v>3</v>
      </c>
      <c r="I31" t="s">
        <v>25</v>
      </c>
      <c r="J31" t="s">
        <v>25</v>
      </c>
      <c r="K31" t="s">
        <v>3</v>
      </c>
      <c r="L31" t="s">
        <v>3</v>
      </c>
      <c r="M31" t="s">
        <v>3</v>
      </c>
      <c r="N31" t="s">
        <v>24</v>
      </c>
      <c r="O31" t="s">
        <v>25</v>
      </c>
      <c r="P31" t="s">
        <v>3</v>
      </c>
      <c r="Q31" t="s">
        <v>3</v>
      </c>
      <c r="R31" t="s">
        <v>3</v>
      </c>
      <c r="S31" t="s">
        <v>365</v>
      </c>
      <c r="T31" t="s">
        <v>368</v>
      </c>
      <c r="U31" t="s">
        <v>366</v>
      </c>
    </row>
    <row r="32" spans="1:21" x14ac:dyDescent="0.2">
      <c r="A32">
        <v>175</v>
      </c>
      <c r="B32">
        <v>1</v>
      </c>
      <c r="C32" t="s">
        <v>3</v>
      </c>
      <c r="D32" t="s">
        <v>24</v>
      </c>
      <c r="E32" t="s">
        <v>25</v>
      </c>
      <c r="F32" t="s">
        <v>25</v>
      </c>
      <c r="G32" t="s">
        <v>25</v>
      </c>
      <c r="H32" t="s">
        <v>3</v>
      </c>
      <c r="I32" t="s">
        <v>25</v>
      </c>
      <c r="J32" t="s">
        <v>25</v>
      </c>
      <c r="K32" t="s">
        <v>3</v>
      </c>
      <c r="L32" t="s">
        <v>3</v>
      </c>
      <c r="M32" t="s">
        <v>3</v>
      </c>
      <c r="N32" t="s">
        <v>24</v>
      </c>
      <c r="O32" t="s">
        <v>25</v>
      </c>
      <c r="P32" t="s">
        <v>3</v>
      </c>
      <c r="Q32" t="s">
        <v>3</v>
      </c>
      <c r="R32" t="s">
        <v>3</v>
      </c>
      <c r="S32" t="s">
        <v>365</v>
      </c>
      <c r="T32" t="s">
        <v>368</v>
      </c>
      <c r="U32" t="s">
        <v>366</v>
      </c>
    </row>
    <row r="33" spans="1:21" x14ac:dyDescent="0.2">
      <c r="A33">
        <v>182</v>
      </c>
      <c r="B33">
        <v>1</v>
      </c>
      <c r="C33" t="s">
        <v>3</v>
      </c>
      <c r="D33" t="s">
        <v>3</v>
      </c>
      <c r="E33" t="s">
        <v>25</v>
      </c>
      <c r="F33" t="s">
        <v>25</v>
      </c>
      <c r="G33" t="s">
        <v>25</v>
      </c>
      <c r="H33" t="s">
        <v>3</v>
      </c>
      <c r="I33" t="s">
        <v>25</v>
      </c>
      <c r="J33" t="s">
        <v>25</v>
      </c>
      <c r="K33" t="s">
        <v>3</v>
      </c>
      <c r="L33" t="s">
        <v>3</v>
      </c>
      <c r="M33" t="s">
        <v>3</v>
      </c>
      <c r="N33" t="s">
        <v>3</v>
      </c>
      <c r="O33" t="s">
        <v>25</v>
      </c>
      <c r="P33" t="s">
        <v>3</v>
      </c>
      <c r="Q33" t="s">
        <v>3</v>
      </c>
      <c r="R33" t="s">
        <v>3</v>
      </c>
      <c r="S33" t="s">
        <v>367</v>
      </c>
      <c r="T33" t="s">
        <v>370</v>
      </c>
      <c r="U33" t="s">
        <v>366</v>
      </c>
    </row>
    <row r="34" spans="1:21" x14ac:dyDescent="0.2">
      <c r="A34">
        <v>183</v>
      </c>
      <c r="B34">
        <v>1</v>
      </c>
      <c r="C34" t="s">
        <v>3</v>
      </c>
      <c r="D34" t="s">
        <v>3</v>
      </c>
      <c r="E34" t="s">
        <v>25</v>
      </c>
      <c r="F34" t="s">
        <v>25</v>
      </c>
      <c r="G34" t="s">
        <v>25</v>
      </c>
      <c r="H34" t="s">
        <v>3</v>
      </c>
      <c r="I34" t="s">
        <v>25</v>
      </c>
      <c r="J34" t="s">
        <v>25</v>
      </c>
      <c r="K34" t="s">
        <v>3</v>
      </c>
      <c r="L34" t="s">
        <v>3</v>
      </c>
      <c r="M34" t="s">
        <v>3</v>
      </c>
      <c r="N34" t="s">
        <v>3</v>
      </c>
      <c r="O34" t="s">
        <v>25</v>
      </c>
      <c r="P34" t="s">
        <v>3</v>
      </c>
      <c r="Q34" t="s">
        <v>3</v>
      </c>
      <c r="R34" t="s">
        <v>3</v>
      </c>
      <c r="S34" t="s">
        <v>367</v>
      </c>
      <c r="T34" t="s">
        <v>370</v>
      </c>
      <c r="U34" t="s">
        <v>366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12"/>
  <sheetViews>
    <sheetView workbookViewId="0"/>
  </sheetViews>
  <sheetFormatPr defaultColWidth="9.140625" defaultRowHeight="12.75" x14ac:dyDescent="0.2"/>
  <cols>
    <col min="1" max="256" width="9.140625" customWidth="1"/>
  </cols>
  <sheetData>
    <row r="1" spans="1:103" x14ac:dyDescent="0.2">
      <c r="A1">
        <v>0</v>
      </c>
      <c r="B1" t="s">
        <v>0</v>
      </c>
      <c r="D1" t="s">
        <v>1</v>
      </c>
      <c r="F1">
        <v>0</v>
      </c>
      <c r="G1">
        <v>0</v>
      </c>
      <c r="H1">
        <v>0</v>
      </c>
      <c r="I1" t="s">
        <v>2</v>
      </c>
      <c r="J1" t="s">
        <v>3</v>
      </c>
      <c r="K1">
        <v>1</v>
      </c>
      <c r="L1">
        <v>74563</v>
      </c>
      <c r="M1">
        <v>10</v>
      </c>
      <c r="N1">
        <v>12</v>
      </c>
      <c r="O1">
        <v>1</v>
      </c>
      <c r="P1">
        <v>0</v>
      </c>
      <c r="Q1">
        <v>0</v>
      </c>
    </row>
    <row r="12" spans="1:103" x14ac:dyDescent="0.2">
      <c r="F12" t="str">
        <f>Source!F12</f>
        <v/>
      </c>
      <c r="G12" t="str">
        <f>Source!G12</f>
        <v>02-01-09 СОУЭ</v>
      </c>
      <c r="AB12" t="s">
        <v>3</v>
      </c>
      <c r="AC12" t="s">
        <v>3</v>
      </c>
      <c r="AD12" t="s">
        <v>3</v>
      </c>
      <c r="AE12" t="s">
        <v>3</v>
      </c>
      <c r="AF12" t="s">
        <v>3</v>
      </c>
      <c r="AG12" t="s">
        <v>3</v>
      </c>
      <c r="AH12" t="s">
        <v>3</v>
      </c>
      <c r="AI12" t="s">
        <v>3</v>
      </c>
      <c r="AJ12">
        <v>0</v>
      </c>
      <c r="AK12" t="s">
        <v>3</v>
      </c>
      <c r="AL12" t="s">
        <v>3</v>
      </c>
      <c r="AM12" t="s">
        <v>3</v>
      </c>
      <c r="CY12">
        <v>0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8</vt:i4>
      </vt:variant>
      <vt:variant>
        <vt:lpstr>Именованные диапазоны</vt:lpstr>
      </vt:variant>
      <vt:variant>
        <vt:i4>4</vt:i4>
      </vt:variant>
    </vt:vector>
  </HeadingPairs>
  <TitlesOfParts>
    <vt:vector size="12" baseType="lpstr">
      <vt:lpstr>02-01-09</vt:lpstr>
      <vt:lpstr>Ведомость объемов работ</vt:lpstr>
      <vt:lpstr>Source</vt:lpstr>
      <vt:lpstr>SourceObSm</vt:lpstr>
      <vt:lpstr>SmtRes</vt:lpstr>
      <vt:lpstr>EtalonRes</vt:lpstr>
      <vt:lpstr>SrcPoprs</vt:lpstr>
      <vt:lpstr>SrcKA</vt:lpstr>
      <vt:lpstr>'02-01-09'!Заголовки_для_печати</vt:lpstr>
      <vt:lpstr>'Ведомость объемов работ'!Заголовки_для_печати</vt:lpstr>
      <vt:lpstr>'02-01-09'!Область_печати</vt:lpstr>
      <vt:lpstr>'Ведомость объемов работ'!Область_печати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Соколова Ирина Николаевна</cp:lastModifiedBy>
  <dcterms:created xsi:type="dcterms:W3CDTF">2026-04-10T11:19:26Z</dcterms:created>
  <dcterms:modified xsi:type="dcterms:W3CDTF">2026-04-13T06:24:07Z</dcterms:modified>
</cp:coreProperties>
</file>