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Кузьмичева\"/>
    </mc:Choice>
  </mc:AlternateContent>
  <bookViews>
    <workbookView xWindow="0" yWindow="0" windowWidth="28800" windowHeight="12490"/>
  </bookViews>
  <sheets>
    <sheet name="б_н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б_н!$34:$34</definedName>
    <definedName name="_xlnm.Print_Titles" localSheetId="1">'Ведомость объемов работ'!$17:$17</definedName>
    <definedName name="_xlnm.Print_Area" localSheetId="0">б_н!$A$1:$K$64</definedName>
    <definedName name="_xlnm.Print_Area" localSheetId="1">'Ведомость объемов работ'!$A$1:$H$30</definedName>
  </definedNames>
  <calcPr calcId="162913"/>
</workbook>
</file>

<file path=xl/calcChain.xml><?xml version="1.0" encoding="utf-8"?>
<calcChain xmlns="http://schemas.openxmlformats.org/spreadsheetml/2006/main">
  <c r="D28" i="8" l="1"/>
  <c r="D26" i="8"/>
  <c r="G23" i="8"/>
  <c r="F23" i="8"/>
  <c r="E23" i="8"/>
  <c r="C23" i="8"/>
  <c r="B23" i="8"/>
  <c r="G22" i="8"/>
  <c r="F22" i="8"/>
  <c r="E22" i="8"/>
  <c r="C22" i="8"/>
  <c r="B22" i="8"/>
  <c r="G21" i="8"/>
  <c r="F21" i="8"/>
  <c r="E21" i="8"/>
  <c r="C21" i="8"/>
  <c r="B21" i="8"/>
  <c r="G20" i="8"/>
  <c r="F20" i="8"/>
  <c r="E20" i="8"/>
  <c r="C20" i="8"/>
  <c r="B20" i="8"/>
  <c r="A19" i="8"/>
  <c r="A18" i="8"/>
  <c r="B13" i="8"/>
  <c r="B12" i="8"/>
  <c r="A1" i="8"/>
  <c r="H62" i="7"/>
  <c r="H59" i="7"/>
  <c r="C62" i="7"/>
  <c r="C59" i="7"/>
  <c r="J26" i="7"/>
  <c r="J25" i="7"/>
  <c r="J24" i="7"/>
  <c r="J23" i="7"/>
  <c r="J22" i="7"/>
  <c r="J21" i="7" s="1"/>
  <c r="I27" i="7"/>
  <c r="I26" i="7"/>
  <c r="I25" i="7"/>
  <c r="I24" i="7"/>
  <c r="I23" i="7"/>
  <c r="I22" i="7"/>
  <c r="I21" i="7" s="1"/>
  <c r="I55" i="7"/>
  <c r="J55" i="7"/>
  <c r="H54" i="7"/>
  <c r="J54" i="7"/>
  <c r="A54" i="7"/>
  <c r="I51" i="7"/>
  <c r="J51" i="7"/>
  <c r="H50" i="7"/>
  <c r="J50" i="7"/>
  <c r="A50" i="7"/>
  <c r="J47" i="7"/>
  <c r="K46" i="7"/>
  <c r="Z46" i="7" s="1"/>
  <c r="J46" i="7"/>
  <c r="I46" i="7"/>
  <c r="H47" i="7" s="1"/>
  <c r="H46" i="7"/>
  <c r="G46" i="7"/>
  <c r="F46" i="7"/>
  <c r="V46" i="7"/>
  <c r="T46" i="7"/>
  <c r="R46" i="7"/>
  <c r="U46" i="7"/>
  <c r="S46" i="7"/>
  <c r="Q46" i="7"/>
  <c r="E46" i="7"/>
  <c r="D46" i="7"/>
  <c r="B46" i="7"/>
  <c r="J44" i="7"/>
  <c r="K43" i="7"/>
  <c r="Z43" i="7" s="1"/>
  <c r="J43" i="7"/>
  <c r="Y43" i="7"/>
  <c r="I43" i="7"/>
  <c r="H44" i="7" s="1"/>
  <c r="H43" i="7"/>
  <c r="G43" i="7"/>
  <c r="F43" i="7"/>
  <c r="V43" i="7"/>
  <c r="T43" i="7"/>
  <c r="R43" i="7"/>
  <c r="U43" i="7"/>
  <c r="S43" i="7"/>
  <c r="Q43" i="7"/>
  <c r="E43" i="7"/>
  <c r="D43" i="7"/>
  <c r="B43" i="7"/>
  <c r="K40" i="7"/>
  <c r="Z40" i="7" s="1"/>
  <c r="J40" i="7"/>
  <c r="I40" i="7"/>
  <c r="Y40" i="7" s="1"/>
  <c r="H40" i="7"/>
  <c r="G40" i="7"/>
  <c r="F40" i="7"/>
  <c r="V40" i="7"/>
  <c r="T40" i="7"/>
  <c r="R40" i="7"/>
  <c r="U40" i="7"/>
  <c r="S40" i="7"/>
  <c r="Q40" i="7"/>
  <c r="E40" i="7"/>
  <c r="D40" i="7"/>
  <c r="B40" i="7"/>
  <c r="K37" i="7"/>
  <c r="J38" i="7" s="1"/>
  <c r="J37" i="7"/>
  <c r="I37" i="7"/>
  <c r="H38" i="7" s="1"/>
  <c r="H37" i="7"/>
  <c r="G37" i="7"/>
  <c r="F37" i="7"/>
  <c r="V37" i="7"/>
  <c r="T37" i="7"/>
  <c r="R37" i="7"/>
  <c r="U37" i="7"/>
  <c r="S37" i="7"/>
  <c r="Q37" i="7"/>
  <c r="E37" i="7"/>
  <c r="D37" i="7"/>
  <c r="B37" i="7"/>
  <c r="A36" i="7"/>
  <c r="A18" i="7"/>
  <c r="A15" i="7"/>
  <c r="A13" i="7"/>
  <c r="G6" i="7"/>
  <c r="B6" i="7"/>
  <c r="A1" i="7"/>
  <c r="Y46" i="7" l="1"/>
  <c r="J41" i="7"/>
  <c r="Y37" i="7"/>
  <c r="H41" i="7"/>
  <c r="Z37" i="7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G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F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O28" i="1"/>
  <c r="U28" i="1"/>
  <c r="AB28" i="1"/>
  <c r="AC28" i="1"/>
  <c r="T28" i="1" s="1"/>
  <c r="AD28" i="1"/>
  <c r="AE28" i="1"/>
  <c r="AF28" i="1"/>
  <c r="AG28" i="1"/>
  <c r="AH28" i="1"/>
  <c r="AI28" i="1"/>
  <c r="AJ28" i="1"/>
  <c r="CP28" i="1"/>
  <c r="CQ28" i="1"/>
  <c r="P28" i="1" s="1"/>
  <c r="AC37" i="1" s="1"/>
  <c r="CR28" i="1"/>
  <c r="Q28" i="1" s="1"/>
  <c r="AD37" i="1" s="1"/>
  <c r="CS28" i="1"/>
  <c r="R28" i="1" s="1"/>
  <c r="CT28" i="1"/>
  <c r="S28" i="1" s="1"/>
  <c r="CV28" i="1"/>
  <c r="CW28" i="1"/>
  <c r="V28" i="1" s="1"/>
  <c r="AI37" i="1" s="1"/>
  <c r="CX28" i="1"/>
  <c r="W28" i="1" s="1"/>
  <c r="AJ37" i="1" s="1"/>
  <c r="CY28" i="1"/>
  <c r="X28" i="1" s="1"/>
  <c r="AK37" i="1" s="1"/>
  <c r="CZ28" i="1"/>
  <c r="Y28" i="1" s="1"/>
  <c r="GL28" i="1"/>
  <c r="GO28" i="1"/>
  <c r="GP28" i="1"/>
  <c r="GV28" i="1"/>
  <c r="HC28" i="1" s="1"/>
  <c r="GX28" i="1" s="1"/>
  <c r="Q29" i="1"/>
  <c r="R29" i="1"/>
  <c r="W29" i="1"/>
  <c r="X29" i="1"/>
  <c r="AB29" i="1"/>
  <c r="AC29" i="1"/>
  <c r="T29" i="1" s="1"/>
  <c r="DY37" i="1" s="1"/>
  <c r="AD29" i="1"/>
  <c r="AE29" i="1"/>
  <c r="AF29" i="1"/>
  <c r="AG29" i="1"/>
  <c r="AH29" i="1"/>
  <c r="AI29" i="1"/>
  <c r="AJ29" i="1"/>
  <c r="CP29" i="1"/>
  <c r="O29" i="1" s="1"/>
  <c r="CQ29" i="1"/>
  <c r="P29" i="1" s="1"/>
  <c r="CR29" i="1"/>
  <c r="CS29" i="1"/>
  <c r="CT29" i="1"/>
  <c r="S29" i="1" s="1"/>
  <c r="DX37" i="1" s="1"/>
  <c r="CU29" i="1"/>
  <c r="CV29" i="1"/>
  <c r="U29" i="1" s="1"/>
  <c r="CW29" i="1"/>
  <c r="V29" i="1" s="1"/>
  <c r="CX29" i="1"/>
  <c r="CY29" i="1"/>
  <c r="CZ29" i="1"/>
  <c r="Y29" i="1" s="1"/>
  <c r="GL29" i="1"/>
  <c r="FR37" i="1" s="1"/>
  <c r="FR26" i="1" s="1"/>
  <c r="GO29" i="1"/>
  <c r="GP29" i="1"/>
  <c r="GV29" i="1"/>
  <c r="HC29" i="1"/>
  <c r="GX29" i="1" s="1"/>
  <c r="GB37" i="1" s="1"/>
  <c r="O30" i="1"/>
  <c r="U30" i="1"/>
  <c r="AB30" i="1"/>
  <c r="AC30" i="1"/>
  <c r="CU30" i="1" s="1"/>
  <c r="AD30" i="1"/>
  <c r="AE30" i="1"/>
  <c r="AF30" i="1"/>
  <c r="AG30" i="1"/>
  <c r="AH30" i="1"/>
  <c r="AI30" i="1"/>
  <c r="AJ30" i="1"/>
  <c r="CP30" i="1"/>
  <c r="CQ30" i="1"/>
  <c r="P30" i="1" s="1"/>
  <c r="CR30" i="1"/>
  <c r="Q30" i="1" s="1"/>
  <c r="CS30" i="1"/>
  <c r="R30" i="1" s="1"/>
  <c r="CT30" i="1"/>
  <c r="S30" i="1" s="1"/>
  <c r="CV30" i="1"/>
  <c r="CW30" i="1"/>
  <c r="V30" i="1" s="1"/>
  <c r="CX30" i="1"/>
  <c r="W30" i="1" s="1"/>
  <c r="CY30" i="1"/>
  <c r="X30" i="1" s="1"/>
  <c r="CZ30" i="1"/>
  <c r="Y30" i="1" s="1"/>
  <c r="GL30" i="1"/>
  <c r="GO30" i="1"/>
  <c r="GP30" i="1"/>
  <c r="GV30" i="1"/>
  <c r="HC30" i="1" s="1"/>
  <c r="GX30" i="1" s="1"/>
  <c r="Q31" i="1"/>
  <c r="R31" i="1"/>
  <c r="W31" i="1"/>
  <c r="EB37" i="1" s="1"/>
  <c r="X31" i="1"/>
  <c r="GM31" i="1" s="1"/>
  <c r="GN31" i="1" s="1"/>
  <c r="AB31" i="1"/>
  <c r="AC31" i="1"/>
  <c r="T31" i="1" s="1"/>
  <c r="AD31" i="1"/>
  <c r="AE31" i="1"/>
  <c r="AF31" i="1"/>
  <c r="AG31" i="1"/>
  <c r="AH31" i="1"/>
  <c r="AI31" i="1"/>
  <c r="AJ31" i="1"/>
  <c r="CP31" i="1"/>
  <c r="O31" i="1" s="1"/>
  <c r="CQ31" i="1"/>
  <c r="P31" i="1" s="1"/>
  <c r="CR31" i="1"/>
  <c r="CS31" i="1"/>
  <c r="CT31" i="1"/>
  <c r="S31" i="1" s="1"/>
  <c r="CU31" i="1"/>
  <c r="CV31" i="1"/>
  <c r="U31" i="1" s="1"/>
  <c r="CW31" i="1"/>
  <c r="V31" i="1" s="1"/>
  <c r="EA37" i="1" s="1"/>
  <c r="CX31" i="1"/>
  <c r="CY31" i="1"/>
  <c r="CZ31" i="1"/>
  <c r="Y31" i="1" s="1"/>
  <c r="GL31" i="1"/>
  <c r="GO31" i="1"/>
  <c r="GP31" i="1"/>
  <c r="GV31" i="1"/>
  <c r="HC31" i="1"/>
  <c r="GX31" i="1" s="1"/>
  <c r="O32" i="1"/>
  <c r="T32" i="1"/>
  <c r="U32" i="1"/>
  <c r="AB32" i="1"/>
  <c r="AC32" i="1"/>
  <c r="CU32" i="1" s="1"/>
  <c r="AD32" i="1"/>
  <c r="AE32" i="1"/>
  <c r="AF32" i="1"/>
  <c r="AG32" i="1"/>
  <c r="AH32" i="1"/>
  <c r="AI32" i="1"/>
  <c r="AJ32" i="1"/>
  <c r="CP32" i="1"/>
  <c r="CQ32" i="1"/>
  <c r="P32" i="1" s="1"/>
  <c r="CR32" i="1"/>
  <c r="Q32" i="1" s="1"/>
  <c r="CS32" i="1"/>
  <c r="R32" i="1" s="1"/>
  <c r="CT32" i="1"/>
  <c r="S32" i="1" s="1"/>
  <c r="CV32" i="1"/>
  <c r="CW32" i="1"/>
  <c r="V32" i="1" s="1"/>
  <c r="CX32" i="1"/>
  <c r="W32" i="1" s="1"/>
  <c r="CY32" i="1"/>
  <c r="X32" i="1" s="1"/>
  <c r="CZ32" i="1"/>
  <c r="Y32" i="1" s="1"/>
  <c r="GL32" i="1"/>
  <c r="GO32" i="1"/>
  <c r="GP32" i="1"/>
  <c r="GV32" i="1"/>
  <c r="HC32" i="1" s="1"/>
  <c r="GX32" i="1" s="1"/>
  <c r="Q33" i="1"/>
  <c r="DV37" i="1" s="1"/>
  <c r="R33" i="1"/>
  <c r="W33" i="1"/>
  <c r="X33" i="1"/>
  <c r="GM33" i="1" s="1"/>
  <c r="GN33" i="1" s="1"/>
  <c r="AB33" i="1"/>
  <c r="AC33" i="1"/>
  <c r="T33" i="1" s="1"/>
  <c r="AD33" i="1"/>
  <c r="AE33" i="1"/>
  <c r="AF33" i="1"/>
  <c r="AG33" i="1"/>
  <c r="AH33" i="1"/>
  <c r="AI33" i="1"/>
  <c r="AJ33" i="1"/>
  <c r="CP33" i="1"/>
  <c r="O33" i="1" s="1"/>
  <c r="CQ33" i="1"/>
  <c r="P33" i="1" s="1"/>
  <c r="CR33" i="1"/>
  <c r="CS33" i="1"/>
  <c r="CT33" i="1"/>
  <c r="S33" i="1" s="1"/>
  <c r="CU33" i="1"/>
  <c r="CV33" i="1"/>
  <c r="U33" i="1" s="1"/>
  <c r="CW33" i="1"/>
  <c r="V33" i="1" s="1"/>
  <c r="CX33" i="1"/>
  <c r="CY33" i="1"/>
  <c r="CZ33" i="1"/>
  <c r="Y33" i="1" s="1"/>
  <c r="GL33" i="1"/>
  <c r="GO33" i="1"/>
  <c r="GP33" i="1"/>
  <c r="GV33" i="1"/>
  <c r="HC33" i="1"/>
  <c r="GX33" i="1" s="1"/>
  <c r="O34" i="1"/>
  <c r="U34" i="1"/>
  <c r="AB34" i="1"/>
  <c r="AC34" i="1"/>
  <c r="CU34" i="1" s="1"/>
  <c r="AD34" i="1"/>
  <c r="AE34" i="1"/>
  <c r="AF34" i="1"/>
  <c r="AG34" i="1"/>
  <c r="AH34" i="1"/>
  <c r="AI34" i="1"/>
  <c r="AJ34" i="1"/>
  <c r="CP34" i="1"/>
  <c r="CQ34" i="1"/>
  <c r="P34" i="1" s="1"/>
  <c r="CR34" i="1"/>
  <c r="Q34" i="1" s="1"/>
  <c r="CS34" i="1"/>
  <c r="R34" i="1" s="1"/>
  <c r="CT34" i="1"/>
  <c r="S34" i="1" s="1"/>
  <c r="CV34" i="1"/>
  <c r="CW34" i="1"/>
  <c r="V34" i="1" s="1"/>
  <c r="CX34" i="1"/>
  <c r="W34" i="1" s="1"/>
  <c r="CY34" i="1"/>
  <c r="X34" i="1" s="1"/>
  <c r="CZ34" i="1"/>
  <c r="Y34" i="1" s="1"/>
  <c r="GL34" i="1"/>
  <c r="GO34" i="1"/>
  <c r="GP34" i="1"/>
  <c r="GV34" i="1"/>
  <c r="HC34" i="1" s="1"/>
  <c r="GX34" i="1" s="1"/>
  <c r="Q35" i="1"/>
  <c r="R35" i="1"/>
  <c r="W35" i="1"/>
  <c r="X35" i="1"/>
  <c r="AB35" i="1"/>
  <c r="AC35" i="1"/>
  <c r="T35" i="1" s="1"/>
  <c r="AD35" i="1"/>
  <c r="AE35" i="1"/>
  <c r="AF35" i="1"/>
  <c r="AG35" i="1"/>
  <c r="AH35" i="1"/>
  <c r="AI35" i="1"/>
  <c r="AJ35" i="1"/>
  <c r="CP35" i="1"/>
  <c r="O35" i="1" s="1"/>
  <c r="GM35" i="1" s="1"/>
  <c r="GN35" i="1" s="1"/>
  <c r="CQ35" i="1"/>
  <c r="P35" i="1" s="1"/>
  <c r="DU37" i="1" s="1"/>
  <c r="CR35" i="1"/>
  <c r="CS35" i="1"/>
  <c r="CT35" i="1"/>
  <c r="S35" i="1" s="1"/>
  <c r="CU35" i="1"/>
  <c r="CV35" i="1"/>
  <c r="U35" i="1" s="1"/>
  <c r="CW35" i="1"/>
  <c r="V35" i="1" s="1"/>
  <c r="CX35" i="1"/>
  <c r="CY35" i="1"/>
  <c r="CZ35" i="1"/>
  <c r="Y35" i="1" s="1"/>
  <c r="GL35" i="1"/>
  <c r="GO35" i="1"/>
  <c r="GP35" i="1"/>
  <c r="GV35" i="1"/>
  <c r="HC35" i="1"/>
  <c r="GX35" i="1" s="1"/>
  <c r="B37" i="1"/>
  <c r="B26" i="1" s="1"/>
  <c r="C37" i="1"/>
  <c r="C26" i="1" s="1"/>
  <c r="D37" i="1"/>
  <c r="D26" i="1" s="1"/>
  <c r="F37" i="1"/>
  <c r="G37" i="1"/>
  <c r="G26" i="1" s="1"/>
  <c r="AO37" i="1"/>
  <c r="AO26" i="1" s="1"/>
  <c r="AP37" i="1"/>
  <c r="AP26" i="1" s="1"/>
  <c r="AQ37" i="1"/>
  <c r="AX37" i="1"/>
  <c r="BB37" i="1"/>
  <c r="BB26" i="1" s="1"/>
  <c r="BC37" i="1"/>
  <c r="BC67" i="1" s="1"/>
  <c r="BD37" i="1"/>
  <c r="BX37" i="1"/>
  <c r="BX26" i="1" s="1"/>
  <c r="BY37" i="1"/>
  <c r="BY26" i="1" s="1"/>
  <c r="BZ37" i="1"/>
  <c r="BZ26" i="1" s="1"/>
  <c r="CC37" i="1"/>
  <c r="CG37" i="1"/>
  <c r="CG26" i="1" s="1"/>
  <c r="CI37" i="1"/>
  <c r="CK37" i="1"/>
  <c r="CK26" i="1" s="1"/>
  <c r="CL37" i="1"/>
  <c r="CL26" i="1" s="1"/>
  <c r="CM37" i="1"/>
  <c r="CM26" i="1" s="1"/>
  <c r="EG37" i="1"/>
  <c r="EG26" i="1" s="1"/>
  <c r="EH37" i="1"/>
  <c r="EH26" i="1" s="1"/>
  <c r="EM37" i="1"/>
  <c r="EM26" i="1" s="1"/>
  <c r="ET37" i="1"/>
  <c r="P50" i="1" s="1"/>
  <c r="EU37" i="1"/>
  <c r="FP37" i="1"/>
  <c r="FP26" i="1" s="1"/>
  <c r="FQ37" i="1"/>
  <c r="FQ26" i="1" s="1"/>
  <c r="FU37" i="1"/>
  <c r="FV37" i="1"/>
  <c r="FV26" i="1" s="1"/>
  <c r="GC37" i="1"/>
  <c r="GC26" i="1" s="1"/>
  <c r="GD37" i="1"/>
  <c r="GD26" i="1" s="1"/>
  <c r="GE37" i="1"/>
  <c r="GE26" i="1" s="1"/>
  <c r="F41" i="1"/>
  <c r="P41" i="1"/>
  <c r="P56" i="1"/>
  <c r="B67" i="1"/>
  <c r="B22" i="1" s="1"/>
  <c r="C67" i="1"/>
  <c r="C22" i="1" s="1"/>
  <c r="D67" i="1"/>
  <c r="D22" i="1" s="1"/>
  <c r="F67" i="1"/>
  <c r="F22" i="1" s="1"/>
  <c r="G67" i="1"/>
  <c r="AO67" i="1"/>
  <c r="AO22" i="1" s="1"/>
  <c r="AP67" i="1"/>
  <c r="AQ67" i="1"/>
  <c r="BB67" i="1"/>
  <c r="BD67" i="1"/>
  <c r="EG67" i="1"/>
  <c r="EM67" i="1"/>
  <c r="B97" i="1"/>
  <c r="B18" i="1" s="1"/>
  <c r="C97" i="1"/>
  <c r="C18" i="1" s="1"/>
  <c r="D97" i="1"/>
  <c r="D18" i="1" s="1"/>
  <c r="F97" i="1"/>
  <c r="F18" i="1" s="1"/>
  <c r="G97" i="1"/>
  <c r="G18" i="1" s="1"/>
  <c r="BD97" i="1"/>
  <c r="EG97" i="1"/>
  <c r="F12" i="6"/>
  <c r="G12" i="6"/>
  <c r="CY12" i="6"/>
  <c r="J29" i="7" l="1"/>
  <c r="J52" i="7"/>
  <c r="J56" i="7"/>
  <c r="H56" i="7"/>
  <c r="H52" i="7"/>
  <c r="I29" i="7"/>
  <c r="EA26" i="1"/>
  <c r="DN37" i="1"/>
  <c r="AJ26" i="1"/>
  <c r="W37" i="1"/>
  <c r="AI26" i="1"/>
  <c r="V37" i="1"/>
  <c r="DV26" i="1"/>
  <c r="DI37" i="1"/>
  <c r="CF37" i="1"/>
  <c r="AC26" i="1"/>
  <c r="CE37" i="1"/>
  <c r="P37" i="1"/>
  <c r="CH37" i="1"/>
  <c r="BC22" i="1"/>
  <c r="F83" i="1"/>
  <c r="BC97" i="1"/>
  <c r="AD26" i="1"/>
  <c r="Q37" i="1"/>
  <c r="FW37" i="1"/>
  <c r="FX37" i="1"/>
  <c r="DU26" i="1"/>
  <c r="DH37" i="1"/>
  <c r="FZ37" i="1"/>
  <c r="DO37" i="1"/>
  <c r="EB26" i="1"/>
  <c r="DK37" i="1"/>
  <c r="DX26" i="1"/>
  <c r="EC37" i="1"/>
  <c r="T34" i="1"/>
  <c r="AF37" i="1"/>
  <c r="AK26" i="1"/>
  <c r="X37" i="1"/>
  <c r="P101" i="1"/>
  <c r="EG18" i="1"/>
  <c r="AP97" i="1"/>
  <c r="AP22" i="1"/>
  <c r="EI37" i="1"/>
  <c r="AX26" i="1"/>
  <c r="F44" i="1"/>
  <c r="GM32" i="1"/>
  <c r="GN32" i="1" s="1"/>
  <c r="CI26" i="1"/>
  <c r="AZ37" i="1"/>
  <c r="BD22" i="1"/>
  <c r="F92" i="1"/>
  <c r="AQ26" i="1"/>
  <c r="F47" i="1"/>
  <c r="GM34" i="1"/>
  <c r="GN34" i="1" s="1"/>
  <c r="GM29" i="1"/>
  <c r="DT37" i="1"/>
  <c r="DW37" i="1"/>
  <c r="AE37" i="1"/>
  <c r="CC26" i="1"/>
  <c r="AT37" i="1"/>
  <c r="CJ37" i="1"/>
  <c r="F76" i="1"/>
  <c r="V16" i="2" s="1"/>
  <c r="F53" i="1"/>
  <c r="BC26" i="1"/>
  <c r="EV37" i="1"/>
  <c r="ED37" i="1"/>
  <c r="GM28" i="1"/>
  <c r="P86" i="1"/>
  <c r="EM22" i="1"/>
  <c r="CD37" i="1"/>
  <c r="AH37" i="1"/>
  <c r="EM97" i="1"/>
  <c r="T30" i="1"/>
  <c r="AG37" i="1" s="1"/>
  <c r="BD18" i="1"/>
  <c r="F122" i="1"/>
  <c r="BB22" i="1"/>
  <c r="F80" i="1"/>
  <c r="BB97" i="1"/>
  <c r="EU67" i="1"/>
  <c r="EU26" i="1"/>
  <c r="AX67" i="1"/>
  <c r="ET26" i="1"/>
  <c r="ET67" i="1"/>
  <c r="GA37" i="1"/>
  <c r="EG22" i="1"/>
  <c r="P71" i="1"/>
  <c r="FY37" i="1"/>
  <c r="BD26" i="1"/>
  <c r="F62" i="1"/>
  <c r="AB37" i="1"/>
  <c r="GM30" i="1"/>
  <c r="GN30" i="1" s="1"/>
  <c r="DZ37" i="1"/>
  <c r="AL37" i="1"/>
  <c r="AQ22" i="1"/>
  <c r="F77" i="1"/>
  <c r="ES37" i="1"/>
  <c r="GB26" i="1"/>
  <c r="FU26" i="1"/>
  <c r="EL37" i="1"/>
  <c r="DY26" i="1"/>
  <c r="DL37" i="1"/>
  <c r="AQ97" i="1"/>
  <c r="P53" i="1"/>
  <c r="F50" i="1"/>
  <c r="F71" i="1"/>
  <c r="CU28" i="1"/>
  <c r="AO97" i="1"/>
  <c r="P46" i="1"/>
  <c r="EH67" i="1"/>
  <c r="F46" i="1"/>
  <c r="AG26" i="1" l="1"/>
  <c r="T37" i="1"/>
  <c r="AB26" i="1"/>
  <c r="O37" i="1"/>
  <c r="DQ37" i="1"/>
  <c r="ED26" i="1"/>
  <c r="AP18" i="1"/>
  <c r="F106" i="1"/>
  <c r="DO26" i="1"/>
  <c r="P61" i="1"/>
  <c r="DO67" i="1"/>
  <c r="F40" i="1"/>
  <c r="P26" i="1"/>
  <c r="P67" i="1"/>
  <c r="Y37" i="1"/>
  <c r="AL26" i="1"/>
  <c r="DL26" i="1"/>
  <c r="P58" i="1"/>
  <c r="DL67" i="1"/>
  <c r="EV26" i="1"/>
  <c r="EV67" i="1"/>
  <c r="P62" i="1"/>
  <c r="EQ37" i="1"/>
  <c r="FZ26" i="1"/>
  <c r="CE26" i="1"/>
  <c r="AV37" i="1"/>
  <c r="W26" i="1"/>
  <c r="F61" i="1"/>
  <c r="W67" i="1"/>
  <c r="F107" i="1"/>
  <c r="AQ18" i="1"/>
  <c r="BB18" i="1"/>
  <c r="F110" i="1"/>
  <c r="P40" i="1"/>
  <c r="DH67" i="1"/>
  <c r="DH26" i="1"/>
  <c r="EL26" i="1"/>
  <c r="P55" i="1"/>
  <c r="EL67" i="1"/>
  <c r="FY26" i="1"/>
  <c r="EP37" i="1"/>
  <c r="X26" i="1"/>
  <c r="X67" i="1"/>
  <c r="F63" i="1"/>
  <c r="CF26" i="1"/>
  <c r="AW37" i="1"/>
  <c r="CD26" i="1"/>
  <c r="AU37" i="1"/>
  <c r="EH22" i="1"/>
  <c r="P76" i="1"/>
  <c r="G16" i="2" s="1"/>
  <c r="EH97" i="1"/>
  <c r="BA37" i="1"/>
  <c r="CJ26" i="1"/>
  <c r="AZ26" i="1"/>
  <c r="AZ67" i="1"/>
  <c r="F48" i="1"/>
  <c r="FW26" i="1"/>
  <c r="EN37" i="1"/>
  <c r="F113" i="1"/>
  <c r="BC18" i="1"/>
  <c r="DI67" i="1"/>
  <c r="DI26" i="1"/>
  <c r="P49" i="1"/>
  <c r="ES26" i="1"/>
  <c r="P57" i="1"/>
  <c r="ES67" i="1"/>
  <c r="ER37" i="1"/>
  <c r="GA26" i="1"/>
  <c r="EM18" i="1"/>
  <c r="P116" i="1"/>
  <c r="AT26" i="1"/>
  <c r="AT67" i="1"/>
  <c r="F55" i="1"/>
  <c r="AF26" i="1"/>
  <c r="S37" i="1"/>
  <c r="F49" i="1"/>
  <c r="Q26" i="1"/>
  <c r="Q67" i="1"/>
  <c r="V26" i="1"/>
  <c r="F60" i="1"/>
  <c r="V67" i="1"/>
  <c r="FX26" i="1"/>
  <c r="EO37" i="1"/>
  <c r="F101" i="1"/>
  <c r="AO18" i="1"/>
  <c r="P80" i="1"/>
  <c r="ET22" i="1"/>
  <c r="ET97" i="1"/>
  <c r="AH26" i="1"/>
  <c r="U37" i="1"/>
  <c r="R37" i="1"/>
  <c r="AE26" i="1"/>
  <c r="DW26" i="1"/>
  <c r="DJ37" i="1"/>
  <c r="DT26" i="1"/>
  <c r="DG37" i="1"/>
  <c r="EI67" i="1"/>
  <c r="EI26" i="1"/>
  <c r="P47" i="1"/>
  <c r="DK26" i="1"/>
  <c r="P52" i="1"/>
  <c r="DK67" i="1"/>
  <c r="DN26" i="1"/>
  <c r="DN67" i="1"/>
  <c r="P60" i="1"/>
  <c r="DP37" i="1"/>
  <c r="EC26" i="1"/>
  <c r="F74" i="1"/>
  <c r="AX22" i="1"/>
  <c r="AX97" i="1"/>
  <c r="DZ26" i="1"/>
  <c r="DM37" i="1"/>
  <c r="P83" i="1"/>
  <c r="EU22" i="1"/>
  <c r="EU97" i="1"/>
  <c r="GN28" i="1"/>
  <c r="CB37" i="1" s="1"/>
  <c r="CA37" i="1"/>
  <c r="FS37" i="1"/>
  <c r="GN29" i="1"/>
  <c r="FT37" i="1" s="1"/>
  <c r="CH26" i="1"/>
  <c r="AY37" i="1"/>
  <c r="DI22" i="1" l="1"/>
  <c r="P79" i="1"/>
  <c r="DI97" i="1"/>
  <c r="FT26" i="1"/>
  <c r="EK37" i="1"/>
  <c r="AT22" i="1"/>
  <c r="AT97" i="1"/>
  <c r="F85" i="1"/>
  <c r="U16" i="2" s="1"/>
  <c r="AU26" i="1"/>
  <c r="AU67" i="1"/>
  <c r="F56" i="1"/>
  <c r="P22" i="1"/>
  <c r="P97" i="1"/>
  <c r="F70" i="1"/>
  <c r="FS26" i="1"/>
  <c r="EJ37" i="1"/>
  <c r="DP26" i="1"/>
  <c r="P63" i="1"/>
  <c r="DP67" i="1"/>
  <c r="EO26" i="1"/>
  <c r="P43" i="1"/>
  <c r="EO67" i="1"/>
  <c r="DH22" i="1"/>
  <c r="P70" i="1"/>
  <c r="DH97" i="1"/>
  <c r="EQ26" i="1"/>
  <c r="P45" i="1"/>
  <c r="EQ67" i="1"/>
  <c r="P91" i="1"/>
  <c r="DO97" i="1"/>
  <c r="DO22" i="1"/>
  <c r="EI22" i="1"/>
  <c r="EI97" i="1"/>
  <c r="P77" i="1"/>
  <c r="T26" i="1"/>
  <c r="F58" i="1"/>
  <c r="T67" i="1"/>
  <c r="DG67" i="1"/>
  <c r="DG26" i="1"/>
  <c r="P39" i="1"/>
  <c r="DJ26" i="1"/>
  <c r="DJ67" i="1"/>
  <c r="P51" i="1"/>
  <c r="EN26" i="1"/>
  <c r="EN67" i="1"/>
  <c r="P42" i="1"/>
  <c r="V22" i="1"/>
  <c r="F90" i="1"/>
  <c r="V97" i="1"/>
  <c r="P92" i="1"/>
  <c r="EV22" i="1"/>
  <c r="EV97" i="1"/>
  <c r="P113" i="1"/>
  <c r="EU18" i="1"/>
  <c r="CA26" i="1"/>
  <c r="AR37" i="1"/>
  <c r="AW26" i="1"/>
  <c r="F43" i="1"/>
  <c r="AW67" i="1"/>
  <c r="DN97" i="1"/>
  <c r="DN22" i="1"/>
  <c r="P90" i="1"/>
  <c r="R26" i="1"/>
  <c r="R67" i="1"/>
  <c r="F51" i="1"/>
  <c r="ER26" i="1"/>
  <c r="ER67" i="1"/>
  <c r="P48" i="1"/>
  <c r="AZ22" i="1"/>
  <c r="AZ97" i="1"/>
  <c r="F78" i="1"/>
  <c r="DL22" i="1"/>
  <c r="P88" i="1"/>
  <c r="DL97" i="1"/>
  <c r="ES22" i="1"/>
  <c r="P87" i="1"/>
  <c r="H16" i="2" s="1"/>
  <c r="ES97" i="1"/>
  <c r="AY26" i="1"/>
  <c r="AY67" i="1"/>
  <c r="F45" i="1"/>
  <c r="AV26" i="1"/>
  <c r="AV67" i="1"/>
  <c r="F42" i="1"/>
  <c r="CB26" i="1"/>
  <c r="AS37" i="1"/>
  <c r="DK22" i="1"/>
  <c r="P82" i="1"/>
  <c r="DK97" i="1"/>
  <c r="X22" i="1"/>
  <c r="F93" i="1"/>
  <c r="X97" i="1"/>
  <c r="U26" i="1"/>
  <c r="F59" i="1"/>
  <c r="U67" i="1"/>
  <c r="Q22" i="1"/>
  <c r="Q97" i="1"/>
  <c r="F79" i="1"/>
  <c r="DM26" i="1"/>
  <c r="DM67" i="1"/>
  <c r="P59" i="1"/>
  <c r="EP26" i="1"/>
  <c r="EP67" i="1"/>
  <c r="P44" i="1"/>
  <c r="W22" i="1"/>
  <c r="F91" i="1"/>
  <c r="W97" i="1"/>
  <c r="DQ26" i="1"/>
  <c r="P64" i="1"/>
  <c r="DQ67" i="1"/>
  <c r="ET18" i="1"/>
  <c r="P110" i="1"/>
  <c r="BA67" i="1"/>
  <c r="BA26" i="1"/>
  <c r="F57" i="1"/>
  <c r="O26" i="1"/>
  <c r="O67" i="1"/>
  <c r="F39" i="1"/>
  <c r="AX18" i="1"/>
  <c r="F104" i="1"/>
  <c r="S26" i="1"/>
  <c r="F52" i="1"/>
  <c r="S67" i="1"/>
  <c r="EH18" i="1"/>
  <c r="P106" i="1"/>
  <c r="P85" i="1"/>
  <c r="F16" i="2" s="1"/>
  <c r="EL22" i="1"/>
  <c r="EL97" i="1"/>
  <c r="F64" i="1"/>
  <c r="Y26" i="1"/>
  <c r="Y67" i="1"/>
  <c r="T22" i="1" l="1"/>
  <c r="T97" i="1"/>
  <c r="F88" i="1"/>
  <c r="Q18" i="1"/>
  <c r="F109" i="1"/>
  <c r="DN18" i="1"/>
  <c r="P120" i="1"/>
  <c r="DQ22" i="1"/>
  <c r="P94" i="1"/>
  <c r="DQ97" i="1"/>
  <c r="AS26" i="1"/>
  <c r="AS67" i="1"/>
  <c r="F54" i="1"/>
  <c r="V18" i="1"/>
  <c r="F120" i="1"/>
  <c r="DH18" i="1"/>
  <c r="P100" i="1"/>
  <c r="AW22" i="1"/>
  <c r="F73" i="1"/>
  <c r="AW97" i="1"/>
  <c r="J16" i="2"/>
  <c r="DG22" i="1"/>
  <c r="DG97" i="1"/>
  <c r="P69" i="1"/>
  <c r="P18" i="1"/>
  <c r="F100" i="1"/>
  <c r="Y22" i="1"/>
  <c r="Y97" i="1"/>
  <c r="F94" i="1"/>
  <c r="W18" i="1"/>
  <c r="F121" i="1"/>
  <c r="U22" i="1"/>
  <c r="F89" i="1"/>
  <c r="U97" i="1"/>
  <c r="AV97" i="1"/>
  <c r="AV22" i="1"/>
  <c r="F72" i="1"/>
  <c r="F108" i="1"/>
  <c r="AZ18" i="1"/>
  <c r="EO22" i="1"/>
  <c r="P73" i="1"/>
  <c r="EO97" i="1"/>
  <c r="F86" i="1"/>
  <c r="AU22" i="1"/>
  <c r="AU97" i="1"/>
  <c r="DI18" i="1"/>
  <c r="P109" i="1"/>
  <c r="EN22" i="1"/>
  <c r="EN97" i="1"/>
  <c r="P72" i="1"/>
  <c r="X18" i="1"/>
  <c r="F123" i="1"/>
  <c r="ER22" i="1"/>
  <c r="ER97" i="1"/>
  <c r="P78" i="1"/>
  <c r="DP97" i="1"/>
  <c r="DP22" i="1"/>
  <c r="P93" i="1"/>
  <c r="S22" i="1"/>
  <c r="S97" i="1"/>
  <c r="F82" i="1"/>
  <c r="Y16" i="2" s="1"/>
  <c r="AR26" i="1"/>
  <c r="F65" i="1"/>
  <c r="AR67" i="1"/>
  <c r="EL18" i="1"/>
  <c r="P115" i="1"/>
  <c r="AY22" i="1"/>
  <c r="AY97" i="1"/>
  <c r="F75" i="1"/>
  <c r="AT18" i="1"/>
  <c r="F115" i="1"/>
  <c r="EP22" i="1"/>
  <c r="EP97" i="1"/>
  <c r="P74" i="1"/>
  <c r="DJ22" i="1"/>
  <c r="DJ97" i="1"/>
  <c r="P81" i="1"/>
  <c r="DO18" i="1"/>
  <c r="P121" i="1"/>
  <c r="ES18" i="1"/>
  <c r="P117" i="1"/>
  <c r="EK26" i="1"/>
  <c r="EK67" i="1"/>
  <c r="P54" i="1"/>
  <c r="DM22" i="1"/>
  <c r="P89" i="1"/>
  <c r="DM97" i="1"/>
  <c r="DL18" i="1"/>
  <c r="P118" i="1"/>
  <c r="P107" i="1"/>
  <c r="EI18" i="1"/>
  <c r="O22" i="1"/>
  <c r="O97" i="1"/>
  <c r="F69" i="1"/>
  <c r="BA22" i="1"/>
  <c r="BA97" i="1"/>
  <c r="F87" i="1"/>
  <c r="DK18" i="1"/>
  <c r="P112" i="1"/>
  <c r="R22" i="1"/>
  <c r="R97" i="1"/>
  <c r="F81" i="1"/>
  <c r="EV18" i="1"/>
  <c r="P122" i="1"/>
  <c r="EQ22" i="1"/>
  <c r="EQ97" i="1"/>
  <c r="P75" i="1"/>
  <c r="EJ26" i="1"/>
  <c r="EJ67" i="1"/>
  <c r="P65" i="1"/>
  <c r="EJ22" i="1" l="1"/>
  <c r="P95" i="1"/>
  <c r="EJ97" i="1"/>
  <c r="EN18" i="1"/>
  <c r="P102" i="1"/>
  <c r="F117" i="1"/>
  <c r="BA18" i="1"/>
  <c r="S18" i="1"/>
  <c r="F112" i="1"/>
  <c r="AS22" i="1"/>
  <c r="AS97" i="1"/>
  <c r="F84" i="1"/>
  <c r="T16" i="2" s="1"/>
  <c r="X16" i="2" s="1"/>
  <c r="AC16" i="2" s="1"/>
  <c r="DJ18" i="1"/>
  <c r="P111" i="1"/>
  <c r="Y18" i="1"/>
  <c r="F124" i="1"/>
  <c r="T18" i="1"/>
  <c r="F118" i="1"/>
  <c r="EP18" i="1"/>
  <c r="P104" i="1"/>
  <c r="EK97" i="1"/>
  <c r="EK22" i="1"/>
  <c r="P84" i="1"/>
  <c r="E16" i="2" s="1"/>
  <c r="I16" i="2" s="1"/>
  <c r="N16" i="2" s="1"/>
  <c r="AV18" i="1"/>
  <c r="F102" i="1"/>
  <c r="DG18" i="1"/>
  <c r="P99" i="1"/>
  <c r="EQ18" i="1"/>
  <c r="P105" i="1"/>
  <c r="F119" i="1"/>
  <c r="U18" i="1"/>
  <c r="AU18" i="1"/>
  <c r="F116" i="1"/>
  <c r="DP18" i="1"/>
  <c r="P123" i="1"/>
  <c r="AW18" i="1"/>
  <c r="F103" i="1"/>
  <c r="W16" i="2"/>
  <c r="EO18" i="1"/>
  <c r="P103" i="1"/>
  <c r="AR22" i="1"/>
  <c r="F95" i="1"/>
  <c r="AR97" i="1"/>
  <c r="DM18" i="1"/>
  <c r="P119" i="1"/>
  <c r="DQ18" i="1"/>
  <c r="P124" i="1"/>
  <c r="O18" i="1"/>
  <c r="F99" i="1"/>
  <c r="AY18" i="1"/>
  <c r="F105" i="1"/>
  <c r="ER18" i="1"/>
  <c r="P108" i="1"/>
  <c r="R18" i="1"/>
  <c r="F111" i="1"/>
  <c r="AS18" i="1" l="1"/>
  <c r="F114" i="1"/>
  <c r="EK18" i="1"/>
  <c r="P114" i="1"/>
  <c r="AR18" i="1"/>
  <c r="F125" i="1"/>
  <c r="EJ18" i="1"/>
  <c r="P125" i="1"/>
</calcChain>
</file>

<file path=xl/sharedStrings.xml><?xml version="1.0" encoding="utf-8"?>
<sst xmlns="http://schemas.openxmlformats.org/spreadsheetml/2006/main" count="1051" uniqueCount="166">
  <si>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</si>
  <si>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</si>
  <si>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</si>
  <si>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</si>
  <si>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</si>
  <si>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б/н</t>
  </si>
  <si>
    <t>б/н Возвратные средства</t>
  </si>
  <si>
    <t>0224-00272-01-0-ООС2</t>
  </si>
  <si>
    <t>Лукьянова А.Л.</t>
  </si>
  <si>
    <t>Сметные нормы списания</t>
  </si>
  <si>
    <t>Коды ОКП для ТСН-2001 МГЭ Дополнение 79</t>
  </si>
  <si>
    <t>ТСН-2001 (МГЭ) Доп 79 - Ремонт</t>
  </si>
  <si>
    <t>Типовой расчет для ТСН-2001 МГЭ, Дополнение 79, ремонт</t>
  </si>
  <si>
    <t>Территориальные сметные нормативы для Москвы ТСН-2001 (МГЭ), дополнение 79</t>
  </si>
  <si>
    <t>Поправки для ТСН-2001 от 03.10.2025 г. доп.79</t>
  </si>
  <si>
    <t>Территориальные сметные нормативы для Москвы (ТСН-2001)</t>
  </si>
  <si>
    <t>ТЕР</t>
  </si>
  <si>
    <t>Возвратные средства</t>
  </si>
  <si>
    <t>1</t>
  </si>
  <si>
    <t>1.7-11-59</t>
  </si>
  <si>
    <t>Лом стальной, вид лома 3А, для расчета возвратных сумм</t>
  </si>
  <si>
    <t>т</t>
  </si>
  <si>
    <t>ТСН-2001.1 Доп. 67, Р. 7, о. 11, поз. 59</t>
  </si>
  <si>
    <t>Возврат</t>
  </si>
  <si>
    <t>ТСН-2001.1-7. 7-11-59...7-11-63 (Возврат)</t>
  </si>
  <si>
    <t>ТСН-2001.1-3</t>
  </si>
  <si>
    <t>2</t>
  </si>
  <si>
    <t>1.7-11-60</t>
  </si>
  <si>
    <t>Лом стальной, вид лома 5А, для расчета возвратных сумм</t>
  </si>
  <si>
    <t>ТСН-2001.1 Доп. 67, Р. 7, о. 11, поз. 60</t>
  </si>
  <si>
    <t>3</t>
  </si>
  <si>
    <t>1.7-11-61</t>
  </si>
  <si>
    <t>Лом стальной, вид лома 12А, для расчета возвратных сумм (прим. алюминий)</t>
  </si>
  <si>
    <t>ТСН-2001.1 Доп. 67, Р. 7, о. 11, поз. 61</t>
  </si>
  <si>
    <t>4</t>
  </si>
  <si>
    <t>1.7-11-63</t>
  </si>
  <si>
    <t>Лом чугунный, вид лома 22А, для расчета возвратных сумм</t>
  </si>
  <si>
    <t>ТСН-2001.1 Доп. 67, Р. 7, о. 11, поз. 63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</si>
  <si>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</si>
  <si>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</si>
  <si>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</si>
  <si>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</si>
  <si>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</si>
  <si>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</si>
  <si>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</si>
  <si>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</si>
  <si>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</si>
  <si>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</si>
  <si>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</si>
  <si>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</si>
  <si>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</si>
  <si>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</si>
  <si>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</si>
  <si>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</si>
  <si>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</si>
  <si>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</si>
  <si>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</si>
  <si>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</si>
  <si>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</si>
  <si>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</si>
  <si>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</si>
  <si>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</si>
  <si>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</si>
  <si>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</si>
  <si>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</si>
  <si>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</si>
  <si>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</si>
  <si>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</si>
  <si>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</si>
  <si>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</si>
  <si>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</si>
  <si>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</si>
  <si>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</si>
  <si>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</si>
  <si>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</si>
  <si>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</si>
  <si>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</si>
  <si>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</si>
  <si>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</si>
  <si>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</si>
  <si>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</si>
  <si>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</si>
  <si>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</si>
  <si>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</si>
  <si>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</si>
  <si>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</si>
  <si>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</si>
  <si>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</si>
  <si>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</si>
  <si>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</si>
  <si>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</si>
  <si>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</si>
  <si>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</si>
  <si>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</si>
  <si>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</si>
  <si>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</si>
  <si>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</si>
  <si>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</si>
  <si>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</si>
  <si>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</si>
  <si>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</si>
  <si>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</si>
  <si>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</si>
  <si>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</si>
  <si>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</si>
  <si>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</si>
  <si>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79, ремонт</t>
  </si>
  <si>
    <t>216/79</t>
  </si>
  <si>
    <t>Коэффициенты к ТСН-2001.13-2 Дополнение 45</t>
  </si>
  <si>
    <t>62/45</t>
  </si>
  <si>
    <t>Базовый уровень цен</t>
  </si>
  <si>
    <t>_OBSM_</t>
  </si>
  <si>
    <t>"СОГЛАСОВАНО"</t>
  </si>
  <si>
    <t>"УТВЕРЖДАЮ"</t>
  </si>
  <si>
    <t>Форма № 4б</t>
  </si>
  <si>
    <t>"_____"________________ 2025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</si>
  <si>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</si>
  <si>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</si>
  <si>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</si>
  <si>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</si>
  <si>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</si>
  <si>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</si>
  <si>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</si>
  <si>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</si>
  <si>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</si>
  <si>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</si>
  <si>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</si>
  <si>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</si>
  <si>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</si>
  <si>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</si>
  <si>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</si>
  <si>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</si>
  <si>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</si>
  <si>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</si>
  <si>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</si>
  <si>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</si>
  <si>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</si>
  <si>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</si>
  <si>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</si>
  <si>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б/н Возвратные средства</t>
  </si>
  <si>
    <t>Составлен(а) по ТСН-2001 с учетом Дополнения №: 79</t>
  </si>
  <si>
    <t>№ и период сборника коэффициентов (индексов) пересчета: Коэффициенты к ТСН-2001 МГЭ Дополнение 79, ремонт №216/79 III квартал 2025 года и Коэффициенты к ТСН-2001.13-2 Дополнение 45 №62/45 III квартал 2025 года</t>
  </si>
  <si>
    <t>Всего в
ценах на
январь 2000 года,
руб.</t>
  </si>
  <si>
    <t>ВОЗВРАТ_x000D_
Лом стальной, вид лома 3А, для расчета возвратных сумм</t>
  </si>
  <si>
    <t>ВСЕГО по позиции:</t>
  </si>
  <si>
    <t>ВОЗВРАТ_x000D_
Лом стальной, вид лома 5А, для расчета возвратных сумм</t>
  </si>
  <si>
    <t>ВОЗВРАТ_x000D_
Лом стальной, вид лома 12А, для расчета возвратных сумм (прим. алюминий)</t>
  </si>
  <si>
    <t>ВОЗВРАТ_x000D_
Лом чугунный, вид лома 22А, для расчета возвратных сумм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</si>
  <si>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</si>
  <si>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</si>
  <si>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</si>
  <si>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</si>
  <si>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</si>
  <si>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</si>
  <si>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</si>
  <si>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</si>
  <si>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</si>
  <si>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</si>
  <si>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</si>
  <si>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</si>
  <si>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</si>
  <si>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</si>
  <si>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</si>
  <si>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</si>
  <si>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3 кв-л сентябрь</t>
  </si>
  <si>
    <t>1.17-11-59 кусковой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</si>
</sst>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164" fontId="0" fillId="0" borderId="0" xfId="0" applyNumberFormat="1"/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0" fontId="17" fillId="0" borderId="0" xfId="0" applyFont="1" applyAlignment="1">
      <alignment horizontal="right"/>
    </xf>
    <xf numFmtId="0" fontId="12" fillId="0" borderId="1" xfId="0" applyFont="1" applyBorder="1"/>
    <xf numFmtId="0" fontId="17" fillId="0" borderId="0" xfId="0" applyFont="1" applyBorder="1" applyAlignment="1">
      <alignment horizontal="right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164" fontId="17" fillId="0" borderId="2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7" fillId="0" borderId="0" xfId="0" applyFont="1" applyAlignment="1">
      <alignment horizontal="left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7" fillId="0" borderId="0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left" vertical="top" wrapText="1"/>
    </xf>
    <xf numFmtId="0" fontId="19" fillId="0" borderId="0" xfId="0" applyFont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42151</xdr:colOff>
      <xdr:row>32</xdr:row>
      <xdr:rowOff>679450</xdr:rowOff>
    </xdr:from>
    <xdr:to>
      <xdr:col>54</xdr:col>
      <xdr:colOff>192755</xdr:colOff>
      <xdr:row>54</xdr:row>
      <xdr:rowOff>1859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7951" y="7321550"/>
          <a:ext cx="3808204" cy="544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63"/>
  <sheetViews>
    <sheetView tabSelected="1" topLeftCell="A31" zoomScaleNormal="100" workbookViewId="0">
      <selection activeCell="L46" sqref="L46"/>
    </sheetView>
  </sheetViews>
  <sheetFormatPr defaultRowHeight="12.5" x14ac:dyDescent="0.25"/>
  <cols>
    <col min="1" max="1" width="5.7265625" customWidth="1"/>
    <col min="2" max="2" width="11.7265625" customWidth="1"/>
    <col min="3" max="3" width="40.7265625" customWidth="1"/>
    <col min="4" max="4" width="11.7265625" customWidth="1"/>
    <col min="5" max="5" width="7.6328125" bestFit="1" customWidth="1"/>
    <col min="6" max="6" width="9.81640625" customWidth="1"/>
    <col min="7" max="7" width="8.81640625" bestFit="1" customWidth="1"/>
    <col min="8" max="8" width="9.1796875" bestFit="1" customWidth="1"/>
    <col min="9" max="9" width="10.90625" customWidth="1"/>
    <col min="10" max="10" width="10.453125" customWidth="1"/>
    <col min="11" max="11" width="11.81640625" customWidth="1"/>
    <col min="13" max="13" width="8.7265625" style="69"/>
    <col min="15" max="41" width="0" hidden="1" customWidth="1"/>
    <col min="42" max="42" width="130.453125" hidden="1" customWidth="1"/>
    <col min="43" max="47" width="0" hidden="1" customWidth="1"/>
  </cols>
  <sheetData>
    <row r="1" spans="1:42" x14ac:dyDescent="0.25">
      <c r="A1" s="10" t="str">
        <f>Source!B1</f>
        <v>Smeta.RU  (495) 974-1589</v>
      </c>
    </row>
    <row r="2" spans="1:42" ht="14" x14ac:dyDescent="0.3">
      <c r="A2" s="11"/>
      <c r="B2" s="11"/>
      <c r="C2" s="11"/>
      <c r="D2" s="11"/>
      <c r="E2" s="11"/>
      <c r="F2" s="11"/>
      <c r="G2" s="11"/>
      <c r="H2" s="11"/>
      <c r="I2" s="11"/>
      <c r="J2" s="59" t="s">
        <v>114</v>
      </c>
      <c r="K2" s="59"/>
    </row>
    <row r="3" spans="1:42" ht="16.5" x14ac:dyDescent="0.35">
      <c r="A3" s="13"/>
      <c r="B3" s="62" t="s">
        <v>112</v>
      </c>
      <c r="C3" s="62"/>
      <c r="D3" s="62"/>
      <c r="E3" s="62"/>
      <c r="F3" s="12"/>
      <c r="G3" s="62" t="s">
        <v>113</v>
      </c>
      <c r="H3" s="62"/>
      <c r="I3" s="62"/>
      <c r="J3" s="62"/>
      <c r="K3" s="62"/>
    </row>
    <row r="4" spans="1:42" ht="14" x14ac:dyDescent="0.3">
      <c r="A4" s="12"/>
      <c r="B4" s="44"/>
      <c r="C4" s="44"/>
      <c r="D4" s="44"/>
      <c r="E4" s="44"/>
      <c r="F4" s="12"/>
      <c r="G4" s="44"/>
      <c r="H4" s="44"/>
      <c r="I4" s="44"/>
      <c r="J4" s="44"/>
      <c r="K4" s="44"/>
    </row>
    <row r="5" spans="1:42" ht="14" x14ac:dyDescent="0.3">
      <c r="A5" s="14"/>
      <c r="B5" s="14"/>
      <c r="C5" s="15"/>
      <c r="D5" s="15"/>
      <c r="E5" s="15"/>
      <c r="F5" s="12"/>
      <c r="G5" s="16"/>
      <c r="H5" s="15"/>
      <c r="I5" s="15"/>
      <c r="J5" s="15"/>
      <c r="K5" s="16"/>
    </row>
    <row r="6" spans="1:42" ht="14" x14ac:dyDescent="0.3">
      <c r="A6" s="16"/>
      <c r="B6" s="44" t="str">
        <f>CONCATENATE("______________________ ", IF(Source!AL12&lt;&gt;"", Source!AL12, ""))</f>
        <v xml:space="preserve">______________________ </v>
      </c>
      <c r="C6" s="44"/>
      <c r="D6" s="44"/>
      <c r="E6" s="44"/>
      <c r="F6" s="12"/>
      <c r="G6" s="44" t="str">
        <f>CONCATENATE("______________________ ", IF(Source!AH12&lt;&gt;"", Source!AH12, ""))</f>
        <v xml:space="preserve">______________________ </v>
      </c>
      <c r="H6" s="44"/>
      <c r="I6" s="44"/>
      <c r="J6" s="44"/>
      <c r="K6" s="44"/>
    </row>
    <row r="7" spans="1:42" ht="14" x14ac:dyDescent="0.3">
      <c r="A7" s="17"/>
      <c r="B7" s="58" t="s">
        <v>115</v>
      </c>
      <c r="C7" s="58"/>
      <c r="D7" s="58"/>
      <c r="E7" s="58"/>
      <c r="F7" s="12"/>
      <c r="G7" s="58" t="s">
        <v>115</v>
      </c>
      <c r="H7" s="58"/>
      <c r="I7" s="58"/>
      <c r="J7" s="58"/>
      <c r="K7" s="58"/>
    </row>
    <row r="9" spans="1:42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31" x14ac:dyDescent="0.35">
      <c r="A10" s="60" t="s">
        <v>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AP10" s="25" t="s">
        <v>139</v>
      </c>
    </row>
    <row r="11" spans="1:42" x14ac:dyDescent="0.25">
      <c r="A11" s="45" t="s">
        <v>116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spans="1:42" ht="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5" x14ac:dyDescent="0.35">
      <c r="A13" s="60" t="str">
        <f>CONCATENATE( "ЛОКАЛЬНАЯ СМЕТА № ",IF(Source!F20&lt;&gt;"Новая локальная смета", Source!F20, ""))</f>
        <v>ЛОКАЛЬНАЯ СМЕТА № б/н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42" ht="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4">
      <c r="A15" s="54" t="str">
        <f>IF(Source!G20&lt;&gt;"Новая локальная смета", Source!G20, "")</f>
        <v>Возвратные средства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spans="1:42" x14ac:dyDescent="0.25">
      <c r="A16" s="55" t="s">
        <v>117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42" ht="1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" x14ac:dyDescent="0.3">
      <c r="A18" s="50" t="str">
        <f>CONCATENATE( "Основание: чертежи № ", Source!J20)</f>
        <v>Основание: чертежи № 0224-00272-01-0-ООС2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spans="1:42" ht="1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42" ht="56" x14ac:dyDescent="0.3">
      <c r="A20" s="12"/>
      <c r="B20" s="12"/>
      <c r="C20" s="12"/>
      <c r="D20" s="12"/>
      <c r="E20" s="12"/>
      <c r="F20" s="12"/>
      <c r="G20" s="12"/>
      <c r="H20" s="12"/>
      <c r="I20" s="19" t="s">
        <v>118</v>
      </c>
      <c r="J20" s="19" t="s">
        <v>119</v>
      </c>
      <c r="K20" s="12"/>
    </row>
    <row r="21" spans="1:42" ht="14" x14ac:dyDescent="0.3">
      <c r="A21" s="12"/>
      <c r="B21" s="12"/>
      <c r="C21" s="12"/>
      <c r="D21" s="12"/>
      <c r="E21" s="57" t="s">
        <v>120</v>
      </c>
      <c r="F21" s="57"/>
      <c r="G21" s="57"/>
      <c r="H21" s="57"/>
      <c r="I21" s="20">
        <f>I22+I23+I24+I25</f>
        <v>0</v>
      </c>
      <c r="J21" s="20">
        <f>J22+J23+J24+J25</f>
        <v>0</v>
      </c>
      <c r="K21" s="21" t="s">
        <v>150</v>
      </c>
    </row>
    <row r="22" spans="1:42" ht="14" x14ac:dyDescent="0.3">
      <c r="A22" s="12"/>
      <c r="B22" s="12"/>
      <c r="C22" s="12"/>
      <c r="D22" s="12"/>
      <c r="E22" s="44" t="s">
        <v>121</v>
      </c>
      <c r="F22" s="44"/>
      <c r="G22" s="44"/>
      <c r="H22" s="44"/>
      <c r="I22" s="22">
        <f>ROUND((Source!F84)/1000, 2)</f>
        <v>0</v>
      </c>
      <c r="J22" s="22">
        <f>ROUND((Source!P84)/1000, 2)</f>
        <v>0</v>
      </c>
      <c r="K22" s="12" t="s">
        <v>150</v>
      </c>
    </row>
    <row r="23" spans="1:42" ht="14" x14ac:dyDescent="0.3">
      <c r="A23" s="12"/>
      <c r="B23" s="12"/>
      <c r="C23" s="12"/>
      <c r="D23" s="12"/>
      <c r="E23" s="44" t="s">
        <v>122</v>
      </c>
      <c r="F23" s="44"/>
      <c r="G23" s="44"/>
      <c r="H23" s="44"/>
      <c r="I23" s="22">
        <f>ROUND((Source!F85)/1000, 2)</f>
        <v>0</v>
      </c>
      <c r="J23" s="22">
        <f>ROUND((Source!P85)/1000, 2)</f>
        <v>0</v>
      </c>
      <c r="K23" s="12" t="s">
        <v>150</v>
      </c>
    </row>
    <row r="24" spans="1:42" ht="14" x14ac:dyDescent="0.3">
      <c r="A24" s="12"/>
      <c r="B24" s="12"/>
      <c r="C24" s="12"/>
      <c r="D24" s="12"/>
      <c r="E24" s="44" t="s">
        <v>123</v>
      </c>
      <c r="F24" s="44"/>
      <c r="G24" s="44"/>
      <c r="H24" s="44"/>
      <c r="I24" s="22">
        <f>ROUND((Source!F76)/1000, 2)</f>
        <v>0</v>
      </c>
      <c r="J24" s="22">
        <f>ROUND((Source!P76)/1000, 2)</f>
        <v>0</v>
      </c>
      <c r="K24" s="12" t="s">
        <v>150</v>
      </c>
    </row>
    <row r="25" spans="1:42" ht="14" x14ac:dyDescent="0.3">
      <c r="A25" s="12"/>
      <c r="B25" s="12"/>
      <c r="C25" s="12"/>
      <c r="D25" s="12"/>
      <c r="E25" s="44" t="s">
        <v>124</v>
      </c>
      <c r="F25" s="44"/>
      <c r="G25" s="44"/>
      <c r="H25" s="44"/>
      <c r="I25" s="22">
        <f>ROUND((Source!F86+Source!F87)/1000, 2)</f>
        <v>0</v>
      </c>
      <c r="J25" s="22">
        <f>ROUND((Source!P86+Source!P87)/1000, 2)</f>
        <v>0</v>
      </c>
      <c r="K25" s="12" t="s">
        <v>150</v>
      </c>
    </row>
    <row r="26" spans="1:42" ht="14" x14ac:dyDescent="0.3">
      <c r="A26" s="12"/>
      <c r="B26" s="12"/>
      <c r="C26" s="12"/>
      <c r="D26" s="12"/>
      <c r="E26" s="44" t="s">
        <v>125</v>
      </c>
      <c r="F26" s="44"/>
      <c r="G26" s="44"/>
      <c r="H26" s="44"/>
      <c r="I26" s="22">
        <f>(Source!F82+ Source!F81)/1000</f>
        <v>0</v>
      </c>
      <c r="J26" s="22">
        <f>((Source!P82 + Source!P81)/1000)</f>
        <v>0</v>
      </c>
      <c r="K26" s="12" t="s">
        <v>150</v>
      </c>
    </row>
    <row r="27" spans="1:42" ht="14" x14ac:dyDescent="0.3">
      <c r="A27" s="12"/>
      <c r="B27" s="12"/>
      <c r="C27" s="12"/>
      <c r="D27" s="12"/>
      <c r="E27" s="44" t="s">
        <v>126</v>
      </c>
      <c r="F27" s="44"/>
      <c r="G27" s="44"/>
      <c r="H27" s="44"/>
      <c r="I27" s="22">
        <f>Source!F89</f>
        <v>0</v>
      </c>
      <c r="J27" s="22"/>
      <c r="K27" s="12" t="s">
        <v>127</v>
      </c>
    </row>
    <row r="28" spans="1:42" ht="14" x14ac:dyDescent="0.3">
      <c r="A28" s="12"/>
      <c r="B28" s="12"/>
      <c r="C28" s="12"/>
      <c r="D28" s="12"/>
      <c r="E28" s="52" t="s">
        <v>128</v>
      </c>
      <c r="F28" s="52"/>
      <c r="G28" s="52"/>
      <c r="H28" s="52"/>
      <c r="I28" s="22"/>
      <c r="J28" s="22"/>
      <c r="K28" s="12"/>
    </row>
    <row r="29" spans="1:42" ht="14" x14ac:dyDescent="0.3">
      <c r="A29" s="12"/>
      <c r="B29" s="12"/>
      <c r="C29" s="12"/>
      <c r="D29" s="12"/>
      <c r="E29" s="53" t="s">
        <v>77</v>
      </c>
      <c r="F29" s="53"/>
      <c r="G29" s="53"/>
      <c r="H29" s="53"/>
      <c r="I29" s="22">
        <f>SUM(Y35:Y56)/1000</f>
        <v>86.06965000000001</v>
      </c>
      <c r="J29" s="22">
        <f>SUM(Z35:Z56)/1000</f>
        <v>733.43555000000015</v>
      </c>
      <c r="K29" s="12" t="s">
        <v>150</v>
      </c>
    </row>
    <row r="30" spans="1:42" ht="14" x14ac:dyDescent="0.3">
      <c r="A30" s="12"/>
      <c r="B30" s="12"/>
      <c r="C30" s="12"/>
      <c r="D30" s="12"/>
      <c r="E30" s="12"/>
      <c r="F30" s="16"/>
      <c r="G30" s="16"/>
      <c r="H30" s="16"/>
      <c r="I30" s="22"/>
      <c r="J30" s="22"/>
      <c r="K30" s="12"/>
    </row>
    <row r="31" spans="1:42" ht="14" x14ac:dyDescent="0.3">
      <c r="A31" s="12" t="s">
        <v>140</v>
      </c>
      <c r="B31" s="12"/>
      <c r="C31" s="12"/>
      <c r="D31" s="12"/>
      <c r="E31" s="12"/>
      <c r="F31" s="16"/>
      <c r="G31" s="16"/>
      <c r="H31" s="16"/>
      <c r="I31" s="22"/>
      <c r="J31" s="22"/>
      <c r="K31" s="12"/>
    </row>
    <row r="32" spans="1:42" ht="28" x14ac:dyDescent="0.3">
      <c r="A32" s="67" t="s">
        <v>141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M32" s="69" t="s">
        <v>164</v>
      </c>
      <c r="AP32" s="26" t="s">
        <v>141</v>
      </c>
    </row>
    <row r="33" spans="1:29" ht="98" x14ac:dyDescent="0.25">
      <c r="A33" s="23" t="s">
        <v>129</v>
      </c>
      <c r="B33" s="23" t="s">
        <v>130</v>
      </c>
      <c r="C33" s="23" t="s">
        <v>131</v>
      </c>
      <c r="D33" s="23" t="s">
        <v>132</v>
      </c>
      <c r="E33" s="23" t="s">
        <v>133</v>
      </c>
      <c r="F33" s="23" t="s">
        <v>134</v>
      </c>
      <c r="G33" s="24" t="s">
        <v>135</v>
      </c>
      <c r="H33" s="24" t="s">
        <v>136</v>
      </c>
      <c r="I33" s="23" t="s">
        <v>142</v>
      </c>
      <c r="J33" s="23" t="s">
        <v>137</v>
      </c>
      <c r="K33" s="23" t="s">
        <v>138</v>
      </c>
    </row>
    <row r="34" spans="1:29" ht="14" x14ac:dyDescent="0.25">
      <c r="A34" s="23">
        <v>1</v>
      </c>
      <c r="B34" s="23">
        <v>2</v>
      </c>
      <c r="C34" s="23">
        <v>3</v>
      </c>
      <c r="D34" s="23">
        <v>4</v>
      </c>
      <c r="E34" s="23">
        <v>5</v>
      </c>
      <c r="F34" s="23">
        <v>6</v>
      </c>
      <c r="G34" s="23">
        <v>7</v>
      </c>
      <c r="H34" s="23">
        <v>8</v>
      </c>
      <c r="I34" s="23">
        <v>9</v>
      </c>
      <c r="J34" s="23">
        <v>10</v>
      </c>
      <c r="K34" s="23">
        <v>11</v>
      </c>
    </row>
    <row r="36" spans="1:29" ht="16.5" x14ac:dyDescent="0.35">
      <c r="A36" s="51" t="str">
        <f>CONCATENATE("Раздел: ",IF(Source!G24&lt;&gt;"Новый раздел", Source!G24, ""))</f>
        <v>Раздел: Возвратные средства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</row>
    <row r="37" spans="1:29" ht="42" x14ac:dyDescent="0.35">
      <c r="A37" s="28">
        <v>1</v>
      </c>
      <c r="B37" s="68" t="str">
        <f>Source!F28</f>
        <v>1.7-11-59</v>
      </c>
      <c r="C37" s="68" t="s">
        <v>143</v>
      </c>
      <c r="D37" s="29" t="str">
        <f>Source!H28</f>
        <v>т</v>
      </c>
      <c r="E37" s="30">
        <f>Source!I28</f>
        <v>25.995999999999999</v>
      </c>
      <c r="F37" s="31">
        <f>Source!AL28</f>
        <v>2092.1999999999998</v>
      </c>
      <c r="G37" s="32" t="str">
        <f>Source!DD28</f>
        <v/>
      </c>
      <c r="H37" s="30">
        <f>Source!AW29</f>
        <v>1</v>
      </c>
      <c r="I37" s="31">
        <f>Source!T28</f>
        <v>54388.83</v>
      </c>
      <c r="J37" s="30">
        <f>IF(Source!BC29&lt;&gt; 0, Source!BC29, 1)</f>
        <v>8.6</v>
      </c>
      <c r="K37" s="31">
        <f>Source!T29</f>
        <v>467743.94</v>
      </c>
      <c r="M37" s="69" t="s">
        <v>31</v>
      </c>
      <c r="Q37">
        <f>Source!X28</f>
        <v>0</v>
      </c>
      <c r="R37">
        <f>Source!X29</f>
        <v>0</v>
      </c>
      <c r="S37">
        <f>Source!Y28</f>
        <v>0</v>
      </c>
      <c r="T37">
        <f>Source!Y29</f>
        <v>0</v>
      </c>
      <c r="U37">
        <f>ROUND((175/100)*ROUND(Source!R28, 2), 2)</f>
        <v>0</v>
      </c>
      <c r="V37">
        <f>ROUND((0/100)*ROUND(Source!R29, 2), 2)</f>
        <v>0</v>
      </c>
      <c r="Y37" s="27">
        <f>I37</f>
        <v>54388.83</v>
      </c>
      <c r="Z37" s="27">
        <f>K37</f>
        <v>467743.94</v>
      </c>
      <c r="AC37">
        <v>3</v>
      </c>
    </row>
    <row r="38" spans="1:29" ht="14" x14ac:dyDescent="0.3">
      <c r="C38" s="21" t="s">
        <v>144</v>
      </c>
      <c r="H38" s="49">
        <f>I37+0</f>
        <v>54388.83</v>
      </c>
      <c r="I38" s="49"/>
      <c r="J38" s="49">
        <f>K37+0</f>
        <v>467743.94</v>
      </c>
      <c r="K38" s="49"/>
    </row>
    <row r="40" spans="1:29" ht="42" x14ac:dyDescent="0.35">
      <c r="A40" s="28">
        <v>2</v>
      </c>
      <c r="B40" s="68" t="str">
        <f>Source!F30</f>
        <v>1.7-11-60</v>
      </c>
      <c r="C40" s="68" t="s">
        <v>145</v>
      </c>
      <c r="D40" s="29" t="str">
        <f>Source!H30</f>
        <v>т</v>
      </c>
      <c r="E40" s="30">
        <f>Source!I30</f>
        <v>13.742000000000001</v>
      </c>
      <c r="F40" s="31">
        <f>Source!AL30</f>
        <v>2156.67</v>
      </c>
      <c r="G40" s="32" t="str">
        <f>Source!DD30</f>
        <v/>
      </c>
      <c r="H40" s="30">
        <f>Source!AW31</f>
        <v>1</v>
      </c>
      <c r="I40" s="31">
        <f>Source!T30</f>
        <v>29636.959999999999</v>
      </c>
      <c r="J40" s="30">
        <f>IF(Source!BC31&lt;&gt; 0, Source!BC31, 1)</f>
        <v>8.31</v>
      </c>
      <c r="K40" s="31">
        <f>Source!T31</f>
        <v>246283.14</v>
      </c>
      <c r="M40" s="69" t="s">
        <v>165</v>
      </c>
      <c r="Q40">
        <f>Source!X30</f>
        <v>0</v>
      </c>
      <c r="R40">
        <f>Source!X31</f>
        <v>0</v>
      </c>
      <c r="S40">
        <f>Source!Y30</f>
        <v>0</v>
      </c>
      <c r="T40">
        <f>Source!Y31</f>
        <v>0</v>
      </c>
      <c r="U40">
        <f>ROUND((175/100)*ROUND(Source!R30, 2), 2)</f>
        <v>0</v>
      </c>
      <c r="V40">
        <f>ROUND((0/100)*ROUND(Source!R31, 2), 2)</f>
        <v>0</v>
      </c>
      <c r="Y40" s="27">
        <f>I40</f>
        <v>29636.959999999999</v>
      </c>
      <c r="Z40" s="27">
        <f>K40</f>
        <v>246283.14</v>
      </c>
      <c r="AC40">
        <v>3</v>
      </c>
    </row>
    <row r="41" spans="1:29" ht="14" x14ac:dyDescent="0.3">
      <c r="C41" s="21" t="s">
        <v>144</v>
      </c>
      <c r="H41" s="49">
        <f>I40+0</f>
        <v>29636.959999999999</v>
      </c>
      <c r="I41" s="49"/>
      <c r="J41" s="49">
        <f>K40+0</f>
        <v>246283.14</v>
      </c>
      <c r="K41" s="49"/>
    </row>
    <row r="43" spans="1:29" ht="42" x14ac:dyDescent="0.35">
      <c r="A43" s="28">
        <v>3</v>
      </c>
      <c r="B43" s="28" t="str">
        <f>Source!F32</f>
        <v>1.7-11-61</v>
      </c>
      <c r="C43" s="28" t="s">
        <v>146</v>
      </c>
      <c r="D43" s="29" t="str">
        <f>Source!H32</f>
        <v>т</v>
      </c>
      <c r="E43" s="30">
        <f>Source!I32</f>
        <v>0.85399999999999998</v>
      </c>
      <c r="F43" s="31">
        <f>Source!AL32</f>
        <v>1853.64</v>
      </c>
      <c r="G43" s="32" t="str">
        <f>Source!DD32</f>
        <v/>
      </c>
      <c r="H43" s="30">
        <f>Source!AW33</f>
        <v>1</v>
      </c>
      <c r="I43" s="31">
        <f>Source!T32</f>
        <v>1583.01</v>
      </c>
      <c r="J43" s="30">
        <f>IF(Source!BC33&lt;&gt; 0, Source!BC33, 1)</f>
        <v>9.6199999999999992</v>
      </c>
      <c r="K43" s="31">
        <f>Source!T33</f>
        <v>15228.56</v>
      </c>
      <c r="Q43">
        <f>Source!X32</f>
        <v>0</v>
      </c>
      <c r="R43">
        <f>Source!X33</f>
        <v>0</v>
      </c>
      <c r="S43">
        <f>Source!Y32</f>
        <v>0</v>
      </c>
      <c r="T43">
        <f>Source!Y33</f>
        <v>0</v>
      </c>
      <c r="U43">
        <f>ROUND((175/100)*ROUND(Source!R32, 2), 2)</f>
        <v>0</v>
      </c>
      <c r="V43">
        <f>ROUND((0/100)*ROUND(Source!R33, 2), 2)</f>
        <v>0</v>
      </c>
      <c r="Y43" s="27">
        <f>I43</f>
        <v>1583.01</v>
      </c>
      <c r="Z43" s="27">
        <f>K43</f>
        <v>15228.56</v>
      </c>
      <c r="AC43">
        <v>3</v>
      </c>
    </row>
    <row r="44" spans="1:29" ht="14" x14ac:dyDescent="0.3">
      <c r="C44" s="21" t="s">
        <v>144</v>
      </c>
      <c r="H44" s="49">
        <f>I43+0</f>
        <v>1583.01</v>
      </c>
      <c r="I44" s="49"/>
      <c r="J44" s="49">
        <f>K43+0</f>
        <v>15228.56</v>
      </c>
      <c r="K44" s="49"/>
    </row>
    <row r="46" spans="1:29" ht="42" x14ac:dyDescent="0.35">
      <c r="A46" s="28">
        <v>4</v>
      </c>
      <c r="B46" s="28" t="str">
        <f>Source!F34</f>
        <v>1.7-11-63</v>
      </c>
      <c r="C46" s="28" t="s">
        <v>147</v>
      </c>
      <c r="D46" s="29" t="str">
        <f>Source!H34</f>
        <v>т</v>
      </c>
      <c r="E46" s="30">
        <f>Source!I34</f>
        <v>0.20899999999999999</v>
      </c>
      <c r="F46" s="31">
        <f>Source!AL34</f>
        <v>2205.0300000000002</v>
      </c>
      <c r="G46" s="32" t="str">
        <f>Source!DD34</f>
        <v/>
      </c>
      <c r="H46" s="30">
        <f>Source!AW35</f>
        <v>1</v>
      </c>
      <c r="I46" s="31">
        <f>Source!T34</f>
        <v>460.85</v>
      </c>
      <c r="J46" s="30">
        <f>IF(Source!BC35&lt;&gt; 0, Source!BC35, 1)</f>
        <v>9.07</v>
      </c>
      <c r="K46" s="31">
        <f>Source!T35</f>
        <v>4179.91</v>
      </c>
      <c r="Q46">
        <f>Source!X34</f>
        <v>0</v>
      </c>
      <c r="R46">
        <f>Source!X35</f>
        <v>0</v>
      </c>
      <c r="S46">
        <f>Source!Y34</f>
        <v>0</v>
      </c>
      <c r="T46">
        <f>Source!Y35</f>
        <v>0</v>
      </c>
      <c r="U46">
        <f>ROUND((175/100)*ROUND(Source!R34, 2), 2)</f>
        <v>0</v>
      </c>
      <c r="V46">
        <f>ROUND((0/100)*ROUND(Source!R35, 2), 2)</f>
        <v>0</v>
      </c>
      <c r="Y46" s="27">
        <f>I46</f>
        <v>460.85</v>
      </c>
      <c r="Z46" s="27">
        <f>K46</f>
        <v>4179.91</v>
      </c>
      <c r="AC46">
        <v>3</v>
      </c>
    </row>
    <row r="47" spans="1:29" ht="14" x14ac:dyDescent="0.3">
      <c r="C47" s="21" t="s">
        <v>144</v>
      </c>
      <c r="H47" s="49">
        <f>I46+0</f>
        <v>460.85</v>
      </c>
      <c r="I47" s="49"/>
      <c r="J47" s="49">
        <f>K46+0</f>
        <v>4179.91</v>
      </c>
      <c r="K47" s="49"/>
    </row>
    <row r="50" spans="1:11" ht="14" x14ac:dyDescent="0.3">
      <c r="A50" s="48" t="str">
        <f>CONCATENATE("Итого по разделу: ",IF(Source!G37&lt;&gt;"Новый раздел", Source!G37, ""))</f>
        <v>Итого по разделу: Возвратные средства</v>
      </c>
      <c r="B50" s="48"/>
      <c r="C50" s="48"/>
      <c r="D50" s="48"/>
      <c r="E50" s="48"/>
      <c r="F50" s="48"/>
      <c r="G50" s="48"/>
      <c r="H50" s="46">
        <f>SUM(O36:O49)</f>
        <v>0</v>
      </c>
      <c r="I50" s="47"/>
      <c r="J50" s="46">
        <f>SUM(P36:P49)</f>
        <v>0</v>
      </c>
      <c r="K50" s="47"/>
    </row>
    <row r="51" spans="1:11" hidden="1" x14ac:dyDescent="0.25">
      <c r="A51" t="s">
        <v>148</v>
      </c>
      <c r="I51">
        <f>SUM(W36:W50)</f>
        <v>0</v>
      </c>
      <c r="J51">
        <f>SUM(X36:X50)</f>
        <v>0</v>
      </c>
    </row>
    <row r="52" spans="1:11" ht="14" x14ac:dyDescent="0.3">
      <c r="A52" s="48" t="s">
        <v>149</v>
      </c>
      <c r="B52" s="48"/>
      <c r="C52" s="48"/>
      <c r="D52" s="48"/>
      <c r="E52" s="48"/>
      <c r="F52" s="48"/>
      <c r="G52" s="48"/>
      <c r="H52" s="46">
        <f>SUM(Y36:Y51)</f>
        <v>86069.650000000009</v>
      </c>
      <c r="I52" s="47"/>
      <c r="J52" s="46">
        <f>SUM(Z36:Z51)</f>
        <v>733435.55000000016</v>
      </c>
      <c r="K52" s="47"/>
    </row>
    <row r="54" spans="1:11" ht="14" x14ac:dyDescent="0.3">
      <c r="A54" s="48" t="str">
        <f>CONCATENATE("Итого по локальной смете: ",IF(Source!G67&lt;&gt;"Новая локальная смета", Source!G67, ""))</f>
        <v>Итого по локальной смете: Возвратные средства</v>
      </c>
      <c r="B54" s="48"/>
      <c r="C54" s="48"/>
      <c r="D54" s="48"/>
      <c r="E54" s="48"/>
      <c r="F54" s="48"/>
      <c r="G54" s="48"/>
      <c r="H54" s="46">
        <f>SUM(O35:O53)</f>
        <v>0</v>
      </c>
      <c r="I54" s="47"/>
      <c r="J54" s="46">
        <f>SUM(P35:P53)</f>
        <v>0</v>
      </c>
      <c r="K54" s="47"/>
    </row>
    <row r="55" spans="1:11" hidden="1" x14ac:dyDescent="0.25">
      <c r="A55" t="s">
        <v>148</v>
      </c>
      <c r="I55">
        <f>SUM(W35:W54)</f>
        <v>0</v>
      </c>
      <c r="J55">
        <f>SUM(X35:X54)</f>
        <v>0</v>
      </c>
    </row>
    <row r="56" spans="1:11" ht="14" x14ac:dyDescent="0.3">
      <c r="A56" s="48" t="s">
        <v>149</v>
      </c>
      <c r="B56" s="48"/>
      <c r="C56" s="48"/>
      <c r="D56" s="48"/>
      <c r="E56" s="48"/>
      <c r="F56" s="48"/>
      <c r="G56" s="48"/>
      <c r="H56" s="46">
        <f>SUM(Y35:Y55)</f>
        <v>86069.650000000009</v>
      </c>
      <c r="I56" s="47"/>
      <c r="J56" s="46">
        <f>SUM(Z35:Z55)</f>
        <v>733435.55000000016</v>
      </c>
      <c r="K56" s="47"/>
    </row>
    <row r="59" spans="1:11" ht="14" x14ac:dyDescent="0.3">
      <c r="A59" s="43" t="s">
        <v>151</v>
      </c>
      <c r="B59" s="43"/>
      <c r="C59" s="34" t="str">
        <f>IF(Source!AC12&lt;&gt;"", Source!AC12," ")</f>
        <v xml:space="preserve"> </v>
      </c>
      <c r="D59" s="34"/>
      <c r="E59" s="34"/>
      <c r="F59" s="34"/>
      <c r="G59" s="34"/>
      <c r="H59" s="44" t="str">
        <f>IF(Source!AB12&lt;&gt;"", Source!AB12," ")</f>
        <v>Лукьянова А.Л.</v>
      </c>
      <c r="I59" s="44"/>
      <c r="J59" s="44"/>
      <c r="K59" s="44"/>
    </row>
    <row r="60" spans="1:11" ht="14" x14ac:dyDescent="0.3">
      <c r="A60" s="12"/>
      <c r="B60" s="12"/>
      <c r="C60" s="45" t="s">
        <v>152</v>
      </c>
      <c r="D60" s="45"/>
      <c r="E60" s="45"/>
      <c r="F60" s="45"/>
      <c r="G60" s="45"/>
      <c r="H60" s="12"/>
      <c r="I60" s="12"/>
      <c r="J60" s="12"/>
      <c r="K60" s="12"/>
    </row>
    <row r="61" spans="1:11" ht="14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ht="14" x14ac:dyDescent="0.3">
      <c r="A62" s="43" t="s">
        <v>153</v>
      </c>
      <c r="B62" s="43"/>
      <c r="C62" s="34" t="str">
        <f>IF(Source!AE12&lt;&gt;"", Source!AE12," ")</f>
        <v xml:space="preserve"> </v>
      </c>
      <c r="D62" s="34"/>
      <c r="E62" s="34"/>
      <c r="F62" s="34"/>
      <c r="G62" s="34"/>
      <c r="H62" s="44" t="str">
        <f>IF(Source!AD12&lt;&gt;"", Source!AD12," ")</f>
        <v xml:space="preserve"> </v>
      </c>
      <c r="I62" s="44"/>
      <c r="J62" s="44"/>
      <c r="K62" s="44"/>
    </row>
    <row r="63" spans="1:11" ht="14" x14ac:dyDescent="0.3">
      <c r="A63" s="12"/>
      <c r="B63" s="12"/>
      <c r="C63" s="45" t="s">
        <v>152</v>
      </c>
      <c r="D63" s="45"/>
      <c r="E63" s="45"/>
      <c r="F63" s="45"/>
      <c r="G63" s="45"/>
      <c r="H63" s="12"/>
      <c r="I63" s="12"/>
      <c r="J63" s="12"/>
      <c r="K63" s="12"/>
    </row>
  </sheetData>
  <mergeCells count="52">
    <mergeCell ref="A13:K13"/>
    <mergeCell ref="B3:E3"/>
    <mergeCell ref="G3:K3"/>
    <mergeCell ref="B4:E4"/>
    <mergeCell ref="G4:K4"/>
    <mergeCell ref="B6:E6"/>
    <mergeCell ref="G6:K6"/>
    <mergeCell ref="B7:E7"/>
    <mergeCell ref="G7:K7"/>
    <mergeCell ref="J2:K2"/>
    <mergeCell ref="A10:K10"/>
    <mergeCell ref="A11:K11"/>
    <mergeCell ref="E29:H29"/>
    <mergeCell ref="A15:K15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A32:K32"/>
    <mergeCell ref="A36:K36"/>
    <mergeCell ref="H38:I38"/>
    <mergeCell ref="J38:K38"/>
    <mergeCell ref="H41:I41"/>
    <mergeCell ref="J41:K41"/>
    <mergeCell ref="H44:I44"/>
    <mergeCell ref="J44:K44"/>
    <mergeCell ref="H47:I47"/>
    <mergeCell ref="J47:K47"/>
    <mergeCell ref="J50:K50"/>
    <mergeCell ref="H50:I50"/>
    <mergeCell ref="A50:G50"/>
    <mergeCell ref="J52:K52"/>
    <mergeCell ref="H52:I52"/>
    <mergeCell ref="A52:G52"/>
    <mergeCell ref="J54:K54"/>
    <mergeCell ref="H54:I54"/>
    <mergeCell ref="A54:G54"/>
    <mergeCell ref="A62:B62"/>
    <mergeCell ref="H62:K62"/>
    <mergeCell ref="C63:G63"/>
    <mergeCell ref="J56:K56"/>
    <mergeCell ref="H56:I56"/>
    <mergeCell ref="A56:G56"/>
    <mergeCell ref="A59:B59"/>
    <mergeCell ref="H59:K59"/>
    <mergeCell ref="C60:G60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zoomScaleNormal="100" workbookViewId="0"/>
  </sheetViews>
  <sheetFormatPr defaultRowHeight="12.5" x14ac:dyDescent="0.25"/>
  <cols>
    <col min="1" max="2" width="6.7265625" customWidth="1"/>
    <col min="3" max="3" width="75.7265625" customWidth="1"/>
    <col min="4" max="8" width="15.7265625" customWidth="1"/>
    <col min="30" max="32" width="0" hidden="1" customWidth="1"/>
  </cols>
  <sheetData>
    <row r="1" spans="1:8" x14ac:dyDescent="0.25">
      <c r="A1" s="10" t="str">
        <f>Source!B1</f>
        <v>Smeta.RU  (495) 974-1589</v>
      </c>
    </row>
    <row r="2" spans="1:8" ht="14" x14ac:dyDescent="0.3">
      <c r="D2" s="12"/>
      <c r="E2" s="12"/>
    </row>
    <row r="3" spans="1:8" ht="14" x14ac:dyDescent="0.3">
      <c r="D3" s="12"/>
      <c r="E3" s="33" t="s">
        <v>113</v>
      </c>
    </row>
    <row r="4" spans="1:8" ht="14" x14ac:dyDescent="0.3">
      <c r="D4" s="33"/>
      <c r="E4" s="33"/>
    </row>
    <row r="5" spans="1:8" ht="14" x14ac:dyDescent="0.3">
      <c r="D5" s="63" t="s">
        <v>154</v>
      </c>
      <c r="E5" s="63"/>
    </row>
    <row r="6" spans="1:8" ht="14" x14ac:dyDescent="0.3">
      <c r="D6" s="35"/>
      <c r="E6" s="35"/>
    </row>
    <row r="7" spans="1:8" ht="14" x14ac:dyDescent="0.3">
      <c r="D7" s="63" t="s">
        <v>154</v>
      </c>
      <c r="E7" s="63"/>
    </row>
    <row r="8" spans="1:8" ht="14" x14ac:dyDescent="0.3">
      <c r="D8" s="35"/>
      <c r="E8" s="35"/>
    </row>
    <row r="9" spans="1:8" ht="14" x14ac:dyDescent="0.3">
      <c r="D9" s="33" t="s">
        <v>155</v>
      </c>
      <c r="E9" s="12"/>
    </row>
    <row r="10" spans="1:8" ht="14" x14ac:dyDescent="0.3">
      <c r="D10" s="12"/>
      <c r="E10" s="12"/>
    </row>
    <row r="12" spans="1:8" ht="15.5" x14ac:dyDescent="0.25">
      <c r="B12" s="64" t="str">
        <f>CONCATENATE("Ведомость объемов работ ", IF(Source!AN15&lt;&gt;"", Source!AN15," "))</f>
        <v xml:space="preserve">Ведомость объемов работ  </v>
      </c>
      <c r="C12" s="64"/>
      <c r="D12" s="64"/>
      <c r="E12" s="64"/>
    </row>
    <row r="13" spans="1:8" ht="14" x14ac:dyDescent="0.25">
      <c r="B13" s="65" t="str">
        <f>CONCATENATE(Source!F12, " ", Source!G12)</f>
        <v>б/н б/н Возвратные средства</v>
      </c>
      <c r="C13" s="65"/>
      <c r="D13" s="65"/>
      <c r="E13" s="65"/>
    </row>
    <row r="14" spans="1:8" hidden="1" x14ac:dyDescent="0.25"/>
    <row r="16" spans="1:8" ht="70" x14ac:dyDescent="0.25">
      <c r="A16" s="24" t="s">
        <v>129</v>
      </c>
      <c r="B16" s="24" t="s">
        <v>156</v>
      </c>
      <c r="C16" s="24" t="s">
        <v>131</v>
      </c>
      <c r="D16" s="24" t="s">
        <v>157</v>
      </c>
      <c r="E16" s="24" t="s">
        <v>158</v>
      </c>
      <c r="F16" s="24" t="s">
        <v>159</v>
      </c>
      <c r="G16" s="24" t="s">
        <v>160</v>
      </c>
      <c r="H16" s="24" t="s">
        <v>161</v>
      </c>
    </row>
    <row r="17" spans="1:8" ht="14" x14ac:dyDescent="0.25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8" ht="16.5" x14ac:dyDescent="0.35">
      <c r="A18" s="66" t="str">
        <f>CONCATENATE("Локальная смета: ", Source!G20)</f>
        <v>Локальная смета: Возвратные средства</v>
      </c>
      <c r="B18" s="66"/>
      <c r="C18" s="66"/>
      <c r="D18" s="66"/>
      <c r="E18" s="66"/>
      <c r="F18" s="66"/>
      <c r="G18" s="66"/>
      <c r="H18" s="66"/>
    </row>
    <row r="19" spans="1:8" ht="16.5" x14ac:dyDescent="0.35">
      <c r="A19" s="66" t="str">
        <f>CONCATENATE("Раздел: ", Source!G24)</f>
        <v>Раздел: Возвратные средства</v>
      </c>
      <c r="B19" s="66"/>
      <c r="C19" s="66"/>
      <c r="D19" s="66"/>
      <c r="E19" s="66"/>
      <c r="F19" s="66"/>
      <c r="G19" s="66"/>
      <c r="H19" s="66"/>
    </row>
    <row r="20" spans="1:8" ht="14" x14ac:dyDescent="0.25">
      <c r="A20" s="24">
        <v>1</v>
      </c>
      <c r="B20" s="24" t="str">
        <f>Source!E28</f>
        <v>1</v>
      </c>
      <c r="C20" s="38" t="str">
        <f>Source!G28</f>
        <v>Лом стальной, вид лома 3А, для расчета возвратных сумм</v>
      </c>
      <c r="D20" s="24" t="s">
        <v>21</v>
      </c>
      <c r="E20" s="39">
        <f>Source!I28</f>
        <v>25.995999999999999</v>
      </c>
      <c r="F20" s="24" t="str">
        <f>Source!U24</f>
        <v/>
      </c>
      <c r="G20" s="24">
        <f>Source!I28</f>
        <v>25.995999999999999</v>
      </c>
      <c r="H20" s="38"/>
    </row>
    <row r="21" spans="1:8" ht="14" x14ac:dyDescent="0.25">
      <c r="A21" s="24">
        <v>2</v>
      </c>
      <c r="B21" s="24" t="str">
        <f>Source!E30</f>
        <v>2</v>
      </c>
      <c r="C21" s="38" t="str">
        <f>Source!G30</f>
        <v>Лом стальной, вид лома 5А, для расчета возвратных сумм</v>
      </c>
      <c r="D21" s="24" t="s">
        <v>21</v>
      </c>
      <c r="E21" s="39">
        <f>Source!I30</f>
        <v>13.742000000000001</v>
      </c>
      <c r="F21" s="24" t="str">
        <f>Source!U24</f>
        <v/>
      </c>
      <c r="G21" s="24">
        <f>Source!I30</f>
        <v>13.742000000000001</v>
      </c>
      <c r="H21" s="38"/>
    </row>
    <row r="22" spans="1:8" ht="14" x14ac:dyDescent="0.25">
      <c r="A22" s="24">
        <v>3</v>
      </c>
      <c r="B22" s="24" t="str">
        <f>Source!E32</f>
        <v>3</v>
      </c>
      <c r="C22" s="38" t="str">
        <f>Source!G32</f>
        <v>Лом стальной, вид лома 12А, для расчета возвратных сумм (прим. алюминий)</v>
      </c>
      <c r="D22" s="24" t="s">
        <v>21</v>
      </c>
      <c r="E22" s="39">
        <f>Source!I32</f>
        <v>0.85399999999999998</v>
      </c>
      <c r="F22" s="24" t="str">
        <f>Source!U24</f>
        <v/>
      </c>
      <c r="G22" s="24">
        <f>Source!I32</f>
        <v>0.85399999999999998</v>
      </c>
      <c r="H22" s="38"/>
    </row>
    <row r="23" spans="1:8" ht="14" x14ac:dyDescent="0.25">
      <c r="A23" s="23">
        <v>4</v>
      </c>
      <c r="B23" s="23" t="str">
        <f>Source!E34</f>
        <v>4</v>
      </c>
      <c r="C23" s="36" t="str">
        <f>Source!G34</f>
        <v>Лом чугунный, вид лома 22А, для расчета возвратных сумм</v>
      </c>
      <c r="D23" s="23" t="s">
        <v>21</v>
      </c>
      <c r="E23" s="37">
        <f>Source!I34</f>
        <v>0.20899999999999999</v>
      </c>
      <c r="F23" s="23" t="str">
        <f>Source!U24</f>
        <v/>
      </c>
      <c r="G23" s="23">
        <f>Source!I34</f>
        <v>0.20899999999999999</v>
      </c>
      <c r="H23" s="36"/>
    </row>
    <row r="26" spans="1:8" ht="14" x14ac:dyDescent="0.3">
      <c r="C26" s="40" t="s">
        <v>162</v>
      </c>
      <c r="D26" s="40" t="str">
        <f>IF(Source!X12&lt;&gt;"", Source!X12," ")</f>
        <v xml:space="preserve"> </v>
      </c>
      <c r="E26" s="41"/>
    </row>
    <row r="27" spans="1:8" ht="14" x14ac:dyDescent="0.3">
      <c r="C27" s="12"/>
      <c r="D27" s="41"/>
      <c r="E27" s="41"/>
    </row>
    <row r="28" spans="1:8" ht="14" x14ac:dyDescent="0.3">
      <c r="C28" s="42" t="s">
        <v>163</v>
      </c>
      <c r="D28" s="42" t="str">
        <f>IF(Source!AB12&lt;&gt;"", Source!AB12," ")</f>
        <v>Лукьянова А.Л.</v>
      </c>
      <c r="E28" s="41"/>
    </row>
  </sheetData>
  <mergeCells count="6">
    <mergeCell ref="A19:H19"/>
    <mergeCell ref="D5:E5"/>
    <mergeCell ref="D7:E7"/>
    <mergeCell ref="B12:E12"/>
    <mergeCell ref="B13:E13"/>
    <mergeCell ref="A18:H1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5"/>
  <sheetViews>
    <sheetView workbookViewId="0">
      <selection activeCell="A141" sqref="A141:AX141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137</v>
      </c>
      <c r="C12" s="1">
        <v>0</v>
      </c>
      <c r="D12" s="1">
        <f>ROW(A97)</f>
        <v>97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3">
        <v>52</v>
      </c>
      <c r="B18" s="3">
        <f t="shared" ref="B18:G18" si="0">B97</f>
        <v>137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б/н</v>
      </c>
      <c r="G18" s="3" t="str">
        <f t="shared" si="0"/>
        <v>б/н Возвратные средства</v>
      </c>
      <c r="H18" s="3"/>
      <c r="I18" s="3"/>
      <c r="J18" s="3"/>
      <c r="K18" s="3"/>
      <c r="L18" s="3"/>
      <c r="M18" s="3"/>
      <c r="N18" s="3"/>
      <c r="O18" s="3">
        <f t="shared" ref="O18:AT18" si="1">O97</f>
        <v>0</v>
      </c>
      <c r="P18" s="3">
        <f t="shared" si="1"/>
        <v>0</v>
      </c>
      <c r="Q18" s="3">
        <f t="shared" si="1"/>
        <v>0</v>
      </c>
      <c r="R18" s="3">
        <f t="shared" si="1"/>
        <v>0</v>
      </c>
      <c r="S18" s="3">
        <f t="shared" si="1"/>
        <v>0</v>
      </c>
      <c r="T18" s="3">
        <f t="shared" si="1"/>
        <v>86069.65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0</v>
      </c>
      <c r="AS18" s="3">
        <f t="shared" si="1"/>
        <v>0</v>
      </c>
      <c r="AT18" s="3">
        <f t="shared" si="1"/>
        <v>0</v>
      </c>
      <c r="AU18" s="3">
        <f t="shared" ref="AU18:BZ18" si="2">AU97</f>
        <v>0</v>
      </c>
      <c r="AV18" s="3">
        <f t="shared" si="2"/>
        <v>0</v>
      </c>
      <c r="AW18" s="3">
        <f t="shared" si="2"/>
        <v>0</v>
      </c>
      <c r="AX18" s="3">
        <f t="shared" si="2"/>
        <v>0</v>
      </c>
      <c r="AY18" s="3">
        <f t="shared" si="2"/>
        <v>0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CA97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DG97</f>
        <v>0</v>
      </c>
      <c r="DH18" s="4">
        <f t="shared" si="4"/>
        <v>0</v>
      </c>
      <c r="DI18" s="4">
        <f t="shared" si="4"/>
        <v>0</v>
      </c>
      <c r="DJ18" s="4">
        <f t="shared" si="4"/>
        <v>0</v>
      </c>
      <c r="DK18" s="4">
        <f t="shared" si="4"/>
        <v>0</v>
      </c>
      <c r="DL18" s="4">
        <f t="shared" si="4"/>
        <v>733435.55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0</v>
      </c>
      <c r="DQ18" s="4">
        <f t="shared" si="4"/>
        <v>0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0</v>
      </c>
      <c r="EK18" s="4">
        <f t="shared" si="4"/>
        <v>0</v>
      </c>
      <c r="EL18" s="4">
        <f t="shared" si="4"/>
        <v>0</v>
      </c>
      <c r="EM18" s="4">
        <f t="shared" ref="EM18:FR18" si="5">EM97</f>
        <v>0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FS97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ROW(A67)</f>
        <v>67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3">
        <v>52</v>
      </c>
      <c r="B22" s="3">
        <f t="shared" ref="B22:G22" si="7">B67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б/н</v>
      </c>
      <c r="G22" s="3" t="str">
        <f t="shared" si="7"/>
        <v>Возвратные средства</v>
      </c>
      <c r="H22" s="3"/>
      <c r="I22" s="3"/>
      <c r="J22" s="3"/>
      <c r="K22" s="3"/>
      <c r="L22" s="3"/>
      <c r="M22" s="3"/>
      <c r="N22" s="3"/>
      <c r="O22" s="3">
        <f t="shared" ref="O22:AT22" si="8">O67</f>
        <v>0</v>
      </c>
      <c r="P22" s="3">
        <f t="shared" si="8"/>
        <v>0</v>
      </c>
      <c r="Q22" s="3">
        <f t="shared" si="8"/>
        <v>0</v>
      </c>
      <c r="R22" s="3">
        <f t="shared" si="8"/>
        <v>0</v>
      </c>
      <c r="S22" s="3">
        <f t="shared" si="8"/>
        <v>0</v>
      </c>
      <c r="T22" s="3">
        <f t="shared" si="8"/>
        <v>86069.65</v>
      </c>
      <c r="U22" s="3">
        <f t="shared" si="8"/>
        <v>0</v>
      </c>
      <c r="V22" s="3">
        <f t="shared" si="8"/>
        <v>0</v>
      </c>
      <c r="W22" s="3">
        <f t="shared" si="8"/>
        <v>0</v>
      </c>
      <c r="X22" s="3">
        <f t="shared" si="8"/>
        <v>0</v>
      </c>
      <c r="Y22" s="3">
        <f t="shared" si="8"/>
        <v>0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0</v>
      </c>
      <c r="AS22" s="3">
        <f t="shared" si="8"/>
        <v>0</v>
      </c>
      <c r="AT22" s="3">
        <f t="shared" si="8"/>
        <v>0</v>
      </c>
      <c r="AU22" s="3">
        <f t="shared" ref="AU22:BZ22" si="9">AU67</f>
        <v>0</v>
      </c>
      <c r="AV22" s="3">
        <f t="shared" si="9"/>
        <v>0</v>
      </c>
      <c r="AW22" s="3">
        <f t="shared" si="9"/>
        <v>0</v>
      </c>
      <c r="AX22" s="3">
        <f t="shared" si="9"/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CA67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DG67</f>
        <v>0</v>
      </c>
      <c r="DH22" s="4">
        <f t="shared" si="11"/>
        <v>0</v>
      </c>
      <c r="DI22" s="4">
        <f t="shared" si="11"/>
        <v>0</v>
      </c>
      <c r="DJ22" s="4">
        <f t="shared" si="11"/>
        <v>0</v>
      </c>
      <c r="DK22" s="4">
        <f t="shared" si="11"/>
        <v>0</v>
      </c>
      <c r="DL22" s="4">
        <f t="shared" si="11"/>
        <v>733435.55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0</v>
      </c>
      <c r="DQ22" s="4">
        <f t="shared" si="11"/>
        <v>0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0</v>
      </c>
      <c r="EK22" s="4">
        <f t="shared" si="11"/>
        <v>0</v>
      </c>
      <c r="EL22" s="4">
        <f t="shared" si="11"/>
        <v>0</v>
      </c>
      <c r="EM22" s="4">
        <f t="shared" ref="EM22:FR22" si="12">EM67</f>
        <v>0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FS67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ROW(A37)</f>
        <v>37</v>
      </c>
      <c r="E24" s="1"/>
      <c r="F24" s="1" t="s">
        <v>3</v>
      </c>
      <c r="G24" s="1" t="s">
        <v>17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3">
        <v>52</v>
      </c>
      <c r="B26" s="3">
        <f t="shared" ref="B26:G26" si="14">B37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/>
      </c>
      <c r="G26" s="3" t="str">
        <f t="shared" si="14"/>
        <v>Возвратные средства</v>
      </c>
      <c r="H26" s="3"/>
      <c r="I26" s="3"/>
      <c r="J26" s="3"/>
      <c r="K26" s="3"/>
      <c r="L26" s="3"/>
      <c r="M26" s="3"/>
      <c r="N26" s="3"/>
      <c r="O26" s="3">
        <f t="shared" ref="O26:AT26" si="15">O37</f>
        <v>0</v>
      </c>
      <c r="P26" s="3">
        <f t="shared" si="15"/>
        <v>0</v>
      </c>
      <c r="Q26" s="3">
        <f t="shared" si="15"/>
        <v>0</v>
      </c>
      <c r="R26" s="3">
        <f t="shared" si="15"/>
        <v>0</v>
      </c>
      <c r="S26" s="3">
        <f t="shared" si="15"/>
        <v>0</v>
      </c>
      <c r="T26" s="3">
        <f t="shared" si="15"/>
        <v>86069.65</v>
      </c>
      <c r="U26" s="3">
        <f t="shared" si="15"/>
        <v>0</v>
      </c>
      <c r="V26" s="3">
        <f t="shared" si="15"/>
        <v>0</v>
      </c>
      <c r="W26" s="3">
        <f t="shared" si="15"/>
        <v>0</v>
      </c>
      <c r="X26" s="3">
        <f t="shared" si="15"/>
        <v>0</v>
      </c>
      <c r="Y26" s="3">
        <f t="shared" si="15"/>
        <v>0</v>
      </c>
      <c r="Z26" s="3">
        <f t="shared" si="15"/>
        <v>0</v>
      </c>
      <c r="AA26" s="3">
        <f t="shared" si="15"/>
        <v>0</v>
      </c>
      <c r="AB26" s="3">
        <f t="shared" si="15"/>
        <v>0</v>
      </c>
      <c r="AC26" s="3">
        <f t="shared" si="15"/>
        <v>0</v>
      </c>
      <c r="AD26" s="3">
        <f t="shared" si="15"/>
        <v>0</v>
      </c>
      <c r="AE26" s="3">
        <f t="shared" si="15"/>
        <v>0</v>
      </c>
      <c r="AF26" s="3">
        <f t="shared" si="15"/>
        <v>0</v>
      </c>
      <c r="AG26" s="3">
        <f t="shared" si="15"/>
        <v>86069.65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0</v>
      </c>
      <c r="AL26" s="3">
        <f t="shared" si="15"/>
        <v>0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0</v>
      </c>
      <c r="AS26" s="3">
        <f t="shared" si="15"/>
        <v>0</v>
      </c>
      <c r="AT26" s="3">
        <f t="shared" si="15"/>
        <v>0</v>
      </c>
      <c r="AU26" s="3">
        <f t="shared" ref="AU26:BZ26" si="16">AU37</f>
        <v>0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CA37</f>
        <v>0</v>
      </c>
      <c r="CB26" s="3">
        <f t="shared" si="17"/>
        <v>0</v>
      </c>
      <c r="CC26" s="3">
        <f t="shared" si="17"/>
        <v>0</v>
      </c>
      <c r="CD26" s="3">
        <f t="shared" si="17"/>
        <v>0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DG37</f>
        <v>0</v>
      </c>
      <c r="DH26" s="4">
        <f t="shared" si="18"/>
        <v>0</v>
      </c>
      <c r="DI26" s="4">
        <f t="shared" si="18"/>
        <v>0</v>
      </c>
      <c r="DJ26" s="4">
        <f t="shared" si="18"/>
        <v>0</v>
      </c>
      <c r="DK26" s="4">
        <f t="shared" si="18"/>
        <v>0</v>
      </c>
      <c r="DL26" s="4">
        <f t="shared" si="18"/>
        <v>733435.55</v>
      </c>
      <c r="DM26" s="4">
        <f t="shared" si="18"/>
        <v>0</v>
      </c>
      <c r="DN26" s="4">
        <f t="shared" si="18"/>
        <v>0</v>
      </c>
      <c r="DO26" s="4">
        <f t="shared" si="18"/>
        <v>0</v>
      </c>
      <c r="DP26" s="4">
        <f t="shared" si="18"/>
        <v>0</v>
      </c>
      <c r="DQ26" s="4">
        <f t="shared" si="18"/>
        <v>0</v>
      </c>
      <c r="DR26" s="4">
        <f t="shared" si="18"/>
        <v>0</v>
      </c>
      <c r="DS26" s="4">
        <f t="shared" si="18"/>
        <v>0</v>
      </c>
      <c r="DT26" s="4">
        <f t="shared" si="18"/>
        <v>0</v>
      </c>
      <c r="DU26" s="4">
        <f t="shared" si="18"/>
        <v>0</v>
      </c>
      <c r="DV26" s="4">
        <f t="shared" si="18"/>
        <v>0</v>
      </c>
      <c r="DW26" s="4">
        <f t="shared" si="18"/>
        <v>0</v>
      </c>
      <c r="DX26" s="4">
        <f t="shared" si="18"/>
        <v>0</v>
      </c>
      <c r="DY26" s="4">
        <f t="shared" si="18"/>
        <v>733435.55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0</v>
      </c>
      <c r="ED26" s="4">
        <f t="shared" si="18"/>
        <v>0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0</v>
      </c>
      <c r="EK26" s="4">
        <f t="shared" si="18"/>
        <v>0</v>
      </c>
      <c r="EL26" s="4">
        <f t="shared" si="18"/>
        <v>0</v>
      </c>
      <c r="EM26" s="4">
        <f t="shared" ref="EM26:FR26" si="19">EM37</f>
        <v>0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FS37</f>
        <v>0</v>
      </c>
      <c r="FT26" s="4">
        <f t="shared" si="20"/>
        <v>0</v>
      </c>
      <c r="FU26" s="4">
        <f t="shared" si="20"/>
        <v>0</v>
      </c>
      <c r="FV26" s="4">
        <f t="shared" si="20"/>
        <v>0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5">
      <c r="A28" s="2">
        <v>17</v>
      </c>
      <c r="B28" s="2">
        <v>1</v>
      </c>
      <c r="C28" s="2"/>
      <c r="D28" s="2"/>
      <c r="E28" s="2" t="s">
        <v>18</v>
      </c>
      <c r="F28" s="2" t="s">
        <v>19</v>
      </c>
      <c r="G28" s="2" t="s">
        <v>20</v>
      </c>
      <c r="H28" s="2" t="s">
        <v>21</v>
      </c>
      <c r="I28" s="2">
        <v>25.995999999999999</v>
      </c>
      <c r="J28" s="2">
        <v>0</v>
      </c>
      <c r="K28" s="2">
        <v>25.995999999999999</v>
      </c>
      <c r="L28" s="2"/>
      <c r="M28" s="2"/>
      <c r="N28" s="2"/>
      <c r="O28" s="2">
        <f t="shared" ref="O28:O35" si="21">ROUND(CP28*I28,2)</f>
        <v>0</v>
      </c>
      <c r="P28" s="2">
        <f t="shared" ref="P28:P35" si="22">ROUND(CQ28*I28,2)</f>
        <v>0</v>
      </c>
      <c r="Q28" s="2">
        <f t="shared" ref="Q28:Q35" si="23">ROUND(CR28*I28,2)</f>
        <v>0</v>
      </c>
      <c r="R28" s="2">
        <f t="shared" ref="R28:R35" si="24">ROUND(CS28*I28,2)</f>
        <v>0</v>
      </c>
      <c r="S28" s="2">
        <f t="shared" ref="S28:S35" si="25">ROUND(CT28*I28,2)</f>
        <v>0</v>
      </c>
      <c r="T28" s="2">
        <f t="shared" ref="T28:T35" si="26">ROUND((ROUND((AC28*I28),2)*BC28),2)</f>
        <v>54388.83</v>
      </c>
      <c r="U28" s="2">
        <f t="shared" ref="U28:U35" si="27">CV28*I28</f>
        <v>0</v>
      </c>
      <c r="V28" s="2">
        <f t="shared" ref="V28:V35" si="28">CW28*I28</f>
        <v>0</v>
      </c>
      <c r="W28" s="2">
        <f t="shared" ref="W28:W35" si="29">ROUND(CX28*I28,2)</f>
        <v>0</v>
      </c>
      <c r="X28" s="2">
        <f t="shared" ref="X28:Y35" si="30">ROUND(CY28,2)</f>
        <v>0</v>
      </c>
      <c r="Y28" s="2">
        <f t="shared" si="30"/>
        <v>0</v>
      </c>
      <c r="Z28" s="2"/>
      <c r="AA28" s="2">
        <v>56526432</v>
      </c>
      <c r="AB28" s="2">
        <f t="shared" ref="AB28:AB35" si="31">ROUND(0,6)</f>
        <v>0</v>
      </c>
      <c r="AC28" s="2">
        <f t="shared" ref="AC28:AC35" si="32">ROUND((ES28),6)</f>
        <v>2092.1999999999998</v>
      </c>
      <c r="AD28" s="2">
        <f t="shared" ref="AD28:AF35" si="33">ROUND(0,6)</f>
        <v>0</v>
      </c>
      <c r="AE28" s="2">
        <f t="shared" si="33"/>
        <v>0</v>
      </c>
      <c r="AF28" s="2">
        <f t="shared" si="33"/>
        <v>0</v>
      </c>
      <c r="AG28" s="2">
        <f t="shared" ref="AG28:AG35" si="34">ROUND((ES28),6)</f>
        <v>2092.1999999999998</v>
      </c>
      <c r="AH28" s="2">
        <f>0</f>
        <v>0</v>
      </c>
      <c r="AI28" s="2">
        <f>0</f>
        <v>0</v>
      </c>
      <c r="AJ28" s="2">
        <f>0</f>
        <v>0</v>
      </c>
      <c r="AK28" s="2">
        <v>2092.1999999999998</v>
      </c>
      <c r="AL28" s="2">
        <v>2092.1999999999998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1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3</v>
      </c>
      <c r="BI28" s="2">
        <v>1</v>
      </c>
      <c r="BJ28" s="2" t="s">
        <v>22</v>
      </c>
      <c r="BK28" s="2"/>
      <c r="BL28" s="2"/>
      <c r="BM28" s="2">
        <v>700000</v>
      </c>
      <c r="BN28" s="2">
        <v>0</v>
      </c>
      <c r="BO28" s="2" t="s">
        <v>3</v>
      </c>
      <c r="BP28" s="2">
        <v>0</v>
      </c>
      <c r="BQ28" s="2">
        <v>203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0</v>
      </c>
      <c r="CA28" s="2">
        <v>0</v>
      </c>
      <c r="CB28" s="2" t="s">
        <v>3</v>
      </c>
      <c r="CC28" s="2"/>
      <c r="CD28" s="2"/>
      <c r="CE28" s="2">
        <v>32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>0</f>
        <v>0</v>
      </c>
      <c r="CQ28" s="2">
        <f>0</f>
        <v>0</v>
      </c>
      <c r="CR28" s="2">
        <f>0</f>
        <v>0</v>
      </c>
      <c r="CS28" s="2">
        <f>0</f>
        <v>0</v>
      </c>
      <c r="CT28" s="2">
        <f>0</f>
        <v>0</v>
      </c>
      <c r="CU28" s="2">
        <f t="shared" ref="CU28:CU35" si="35">ROUND((ROUND((AC28*1),2)*BC28),2)</f>
        <v>2092.1999999999998</v>
      </c>
      <c r="CV28" s="2">
        <f>0</f>
        <v>0</v>
      </c>
      <c r="CW28" s="2">
        <f>0</f>
        <v>0</v>
      </c>
      <c r="CX28" s="2">
        <f>0</f>
        <v>0</v>
      </c>
      <c r="CY28" s="2">
        <f>0</f>
        <v>0</v>
      </c>
      <c r="CZ28" s="2">
        <f>0</f>
        <v>0</v>
      </c>
      <c r="DA28" s="2"/>
      <c r="DB28" s="2"/>
      <c r="DC28" s="2" t="s">
        <v>3</v>
      </c>
      <c r="DD28" s="2" t="s">
        <v>3</v>
      </c>
      <c r="DE28" s="2" t="s">
        <v>3</v>
      </c>
      <c r="DF28" s="2" t="s">
        <v>3</v>
      </c>
      <c r="DG28" s="2" t="s">
        <v>3</v>
      </c>
      <c r="DH28" s="2" t="s">
        <v>3</v>
      </c>
      <c r="DI28" s="2" t="s">
        <v>3</v>
      </c>
      <c r="DJ28" s="2" t="s">
        <v>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1009</v>
      </c>
      <c r="DV28" s="2" t="s">
        <v>21</v>
      </c>
      <c r="DW28" s="2" t="s">
        <v>21</v>
      </c>
      <c r="DX28" s="2">
        <v>1000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55586417</v>
      </c>
      <c r="EF28" s="2">
        <v>203</v>
      </c>
      <c r="EG28" s="2" t="s">
        <v>23</v>
      </c>
      <c r="EH28" s="2">
        <v>0</v>
      </c>
      <c r="EI28" s="2" t="s">
        <v>3</v>
      </c>
      <c r="EJ28" s="2">
        <v>1</v>
      </c>
      <c r="EK28" s="2">
        <v>700000</v>
      </c>
      <c r="EL28" s="2" t="s">
        <v>24</v>
      </c>
      <c r="EM28" s="2" t="s">
        <v>25</v>
      </c>
      <c r="EN28" s="2"/>
      <c r="EO28" s="2" t="s">
        <v>3</v>
      </c>
      <c r="EP28" s="2"/>
      <c r="EQ28" s="2">
        <v>0</v>
      </c>
      <c r="ER28" s="2">
        <v>2092.1999999999998</v>
      </c>
      <c r="ES28" s="2">
        <v>2092.1999999999998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0</v>
      </c>
      <c r="FY28" s="2">
        <v>0</v>
      </c>
      <c r="FZ28" s="2"/>
      <c r="GA28" s="2" t="s">
        <v>3</v>
      </c>
      <c r="GB28" s="2"/>
      <c r="GC28" s="2"/>
      <c r="GD28" s="2">
        <v>1</v>
      </c>
      <c r="GE28" s="2"/>
      <c r="GF28" s="2">
        <v>-1131265837</v>
      </c>
      <c r="GG28" s="2">
        <v>2</v>
      </c>
      <c r="GH28" s="2">
        <v>1</v>
      </c>
      <c r="GI28" s="2">
        <v>-2</v>
      </c>
      <c r="GJ28" s="2">
        <v>0</v>
      </c>
      <c r="GK28" s="2">
        <v>0</v>
      </c>
      <c r="GL28" s="2">
        <f t="shared" ref="GL28:GL35" si="36">ROUND(IF(AND(BH28=3,BI28=3,FS28&lt;&gt;0),P28,0),2)</f>
        <v>0</v>
      </c>
      <c r="GM28" s="2">
        <f t="shared" ref="GM28:GM35" si="37">ROUND(O28+X28+Y28,2)+GX28</f>
        <v>0</v>
      </c>
      <c r="GN28" s="2">
        <f t="shared" ref="GN28:GN35" si="38">IF(OR(BI28=0,BI28=1),GM28-GX28,0)</f>
        <v>0</v>
      </c>
      <c r="GO28" s="2">
        <f t="shared" ref="GO28:GO35" si="39">IF(BI28=2,GM28-GX28,0)</f>
        <v>0</v>
      </c>
      <c r="GP28" s="2">
        <f t="shared" ref="GP28:GP35" si="40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41">ROUND((GT28),6)</f>
        <v>0</v>
      </c>
      <c r="GW28" s="2">
        <v>1</v>
      </c>
      <c r="GX28" s="2">
        <f t="shared" ref="GX28:GX35" si="42">ROUND(HC28*I28,2)</f>
        <v>0</v>
      </c>
      <c r="GY28" s="2"/>
      <c r="GZ28" s="2"/>
      <c r="HA28" s="2">
        <v>0</v>
      </c>
      <c r="HB28" s="2">
        <v>0</v>
      </c>
      <c r="HC28" s="2">
        <f t="shared" ref="HC28:HC35" si="43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>
        <v>17</v>
      </c>
      <c r="B29">
        <v>1</v>
      </c>
      <c r="E29" t="s">
        <v>18</v>
      </c>
      <c r="F29" t="s">
        <v>19</v>
      </c>
      <c r="G29" t="s">
        <v>20</v>
      </c>
      <c r="H29" t="s">
        <v>21</v>
      </c>
      <c r="I29">
        <v>25.995999999999999</v>
      </c>
      <c r="J29">
        <v>0</v>
      </c>
      <c r="K29">
        <v>25.995999999999999</v>
      </c>
      <c r="O29">
        <f t="shared" si="21"/>
        <v>0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467743.94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0"/>
        <v>0</v>
      </c>
      <c r="AA29">
        <v>56526434</v>
      </c>
      <c r="AB29">
        <f t="shared" si="31"/>
        <v>0</v>
      </c>
      <c r="AC29">
        <f t="shared" si="32"/>
        <v>2092.1999999999998</v>
      </c>
      <c r="AD29">
        <f t="shared" si="33"/>
        <v>0</v>
      </c>
      <c r="AE29">
        <f t="shared" si="33"/>
        <v>0</v>
      </c>
      <c r="AF29">
        <f t="shared" si="33"/>
        <v>0</v>
      </c>
      <c r="AG29">
        <f t="shared" si="34"/>
        <v>2092.1999999999998</v>
      </c>
      <c r="AH29">
        <f>0</f>
        <v>0</v>
      </c>
      <c r="AI29">
        <f>0</f>
        <v>0</v>
      </c>
      <c r="AJ29">
        <f>0</f>
        <v>0</v>
      </c>
      <c r="AK29">
        <v>2092.1999999999998</v>
      </c>
      <c r="AL29">
        <v>2092.1999999999998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Z29">
        <v>1</v>
      </c>
      <c r="BA29">
        <v>1</v>
      </c>
      <c r="BB29">
        <v>1</v>
      </c>
      <c r="BC29">
        <v>8.6</v>
      </c>
      <c r="BD29" t="s">
        <v>3</v>
      </c>
      <c r="BE29" t="s">
        <v>3</v>
      </c>
      <c r="BF29" t="s">
        <v>3</v>
      </c>
      <c r="BG29" t="s">
        <v>3</v>
      </c>
      <c r="BH29">
        <v>3</v>
      </c>
      <c r="BI29">
        <v>1</v>
      </c>
      <c r="BJ29" t="s">
        <v>22</v>
      </c>
      <c r="BM29">
        <v>700000</v>
      </c>
      <c r="BN29">
        <v>0</v>
      </c>
      <c r="BO29" t="s">
        <v>19</v>
      </c>
      <c r="BP29">
        <v>1</v>
      </c>
      <c r="BQ29">
        <v>203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0</v>
      </c>
      <c r="CA29">
        <v>0</v>
      </c>
      <c r="CB29" t="s">
        <v>3</v>
      </c>
      <c r="CE29">
        <v>32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>0</f>
        <v>0</v>
      </c>
      <c r="CQ29">
        <f>0</f>
        <v>0</v>
      </c>
      <c r="CR29">
        <f>0</f>
        <v>0</v>
      </c>
      <c r="CS29">
        <f>0</f>
        <v>0</v>
      </c>
      <c r="CT29">
        <f>0</f>
        <v>0</v>
      </c>
      <c r="CU29">
        <f t="shared" si="35"/>
        <v>17992.919999999998</v>
      </c>
      <c r="CV29">
        <f>0</f>
        <v>0</v>
      </c>
      <c r="CW29">
        <f>0</f>
        <v>0</v>
      </c>
      <c r="CX29">
        <f>0</f>
        <v>0</v>
      </c>
      <c r="CY29">
        <f>0</f>
        <v>0</v>
      </c>
      <c r="CZ29">
        <f>0</f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1009</v>
      </c>
      <c r="DV29" t="s">
        <v>21</v>
      </c>
      <c r="DW29" t="s">
        <v>21</v>
      </c>
      <c r="DX29">
        <v>1000</v>
      </c>
      <c r="DZ29" t="s">
        <v>3</v>
      </c>
      <c r="EA29" t="s">
        <v>3</v>
      </c>
      <c r="EB29" t="s">
        <v>3</v>
      </c>
      <c r="EC29" t="s">
        <v>3</v>
      </c>
      <c r="EE29">
        <v>55586417</v>
      </c>
      <c r="EF29">
        <v>203</v>
      </c>
      <c r="EG29" t="s">
        <v>23</v>
      </c>
      <c r="EH29">
        <v>0</v>
      </c>
      <c r="EI29" t="s">
        <v>3</v>
      </c>
      <c r="EJ29">
        <v>1</v>
      </c>
      <c r="EK29">
        <v>700000</v>
      </c>
      <c r="EL29" t="s">
        <v>24</v>
      </c>
      <c r="EM29" t="s">
        <v>25</v>
      </c>
      <c r="EO29" t="s">
        <v>3</v>
      </c>
      <c r="EQ29">
        <v>0</v>
      </c>
      <c r="ER29">
        <v>2092.1999999999998</v>
      </c>
      <c r="ES29">
        <v>2092.1999999999998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0</v>
      </c>
      <c r="FY29">
        <v>0</v>
      </c>
      <c r="GA29" t="s">
        <v>3</v>
      </c>
      <c r="GD29">
        <v>1</v>
      </c>
      <c r="GF29">
        <v>-1131265837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 t="shared" si="36"/>
        <v>0</v>
      </c>
      <c r="GM29">
        <f t="shared" si="37"/>
        <v>0</v>
      </c>
      <c r="GN29">
        <f t="shared" si="38"/>
        <v>0</v>
      </c>
      <c r="GO29">
        <f t="shared" si="39"/>
        <v>0</v>
      </c>
      <c r="GP29">
        <f t="shared" si="40"/>
        <v>0</v>
      </c>
      <c r="GR29">
        <v>0</v>
      </c>
      <c r="GS29">
        <v>3</v>
      </c>
      <c r="GT29">
        <v>0</v>
      </c>
      <c r="GU29" t="s">
        <v>3</v>
      </c>
      <c r="GV29">
        <f t="shared" si="41"/>
        <v>0</v>
      </c>
      <c r="GW29">
        <v>1</v>
      </c>
      <c r="GX29">
        <f t="shared" si="42"/>
        <v>0</v>
      </c>
      <c r="HA29">
        <v>0</v>
      </c>
      <c r="HB29">
        <v>0</v>
      </c>
      <c r="HC29">
        <f t="shared" si="43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5">
      <c r="A30" s="2">
        <v>17</v>
      </c>
      <c r="B30" s="2">
        <v>1</v>
      </c>
      <c r="C30" s="2"/>
      <c r="D30" s="2"/>
      <c r="E30" s="2" t="s">
        <v>26</v>
      </c>
      <c r="F30" s="2" t="s">
        <v>27</v>
      </c>
      <c r="G30" s="2" t="s">
        <v>28</v>
      </c>
      <c r="H30" s="2" t="s">
        <v>21</v>
      </c>
      <c r="I30" s="2">
        <v>13.742000000000001</v>
      </c>
      <c r="J30" s="2">
        <v>0</v>
      </c>
      <c r="K30" s="2">
        <v>13.742000000000001</v>
      </c>
      <c r="L30" s="2"/>
      <c r="M30" s="2"/>
      <c r="N30" s="2"/>
      <c r="O30" s="2">
        <f t="shared" si="21"/>
        <v>0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0</v>
      </c>
      <c r="T30" s="2">
        <f t="shared" si="26"/>
        <v>29636.959999999999</v>
      </c>
      <c r="U30" s="2">
        <f t="shared" si="27"/>
        <v>0</v>
      </c>
      <c r="V30" s="2">
        <f t="shared" si="28"/>
        <v>0</v>
      </c>
      <c r="W30" s="2">
        <f t="shared" si="29"/>
        <v>0</v>
      </c>
      <c r="X30" s="2">
        <f t="shared" si="30"/>
        <v>0</v>
      </c>
      <c r="Y30" s="2">
        <f t="shared" si="30"/>
        <v>0</v>
      </c>
      <c r="Z30" s="2"/>
      <c r="AA30" s="2">
        <v>56526432</v>
      </c>
      <c r="AB30" s="2">
        <f t="shared" si="31"/>
        <v>0</v>
      </c>
      <c r="AC30" s="2">
        <f t="shared" si="32"/>
        <v>2156.67</v>
      </c>
      <c r="AD30" s="2">
        <f t="shared" si="33"/>
        <v>0</v>
      </c>
      <c r="AE30" s="2">
        <f t="shared" si="33"/>
        <v>0</v>
      </c>
      <c r="AF30" s="2">
        <f t="shared" si="33"/>
        <v>0</v>
      </c>
      <c r="AG30" s="2">
        <f t="shared" si="34"/>
        <v>2156.67</v>
      </c>
      <c r="AH30" s="2">
        <f>0</f>
        <v>0</v>
      </c>
      <c r="AI30" s="2">
        <f>0</f>
        <v>0</v>
      </c>
      <c r="AJ30" s="2">
        <f>0</f>
        <v>0</v>
      </c>
      <c r="AK30" s="2">
        <v>2156.67</v>
      </c>
      <c r="AL30" s="2">
        <v>2156.67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3</v>
      </c>
      <c r="BI30" s="2">
        <v>1</v>
      </c>
      <c r="BJ30" s="2" t="s">
        <v>29</v>
      </c>
      <c r="BK30" s="2"/>
      <c r="BL30" s="2"/>
      <c r="BM30" s="2">
        <v>700000</v>
      </c>
      <c r="BN30" s="2">
        <v>0</v>
      </c>
      <c r="BO30" s="2" t="s">
        <v>3</v>
      </c>
      <c r="BP30" s="2">
        <v>0</v>
      </c>
      <c r="BQ30" s="2">
        <v>203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0</v>
      </c>
      <c r="CA30" s="2">
        <v>0</v>
      </c>
      <c r="CB30" s="2" t="s">
        <v>3</v>
      </c>
      <c r="CC30" s="2"/>
      <c r="CD30" s="2"/>
      <c r="CE30" s="2">
        <v>32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3</v>
      </c>
      <c r="CO30" s="2">
        <v>0</v>
      </c>
      <c r="CP30" s="2">
        <f>0</f>
        <v>0</v>
      </c>
      <c r="CQ30" s="2">
        <f>0</f>
        <v>0</v>
      </c>
      <c r="CR30" s="2">
        <f>0</f>
        <v>0</v>
      </c>
      <c r="CS30" s="2">
        <f>0</f>
        <v>0</v>
      </c>
      <c r="CT30" s="2">
        <f>0</f>
        <v>0</v>
      </c>
      <c r="CU30" s="2">
        <f t="shared" si="35"/>
        <v>2156.67</v>
      </c>
      <c r="CV30" s="2">
        <f>0</f>
        <v>0</v>
      </c>
      <c r="CW30" s="2">
        <f>0</f>
        <v>0</v>
      </c>
      <c r="CX30" s="2">
        <f>0</f>
        <v>0</v>
      </c>
      <c r="CY30" s="2">
        <f>0</f>
        <v>0</v>
      </c>
      <c r="CZ30" s="2">
        <f>0</f>
        <v>0</v>
      </c>
      <c r="DA30" s="2"/>
      <c r="DB30" s="2"/>
      <c r="DC30" s="2" t="s">
        <v>3</v>
      </c>
      <c r="DD30" s="2" t="s">
        <v>3</v>
      </c>
      <c r="DE30" s="2" t="s">
        <v>3</v>
      </c>
      <c r="DF30" s="2" t="s">
        <v>3</v>
      </c>
      <c r="DG30" s="2" t="s">
        <v>3</v>
      </c>
      <c r="DH30" s="2" t="s">
        <v>3</v>
      </c>
      <c r="DI30" s="2" t="s">
        <v>3</v>
      </c>
      <c r="DJ30" s="2" t="s">
        <v>3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1009</v>
      </c>
      <c r="DV30" s="2" t="s">
        <v>21</v>
      </c>
      <c r="DW30" s="2" t="s">
        <v>21</v>
      </c>
      <c r="DX30" s="2">
        <v>1000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55586417</v>
      </c>
      <c r="EF30" s="2">
        <v>203</v>
      </c>
      <c r="EG30" s="2" t="s">
        <v>23</v>
      </c>
      <c r="EH30" s="2">
        <v>0</v>
      </c>
      <c r="EI30" s="2" t="s">
        <v>3</v>
      </c>
      <c r="EJ30" s="2">
        <v>1</v>
      </c>
      <c r="EK30" s="2">
        <v>700000</v>
      </c>
      <c r="EL30" s="2" t="s">
        <v>24</v>
      </c>
      <c r="EM30" s="2" t="s">
        <v>25</v>
      </c>
      <c r="EN30" s="2"/>
      <c r="EO30" s="2" t="s">
        <v>3</v>
      </c>
      <c r="EP30" s="2"/>
      <c r="EQ30" s="2">
        <v>0</v>
      </c>
      <c r="ER30" s="2">
        <v>2156.67</v>
      </c>
      <c r="ES30" s="2">
        <v>2156.67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0</v>
      </c>
      <c r="FY30" s="2">
        <v>0</v>
      </c>
      <c r="FZ30" s="2"/>
      <c r="GA30" s="2" t="s">
        <v>3</v>
      </c>
      <c r="GB30" s="2"/>
      <c r="GC30" s="2"/>
      <c r="GD30" s="2">
        <v>1</v>
      </c>
      <c r="GE30" s="2"/>
      <c r="GF30" s="2">
        <v>1032763957</v>
      </c>
      <c r="GG30" s="2">
        <v>2</v>
      </c>
      <c r="GH30" s="2">
        <v>1</v>
      </c>
      <c r="GI30" s="2">
        <v>-2</v>
      </c>
      <c r="GJ30" s="2">
        <v>0</v>
      </c>
      <c r="GK30" s="2">
        <v>0</v>
      </c>
      <c r="GL30" s="2">
        <f t="shared" si="36"/>
        <v>0</v>
      </c>
      <c r="GM30" s="2">
        <f t="shared" si="37"/>
        <v>0</v>
      </c>
      <c r="GN30" s="2">
        <f t="shared" si="38"/>
        <v>0</v>
      </c>
      <c r="GO30" s="2">
        <f t="shared" si="39"/>
        <v>0</v>
      </c>
      <c r="GP30" s="2">
        <f t="shared" si="40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1"/>
        <v>0</v>
      </c>
      <c r="GW30" s="2">
        <v>1</v>
      </c>
      <c r="GX30" s="2">
        <f t="shared" si="42"/>
        <v>0</v>
      </c>
      <c r="GY30" s="2"/>
      <c r="GZ30" s="2"/>
      <c r="HA30" s="2">
        <v>0</v>
      </c>
      <c r="HB30" s="2">
        <v>0</v>
      </c>
      <c r="HC30" s="2">
        <f t="shared" si="43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>
        <v>17</v>
      </c>
      <c r="B31">
        <v>1</v>
      </c>
      <c r="E31" t="s">
        <v>26</v>
      </c>
      <c r="F31" t="s">
        <v>27</v>
      </c>
      <c r="G31" t="s">
        <v>28</v>
      </c>
      <c r="H31" t="s">
        <v>21</v>
      </c>
      <c r="I31">
        <v>13.742000000000001</v>
      </c>
      <c r="J31">
        <v>0</v>
      </c>
      <c r="K31">
        <v>13.742000000000001</v>
      </c>
      <c r="O31">
        <f t="shared" si="21"/>
        <v>0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246283.14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0"/>
        <v>0</v>
      </c>
      <c r="AA31">
        <v>56526434</v>
      </c>
      <c r="AB31">
        <f t="shared" si="31"/>
        <v>0</v>
      </c>
      <c r="AC31">
        <f t="shared" si="32"/>
        <v>2156.67</v>
      </c>
      <c r="AD31">
        <f t="shared" si="33"/>
        <v>0</v>
      </c>
      <c r="AE31">
        <f t="shared" si="33"/>
        <v>0</v>
      </c>
      <c r="AF31">
        <f t="shared" si="33"/>
        <v>0</v>
      </c>
      <c r="AG31">
        <f t="shared" si="34"/>
        <v>2156.67</v>
      </c>
      <c r="AH31">
        <f>0</f>
        <v>0</v>
      </c>
      <c r="AI31">
        <f>0</f>
        <v>0</v>
      </c>
      <c r="AJ31">
        <f>0</f>
        <v>0</v>
      </c>
      <c r="AK31">
        <v>2156.67</v>
      </c>
      <c r="AL31">
        <v>2156.67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Z31">
        <v>1</v>
      </c>
      <c r="BA31">
        <v>1</v>
      </c>
      <c r="BB31">
        <v>1</v>
      </c>
      <c r="BC31">
        <v>8.31</v>
      </c>
      <c r="BD31" t="s">
        <v>3</v>
      </c>
      <c r="BE31" t="s">
        <v>3</v>
      </c>
      <c r="BF31" t="s">
        <v>3</v>
      </c>
      <c r="BG31" t="s">
        <v>3</v>
      </c>
      <c r="BH31">
        <v>3</v>
      </c>
      <c r="BI31">
        <v>1</v>
      </c>
      <c r="BJ31" t="s">
        <v>29</v>
      </c>
      <c r="BM31">
        <v>700000</v>
      </c>
      <c r="BN31">
        <v>0</v>
      </c>
      <c r="BO31" t="s">
        <v>27</v>
      </c>
      <c r="BP31">
        <v>1</v>
      </c>
      <c r="BQ31">
        <v>203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0</v>
      </c>
      <c r="CA31">
        <v>0</v>
      </c>
      <c r="CB31" t="s">
        <v>3</v>
      </c>
      <c r="CE31">
        <v>32</v>
      </c>
      <c r="CF31">
        <v>0</v>
      </c>
      <c r="CG31">
        <v>0</v>
      </c>
      <c r="CM31">
        <v>0</v>
      </c>
      <c r="CN31" t="s">
        <v>3</v>
      </c>
      <c r="CO31">
        <v>0</v>
      </c>
      <c r="CP31">
        <f>0</f>
        <v>0</v>
      </c>
      <c r="CQ31">
        <f>0</f>
        <v>0</v>
      </c>
      <c r="CR31">
        <f>0</f>
        <v>0</v>
      </c>
      <c r="CS31">
        <f>0</f>
        <v>0</v>
      </c>
      <c r="CT31">
        <f>0</f>
        <v>0</v>
      </c>
      <c r="CU31">
        <f t="shared" si="35"/>
        <v>17921.93</v>
      </c>
      <c r="CV31">
        <f>0</f>
        <v>0</v>
      </c>
      <c r="CW31">
        <f>0</f>
        <v>0</v>
      </c>
      <c r="CX31">
        <f>0</f>
        <v>0</v>
      </c>
      <c r="CY31">
        <f>0</f>
        <v>0</v>
      </c>
      <c r="CZ31">
        <f>0</f>
        <v>0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  <c r="DN31">
        <v>0</v>
      </c>
      <c r="DO31">
        <v>0</v>
      </c>
      <c r="DP31">
        <v>1</v>
      </c>
      <c r="DQ31">
        <v>1</v>
      </c>
      <c r="DU31">
        <v>1009</v>
      </c>
      <c r="DV31" t="s">
        <v>21</v>
      </c>
      <c r="DW31" t="s">
        <v>21</v>
      </c>
      <c r="DX31">
        <v>1000</v>
      </c>
      <c r="DZ31" t="s">
        <v>3</v>
      </c>
      <c r="EA31" t="s">
        <v>3</v>
      </c>
      <c r="EB31" t="s">
        <v>3</v>
      </c>
      <c r="EC31" t="s">
        <v>3</v>
      </c>
      <c r="EE31">
        <v>55586417</v>
      </c>
      <c r="EF31">
        <v>203</v>
      </c>
      <c r="EG31" t="s">
        <v>23</v>
      </c>
      <c r="EH31">
        <v>0</v>
      </c>
      <c r="EI31" t="s">
        <v>3</v>
      </c>
      <c r="EJ31">
        <v>1</v>
      </c>
      <c r="EK31">
        <v>700000</v>
      </c>
      <c r="EL31" t="s">
        <v>24</v>
      </c>
      <c r="EM31" t="s">
        <v>25</v>
      </c>
      <c r="EO31" t="s">
        <v>3</v>
      </c>
      <c r="EQ31">
        <v>0</v>
      </c>
      <c r="ER31">
        <v>2156.67</v>
      </c>
      <c r="ES31">
        <v>2156.67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0</v>
      </c>
      <c r="FY31">
        <v>0</v>
      </c>
      <c r="GA31" t="s">
        <v>3</v>
      </c>
      <c r="GD31">
        <v>1</v>
      </c>
      <c r="GF31">
        <v>1032763957</v>
      </c>
      <c r="GG31">
        <v>2</v>
      </c>
      <c r="GH31">
        <v>1</v>
      </c>
      <c r="GI31">
        <v>2</v>
      </c>
      <c r="GJ31">
        <v>0</v>
      </c>
      <c r="GK31">
        <v>0</v>
      </c>
      <c r="GL31">
        <f t="shared" si="36"/>
        <v>0</v>
      </c>
      <c r="GM31">
        <f t="shared" si="37"/>
        <v>0</v>
      </c>
      <c r="GN31">
        <f t="shared" si="38"/>
        <v>0</v>
      </c>
      <c r="GO31">
        <f t="shared" si="39"/>
        <v>0</v>
      </c>
      <c r="GP31">
        <f t="shared" si="40"/>
        <v>0</v>
      </c>
      <c r="GR31">
        <v>0</v>
      </c>
      <c r="GS31">
        <v>3</v>
      </c>
      <c r="GT31">
        <v>0</v>
      </c>
      <c r="GU31" t="s">
        <v>3</v>
      </c>
      <c r="GV31">
        <f t="shared" si="41"/>
        <v>0</v>
      </c>
      <c r="GW31">
        <v>1</v>
      </c>
      <c r="GX31">
        <f t="shared" si="42"/>
        <v>0</v>
      </c>
      <c r="HA31">
        <v>0</v>
      </c>
      <c r="HB31">
        <v>0</v>
      </c>
      <c r="HC31">
        <f t="shared" si="43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5">
      <c r="A32" s="2">
        <v>17</v>
      </c>
      <c r="B32" s="2">
        <v>1</v>
      </c>
      <c r="C32" s="2"/>
      <c r="D32" s="2"/>
      <c r="E32" s="2" t="s">
        <v>30</v>
      </c>
      <c r="F32" s="2" t="s">
        <v>31</v>
      </c>
      <c r="G32" s="2" t="s">
        <v>32</v>
      </c>
      <c r="H32" s="2" t="s">
        <v>21</v>
      </c>
      <c r="I32" s="2">
        <v>0.85399999999999998</v>
      </c>
      <c r="J32" s="2">
        <v>0</v>
      </c>
      <c r="K32" s="2">
        <v>0.85399999999999998</v>
      </c>
      <c r="L32" s="2"/>
      <c r="M32" s="2"/>
      <c r="N32" s="2"/>
      <c r="O32" s="2">
        <f t="shared" si="21"/>
        <v>0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0</v>
      </c>
      <c r="T32" s="2">
        <f t="shared" si="26"/>
        <v>1583.01</v>
      </c>
      <c r="U32" s="2">
        <f t="shared" si="27"/>
        <v>0</v>
      </c>
      <c r="V32" s="2">
        <f t="shared" si="28"/>
        <v>0</v>
      </c>
      <c r="W32" s="2">
        <f t="shared" si="29"/>
        <v>0</v>
      </c>
      <c r="X32" s="2">
        <f t="shared" si="30"/>
        <v>0</v>
      </c>
      <c r="Y32" s="2">
        <f t="shared" si="30"/>
        <v>0</v>
      </c>
      <c r="Z32" s="2"/>
      <c r="AA32" s="2">
        <v>56526432</v>
      </c>
      <c r="AB32" s="2">
        <f t="shared" si="31"/>
        <v>0</v>
      </c>
      <c r="AC32" s="2">
        <f t="shared" si="32"/>
        <v>1853.64</v>
      </c>
      <c r="AD32" s="2">
        <f t="shared" si="33"/>
        <v>0</v>
      </c>
      <c r="AE32" s="2">
        <f t="shared" si="33"/>
        <v>0</v>
      </c>
      <c r="AF32" s="2">
        <f t="shared" si="33"/>
        <v>0</v>
      </c>
      <c r="AG32" s="2">
        <f t="shared" si="34"/>
        <v>1853.64</v>
      </c>
      <c r="AH32" s="2">
        <f>0</f>
        <v>0</v>
      </c>
      <c r="AI32" s="2">
        <f>0</f>
        <v>0</v>
      </c>
      <c r="AJ32" s="2">
        <f>0</f>
        <v>0</v>
      </c>
      <c r="AK32" s="2">
        <v>1853.64</v>
      </c>
      <c r="AL32" s="2">
        <v>1853.64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3</v>
      </c>
      <c r="BI32" s="2">
        <v>1</v>
      </c>
      <c r="BJ32" s="2" t="s">
        <v>33</v>
      </c>
      <c r="BK32" s="2"/>
      <c r="BL32" s="2"/>
      <c r="BM32" s="2">
        <v>700000</v>
      </c>
      <c r="BN32" s="2">
        <v>0</v>
      </c>
      <c r="BO32" s="2" t="s">
        <v>3</v>
      </c>
      <c r="BP32" s="2">
        <v>0</v>
      </c>
      <c r="BQ32" s="2">
        <v>203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0</v>
      </c>
      <c r="CA32" s="2">
        <v>0</v>
      </c>
      <c r="CB32" s="2" t="s">
        <v>3</v>
      </c>
      <c r="CC32" s="2"/>
      <c r="CD32" s="2"/>
      <c r="CE32" s="2">
        <v>32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3</v>
      </c>
      <c r="CO32" s="2">
        <v>0</v>
      </c>
      <c r="CP32" s="2">
        <f>0</f>
        <v>0</v>
      </c>
      <c r="CQ32" s="2">
        <f>0</f>
        <v>0</v>
      </c>
      <c r="CR32" s="2">
        <f>0</f>
        <v>0</v>
      </c>
      <c r="CS32" s="2">
        <f>0</f>
        <v>0</v>
      </c>
      <c r="CT32" s="2">
        <f>0</f>
        <v>0</v>
      </c>
      <c r="CU32" s="2">
        <f t="shared" si="35"/>
        <v>1853.64</v>
      </c>
      <c r="CV32" s="2">
        <f>0</f>
        <v>0</v>
      </c>
      <c r="CW32" s="2">
        <f>0</f>
        <v>0</v>
      </c>
      <c r="CX32" s="2">
        <f>0</f>
        <v>0</v>
      </c>
      <c r="CY32" s="2">
        <f>0</f>
        <v>0</v>
      </c>
      <c r="CZ32" s="2">
        <f>0</f>
        <v>0</v>
      </c>
      <c r="DA32" s="2"/>
      <c r="DB32" s="2"/>
      <c r="DC32" s="2" t="s">
        <v>3</v>
      </c>
      <c r="DD32" s="2" t="s">
        <v>3</v>
      </c>
      <c r="DE32" s="2" t="s">
        <v>3</v>
      </c>
      <c r="DF32" s="2" t="s">
        <v>3</v>
      </c>
      <c r="DG32" s="2" t="s">
        <v>3</v>
      </c>
      <c r="DH32" s="2" t="s">
        <v>3</v>
      </c>
      <c r="DI32" s="2" t="s">
        <v>3</v>
      </c>
      <c r="DJ32" s="2" t="s">
        <v>3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1009</v>
      </c>
      <c r="DV32" s="2" t="s">
        <v>21</v>
      </c>
      <c r="DW32" s="2" t="s">
        <v>21</v>
      </c>
      <c r="DX32" s="2">
        <v>1000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55586417</v>
      </c>
      <c r="EF32" s="2">
        <v>203</v>
      </c>
      <c r="EG32" s="2" t="s">
        <v>23</v>
      </c>
      <c r="EH32" s="2">
        <v>0</v>
      </c>
      <c r="EI32" s="2" t="s">
        <v>3</v>
      </c>
      <c r="EJ32" s="2">
        <v>1</v>
      </c>
      <c r="EK32" s="2">
        <v>700000</v>
      </c>
      <c r="EL32" s="2" t="s">
        <v>24</v>
      </c>
      <c r="EM32" s="2" t="s">
        <v>25</v>
      </c>
      <c r="EN32" s="2"/>
      <c r="EO32" s="2" t="s">
        <v>3</v>
      </c>
      <c r="EP32" s="2"/>
      <c r="EQ32" s="2">
        <v>0</v>
      </c>
      <c r="ER32" s="2">
        <v>1853.64</v>
      </c>
      <c r="ES32" s="2">
        <v>1853.64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0</v>
      </c>
      <c r="FY32" s="2">
        <v>0</v>
      </c>
      <c r="FZ32" s="2"/>
      <c r="GA32" s="2" t="s">
        <v>3</v>
      </c>
      <c r="GB32" s="2"/>
      <c r="GC32" s="2"/>
      <c r="GD32" s="2">
        <v>1</v>
      </c>
      <c r="GE32" s="2"/>
      <c r="GF32" s="2">
        <v>1961057982</v>
      </c>
      <c r="GG32" s="2">
        <v>2</v>
      </c>
      <c r="GH32" s="2">
        <v>1</v>
      </c>
      <c r="GI32" s="2">
        <v>-2</v>
      </c>
      <c r="GJ32" s="2">
        <v>0</v>
      </c>
      <c r="GK32" s="2">
        <v>0</v>
      </c>
      <c r="GL32" s="2">
        <f t="shared" si="36"/>
        <v>0</v>
      </c>
      <c r="GM32" s="2">
        <f t="shared" si="37"/>
        <v>0</v>
      </c>
      <c r="GN32" s="2">
        <f t="shared" si="38"/>
        <v>0</v>
      </c>
      <c r="GO32" s="2">
        <f t="shared" si="39"/>
        <v>0</v>
      </c>
      <c r="GP32" s="2">
        <f t="shared" si="40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1"/>
        <v>0</v>
      </c>
      <c r="GW32" s="2">
        <v>1</v>
      </c>
      <c r="GX32" s="2">
        <f t="shared" si="42"/>
        <v>0</v>
      </c>
      <c r="GY32" s="2"/>
      <c r="GZ32" s="2"/>
      <c r="HA32" s="2">
        <v>0</v>
      </c>
      <c r="HB32" s="2">
        <v>0</v>
      </c>
      <c r="HC32" s="2">
        <f t="shared" si="43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>
        <v>17</v>
      </c>
      <c r="B33">
        <v>1</v>
      </c>
      <c r="E33" t="s">
        <v>30</v>
      </c>
      <c r="F33" t="s">
        <v>31</v>
      </c>
      <c r="G33" t="s">
        <v>32</v>
      </c>
      <c r="H33" t="s">
        <v>21</v>
      </c>
      <c r="I33">
        <v>0.85399999999999998</v>
      </c>
      <c r="J33">
        <v>0</v>
      </c>
      <c r="K33">
        <v>0.85399999999999998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15228.56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0"/>
        <v>0</v>
      </c>
      <c r="AA33">
        <v>56526434</v>
      </c>
      <c r="AB33">
        <f t="shared" si="31"/>
        <v>0</v>
      </c>
      <c r="AC33">
        <f t="shared" si="32"/>
        <v>1853.64</v>
      </c>
      <c r="AD33">
        <f t="shared" si="33"/>
        <v>0</v>
      </c>
      <c r="AE33">
        <f t="shared" si="33"/>
        <v>0</v>
      </c>
      <c r="AF33">
        <f t="shared" si="33"/>
        <v>0</v>
      </c>
      <c r="AG33">
        <f t="shared" si="34"/>
        <v>1853.64</v>
      </c>
      <c r="AH33">
        <f>0</f>
        <v>0</v>
      </c>
      <c r="AI33">
        <f>0</f>
        <v>0</v>
      </c>
      <c r="AJ33">
        <f>0</f>
        <v>0</v>
      </c>
      <c r="AK33">
        <v>1853.64</v>
      </c>
      <c r="AL33">
        <v>1853.64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9.6199999999999992</v>
      </c>
      <c r="BD33" t="s">
        <v>3</v>
      </c>
      <c r="BE33" t="s">
        <v>3</v>
      </c>
      <c r="BF33" t="s">
        <v>3</v>
      </c>
      <c r="BG33" t="s">
        <v>3</v>
      </c>
      <c r="BH33">
        <v>3</v>
      </c>
      <c r="BI33">
        <v>1</v>
      </c>
      <c r="BJ33" t="s">
        <v>33</v>
      </c>
      <c r="BM33">
        <v>700000</v>
      </c>
      <c r="BN33">
        <v>0</v>
      </c>
      <c r="BO33" t="s">
        <v>31</v>
      </c>
      <c r="BP33">
        <v>1</v>
      </c>
      <c r="BQ33">
        <v>203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0</v>
      </c>
      <c r="CA33">
        <v>0</v>
      </c>
      <c r="CB33" t="s">
        <v>3</v>
      </c>
      <c r="CE33">
        <v>32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>0</f>
        <v>0</v>
      </c>
      <c r="CQ33">
        <f>0</f>
        <v>0</v>
      </c>
      <c r="CR33">
        <f>0</f>
        <v>0</v>
      </c>
      <c r="CS33">
        <f>0</f>
        <v>0</v>
      </c>
      <c r="CT33">
        <f>0</f>
        <v>0</v>
      </c>
      <c r="CU33">
        <f t="shared" si="35"/>
        <v>17832.02</v>
      </c>
      <c r="CV33">
        <f>0</f>
        <v>0</v>
      </c>
      <c r="CW33">
        <f>0</f>
        <v>0</v>
      </c>
      <c r="CX33">
        <f>0</f>
        <v>0</v>
      </c>
      <c r="CY33">
        <f>0</f>
        <v>0</v>
      </c>
      <c r="CZ33">
        <f>0</f>
        <v>0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1009</v>
      </c>
      <c r="DV33" t="s">
        <v>21</v>
      </c>
      <c r="DW33" t="s">
        <v>21</v>
      </c>
      <c r="DX33">
        <v>1000</v>
      </c>
      <c r="DZ33" t="s">
        <v>3</v>
      </c>
      <c r="EA33" t="s">
        <v>3</v>
      </c>
      <c r="EB33" t="s">
        <v>3</v>
      </c>
      <c r="EC33" t="s">
        <v>3</v>
      </c>
      <c r="EE33">
        <v>55586417</v>
      </c>
      <c r="EF33">
        <v>203</v>
      </c>
      <c r="EG33" t="s">
        <v>23</v>
      </c>
      <c r="EH33">
        <v>0</v>
      </c>
      <c r="EI33" t="s">
        <v>3</v>
      </c>
      <c r="EJ33">
        <v>1</v>
      </c>
      <c r="EK33">
        <v>700000</v>
      </c>
      <c r="EL33" t="s">
        <v>24</v>
      </c>
      <c r="EM33" t="s">
        <v>25</v>
      </c>
      <c r="EO33" t="s">
        <v>3</v>
      </c>
      <c r="EQ33">
        <v>0</v>
      </c>
      <c r="ER33">
        <v>1853.64</v>
      </c>
      <c r="ES33">
        <v>1853.64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0</v>
      </c>
      <c r="FY33">
        <v>0</v>
      </c>
      <c r="GA33" t="s">
        <v>3</v>
      </c>
      <c r="GD33">
        <v>1</v>
      </c>
      <c r="GF33">
        <v>1961057982</v>
      </c>
      <c r="GG33">
        <v>2</v>
      </c>
      <c r="GH33">
        <v>1</v>
      </c>
      <c r="GI33">
        <v>2</v>
      </c>
      <c r="GJ33">
        <v>0</v>
      </c>
      <c r="GK33">
        <v>0</v>
      </c>
      <c r="GL33">
        <f t="shared" si="36"/>
        <v>0</v>
      </c>
      <c r="GM33">
        <f t="shared" si="37"/>
        <v>0</v>
      </c>
      <c r="GN33">
        <f t="shared" si="38"/>
        <v>0</v>
      </c>
      <c r="GO33">
        <f t="shared" si="39"/>
        <v>0</v>
      </c>
      <c r="GP33">
        <f t="shared" si="40"/>
        <v>0</v>
      </c>
      <c r="GR33">
        <v>0</v>
      </c>
      <c r="GS33">
        <v>3</v>
      </c>
      <c r="GT33">
        <v>0</v>
      </c>
      <c r="GU33" t="s">
        <v>3</v>
      </c>
      <c r="GV33">
        <f t="shared" si="41"/>
        <v>0</v>
      </c>
      <c r="GW33">
        <v>1</v>
      </c>
      <c r="GX33">
        <f t="shared" si="42"/>
        <v>0</v>
      </c>
      <c r="HA33">
        <v>0</v>
      </c>
      <c r="HB33">
        <v>0</v>
      </c>
      <c r="HC33">
        <f t="shared" si="43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5">
      <c r="A34" s="2">
        <v>17</v>
      </c>
      <c r="B34" s="2">
        <v>1</v>
      </c>
      <c r="C34" s="2"/>
      <c r="D34" s="2"/>
      <c r="E34" s="2" t="s">
        <v>34</v>
      </c>
      <c r="F34" s="2" t="s">
        <v>35</v>
      </c>
      <c r="G34" s="2" t="s">
        <v>36</v>
      </c>
      <c r="H34" s="2" t="s">
        <v>21</v>
      </c>
      <c r="I34" s="2">
        <v>0.20899999999999999</v>
      </c>
      <c r="J34" s="2">
        <v>0</v>
      </c>
      <c r="K34" s="2">
        <v>0.20899999999999999</v>
      </c>
      <c r="L34" s="2"/>
      <c r="M34" s="2"/>
      <c r="N34" s="2"/>
      <c r="O34" s="2">
        <f t="shared" si="21"/>
        <v>0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0</v>
      </c>
      <c r="T34" s="2">
        <f t="shared" si="26"/>
        <v>460.85</v>
      </c>
      <c r="U34" s="2">
        <f t="shared" si="27"/>
        <v>0</v>
      </c>
      <c r="V34" s="2">
        <f t="shared" si="28"/>
        <v>0</v>
      </c>
      <c r="W34" s="2">
        <f t="shared" si="29"/>
        <v>0</v>
      </c>
      <c r="X34" s="2">
        <f t="shared" si="30"/>
        <v>0</v>
      </c>
      <c r="Y34" s="2">
        <f t="shared" si="30"/>
        <v>0</v>
      </c>
      <c r="Z34" s="2"/>
      <c r="AA34" s="2">
        <v>56526432</v>
      </c>
      <c r="AB34" s="2">
        <f t="shared" si="31"/>
        <v>0</v>
      </c>
      <c r="AC34" s="2">
        <f t="shared" si="32"/>
        <v>2205.0300000000002</v>
      </c>
      <c r="AD34" s="2">
        <f t="shared" si="33"/>
        <v>0</v>
      </c>
      <c r="AE34" s="2">
        <f t="shared" si="33"/>
        <v>0</v>
      </c>
      <c r="AF34" s="2">
        <f t="shared" si="33"/>
        <v>0</v>
      </c>
      <c r="AG34" s="2">
        <f t="shared" si="34"/>
        <v>2205.0300000000002</v>
      </c>
      <c r="AH34" s="2">
        <f>0</f>
        <v>0</v>
      </c>
      <c r="AI34" s="2">
        <f>0</f>
        <v>0</v>
      </c>
      <c r="AJ34" s="2">
        <f>0</f>
        <v>0</v>
      </c>
      <c r="AK34" s="2">
        <v>2205.0300000000002</v>
      </c>
      <c r="AL34" s="2">
        <v>2205.0300000000002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1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3</v>
      </c>
      <c r="BI34" s="2">
        <v>1</v>
      </c>
      <c r="BJ34" s="2" t="s">
        <v>37</v>
      </c>
      <c r="BK34" s="2"/>
      <c r="BL34" s="2"/>
      <c r="BM34" s="2">
        <v>700000</v>
      </c>
      <c r="BN34" s="2">
        <v>0</v>
      </c>
      <c r="BO34" s="2" t="s">
        <v>3</v>
      </c>
      <c r="BP34" s="2">
        <v>0</v>
      </c>
      <c r="BQ34" s="2">
        <v>203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0</v>
      </c>
      <c r="CA34" s="2">
        <v>0</v>
      </c>
      <c r="CB34" s="2" t="s">
        <v>3</v>
      </c>
      <c r="CC34" s="2"/>
      <c r="CD34" s="2"/>
      <c r="CE34" s="2">
        <v>32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>0</f>
        <v>0</v>
      </c>
      <c r="CQ34" s="2">
        <f>0</f>
        <v>0</v>
      </c>
      <c r="CR34" s="2">
        <f>0</f>
        <v>0</v>
      </c>
      <c r="CS34" s="2">
        <f>0</f>
        <v>0</v>
      </c>
      <c r="CT34" s="2">
        <f>0</f>
        <v>0</v>
      </c>
      <c r="CU34" s="2">
        <f t="shared" si="35"/>
        <v>2205.0300000000002</v>
      </c>
      <c r="CV34" s="2">
        <f>0</f>
        <v>0</v>
      </c>
      <c r="CW34" s="2">
        <f>0</f>
        <v>0</v>
      </c>
      <c r="CX34" s="2">
        <f>0</f>
        <v>0</v>
      </c>
      <c r="CY34" s="2">
        <f>0</f>
        <v>0</v>
      </c>
      <c r="CZ34" s="2">
        <f>0</f>
        <v>0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1009</v>
      </c>
      <c r="DV34" s="2" t="s">
        <v>21</v>
      </c>
      <c r="DW34" s="2" t="s">
        <v>21</v>
      </c>
      <c r="DX34" s="2">
        <v>1000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55586417</v>
      </c>
      <c r="EF34" s="2">
        <v>203</v>
      </c>
      <c r="EG34" s="2" t="s">
        <v>23</v>
      </c>
      <c r="EH34" s="2">
        <v>0</v>
      </c>
      <c r="EI34" s="2" t="s">
        <v>3</v>
      </c>
      <c r="EJ34" s="2">
        <v>1</v>
      </c>
      <c r="EK34" s="2">
        <v>700000</v>
      </c>
      <c r="EL34" s="2" t="s">
        <v>24</v>
      </c>
      <c r="EM34" s="2" t="s">
        <v>25</v>
      </c>
      <c r="EN34" s="2"/>
      <c r="EO34" s="2" t="s">
        <v>3</v>
      </c>
      <c r="EP34" s="2"/>
      <c r="EQ34" s="2">
        <v>0</v>
      </c>
      <c r="ER34" s="2">
        <v>2205.0300000000002</v>
      </c>
      <c r="ES34" s="2">
        <v>2205.0300000000002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0</v>
      </c>
      <c r="FY34" s="2">
        <v>0</v>
      </c>
      <c r="FZ34" s="2"/>
      <c r="GA34" s="2" t="s">
        <v>3</v>
      </c>
      <c r="GB34" s="2"/>
      <c r="GC34" s="2"/>
      <c r="GD34" s="2">
        <v>1</v>
      </c>
      <c r="GE34" s="2"/>
      <c r="GF34" s="2">
        <v>487029402</v>
      </c>
      <c r="GG34" s="2">
        <v>2</v>
      </c>
      <c r="GH34" s="2">
        <v>1</v>
      </c>
      <c r="GI34" s="2">
        <v>-2</v>
      </c>
      <c r="GJ34" s="2">
        <v>0</v>
      </c>
      <c r="GK34" s="2">
        <v>0</v>
      </c>
      <c r="GL34" s="2">
        <f t="shared" si="36"/>
        <v>0</v>
      </c>
      <c r="GM34" s="2">
        <f t="shared" si="37"/>
        <v>0</v>
      </c>
      <c r="GN34" s="2">
        <f t="shared" si="38"/>
        <v>0</v>
      </c>
      <c r="GO34" s="2">
        <f t="shared" si="39"/>
        <v>0</v>
      </c>
      <c r="GP34" s="2">
        <f t="shared" si="40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1"/>
        <v>0</v>
      </c>
      <c r="GW34" s="2">
        <v>1</v>
      </c>
      <c r="GX34" s="2">
        <f t="shared" si="42"/>
        <v>0</v>
      </c>
      <c r="GY34" s="2"/>
      <c r="GZ34" s="2"/>
      <c r="HA34" s="2">
        <v>0</v>
      </c>
      <c r="HB34" s="2">
        <v>0</v>
      </c>
      <c r="HC34" s="2">
        <f t="shared" si="43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>
        <v>17</v>
      </c>
      <c r="B35">
        <v>1</v>
      </c>
      <c r="E35" t="s">
        <v>34</v>
      </c>
      <c r="F35" t="s">
        <v>35</v>
      </c>
      <c r="G35" t="s">
        <v>36</v>
      </c>
      <c r="H35" t="s">
        <v>21</v>
      </c>
      <c r="I35">
        <v>0.20899999999999999</v>
      </c>
      <c r="J35">
        <v>0</v>
      </c>
      <c r="K35">
        <v>0.20899999999999999</v>
      </c>
      <c r="O35">
        <f t="shared" si="21"/>
        <v>0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4179.91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0"/>
        <v>0</v>
      </c>
      <c r="AA35">
        <v>56526434</v>
      </c>
      <c r="AB35">
        <f t="shared" si="31"/>
        <v>0</v>
      </c>
      <c r="AC35">
        <f t="shared" si="32"/>
        <v>2205.0300000000002</v>
      </c>
      <c r="AD35">
        <f t="shared" si="33"/>
        <v>0</v>
      </c>
      <c r="AE35">
        <f t="shared" si="33"/>
        <v>0</v>
      </c>
      <c r="AF35">
        <f t="shared" si="33"/>
        <v>0</v>
      </c>
      <c r="AG35">
        <f t="shared" si="34"/>
        <v>2205.0300000000002</v>
      </c>
      <c r="AH35">
        <f>0</f>
        <v>0</v>
      </c>
      <c r="AI35">
        <f>0</f>
        <v>0</v>
      </c>
      <c r="AJ35">
        <f>0</f>
        <v>0</v>
      </c>
      <c r="AK35">
        <v>2205.0300000000002</v>
      </c>
      <c r="AL35">
        <v>2205.0300000000002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9.07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1</v>
      </c>
      <c r="BJ35" t="s">
        <v>37</v>
      </c>
      <c r="BM35">
        <v>700000</v>
      </c>
      <c r="BN35">
        <v>0</v>
      </c>
      <c r="BO35" t="s">
        <v>35</v>
      </c>
      <c r="BP35">
        <v>1</v>
      </c>
      <c r="BQ35">
        <v>203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0</v>
      </c>
      <c r="CA35">
        <v>0</v>
      </c>
      <c r="CB35" t="s">
        <v>3</v>
      </c>
      <c r="CE35">
        <v>32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>0</f>
        <v>0</v>
      </c>
      <c r="CQ35">
        <f>0</f>
        <v>0</v>
      </c>
      <c r="CR35">
        <f>0</f>
        <v>0</v>
      </c>
      <c r="CS35">
        <f>0</f>
        <v>0</v>
      </c>
      <c r="CT35">
        <f>0</f>
        <v>0</v>
      </c>
      <c r="CU35">
        <f t="shared" si="35"/>
        <v>19999.62</v>
      </c>
      <c r="CV35">
        <f>0</f>
        <v>0</v>
      </c>
      <c r="CW35">
        <f>0</f>
        <v>0</v>
      </c>
      <c r="CX35">
        <f>0</f>
        <v>0</v>
      </c>
      <c r="CY35">
        <f>0</f>
        <v>0</v>
      </c>
      <c r="CZ35">
        <f>0</f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1009</v>
      </c>
      <c r="DV35" t="s">
        <v>21</v>
      </c>
      <c r="DW35" t="s">
        <v>21</v>
      </c>
      <c r="DX35">
        <v>1000</v>
      </c>
      <c r="DZ35" t="s">
        <v>3</v>
      </c>
      <c r="EA35" t="s">
        <v>3</v>
      </c>
      <c r="EB35" t="s">
        <v>3</v>
      </c>
      <c r="EC35" t="s">
        <v>3</v>
      </c>
      <c r="EE35">
        <v>55586417</v>
      </c>
      <c r="EF35">
        <v>203</v>
      </c>
      <c r="EG35" t="s">
        <v>23</v>
      </c>
      <c r="EH35">
        <v>0</v>
      </c>
      <c r="EI35" t="s">
        <v>3</v>
      </c>
      <c r="EJ35">
        <v>1</v>
      </c>
      <c r="EK35">
        <v>700000</v>
      </c>
      <c r="EL35" t="s">
        <v>24</v>
      </c>
      <c r="EM35" t="s">
        <v>25</v>
      </c>
      <c r="EO35" t="s">
        <v>3</v>
      </c>
      <c r="EQ35">
        <v>0</v>
      </c>
      <c r="ER35">
        <v>2205.0300000000002</v>
      </c>
      <c r="ES35">
        <v>2205.0300000000002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0</v>
      </c>
      <c r="FY35">
        <v>0</v>
      </c>
      <c r="GA35" t="s">
        <v>3</v>
      </c>
      <c r="GD35">
        <v>1</v>
      </c>
      <c r="GF35">
        <v>487029402</v>
      </c>
      <c r="GG35">
        <v>2</v>
      </c>
      <c r="GH35">
        <v>1</v>
      </c>
      <c r="GI35">
        <v>2</v>
      </c>
      <c r="GJ35">
        <v>0</v>
      </c>
      <c r="GK35">
        <v>0</v>
      </c>
      <c r="GL35">
        <f t="shared" si="36"/>
        <v>0</v>
      </c>
      <c r="GM35">
        <f t="shared" si="37"/>
        <v>0</v>
      </c>
      <c r="GN35">
        <f t="shared" si="38"/>
        <v>0</v>
      </c>
      <c r="GO35">
        <f t="shared" si="39"/>
        <v>0</v>
      </c>
      <c r="GP35">
        <f t="shared" si="40"/>
        <v>0</v>
      </c>
      <c r="GR35">
        <v>0</v>
      </c>
      <c r="GS35">
        <v>3</v>
      </c>
      <c r="GT35">
        <v>0</v>
      </c>
      <c r="GU35" t="s">
        <v>3</v>
      </c>
      <c r="GV35">
        <f t="shared" si="41"/>
        <v>0</v>
      </c>
      <c r="GW35">
        <v>1</v>
      </c>
      <c r="GX35">
        <f t="shared" si="42"/>
        <v>0</v>
      </c>
      <c r="HA35">
        <v>0</v>
      </c>
      <c r="HB35">
        <v>0</v>
      </c>
      <c r="HC35">
        <f t="shared" si="43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7" spans="1:255" ht="13" x14ac:dyDescent="0.3">
      <c r="A37" s="3">
        <v>51</v>
      </c>
      <c r="B37" s="3">
        <f>B24</f>
        <v>1</v>
      </c>
      <c r="C37" s="3">
        <f>A24</f>
        <v>4</v>
      </c>
      <c r="D37" s="3">
        <f>ROW(A24)</f>
        <v>24</v>
      </c>
      <c r="E37" s="3"/>
      <c r="F37" s="3" t="str">
        <f>IF(F24&lt;&gt;"",F24,"")</f>
        <v/>
      </c>
      <c r="G37" s="3" t="str">
        <f>IF(G24&lt;&gt;"",G24,"")</f>
        <v>Возвратные средства</v>
      </c>
      <c r="H37" s="3">
        <v>0</v>
      </c>
      <c r="I37" s="3"/>
      <c r="J37" s="3"/>
      <c r="K37" s="3"/>
      <c r="L37" s="3"/>
      <c r="M37" s="3"/>
      <c r="N37" s="3"/>
      <c r="O37" s="3">
        <f t="shared" ref="O37:T37" si="44">ROUND(AB37,2)</f>
        <v>0</v>
      </c>
      <c r="P37" s="3">
        <f t="shared" si="44"/>
        <v>0</v>
      </c>
      <c r="Q37" s="3">
        <f t="shared" si="44"/>
        <v>0</v>
      </c>
      <c r="R37" s="3">
        <f t="shared" si="44"/>
        <v>0</v>
      </c>
      <c r="S37" s="3">
        <f t="shared" si="44"/>
        <v>0</v>
      </c>
      <c r="T37" s="3">
        <f t="shared" si="44"/>
        <v>86069.65</v>
      </c>
      <c r="U37" s="3">
        <f>AH37</f>
        <v>0</v>
      </c>
      <c r="V37" s="3">
        <f>AI37</f>
        <v>0</v>
      </c>
      <c r="W37" s="3">
        <f>ROUND(AJ37,2)</f>
        <v>0</v>
      </c>
      <c r="X37" s="3">
        <f>ROUND(AK37,2)</f>
        <v>0</v>
      </c>
      <c r="Y37" s="3">
        <f>ROUND(AL37,2)</f>
        <v>0</v>
      </c>
      <c r="Z37" s="3"/>
      <c r="AA37" s="3"/>
      <c r="AB37" s="3">
        <f>ROUND(SUMIF(AA28:AA35,"=56526432",O28:O35),2)</f>
        <v>0</v>
      </c>
      <c r="AC37" s="3">
        <f>ROUND(SUMIF(AA28:AA35,"=56526432",P28:P35),2)</f>
        <v>0</v>
      </c>
      <c r="AD37" s="3">
        <f>ROUND(SUMIF(AA28:AA35,"=56526432",Q28:Q35),2)</f>
        <v>0</v>
      </c>
      <c r="AE37" s="3">
        <f>ROUND(SUMIF(AA28:AA35,"=56526432",R28:R35),2)</f>
        <v>0</v>
      </c>
      <c r="AF37" s="3">
        <f>ROUND(SUMIF(AA28:AA35,"=56526432",S28:S35),2)</f>
        <v>0</v>
      </c>
      <c r="AG37" s="3">
        <f>ROUND(SUMIF(AA28:AA35,"=56526432",T28:T35),2)</f>
        <v>86069.65</v>
      </c>
      <c r="AH37" s="3">
        <f>SUMIF(AA28:AA35,"=56526432",U28:U35)</f>
        <v>0</v>
      </c>
      <c r="AI37" s="3">
        <f>SUMIF(AA28:AA35,"=56526432",V28:V35)</f>
        <v>0</v>
      </c>
      <c r="AJ37" s="3">
        <f>ROUND(SUMIF(AA28:AA35,"=56526432",W28:W35),2)</f>
        <v>0</v>
      </c>
      <c r="AK37" s="3">
        <f>ROUND(SUMIF(AA28:AA35,"=56526432",X28:X35),2)</f>
        <v>0</v>
      </c>
      <c r="AL37" s="3">
        <f>ROUND(SUMIF(AA28:AA35,"=56526432",Y28:Y35),2)</f>
        <v>0</v>
      </c>
      <c r="AM37" s="3"/>
      <c r="AN37" s="3"/>
      <c r="AO37" s="3">
        <f t="shared" ref="AO37:BD37" si="45">ROUND(BX37,2)</f>
        <v>0</v>
      </c>
      <c r="AP37" s="3">
        <f t="shared" si="45"/>
        <v>0</v>
      </c>
      <c r="AQ37" s="3">
        <f t="shared" si="45"/>
        <v>0</v>
      </c>
      <c r="AR37" s="3">
        <f t="shared" si="45"/>
        <v>0</v>
      </c>
      <c r="AS37" s="3">
        <f t="shared" si="45"/>
        <v>0</v>
      </c>
      <c r="AT37" s="3">
        <f t="shared" si="45"/>
        <v>0</v>
      </c>
      <c r="AU37" s="3">
        <f t="shared" si="45"/>
        <v>0</v>
      </c>
      <c r="AV37" s="3">
        <f t="shared" si="45"/>
        <v>0</v>
      </c>
      <c r="AW37" s="3">
        <f t="shared" si="45"/>
        <v>0</v>
      </c>
      <c r="AX37" s="3">
        <f t="shared" si="45"/>
        <v>0</v>
      </c>
      <c r="AY37" s="3">
        <f t="shared" si="45"/>
        <v>0</v>
      </c>
      <c r="AZ37" s="3">
        <f t="shared" si="45"/>
        <v>0</v>
      </c>
      <c r="BA37" s="3">
        <f t="shared" si="45"/>
        <v>0</v>
      </c>
      <c r="BB37" s="3">
        <f t="shared" si="45"/>
        <v>0</v>
      </c>
      <c r="BC37" s="3">
        <f t="shared" si="45"/>
        <v>0</v>
      </c>
      <c r="BD37" s="3">
        <f t="shared" si="45"/>
        <v>0</v>
      </c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>
        <f>ROUND(SUMIF(AA28:AA35,"=56526432",FQ28:FQ35),2)</f>
        <v>0</v>
      </c>
      <c r="BY37" s="3">
        <f>ROUND(SUMIF(AA28:AA35,"=56526432",FR28:FR35),2)</f>
        <v>0</v>
      </c>
      <c r="BZ37" s="3">
        <f>ROUND(SUMIF(AA28:AA35,"=56526432",GL28:GL35),2)</f>
        <v>0</v>
      </c>
      <c r="CA37" s="3">
        <f>ROUND(SUMIF(AA28:AA35,"=56526432",GM28:GM35),2)</f>
        <v>0</v>
      </c>
      <c r="CB37" s="3">
        <f>ROUND(SUMIF(AA28:AA35,"=56526432",GN28:GN35),2)</f>
        <v>0</v>
      </c>
      <c r="CC37" s="3">
        <f>ROUND(SUMIF(AA28:AA35,"=56526432",GO28:GO35),2)</f>
        <v>0</v>
      </c>
      <c r="CD37" s="3">
        <f>ROUND(SUMIF(AA28:AA35,"=56526432",GP28:GP35),2)</f>
        <v>0</v>
      </c>
      <c r="CE37" s="3">
        <f>AC37-BX37</f>
        <v>0</v>
      </c>
      <c r="CF37" s="3">
        <f>AC37-BY37</f>
        <v>0</v>
      </c>
      <c r="CG37" s="3">
        <f>BX37-BZ37</f>
        <v>0</v>
      </c>
      <c r="CH37" s="3">
        <f>AC37-BX37-BY37+BZ37</f>
        <v>0</v>
      </c>
      <c r="CI37" s="3">
        <f>BY37-BZ37</f>
        <v>0</v>
      </c>
      <c r="CJ37" s="3">
        <f>ROUND(SUMIF(AA28:AA35,"=56526432",GX28:GX35),2)</f>
        <v>0</v>
      </c>
      <c r="CK37" s="3">
        <f>ROUND(SUMIF(AA28:AA35,"=56526432",GY28:GY35),2)</f>
        <v>0</v>
      </c>
      <c r="CL37" s="3">
        <f>ROUND(SUMIF(AA28:AA35,"=56526432",GZ28:GZ35),2)</f>
        <v>0</v>
      </c>
      <c r="CM37" s="3">
        <f>ROUND(SUMIF(AA28:AA35,"=56526432",HD28:HD35),2)</f>
        <v>0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4">
        <f t="shared" ref="DG37:DL37" si="46">ROUND(DT37,2)</f>
        <v>0</v>
      </c>
      <c r="DH37" s="4">
        <f t="shared" si="46"/>
        <v>0</v>
      </c>
      <c r="DI37" s="4">
        <f t="shared" si="46"/>
        <v>0</v>
      </c>
      <c r="DJ37" s="4">
        <f t="shared" si="46"/>
        <v>0</v>
      </c>
      <c r="DK37" s="4">
        <f t="shared" si="46"/>
        <v>0</v>
      </c>
      <c r="DL37" s="4">
        <f t="shared" si="46"/>
        <v>733435.55</v>
      </c>
      <c r="DM37" s="4">
        <f>DZ37</f>
        <v>0</v>
      </c>
      <c r="DN37" s="4">
        <f>EA37</f>
        <v>0</v>
      </c>
      <c r="DO37" s="4">
        <f>ROUND(EB37,2)</f>
        <v>0</v>
      </c>
      <c r="DP37" s="4">
        <f>ROUND(EC37,2)</f>
        <v>0</v>
      </c>
      <c r="DQ37" s="4">
        <f>ROUND(ED37,2)</f>
        <v>0</v>
      </c>
      <c r="DR37" s="4"/>
      <c r="DS37" s="4"/>
      <c r="DT37" s="4">
        <f>ROUND(SUMIF(AA28:AA35,"=56526434",O28:O35),2)</f>
        <v>0</v>
      </c>
      <c r="DU37" s="4">
        <f>ROUND(SUMIF(AA28:AA35,"=56526434",P28:P35),2)</f>
        <v>0</v>
      </c>
      <c r="DV37" s="4">
        <f>ROUND(SUMIF(AA28:AA35,"=56526434",Q28:Q35),2)</f>
        <v>0</v>
      </c>
      <c r="DW37" s="4">
        <f>ROUND(SUMIF(AA28:AA35,"=56526434",R28:R35),2)</f>
        <v>0</v>
      </c>
      <c r="DX37" s="4">
        <f>ROUND(SUMIF(AA28:AA35,"=56526434",S28:S35),2)</f>
        <v>0</v>
      </c>
      <c r="DY37" s="4">
        <f>ROUND(SUMIF(AA28:AA35,"=56526434",T28:T35),2)</f>
        <v>733435.55</v>
      </c>
      <c r="DZ37" s="4">
        <f>SUMIF(AA28:AA35,"=56526434",U28:U35)</f>
        <v>0</v>
      </c>
      <c r="EA37" s="4">
        <f>SUMIF(AA28:AA35,"=56526434",V28:V35)</f>
        <v>0</v>
      </c>
      <c r="EB37" s="4">
        <f>ROUND(SUMIF(AA28:AA35,"=56526434",W28:W35),2)</f>
        <v>0</v>
      </c>
      <c r="EC37" s="4">
        <f>ROUND(SUMIF(AA28:AA35,"=56526434",X28:X35),2)</f>
        <v>0</v>
      </c>
      <c r="ED37" s="4">
        <f>ROUND(SUMIF(AA28:AA35,"=56526434",Y28:Y35),2)</f>
        <v>0</v>
      </c>
      <c r="EE37" s="4"/>
      <c r="EF37" s="4"/>
      <c r="EG37" s="4">
        <f t="shared" ref="EG37:EV37" si="47">ROUND(FP37,2)</f>
        <v>0</v>
      </c>
      <c r="EH37" s="4">
        <f t="shared" si="47"/>
        <v>0</v>
      </c>
      <c r="EI37" s="4">
        <f t="shared" si="47"/>
        <v>0</v>
      </c>
      <c r="EJ37" s="4">
        <f t="shared" si="47"/>
        <v>0</v>
      </c>
      <c r="EK37" s="4">
        <f t="shared" si="47"/>
        <v>0</v>
      </c>
      <c r="EL37" s="4">
        <f t="shared" si="47"/>
        <v>0</v>
      </c>
      <c r="EM37" s="4">
        <f t="shared" si="47"/>
        <v>0</v>
      </c>
      <c r="EN37" s="4">
        <f t="shared" si="47"/>
        <v>0</v>
      </c>
      <c r="EO37" s="4">
        <f t="shared" si="47"/>
        <v>0</v>
      </c>
      <c r="EP37" s="4">
        <f t="shared" si="47"/>
        <v>0</v>
      </c>
      <c r="EQ37" s="4">
        <f t="shared" si="47"/>
        <v>0</v>
      </c>
      <c r="ER37" s="4">
        <f t="shared" si="47"/>
        <v>0</v>
      </c>
      <c r="ES37" s="4">
        <f t="shared" si="47"/>
        <v>0</v>
      </c>
      <c r="ET37" s="4">
        <f t="shared" si="47"/>
        <v>0</v>
      </c>
      <c r="EU37" s="4">
        <f t="shared" si="47"/>
        <v>0</v>
      </c>
      <c r="EV37" s="4">
        <f t="shared" si="47"/>
        <v>0</v>
      </c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>
        <f>ROUND(SUMIF(AA28:AA35,"=56526434",FQ28:FQ35),2)</f>
        <v>0</v>
      </c>
      <c r="FQ37" s="4">
        <f>ROUND(SUMIF(AA28:AA35,"=56526434",FR28:FR35),2)</f>
        <v>0</v>
      </c>
      <c r="FR37" s="4">
        <f>ROUND(SUMIF(AA28:AA35,"=56526434",GL28:GL35),2)</f>
        <v>0</v>
      </c>
      <c r="FS37" s="4">
        <f>ROUND(SUMIF(AA28:AA35,"=56526434",GM28:GM35),2)</f>
        <v>0</v>
      </c>
      <c r="FT37" s="4">
        <f>ROUND(SUMIF(AA28:AA35,"=56526434",GN28:GN35),2)</f>
        <v>0</v>
      </c>
      <c r="FU37" s="4">
        <f>ROUND(SUMIF(AA28:AA35,"=56526434",GO28:GO35),2)</f>
        <v>0</v>
      </c>
      <c r="FV37" s="4">
        <f>ROUND(SUMIF(AA28:AA35,"=56526434",GP28:GP35),2)</f>
        <v>0</v>
      </c>
      <c r="FW37" s="4">
        <f>DU37-FP37</f>
        <v>0</v>
      </c>
      <c r="FX37" s="4">
        <f>DU37-FQ37</f>
        <v>0</v>
      </c>
      <c r="FY37" s="4">
        <f>FP37-FR37</f>
        <v>0</v>
      </c>
      <c r="FZ37" s="4">
        <f>DU37-FP37-FQ37+FR37</f>
        <v>0</v>
      </c>
      <c r="GA37" s="4">
        <f>FQ37-FR37</f>
        <v>0</v>
      </c>
      <c r="GB37" s="4">
        <f>ROUND(SUMIF(AA28:AA35,"=56526434",GX28:GX35),2)</f>
        <v>0</v>
      </c>
      <c r="GC37" s="4">
        <f>ROUND(SUMIF(AA28:AA35,"=56526434",GY28:GY35),2)</f>
        <v>0</v>
      </c>
      <c r="GD37" s="4">
        <f>ROUND(SUMIF(AA28:AA35,"=56526434",GZ28:GZ35),2)</f>
        <v>0</v>
      </c>
      <c r="GE37" s="4">
        <f>ROUND(SUMIF(AA28:AA35,"=56526434",HD28:HD35),2)</f>
        <v>0</v>
      </c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>
        <v>0</v>
      </c>
    </row>
    <row r="39" spans="1:255" ht="13" x14ac:dyDescent="0.3">
      <c r="A39" s="5">
        <v>50</v>
      </c>
      <c r="B39" s="5">
        <v>0</v>
      </c>
      <c r="C39" s="5">
        <v>0</v>
      </c>
      <c r="D39" s="5">
        <v>1</v>
      </c>
      <c r="E39" s="5">
        <v>201</v>
      </c>
      <c r="F39" s="5">
        <f>ROUND(Source!O37,O39)</f>
        <v>0</v>
      </c>
      <c r="G39" s="5" t="s">
        <v>38</v>
      </c>
      <c r="H39" s="5" t="s">
        <v>39</v>
      </c>
      <c r="I39" s="5"/>
      <c r="J39" s="5"/>
      <c r="K39" s="5">
        <v>201</v>
      </c>
      <c r="L39" s="5">
        <v>1</v>
      </c>
      <c r="M39" s="5">
        <v>3</v>
      </c>
      <c r="N39" s="5" t="s">
        <v>3</v>
      </c>
      <c r="O39" s="5">
        <v>2</v>
      </c>
      <c r="P39" s="5">
        <f>ROUND(Source!DG37,O39)</f>
        <v>0</v>
      </c>
      <c r="Q39" s="5"/>
      <c r="R39" s="5"/>
      <c r="S39" s="5"/>
      <c r="T39" s="5"/>
      <c r="U39" s="5"/>
      <c r="V39" s="5"/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</row>
    <row r="40" spans="1:255" ht="13" x14ac:dyDescent="0.3">
      <c r="A40" s="5">
        <v>50</v>
      </c>
      <c r="B40" s="5">
        <v>0</v>
      </c>
      <c r="C40" s="5">
        <v>0</v>
      </c>
      <c r="D40" s="5">
        <v>1</v>
      </c>
      <c r="E40" s="5">
        <v>202</v>
      </c>
      <c r="F40" s="5">
        <f>ROUND(Source!P37,O40)</f>
        <v>0</v>
      </c>
      <c r="G40" s="5" t="s">
        <v>40</v>
      </c>
      <c r="H40" s="5" t="s">
        <v>41</v>
      </c>
      <c r="I40" s="5"/>
      <c r="J40" s="5"/>
      <c r="K40" s="5">
        <v>202</v>
      </c>
      <c r="L40" s="5">
        <v>2</v>
      </c>
      <c r="M40" s="5">
        <v>3</v>
      </c>
      <c r="N40" s="5" t="s">
        <v>3</v>
      </c>
      <c r="O40" s="5">
        <v>2</v>
      </c>
      <c r="P40" s="5">
        <f>ROUND(Source!DH37,O40)</f>
        <v>0</v>
      </c>
      <c r="Q40" s="5"/>
      <c r="R40" s="5"/>
      <c r="S40" s="5"/>
      <c r="T40" s="5"/>
      <c r="U40" s="5"/>
      <c r="V40" s="5"/>
      <c r="W40" s="5">
        <v>0</v>
      </c>
      <c r="X40" s="5">
        <v>1</v>
      </c>
      <c r="Y40" s="5">
        <v>0</v>
      </c>
      <c r="Z40" s="5">
        <v>0</v>
      </c>
      <c r="AA40" s="5">
        <v>1</v>
      </c>
      <c r="AB40" s="5">
        <v>0</v>
      </c>
    </row>
    <row r="41" spans="1:255" ht="13" x14ac:dyDescent="0.3">
      <c r="A41" s="5">
        <v>50</v>
      </c>
      <c r="B41" s="5">
        <v>0</v>
      </c>
      <c r="C41" s="5">
        <v>0</v>
      </c>
      <c r="D41" s="5">
        <v>1</v>
      </c>
      <c r="E41" s="5">
        <v>222</v>
      </c>
      <c r="F41" s="5">
        <f>ROUND(Source!AO37,O41)</f>
        <v>0</v>
      </c>
      <c r="G41" s="5" t="s">
        <v>42</v>
      </c>
      <c r="H41" s="5" t="s">
        <v>43</v>
      </c>
      <c r="I41" s="5"/>
      <c r="J41" s="5"/>
      <c r="K41" s="5">
        <v>222</v>
      </c>
      <c r="L41" s="5">
        <v>3</v>
      </c>
      <c r="M41" s="5">
        <v>3</v>
      </c>
      <c r="N41" s="5" t="s">
        <v>3</v>
      </c>
      <c r="O41" s="5">
        <v>2</v>
      </c>
      <c r="P41" s="5">
        <f>ROUND(Source!EG37,O41)</f>
        <v>0</v>
      </c>
      <c r="Q41" s="5"/>
      <c r="R41" s="5"/>
      <c r="S41" s="5"/>
      <c r="T41" s="5"/>
      <c r="U41" s="5"/>
      <c r="V41" s="5"/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</row>
    <row r="42" spans="1:255" ht="13" x14ac:dyDescent="0.3">
      <c r="A42" s="5">
        <v>50</v>
      </c>
      <c r="B42" s="5">
        <v>0</v>
      </c>
      <c r="C42" s="5">
        <v>0</v>
      </c>
      <c r="D42" s="5">
        <v>1</v>
      </c>
      <c r="E42" s="5">
        <v>225</v>
      </c>
      <c r="F42" s="5">
        <f>ROUND(Source!AV37,O42)</f>
        <v>0</v>
      </c>
      <c r="G42" s="5" t="s">
        <v>44</v>
      </c>
      <c r="H42" s="5" t="s">
        <v>45</v>
      </c>
      <c r="I42" s="5"/>
      <c r="J42" s="5"/>
      <c r="K42" s="5">
        <v>225</v>
      </c>
      <c r="L42" s="5">
        <v>4</v>
      </c>
      <c r="M42" s="5">
        <v>3</v>
      </c>
      <c r="N42" s="5" t="s">
        <v>3</v>
      </c>
      <c r="O42" s="5">
        <v>2</v>
      </c>
      <c r="P42" s="5">
        <f>ROUND(Source!EN37,O42)</f>
        <v>0</v>
      </c>
      <c r="Q42" s="5"/>
      <c r="R42" s="5"/>
      <c r="S42" s="5"/>
      <c r="T42" s="5"/>
      <c r="U42" s="5"/>
      <c r="V42" s="5"/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0</v>
      </c>
    </row>
    <row r="43" spans="1:255" ht="13" x14ac:dyDescent="0.3">
      <c r="A43" s="5">
        <v>50</v>
      </c>
      <c r="B43" s="5">
        <v>0</v>
      </c>
      <c r="C43" s="5">
        <v>0</v>
      </c>
      <c r="D43" s="5">
        <v>1</v>
      </c>
      <c r="E43" s="5">
        <v>226</v>
      </c>
      <c r="F43" s="5">
        <f>ROUND(Source!AW37,O43)</f>
        <v>0</v>
      </c>
      <c r="G43" s="5" t="s">
        <v>46</v>
      </c>
      <c r="H43" s="5" t="s">
        <v>47</v>
      </c>
      <c r="I43" s="5"/>
      <c r="J43" s="5"/>
      <c r="K43" s="5">
        <v>226</v>
      </c>
      <c r="L43" s="5">
        <v>5</v>
      </c>
      <c r="M43" s="5">
        <v>3</v>
      </c>
      <c r="N43" s="5" t="s">
        <v>3</v>
      </c>
      <c r="O43" s="5">
        <v>2</v>
      </c>
      <c r="P43" s="5">
        <f>ROUND(Source!EO37,O43)</f>
        <v>0</v>
      </c>
      <c r="Q43" s="5"/>
      <c r="R43" s="5"/>
      <c r="S43" s="5"/>
      <c r="T43" s="5"/>
      <c r="U43" s="5"/>
      <c r="V43" s="5"/>
      <c r="W43" s="5">
        <v>0</v>
      </c>
      <c r="X43" s="5">
        <v>1</v>
      </c>
      <c r="Y43" s="5">
        <v>0</v>
      </c>
      <c r="Z43" s="5">
        <v>0</v>
      </c>
      <c r="AA43" s="5">
        <v>1</v>
      </c>
      <c r="AB43" s="5">
        <v>0</v>
      </c>
    </row>
    <row r="44" spans="1:255" ht="13" x14ac:dyDescent="0.3">
      <c r="A44" s="5">
        <v>50</v>
      </c>
      <c r="B44" s="5">
        <v>0</v>
      </c>
      <c r="C44" s="5">
        <v>0</v>
      </c>
      <c r="D44" s="5">
        <v>1</v>
      </c>
      <c r="E44" s="5">
        <v>227</v>
      </c>
      <c r="F44" s="5">
        <f>ROUND(Source!AX37,O44)</f>
        <v>0</v>
      </c>
      <c r="G44" s="5" t="s">
        <v>48</v>
      </c>
      <c r="H44" s="5" t="s">
        <v>49</v>
      </c>
      <c r="I44" s="5"/>
      <c r="J44" s="5"/>
      <c r="K44" s="5">
        <v>227</v>
      </c>
      <c r="L44" s="5">
        <v>6</v>
      </c>
      <c r="M44" s="5">
        <v>3</v>
      </c>
      <c r="N44" s="5" t="s">
        <v>3</v>
      </c>
      <c r="O44" s="5">
        <v>2</v>
      </c>
      <c r="P44" s="5">
        <f>ROUND(Source!EP37,O44)</f>
        <v>0</v>
      </c>
      <c r="Q44" s="5"/>
      <c r="R44" s="5"/>
      <c r="S44" s="5"/>
      <c r="T44" s="5"/>
      <c r="U44" s="5"/>
      <c r="V44" s="5"/>
      <c r="W44" s="5">
        <v>0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</row>
    <row r="45" spans="1:255" ht="13" x14ac:dyDescent="0.3">
      <c r="A45" s="5">
        <v>50</v>
      </c>
      <c r="B45" s="5">
        <v>0</v>
      </c>
      <c r="C45" s="5">
        <v>0</v>
      </c>
      <c r="D45" s="5">
        <v>1</v>
      </c>
      <c r="E45" s="5">
        <v>228</v>
      </c>
      <c r="F45" s="5">
        <f>ROUND(Source!AY37,O45)</f>
        <v>0</v>
      </c>
      <c r="G45" s="5" t="s">
        <v>50</v>
      </c>
      <c r="H45" s="5" t="s">
        <v>51</v>
      </c>
      <c r="I45" s="5"/>
      <c r="J45" s="5"/>
      <c r="K45" s="5">
        <v>228</v>
      </c>
      <c r="L45" s="5">
        <v>7</v>
      </c>
      <c r="M45" s="5">
        <v>3</v>
      </c>
      <c r="N45" s="5" t="s">
        <v>3</v>
      </c>
      <c r="O45" s="5">
        <v>2</v>
      </c>
      <c r="P45" s="5">
        <f>ROUND(Source!EQ37,O45)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55" ht="13" x14ac:dyDescent="0.3">
      <c r="A46" s="5">
        <v>50</v>
      </c>
      <c r="B46" s="5">
        <v>0</v>
      </c>
      <c r="C46" s="5">
        <v>0</v>
      </c>
      <c r="D46" s="5">
        <v>1</v>
      </c>
      <c r="E46" s="5">
        <v>216</v>
      </c>
      <c r="F46" s="5">
        <f>ROUND(Source!AP37,O46)</f>
        <v>0</v>
      </c>
      <c r="G46" s="5" t="s">
        <v>52</v>
      </c>
      <c r="H46" s="5" t="s">
        <v>53</v>
      </c>
      <c r="I46" s="5"/>
      <c r="J46" s="5"/>
      <c r="K46" s="5">
        <v>216</v>
      </c>
      <c r="L46" s="5">
        <v>8</v>
      </c>
      <c r="M46" s="5">
        <v>3</v>
      </c>
      <c r="N46" s="5" t="s">
        <v>3</v>
      </c>
      <c r="O46" s="5">
        <v>2</v>
      </c>
      <c r="P46" s="5">
        <f>ROUND(Source!EH37,O46)</f>
        <v>0</v>
      </c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</row>
    <row r="47" spans="1:255" ht="13" x14ac:dyDescent="0.3">
      <c r="A47" s="5">
        <v>50</v>
      </c>
      <c r="B47" s="5">
        <v>0</v>
      </c>
      <c r="C47" s="5">
        <v>0</v>
      </c>
      <c r="D47" s="5">
        <v>1</v>
      </c>
      <c r="E47" s="5">
        <v>223</v>
      </c>
      <c r="F47" s="5">
        <f>ROUND(Source!AQ37,O47)</f>
        <v>0</v>
      </c>
      <c r="G47" s="5" t="s">
        <v>54</v>
      </c>
      <c r="H47" s="5" t="s">
        <v>55</v>
      </c>
      <c r="I47" s="5"/>
      <c r="J47" s="5"/>
      <c r="K47" s="5">
        <v>223</v>
      </c>
      <c r="L47" s="5">
        <v>9</v>
      </c>
      <c r="M47" s="5">
        <v>3</v>
      </c>
      <c r="N47" s="5" t="s">
        <v>3</v>
      </c>
      <c r="O47" s="5">
        <v>2</v>
      </c>
      <c r="P47" s="5">
        <f>ROUND(Source!EI37,O47)</f>
        <v>0</v>
      </c>
      <c r="Q47" s="5"/>
      <c r="R47" s="5"/>
      <c r="S47" s="5"/>
      <c r="T47" s="5"/>
      <c r="U47" s="5"/>
      <c r="V47" s="5"/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</row>
    <row r="48" spans="1:255" ht="13" x14ac:dyDescent="0.3">
      <c r="A48" s="5">
        <v>50</v>
      </c>
      <c r="B48" s="5">
        <v>0</v>
      </c>
      <c r="C48" s="5">
        <v>0</v>
      </c>
      <c r="D48" s="5">
        <v>1</v>
      </c>
      <c r="E48" s="5">
        <v>229</v>
      </c>
      <c r="F48" s="5">
        <f>ROUND(Source!AZ37,O48)</f>
        <v>0</v>
      </c>
      <c r="G48" s="5" t="s">
        <v>56</v>
      </c>
      <c r="H48" s="5" t="s">
        <v>57</v>
      </c>
      <c r="I48" s="5"/>
      <c r="J48" s="5"/>
      <c r="K48" s="5">
        <v>229</v>
      </c>
      <c r="L48" s="5">
        <v>10</v>
      </c>
      <c r="M48" s="5">
        <v>3</v>
      </c>
      <c r="N48" s="5" t="s">
        <v>3</v>
      </c>
      <c r="O48" s="5">
        <v>2</v>
      </c>
      <c r="P48" s="5">
        <f>ROUND(Source!ER37,O48)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8" ht="13" x14ac:dyDescent="0.3">
      <c r="A49" s="5">
        <v>50</v>
      </c>
      <c r="B49" s="5">
        <v>0</v>
      </c>
      <c r="C49" s="5">
        <v>0</v>
      </c>
      <c r="D49" s="5">
        <v>1</v>
      </c>
      <c r="E49" s="5">
        <v>203</v>
      </c>
      <c r="F49" s="5">
        <f>ROUND(Source!Q37,O49)</f>
        <v>0</v>
      </c>
      <c r="G49" s="5" t="s">
        <v>58</v>
      </c>
      <c r="H49" s="5" t="s">
        <v>59</v>
      </c>
      <c r="I49" s="5"/>
      <c r="J49" s="5"/>
      <c r="K49" s="5">
        <v>203</v>
      </c>
      <c r="L49" s="5">
        <v>11</v>
      </c>
      <c r="M49" s="5">
        <v>3</v>
      </c>
      <c r="N49" s="5" t="s">
        <v>3</v>
      </c>
      <c r="O49" s="5">
        <v>2</v>
      </c>
      <c r="P49" s="5">
        <f>ROUND(Source!DI37,O49)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8" ht="13" x14ac:dyDescent="0.3">
      <c r="A50" s="5">
        <v>50</v>
      </c>
      <c r="B50" s="5">
        <v>0</v>
      </c>
      <c r="C50" s="5">
        <v>0</v>
      </c>
      <c r="D50" s="5">
        <v>1</v>
      </c>
      <c r="E50" s="5">
        <v>231</v>
      </c>
      <c r="F50" s="5">
        <f>ROUND(Source!BB37,O50)</f>
        <v>0</v>
      </c>
      <c r="G50" s="5" t="s">
        <v>60</v>
      </c>
      <c r="H50" s="5" t="s">
        <v>61</v>
      </c>
      <c r="I50" s="5"/>
      <c r="J50" s="5"/>
      <c r="K50" s="5">
        <v>231</v>
      </c>
      <c r="L50" s="5">
        <v>12</v>
      </c>
      <c r="M50" s="5">
        <v>3</v>
      </c>
      <c r="N50" s="5" t="s">
        <v>3</v>
      </c>
      <c r="O50" s="5">
        <v>2</v>
      </c>
      <c r="P50" s="5">
        <f>ROUND(Source!ET37,O50)</f>
        <v>0</v>
      </c>
      <c r="Q50" s="5"/>
      <c r="R50" s="5"/>
      <c r="S50" s="5"/>
      <c r="T50" s="5"/>
      <c r="U50" s="5"/>
      <c r="V50" s="5"/>
      <c r="W50" s="5">
        <v>0</v>
      </c>
      <c r="X50" s="5">
        <v>1</v>
      </c>
      <c r="Y50" s="5">
        <v>0</v>
      </c>
      <c r="Z50" s="5">
        <v>0</v>
      </c>
      <c r="AA50" s="5">
        <v>1</v>
      </c>
      <c r="AB50" s="5">
        <v>0</v>
      </c>
    </row>
    <row r="51" spans="1:28" ht="13" x14ac:dyDescent="0.3">
      <c r="A51" s="5">
        <v>50</v>
      </c>
      <c r="B51" s="5">
        <v>0</v>
      </c>
      <c r="C51" s="5">
        <v>0</v>
      </c>
      <c r="D51" s="5">
        <v>1</v>
      </c>
      <c r="E51" s="5">
        <v>204</v>
      </c>
      <c r="F51" s="5">
        <f>ROUND(Source!R37,O51)</f>
        <v>0</v>
      </c>
      <c r="G51" s="5" t="s">
        <v>62</v>
      </c>
      <c r="H51" s="5" t="s">
        <v>63</v>
      </c>
      <c r="I51" s="5"/>
      <c r="J51" s="5"/>
      <c r="K51" s="5">
        <v>204</v>
      </c>
      <c r="L51" s="5">
        <v>13</v>
      </c>
      <c r="M51" s="5">
        <v>3</v>
      </c>
      <c r="N51" s="5" t="s">
        <v>3</v>
      </c>
      <c r="O51" s="5">
        <v>2</v>
      </c>
      <c r="P51" s="5">
        <f>ROUND(Source!DJ37,O51)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8" ht="13" x14ac:dyDescent="0.3">
      <c r="A52" s="5">
        <v>50</v>
      </c>
      <c r="B52" s="5">
        <v>0</v>
      </c>
      <c r="C52" s="5">
        <v>0</v>
      </c>
      <c r="D52" s="5">
        <v>1</v>
      </c>
      <c r="E52" s="5">
        <v>205</v>
      </c>
      <c r="F52" s="5">
        <f>ROUND(Source!S37,O52)</f>
        <v>0</v>
      </c>
      <c r="G52" s="5" t="s">
        <v>64</v>
      </c>
      <c r="H52" s="5" t="s">
        <v>65</v>
      </c>
      <c r="I52" s="5"/>
      <c r="J52" s="5"/>
      <c r="K52" s="5">
        <v>205</v>
      </c>
      <c r="L52" s="5">
        <v>14</v>
      </c>
      <c r="M52" s="5">
        <v>3</v>
      </c>
      <c r="N52" s="5" t="s">
        <v>3</v>
      </c>
      <c r="O52" s="5">
        <v>2</v>
      </c>
      <c r="P52" s="5">
        <f>ROUND(Source!DK37,O52)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8" ht="13" x14ac:dyDescent="0.3">
      <c r="A53" s="5">
        <v>50</v>
      </c>
      <c r="B53" s="5">
        <v>0</v>
      </c>
      <c r="C53" s="5">
        <v>0</v>
      </c>
      <c r="D53" s="5">
        <v>1</v>
      </c>
      <c r="E53" s="5">
        <v>232</v>
      </c>
      <c r="F53" s="5">
        <f>ROUND(Source!BC37,O53)</f>
        <v>0</v>
      </c>
      <c r="G53" s="5" t="s">
        <v>66</v>
      </c>
      <c r="H53" s="5" t="s">
        <v>67</v>
      </c>
      <c r="I53" s="5"/>
      <c r="J53" s="5"/>
      <c r="K53" s="5">
        <v>232</v>
      </c>
      <c r="L53" s="5">
        <v>15</v>
      </c>
      <c r="M53" s="5">
        <v>3</v>
      </c>
      <c r="N53" s="5" t="s">
        <v>3</v>
      </c>
      <c r="O53" s="5">
        <v>2</v>
      </c>
      <c r="P53" s="5">
        <f>ROUND(Source!EU37,O53)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8" ht="13" x14ac:dyDescent="0.3">
      <c r="A54" s="5">
        <v>50</v>
      </c>
      <c r="B54" s="5">
        <v>0</v>
      </c>
      <c r="C54" s="5">
        <v>0</v>
      </c>
      <c r="D54" s="5">
        <v>1</v>
      </c>
      <c r="E54" s="5">
        <v>214</v>
      </c>
      <c r="F54" s="5">
        <f>ROUND(Source!AS37,O54)</f>
        <v>0</v>
      </c>
      <c r="G54" s="5" t="s">
        <v>68</v>
      </c>
      <c r="H54" s="5" t="s">
        <v>69</v>
      </c>
      <c r="I54" s="5"/>
      <c r="J54" s="5"/>
      <c r="K54" s="5">
        <v>214</v>
      </c>
      <c r="L54" s="5">
        <v>16</v>
      </c>
      <c r="M54" s="5">
        <v>3</v>
      </c>
      <c r="N54" s="5" t="s">
        <v>3</v>
      </c>
      <c r="O54" s="5">
        <v>2</v>
      </c>
      <c r="P54" s="5">
        <f>ROUND(Source!EK37,O54)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8" ht="13" x14ac:dyDescent="0.3">
      <c r="A55" s="5">
        <v>50</v>
      </c>
      <c r="B55" s="5">
        <v>0</v>
      </c>
      <c r="C55" s="5">
        <v>0</v>
      </c>
      <c r="D55" s="5">
        <v>1</v>
      </c>
      <c r="E55" s="5">
        <v>215</v>
      </c>
      <c r="F55" s="5">
        <f>ROUND(Source!AT37,O55)</f>
        <v>0</v>
      </c>
      <c r="G55" s="5" t="s">
        <v>70</v>
      </c>
      <c r="H55" s="5" t="s">
        <v>71</v>
      </c>
      <c r="I55" s="5"/>
      <c r="J55" s="5"/>
      <c r="K55" s="5">
        <v>215</v>
      </c>
      <c r="L55" s="5">
        <v>17</v>
      </c>
      <c r="M55" s="5">
        <v>3</v>
      </c>
      <c r="N55" s="5" t="s">
        <v>3</v>
      </c>
      <c r="O55" s="5">
        <v>2</v>
      </c>
      <c r="P55" s="5">
        <f>ROUND(Source!EL37,O55)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8" ht="13" x14ac:dyDescent="0.3">
      <c r="A56" s="5">
        <v>50</v>
      </c>
      <c r="B56" s="5">
        <v>0</v>
      </c>
      <c r="C56" s="5">
        <v>0</v>
      </c>
      <c r="D56" s="5">
        <v>1</v>
      </c>
      <c r="E56" s="5">
        <v>217</v>
      </c>
      <c r="F56" s="5">
        <f>ROUND(Source!AU37,O56)</f>
        <v>0</v>
      </c>
      <c r="G56" s="5" t="s">
        <v>72</v>
      </c>
      <c r="H56" s="5" t="s">
        <v>73</v>
      </c>
      <c r="I56" s="5"/>
      <c r="J56" s="5"/>
      <c r="K56" s="5">
        <v>217</v>
      </c>
      <c r="L56" s="5">
        <v>18</v>
      </c>
      <c r="M56" s="5">
        <v>3</v>
      </c>
      <c r="N56" s="5" t="s">
        <v>3</v>
      </c>
      <c r="O56" s="5">
        <v>2</v>
      </c>
      <c r="P56" s="5">
        <f>ROUND(Source!EM37,O56)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8" ht="13" x14ac:dyDescent="0.3">
      <c r="A57" s="5">
        <v>50</v>
      </c>
      <c r="B57" s="5">
        <v>0</v>
      </c>
      <c r="C57" s="5">
        <v>0</v>
      </c>
      <c r="D57" s="5">
        <v>1</v>
      </c>
      <c r="E57" s="5">
        <v>230</v>
      </c>
      <c r="F57" s="5">
        <f>ROUND(Source!BA37,O57)</f>
        <v>0</v>
      </c>
      <c r="G57" s="5" t="s">
        <v>74</v>
      </c>
      <c r="H57" s="5" t="s">
        <v>75</v>
      </c>
      <c r="I57" s="5"/>
      <c r="J57" s="5"/>
      <c r="K57" s="5">
        <v>230</v>
      </c>
      <c r="L57" s="5">
        <v>19</v>
      </c>
      <c r="M57" s="5">
        <v>3</v>
      </c>
      <c r="N57" s="5" t="s">
        <v>3</v>
      </c>
      <c r="O57" s="5">
        <v>2</v>
      </c>
      <c r="P57" s="5">
        <f>ROUND(Source!ES37,O57)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8" ht="13" x14ac:dyDescent="0.3">
      <c r="A58" s="5">
        <v>50</v>
      </c>
      <c r="B58" s="5">
        <v>0</v>
      </c>
      <c r="C58" s="5">
        <v>0</v>
      </c>
      <c r="D58" s="5">
        <v>1</v>
      </c>
      <c r="E58" s="5">
        <v>206</v>
      </c>
      <c r="F58" s="5">
        <f>ROUND(Source!T37,O58)</f>
        <v>86069.65</v>
      </c>
      <c r="G58" s="5" t="s">
        <v>76</v>
      </c>
      <c r="H58" s="5" t="s">
        <v>77</v>
      </c>
      <c r="I58" s="5"/>
      <c r="J58" s="5"/>
      <c r="K58" s="5">
        <v>206</v>
      </c>
      <c r="L58" s="5">
        <v>20</v>
      </c>
      <c r="M58" s="5">
        <v>3</v>
      </c>
      <c r="N58" s="5" t="s">
        <v>3</v>
      </c>
      <c r="O58" s="5">
        <v>2</v>
      </c>
      <c r="P58" s="5">
        <f>ROUND(Source!DL37,O58)</f>
        <v>733435.55</v>
      </c>
      <c r="Q58" s="5"/>
      <c r="R58" s="5"/>
      <c r="S58" s="5"/>
      <c r="T58" s="5"/>
      <c r="U58" s="5"/>
      <c r="V58" s="5"/>
      <c r="W58" s="5">
        <v>86069.65</v>
      </c>
      <c r="X58" s="5">
        <v>1</v>
      </c>
      <c r="Y58" s="5">
        <v>86069.65</v>
      </c>
      <c r="Z58" s="5">
        <v>733435.55</v>
      </c>
      <c r="AA58" s="5">
        <v>1</v>
      </c>
      <c r="AB58" s="5">
        <v>733435.55</v>
      </c>
    </row>
    <row r="59" spans="1:28" ht="13" x14ac:dyDescent="0.3">
      <c r="A59" s="5">
        <v>50</v>
      </c>
      <c r="B59" s="5">
        <v>0</v>
      </c>
      <c r="C59" s="5">
        <v>0</v>
      </c>
      <c r="D59" s="5">
        <v>1</v>
      </c>
      <c r="E59" s="5">
        <v>207</v>
      </c>
      <c r="F59" s="5">
        <f>Source!U37</f>
        <v>0</v>
      </c>
      <c r="G59" s="5" t="s">
        <v>78</v>
      </c>
      <c r="H59" s="5" t="s">
        <v>79</v>
      </c>
      <c r="I59" s="5"/>
      <c r="J59" s="5"/>
      <c r="K59" s="5">
        <v>207</v>
      </c>
      <c r="L59" s="5">
        <v>21</v>
      </c>
      <c r="M59" s="5">
        <v>3</v>
      </c>
      <c r="N59" s="5" t="s">
        <v>3</v>
      </c>
      <c r="O59" s="5">
        <v>-1</v>
      </c>
      <c r="P59" s="5">
        <f>Source!DM37</f>
        <v>0</v>
      </c>
      <c r="Q59" s="5"/>
      <c r="R59" s="5"/>
      <c r="S59" s="5"/>
      <c r="T59" s="5"/>
      <c r="U59" s="5"/>
      <c r="V59" s="5"/>
      <c r="W59" s="5">
        <v>0</v>
      </c>
      <c r="X59" s="5">
        <v>1</v>
      </c>
      <c r="Y59" s="5">
        <v>0</v>
      </c>
      <c r="Z59" s="5">
        <v>0</v>
      </c>
      <c r="AA59" s="5">
        <v>1</v>
      </c>
      <c r="AB59" s="5">
        <v>0</v>
      </c>
    </row>
    <row r="60" spans="1:28" ht="13" x14ac:dyDescent="0.3">
      <c r="A60" s="5">
        <v>50</v>
      </c>
      <c r="B60" s="5">
        <v>0</v>
      </c>
      <c r="C60" s="5">
        <v>0</v>
      </c>
      <c r="D60" s="5">
        <v>1</v>
      </c>
      <c r="E60" s="5">
        <v>208</v>
      </c>
      <c r="F60" s="5">
        <f>Source!V37</f>
        <v>0</v>
      </c>
      <c r="G60" s="5" t="s">
        <v>80</v>
      </c>
      <c r="H60" s="5" t="s">
        <v>81</v>
      </c>
      <c r="I60" s="5"/>
      <c r="J60" s="5"/>
      <c r="K60" s="5">
        <v>208</v>
      </c>
      <c r="L60" s="5">
        <v>22</v>
      </c>
      <c r="M60" s="5">
        <v>3</v>
      </c>
      <c r="N60" s="5" t="s">
        <v>3</v>
      </c>
      <c r="O60" s="5">
        <v>-1</v>
      </c>
      <c r="P60" s="5">
        <f>Source!DN37</f>
        <v>0</v>
      </c>
      <c r="Q60" s="5"/>
      <c r="R60" s="5"/>
      <c r="S60" s="5"/>
      <c r="T60" s="5"/>
      <c r="U60" s="5"/>
      <c r="V60" s="5"/>
      <c r="W60" s="5">
        <v>0</v>
      </c>
      <c r="X60" s="5">
        <v>1</v>
      </c>
      <c r="Y60" s="5">
        <v>0</v>
      </c>
      <c r="Z60" s="5">
        <v>0</v>
      </c>
      <c r="AA60" s="5">
        <v>1</v>
      </c>
      <c r="AB60" s="5">
        <v>0</v>
      </c>
    </row>
    <row r="61" spans="1:28" ht="13" x14ac:dyDescent="0.3">
      <c r="A61" s="5">
        <v>50</v>
      </c>
      <c r="B61" s="5">
        <v>0</v>
      </c>
      <c r="C61" s="5">
        <v>0</v>
      </c>
      <c r="D61" s="5">
        <v>1</v>
      </c>
      <c r="E61" s="5">
        <v>209</v>
      </c>
      <c r="F61" s="5">
        <f>ROUND(Source!W37,O61)</f>
        <v>0</v>
      </c>
      <c r="G61" s="5" t="s">
        <v>82</v>
      </c>
      <c r="H61" s="5" t="s">
        <v>83</v>
      </c>
      <c r="I61" s="5"/>
      <c r="J61" s="5"/>
      <c r="K61" s="5">
        <v>209</v>
      </c>
      <c r="L61" s="5">
        <v>23</v>
      </c>
      <c r="M61" s="5">
        <v>3</v>
      </c>
      <c r="N61" s="5" t="s">
        <v>3</v>
      </c>
      <c r="O61" s="5">
        <v>2</v>
      </c>
      <c r="P61" s="5">
        <f>ROUND(Source!DO37,O61)</f>
        <v>0</v>
      </c>
      <c r="Q61" s="5"/>
      <c r="R61" s="5"/>
      <c r="S61" s="5"/>
      <c r="T61" s="5"/>
      <c r="U61" s="5"/>
      <c r="V61" s="5"/>
      <c r="W61" s="5">
        <v>0</v>
      </c>
      <c r="X61" s="5">
        <v>1</v>
      </c>
      <c r="Y61" s="5">
        <v>0</v>
      </c>
      <c r="Z61" s="5">
        <v>0</v>
      </c>
      <c r="AA61" s="5">
        <v>1</v>
      </c>
      <c r="AB61" s="5">
        <v>0</v>
      </c>
    </row>
    <row r="62" spans="1:28" ht="13" x14ac:dyDescent="0.3">
      <c r="A62" s="5">
        <v>50</v>
      </c>
      <c r="B62" s="5">
        <v>0</v>
      </c>
      <c r="C62" s="5">
        <v>0</v>
      </c>
      <c r="D62" s="5">
        <v>1</v>
      </c>
      <c r="E62" s="5">
        <v>233</v>
      </c>
      <c r="F62" s="5">
        <f>ROUND(Source!BD37,O62)</f>
        <v>0</v>
      </c>
      <c r="G62" s="5" t="s">
        <v>84</v>
      </c>
      <c r="H62" s="5" t="s">
        <v>85</v>
      </c>
      <c r="I62" s="5"/>
      <c r="J62" s="5"/>
      <c r="K62" s="5">
        <v>233</v>
      </c>
      <c r="L62" s="5">
        <v>24</v>
      </c>
      <c r="M62" s="5">
        <v>3</v>
      </c>
      <c r="N62" s="5" t="s">
        <v>3</v>
      </c>
      <c r="O62" s="5">
        <v>2</v>
      </c>
      <c r="P62" s="5">
        <f>ROUND(Source!EV37,O62)</f>
        <v>0</v>
      </c>
      <c r="Q62" s="5"/>
      <c r="R62" s="5"/>
      <c r="S62" s="5"/>
      <c r="T62" s="5"/>
      <c r="U62" s="5"/>
      <c r="V62" s="5"/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0</v>
      </c>
    </row>
    <row r="63" spans="1:28" ht="13" x14ac:dyDescent="0.3">
      <c r="A63" s="5">
        <v>50</v>
      </c>
      <c r="B63" s="5">
        <v>0</v>
      </c>
      <c r="C63" s="5">
        <v>0</v>
      </c>
      <c r="D63" s="5">
        <v>1</v>
      </c>
      <c r="E63" s="5">
        <v>210</v>
      </c>
      <c r="F63" s="5">
        <f>ROUND(Source!X37,O63)</f>
        <v>0</v>
      </c>
      <c r="G63" s="5" t="s">
        <v>86</v>
      </c>
      <c r="H63" s="5" t="s">
        <v>87</v>
      </c>
      <c r="I63" s="5"/>
      <c r="J63" s="5"/>
      <c r="K63" s="5">
        <v>210</v>
      </c>
      <c r="L63" s="5">
        <v>25</v>
      </c>
      <c r="M63" s="5">
        <v>3</v>
      </c>
      <c r="N63" s="5" t="s">
        <v>3</v>
      </c>
      <c r="O63" s="5">
        <v>2</v>
      </c>
      <c r="P63" s="5">
        <f>ROUND(Source!DP37,O63)</f>
        <v>0</v>
      </c>
      <c r="Q63" s="5"/>
      <c r="R63" s="5"/>
      <c r="S63" s="5"/>
      <c r="T63" s="5"/>
      <c r="U63" s="5"/>
      <c r="V63" s="5"/>
      <c r="W63" s="5">
        <v>0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</row>
    <row r="64" spans="1:28" ht="13" x14ac:dyDescent="0.3">
      <c r="A64" s="5">
        <v>50</v>
      </c>
      <c r="B64" s="5">
        <v>0</v>
      </c>
      <c r="C64" s="5">
        <v>0</v>
      </c>
      <c r="D64" s="5">
        <v>1</v>
      </c>
      <c r="E64" s="5">
        <v>211</v>
      </c>
      <c r="F64" s="5">
        <f>ROUND(Source!Y37,O64)</f>
        <v>0</v>
      </c>
      <c r="G64" s="5" t="s">
        <v>88</v>
      </c>
      <c r="H64" s="5" t="s">
        <v>89</v>
      </c>
      <c r="I64" s="5"/>
      <c r="J64" s="5"/>
      <c r="K64" s="5">
        <v>211</v>
      </c>
      <c r="L64" s="5">
        <v>26</v>
      </c>
      <c r="M64" s="5">
        <v>3</v>
      </c>
      <c r="N64" s="5" t="s">
        <v>3</v>
      </c>
      <c r="O64" s="5">
        <v>2</v>
      </c>
      <c r="P64" s="5">
        <f>ROUND(Source!DQ37,O64)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06" ht="13" x14ac:dyDescent="0.3">
      <c r="A65" s="5">
        <v>50</v>
      </c>
      <c r="B65" s="5">
        <v>0</v>
      </c>
      <c r="C65" s="5">
        <v>0</v>
      </c>
      <c r="D65" s="5">
        <v>1</v>
      </c>
      <c r="E65" s="5">
        <v>224</v>
      </c>
      <c r="F65" s="5">
        <f>ROUND(Source!AR37,O65)</f>
        <v>0</v>
      </c>
      <c r="G65" s="5" t="s">
        <v>90</v>
      </c>
      <c r="H65" s="5" t="s">
        <v>91</v>
      </c>
      <c r="I65" s="5"/>
      <c r="J65" s="5"/>
      <c r="K65" s="5">
        <v>224</v>
      </c>
      <c r="L65" s="5">
        <v>27</v>
      </c>
      <c r="M65" s="5">
        <v>3</v>
      </c>
      <c r="N65" s="5" t="s">
        <v>3</v>
      </c>
      <c r="O65" s="5">
        <v>2</v>
      </c>
      <c r="P65" s="5">
        <f>ROUND(Source!EJ37,O65)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7" spans="1:206" ht="13" x14ac:dyDescent="0.3">
      <c r="A67" s="3">
        <v>51</v>
      </c>
      <c r="B67" s="3">
        <f>B20</f>
        <v>1</v>
      </c>
      <c r="C67" s="3">
        <f>A20</f>
        <v>3</v>
      </c>
      <c r="D67" s="3">
        <f>ROW(A20)</f>
        <v>20</v>
      </c>
      <c r="E67" s="3"/>
      <c r="F67" s="3" t="str">
        <f>IF(F20&lt;&gt;"",F20,"")</f>
        <v>б/н</v>
      </c>
      <c r="G67" s="3" t="str">
        <f>IF(G20&lt;&gt;"",G20,"")</f>
        <v>Возвратные средства</v>
      </c>
      <c r="H67" s="3">
        <v>0</v>
      </c>
      <c r="I67" s="3"/>
      <c r="J67" s="3"/>
      <c r="K67" s="3"/>
      <c r="L67" s="3"/>
      <c r="M67" s="3"/>
      <c r="N67" s="3"/>
      <c r="O67" s="3">
        <f t="shared" ref="O67:T67" si="48">ROUND(O37+AB67,2)</f>
        <v>0</v>
      </c>
      <c r="P67" s="3">
        <f t="shared" si="48"/>
        <v>0</v>
      </c>
      <c r="Q67" s="3">
        <f t="shared" si="48"/>
        <v>0</v>
      </c>
      <c r="R67" s="3">
        <f t="shared" si="48"/>
        <v>0</v>
      </c>
      <c r="S67" s="3">
        <f t="shared" si="48"/>
        <v>0</v>
      </c>
      <c r="T67" s="3">
        <f t="shared" si="48"/>
        <v>86069.65</v>
      </c>
      <c r="U67" s="3">
        <f>U37+AH67</f>
        <v>0</v>
      </c>
      <c r="V67" s="3">
        <f>V37+AI67</f>
        <v>0</v>
      </c>
      <c r="W67" s="3">
        <f>ROUND(W37+AJ67,2)</f>
        <v>0</v>
      </c>
      <c r="X67" s="3">
        <f>ROUND(X37+AK67,2)</f>
        <v>0</v>
      </c>
      <c r="Y67" s="3">
        <f>ROUND(Y37+AL67,2)</f>
        <v>0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f t="shared" ref="AO67:BD67" si="49">ROUND(AO37+BX67,2)</f>
        <v>0</v>
      </c>
      <c r="AP67" s="3">
        <f t="shared" si="49"/>
        <v>0</v>
      </c>
      <c r="AQ67" s="3">
        <f t="shared" si="49"/>
        <v>0</v>
      </c>
      <c r="AR67" s="3">
        <f t="shared" si="49"/>
        <v>0</v>
      </c>
      <c r="AS67" s="3">
        <f t="shared" si="49"/>
        <v>0</v>
      </c>
      <c r="AT67" s="3">
        <f t="shared" si="49"/>
        <v>0</v>
      </c>
      <c r="AU67" s="3">
        <f t="shared" si="49"/>
        <v>0</v>
      </c>
      <c r="AV67" s="3">
        <f t="shared" si="49"/>
        <v>0</v>
      </c>
      <c r="AW67" s="3">
        <f t="shared" si="49"/>
        <v>0</v>
      </c>
      <c r="AX67" s="3">
        <f t="shared" si="49"/>
        <v>0</v>
      </c>
      <c r="AY67" s="3">
        <f t="shared" si="49"/>
        <v>0</v>
      </c>
      <c r="AZ67" s="3">
        <f t="shared" si="49"/>
        <v>0</v>
      </c>
      <c r="BA67" s="3">
        <f t="shared" si="49"/>
        <v>0</v>
      </c>
      <c r="BB67" s="3">
        <f t="shared" si="49"/>
        <v>0</v>
      </c>
      <c r="BC67" s="3">
        <f t="shared" si="49"/>
        <v>0</v>
      </c>
      <c r="BD67" s="3">
        <f t="shared" si="49"/>
        <v>0</v>
      </c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4">
        <f t="shared" ref="DG67:DL67" si="50">ROUND(DG37+DT67,2)</f>
        <v>0</v>
      </c>
      <c r="DH67" s="4">
        <f t="shared" si="50"/>
        <v>0</v>
      </c>
      <c r="DI67" s="4">
        <f t="shared" si="50"/>
        <v>0</v>
      </c>
      <c r="DJ67" s="4">
        <f t="shared" si="50"/>
        <v>0</v>
      </c>
      <c r="DK67" s="4">
        <f t="shared" si="50"/>
        <v>0</v>
      </c>
      <c r="DL67" s="4">
        <f t="shared" si="50"/>
        <v>733435.55</v>
      </c>
      <c r="DM67" s="4">
        <f>DM37+DZ67</f>
        <v>0</v>
      </c>
      <c r="DN67" s="4">
        <f>DN37+EA67</f>
        <v>0</v>
      </c>
      <c r="DO67" s="4">
        <f>ROUND(DO37+EB67,2)</f>
        <v>0</v>
      </c>
      <c r="DP67" s="4">
        <f>ROUND(DP37+EC67,2)</f>
        <v>0</v>
      </c>
      <c r="DQ67" s="4">
        <f>ROUND(DQ37+ED67,2)</f>
        <v>0</v>
      </c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>
        <f t="shared" ref="EG67:EV67" si="51">ROUND(EG37+FP67,2)</f>
        <v>0</v>
      </c>
      <c r="EH67" s="4">
        <f t="shared" si="51"/>
        <v>0</v>
      </c>
      <c r="EI67" s="4">
        <f t="shared" si="51"/>
        <v>0</v>
      </c>
      <c r="EJ67" s="4">
        <f t="shared" si="51"/>
        <v>0</v>
      </c>
      <c r="EK67" s="4">
        <f t="shared" si="51"/>
        <v>0</v>
      </c>
      <c r="EL67" s="4">
        <f t="shared" si="51"/>
        <v>0</v>
      </c>
      <c r="EM67" s="4">
        <f t="shared" si="51"/>
        <v>0</v>
      </c>
      <c r="EN67" s="4">
        <f t="shared" si="51"/>
        <v>0</v>
      </c>
      <c r="EO67" s="4">
        <f t="shared" si="51"/>
        <v>0</v>
      </c>
      <c r="EP67" s="4">
        <f t="shared" si="51"/>
        <v>0</v>
      </c>
      <c r="EQ67" s="4">
        <f t="shared" si="51"/>
        <v>0</v>
      </c>
      <c r="ER67" s="4">
        <f t="shared" si="51"/>
        <v>0</v>
      </c>
      <c r="ES67" s="4">
        <f t="shared" si="51"/>
        <v>0</v>
      </c>
      <c r="ET67" s="4">
        <f t="shared" si="51"/>
        <v>0</v>
      </c>
      <c r="EU67" s="4">
        <f t="shared" si="51"/>
        <v>0</v>
      </c>
      <c r="EV67" s="4">
        <f t="shared" si="51"/>
        <v>0</v>
      </c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>
        <v>0</v>
      </c>
    </row>
    <row r="69" spans="1:206" ht="13" x14ac:dyDescent="0.3">
      <c r="A69" s="5">
        <v>50</v>
      </c>
      <c r="B69" s="5">
        <v>0</v>
      </c>
      <c r="C69" s="5">
        <v>0</v>
      </c>
      <c r="D69" s="5">
        <v>1</v>
      </c>
      <c r="E69" s="5">
        <v>201</v>
      </c>
      <c r="F69" s="5">
        <f>ROUND(Source!O67,O69)</f>
        <v>0</v>
      </c>
      <c r="G69" s="5" t="s">
        <v>38</v>
      </c>
      <c r="H69" s="5" t="s">
        <v>39</v>
      </c>
      <c r="I69" s="5"/>
      <c r="J69" s="5"/>
      <c r="K69" s="5">
        <v>201</v>
      </c>
      <c r="L69" s="5">
        <v>1</v>
      </c>
      <c r="M69" s="5">
        <v>3</v>
      </c>
      <c r="N69" s="5" t="s">
        <v>3</v>
      </c>
      <c r="O69" s="5">
        <v>2</v>
      </c>
      <c r="P69" s="5">
        <f>ROUND(Source!DG67,O69)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06" ht="13" x14ac:dyDescent="0.3">
      <c r="A70" s="5">
        <v>50</v>
      </c>
      <c r="B70" s="5">
        <v>0</v>
      </c>
      <c r="C70" s="5">
        <v>0</v>
      </c>
      <c r="D70" s="5">
        <v>1</v>
      </c>
      <c r="E70" s="5">
        <v>202</v>
      </c>
      <c r="F70" s="5">
        <f>ROUND(Source!P67,O70)</f>
        <v>0</v>
      </c>
      <c r="G70" s="5" t="s">
        <v>40</v>
      </c>
      <c r="H70" s="5" t="s">
        <v>41</v>
      </c>
      <c r="I70" s="5"/>
      <c r="J70" s="5"/>
      <c r="K70" s="5">
        <v>202</v>
      </c>
      <c r="L70" s="5">
        <v>2</v>
      </c>
      <c r="M70" s="5">
        <v>3</v>
      </c>
      <c r="N70" s="5" t="s">
        <v>3</v>
      </c>
      <c r="O70" s="5">
        <v>2</v>
      </c>
      <c r="P70" s="5">
        <f>ROUND(Source!DH67,O70)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06" ht="13" x14ac:dyDescent="0.3">
      <c r="A71" s="5">
        <v>50</v>
      </c>
      <c r="B71" s="5">
        <v>0</v>
      </c>
      <c r="C71" s="5">
        <v>0</v>
      </c>
      <c r="D71" s="5">
        <v>1</v>
      </c>
      <c r="E71" s="5">
        <v>222</v>
      </c>
      <c r="F71" s="5">
        <f>ROUND(Source!AO67,O71)</f>
        <v>0</v>
      </c>
      <c r="G71" s="5" t="s">
        <v>42</v>
      </c>
      <c r="H71" s="5" t="s">
        <v>43</v>
      </c>
      <c r="I71" s="5"/>
      <c r="J71" s="5"/>
      <c r="K71" s="5">
        <v>222</v>
      </c>
      <c r="L71" s="5">
        <v>3</v>
      </c>
      <c r="M71" s="5">
        <v>3</v>
      </c>
      <c r="N71" s="5" t="s">
        <v>3</v>
      </c>
      <c r="O71" s="5">
        <v>2</v>
      </c>
      <c r="P71" s="5">
        <f>ROUND(Source!EG67,O71)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06" ht="13" x14ac:dyDescent="0.3">
      <c r="A72" s="5">
        <v>50</v>
      </c>
      <c r="B72" s="5">
        <v>0</v>
      </c>
      <c r="C72" s="5">
        <v>0</v>
      </c>
      <c r="D72" s="5">
        <v>1</v>
      </c>
      <c r="E72" s="5">
        <v>225</v>
      </c>
      <c r="F72" s="5">
        <f>ROUND(Source!AV67,O72)</f>
        <v>0</v>
      </c>
      <c r="G72" s="5" t="s">
        <v>44</v>
      </c>
      <c r="H72" s="5" t="s">
        <v>45</v>
      </c>
      <c r="I72" s="5"/>
      <c r="J72" s="5"/>
      <c r="K72" s="5">
        <v>225</v>
      </c>
      <c r="L72" s="5">
        <v>4</v>
      </c>
      <c r="M72" s="5">
        <v>3</v>
      </c>
      <c r="N72" s="5" t="s">
        <v>3</v>
      </c>
      <c r="O72" s="5">
        <v>2</v>
      </c>
      <c r="P72" s="5">
        <f>ROUND(Source!EN67,O72)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06" ht="13" x14ac:dyDescent="0.3">
      <c r="A73" s="5">
        <v>50</v>
      </c>
      <c r="B73" s="5">
        <v>0</v>
      </c>
      <c r="C73" s="5">
        <v>0</v>
      </c>
      <c r="D73" s="5">
        <v>1</v>
      </c>
      <c r="E73" s="5">
        <v>226</v>
      </c>
      <c r="F73" s="5">
        <f>ROUND(Source!AW67,O73)</f>
        <v>0</v>
      </c>
      <c r="G73" s="5" t="s">
        <v>46</v>
      </c>
      <c r="H73" s="5" t="s">
        <v>47</v>
      </c>
      <c r="I73" s="5"/>
      <c r="J73" s="5"/>
      <c r="K73" s="5">
        <v>226</v>
      </c>
      <c r="L73" s="5">
        <v>5</v>
      </c>
      <c r="M73" s="5">
        <v>3</v>
      </c>
      <c r="N73" s="5" t="s">
        <v>3</v>
      </c>
      <c r="O73" s="5">
        <v>2</v>
      </c>
      <c r="P73" s="5">
        <f>ROUND(Source!EO67,O73)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06" ht="13" x14ac:dyDescent="0.3">
      <c r="A74" s="5">
        <v>50</v>
      </c>
      <c r="B74" s="5">
        <v>0</v>
      </c>
      <c r="C74" s="5">
        <v>0</v>
      </c>
      <c r="D74" s="5">
        <v>1</v>
      </c>
      <c r="E74" s="5">
        <v>227</v>
      </c>
      <c r="F74" s="5">
        <f>ROUND(Source!AX67,O74)</f>
        <v>0</v>
      </c>
      <c r="G74" s="5" t="s">
        <v>48</v>
      </c>
      <c r="H74" s="5" t="s">
        <v>49</v>
      </c>
      <c r="I74" s="5"/>
      <c r="J74" s="5"/>
      <c r="K74" s="5">
        <v>227</v>
      </c>
      <c r="L74" s="5">
        <v>6</v>
      </c>
      <c r="M74" s="5">
        <v>3</v>
      </c>
      <c r="N74" s="5" t="s">
        <v>3</v>
      </c>
      <c r="O74" s="5">
        <v>2</v>
      </c>
      <c r="P74" s="5">
        <f>ROUND(Source!EP67,O74)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06" ht="13" x14ac:dyDescent="0.3">
      <c r="A75" s="5">
        <v>50</v>
      </c>
      <c r="B75" s="5">
        <v>0</v>
      </c>
      <c r="C75" s="5">
        <v>0</v>
      </c>
      <c r="D75" s="5">
        <v>1</v>
      </c>
      <c r="E75" s="5">
        <v>228</v>
      </c>
      <c r="F75" s="5">
        <f>ROUND(Source!AY67,O75)</f>
        <v>0</v>
      </c>
      <c r="G75" s="5" t="s">
        <v>50</v>
      </c>
      <c r="H75" s="5" t="s">
        <v>51</v>
      </c>
      <c r="I75" s="5"/>
      <c r="J75" s="5"/>
      <c r="K75" s="5">
        <v>228</v>
      </c>
      <c r="L75" s="5">
        <v>7</v>
      </c>
      <c r="M75" s="5">
        <v>3</v>
      </c>
      <c r="N75" s="5" t="s">
        <v>3</v>
      </c>
      <c r="O75" s="5">
        <v>2</v>
      </c>
      <c r="P75" s="5">
        <f>ROUND(Source!EQ67,O75)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06" ht="13" x14ac:dyDescent="0.3">
      <c r="A76" s="5">
        <v>50</v>
      </c>
      <c r="B76" s="5">
        <v>0</v>
      </c>
      <c r="C76" s="5">
        <v>0</v>
      </c>
      <c r="D76" s="5">
        <v>1</v>
      </c>
      <c r="E76" s="5">
        <v>216</v>
      </c>
      <c r="F76" s="5">
        <f>ROUND(Source!AP67,O76)</f>
        <v>0</v>
      </c>
      <c r="G76" s="5" t="s">
        <v>52</v>
      </c>
      <c r="H76" s="5" t="s">
        <v>53</v>
      </c>
      <c r="I76" s="5"/>
      <c r="J76" s="5"/>
      <c r="K76" s="5">
        <v>216</v>
      </c>
      <c r="L76" s="5">
        <v>8</v>
      </c>
      <c r="M76" s="5">
        <v>3</v>
      </c>
      <c r="N76" s="5" t="s">
        <v>3</v>
      </c>
      <c r="O76" s="5">
        <v>2</v>
      </c>
      <c r="P76" s="5">
        <f>ROUND(Source!EH67,O76)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06" ht="13" x14ac:dyDescent="0.3">
      <c r="A77" s="5">
        <v>50</v>
      </c>
      <c r="B77" s="5">
        <v>0</v>
      </c>
      <c r="C77" s="5">
        <v>0</v>
      </c>
      <c r="D77" s="5">
        <v>1</v>
      </c>
      <c r="E77" s="5">
        <v>223</v>
      </c>
      <c r="F77" s="5">
        <f>ROUND(Source!AQ67,O77)</f>
        <v>0</v>
      </c>
      <c r="G77" s="5" t="s">
        <v>54</v>
      </c>
      <c r="H77" s="5" t="s">
        <v>55</v>
      </c>
      <c r="I77" s="5"/>
      <c r="J77" s="5"/>
      <c r="K77" s="5">
        <v>223</v>
      </c>
      <c r="L77" s="5">
        <v>9</v>
      </c>
      <c r="M77" s="5">
        <v>3</v>
      </c>
      <c r="N77" s="5" t="s">
        <v>3</v>
      </c>
      <c r="O77" s="5">
        <v>2</v>
      </c>
      <c r="P77" s="5">
        <f>ROUND(Source!EI67,O77)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06" ht="13" x14ac:dyDescent="0.3">
      <c r="A78" s="5">
        <v>50</v>
      </c>
      <c r="B78" s="5">
        <v>0</v>
      </c>
      <c r="C78" s="5">
        <v>0</v>
      </c>
      <c r="D78" s="5">
        <v>1</v>
      </c>
      <c r="E78" s="5">
        <v>229</v>
      </c>
      <c r="F78" s="5">
        <f>ROUND(Source!AZ67,O78)</f>
        <v>0</v>
      </c>
      <c r="G78" s="5" t="s">
        <v>56</v>
      </c>
      <c r="H78" s="5" t="s">
        <v>57</v>
      </c>
      <c r="I78" s="5"/>
      <c r="J78" s="5"/>
      <c r="K78" s="5">
        <v>229</v>
      </c>
      <c r="L78" s="5">
        <v>10</v>
      </c>
      <c r="M78" s="5">
        <v>3</v>
      </c>
      <c r="N78" s="5" t="s">
        <v>3</v>
      </c>
      <c r="O78" s="5">
        <v>2</v>
      </c>
      <c r="P78" s="5">
        <f>ROUND(Source!ER67,O78)</f>
        <v>0</v>
      </c>
      <c r="Q78" s="5"/>
      <c r="R78" s="5"/>
      <c r="S78" s="5"/>
      <c r="T78" s="5"/>
      <c r="U78" s="5"/>
      <c r="V78" s="5"/>
      <c r="W78" s="5">
        <v>0</v>
      </c>
      <c r="X78" s="5">
        <v>1</v>
      </c>
      <c r="Y78" s="5">
        <v>0</v>
      </c>
      <c r="Z78" s="5">
        <v>0</v>
      </c>
      <c r="AA78" s="5">
        <v>1</v>
      </c>
      <c r="AB78" s="5">
        <v>0</v>
      </c>
    </row>
    <row r="79" spans="1:206" ht="13" x14ac:dyDescent="0.3">
      <c r="A79" s="5">
        <v>50</v>
      </c>
      <c r="B79" s="5">
        <v>0</v>
      </c>
      <c r="C79" s="5">
        <v>0</v>
      </c>
      <c r="D79" s="5">
        <v>1</v>
      </c>
      <c r="E79" s="5">
        <v>203</v>
      </c>
      <c r="F79" s="5">
        <f>ROUND(Source!Q67,O79)</f>
        <v>0</v>
      </c>
      <c r="G79" s="5" t="s">
        <v>58</v>
      </c>
      <c r="H79" s="5" t="s">
        <v>59</v>
      </c>
      <c r="I79" s="5"/>
      <c r="J79" s="5"/>
      <c r="K79" s="5">
        <v>203</v>
      </c>
      <c r="L79" s="5">
        <v>11</v>
      </c>
      <c r="M79" s="5">
        <v>3</v>
      </c>
      <c r="N79" s="5" t="s">
        <v>3</v>
      </c>
      <c r="O79" s="5">
        <v>2</v>
      </c>
      <c r="P79" s="5">
        <f>ROUND(Source!DI67,O79)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06" ht="13" x14ac:dyDescent="0.3">
      <c r="A80" s="5">
        <v>50</v>
      </c>
      <c r="B80" s="5">
        <v>0</v>
      </c>
      <c r="C80" s="5">
        <v>0</v>
      </c>
      <c r="D80" s="5">
        <v>1</v>
      </c>
      <c r="E80" s="5">
        <v>231</v>
      </c>
      <c r="F80" s="5">
        <f>ROUND(Source!BB67,O80)</f>
        <v>0</v>
      </c>
      <c r="G80" s="5" t="s">
        <v>60</v>
      </c>
      <c r="H80" s="5" t="s">
        <v>61</v>
      </c>
      <c r="I80" s="5"/>
      <c r="J80" s="5"/>
      <c r="K80" s="5">
        <v>231</v>
      </c>
      <c r="L80" s="5">
        <v>12</v>
      </c>
      <c r="M80" s="5">
        <v>3</v>
      </c>
      <c r="N80" s="5" t="s">
        <v>3</v>
      </c>
      <c r="O80" s="5">
        <v>2</v>
      </c>
      <c r="P80" s="5">
        <f>ROUND(Source!ET67,O80)</f>
        <v>0</v>
      </c>
      <c r="Q80" s="5"/>
      <c r="R80" s="5"/>
      <c r="S80" s="5"/>
      <c r="T80" s="5"/>
      <c r="U80" s="5"/>
      <c r="V80" s="5"/>
      <c r="W80" s="5">
        <v>0</v>
      </c>
      <c r="X80" s="5">
        <v>1</v>
      </c>
      <c r="Y80" s="5">
        <v>0</v>
      </c>
      <c r="Z80" s="5">
        <v>0</v>
      </c>
      <c r="AA80" s="5">
        <v>1</v>
      </c>
      <c r="AB80" s="5">
        <v>0</v>
      </c>
    </row>
    <row r="81" spans="1:28" ht="13" x14ac:dyDescent="0.3">
      <c r="A81" s="5">
        <v>50</v>
      </c>
      <c r="B81" s="5">
        <v>0</v>
      </c>
      <c r="C81" s="5">
        <v>0</v>
      </c>
      <c r="D81" s="5">
        <v>1</v>
      </c>
      <c r="E81" s="5">
        <v>204</v>
      </c>
      <c r="F81" s="5">
        <f>ROUND(Source!R67,O81)</f>
        <v>0</v>
      </c>
      <c r="G81" s="5" t="s">
        <v>62</v>
      </c>
      <c r="H81" s="5" t="s">
        <v>63</v>
      </c>
      <c r="I81" s="5"/>
      <c r="J81" s="5"/>
      <c r="K81" s="5">
        <v>204</v>
      </c>
      <c r="L81" s="5">
        <v>13</v>
      </c>
      <c r="M81" s="5">
        <v>3</v>
      </c>
      <c r="N81" s="5" t="s">
        <v>3</v>
      </c>
      <c r="O81" s="5">
        <v>2</v>
      </c>
      <c r="P81" s="5">
        <f>ROUND(Source!DJ67,O81)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8" ht="13" x14ac:dyDescent="0.3">
      <c r="A82" s="5">
        <v>50</v>
      </c>
      <c r="B82" s="5">
        <v>0</v>
      </c>
      <c r="C82" s="5">
        <v>0</v>
      </c>
      <c r="D82" s="5">
        <v>1</v>
      </c>
      <c r="E82" s="5">
        <v>205</v>
      </c>
      <c r="F82" s="5">
        <f>ROUND(Source!S67,O82)</f>
        <v>0</v>
      </c>
      <c r="G82" s="5" t="s">
        <v>64</v>
      </c>
      <c r="H82" s="5" t="s">
        <v>65</v>
      </c>
      <c r="I82" s="5"/>
      <c r="J82" s="5"/>
      <c r="K82" s="5">
        <v>205</v>
      </c>
      <c r="L82" s="5">
        <v>14</v>
      </c>
      <c r="M82" s="5">
        <v>3</v>
      </c>
      <c r="N82" s="5" t="s">
        <v>3</v>
      </c>
      <c r="O82" s="5">
        <v>2</v>
      </c>
      <c r="P82" s="5">
        <f>ROUND(Source!DK67,O82)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8" ht="13" x14ac:dyDescent="0.3">
      <c r="A83" s="5">
        <v>50</v>
      </c>
      <c r="B83" s="5">
        <v>0</v>
      </c>
      <c r="C83" s="5">
        <v>0</v>
      </c>
      <c r="D83" s="5">
        <v>1</v>
      </c>
      <c r="E83" s="5">
        <v>232</v>
      </c>
      <c r="F83" s="5">
        <f>ROUND(Source!BC67,O83)</f>
        <v>0</v>
      </c>
      <c r="G83" s="5" t="s">
        <v>66</v>
      </c>
      <c r="H83" s="5" t="s">
        <v>67</v>
      </c>
      <c r="I83" s="5"/>
      <c r="J83" s="5"/>
      <c r="K83" s="5">
        <v>232</v>
      </c>
      <c r="L83" s="5">
        <v>15</v>
      </c>
      <c r="M83" s="5">
        <v>3</v>
      </c>
      <c r="N83" s="5" t="s">
        <v>3</v>
      </c>
      <c r="O83" s="5">
        <v>2</v>
      </c>
      <c r="P83" s="5">
        <f>ROUND(Source!EU67,O83)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8" ht="13" x14ac:dyDescent="0.3">
      <c r="A84" s="5">
        <v>50</v>
      </c>
      <c r="B84" s="5">
        <v>0</v>
      </c>
      <c r="C84" s="5">
        <v>0</v>
      </c>
      <c r="D84" s="5">
        <v>1</v>
      </c>
      <c r="E84" s="5">
        <v>214</v>
      </c>
      <c r="F84" s="5">
        <f>ROUND(Source!AS67,O84)</f>
        <v>0</v>
      </c>
      <c r="G84" s="5" t="s">
        <v>68</v>
      </c>
      <c r="H84" s="5" t="s">
        <v>69</v>
      </c>
      <c r="I84" s="5"/>
      <c r="J84" s="5"/>
      <c r="K84" s="5">
        <v>214</v>
      </c>
      <c r="L84" s="5">
        <v>16</v>
      </c>
      <c r="M84" s="5">
        <v>3</v>
      </c>
      <c r="N84" s="5" t="s">
        <v>3</v>
      </c>
      <c r="O84" s="5">
        <v>2</v>
      </c>
      <c r="P84" s="5">
        <f>ROUND(Source!EK67,O84)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8" ht="13" x14ac:dyDescent="0.3">
      <c r="A85" s="5">
        <v>50</v>
      </c>
      <c r="B85" s="5">
        <v>0</v>
      </c>
      <c r="C85" s="5">
        <v>0</v>
      </c>
      <c r="D85" s="5">
        <v>1</v>
      </c>
      <c r="E85" s="5">
        <v>215</v>
      </c>
      <c r="F85" s="5">
        <f>ROUND(Source!AT67,O85)</f>
        <v>0</v>
      </c>
      <c r="G85" s="5" t="s">
        <v>70</v>
      </c>
      <c r="H85" s="5" t="s">
        <v>71</v>
      </c>
      <c r="I85" s="5"/>
      <c r="J85" s="5"/>
      <c r="K85" s="5">
        <v>215</v>
      </c>
      <c r="L85" s="5">
        <v>17</v>
      </c>
      <c r="M85" s="5">
        <v>3</v>
      </c>
      <c r="N85" s="5" t="s">
        <v>3</v>
      </c>
      <c r="O85" s="5">
        <v>2</v>
      </c>
      <c r="P85" s="5">
        <f>ROUND(Source!EL67,O85)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8" ht="13" x14ac:dyDescent="0.3">
      <c r="A86" s="5">
        <v>50</v>
      </c>
      <c r="B86" s="5">
        <v>0</v>
      </c>
      <c r="C86" s="5">
        <v>0</v>
      </c>
      <c r="D86" s="5">
        <v>1</v>
      </c>
      <c r="E86" s="5">
        <v>217</v>
      </c>
      <c r="F86" s="5">
        <f>ROUND(Source!AU67,O86)</f>
        <v>0</v>
      </c>
      <c r="G86" s="5" t="s">
        <v>72</v>
      </c>
      <c r="H86" s="5" t="s">
        <v>73</v>
      </c>
      <c r="I86" s="5"/>
      <c r="J86" s="5"/>
      <c r="K86" s="5">
        <v>217</v>
      </c>
      <c r="L86" s="5">
        <v>18</v>
      </c>
      <c r="M86" s="5">
        <v>3</v>
      </c>
      <c r="N86" s="5" t="s">
        <v>3</v>
      </c>
      <c r="O86" s="5">
        <v>2</v>
      </c>
      <c r="P86" s="5">
        <f>ROUND(Source!EM67,O86)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8" ht="13" x14ac:dyDescent="0.3">
      <c r="A87" s="5">
        <v>50</v>
      </c>
      <c r="B87" s="5">
        <v>0</v>
      </c>
      <c r="C87" s="5">
        <v>0</v>
      </c>
      <c r="D87" s="5">
        <v>1</v>
      </c>
      <c r="E87" s="5">
        <v>230</v>
      </c>
      <c r="F87" s="5">
        <f>ROUND(Source!BA67,O87)</f>
        <v>0</v>
      </c>
      <c r="G87" s="5" t="s">
        <v>74</v>
      </c>
      <c r="H87" s="5" t="s">
        <v>75</v>
      </c>
      <c r="I87" s="5"/>
      <c r="J87" s="5"/>
      <c r="K87" s="5">
        <v>230</v>
      </c>
      <c r="L87" s="5">
        <v>19</v>
      </c>
      <c r="M87" s="5">
        <v>3</v>
      </c>
      <c r="N87" s="5" t="s">
        <v>3</v>
      </c>
      <c r="O87" s="5">
        <v>2</v>
      </c>
      <c r="P87" s="5">
        <f>ROUND(Source!ES67,O87)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8" ht="13" x14ac:dyDescent="0.3">
      <c r="A88" s="5">
        <v>50</v>
      </c>
      <c r="B88" s="5">
        <v>0</v>
      </c>
      <c r="C88" s="5">
        <v>0</v>
      </c>
      <c r="D88" s="5">
        <v>1</v>
      </c>
      <c r="E88" s="5">
        <v>206</v>
      </c>
      <c r="F88" s="5">
        <f>ROUND(Source!T67,O88)</f>
        <v>86069.65</v>
      </c>
      <c r="G88" s="5" t="s">
        <v>76</v>
      </c>
      <c r="H88" s="5" t="s">
        <v>77</v>
      </c>
      <c r="I88" s="5"/>
      <c r="J88" s="5"/>
      <c r="K88" s="5">
        <v>206</v>
      </c>
      <c r="L88" s="5">
        <v>20</v>
      </c>
      <c r="M88" s="5">
        <v>3</v>
      </c>
      <c r="N88" s="5" t="s">
        <v>3</v>
      </c>
      <c r="O88" s="5">
        <v>2</v>
      </c>
      <c r="P88" s="5">
        <f>ROUND(Source!DL67,O88)</f>
        <v>733435.55</v>
      </c>
      <c r="Q88" s="5"/>
      <c r="R88" s="5"/>
      <c r="S88" s="5"/>
      <c r="T88" s="5"/>
      <c r="U88" s="5"/>
      <c r="V88" s="5"/>
      <c r="W88" s="5">
        <v>86069.65</v>
      </c>
      <c r="X88" s="5">
        <v>1</v>
      </c>
      <c r="Y88" s="5">
        <v>86069.65</v>
      </c>
      <c r="Z88" s="5">
        <v>733435.55</v>
      </c>
      <c r="AA88" s="5">
        <v>1</v>
      </c>
      <c r="AB88" s="5">
        <v>733435.55</v>
      </c>
    </row>
    <row r="89" spans="1:28" ht="13" x14ac:dyDescent="0.3">
      <c r="A89" s="5">
        <v>50</v>
      </c>
      <c r="B89" s="5">
        <v>0</v>
      </c>
      <c r="C89" s="5">
        <v>0</v>
      </c>
      <c r="D89" s="5">
        <v>1</v>
      </c>
      <c r="E89" s="5">
        <v>207</v>
      </c>
      <c r="F89" s="5">
        <f>Source!U67</f>
        <v>0</v>
      </c>
      <c r="G89" s="5" t="s">
        <v>78</v>
      </c>
      <c r="H89" s="5" t="s">
        <v>79</v>
      </c>
      <c r="I89" s="5"/>
      <c r="J89" s="5"/>
      <c r="K89" s="5">
        <v>207</v>
      </c>
      <c r="L89" s="5">
        <v>21</v>
      </c>
      <c r="M89" s="5">
        <v>3</v>
      </c>
      <c r="N89" s="5" t="s">
        <v>3</v>
      </c>
      <c r="O89" s="5">
        <v>-1</v>
      </c>
      <c r="P89" s="5">
        <f>Source!DM67</f>
        <v>0</v>
      </c>
      <c r="Q89" s="5"/>
      <c r="R89" s="5"/>
      <c r="S89" s="5"/>
      <c r="T89" s="5"/>
      <c r="U89" s="5"/>
      <c r="V89" s="5"/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</row>
    <row r="90" spans="1:28" ht="13" x14ac:dyDescent="0.3">
      <c r="A90" s="5">
        <v>50</v>
      </c>
      <c r="B90" s="5">
        <v>0</v>
      </c>
      <c r="C90" s="5">
        <v>0</v>
      </c>
      <c r="D90" s="5">
        <v>1</v>
      </c>
      <c r="E90" s="5">
        <v>208</v>
      </c>
      <c r="F90" s="5">
        <f>Source!V67</f>
        <v>0</v>
      </c>
      <c r="G90" s="5" t="s">
        <v>80</v>
      </c>
      <c r="H90" s="5" t="s">
        <v>81</v>
      </c>
      <c r="I90" s="5"/>
      <c r="J90" s="5"/>
      <c r="K90" s="5">
        <v>208</v>
      </c>
      <c r="L90" s="5">
        <v>22</v>
      </c>
      <c r="M90" s="5">
        <v>3</v>
      </c>
      <c r="N90" s="5" t="s">
        <v>3</v>
      </c>
      <c r="O90" s="5">
        <v>-1</v>
      </c>
      <c r="P90" s="5">
        <f>Source!DN67</f>
        <v>0</v>
      </c>
      <c r="Q90" s="5"/>
      <c r="R90" s="5"/>
      <c r="S90" s="5"/>
      <c r="T90" s="5"/>
      <c r="U90" s="5"/>
      <c r="V90" s="5"/>
      <c r="W90" s="5">
        <v>0</v>
      </c>
      <c r="X90" s="5">
        <v>1</v>
      </c>
      <c r="Y90" s="5">
        <v>0</v>
      </c>
      <c r="Z90" s="5">
        <v>0</v>
      </c>
      <c r="AA90" s="5">
        <v>1</v>
      </c>
      <c r="AB90" s="5">
        <v>0</v>
      </c>
    </row>
    <row r="91" spans="1:28" ht="13" x14ac:dyDescent="0.3">
      <c r="A91" s="5">
        <v>50</v>
      </c>
      <c r="B91" s="5">
        <v>0</v>
      </c>
      <c r="C91" s="5">
        <v>0</v>
      </c>
      <c r="D91" s="5">
        <v>1</v>
      </c>
      <c r="E91" s="5">
        <v>209</v>
      </c>
      <c r="F91" s="5">
        <f>ROUND(Source!W67,O91)</f>
        <v>0</v>
      </c>
      <c r="G91" s="5" t="s">
        <v>82</v>
      </c>
      <c r="H91" s="5" t="s">
        <v>83</v>
      </c>
      <c r="I91" s="5"/>
      <c r="J91" s="5"/>
      <c r="K91" s="5">
        <v>209</v>
      </c>
      <c r="L91" s="5">
        <v>23</v>
      </c>
      <c r="M91" s="5">
        <v>3</v>
      </c>
      <c r="N91" s="5" t="s">
        <v>3</v>
      </c>
      <c r="O91" s="5">
        <v>2</v>
      </c>
      <c r="P91" s="5">
        <f>ROUND(Source!DO67,O91)</f>
        <v>0</v>
      </c>
      <c r="Q91" s="5"/>
      <c r="R91" s="5"/>
      <c r="S91" s="5"/>
      <c r="T91" s="5"/>
      <c r="U91" s="5"/>
      <c r="V91" s="5"/>
      <c r="W91" s="5">
        <v>0</v>
      </c>
      <c r="X91" s="5">
        <v>1</v>
      </c>
      <c r="Y91" s="5">
        <v>0</v>
      </c>
      <c r="Z91" s="5">
        <v>0</v>
      </c>
      <c r="AA91" s="5">
        <v>1</v>
      </c>
      <c r="AB91" s="5">
        <v>0</v>
      </c>
    </row>
    <row r="92" spans="1:28" ht="13" x14ac:dyDescent="0.3">
      <c r="A92" s="5">
        <v>50</v>
      </c>
      <c r="B92" s="5">
        <v>0</v>
      </c>
      <c r="C92" s="5">
        <v>0</v>
      </c>
      <c r="D92" s="5">
        <v>1</v>
      </c>
      <c r="E92" s="5">
        <v>233</v>
      </c>
      <c r="F92" s="5">
        <f>ROUND(Source!BD67,O92)</f>
        <v>0</v>
      </c>
      <c r="G92" s="5" t="s">
        <v>84</v>
      </c>
      <c r="H92" s="5" t="s">
        <v>85</v>
      </c>
      <c r="I92" s="5"/>
      <c r="J92" s="5"/>
      <c r="K92" s="5">
        <v>233</v>
      </c>
      <c r="L92" s="5">
        <v>24</v>
      </c>
      <c r="M92" s="5">
        <v>3</v>
      </c>
      <c r="N92" s="5" t="s">
        <v>3</v>
      </c>
      <c r="O92" s="5">
        <v>2</v>
      </c>
      <c r="P92" s="5">
        <f>ROUND(Source!EV67,O92)</f>
        <v>0</v>
      </c>
      <c r="Q92" s="5"/>
      <c r="R92" s="5"/>
      <c r="S92" s="5"/>
      <c r="T92" s="5"/>
      <c r="U92" s="5"/>
      <c r="V92" s="5"/>
      <c r="W92" s="5">
        <v>0</v>
      </c>
      <c r="X92" s="5">
        <v>1</v>
      </c>
      <c r="Y92" s="5">
        <v>0</v>
      </c>
      <c r="Z92" s="5">
        <v>0</v>
      </c>
      <c r="AA92" s="5">
        <v>1</v>
      </c>
      <c r="AB92" s="5">
        <v>0</v>
      </c>
    </row>
    <row r="93" spans="1:28" ht="13" x14ac:dyDescent="0.3">
      <c r="A93" s="5">
        <v>50</v>
      </c>
      <c r="B93" s="5">
        <v>0</v>
      </c>
      <c r="C93" s="5">
        <v>0</v>
      </c>
      <c r="D93" s="5">
        <v>1</v>
      </c>
      <c r="E93" s="5">
        <v>210</v>
      </c>
      <c r="F93" s="5">
        <f>ROUND(Source!X67,O93)</f>
        <v>0</v>
      </c>
      <c r="G93" s="5" t="s">
        <v>86</v>
      </c>
      <c r="H93" s="5" t="s">
        <v>87</v>
      </c>
      <c r="I93" s="5"/>
      <c r="J93" s="5"/>
      <c r="K93" s="5">
        <v>210</v>
      </c>
      <c r="L93" s="5">
        <v>25</v>
      </c>
      <c r="M93" s="5">
        <v>3</v>
      </c>
      <c r="N93" s="5" t="s">
        <v>3</v>
      </c>
      <c r="O93" s="5">
        <v>2</v>
      </c>
      <c r="P93" s="5">
        <f>ROUND(Source!DP67,O93)</f>
        <v>0</v>
      </c>
      <c r="Q93" s="5"/>
      <c r="R93" s="5"/>
      <c r="S93" s="5"/>
      <c r="T93" s="5"/>
      <c r="U93" s="5"/>
      <c r="V93" s="5"/>
      <c r="W93" s="5">
        <v>0</v>
      </c>
      <c r="X93" s="5">
        <v>1</v>
      </c>
      <c r="Y93" s="5">
        <v>0</v>
      </c>
      <c r="Z93" s="5">
        <v>0</v>
      </c>
      <c r="AA93" s="5">
        <v>1</v>
      </c>
      <c r="AB93" s="5">
        <v>0</v>
      </c>
    </row>
    <row r="94" spans="1:28" ht="13" x14ac:dyDescent="0.3">
      <c r="A94" s="5">
        <v>50</v>
      </c>
      <c r="B94" s="5">
        <v>0</v>
      </c>
      <c r="C94" s="5">
        <v>0</v>
      </c>
      <c r="D94" s="5">
        <v>1</v>
      </c>
      <c r="E94" s="5">
        <v>211</v>
      </c>
      <c r="F94" s="5">
        <f>ROUND(Source!Y67,O94)</f>
        <v>0</v>
      </c>
      <c r="G94" s="5" t="s">
        <v>88</v>
      </c>
      <c r="H94" s="5" t="s">
        <v>89</v>
      </c>
      <c r="I94" s="5"/>
      <c r="J94" s="5"/>
      <c r="K94" s="5">
        <v>211</v>
      </c>
      <c r="L94" s="5">
        <v>26</v>
      </c>
      <c r="M94" s="5">
        <v>3</v>
      </c>
      <c r="N94" s="5" t="s">
        <v>3</v>
      </c>
      <c r="O94" s="5">
        <v>2</v>
      </c>
      <c r="P94" s="5">
        <f>ROUND(Source!DQ67,O94)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8" ht="13" x14ac:dyDescent="0.3">
      <c r="A95" s="5">
        <v>50</v>
      </c>
      <c r="B95" s="5">
        <v>0</v>
      </c>
      <c r="C95" s="5">
        <v>0</v>
      </c>
      <c r="D95" s="5">
        <v>1</v>
      </c>
      <c r="E95" s="5">
        <v>224</v>
      </c>
      <c r="F95" s="5">
        <f>ROUND(Source!AR67,O95)</f>
        <v>0</v>
      </c>
      <c r="G95" s="5" t="s">
        <v>90</v>
      </c>
      <c r="H95" s="5" t="s">
        <v>91</v>
      </c>
      <c r="I95" s="5"/>
      <c r="J95" s="5"/>
      <c r="K95" s="5">
        <v>224</v>
      </c>
      <c r="L95" s="5">
        <v>27</v>
      </c>
      <c r="M95" s="5">
        <v>3</v>
      </c>
      <c r="N95" s="5" t="s">
        <v>3</v>
      </c>
      <c r="O95" s="5">
        <v>2</v>
      </c>
      <c r="P95" s="5">
        <f>ROUND(Source!EJ67,O95)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7" spans="1:206" ht="13" x14ac:dyDescent="0.3">
      <c r="A97" s="3">
        <v>51</v>
      </c>
      <c r="B97" s="3">
        <f>B12</f>
        <v>137</v>
      </c>
      <c r="C97" s="3">
        <f>A12</f>
        <v>1</v>
      </c>
      <c r="D97" s="3">
        <f>ROW(A12)</f>
        <v>12</v>
      </c>
      <c r="E97" s="3"/>
      <c r="F97" s="3" t="str">
        <f>IF(F12&lt;&gt;"",F12,"")</f>
        <v>б/н</v>
      </c>
      <c r="G97" s="3" t="str">
        <f>IF(G12&lt;&gt;"",G12,"")</f>
        <v>б/н Возвратные средства</v>
      </c>
      <c r="H97" s="3">
        <v>0</v>
      </c>
      <c r="I97" s="3"/>
      <c r="J97" s="3"/>
      <c r="K97" s="3"/>
      <c r="L97" s="3"/>
      <c r="M97" s="3"/>
      <c r="N97" s="3"/>
      <c r="O97" s="3">
        <f t="shared" ref="O97:T97" si="52">ROUND(O67,2)</f>
        <v>0</v>
      </c>
      <c r="P97" s="3">
        <f t="shared" si="52"/>
        <v>0</v>
      </c>
      <c r="Q97" s="3">
        <f t="shared" si="52"/>
        <v>0</v>
      </c>
      <c r="R97" s="3">
        <f t="shared" si="52"/>
        <v>0</v>
      </c>
      <c r="S97" s="3">
        <f t="shared" si="52"/>
        <v>0</v>
      </c>
      <c r="T97" s="3">
        <f t="shared" si="52"/>
        <v>86069.65</v>
      </c>
      <c r="U97" s="3">
        <f>U67</f>
        <v>0</v>
      </c>
      <c r="V97" s="3">
        <f>V67</f>
        <v>0</v>
      </c>
      <c r="W97" s="3">
        <f>ROUND(W67,2)</f>
        <v>0</v>
      </c>
      <c r="X97" s="3">
        <f>ROUND(X67,2)</f>
        <v>0</v>
      </c>
      <c r="Y97" s="3">
        <f>ROUND(Y67,2)</f>
        <v>0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f t="shared" ref="AO97:BD97" si="53">ROUND(AO67,2)</f>
        <v>0</v>
      </c>
      <c r="AP97" s="3">
        <f t="shared" si="53"/>
        <v>0</v>
      </c>
      <c r="AQ97" s="3">
        <f t="shared" si="53"/>
        <v>0</v>
      </c>
      <c r="AR97" s="3">
        <f t="shared" si="53"/>
        <v>0</v>
      </c>
      <c r="AS97" s="3">
        <f t="shared" si="53"/>
        <v>0</v>
      </c>
      <c r="AT97" s="3">
        <f t="shared" si="53"/>
        <v>0</v>
      </c>
      <c r="AU97" s="3">
        <f t="shared" si="53"/>
        <v>0</v>
      </c>
      <c r="AV97" s="3">
        <f t="shared" si="53"/>
        <v>0</v>
      </c>
      <c r="AW97" s="3">
        <f t="shared" si="53"/>
        <v>0</v>
      </c>
      <c r="AX97" s="3">
        <f t="shared" si="53"/>
        <v>0</v>
      </c>
      <c r="AY97" s="3">
        <f t="shared" si="53"/>
        <v>0</v>
      </c>
      <c r="AZ97" s="3">
        <f t="shared" si="53"/>
        <v>0</v>
      </c>
      <c r="BA97" s="3">
        <f t="shared" si="53"/>
        <v>0</v>
      </c>
      <c r="BB97" s="3">
        <f t="shared" si="53"/>
        <v>0</v>
      </c>
      <c r="BC97" s="3">
        <f t="shared" si="53"/>
        <v>0</v>
      </c>
      <c r="BD97" s="3">
        <f t="shared" si="53"/>
        <v>0</v>
      </c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4">
        <f t="shared" ref="DG97:DL97" si="54">ROUND(DG67,2)</f>
        <v>0</v>
      </c>
      <c r="DH97" s="4">
        <f t="shared" si="54"/>
        <v>0</v>
      </c>
      <c r="DI97" s="4">
        <f t="shared" si="54"/>
        <v>0</v>
      </c>
      <c r="DJ97" s="4">
        <f t="shared" si="54"/>
        <v>0</v>
      </c>
      <c r="DK97" s="4">
        <f t="shared" si="54"/>
        <v>0</v>
      </c>
      <c r="DL97" s="4">
        <f t="shared" si="54"/>
        <v>733435.55</v>
      </c>
      <c r="DM97" s="4">
        <f>DM67</f>
        <v>0</v>
      </c>
      <c r="DN97" s="4">
        <f>DN67</f>
        <v>0</v>
      </c>
      <c r="DO97" s="4">
        <f>ROUND(DO67,2)</f>
        <v>0</v>
      </c>
      <c r="DP97" s="4">
        <f>ROUND(DP67,2)</f>
        <v>0</v>
      </c>
      <c r="DQ97" s="4">
        <f>ROUND(DQ67,2)</f>
        <v>0</v>
      </c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>
        <f t="shared" ref="EG97:EV97" si="55">ROUND(EG67,2)</f>
        <v>0</v>
      </c>
      <c r="EH97" s="4">
        <f t="shared" si="55"/>
        <v>0</v>
      </c>
      <c r="EI97" s="4">
        <f t="shared" si="55"/>
        <v>0</v>
      </c>
      <c r="EJ97" s="4">
        <f t="shared" si="55"/>
        <v>0</v>
      </c>
      <c r="EK97" s="4">
        <f t="shared" si="55"/>
        <v>0</v>
      </c>
      <c r="EL97" s="4">
        <f t="shared" si="55"/>
        <v>0</v>
      </c>
      <c r="EM97" s="4">
        <f t="shared" si="55"/>
        <v>0</v>
      </c>
      <c r="EN97" s="4">
        <f t="shared" si="55"/>
        <v>0</v>
      </c>
      <c r="EO97" s="4">
        <f t="shared" si="55"/>
        <v>0</v>
      </c>
      <c r="EP97" s="4">
        <f t="shared" si="55"/>
        <v>0</v>
      </c>
      <c r="EQ97" s="4">
        <f t="shared" si="55"/>
        <v>0</v>
      </c>
      <c r="ER97" s="4">
        <f t="shared" si="55"/>
        <v>0</v>
      </c>
      <c r="ES97" s="4">
        <f t="shared" si="55"/>
        <v>0</v>
      </c>
      <c r="ET97" s="4">
        <f t="shared" si="55"/>
        <v>0</v>
      </c>
      <c r="EU97" s="4">
        <f t="shared" si="55"/>
        <v>0</v>
      </c>
      <c r="EV97" s="4">
        <f t="shared" si="55"/>
        <v>0</v>
      </c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>
        <v>0</v>
      </c>
    </row>
    <row r="99" spans="1:206" ht="13" x14ac:dyDescent="0.3">
      <c r="A99" s="5">
        <v>50</v>
      </c>
      <c r="B99" s="5">
        <v>0</v>
      </c>
      <c r="C99" s="5">
        <v>0</v>
      </c>
      <c r="D99" s="5">
        <v>1</v>
      </c>
      <c r="E99" s="5">
        <v>201</v>
      </c>
      <c r="F99" s="5">
        <f>ROUND(Source!O97,O99)</f>
        <v>0</v>
      </c>
      <c r="G99" s="5" t="s">
        <v>38</v>
      </c>
      <c r="H99" s="5" t="s">
        <v>39</v>
      </c>
      <c r="I99" s="5"/>
      <c r="J99" s="5"/>
      <c r="K99" s="5">
        <v>201</v>
      </c>
      <c r="L99" s="5">
        <v>1</v>
      </c>
      <c r="M99" s="5">
        <v>3</v>
      </c>
      <c r="N99" s="5" t="s">
        <v>3</v>
      </c>
      <c r="O99" s="5">
        <v>2</v>
      </c>
      <c r="P99" s="5">
        <f>ROUND(Source!DG97,O99)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06" ht="13" x14ac:dyDescent="0.3">
      <c r="A100" s="5">
        <v>50</v>
      </c>
      <c r="B100" s="5">
        <v>0</v>
      </c>
      <c r="C100" s="5">
        <v>0</v>
      </c>
      <c r="D100" s="5">
        <v>1</v>
      </c>
      <c r="E100" s="5">
        <v>202</v>
      </c>
      <c r="F100" s="5">
        <f>ROUND(Source!P97,O100)</f>
        <v>0</v>
      </c>
      <c r="G100" s="5" t="s">
        <v>40</v>
      </c>
      <c r="H100" s="5" t="s">
        <v>41</v>
      </c>
      <c r="I100" s="5"/>
      <c r="J100" s="5"/>
      <c r="K100" s="5">
        <v>202</v>
      </c>
      <c r="L100" s="5">
        <v>2</v>
      </c>
      <c r="M100" s="5">
        <v>3</v>
      </c>
      <c r="N100" s="5" t="s">
        <v>3</v>
      </c>
      <c r="O100" s="5">
        <v>2</v>
      </c>
      <c r="P100" s="5">
        <f>ROUND(Source!DH97,O100)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06" ht="13" x14ac:dyDescent="0.3">
      <c r="A101" s="5">
        <v>50</v>
      </c>
      <c r="B101" s="5">
        <v>0</v>
      </c>
      <c r="C101" s="5">
        <v>0</v>
      </c>
      <c r="D101" s="5">
        <v>1</v>
      </c>
      <c r="E101" s="5">
        <v>222</v>
      </c>
      <c r="F101" s="5">
        <f>ROUND(Source!AO97,O101)</f>
        <v>0</v>
      </c>
      <c r="G101" s="5" t="s">
        <v>42</v>
      </c>
      <c r="H101" s="5" t="s">
        <v>43</v>
      </c>
      <c r="I101" s="5"/>
      <c r="J101" s="5"/>
      <c r="K101" s="5">
        <v>222</v>
      </c>
      <c r="L101" s="5">
        <v>3</v>
      </c>
      <c r="M101" s="5">
        <v>3</v>
      </c>
      <c r="N101" s="5" t="s">
        <v>3</v>
      </c>
      <c r="O101" s="5">
        <v>2</v>
      </c>
      <c r="P101" s="5">
        <f>ROUND(Source!EG97,O101)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06" ht="13" x14ac:dyDescent="0.3">
      <c r="A102" s="5">
        <v>50</v>
      </c>
      <c r="B102" s="5">
        <v>0</v>
      </c>
      <c r="C102" s="5">
        <v>0</v>
      </c>
      <c r="D102" s="5">
        <v>1</v>
      </c>
      <c r="E102" s="5">
        <v>225</v>
      </c>
      <c r="F102" s="5">
        <f>ROUND(Source!AV97,O102)</f>
        <v>0</v>
      </c>
      <c r="G102" s="5" t="s">
        <v>44</v>
      </c>
      <c r="H102" s="5" t="s">
        <v>45</v>
      </c>
      <c r="I102" s="5"/>
      <c r="J102" s="5"/>
      <c r="K102" s="5">
        <v>225</v>
      </c>
      <c r="L102" s="5">
        <v>4</v>
      </c>
      <c r="M102" s="5">
        <v>3</v>
      </c>
      <c r="N102" s="5" t="s">
        <v>3</v>
      </c>
      <c r="O102" s="5">
        <v>2</v>
      </c>
      <c r="P102" s="5">
        <f>ROUND(Source!EN97,O102)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06" ht="13" x14ac:dyDescent="0.3">
      <c r="A103" s="5">
        <v>50</v>
      </c>
      <c r="B103" s="5">
        <v>0</v>
      </c>
      <c r="C103" s="5">
        <v>0</v>
      </c>
      <c r="D103" s="5">
        <v>1</v>
      </c>
      <c r="E103" s="5">
        <v>226</v>
      </c>
      <c r="F103" s="5">
        <f>ROUND(Source!AW97,O103)</f>
        <v>0</v>
      </c>
      <c r="G103" s="5" t="s">
        <v>46</v>
      </c>
      <c r="H103" s="5" t="s">
        <v>47</v>
      </c>
      <c r="I103" s="5"/>
      <c r="J103" s="5"/>
      <c r="K103" s="5">
        <v>226</v>
      </c>
      <c r="L103" s="5">
        <v>5</v>
      </c>
      <c r="M103" s="5">
        <v>3</v>
      </c>
      <c r="N103" s="5" t="s">
        <v>3</v>
      </c>
      <c r="O103" s="5">
        <v>2</v>
      </c>
      <c r="P103" s="5">
        <f>ROUND(Source!EO97,O103)</f>
        <v>0</v>
      </c>
      <c r="Q103" s="5"/>
      <c r="R103" s="5"/>
      <c r="S103" s="5"/>
      <c r="T103" s="5"/>
      <c r="U103" s="5"/>
      <c r="V103" s="5"/>
      <c r="W103" s="5">
        <v>0</v>
      </c>
      <c r="X103" s="5">
        <v>1</v>
      </c>
      <c r="Y103" s="5">
        <v>0</v>
      </c>
      <c r="Z103" s="5">
        <v>0</v>
      </c>
      <c r="AA103" s="5">
        <v>1</v>
      </c>
      <c r="AB103" s="5">
        <v>0</v>
      </c>
    </row>
    <row r="104" spans="1:206" ht="13" x14ac:dyDescent="0.3">
      <c r="A104" s="5">
        <v>50</v>
      </c>
      <c r="B104" s="5">
        <v>0</v>
      </c>
      <c r="C104" s="5">
        <v>0</v>
      </c>
      <c r="D104" s="5">
        <v>1</v>
      </c>
      <c r="E104" s="5">
        <v>227</v>
      </c>
      <c r="F104" s="5">
        <f>ROUND(Source!AX97,O104)</f>
        <v>0</v>
      </c>
      <c r="G104" s="5" t="s">
        <v>48</v>
      </c>
      <c r="H104" s="5" t="s">
        <v>49</v>
      </c>
      <c r="I104" s="5"/>
      <c r="J104" s="5"/>
      <c r="K104" s="5">
        <v>227</v>
      </c>
      <c r="L104" s="5">
        <v>6</v>
      </c>
      <c r="M104" s="5">
        <v>3</v>
      </c>
      <c r="N104" s="5" t="s">
        <v>3</v>
      </c>
      <c r="O104" s="5">
        <v>2</v>
      </c>
      <c r="P104" s="5">
        <f>ROUND(Source!EP97,O104)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06" ht="13" x14ac:dyDescent="0.3">
      <c r="A105" s="5">
        <v>50</v>
      </c>
      <c r="B105" s="5">
        <v>0</v>
      </c>
      <c r="C105" s="5">
        <v>0</v>
      </c>
      <c r="D105" s="5">
        <v>1</v>
      </c>
      <c r="E105" s="5">
        <v>228</v>
      </c>
      <c r="F105" s="5">
        <f>ROUND(Source!AY97,O105)</f>
        <v>0</v>
      </c>
      <c r="G105" s="5" t="s">
        <v>50</v>
      </c>
      <c r="H105" s="5" t="s">
        <v>51</v>
      </c>
      <c r="I105" s="5"/>
      <c r="J105" s="5"/>
      <c r="K105" s="5">
        <v>228</v>
      </c>
      <c r="L105" s="5">
        <v>7</v>
      </c>
      <c r="M105" s="5">
        <v>3</v>
      </c>
      <c r="N105" s="5" t="s">
        <v>3</v>
      </c>
      <c r="O105" s="5">
        <v>2</v>
      </c>
      <c r="P105" s="5">
        <f>ROUND(Source!EQ97,O105)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06" ht="13" x14ac:dyDescent="0.3">
      <c r="A106" s="5">
        <v>50</v>
      </c>
      <c r="B106" s="5">
        <v>0</v>
      </c>
      <c r="C106" s="5">
        <v>0</v>
      </c>
      <c r="D106" s="5">
        <v>1</v>
      </c>
      <c r="E106" s="5">
        <v>216</v>
      </c>
      <c r="F106" s="5">
        <f>ROUND(Source!AP97,O106)</f>
        <v>0</v>
      </c>
      <c r="G106" s="5" t="s">
        <v>52</v>
      </c>
      <c r="H106" s="5" t="s">
        <v>53</v>
      </c>
      <c r="I106" s="5"/>
      <c r="J106" s="5"/>
      <c r="K106" s="5">
        <v>216</v>
      </c>
      <c r="L106" s="5">
        <v>8</v>
      </c>
      <c r="M106" s="5">
        <v>3</v>
      </c>
      <c r="N106" s="5" t="s">
        <v>3</v>
      </c>
      <c r="O106" s="5">
        <v>2</v>
      </c>
      <c r="P106" s="5">
        <f>ROUND(Source!EH97,O106)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06" ht="13" x14ac:dyDescent="0.3">
      <c r="A107" s="5">
        <v>50</v>
      </c>
      <c r="B107" s="5">
        <v>0</v>
      </c>
      <c r="C107" s="5">
        <v>0</v>
      </c>
      <c r="D107" s="5">
        <v>1</v>
      </c>
      <c r="E107" s="5">
        <v>223</v>
      </c>
      <c r="F107" s="5">
        <f>ROUND(Source!AQ97,O107)</f>
        <v>0</v>
      </c>
      <c r="G107" s="5" t="s">
        <v>54</v>
      </c>
      <c r="H107" s="5" t="s">
        <v>55</v>
      </c>
      <c r="I107" s="5"/>
      <c r="J107" s="5"/>
      <c r="K107" s="5">
        <v>223</v>
      </c>
      <c r="L107" s="5">
        <v>9</v>
      </c>
      <c r="M107" s="5">
        <v>3</v>
      </c>
      <c r="N107" s="5" t="s">
        <v>3</v>
      </c>
      <c r="O107" s="5">
        <v>2</v>
      </c>
      <c r="P107" s="5">
        <f>ROUND(Source!EI97,O107)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06" ht="13" x14ac:dyDescent="0.3">
      <c r="A108" s="5">
        <v>50</v>
      </c>
      <c r="B108" s="5">
        <v>0</v>
      </c>
      <c r="C108" s="5">
        <v>0</v>
      </c>
      <c r="D108" s="5">
        <v>1</v>
      </c>
      <c r="E108" s="5">
        <v>229</v>
      </c>
      <c r="F108" s="5">
        <f>ROUND(Source!AZ97,O108)</f>
        <v>0</v>
      </c>
      <c r="G108" s="5" t="s">
        <v>56</v>
      </c>
      <c r="H108" s="5" t="s">
        <v>57</v>
      </c>
      <c r="I108" s="5"/>
      <c r="J108" s="5"/>
      <c r="K108" s="5">
        <v>229</v>
      </c>
      <c r="L108" s="5">
        <v>10</v>
      </c>
      <c r="M108" s="5">
        <v>3</v>
      </c>
      <c r="N108" s="5" t="s">
        <v>3</v>
      </c>
      <c r="O108" s="5">
        <v>2</v>
      </c>
      <c r="P108" s="5">
        <f>ROUND(Source!ER97,O108)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06" ht="13" x14ac:dyDescent="0.3">
      <c r="A109" s="5">
        <v>50</v>
      </c>
      <c r="B109" s="5">
        <v>0</v>
      </c>
      <c r="C109" s="5">
        <v>0</v>
      </c>
      <c r="D109" s="5">
        <v>1</v>
      </c>
      <c r="E109" s="5">
        <v>203</v>
      </c>
      <c r="F109" s="5">
        <f>ROUND(Source!Q97,O109)</f>
        <v>0</v>
      </c>
      <c r="G109" s="5" t="s">
        <v>58</v>
      </c>
      <c r="H109" s="5" t="s">
        <v>59</v>
      </c>
      <c r="I109" s="5"/>
      <c r="J109" s="5"/>
      <c r="K109" s="5">
        <v>203</v>
      </c>
      <c r="L109" s="5">
        <v>11</v>
      </c>
      <c r="M109" s="5">
        <v>3</v>
      </c>
      <c r="N109" s="5" t="s">
        <v>3</v>
      </c>
      <c r="O109" s="5">
        <v>2</v>
      </c>
      <c r="P109" s="5">
        <f>ROUND(Source!DI97,O109)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06" ht="13" x14ac:dyDescent="0.3">
      <c r="A110" s="5">
        <v>50</v>
      </c>
      <c r="B110" s="5">
        <v>0</v>
      </c>
      <c r="C110" s="5">
        <v>0</v>
      </c>
      <c r="D110" s="5">
        <v>1</v>
      </c>
      <c r="E110" s="5">
        <v>231</v>
      </c>
      <c r="F110" s="5">
        <f>ROUND(Source!BB97,O110)</f>
        <v>0</v>
      </c>
      <c r="G110" s="5" t="s">
        <v>60</v>
      </c>
      <c r="H110" s="5" t="s">
        <v>61</v>
      </c>
      <c r="I110" s="5"/>
      <c r="J110" s="5"/>
      <c r="K110" s="5">
        <v>231</v>
      </c>
      <c r="L110" s="5">
        <v>12</v>
      </c>
      <c r="M110" s="5">
        <v>3</v>
      </c>
      <c r="N110" s="5" t="s">
        <v>3</v>
      </c>
      <c r="O110" s="5">
        <v>2</v>
      </c>
      <c r="P110" s="5">
        <f>ROUND(Source!ET97,O110)</f>
        <v>0</v>
      </c>
      <c r="Q110" s="5"/>
      <c r="R110" s="5"/>
      <c r="S110" s="5"/>
      <c r="T110" s="5"/>
      <c r="U110" s="5"/>
      <c r="V110" s="5"/>
      <c r="W110" s="5">
        <v>0</v>
      </c>
      <c r="X110" s="5">
        <v>1</v>
      </c>
      <c r="Y110" s="5">
        <v>0</v>
      </c>
      <c r="Z110" s="5">
        <v>0</v>
      </c>
      <c r="AA110" s="5">
        <v>1</v>
      </c>
      <c r="AB110" s="5">
        <v>0</v>
      </c>
    </row>
    <row r="111" spans="1:206" ht="13" x14ac:dyDescent="0.3">
      <c r="A111" s="5">
        <v>50</v>
      </c>
      <c r="B111" s="5">
        <v>0</v>
      </c>
      <c r="C111" s="5">
        <v>0</v>
      </c>
      <c r="D111" s="5">
        <v>1</v>
      </c>
      <c r="E111" s="5">
        <v>204</v>
      </c>
      <c r="F111" s="5">
        <f>ROUND(Source!R97,O111)</f>
        <v>0</v>
      </c>
      <c r="G111" s="5" t="s">
        <v>62</v>
      </c>
      <c r="H111" s="5" t="s">
        <v>63</v>
      </c>
      <c r="I111" s="5"/>
      <c r="J111" s="5"/>
      <c r="K111" s="5">
        <v>204</v>
      </c>
      <c r="L111" s="5">
        <v>13</v>
      </c>
      <c r="M111" s="5">
        <v>3</v>
      </c>
      <c r="N111" s="5" t="s">
        <v>3</v>
      </c>
      <c r="O111" s="5">
        <v>2</v>
      </c>
      <c r="P111" s="5">
        <f>ROUND(Source!DJ97,O111)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06" ht="13" x14ac:dyDescent="0.3">
      <c r="A112" s="5">
        <v>50</v>
      </c>
      <c r="B112" s="5">
        <v>0</v>
      </c>
      <c r="C112" s="5">
        <v>0</v>
      </c>
      <c r="D112" s="5">
        <v>1</v>
      </c>
      <c r="E112" s="5">
        <v>205</v>
      </c>
      <c r="F112" s="5">
        <f>ROUND(Source!S97,O112)</f>
        <v>0</v>
      </c>
      <c r="G112" s="5" t="s">
        <v>64</v>
      </c>
      <c r="H112" s="5" t="s">
        <v>65</v>
      </c>
      <c r="I112" s="5"/>
      <c r="J112" s="5"/>
      <c r="K112" s="5">
        <v>205</v>
      </c>
      <c r="L112" s="5">
        <v>14</v>
      </c>
      <c r="M112" s="5">
        <v>3</v>
      </c>
      <c r="N112" s="5" t="s">
        <v>3</v>
      </c>
      <c r="O112" s="5">
        <v>2</v>
      </c>
      <c r="P112" s="5">
        <f>ROUND(Source!DK97,O112)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8" ht="13" x14ac:dyDescent="0.3">
      <c r="A113" s="5">
        <v>50</v>
      </c>
      <c r="B113" s="5">
        <v>0</v>
      </c>
      <c r="C113" s="5">
        <v>0</v>
      </c>
      <c r="D113" s="5">
        <v>1</v>
      </c>
      <c r="E113" s="5">
        <v>232</v>
      </c>
      <c r="F113" s="5">
        <f>ROUND(Source!BC97,O113)</f>
        <v>0</v>
      </c>
      <c r="G113" s="5" t="s">
        <v>66</v>
      </c>
      <c r="H113" s="5" t="s">
        <v>67</v>
      </c>
      <c r="I113" s="5"/>
      <c r="J113" s="5"/>
      <c r="K113" s="5">
        <v>232</v>
      </c>
      <c r="L113" s="5">
        <v>15</v>
      </c>
      <c r="M113" s="5">
        <v>3</v>
      </c>
      <c r="N113" s="5" t="s">
        <v>3</v>
      </c>
      <c r="O113" s="5">
        <v>2</v>
      </c>
      <c r="P113" s="5">
        <f>ROUND(Source!EU97,O113)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8" ht="13" x14ac:dyDescent="0.3">
      <c r="A114" s="5">
        <v>50</v>
      </c>
      <c r="B114" s="5">
        <v>0</v>
      </c>
      <c r="C114" s="5">
        <v>0</v>
      </c>
      <c r="D114" s="5">
        <v>1</v>
      </c>
      <c r="E114" s="5">
        <v>214</v>
      </c>
      <c r="F114" s="5">
        <f>ROUND(Source!AS97,O114)</f>
        <v>0</v>
      </c>
      <c r="G114" s="5" t="s">
        <v>68</v>
      </c>
      <c r="H114" s="5" t="s">
        <v>69</v>
      </c>
      <c r="I114" s="5"/>
      <c r="J114" s="5"/>
      <c r="K114" s="5">
        <v>214</v>
      </c>
      <c r="L114" s="5">
        <v>16</v>
      </c>
      <c r="M114" s="5">
        <v>3</v>
      </c>
      <c r="N114" s="5" t="s">
        <v>3</v>
      </c>
      <c r="O114" s="5">
        <v>2</v>
      </c>
      <c r="P114" s="5">
        <f>ROUND(Source!EK97,O114)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8" ht="13" x14ac:dyDescent="0.3">
      <c r="A115" s="5">
        <v>50</v>
      </c>
      <c r="B115" s="5">
        <v>0</v>
      </c>
      <c r="C115" s="5">
        <v>0</v>
      </c>
      <c r="D115" s="5">
        <v>1</v>
      </c>
      <c r="E115" s="5">
        <v>215</v>
      </c>
      <c r="F115" s="5">
        <f>ROUND(Source!AT97,O115)</f>
        <v>0</v>
      </c>
      <c r="G115" s="5" t="s">
        <v>70</v>
      </c>
      <c r="H115" s="5" t="s">
        <v>71</v>
      </c>
      <c r="I115" s="5"/>
      <c r="J115" s="5"/>
      <c r="K115" s="5">
        <v>215</v>
      </c>
      <c r="L115" s="5">
        <v>17</v>
      </c>
      <c r="M115" s="5">
        <v>3</v>
      </c>
      <c r="N115" s="5" t="s">
        <v>3</v>
      </c>
      <c r="O115" s="5">
        <v>2</v>
      </c>
      <c r="P115" s="5">
        <f>ROUND(Source!EL97,O115)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8" ht="13" x14ac:dyDescent="0.3">
      <c r="A116" s="5">
        <v>50</v>
      </c>
      <c r="B116" s="5">
        <v>0</v>
      </c>
      <c r="C116" s="5">
        <v>0</v>
      </c>
      <c r="D116" s="5">
        <v>1</v>
      </c>
      <c r="E116" s="5">
        <v>217</v>
      </c>
      <c r="F116" s="5">
        <f>ROUND(Source!AU97,O116)</f>
        <v>0</v>
      </c>
      <c r="G116" s="5" t="s">
        <v>72</v>
      </c>
      <c r="H116" s="5" t="s">
        <v>73</v>
      </c>
      <c r="I116" s="5"/>
      <c r="J116" s="5"/>
      <c r="K116" s="5">
        <v>217</v>
      </c>
      <c r="L116" s="5">
        <v>18</v>
      </c>
      <c r="M116" s="5">
        <v>3</v>
      </c>
      <c r="N116" s="5" t="s">
        <v>3</v>
      </c>
      <c r="O116" s="5">
        <v>2</v>
      </c>
      <c r="P116" s="5">
        <f>ROUND(Source!EM97,O116)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8" ht="13" x14ac:dyDescent="0.3">
      <c r="A117" s="5">
        <v>50</v>
      </c>
      <c r="B117" s="5">
        <v>0</v>
      </c>
      <c r="C117" s="5">
        <v>0</v>
      </c>
      <c r="D117" s="5">
        <v>1</v>
      </c>
      <c r="E117" s="5">
        <v>230</v>
      </c>
      <c r="F117" s="5">
        <f>ROUND(Source!BA97,O117)</f>
        <v>0</v>
      </c>
      <c r="G117" s="5" t="s">
        <v>74</v>
      </c>
      <c r="H117" s="5" t="s">
        <v>75</v>
      </c>
      <c r="I117" s="5"/>
      <c r="J117" s="5"/>
      <c r="K117" s="5">
        <v>230</v>
      </c>
      <c r="L117" s="5">
        <v>19</v>
      </c>
      <c r="M117" s="5">
        <v>3</v>
      </c>
      <c r="N117" s="5" t="s">
        <v>3</v>
      </c>
      <c r="O117" s="5">
        <v>2</v>
      </c>
      <c r="P117" s="5">
        <f>ROUND(Source!ES97,O117)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8" ht="13" x14ac:dyDescent="0.3">
      <c r="A118" s="5">
        <v>50</v>
      </c>
      <c r="B118" s="5">
        <v>0</v>
      </c>
      <c r="C118" s="5">
        <v>0</v>
      </c>
      <c r="D118" s="5">
        <v>1</v>
      </c>
      <c r="E118" s="5">
        <v>206</v>
      </c>
      <c r="F118" s="5">
        <f>ROUND(Source!T97,O118)</f>
        <v>86069.65</v>
      </c>
      <c r="G118" s="5" t="s">
        <v>76</v>
      </c>
      <c r="H118" s="5" t="s">
        <v>77</v>
      </c>
      <c r="I118" s="5"/>
      <c r="J118" s="5"/>
      <c r="K118" s="5">
        <v>206</v>
      </c>
      <c r="L118" s="5">
        <v>20</v>
      </c>
      <c r="M118" s="5">
        <v>3</v>
      </c>
      <c r="N118" s="5" t="s">
        <v>3</v>
      </c>
      <c r="O118" s="5">
        <v>2</v>
      </c>
      <c r="P118" s="5">
        <f>ROUND(Source!DL97,O118)</f>
        <v>733435.55</v>
      </c>
      <c r="Q118" s="5"/>
      <c r="R118" s="5"/>
      <c r="S118" s="5"/>
      <c r="T118" s="5"/>
      <c r="U118" s="5"/>
      <c r="V118" s="5"/>
      <c r="W118" s="5">
        <v>86069.65</v>
      </c>
      <c r="X118" s="5">
        <v>1</v>
      </c>
      <c r="Y118" s="5">
        <v>86069.65</v>
      </c>
      <c r="Z118" s="5">
        <v>733435.55</v>
      </c>
      <c r="AA118" s="5">
        <v>1</v>
      </c>
      <c r="AB118" s="5">
        <v>733435.55</v>
      </c>
    </row>
    <row r="119" spans="1:28" ht="13" x14ac:dyDescent="0.3">
      <c r="A119" s="5">
        <v>50</v>
      </c>
      <c r="B119" s="5">
        <v>0</v>
      </c>
      <c r="C119" s="5">
        <v>0</v>
      </c>
      <c r="D119" s="5">
        <v>1</v>
      </c>
      <c r="E119" s="5">
        <v>207</v>
      </c>
      <c r="F119" s="5">
        <f>Source!U97</f>
        <v>0</v>
      </c>
      <c r="G119" s="5" t="s">
        <v>78</v>
      </c>
      <c r="H119" s="5" t="s">
        <v>79</v>
      </c>
      <c r="I119" s="5"/>
      <c r="J119" s="5"/>
      <c r="K119" s="5">
        <v>207</v>
      </c>
      <c r="L119" s="5">
        <v>21</v>
      </c>
      <c r="M119" s="5">
        <v>3</v>
      </c>
      <c r="N119" s="5" t="s">
        <v>3</v>
      </c>
      <c r="O119" s="5">
        <v>-1</v>
      </c>
      <c r="P119" s="5">
        <f>Source!DM97</f>
        <v>0</v>
      </c>
      <c r="Q119" s="5"/>
      <c r="R119" s="5"/>
      <c r="S119" s="5"/>
      <c r="T119" s="5"/>
      <c r="U119" s="5"/>
      <c r="V119" s="5"/>
      <c r="W119" s="5">
        <v>0</v>
      </c>
      <c r="X119" s="5">
        <v>1</v>
      </c>
      <c r="Y119" s="5">
        <v>0</v>
      </c>
      <c r="Z119" s="5">
        <v>0</v>
      </c>
      <c r="AA119" s="5">
        <v>1</v>
      </c>
      <c r="AB119" s="5">
        <v>0</v>
      </c>
    </row>
    <row r="120" spans="1:28" ht="13" x14ac:dyDescent="0.3">
      <c r="A120" s="5">
        <v>50</v>
      </c>
      <c r="B120" s="5">
        <v>0</v>
      </c>
      <c r="C120" s="5">
        <v>0</v>
      </c>
      <c r="D120" s="5">
        <v>1</v>
      </c>
      <c r="E120" s="5">
        <v>208</v>
      </c>
      <c r="F120" s="5">
        <f>Source!V97</f>
        <v>0</v>
      </c>
      <c r="G120" s="5" t="s">
        <v>80</v>
      </c>
      <c r="H120" s="5" t="s">
        <v>81</v>
      </c>
      <c r="I120" s="5"/>
      <c r="J120" s="5"/>
      <c r="K120" s="5">
        <v>208</v>
      </c>
      <c r="L120" s="5">
        <v>22</v>
      </c>
      <c r="M120" s="5">
        <v>3</v>
      </c>
      <c r="N120" s="5" t="s">
        <v>3</v>
      </c>
      <c r="O120" s="5">
        <v>-1</v>
      </c>
      <c r="P120" s="5">
        <f>Source!DN97</f>
        <v>0</v>
      </c>
      <c r="Q120" s="5"/>
      <c r="R120" s="5"/>
      <c r="S120" s="5"/>
      <c r="T120" s="5"/>
      <c r="U120" s="5"/>
      <c r="V120" s="5"/>
      <c r="W120" s="5">
        <v>0</v>
      </c>
      <c r="X120" s="5">
        <v>1</v>
      </c>
      <c r="Y120" s="5">
        <v>0</v>
      </c>
      <c r="Z120" s="5">
        <v>0</v>
      </c>
      <c r="AA120" s="5">
        <v>1</v>
      </c>
      <c r="AB120" s="5">
        <v>0</v>
      </c>
    </row>
    <row r="121" spans="1:28" ht="13" x14ac:dyDescent="0.3">
      <c r="A121" s="5">
        <v>50</v>
      </c>
      <c r="B121" s="5">
        <v>0</v>
      </c>
      <c r="C121" s="5">
        <v>0</v>
      </c>
      <c r="D121" s="5">
        <v>1</v>
      </c>
      <c r="E121" s="5">
        <v>209</v>
      </c>
      <c r="F121" s="5">
        <f>ROUND(Source!W97,O121)</f>
        <v>0</v>
      </c>
      <c r="G121" s="5" t="s">
        <v>82</v>
      </c>
      <c r="H121" s="5" t="s">
        <v>83</v>
      </c>
      <c r="I121" s="5"/>
      <c r="J121" s="5"/>
      <c r="K121" s="5">
        <v>209</v>
      </c>
      <c r="L121" s="5">
        <v>23</v>
      </c>
      <c r="M121" s="5">
        <v>3</v>
      </c>
      <c r="N121" s="5" t="s">
        <v>3</v>
      </c>
      <c r="O121" s="5">
        <v>2</v>
      </c>
      <c r="P121" s="5">
        <f>ROUND(Source!DO97,O121)</f>
        <v>0</v>
      </c>
      <c r="Q121" s="5"/>
      <c r="R121" s="5"/>
      <c r="S121" s="5"/>
      <c r="T121" s="5"/>
      <c r="U121" s="5"/>
      <c r="V121" s="5"/>
      <c r="W121" s="5">
        <v>0</v>
      </c>
      <c r="X121" s="5">
        <v>1</v>
      </c>
      <c r="Y121" s="5">
        <v>0</v>
      </c>
      <c r="Z121" s="5">
        <v>0</v>
      </c>
      <c r="AA121" s="5">
        <v>1</v>
      </c>
      <c r="AB121" s="5">
        <v>0</v>
      </c>
    </row>
    <row r="122" spans="1:28" ht="13" x14ac:dyDescent="0.3">
      <c r="A122" s="5">
        <v>50</v>
      </c>
      <c r="B122" s="5">
        <v>0</v>
      </c>
      <c r="C122" s="5">
        <v>0</v>
      </c>
      <c r="D122" s="5">
        <v>1</v>
      </c>
      <c r="E122" s="5">
        <v>233</v>
      </c>
      <c r="F122" s="5">
        <f>ROUND(Source!BD97,O122)</f>
        <v>0</v>
      </c>
      <c r="G122" s="5" t="s">
        <v>84</v>
      </c>
      <c r="H122" s="5" t="s">
        <v>85</v>
      </c>
      <c r="I122" s="5"/>
      <c r="J122" s="5"/>
      <c r="K122" s="5">
        <v>233</v>
      </c>
      <c r="L122" s="5">
        <v>24</v>
      </c>
      <c r="M122" s="5">
        <v>3</v>
      </c>
      <c r="N122" s="5" t="s">
        <v>3</v>
      </c>
      <c r="O122" s="5">
        <v>2</v>
      </c>
      <c r="P122" s="5">
        <f>ROUND(Source!EV97,O122)</f>
        <v>0</v>
      </c>
      <c r="Q122" s="5"/>
      <c r="R122" s="5"/>
      <c r="S122" s="5"/>
      <c r="T122" s="5"/>
      <c r="U122" s="5"/>
      <c r="V122" s="5"/>
      <c r="W122" s="5">
        <v>0</v>
      </c>
      <c r="X122" s="5">
        <v>1</v>
      </c>
      <c r="Y122" s="5">
        <v>0</v>
      </c>
      <c r="Z122" s="5">
        <v>0</v>
      </c>
      <c r="AA122" s="5">
        <v>1</v>
      </c>
      <c r="AB122" s="5">
        <v>0</v>
      </c>
    </row>
    <row r="123" spans="1:28" ht="13" x14ac:dyDescent="0.3">
      <c r="A123" s="5">
        <v>50</v>
      </c>
      <c r="B123" s="5">
        <v>0</v>
      </c>
      <c r="C123" s="5">
        <v>0</v>
      </c>
      <c r="D123" s="5">
        <v>1</v>
      </c>
      <c r="E123" s="5">
        <v>210</v>
      </c>
      <c r="F123" s="5">
        <f>ROUND(Source!X97,O123)</f>
        <v>0</v>
      </c>
      <c r="G123" s="5" t="s">
        <v>86</v>
      </c>
      <c r="H123" s="5" t="s">
        <v>87</v>
      </c>
      <c r="I123" s="5"/>
      <c r="J123" s="5"/>
      <c r="K123" s="5">
        <v>210</v>
      </c>
      <c r="L123" s="5">
        <v>25</v>
      </c>
      <c r="M123" s="5">
        <v>3</v>
      </c>
      <c r="N123" s="5" t="s">
        <v>3</v>
      </c>
      <c r="O123" s="5">
        <v>2</v>
      </c>
      <c r="P123" s="5">
        <f>ROUND(Source!DP97,O123)</f>
        <v>0</v>
      </c>
      <c r="Q123" s="5"/>
      <c r="R123" s="5"/>
      <c r="S123" s="5"/>
      <c r="T123" s="5"/>
      <c r="U123" s="5"/>
      <c r="V123" s="5"/>
      <c r="W123" s="5">
        <v>0</v>
      </c>
      <c r="X123" s="5">
        <v>1</v>
      </c>
      <c r="Y123" s="5">
        <v>0</v>
      </c>
      <c r="Z123" s="5">
        <v>0</v>
      </c>
      <c r="AA123" s="5">
        <v>1</v>
      </c>
      <c r="AB123" s="5">
        <v>0</v>
      </c>
    </row>
    <row r="124" spans="1:28" ht="13" x14ac:dyDescent="0.3">
      <c r="A124" s="5">
        <v>50</v>
      </c>
      <c r="B124" s="5">
        <v>0</v>
      </c>
      <c r="C124" s="5">
        <v>0</v>
      </c>
      <c r="D124" s="5">
        <v>1</v>
      </c>
      <c r="E124" s="5">
        <v>211</v>
      </c>
      <c r="F124" s="5">
        <f>ROUND(Source!Y97,O124)</f>
        <v>0</v>
      </c>
      <c r="G124" s="5" t="s">
        <v>88</v>
      </c>
      <c r="H124" s="5" t="s">
        <v>89</v>
      </c>
      <c r="I124" s="5"/>
      <c r="J124" s="5"/>
      <c r="K124" s="5">
        <v>211</v>
      </c>
      <c r="L124" s="5">
        <v>26</v>
      </c>
      <c r="M124" s="5">
        <v>3</v>
      </c>
      <c r="N124" s="5" t="s">
        <v>3</v>
      </c>
      <c r="O124" s="5">
        <v>2</v>
      </c>
      <c r="P124" s="5">
        <f>ROUND(Source!DQ97,O124)</f>
        <v>0</v>
      </c>
      <c r="Q124" s="5"/>
      <c r="R124" s="5"/>
      <c r="S124" s="5"/>
      <c r="T124" s="5"/>
      <c r="U124" s="5"/>
      <c r="V124" s="5"/>
      <c r="W124" s="5">
        <v>0</v>
      </c>
      <c r="X124" s="5">
        <v>1</v>
      </c>
      <c r="Y124" s="5">
        <v>0</v>
      </c>
      <c r="Z124" s="5">
        <v>0</v>
      </c>
      <c r="AA124" s="5">
        <v>1</v>
      </c>
      <c r="AB124" s="5">
        <v>0</v>
      </c>
    </row>
    <row r="125" spans="1:28" ht="13" x14ac:dyDescent="0.3">
      <c r="A125" s="5">
        <v>50</v>
      </c>
      <c r="B125" s="5">
        <v>0</v>
      </c>
      <c r="C125" s="5">
        <v>0</v>
      </c>
      <c r="D125" s="5">
        <v>1</v>
      </c>
      <c r="E125" s="5">
        <v>224</v>
      </c>
      <c r="F125" s="5">
        <f>ROUND(Source!AR97,O125)</f>
        <v>0</v>
      </c>
      <c r="G125" s="5" t="s">
        <v>90</v>
      </c>
      <c r="H125" s="5" t="s">
        <v>91</v>
      </c>
      <c r="I125" s="5"/>
      <c r="J125" s="5"/>
      <c r="K125" s="5">
        <v>224</v>
      </c>
      <c r="L125" s="5">
        <v>27</v>
      </c>
      <c r="M125" s="5">
        <v>3</v>
      </c>
      <c r="N125" s="5" t="s">
        <v>3</v>
      </c>
      <c r="O125" s="5">
        <v>2</v>
      </c>
      <c r="P125" s="5">
        <f>ROUND(Source!EJ97,O125)</f>
        <v>0</v>
      </c>
      <c r="Q125" s="5"/>
      <c r="R125" s="5"/>
      <c r="S125" s="5"/>
      <c r="T125" s="5"/>
      <c r="U125" s="5"/>
      <c r="V125" s="5"/>
      <c r="W125" s="5">
        <v>0</v>
      </c>
      <c r="X125" s="5">
        <v>1</v>
      </c>
      <c r="Y125" s="5">
        <v>0</v>
      </c>
      <c r="Z125" s="5">
        <v>0</v>
      </c>
      <c r="AA125" s="5">
        <v>1</v>
      </c>
      <c r="AB125" s="5">
        <v>0</v>
      </c>
    </row>
    <row r="128" spans="1:28" x14ac:dyDescent="0.25">
      <c r="A128">
        <v>70</v>
      </c>
      <c r="B128">
        <v>1</v>
      </c>
      <c r="D128">
        <v>1</v>
      </c>
      <c r="E128" t="s">
        <v>92</v>
      </c>
      <c r="F128" t="s">
        <v>93</v>
      </c>
      <c r="G128">
        <v>0</v>
      </c>
      <c r="H128">
        <v>0</v>
      </c>
      <c r="I128" t="s">
        <v>3</v>
      </c>
      <c r="J128">
        <v>1</v>
      </c>
      <c r="K128">
        <v>0</v>
      </c>
      <c r="L128" t="s">
        <v>3</v>
      </c>
      <c r="M128" t="s">
        <v>3</v>
      </c>
      <c r="N128">
        <v>0</v>
      </c>
      <c r="O128">
        <v>0</v>
      </c>
      <c r="P128" t="s">
        <v>3</v>
      </c>
    </row>
    <row r="129" spans="1:50" x14ac:dyDescent="0.25">
      <c r="A129">
        <v>70</v>
      </c>
      <c r="B129">
        <v>1</v>
      </c>
      <c r="D129">
        <v>2</v>
      </c>
      <c r="E129" t="s">
        <v>94</v>
      </c>
      <c r="F129" t="s">
        <v>95</v>
      </c>
      <c r="G129">
        <v>1</v>
      </c>
      <c r="H129">
        <v>0</v>
      </c>
      <c r="I129" t="s">
        <v>3</v>
      </c>
      <c r="J129">
        <v>1</v>
      </c>
      <c r="K129">
        <v>0</v>
      </c>
      <c r="L129" t="s">
        <v>3</v>
      </c>
      <c r="M129" t="s">
        <v>3</v>
      </c>
      <c r="N129">
        <v>0</v>
      </c>
      <c r="O129">
        <v>1</v>
      </c>
      <c r="P129" t="s">
        <v>3</v>
      </c>
    </row>
    <row r="130" spans="1:50" x14ac:dyDescent="0.25">
      <c r="A130">
        <v>70</v>
      </c>
      <c r="B130">
        <v>1</v>
      </c>
      <c r="D130">
        <v>3</v>
      </c>
      <c r="E130" t="s">
        <v>96</v>
      </c>
      <c r="F130" t="s">
        <v>97</v>
      </c>
      <c r="G130">
        <v>1</v>
      </c>
      <c r="H130">
        <v>0</v>
      </c>
      <c r="I130" t="s">
        <v>3</v>
      </c>
      <c r="J130">
        <v>0</v>
      </c>
      <c r="K130">
        <v>0</v>
      </c>
      <c r="L130" t="s">
        <v>3</v>
      </c>
      <c r="M130" t="s">
        <v>3</v>
      </c>
      <c r="N130">
        <v>0</v>
      </c>
      <c r="O130">
        <v>1</v>
      </c>
      <c r="P130" t="s">
        <v>3</v>
      </c>
    </row>
    <row r="131" spans="1:50" x14ac:dyDescent="0.25">
      <c r="A131">
        <v>70</v>
      </c>
      <c r="B131">
        <v>1</v>
      </c>
      <c r="D131">
        <v>4</v>
      </c>
      <c r="E131" t="s">
        <v>98</v>
      </c>
      <c r="F131" t="s">
        <v>99</v>
      </c>
      <c r="G131">
        <v>1</v>
      </c>
      <c r="H131">
        <v>0</v>
      </c>
      <c r="I131" t="s">
        <v>3</v>
      </c>
      <c r="J131">
        <v>0</v>
      </c>
      <c r="K131">
        <v>0</v>
      </c>
      <c r="L131" t="s">
        <v>3</v>
      </c>
      <c r="M131" t="s">
        <v>3</v>
      </c>
      <c r="N131">
        <v>0</v>
      </c>
      <c r="O131">
        <v>1</v>
      </c>
      <c r="P131" t="s">
        <v>3</v>
      </c>
    </row>
    <row r="132" spans="1:50" x14ac:dyDescent="0.25">
      <c r="A132">
        <v>70</v>
      </c>
      <c r="B132">
        <v>1</v>
      </c>
      <c r="D132">
        <v>5</v>
      </c>
      <c r="E132" t="s">
        <v>100</v>
      </c>
      <c r="F132" t="s">
        <v>101</v>
      </c>
      <c r="G132">
        <v>0</v>
      </c>
      <c r="H132">
        <v>0</v>
      </c>
      <c r="I132" t="s">
        <v>3</v>
      </c>
      <c r="J132">
        <v>0</v>
      </c>
      <c r="K132">
        <v>0</v>
      </c>
      <c r="L132" t="s">
        <v>3</v>
      </c>
      <c r="M132" t="s">
        <v>3</v>
      </c>
      <c r="N132">
        <v>0</v>
      </c>
      <c r="O132">
        <v>0</v>
      </c>
      <c r="P132" t="s">
        <v>3</v>
      </c>
    </row>
    <row r="133" spans="1:50" x14ac:dyDescent="0.25">
      <c r="A133">
        <v>70</v>
      </c>
      <c r="B133">
        <v>1</v>
      </c>
      <c r="D133">
        <v>6</v>
      </c>
      <c r="E133" t="s">
        <v>102</v>
      </c>
      <c r="F133" t="s">
        <v>103</v>
      </c>
      <c r="G133">
        <v>0</v>
      </c>
      <c r="H133">
        <v>0</v>
      </c>
      <c r="I133" t="s">
        <v>3</v>
      </c>
      <c r="J133">
        <v>0</v>
      </c>
      <c r="K133">
        <v>0</v>
      </c>
      <c r="L133" t="s">
        <v>3</v>
      </c>
      <c r="M133" t="s">
        <v>3</v>
      </c>
      <c r="N133">
        <v>0</v>
      </c>
      <c r="O133">
        <v>0</v>
      </c>
      <c r="P133" t="s">
        <v>3</v>
      </c>
    </row>
    <row r="135" spans="1:50" x14ac:dyDescent="0.25">
      <c r="A135">
        <v>-1</v>
      </c>
    </row>
    <row r="137" spans="1:50" ht="13" x14ac:dyDescent="0.3">
      <c r="A137" s="4">
        <v>75</v>
      </c>
      <c r="B137" s="4" t="s">
        <v>104</v>
      </c>
      <c r="C137" s="4">
        <v>2025</v>
      </c>
      <c r="D137" s="4">
        <v>0</v>
      </c>
      <c r="E137" s="4">
        <v>7</v>
      </c>
      <c r="F137" s="4"/>
      <c r="G137" s="4">
        <v>0</v>
      </c>
      <c r="H137" s="4">
        <v>1</v>
      </c>
      <c r="I137" s="4">
        <v>1</v>
      </c>
      <c r="J137" s="4">
        <v>3</v>
      </c>
      <c r="K137" s="4">
        <v>0</v>
      </c>
      <c r="L137" s="4">
        <v>0</v>
      </c>
      <c r="M137" s="4">
        <v>1</v>
      </c>
      <c r="N137" s="4">
        <v>56526434</v>
      </c>
      <c r="O137" s="4">
        <v>1</v>
      </c>
    </row>
    <row r="138" spans="1:50" x14ac:dyDescent="0.25">
      <c r="A138" s="6">
        <v>1</v>
      </c>
      <c r="B138" s="6" t="s">
        <v>105</v>
      </c>
      <c r="C138" s="6" t="s">
        <v>106</v>
      </c>
      <c r="D138" s="6">
        <v>2025</v>
      </c>
      <c r="E138" s="6">
        <v>7</v>
      </c>
      <c r="F138" s="6">
        <v>1</v>
      </c>
      <c r="G138" s="6">
        <v>1</v>
      </c>
      <c r="H138" s="6">
        <v>0</v>
      </c>
      <c r="I138" s="6">
        <v>2</v>
      </c>
      <c r="J138" s="6">
        <v>1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 t="s">
        <v>3</v>
      </c>
      <c r="S138" s="6" t="s">
        <v>3</v>
      </c>
      <c r="T138" s="6" t="s">
        <v>3</v>
      </c>
      <c r="U138" s="6" t="s">
        <v>3</v>
      </c>
      <c r="V138" s="6" t="s">
        <v>3</v>
      </c>
      <c r="W138" s="6" t="s">
        <v>3</v>
      </c>
      <c r="X138" s="6" t="s">
        <v>3</v>
      </c>
      <c r="Y138" s="6" t="s">
        <v>3</v>
      </c>
      <c r="Z138" s="6" t="s">
        <v>3</v>
      </c>
      <c r="AA138" s="6" t="s">
        <v>107</v>
      </c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>
        <v>56526435</v>
      </c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 x14ac:dyDescent="0.25">
      <c r="A139" s="6">
        <v>1</v>
      </c>
      <c r="B139" s="6" t="s">
        <v>105</v>
      </c>
      <c r="C139" s="6" t="s">
        <v>108</v>
      </c>
      <c r="D139" s="6">
        <v>2025</v>
      </c>
      <c r="E139" s="6">
        <v>7</v>
      </c>
      <c r="F139" s="6">
        <v>1</v>
      </c>
      <c r="G139" s="6">
        <v>1</v>
      </c>
      <c r="H139" s="6">
        <v>0</v>
      </c>
      <c r="I139" s="6">
        <v>2</v>
      </c>
      <c r="J139" s="6">
        <v>1</v>
      </c>
      <c r="K139" s="6">
        <v>1</v>
      </c>
      <c r="L139" s="6">
        <v>1</v>
      </c>
      <c r="M139" s="6">
        <v>1</v>
      </c>
      <c r="N139" s="6">
        <v>1</v>
      </c>
      <c r="O139" s="6">
        <v>1</v>
      </c>
      <c r="P139" s="6">
        <v>1</v>
      </c>
      <c r="Q139" s="6">
        <v>1</v>
      </c>
      <c r="R139" s="6" t="s">
        <v>3</v>
      </c>
      <c r="S139" s="6" t="s">
        <v>3</v>
      </c>
      <c r="T139" s="6" t="s">
        <v>3</v>
      </c>
      <c r="U139" s="6" t="s">
        <v>3</v>
      </c>
      <c r="V139" s="6" t="s">
        <v>3</v>
      </c>
      <c r="W139" s="6" t="s">
        <v>3</v>
      </c>
      <c r="X139" s="6" t="s">
        <v>3</v>
      </c>
      <c r="Y139" s="6" t="s">
        <v>3</v>
      </c>
      <c r="Z139" s="6" t="s">
        <v>3</v>
      </c>
      <c r="AA139" s="6" t="s">
        <v>109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>
        <v>56526436</v>
      </c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 ht="13" x14ac:dyDescent="0.3">
      <c r="A140" s="4">
        <v>75</v>
      </c>
      <c r="B140" s="4" t="s">
        <v>110</v>
      </c>
      <c r="C140" s="4">
        <v>2000</v>
      </c>
      <c r="D140" s="4">
        <v>0</v>
      </c>
      <c r="E140" s="4">
        <v>1</v>
      </c>
      <c r="F140" s="4">
        <v>0</v>
      </c>
      <c r="G140" s="4">
        <v>0</v>
      </c>
      <c r="H140" s="4">
        <v>1</v>
      </c>
      <c r="I140" s="4">
        <v>1</v>
      </c>
      <c r="J140" s="4">
        <v>3</v>
      </c>
      <c r="K140" s="4">
        <v>0</v>
      </c>
      <c r="L140" s="4">
        <v>0</v>
      </c>
      <c r="M140" s="4">
        <v>0</v>
      </c>
      <c r="N140" s="4">
        <v>56526432</v>
      </c>
      <c r="O140" s="4">
        <v>2</v>
      </c>
    </row>
    <row r="141" spans="1:50" x14ac:dyDescent="0.25">
      <c r="A141" s="6">
        <v>1</v>
      </c>
      <c r="B141" s="6" t="s">
        <v>105</v>
      </c>
      <c r="C141" s="6" t="s">
        <v>106</v>
      </c>
      <c r="D141" s="6">
        <v>2000</v>
      </c>
      <c r="E141" s="6">
        <v>1</v>
      </c>
      <c r="F141" s="6">
        <v>1</v>
      </c>
      <c r="G141" s="6">
        <v>1</v>
      </c>
      <c r="H141" s="6">
        <v>0</v>
      </c>
      <c r="I141" s="6">
        <v>2</v>
      </c>
      <c r="J141" s="6">
        <v>1</v>
      </c>
      <c r="K141" s="6">
        <v>1</v>
      </c>
      <c r="L141" s="6">
        <v>1</v>
      </c>
      <c r="M141" s="6">
        <v>1</v>
      </c>
      <c r="N141" s="6">
        <v>1</v>
      </c>
      <c r="O141" s="6">
        <v>1</v>
      </c>
      <c r="P141" s="6">
        <v>1</v>
      </c>
      <c r="Q141" s="6">
        <v>1</v>
      </c>
      <c r="R141" s="6" t="s">
        <v>3</v>
      </c>
      <c r="S141" s="6" t="s">
        <v>3</v>
      </c>
      <c r="T141" s="6" t="s">
        <v>3</v>
      </c>
      <c r="U141" s="6" t="s">
        <v>3</v>
      </c>
      <c r="V141" s="6" t="s">
        <v>3</v>
      </c>
      <c r="W141" s="6" t="s">
        <v>3</v>
      </c>
      <c r="X141" s="6" t="s">
        <v>3</v>
      </c>
      <c r="Y141" s="6" t="s">
        <v>3</v>
      </c>
      <c r="Z141" s="6" t="s">
        <v>3</v>
      </c>
      <c r="AA141" s="6" t="s">
        <v>3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>
        <v>56526433</v>
      </c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5" spans="1:5" x14ac:dyDescent="0.25">
      <c r="A145">
        <v>65</v>
      </c>
      <c r="C145">
        <v>1</v>
      </c>
      <c r="D145">
        <v>0</v>
      </c>
      <c r="E14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111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56526434</v>
      </c>
      <c r="E14" s="1">
        <v>56526432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17</v>
      </c>
      <c r="E16" s="8">
        <f>ROUND((Source!P84)/1000,2)</f>
        <v>0</v>
      </c>
      <c r="F16" s="8">
        <f>ROUND((Source!P85)/1000,2)</f>
        <v>0</v>
      </c>
      <c r="G16" s="8">
        <f>ROUND((Source!P76)/1000,2)</f>
        <v>0</v>
      </c>
      <c r="H16" s="8">
        <f>ROUND((Source!P86)/1000+(Source!P87)/1000,2)</f>
        <v>0</v>
      </c>
      <c r="I16" s="8">
        <f>E16+F16+G16+H16</f>
        <v>0</v>
      </c>
      <c r="J16" s="8">
        <f>ROUND((Source!P82+Source!P81)/1000,2)</f>
        <v>0</v>
      </c>
      <c r="K16" s="8">
        <v>0</v>
      </c>
      <c r="L16" s="8">
        <v>0</v>
      </c>
      <c r="M16" s="8">
        <v>0</v>
      </c>
      <c r="N16" s="8">
        <f>I16+L16+M16</f>
        <v>0</v>
      </c>
      <c r="T16" s="9">
        <f>ROUND((Source!F84)/1000,2)</f>
        <v>0</v>
      </c>
      <c r="U16" s="9">
        <f>ROUND((Source!F85)/1000,2)</f>
        <v>0</v>
      </c>
      <c r="V16" s="9">
        <f>ROUND((Source!F76)/1000,2)</f>
        <v>0</v>
      </c>
      <c r="W16" s="9">
        <f>ROUND((Source!F86)/1000+(Source!F87)/1000,2)</f>
        <v>0</v>
      </c>
      <c r="X16" s="9">
        <f>T16+U16+V16+W16</f>
        <v>0</v>
      </c>
      <c r="Y16" s="9">
        <f>ROUND((Source!F82+Source!F81)/1000,2)</f>
        <v>0</v>
      </c>
      <c r="Z16" s="9">
        <v>0</v>
      </c>
      <c r="AA16" s="9">
        <v>0</v>
      </c>
      <c r="AB16" s="9">
        <v>0</v>
      </c>
      <c r="AC16" s="9">
        <f>X16+AA16+AB16</f>
        <v>0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733435.55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86069.65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</row>
    <row r="18" spans="1:29" x14ac:dyDescent="0.25">
      <c r="A18">
        <v>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0</v>
      </c>
      <c r="G20" s="5" t="s">
        <v>38</v>
      </c>
      <c r="H20" s="5" t="s">
        <v>39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0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0</v>
      </c>
      <c r="G21" s="5" t="s">
        <v>40</v>
      </c>
      <c r="H21" s="5" t="s">
        <v>41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0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42</v>
      </c>
      <c r="H22" s="5" t="s">
        <v>43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0</v>
      </c>
      <c r="G23" s="5" t="s">
        <v>44</v>
      </c>
      <c r="H23" s="5" t="s">
        <v>45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0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0</v>
      </c>
      <c r="G24" s="5" t="s">
        <v>46</v>
      </c>
      <c r="H24" s="5" t="s">
        <v>47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0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48</v>
      </c>
      <c r="H25" s="5" t="s">
        <v>49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0</v>
      </c>
      <c r="G26" s="5" t="s">
        <v>50</v>
      </c>
      <c r="H26" s="5" t="s">
        <v>51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0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52</v>
      </c>
      <c r="H27" s="5" t="s">
        <v>53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54</v>
      </c>
      <c r="H28" s="5" t="s">
        <v>55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56</v>
      </c>
      <c r="H29" s="5" t="s">
        <v>57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0</v>
      </c>
      <c r="G30" s="5" t="s">
        <v>58</v>
      </c>
      <c r="H30" s="5" t="s">
        <v>59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0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60</v>
      </c>
      <c r="H31" s="5" t="s">
        <v>61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</v>
      </c>
      <c r="G32" s="5" t="s">
        <v>62</v>
      </c>
      <c r="H32" s="5" t="s">
        <v>63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0</v>
      </c>
      <c r="G33" s="5" t="s">
        <v>64</v>
      </c>
      <c r="H33" s="5" t="s">
        <v>65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0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66</v>
      </c>
      <c r="H34" s="5" t="s">
        <v>67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68</v>
      </c>
      <c r="H35" s="5" t="s">
        <v>69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70</v>
      </c>
      <c r="H36" s="5" t="s">
        <v>71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72</v>
      </c>
      <c r="H37" s="5" t="s">
        <v>73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74</v>
      </c>
      <c r="H38" s="5" t="s">
        <v>75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733435.55</v>
      </c>
      <c r="G39" s="5" t="s">
        <v>76</v>
      </c>
      <c r="H39" s="5" t="s">
        <v>77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86069.65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0</v>
      </c>
      <c r="G40" s="5" t="s">
        <v>78</v>
      </c>
      <c r="H40" s="5" t="s">
        <v>79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0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80</v>
      </c>
      <c r="H41" s="5" t="s">
        <v>81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82</v>
      </c>
      <c r="H42" s="5" t="s">
        <v>83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84</v>
      </c>
      <c r="H43" s="5" t="s">
        <v>85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0</v>
      </c>
      <c r="G44" s="5" t="s">
        <v>86</v>
      </c>
      <c r="H44" s="5" t="s">
        <v>87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0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0</v>
      </c>
      <c r="G45" s="5" t="s">
        <v>88</v>
      </c>
      <c r="H45" s="5" t="s">
        <v>89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0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0</v>
      </c>
      <c r="G46" s="5" t="s">
        <v>90</v>
      </c>
      <c r="H46" s="5" t="s">
        <v>91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0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104</v>
      </c>
      <c r="C51" s="4">
        <v>2025</v>
      </c>
      <c r="D51" s="4">
        <v>0</v>
      </c>
      <c r="E51" s="4">
        <v>7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56526434</v>
      </c>
      <c r="O51" s="4">
        <v>1</v>
      </c>
    </row>
    <row r="52" spans="1:50" x14ac:dyDescent="0.25">
      <c r="A52" s="6">
        <v>1</v>
      </c>
      <c r="B52" s="6" t="s">
        <v>105</v>
      </c>
      <c r="C52" s="6" t="s">
        <v>106</v>
      </c>
      <c r="D52" s="6">
        <v>2025</v>
      </c>
      <c r="E52" s="6">
        <v>7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107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56526435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105</v>
      </c>
      <c r="C53" s="6" t="s">
        <v>108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109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56526436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110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56526432</v>
      </c>
      <c r="O54" s="4">
        <v>2</v>
      </c>
    </row>
    <row r="55" spans="1:50" x14ac:dyDescent="0.25">
      <c r="A55" s="6">
        <v>1</v>
      </c>
      <c r="B55" s="6" t="s">
        <v>105</v>
      </c>
      <c r="C55" s="6" t="s">
        <v>106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56526433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12" spans="1:103" x14ac:dyDescent="0.25">
      <c r="F12" t="str">
        <f>Source!F12</f>
        <v>б/н</v>
      </c>
      <c r="G12" t="str">
        <f>Source!G12</f>
        <v>б/н Возвратные средства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б_н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б_н!Заголовки_для_печати</vt:lpstr>
      <vt:lpstr>'Ведомость объемов работ'!Заголовки_для_печати</vt:lpstr>
      <vt:lpstr>б_н!Область_печати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Лукьянова Анна Леонидовна</dc:creator>
  <cp:lastModifiedBy>Кузьмичева Наталья Викторовна</cp:lastModifiedBy>
  <cp:lastPrinted>2025-11-24T13:08:10Z</cp:lastPrinted>
  <dcterms:created xsi:type="dcterms:W3CDTF">2025-11-24T13:06:53Z</dcterms:created>
  <dcterms:modified xsi:type="dcterms:W3CDTF">2026-02-12T08:26:15Z</dcterms:modified>
</cp:coreProperties>
</file>