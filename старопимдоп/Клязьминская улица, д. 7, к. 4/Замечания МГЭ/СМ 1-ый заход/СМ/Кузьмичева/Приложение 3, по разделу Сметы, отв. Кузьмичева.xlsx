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Кузьмичева\"/>
    </mc:Choice>
  </mc:AlternateContent>
  <bookViews>
    <workbookView xWindow="0" yWindow="0" windowWidth="28800" windowHeight="12490"/>
  </bookViews>
  <sheets>
    <sheet name="09-01-02" sheetId="7" r:id="rId1"/>
    <sheet name="Ведомость объемов работ" sheetId="8" r:id="rId2"/>
    <sheet name="Source" sheetId="1" r:id="rId3"/>
    <sheet name="SourceObSm" sheetId="2" r:id="rId4"/>
    <sheet name="SmtRes" sheetId="3" r:id="rId5"/>
    <sheet name="EtalonRes" sheetId="4" r:id="rId6"/>
    <sheet name="SrcPoprs" sheetId="5" r:id="rId7"/>
    <sheet name="SrcKA" sheetId="6" r:id="rId8"/>
  </sheets>
  <definedNames>
    <definedName name="_xlnm.Print_Titles" localSheetId="0">'09-01-02'!$34:$34</definedName>
    <definedName name="_xlnm.Print_Titles" localSheetId="1">'Ведомость объемов работ'!$17:$17</definedName>
    <definedName name="_xlnm.Print_Area" localSheetId="0">'09-01-02'!$A$1:$K$58</definedName>
    <definedName name="_xlnm.Print_Area" localSheetId="1">'Ведомость объемов работ'!$A$1:$H$27</definedName>
  </definedNames>
  <calcPr calcId="162913"/>
</workbook>
</file>

<file path=xl/calcChain.xml><?xml version="1.0" encoding="utf-8"?>
<calcChain xmlns="http://schemas.openxmlformats.org/spreadsheetml/2006/main">
  <c r="D25" i="8" l="1"/>
  <c r="D23" i="8"/>
  <c r="G20" i="8"/>
  <c r="F20" i="8"/>
  <c r="E20" i="8"/>
  <c r="C20" i="8"/>
  <c r="B20" i="8"/>
  <c r="A19" i="8"/>
  <c r="A18" i="8"/>
  <c r="B13" i="8"/>
  <c r="B12" i="8"/>
  <c r="A1" i="8"/>
  <c r="H56" i="7"/>
  <c r="H53" i="7"/>
  <c r="C56" i="7"/>
  <c r="C53" i="7"/>
  <c r="J29" i="7"/>
  <c r="J26" i="7"/>
  <c r="J25" i="7"/>
  <c r="J24" i="7"/>
  <c r="J23" i="7"/>
  <c r="J22" i="7"/>
  <c r="J21" i="7"/>
  <c r="I29" i="7"/>
  <c r="I27" i="7"/>
  <c r="I26" i="7"/>
  <c r="I25" i="7"/>
  <c r="I24" i="7"/>
  <c r="I23" i="7"/>
  <c r="I21" i="7" s="1"/>
  <c r="I22" i="7"/>
  <c r="I50" i="7"/>
  <c r="J50" i="7"/>
  <c r="I49" i="7"/>
  <c r="J49" i="7"/>
  <c r="H48" i="7"/>
  <c r="A48" i="7"/>
  <c r="I46" i="7"/>
  <c r="J46" i="7"/>
  <c r="I45" i="7"/>
  <c r="J45" i="7"/>
  <c r="A44" i="7"/>
  <c r="O41" i="7"/>
  <c r="H44" i="7" s="1"/>
  <c r="H41" i="7"/>
  <c r="H40" i="7"/>
  <c r="P41" i="7"/>
  <c r="J48" i="7" s="1"/>
  <c r="J41" i="7"/>
  <c r="J40" i="7"/>
  <c r="J39" i="7"/>
  <c r="K38" i="7"/>
  <c r="J38" i="7"/>
  <c r="I38" i="7"/>
  <c r="H39" i="7" s="1"/>
  <c r="H38" i="7"/>
  <c r="G38" i="7"/>
  <c r="F38" i="7"/>
  <c r="V37" i="7"/>
  <c r="T37" i="7"/>
  <c r="R37" i="7"/>
  <c r="U37" i="7"/>
  <c r="S37" i="7"/>
  <c r="Q37" i="7"/>
  <c r="E37" i="7"/>
  <c r="D37" i="7"/>
  <c r="B37" i="7"/>
  <c r="A36" i="7"/>
  <c r="A18" i="7"/>
  <c r="A15" i="7"/>
  <c r="A13" i="7"/>
  <c r="G6" i="7"/>
  <c r="B6" i="7"/>
  <c r="A1" i="7"/>
  <c r="J44" i="7" l="1"/>
  <c r="A1" i="4"/>
  <c r="A2" i="4"/>
  <c r="A1" i="3"/>
  <c r="Y1" i="3"/>
  <c r="CX1" i="3" s="1"/>
  <c r="CW1" i="3"/>
  <c r="CY1" i="3"/>
  <c r="CZ1" i="3"/>
  <c r="DA1" i="3"/>
  <c r="DB1" i="3"/>
  <c r="DC1" i="3"/>
  <c r="A2" i="3"/>
  <c r="Y2" i="3"/>
  <c r="CW2" i="3"/>
  <c r="CX2" i="3"/>
  <c r="CY2" i="3"/>
  <c r="CZ2" i="3"/>
  <c r="DB2" i="3" s="1"/>
  <c r="DA2" i="3"/>
  <c r="DC2" i="3"/>
  <c r="D12" i="1"/>
  <c r="B18" i="1"/>
  <c r="D18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C22" i="1"/>
  <c r="D22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C26" i="1"/>
  <c r="E26" i="1"/>
  <c r="G26" i="1"/>
  <c r="P26" i="1"/>
  <c r="Z26" i="1"/>
  <c r="AA26" i="1"/>
  <c r="AG26" i="1"/>
  <c r="AM26" i="1"/>
  <c r="AN26" i="1"/>
  <c r="AQ26" i="1"/>
  <c r="AS26" i="1"/>
  <c r="BC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Z26" i="1"/>
  <c r="CB26" i="1"/>
  <c r="CC26" i="1"/>
  <c r="CJ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K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GB26" i="1"/>
  <c r="GE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Q28" i="1"/>
  <c r="S28" i="1"/>
  <c r="AC28" i="1"/>
  <c r="AE28" i="1"/>
  <c r="AF28" i="1"/>
  <c r="CT28" i="1" s="1"/>
  <c r="AG28" i="1"/>
  <c r="CU28" i="1" s="1"/>
  <c r="T28" i="1" s="1"/>
  <c r="AG31" i="1" s="1"/>
  <c r="T31" i="1" s="1"/>
  <c r="AH28" i="1"/>
  <c r="AI28" i="1"/>
  <c r="AJ28" i="1"/>
  <c r="CQ28" i="1"/>
  <c r="CS28" i="1"/>
  <c r="CV28" i="1"/>
  <c r="U28" i="1" s="1"/>
  <c r="AH31" i="1" s="1"/>
  <c r="CW28" i="1"/>
  <c r="V28" i="1" s="1"/>
  <c r="AI31" i="1" s="1"/>
  <c r="CX28" i="1"/>
  <c r="W28" i="1" s="1"/>
  <c r="AJ31" i="1" s="1"/>
  <c r="GL28" i="1"/>
  <c r="GN28" i="1"/>
  <c r="GO28" i="1"/>
  <c r="CC31" i="1" s="1"/>
  <c r="GV28" i="1"/>
  <c r="HC28" i="1"/>
  <c r="GX28" i="1" s="1"/>
  <c r="CJ31" i="1" s="1"/>
  <c r="C29" i="1"/>
  <c r="D29" i="1"/>
  <c r="S29" i="1"/>
  <c r="U29" i="1"/>
  <c r="DZ31" i="1" s="1"/>
  <c r="W29" i="1"/>
  <c r="AC29" i="1"/>
  <c r="P29" i="1" s="1"/>
  <c r="AE29" i="1"/>
  <c r="Q29" i="1" s="1"/>
  <c r="DV31" i="1" s="1"/>
  <c r="AF29" i="1"/>
  <c r="AG29" i="1"/>
  <c r="CU29" i="1" s="1"/>
  <c r="T29" i="1" s="1"/>
  <c r="AH29" i="1"/>
  <c r="CV29" i="1" s="1"/>
  <c r="AI29" i="1"/>
  <c r="CW29" i="1" s="1"/>
  <c r="V29" i="1" s="1"/>
  <c r="EA31" i="1" s="1"/>
  <c r="EA26" i="1" s="1"/>
  <c r="AJ29" i="1"/>
  <c r="CQ29" i="1"/>
  <c r="CR29" i="1"/>
  <c r="CS29" i="1"/>
  <c r="CT29" i="1"/>
  <c r="CX29" i="1"/>
  <c r="GL29" i="1"/>
  <c r="GN29" i="1"/>
  <c r="FT31" i="1" s="1"/>
  <c r="GO29" i="1"/>
  <c r="GV29" i="1"/>
  <c r="HC29" i="1" s="1"/>
  <c r="GX29" i="1" s="1"/>
  <c r="GB31" i="1" s="1"/>
  <c r="ES31" i="1" s="1"/>
  <c r="ES26" i="1" s="1"/>
  <c r="B31" i="1"/>
  <c r="C31" i="1"/>
  <c r="D31" i="1"/>
  <c r="D26" i="1" s="1"/>
  <c r="F31" i="1"/>
  <c r="F26" i="1" s="1"/>
  <c r="G31" i="1"/>
  <c r="P31" i="1"/>
  <c r="P61" i="1" s="1"/>
  <c r="AC31" i="1"/>
  <c r="CE31" i="1" s="1"/>
  <c r="AD31" i="1"/>
  <c r="AO31" i="1"/>
  <c r="AQ31" i="1"/>
  <c r="F41" i="1" s="1"/>
  <c r="AS31" i="1"/>
  <c r="F48" i="1" s="1"/>
  <c r="AT31" i="1"/>
  <c r="BA31" i="1"/>
  <c r="BC31" i="1"/>
  <c r="F47" i="1" s="1"/>
  <c r="BD31" i="1"/>
  <c r="BD26" i="1" s="1"/>
  <c r="BX31" i="1"/>
  <c r="CG31" i="1" s="1"/>
  <c r="BY31" i="1"/>
  <c r="BZ31" i="1"/>
  <c r="CB31" i="1"/>
  <c r="CK31" i="1"/>
  <c r="CL31" i="1"/>
  <c r="CM31" i="1"/>
  <c r="DK31" i="1"/>
  <c r="DK61" i="1" s="1"/>
  <c r="DN31" i="1"/>
  <c r="DO31" i="1"/>
  <c r="DX31" i="1"/>
  <c r="DX26" i="1" s="1"/>
  <c r="DY31" i="1"/>
  <c r="DL31" i="1" s="1"/>
  <c r="EB31" i="1"/>
  <c r="EB26" i="1" s="1"/>
  <c r="EG31" i="1"/>
  <c r="EG26" i="1" s="1"/>
  <c r="FP31" i="1"/>
  <c r="FQ31" i="1"/>
  <c r="FR31" i="1"/>
  <c r="FU31" i="1"/>
  <c r="EL31" i="1" s="1"/>
  <c r="GC31" i="1"/>
  <c r="GC26" i="1" s="1"/>
  <c r="GD31" i="1"/>
  <c r="GE31" i="1"/>
  <c r="EV31" i="1" s="1"/>
  <c r="F34" i="1"/>
  <c r="P46" i="1"/>
  <c r="P51" i="1"/>
  <c r="F56" i="1"/>
  <c r="B61" i="1"/>
  <c r="B22" i="1" s="1"/>
  <c r="C61" i="1"/>
  <c r="D61" i="1"/>
  <c r="F61" i="1"/>
  <c r="F22" i="1" s="1"/>
  <c r="G61" i="1"/>
  <c r="G22" i="1" s="1"/>
  <c r="AO61" i="1"/>
  <c r="AQ61" i="1"/>
  <c r="AQ22" i="1" s="1"/>
  <c r="AS61" i="1"/>
  <c r="BC61" i="1"/>
  <c r="BC22" i="1" s="1"/>
  <c r="BD61" i="1"/>
  <c r="EG61" i="1"/>
  <c r="ES61" i="1"/>
  <c r="P65" i="1"/>
  <c r="F86" i="1"/>
  <c r="B91" i="1"/>
  <c r="C91" i="1"/>
  <c r="C18" i="1" s="1"/>
  <c r="D91" i="1"/>
  <c r="F91" i="1"/>
  <c r="F18" i="1" s="1"/>
  <c r="G91" i="1"/>
  <c r="G18" i="1" s="1"/>
  <c r="AO91" i="1"/>
  <c r="AO18" i="1" s="1"/>
  <c r="F95" i="1"/>
  <c r="F12" i="6"/>
  <c r="G12" i="6"/>
  <c r="CY12" i="6"/>
  <c r="EL61" i="1" l="1"/>
  <c r="EL26" i="1"/>
  <c r="P49" i="1"/>
  <c r="DL61" i="1"/>
  <c r="DL26" i="1"/>
  <c r="DY26" i="1"/>
  <c r="DG1" i="3"/>
  <c r="DJ1" i="3" s="1"/>
  <c r="DH1" i="3"/>
  <c r="DI1" i="3"/>
  <c r="DF1" i="3"/>
  <c r="EK31" i="1"/>
  <c r="FT26" i="1"/>
  <c r="GA31" i="1"/>
  <c r="CG26" i="1"/>
  <c r="AX31" i="1"/>
  <c r="DF2" i="3"/>
  <c r="DG2" i="3"/>
  <c r="DJ2" i="3" s="1"/>
  <c r="DH2" i="3"/>
  <c r="DI2" i="3"/>
  <c r="F65" i="1"/>
  <c r="AO22" i="1"/>
  <c r="P55" i="1"/>
  <c r="DO26" i="1"/>
  <c r="DU31" i="1"/>
  <c r="CP29" i="1"/>
  <c r="O29" i="1" s="1"/>
  <c r="CR28" i="1"/>
  <c r="AD28" i="1"/>
  <c r="AB28" i="1" s="1"/>
  <c r="R28" i="1"/>
  <c r="AE31" i="1" s="1"/>
  <c r="EG91" i="1"/>
  <c r="EG22" i="1"/>
  <c r="P52" i="1"/>
  <c r="DN61" i="1"/>
  <c r="P54" i="1"/>
  <c r="DN26" i="1"/>
  <c r="F64" i="1"/>
  <c r="P91" i="1"/>
  <c r="P22" i="1"/>
  <c r="AS91" i="1"/>
  <c r="AS22" i="1"/>
  <c r="F78" i="1"/>
  <c r="T16" i="2" s="1"/>
  <c r="BY26" i="1"/>
  <c r="AP31" i="1"/>
  <c r="T26" i="1"/>
  <c r="T61" i="1"/>
  <c r="DI31" i="1"/>
  <c r="DV26" i="1"/>
  <c r="FY31" i="1"/>
  <c r="DO61" i="1"/>
  <c r="F52" i="1"/>
  <c r="DK22" i="1"/>
  <c r="P76" i="1"/>
  <c r="DK91" i="1"/>
  <c r="BA26" i="1"/>
  <c r="F51" i="1"/>
  <c r="AJ26" i="1"/>
  <c r="W31" i="1"/>
  <c r="F49" i="1"/>
  <c r="AT26" i="1"/>
  <c r="V31" i="1"/>
  <c r="AI26" i="1"/>
  <c r="DM31" i="1"/>
  <c r="DZ26" i="1"/>
  <c r="U31" i="1"/>
  <c r="AH26" i="1"/>
  <c r="BD91" i="1"/>
  <c r="BD22" i="1"/>
  <c r="EU31" i="1"/>
  <c r="GD26" i="1"/>
  <c r="CP28" i="1"/>
  <c r="O28" i="1" s="1"/>
  <c r="CI31" i="1"/>
  <c r="BA61" i="1"/>
  <c r="CF31" i="1"/>
  <c r="AO26" i="1"/>
  <c r="F35" i="1"/>
  <c r="CY28" i="1"/>
  <c r="X28" i="1" s="1"/>
  <c r="AK31" i="1" s="1"/>
  <c r="CZ28" i="1"/>
  <c r="Y28" i="1" s="1"/>
  <c r="AL31" i="1" s="1"/>
  <c r="P56" i="1"/>
  <c r="EV26" i="1"/>
  <c r="EV61" i="1"/>
  <c r="CK26" i="1"/>
  <c r="BB31" i="1"/>
  <c r="FU26" i="1"/>
  <c r="AT61" i="1"/>
  <c r="AF31" i="1"/>
  <c r="P81" i="1"/>
  <c r="ES91" i="1"/>
  <c r="ES22" i="1"/>
  <c r="AD26" i="1"/>
  <c r="Q31" i="1"/>
  <c r="EI31" i="1"/>
  <c r="FR26" i="1"/>
  <c r="CE26" i="1"/>
  <c r="AV31" i="1"/>
  <c r="BC91" i="1"/>
  <c r="AQ91" i="1"/>
  <c r="P35" i="1"/>
  <c r="ET31" i="1"/>
  <c r="EH31" i="1"/>
  <c r="AD29" i="1"/>
  <c r="AB29" i="1" s="1"/>
  <c r="CH31" i="1"/>
  <c r="FQ26" i="1"/>
  <c r="AC26" i="1"/>
  <c r="F77" i="1"/>
  <c r="R29" i="1"/>
  <c r="F71" i="1"/>
  <c r="ES18" i="1" l="1"/>
  <c r="P111" i="1"/>
  <c r="F108" i="1"/>
  <c r="AS18" i="1"/>
  <c r="P44" i="1"/>
  <c r="ET26" i="1"/>
  <c r="ET61" i="1"/>
  <c r="DM61" i="1"/>
  <c r="P53" i="1"/>
  <c r="DM26" i="1"/>
  <c r="DT31" i="1"/>
  <c r="GA26" i="1"/>
  <c r="ER31" i="1"/>
  <c r="EL22" i="1"/>
  <c r="EL91" i="1"/>
  <c r="P79" i="1"/>
  <c r="F16" i="2" s="1"/>
  <c r="AF26" i="1"/>
  <c r="S31" i="1"/>
  <c r="CF26" i="1"/>
  <c r="AW31" i="1"/>
  <c r="DO91" i="1"/>
  <c r="P85" i="1"/>
  <c r="DO22" i="1"/>
  <c r="P18" i="1"/>
  <c r="F94" i="1"/>
  <c r="FZ31" i="1"/>
  <c r="DH31" i="1"/>
  <c r="DU26" i="1"/>
  <c r="FX31" i="1"/>
  <c r="FW31" i="1"/>
  <c r="AT91" i="1"/>
  <c r="AT22" i="1"/>
  <c r="F79" i="1"/>
  <c r="U16" i="2" s="1"/>
  <c r="F54" i="1"/>
  <c r="V61" i="1"/>
  <c r="V26" i="1"/>
  <c r="P48" i="1"/>
  <c r="EK61" i="1"/>
  <c r="EK26" i="1"/>
  <c r="BC18" i="1"/>
  <c r="F107" i="1"/>
  <c r="CI26" i="1"/>
  <c r="AZ31" i="1"/>
  <c r="AV26" i="1"/>
  <c r="F36" i="1"/>
  <c r="AV61" i="1"/>
  <c r="BB61" i="1"/>
  <c r="BB26" i="1"/>
  <c r="F44" i="1"/>
  <c r="GM28" i="1"/>
  <c r="AB31" i="1"/>
  <c r="DI26" i="1"/>
  <c r="DI61" i="1"/>
  <c r="P43" i="1"/>
  <c r="X31" i="1"/>
  <c r="AK26" i="1"/>
  <c r="F53" i="1"/>
  <c r="U61" i="1"/>
  <c r="U26" i="1"/>
  <c r="AX61" i="1"/>
  <c r="AX26" i="1"/>
  <c r="F38" i="1"/>
  <c r="EH26" i="1"/>
  <c r="P40" i="1"/>
  <c r="EH61" i="1"/>
  <c r="AQ18" i="1"/>
  <c r="F101" i="1"/>
  <c r="BA22" i="1"/>
  <c r="F81" i="1"/>
  <c r="BA91" i="1"/>
  <c r="FY26" i="1"/>
  <c r="EP31" i="1"/>
  <c r="CY29" i="1"/>
  <c r="X29" i="1" s="1"/>
  <c r="EC31" i="1" s="1"/>
  <c r="DW31" i="1"/>
  <c r="CZ29" i="1"/>
  <c r="Y29" i="1" s="1"/>
  <c r="ED31" i="1" s="1"/>
  <c r="W61" i="1"/>
  <c r="F55" i="1"/>
  <c r="W26" i="1"/>
  <c r="T22" i="1"/>
  <c r="F82" i="1"/>
  <c r="T91" i="1"/>
  <c r="DN22" i="1"/>
  <c r="P84" i="1"/>
  <c r="DN91" i="1"/>
  <c r="EV22" i="1"/>
  <c r="P86" i="1"/>
  <c r="EV91" i="1"/>
  <c r="P47" i="1"/>
  <c r="EU26" i="1"/>
  <c r="EU61" i="1"/>
  <c r="P41" i="1"/>
  <c r="EI26" i="1"/>
  <c r="EI61" i="1"/>
  <c r="AP61" i="1"/>
  <c r="AP26" i="1"/>
  <c r="F40" i="1"/>
  <c r="F43" i="1"/>
  <c r="Q26" i="1"/>
  <c r="Q61" i="1"/>
  <c r="F116" i="1"/>
  <c r="BD18" i="1"/>
  <c r="EG18" i="1"/>
  <c r="P95" i="1"/>
  <c r="CH26" i="1"/>
  <c r="AY31" i="1"/>
  <c r="AL26" i="1"/>
  <c r="Y31" i="1"/>
  <c r="DK18" i="1"/>
  <c r="P106" i="1"/>
  <c r="R31" i="1"/>
  <c r="AE26" i="1"/>
  <c r="DL22" i="1"/>
  <c r="P82" i="1"/>
  <c r="DL91" i="1"/>
  <c r="O31" i="1" l="1"/>
  <c r="AB26" i="1"/>
  <c r="DJ31" i="1"/>
  <c r="DW26" i="1"/>
  <c r="CA31" i="1"/>
  <c r="GP28" i="1"/>
  <c r="CD31" i="1" s="1"/>
  <c r="EK22" i="1"/>
  <c r="P78" i="1"/>
  <c r="E16" i="2" s="1"/>
  <c r="EK91" i="1"/>
  <c r="FZ26" i="1"/>
  <c r="EQ31" i="1"/>
  <c r="EC26" i="1"/>
  <c r="DP31" i="1"/>
  <c r="P42" i="1"/>
  <c r="ER61" i="1"/>
  <c r="ER26" i="1"/>
  <c r="Y61" i="1"/>
  <c r="Y26" i="1"/>
  <c r="F58" i="1"/>
  <c r="DN18" i="1"/>
  <c r="P114" i="1"/>
  <c r="EP26" i="1"/>
  <c r="P38" i="1"/>
  <c r="EP61" i="1"/>
  <c r="AX22" i="1"/>
  <c r="F68" i="1"/>
  <c r="AX91" i="1"/>
  <c r="BB91" i="1"/>
  <c r="BB22" i="1"/>
  <c r="F74" i="1"/>
  <c r="V22" i="1"/>
  <c r="F84" i="1"/>
  <c r="V91" i="1"/>
  <c r="DG31" i="1"/>
  <c r="DT26" i="1"/>
  <c r="W91" i="1"/>
  <c r="F85" i="1"/>
  <c r="W22" i="1"/>
  <c r="P109" i="1"/>
  <c r="EL18" i="1"/>
  <c r="Q91" i="1"/>
  <c r="Q22" i="1"/>
  <c r="F73" i="1"/>
  <c r="ED26" i="1"/>
  <c r="DQ31" i="1"/>
  <c r="DH26" i="1"/>
  <c r="DH61" i="1"/>
  <c r="P34" i="1"/>
  <c r="AY26" i="1"/>
  <c r="AY61" i="1"/>
  <c r="F39" i="1"/>
  <c r="F70" i="1"/>
  <c r="V16" i="2" s="1"/>
  <c r="AP91" i="1"/>
  <c r="AP22" i="1"/>
  <c r="BA18" i="1"/>
  <c r="F111" i="1"/>
  <c r="F83" i="1"/>
  <c r="U22" i="1"/>
  <c r="U91" i="1"/>
  <c r="AV22" i="1"/>
  <c r="F66" i="1"/>
  <c r="AV91" i="1"/>
  <c r="GM29" i="1"/>
  <c r="EI22" i="1"/>
  <c r="EI91" i="1"/>
  <c r="P71" i="1"/>
  <c r="T18" i="1"/>
  <c r="F112" i="1"/>
  <c r="P115" i="1"/>
  <c r="DO18" i="1"/>
  <c r="DL18" i="1"/>
  <c r="P112" i="1"/>
  <c r="AW61" i="1"/>
  <c r="AW26" i="1"/>
  <c r="F37" i="1"/>
  <c r="X26" i="1"/>
  <c r="X61" i="1"/>
  <c r="F57" i="1"/>
  <c r="F42" i="1"/>
  <c r="AZ61" i="1"/>
  <c r="AZ26" i="1"/>
  <c r="F109" i="1"/>
  <c r="AT18" i="1"/>
  <c r="DM22" i="1"/>
  <c r="DM91" i="1"/>
  <c r="P83" i="1"/>
  <c r="EU22" i="1"/>
  <c r="EU91" i="1"/>
  <c r="P77" i="1"/>
  <c r="EN31" i="1"/>
  <c r="FW26" i="1"/>
  <c r="F46" i="1"/>
  <c r="S26" i="1"/>
  <c r="S61" i="1"/>
  <c r="ET91" i="1"/>
  <c r="P74" i="1"/>
  <c r="ET22" i="1"/>
  <c r="EH91" i="1"/>
  <c r="P70" i="1"/>
  <c r="G16" i="2" s="1"/>
  <c r="EH22" i="1"/>
  <c r="DI22" i="1"/>
  <c r="DI91" i="1"/>
  <c r="P73" i="1"/>
  <c r="FX26" i="1"/>
  <c r="EO31" i="1"/>
  <c r="R26" i="1"/>
  <c r="F45" i="1"/>
  <c r="R61" i="1"/>
  <c r="EV18" i="1"/>
  <c r="P116" i="1"/>
  <c r="DP26" i="1" l="1"/>
  <c r="DP61" i="1"/>
  <c r="P57" i="1"/>
  <c r="O26" i="1"/>
  <c r="O61" i="1"/>
  <c r="F33" i="1"/>
  <c r="R91" i="1"/>
  <c r="R22" i="1"/>
  <c r="F75" i="1"/>
  <c r="F115" i="1"/>
  <c r="W18" i="1"/>
  <c r="P68" i="1"/>
  <c r="EP22" i="1"/>
  <c r="EP91" i="1"/>
  <c r="P104" i="1"/>
  <c r="ET18" i="1"/>
  <c r="F113" i="1"/>
  <c r="U18" i="1"/>
  <c r="P64" i="1"/>
  <c r="DH91" i="1"/>
  <c r="DH22" i="1"/>
  <c r="EQ26" i="1"/>
  <c r="EQ61" i="1"/>
  <c r="P39" i="1"/>
  <c r="P113" i="1"/>
  <c r="DM18" i="1"/>
  <c r="S22" i="1"/>
  <c r="F76" i="1"/>
  <c r="Y16" i="2" s="1"/>
  <c r="S91" i="1"/>
  <c r="DG26" i="1"/>
  <c r="DG61" i="1"/>
  <c r="P33" i="1"/>
  <c r="EO26" i="1"/>
  <c r="EO61" i="1"/>
  <c r="P37" i="1"/>
  <c r="DQ26" i="1"/>
  <c r="DQ61" i="1"/>
  <c r="P58" i="1"/>
  <c r="V18" i="1"/>
  <c r="F114" i="1"/>
  <c r="P108" i="1"/>
  <c r="EK18" i="1"/>
  <c r="F72" i="1"/>
  <c r="AZ22" i="1"/>
  <c r="AZ91" i="1"/>
  <c r="EN26" i="1"/>
  <c r="P36" i="1"/>
  <c r="EN61" i="1"/>
  <c r="CD26" i="1"/>
  <c r="AU31" i="1"/>
  <c r="AW91" i="1"/>
  <c r="AW22" i="1"/>
  <c r="F67" i="1"/>
  <c r="X22" i="1"/>
  <c r="F87" i="1"/>
  <c r="X91" i="1"/>
  <c r="EI18" i="1"/>
  <c r="P101" i="1"/>
  <c r="AP18" i="1"/>
  <c r="F100" i="1"/>
  <c r="F103" i="1"/>
  <c r="Q18" i="1"/>
  <c r="F88" i="1"/>
  <c r="Y22" i="1"/>
  <c r="Y91" i="1"/>
  <c r="CA26" i="1"/>
  <c r="AR31" i="1"/>
  <c r="P103" i="1"/>
  <c r="DI18" i="1"/>
  <c r="EU18" i="1"/>
  <c r="P107" i="1"/>
  <c r="F104" i="1"/>
  <c r="BB18" i="1"/>
  <c r="FS31" i="1"/>
  <c r="GP29" i="1"/>
  <c r="FV31" i="1" s="1"/>
  <c r="AX18" i="1"/>
  <c r="F98" i="1"/>
  <c r="P72" i="1"/>
  <c r="ER91" i="1"/>
  <c r="ER22" i="1"/>
  <c r="DJ26" i="1"/>
  <c r="DJ61" i="1"/>
  <c r="P45" i="1"/>
  <c r="P100" i="1"/>
  <c r="EH18" i="1"/>
  <c r="AV18" i="1"/>
  <c r="F96" i="1"/>
  <c r="AY22" i="1"/>
  <c r="F69" i="1"/>
  <c r="AY91" i="1"/>
  <c r="EJ31" i="1" l="1"/>
  <c r="FS26" i="1"/>
  <c r="EP18" i="1"/>
  <c r="P98" i="1"/>
  <c r="EN22" i="1"/>
  <c r="P66" i="1"/>
  <c r="EN91" i="1"/>
  <c r="P88" i="1"/>
  <c r="DQ22" i="1"/>
  <c r="DQ91" i="1"/>
  <c r="P75" i="1"/>
  <c r="J16" i="2" s="1"/>
  <c r="DJ22" i="1"/>
  <c r="DJ91" i="1"/>
  <c r="F97" i="1"/>
  <c r="AW18" i="1"/>
  <c r="P87" i="1"/>
  <c r="DP22" i="1"/>
  <c r="DP91" i="1"/>
  <c r="P69" i="1"/>
  <c r="EQ22" i="1"/>
  <c r="EQ91" i="1"/>
  <c r="AZ18" i="1"/>
  <c r="F102" i="1"/>
  <c r="AR26" i="1"/>
  <c r="F59" i="1"/>
  <c r="AR61" i="1"/>
  <c r="P63" i="1"/>
  <c r="DG91" i="1"/>
  <c r="DG22" i="1"/>
  <c r="R18" i="1"/>
  <c r="F105" i="1"/>
  <c r="Y18" i="1"/>
  <c r="F118" i="1"/>
  <c r="AU61" i="1"/>
  <c r="AU26" i="1"/>
  <c r="F50" i="1"/>
  <c r="EO22" i="1"/>
  <c r="P67" i="1"/>
  <c r="EO91" i="1"/>
  <c r="ER18" i="1"/>
  <c r="P102" i="1"/>
  <c r="X18" i="1"/>
  <c r="F117" i="1"/>
  <c r="AY18" i="1"/>
  <c r="F99" i="1"/>
  <c r="DH18" i="1"/>
  <c r="P94" i="1"/>
  <c r="FV26" i="1"/>
  <c r="EM31" i="1"/>
  <c r="S18" i="1"/>
  <c r="F106" i="1"/>
  <c r="O22" i="1"/>
  <c r="O91" i="1"/>
  <c r="F63" i="1"/>
  <c r="EM61" i="1" l="1"/>
  <c r="P50" i="1"/>
  <c r="EM26" i="1"/>
  <c r="EJ26" i="1"/>
  <c r="EJ61" i="1"/>
  <c r="P59" i="1"/>
  <c r="AR91" i="1"/>
  <c r="AR22" i="1"/>
  <c r="F89" i="1"/>
  <c r="P105" i="1"/>
  <c r="DJ18" i="1"/>
  <c r="AU91" i="1"/>
  <c r="AU22" i="1"/>
  <c r="F80" i="1"/>
  <c r="W16" i="2" s="1"/>
  <c r="X16" i="2" s="1"/>
  <c r="AC16" i="2" s="1"/>
  <c r="DQ18" i="1"/>
  <c r="P118" i="1"/>
  <c r="EQ18" i="1"/>
  <c r="P99" i="1"/>
  <c r="EN18" i="1"/>
  <c r="P96" i="1"/>
  <c r="P117" i="1"/>
  <c r="DP18" i="1"/>
  <c r="O18" i="1"/>
  <c r="F93" i="1"/>
  <c r="DG18" i="1"/>
  <c r="P93" i="1"/>
  <c r="P97" i="1"/>
  <c r="EO18" i="1"/>
  <c r="F110" i="1" l="1"/>
  <c r="AU18" i="1"/>
  <c r="AR18" i="1"/>
  <c r="F119" i="1"/>
  <c r="EJ91" i="1"/>
  <c r="EJ22" i="1"/>
  <c r="P89" i="1"/>
  <c r="P80" i="1"/>
  <c r="H16" i="2" s="1"/>
  <c r="I16" i="2" s="1"/>
  <c r="N16" i="2" s="1"/>
  <c r="EM91" i="1"/>
  <c r="EM22" i="1"/>
  <c r="P110" i="1" l="1"/>
  <c r="EM18" i="1"/>
  <c r="EJ18" i="1"/>
  <c r="P119" i="1"/>
</calcChain>
</file>

<file path=xl/sharedStrings.xml><?xml version="1.0" encoding="utf-8"?>
<sst xmlns="http://schemas.openxmlformats.org/spreadsheetml/2006/main" count="814" uniqueCount="157">
  <si>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</si>
  <si>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</si>
  <si>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</si>
  <si>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</si>
  <si>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</t>
  </si>
  <si>
    <t>09-01-02</t>
  </si>
  <si>
    <t>09-01-02 Перевозка мусора</t>
  </si>
  <si>
    <t>0224-00272-01-0-ООС2</t>
  </si>
  <si>
    <t>Лукьянова А.Л.</t>
  </si>
  <si>
    <t>Сметные нормы списания</t>
  </si>
  <si>
    <t>Коды ОКП для ТСН-2001 МГЭ Дополнение 79</t>
  </si>
  <si>
    <t>ТСН-2001 (МГЭ) Доп 79 - Новое строительство</t>
  </si>
  <si>
    <t>Типовой расчет для ТСН-2001 МГЭ, Дополнение 79, строительство</t>
  </si>
  <si>
    <t>Территориальные сметные нормативы для Москвы ТСН-2001 (МГЭ), дополнение 79</t>
  </si>
  <si>
    <t>Поправки для ТСН-2001 от 03.10.2025 г. доп.79</t>
  </si>
  <si>
    <t>Территориальные сметные нормативы для Москвы (ТСН-2001)</t>
  </si>
  <si>
    <t>ТЕР</t>
  </si>
  <si>
    <t>Перевозка мусора</t>
  </si>
  <si>
    <t>Новый раздел</t>
  </si>
  <si>
    <t>1</t>
  </si>
  <si>
    <t>15.2-45-42</t>
  </si>
  <si>
    <t>Перевозка строительного мусора на расстояние до 45 км автосамосвалами грузоподъемностью до 10 т</t>
  </si>
  <si>
    <t>т</t>
  </si>
  <si>
    <t>ТСН-2001.15 Доп. 79, Сб. 2, т. 45, поз. 42</t>
  </si>
  <si>
    <t>Транспортные затраты</t>
  </si>
  <si>
    <t>ТСН-2001.15. Перевозка строительных грузов автомобильным транспортом</t>
  </si>
  <si>
    <t>ТСН-2001.15.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</si>
  <si>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</si>
  <si>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</si>
  <si>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</si>
  <si>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</si>
  <si>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</si>
  <si>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</si>
  <si>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</si>
  <si>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</si>
  <si>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</si>
  <si>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</si>
  <si>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</si>
  <si>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</si>
  <si>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</si>
  <si>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</si>
  <si>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</si>
  <si>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</si>
  <si>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</si>
  <si>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</si>
  <si>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</si>
  <si>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</si>
  <si>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</si>
  <si>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</si>
  <si>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</si>
  <si>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</si>
  <si>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</si>
  <si>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</si>
  <si>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</si>
  <si>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</si>
  <si>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</si>
  <si>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</si>
  <si>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</si>
  <si>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</si>
  <si>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</si>
  <si>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</si>
  <si>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</si>
  <si>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</si>
  <si>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</si>
  <si>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</si>
  <si>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</si>
  <si>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</si>
  <si>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</si>
  <si>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</si>
  <si>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</si>
  <si>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</si>
  <si>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</si>
  <si>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</si>
  <si>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</si>
  <si>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</si>
  <si>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</si>
  <si>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</si>
  <si>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</si>
  <si>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</si>
  <si>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</si>
  <si>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</si>
  <si>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</si>
  <si>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</si>
  <si>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</si>
  <si>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</si>
  <si>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</si>
  <si>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</si>
  <si>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</si>
  <si>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</si>
  <si>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</si>
  <si>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</si>
  <si>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СЛЖ</t>
  </si>
  <si>
    <t>{вкл} - Особо опасные и технически сложные объекты  {выкл} - Обычные объекты</t>
  </si>
  <si>
    <t>Текущий уровень цен</t>
  </si>
  <si>
    <t>Сборник индексов</t>
  </si>
  <si>
    <t>Коэффициенты к ТСН-2001 МГЭ Дополнение 79, строительство</t>
  </si>
  <si>
    <t>216/79</t>
  </si>
  <si>
    <t>Коэффициенты к ТСН-2001.13-2 Дополнение 45</t>
  </si>
  <si>
    <t>62/45</t>
  </si>
  <si>
    <t>Базовый уровень цен</t>
  </si>
  <si>
    <t>_OBSM_</t>
  </si>
  <si>
    <t>9999990007</t>
  </si>
  <si>
    <t>Стоимость прочих машин (ЭСН)</t>
  </si>
  <si>
    <t>руб.</t>
  </si>
  <si>
    <t>"СОГЛАСОВАНО"</t>
  </si>
  <si>
    <t>"УТВЕРЖДАЮ"</t>
  </si>
  <si>
    <t>Форма № 4б</t>
  </si>
  <si>
    <t>"_____"________________ 2025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</si>
  <si>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</si>
  <si>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</si>
  <si>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</si>
  <si>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</si>
  <si>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</si>
  <si>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Строительные работы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</si>
  <si>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</si>
  <si>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</si>
  <si>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</si>
  <si>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</si>
  <si>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</si>
  <si>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</si>
  <si>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</si>
  <si>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</si>
  <si>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</si>
  <si>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</si>
  <si>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</si>
  <si>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</si>
  <si>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</si>
  <si>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</si>
  <si>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</si>
  <si>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</si>
  <si>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</si>
  <si>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 236» по адресу: г. Москва, ул. Клязьминская, д. 7, к. 4. I этап. 09-01-02 Перевозка мусора</t>
  </si>
  <si>
    <t>Составлен(а) по ТСН-2001 с учетом Дополнения №: 79</t>
  </si>
  <si>
    <t>№ и период сборника коэффициентов (индексов) пересчета: Коэффициенты к ТСН-2001 МГЭ Дополнение 79, строительство №216/79 III квартал 2025 года и Коэффициенты к ТСН-2001.13-2 Дополнение 45 №62/45 III квартал 2025 года</t>
  </si>
  <si>
    <t>Всего в
ценах на
январь 2000 года,
руб.</t>
  </si>
  <si>
    <t>ЭМ</t>
  </si>
  <si>
    <t>ВСЕГО работ по позиции:</t>
  </si>
  <si>
    <t>ВСЕГО оборудование по позиции:</t>
  </si>
  <si>
    <t>ВСЕГО по позиции:</t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</si>
  <si>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</si>
  <si>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</si>
  <si>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</si>
  <si>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</si>
  <si>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</si>
  <si>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</si>
  <si>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___________________________</t>
  </si>
  <si>
    <t>" ___ " ___________ 20 ___ г.</t>
  </si>
  <si>
    <t>№ в ЛСР</t>
  </si>
  <si>
    <t>Единица измерения</t>
  </si>
  <si>
    <t>Количество</t>
  </si>
  <si>
    <t>Ссылка на чертежи, спецификации</t>
  </si>
  <si>
    <t>Формула расчета, расчет объемов работ и расхода материалов</t>
  </si>
  <si>
    <t>Примечание</t>
  </si>
  <si>
    <t>Главный инженер проекта _________________</t>
  </si>
  <si>
    <t>Составил _________________</t>
  </si>
  <si>
    <t>3 кв-л сентябрь</t>
  </si>
  <si>
    <t>исключить лом металла, у него свой путь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</si>
</sst>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1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0"/>
      <color rgb="FFFF0000"/>
      <name val="Arial"/>
      <family val="2"/>
      <charset val="204"/>
    </font>
    <font>
      <sz val="11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 applyAlignment="1"/>
    <xf numFmtId="0" fontId="12" fillId="0" borderId="0" xfId="0" applyFont="1" applyAlignment="1"/>
    <xf numFmtId="0" fontId="12" fillId="0" borderId="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wrapText="1"/>
    </xf>
    <xf numFmtId="0" fontId="12" fillId="0" borderId="0" xfId="0" applyFont="1" applyAlignment="1">
      <alignment horizontal="right" wrapText="1"/>
    </xf>
    <xf numFmtId="164" fontId="12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wrapText="1"/>
    </xf>
    <xf numFmtId="0" fontId="12" fillId="0" borderId="1" xfId="0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164" fontId="0" fillId="0" borderId="0" xfId="0" applyNumberFormat="1"/>
    <xf numFmtId="0" fontId="17" fillId="0" borderId="0" xfId="0" applyFont="1" applyAlignment="1">
      <alignment horizontal="right"/>
    </xf>
    <xf numFmtId="0" fontId="12" fillId="0" borderId="1" xfId="0" applyFont="1" applyBorder="1"/>
    <xf numFmtId="0" fontId="17" fillId="0" borderId="0" xfId="0" applyFont="1" applyBorder="1" applyAlignment="1">
      <alignment horizontal="right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7" fillId="0" borderId="0" xfId="0" applyFont="1" applyBorder="1"/>
    <xf numFmtId="0" fontId="17" fillId="0" borderId="0" xfId="0" applyFont="1" applyBorder="1" applyAlignment="1">
      <alignment horizontal="left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164" fontId="17" fillId="0" borderId="2" xfId="0" applyNumberFormat="1" applyFont="1" applyBorder="1" applyAlignment="1">
      <alignment horizontal="right"/>
    </xf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7" fillId="0" borderId="0" xfId="0" applyFont="1" applyAlignment="1">
      <alignment horizontal="left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7" fillId="0" borderId="0" xfId="0" applyFont="1" applyBorder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left" wrapText="1"/>
    </xf>
    <xf numFmtId="0" fontId="19" fillId="0" borderId="0" xfId="0" applyFont="1"/>
    <xf numFmtId="0" fontId="20" fillId="0" borderId="0" xfId="0" applyFont="1" applyAlignment="1">
      <alignment horizontal="right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60552</xdr:colOff>
      <xdr:row>33</xdr:row>
      <xdr:rowOff>12700</xdr:rowOff>
    </xdr:from>
    <xdr:to>
      <xdr:col>56</xdr:col>
      <xdr:colOff>561055</xdr:colOff>
      <xdr:row>75</xdr:row>
      <xdr:rowOff>135209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22502" y="7543800"/>
          <a:ext cx="4767703" cy="68154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7"/>
  <sheetViews>
    <sheetView tabSelected="1" topLeftCell="A19" zoomScaleNormal="100" workbookViewId="0">
      <selection activeCell="BA33" sqref="BA33"/>
    </sheetView>
  </sheetViews>
  <sheetFormatPr defaultRowHeight="12.5" x14ac:dyDescent="0.25"/>
  <cols>
    <col min="1" max="1" width="5.7265625" customWidth="1"/>
    <col min="2" max="2" width="11.7265625" customWidth="1"/>
    <col min="3" max="3" width="40.7265625" customWidth="1"/>
    <col min="4" max="4" width="11.7265625" customWidth="1"/>
    <col min="5" max="5" width="9.453125" bestFit="1" customWidth="1"/>
    <col min="6" max="6" width="9.81640625" customWidth="1"/>
    <col min="7" max="7" width="8.81640625" bestFit="1" customWidth="1"/>
    <col min="8" max="8" width="9.1796875" bestFit="1" customWidth="1"/>
    <col min="9" max="9" width="11.81640625" customWidth="1"/>
    <col min="10" max="10" width="10.453125" customWidth="1"/>
    <col min="11" max="11" width="13.90625" customWidth="1"/>
    <col min="13" max="13" width="8.7265625" style="70"/>
    <col min="15" max="41" width="0" hidden="1" customWidth="1"/>
    <col min="42" max="42" width="130.453125" hidden="1" customWidth="1"/>
    <col min="43" max="47" width="0" hidden="1" customWidth="1"/>
  </cols>
  <sheetData>
    <row r="1" spans="1:42" x14ac:dyDescent="0.25">
      <c r="A1" s="10" t="str">
        <f>Source!B1</f>
        <v>Smeta.RU  (495) 974-1589</v>
      </c>
    </row>
    <row r="2" spans="1:42" ht="14" x14ac:dyDescent="0.3">
      <c r="A2" s="11"/>
      <c r="B2" s="11"/>
      <c r="C2" s="11"/>
      <c r="D2" s="11"/>
      <c r="E2" s="11"/>
      <c r="F2" s="11"/>
      <c r="G2" s="11"/>
      <c r="H2" s="11"/>
      <c r="I2" s="11"/>
      <c r="J2" s="61" t="s">
        <v>106</v>
      </c>
      <c r="K2" s="61"/>
    </row>
    <row r="3" spans="1:42" ht="16.5" x14ac:dyDescent="0.35">
      <c r="A3" s="13"/>
      <c r="B3" s="64" t="s">
        <v>104</v>
      </c>
      <c r="C3" s="64"/>
      <c r="D3" s="64"/>
      <c r="E3" s="64"/>
      <c r="F3" s="12"/>
      <c r="G3" s="64" t="s">
        <v>105</v>
      </c>
      <c r="H3" s="64"/>
      <c r="I3" s="64"/>
      <c r="J3" s="64"/>
      <c r="K3" s="64"/>
    </row>
    <row r="4" spans="1:42" ht="14" x14ac:dyDescent="0.3">
      <c r="A4" s="12"/>
      <c r="B4" s="46"/>
      <c r="C4" s="46"/>
      <c r="D4" s="46"/>
      <c r="E4" s="46"/>
      <c r="F4" s="12"/>
      <c r="G4" s="46"/>
      <c r="H4" s="46"/>
      <c r="I4" s="46"/>
      <c r="J4" s="46"/>
      <c r="K4" s="46"/>
    </row>
    <row r="5" spans="1:42" ht="14" x14ac:dyDescent="0.3">
      <c r="A5" s="14"/>
      <c r="B5" s="14"/>
      <c r="C5" s="15"/>
      <c r="D5" s="15"/>
      <c r="E5" s="15"/>
      <c r="F5" s="12"/>
      <c r="G5" s="16"/>
      <c r="H5" s="15"/>
      <c r="I5" s="15"/>
      <c r="J5" s="15"/>
      <c r="K5" s="16"/>
    </row>
    <row r="6" spans="1:42" ht="14" x14ac:dyDescent="0.3">
      <c r="A6" s="16"/>
      <c r="B6" s="46" t="str">
        <f>CONCATENATE("______________________ ", IF(Source!AL12&lt;&gt;"", Source!AL12, ""))</f>
        <v xml:space="preserve">______________________ </v>
      </c>
      <c r="C6" s="46"/>
      <c r="D6" s="46"/>
      <c r="E6" s="46"/>
      <c r="F6" s="12"/>
      <c r="G6" s="46" t="str">
        <f>CONCATENATE("______________________ ", IF(Source!AH12&lt;&gt;"", Source!AH12, ""))</f>
        <v xml:space="preserve">______________________ </v>
      </c>
      <c r="H6" s="46"/>
      <c r="I6" s="46"/>
      <c r="J6" s="46"/>
      <c r="K6" s="46"/>
    </row>
    <row r="7" spans="1:42" ht="14" x14ac:dyDescent="0.3">
      <c r="A7" s="17"/>
      <c r="B7" s="60" t="s">
        <v>107</v>
      </c>
      <c r="C7" s="60"/>
      <c r="D7" s="60"/>
      <c r="E7" s="60"/>
      <c r="F7" s="12"/>
      <c r="G7" s="60" t="s">
        <v>107</v>
      </c>
      <c r="H7" s="60"/>
      <c r="I7" s="60"/>
      <c r="J7" s="60"/>
      <c r="K7" s="60"/>
    </row>
    <row r="9" spans="1:42" ht="14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42" ht="31" x14ac:dyDescent="0.35">
      <c r="A10" s="62" t="s">
        <v>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AP10" s="25" t="s">
        <v>131</v>
      </c>
    </row>
    <row r="11" spans="1:42" x14ac:dyDescent="0.25">
      <c r="A11" s="47" t="s">
        <v>108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</row>
    <row r="12" spans="1:42" ht="1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42" ht="15.5" x14ac:dyDescent="0.35">
      <c r="A13" s="62" t="str">
        <f>CONCATENATE( "ЛОКАЛЬНАЯ СМЕТА № ",IF(Source!F20&lt;&gt;"Новая локальная смета", Source!F20, ""))</f>
        <v>ЛОКАЛЬНАЯ СМЕТА № 09-01-02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</row>
    <row r="14" spans="1:42" ht="14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42" ht="18" x14ac:dyDescent="0.4">
      <c r="A15" s="56" t="str">
        <f>IF(Source!G20&lt;&gt;"Новая локальная смета", Source!G20, "")</f>
        <v>Перевозка мусора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</row>
    <row r="16" spans="1:42" x14ac:dyDescent="0.25">
      <c r="A16" s="57" t="s">
        <v>109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 spans="1:42" ht="1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42" ht="14" x14ac:dyDescent="0.3">
      <c r="A18" s="51" t="str">
        <f>CONCATENATE( "Основание: чертежи № ", Source!J20)</f>
        <v>Основание: чертежи № 0224-00272-01-0-ООС2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1:42" ht="14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42" ht="56" x14ac:dyDescent="0.3">
      <c r="A20" s="12"/>
      <c r="B20" s="12"/>
      <c r="C20" s="12"/>
      <c r="D20" s="12"/>
      <c r="E20" s="12"/>
      <c r="F20" s="12"/>
      <c r="G20" s="12"/>
      <c r="H20" s="12"/>
      <c r="I20" s="19" t="s">
        <v>110</v>
      </c>
      <c r="J20" s="19" t="s">
        <v>111</v>
      </c>
      <c r="K20" s="12"/>
    </row>
    <row r="21" spans="1:42" ht="14" x14ac:dyDescent="0.3">
      <c r="A21" s="12"/>
      <c r="B21" s="12"/>
      <c r="C21" s="12"/>
      <c r="D21" s="12"/>
      <c r="E21" s="59" t="s">
        <v>112</v>
      </c>
      <c r="F21" s="59"/>
      <c r="G21" s="59"/>
      <c r="H21" s="59"/>
      <c r="I21" s="20">
        <f>I22+I23+I24+I25</f>
        <v>188.2</v>
      </c>
      <c r="J21" s="20">
        <f>J22+J23+J24+J25</f>
        <v>2900.21</v>
      </c>
      <c r="K21" s="21" t="s">
        <v>141</v>
      </c>
    </row>
    <row r="22" spans="1:42" ht="14" x14ac:dyDescent="0.3">
      <c r="A22" s="12"/>
      <c r="B22" s="12"/>
      <c r="C22" s="12"/>
      <c r="D22" s="12"/>
      <c r="E22" s="46" t="s">
        <v>113</v>
      </c>
      <c r="F22" s="46"/>
      <c r="G22" s="46"/>
      <c r="H22" s="46"/>
      <c r="I22" s="22">
        <f>ROUND((Source!F78)/1000, 2)</f>
        <v>0</v>
      </c>
      <c r="J22" s="22">
        <f>ROUND((Source!P78)/1000, 2)</f>
        <v>0</v>
      </c>
      <c r="K22" s="12" t="s">
        <v>141</v>
      </c>
    </row>
    <row r="23" spans="1:42" ht="14" x14ac:dyDescent="0.3">
      <c r="A23" s="12"/>
      <c r="B23" s="12"/>
      <c r="C23" s="12"/>
      <c r="D23" s="12"/>
      <c r="E23" s="46" t="s">
        <v>114</v>
      </c>
      <c r="F23" s="46"/>
      <c r="G23" s="46"/>
      <c r="H23" s="46"/>
      <c r="I23" s="22">
        <f>ROUND((Source!F79)/1000, 2)</f>
        <v>0</v>
      </c>
      <c r="J23" s="22">
        <f>ROUND((Source!P79)/1000, 2)</f>
        <v>0</v>
      </c>
      <c r="K23" s="12" t="s">
        <v>141</v>
      </c>
    </row>
    <row r="24" spans="1:42" ht="14" x14ac:dyDescent="0.3">
      <c r="A24" s="12"/>
      <c r="B24" s="12"/>
      <c r="C24" s="12"/>
      <c r="D24" s="12"/>
      <c r="E24" s="46" t="s">
        <v>115</v>
      </c>
      <c r="F24" s="46"/>
      <c r="G24" s="46"/>
      <c r="H24" s="46"/>
      <c r="I24" s="22">
        <f>ROUND((Source!F70)/1000, 2)</f>
        <v>0</v>
      </c>
      <c r="J24" s="22">
        <f>ROUND((Source!P70)/1000, 2)</f>
        <v>0</v>
      </c>
      <c r="K24" s="12" t="s">
        <v>141</v>
      </c>
    </row>
    <row r="25" spans="1:42" ht="14" x14ac:dyDescent="0.3">
      <c r="A25" s="12"/>
      <c r="B25" s="12"/>
      <c r="C25" s="12"/>
      <c r="D25" s="12"/>
      <c r="E25" s="46" t="s">
        <v>116</v>
      </c>
      <c r="F25" s="46"/>
      <c r="G25" s="46"/>
      <c r="H25" s="46"/>
      <c r="I25" s="22">
        <f>ROUND((Source!F80+Source!F81)/1000, 2)</f>
        <v>188.2</v>
      </c>
      <c r="J25" s="22">
        <f>ROUND((Source!P80+Source!P81)/1000, 2)</f>
        <v>2900.21</v>
      </c>
      <c r="K25" s="12" t="s">
        <v>141</v>
      </c>
    </row>
    <row r="26" spans="1:42" ht="14" x14ac:dyDescent="0.3">
      <c r="A26" s="12"/>
      <c r="B26" s="12"/>
      <c r="C26" s="12"/>
      <c r="D26" s="12"/>
      <c r="E26" s="46" t="s">
        <v>117</v>
      </c>
      <c r="F26" s="46"/>
      <c r="G26" s="46"/>
      <c r="H26" s="46"/>
      <c r="I26" s="22">
        <f>(Source!F76+ Source!F75)/1000</f>
        <v>0</v>
      </c>
      <c r="J26" s="22">
        <f>((Source!P76 + Source!P75)/1000)</f>
        <v>0</v>
      </c>
      <c r="K26" s="12" t="s">
        <v>141</v>
      </c>
    </row>
    <row r="27" spans="1:42" ht="14" x14ac:dyDescent="0.3">
      <c r="A27" s="12"/>
      <c r="B27" s="12"/>
      <c r="C27" s="12"/>
      <c r="D27" s="12"/>
      <c r="E27" s="46" t="s">
        <v>118</v>
      </c>
      <c r="F27" s="46"/>
      <c r="G27" s="46"/>
      <c r="H27" s="46"/>
      <c r="I27" s="22">
        <f>Source!F83</f>
        <v>0</v>
      </c>
      <c r="J27" s="22"/>
      <c r="K27" s="12" t="s">
        <v>119</v>
      </c>
    </row>
    <row r="28" spans="1:42" ht="14" hidden="1" x14ac:dyDescent="0.3">
      <c r="A28" s="12"/>
      <c r="B28" s="12"/>
      <c r="C28" s="12"/>
      <c r="D28" s="12"/>
      <c r="E28" s="54" t="s">
        <v>120</v>
      </c>
      <c r="F28" s="54"/>
      <c r="G28" s="54"/>
      <c r="H28" s="54"/>
      <c r="I28" s="22"/>
      <c r="J28" s="22"/>
      <c r="K28" s="12"/>
    </row>
    <row r="29" spans="1:42" ht="14" hidden="1" x14ac:dyDescent="0.3">
      <c r="A29" s="12"/>
      <c r="B29" s="12"/>
      <c r="C29" s="12"/>
      <c r="D29" s="12"/>
      <c r="E29" s="55" t="s">
        <v>66</v>
      </c>
      <c r="F29" s="55"/>
      <c r="G29" s="55"/>
      <c r="H29" s="55"/>
      <c r="I29" s="22">
        <f>SUM(Y35:Y50)/1000</f>
        <v>0</v>
      </c>
      <c r="J29" s="22">
        <f>SUM(Z35:Z50)/1000</f>
        <v>0</v>
      </c>
      <c r="K29" s="12" t="s">
        <v>141</v>
      </c>
    </row>
    <row r="30" spans="1:42" ht="14" x14ac:dyDescent="0.3">
      <c r="A30" s="12"/>
      <c r="B30" s="12"/>
      <c r="C30" s="12"/>
      <c r="D30" s="12"/>
      <c r="E30" s="12"/>
      <c r="F30" s="16"/>
      <c r="G30" s="16"/>
      <c r="H30" s="16"/>
      <c r="I30" s="22"/>
      <c r="J30" s="22"/>
      <c r="K30" s="12"/>
    </row>
    <row r="31" spans="1:42" ht="14" x14ac:dyDescent="0.3">
      <c r="A31" s="12" t="s">
        <v>132</v>
      </c>
      <c r="B31" s="12"/>
      <c r="C31" s="12"/>
      <c r="D31" s="12"/>
      <c r="E31" s="12"/>
      <c r="F31" s="16"/>
      <c r="G31" s="16"/>
      <c r="H31" s="16"/>
      <c r="I31" s="22"/>
      <c r="J31" s="22"/>
      <c r="K31" s="12"/>
    </row>
    <row r="32" spans="1:42" ht="28" x14ac:dyDescent="0.3">
      <c r="A32" s="69" t="s">
        <v>133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M32" s="70" t="s">
        <v>155</v>
      </c>
      <c r="AP32" s="26" t="s">
        <v>133</v>
      </c>
    </row>
    <row r="33" spans="1:29" ht="98" x14ac:dyDescent="0.25">
      <c r="A33" s="23" t="s">
        <v>121</v>
      </c>
      <c r="B33" s="23" t="s">
        <v>122</v>
      </c>
      <c r="C33" s="23" t="s">
        <v>123</v>
      </c>
      <c r="D33" s="23" t="s">
        <v>124</v>
      </c>
      <c r="E33" s="23" t="s">
        <v>125</v>
      </c>
      <c r="F33" s="23" t="s">
        <v>126</v>
      </c>
      <c r="G33" s="24" t="s">
        <v>127</v>
      </c>
      <c r="H33" s="24" t="s">
        <v>128</v>
      </c>
      <c r="I33" s="23" t="s">
        <v>134</v>
      </c>
      <c r="J33" s="23" t="s">
        <v>129</v>
      </c>
      <c r="K33" s="23" t="s">
        <v>130</v>
      </c>
    </row>
    <row r="34" spans="1:29" ht="14" x14ac:dyDescent="0.25">
      <c r="A34" s="23">
        <v>1</v>
      </c>
      <c r="B34" s="23">
        <v>2</v>
      </c>
      <c r="C34" s="23">
        <v>3</v>
      </c>
      <c r="D34" s="23">
        <v>4</v>
      </c>
      <c r="E34" s="23">
        <v>5</v>
      </c>
      <c r="F34" s="23">
        <v>6</v>
      </c>
      <c r="G34" s="23">
        <v>7</v>
      </c>
      <c r="H34" s="23">
        <v>8</v>
      </c>
      <c r="I34" s="23">
        <v>9</v>
      </c>
      <c r="J34" s="23">
        <v>10</v>
      </c>
      <c r="K34" s="23">
        <v>11</v>
      </c>
    </row>
    <row r="36" spans="1:29" ht="16.5" x14ac:dyDescent="0.35">
      <c r="A36" s="52" t="str">
        <f>CONCATENATE("Раздел: ",IF(Source!G24&lt;&gt;"Новый раздел", Source!G24, ""))</f>
        <v>Раздел: Перевозка мусора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</row>
    <row r="37" spans="1:29" ht="42" x14ac:dyDescent="0.35">
      <c r="A37" s="27">
        <v>1</v>
      </c>
      <c r="B37" s="27" t="str">
        <f>Source!F28</f>
        <v>15.2-45-42</v>
      </c>
      <c r="C37" s="27" t="s">
        <v>21</v>
      </c>
      <c r="D37" s="28" t="str">
        <f>Source!H28</f>
        <v>т</v>
      </c>
      <c r="E37" s="71">
        <f>Source!I28</f>
        <v>3219.8980000000001</v>
      </c>
      <c r="F37" s="30"/>
      <c r="G37" s="29"/>
      <c r="H37" s="11"/>
      <c r="I37" s="30"/>
      <c r="J37" s="11"/>
      <c r="K37" s="30"/>
      <c r="M37" s="70" t="s">
        <v>156</v>
      </c>
      <c r="Q37">
        <f>Source!X28</f>
        <v>0</v>
      </c>
      <c r="R37">
        <f>Source!X29</f>
        <v>0</v>
      </c>
      <c r="S37">
        <f>Source!Y28</f>
        <v>0</v>
      </c>
      <c r="T37">
        <f>Source!Y29</f>
        <v>0</v>
      </c>
      <c r="U37">
        <f>ROUND((175/100)*ROUND(Source!R28, 2), 2)</f>
        <v>0</v>
      </c>
      <c r="V37">
        <f>ROUND((0/100)*ROUND(Source!R29, 2), 2)</f>
        <v>0</v>
      </c>
      <c r="AC37">
        <v>0</v>
      </c>
    </row>
    <row r="38" spans="1:29" ht="14.5" x14ac:dyDescent="0.35">
      <c r="A38" s="31"/>
      <c r="B38" s="31"/>
      <c r="C38" s="31" t="s">
        <v>135</v>
      </c>
      <c r="D38" s="32"/>
      <c r="E38" s="33"/>
      <c r="F38" s="34">
        <f>Source!AM28</f>
        <v>58.45</v>
      </c>
      <c r="G38" s="35" t="str">
        <f>Source!DE28</f>
        <v/>
      </c>
      <c r="H38" s="33">
        <f>Source!AV29</f>
        <v>1</v>
      </c>
      <c r="I38" s="34">
        <f>Source!Q28</f>
        <v>188203.04</v>
      </c>
      <c r="J38" s="33">
        <f>IF(Source!BB29&lt;&gt; 0, Source!BB29, 1)</f>
        <v>15.41</v>
      </c>
      <c r="K38" s="34">
        <f>Source!Q29</f>
        <v>2900208.85</v>
      </c>
    </row>
    <row r="39" spans="1:29" ht="14" x14ac:dyDescent="0.3">
      <c r="C39" s="21" t="s">
        <v>136</v>
      </c>
      <c r="H39" s="53">
        <f>I38+0-0-0</f>
        <v>188203.04</v>
      </c>
      <c r="I39" s="53"/>
      <c r="J39" s="53">
        <f>K38+0-0-0</f>
        <v>2900208.85</v>
      </c>
      <c r="K39" s="53"/>
    </row>
    <row r="40" spans="1:29" ht="14" x14ac:dyDescent="0.3">
      <c r="C40" s="21" t="s">
        <v>137</v>
      </c>
      <c r="H40" s="48">
        <f>0+0</f>
        <v>0</v>
      </c>
      <c r="I40" s="48"/>
      <c r="J40" s="48">
        <f>0+0</f>
        <v>0</v>
      </c>
      <c r="K40" s="48"/>
    </row>
    <row r="41" spans="1:29" ht="14" x14ac:dyDescent="0.3">
      <c r="C41" s="21" t="s">
        <v>138</v>
      </c>
      <c r="H41" s="48">
        <f>I38+0</f>
        <v>188203.04</v>
      </c>
      <c r="I41" s="48"/>
      <c r="J41" s="48">
        <f>K38+0</f>
        <v>2900208.85</v>
      </c>
      <c r="K41" s="48"/>
      <c r="O41" s="36">
        <f>I38+0</f>
        <v>188203.04</v>
      </c>
      <c r="P41" s="36">
        <f>K38+0</f>
        <v>2900208.85</v>
      </c>
    </row>
    <row r="44" spans="1:29" ht="14" x14ac:dyDescent="0.3">
      <c r="A44" s="50" t="str">
        <f>CONCATENATE("Итого по разделу: ",IF(Source!G31&lt;&gt;"Новый раздел", Source!G31, ""))</f>
        <v>Итого по разделу: Перевозка мусора</v>
      </c>
      <c r="B44" s="50"/>
      <c r="C44" s="50"/>
      <c r="D44" s="50"/>
      <c r="E44" s="50"/>
      <c r="F44" s="50"/>
      <c r="G44" s="50"/>
      <c r="H44" s="48">
        <f>SUM(O36:O43)</f>
        <v>188203.04</v>
      </c>
      <c r="I44" s="49"/>
      <c r="J44" s="48">
        <f>SUM(P36:P43)</f>
        <v>2900208.85</v>
      </c>
      <c r="K44" s="49"/>
    </row>
    <row r="45" spans="1:29" hidden="1" x14ac:dyDescent="0.25">
      <c r="A45" t="s">
        <v>139</v>
      </c>
      <c r="I45">
        <f>SUM(W36:W44)</f>
        <v>0</v>
      </c>
      <c r="J45">
        <f>SUM(X36:X44)</f>
        <v>0</v>
      </c>
    </row>
    <row r="46" spans="1:29" hidden="1" x14ac:dyDescent="0.25">
      <c r="A46" t="s">
        <v>140</v>
      </c>
      <c r="I46">
        <f>SUM(Y36:Y45)</f>
        <v>0</v>
      </c>
      <c r="J46">
        <f>SUM(Z36:Z45)</f>
        <v>0</v>
      </c>
    </row>
    <row r="48" spans="1:29" ht="14" x14ac:dyDescent="0.3">
      <c r="A48" s="50" t="str">
        <f>CONCATENATE("Итого по локальной смете: ",IF(Source!G61&lt;&gt;"Новая локальная смета", Source!G61, ""))</f>
        <v>Итого по локальной смете: Перевозка мусора</v>
      </c>
      <c r="B48" s="50"/>
      <c r="C48" s="50"/>
      <c r="D48" s="50"/>
      <c r="E48" s="50"/>
      <c r="F48" s="50"/>
      <c r="G48" s="50"/>
      <c r="H48" s="48">
        <f>SUM(O35:O47)</f>
        <v>188203.04</v>
      </c>
      <c r="I48" s="49"/>
      <c r="J48" s="48">
        <f>SUM(P35:P47)</f>
        <v>2900208.85</v>
      </c>
      <c r="K48" s="49"/>
    </row>
    <row r="49" spans="1:11" hidden="1" x14ac:dyDescent="0.25">
      <c r="A49" t="s">
        <v>139</v>
      </c>
      <c r="I49">
        <f>SUM(W35:W48)</f>
        <v>0</v>
      </c>
      <c r="J49">
        <f>SUM(X35:X48)</f>
        <v>0</v>
      </c>
    </row>
    <row r="50" spans="1:11" hidden="1" x14ac:dyDescent="0.25">
      <c r="A50" t="s">
        <v>140</v>
      </c>
      <c r="I50">
        <f>SUM(Y35:Y49)</f>
        <v>0</v>
      </c>
      <c r="J50">
        <f>SUM(Z35:Z49)</f>
        <v>0</v>
      </c>
    </row>
    <row r="53" spans="1:11" ht="14" x14ac:dyDescent="0.3">
      <c r="A53" s="45" t="s">
        <v>142</v>
      </c>
      <c r="B53" s="45"/>
      <c r="C53" s="38" t="str">
        <f>IF(Source!AC12&lt;&gt;"", Source!AC12," ")</f>
        <v xml:space="preserve"> </v>
      </c>
      <c r="D53" s="38"/>
      <c r="E53" s="38"/>
      <c r="F53" s="38"/>
      <c r="G53" s="38"/>
      <c r="H53" s="46" t="str">
        <f>IF(Source!AB12&lt;&gt;"", Source!AB12," ")</f>
        <v>Лукьянова А.Л.</v>
      </c>
      <c r="I53" s="46"/>
      <c r="J53" s="46"/>
      <c r="K53" s="46"/>
    </row>
    <row r="54" spans="1:11" ht="14" x14ac:dyDescent="0.3">
      <c r="A54" s="12"/>
      <c r="B54" s="12"/>
      <c r="C54" s="47" t="s">
        <v>143</v>
      </c>
      <c r="D54" s="47"/>
      <c r="E54" s="47"/>
      <c r="F54" s="47"/>
      <c r="G54" s="47"/>
      <c r="H54" s="12"/>
      <c r="I54" s="12"/>
      <c r="J54" s="12"/>
      <c r="K54" s="12"/>
    </row>
    <row r="55" spans="1:11" ht="14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1" ht="14" x14ac:dyDescent="0.3">
      <c r="A56" s="45" t="s">
        <v>144</v>
      </c>
      <c r="B56" s="45"/>
      <c r="C56" s="38" t="str">
        <f>IF(Source!AE12&lt;&gt;"", Source!AE12," ")</f>
        <v xml:space="preserve"> </v>
      </c>
      <c r="D56" s="38"/>
      <c r="E56" s="38"/>
      <c r="F56" s="38"/>
      <c r="G56" s="38"/>
      <c r="H56" s="46" t="str">
        <f>IF(Source!AD12&lt;&gt;"", Source!AD12," ")</f>
        <v xml:space="preserve"> </v>
      </c>
      <c r="I56" s="46"/>
      <c r="J56" s="46"/>
      <c r="K56" s="46"/>
    </row>
    <row r="57" spans="1:11" ht="14" x14ac:dyDescent="0.3">
      <c r="A57" s="12"/>
      <c r="B57" s="12"/>
      <c r="C57" s="47" t="s">
        <v>143</v>
      </c>
      <c r="D57" s="47"/>
      <c r="E57" s="47"/>
      <c r="F57" s="47"/>
      <c r="G57" s="47"/>
      <c r="H57" s="12"/>
      <c r="I57" s="12"/>
      <c r="J57" s="12"/>
      <c r="K57" s="12"/>
    </row>
  </sheetData>
  <mergeCells count="44">
    <mergeCell ref="A13:K13"/>
    <mergeCell ref="B3:E3"/>
    <mergeCell ref="G3:K3"/>
    <mergeCell ref="B4:E4"/>
    <mergeCell ref="G4:K4"/>
    <mergeCell ref="B6:E6"/>
    <mergeCell ref="G6:K6"/>
    <mergeCell ref="B7:E7"/>
    <mergeCell ref="G7:K7"/>
    <mergeCell ref="J2:K2"/>
    <mergeCell ref="A10:K10"/>
    <mergeCell ref="A11:K11"/>
    <mergeCell ref="E29:H29"/>
    <mergeCell ref="A15:K15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A32:K32"/>
    <mergeCell ref="A36:K36"/>
    <mergeCell ref="H39:I39"/>
    <mergeCell ref="J39:K39"/>
    <mergeCell ref="H40:I40"/>
    <mergeCell ref="J40:K40"/>
    <mergeCell ref="C57:G57"/>
    <mergeCell ref="H41:I41"/>
    <mergeCell ref="J41:K41"/>
    <mergeCell ref="J44:K44"/>
    <mergeCell ref="H44:I44"/>
    <mergeCell ref="A44:G44"/>
    <mergeCell ref="J48:K48"/>
    <mergeCell ref="H48:I48"/>
    <mergeCell ref="A48:G48"/>
    <mergeCell ref="A53:B53"/>
    <mergeCell ref="H53:K53"/>
    <mergeCell ref="C54:G54"/>
    <mergeCell ref="A56:B56"/>
    <mergeCell ref="H56:K56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zoomScaleNormal="100" workbookViewId="0"/>
  </sheetViews>
  <sheetFormatPr defaultRowHeight="12.5" x14ac:dyDescent="0.25"/>
  <cols>
    <col min="1" max="2" width="6.7265625" customWidth="1"/>
    <col min="3" max="3" width="75.7265625" customWidth="1"/>
    <col min="4" max="8" width="15.7265625" customWidth="1"/>
    <col min="30" max="32" width="0" hidden="1" customWidth="1"/>
  </cols>
  <sheetData>
    <row r="1" spans="1:8" x14ac:dyDescent="0.25">
      <c r="A1" s="10" t="str">
        <f>Source!B1</f>
        <v>Smeta.RU  (495) 974-1589</v>
      </c>
    </row>
    <row r="2" spans="1:8" ht="14" x14ac:dyDescent="0.3">
      <c r="D2" s="12"/>
      <c r="E2" s="12"/>
    </row>
    <row r="3" spans="1:8" ht="14" x14ac:dyDescent="0.3">
      <c r="D3" s="12"/>
      <c r="E3" s="37" t="s">
        <v>105</v>
      </c>
    </row>
    <row r="4" spans="1:8" ht="14" x14ac:dyDescent="0.3">
      <c r="D4" s="37"/>
      <c r="E4" s="37"/>
    </row>
    <row r="5" spans="1:8" ht="14" x14ac:dyDescent="0.3">
      <c r="D5" s="65" t="s">
        <v>145</v>
      </c>
      <c r="E5" s="65"/>
    </row>
    <row r="6" spans="1:8" ht="14" x14ac:dyDescent="0.3">
      <c r="D6" s="39"/>
      <c r="E6" s="39"/>
    </row>
    <row r="7" spans="1:8" ht="14" x14ac:dyDescent="0.3">
      <c r="D7" s="65" t="s">
        <v>145</v>
      </c>
      <c r="E7" s="65"/>
    </row>
    <row r="8" spans="1:8" ht="14" x14ac:dyDescent="0.3">
      <c r="D8" s="39"/>
      <c r="E8" s="39"/>
    </row>
    <row r="9" spans="1:8" ht="14" x14ac:dyDescent="0.3">
      <c r="D9" s="37" t="s">
        <v>146</v>
      </c>
      <c r="E9" s="12"/>
    </row>
    <row r="10" spans="1:8" ht="14" x14ac:dyDescent="0.3">
      <c r="D10" s="12"/>
      <c r="E10" s="12"/>
    </row>
    <row r="12" spans="1:8" ht="15.5" x14ac:dyDescent="0.25">
      <c r="B12" s="66" t="str">
        <f>CONCATENATE("Ведомость объемов работ ", IF(Source!AN15&lt;&gt;"", Source!AN15," "))</f>
        <v xml:space="preserve">Ведомость объемов работ  </v>
      </c>
      <c r="C12" s="66"/>
      <c r="D12" s="66"/>
      <c r="E12" s="66"/>
    </row>
    <row r="13" spans="1:8" ht="14" x14ac:dyDescent="0.25">
      <c r="B13" s="67" t="str">
        <f>CONCATENATE(Source!F12, " ", Source!G12)</f>
        <v>09-01-02 09-01-02 Перевозка мусора</v>
      </c>
      <c r="C13" s="67"/>
      <c r="D13" s="67"/>
      <c r="E13" s="67"/>
    </row>
    <row r="14" spans="1:8" hidden="1" x14ac:dyDescent="0.25"/>
    <row r="16" spans="1:8" ht="70" x14ac:dyDescent="0.25">
      <c r="A16" s="24" t="s">
        <v>121</v>
      </c>
      <c r="B16" s="24" t="s">
        <v>147</v>
      </c>
      <c r="C16" s="24" t="s">
        <v>123</v>
      </c>
      <c r="D16" s="24" t="s">
        <v>148</v>
      </c>
      <c r="E16" s="24" t="s">
        <v>149</v>
      </c>
      <c r="F16" s="24" t="s">
        <v>150</v>
      </c>
      <c r="G16" s="24" t="s">
        <v>151</v>
      </c>
      <c r="H16" s="24" t="s">
        <v>152</v>
      </c>
    </row>
    <row r="17" spans="1:8" ht="14" x14ac:dyDescent="0.25">
      <c r="A17" s="24">
        <v>1</v>
      </c>
      <c r="B17" s="24">
        <v>2</v>
      </c>
      <c r="C17" s="24">
        <v>3</v>
      </c>
      <c r="D17" s="24">
        <v>4</v>
      </c>
      <c r="E17" s="24">
        <v>5</v>
      </c>
      <c r="F17" s="24">
        <v>6</v>
      </c>
      <c r="G17" s="24">
        <v>7</v>
      </c>
      <c r="H17" s="24">
        <v>8</v>
      </c>
    </row>
    <row r="18" spans="1:8" ht="16.5" x14ac:dyDescent="0.35">
      <c r="A18" s="68" t="str">
        <f>CONCATENATE("Локальная смета: ", Source!G20)</f>
        <v>Локальная смета: Перевозка мусора</v>
      </c>
      <c r="B18" s="68"/>
      <c r="C18" s="68"/>
      <c r="D18" s="68"/>
      <c r="E18" s="68"/>
      <c r="F18" s="68"/>
      <c r="G18" s="68"/>
      <c r="H18" s="68"/>
    </row>
    <row r="19" spans="1:8" ht="16.5" x14ac:dyDescent="0.35">
      <c r="A19" s="68" t="str">
        <f>CONCATENATE("Раздел: ", Source!G24)</f>
        <v>Раздел: Перевозка мусора</v>
      </c>
      <c r="B19" s="68"/>
      <c r="C19" s="68"/>
      <c r="D19" s="68"/>
      <c r="E19" s="68"/>
      <c r="F19" s="68"/>
      <c r="G19" s="68"/>
      <c r="H19" s="68"/>
    </row>
    <row r="20" spans="1:8" ht="28" x14ac:dyDescent="0.25">
      <c r="A20" s="23">
        <v>1</v>
      </c>
      <c r="B20" s="23" t="str">
        <f>Source!E28</f>
        <v>1</v>
      </c>
      <c r="C20" s="40" t="str">
        <f>Source!G28</f>
        <v>Перевозка строительного мусора на расстояние до 45 км автосамосвалами грузоподъемностью до 10 т</v>
      </c>
      <c r="D20" s="23" t="s">
        <v>22</v>
      </c>
      <c r="E20" s="41">
        <f>Source!I28</f>
        <v>3219.8980000000001</v>
      </c>
      <c r="F20" s="23" t="str">
        <f>Source!U24</f>
        <v/>
      </c>
      <c r="G20" s="23">
        <f>Source!I28</f>
        <v>3219.8980000000001</v>
      </c>
      <c r="H20" s="40"/>
    </row>
    <row r="23" spans="1:8" ht="14" x14ac:dyDescent="0.3">
      <c r="C23" s="42" t="s">
        <v>153</v>
      </c>
      <c r="D23" s="42" t="str">
        <f>IF(Source!X12&lt;&gt;"", Source!X12," ")</f>
        <v xml:space="preserve"> </v>
      </c>
      <c r="E23" s="43"/>
    </row>
    <row r="24" spans="1:8" ht="14" x14ac:dyDescent="0.3">
      <c r="C24" s="12"/>
      <c r="D24" s="43"/>
      <c r="E24" s="43"/>
    </row>
    <row r="25" spans="1:8" ht="14" x14ac:dyDescent="0.3">
      <c r="C25" s="44" t="s">
        <v>154</v>
      </c>
      <c r="D25" s="44" t="str">
        <f>IF(Source!AB12&lt;&gt;"", Source!AB12," ")</f>
        <v>Лукьянова А.Л.</v>
      </c>
      <c r="E25" s="43"/>
    </row>
  </sheetData>
  <mergeCells count="6">
    <mergeCell ref="A19:H19"/>
    <mergeCell ref="D5:E5"/>
    <mergeCell ref="D7:E7"/>
    <mergeCell ref="B12:E12"/>
    <mergeCell ref="B13:E13"/>
    <mergeCell ref="A18:H18"/>
  </mergeCells>
  <pageMargins left="0.4" right="0.2" top="0.2" bottom="0.4" header="0.2" footer="0.2"/>
  <pageSetup paperSize="9" scale="59" fitToHeight="0" orientation="portrait" r:id="rId1"/>
  <headerFooter>
    <oddHeader>&amp;L&amp;8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39"/>
  <sheetViews>
    <sheetView workbookViewId="0">
      <selection activeCell="A135" sqref="A135:AX135"/>
    </sheetView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131</v>
      </c>
      <c r="C12" s="1">
        <v>0</v>
      </c>
      <c r="D12" s="1">
        <f>ROW(A91)</f>
        <v>91</v>
      </c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5" spans="1:133" ht="13" x14ac:dyDescent="0.3">
      <c r="A15" s="1">
        <v>15</v>
      </c>
      <c r="B15" s="1">
        <v>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</row>
    <row r="18" spans="1:255" ht="13" x14ac:dyDescent="0.3">
      <c r="A18" s="3">
        <v>52</v>
      </c>
      <c r="B18" s="3">
        <f t="shared" ref="B18:G18" si="0">B91</f>
        <v>131</v>
      </c>
      <c r="C18" s="3">
        <f t="shared" si="0"/>
        <v>1</v>
      </c>
      <c r="D18" s="3">
        <f t="shared" si="0"/>
        <v>12</v>
      </c>
      <c r="E18" s="3">
        <f t="shared" si="0"/>
        <v>0</v>
      </c>
      <c r="F18" s="3" t="str">
        <f t="shared" si="0"/>
        <v>09-01-02</v>
      </c>
      <c r="G18" s="3" t="str">
        <f t="shared" si="0"/>
        <v>09-01-02 Перевозка мусора</v>
      </c>
      <c r="H18" s="3"/>
      <c r="I18" s="3"/>
      <c r="J18" s="3"/>
      <c r="K18" s="3"/>
      <c r="L18" s="3"/>
      <c r="M18" s="3"/>
      <c r="N18" s="3"/>
      <c r="O18" s="3">
        <f t="shared" ref="O18:AT18" si="1">O91</f>
        <v>188203.04</v>
      </c>
      <c r="P18" s="3">
        <f t="shared" si="1"/>
        <v>0</v>
      </c>
      <c r="Q18" s="3">
        <f t="shared" si="1"/>
        <v>188203.04</v>
      </c>
      <c r="R18" s="3">
        <f t="shared" si="1"/>
        <v>0</v>
      </c>
      <c r="S18" s="3">
        <f t="shared" si="1"/>
        <v>0</v>
      </c>
      <c r="T18" s="3">
        <f t="shared" si="1"/>
        <v>0</v>
      </c>
      <c r="U18" s="3">
        <f t="shared" si="1"/>
        <v>0</v>
      </c>
      <c r="V18" s="3">
        <f t="shared" si="1"/>
        <v>0</v>
      </c>
      <c r="W18" s="3">
        <f t="shared" si="1"/>
        <v>0</v>
      </c>
      <c r="X18" s="3">
        <f t="shared" si="1"/>
        <v>0</v>
      </c>
      <c r="Y18" s="3">
        <f t="shared" si="1"/>
        <v>0</v>
      </c>
      <c r="Z18" s="3">
        <f t="shared" si="1"/>
        <v>0</v>
      </c>
      <c r="AA18" s="3">
        <f t="shared" si="1"/>
        <v>0</v>
      </c>
      <c r="AB18" s="3">
        <f t="shared" si="1"/>
        <v>0</v>
      </c>
      <c r="AC18" s="3">
        <f t="shared" si="1"/>
        <v>0</v>
      </c>
      <c r="AD18" s="3">
        <f t="shared" si="1"/>
        <v>0</v>
      </c>
      <c r="AE18" s="3">
        <f t="shared" si="1"/>
        <v>0</v>
      </c>
      <c r="AF18" s="3">
        <f t="shared" si="1"/>
        <v>0</v>
      </c>
      <c r="AG18" s="3">
        <f t="shared" si="1"/>
        <v>0</v>
      </c>
      <c r="AH18" s="3">
        <f t="shared" si="1"/>
        <v>0</v>
      </c>
      <c r="AI18" s="3">
        <f t="shared" si="1"/>
        <v>0</v>
      </c>
      <c r="AJ18" s="3">
        <f t="shared" si="1"/>
        <v>0</v>
      </c>
      <c r="AK18" s="3">
        <f t="shared" si="1"/>
        <v>0</v>
      </c>
      <c r="AL18" s="3">
        <f t="shared" si="1"/>
        <v>0</v>
      </c>
      <c r="AM18" s="3">
        <f t="shared" si="1"/>
        <v>0</v>
      </c>
      <c r="AN18" s="3">
        <f t="shared" si="1"/>
        <v>0</v>
      </c>
      <c r="AO18" s="3">
        <f t="shared" si="1"/>
        <v>0</v>
      </c>
      <c r="AP18" s="3">
        <f t="shared" si="1"/>
        <v>0</v>
      </c>
      <c r="AQ18" s="3">
        <f t="shared" si="1"/>
        <v>0</v>
      </c>
      <c r="AR18" s="3">
        <f t="shared" si="1"/>
        <v>188203.04</v>
      </c>
      <c r="AS18" s="3">
        <f t="shared" si="1"/>
        <v>0</v>
      </c>
      <c r="AT18" s="3">
        <f t="shared" si="1"/>
        <v>0</v>
      </c>
      <c r="AU18" s="3">
        <f t="shared" ref="AU18:BZ18" si="2">AU91</f>
        <v>188203.04</v>
      </c>
      <c r="AV18" s="3">
        <f t="shared" si="2"/>
        <v>0</v>
      </c>
      <c r="AW18" s="3">
        <f t="shared" si="2"/>
        <v>0</v>
      </c>
      <c r="AX18" s="3">
        <f t="shared" si="2"/>
        <v>0</v>
      </c>
      <c r="AY18" s="3">
        <f t="shared" si="2"/>
        <v>0</v>
      </c>
      <c r="AZ18" s="3">
        <f t="shared" si="2"/>
        <v>0</v>
      </c>
      <c r="BA18" s="3">
        <f t="shared" si="2"/>
        <v>0</v>
      </c>
      <c r="BB18" s="3">
        <f t="shared" si="2"/>
        <v>0</v>
      </c>
      <c r="BC18" s="3">
        <f t="shared" si="2"/>
        <v>0</v>
      </c>
      <c r="BD18" s="3">
        <f t="shared" si="2"/>
        <v>0</v>
      </c>
      <c r="BE18" s="3">
        <f t="shared" si="2"/>
        <v>0</v>
      </c>
      <c r="BF18" s="3">
        <f t="shared" si="2"/>
        <v>0</v>
      </c>
      <c r="BG18" s="3">
        <f t="shared" si="2"/>
        <v>0</v>
      </c>
      <c r="BH18" s="3">
        <f t="shared" si="2"/>
        <v>0</v>
      </c>
      <c r="BI18" s="3">
        <f t="shared" si="2"/>
        <v>0</v>
      </c>
      <c r="BJ18" s="3">
        <f t="shared" si="2"/>
        <v>0</v>
      </c>
      <c r="BK18" s="3">
        <f t="shared" si="2"/>
        <v>0</v>
      </c>
      <c r="BL18" s="3">
        <f t="shared" si="2"/>
        <v>0</v>
      </c>
      <c r="BM18" s="3">
        <f t="shared" si="2"/>
        <v>0</v>
      </c>
      <c r="BN18" s="3">
        <f t="shared" si="2"/>
        <v>0</v>
      </c>
      <c r="BO18" s="3">
        <f t="shared" si="2"/>
        <v>0</v>
      </c>
      <c r="BP18" s="3">
        <f t="shared" si="2"/>
        <v>0</v>
      </c>
      <c r="BQ18" s="3">
        <f t="shared" si="2"/>
        <v>0</v>
      </c>
      <c r="BR18" s="3">
        <f t="shared" si="2"/>
        <v>0</v>
      </c>
      <c r="BS18" s="3">
        <f t="shared" si="2"/>
        <v>0</v>
      </c>
      <c r="BT18" s="3">
        <f t="shared" si="2"/>
        <v>0</v>
      </c>
      <c r="BU18" s="3">
        <f t="shared" si="2"/>
        <v>0</v>
      </c>
      <c r="BV18" s="3">
        <f t="shared" si="2"/>
        <v>0</v>
      </c>
      <c r="BW18" s="3">
        <f t="shared" si="2"/>
        <v>0</v>
      </c>
      <c r="BX18" s="3">
        <f t="shared" si="2"/>
        <v>0</v>
      </c>
      <c r="BY18" s="3">
        <f t="shared" si="2"/>
        <v>0</v>
      </c>
      <c r="BZ18" s="3">
        <f t="shared" si="2"/>
        <v>0</v>
      </c>
      <c r="CA18" s="3">
        <f t="shared" ref="CA18:DF18" si="3">CA91</f>
        <v>0</v>
      </c>
      <c r="CB18" s="3">
        <f t="shared" si="3"/>
        <v>0</v>
      </c>
      <c r="CC18" s="3">
        <f t="shared" si="3"/>
        <v>0</v>
      </c>
      <c r="CD18" s="3">
        <f t="shared" si="3"/>
        <v>0</v>
      </c>
      <c r="CE18" s="3">
        <f t="shared" si="3"/>
        <v>0</v>
      </c>
      <c r="CF18" s="3">
        <f t="shared" si="3"/>
        <v>0</v>
      </c>
      <c r="CG18" s="3">
        <f t="shared" si="3"/>
        <v>0</v>
      </c>
      <c r="CH18" s="3">
        <f t="shared" si="3"/>
        <v>0</v>
      </c>
      <c r="CI18" s="3">
        <f t="shared" si="3"/>
        <v>0</v>
      </c>
      <c r="CJ18" s="3">
        <f t="shared" si="3"/>
        <v>0</v>
      </c>
      <c r="CK18" s="3">
        <f t="shared" si="3"/>
        <v>0</v>
      </c>
      <c r="CL18" s="3">
        <f t="shared" si="3"/>
        <v>0</v>
      </c>
      <c r="CM18" s="3">
        <f t="shared" si="3"/>
        <v>0</v>
      </c>
      <c r="CN18" s="3">
        <f t="shared" si="3"/>
        <v>0</v>
      </c>
      <c r="CO18" s="3">
        <f t="shared" si="3"/>
        <v>0</v>
      </c>
      <c r="CP18" s="3">
        <f t="shared" si="3"/>
        <v>0</v>
      </c>
      <c r="CQ18" s="3">
        <f t="shared" si="3"/>
        <v>0</v>
      </c>
      <c r="CR18" s="3">
        <f t="shared" si="3"/>
        <v>0</v>
      </c>
      <c r="CS18" s="3">
        <f t="shared" si="3"/>
        <v>0</v>
      </c>
      <c r="CT18" s="3">
        <f t="shared" si="3"/>
        <v>0</v>
      </c>
      <c r="CU18" s="3">
        <f t="shared" si="3"/>
        <v>0</v>
      </c>
      <c r="CV18" s="3">
        <f t="shared" si="3"/>
        <v>0</v>
      </c>
      <c r="CW18" s="3">
        <f t="shared" si="3"/>
        <v>0</v>
      </c>
      <c r="CX18" s="3">
        <f t="shared" si="3"/>
        <v>0</v>
      </c>
      <c r="CY18" s="3">
        <f t="shared" si="3"/>
        <v>0</v>
      </c>
      <c r="CZ18" s="3">
        <f t="shared" si="3"/>
        <v>0</v>
      </c>
      <c r="DA18" s="3">
        <f t="shared" si="3"/>
        <v>0</v>
      </c>
      <c r="DB18" s="3">
        <f t="shared" si="3"/>
        <v>0</v>
      </c>
      <c r="DC18" s="3">
        <f t="shared" si="3"/>
        <v>0</v>
      </c>
      <c r="DD18" s="3">
        <f t="shared" si="3"/>
        <v>0</v>
      </c>
      <c r="DE18" s="3">
        <f t="shared" si="3"/>
        <v>0</v>
      </c>
      <c r="DF18" s="3">
        <f t="shared" si="3"/>
        <v>0</v>
      </c>
      <c r="DG18" s="4">
        <f t="shared" ref="DG18:EL18" si="4">DG91</f>
        <v>2900208.85</v>
      </c>
      <c r="DH18" s="4">
        <f t="shared" si="4"/>
        <v>0</v>
      </c>
      <c r="DI18" s="4">
        <f t="shared" si="4"/>
        <v>2900208.85</v>
      </c>
      <c r="DJ18" s="4">
        <f t="shared" si="4"/>
        <v>0</v>
      </c>
      <c r="DK18" s="4">
        <f t="shared" si="4"/>
        <v>0</v>
      </c>
      <c r="DL18" s="4">
        <f t="shared" si="4"/>
        <v>0</v>
      </c>
      <c r="DM18" s="4">
        <f t="shared" si="4"/>
        <v>0</v>
      </c>
      <c r="DN18" s="4">
        <f t="shared" si="4"/>
        <v>0</v>
      </c>
      <c r="DO18" s="4">
        <f t="shared" si="4"/>
        <v>0</v>
      </c>
      <c r="DP18" s="4">
        <f t="shared" si="4"/>
        <v>0</v>
      </c>
      <c r="DQ18" s="4">
        <f t="shared" si="4"/>
        <v>0</v>
      </c>
      <c r="DR18" s="4">
        <f t="shared" si="4"/>
        <v>0</v>
      </c>
      <c r="DS18" s="4">
        <f t="shared" si="4"/>
        <v>0</v>
      </c>
      <c r="DT18" s="4">
        <f t="shared" si="4"/>
        <v>0</v>
      </c>
      <c r="DU18" s="4">
        <f t="shared" si="4"/>
        <v>0</v>
      </c>
      <c r="DV18" s="4">
        <f t="shared" si="4"/>
        <v>0</v>
      </c>
      <c r="DW18" s="4">
        <f t="shared" si="4"/>
        <v>0</v>
      </c>
      <c r="DX18" s="4">
        <f t="shared" si="4"/>
        <v>0</v>
      </c>
      <c r="DY18" s="4">
        <f t="shared" si="4"/>
        <v>0</v>
      </c>
      <c r="DZ18" s="4">
        <f t="shared" si="4"/>
        <v>0</v>
      </c>
      <c r="EA18" s="4">
        <f t="shared" si="4"/>
        <v>0</v>
      </c>
      <c r="EB18" s="4">
        <f t="shared" si="4"/>
        <v>0</v>
      </c>
      <c r="EC18" s="4">
        <f t="shared" si="4"/>
        <v>0</v>
      </c>
      <c r="ED18" s="4">
        <f t="shared" si="4"/>
        <v>0</v>
      </c>
      <c r="EE18" s="4">
        <f t="shared" si="4"/>
        <v>0</v>
      </c>
      <c r="EF18" s="4">
        <f t="shared" si="4"/>
        <v>0</v>
      </c>
      <c r="EG18" s="4">
        <f t="shared" si="4"/>
        <v>0</v>
      </c>
      <c r="EH18" s="4">
        <f t="shared" si="4"/>
        <v>0</v>
      </c>
      <c r="EI18" s="4">
        <f t="shared" si="4"/>
        <v>0</v>
      </c>
      <c r="EJ18" s="4">
        <f t="shared" si="4"/>
        <v>2900208.85</v>
      </c>
      <c r="EK18" s="4">
        <f t="shared" si="4"/>
        <v>0</v>
      </c>
      <c r="EL18" s="4">
        <f t="shared" si="4"/>
        <v>0</v>
      </c>
      <c r="EM18" s="4">
        <f t="shared" ref="EM18:FR18" si="5">EM91</f>
        <v>2900208.85</v>
      </c>
      <c r="EN18" s="4">
        <f t="shared" si="5"/>
        <v>0</v>
      </c>
      <c r="EO18" s="4">
        <f t="shared" si="5"/>
        <v>0</v>
      </c>
      <c r="EP18" s="4">
        <f t="shared" si="5"/>
        <v>0</v>
      </c>
      <c r="EQ18" s="4">
        <f t="shared" si="5"/>
        <v>0</v>
      </c>
      <c r="ER18" s="4">
        <f t="shared" si="5"/>
        <v>0</v>
      </c>
      <c r="ES18" s="4">
        <f t="shared" si="5"/>
        <v>0</v>
      </c>
      <c r="ET18" s="4">
        <f t="shared" si="5"/>
        <v>0</v>
      </c>
      <c r="EU18" s="4">
        <f t="shared" si="5"/>
        <v>0</v>
      </c>
      <c r="EV18" s="4">
        <f t="shared" si="5"/>
        <v>0</v>
      </c>
      <c r="EW18" s="4">
        <f t="shared" si="5"/>
        <v>0</v>
      </c>
      <c r="EX18" s="4">
        <f t="shared" si="5"/>
        <v>0</v>
      </c>
      <c r="EY18" s="4">
        <f t="shared" si="5"/>
        <v>0</v>
      </c>
      <c r="EZ18" s="4">
        <f t="shared" si="5"/>
        <v>0</v>
      </c>
      <c r="FA18" s="4">
        <f t="shared" si="5"/>
        <v>0</v>
      </c>
      <c r="FB18" s="4">
        <f t="shared" si="5"/>
        <v>0</v>
      </c>
      <c r="FC18" s="4">
        <f t="shared" si="5"/>
        <v>0</v>
      </c>
      <c r="FD18" s="4">
        <f t="shared" si="5"/>
        <v>0</v>
      </c>
      <c r="FE18" s="4">
        <f t="shared" si="5"/>
        <v>0</v>
      </c>
      <c r="FF18" s="4">
        <f t="shared" si="5"/>
        <v>0</v>
      </c>
      <c r="FG18" s="4">
        <f t="shared" si="5"/>
        <v>0</v>
      </c>
      <c r="FH18" s="4">
        <f t="shared" si="5"/>
        <v>0</v>
      </c>
      <c r="FI18" s="4">
        <f t="shared" si="5"/>
        <v>0</v>
      </c>
      <c r="FJ18" s="4">
        <f t="shared" si="5"/>
        <v>0</v>
      </c>
      <c r="FK18" s="4">
        <f t="shared" si="5"/>
        <v>0</v>
      </c>
      <c r="FL18" s="4">
        <f t="shared" si="5"/>
        <v>0</v>
      </c>
      <c r="FM18" s="4">
        <f t="shared" si="5"/>
        <v>0</v>
      </c>
      <c r="FN18" s="4">
        <f t="shared" si="5"/>
        <v>0</v>
      </c>
      <c r="FO18" s="4">
        <f t="shared" si="5"/>
        <v>0</v>
      </c>
      <c r="FP18" s="4">
        <f t="shared" si="5"/>
        <v>0</v>
      </c>
      <c r="FQ18" s="4">
        <f t="shared" si="5"/>
        <v>0</v>
      </c>
      <c r="FR18" s="4">
        <f t="shared" si="5"/>
        <v>0</v>
      </c>
      <c r="FS18" s="4">
        <f t="shared" ref="FS18:GX18" si="6">FS91</f>
        <v>0</v>
      </c>
      <c r="FT18" s="4">
        <f t="shared" si="6"/>
        <v>0</v>
      </c>
      <c r="FU18" s="4">
        <f t="shared" si="6"/>
        <v>0</v>
      </c>
      <c r="FV18" s="4">
        <f t="shared" si="6"/>
        <v>0</v>
      </c>
      <c r="FW18" s="4">
        <f t="shared" si="6"/>
        <v>0</v>
      </c>
      <c r="FX18" s="4">
        <f t="shared" si="6"/>
        <v>0</v>
      </c>
      <c r="FY18" s="4">
        <f t="shared" si="6"/>
        <v>0</v>
      </c>
      <c r="FZ18" s="4">
        <f t="shared" si="6"/>
        <v>0</v>
      </c>
      <c r="GA18" s="4">
        <f t="shared" si="6"/>
        <v>0</v>
      </c>
      <c r="GB18" s="4">
        <f t="shared" si="6"/>
        <v>0</v>
      </c>
      <c r="GC18" s="4">
        <f t="shared" si="6"/>
        <v>0</v>
      </c>
      <c r="GD18" s="4">
        <f t="shared" si="6"/>
        <v>0</v>
      </c>
      <c r="GE18" s="4">
        <f t="shared" si="6"/>
        <v>0</v>
      </c>
      <c r="GF18" s="4">
        <f t="shared" si="6"/>
        <v>0</v>
      </c>
      <c r="GG18" s="4">
        <f t="shared" si="6"/>
        <v>0</v>
      </c>
      <c r="GH18" s="4">
        <f t="shared" si="6"/>
        <v>0</v>
      </c>
      <c r="GI18" s="4">
        <f t="shared" si="6"/>
        <v>0</v>
      </c>
      <c r="GJ18" s="4">
        <f t="shared" si="6"/>
        <v>0</v>
      </c>
      <c r="GK18" s="4">
        <f t="shared" si="6"/>
        <v>0</v>
      </c>
      <c r="GL18" s="4">
        <f t="shared" si="6"/>
        <v>0</v>
      </c>
      <c r="GM18" s="4">
        <f t="shared" si="6"/>
        <v>0</v>
      </c>
      <c r="GN18" s="4">
        <f t="shared" si="6"/>
        <v>0</v>
      </c>
      <c r="GO18" s="4">
        <f t="shared" si="6"/>
        <v>0</v>
      </c>
      <c r="GP18" s="4">
        <f t="shared" si="6"/>
        <v>0</v>
      </c>
      <c r="GQ18" s="4">
        <f t="shared" si="6"/>
        <v>0</v>
      </c>
      <c r="GR18" s="4">
        <f t="shared" si="6"/>
        <v>0</v>
      </c>
      <c r="GS18" s="4">
        <f t="shared" si="6"/>
        <v>0</v>
      </c>
      <c r="GT18" s="4">
        <f t="shared" si="6"/>
        <v>0</v>
      </c>
      <c r="GU18" s="4">
        <f t="shared" si="6"/>
        <v>0</v>
      </c>
      <c r="GV18" s="4">
        <f t="shared" si="6"/>
        <v>0</v>
      </c>
      <c r="GW18" s="4">
        <f t="shared" si="6"/>
        <v>0</v>
      </c>
      <c r="GX18" s="4">
        <f t="shared" si="6"/>
        <v>0</v>
      </c>
    </row>
    <row r="20" spans="1:255" ht="13" x14ac:dyDescent="0.3">
      <c r="A20" s="1">
        <v>3</v>
      </c>
      <c r="B20" s="1">
        <v>1</v>
      </c>
      <c r="C20" s="1"/>
      <c r="D20" s="1">
        <f>ROW(A61)</f>
        <v>61</v>
      </c>
      <c r="E20" s="1"/>
      <c r="F20" s="1" t="s">
        <v>5</v>
      </c>
      <c r="G20" s="1" t="s">
        <v>17</v>
      </c>
      <c r="H20" s="1" t="s">
        <v>3</v>
      </c>
      <c r="I20" s="1">
        <v>0</v>
      </c>
      <c r="J20" s="1" t="s">
        <v>7</v>
      </c>
      <c r="K20" s="1">
        <v>-1</v>
      </c>
      <c r="L20" s="1" t="s">
        <v>5</v>
      </c>
      <c r="M20" s="1" t="s">
        <v>3</v>
      </c>
      <c r="N20" s="1"/>
      <c r="O20" s="1"/>
      <c r="P20" s="1"/>
      <c r="Q20" s="1"/>
      <c r="R20" s="1"/>
      <c r="S20" s="1">
        <v>0</v>
      </c>
      <c r="T20" s="1">
        <v>0</v>
      </c>
      <c r="U20" s="1" t="s">
        <v>3</v>
      </c>
      <c r="V20" s="1">
        <v>0</v>
      </c>
      <c r="W20" s="1"/>
      <c r="X20" s="1"/>
      <c r="Y20" s="1"/>
      <c r="Z20" s="1"/>
      <c r="AA20" s="1"/>
      <c r="AB20" s="1" t="s">
        <v>8</v>
      </c>
      <c r="AC20" s="1" t="s">
        <v>3</v>
      </c>
      <c r="AD20" s="1" t="s">
        <v>3</v>
      </c>
      <c r="AE20" s="1" t="s">
        <v>3</v>
      </c>
      <c r="AF20" s="1" t="s">
        <v>3</v>
      </c>
      <c r="AG20" s="1" t="s">
        <v>3</v>
      </c>
      <c r="AH20" s="1"/>
      <c r="AI20" s="1"/>
      <c r="AJ20" s="1"/>
      <c r="AK20" s="1"/>
      <c r="AL20" s="1"/>
      <c r="AM20" s="1"/>
      <c r="AN20" s="1"/>
      <c r="AO20" s="1"/>
      <c r="AP20" s="1" t="s">
        <v>3</v>
      </c>
      <c r="AQ20" s="1" t="s">
        <v>3</v>
      </c>
      <c r="AR20" s="1" t="s">
        <v>3</v>
      </c>
      <c r="AS20" s="1"/>
      <c r="AT20" s="1"/>
      <c r="AU20" s="1"/>
      <c r="AV20" s="1"/>
      <c r="AW20" s="1"/>
      <c r="AX20" s="1"/>
      <c r="AY20" s="1"/>
      <c r="AZ20" s="1" t="s">
        <v>3</v>
      </c>
      <c r="BA20" s="1"/>
      <c r="BB20" s="1" t="s">
        <v>3</v>
      </c>
      <c r="BC20" s="1" t="s">
        <v>3</v>
      </c>
      <c r="BD20" s="1" t="s">
        <v>3</v>
      </c>
      <c r="BE20" s="1" t="s">
        <v>3</v>
      </c>
      <c r="BF20" s="1" t="s">
        <v>3</v>
      </c>
      <c r="BG20" s="1" t="s">
        <v>3</v>
      </c>
      <c r="BH20" s="1" t="s">
        <v>3</v>
      </c>
      <c r="BI20" s="1" t="s">
        <v>3</v>
      </c>
      <c r="BJ20" s="1" t="s">
        <v>3</v>
      </c>
      <c r="BK20" s="1" t="s">
        <v>3</v>
      </c>
      <c r="BL20" s="1" t="s">
        <v>3</v>
      </c>
      <c r="BM20" s="1" t="s">
        <v>3</v>
      </c>
      <c r="BN20" s="1" t="s">
        <v>3</v>
      </c>
      <c r="BO20" s="1" t="s">
        <v>3</v>
      </c>
      <c r="BP20" s="1" t="s">
        <v>3</v>
      </c>
      <c r="BQ20" s="1"/>
      <c r="BR20" s="1"/>
      <c r="BS20" s="1"/>
      <c r="BT20" s="1"/>
      <c r="BU20" s="1"/>
      <c r="BV20" s="1"/>
      <c r="BW20" s="1"/>
      <c r="BX20" s="1">
        <v>0</v>
      </c>
      <c r="BY20" s="1"/>
      <c r="BZ20" s="1"/>
      <c r="CA20" s="1"/>
      <c r="CB20" s="1"/>
      <c r="CC20" s="1"/>
      <c r="CD20" s="1"/>
      <c r="CE20" s="1"/>
      <c r="CF20" s="1">
        <v>0</v>
      </c>
      <c r="CG20" s="1">
        <v>0</v>
      </c>
      <c r="CH20" s="1"/>
      <c r="CI20" s="1" t="s">
        <v>3</v>
      </c>
      <c r="CJ20" s="1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</row>
    <row r="22" spans="1:255" ht="13" x14ac:dyDescent="0.3">
      <c r="A22" s="3">
        <v>52</v>
      </c>
      <c r="B22" s="3">
        <f t="shared" ref="B22:G22" si="7">B61</f>
        <v>1</v>
      </c>
      <c r="C22" s="3">
        <f t="shared" si="7"/>
        <v>3</v>
      </c>
      <c r="D22" s="3">
        <f t="shared" si="7"/>
        <v>20</v>
      </c>
      <c r="E22" s="3">
        <f t="shared" si="7"/>
        <v>0</v>
      </c>
      <c r="F22" s="3" t="str">
        <f t="shared" si="7"/>
        <v>09-01-02</v>
      </c>
      <c r="G22" s="3" t="str">
        <f t="shared" si="7"/>
        <v>Перевозка мусора</v>
      </c>
      <c r="H22" s="3"/>
      <c r="I22" s="3"/>
      <c r="J22" s="3"/>
      <c r="K22" s="3"/>
      <c r="L22" s="3"/>
      <c r="M22" s="3"/>
      <c r="N22" s="3"/>
      <c r="O22" s="3">
        <f t="shared" ref="O22:AT22" si="8">O61</f>
        <v>188203.04</v>
      </c>
      <c r="P22" s="3">
        <f t="shared" si="8"/>
        <v>0</v>
      </c>
      <c r="Q22" s="3">
        <f t="shared" si="8"/>
        <v>188203.04</v>
      </c>
      <c r="R22" s="3">
        <f t="shared" si="8"/>
        <v>0</v>
      </c>
      <c r="S22" s="3">
        <f t="shared" si="8"/>
        <v>0</v>
      </c>
      <c r="T22" s="3">
        <f t="shared" si="8"/>
        <v>0</v>
      </c>
      <c r="U22" s="3">
        <f t="shared" si="8"/>
        <v>0</v>
      </c>
      <c r="V22" s="3">
        <f t="shared" si="8"/>
        <v>0</v>
      </c>
      <c r="W22" s="3">
        <f t="shared" si="8"/>
        <v>0</v>
      </c>
      <c r="X22" s="3">
        <f t="shared" si="8"/>
        <v>0</v>
      </c>
      <c r="Y22" s="3">
        <f t="shared" si="8"/>
        <v>0</v>
      </c>
      <c r="Z22" s="3">
        <f t="shared" si="8"/>
        <v>0</v>
      </c>
      <c r="AA22" s="3">
        <f t="shared" si="8"/>
        <v>0</v>
      </c>
      <c r="AB22" s="3">
        <f t="shared" si="8"/>
        <v>0</v>
      </c>
      <c r="AC22" s="3">
        <f t="shared" si="8"/>
        <v>0</v>
      </c>
      <c r="AD22" s="3">
        <f t="shared" si="8"/>
        <v>0</v>
      </c>
      <c r="AE22" s="3">
        <f t="shared" si="8"/>
        <v>0</v>
      </c>
      <c r="AF22" s="3">
        <f t="shared" si="8"/>
        <v>0</v>
      </c>
      <c r="AG22" s="3">
        <f t="shared" si="8"/>
        <v>0</v>
      </c>
      <c r="AH22" s="3">
        <f t="shared" si="8"/>
        <v>0</v>
      </c>
      <c r="AI22" s="3">
        <f t="shared" si="8"/>
        <v>0</v>
      </c>
      <c r="AJ22" s="3">
        <f t="shared" si="8"/>
        <v>0</v>
      </c>
      <c r="AK22" s="3">
        <f t="shared" si="8"/>
        <v>0</v>
      </c>
      <c r="AL22" s="3">
        <f t="shared" si="8"/>
        <v>0</v>
      </c>
      <c r="AM22" s="3">
        <f t="shared" si="8"/>
        <v>0</v>
      </c>
      <c r="AN22" s="3">
        <f t="shared" si="8"/>
        <v>0</v>
      </c>
      <c r="AO22" s="3">
        <f t="shared" si="8"/>
        <v>0</v>
      </c>
      <c r="AP22" s="3">
        <f t="shared" si="8"/>
        <v>0</v>
      </c>
      <c r="AQ22" s="3">
        <f t="shared" si="8"/>
        <v>0</v>
      </c>
      <c r="AR22" s="3">
        <f t="shared" si="8"/>
        <v>188203.04</v>
      </c>
      <c r="AS22" s="3">
        <f t="shared" si="8"/>
        <v>0</v>
      </c>
      <c r="AT22" s="3">
        <f t="shared" si="8"/>
        <v>0</v>
      </c>
      <c r="AU22" s="3">
        <f t="shared" ref="AU22:BZ22" si="9">AU61</f>
        <v>188203.04</v>
      </c>
      <c r="AV22" s="3">
        <f t="shared" si="9"/>
        <v>0</v>
      </c>
      <c r="AW22" s="3">
        <f t="shared" si="9"/>
        <v>0</v>
      </c>
      <c r="AX22" s="3">
        <f t="shared" si="9"/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3">
        <f t="shared" si="9"/>
        <v>0</v>
      </c>
      <c r="BC22" s="3">
        <f t="shared" si="9"/>
        <v>0</v>
      </c>
      <c r="BD22" s="3">
        <f t="shared" si="9"/>
        <v>0</v>
      </c>
      <c r="BE22" s="3">
        <f t="shared" si="9"/>
        <v>0</v>
      </c>
      <c r="BF22" s="3">
        <f t="shared" si="9"/>
        <v>0</v>
      </c>
      <c r="BG22" s="3">
        <f t="shared" si="9"/>
        <v>0</v>
      </c>
      <c r="BH22" s="3">
        <f t="shared" si="9"/>
        <v>0</v>
      </c>
      <c r="BI22" s="3">
        <f t="shared" si="9"/>
        <v>0</v>
      </c>
      <c r="BJ22" s="3">
        <f t="shared" si="9"/>
        <v>0</v>
      </c>
      <c r="BK22" s="3">
        <f t="shared" si="9"/>
        <v>0</v>
      </c>
      <c r="BL22" s="3">
        <f t="shared" si="9"/>
        <v>0</v>
      </c>
      <c r="BM22" s="3">
        <f t="shared" si="9"/>
        <v>0</v>
      </c>
      <c r="BN22" s="3">
        <f t="shared" si="9"/>
        <v>0</v>
      </c>
      <c r="BO22" s="3">
        <f t="shared" si="9"/>
        <v>0</v>
      </c>
      <c r="BP22" s="3">
        <f t="shared" si="9"/>
        <v>0</v>
      </c>
      <c r="BQ22" s="3">
        <f t="shared" si="9"/>
        <v>0</v>
      </c>
      <c r="BR22" s="3">
        <f t="shared" si="9"/>
        <v>0</v>
      </c>
      <c r="BS22" s="3">
        <f t="shared" si="9"/>
        <v>0</v>
      </c>
      <c r="BT22" s="3">
        <f t="shared" si="9"/>
        <v>0</v>
      </c>
      <c r="BU22" s="3">
        <f t="shared" si="9"/>
        <v>0</v>
      </c>
      <c r="BV22" s="3">
        <f t="shared" si="9"/>
        <v>0</v>
      </c>
      <c r="BW22" s="3">
        <f t="shared" si="9"/>
        <v>0</v>
      </c>
      <c r="BX22" s="3">
        <f t="shared" si="9"/>
        <v>0</v>
      </c>
      <c r="BY22" s="3">
        <f t="shared" si="9"/>
        <v>0</v>
      </c>
      <c r="BZ22" s="3">
        <f t="shared" si="9"/>
        <v>0</v>
      </c>
      <c r="CA22" s="3">
        <f t="shared" ref="CA22:DF22" si="10">CA61</f>
        <v>0</v>
      </c>
      <c r="CB22" s="3">
        <f t="shared" si="10"/>
        <v>0</v>
      </c>
      <c r="CC22" s="3">
        <f t="shared" si="10"/>
        <v>0</v>
      </c>
      <c r="CD22" s="3">
        <f t="shared" si="10"/>
        <v>0</v>
      </c>
      <c r="CE22" s="3">
        <f t="shared" si="10"/>
        <v>0</v>
      </c>
      <c r="CF22" s="3">
        <f t="shared" si="10"/>
        <v>0</v>
      </c>
      <c r="CG22" s="3">
        <f t="shared" si="10"/>
        <v>0</v>
      </c>
      <c r="CH22" s="3">
        <f t="shared" si="10"/>
        <v>0</v>
      </c>
      <c r="CI22" s="3">
        <f t="shared" si="10"/>
        <v>0</v>
      </c>
      <c r="CJ22" s="3">
        <f t="shared" si="10"/>
        <v>0</v>
      </c>
      <c r="CK22" s="3">
        <f t="shared" si="10"/>
        <v>0</v>
      </c>
      <c r="CL22" s="3">
        <f t="shared" si="10"/>
        <v>0</v>
      </c>
      <c r="CM22" s="3">
        <f t="shared" si="10"/>
        <v>0</v>
      </c>
      <c r="CN22" s="3">
        <f t="shared" si="10"/>
        <v>0</v>
      </c>
      <c r="CO22" s="3">
        <f t="shared" si="10"/>
        <v>0</v>
      </c>
      <c r="CP22" s="3">
        <f t="shared" si="10"/>
        <v>0</v>
      </c>
      <c r="CQ22" s="3">
        <f t="shared" si="10"/>
        <v>0</v>
      </c>
      <c r="CR22" s="3">
        <f t="shared" si="10"/>
        <v>0</v>
      </c>
      <c r="CS22" s="3">
        <f t="shared" si="10"/>
        <v>0</v>
      </c>
      <c r="CT22" s="3">
        <f t="shared" si="10"/>
        <v>0</v>
      </c>
      <c r="CU22" s="3">
        <f t="shared" si="10"/>
        <v>0</v>
      </c>
      <c r="CV22" s="3">
        <f t="shared" si="10"/>
        <v>0</v>
      </c>
      <c r="CW22" s="3">
        <f t="shared" si="10"/>
        <v>0</v>
      </c>
      <c r="CX22" s="3">
        <f t="shared" si="10"/>
        <v>0</v>
      </c>
      <c r="CY22" s="3">
        <f t="shared" si="10"/>
        <v>0</v>
      </c>
      <c r="CZ22" s="3">
        <f t="shared" si="10"/>
        <v>0</v>
      </c>
      <c r="DA22" s="3">
        <f t="shared" si="10"/>
        <v>0</v>
      </c>
      <c r="DB22" s="3">
        <f t="shared" si="10"/>
        <v>0</v>
      </c>
      <c r="DC22" s="3">
        <f t="shared" si="10"/>
        <v>0</v>
      </c>
      <c r="DD22" s="3">
        <f t="shared" si="10"/>
        <v>0</v>
      </c>
      <c r="DE22" s="3">
        <f t="shared" si="10"/>
        <v>0</v>
      </c>
      <c r="DF22" s="3">
        <f t="shared" si="10"/>
        <v>0</v>
      </c>
      <c r="DG22" s="4">
        <f t="shared" ref="DG22:EL22" si="11">DG61</f>
        <v>2900208.85</v>
      </c>
      <c r="DH22" s="4">
        <f t="shared" si="11"/>
        <v>0</v>
      </c>
      <c r="DI22" s="4">
        <f t="shared" si="11"/>
        <v>2900208.85</v>
      </c>
      <c r="DJ22" s="4">
        <f t="shared" si="11"/>
        <v>0</v>
      </c>
      <c r="DK22" s="4">
        <f t="shared" si="11"/>
        <v>0</v>
      </c>
      <c r="DL22" s="4">
        <f t="shared" si="11"/>
        <v>0</v>
      </c>
      <c r="DM22" s="4">
        <f t="shared" si="11"/>
        <v>0</v>
      </c>
      <c r="DN22" s="4">
        <f t="shared" si="11"/>
        <v>0</v>
      </c>
      <c r="DO22" s="4">
        <f t="shared" si="11"/>
        <v>0</v>
      </c>
      <c r="DP22" s="4">
        <f t="shared" si="11"/>
        <v>0</v>
      </c>
      <c r="DQ22" s="4">
        <f t="shared" si="11"/>
        <v>0</v>
      </c>
      <c r="DR22" s="4">
        <f t="shared" si="11"/>
        <v>0</v>
      </c>
      <c r="DS22" s="4">
        <f t="shared" si="11"/>
        <v>0</v>
      </c>
      <c r="DT22" s="4">
        <f t="shared" si="11"/>
        <v>0</v>
      </c>
      <c r="DU22" s="4">
        <f t="shared" si="11"/>
        <v>0</v>
      </c>
      <c r="DV22" s="4">
        <f t="shared" si="11"/>
        <v>0</v>
      </c>
      <c r="DW22" s="4">
        <f t="shared" si="11"/>
        <v>0</v>
      </c>
      <c r="DX22" s="4">
        <f t="shared" si="11"/>
        <v>0</v>
      </c>
      <c r="DY22" s="4">
        <f t="shared" si="11"/>
        <v>0</v>
      </c>
      <c r="DZ22" s="4">
        <f t="shared" si="11"/>
        <v>0</v>
      </c>
      <c r="EA22" s="4">
        <f t="shared" si="11"/>
        <v>0</v>
      </c>
      <c r="EB22" s="4">
        <f t="shared" si="11"/>
        <v>0</v>
      </c>
      <c r="EC22" s="4">
        <f t="shared" si="11"/>
        <v>0</v>
      </c>
      <c r="ED22" s="4">
        <f t="shared" si="11"/>
        <v>0</v>
      </c>
      <c r="EE22" s="4">
        <f t="shared" si="11"/>
        <v>0</v>
      </c>
      <c r="EF22" s="4">
        <f t="shared" si="11"/>
        <v>0</v>
      </c>
      <c r="EG22" s="4">
        <f t="shared" si="11"/>
        <v>0</v>
      </c>
      <c r="EH22" s="4">
        <f t="shared" si="11"/>
        <v>0</v>
      </c>
      <c r="EI22" s="4">
        <f t="shared" si="11"/>
        <v>0</v>
      </c>
      <c r="EJ22" s="4">
        <f t="shared" si="11"/>
        <v>2900208.85</v>
      </c>
      <c r="EK22" s="4">
        <f t="shared" si="11"/>
        <v>0</v>
      </c>
      <c r="EL22" s="4">
        <f t="shared" si="11"/>
        <v>0</v>
      </c>
      <c r="EM22" s="4">
        <f t="shared" ref="EM22:FR22" si="12">EM61</f>
        <v>2900208.85</v>
      </c>
      <c r="EN22" s="4">
        <f t="shared" si="12"/>
        <v>0</v>
      </c>
      <c r="EO22" s="4">
        <f t="shared" si="12"/>
        <v>0</v>
      </c>
      <c r="EP22" s="4">
        <f t="shared" si="12"/>
        <v>0</v>
      </c>
      <c r="EQ22" s="4">
        <f t="shared" si="12"/>
        <v>0</v>
      </c>
      <c r="ER22" s="4">
        <f t="shared" si="12"/>
        <v>0</v>
      </c>
      <c r="ES22" s="4">
        <f t="shared" si="12"/>
        <v>0</v>
      </c>
      <c r="ET22" s="4">
        <f t="shared" si="12"/>
        <v>0</v>
      </c>
      <c r="EU22" s="4">
        <f t="shared" si="12"/>
        <v>0</v>
      </c>
      <c r="EV22" s="4">
        <f t="shared" si="12"/>
        <v>0</v>
      </c>
      <c r="EW22" s="4">
        <f t="shared" si="12"/>
        <v>0</v>
      </c>
      <c r="EX22" s="4">
        <f t="shared" si="12"/>
        <v>0</v>
      </c>
      <c r="EY22" s="4">
        <f t="shared" si="12"/>
        <v>0</v>
      </c>
      <c r="EZ22" s="4">
        <f t="shared" si="12"/>
        <v>0</v>
      </c>
      <c r="FA22" s="4">
        <f t="shared" si="12"/>
        <v>0</v>
      </c>
      <c r="FB22" s="4">
        <f t="shared" si="12"/>
        <v>0</v>
      </c>
      <c r="FC22" s="4">
        <f t="shared" si="12"/>
        <v>0</v>
      </c>
      <c r="FD22" s="4">
        <f t="shared" si="12"/>
        <v>0</v>
      </c>
      <c r="FE22" s="4">
        <f t="shared" si="12"/>
        <v>0</v>
      </c>
      <c r="FF22" s="4">
        <f t="shared" si="12"/>
        <v>0</v>
      </c>
      <c r="FG22" s="4">
        <f t="shared" si="12"/>
        <v>0</v>
      </c>
      <c r="FH22" s="4">
        <f t="shared" si="12"/>
        <v>0</v>
      </c>
      <c r="FI22" s="4">
        <f t="shared" si="12"/>
        <v>0</v>
      </c>
      <c r="FJ22" s="4">
        <f t="shared" si="12"/>
        <v>0</v>
      </c>
      <c r="FK22" s="4">
        <f t="shared" si="12"/>
        <v>0</v>
      </c>
      <c r="FL22" s="4">
        <f t="shared" si="12"/>
        <v>0</v>
      </c>
      <c r="FM22" s="4">
        <f t="shared" si="12"/>
        <v>0</v>
      </c>
      <c r="FN22" s="4">
        <f t="shared" si="12"/>
        <v>0</v>
      </c>
      <c r="FO22" s="4">
        <f t="shared" si="12"/>
        <v>0</v>
      </c>
      <c r="FP22" s="4">
        <f t="shared" si="12"/>
        <v>0</v>
      </c>
      <c r="FQ22" s="4">
        <f t="shared" si="12"/>
        <v>0</v>
      </c>
      <c r="FR22" s="4">
        <f t="shared" si="12"/>
        <v>0</v>
      </c>
      <c r="FS22" s="4">
        <f t="shared" ref="FS22:GX22" si="13">FS61</f>
        <v>0</v>
      </c>
      <c r="FT22" s="4">
        <f t="shared" si="13"/>
        <v>0</v>
      </c>
      <c r="FU22" s="4">
        <f t="shared" si="13"/>
        <v>0</v>
      </c>
      <c r="FV22" s="4">
        <f t="shared" si="13"/>
        <v>0</v>
      </c>
      <c r="FW22" s="4">
        <f t="shared" si="13"/>
        <v>0</v>
      </c>
      <c r="FX22" s="4">
        <f t="shared" si="13"/>
        <v>0</v>
      </c>
      <c r="FY22" s="4">
        <f t="shared" si="13"/>
        <v>0</v>
      </c>
      <c r="FZ22" s="4">
        <f t="shared" si="13"/>
        <v>0</v>
      </c>
      <c r="GA22" s="4">
        <f t="shared" si="13"/>
        <v>0</v>
      </c>
      <c r="GB22" s="4">
        <f t="shared" si="13"/>
        <v>0</v>
      </c>
      <c r="GC22" s="4">
        <f t="shared" si="13"/>
        <v>0</v>
      </c>
      <c r="GD22" s="4">
        <f t="shared" si="13"/>
        <v>0</v>
      </c>
      <c r="GE22" s="4">
        <f t="shared" si="13"/>
        <v>0</v>
      </c>
      <c r="GF22" s="4">
        <f t="shared" si="13"/>
        <v>0</v>
      </c>
      <c r="GG22" s="4">
        <f t="shared" si="13"/>
        <v>0</v>
      </c>
      <c r="GH22" s="4">
        <f t="shared" si="13"/>
        <v>0</v>
      </c>
      <c r="GI22" s="4">
        <f t="shared" si="13"/>
        <v>0</v>
      </c>
      <c r="GJ22" s="4">
        <f t="shared" si="13"/>
        <v>0</v>
      </c>
      <c r="GK22" s="4">
        <f t="shared" si="13"/>
        <v>0</v>
      </c>
      <c r="GL22" s="4">
        <f t="shared" si="13"/>
        <v>0</v>
      </c>
      <c r="GM22" s="4">
        <f t="shared" si="13"/>
        <v>0</v>
      </c>
      <c r="GN22" s="4">
        <f t="shared" si="13"/>
        <v>0</v>
      </c>
      <c r="GO22" s="4">
        <f t="shared" si="13"/>
        <v>0</v>
      </c>
      <c r="GP22" s="4">
        <f t="shared" si="13"/>
        <v>0</v>
      </c>
      <c r="GQ22" s="4">
        <f t="shared" si="13"/>
        <v>0</v>
      </c>
      <c r="GR22" s="4">
        <f t="shared" si="13"/>
        <v>0</v>
      </c>
      <c r="GS22" s="4">
        <f t="shared" si="13"/>
        <v>0</v>
      </c>
      <c r="GT22" s="4">
        <f t="shared" si="13"/>
        <v>0</v>
      </c>
      <c r="GU22" s="4">
        <f t="shared" si="13"/>
        <v>0</v>
      </c>
      <c r="GV22" s="4">
        <f t="shared" si="13"/>
        <v>0</v>
      </c>
      <c r="GW22" s="4">
        <f t="shared" si="13"/>
        <v>0</v>
      </c>
      <c r="GX22" s="4">
        <f t="shared" si="13"/>
        <v>0</v>
      </c>
    </row>
    <row r="24" spans="1:255" ht="13" x14ac:dyDescent="0.3">
      <c r="A24" s="1">
        <v>4</v>
      </c>
      <c r="B24" s="1">
        <v>1</v>
      </c>
      <c r="C24" s="1"/>
      <c r="D24" s="1">
        <f>ROW(A31)</f>
        <v>31</v>
      </c>
      <c r="E24" s="1"/>
      <c r="F24" s="1" t="s">
        <v>18</v>
      </c>
      <c r="G24" s="1" t="s">
        <v>17</v>
      </c>
      <c r="H24" s="1" t="s">
        <v>3</v>
      </c>
      <c r="I24" s="1">
        <v>0</v>
      </c>
      <c r="J24" s="1"/>
      <c r="K24" s="1">
        <v>0</v>
      </c>
      <c r="L24" s="1"/>
      <c r="M24" s="1" t="s">
        <v>3</v>
      </c>
      <c r="N24" s="1"/>
      <c r="O24" s="1"/>
      <c r="P24" s="1"/>
      <c r="Q24" s="1"/>
      <c r="R24" s="1"/>
      <c r="S24" s="1">
        <v>0</v>
      </c>
      <c r="T24" s="1">
        <v>0</v>
      </c>
      <c r="U24" s="1" t="s">
        <v>3</v>
      </c>
      <c r="V24" s="1">
        <v>0</v>
      </c>
      <c r="W24" s="1"/>
      <c r="X24" s="1"/>
      <c r="Y24" s="1"/>
      <c r="Z24" s="1"/>
      <c r="AA24" s="1"/>
      <c r="AB24" s="1" t="s">
        <v>3</v>
      </c>
      <c r="AC24" s="1" t="s">
        <v>3</v>
      </c>
      <c r="AD24" s="1" t="s">
        <v>3</v>
      </c>
      <c r="AE24" s="1" t="s">
        <v>3</v>
      </c>
      <c r="AF24" s="1" t="s">
        <v>3</v>
      </c>
      <c r="AG24" s="1" t="s">
        <v>3</v>
      </c>
      <c r="AH24" s="1"/>
      <c r="AI24" s="1"/>
      <c r="AJ24" s="1"/>
      <c r="AK24" s="1"/>
      <c r="AL24" s="1"/>
      <c r="AM24" s="1"/>
      <c r="AN24" s="1"/>
      <c r="AO24" s="1"/>
      <c r="AP24" s="1" t="s">
        <v>3</v>
      </c>
      <c r="AQ24" s="1" t="s">
        <v>3</v>
      </c>
      <c r="AR24" s="1" t="s">
        <v>3</v>
      </c>
      <c r="AS24" s="1"/>
      <c r="AT24" s="1"/>
      <c r="AU24" s="1"/>
      <c r="AV24" s="1"/>
      <c r="AW24" s="1"/>
      <c r="AX24" s="1"/>
      <c r="AY24" s="1"/>
      <c r="AZ24" s="1" t="s">
        <v>3</v>
      </c>
      <c r="BA24" s="1"/>
      <c r="BB24" s="1" t="s">
        <v>3</v>
      </c>
      <c r="BC24" s="1" t="s">
        <v>3</v>
      </c>
      <c r="BD24" s="1" t="s">
        <v>3</v>
      </c>
      <c r="BE24" s="1" t="s">
        <v>3</v>
      </c>
      <c r="BF24" s="1" t="s">
        <v>3</v>
      </c>
      <c r="BG24" s="1" t="s">
        <v>3</v>
      </c>
      <c r="BH24" s="1" t="s">
        <v>3</v>
      </c>
      <c r="BI24" s="1" t="s">
        <v>3</v>
      </c>
      <c r="BJ24" s="1" t="s">
        <v>3</v>
      </c>
      <c r="BK24" s="1" t="s">
        <v>3</v>
      </c>
      <c r="BL24" s="1" t="s">
        <v>3</v>
      </c>
      <c r="BM24" s="1" t="s">
        <v>3</v>
      </c>
      <c r="BN24" s="1" t="s">
        <v>3</v>
      </c>
      <c r="BO24" s="1" t="s">
        <v>3</v>
      </c>
      <c r="BP24" s="1" t="s">
        <v>3</v>
      </c>
      <c r="BQ24" s="1"/>
      <c r="BR24" s="1"/>
      <c r="BS24" s="1"/>
      <c r="BT24" s="1"/>
      <c r="BU24" s="1"/>
      <c r="BV24" s="1"/>
      <c r="BW24" s="1"/>
      <c r="BX24" s="1">
        <v>0</v>
      </c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>
        <v>0</v>
      </c>
    </row>
    <row r="26" spans="1:255" ht="13" x14ac:dyDescent="0.3">
      <c r="A26" s="3">
        <v>52</v>
      </c>
      <c r="B26" s="3">
        <f t="shared" ref="B26:G26" si="14">B31</f>
        <v>1</v>
      </c>
      <c r="C26" s="3">
        <f t="shared" si="14"/>
        <v>4</v>
      </c>
      <c r="D26" s="3">
        <f t="shared" si="14"/>
        <v>24</v>
      </c>
      <c r="E26" s="3">
        <f t="shared" si="14"/>
        <v>0</v>
      </c>
      <c r="F26" s="3" t="str">
        <f t="shared" si="14"/>
        <v>Новый раздел</v>
      </c>
      <c r="G26" s="3" t="str">
        <f t="shared" si="14"/>
        <v>Перевозка мусора</v>
      </c>
      <c r="H26" s="3"/>
      <c r="I26" s="3"/>
      <c r="J26" s="3"/>
      <c r="K26" s="3"/>
      <c r="L26" s="3"/>
      <c r="M26" s="3"/>
      <c r="N26" s="3"/>
      <c r="O26" s="3">
        <f t="shared" ref="O26:AT26" si="15">O31</f>
        <v>188203.04</v>
      </c>
      <c r="P26" s="3">
        <f t="shared" si="15"/>
        <v>0</v>
      </c>
      <c r="Q26" s="3">
        <f t="shared" si="15"/>
        <v>188203.04</v>
      </c>
      <c r="R26" s="3">
        <f t="shared" si="15"/>
        <v>0</v>
      </c>
      <c r="S26" s="3">
        <f t="shared" si="15"/>
        <v>0</v>
      </c>
      <c r="T26" s="3">
        <f t="shared" si="15"/>
        <v>0</v>
      </c>
      <c r="U26" s="3">
        <f t="shared" si="15"/>
        <v>0</v>
      </c>
      <c r="V26" s="3">
        <f t="shared" si="15"/>
        <v>0</v>
      </c>
      <c r="W26" s="3">
        <f t="shared" si="15"/>
        <v>0</v>
      </c>
      <c r="X26" s="3">
        <f t="shared" si="15"/>
        <v>0</v>
      </c>
      <c r="Y26" s="3">
        <f t="shared" si="15"/>
        <v>0</v>
      </c>
      <c r="Z26" s="3">
        <f t="shared" si="15"/>
        <v>0</v>
      </c>
      <c r="AA26" s="3">
        <f t="shared" si="15"/>
        <v>0</v>
      </c>
      <c r="AB26" s="3">
        <f t="shared" si="15"/>
        <v>188203.04</v>
      </c>
      <c r="AC26" s="3">
        <f t="shared" si="15"/>
        <v>0</v>
      </c>
      <c r="AD26" s="3">
        <f t="shared" si="15"/>
        <v>188203.04</v>
      </c>
      <c r="AE26" s="3">
        <f t="shared" si="15"/>
        <v>0</v>
      </c>
      <c r="AF26" s="3">
        <f t="shared" si="15"/>
        <v>0</v>
      </c>
      <c r="AG26" s="3">
        <f t="shared" si="15"/>
        <v>0</v>
      </c>
      <c r="AH26" s="3">
        <f t="shared" si="15"/>
        <v>0</v>
      </c>
      <c r="AI26" s="3">
        <f t="shared" si="15"/>
        <v>0</v>
      </c>
      <c r="AJ26" s="3">
        <f t="shared" si="15"/>
        <v>0</v>
      </c>
      <c r="AK26" s="3">
        <f t="shared" si="15"/>
        <v>0</v>
      </c>
      <c r="AL26" s="3">
        <f t="shared" si="15"/>
        <v>0</v>
      </c>
      <c r="AM26" s="3">
        <f t="shared" si="15"/>
        <v>0</v>
      </c>
      <c r="AN26" s="3">
        <f t="shared" si="15"/>
        <v>0</v>
      </c>
      <c r="AO26" s="3">
        <f t="shared" si="15"/>
        <v>0</v>
      </c>
      <c r="AP26" s="3">
        <f t="shared" si="15"/>
        <v>0</v>
      </c>
      <c r="AQ26" s="3">
        <f t="shared" si="15"/>
        <v>0</v>
      </c>
      <c r="AR26" s="3">
        <f t="shared" si="15"/>
        <v>188203.04</v>
      </c>
      <c r="AS26" s="3">
        <f t="shared" si="15"/>
        <v>0</v>
      </c>
      <c r="AT26" s="3">
        <f t="shared" si="15"/>
        <v>0</v>
      </c>
      <c r="AU26" s="3">
        <f t="shared" ref="AU26:BZ26" si="16">AU31</f>
        <v>188203.04</v>
      </c>
      <c r="AV26" s="3">
        <f t="shared" si="16"/>
        <v>0</v>
      </c>
      <c r="AW26" s="3">
        <f t="shared" si="16"/>
        <v>0</v>
      </c>
      <c r="AX26" s="3">
        <f t="shared" si="16"/>
        <v>0</v>
      </c>
      <c r="AY26" s="3">
        <f t="shared" si="16"/>
        <v>0</v>
      </c>
      <c r="AZ26" s="3">
        <f t="shared" si="16"/>
        <v>0</v>
      </c>
      <c r="BA26" s="3">
        <f t="shared" si="16"/>
        <v>0</v>
      </c>
      <c r="BB26" s="3">
        <f t="shared" si="16"/>
        <v>0</v>
      </c>
      <c r="BC26" s="3">
        <f t="shared" si="16"/>
        <v>0</v>
      </c>
      <c r="BD26" s="3">
        <f t="shared" si="16"/>
        <v>0</v>
      </c>
      <c r="BE26" s="3">
        <f t="shared" si="16"/>
        <v>0</v>
      </c>
      <c r="BF26" s="3">
        <f t="shared" si="16"/>
        <v>0</v>
      </c>
      <c r="BG26" s="3">
        <f t="shared" si="16"/>
        <v>0</v>
      </c>
      <c r="BH26" s="3">
        <f t="shared" si="16"/>
        <v>0</v>
      </c>
      <c r="BI26" s="3">
        <f t="shared" si="16"/>
        <v>0</v>
      </c>
      <c r="BJ26" s="3">
        <f t="shared" si="16"/>
        <v>0</v>
      </c>
      <c r="BK26" s="3">
        <f t="shared" si="16"/>
        <v>0</v>
      </c>
      <c r="BL26" s="3">
        <f t="shared" si="16"/>
        <v>0</v>
      </c>
      <c r="BM26" s="3">
        <f t="shared" si="16"/>
        <v>0</v>
      </c>
      <c r="BN26" s="3">
        <f t="shared" si="16"/>
        <v>0</v>
      </c>
      <c r="BO26" s="3">
        <f t="shared" si="16"/>
        <v>0</v>
      </c>
      <c r="BP26" s="3">
        <f t="shared" si="16"/>
        <v>0</v>
      </c>
      <c r="BQ26" s="3">
        <f t="shared" si="16"/>
        <v>0</v>
      </c>
      <c r="BR26" s="3">
        <f t="shared" si="16"/>
        <v>0</v>
      </c>
      <c r="BS26" s="3">
        <f t="shared" si="16"/>
        <v>0</v>
      </c>
      <c r="BT26" s="3">
        <f t="shared" si="16"/>
        <v>0</v>
      </c>
      <c r="BU26" s="3">
        <f t="shared" si="16"/>
        <v>0</v>
      </c>
      <c r="BV26" s="3">
        <f t="shared" si="16"/>
        <v>0</v>
      </c>
      <c r="BW26" s="3">
        <f t="shared" si="16"/>
        <v>0</v>
      </c>
      <c r="BX26" s="3">
        <f t="shared" si="16"/>
        <v>0</v>
      </c>
      <c r="BY26" s="3">
        <f t="shared" si="16"/>
        <v>0</v>
      </c>
      <c r="BZ26" s="3">
        <f t="shared" si="16"/>
        <v>0</v>
      </c>
      <c r="CA26" s="3">
        <f t="shared" ref="CA26:DF26" si="17">CA31</f>
        <v>188203.04</v>
      </c>
      <c r="CB26" s="3">
        <f t="shared" si="17"/>
        <v>0</v>
      </c>
      <c r="CC26" s="3">
        <f t="shared" si="17"/>
        <v>0</v>
      </c>
      <c r="CD26" s="3">
        <f t="shared" si="17"/>
        <v>188203.04</v>
      </c>
      <c r="CE26" s="3">
        <f t="shared" si="17"/>
        <v>0</v>
      </c>
      <c r="CF26" s="3">
        <f t="shared" si="17"/>
        <v>0</v>
      </c>
      <c r="CG26" s="3">
        <f t="shared" si="17"/>
        <v>0</v>
      </c>
      <c r="CH26" s="3">
        <f t="shared" si="17"/>
        <v>0</v>
      </c>
      <c r="CI26" s="3">
        <f t="shared" si="17"/>
        <v>0</v>
      </c>
      <c r="CJ26" s="3">
        <f t="shared" si="17"/>
        <v>0</v>
      </c>
      <c r="CK26" s="3">
        <f t="shared" si="17"/>
        <v>0</v>
      </c>
      <c r="CL26" s="3">
        <f t="shared" si="17"/>
        <v>0</v>
      </c>
      <c r="CM26" s="3">
        <f t="shared" si="17"/>
        <v>0</v>
      </c>
      <c r="CN26" s="3">
        <f t="shared" si="17"/>
        <v>0</v>
      </c>
      <c r="CO26" s="3">
        <f t="shared" si="17"/>
        <v>0</v>
      </c>
      <c r="CP26" s="3">
        <f t="shared" si="17"/>
        <v>0</v>
      </c>
      <c r="CQ26" s="3">
        <f t="shared" si="17"/>
        <v>0</v>
      </c>
      <c r="CR26" s="3">
        <f t="shared" si="17"/>
        <v>0</v>
      </c>
      <c r="CS26" s="3">
        <f t="shared" si="17"/>
        <v>0</v>
      </c>
      <c r="CT26" s="3">
        <f t="shared" si="17"/>
        <v>0</v>
      </c>
      <c r="CU26" s="3">
        <f t="shared" si="17"/>
        <v>0</v>
      </c>
      <c r="CV26" s="3">
        <f t="shared" si="17"/>
        <v>0</v>
      </c>
      <c r="CW26" s="3">
        <f t="shared" si="17"/>
        <v>0</v>
      </c>
      <c r="CX26" s="3">
        <f t="shared" si="17"/>
        <v>0</v>
      </c>
      <c r="CY26" s="3">
        <f t="shared" si="17"/>
        <v>0</v>
      </c>
      <c r="CZ26" s="3">
        <f t="shared" si="17"/>
        <v>0</v>
      </c>
      <c r="DA26" s="3">
        <f t="shared" si="17"/>
        <v>0</v>
      </c>
      <c r="DB26" s="3">
        <f t="shared" si="17"/>
        <v>0</v>
      </c>
      <c r="DC26" s="3">
        <f t="shared" si="17"/>
        <v>0</v>
      </c>
      <c r="DD26" s="3">
        <f t="shared" si="17"/>
        <v>0</v>
      </c>
      <c r="DE26" s="3">
        <f t="shared" si="17"/>
        <v>0</v>
      </c>
      <c r="DF26" s="3">
        <f t="shared" si="17"/>
        <v>0</v>
      </c>
      <c r="DG26" s="4">
        <f t="shared" ref="DG26:EL26" si="18">DG31</f>
        <v>2900208.85</v>
      </c>
      <c r="DH26" s="4">
        <f t="shared" si="18"/>
        <v>0</v>
      </c>
      <c r="DI26" s="4">
        <f t="shared" si="18"/>
        <v>2900208.85</v>
      </c>
      <c r="DJ26" s="4">
        <f t="shared" si="18"/>
        <v>0</v>
      </c>
      <c r="DK26" s="4">
        <f t="shared" si="18"/>
        <v>0</v>
      </c>
      <c r="DL26" s="4">
        <f t="shared" si="18"/>
        <v>0</v>
      </c>
      <c r="DM26" s="4">
        <f t="shared" si="18"/>
        <v>0</v>
      </c>
      <c r="DN26" s="4">
        <f t="shared" si="18"/>
        <v>0</v>
      </c>
      <c r="DO26" s="4">
        <f t="shared" si="18"/>
        <v>0</v>
      </c>
      <c r="DP26" s="4">
        <f t="shared" si="18"/>
        <v>0</v>
      </c>
      <c r="DQ26" s="4">
        <f t="shared" si="18"/>
        <v>0</v>
      </c>
      <c r="DR26" s="4">
        <f t="shared" si="18"/>
        <v>0</v>
      </c>
      <c r="DS26" s="4">
        <f t="shared" si="18"/>
        <v>0</v>
      </c>
      <c r="DT26" s="4">
        <f t="shared" si="18"/>
        <v>2900208.85</v>
      </c>
      <c r="DU26" s="4">
        <f t="shared" si="18"/>
        <v>0</v>
      </c>
      <c r="DV26" s="4">
        <f t="shared" si="18"/>
        <v>2900208.85</v>
      </c>
      <c r="DW26" s="4">
        <f t="shared" si="18"/>
        <v>0</v>
      </c>
      <c r="DX26" s="4">
        <f t="shared" si="18"/>
        <v>0</v>
      </c>
      <c r="DY26" s="4">
        <f t="shared" si="18"/>
        <v>0</v>
      </c>
      <c r="DZ26" s="4">
        <f t="shared" si="18"/>
        <v>0</v>
      </c>
      <c r="EA26" s="4">
        <f t="shared" si="18"/>
        <v>0</v>
      </c>
      <c r="EB26" s="4">
        <f t="shared" si="18"/>
        <v>0</v>
      </c>
      <c r="EC26" s="4">
        <f t="shared" si="18"/>
        <v>0</v>
      </c>
      <c r="ED26" s="4">
        <f t="shared" si="18"/>
        <v>0</v>
      </c>
      <c r="EE26" s="4">
        <f t="shared" si="18"/>
        <v>0</v>
      </c>
      <c r="EF26" s="4">
        <f t="shared" si="18"/>
        <v>0</v>
      </c>
      <c r="EG26" s="4">
        <f t="shared" si="18"/>
        <v>0</v>
      </c>
      <c r="EH26" s="4">
        <f t="shared" si="18"/>
        <v>0</v>
      </c>
      <c r="EI26" s="4">
        <f t="shared" si="18"/>
        <v>0</v>
      </c>
      <c r="EJ26" s="4">
        <f t="shared" si="18"/>
        <v>2900208.85</v>
      </c>
      <c r="EK26" s="4">
        <f t="shared" si="18"/>
        <v>0</v>
      </c>
      <c r="EL26" s="4">
        <f t="shared" si="18"/>
        <v>0</v>
      </c>
      <c r="EM26" s="4">
        <f t="shared" ref="EM26:FR26" si="19">EM31</f>
        <v>2900208.85</v>
      </c>
      <c r="EN26" s="4">
        <f t="shared" si="19"/>
        <v>0</v>
      </c>
      <c r="EO26" s="4">
        <f t="shared" si="19"/>
        <v>0</v>
      </c>
      <c r="EP26" s="4">
        <f t="shared" si="19"/>
        <v>0</v>
      </c>
      <c r="EQ26" s="4">
        <f t="shared" si="19"/>
        <v>0</v>
      </c>
      <c r="ER26" s="4">
        <f t="shared" si="19"/>
        <v>0</v>
      </c>
      <c r="ES26" s="4">
        <f t="shared" si="19"/>
        <v>0</v>
      </c>
      <c r="ET26" s="4">
        <f t="shared" si="19"/>
        <v>0</v>
      </c>
      <c r="EU26" s="4">
        <f t="shared" si="19"/>
        <v>0</v>
      </c>
      <c r="EV26" s="4">
        <f t="shared" si="19"/>
        <v>0</v>
      </c>
      <c r="EW26" s="4">
        <f t="shared" si="19"/>
        <v>0</v>
      </c>
      <c r="EX26" s="4">
        <f t="shared" si="19"/>
        <v>0</v>
      </c>
      <c r="EY26" s="4">
        <f t="shared" si="19"/>
        <v>0</v>
      </c>
      <c r="EZ26" s="4">
        <f t="shared" si="19"/>
        <v>0</v>
      </c>
      <c r="FA26" s="4">
        <f t="shared" si="19"/>
        <v>0</v>
      </c>
      <c r="FB26" s="4">
        <f t="shared" si="19"/>
        <v>0</v>
      </c>
      <c r="FC26" s="4">
        <f t="shared" si="19"/>
        <v>0</v>
      </c>
      <c r="FD26" s="4">
        <f t="shared" si="19"/>
        <v>0</v>
      </c>
      <c r="FE26" s="4">
        <f t="shared" si="19"/>
        <v>0</v>
      </c>
      <c r="FF26" s="4">
        <f t="shared" si="19"/>
        <v>0</v>
      </c>
      <c r="FG26" s="4">
        <f t="shared" si="19"/>
        <v>0</v>
      </c>
      <c r="FH26" s="4">
        <f t="shared" si="19"/>
        <v>0</v>
      </c>
      <c r="FI26" s="4">
        <f t="shared" si="19"/>
        <v>0</v>
      </c>
      <c r="FJ26" s="4">
        <f t="shared" si="19"/>
        <v>0</v>
      </c>
      <c r="FK26" s="4">
        <f t="shared" si="19"/>
        <v>0</v>
      </c>
      <c r="FL26" s="4">
        <f t="shared" si="19"/>
        <v>0</v>
      </c>
      <c r="FM26" s="4">
        <f t="shared" si="19"/>
        <v>0</v>
      </c>
      <c r="FN26" s="4">
        <f t="shared" si="19"/>
        <v>0</v>
      </c>
      <c r="FO26" s="4">
        <f t="shared" si="19"/>
        <v>0</v>
      </c>
      <c r="FP26" s="4">
        <f t="shared" si="19"/>
        <v>0</v>
      </c>
      <c r="FQ26" s="4">
        <f t="shared" si="19"/>
        <v>0</v>
      </c>
      <c r="FR26" s="4">
        <f t="shared" si="19"/>
        <v>0</v>
      </c>
      <c r="FS26" s="4">
        <f t="shared" ref="FS26:GX26" si="20">FS31</f>
        <v>2900208.85</v>
      </c>
      <c r="FT26" s="4">
        <f t="shared" si="20"/>
        <v>0</v>
      </c>
      <c r="FU26" s="4">
        <f t="shared" si="20"/>
        <v>0</v>
      </c>
      <c r="FV26" s="4">
        <f t="shared" si="20"/>
        <v>2900208.85</v>
      </c>
      <c r="FW26" s="4">
        <f t="shared" si="20"/>
        <v>0</v>
      </c>
      <c r="FX26" s="4">
        <f t="shared" si="20"/>
        <v>0</v>
      </c>
      <c r="FY26" s="4">
        <f t="shared" si="20"/>
        <v>0</v>
      </c>
      <c r="FZ26" s="4">
        <f t="shared" si="20"/>
        <v>0</v>
      </c>
      <c r="GA26" s="4">
        <f t="shared" si="20"/>
        <v>0</v>
      </c>
      <c r="GB26" s="4">
        <f t="shared" si="20"/>
        <v>0</v>
      </c>
      <c r="GC26" s="4">
        <f t="shared" si="20"/>
        <v>0</v>
      </c>
      <c r="GD26" s="4">
        <f t="shared" si="20"/>
        <v>0</v>
      </c>
      <c r="GE26" s="4">
        <f t="shared" si="20"/>
        <v>0</v>
      </c>
      <c r="GF26" s="4">
        <f t="shared" si="20"/>
        <v>0</v>
      </c>
      <c r="GG26" s="4">
        <f t="shared" si="20"/>
        <v>0</v>
      </c>
      <c r="GH26" s="4">
        <f t="shared" si="20"/>
        <v>0</v>
      </c>
      <c r="GI26" s="4">
        <f t="shared" si="20"/>
        <v>0</v>
      </c>
      <c r="GJ26" s="4">
        <f t="shared" si="20"/>
        <v>0</v>
      </c>
      <c r="GK26" s="4">
        <f t="shared" si="20"/>
        <v>0</v>
      </c>
      <c r="GL26" s="4">
        <f t="shared" si="20"/>
        <v>0</v>
      </c>
      <c r="GM26" s="4">
        <f t="shared" si="20"/>
        <v>0</v>
      </c>
      <c r="GN26" s="4">
        <f t="shared" si="20"/>
        <v>0</v>
      </c>
      <c r="GO26" s="4">
        <f t="shared" si="20"/>
        <v>0</v>
      </c>
      <c r="GP26" s="4">
        <f t="shared" si="20"/>
        <v>0</v>
      </c>
      <c r="GQ26" s="4">
        <f t="shared" si="20"/>
        <v>0</v>
      </c>
      <c r="GR26" s="4">
        <f t="shared" si="20"/>
        <v>0</v>
      </c>
      <c r="GS26" s="4">
        <f t="shared" si="20"/>
        <v>0</v>
      </c>
      <c r="GT26" s="4">
        <f t="shared" si="20"/>
        <v>0</v>
      </c>
      <c r="GU26" s="4">
        <f t="shared" si="20"/>
        <v>0</v>
      </c>
      <c r="GV26" s="4">
        <f t="shared" si="20"/>
        <v>0</v>
      </c>
      <c r="GW26" s="4">
        <f t="shared" si="20"/>
        <v>0</v>
      </c>
      <c r="GX26" s="4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3219.8980000000001</v>
      </c>
      <c r="J28" s="2">
        <v>0</v>
      </c>
      <c r="K28" s="2">
        <v>3219.8980000000001</v>
      </c>
      <c r="L28" s="2"/>
      <c r="M28" s="2"/>
      <c r="N28" s="2"/>
      <c r="O28" s="2">
        <f>ROUND(CP28,2)</f>
        <v>188203.04</v>
      </c>
      <c r="P28" s="2">
        <f>ROUND((ROUND((AC28*AW28*I28),2)*BC28),2)</f>
        <v>0</v>
      </c>
      <c r="Q28" s="2">
        <f>(ROUND((ROUND(((ET28)*AV28*I28),2)*BB28),2)+ROUND((ROUND(((AE28-(EU28))*AV28*I28),2)*BS28),2))</f>
        <v>188203.04</v>
      </c>
      <c r="R28" s="2">
        <f>ROUND((ROUND((AE28*AV28*I28),2)*BS28),2)</f>
        <v>0</v>
      </c>
      <c r="S28" s="2">
        <f>ROUND((ROUND((AF28*AV28*I28),2)*BA28),2)</f>
        <v>0</v>
      </c>
      <c r="T28" s="2">
        <f>ROUND(CU28*I28,2)</f>
        <v>0</v>
      </c>
      <c r="U28" s="2">
        <f>CV28*I28</f>
        <v>0</v>
      </c>
      <c r="V28" s="2">
        <f>CW28*I28</f>
        <v>0</v>
      </c>
      <c r="W28" s="2">
        <f>ROUND(CX28*I28,2)</f>
        <v>0</v>
      </c>
      <c r="X28" s="2">
        <f>ROUND(CY28,2)</f>
        <v>0</v>
      </c>
      <c r="Y28" s="2">
        <f>ROUND(CZ28,2)</f>
        <v>0</v>
      </c>
      <c r="Z28" s="2"/>
      <c r="AA28" s="2">
        <v>56526069</v>
      </c>
      <c r="AB28" s="2">
        <f>ROUND((AC28+AD28+AF28),6)</f>
        <v>58.45</v>
      </c>
      <c r="AC28" s="2">
        <f>ROUND((ES28),6)</f>
        <v>0</v>
      </c>
      <c r="AD28" s="2">
        <f>ROUND((((ET28)-(EU28))+AE28),6)</f>
        <v>58.45</v>
      </c>
      <c r="AE28" s="2">
        <f>ROUND((EU28),6)</f>
        <v>0</v>
      </c>
      <c r="AF28" s="2">
        <f>ROUND((EV28),6)</f>
        <v>0</v>
      </c>
      <c r="AG28" s="2">
        <f>ROUND((AP28),6)</f>
        <v>0</v>
      </c>
      <c r="AH28" s="2">
        <f>(EW28)</f>
        <v>0</v>
      </c>
      <c r="AI28" s="2">
        <f>(EX28)</f>
        <v>0</v>
      </c>
      <c r="AJ28" s="2">
        <f>(AS28)</f>
        <v>0</v>
      </c>
      <c r="AK28" s="2">
        <v>58.45</v>
      </c>
      <c r="AL28" s="2">
        <v>0</v>
      </c>
      <c r="AM28" s="2">
        <v>58.45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94</v>
      </c>
      <c r="AU28" s="2">
        <v>61</v>
      </c>
      <c r="AV28" s="2">
        <v>1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4</v>
      </c>
      <c r="BJ28" s="2" t="s">
        <v>23</v>
      </c>
      <c r="BK28" s="2"/>
      <c r="BL28" s="2"/>
      <c r="BM28" s="2">
        <v>188</v>
      </c>
      <c r="BN28" s="2">
        <v>0</v>
      </c>
      <c r="BO28" s="2" t="s">
        <v>20</v>
      </c>
      <c r="BP28" s="2">
        <v>1</v>
      </c>
      <c r="BQ28" s="2">
        <v>150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94</v>
      </c>
      <c r="CA28" s="2">
        <v>61</v>
      </c>
      <c r="CB28" s="2" t="s">
        <v>3</v>
      </c>
      <c r="CC28" s="2"/>
      <c r="CD28" s="2"/>
      <c r="CE28" s="2">
        <v>30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3</v>
      </c>
      <c r="CO28" s="2">
        <v>0</v>
      </c>
      <c r="CP28" s="2">
        <f>(P28+Q28+S28)</f>
        <v>188203.04</v>
      </c>
      <c r="CQ28" s="2">
        <f>ROUND((ROUND((AC28*AW28*1),2)*BC28),2)</f>
        <v>0</v>
      </c>
      <c r="CR28" s="2">
        <f>(ROUND((ROUND(((ET28)*AV28*1),2)*BB28),2)+ROUND((ROUND(((AE28-(EU28))*AV28*1),2)*BS28),2))</f>
        <v>58.45</v>
      </c>
      <c r="CS28" s="2">
        <f>ROUND((ROUND((AE28*AV28*1),2)*BS28),2)</f>
        <v>0</v>
      </c>
      <c r="CT28" s="2">
        <f>ROUND((ROUND((AF28*AV28*1),2)*BA28),2)</f>
        <v>0</v>
      </c>
      <c r="CU28" s="2">
        <f>AG28</f>
        <v>0</v>
      </c>
      <c r="CV28" s="2">
        <f>(AH28*AV28)</f>
        <v>0</v>
      </c>
      <c r="CW28" s="2">
        <f>AI28</f>
        <v>0</v>
      </c>
      <c r="CX28" s="2">
        <f>AJ28</f>
        <v>0</v>
      </c>
      <c r="CY28" s="2">
        <f>(((S28+R28)*AT28)/100)</f>
        <v>0</v>
      </c>
      <c r="CZ28" s="2">
        <f>(((S28+R28)*AU28)/100)</f>
        <v>0</v>
      </c>
      <c r="DA28" s="2"/>
      <c r="DB28" s="2"/>
      <c r="DC28" s="2" t="s">
        <v>3</v>
      </c>
      <c r="DD28" s="2" t="s">
        <v>3</v>
      </c>
      <c r="DE28" s="2" t="s">
        <v>3</v>
      </c>
      <c r="DF28" s="2" t="s">
        <v>3</v>
      </c>
      <c r="DG28" s="2" t="s">
        <v>3</v>
      </c>
      <c r="DH28" s="2" t="s">
        <v>3</v>
      </c>
      <c r="DI28" s="2" t="s">
        <v>3</v>
      </c>
      <c r="DJ28" s="2" t="s">
        <v>3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1009</v>
      </c>
      <c r="DV28" s="2" t="s">
        <v>22</v>
      </c>
      <c r="DW28" s="2" t="s">
        <v>22</v>
      </c>
      <c r="DX28" s="2">
        <v>1000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55586142</v>
      </c>
      <c r="EF28" s="2">
        <v>150</v>
      </c>
      <c r="EG28" s="2" t="s">
        <v>24</v>
      </c>
      <c r="EH28" s="2">
        <v>0</v>
      </c>
      <c r="EI28" s="2" t="s">
        <v>3</v>
      </c>
      <c r="EJ28" s="2">
        <v>4</v>
      </c>
      <c r="EK28" s="2">
        <v>188</v>
      </c>
      <c r="EL28" s="2" t="s">
        <v>25</v>
      </c>
      <c r="EM28" s="2" t="s">
        <v>26</v>
      </c>
      <c r="EN28" s="2"/>
      <c r="EO28" s="2" t="s">
        <v>3</v>
      </c>
      <c r="EP28" s="2"/>
      <c r="EQ28" s="2">
        <v>0</v>
      </c>
      <c r="ER28" s="2">
        <v>58.45</v>
      </c>
      <c r="ES28" s="2">
        <v>0</v>
      </c>
      <c r="ET28" s="2">
        <v>58.45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94</v>
      </c>
      <c r="FY28" s="2">
        <v>61</v>
      </c>
      <c r="FZ28" s="2"/>
      <c r="GA28" s="2" t="s">
        <v>3</v>
      </c>
      <c r="GB28" s="2"/>
      <c r="GC28" s="2"/>
      <c r="GD28" s="2">
        <v>1</v>
      </c>
      <c r="GE28" s="2"/>
      <c r="GF28" s="2">
        <v>767338782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>ROUND(IF(AND(BH28=3,BI28=3,FS28&lt;&gt;0),P28,0),2)</f>
        <v>0</v>
      </c>
      <c r="GM28" s="2">
        <f>ROUND(O28+X28+Y28,2)+GX28</f>
        <v>188203.04</v>
      </c>
      <c r="GN28" s="2">
        <f>IF(OR(BI28=0,BI28=1),GM28-GX28,0)</f>
        <v>0</v>
      </c>
      <c r="GO28" s="2">
        <f>IF(BI28=2,GM28-GX28,0)</f>
        <v>0</v>
      </c>
      <c r="GP28" s="2">
        <f>IF(BI28=4,GM28-GX28,0)</f>
        <v>188203.04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>ROUND((GT28),6)</f>
        <v>0</v>
      </c>
      <c r="GW28" s="2">
        <v>1</v>
      </c>
      <c r="GX28" s="2">
        <f>ROUND(HC28*I28,2)</f>
        <v>0</v>
      </c>
      <c r="GY28" s="2"/>
      <c r="GZ28" s="2"/>
      <c r="HA28" s="2">
        <v>0</v>
      </c>
      <c r="HB28" s="2">
        <v>0</v>
      </c>
      <c r="HC28" s="2">
        <f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>
        <v>17</v>
      </c>
      <c r="B29">
        <v>1</v>
      </c>
      <c r="C29">
        <f>ROW(SmtRes!A2)</f>
        <v>2</v>
      </c>
      <c r="D29">
        <f>ROW(EtalonRes!A2)</f>
        <v>2</v>
      </c>
      <c r="E29" t="s">
        <v>19</v>
      </c>
      <c r="F29" t="s">
        <v>20</v>
      </c>
      <c r="G29" t="s">
        <v>21</v>
      </c>
      <c r="H29" t="s">
        <v>22</v>
      </c>
      <c r="I29">
        <v>3219.8980000000001</v>
      </c>
      <c r="J29">
        <v>0</v>
      </c>
      <c r="K29">
        <v>3219.8980000000001</v>
      </c>
      <c r="O29">
        <f>ROUND(CP29,2)</f>
        <v>2900208.85</v>
      </c>
      <c r="P29">
        <f>ROUND((ROUND((AC29*AW29*I29),2)*BC29),2)</f>
        <v>0</v>
      </c>
      <c r="Q29">
        <f>(ROUND((ROUND(((ET29)*AV29*I29),2)*BB29),2)+ROUND((ROUND(((AE29-(EU29))*AV29*I29),2)*BS29),2))</f>
        <v>2900208.85</v>
      </c>
      <c r="R29">
        <f>ROUND((ROUND((AE29*AV29*I29),2)*BS29),2)</f>
        <v>0</v>
      </c>
      <c r="S29">
        <f>ROUND((ROUND((AF29*AV29*I29),2)*BA29),2)</f>
        <v>0</v>
      </c>
      <c r="T29">
        <f>ROUND(CU29*I29,2)</f>
        <v>0</v>
      </c>
      <c r="U29">
        <f>CV29*I29</f>
        <v>0</v>
      </c>
      <c r="V29">
        <f>CW29*I29</f>
        <v>0</v>
      </c>
      <c r="W29">
        <f>ROUND(CX29*I29,2)</f>
        <v>0</v>
      </c>
      <c r="X29">
        <f>ROUND(CY29,2)</f>
        <v>0</v>
      </c>
      <c r="Y29">
        <f>ROUND(CZ29,2)</f>
        <v>0</v>
      </c>
      <c r="AA29">
        <v>56526071</v>
      </c>
      <c r="AB29">
        <f>ROUND((AC29+AD29+AF29),6)</f>
        <v>58.45</v>
      </c>
      <c r="AC29">
        <f>ROUND((ES29),6)</f>
        <v>0</v>
      </c>
      <c r="AD29">
        <f>ROUND((((ET29)-(EU29))+AE29),6)</f>
        <v>58.45</v>
      </c>
      <c r="AE29">
        <f>ROUND((EU29),6)</f>
        <v>0</v>
      </c>
      <c r="AF29">
        <f>ROUND((EV29),6)</f>
        <v>0</v>
      </c>
      <c r="AG29">
        <f>ROUND((AP29),6)</f>
        <v>0</v>
      </c>
      <c r="AH29">
        <f>(EW29)</f>
        <v>0</v>
      </c>
      <c r="AI29">
        <f>(EX29)</f>
        <v>0</v>
      </c>
      <c r="AJ29">
        <f>(AS29)</f>
        <v>0</v>
      </c>
      <c r="AK29">
        <v>58.45</v>
      </c>
      <c r="AL29">
        <v>0</v>
      </c>
      <c r="AM29">
        <v>58.45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94</v>
      </c>
      <c r="AU29">
        <v>61</v>
      </c>
      <c r="AV29">
        <v>1</v>
      </c>
      <c r="AW29">
        <v>1</v>
      </c>
      <c r="AZ29">
        <v>1</v>
      </c>
      <c r="BA29">
        <v>1</v>
      </c>
      <c r="BB29">
        <v>15.41</v>
      </c>
      <c r="BC29">
        <v>1</v>
      </c>
      <c r="BD29" t="s">
        <v>3</v>
      </c>
      <c r="BE29" t="s">
        <v>3</v>
      </c>
      <c r="BF29" t="s">
        <v>3</v>
      </c>
      <c r="BG29" t="s">
        <v>3</v>
      </c>
      <c r="BH29">
        <v>0</v>
      </c>
      <c r="BI29">
        <v>4</v>
      </c>
      <c r="BJ29" t="s">
        <v>23</v>
      </c>
      <c r="BM29">
        <v>188</v>
      </c>
      <c r="BN29">
        <v>0</v>
      </c>
      <c r="BO29" t="s">
        <v>20</v>
      </c>
      <c r="BP29">
        <v>1</v>
      </c>
      <c r="BQ29">
        <v>150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 t="s">
        <v>3</v>
      </c>
      <c r="BZ29">
        <v>94</v>
      </c>
      <c r="CA29">
        <v>61</v>
      </c>
      <c r="CB29" t="s">
        <v>3</v>
      </c>
      <c r="CE29">
        <v>30</v>
      </c>
      <c r="CF29">
        <v>0</v>
      </c>
      <c r="CG29">
        <v>0</v>
      </c>
      <c r="CM29">
        <v>0</v>
      </c>
      <c r="CN29" t="s">
        <v>3</v>
      </c>
      <c r="CO29">
        <v>0</v>
      </c>
      <c r="CP29">
        <f>(P29+Q29+S29)</f>
        <v>2900208.85</v>
      </c>
      <c r="CQ29">
        <f>ROUND((ROUND((AC29*AW29*1),2)*BC29),2)</f>
        <v>0</v>
      </c>
      <c r="CR29">
        <f>(ROUND((ROUND(((ET29)*AV29*1),2)*BB29),2)+ROUND((ROUND(((AE29-(EU29))*AV29*1),2)*BS29),2))</f>
        <v>900.71</v>
      </c>
      <c r="CS29">
        <f>ROUND((ROUND((AE29*AV29*1),2)*BS29),2)</f>
        <v>0</v>
      </c>
      <c r="CT29">
        <f>ROUND((ROUND((AF29*AV29*1),2)*BA29),2)</f>
        <v>0</v>
      </c>
      <c r="CU29">
        <f>AG29</f>
        <v>0</v>
      </c>
      <c r="CV29">
        <f>(AH29*AV29)</f>
        <v>0</v>
      </c>
      <c r="CW29">
        <f>AI29</f>
        <v>0</v>
      </c>
      <c r="CX29">
        <f>AJ29</f>
        <v>0</v>
      </c>
      <c r="CY29">
        <f>(((S29+R29)*AT29)/100)</f>
        <v>0</v>
      </c>
      <c r="CZ29">
        <f>(((S29+R29)*AU29)/100)</f>
        <v>0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  <c r="DN29">
        <v>0</v>
      </c>
      <c r="DO29">
        <v>0</v>
      </c>
      <c r="DP29">
        <v>1</v>
      </c>
      <c r="DQ29">
        <v>1</v>
      </c>
      <c r="DU29">
        <v>1009</v>
      </c>
      <c r="DV29" t="s">
        <v>22</v>
      </c>
      <c r="DW29" t="s">
        <v>22</v>
      </c>
      <c r="DX29">
        <v>1000</v>
      </c>
      <c r="DZ29" t="s">
        <v>3</v>
      </c>
      <c r="EA29" t="s">
        <v>3</v>
      </c>
      <c r="EB29" t="s">
        <v>3</v>
      </c>
      <c r="EC29" t="s">
        <v>3</v>
      </c>
      <c r="EE29">
        <v>55586142</v>
      </c>
      <c r="EF29">
        <v>150</v>
      </c>
      <c r="EG29" t="s">
        <v>24</v>
      </c>
      <c r="EH29">
        <v>0</v>
      </c>
      <c r="EI29" t="s">
        <v>3</v>
      </c>
      <c r="EJ29">
        <v>4</v>
      </c>
      <c r="EK29">
        <v>188</v>
      </c>
      <c r="EL29" t="s">
        <v>25</v>
      </c>
      <c r="EM29" t="s">
        <v>26</v>
      </c>
      <c r="EO29" t="s">
        <v>3</v>
      </c>
      <c r="EQ29">
        <v>0</v>
      </c>
      <c r="ER29">
        <v>58.45</v>
      </c>
      <c r="ES29">
        <v>0</v>
      </c>
      <c r="ET29">
        <v>58.45</v>
      </c>
      <c r="EU29">
        <v>0</v>
      </c>
      <c r="EV29">
        <v>0</v>
      </c>
      <c r="EW29">
        <v>0</v>
      </c>
      <c r="EX29">
        <v>0</v>
      </c>
      <c r="EY29">
        <v>0</v>
      </c>
      <c r="FQ29">
        <v>0</v>
      </c>
      <c r="FR29">
        <v>0</v>
      </c>
      <c r="FS29">
        <v>0</v>
      </c>
      <c r="FX29">
        <v>94</v>
      </c>
      <c r="FY29">
        <v>61</v>
      </c>
      <c r="GA29" t="s">
        <v>3</v>
      </c>
      <c r="GD29">
        <v>1</v>
      </c>
      <c r="GF29">
        <v>767338782</v>
      </c>
      <c r="GG29">
        <v>2</v>
      </c>
      <c r="GH29">
        <v>1</v>
      </c>
      <c r="GI29">
        <v>2</v>
      </c>
      <c r="GJ29">
        <v>0</v>
      </c>
      <c r="GK29">
        <v>0</v>
      </c>
      <c r="GL29">
        <f>ROUND(IF(AND(BH29=3,BI29=3,FS29&lt;&gt;0),P29,0),2)</f>
        <v>0</v>
      </c>
      <c r="GM29">
        <f>ROUND(O29+X29+Y29,2)+GX29</f>
        <v>2900208.85</v>
      </c>
      <c r="GN29">
        <f>IF(OR(BI29=0,BI29=1),GM29-GX29,0)</f>
        <v>0</v>
      </c>
      <c r="GO29">
        <f>IF(BI29=2,GM29-GX29,0)</f>
        <v>0</v>
      </c>
      <c r="GP29">
        <f>IF(BI29=4,GM29-GX29,0)</f>
        <v>2900208.85</v>
      </c>
      <c r="GR29">
        <v>0</v>
      </c>
      <c r="GS29">
        <v>3</v>
      </c>
      <c r="GT29">
        <v>0</v>
      </c>
      <c r="GU29" t="s">
        <v>3</v>
      </c>
      <c r="GV29">
        <f>ROUND((GT29),6)</f>
        <v>0</v>
      </c>
      <c r="GW29">
        <v>1</v>
      </c>
      <c r="GX29">
        <f>ROUND(HC29*I29,2)</f>
        <v>0</v>
      </c>
      <c r="HA29">
        <v>0</v>
      </c>
      <c r="HB29">
        <v>0</v>
      </c>
      <c r="HC29">
        <f>GV29*GW29</f>
        <v>0</v>
      </c>
      <c r="HE29" t="s">
        <v>3</v>
      </c>
      <c r="HF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3</v>
      </c>
      <c r="HS29">
        <v>0</v>
      </c>
      <c r="IK29">
        <v>0</v>
      </c>
    </row>
    <row r="31" spans="1:255" ht="13" x14ac:dyDescent="0.3">
      <c r="A31" s="3">
        <v>51</v>
      </c>
      <c r="B31" s="3">
        <f>B24</f>
        <v>1</v>
      </c>
      <c r="C31" s="3">
        <f>A24</f>
        <v>4</v>
      </c>
      <c r="D31" s="3">
        <f>ROW(A24)</f>
        <v>24</v>
      </c>
      <c r="E31" s="3"/>
      <c r="F31" s="3" t="str">
        <f>IF(F24&lt;&gt;"",F24,"")</f>
        <v>Новый раздел</v>
      </c>
      <c r="G31" s="3" t="str">
        <f>IF(G24&lt;&gt;"",G24,"")</f>
        <v>Перевозка мусора</v>
      </c>
      <c r="H31" s="3">
        <v>0</v>
      </c>
      <c r="I31" s="3"/>
      <c r="J31" s="3"/>
      <c r="K31" s="3"/>
      <c r="L31" s="3"/>
      <c r="M31" s="3"/>
      <c r="N31" s="3"/>
      <c r="O31" s="3">
        <f t="shared" ref="O31:T31" si="21">ROUND(AB31,2)</f>
        <v>188203.04</v>
      </c>
      <c r="P31" s="3">
        <f t="shared" si="21"/>
        <v>0</v>
      </c>
      <c r="Q31" s="3">
        <f t="shared" si="21"/>
        <v>188203.04</v>
      </c>
      <c r="R31" s="3">
        <f t="shared" si="21"/>
        <v>0</v>
      </c>
      <c r="S31" s="3">
        <f t="shared" si="21"/>
        <v>0</v>
      </c>
      <c r="T31" s="3">
        <f t="shared" si="21"/>
        <v>0</v>
      </c>
      <c r="U31" s="3">
        <f>AH31</f>
        <v>0</v>
      </c>
      <c r="V31" s="3">
        <f>AI31</f>
        <v>0</v>
      </c>
      <c r="W31" s="3">
        <f>ROUND(AJ31,2)</f>
        <v>0</v>
      </c>
      <c r="X31" s="3">
        <f>ROUND(AK31,2)</f>
        <v>0</v>
      </c>
      <c r="Y31" s="3">
        <f>ROUND(AL31,2)</f>
        <v>0</v>
      </c>
      <c r="Z31" s="3"/>
      <c r="AA31" s="3"/>
      <c r="AB31" s="3">
        <f>ROUND(SUMIF(AA28:AA29,"=56526069",O28:O29),2)</f>
        <v>188203.04</v>
      </c>
      <c r="AC31" s="3">
        <f>ROUND(SUMIF(AA28:AA29,"=56526069",P28:P29),2)</f>
        <v>0</v>
      </c>
      <c r="AD31" s="3">
        <f>ROUND(SUMIF(AA28:AA29,"=56526069",Q28:Q29),2)</f>
        <v>188203.04</v>
      </c>
      <c r="AE31" s="3">
        <f>ROUND(SUMIF(AA28:AA29,"=56526069",R28:R29),2)</f>
        <v>0</v>
      </c>
      <c r="AF31" s="3">
        <f>ROUND(SUMIF(AA28:AA29,"=56526069",S28:S29),2)</f>
        <v>0</v>
      </c>
      <c r="AG31" s="3">
        <f>ROUND(SUMIF(AA28:AA29,"=56526069",T28:T29),2)</f>
        <v>0</v>
      </c>
      <c r="AH31" s="3">
        <f>SUMIF(AA28:AA29,"=56526069",U28:U29)</f>
        <v>0</v>
      </c>
      <c r="AI31" s="3">
        <f>SUMIF(AA28:AA29,"=56526069",V28:V29)</f>
        <v>0</v>
      </c>
      <c r="AJ31" s="3">
        <f>ROUND(SUMIF(AA28:AA29,"=56526069",W28:W29),2)</f>
        <v>0</v>
      </c>
      <c r="AK31" s="3">
        <f>ROUND(SUMIF(AA28:AA29,"=56526069",X28:X29),2)</f>
        <v>0</v>
      </c>
      <c r="AL31" s="3">
        <f>ROUND(SUMIF(AA28:AA29,"=56526069",Y28:Y29),2)</f>
        <v>0</v>
      </c>
      <c r="AM31" s="3"/>
      <c r="AN31" s="3"/>
      <c r="AO31" s="3">
        <f t="shared" ref="AO31:BD31" si="22">ROUND(BX31,2)</f>
        <v>0</v>
      </c>
      <c r="AP31" s="3">
        <f t="shared" si="22"/>
        <v>0</v>
      </c>
      <c r="AQ31" s="3">
        <f t="shared" si="22"/>
        <v>0</v>
      </c>
      <c r="AR31" s="3">
        <f t="shared" si="22"/>
        <v>188203.04</v>
      </c>
      <c r="AS31" s="3">
        <f t="shared" si="22"/>
        <v>0</v>
      </c>
      <c r="AT31" s="3">
        <f t="shared" si="22"/>
        <v>0</v>
      </c>
      <c r="AU31" s="3">
        <f t="shared" si="22"/>
        <v>188203.04</v>
      </c>
      <c r="AV31" s="3">
        <f t="shared" si="22"/>
        <v>0</v>
      </c>
      <c r="AW31" s="3">
        <f t="shared" si="22"/>
        <v>0</v>
      </c>
      <c r="AX31" s="3">
        <f t="shared" si="22"/>
        <v>0</v>
      </c>
      <c r="AY31" s="3">
        <f t="shared" si="22"/>
        <v>0</v>
      </c>
      <c r="AZ31" s="3">
        <f t="shared" si="22"/>
        <v>0</v>
      </c>
      <c r="BA31" s="3">
        <f t="shared" si="22"/>
        <v>0</v>
      </c>
      <c r="BB31" s="3">
        <f t="shared" si="22"/>
        <v>0</v>
      </c>
      <c r="BC31" s="3">
        <f t="shared" si="22"/>
        <v>0</v>
      </c>
      <c r="BD31" s="3">
        <f t="shared" si="22"/>
        <v>0</v>
      </c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>
        <f>ROUND(SUMIF(AA28:AA29,"=56526069",FQ28:FQ29),2)</f>
        <v>0</v>
      </c>
      <c r="BY31" s="3">
        <f>ROUND(SUMIF(AA28:AA29,"=56526069",FR28:FR29),2)</f>
        <v>0</v>
      </c>
      <c r="BZ31" s="3">
        <f>ROUND(SUMIF(AA28:AA29,"=56526069",GL28:GL29),2)</f>
        <v>0</v>
      </c>
      <c r="CA31" s="3">
        <f>ROUND(SUMIF(AA28:AA29,"=56526069",GM28:GM29),2)</f>
        <v>188203.04</v>
      </c>
      <c r="CB31" s="3">
        <f>ROUND(SUMIF(AA28:AA29,"=56526069",GN28:GN29),2)</f>
        <v>0</v>
      </c>
      <c r="CC31" s="3">
        <f>ROUND(SUMIF(AA28:AA29,"=56526069",GO28:GO29),2)</f>
        <v>0</v>
      </c>
      <c r="CD31" s="3">
        <f>ROUND(SUMIF(AA28:AA29,"=56526069",GP28:GP29),2)</f>
        <v>188203.04</v>
      </c>
      <c r="CE31" s="3">
        <f>AC31-BX31</f>
        <v>0</v>
      </c>
      <c r="CF31" s="3">
        <f>AC31-BY31</f>
        <v>0</v>
      </c>
      <c r="CG31" s="3">
        <f>BX31-BZ31</f>
        <v>0</v>
      </c>
      <c r="CH31" s="3">
        <f>AC31-BX31-BY31+BZ31</f>
        <v>0</v>
      </c>
      <c r="CI31" s="3">
        <f>BY31-BZ31</f>
        <v>0</v>
      </c>
      <c r="CJ31" s="3">
        <f>ROUND(SUMIF(AA28:AA29,"=56526069",GX28:GX29),2)</f>
        <v>0</v>
      </c>
      <c r="CK31" s="3">
        <f>ROUND(SUMIF(AA28:AA29,"=56526069",GY28:GY29),2)</f>
        <v>0</v>
      </c>
      <c r="CL31" s="3">
        <f>ROUND(SUMIF(AA28:AA29,"=56526069",GZ28:GZ29),2)</f>
        <v>0</v>
      </c>
      <c r="CM31" s="3">
        <f>ROUND(SUMIF(AA28:AA29,"=56526069",HD28:HD29),2)</f>
        <v>0</v>
      </c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4">
        <f t="shared" ref="DG31:DL31" si="23">ROUND(DT31,2)</f>
        <v>2900208.85</v>
      </c>
      <c r="DH31" s="4">
        <f t="shared" si="23"/>
        <v>0</v>
      </c>
      <c r="DI31" s="4">
        <f t="shared" si="23"/>
        <v>2900208.85</v>
      </c>
      <c r="DJ31" s="4">
        <f t="shared" si="23"/>
        <v>0</v>
      </c>
      <c r="DK31" s="4">
        <f t="shared" si="23"/>
        <v>0</v>
      </c>
      <c r="DL31" s="4">
        <f t="shared" si="23"/>
        <v>0</v>
      </c>
      <c r="DM31" s="4">
        <f>DZ31</f>
        <v>0</v>
      </c>
      <c r="DN31" s="4">
        <f>EA31</f>
        <v>0</v>
      </c>
      <c r="DO31" s="4">
        <f>ROUND(EB31,2)</f>
        <v>0</v>
      </c>
      <c r="DP31" s="4">
        <f>ROUND(EC31,2)</f>
        <v>0</v>
      </c>
      <c r="DQ31" s="4">
        <f>ROUND(ED31,2)</f>
        <v>0</v>
      </c>
      <c r="DR31" s="4"/>
      <c r="DS31" s="4"/>
      <c r="DT31" s="4">
        <f>ROUND(SUMIF(AA28:AA29,"=56526071",O28:O29),2)</f>
        <v>2900208.85</v>
      </c>
      <c r="DU31" s="4">
        <f>ROUND(SUMIF(AA28:AA29,"=56526071",P28:P29),2)</f>
        <v>0</v>
      </c>
      <c r="DV31" s="4">
        <f>ROUND(SUMIF(AA28:AA29,"=56526071",Q28:Q29),2)</f>
        <v>2900208.85</v>
      </c>
      <c r="DW31" s="4">
        <f>ROUND(SUMIF(AA28:AA29,"=56526071",R28:R29),2)</f>
        <v>0</v>
      </c>
      <c r="DX31" s="4">
        <f>ROUND(SUMIF(AA28:AA29,"=56526071",S28:S29),2)</f>
        <v>0</v>
      </c>
      <c r="DY31" s="4">
        <f>ROUND(SUMIF(AA28:AA29,"=56526071",T28:T29),2)</f>
        <v>0</v>
      </c>
      <c r="DZ31" s="4">
        <f>SUMIF(AA28:AA29,"=56526071",U28:U29)</f>
        <v>0</v>
      </c>
      <c r="EA31" s="4">
        <f>SUMIF(AA28:AA29,"=56526071",V28:V29)</f>
        <v>0</v>
      </c>
      <c r="EB31" s="4">
        <f>ROUND(SUMIF(AA28:AA29,"=56526071",W28:W29),2)</f>
        <v>0</v>
      </c>
      <c r="EC31" s="4">
        <f>ROUND(SUMIF(AA28:AA29,"=56526071",X28:X29),2)</f>
        <v>0</v>
      </c>
      <c r="ED31" s="4">
        <f>ROUND(SUMIF(AA28:AA29,"=56526071",Y28:Y29),2)</f>
        <v>0</v>
      </c>
      <c r="EE31" s="4"/>
      <c r="EF31" s="4"/>
      <c r="EG31" s="4">
        <f t="shared" ref="EG31:EV31" si="24">ROUND(FP31,2)</f>
        <v>0</v>
      </c>
      <c r="EH31" s="4">
        <f t="shared" si="24"/>
        <v>0</v>
      </c>
      <c r="EI31" s="4">
        <f t="shared" si="24"/>
        <v>0</v>
      </c>
      <c r="EJ31" s="4">
        <f t="shared" si="24"/>
        <v>2900208.85</v>
      </c>
      <c r="EK31" s="4">
        <f t="shared" si="24"/>
        <v>0</v>
      </c>
      <c r="EL31" s="4">
        <f t="shared" si="24"/>
        <v>0</v>
      </c>
      <c r="EM31" s="4">
        <f t="shared" si="24"/>
        <v>2900208.85</v>
      </c>
      <c r="EN31" s="4">
        <f t="shared" si="24"/>
        <v>0</v>
      </c>
      <c r="EO31" s="4">
        <f t="shared" si="24"/>
        <v>0</v>
      </c>
      <c r="EP31" s="4">
        <f t="shared" si="24"/>
        <v>0</v>
      </c>
      <c r="EQ31" s="4">
        <f t="shared" si="24"/>
        <v>0</v>
      </c>
      <c r="ER31" s="4">
        <f t="shared" si="24"/>
        <v>0</v>
      </c>
      <c r="ES31" s="4">
        <f t="shared" si="24"/>
        <v>0</v>
      </c>
      <c r="ET31" s="4">
        <f t="shared" si="24"/>
        <v>0</v>
      </c>
      <c r="EU31" s="4">
        <f t="shared" si="24"/>
        <v>0</v>
      </c>
      <c r="EV31" s="4">
        <f t="shared" si="24"/>
        <v>0</v>
      </c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>
        <f>ROUND(SUMIF(AA28:AA29,"=56526071",FQ28:FQ29),2)</f>
        <v>0</v>
      </c>
      <c r="FQ31" s="4">
        <f>ROUND(SUMIF(AA28:AA29,"=56526071",FR28:FR29),2)</f>
        <v>0</v>
      </c>
      <c r="FR31" s="4">
        <f>ROUND(SUMIF(AA28:AA29,"=56526071",GL28:GL29),2)</f>
        <v>0</v>
      </c>
      <c r="FS31" s="4">
        <f>ROUND(SUMIF(AA28:AA29,"=56526071",GM28:GM29),2)</f>
        <v>2900208.85</v>
      </c>
      <c r="FT31" s="4">
        <f>ROUND(SUMIF(AA28:AA29,"=56526071",GN28:GN29),2)</f>
        <v>0</v>
      </c>
      <c r="FU31" s="4">
        <f>ROUND(SUMIF(AA28:AA29,"=56526071",GO28:GO29),2)</f>
        <v>0</v>
      </c>
      <c r="FV31" s="4">
        <f>ROUND(SUMIF(AA28:AA29,"=56526071",GP28:GP29),2)</f>
        <v>2900208.85</v>
      </c>
      <c r="FW31" s="4">
        <f>DU31-FP31</f>
        <v>0</v>
      </c>
      <c r="FX31" s="4">
        <f>DU31-FQ31</f>
        <v>0</v>
      </c>
      <c r="FY31" s="4">
        <f>FP31-FR31</f>
        <v>0</v>
      </c>
      <c r="FZ31" s="4">
        <f>DU31-FP31-FQ31+FR31</f>
        <v>0</v>
      </c>
      <c r="GA31" s="4">
        <f>FQ31-FR31</f>
        <v>0</v>
      </c>
      <c r="GB31" s="4">
        <f>ROUND(SUMIF(AA28:AA29,"=56526071",GX28:GX29),2)</f>
        <v>0</v>
      </c>
      <c r="GC31" s="4">
        <f>ROUND(SUMIF(AA28:AA29,"=56526071",GY28:GY29),2)</f>
        <v>0</v>
      </c>
      <c r="GD31" s="4">
        <f>ROUND(SUMIF(AA28:AA29,"=56526071",GZ28:GZ29),2)</f>
        <v>0</v>
      </c>
      <c r="GE31" s="4">
        <f>ROUND(SUMIF(AA28:AA29,"=56526071",HD28:HD29),2)</f>
        <v>0</v>
      </c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>
        <v>0</v>
      </c>
    </row>
    <row r="33" spans="1:28" ht="13" x14ac:dyDescent="0.3">
      <c r="A33" s="5">
        <v>50</v>
      </c>
      <c r="B33" s="5">
        <v>0</v>
      </c>
      <c r="C33" s="5">
        <v>0</v>
      </c>
      <c r="D33" s="5">
        <v>1</v>
      </c>
      <c r="E33" s="5">
        <v>201</v>
      </c>
      <c r="F33" s="5">
        <f>ROUND(Source!O31,O33)</f>
        <v>188203.04</v>
      </c>
      <c r="G33" s="5" t="s">
        <v>27</v>
      </c>
      <c r="H33" s="5" t="s">
        <v>28</v>
      </c>
      <c r="I33" s="5"/>
      <c r="J33" s="5"/>
      <c r="K33" s="5">
        <v>201</v>
      </c>
      <c r="L33" s="5">
        <v>1</v>
      </c>
      <c r="M33" s="5">
        <v>3</v>
      </c>
      <c r="N33" s="5" t="s">
        <v>3</v>
      </c>
      <c r="O33" s="5">
        <v>2</v>
      </c>
      <c r="P33" s="5">
        <f>ROUND(Source!DG31,O33)</f>
        <v>2900208.85</v>
      </c>
      <c r="Q33" s="5"/>
      <c r="R33" s="5"/>
      <c r="S33" s="5"/>
      <c r="T33" s="5"/>
      <c r="U33" s="5"/>
      <c r="V33" s="5"/>
      <c r="W33" s="5">
        <v>188203.04</v>
      </c>
      <c r="X33" s="5">
        <v>1</v>
      </c>
      <c r="Y33" s="5">
        <v>188203.04</v>
      </c>
      <c r="Z33" s="5">
        <v>2900208.85</v>
      </c>
      <c r="AA33" s="5">
        <v>1</v>
      </c>
      <c r="AB33" s="5">
        <v>2900208.85</v>
      </c>
    </row>
    <row r="34" spans="1:28" ht="13" x14ac:dyDescent="0.3">
      <c r="A34" s="5">
        <v>50</v>
      </c>
      <c r="B34" s="5">
        <v>0</v>
      </c>
      <c r="C34" s="5">
        <v>0</v>
      </c>
      <c r="D34" s="5">
        <v>1</v>
      </c>
      <c r="E34" s="5">
        <v>202</v>
      </c>
      <c r="F34" s="5">
        <f>ROUND(Source!P31,O34)</f>
        <v>0</v>
      </c>
      <c r="G34" s="5" t="s">
        <v>29</v>
      </c>
      <c r="H34" s="5" t="s">
        <v>30</v>
      </c>
      <c r="I34" s="5"/>
      <c r="J34" s="5"/>
      <c r="K34" s="5">
        <v>202</v>
      </c>
      <c r="L34" s="5">
        <v>2</v>
      </c>
      <c r="M34" s="5">
        <v>3</v>
      </c>
      <c r="N34" s="5" t="s">
        <v>3</v>
      </c>
      <c r="O34" s="5">
        <v>2</v>
      </c>
      <c r="P34" s="5">
        <f>ROUND(Source!DH31,O34)</f>
        <v>0</v>
      </c>
      <c r="Q34" s="5"/>
      <c r="R34" s="5"/>
      <c r="S34" s="5"/>
      <c r="T34" s="5"/>
      <c r="U34" s="5"/>
      <c r="V34" s="5"/>
      <c r="W34" s="5">
        <v>0</v>
      </c>
      <c r="X34" s="5">
        <v>1</v>
      </c>
      <c r="Y34" s="5">
        <v>0</v>
      </c>
      <c r="Z34" s="5">
        <v>0</v>
      </c>
      <c r="AA34" s="5">
        <v>1</v>
      </c>
      <c r="AB34" s="5">
        <v>0</v>
      </c>
    </row>
    <row r="35" spans="1:28" ht="13" x14ac:dyDescent="0.3">
      <c r="A35" s="5">
        <v>50</v>
      </c>
      <c r="B35" s="5">
        <v>0</v>
      </c>
      <c r="C35" s="5">
        <v>0</v>
      </c>
      <c r="D35" s="5">
        <v>1</v>
      </c>
      <c r="E35" s="5">
        <v>222</v>
      </c>
      <c r="F35" s="5">
        <f>ROUND(Source!AO31,O35)</f>
        <v>0</v>
      </c>
      <c r="G35" s="5" t="s">
        <v>31</v>
      </c>
      <c r="H35" s="5" t="s">
        <v>32</v>
      </c>
      <c r="I35" s="5"/>
      <c r="J35" s="5"/>
      <c r="K35" s="5">
        <v>222</v>
      </c>
      <c r="L35" s="5">
        <v>3</v>
      </c>
      <c r="M35" s="5">
        <v>3</v>
      </c>
      <c r="N35" s="5" t="s">
        <v>3</v>
      </c>
      <c r="O35" s="5">
        <v>2</v>
      </c>
      <c r="P35" s="5">
        <f>ROUND(Source!EG31,O35)</f>
        <v>0</v>
      </c>
      <c r="Q35" s="5"/>
      <c r="R35" s="5"/>
      <c r="S35" s="5"/>
      <c r="T35" s="5"/>
      <c r="U35" s="5"/>
      <c r="V35" s="5"/>
      <c r="W35" s="5">
        <v>0</v>
      </c>
      <c r="X35" s="5">
        <v>1</v>
      </c>
      <c r="Y35" s="5">
        <v>0</v>
      </c>
      <c r="Z35" s="5">
        <v>0</v>
      </c>
      <c r="AA35" s="5">
        <v>1</v>
      </c>
      <c r="AB35" s="5">
        <v>0</v>
      </c>
    </row>
    <row r="36" spans="1:28" ht="13" x14ac:dyDescent="0.3">
      <c r="A36" s="5">
        <v>50</v>
      </c>
      <c r="B36" s="5">
        <v>0</v>
      </c>
      <c r="C36" s="5">
        <v>0</v>
      </c>
      <c r="D36" s="5">
        <v>1</v>
      </c>
      <c r="E36" s="5">
        <v>225</v>
      </c>
      <c r="F36" s="5">
        <f>ROUND(Source!AV31,O36)</f>
        <v>0</v>
      </c>
      <c r="G36" s="5" t="s">
        <v>33</v>
      </c>
      <c r="H36" s="5" t="s">
        <v>34</v>
      </c>
      <c r="I36" s="5"/>
      <c r="J36" s="5"/>
      <c r="K36" s="5">
        <v>225</v>
      </c>
      <c r="L36" s="5">
        <v>4</v>
      </c>
      <c r="M36" s="5">
        <v>3</v>
      </c>
      <c r="N36" s="5" t="s">
        <v>3</v>
      </c>
      <c r="O36" s="5">
        <v>2</v>
      </c>
      <c r="P36" s="5">
        <f>ROUND(Source!EN31,O36)</f>
        <v>0</v>
      </c>
      <c r="Q36" s="5"/>
      <c r="R36" s="5"/>
      <c r="S36" s="5"/>
      <c r="T36" s="5"/>
      <c r="U36" s="5"/>
      <c r="V36" s="5"/>
      <c r="W36" s="5">
        <v>0</v>
      </c>
      <c r="X36" s="5">
        <v>1</v>
      </c>
      <c r="Y36" s="5">
        <v>0</v>
      </c>
      <c r="Z36" s="5">
        <v>0</v>
      </c>
      <c r="AA36" s="5">
        <v>1</v>
      </c>
      <c r="AB36" s="5">
        <v>0</v>
      </c>
    </row>
    <row r="37" spans="1:28" ht="13" x14ac:dyDescent="0.3">
      <c r="A37" s="5">
        <v>50</v>
      </c>
      <c r="B37" s="5">
        <v>0</v>
      </c>
      <c r="C37" s="5">
        <v>0</v>
      </c>
      <c r="D37" s="5">
        <v>1</v>
      </c>
      <c r="E37" s="5">
        <v>226</v>
      </c>
      <c r="F37" s="5">
        <f>ROUND(Source!AW31,O37)</f>
        <v>0</v>
      </c>
      <c r="G37" s="5" t="s">
        <v>35</v>
      </c>
      <c r="H37" s="5" t="s">
        <v>36</v>
      </c>
      <c r="I37" s="5"/>
      <c r="J37" s="5"/>
      <c r="K37" s="5">
        <v>226</v>
      </c>
      <c r="L37" s="5">
        <v>5</v>
      </c>
      <c r="M37" s="5">
        <v>3</v>
      </c>
      <c r="N37" s="5" t="s">
        <v>3</v>
      </c>
      <c r="O37" s="5">
        <v>2</v>
      </c>
      <c r="P37" s="5">
        <f>ROUND(Source!EO31,O37)</f>
        <v>0</v>
      </c>
      <c r="Q37" s="5"/>
      <c r="R37" s="5"/>
      <c r="S37" s="5"/>
      <c r="T37" s="5"/>
      <c r="U37" s="5"/>
      <c r="V37" s="5"/>
      <c r="W37" s="5">
        <v>0</v>
      </c>
      <c r="X37" s="5">
        <v>1</v>
      </c>
      <c r="Y37" s="5">
        <v>0</v>
      </c>
      <c r="Z37" s="5">
        <v>0</v>
      </c>
      <c r="AA37" s="5">
        <v>1</v>
      </c>
      <c r="AB37" s="5">
        <v>0</v>
      </c>
    </row>
    <row r="38" spans="1:28" ht="13" x14ac:dyDescent="0.3">
      <c r="A38" s="5">
        <v>50</v>
      </c>
      <c r="B38" s="5">
        <v>0</v>
      </c>
      <c r="C38" s="5">
        <v>0</v>
      </c>
      <c r="D38" s="5">
        <v>1</v>
      </c>
      <c r="E38" s="5">
        <v>227</v>
      </c>
      <c r="F38" s="5">
        <f>ROUND(Source!AX31,O38)</f>
        <v>0</v>
      </c>
      <c r="G38" s="5" t="s">
        <v>37</v>
      </c>
      <c r="H38" s="5" t="s">
        <v>38</v>
      </c>
      <c r="I38" s="5"/>
      <c r="J38" s="5"/>
      <c r="K38" s="5">
        <v>227</v>
      </c>
      <c r="L38" s="5">
        <v>6</v>
      </c>
      <c r="M38" s="5">
        <v>3</v>
      </c>
      <c r="N38" s="5" t="s">
        <v>3</v>
      </c>
      <c r="O38" s="5">
        <v>2</v>
      </c>
      <c r="P38" s="5">
        <f>ROUND(Source!EP31,O38)</f>
        <v>0</v>
      </c>
      <c r="Q38" s="5"/>
      <c r="R38" s="5"/>
      <c r="S38" s="5"/>
      <c r="T38" s="5"/>
      <c r="U38" s="5"/>
      <c r="V38" s="5"/>
      <c r="W38" s="5">
        <v>0</v>
      </c>
      <c r="X38" s="5">
        <v>1</v>
      </c>
      <c r="Y38" s="5">
        <v>0</v>
      </c>
      <c r="Z38" s="5">
        <v>0</v>
      </c>
      <c r="AA38" s="5">
        <v>1</v>
      </c>
      <c r="AB38" s="5">
        <v>0</v>
      </c>
    </row>
    <row r="39" spans="1:28" ht="13" x14ac:dyDescent="0.3">
      <c r="A39" s="5">
        <v>50</v>
      </c>
      <c r="B39" s="5">
        <v>0</v>
      </c>
      <c r="C39" s="5">
        <v>0</v>
      </c>
      <c r="D39" s="5">
        <v>1</v>
      </c>
      <c r="E39" s="5">
        <v>228</v>
      </c>
      <c r="F39" s="5">
        <f>ROUND(Source!AY31,O39)</f>
        <v>0</v>
      </c>
      <c r="G39" s="5" t="s">
        <v>39</v>
      </c>
      <c r="H39" s="5" t="s">
        <v>40</v>
      </c>
      <c r="I39" s="5"/>
      <c r="J39" s="5"/>
      <c r="K39" s="5">
        <v>228</v>
      </c>
      <c r="L39" s="5">
        <v>7</v>
      </c>
      <c r="M39" s="5">
        <v>3</v>
      </c>
      <c r="N39" s="5" t="s">
        <v>3</v>
      </c>
      <c r="O39" s="5">
        <v>2</v>
      </c>
      <c r="P39" s="5">
        <f>ROUND(Source!EQ31,O39)</f>
        <v>0</v>
      </c>
      <c r="Q39" s="5"/>
      <c r="R39" s="5"/>
      <c r="S39" s="5"/>
      <c r="T39" s="5"/>
      <c r="U39" s="5"/>
      <c r="V39" s="5"/>
      <c r="W39" s="5">
        <v>0</v>
      </c>
      <c r="X39" s="5">
        <v>1</v>
      </c>
      <c r="Y39" s="5">
        <v>0</v>
      </c>
      <c r="Z39" s="5">
        <v>0</v>
      </c>
      <c r="AA39" s="5">
        <v>1</v>
      </c>
      <c r="AB39" s="5">
        <v>0</v>
      </c>
    </row>
    <row r="40" spans="1:28" ht="13" x14ac:dyDescent="0.3">
      <c r="A40" s="5">
        <v>50</v>
      </c>
      <c r="B40" s="5">
        <v>0</v>
      </c>
      <c r="C40" s="5">
        <v>0</v>
      </c>
      <c r="D40" s="5">
        <v>1</v>
      </c>
      <c r="E40" s="5">
        <v>216</v>
      </c>
      <c r="F40" s="5">
        <f>ROUND(Source!AP31,O40)</f>
        <v>0</v>
      </c>
      <c r="G40" s="5" t="s">
        <v>41</v>
      </c>
      <c r="H40" s="5" t="s">
        <v>42</v>
      </c>
      <c r="I40" s="5"/>
      <c r="J40" s="5"/>
      <c r="K40" s="5">
        <v>216</v>
      </c>
      <c r="L40" s="5">
        <v>8</v>
      </c>
      <c r="M40" s="5">
        <v>3</v>
      </c>
      <c r="N40" s="5" t="s">
        <v>3</v>
      </c>
      <c r="O40" s="5">
        <v>2</v>
      </c>
      <c r="P40" s="5">
        <f>ROUND(Source!EH31,O40)</f>
        <v>0</v>
      </c>
      <c r="Q40" s="5"/>
      <c r="R40" s="5"/>
      <c r="S40" s="5"/>
      <c r="T40" s="5"/>
      <c r="U40" s="5"/>
      <c r="V40" s="5"/>
      <c r="W40" s="5">
        <v>0</v>
      </c>
      <c r="X40" s="5">
        <v>1</v>
      </c>
      <c r="Y40" s="5">
        <v>0</v>
      </c>
      <c r="Z40" s="5">
        <v>0</v>
      </c>
      <c r="AA40" s="5">
        <v>1</v>
      </c>
      <c r="AB40" s="5">
        <v>0</v>
      </c>
    </row>
    <row r="41" spans="1:28" ht="13" x14ac:dyDescent="0.3">
      <c r="A41" s="5">
        <v>50</v>
      </c>
      <c r="B41" s="5">
        <v>0</v>
      </c>
      <c r="C41" s="5">
        <v>0</v>
      </c>
      <c r="D41" s="5">
        <v>1</v>
      </c>
      <c r="E41" s="5">
        <v>223</v>
      </c>
      <c r="F41" s="5">
        <f>ROUND(Source!AQ31,O41)</f>
        <v>0</v>
      </c>
      <c r="G41" s="5" t="s">
        <v>43</v>
      </c>
      <c r="H41" s="5" t="s">
        <v>44</v>
      </c>
      <c r="I41" s="5"/>
      <c r="J41" s="5"/>
      <c r="K41" s="5">
        <v>223</v>
      </c>
      <c r="L41" s="5">
        <v>9</v>
      </c>
      <c r="M41" s="5">
        <v>3</v>
      </c>
      <c r="N41" s="5" t="s">
        <v>3</v>
      </c>
      <c r="O41" s="5">
        <v>2</v>
      </c>
      <c r="P41" s="5">
        <f>ROUND(Source!EI31,O41)</f>
        <v>0</v>
      </c>
      <c r="Q41" s="5"/>
      <c r="R41" s="5"/>
      <c r="S41" s="5"/>
      <c r="T41" s="5"/>
      <c r="U41" s="5"/>
      <c r="V41" s="5"/>
      <c r="W41" s="5">
        <v>0</v>
      </c>
      <c r="X41" s="5">
        <v>1</v>
      </c>
      <c r="Y41" s="5">
        <v>0</v>
      </c>
      <c r="Z41" s="5">
        <v>0</v>
      </c>
      <c r="AA41" s="5">
        <v>1</v>
      </c>
      <c r="AB41" s="5">
        <v>0</v>
      </c>
    </row>
    <row r="42" spans="1:28" ht="13" x14ac:dyDescent="0.3">
      <c r="A42" s="5">
        <v>50</v>
      </c>
      <c r="B42" s="5">
        <v>0</v>
      </c>
      <c r="C42" s="5">
        <v>0</v>
      </c>
      <c r="D42" s="5">
        <v>1</v>
      </c>
      <c r="E42" s="5">
        <v>229</v>
      </c>
      <c r="F42" s="5">
        <f>ROUND(Source!AZ31,O42)</f>
        <v>0</v>
      </c>
      <c r="G42" s="5" t="s">
        <v>45</v>
      </c>
      <c r="H42" s="5" t="s">
        <v>46</v>
      </c>
      <c r="I42" s="5"/>
      <c r="J42" s="5"/>
      <c r="K42" s="5">
        <v>229</v>
      </c>
      <c r="L42" s="5">
        <v>10</v>
      </c>
      <c r="M42" s="5">
        <v>3</v>
      </c>
      <c r="N42" s="5" t="s">
        <v>3</v>
      </c>
      <c r="O42" s="5">
        <v>2</v>
      </c>
      <c r="P42" s="5">
        <f>ROUND(Source!ER31,O42)</f>
        <v>0</v>
      </c>
      <c r="Q42" s="5"/>
      <c r="R42" s="5"/>
      <c r="S42" s="5"/>
      <c r="T42" s="5"/>
      <c r="U42" s="5"/>
      <c r="V42" s="5"/>
      <c r="W42" s="5">
        <v>0</v>
      </c>
      <c r="X42" s="5">
        <v>1</v>
      </c>
      <c r="Y42" s="5">
        <v>0</v>
      </c>
      <c r="Z42" s="5">
        <v>0</v>
      </c>
      <c r="AA42" s="5">
        <v>1</v>
      </c>
      <c r="AB42" s="5">
        <v>0</v>
      </c>
    </row>
    <row r="43" spans="1:28" ht="13" x14ac:dyDescent="0.3">
      <c r="A43" s="5">
        <v>50</v>
      </c>
      <c r="B43" s="5">
        <v>0</v>
      </c>
      <c r="C43" s="5">
        <v>0</v>
      </c>
      <c r="D43" s="5">
        <v>1</v>
      </c>
      <c r="E43" s="5">
        <v>203</v>
      </c>
      <c r="F43" s="5">
        <f>ROUND(Source!Q31,O43)</f>
        <v>188203.04</v>
      </c>
      <c r="G43" s="5" t="s">
        <v>47</v>
      </c>
      <c r="H43" s="5" t="s">
        <v>48</v>
      </c>
      <c r="I43" s="5"/>
      <c r="J43" s="5"/>
      <c r="K43" s="5">
        <v>203</v>
      </c>
      <c r="L43" s="5">
        <v>11</v>
      </c>
      <c r="M43" s="5">
        <v>3</v>
      </c>
      <c r="N43" s="5" t="s">
        <v>3</v>
      </c>
      <c r="O43" s="5">
        <v>2</v>
      </c>
      <c r="P43" s="5">
        <f>ROUND(Source!DI31,O43)</f>
        <v>2900208.85</v>
      </c>
      <c r="Q43" s="5"/>
      <c r="R43" s="5"/>
      <c r="S43" s="5"/>
      <c r="T43" s="5"/>
      <c r="U43" s="5"/>
      <c r="V43" s="5"/>
      <c r="W43" s="5">
        <v>188203.04</v>
      </c>
      <c r="X43" s="5">
        <v>1</v>
      </c>
      <c r="Y43" s="5">
        <v>188203.04</v>
      </c>
      <c r="Z43" s="5">
        <v>2900208.85</v>
      </c>
      <c r="AA43" s="5">
        <v>1</v>
      </c>
      <c r="AB43" s="5">
        <v>2900208.85</v>
      </c>
    </row>
    <row r="44" spans="1:28" ht="13" x14ac:dyDescent="0.3">
      <c r="A44" s="5">
        <v>50</v>
      </c>
      <c r="B44" s="5">
        <v>0</v>
      </c>
      <c r="C44" s="5">
        <v>0</v>
      </c>
      <c r="D44" s="5">
        <v>1</v>
      </c>
      <c r="E44" s="5">
        <v>231</v>
      </c>
      <c r="F44" s="5">
        <f>ROUND(Source!BB31,O44)</f>
        <v>0</v>
      </c>
      <c r="G44" s="5" t="s">
        <v>49</v>
      </c>
      <c r="H44" s="5" t="s">
        <v>50</v>
      </c>
      <c r="I44" s="5"/>
      <c r="J44" s="5"/>
      <c r="K44" s="5">
        <v>231</v>
      </c>
      <c r="L44" s="5">
        <v>12</v>
      </c>
      <c r="M44" s="5">
        <v>3</v>
      </c>
      <c r="N44" s="5" t="s">
        <v>3</v>
      </c>
      <c r="O44" s="5">
        <v>2</v>
      </c>
      <c r="P44" s="5">
        <f>ROUND(Source!ET31,O44)</f>
        <v>0</v>
      </c>
      <c r="Q44" s="5"/>
      <c r="R44" s="5"/>
      <c r="S44" s="5"/>
      <c r="T44" s="5"/>
      <c r="U44" s="5"/>
      <c r="V44" s="5"/>
      <c r="W44" s="5">
        <v>0</v>
      </c>
      <c r="X44" s="5">
        <v>1</v>
      </c>
      <c r="Y44" s="5">
        <v>0</v>
      </c>
      <c r="Z44" s="5">
        <v>0</v>
      </c>
      <c r="AA44" s="5">
        <v>1</v>
      </c>
      <c r="AB44" s="5">
        <v>0</v>
      </c>
    </row>
    <row r="45" spans="1:28" ht="13" x14ac:dyDescent="0.3">
      <c r="A45" s="5">
        <v>50</v>
      </c>
      <c r="B45" s="5">
        <v>0</v>
      </c>
      <c r="C45" s="5">
        <v>0</v>
      </c>
      <c r="D45" s="5">
        <v>1</v>
      </c>
      <c r="E45" s="5">
        <v>204</v>
      </c>
      <c r="F45" s="5">
        <f>ROUND(Source!R31,O45)</f>
        <v>0</v>
      </c>
      <c r="G45" s="5" t="s">
        <v>51</v>
      </c>
      <c r="H45" s="5" t="s">
        <v>52</v>
      </c>
      <c r="I45" s="5"/>
      <c r="J45" s="5"/>
      <c r="K45" s="5">
        <v>204</v>
      </c>
      <c r="L45" s="5">
        <v>13</v>
      </c>
      <c r="M45" s="5">
        <v>3</v>
      </c>
      <c r="N45" s="5" t="s">
        <v>3</v>
      </c>
      <c r="O45" s="5">
        <v>2</v>
      </c>
      <c r="P45" s="5">
        <f>ROUND(Source!DJ31,O45)</f>
        <v>0</v>
      </c>
      <c r="Q45" s="5"/>
      <c r="R45" s="5"/>
      <c r="S45" s="5"/>
      <c r="T45" s="5"/>
      <c r="U45" s="5"/>
      <c r="V45" s="5"/>
      <c r="W45" s="5">
        <v>0</v>
      </c>
      <c r="X45" s="5">
        <v>1</v>
      </c>
      <c r="Y45" s="5">
        <v>0</v>
      </c>
      <c r="Z45" s="5">
        <v>0</v>
      </c>
      <c r="AA45" s="5">
        <v>1</v>
      </c>
      <c r="AB45" s="5">
        <v>0</v>
      </c>
    </row>
    <row r="46" spans="1:28" ht="13" x14ac:dyDescent="0.3">
      <c r="A46" s="5">
        <v>50</v>
      </c>
      <c r="B46" s="5">
        <v>0</v>
      </c>
      <c r="C46" s="5">
        <v>0</v>
      </c>
      <c r="D46" s="5">
        <v>1</v>
      </c>
      <c r="E46" s="5">
        <v>205</v>
      </c>
      <c r="F46" s="5">
        <f>ROUND(Source!S31,O46)</f>
        <v>0</v>
      </c>
      <c r="G46" s="5" t="s">
        <v>53</v>
      </c>
      <c r="H46" s="5" t="s">
        <v>54</v>
      </c>
      <c r="I46" s="5"/>
      <c r="J46" s="5"/>
      <c r="K46" s="5">
        <v>205</v>
      </c>
      <c r="L46" s="5">
        <v>14</v>
      </c>
      <c r="M46" s="5">
        <v>3</v>
      </c>
      <c r="N46" s="5" t="s">
        <v>3</v>
      </c>
      <c r="O46" s="5">
        <v>2</v>
      </c>
      <c r="P46" s="5">
        <f>ROUND(Source!DK31,O46)</f>
        <v>0</v>
      </c>
      <c r="Q46" s="5"/>
      <c r="R46" s="5"/>
      <c r="S46" s="5"/>
      <c r="T46" s="5"/>
      <c r="U46" s="5"/>
      <c r="V46" s="5"/>
      <c r="W46" s="5">
        <v>0</v>
      </c>
      <c r="X46" s="5">
        <v>1</v>
      </c>
      <c r="Y46" s="5">
        <v>0</v>
      </c>
      <c r="Z46" s="5">
        <v>0</v>
      </c>
      <c r="AA46" s="5">
        <v>1</v>
      </c>
      <c r="AB46" s="5">
        <v>0</v>
      </c>
    </row>
    <row r="47" spans="1:28" ht="13" x14ac:dyDescent="0.3">
      <c r="A47" s="5">
        <v>50</v>
      </c>
      <c r="B47" s="5">
        <v>0</v>
      </c>
      <c r="C47" s="5">
        <v>0</v>
      </c>
      <c r="D47" s="5">
        <v>1</v>
      </c>
      <c r="E47" s="5">
        <v>232</v>
      </c>
      <c r="F47" s="5">
        <f>ROUND(Source!BC31,O47)</f>
        <v>0</v>
      </c>
      <c r="G47" s="5" t="s">
        <v>55</v>
      </c>
      <c r="H47" s="5" t="s">
        <v>56</v>
      </c>
      <c r="I47" s="5"/>
      <c r="J47" s="5"/>
      <c r="K47" s="5">
        <v>232</v>
      </c>
      <c r="L47" s="5">
        <v>15</v>
      </c>
      <c r="M47" s="5">
        <v>3</v>
      </c>
      <c r="N47" s="5" t="s">
        <v>3</v>
      </c>
      <c r="O47" s="5">
        <v>2</v>
      </c>
      <c r="P47" s="5">
        <f>ROUND(Source!EU31,O47)</f>
        <v>0</v>
      </c>
      <c r="Q47" s="5"/>
      <c r="R47" s="5"/>
      <c r="S47" s="5"/>
      <c r="T47" s="5"/>
      <c r="U47" s="5"/>
      <c r="V47" s="5"/>
      <c r="W47" s="5">
        <v>0</v>
      </c>
      <c r="X47" s="5">
        <v>1</v>
      </c>
      <c r="Y47" s="5">
        <v>0</v>
      </c>
      <c r="Z47" s="5">
        <v>0</v>
      </c>
      <c r="AA47" s="5">
        <v>1</v>
      </c>
      <c r="AB47" s="5">
        <v>0</v>
      </c>
    </row>
    <row r="48" spans="1:28" ht="13" x14ac:dyDescent="0.3">
      <c r="A48" s="5">
        <v>50</v>
      </c>
      <c r="B48" s="5">
        <v>0</v>
      </c>
      <c r="C48" s="5">
        <v>0</v>
      </c>
      <c r="D48" s="5">
        <v>1</v>
      </c>
      <c r="E48" s="5">
        <v>214</v>
      </c>
      <c r="F48" s="5">
        <f>ROUND(Source!AS31,O48)</f>
        <v>0</v>
      </c>
      <c r="G48" s="5" t="s">
        <v>57</v>
      </c>
      <c r="H48" s="5" t="s">
        <v>58</v>
      </c>
      <c r="I48" s="5"/>
      <c r="J48" s="5"/>
      <c r="K48" s="5">
        <v>214</v>
      </c>
      <c r="L48" s="5">
        <v>16</v>
      </c>
      <c r="M48" s="5">
        <v>3</v>
      </c>
      <c r="N48" s="5" t="s">
        <v>3</v>
      </c>
      <c r="O48" s="5">
        <v>2</v>
      </c>
      <c r="P48" s="5">
        <f>ROUND(Source!EK31,O48)</f>
        <v>0</v>
      </c>
      <c r="Q48" s="5"/>
      <c r="R48" s="5"/>
      <c r="S48" s="5"/>
      <c r="T48" s="5"/>
      <c r="U48" s="5"/>
      <c r="V48" s="5"/>
      <c r="W48" s="5">
        <v>0</v>
      </c>
      <c r="X48" s="5">
        <v>1</v>
      </c>
      <c r="Y48" s="5">
        <v>0</v>
      </c>
      <c r="Z48" s="5">
        <v>0</v>
      </c>
      <c r="AA48" s="5">
        <v>1</v>
      </c>
      <c r="AB48" s="5">
        <v>0</v>
      </c>
    </row>
    <row r="49" spans="1:206" ht="13" x14ac:dyDescent="0.3">
      <c r="A49" s="5">
        <v>50</v>
      </c>
      <c r="B49" s="5">
        <v>0</v>
      </c>
      <c r="C49" s="5">
        <v>0</v>
      </c>
      <c r="D49" s="5">
        <v>1</v>
      </c>
      <c r="E49" s="5">
        <v>215</v>
      </c>
      <c r="F49" s="5">
        <f>ROUND(Source!AT31,O49)</f>
        <v>0</v>
      </c>
      <c r="G49" s="5" t="s">
        <v>59</v>
      </c>
      <c r="H49" s="5" t="s">
        <v>60</v>
      </c>
      <c r="I49" s="5"/>
      <c r="J49" s="5"/>
      <c r="K49" s="5">
        <v>215</v>
      </c>
      <c r="L49" s="5">
        <v>17</v>
      </c>
      <c r="M49" s="5">
        <v>3</v>
      </c>
      <c r="N49" s="5" t="s">
        <v>3</v>
      </c>
      <c r="O49" s="5">
        <v>2</v>
      </c>
      <c r="P49" s="5">
        <f>ROUND(Source!EL31,O49)</f>
        <v>0</v>
      </c>
      <c r="Q49" s="5"/>
      <c r="R49" s="5"/>
      <c r="S49" s="5"/>
      <c r="T49" s="5"/>
      <c r="U49" s="5"/>
      <c r="V49" s="5"/>
      <c r="W49" s="5">
        <v>0</v>
      </c>
      <c r="X49" s="5">
        <v>1</v>
      </c>
      <c r="Y49" s="5">
        <v>0</v>
      </c>
      <c r="Z49" s="5">
        <v>0</v>
      </c>
      <c r="AA49" s="5">
        <v>1</v>
      </c>
      <c r="AB49" s="5">
        <v>0</v>
      </c>
    </row>
    <row r="50" spans="1:206" ht="13" x14ac:dyDescent="0.3">
      <c r="A50" s="5">
        <v>50</v>
      </c>
      <c r="B50" s="5">
        <v>0</v>
      </c>
      <c r="C50" s="5">
        <v>0</v>
      </c>
      <c r="D50" s="5">
        <v>1</v>
      </c>
      <c r="E50" s="5">
        <v>217</v>
      </c>
      <c r="F50" s="5">
        <f>ROUND(Source!AU31,O50)</f>
        <v>188203.04</v>
      </c>
      <c r="G50" s="5" t="s">
        <v>61</v>
      </c>
      <c r="H50" s="5" t="s">
        <v>62</v>
      </c>
      <c r="I50" s="5"/>
      <c r="J50" s="5"/>
      <c r="K50" s="5">
        <v>217</v>
      </c>
      <c r="L50" s="5">
        <v>18</v>
      </c>
      <c r="M50" s="5">
        <v>3</v>
      </c>
      <c r="N50" s="5" t="s">
        <v>3</v>
      </c>
      <c r="O50" s="5">
        <v>2</v>
      </c>
      <c r="P50" s="5">
        <f>ROUND(Source!EM31,O50)</f>
        <v>2900208.85</v>
      </c>
      <c r="Q50" s="5"/>
      <c r="R50" s="5"/>
      <c r="S50" s="5"/>
      <c r="T50" s="5"/>
      <c r="U50" s="5"/>
      <c r="V50" s="5"/>
      <c r="W50" s="5">
        <v>188203.04</v>
      </c>
      <c r="X50" s="5">
        <v>1</v>
      </c>
      <c r="Y50" s="5">
        <v>188203.04</v>
      </c>
      <c r="Z50" s="5">
        <v>2900208.85</v>
      </c>
      <c r="AA50" s="5">
        <v>1</v>
      </c>
      <c r="AB50" s="5">
        <v>2900208.85</v>
      </c>
    </row>
    <row r="51" spans="1:206" ht="13" x14ac:dyDescent="0.3">
      <c r="A51" s="5">
        <v>50</v>
      </c>
      <c r="B51" s="5">
        <v>0</v>
      </c>
      <c r="C51" s="5">
        <v>0</v>
      </c>
      <c r="D51" s="5">
        <v>1</v>
      </c>
      <c r="E51" s="5">
        <v>230</v>
      </c>
      <c r="F51" s="5">
        <f>ROUND(Source!BA31,O51)</f>
        <v>0</v>
      </c>
      <c r="G51" s="5" t="s">
        <v>63</v>
      </c>
      <c r="H51" s="5" t="s">
        <v>64</v>
      </c>
      <c r="I51" s="5"/>
      <c r="J51" s="5"/>
      <c r="K51" s="5">
        <v>230</v>
      </c>
      <c r="L51" s="5">
        <v>19</v>
      </c>
      <c r="M51" s="5">
        <v>3</v>
      </c>
      <c r="N51" s="5" t="s">
        <v>3</v>
      </c>
      <c r="O51" s="5">
        <v>2</v>
      </c>
      <c r="P51" s="5">
        <f>ROUND(Source!ES31,O51)</f>
        <v>0</v>
      </c>
      <c r="Q51" s="5"/>
      <c r="R51" s="5"/>
      <c r="S51" s="5"/>
      <c r="T51" s="5"/>
      <c r="U51" s="5"/>
      <c r="V51" s="5"/>
      <c r="W51" s="5">
        <v>0</v>
      </c>
      <c r="X51" s="5">
        <v>1</v>
      </c>
      <c r="Y51" s="5">
        <v>0</v>
      </c>
      <c r="Z51" s="5">
        <v>0</v>
      </c>
      <c r="AA51" s="5">
        <v>1</v>
      </c>
      <c r="AB51" s="5">
        <v>0</v>
      </c>
    </row>
    <row r="52" spans="1:206" ht="13" x14ac:dyDescent="0.3">
      <c r="A52" s="5">
        <v>50</v>
      </c>
      <c r="B52" s="5">
        <v>0</v>
      </c>
      <c r="C52" s="5">
        <v>0</v>
      </c>
      <c r="D52" s="5">
        <v>1</v>
      </c>
      <c r="E52" s="5">
        <v>206</v>
      </c>
      <c r="F52" s="5">
        <f>ROUND(Source!T31,O52)</f>
        <v>0</v>
      </c>
      <c r="G52" s="5" t="s">
        <v>65</v>
      </c>
      <c r="H52" s="5" t="s">
        <v>66</v>
      </c>
      <c r="I52" s="5"/>
      <c r="J52" s="5"/>
      <c r="K52" s="5">
        <v>206</v>
      </c>
      <c r="L52" s="5">
        <v>20</v>
      </c>
      <c r="M52" s="5">
        <v>3</v>
      </c>
      <c r="N52" s="5" t="s">
        <v>3</v>
      </c>
      <c r="O52" s="5">
        <v>2</v>
      </c>
      <c r="P52" s="5">
        <f>ROUND(Source!DL31,O52)</f>
        <v>0</v>
      </c>
      <c r="Q52" s="5"/>
      <c r="R52" s="5"/>
      <c r="S52" s="5"/>
      <c r="T52" s="5"/>
      <c r="U52" s="5"/>
      <c r="V52" s="5"/>
      <c r="W52" s="5">
        <v>0</v>
      </c>
      <c r="X52" s="5">
        <v>1</v>
      </c>
      <c r="Y52" s="5">
        <v>0</v>
      </c>
      <c r="Z52" s="5">
        <v>0</v>
      </c>
      <c r="AA52" s="5">
        <v>1</v>
      </c>
      <c r="AB52" s="5">
        <v>0</v>
      </c>
    </row>
    <row r="53" spans="1:206" ht="13" x14ac:dyDescent="0.3">
      <c r="A53" s="5">
        <v>50</v>
      </c>
      <c r="B53" s="5">
        <v>0</v>
      </c>
      <c r="C53" s="5">
        <v>0</v>
      </c>
      <c r="D53" s="5">
        <v>1</v>
      </c>
      <c r="E53" s="5">
        <v>207</v>
      </c>
      <c r="F53" s="5">
        <f>Source!U31</f>
        <v>0</v>
      </c>
      <c r="G53" s="5" t="s">
        <v>67</v>
      </c>
      <c r="H53" s="5" t="s">
        <v>68</v>
      </c>
      <c r="I53" s="5"/>
      <c r="J53" s="5"/>
      <c r="K53" s="5">
        <v>207</v>
      </c>
      <c r="L53" s="5">
        <v>21</v>
      </c>
      <c r="M53" s="5">
        <v>3</v>
      </c>
      <c r="N53" s="5" t="s">
        <v>3</v>
      </c>
      <c r="O53" s="5">
        <v>-1</v>
      </c>
      <c r="P53" s="5">
        <f>Source!DM31</f>
        <v>0</v>
      </c>
      <c r="Q53" s="5"/>
      <c r="R53" s="5"/>
      <c r="S53" s="5"/>
      <c r="T53" s="5"/>
      <c r="U53" s="5"/>
      <c r="V53" s="5"/>
      <c r="W53" s="5">
        <v>0</v>
      </c>
      <c r="X53" s="5">
        <v>1</v>
      </c>
      <c r="Y53" s="5">
        <v>0</v>
      </c>
      <c r="Z53" s="5">
        <v>0</v>
      </c>
      <c r="AA53" s="5">
        <v>1</v>
      </c>
      <c r="AB53" s="5">
        <v>0</v>
      </c>
    </row>
    <row r="54" spans="1:206" ht="13" x14ac:dyDescent="0.3">
      <c r="A54" s="5">
        <v>50</v>
      </c>
      <c r="B54" s="5">
        <v>0</v>
      </c>
      <c r="C54" s="5">
        <v>0</v>
      </c>
      <c r="D54" s="5">
        <v>1</v>
      </c>
      <c r="E54" s="5">
        <v>208</v>
      </c>
      <c r="F54" s="5">
        <f>Source!V31</f>
        <v>0</v>
      </c>
      <c r="G54" s="5" t="s">
        <v>69</v>
      </c>
      <c r="H54" s="5" t="s">
        <v>70</v>
      </c>
      <c r="I54" s="5"/>
      <c r="J54" s="5"/>
      <c r="K54" s="5">
        <v>208</v>
      </c>
      <c r="L54" s="5">
        <v>22</v>
      </c>
      <c r="M54" s="5">
        <v>3</v>
      </c>
      <c r="N54" s="5" t="s">
        <v>3</v>
      </c>
      <c r="O54" s="5">
        <v>-1</v>
      </c>
      <c r="P54" s="5">
        <f>Source!DN31</f>
        <v>0</v>
      </c>
      <c r="Q54" s="5"/>
      <c r="R54" s="5"/>
      <c r="S54" s="5"/>
      <c r="T54" s="5"/>
      <c r="U54" s="5"/>
      <c r="V54" s="5"/>
      <c r="W54" s="5">
        <v>0</v>
      </c>
      <c r="X54" s="5">
        <v>1</v>
      </c>
      <c r="Y54" s="5">
        <v>0</v>
      </c>
      <c r="Z54" s="5">
        <v>0</v>
      </c>
      <c r="AA54" s="5">
        <v>1</v>
      </c>
      <c r="AB54" s="5">
        <v>0</v>
      </c>
    </row>
    <row r="55" spans="1:206" ht="13" x14ac:dyDescent="0.3">
      <c r="A55" s="5">
        <v>50</v>
      </c>
      <c r="B55" s="5">
        <v>0</v>
      </c>
      <c r="C55" s="5">
        <v>0</v>
      </c>
      <c r="D55" s="5">
        <v>1</v>
      </c>
      <c r="E55" s="5">
        <v>209</v>
      </c>
      <c r="F55" s="5">
        <f>ROUND(Source!W31,O55)</f>
        <v>0</v>
      </c>
      <c r="G55" s="5" t="s">
        <v>71</v>
      </c>
      <c r="H55" s="5" t="s">
        <v>72</v>
      </c>
      <c r="I55" s="5"/>
      <c r="J55" s="5"/>
      <c r="K55" s="5">
        <v>209</v>
      </c>
      <c r="L55" s="5">
        <v>23</v>
      </c>
      <c r="M55" s="5">
        <v>3</v>
      </c>
      <c r="N55" s="5" t="s">
        <v>3</v>
      </c>
      <c r="O55" s="5">
        <v>2</v>
      </c>
      <c r="P55" s="5">
        <f>ROUND(Source!DO31,O55)</f>
        <v>0</v>
      </c>
      <c r="Q55" s="5"/>
      <c r="R55" s="5"/>
      <c r="S55" s="5"/>
      <c r="T55" s="5"/>
      <c r="U55" s="5"/>
      <c r="V55" s="5"/>
      <c r="W55" s="5">
        <v>0</v>
      </c>
      <c r="X55" s="5">
        <v>1</v>
      </c>
      <c r="Y55" s="5">
        <v>0</v>
      </c>
      <c r="Z55" s="5">
        <v>0</v>
      </c>
      <c r="AA55" s="5">
        <v>1</v>
      </c>
      <c r="AB55" s="5">
        <v>0</v>
      </c>
    </row>
    <row r="56" spans="1:206" ht="13" x14ac:dyDescent="0.3">
      <c r="A56" s="5">
        <v>50</v>
      </c>
      <c r="B56" s="5">
        <v>0</v>
      </c>
      <c r="C56" s="5">
        <v>0</v>
      </c>
      <c r="D56" s="5">
        <v>1</v>
      </c>
      <c r="E56" s="5">
        <v>233</v>
      </c>
      <c r="F56" s="5">
        <f>ROUND(Source!BD31,O56)</f>
        <v>0</v>
      </c>
      <c r="G56" s="5" t="s">
        <v>73</v>
      </c>
      <c r="H56" s="5" t="s">
        <v>74</v>
      </c>
      <c r="I56" s="5"/>
      <c r="J56" s="5"/>
      <c r="K56" s="5">
        <v>233</v>
      </c>
      <c r="L56" s="5">
        <v>24</v>
      </c>
      <c r="M56" s="5">
        <v>3</v>
      </c>
      <c r="N56" s="5" t="s">
        <v>3</v>
      </c>
      <c r="O56" s="5">
        <v>2</v>
      </c>
      <c r="P56" s="5">
        <f>ROUND(Source!EV31,O56)</f>
        <v>0</v>
      </c>
      <c r="Q56" s="5"/>
      <c r="R56" s="5"/>
      <c r="S56" s="5"/>
      <c r="T56" s="5"/>
      <c r="U56" s="5"/>
      <c r="V56" s="5"/>
      <c r="W56" s="5">
        <v>0</v>
      </c>
      <c r="X56" s="5">
        <v>1</v>
      </c>
      <c r="Y56" s="5">
        <v>0</v>
      </c>
      <c r="Z56" s="5">
        <v>0</v>
      </c>
      <c r="AA56" s="5">
        <v>1</v>
      </c>
      <c r="AB56" s="5">
        <v>0</v>
      </c>
    </row>
    <row r="57" spans="1:206" ht="13" x14ac:dyDescent="0.3">
      <c r="A57" s="5">
        <v>50</v>
      </c>
      <c r="B57" s="5">
        <v>0</v>
      </c>
      <c r="C57" s="5">
        <v>0</v>
      </c>
      <c r="D57" s="5">
        <v>1</v>
      </c>
      <c r="E57" s="5">
        <v>210</v>
      </c>
      <c r="F57" s="5">
        <f>ROUND(Source!X31,O57)</f>
        <v>0</v>
      </c>
      <c r="G57" s="5" t="s">
        <v>75</v>
      </c>
      <c r="H57" s="5" t="s">
        <v>76</v>
      </c>
      <c r="I57" s="5"/>
      <c r="J57" s="5"/>
      <c r="K57" s="5">
        <v>210</v>
      </c>
      <c r="L57" s="5">
        <v>25</v>
      </c>
      <c r="M57" s="5">
        <v>3</v>
      </c>
      <c r="N57" s="5" t="s">
        <v>3</v>
      </c>
      <c r="O57" s="5">
        <v>2</v>
      </c>
      <c r="P57" s="5">
        <f>ROUND(Source!DP31,O57)</f>
        <v>0</v>
      </c>
      <c r="Q57" s="5"/>
      <c r="R57" s="5"/>
      <c r="S57" s="5"/>
      <c r="T57" s="5"/>
      <c r="U57" s="5"/>
      <c r="V57" s="5"/>
      <c r="W57" s="5">
        <v>0</v>
      </c>
      <c r="X57" s="5">
        <v>1</v>
      </c>
      <c r="Y57" s="5">
        <v>0</v>
      </c>
      <c r="Z57" s="5">
        <v>0</v>
      </c>
      <c r="AA57" s="5">
        <v>1</v>
      </c>
      <c r="AB57" s="5">
        <v>0</v>
      </c>
    </row>
    <row r="58" spans="1:206" ht="13" x14ac:dyDescent="0.3">
      <c r="A58" s="5">
        <v>50</v>
      </c>
      <c r="B58" s="5">
        <v>0</v>
      </c>
      <c r="C58" s="5">
        <v>0</v>
      </c>
      <c r="D58" s="5">
        <v>1</v>
      </c>
      <c r="E58" s="5">
        <v>211</v>
      </c>
      <c r="F58" s="5">
        <f>ROUND(Source!Y31,O58)</f>
        <v>0</v>
      </c>
      <c r="G58" s="5" t="s">
        <v>77</v>
      </c>
      <c r="H58" s="5" t="s">
        <v>78</v>
      </c>
      <c r="I58" s="5"/>
      <c r="J58" s="5"/>
      <c r="K58" s="5">
        <v>211</v>
      </c>
      <c r="L58" s="5">
        <v>26</v>
      </c>
      <c r="M58" s="5">
        <v>3</v>
      </c>
      <c r="N58" s="5" t="s">
        <v>3</v>
      </c>
      <c r="O58" s="5">
        <v>2</v>
      </c>
      <c r="P58" s="5">
        <f>ROUND(Source!DQ31,O58)</f>
        <v>0</v>
      </c>
      <c r="Q58" s="5"/>
      <c r="R58" s="5"/>
      <c r="S58" s="5"/>
      <c r="T58" s="5"/>
      <c r="U58" s="5"/>
      <c r="V58" s="5"/>
      <c r="W58" s="5">
        <v>0</v>
      </c>
      <c r="X58" s="5">
        <v>1</v>
      </c>
      <c r="Y58" s="5">
        <v>0</v>
      </c>
      <c r="Z58" s="5">
        <v>0</v>
      </c>
      <c r="AA58" s="5">
        <v>1</v>
      </c>
      <c r="AB58" s="5">
        <v>0</v>
      </c>
    </row>
    <row r="59" spans="1:206" ht="13" x14ac:dyDescent="0.3">
      <c r="A59" s="5">
        <v>50</v>
      </c>
      <c r="B59" s="5">
        <v>0</v>
      </c>
      <c r="C59" s="5">
        <v>0</v>
      </c>
      <c r="D59" s="5">
        <v>1</v>
      </c>
      <c r="E59" s="5">
        <v>224</v>
      </c>
      <c r="F59" s="5">
        <f>ROUND(Source!AR31,O59)</f>
        <v>188203.04</v>
      </c>
      <c r="G59" s="5" t="s">
        <v>79</v>
      </c>
      <c r="H59" s="5" t="s">
        <v>80</v>
      </c>
      <c r="I59" s="5"/>
      <c r="J59" s="5"/>
      <c r="K59" s="5">
        <v>224</v>
      </c>
      <c r="L59" s="5">
        <v>27</v>
      </c>
      <c r="M59" s="5">
        <v>3</v>
      </c>
      <c r="N59" s="5" t="s">
        <v>3</v>
      </c>
      <c r="O59" s="5">
        <v>2</v>
      </c>
      <c r="P59" s="5">
        <f>ROUND(Source!EJ31,O59)</f>
        <v>2900208.85</v>
      </c>
      <c r="Q59" s="5"/>
      <c r="R59" s="5"/>
      <c r="S59" s="5"/>
      <c r="T59" s="5"/>
      <c r="U59" s="5"/>
      <c r="V59" s="5"/>
      <c r="W59" s="5">
        <v>188203.04</v>
      </c>
      <c r="X59" s="5">
        <v>1</v>
      </c>
      <c r="Y59" s="5">
        <v>188203.04</v>
      </c>
      <c r="Z59" s="5">
        <v>2900208.85</v>
      </c>
      <c r="AA59" s="5">
        <v>1</v>
      </c>
      <c r="AB59" s="5">
        <v>2900208.85</v>
      </c>
    </row>
    <row r="61" spans="1:206" ht="13" x14ac:dyDescent="0.3">
      <c r="A61" s="3">
        <v>51</v>
      </c>
      <c r="B61" s="3">
        <f>B20</f>
        <v>1</v>
      </c>
      <c r="C61" s="3">
        <f>A20</f>
        <v>3</v>
      </c>
      <c r="D61" s="3">
        <f>ROW(A20)</f>
        <v>20</v>
      </c>
      <c r="E61" s="3"/>
      <c r="F61" s="3" t="str">
        <f>IF(F20&lt;&gt;"",F20,"")</f>
        <v>09-01-02</v>
      </c>
      <c r="G61" s="3" t="str">
        <f>IF(G20&lt;&gt;"",G20,"")</f>
        <v>Перевозка мусора</v>
      </c>
      <c r="H61" s="3">
        <v>0</v>
      </c>
      <c r="I61" s="3"/>
      <c r="J61" s="3"/>
      <c r="K61" s="3"/>
      <c r="L61" s="3"/>
      <c r="M61" s="3"/>
      <c r="N61" s="3"/>
      <c r="O61" s="3">
        <f t="shared" ref="O61:T61" si="25">ROUND(O31+AB61,2)</f>
        <v>188203.04</v>
      </c>
      <c r="P61" s="3">
        <f t="shared" si="25"/>
        <v>0</v>
      </c>
      <c r="Q61" s="3">
        <f t="shared" si="25"/>
        <v>188203.04</v>
      </c>
      <c r="R61" s="3">
        <f t="shared" si="25"/>
        <v>0</v>
      </c>
      <c r="S61" s="3">
        <f t="shared" si="25"/>
        <v>0</v>
      </c>
      <c r="T61" s="3">
        <f t="shared" si="25"/>
        <v>0</v>
      </c>
      <c r="U61" s="3">
        <f>U31+AH61</f>
        <v>0</v>
      </c>
      <c r="V61" s="3">
        <f>V31+AI61</f>
        <v>0</v>
      </c>
      <c r="W61" s="3">
        <f>ROUND(W31+AJ61,2)</f>
        <v>0</v>
      </c>
      <c r="X61" s="3">
        <f>ROUND(X31+AK61,2)</f>
        <v>0</v>
      </c>
      <c r="Y61" s="3">
        <f>ROUND(Y31+AL61,2)</f>
        <v>0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>
        <f t="shared" ref="AO61:BD61" si="26">ROUND(AO31+BX61,2)</f>
        <v>0</v>
      </c>
      <c r="AP61" s="3">
        <f t="shared" si="26"/>
        <v>0</v>
      </c>
      <c r="AQ61" s="3">
        <f t="shared" si="26"/>
        <v>0</v>
      </c>
      <c r="AR61" s="3">
        <f t="shared" si="26"/>
        <v>188203.04</v>
      </c>
      <c r="AS61" s="3">
        <f t="shared" si="26"/>
        <v>0</v>
      </c>
      <c r="AT61" s="3">
        <f t="shared" si="26"/>
        <v>0</v>
      </c>
      <c r="AU61" s="3">
        <f t="shared" si="26"/>
        <v>188203.04</v>
      </c>
      <c r="AV61" s="3">
        <f t="shared" si="26"/>
        <v>0</v>
      </c>
      <c r="AW61" s="3">
        <f t="shared" si="26"/>
        <v>0</v>
      </c>
      <c r="AX61" s="3">
        <f t="shared" si="26"/>
        <v>0</v>
      </c>
      <c r="AY61" s="3">
        <f t="shared" si="26"/>
        <v>0</v>
      </c>
      <c r="AZ61" s="3">
        <f t="shared" si="26"/>
        <v>0</v>
      </c>
      <c r="BA61" s="3">
        <f t="shared" si="26"/>
        <v>0</v>
      </c>
      <c r="BB61" s="3">
        <f t="shared" si="26"/>
        <v>0</v>
      </c>
      <c r="BC61" s="3">
        <f t="shared" si="26"/>
        <v>0</v>
      </c>
      <c r="BD61" s="3">
        <f t="shared" si="26"/>
        <v>0</v>
      </c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4">
        <f t="shared" ref="DG61:DL61" si="27">ROUND(DG31+DT61,2)</f>
        <v>2900208.85</v>
      </c>
      <c r="DH61" s="4">
        <f t="shared" si="27"/>
        <v>0</v>
      </c>
      <c r="DI61" s="4">
        <f t="shared" si="27"/>
        <v>2900208.85</v>
      </c>
      <c r="DJ61" s="4">
        <f t="shared" si="27"/>
        <v>0</v>
      </c>
      <c r="DK61" s="4">
        <f t="shared" si="27"/>
        <v>0</v>
      </c>
      <c r="DL61" s="4">
        <f t="shared" si="27"/>
        <v>0</v>
      </c>
      <c r="DM61" s="4">
        <f>DM31+DZ61</f>
        <v>0</v>
      </c>
      <c r="DN61" s="4">
        <f>DN31+EA61</f>
        <v>0</v>
      </c>
      <c r="DO61" s="4">
        <f>ROUND(DO31+EB61,2)</f>
        <v>0</v>
      </c>
      <c r="DP61" s="4">
        <f>ROUND(DP31+EC61,2)</f>
        <v>0</v>
      </c>
      <c r="DQ61" s="4">
        <f>ROUND(DQ31+ED61,2)</f>
        <v>0</v>
      </c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>
        <f t="shared" ref="EG61:EV61" si="28">ROUND(EG31+FP61,2)</f>
        <v>0</v>
      </c>
      <c r="EH61" s="4">
        <f t="shared" si="28"/>
        <v>0</v>
      </c>
      <c r="EI61" s="4">
        <f t="shared" si="28"/>
        <v>0</v>
      </c>
      <c r="EJ61" s="4">
        <f t="shared" si="28"/>
        <v>2900208.85</v>
      </c>
      <c r="EK61" s="4">
        <f t="shared" si="28"/>
        <v>0</v>
      </c>
      <c r="EL61" s="4">
        <f t="shared" si="28"/>
        <v>0</v>
      </c>
      <c r="EM61" s="4">
        <f t="shared" si="28"/>
        <v>2900208.85</v>
      </c>
      <c r="EN61" s="4">
        <f t="shared" si="28"/>
        <v>0</v>
      </c>
      <c r="EO61" s="4">
        <f t="shared" si="28"/>
        <v>0</v>
      </c>
      <c r="EP61" s="4">
        <f t="shared" si="28"/>
        <v>0</v>
      </c>
      <c r="EQ61" s="4">
        <f t="shared" si="28"/>
        <v>0</v>
      </c>
      <c r="ER61" s="4">
        <f t="shared" si="28"/>
        <v>0</v>
      </c>
      <c r="ES61" s="4">
        <f t="shared" si="28"/>
        <v>0</v>
      </c>
      <c r="ET61" s="4">
        <f t="shared" si="28"/>
        <v>0</v>
      </c>
      <c r="EU61" s="4">
        <f t="shared" si="28"/>
        <v>0</v>
      </c>
      <c r="EV61" s="4">
        <f t="shared" si="28"/>
        <v>0</v>
      </c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>
        <v>0</v>
      </c>
    </row>
    <row r="63" spans="1:206" ht="13" x14ac:dyDescent="0.3">
      <c r="A63" s="5">
        <v>50</v>
      </c>
      <c r="B63" s="5">
        <v>0</v>
      </c>
      <c r="C63" s="5">
        <v>0</v>
      </c>
      <c r="D63" s="5">
        <v>1</v>
      </c>
      <c r="E63" s="5">
        <v>201</v>
      </c>
      <c r="F63" s="5">
        <f>ROUND(Source!O61,O63)</f>
        <v>188203.04</v>
      </c>
      <c r="G63" s="5" t="s">
        <v>27</v>
      </c>
      <c r="H63" s="5" t="s">
        <v>28</v>
      </c>
      <c r="I63" s="5"/>
      <c r="J63" s="5"/>
      <c r="K63" s="5">
        <v>201</v>
      </c>
      <c r="L63" s="5">
        <v>1</v>
      </c>
      <c r="M63" s="5">
        <v>3</v>
      </c>
      <c r="N63" s="5" t="s">
        <v>3</v>
      </c>
      <c r="O63" s="5">
        <v>2</v>
      </c>
      <c r="P63" s="5">
        <f>ROUND(Source!DG61,O63)</f>
        <v>2900208.85</v>
      </c>
      <c r="Q63" s="5"/>
      <c r="R63" s="5"/>
      <c r="S63" s="5"/>
      <c r="T63" s="5"/>
      <c r="U63" s="5"/>
      <c r="V63" s="5"/>
      <c r="W63" s="5">
        <v>188203.04</v>
      </c>
      <c r="X63" s="5">
        <v>1</v>
      </c>
      <c r="Y63" s="5">
        <v>188203.04</v>
      </c>
      <c r="Z63" s="5">
        <v>2900208.85</v>
      </c>
      <c r="AA63" s="5">
        <v>1</v>
      </c>
      <c r="AB63" s="5">
        <v>2900208.85</v>
      </c>
    </row>
    <row r="64" spans="1:206" ht="13" x14ac:dyDescent="0.3">
      <c r="A64" s="5">
        <v>50</v>
      </c>
      <c r="B64" s="5">
        <v>0</v>
      </c>
      <c r="C64" s="5">
        <v>0</v>
      </c>
      <c r="D64" s="5">
        <v>1</v>
      </c>
      <c r="E64" s="5">
        <v>202</v>
      </c>
      <c r="F64" s="5">
        <f>ROUND(Source!P61,O64)</f>
        <v>0</v>
      </c>
      <c r="G64" s="5" t="s">
        <v>29</v>
      </c>
      <c r="H64" s="5" t="s">
        <v>30</v>
      </c>
      <c r="I64" s="5"/>
      <c r="J64" s="5"/>
      <c r="K64" s="5">
        <v>202</v>
      </c>
      <c r="L64" s="5">
        <v>2</v>
      </c>
      <c r="M64" s="5">
        <v>3</v>
      </c>
      <c r="N64" s="5" t="s">
        <v>3</v>
      </c>
      <c r="O64" s="5">
        <v>2</v>
      </c>
      <c r="P64" s="5">
        <f>ROUND(Source!DH61,O64)</f>
        <v>0</v>
      </c>
      <c r="Q64" s="5"/>
      <c r="R64" s="5"/>
      <c r="S64" s="5"/>
      <c r="T64" s="5"/>
      <c r="U64" s="5"/>
      <c r="V64" s="5"/>
      <c r="W64" s="5">
        <v>0</v>
      </c>
      <c r="X64" s="5">
        <v>1</v>
      </c>
      <c r="Y64" s="5">
        <v>0</v>
      </c>
      <c r="Z64" s="5">
        <v>0</v>
      </c>
      <c r="AA64" s="5">
        <v>1</v>
      </c>
      <c r="AB64" s="5">
        <v>0</v>
      </c>
    </row>
    <row r="65" spans="1:28" ht="13" x14ac:dyDescent="0.3">
      <c r="A65" s="5">
        <v>50</v>
      </c>
      <c r="B65" s="5">
        <v>0</v>
      </c>
      <c r="C65" s="5">
        <v>0</v>
      </c>
      <c r="D65" s="5">
        <v>1</v>
      </c>
      <c r="E65" s="5">
        <v>222</v>
      </c>
      <c r="F65" s="5">
        <f>ROUND(Source!AO61,O65)</f>
        <v>0</v>
      </c>
      <c r="G65" s="5" t="s">
        <v>31</v>
      </c>
      <c r="H65" s="5" t="s">
        <v>32</v>
      </c>
      <c r="I65" s="5"/>
      <c r="J65" s="5"/>
      <c r="K65" s="5">
        <v>222</v>
      </c>
      <c r="L65" s="5">
        <v>3</v>
      </c>
      <c r="M65" s="5">
        <v>3</v>
      </c>
      <c r="N65" s="5" t="s">
        <v>3</v>
      </c>
      <c r="O65" s="5">
        <v>2</v>
      </c>
      <c r="P65" s="5">
        <f>ROUND(Source!EG61,O65)</f>
        <v>0</v>
      </c>
      <c r="Q65" s="5"/>
      <c r="R65" s="5"/>
      <c r="S65" s="5"/>
      <c r="T65" s="5"/>
      <c r="U65" s="5"/>
      <c r="V65" s="5"/>
      <c r="W65" s="5">
        <v>0</v>
      </c>
      <c r="X65" s="5">
        <v>1</v>
      </c>
      <c r="Y65" s="5">
        <v>0</v>
      </c>
      <c r="Z65" s="5">
        <v>0</v>
      </c>
      <c r="AA65" s="5">
        <v>1</v>
      </c>
      <c r="AB65" s="5">
        <v>0</v>
      </c>
    </row>
    <row r="66" spans="1:28" ht="13" x14ac:dyDescent="0.3">
      <c r="A66" s="5">
        <v>50</v>
      </c>
      <c r="B66" s="5">
        <v>0</v>
      </c>
      <c r="C66" s="5">
        <v>0</v>
      </c>
      <c r="D66" s="5">
        <v>1</v>
      </c>
      <c r="E66" s="5">
        <v>225</v>
      </c>
      <c r="F66" s="5">
        <f>ROUND(Source!AV61,O66)</f>
        <v>0</v>
      </c>
      <c r="G66" s="5" t="s">
        <v>33</v>
      </c>
      <c r="H66" s="5" t="s">
        <v>34</v>
      </c>
      <c r="I66" s="5"/>
      <c r="J66" s="5"/>
      <c r="K66" s="5">
        <v>225</v>
      </c>
      <c r="L66" s="5">
        <v>4</v>
      </c>
      <c r="M66" s="5">
        <v>3</v>
      </c>
      <c r="N66" s="5" t="s">
        <v>3</v>
      </c>
      <c r="O66" s="5">
        <v>2</v>
      </c>
      <c r="P66" s="5">
        <f>ROUND(Source!EN61,O66)</f>
        <v>0</v>
      </c>
      <c r="Q66" s="5"/>
      <c r="R66" s="5"/>
      <c r="S66" s="5"/>
      <c r="T66" s="5"/>
      <c r="U66" s="5"/>
      <c r="V66" s="5"/>
      <c r="W66" s="5">
        <v>0</v>
      </c>
      <c r="X66" s="5">
        <v>1</v>
      </c>
      <c r="Y66" s="5">
        <v>0</v>
      </c>
      <c r="Z66" s="5">
        <v>0</v>
      </c>
      <c r="AA66" s="5">
        <v>1</v>
      </c>
      <c r="AB66" s="5">
        <v>0</v>
      </c>
    </row>
    <row r="67" spans="1:28" ht="13" x14ac:dyDescent="0.3">
      <c r="A67" s="5">
        <v>50</v>
      </c>
      <c r="B67" s="5">
        <v>0</v>
      </c>
      <c r="C67" s="5">
        <v>0</v>
      </c>
      <c r="D67" s="5">
        <v>1</v>
      </c>
      <c r="E67" s="5">
        <v>226</v>
      </c>
      <c r="F67" s="5">
        <f>ROUND(Source!AW61,O67)</f>
        <v>0</v>
      </c>
      <c r="G67" s="5" t="s">
        <v>35</v>
      </c>
      <c r="H67" s="5" t="s">
        <v>36</v>
      </c>
      <c r="I67" s="5"/>
      <c r="J67" s="5"/>
      <c r="K67" s="5">
        <v>226</v>
      </c>
      <c r="L67" s="5">
        <v>5</v>
      </c>
      <c r="M67" s="5">
        <v>3</v>
      </c>
      <c r="N67" s="5" t="s">
        <v>3</v>
      </c>
      <c r="O67" s="5">
        <v>2</v>
      </c>
      <c r="P67" s="5">
        <f>ROUND(Source!EO61,O67)</f>
        <v>0</v>
      </c>
      <c r="Q67" s="5"/>
      <c r="R67" s="5"/>
      <c r="S67" s="5"/>
      <c r="T67" s="5"/>
      <c r="U67" s="5"/>
      <c r="V67" s="5"/>
      <c r="W67" s="5">
        <v>0</v>
      </c>
      <c r="X67" s="5">
        <v>1</v>
      </c>
      <c r="Y67" s="5">
        <v>0</v>
      </c>
      <c r="Z67" s="5">
        <v>0</v>
      </c>
      <c r="AA67" s="5">
        <v>1</v>
      </c>
      <c r="AB67" s="5">
        <v>0</v>
      </c>
    </row>
    <row r="68" spans="1:28" ht="13" x14ac:dyDescent="0.3">
      <c r="A68" s="5">
        <v>50</v>
      </c>
      <c r="B68" s="5">
        <v>0</v>
      </c>
      <c r="C68" s="5">
        <v>0</v>
      </c>
      <c r="D68" s="5">
        <v>1</v>
      </c>
      <c r="E68" s="5">
        <v>227</v>
      </c>
      <c r="F68" s="5">
        <f>ROUND(Source!AX61,O68)</f>
        <v>0</v>
      </c>
      <c r="G68" s="5" t="s">
        <v>37</v>
      </c>
      <c r="H68" s="5" t="s">
        <v>38</v>
      </c>
      <c r="I68" s="5"/>
      <c r="J68" s="5"/>
      <c r="K68" s="5">
        <v>227</v>
      </c>
      <c r="L68" s="5">
        <v>6</v>
      </c>
      <c r="M68" s="5">
        <v>3</v>
      </c>
      <c r="N68" s="5" t="s">
        <v>3</v>
      </c>
      <c r="O68" s="5">
        <v>2</v>
      </c>
      <c r="P68" s="5">
        <f>ROUND(Source!EP61,O68)</f>
        <v>0</v>
      </c>
      <c r="Q68" s="5"/>
      <c r="R68" s="5"/>
      <c r="S68" s="5"/>
      <c r="T68" s="5"/>
      <c r="U68" s="5"/>
      <c r="V68" s="5"/>
      <c r="W68" s="5">
        <v>0</v>
      </c>
      <c r="X68" s="5">
        <v>1</v>
      </c>
      <c r="Y68" s="5">
        <v>0</v>
      </c>
      <c r="Z68" s="5">
        <v>0</v>
      </c>
      <c r="AA68" s="5">
        <v>1</v>
      </c>
      <c r="AB68" s="5">
        <v>0</v>
      </c>
    </row>
    <row r="69" spans="1:28" ht="13" x14ac:dyDescent="0.3">
      <c r="A69" s="5">
        <v>50</v>
      </c>
      <c r="B69" s="5">
        <v>0</v>
      </c>
      <c r="C69" s="5">
        <v>0</v>
      </c>
      <c r="D69" s="5">
        <v>1</v>
      </c>
      <c r="E69" s="5">
        <v>228</v>
      </c>
      <c r="F69" s="5">
        <f>ROUND(Source!AY61,O69)</f>
        <v>0</v>
      </c>
      <c r="G69" s="5" t="s">
        <v>39</v>
      </c>
      <c r="H69" s="5" t="s">
        <v>40</v>
      </c>
      <c r="I69" s="5"/>
      <c r="J69" s="5"/>
      <c r="K69" s="5">
        <v>228</v>
      </c>
      <c r="L69" s="5">
        <v>7</v>
      </c>
      <c r="M69" s="5">
        <v>3</v>
      </c>
      <c r="N69" s="5" t="s">
        <v>3</v>
      </c>
      <c r="O69" s="5">
        <v>2</v>
      </c>
      <c r="P69" s="5">
        <f>ROUND(Source!EQ61,O69)</f>
        <v>0</v>
      </c>
      <c r="Q69" s="5"/>
      <c r="R69" s="5"/>
      <c r="S69" s="5"/>
      <c r="T69" s="5"/>
      <c r="U69" s="5"/>
      <c r="V69" s="5"/>
      <c r="W69" s="5">
        <v>0</v>
      </c>
      <c r="X69" s="5">
        <v>1</v>
      </c>
      <c r="Y69" s="5">
        <v>0</v>
      </c>
      <c r="Z69" s="5">
        <v>0</v>
      </c>
      <c r="AA69" s="5">
        <v>1</v>
      </c>
      <c r="AB69" s="5">
        <v>0</v>
      </c>
    </row>
    <row r="70" spans="1:28" ht="13" x14ac:dyDescent="0.3">
      <c r="A70" s="5">
        <v>50</v>
      </c>
      <c r="B70" s="5">
        <v>0</v>
      </c>
      <c r="C70" s="5">
        <v>0</v>
      </c>
      <c r="D70" s="5">
        <v>1</v>
      </c>
      <c r="E70" s="5">
        <v>216</v>
      </c>
      <c r="F70" s="5">
        <f>ROUND(Source!AP61,O70)</f>
        <v>0</v>
      </c>
      <c r="G70" s="5" t="s">
        <v>41</v>
      </c>
      <c r="H70" s="5" t="s">
        <v>42</v>
      </c>
      <c r="I70" s="5"/>
      <c r="J70" s="5"/>
      <c r="K70" s="5">
        <v>216</v>
      </c>
      <c r="L70" s="5">
        <v>8</v>
      </c>
      <c r="M70" s="5">
        <v>3</v>
      </c>
      <c r="N70" s="5" t="s">
        <v>3</v>
      </c>
      <c r="O70" s="5">
        <v>2</v>
      </c>
      <c r="P70" s="5">
        <f>ROUND(Source!EH61,O70)</f>
        <v>0</v>
      </c>
      <c r="Q70" s="5"/>
      <c r="R70" s="5"/>
      <c r="S70" s="5"/>
      <c r="T70" s="5"/>
      <c r="U70" s="5"/>
      <c r="V70" s="5"/>
      <c r="W70" s="5">
        <v>0</v>
      </c>
      <c r="X70" s="5">
        <v>1</v>
      </c>
      <c r="Y70" s="5">
        <v>0</v>
      </c>
      <c r="Z70" s="5">
        <v>0</v>
      </c>
      <c r="AA70" s="5">
        <v>1</v>
      </c>
      <c r="AB70" s="5">
        <v>0</v>
      </c>
    </row>
    <row r="71" spans="1:28" ht="13" x14ac:dyDescent="0.3">
      <c r="A71" s="5">
        <v>50</v>
      </c>
      <c r="B71" s="5">
        <v>0</v>
      </c>
      <c r="C71" s="5">
        <v>0</v>
      </c>
      <c r="D71" s="5">
        <v>1</v>
      </c>
      <c r="E71" s="5">
        <v>223</v>
      </c>
      <c r="F71" s="5">
        <f>ROUND(Source!AQ61,O71)</f>
        <v>0</v>
      </c>
      <c r="G71" s="5" t="s">
        <v>43</v>
      </c>
      <c r="H71" s="5" t="s">
        <v>44</v>
      </c>
      <c r="I71" s="5"/>
      <c r="J71" s="5"/>
      <c r="K71" s="5">
        <v>223</v>
      </c>
      <c r="L71" s="5">
        <v>9</v>
      </c>
      <c r="M71" s="5">
        <v>3</v>
      </c>
      <c r="N71" s="5" t="s">
        <v>3</v>
      </c>
      <c r="O71" s="5">
        <v>2</v>
      </c>
      <c r="P71" s="5">
        <f>ROUND(Source!EI61,O71)</f>
        <v>0</v>
      </c>
      <c r="Q71" s="5"/>
      <c r="R71" s="5"/>
      <c r="S71" s="5"/>
      <c r="T71" s="5"/>
      <c r="U71" s="5"/>
      <c r="V71" s="5"/>
      <c r="W71" s="5">
        <v>0</v>
      </c>
      <c r="X71" s="5">
        <v>1</v>
      </c>
      <c r="Y71" s="5">
        <v>0</v>
      </c>
      <c r="Z71" s="5">
        <v>0</v>
      </c>
      <c r="AA71" s="5">
        <v>1</v>
      </c>
      <c r="AB71" s="5">
        <v>0</v>
      </c>
    </row>
    <row r="72" spans="1:28" ht="13" x14ac:dyDescent="0.3">
      <c r="A72" s="5">
        <v>50</v>
      </c>
      <c r="B72" s="5">
        <v>0</v>
      </c>
      <c r="C72" s="5">
        <v>0</v>
      </c>
      <c r="D72" s="5">
        <v>1</v>
      </c>
      <c r="E72" s="5">
        <v>229</v>
      </c>
      <c r="F72" s="5">
        <f>ROUND(Source!AZ61,O72)</f>
        <v>0</v>
      </c>
      <c r="G72" s="5" t="s">
        <v>45</v>
      </c>
      <c r="H72" s="5" t="s">
        <v>46</v>
      </c>
      <c r="I72" s="5"/>
      <c r="J72" s="5"/>
      <c r="K72" s="5">
        <v>229</v>
      </c>
      <c r="L72" s="5">
        <v>10</v>
      </c>
      <c r="M72" s="5">
        <v>3</v>
      </c>
      <c r="N72" s="5" t="s">
        <v>3</v>
      </c>
      <c r="O72" s="5">
        <v>2</v>
      </c>
      <c r="P72" s="5">
        <f>ROUND(Source!ER61,O72)</f>
        <v>0</v>
      </c>
      <c r="Q72" s="5"/>
      <c r="R72" s="5"/>
      <c r="S72" s="5"/>
      <c r="T72" s="5"/>
      <c r="U72" s="5"/>
      <c r="V72" s="5"/>
      <c r="W72" s="5">
        <v>0</v>
      </c>
      <c r="X72" s="5">
        <v>1</v>
      </c>
      <c r="Y72" s="5">
        <v>0</v>
      </c>
      <c r="Z72" s="5">
        <v>0</v>
      </c>
      <c r="AA72" s="5">
        <v>1</v>
      </c>
      <c r="AB72" s="5">
        <v>0</v>
      </c>
    </row>
    <row r="73" spans="1:28" ht="13" x14ac:dyDescent="0.3">
      <c r="A73" s="5">
        <v>50</v>
      </c>
      <c r="B73" s="5">
        <v>0</v>
      </c>
      <c r="C73" s="5">
        <v>0</v>
      </c>
      <c r="D73" s="5">
        <v>1</v>
      </c>
      <c r="E73" s="5">
        <v>203</v>
      </c>
      <c r="F73" s="5">
        <f>ROUND(Source!Q61,O73)</f>
        <v>188203.04</v>
      </c>
      <c r="G73" s="5" t="s">
        <v>47</v>
      </c>
      <c r="H73" s="5" t="s">
        <v>48</v>
      </c>
      <c r="I73" s="5"/>
      <c r="J73" s="5"/>
      <c r="K73" s="5">
        <v>203</v>
      </c>
      <c r="L73" s="5">
        <v>11</v>
      </c>
      <c r="M73" s="5">
        <v>3</v>
      </c>
      <c r="N73" s="5" t="s">
        <v>3</v>
      </c>
      <c r="O73" s="5">
        <v>2</v>
      </c>
      <c r="P73" s="5">
        <f>ROUND(Source!DI61,O73)</f>
        <v>2900208.85</v>
      </c>
      <c r="Q73" s="5"/>
      <c r="R73" s="5"/>
      <c r="S73" s="5"/>
      <c r="T73" s="5"/>
      <c r="U73" s="5"/>
      <c r="V73" s="5"/>
      <c r="W73" s="5">
        <v>188203.04</v>
      </c>
      <c r="X73" s="5">
        <v>1</v>
      </c>
      <c r="Y73" s="5">
        <v>188203.04</v>
      </c>
      <c r="Z73" s="5">
        <v>2900208.85</v>
      </c>
      <c r="AA73" s="5">
        <v>1</v>
      </c>
      <c r="AB73" s="5">
        <v>2900208.85</v>
      </c>
    </row>
    <row r="74" spans="1:28" ht="13" x14ac:dyDescent="0.3">
      <c r="A74" s="5">
        <v>50</v>
      </c>
      <c r="B74" s="5">
        <v>0</v>
      </c>
      <c r="C74" s="5">
        <v>0</v>
      </c>
      <c r="D74" s="5">
        <v>1</v>
      </c>
      <c r="E74" s="5">
        <v>231</v>
      </c>
      <c r="F74" s="5">
        <f>ROUND(Source!BB61,O74)</f>
        <v>0</v>
      </c>
      <c r="G74" s="5" t="s">
        <v>49</v>
      </c>
      <c r="H74" s="5" t="s">
        <v>50</v>
      </c>
      <c r="I74" s="5"/>
      <c r="J74" s="5"/>
      <c r="K74" s="5">
        <v>231</v>
      </c>
      <c r="L74" s="5">
        <v>12</v>
      </c>
      <c r="M74" s="5">
        <v>3</v>
      </c>
      <c r="N74" s="5" t="s">
        <v>3</v>
      </c>
      <c r="O74" s="5">
        <v>2</v>
      </c>
      <c r="P74" s="5">
        <f>ROUND(Source!ET61,O74)</f>
        <v>0</v>
      </c>
      <c r="Q74" s="5"/>
      <c r="R74" s="5"/>
      <c r="S74" s="5"/>
      <c r="T74" s="5"/>
      <c r="U74" s="5"/>
      <c r="V74" s="5"/>
      <c r="W74" s="5">
        <v>0</v>
      </c>
      <c r="X74" s="5">
        <v>1</v>
      </c>
      <c r="Y74" s="5">
        <v>0</v>
      </c>
      <c r="Z74" s="5">
        <v>0</v>
      </c>
      <c r="AA74" s="5">
        <v>1</v>
      </c>
      <c r="AB74" s="5">
        <v>0</v>
      </c>
    </row>
    <row r="75" spans="1:28" ht="13" x14ac:dyDescent="0.3">
      <c r="A75" s="5">
        <v>50</v>
      </c>
      <c r="B75" s="5">
        <v>0</v>
      </c>
      <c r="C75" s="5">
        <v>0</v>
      </c>
      <c r="D75" s="5">
        <v>1</v>
      </c>
      <c r="E75" s="5">
        <v>204</v>
      </c>
      <c r="F75" s="5">
        <f>ROUND(Source!R61,O75)</f>
        <v>0</v>
      </c>
      <c r="G75" s="5" t="s">
        <v>51</v>
      </c>
      <c r="H75" s="5" t="s">
        <v>52</v>
      </c>
      <c r="I75" s="5"/>
      <c r="J75" s="5"/>
      <c r="K75" s="5">
        <v>204</v>
      </c>
      <c r="L75" s="5">
        <v>13</v>
      </c>
      <c r="M75" s="5">
        <v>3</v>
      </c>
      <c r="N75" s="5" t="s">
        <v>3</v>
      </c>
      <c r="O75" s="5">
        <v>2</v>
      </c>
      <c r="P75" s="5">
        <f>ROUND(Source!DJ61,O75)</f>
        <v>0</v>
      </c>
      <c r="Q75" s="5"/>
      <c r="R75" s="5"/>
      <c r="S75" s="5"/>
      <c r="T75" s="5"/>
      <c r="U75" s="5"/>
      <c r="V75" s="5"/>
      <c r="W75" s="5">
        <v>0</v>
      </c>
      <c r="X75" s="5">
        <v>1</v>
      </c>
      <c r="Y75" s="5">
        <v>0</v>
      </c>
      <c r="Z75" s="5">
        <v>0</v>
      </c>
      <c r="AA75" s="5">
        <v>1</v>
      </c>
      <c r="AB75" s="5">
        <v>0</v>
      </c>
    </row>
    <row r="76" spans="1:28" ht="13" x14ac:dyDescent="0.3">
      <c r="A76" s="5">
        <v>50</v>
      </c>
      <c r="B76" s="5">
        <v>0</v>
      </c>
      <c r="C76" s="5">
        <v>0</v>
      </c>
      <c r="D76" s="5">
        <v>1</v>
      </c>
      <c r="E76" s="5">
        <v>205</v>
      </c>
      <c r="F76" s="5">
        <f>ROUND(Source!S61,O76)</f>
        <v>0</v>
      </c>
      <c r="G76" s="5" t="s">
        <v>53</v>
      </c>
      <c r="H76" s="5" t="s">
        <v>54</v>
      </c>
      <c r="I76" s="5"/>
      <c r="J76" s="5"/>
      <c r="K76" s="5">
        <v>205</v>
      </c>
      <c r="L76" s="5">
        <v>14</v>
      </c>
      <c r="M76" s="5">
        <v>3</v>
      </c>
      <c r="N76" s="5" t="s">
        <v>3</v>
      </c>
      <c r="O76" s="5">
        <v>2</v>
      </c>
      <c r="P76" s="5">
        <f>ROUND(Source!DK61,O76)</f>
        <v>0</v>
      </c>
      <c r="Q76" s="5"/>
      <c r="R76" s="5"/>
      <c r="S76" s="5"/>
      <c r="T76" s="5"/>
      <c r="U76" s="5"/>
      <c r="V76" s="5"/>
      <c r="W76" s="5">
        <v>0</v>
      </c>
      <c r="X76" s="5">
        <v>1</v>
      </c>
      <c r="Y76" s="5">
        <v>0</v>
      </c>
      <c r="Z76" s="5">
        <v>0</v>
      </c>
      <c r="AA76" s="5">
        <v>1</v>
      </c>
      <c r="AB76" s="5">
        <v>0</v>
      </c>
    </row>
    <row r="77" spans="1:28" ht="13" x14ac:dyDescent="0.3">
      <c r="A77" s="5">
        <v>50</v>
      </c>
      <c r="B77" s="5">
        <v>0</v>
      </c>
      <c r="C77" s="5">
        <v>0</v>
      </c>
      <c r="D77" s="5">
        <v>1</v>
      </c>
      <c r="E77" s="5">
        <v>232</v>
      </c>
      <c r="F77" s="5">
        <f>ROUND(Source!BC61,O77)</f>
        <v>0</v>
      </c>
      <c r="G77" s="5" t="s">
        <v>55</v>
      </c>
      <c r="H77" s="5" t="s">
        <v>56</v>
      </c>
      <c r="I77" s="5"/>
      <c r="J77" s="5"/>
      <c r="K77" s="5">
        <v>232</v>
      </c>
      <c r="L77" s="5">
        <v>15</v>
      </c>
      <c r="M77" s="5">
        <v>3</v>
      </c>
      <c r="N77" s="5" t="s">
        <v>3</v>
      </c>
      <c r="O77" s="5">
        <v>2</v>
      </c>
      <c r="P77" s="5">
        <f>ROUND(Source!EU61,O77)</f>
        <v>0</v>
      </c>
      <c r="Q77" s="5"/>
      <c r="R77" s="5"/>
      <c r="S77" s="5"/>
      <c r="T77" s="5"/>
      <c r="U77" s="5"/>
      <c r="V77" s="5"/>
      <c r="W77" s="5">
        <v>0</v>
      </c>
      <c r="X77" s="5">
        <v>1</v>
      </c>
      <c r="Y77" s="5">
        <v>0</v>
      </c>
      <c r="Z77" s="5">
        <v>0</v>
      </c>
      <c r="AA77" s="5">
        <v>1</v>
      </c>
      <c r="AB77" s="5">
        <v>0</v>
      </c>
    </row>
    <row r="78" spans="1:28" ht="13" x14ac:dyDescent="0.3">
      <c r="A78" s="5">
        <v>50</v>
      </c>
      <c r="B78" s="5">
        <v>0</v>
      </c>
      <c r="C78" s="5">
        <v>0</v>
      </c>
      <c r="D78" s="5">
        <v>1</v>
      </c>
      <c r="E78" s="5">
        <v>214</v>
      </c>
      <c r="F78" s="5">
        <f>ROUND(Source!AS61,O78)</f>
        <v>0</v>
      </c>
      <c r="G78" s="5" t="s">
        <v>57</v>
      </c>
      <c r="H78" s="5" t="s">
        <v>58</v>
      </c>
      <c r="I78" s="5"/>
      <c r="J78" s="5"/>
      <c r="K78" s="5">
        <v>214</v>
      </c>
      <c r="L78" s="5">
        <v>16</v>
      </c>
      <c r="M78" s="5">
        <v>3</v>
      </c>
      <c r="N78" s="5" t="s">
        <v>3</v>
      </c>
      <c r="O78" s="5">
        <v>2</v>
      </c>
      <c r="P78" s="5">
        <f>ROUND(Source!EK61,O78)</f>
        <v>0</v>
      </c>
      <c r="Q78" s="5"/>
      <c r="R78" s="5"/>
      <c r="S78" s="5"/>
      <c r="T78" s="5"/>
      <c r="U78" s="5"/>
      <c r="V78" s="5"/>
      <c r="W78" s="5">
        <v>0</v>
      </c>
      <c r="X78" s="5">
        <v>1</v>
      </c>
      <c r="Y78" s="5">
        <v>0</v>
      </c>
      <c r="Z78" s="5">
        <v>0</v>
      </c>
      <c r="AA78" s="5">
        <v>1</v>
      </c>
      <c r="AB78" s="5">
        <v>0</v>
      </c>
    </row>
    <row r="79" spans="1:28" ht="13" x14ac:dyDescent="0.3">
      <c r="A79" s="5">
        <v>50</v>
      </c>
      <c r="B79" s="5">
        <v>0</v>
      </c>
      <c r="C79" s="5">
        <v>0</v>
      </c>
      <c r="D79" s="5">
        <v>1</v>
      </c>
      <c r="E79" s="5">
        <v>215</v>
      </c>
      <c r="F79" s="5">
        <f>ROUND(Source!AT61,O79)</f>
        <v>0</v>
      </c>
      <c r="G79" s="5" t="s">
        <v>59</v>
      </c>
      <c r="H79" s="5" t="s">
        <v>60</v>
      </c>
      <c r="I79" s="5"/>
      <c r="J79" s="5"/>
      <c r="K79" s="5">
        <v>215</v>
      </c>
      <c r="L79" s="5">
        <v>17</v>
      </c>
      <c r="M79" s="5">
        <v>3</v>
      </c>
      <c r="N79" s="5" t="s">
        <v>3</v>
      </c>
      <c r="O79" s="5">
        <v>2</v>
      </c>
      <c r="P79" s="5">
        <f>ROUND(Source!EL61,O79)</f>
        <v>0</v>
      </c>
      <c r="Q79" s="5"/>
      <c r="R79" s="5"/>
      <c r="S79" s="5"/>
      <c r="T79" s="5"/>
      <c r="U79" s="5"/>
      <c r="V79" s="5"/>
      <c r="W79" s="5">
        <v>0</v>
      </c>
      <c r="X79" s="5">
        <v>1</v>
      </c>
      <c r="Y79" s="5">
        <v>0</v>
      </c>
      <c r="Z79" s="5">
        <v>0</v>
      </c>
      <c r="AA79" s="5">
        <v>1</v>
      </c>
      <c r="AB79" s="5">
        <v>0</v>
      </c>
    </row>
    <row r="80" spans="1:28" ht="13" x14ac:dyDescent="0.3">
      <c r="A80" s="5">
        <v>50</v>
      </c>
      <c r="B80" s="5">
        <v>0</v>
      </c>
      <c r="C80" s="5">
        <v>0</v>
      </c>
      <c r="D80" s="5">
        <v>1</v>
      </c>
      <c r="E80" s="5">
        <v>217</v>
      </c>
      <c r="F80" s="5">
        <f>ROUND(Source!AU61,O80)</f>
        <v>188203.04</v>
      </c>
      <c r="G80" s="5" t="s">
        <v>61</v>
      </c>
      <c r="H80" s="5" t="s">
        <v>62</v>
      </c>
      <c r="I80" s="5"/>
      <c r="J80" s="5"/>
      <c r="K80" s="5">
        <v>217</v>
      </c>
      <c r="L80" s="5">
        <v>18</v>
      </c>
      <c r="M80" s="5">
        <v>3</v>
      </c>
      <c r="N80" s="5" t="s">
        <v>3</v>
      </c>
      <c r="O80" s="5">
        <v>2</v>
      </c>
      <c r="P80" s="5">
        <f>ROUND(Source!EM61,O80)</f>
        <v>2900208.85</v>
      </c>
      <c r="Q80" s="5"/>
      <c r="R80" s="5"/>
      <c r="S80" s="5"/>
      <c r="T80" s="5"/>
      <c r="U80" s="5"/>
      <c r="V80" s="5"/>
      <c r="W80" s="5">
        <v>188203.04</v>
      </c>
      <c r="X80" s="5">
        <v>1</v>
      </c>
      <c r="Y80" s="5">
        <v>188203.04</v>
      </c>
      <c r="Z80" s="5">
        <v>2900208.85</v>
      </c>
      <c r="AA80" s="5">
        <v>1</v>
      </c>
      <c r="AB80" s="5">
        <v>2900208.85</v>
      </c>
    </row>
    <row r="81" spans="1:206" ht="13" x14ac:dyDescent="0.3">
      <c r="A81" s="5">
        <v>50</v>
      </c>
      <c r="B81" s="5">
        <v>0</v>
      </c>
      <c r="C81" s="5">
        <v>0</v>
      </c>
      <c r="D81" s="5">
        <v>1</v>
      </c>
      <c r="E81" s="5">
        <v>230</v>
      </c>
      <c r="F81" s="5">
        <f>ROUND(Source!BA61,O81)</f>
        <v>0</v>
      </c>
      <c r="G81" s="5" t="s">
        <v>63</v>
      </c>
      <c r="H81" s="5" t="s">
        <v>64</v>
      </c>
      <c r="I81" s="5"/>
      <c r="J81" s="5"/>
      <c r="K81" s="5">
        <v>230</v>
      </c>
      <c r="L81" s="5">
        <v>19</v>
      </c>
      <c r="M81" s="5">
        <v>3</v>
      </c>
      <c r="N81" s="5" t="s">
        <v>3</v>
      </c>
      <c r="O81" s="5">
        <v>2</v>
      </c>
      <c r="P81" s="5">
        <f>ROUND(Source!ES61,O81)</f>
        <v>0</v>
      </c>
      <c r="Q81" s="5"/>
      <c r="R81" s="5"/>
      <c r="S81" s="5"/>
      <c r="T81" s="5"/>
      <c r="U81" s="5"/>
      <c r="V81" s="5"/>
      <c r="W81" s="5">
        <v>0</v>
      </c>
      <c r="X81" s="5">
        <v>1</v>
      </c>
      <c r="Y81" s="5">
        <v>0</v>
      </c>
      <c r="Z81" s="5">
        <v>0</v>
      </c>
      <c r="AA81" s="5">
        <v>1</v>
      </c>
      <c r="AB81" s="5">
        <v>0</v>
      </c>
    </row>
    <row r="82" spans="1:206" ht="13" x14ac:dyDescent="0.3">
      <c r="A82" s="5">
        <v>50</v>
      </c>
      <c r="B82" s="5">
        <v>0</v>
      </c>
      <c r="C82" s="5">
        <v>0</v>
      </c>
      <c r="D82" s="5">
        <v>1</v>
      </c>
      <c r="E82" s="5">
        <v>206</v>
      </c>
      <c r="F82" s="5">
        <f>ROUND(Source!T61,O82)</f>
        <v>0</v>
      </c>
      <c r="G82" s="5" t="s">
        <v>65</v>
      </c>
      <c r="H82" s="5" t="s">
        <v>66</v>
      </c>
      <c r="I82" s="5"/>
      <c r="J82" s="5"/>
      <c r="K82" s="5">
        <v>206</v>
      </c>
      <c r="L82" s="5">
        <v>20</v>
      </c>
      <c r="M82" s="5">
        <v>3</v>
      </c>
      <c r="N82" s="5" t="s">
        <v>3</v>
      </c>
      <c r="O82" s="5">
        <v>2</v>
      </c>
      <c r="P82" s="5">
        <f>ROUND(Source!DL61,O82)</f>
        <v>0</v>
      </c>
      <c r="Q82" s="5"/>
      <c r="R82" s="5"/>
      <c r="S82" s="5"/>
      <c r="T82" s="5"/>
      <c r="U82" s="5"/>
      <c r="V82" s="5"/>
      <c r="W82" s="5">
        <v>0</v>
      </c>
      <c r="X82" s="5">
        <v>1</v>
      </c>
      <c r="Y82" s="5">
        <v>0</v>
      </c>
      <c r="Z82" s="5">
        <v>0</v>
      </c>
      <c r="AA82" s="5">
        <v>1</v>
      </c>
      <c r="AB82" s="5">
        <v>0</v>
      </c>
    </row>
    <row r="83" spans="1:206" ht="13" x14ac:dyDescent="0.3">
      <c r="A83" s="5">
        <v>50</v>
      </c>
      <c r="B83" s="5">
        <v>0</v>
      </c>
      <c r="C83" s="5">
        <v>0</v>
      </c>
      <c r="D83" s="5">
        <v>1</v>
      </c>
      <c r="E83" s="5">
        <v>207</v>
      </c>
      <c r="F83" s="5">
        <f>Source!U61</f>
        <v>0</v>
      </c>
      <c r="G83" s="5" t="s">
        <v>67</v>
      </c>
      <c r="H83" s="5" t="s">
        <v>68</v>
      </c>
      <c r="I83" s="5"/>
      <c r="J83" s="5"/>
      <c r="K83" s="5">
        <v>207</v>
      </c>
      <c r="L83" s="5">
        <v>21</v>
      </c>
      <c r="M83" s="5">
        <v>3</v>
      </c>
      <c r="N83" s="5" t="s">
        <v>3</v>
      </c>
      <c r="O83" s="5">
        <v>-1</v>
      </c>
      <c r="P83" s="5">
        <f>Source!DM61</f>
        <v>0</v>
      </c>
      <c r="Q83" s="5"/>
      <c r="R83" s="5"/>
      <c r="S83" s="5"/>
      <c r="T83" s="5"/>
      <c r="U83" s="5"/>
      <c r="V83" s="5"/>
      <c r="W83" s="5">
        <v>0</v>
      </c>
      <c r="X83" s="5">
        <v>1</v>
      </c>
      <c r="Y83" s="5">
        <v>0</v>
      </c>
      <c r="Z83" s="5">
        <v>0</v>
      </c>
      <c r="AA83" s="5">
        <v>1</v>
      </c>
      <c r="AB83" s="5">
        <v>0</v>
      </c>
    </row>
    <row r="84" spans="1:206" ht="13" x14ac:dyDescent="0.3">
      <c r="A84" s="5">
        <v>50</v>
      </c>
      <c r="B84" s="5">
        <v>0</v>
      </c>
      <c r="C84" s="5">
        <v>0</v>
      </c>
      <c r="D84" s="5">
        <v>1</v>
      </c>
      <c r="E84" s="5">
        <v>208</v>
      </c>
      <c r="F84" s="5">
        <f>Source!V61</f>
        <v>0</v>
      </c>
      <c r="G84" s="5" t="s">
        <v>69</v>
      </c>
      <c r="H84" s="5" t="s">
        <v>70</v>
      </c>
      <c r="I84" s="5"/>
      <c r="J84" s="5"/>
      <c r="K84" s="5">
        <v>208</v>
      </c>
      <c r="L84" s="5">
        <v>22</v>
      </c>
      <c r="M84" s="5">
        <v>3</v>
      </c>
      <c r="N84" s="5" t="s">
        <v>3</v>
      </c>
      <c r="O84" s="5">
        <v>-1</v>
      </c>
      <c r="P84" s="5">
        <f>Source!DN61</f>
        <v>0</v>
      </c>
      <c r="Q84" s="5"/>
      <c r="R84" s="5"/>
      <c r="S84" s="5"/>
      <c r="T84" s="5"/>
      <c r="U84" s="5"/>
      <c r="V84" s="5"/>
      <c r="W84" s="5">
        <v>0</v>
      </c>
      <c r="X84" s="5">
        <v>1</v>
      </c>
      <c r="Y84" s="5">
        <v>0</v>
      </c>
      <c r="Z84" s="5">
        <v>0</v>
      </c>
      <c r="AA84" s="5">
        <v>1</v>
      </c>
      <c r="AB84" s="5">
        <v>0</v>
      </c>
    </row>
    <row r="85" spans="1:206" ht="13" x14ac:dyDescent="0.3">
      <c r="A85" s="5">
        <v>50</v>
      </c>
      <c r="B85" s="5">
        <v>0</v>
      </c>
      <c r="C85" s="5">
        <v>0</v>
      </c>
      <c r="D85" s="5">
        <v>1</v>
      </c>
      <c r="E85" s="5">
        <v>209</v>
      </c>
      <c r="F85" s="5">
        <f>ROUND(Source!W61,O85)</f>
        <v>0</v>
      </c>
      <c r="G85" s="5" t="s">
        <v>71</v>
      </c>
      <c r="H85" s="5" t="s">
        <v>72</v>
      </c>
      <c r="I85" s="5"/>
      <c r="J85" s="5"/>
      <c r="K85" s="5">
        <v>209</v>
      </c>
      <c r="L85" s="5">
        <v>23</v>
      </c>
      <c r="M85" s="5">
        <v>3</v>
      </c>
      <c r="N85" s="5" t="s">
        <v>3</v>
      </c>
      <c r="O85" s="5">
        <v>2</v>
      </c>
      <c r="P85" s="5">
        <f>ROUND(Source!DO61,O85)</f>
        <v>0</v>
      </c>
      <c r="Q85" s="5"/>
      <c r="R85" s="5"/>
      <c r="S85" s="5"/>
      <c r="T85" s="5"/>
      <c r="U85" s="5"/>
      <c r="V85" s="5"/>
      <c r="W85" s="5">
        <v>0</v>
      </c>
      <c r="X85" s="5">
        <v>1</v>
      </c>
      <c r="Y85" s="5">
        <v>0</v>
      </c>
      <c r="Z85" s="5">
        <v>0</v>
      </c>
      <c r="AA85" s="5">
        <v>1</v>
      </c>
      <c r="AB85" s="5">
        <v>0</v>
      </c>
    </row>
    <row r="86" spans="1:206" ht="13" x14ac:dyDescent="0.3">
      <c r="A86" s="5">
        <v>50</v>
      </c>
      <c r="B86" s="5">
        <v>0</v>
      </c>
      <c r="C86" s="5">
        <v>0</v>
      </c>
      <c r="D86" s="5">
        <v>1</v>
      </c>
      <c r="E86" s="5">
        <v>233</v>
      </c>
      <c r="F86" s="5">
        <f>ROUND(Source!BD61,O86)</f>
        <v>0</v>
      </c>
      <c r="G86" s="5" t="s">
        <v>73</v>
      </c>
      <c r="H86" s="5" t="s">
        <v>74</v>
      </c>
      <c r="I86" s="5"/>
      <c r="J86" s="5"/>
      <c r="K86" s="5">
        <v>233</v>
      </c>
      <c r="L86" s="5">
        <v>24</v>
      </c>
      <c r="M86" s="5">
        <v>3</v>
      </c>
      <c r="N86" s="5" t="s">
        <v>3</v>
      </c>
      <c r="O86" s="5">
        <v>2</v>
      </c>
      <c r="P86" s="5">
        <f>ROUND(Source!EV61,O86)</f>
        <v>0</v>
      </c>
      <c r="Q86" s="5"/>
      <c r="R86" s="5"/>
      <c r="S86" s="5"/>
      <c r="T86" s="5"/>
      <c r="U86" s="5"/>
      <c r="V86" s="5"/>
      <c r="W86" s="5">
        <v>0</v>
      </c>
      <c r="X86" s="5">
        <v>1</v>
      </c>
      <c r="Y86" s="5">
        <v>0</v>
      </c>
      <c r="Z86" s="5">
        <v>0</v>
      </c>
      <c r="AA86" s="5">
        <v>1</v>
      </c>
      <c r="AB86" s="5">
        <v>0</v>
      </c>
    </row>
    <row r="87" spans="1:206" ht="13" x14ac:dyDescent="0.3">
      <c r="A87" s="5">
        <v>50</v>
      </c>
      <c r="B87" s="5">
        <v>0</v>
      </c>
      <c r="C87" s="5">
        <v>0</v>
      </c>
      <c r="D87" s="5">
        <v>1</v>
      </c>
      <c r="E87" s="5">
        <v>210</v>
      </c>
      <c r="F87" s="5">
        <f>ROUND(Source!X61,O87)</f>
        <v>0</v>
      </c>
      <c r="G87" s="5" t="s">
        <v>75</v>
      </c>
      <c r="H87" s="5" t="s">
        <v>76</v>
      </c>
      <c r="I87" s="5"/>
      <c r="J87" s="5"/>
      <c r="K87" s="5">
        <v>210</v>
      </c>
      <c r="L87" s="5">
        <v>25</v>
      </c>
      <c r="M87" s="5">
        <v>3</v>
      </c>
      <c r="N87" s="5" t="s">
        <v>3</v>
      </c>
      <c r="O87" s="5">
        <v>2</v>
      </c>
      <c r="P87" s="5">
        <f>ROUND(Source!DP61,O87)</f>
        <v>0</v>
      </c>
      <c r="Q87" s="5"/>
      <c r="R87" s="5"/>
      <c r="S87" s="5"/>
      <c r="T87" s="5"/>
      <c r="U87" s="5"/>
      <c r="V87" s="5"/>
      <c r="W87" s="5">
        <v>0</v>
      </c>
      <c r="X87" s="5">
        <v>1</v>
      </c>
      <c r="Y87" s="5">
        <v>0</v>
      </c>
      <c r="Z87" s="5">
        <v>0</v>
      </c>
      <c r="AA87" s="5">
        <v>1</v>
      </c>
      <c r="AB87" s="5">
        <v>0</v>
      </c>
    </row>
    <row r="88" spans="1:206" ht="13" x14ac:dyDescent="0.3">
      <c r="A88" s="5">
        <v>50</v>
      </c>
      <c r="B88" s="5">
        <v>0</v>
      </c>
      <c r="C88" s="5">
        <v>0</v>
      </c>
      <c r="D88" s="5">
        <v>1</v>
      </c>
      <c r="E88" s="5">
        <v>211</v>
      </c>
      <c r="F88" s="5">
        <f>ROUND(Source!Y61,O88)</f>
        <v>0</v>
      </c>
      <c r="G88" s="5" t="s">
        <v>77</v>
      </c>
      <c r="H88" s="5" t="s">
        <v>78</v>
      </c>
      <c r="I88" s="5"/>
      <c r="J88" s="5"/>
      <c r="K88" s="5">
        <v>211</v>
      </c>
      <c r="L88" s="5">
        <v>26</v>
      </c>
      <c r="M88" s="5">
        <v>3</v>
      </c>
      <c r="N88" s="5" t="s">
        <v>3</v>
      </c>
      <c r="O88" s="5">
        <v>2</v>
      </c>
      <c r="P88" s="5">
        <f>ROUND(Source!DQ61,O88)</f>
        <v>0</v>
      </c>
      <c r="Q88" s="5"/>
      <c r="R88" s="5"/>
      <c r="S88" s="5"/>
      <c r="T88" s="5"/>
      <c r="U88" s="5"/>
      <c r="V88" s="5"/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</row>
    <row r="89" spans="1:206" ht="13" x14ac:dyDescent="0.3">
      <c r="A89" s="5">
        <v>50</v>
      </c>
      <c r="B89" s="5">
        <v>0</v>
      </c>
      <c r="C89" s="5">
        <v>0</v>
      </c>
      <c r="D89" s="5">
        <v>1</v>
      </c>
      <c r="E89" s="5">
        <v>224</v>
      </c>
      <c r="F89" s="5">
        <f>ROUND(Source!AR61,O89)</f>
        <v>188203.04</v>
      </c>
      <c r="G89" s="5" t="s">
        <v>79</v>
      </c>
      <c r="H89" s="5" t="s">
        <v>80</v>
      </c>
      <c r="I89" s="5"/>
      <c r="J89" s="5"/>
      <c r="K89" s="5">
        <v>224</v>
      </c>
      <c r="L89" s="5">
        <v>27</v>
      </c>
      <c r="M89" s="5">
        <v>3</v>
      </c>
      <c r="N89" s="5" t="s">
        <v>3</v>
      </c>
      <c r="O89" s="5">
        <v>2</v>
      </c>
      <c r="P89" s="5">
        <f>ROUND(Source!EJ61,O89)</f>
        <v>2900208.85</v>
      </c>
      <c r="Q89" s="5"/>
      <c r="R89" s="5"/>
      <c r="S89" s="5"/>
      <c r="T89" s="5"/>
      <c r="U89" s="5"/>
      <c r="V89" s="5"/>
      <c r="W89" s="5">
        <v>188203.04</v>
      </c>
      <c r="X89" s="5">
        <v>1</v>
      </c>
      <c r="Y89" s="5">
        <v>188203.04</v>
      </c>
      <c r="Z89" s="5">
        <v>2900208.85</v>
      </c>
      <c r="AA89" s="5">
        <v>1</v>
      </c>
      <c r="AB89" s="5">
        <v>2900208.85</v>
      </c>
    </row>
    <row r="91" spans="1:206" ht="13" x14ac:dyDescent="0.3">
      <c r="A91" s="3">
        <v>51</v>
      </c>
      <c r="B91" s="3">
        <f>B12</f>
        <v>131</v>
      </c>
      <c r="C91" s="3">
        <f>A12</f>
        <v>1</v>
      </c>
      <c r="D91" s="3">
        <f>ROW(A12)</f>
        <v>12</v>
      </c>
      <c r="E91" s="3"/>
      <c r="F91" s="3" t="str">
        <f>IF(F12&lt;&gt;"",F12,"")</f>
        <v>09-01-02</v>
      </c>
      <c r="G91" s="3" t="str">
        <f>IF(G12&lt;&gt;"",G12,"")</f>
        <v>09-01-02 Перевозка мусора</v>
      </c>
      <c r="H91" s="3">
        <v>0</v>
      </c>
      <c r="I91" s="3"/>
      <c r="J91" s="3"/>
      <c r="K91" s="3"/>
      <c r="L91" s="3"/>
      <c r="M91" s="3"/>
      <c r="N91" s="3"/>
      <c r="O91" s="3">
        <f t="shared" ref="O91:T91" si="29">ROUND(O61,2)</f>
        <v>188203.04</v>
      </c>
      <c r="P91" s="3">
        <f t="shared" si="29"/>
        <v>0</v>
      </c>
      <c r="Q91" s="3">
        <f t="shared" si="29"/>
        <v>188203.04</v>
      </c>
      <c r="R91" s="3">
        <f t="shared" si="29"/>
        <v>0</v>
      </c>
      <c r="S91" s="3">
        <f t="shared" si="29"/>
        <v>0</v>
      </c>
      <c r="T91" s="3">
        <f t="shared" si="29"/>
        <v>0</v>
      </c>
      <c r="U91" s="3">
        <f>U61</f>
        <v>0</v>
      </c>
      <c r="V91" s="3">
        <f>V61</f>
        <v>0</v>
      </c>
      <c r="W91" s="3">
        <f>ROUND(W61,2)</f>
        <v>0</v>
      </c>
      <c r="X91" s="3">
        <f>ROUND(X61,2)</f>
        <v>0</v>
      </c>
      <c r="Y91" s="3">
        <f>ROUND(Y61,2)</f>
        <v>0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f t="shared" ref="AO91:BD91" si="30">ROUND(AO61,2)</f>
        <v>0</v>
      </c>
      <c r="AP91" s="3">
        <f t="shared" si="30"/>
        <v>0</v>
      </c>
      <c r="AQ91" s="3">
        <f t="shared" si="30"/>
        <v>0</v>
      </c>
      <c r="AR91" s="3">
        <f t="shared" si="30"/>
        <v>188203.04</v>
      </c>
      <c r="AS91" s="3">
        <f t="shared" si="30"/>
        <v>0</v>
      </c>
      <c r="AT91" s="3">
        <f t="shared" si="30"/>
        <v>0</v>
      </c>
      <c r="AU91" s="3">
        <f t="shared" si="30"/>
        <v>188203.04</v>
      </c>
      <c r="AV91" s="3">
        <f t="shared" si="30"/>
        <v>0</v>
      </c>
      <c r="AW91" s="3">
        <f t="shared" si="30"/>
        <v>0</v>
      </c>
      <c r="AX91" s="3">
        <f t="shared" si="30"/>
        <v>0</v>
      </c>
      <c r="AY91" s="3">
        <f t="shared" si="30"/>
        <v>0</v>
      </c>
      <c r="AZ91" s="3">
        <f t="shared" si="30"/>
        <v>0</v>
      </c>
      <c r="BA91" s="3">
        <f t="shared" si="30"/>
        <v>0</v>
      </c>
      <c r="BB91" s="3">
        <f t="shared" si="30"/>
        <v>0</v>
      </c>
      <c r="BC91" s="3">
        <f t="shared" si="30"/>
        <v>0</v>
      </c>
      <c r="BD91" s="3">
        <f t="shared" si="30"/>
        <v>0</v>
      </c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4">
        <f t="shared" ref="DG91:DL91" si="31">ROUND(DG61,2)</f>
        <v>2900208.85</v>
      </c>
      <c r="DH91" s="4">
        <f t="shared" si="31"/>
        <v>0</v>
      </c>
      <c r="DI91" s="4">
        <f t="shared" si="31"/>
        <v>2900208.85</v>
      </c>
      <c r="DJ91" s="4">
        <f t="shared" si="31"/>
        <v>0</v>
      </c>
      <c r="DK91" s="4">
        <f t="shared" si="31"/>
        <v>0</v>
      </c>
      <c r="DL91" s="4">
        <f t="shared" si="31"/>
        <v>0</v>
      </c>
      <c r="DM91" s="4">
        <f>DM61</f>
        <v>0</v>
      </c>
      <c r="DN91" s="4">
        <f>DN61</f>
        <v>0</v>
      </c>
      <c r="DO91" s="4">
        <f>ROUND(DO61,2)</f>
        <v>0</v>
      </c>
      <c r="DP91" s="4">
        <f>ROUND(DP61,2)</f>
        <v>0</v>
      </c>
      <c r="DQ91" s="4">
        <f>ROUND(DQ61,2)</f>
        <v>0</v>
      </c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>
        <f t="shared" ref="EG91:EV91" si="32">ROUND(EG61,2)</f>
        <v>0</v>
      </c>
      <c r="EH91" s="4">
        <f t="shared" si="32"/>
        <v>0</v>
      </c>
      <c r="EI91" s="4">
        <f t="shared" si="32"/>
        <v>0</v>
      </c>
      <c r="EJ91" s="4">
        <f t="shared" si="32"/>
        <v>2900208.85</v>
      </c>
      <c r="EK91" s="4">
        <f t="shared" si="32"/>
        <v>0</v>
      </c>
      <c r="EL91" s="4">
        <f t="shared" si="32"/>
        <v>0</v>
      </c>
      <c r="EM91" s="4">
        <f t="shared" si="32"/>
        <v>2900208.85</v>
      </c>
      <c r="EN91" s="4">
        <f t="shared" si="32"/>
        <v>0</v>
      </c>
      <c r="EO91" s="4">
        <f t="shared" si="32"/>
        <v>0</v>
      </c>
      <c r="EP91" s="4">
        <f t="shared" si="32"/>
        <v>0</v>
      </c>
      <c r="EQ91" s="4">
        <f t="shared" si="32"/>
        <v>0</v>
      </c>
      <c r="ER91" s="4">
        <f t="shared" si="32"/>
        <v>0</v>
      </c>
      <c r="ES91" s="4">
        <f t="shared" si="32"/>
        <v>0</v>
      </c>
      <c r="ET91" s="4">
        <f t="shared" si="32"/>
        <v>0</v>
      </c>
      <c r="EU91" s="4">
        <f t="shared" si="32"/>
        <v>0</v>
      </c>
      <c r="EV91" s="4">
        <f t="shared" si="32"/>
        <v>0</v>
      </c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>
        <v>0</v>
      </c>
    </row>
    <row r="93" spans="1:206" ht="13" x14ac:dyDescent="0.3">
      <c r="A93" s="5">
        <v>50</v>
      </c>
      <c r="B93" s="5">
        <v>0</v>
      </c>
      <c r="C93" s="5">
        <v>0</v>
      </c>
      <c r="D93" s="5">
        <v>1</v>
      </c>
      <c r="E93" s="5">
        <v>201</v>
      </c>
      <c r="F93" s="5">
        <f>ROUND(Source!O91,O93)</f>
        <v>188203.04</v>
      </c>
      <c r="G93" s="5" t="s">
        <v>27</v>
      </c>
      <c r="H93" s="5" t="s">
        <v>28</v>
      </c>
      <c r="I93" s="5"/>
      <c r="J93" s="5"/>
      <c r="K93" s="5">
        <v>201</v>
      </c>
      <c r="L93" s="5">
        <v>1</v>
      </c>
      <c r="M93" s="5">
        <v>3</v>
      </c>
      <c r="N93" s="5" t="s">
        <v>3</v>
      </c>
      <c r="O93" s="5">
        <v>2</v>
      </c>
      <c r="P93" s="5">
        <f>ROUND(Source!DG91,O93)</f>
        <v>2900208.85</v>
      </c>
      <c r="Q93" s="5"/>
      <c r="R93" s="5"/>
      <c r="S93" s="5"/>
      <c r="T93" s="5"/>
      <c r="U93" s="5"/>
      <c r="V93" s="5"/>
      <c r="W93" s="5">
        <v>188203.04</v>
      </c>
      <c r="X93" s="5">
        <v>1</v>
      </c>
      <c r="Y93" s="5">
        <v>188203.04</v>
      </c>
      <c r="Z93" s="5">
        <v>2900208.85</v>
      </c>
      <c r="AA93" s="5">
        <v>1</v>
      </c>
      <c r="AB93" s="5">
        <v>2900208.85</v>
      </c>
    </row>
    <row r="94" spans="1:206" ht="13" x14ac:dyDescent="0.3">
      <c r="A94" s="5">
        <v>50</v>
      </c>
      <c r="B94" s="5">
        <v>0</v>
      </c>
      <c r="C94" s="5">
        <v>0</v>
      </c>
      <c r="D94" s="5">
        <v>1</v>
      </c>
      <c r="E94" s="5">
        <v>202</v>
      </c>
      <c r="F94" s="5">
        <f>ROUND(Source!P91,O94)</f>
        <v>0</v>
      </c>
      <c r="G94" s="5" t="s">
        <v>29</v>
      </c>
      <c r="H94" s="5" t="s">
        <v>30</v>
      </c>
      <c r="I94" s="5"/>
      <c r="J94" s="5"/>
      <c r="K94" s="5">
        <v>202</v>
      </c>
      <c r="L94" s="5">
        <v>2</v>
      </c>
      <c r="M94" s="5">
        <v>3</v>
      </c>
      <c r="N94" s="5" t="s">
        <v>3</v>
      </c>
      <c r="O94" s="5">
        <v>2</v>
      </c>
      <c r="P94" s="5">
        <f>ROUND(Source!DH91,O94)</f>
        <v>0</v>
      </c>
      <c r="Q94" s="5"/>
      <c r="R94" s="5"/>
      <c r="S94" s="5"/>
      <c r="T94" s="5"/>
      <c r="U94" s="5"/>
      <c r="V94" s="5"/>
      <c r="W94" s="5">
        <v>0</v>
      </c>
      <c r="X94" s="5">
        <v>1</v>
      </c>
      <c r="Y94" s="5">
        <v>0</v>
      </c>
      <c r="Z94" s="5">
        <v>0</v>
      </c>
      <c r="AA94" s="5">
        <v>1</v>
      </c>
      <c r="AB94" s="5">
        <v>0</v>
      </c>
    </row>
    <row r="95" spans="1:206" ht="13" x14ac:dyDescent="0.3">
      <c r="A95" s="5">
        <v>50</v>
      </c>
      <c r="B95" s="5">
        <v>0</v>
      </c>
      <c r="C95" s="5">
        <v>0</v>
      </c>
      <c r="D95" s="5">
        <v>1</v>
      </c>
      <c r="E95" s="5">
        <v>222</v>
      </c>
      <c r="F95" s="5">
        <f>ROUND(Source!AO91,O95)</f>
        <v>0</v>
      </c>
      <c r="G95" s="5" t="s">
        <v>31</v>
      </c>
      <c r="H95" s="5" t="s">
        <v>32</v>
      </c>
      <c r="I95" s="5"/>
      <c r="J95" s="5"/>
      <c r="K95" s="5">
        <v>222</v>
      </c>
      <c r="L95" s="5">
        <v>3</v>
      </c>
      <c r="M95" s="5">
        <v>3</v>
      </c>
      <c r="N95" s="5" t="s">
        <v>3</v>
      </c>
      <c r="O95" s="5">
        <v>2</v>
      </c>
      <c r="P95" s="5">
        <f>ROUND(Source!EG91,O95)</f>
        <v>0</v>
      </c>
      <c r="Q95" s="5"/>
      <c r="R95" s="5"/>
      <c r="S95" s="5"/>
      <c r="T95" s="5"/>
      <c r="U95" s="5"/>
      <c r="V95" s="5"/>
      <c r="W95" s="5">
        <v>0</v>
      </c>
      <c r="X95" s="5">
        <v>1</v>
      </c>
      <c r="Y95" s="5">
        <v>0</v>
      </c>
      <c r="Z95" s="5">
        <v>0</v>
      </c>
      <c r="AA95" s="5">
        <v>1</v>
      </c>
      <c r="AB95" s="5">
        <v>0</v>
      </c>
    </row>
    <row r="96" spans="1:206" ht="13" x14ac:dyDescent="0.3">
      <c r="A96" s="5">
        <v>50</v>
      </c>
      <c r="B96" s="5">
        <v>0</v>
      </c>
      <c r="C96" s="5">
        <v>0</v>
      </c>
      <c r="D96" s="5">
        <v>1</v>
      </c>
      <c r="E96" s="5">
        <v>225</v>
      </c>
      <c r="F96" s="5">
        <f>ROUND(Source!AV91,O96)</f>
        <v>0</v>
      </c>
      <c r="G96" s="5" t="s">
        <v>33</v>
      </c>
      <c r="H96" s="5" t="s">
        <v>34</v>
      </c>
      <c r="I96" s="5"/>
      <c r="J96" s="5"/>
      <c r="K96" s="5">
        <v>225</v>
      </c>
      <c r="L96" s="5">
        <v>4</v>
      </c>
      <c r="M96" s="5">
        <v>3</v>
      </c>
      <c r="N96" s="5" t="s">
        <v>3</v>
      </c>
      <c r="O96" s="5">
        <v>2</v>
      </c>
      <c r="P96" s="5">
        <f>ROUND(Source!EN91,O96)</f>
        <v>0</v>
      </c>
      <c r="Q96" s="5"/>
      <c r="R96" s="5"/>
      <c r="S96" s="5"/>
      <c r="T96" s="5"/>
      <c r="U96" s="5"/>
      <c r="V96" s="5"/>
      <c r="W96" s="5">
        <v>0</v>
      </c>
      <c r="X96" s="5">
        <v>1</v>
      </c>
      <c r="Y96" s="5">
        <v>0</v>
      </c>
      <c r="Z96" s="5">
        <v>0</v>
      </c>
      <c r="AA96" s="5">
        <v>1</v>
      </c>
      <c r="AB96" s="5">
        <v>0</v>
      </c>
    </row>
    <row r="97" spans="1:28" ht="13" x14ac:dyDescent="0.3">
      <c r="A97" s="5">
        <v>50</v>
      </c>
      <c r="B97" s="5">
        <v>0</v>
      </c>
      <c r="C97" s="5">
        <v>0</v>
      </c>
      <c r="D97" s="5">
        <v>1</v>
      </c>
      <c r="E97" s="5">
        <v>226</v>
      </c>
      <c r="F97" s="5">
        <f>ROUND(Source!AW91,O97)</f>
        <v>0</v>
      </c>
      <c r="G97" s="5" t="s">
        <v>35</v>
      </c>
      <c r="H97" s="5" t="s">
        <v>36</v>
      </c>
      <c r="I97" s="5"/>
      <c r="J97" s="5"/>
      <c r="K97" s="5">
        <v>226</v>
      </c>
      <c r="L97" s="5">
        <v>5</v>
      </c>
      <c r="M97" s="5">
        <v>3</v>
      </c>
      <c r="N97" s="5" t="s">
        <v>3</v>
      </c>
      <c r="O97" s="5">
        <v>2</v>
      </c>
      <c r="P97" s="5">
        <f>ROUND(Source!EO91,O97)</f>
        <v>0</v>
      </c>
      <c r="Q97" s="5"/>
      <c r="R97" s="5"/>
      <c r="S97" s="5"/>
      <c r="T97" s="5"/>
      <c r="U97" s="5"/>
      <c r="V97" s="5"/>
      <c r="W97" s="5">
        <v>0</v>
      </c>
      <c r="X97" s="5">
        <v>1</v>
      </c>
      <c r="Y97" s="5">
        <v>0</v>
      </c>
      <c r="Z97" s="5">
        <v>0</v>
      </c>
      <c r="AA97" s="5">
        <v>1</v>
      </c>
      <c r="AB97" s="5">
        <v>0</v>
      </c>
    </row>
    <row r="98" spans="1:28" ht="13" x14ac:dyDescent="0.3">
      <c r="A98" s="5">
        <v>50</v>
      </c>
      <c r="B98" s="5">
        <v>0</v>
      </c>
      <c r="C98" s="5">
        <v>0</v>
      </c>
      <c r="D98" s="5">
        <v>1</v>
      </c>
      <c r="E98" s="5">
        <v>227</v>
      </c>
      <c r="F98" s="5">
        <f>ROUND(Source!AX91,O98)</f>
        <v>0</v>
      </c>
      <c r="G98" s="5" t="s">
        <v>37</v>
      </c>
      <c r="H98" s="5" t="s">
        <v>38</v>
      </c>
      <c r="I98" s="5"/>
      <c r="J98" s="5"/>
      <c r="K98" s="5">
        <v>227</v>
      </c>
      <c r="L98" s="5">
        <v>6</v>
      </c>
      <c r="M98" s="5">
        <v>3</v>
      </c>
      <c r="N98" s="5" t="s">
        <v>3</v>
      </c>
      <c r="O98" s="5">
        <v>2</v>
      </c>
      <c r="P98" s="5">
        <f>ROUND(Source!EP91,O98)</f>
        <v>0</v>
      </c>
      <c r="Q98" s="5"/>
      <c r="R98" s="5"/>
      <c r="S98" s="5"/>
      <c r="T98" s="5"/>
      <c r="U98" s="5"/>
      <c r="V98" s="5"/>
      <c r="W98" s="5">
        <v>0</v>
      </c>
      <c r="X98" s="5">
        <v>1</v>
      </c>
      <c r="Y98" s="5">
        <v>0</v>
      </c>
      <c r="Z98" s="5">
        <v>0</v>
      </c>
      <c r="AA98" s="5">
        <v>1</v>
      </c>
      <c r="AB98" s="5">
        <v>0</v>
      </c>
    </row>
    <row r="99" spans="1:28" ht="13" x14ac:dyDescent="0.3">
      <c r="A99" s="5">
        <v>50</v>
      </c>
      <c r="B99" s="5">
        <v>0</v>
      </c>
      <c r="C99" s="5">
        <v>0</v>
      </c>
      <c r="D99" s="5">
        <v>1</v>
      </c>
      <c r="E99" s="5">
        <v>228</v>
      </c>
      <c r="F99" s="5">
        <f>ROUND(Source!AY91,O99)</f>
        <v>0</v>
      </c>
      <c r="G99" s="5" t="s">
        <v>39</v>
      </c>
      <c r="H99" s="5" t="s">
        <v>40</v>
      </c>
      <c r="I99" s="5"/>
      <c r="J99" s="5"/>
      <c r="K99" s="5">
        <v>228</v>
      </c>
      <c r="L99" s="5">
        <v>7</v>
      </c>
      <c r="M99" s="5">
        <v>3</v>
      </c>
      <c r="N99" s="5" t="s">
        <v>3</v>
      </c>
      <c r="O99" s="5">
        <v>2</v>
      </c>
      <c r="P99" s="5">
        <f>ROUND(Source!EQ91,O99)</f>
        <v>0</v>
      </c>
      <c r="Q99" s="5"/>
      <c r="R99" s="5"/>
      <c r="S99" s="5"/>
      <c r="T99" s="5"/>
      <c r="U99" s="5"/>
      <c r="V99" s="5"/>
      <c r="W99" s="5">
        <v>0</v>
      </c>
      <c r="X99" s="5">
        <v>1</v>
      </c>
      <c r="Y99" s="5">
        <v>0</v>
      </c>
      <c r="Z99" s="5">
        <v>0</v>
      </c>
      <c r="AA99" s="5">
        <v>1</v>
      </c>
      <c r="AB99" s="5">
        <v>0</v>
      </c>
    </row>
    <row r="100" spans="1:28" ht="13" x14ac:dyDescent="0.3">
      <c r="A100" s="5">
        <v>50</v>
      </c>
      <c r="B100" s="5">
        <v>0</v>
      </c>
      <c r="C100" s="5">
        <v>0</v>
      </c>
      <c r="D100" s="5">
        <v>1</v>
      </c>
      <c r="E100" s="5">
        <v>216</v>
      </c>
      <c r="F100" s="5">
        <f>ROUND(Source!AP91,O100)</f>
        <v>0</v>
      </c>
      <c r="G100" s="5" t="s">
        <v>41</v>
      </c>
      <c r="H100" s="5" t="s">
        <v>42</v>
      </c>
      <c r="I100" s="5"/>
      <c r="J100" s="5"/>
      <c r="K100" s="5">
        <v>216</v>
      </c>
      <c r="L100" s="5">
        <v>8</v>
      </c>
      <c r="M100" s="5">
        <v>3</v>
      </c>
      <c r="N100" s="5" t="s">
        <v>3</v>
      </c>
      <c r="O100" s="5">
        <v>2</v>
      </c>
      <c r="P100" s="5">
        <f>ROUND(Source!EH91,O100)</f>
        <v>0</v>
      </c>
      <c r="Q100" s="5"/>
      <c r="R100" s="5"/>
      <c r="S100" s="5"/>
      <c r="T100" s="5"/>
      <c r="U100" s="5"/>
      <c r="V100" s="5"/>
      <c r="W100" s="5">
        <v>0</v>
      </c>
      <c r="X100" s="5">
        <v>1</v>
      </c>
      <c r="Y100" s="5">
        <v>0</v>
      </c>
      <c r="Z100" s="5">
        <v>0</v>
      </c>
      <c r="AA100" s="5">
        <v>1</v>
      </c>
      <c r="AB100" s="5">
        <v>0</v>
      </c>
    </row>
    <row r="101" spans="1:28" ht="13" x14ac:dyDescent="0.3">
      <c r="A101" s="5">
        <v>50</v>
      </c>
      <c r="B101" s="5">
        <v>0</v>
      </c>
      <c r="C101" s="5">
        <v>0</v>
      </c>
      <c r="D101" s="5">
        <v>1</v>
      </c>
      <c r="E101" s="5">
        <v>223</v>
      </c>
      <c r="F101" s="5">
        <f>ROUND(Source!AQ91,O101)</f>
        <v>0</v>
      </c>
      <c r="G101" s="5" t="s">
        <v>43</v>
      </c>
      <c r="H101" s="5" t="s">
        <v>44</v>
      </c>
      <c r="I101" s="5"/>
      <c r="J101" s="5"/>
      <c r="K101" s="5">
        <v>223</v>
      </c>
      <c r="L101" s="5">
        <v>9</v>
      </c>
      <c r="M101" s="5">
        <v>3</v>
      </c>
      <c r="N101" s="5" t="s">
        <v>3</v>
      </c>
      <c r="O101" s="5">
        <v>2</v>
      </c>
      <c r="P101" s="5">
        <f>ROUND(Source!EI91,O101)</f>
        <v>0</v>
      </c>
      <c r="Q101" s="5"/>
      <c r="R101" s="5"/>
      <c r="S101" s="5"/>
      <c r="T101" s="5"/>
      <c r="U101" s="5"/>
      <c r="V101" s="5"/>
      <c r="W101" s="5">
        <v>0</v>
      </c>
      <c r="X101" s="5">
        <v>1</v>
      </c>
      <c r="Y101" s="5">
        <v>0</v>
      </c>
      <c r="Z101" s="5">
        <v>0</v>
      </c>
      <c r="AA101" s="5">
        <v>1</v>
      </c>
      <c r="AB101" s="5">
        <v>0</v>
      </c>
    </row>
    <row r="102" spans="1:28" ht="13" x14ac:dyDescent="0.3">
      <c r="A102" s="5">
        <v>50</v>
      </c>
      <c r="B102" s="5">
        <v>0</v>
      </c>
      <c r="C102" s="5">
        <v>0</v>
      </c>
      <c r="D102" s="5">
        <v>1</v>
      </c>
      <c r="E102" s="5">
        <v>229</v>
      </c>
      <c r="F102" s="5">
        <f>ROUND(Source!AZ91,O102)</f>
        <v>0</v>
      </c>
      <c r="G102" s="5" t="s">
        <v>45</v>
      </c>
      <c r="H102" s="5" t="s">
        <v>46</v>
      </c>
      <c r="I102" s="5"/>
      <c r="J102" s="5"/>
      <c r="K102" s="5">
        <v>229</v>
      </c>
      <c r="L102" s="5">
        <v>10</v>
      </c>
      <c r="M102" s="5">
        <v>3</v>
      </c>
      <c r="N102" s="5" t="s">
        <v>3</v>
      </c>
      <c r="O102" s="5">
        <v>2</v>
      </c>
      <c r="P102" s="5">
        <f>ROUND(Source!ER91,O102)</f>
        <v>0</v>
      </c>
      <c r="Q102" s="5"/>
      <c r="R102" s="5"/>
      <c r="S102" s="5"/>
      <c r="T102" s="5"/>
      <c r="U102" s="5"/>
      <c r="V102" s="5"/>
      <c r="W102" s="5">
        <v>0</v>
      </c>
      <c r="X102" s="5">
        <v>1</v>
      </c>
      <c r="Y102" s="5">
        <v>0</v>
      </c>
      <c r="Z102" s="5">
        <v>0</v>
      </c>
      <c r="AA102" s="5">
        <v>1</v>
      </c>
      <c r="AB102" s="5">
        <v>0</v>
      </c>
    </row>
    <row r="103" spans="1:28" ht="13" x14ac:dyDescent="0.3">
      <c r="A103" s="5">
        <v>50</v>
      </c>
      <c r="B103" s="5">
        <v>0</v>
      </c>
      <c r="C103" s="5">
        <v>0</v>
      </c>
      <c r="D103" s="5">
        <v>1</v>
      </c>
      <c r="E103" s="5">
        <v>203</v>
      </c>
      <c r="F103" s="5">
        <f>ROUND(Source!Q91,O103)</f>
        <v>188203.04</v>
      </c>
      <c r="G103" s="5" t="s">
        <v>47</v>
      </c>
      <c r="H103" s="5" t="s">
        <v>48</v>
      </c>
      <c r="I103" s="5"/>
      <c r="J103" s="5"/>
      <c r="K103" s="5">
        <v>203</v>
      </c>
      <c r="L103" s="5">
        <v>11</v>
      </c>
      <c r="M103" s="5">
        <v>3</v>
      </c>
      <c r="N103" s="5" t="s">
        <v>3</v>
      </c>
      <c r="O103" s="5">
        <v>2</v>
      </c>
      <c r="P103" s="5">
        <f>ROUND(Source!DI91,O103)</f>
        <v>2900208.85</v>
      </c>
      <c r="Q103" s="5"/>
      <c r="R103" s="5"/>
      <c r="S103" s="5"/>
      <c r="T103" s="5"/>
      <c r="U103" s="5"/>
      <c r="V103" s="5"/>
      <c r="W103" s="5">
        <v>188203.04</v>
      </c>
      <c r="X103" s="5">
        <v>1</v>
      </c>
      <c r="Y103" s="5">
        <v>188203.04</v>
      </c>
      <c r="Z103" s="5">
        <v>2900208.85</v>
      </c>
      <c r="AA103" s="5">
        <v>1</v>
      </c>
      <c r="AB103" s="5">
        <v>2900208.85</v>
      </c>
    </row>
    <row r="104" spans="1:28" ht="13" x14ac:dyDescent="0.3">
      <c r="A104" s="5">
        <v>50</v>
      </c>
      <c r="B104" s="5">
        <v>0</v>
      </c>
      <c r="C104" s="5">
        <v>0</v>
      </c>
      <c r="D104" s="5">
        <v>1</v>
      </c>
      <c r="E104" s="5">
        <v>231</v>
      </c>
      <c r="F104" s="5">
        <f>ROUND(Source!BB91,O104)</f>
        <v>0</v>
      </c>
      <c r="G104" s="5" t="s">
        <v>49</v>
      </c>
      <c r="H104" s="5" t="s">
        <v>50</v>
      </c>
      <c r="I104" s="5"/>
      <c r="J104" s="5"/>
      <c r="K104" s="5">
        <v>231</v>
      </c>
      <c r="L104" s="5">
        <v>12</v>
      </c>
      <c r="M104" s="5">
        <v>3</v>
      </c>
      <c r="N104" s="5" t="s">
        <v>3</v>
      </c>
      <c r="O104" s="5">
        <v>2</v>
      </c>
      <c r="P104" s="5">
        <f>ROUND(Source!ET91,O104)</f>
        <v>0</v>
      </c>
      <c r="Q104" s="5"/>
      <c r="R104" s="5"/>
      <c r="S104" s="5"/>
      <c r="T104" s="5"/>
      <c r="U104" s="5"/>
      <c r="V104" s="5"/>
      <c r="W104" s="5">
        <v>0</v>
      </c>
      <c r="X104" s="5">
        <v>1</v>
      </c>
      <c r="Y104" s="5">
        <v>0</v>
      </c>
      <c r="Z104" s="5">
        <v>0</v>
      </c>
      <c r="AA104" s="5">
        <v>1</v>
      </c>
      <c r="AB104" s="5">
        <v>0</v>
      </c>
    </row>
    <row r="105" spans="1:28" ht="13" x14ac:dyDescent="0.3">
      <c r="A105" s="5">
        <v>50</v>
      </c>
      <c r="B105" s="5">
        <v>0</v>
      </c>
      <c r="C105" s="5">
        <v>0</v>
      </c>
      <c r="D105" s="5">
        <v>1</v>
      </c>
      <c r="E105" s="5">
        <v>204</v>
      </c>
      <c r="F105" s="5">
        <f>ROUND(Source!R91,O105)</f>
        <v>0</v>
      </c>
      <c r="G105" s="5" t="s">
        <v>51</v>
      </c>
      <c r="H105" s="5" t="s">
        <v>52</v>
      </c>
      <c r="I105" s="5"/>
      <c r="J105" s="5"/>
      <c r="K105" s="5">
        <v>204</v>
      </c>
      <c r="L105" s="5">
        <v>13</v>
      </c>
      <c r="M105" s="5">
        <v>3</v>
      </c>
      <c r="N105" s="5" t="s">
        <v>3</v>
      </c>
      <c r="O105" s="5">
        <v>2</v>
      </c>
      <c r="P105" s="5">
        <f>ROUND(Source!DJ91,O105)</f>
        <v>0</v>
      </c>
      <c r="Q105" s="5"/>
      <c r="R105" s="5"/>
      <c r="S105" s="5"/>
      <c r="T105" s="5"/>
      <c r="U105" s="5"/>
      <c r="V105" s="5"/>
      <c r="W105" s="5">
        <v>0</v>
      </c>
      <c r="X105" s="5">
        <v>1</v>
      </c>
      <c r="Y105" s="5">
        <v>0</v>
      </c>
      <c r="Z105" s="5">
        <v>0</v>
      </c>
      <c r="AA105" s="5">
        <v>1</v>
      </c>
      <c r="AB105" s="5">
        <v>0</v>
      </c>
    </row>
    <row r="106" spans="1:28" ht="13" x14ac:dyDescent="0.3">
      <c r="A106" s="5">
        <v>50</v>
      </c>
      <c r="B106" s="5">
        <v>0</v>
      </c>
      <c r="C106" s="5">
        <v>0</v>
      </c>
      <c r="D106" s="5">
        <v>1</v>
      </c>
      <c r="E106" s="5">
        <v>205</v>
      </c>
      <c r="F106" s="5">
        <f>ROUND(Source!S91,O106)</f>
        <v>0</v>
      </c>
      <c r="G106" s="5" t="s">
        <v>53</v>
      </c>
      <c r="H106" s="5" t="s">
        <v>54</v>
      </c>
      <c r="I106" s="5"/>
      <c r="J106" s="5"/>
      <c r="K106" s="5">
        <v>205</v>
      </c>
      <c r="L106" s="5">
        <v>14</v>
      </c>
      <c r="M106" s="5">
        <v>3</v>
      </c>
      <c r="N106" s="5" t="s">
        <v>3</v>
      </c>
      <c r="O106" s="5">
        <v>2</v>
      </c>
      <c r="P106" s="5">
        <f>ROUND(Source!DK91,O106)</f>
        <v>0</v>
      </c>
      <c r="Q106" s="5"/>
      <c r="R106" s="5"/>
      <c r="S106" s="5"/>
      <c r="T106" s="5"/>
      <c r="U106" s="5"/>
      <c r="V106" s="5"/>
      <c r="W106" s="5">
        <v>0</v>
      </c>
      <c r="X106" s="5">
        <v>1</v>
      </c>
      <c r="Y106" s="5">
        <v>0</v>
      </c>
      <c r="Z106" s="5">
        <v>0</v>
      </c>
      <c r="AA106" s="5">
        <v>1</v>
      </c>
      <c r="AB106" s="5">
        <v>0</v>
      </c>
    </row>
    <row r="107" spans="1:28" ht="13" x14ac:dyDescent="0.3">
      <c r="A107" s="5">
        <v>50</v>
      </c>
      <c r="B107" s="5">
        <v>0</v>
      </c>
      <c r="C107" s="5">
        <v>0</v>
      </c>
      <c r="D107" s="5">
        <v>1</v>
      </c>
      <c r="E107" s="5">
        <v>232</v>
      </c>
      <c r="F107" s="5">
        <f>ROUND(Source!BC91,O107)</f>
        <v>0</v>
      </c>
      <c r="G107" s="5" t="s">
        <v>55</v>
      </c>
      <c r="H107" s="5" t="s">
        <v>56</v>
      </c>
      <c r="I107" s="5"/>
      <c r="J107" s="5"/>
      <c r="K107" s="5">
        <v>232</v>
      </c>
      <c r="L107" s="5">
        <v>15</v>
      </c>
      <c r="M107" s="5">
        <v>3</v>
      </c>
      <c r="N107" s="5" t="s">
        <v>3</v>
      </c>
      <c r="O107" s="5">
        <v>2</v>
      </c>
      <c r="P107" s="5">
        <f>ROUND(Source!EU91,O107)</f>
        <v>0</v>
      </c>
      <c r="Q107" s="5"/>
      <c r="R107" s="5"/>
      <c r="S107" s="5"/>
      <c r="T107" s="5"/>
      <c r="U107" s="5"/>
      <c r="V107" s="5"/>
      <c r="W107" s="5">
        <v>0</v>
      </c>
      <c r="X107" s="5">
        <v>1</v>
      </c>
      <c r="Y107" s="5">
        <v>0</v>
      </c>
      <c r="Z107" s="5">
        <v>0</v>
      </c>
      <c r="AA107" s="5">
        <v>1</v>
      </c>
      <c r="AB107" s="5">
        <v>0</v>
      </c>
    </row>
    <row r="108" spans="1:28" ht="13" x14ac:dyDescent="0.3">
      <c r="A108" s="5">
        <v>50</v>
      </c>
      <c r="B108" s="5">
        <v>0</v>
      </c>
      <c r="C108" s="5">
        <v>0</v>
      </c>
      <c r="D108" s="5">
        <v>1</v>
      </c>
      <c r="E108" s="5">
        <v>214</v>
      </c>
      <c r="F108" s="5">
        <f>ROUND(Source!AS91,O108)</f>
        <v>0</v>
      </c>
      <c r="G108" s="5" t="s">
        <v>57</v>
      </c>
      <c r="H108" s="5" t="s">
        <v>58</v>
      </c>
      <c r="I108" s="5"/>
      <c r="J108" s="5"/>
      <c r="K108" s="5">
        <v>214</v>
      </c>
      <c r="L108" s="5">
        <v>16</v>
      </c>
      <c r="M108" s="5">
        <v>3</v>
      </c>
      <c r="N108" s="5" t="s">
        <v>3</v>
      </c>
      <c r="O108" s="5">
        <v>2</v>
      </c>
      <c r="P108" s="5">
        <f>ROUND(Source!EK91,O108)</f>
        <v>0</v>
      </c>
      <c r="Q108" s="5"/>
      <c r="R108" s="5"/>
      <c r="S108" s="5"/>
      <c r="T108" s="5"/>
      <c r="U108" s="5"/>
      <c r="V108" s="5"/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0</v>
      </c>
    </row>
    <row r="109" spans="1:28" ht="13" x14ac:dyDescent="0.3">
      <c r="A109" s="5">
        <v>50</v>
      </c>
      <c r="B109" s="5">
        <v>0</v>
      </c>
      <c r="C109" s="5">
        <v>0</v>
      </c>
      <c r="D109" s="5">
        <v>1</v>
      </c>
      <c r="E109" s="5">
        <v>215</v>
      </c>
      <c r="F109" s="5">
        <f>ROUND(Source!AT91,O109)</f>
        <v>0</v>
      </c>
      <c r="G109" s="5" t="s">
        <v>59</v>
      </c>
      <c r="H109" s="5" t="s">
        <v>60</v>
      </c>
      <c r="I109" s="5"/>
      <c r="J109" s="5"/>
      <c r="K109" s="5">
        <v>215</v>
      </c>
      <c r="L109" s="5">
        <v>17</v>
      </c>
      <c r="M109" s="5">
        <v>3</v>
      </c>
      <c r="N109" s="5" t="s">
        <v>3</v>
      </c>
      <c r="O109" s="5">
        <v>2</v>
      </c>
      <c r="P109" s="5">
        <f>ROUND(Source!EL91,O109)</f>
        <v>0</v>
      </c>
      <c r="Q109" s="5"/>
      <c r="R109" s="5"/>
      <c r="S109" s="5"/>
      <c r="T109" s="5"/>
      <c r="U109" s="5"/>
      <c r="V109" s="5"/>
      <c r="W109" s="5">
        <v>0</v>
      </c>
      <c r="X109" s="5">
        <v>1</v>
      </c>
      <c r="Y109" s="5">
        <v>0</v>
      </c>
      <c r="Z109" s="5">
        <v>0</v>
      </c>
      <c r="AA109" s="5">
        <v>1</v>
      </c>
      <c r="AB109" s="5">
        <v>0</v>
      </c>
    </row>
    <row r="110" spans="1:28" ht="13" x14ac:dyDescent="0.3">
      <c r="A110" s="5">
        <v>50</v>
      </c>
      <c r="B110" s="5">
        <v>0</v>
      </c>
      <c r="C110" s="5">
        <v>0</v>
      </c>
      <c r="D110" s="5">
        <v>1</v>
      </c>
      <c r="E110" s="5">
        <v>217</v>
      </c>
      <c r="F110" s="5">
        <f>ROUND(Source!AU91,O110)</f>
        <v>188203.04</v>
      </c>
      <c r="G110" s="5" t="s">
        <v>61</v>
      </c>
      <c r="H110" s="5" t="s">
        <v>62</v>
      </c>
      <c r="I110" s="5"/>
      <c r="J110" s="5"/>
      <c r="K110" s="5">
        <v>217</v>
      </c>
      <c r="L110" s="5">
        <v>18</v>
      </c>
      <c r="M110" s="5">
        <v>3</v>
      </c>
      <c r="N110" s="5" t="s">
        <v>3</v>
      </c>
      <c r="O110" s="5">
        <v>2</v>
      </c>
      <c r="P110" s="5">
        <f>ROUND(Source!EM91,O110)</f>
        <v>2900208.85</v>
      </c>
      <c r="Q110" s="5"/>
      <c r="R110" s="5"/>
      <c r="S110" s="5"/>
      <c r="T110" s="5"/>
      <c r="U110" s="5"/>
      <c r="V110" s="5"/>
      <c r="W110" s="5">
        <v>188203.04</v>
      </c>
      <c r="X110" s="5">
        <v>1</v>
      </c>
      <c r="Y110" s="5">
        <v>188203.04</v>
      </c>
      <c r="Z110" s="5">
        <v>2900208.85</v>
      </c>
      <c r="AA110" s="5">
        <v>1</v>
      </c>
      <c r="AB110" s="5">
        <v>2900208.85</v>
      </c>
    </row>
    <row r="111" spans="1:28" ht="13" x14ac:dyDescent="0.3">
      <c r="A111" s="5">
        <v>50</v>
      </c>
      <c r="B111" s="5">
        <v>0</v>
      </c>
      <c r="C111" s="5">
        <v>0</v>
      </c>
      <c r="D111" s="5">
        <v>1</v>
      </c>
      <c r="E111" s="5">
        <v>230</v>
      </c>
      <c r="F111" s="5">
        <f>ROUND(Source!BA91,O111)</f>
        <v>0</v>
      </c>
      <c r="G111" s="5" t="s">
        <v>63</v>
      </c>
      <c r="H111" s="5" t="s">
        <v>64</v>
      </c>
      <c r="I111" s="5"/>
      <c r="J111" s="5"/>
      <c r="K111" s="5">
        <v>230</v>
      </c>
      <c r="L111" s="5">
        <v>19</v>
      </c>
      <c r="M111" s="5">
        <v>3</v>
      </c>
      <c r="N111" s="5" t="s">
        <v>3</v>
      </c>
      <c r="O111" s="5">
        <v>2</v>
      </c>
      <c r="P111" s="5">
        <f>ROUND(Source!ES91,O111)</f>
        <v>0</v>
      </c>
      <c r="Q111" s="5"/>
      <c r="R111" s="5"/>
      <c r="S111" s="5"/>
      <c r="T111" s="5"/>
      <c r="U111" s="5"/>
      <c r="V111" s="5"/>
      <c r="W111" s="5">
        <v>0</v>
      </c>
      <c r="X111" s="5">
        <v>1</v>
      </c>
      <c r="Y111" s="5">
        <v>0</v>
      </c>
      <c r="Z111" s="5">
        <v>0</v>
      </c>
      <c r="AA111" s="5">
        <v>1</v>
      </c>
      <c r="AB111" s="5">
        <v>0</v>
      </c>
    </row>
    <row r="112" spans="1:28" ht="13" x14ac:dyDescent="0.3">
      <c r="A112" s="5">
        <v>50</v>
      </c>
      <c r="B112" s="5">
        <v>0</v>
      </c>
      <c r="C112" s="5">
        <v>0</v>
      </c>
      <c r="D112" s="5">
        <v>1</v>
      </c>
      <c r="E112" s="5">
        <v>206</v>
      </c>
      <c r="F112" s="5">
        <f>ROUND(Source!T91,O112)</f>
        <v>0</v>
      </c>
      <c r="G112" s="5" t="s">
        <v>65</v>
      </c>
      <c r="H112" s="5" t="s">
        <v>66</v>
      </c>
      <c r="I112" s="5"/>
      <c r="J112" s="5"/>
      <c r="K112" s="5">
        <v>206</v>
      </c>
      <c r="L112" s="5">
        <v>20</v>
      </c>
      <c r="M112" s="5">
        <v>3</v>
      </c>
      <c r="N112" s="5" t="s">
        <v>3</v>
      </c>
      <c r="O112" s="5">
        <v>2</v>
      </c>
      <c r="P112" s="5">
        <f>ROUND(Source!DL91,O112)</f>
        <v>0</v>
      </c>
      <c r="Q112" s="5"/>
      <c r="R112" s="5"/>
      <c r="S112" s="5"/>
      <c r="T112" s="5"/>
      <c r="U112" s="5"/>
      <c r="V112" s="5"/>
      <c r="W112" s="5">
        <v>0</v>
      </c>
      <c r="X112" s="5">
        <v>1</v>
      </c>
      <c r="Y112" s="5">
        <v>0</v>
      </c>
      <c r="Z112" s="5">
        <v>0</v>
      </c>
      <c r="AA112" s="5">
        <v>1</v>
      </c>
      <c r="AB112" s="5">
        <v>0</v>
      </c>
    </row>
    <row r="113" spans="1:28" ht="13" x14ac:dyDescent="0.3">
      <c r="A113" s="5">
        <v>50</v>
      </c>
      <c r="B113" s="5">
        <v>0</v>
      </c>
      <c r="C113" s="5">
        <v>0</v>
      </c>
      <c r="D113" s="5">
        <v>1</v>
      </c>
      <c r="E113" s="5">
        <v>207</v>
      </c>
      <c r="F113" s="5">
        <f>Source!U91</f>
        <v>0</v>
      </c>
      <c r="G113" s="5" t="s">
        <v>67</v>
      </c>
      <c r="H113" s="5" t="s">
        <v>68</v>
      </c>
      <c r="I113" s="5"/>
      <c r="J113" s="5"/>
      <c r="K113" s="5">
        <v>207</v>
      </c>
      <c r="L113" s="5">
        <v>21</v>
      </c>
      <c r="M113" s="5">
        <v>3</v>
      </c>
      <c r="N113" s="5" t="s">
        <v>3</v>
      </c>
      <c r="O113" s="5">
        <v>-1</v>
      </c>
      <c r="P113" s="5">
        <f>Source!DM91</f>
        <v>0</v>
      </c>
      <c r="Q113" s="5"/>
      <c r="R113" s="5"/>
      <c r="S113" s="5"/>
      <c r="T113" s="5"/>
      <c r="U113" s="5"/>
      <c r="V113" s="5"/>
      <c r="W113" s="5">
        <v>0</v>
      </c>
      <c r="X113" s="5">
        <v>1</v>
      </c>
      <c r="Y113" s="5">
        <v>0</v>
      </c>
      <c r="Z113" s="5">
        <v>0</v>
      </c>
      <c r="AA113" s="5">
        <v>1</v>
      </c>
      <c r="AB113" s="5">
        <v>0</v>
      </c>
    </row>
    <row r="114" spans="1:28" ht="13" x14ac:dyDescent="0.3">
      <c r="A114" s="5">
        <v>50</v>
      </c>
      <c r="B114" s="5">
        <v>0</v>
      </c>
      <c r="C114" s="5">
        <v>0</v>
      </c>
      <c r="D114" s="5">
        <v>1</v>
      </c>
      <c r="E114" s="5">
        <v>208</v>
      </c>
      <c r="F114" s="5">
        <f>Source!V91</f>
        <v>0</v>
      </c>
      <c r="G114" s="5" t="s">
        <v>69</v>
      </c>
      <c r="H114" s="5" t="s">
        <v>70</v>
      </c>
      <c r="I114" s="5"/>
      <c r="J114" s="5"/>
      <c r="K114" s="5">
        <v>208</v>
      </c>
      <c r="L114" s="5">
        <v>22</v>
      </c>
      <c r="M114" s="5">
        <v>3</v>
      </c>
      <c r="N114" s="5" t="s">
        <v>3</v>
      </c>
      <c r="O114" s="5">
        <v>-1</v>
      </c>
      <c r="P114" s="5">
        <f>Source!DN91</f>
        <v>0</v>
      </c>
      <c r="Q114" s="5"/>
      <c r="R114" s="5"/>
      <c r="S114" s="5"/>
      <c r="T114" s="5"/>
      <c r="U114" s="5"/>
      <c r="V114" s="5"/>
      <c r="W114" s="5">
        <v>0</v>
      </c>
      <c r="X114" s="5">
        <v>1</v>
      </c>
      <c r="Y114" s="5">
        <v>0</v>
      </c>
      <c r="Z114" s="5">
        <v>0</v>
      </c>
      <c r="AA114" s="5">
        <v>1</v>
      </c>
      <c r="AB114" s="5">
        <v>0</v>
      </c>
    </row>
    <row r="115" spans="1:28" ht="13" x14ac:dyDescent="0.3">
      <c r="A115" s="5">
        <v>50</v>
      </c>
      <c r="B115" s="5">
        <v>0</v>
      </c>
      <c r="C115" s="5">
        <v>0</v>
      </c>
      <c r="D115" s="5">
        <v>1</v>
      </c>
      <c r="E115" s="5">
        <v>209</v>
      </c>
      <c r="F115" s="5">
        <f>ROUND(Source!W91,O115)</f>
        <v>0</v>
      </c>
      <c r="G115" s="5" t="s">
        <v>71</v>
      </c>
      <c r="H115" s="5" t="s">
        <v>72</v>
      </c>
      <c r="I115" s="5"/>
      <c r="J115" s="5"/>
      <c r="K115" s="5">
        <v>209</v>
      </c>
      <c r="L115" s="5">
        <v>23</v>
      </c>
      <c r="M115" s="5">
        <v>3</v>
      </c>
      <c r="N115" s="5" t="s">
        <v>3</v>
      </c>
      <c r="O115" s="5">
        <v>2</v>
      </c>
      <c r="P115" s="5">
        <f>ROUND(Source!DO91,O115)</f>
        <v>0</v>
      </c>
      <c r="Q115" s="5"/>
      <c r="R115" s="5"/>
      <c r="S115" s="5"/>
      <c r="T115" s="5"/>
      <c r="U115" s="5"/>
      <c r="V115" s="5"/>
      <c r="W115" s="5">
        <v>0</v>
      </c>
      <c r="X115" s="5">
        <v>1</v>
      </c>
      <c r="Y115" s="5">
        <v>0</v>
      </c>
      <c r="Z115" s="5">
        <v>0</v>
      </c>
      <c r="AA115" s="5">
        <v>1</v>
      </c>
      <c r="AB115" s="5">
        <v>0</v>
      </c>
    </row>
    <row r="116" spans="1:28" ht="13" x14ac:dyDescent="0.3">
      <c r="A116" s="5">
        <v>50</v>
      </c>
      <c r="B116" s="5">
        <v>0</v>
      </c>
      <c r="C116" s="5">
        <v>0</v>
      </c>
      <c r="D116" s="5">
        <v>1</v>
      </c>
      <c r="E116" s="5">
        <v>233</v>
      </c>
      <c r="F116" s="5">
        <f>ROUND(Source!BD91,O116)</f>
        <v>0</v>
      </c>
      <c r="G116" s="5" t="s">
        <v>73</v>
      </c>
      <c r="H116" s="5" t="s">
        <v>74</v>
      </c>
      <c r="I116" s="5"/>
      <c r="J116" s="5"/>
      <c r="K116" s="5">
        <v>233</v>
      </c>
      <c r="L116" s="5">
        <v>24</v>
      </c>
      <c r="M116" s="5">
        <v>3</v>
      </c>
      <c r="N116" s="5" t="s">
        <v>3</v>
      </c>
      <c r="O116" s="5">
        <v>2</v>
      </c>
      <c r="P116" s="5">
        <f>ROUND(Source!EV91,O116)</f>
        <v>0</v>
      </c>
      <c r="Q116" s="5"/>
      <c r="R116" s="5"/>
      <c r="S116" s="5"/>
      <c r="T116" s="5"/>
      <c r="U116" s="5"/>
      <c r="V116" s="5"/>
      <c r="W116" s="5">
        <v>0</v>
      </c>
      <c r="X116" s="5">
        <v>1</v>
      </c>
      <c r="Y116" s="5">
        <v>0</v>
      </c>
      <c r="Z116" s="5">
        <v>0</v>
      </c>
      <c r="AA116" s="5">
        <v>1</v>
      </c>
      <c r="AB116" s="5">
        <v>0</v>
      </c>
    </row>
    <row r="117" spans="1:28" ht="13" x14ac:dyDescent="0.3">
      <c r="A117" s="5">
        <v>50</v>
      </c>
      <c r="B117" s="5">
        <v>0</v>
      </c>
      <c r="C117" s="5">
        <v>0</v>
      </c>
      <c r="D117" s="5">
        <v>1</v>
      </c>
      <c r="E117" s="5">
        <v>210</v>
      </c>
      <c r="F117" s="5">
        <f>ROUND(Source!X91,O117)</f>
        <v>0</v>
      </c>
      <c r="G117" s="5" t="s">
        <v>75</v>
      </c>
      <c r="H117" s="5" t="s">
        <v>76</v>
      </c>
      <c r="I117" s="5"/>
      <c r="J117" s="5"/>
      <c r="K117" s="5">
        <v>210</v>
      </c>
      <c r="L117" s="5">
        <v>25</v>
      </c>
      <c r="M117" s="5">
        <v>3</v>
      </c>
      <c r="N117" s="5" t="s">
        <v>3</v>
      </c>
      <c r="O117" s="5">
        <v>2</v>
      </c>
      <c r="P117" s="5">
        <f>ROUND(Source!DP91,O117)</f>
        <v>0</v>
      </c>
      <c r="Q117" s="5"/>
      <c r="R117" s="5"/>
      <c r="S117" s="5"/>
      <c r="T117" s="5"/>
      <c r="U117" s="5"/>
      <c r="V117" s="5"/>
      <c r="W117" s="5">
        <v>0</v>
      </c>
      <c r="X117" s="5">
        <v>1</v>
      </c>
      <c r="Y117" s="5">
        <v>0</v>
      </c>
      <c r="Z117" s="5">
        <v>0</v>
      </c>
      <c r="AA117" s="5">
        <v>1</v>
      </c>
      <c r="AB117" s="5">
        <v>0</v>
      </c>
    </row>
    <row r="118" spans="1:28" ht="13" x14ac:dyDescent="0.3">
      <c r="A118" s="5">
        <v>50</v>
      </c>
      <c r="B118" s="5">
        <v>0</v>
      </c>
      <c r="C118" s="5">
        <v>0</v>
      </c>
      <c r="D118" s="5">
        <v>1</v>
      </c>
      <c r="E118" s="5">
        <v>211</v>
      </c>
      <c r="F118" s="5">
        <f>ROUND(Source!Y91,O118)</f>
        <v>0</v>
      </c>
      <c r="G118" s="5" t="s">
        <v>77</v>
      </c>
      <c r="H118" s="5" t="s">
        <v>78</v>
      </c>
      <c r="I118" s="5"/>
      <c r="J118" s="5"/>
      <c r="K118" s="5">
        <v>211</v>
      </c>
      <c r="L118" s="5">
        <v>26</v>
      </c>
      <c r="M118" s="5">
        <v>3</v>
      </c>
      <c r="N118" s="5" t="s">
        <v>3</v>
      </c>
      <c r="O118" s="5">
        <v>2</v>
      </c>
      <c r="P118" s="5">
        <f>ROUND(Source!DQ91,O118)</f>
        <v>0</v>
      </c>
      <c r="Q118" s="5"/>
      <c r="R118" s="5"/>
      <c r="S118" s="5"/>
      <c r="T118" s="5"/>
      <c r="U118" s="5"/>
      <c r="V118" s="5"/>
      <c r="W118" s="5">
        <v>0</v>
      </c>
      <c r="X118" s="5">
        <v>1</v>
      </c>
      <c r="Y118" s="5">
        <v>0</v>
      </c>
      <c r="Z118" s="5">
        <v>0</v>
      </c>
      <c r="AA118" s="5">
        <v>1</v>
      </c>
      <c r="AB118" s="5">
        <v>0</v>
      </c>
    </row>
    <row r="119" spans="1:28" ht="13" x14ac:dyDescent="0.3">
      <c r="A119" s="5">
        <v>50</v>
      </c>
      <c r="B119" s="5">
        <v>0</v>
      </c>
      <c r="C119" s="5">
        <v>0</v>
      </c>
      <c r="D119" s="5">
        <v>1</v>
      </c>
      <c r="E119" s="5">
        <v>224</v>
      </c>
      <c r="F119" s="5">
        <f>ROUND(Source!AR91,O119)</f>
        <v>188203.04</v>
      </c>
      <c r="G119" s="5" t="s">
        <v>79</v>
      </c>
      <c r="H119" s="5" t="s">
        <v>80</v>
      </c>
      <c r="I119" s="5"/>
      <c r="J119" s="5"/>
      <c r="K119" s="5">
        <v>224</v>
      </c>
      <c r="L119" s="5">
        <v>27</v>
      </c>
      <c r="M119" s="5">
        <v>3</v>
      </c>
      <c r="N119" s="5" t="s">
        <v>3</v>
      </c>
      <c r="O119" s="5">
        <v>2</v>
      </c>
      <c r="P119" s="5">
        <f>ROUND(Source!EJ91,O119)</f>
        <v>2900208.85</v>
      </c>
      <c r="Q119" s="5"/>
      <c r="R119" s="5"/>
      <c r="S119" s="5"/>
      <c r="T119" s="5"/>
      <c r="U119" s="5"/>
      <c r="V119" s="5"/>
      <c r="W119" s="5">
        <v>188203.04</v>
      </c>
      <c r="X119" s="5">
        <v>1</v>
      </c>
      <c r="Y119" s="5">
        <v>188203.04</v>
      </c>
      <c r="Z119" s="5">
        <v>2900208.85</v>
      </c>
      <c r="AA119" s="5">
        <v>1</v>
      </c>
      <c r="AB119" s="5">
        <v>2900208.85</v>
      </c>
    </row>
    <row r="122" spans="1:28" x14ac:dyDescent="0.25">
      <c r="A122">
        <v>70</v>
      </c>
      <c r="B122">
        <v>1</v>
      </c>
      <c r="D122">
        <v>1</v>
      </c>
      <c r="E122" t="s">
        <v>81</v>
      </c>
      <c r="F122" t="s">
        <v>82</v>
      </c>
      <c r="G122">
        <v>0</v>
      </c>
      <c r="H122">
        <v>0</v>
      </c>
      <c r="I122" t="s">
        <v>3</v>
      </c>
      <c r="J122">
        <v>1</v>
      </c>
      <c r="K122">
        <v>0</v>
      </c>
      <c r="L122" t="s">
        <v>3</v>
      </c>
      <c r="M122" t="s">
        <v>3</v>
      </c>
      <c r="N122">
        <v>0</v>
      </c>
      <c r="O122">
        <v>0</v>
      </c>
      <c r="P122" t="s">
        <v>3</v>
      </c>
    </row>
    <row r="123" spans="1:28" x14ac:dyDescent="0.25">
      <c r="A123">
        <v>70</v>
      </c>
      <c r="B123">
        <v>1</v>
      </c>
      <c r="D123">
        <v>2</v>
      </c>
      <c r="E123" t="s">
        <v>83</v>
      </c>
      <c r="F123" t="s">
        <v>84</v>
      </c>
      <c r="G123">
        <v>1</v>
      </c>
      <c r="H123">
        <v>0</v>
      </c>
      <c r="I123" t="s">
        <v>3</v>
      </c>
      <c r="J123">
        <v>1</v>
      </c>
      <c r="K123">
        <v>0</v>
      </c>
      <c r="L123" t="s">
        <v>3</v>
      </c>
      <c r="M123" t="s">
        <v>3</v>
      </c>
      <c r="N123">
        <v>0</v>
      </c>
      <c r="O123">
        <v>1</v>
      </c>
      <c r="P123" t="s">
        <v>3</v>
      </c>
    </row>
    <row r="124" spans="1:28" x14ac:dyDescent="0.25">
      <c r="A124">
        <v>70</v>
      </c>
      <c r="B124">
        <v>1</v>
      </c>
      <c r="D124">
        <v>3</v>
      </c>
      <c r="E124" t="s">
        <v>85</v>
      </c>
      <c r="F124" t="s">
        <v>86</v>
      </c>
      <c r="G124">
        <v>1</v>
      </c>
      <c r="H124">
        <v>0</v>
      </c>
      <c r="I124" t="s">
        <v>3</v>
      </c>
      <c r="J124">
        <v>0</v>
      </c>
      <c r="K124">
        <v>0</v>
      </c>
      <c r="L124" t="s">
        <v>3</v>
      </c>
      <c r="M124" t="s">
        <v>3</v>
      </c>
      <c r="N124">
        <v>0</v>
      </c>
      <c r="O124">
        <v>1</v>
      </c>
      <c r="P124" t="s">
        <v>3</v>
      </c>
    </row>
    <row r="125" spans="1:28" x14ac:dyDescent="0.25">
      <c r="A125">
        <v>70</v>
      </c>
      <c r="B125">
        <v>1</v>
      </c>
      <c r="D125">
        <v>4</v>
      </c>
      <c r="E125" t="s">
        <v>87</v>
      </c>
      <c r="F125" t="s">
        <v>88</v>
      </c>
      <c r="G125">
        <v>1</v>
      </c>
      <c r="H125">
        <v>0</v>
      </c>
      <c r="I125" t="s">
        <v>3</v>
      </c>
      <c r="J125">
        <v>0</v>
      </c>
      <c r="K125">
        <v>0</v>
      </c>
      <c r="L125" t="s">
        <v>3</v>
      </c>
      <c r="M125" t="s">
        <v>3</v>
      </c>
      <c r="N125">
        <v>0</v>
      </c>
      <c r="O125">
        <v>1</v>
      </c>
      <c r="P125" t="s">
        <v>3</v>
      </c>
    </row>
    <row r="126" spans="1:28" x14ac:dyDescent="0.25">
      <c r="A126">
        <v>70</v>
      </c>
      <c r="B126">
        <v>1</v>
      </c>
      <c r="D126">
        <v>5</v>
      </c>
      <c r="E126" t="s">
        <v>89</v>
      </c>
      <c r="F126" t="s">
        <v>90</v>
      </c>
      <c r="G126">
        <v>0</v>
      </c>
      <c r="H126">
        <v>0</v>
      </c>
      <c r="I126" t="s">
        <v>3</v>
      </c>
      <c r="J126">
        <v>0</v>
      </c>
      <c r="K126">
        <v>0</v>
      </c>
      <c r="L126" t="s">
        <v>3</v>
      </c>
      <c r="M126" t="s">
        <v>3</v>
      </c>
      <c r="N126">
        <v>0</v>
      </c>
      <c r="O126">
        <v>0</v>
      </c>
      <c r="P126" t="s">
        <v>3</v>
      </c>
    </row>
    <row r="127" spans="1:28" x14ac:dyDescent="0.25">
      <c r="A127">
        <v>70</v>
      </c>
      <c r="B127">
        <v>1</v>
      </c>
      <c r="D127">
        <v>6</v>
      </c>
      <c r="E127" t="s">
        <v>91</v>
      </c>
      <c r="F127" t="s">
        <v>92</v>
      </c>
      <c r="G127">
        <v>0</v>
      </c>
      <c r="H127">
        <v>0</v>
      </c>
      <c r="I127" t="s">
        <v>3</v>
      </c>
      <c r="J127">
        <v>0</v>
      </c>
      <c r="K127">
        <v>0</v>
      </c>
      <c r="L127" t="s">
        <v>3</v>
      </c>
      <c r="M127" t="s">
        <v>3</v>
      </c>
      <c r="N127">
        <v>0</v>
      </c>
      <c r="O127">
        <v>0</v>
      </c>
      <c r="P127" t="s">
        <v>3</v>
      </c>
    </row>
    <row r="129" spans="1:50" x14ac:dyDescent="0.25">
      <c r="A129">
        <v>-1</v>
      </c>
    </row>
    <row r="131" spans="1:50" ht="13" x14ac:dyDescent="0.3">
      <c r="A131" s="4">
        <v>75</v>
      </c>
      <c r="B131" s="4" t="s">
        <v>93</v>
      </c>
      <c r="C131" s="4">
        <v>2025</v>
      </c>
      <c r="D131" s="4">
        <v>0</v>
      </c>
      <c r="E131" s="4">
        <v>7</v>
      </c>
      <c r="F131" s="4"/>
      <c r="G131" s="4">
        <v>0</v>
      </c>
      <c r="H131" s="4">
        <v>1</v>
      </c>
      <c r="I131" s="4">
        <v>1</v>
      </c>
      <c r="J131" s="4">
        <v>3</v>
      </c>
      <c r="K131" s="4">
        <v>0</v>
      </c>
      <c r="L131" s="4">
        <v>0</v>
      </c>
      <c r="M131" s="4">
        <v>1</v>
      </c>
      <c r="N131" s="4">
        <v>56526071</v>
      </c>
      <c r="O131" s="4">
        <v>1</v>
      </c>
    </row>
    <row r="132" spans="1:50" x14ac:dyDescent="0.25">
      <c r="A132" s="6">
        <v>1</v>
      </c>
      <c r="B132" s="6" t="s">
        <v>94</v>
      </c>
      <c r="C132" s="6" t="s">
        <v>95</v>
      </c>
      <c r="D132" s="6">
        <v>2025</v>
      </c>
      <c r="E132" s="6">
        <v>7</v>
      </c>
      <c r="F132" s="6">
        <v>1</v>
      </c>
      <c r="G132" s="6">
        <v>1</v>
      </c>
      <c r="H132" s="6">
        <v>0</v>
      </c>
      <c r="I132" s="6">
        <v>2</v>
      </c>
      <c r="J132" s="6">
        <v>1</v>
      </c>
      <c r="K132" s="6">
        <v>1</v>
      </c>
      <c r="L132" s="6">
        <v>1</v>
      </c>
      <c r="M132" s="6">
        <v>1</v>
      </c>
      <c r="N132" s="6">
        <v>1</v>
      </c>
      <c r="O132" s="6">
        <v>1</v>
      </c>
      <c r="P132" s="6">
        <v>1</v>
      </c>
      <c r="Q132" s="6">
        <v>1</v>
      </c>
      <c r="R132" s="6" t="s">
        <v>3</v>
      </c>
      <c r="S132" s="6" t="s">
        <v>3</v>
      </c>
      <c r="T132" s="6" t="s">
        <v>3</v>
      </c>
      <c r="U132" s="6" t="s">
        <v>3</v>
      </c>
      <c r="V132" s="6" t="s">
        <v>3</v>
      </c>
      <c r="W132" s="6" t="s">
        <v>3</v>
      </c>
      <c r="X132" s="6" t="s">
        <v>3</v>
      </c>
      <c r="Y132" s="6" t="s">
        <v>3</v>
      </c>
      <c r="Z132" s="6" t="s">
        <v>3</v>
      </c>
      <c r="AA132" s="6" t="s">
        <v>96</v>
      </c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>
        <v>56526072</v>
      </c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spans="1:50" x14ac:dyDescent="0.25">
      <c r="A133" s="6">
        <v>1</v>
      </c>
      <c r="B133" s="6" t="s">
        <v>94</v>
      </c>
      <c r="C133" s="6" t="s">
        <v>97</v>
      </c>
      <c r="D133" s="6">
        <v>2025</v>
      </c>
      <c r="E133" s="6">
        <v>7</v>
      </c>
      <c r="F133" s="6">
        <v>1</v>
      </c>
      <c r="G133" s="6">
        <v>1</v>
      </c>
      <c r="H133" s="6">
        <v>0</v>
      </c>
      <c r="I133" s="6">
        <v>2</v>
      </c>
      <c r="J133" s="6">
        <v>1</v>
      </c>
      <c r="K133" s="6">
        <v>1</v>
      </c>
      <c r="L133" s="6">
        <v>1</v>
      </c>
      <c r="M133" s="6">
        <v>1</v>
      </c>
      <c r="N133" s="6">
        <v>1</v>
      </c>
      <c r="O133" s="6">
        <v>1</v>
      </c>
      <c r="P133" s="6">
        <v>1</v>
      </c>
      <c r="Q133" s="6">
        <v>1</v>
      </c>
      <c r="R133" s="6" t="s">
        <v>3</v>
      </c>
      <c r="S133" s="6" t="s">
        <v>3</v>
      </c>
      <c r="T133" s="6" t="s">
        <v>3</v>
      </c>
      <c r="U133" s="6" t="s">
        <v>3</v>
      </c>
      <c r="V133" s="6" t="s">
        <v>3</v>
      </c>
      <c r="W133" s="6" t="s">
        <v>3</v>
      </c>
      <c r="X133" s="6" t="s">
        <v>3</v>
      </c>
      <c r="Y133" s="6" t="s">
        <v>3</v>
      </c>
      <c r="Z133" s="6" t="s">
        <v>3</v>
      </c>
      <c r="AA133" s="6" t="s">
        <v>98</v>
      </c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>
        <v>56526073</v>
      </c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spans="1:50" ht="13" x14ac:dyDescent="0.3">
      <c r="A134" s="4">
        <v>75</v>
      </c>
      <c r="B134" s="4" t="s">
        <v>99</v>
      </c>
      <c r="C134" s="4">
        <v>2000</v>
      </c>
      <c r="D134" s="4">
        <v>0</v>
      </c>
      <c r="E134" s="4">
        <v>1</v>
      </c>
      <c r="F134" s="4">
        <v>0</v>
      </c>
      <c r="G134" s="4">
        <v>0</v>
      </c>
      <c r="H134" s="4">
        <v>1</v>
      </c>
      <c r="I134" s="4">
        <v>1</v>
      </c>
      <c r="J134" s="4">
        <v>3</v>
      </c>
      <c r="K134" s="4">
        <v>0</v>
      </c>
      <c r="L134" s="4">
        <v>0</v>
      </c>
      <c r="M134" s="4">
        <v>0</v>
      </c>
      <c r="N134" s="4">
        <v>56526069</v>
      </c>
      <c r="O134" s="4">
        <v>2</v>
      </c>
    </row>
    <row r="135" spans="1:50" x14ac:dyDescent="0.25">
      <c r="A135" s="6">
        <v>1</v>
      </c>
      <c r="B135" s="6" t="s">
        <v>94</v>
      </c>
      <c r="C135" s="6" t="s">
        <v>95</v>
      </c>
      <c r="D135" s="6">
        <v>2000</v>
      </c>
      <c r="E135" s="6">
        <v>1</v>
      </c>
      <c r="F135" s="6">
        <v>1</v>
      </c>
      <c r="G135" s="6">
        <v>1</v>
      </c>
      <c r="H135" s="6">
        <v>0</v>
      </c>
      <c r="I135" s="6">
        <v>2</v>
      </c>
      <c r="J135" s="6">
        <v>1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 t="s">
        <v>3</v>
      </c>
      <c r="S135" s="6" t="s">
        <v>3</v>
      </c>
      <c r="T135" s="6" t="s">
        <v>3</v>
      </c>
      <c r="U135" s="6" t="s">
        <v>3</v>
      </c>
      <c r="V135" s="6" t="s">
        <v>3</v>
      </c>
      <c r="W135" s="6" t="s">
        <v>3</v>
      </c>
      <c r="X135" s="6" t="s">
        <v>3</v>
      </c>
      <c r="Y135" s="6" t="s">
        <v>3</v>
      </c>
      <c r="Z135" s="6" t="s">
        <v>3</v>
      </c>
      <c r="AA135" s="6" t="s">
        <v>3</v>
      </c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>
        <v>56526070</v>
      </c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9" spans="1:50" x14ac:dyDescent="0.25">
      <c r="A139">
        <v>65</v>
      </c>
      <c r="C139">
        <v>1</v>
      </c>
      <c r="D139">
        <v>0</v>
      </c>
      <c r="E139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100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9</v>
      </c>
      <c r="BI12" s="1" t="s">
        <v>10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11</v>
      </c>
      <c r="BZ12" s="1" t="s">
        <v>12</v>
      </c>
      <c r="CA12" s="1" t="s">
        <v>13</v>
      </c>
      <c r="CB12" s="1" t="s">
        <v>13</v>
      </c>
      <c r="CC12" s="1" t="s">
        <v>13</v>
      </c>
      <c r="CD12" s="1" t="s">
        <v>13</v>
      </c>
      <c r="CE12" s="1" t="s">
        <v>14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79</v>
      </c>
      <c r="CL12" s="1"/>
      <c r="CM12" s="1"/>
      <c r="CN12" s="1"/>
      <c r="CO12" s="1"/>
      <c r="CP12" s="1"/>
      <c r="CQ12" s="1" t="s">
        <v>15</v>
      </c>
      <c r="CR12" s="1" t="s">
        <v>16</v>
      </c>
      <c r="CS12" s="1">
        <v>41660</v>
      </c>
      <c r="CT12" s="1">
        <v>1</v>
      </c>
      <c r="CU12" s="1">
        <v>79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56526071</v>
      </c>
      <c r="E14" s="1">
        <v>56526069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17</v>
      </c>
      <c r="E16" s="8">
        <f>ROUND((Source!P78)/1000,2)</f>
        <v>0</v>
      </c>
      <c r="F16" s="8">
        <f>ROUND((Source!P79)/1000,2)</f>
        <v>0</v>
      </c>
      <c r="G16" s="8">
        <f>ROUND((Source!P70)/1000,2)</f>
        <v>0</v>
      </c>
      <c r="H16" s="8">
        <f>ROUND((Source!P80)/1000+(Source!P81)/1000,2)</f>
        <v>2900.21</v>
      </c>
      <c r="I16" s="8">
        <f>E16+F16+G16+H16</f>
        <v>2900.21</v>
      </c>
      <c r="J16" s="8">
        <f>ROUND((Source!P76+Source!P75)/1000,2)</f>
        <v>0</v>
      </c>
      <c r="K16" s="8">
        <v>2900.21</v>
      </c>
      <c r="L16" s="8">
        <v>0</v>
      </c>
      <c r="M16" s="8">
        <v>0</v>
      </c>
      <c r="N16" s="8">
        <f>I16+L16+M16</f>
        <v>2900.21</v>
      </c>
      <c r="T16" s="9">
        <f>ROUND((Source!F78)/1000,2)</f>
        <v>0</v>
      </c>
      <c r="U16" s="9">
        <f>ROUND((Source!F79)/1000,2)</f>
        <v>0</v>
      </c>
      <c r="V16" s="9">
        <f>ROUND((Source!F70)/1000,2)</f>
        <v>0</v>
      </c>
      <c r="W16" s="9">
        <f>ROUND((Source!F80)/1000+(Source!F81)/1000,2)</f>
        <v>188.2</v>
      </c>
      <c r="X16" s="9">
        <f>T16+U16+V16+W16</f>
        <v>188.2</v>
      </c>
      <c r="Y16" s="9">
        <f>ROUND((Source!F76+Source!F75)/1000,2)</f>
        <v>0</v>
      </c>
      <c r="Z16" s="9">
        <v>188.2</v>
      </c>
      <c r="AA16" s="9">
        <v>0</v>
      </c>
      <c r="AB16" s="9">
        <v>0</v>
      </c>
      <c r="AC16" s="9">
        <f>X16+AA16+AB16</f>
        <v>188.2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2900208.85</v>
      </c>
      <c r="AU16" s="8">
        <v>0</v>
      </c>
      <c r="AV16" s="8">
        <v>0</v>
      </c>
      <c r="AW16" s="8">
        <v>0</v>
      </c>
      <c r="AX16" s="8">
        <v>0</v>
      </c>
      <c r="AY16" s="8">
        <v>2900208.85</v>
      </c>
      <c r="AZ16" s="8">
        <v>0</v>
      </c>
      <c r="BA16" s="8">
        <v>0</v>
      </c>
      <c r="BB16" s="8">
        <v>0</v>
      </c>
      <c r="BC16" s="8">
        <v>0</v>
      </c>
      <c r="BD16" s="8">
        <v>2900208.85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2900208.85</v>
      </c>
      <c r="BR16" s="9">
        <v>188203.04</v>
      </c>
      <c r="BS16" s="9">
        <v>0</v>
      </c>
      <c r="BT16" s="9">
        <v>0</v>
      </c>
      <c r="BU16" s="9">
        <v>0</v>
      </c>
      <c r="BV16" s="9">
        <v>0</v>
      </c>
      <c r="BW16" s="9">
        <v>188203.04</v>
      </c>
      <c r="BX16" s="9">
        <v>0</v>
      </c>
      <c r="BY16" s="9">
        <v>0</v>
      </c>
      <c r="BZ16" s="9">
        <v>0</v>
      </c>
      <c r="CA16" s="9">
        <v>0</v>
      </c>
      <c r="CB16" s="9">
        <v>188203.04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188203.04</v>
      </c>
    </row>
    <row r="18" spans="1:29" x14ac:dyDescent="0.25">
      <c r="A18">
        <v>51</v>
      </c>
      <c r="E18">
        <v>0</v>
      </c>
      <c r="F18">
        <v>0</v>
      </c>
      <c r="G18">
        <v>0</v>
      </c>
      <c r="H18">
        <v>2900.21</v>
      </c>
      <c r="I18">
        <v>2900.21</v>
      </c>
      <c r="J18">
        <v>0</v>
      </c>
      <c r="K18">
        <v>2900.21</v>
      </c>
      <c r="L18">
        <v>0</v>
      </c>
      <c r="M18">
        <v>0</v>
      </c>
      <c r="N18">
        <v>2900.21</v>
      </c>
      <c r="T18">
        <v>0</v>
      </c>
      <c r="U18">
        <v>0</v>
      </c>
      <c r="V18">
        <v>0</v>
      </c>
      <c r="W18">
        <v>188.2</v>
      </c>
      <c r="X18">
        <v>188.2</v>
      </c>
      <c r="Y18">
        <v>0</v>
      </c>
      <c r="Z18">
        <v>188.2</v>
      </c>
      <c r="AA18">
        <v>0</v>
      </c>
      <c r="AB18">
        <v>0</v>
      </c>
      <c r="AC18">
        <v>188.2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2900208.85</v>
      </c>
      <c r="G20" s="5" t="s">
        <v>27</v>
      </c>
      <c r="H20" s="5" t="s">
        <v>28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188203.04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0</v>
      </c>
      <c r="G21" s="5" t="s">
        <v>29</v>
      </c>
      <c r="H21" s="5" t="s">
        <v>30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0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31</v>
      </c>
      <c r="H22" s="5" t="s">
        <v>32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0</v>
      </c>
      <c r="G23" s="5" t="s">
        <v>33</v>
      </c>
      <c r="H23" s="5" t="s">
        <v>34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0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0</v>
      </c>
      <c r="G24" s="5" t="s">
        <v>35</v>
      </c>
      <c r="H24" s="5" t="s">
        <v>36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0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37</v>
      </c>
      <c r="H25" s="5" t="s">
        <v>38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0</v>
      </c>
      <c r="G26" s="5" t="s">
        <v>39</v>
      </c>
      <c r="H26" s="5" t="s">
        <v>40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0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0</v>
      </c>
      <c r="G27" s="5" t="s">
        <v>41</v>
      </c>
      <c r="H27" s="5" t="s">
        <v>42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0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43</v>
      </c>
      <c r="H28" s="5" t="s">
        <v>44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0</v>
      </c>
      <c r="G29" s="5" t="s">
        <v>45</v>
      </c>
      <c r="H29" s="5" t="s">
        <v>46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0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2900208.85</v>
      </c>
      <c r="G30" s="5" t="s">
        <v>47</v>
      </c>
      <c r="H30" s="5" t="s">
        <v>48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188203.04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49</v>
      </c>
      <c r="H31" s="5" t="s">
        <v>50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0</v>
      </c>
      <c r="G32" s="5" t="s">
        <v>51</v>
      </c>
      <c r="H32" s="5" t="s">
        <v>52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0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0</v>
      </c>
      <c r="G33" s="5" t="s">
        <v>53</v>
      </c>
      <c r="H33" s="5" t="s">
        <v>54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0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55</v>
      </c>
      <c r="H34" s="5" t="s">
        <v>56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0</v>
      </c>
      <c r="G35" s="5" t="s">
        <v>57</v>
      </c>
      <c r="H35" s="5" t="s">
        <v>58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0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0</v>
      </c>
      <c r="G36" s="5" t="s">
        <v>59</v>
      </c>
      <c r="H36" s="5" t="s">
        <v>60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0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2900208.85</v>
      </c>
      <c r="G37" s="5" t="s">
        <v>61</v>
      </c>
      <c r="H37" s="5" t="s">
        <v>62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188203.04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63</v>
      </c>
      <c r="H38" s="5" t="s">
        <v>64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65</v>
      </c>
      <c r="H39" s="5" t="s">
        <v>66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0</v>
      </c>
      <c r="G40" s="5" t="s">
        <v>67</v>
      </c>
      <c r="H40" s="5" t="s">
        <v>68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0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69</v>
      </c>
      <c r="H41" s="5" t="s">
        <v>70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71</v>
      </c>
      <c r="H42" s="5" t="s">
        <v>72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73</v>
      </c>
      <c r="H43" s="5" t="s">
        <v>74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0</v>
      </c>
      <c r="G44" s="5" t="s">
        <v>75</v>
      </c>
      <c r="H44" s="5" t="s">
        <v>76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0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0</v>
      </c>
      <c r="G45" s="5" t="s">
        <v>77</v>
      </c>
      <c r="H45" s="5" t="s">
        <v>78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0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2900208.85</v>
      </c>
      <c r="G46" s="5" t="s">
        <v>79</v>
      </c>
      <c r="H46" s="5" t="s">
        <v>80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188203.04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93</v>
      </c>
      <c r="C51" s="4">
        <v>2025</v>
      </c>
      <c r="D51" s="4">
        <v>0</v>
      </c>
      <c r="E51" s="4">
        <v>7</v>
      </c>
      <c r="F51" s="4"/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1</v>
      </c>
      <c r="N51" s="4">
        <v>56526071</v>
      </c>
      <c r="O51" s="4">
        <v>1</v>
      </c>
    </row>
    <row r="52" spans="1:50" x14ac:dyDescent="0.25">
      <c r="A52" s="6">
        <v>1</v>
      </c>
      <c r="B52" s="6" t="s">
        <v>94</v>
      </c>
      <c r="C52" s="6" t="s">
        <v>95</v>
      </c>
      <c r="D52" s="6">
        <v>2025</v>
      </c>
      <c r="E52" s="6">
        <v>7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96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56526072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5">
      <c r="A53" s="6">
        <v>1</v>
      </c>
      <c r="B53" s="6" t="s">
        <v>94</v>
      </c>
      <c r="C53" s="6" t="s">
        <v>97</v>
      </c>
      <c r="D53" s="6">
        <v>2025</v>
      </c>
      <c r="E53" s="6">
        <v>7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98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56526073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ht="13" x14ac:dyDescent="0.3">
      <c r="A54" s="4">
        <v>75</v>
      </c>
      <c r="B54" s="4" t="s">
        <v>99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56526069</v>
      </c>
      <c r="O54" s="4">
        <v>2</v>
      </c>
    </row>
    <row r="55" spans="1:50" x14ac:dyDescent="0.25">
      <c r="A55" s="6">
        <v>1</v>
      </c>
      <c r="B55" s="6" t="s">
        <v>94</v>
      </c>
      <c r="C55" s="6" t="s">
        <v>95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56526070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56526069</v>
      </c>
      <c r="C1">
        <v>56526703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101</v>
      </c>
      <c r="J1" t="s">
        <v>3</v>
      </c>
      <c r="K1" t="s">
        <v>102</v>
      </c>
      <c r="L1">
        <v>1344</v>
      </c>
      <c r="N1">
        <v>1008</v>
      </c>
      <c r="O1" t="s">
        <v>103</v>
      </c>
      <c r="P1" t="s">
        <v>103</v>
      </c>
      <c r="Q1">
        <v>1</v>
      </c>
      <c r="W1">
        <v>0</v>
      </c>
      <c r="X1">
        <v>-1180195794</v>
      </c>
      <c r="Y1">
        <f>AT1</f>
        <v>58.45</v>
      </c>
      <c r="AA1">
        <v>0</v>
      </c>
      <c r="AB1">
        <v>1</v>
      </c>
      <c r="AC1">
        <v>0</v>
      </c>
      <c r="AD1">
        <v>0</v>
      </c>
      <c r="AE1">
        <v>0</v>
      </c>
      <c r="AF1">
        <v>1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58.45</v>
      </c>
      <c r="AU1" t="s">
        <v>3</v>
      </c>
      <c r="AV1">
        <v>0</v>
      </c>
      <c r="AW1">
        <v>2</v>
      </c>
      <c r="AX1">
        <v>56526706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V1">
        <v>0</v>
      </c>
      <c r="CW1">
        <f>ROUND(Y1*Source!I28*DO1,9)</f>
        <v>0</v>
      </c>
      <c r="CX1">
        <f>ROUND(Y1*Source!I28,9)</f>
        <v>188203.03810000001</v>
      </c>
      <c r="CY1">
        <f>AB1</f>
        <v>1</v>
      </c>
      <c r="CZ1">
        <f>AF1</f>
        <v>1</v>
      </c>
      <c r="DA1">
        <f>AJ1</f>
        <v>1</v>
      </c>
      <c r="DB1">
        <f>ROUND(ROUND(AT1*CZ1,2),6)</f>
        <v>58.45</v>
      </c>
      <c r="DC1">
        <f>ROUND(ROUND(AT1*AG1,2),6)</f>
        <v>0</v>
      </c>
      <c r="DD1" t="s">
        <v>3</v>
      </c>
      <c r="DE1" t="s">
        <v>3</v>
      </c>
      <c r="DF1">
        <f>ROUND(ROUND(AE1,2)*CX1,2)</f>
        <v>0</v>
      </c>
      <c r="DG1">
        <f>ROUND(ROUND(AF1,2)*CX1,2)</f>
        <v>188203.04</v>
      </c>
      <c r="DH1">
        <f>ROUND(ROUND(AG1,2)*CX1,2)</f>
        <v>0</v>
      </c>
      <c r="DI1">
        <f>ROUND(ROUND(AH1,2)*CX1,2)</f>
        <v>0</v>
      </c>
      <c r="DJ1">
        <f>DG1</f>
        <v>188203.04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56526071</v>
      </c>
      <c r="C2">
        <v>56526703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101</v>
      </c>
      <c r="J2" t="s">
        <v>3</v>
      </c>
      <c r="K2" t="s">
        <v>102</v>
      </c>
      <c r="L2">
        <v>1344</v>
      </c>
      <c r="N2">
        <v>1008</v>
      </c>
      <c r="O2" t="s">
        <v>103</v>
      </c>
      <c r="P2" t="s">
        <v>103</v>
      </c>
      <c r="Q2">
        <v>1</v>
      </c>
      <c r="W2">
        <v>0</v>
      </c>
      <c r="X2">
        <v>-1180195794</v>
      </c>
      <c r="Y2">
        <f>AT2</f>
        <v>58.45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58.45</v>
      </c>
      <c r="AU2" t="s">
        <v>3</v>
      </c>
      <c r="AV2">
        <v>0</v>
      </c>
      <c r="AW2">
        <v>2</v>
      </c>
      <c r="AX2">
        <v>56526706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ROUND(Y2*Source!I29*DO2,9)</f>
        <v>0</v>
      </c>
      <c r="CX2">
        <f>ROUND(Y2*Source!I29,9)</f>
        <v>188203.03810000001</v>
      </c>
      <c r="CY2">
        <f>AB2</f>
        <v>1</v>
      </c>
      <c r="CZ2">
        <f>AF2</f>
        <v>1</v>
      </c>
      <c r="DA2">
        <f>AJ2</f>
        <v>1</v>
      </c>
      <c r="DB2">
        <f>ROUND(ROUND(AT2*CZ2,2),6)</f>
        <v>58.45</v>
      </c>
      <c r="DC2">
        <f>ROUND(ROUND(AT2*AG2,2),6)</f>
        <v>0</v>
      </c>
      <c r="DD2" t="s">
        <v>3</v>
      </c>
      <c r="DE2" t="s">
        <v>3</v>
      </c>
      <c r="DF2">
        <f>ROUND(ROUND(AE2,2)*CX2,2)</f>
        <v>0</v>
      </c>
      <c r="DG2">
        <f>ROUND(ROUND(AF2,2)*CX2,2)</f>
        <v>188203.04</v>
      </c>
      <c r="DH2">
        <f>ROUND(ROUND(AG2,2)*CX2,2)</f>
        <v>0</v>
      </c>
      <c r="DI2">
        <f>ROUND(ROUND(AH2,2)*CX2,2)</f>
        <v>0</v>
      </c>
      <c r="DJ2">
        <f>DG2</f>
        <v>188203.04</v>
      </c>
      <c r="DK2">
        <v>0</v>
      </c>
      <c r="DL2" t="s">
        <v>3</v>
      </c>
      <c r="DM2">
        <v>0</v>
      </c>
      <c r="DN2" t="s">
        <v>3</v>
      </c>
      <c r="DO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56526706</v>
      </c>
      <c r="C1">
        <v>56526703</v>
      </c>
      <c r="D1">
        <v>54836954</v>
      </c>
      <c r="E1">
        <v>1079</v>
      </c>
      <c r="F1">
        <v>1</v>
      </c>
      <c r="G1">
        <v>1079</v>
      </c>
      <c r="H1">
        <v>2</v>
      </c>
      <c r="I1" t="s">
        <v>101</v>
      </c>
      <c r="J1" t="s">
        <v>3</v>
      </c>
      <c r="K1" t="s">
        <v>102</v>
      </c>
      <c r="L1">
        <v>1344</v>
      </c>
      <c r="N1">
        <v>1008</v>
      </c>
      <c r="O1" t="s">
        <v>103</v>
      </c>
      <c r="P1" t="s">
        <v>103</v>
      </c>
      <c r="Q1">
        <v>1</v>
      </c>
      <c r="X1">
        <v>58.45</v>
      </c>
      <c r="Y1">
        <v>0</v>
      </c>
      <c r="Z1">
        <v>1</v>
      </c>
      <c r="AA1">
        <v>0</v>
      </c>
      <c r="AB1">
        <v>0</v>
      </c>
      <c r="AC1">
        <v>0</v>
      </c>
      <c r="AD1">
        <v>1</v>
      </c>
      <c r="AE1">
        <v>0</v>
      </c>
      <c r="AF1" t="s">
        <v>3</v>
      </c>
      <c r="AG1">
        <v>58.45</v>
      </c>
      <c r="AH1">
        <v>2</v>
      </c>
      <c r="AI1">
        <v>56526706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ROW(Source!A29)</f>
        <v>29</v>
      </c>
      <c r="B2">
        <v>56526706</v>
      </c>
      <c r="C2">
        <v>56526703</v>
      </c>
      <c r="D2">
        <v>54836954</v>
      </c>
      <c r="E2">
        <v>1079</v>
      </c>
      <c r="F2">
        <v>1</v>
      </c>
      <c r="G2">
        <v>1079</v>
      </c>
      <c r="H2">
        <v>2</v>
      </c>
      <c r="I2" t="s">
        <v>101</v>
      </c>
      <c r="J2" t="s">
        <v>3</v>
      </c>
      <c r="K2" t="s">
        <v>102</v>
      </c>
      <c r="L2">
        <v>1344</v>
      </c>
      <c r="N2">
        <v>1008</v>
      </c>
      <c r="O2" t="s">
        <v>103</v>
      </c>
      <c r="P2" t="s">
        <v>103</v>
      </c>
      <c r="Q2">
        <v>1</v>
      </c>
      <c r="X2">
        <v>58.45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</v>
      </c>
      <c r="AG2">
        <v>58.45</v>
      </c>
      <c r="AH2">
        <v>2</v>
      </c>
      <c r="AI2">
        <v>56526706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2.5" x14ac:dyDescent="0.25"/>
  <cols>
    <col min="1" max="256" width="9.1796875" customWidth="1"/>
  </cols>
  <sheetData/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74562</v>
      </c>
      <c r="M1">
        <v>10</v>
      </c>
      <c r="N1">
        <v>11</v>
      </c>
      <c r="O1">
        <v>14</v>
      </c>
      <c r="P1">
        <v>0</v>
      </c>
      <c r="Q1">
        <v>0</v>
      </c>
    </row>
    <row r="12" spans="1:103" x14ac:dyDescent="0.25">
      <c r="F12" t="str">
        <f>Source!F12</f>
        <v>09-01-02</v>
      </c>
      <c r="G12" t="str">
        <f>Source!G12</f>
        <v>09-01-02 Перевозка мусора</v>
      </c>
      <c r="AB12" t="s">
        <v>3</v>
      </c>
      <c r="AC12" t="s">
        <v>3</v>
      </c>
      <c r="AD12" t="s">
        <v>3</v>
      </c>
      <c r="AE12" t="s">
        <v>3</v>
      </c>
      <c r="AH12" t="s">
        <v>3</v>
      </c>
      <c r="AI12" t="s">
        <v>3</v>
      </c>
      <c r="CY12">
        <f>Source!CY12</f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4</vt:i4>
      </vt:variant>
    </vt:vector>
  </HeadingPairs>
  <TitlesOfParts>
    <vt:vector size="12" baseType="lpstr">
      <vt:lpstr>09-01-02</vt:lpstr>
      <vt:lpstr>Ведомость объемов работ</vt:lpstr>
      <vt:lpstr>Source</vt:lpstr>
      <vt:lpstr>SourceObSm</vt:lpstr>
      <vt:lpstr>SmtRes</vt:lpstr>
      <vt:lpstr>EtalonRes</vt:lpstr>
      <vt:lpstr>SrcPoprs</vt:lpstr>
      <vt:lpstr>SrcKA</vt:lpstr>
      <vt:lpstr>'09-01-02'!Заголовки_для_печати</vt:lpstr>
      <vt:lpstr>'Ведомость объемов работ'!Заголовки_для_печати</vt:lpstr>
      <vt:lpstr>'09-01-02'!Область_печати</vt:lpstr>
      <vt:lpstr>'Ведомость объемов работ'!Область_печати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Лукьянова Анна Леонидовна</dc:creator>
  <cp:lastModifiedBy>Кузьмичева Наталья Викторовна</cp:lastModifiedBy>
  <cp:lastPrinted>2025-11-24T13:02:38Z</cp:lastPrinted>
  <dcterms:created xsi:type="dcterms:W3CDTF">2025-11-24T12:38:22Z</dcterms:created>
  <dcterms:modified xsi:type="dcterms:W3CDTF">2026-02-12T08:09:17Z</dcterms:modified>
</cp:coreProperties>
</file>